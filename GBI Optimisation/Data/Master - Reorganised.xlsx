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2.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202300"/>
  <mc:AlternateContent xmlns:mc="http://schemas.openxmlformats.org/markup-compatibility/2006">
    <mc:Choice Requires="x15">
      <x15ac:absPath xmlns:x15ac="http://schemas.microsoft.com/office/spreadsheetml/2010/11/ac" url="C:\Users\thorb\Documents\Github Repositories\AEF_thesis_GBI\GBI Optimisation\Data\"/>
    </mc:Choice>
  </mc:AlternateContent>
  <xr:revisionPtr revIDLastSave="0" documentId="13_ncr:1_{6573507A-1096-4F2C-9D22-59F3C07D385D}" xr6:coauthVersionLast="47" xr6:coauthVersionMax="47" xr10:uidLastSave="{00000000-0000-0000-0000-000000000000}"/>
  <bookViews>
    <workbookView xWindow="19095" yWindow="0" windowWidth="19410" windowHeight="20985" xr2:uid="{4E182251-F803-4366-87DB-239E9FF40EE2}"/>
  </bookViews>
  <sheets>
    <sheet name="Front Page" sheetId="7" r:id="rId1"/>
    <sheet name="Salary Variables" sheetId="51" r:id="rId2"/>
    <sheet name="Income" sheetId="2" r:id="rId3"/>
    <sheet name="Pensions P1" sheetId="46" r:id="rId4"/>
    <sheet name="Pensions P2" sheetId="49" r:id="rId5"/>
    <sheet name="Net Salary P1" sheetId="47" r:id="rId6"/>
    <sheet name="Net Salary P2" sheetId="48" r:id="rId7"/>
    <sheet name="Job Hopping" sheetId="8" r:id="rId8"/>
    <sheet name="Djøf Finance Hoppers" sheetId="6" r:id="rId9"/>
    <sheet name="Djøf Finance Workers" sheetId="5" r:id="rId10"/>
    <sheet name="Loop" sheetId="45" r:id="rId11"/>
    <sheet name="Goals" sheetId="10" r:id="rId12"/>
    <sheet name="Aktiesparekonto Increase" sheetId="43" r:id="rId13"/>
    <sheet name="Salary" sheetId="30" r:id="rId14"/>
    <sheet name="Wealth" sheetId="33" r:id="rId15"/>
    <sheet name="notes next time talk" sheetId="18" state="hidden" r:id="rId16"/>
    <sheet name="Real Returns" sheetId="44" r:id="rId17"/>
    <sheet name="Returns" sheetId="23" r:id="rId18"/>
    <sheet name="BasisPointCost" sheetId="38" r:id="rId19"/>
    <sheet name="Returns2" sheetId="39" r:id="rId20"/>
    <sheet name="Volatilities" sheetId="20" r:id="rId21"/>
    <sheet name="Volatilities2" sheetId="24" r:id="rId22"/>
    <sheet name="Correlation" sheetId="22" r:id="rId23"/>
    <sheet name="Correlation2" sheetId="25"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s>
  <definedNames>
    <definedName name="__FDS_HYPERLINK_TOGGLE_STATE__" hidden="1">"ON"</definedName>
    <definedName name="_DLX1">[1]Rates!#REF!</definedName>
    <definedName name="_DLX1.INC">'[2]Car Air'!#REF!</definedName>
    <definedName name="_DLX10.INC">'[3]US&amp;Europe'!#REF!</definedName>
    <definedName name="_DLX10_INC">#REF!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INC">#REF!</definedName>
    <definedName name="_DLX5_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0" hidden="1">{#N/A,#N/A,FALSE,"One Pager";#N/A,#N/A,FALSE,"Technical"}</definedName>
    <definedName name="_wrn111" hidden="1">{#N/A,#N/A,FALSE,"One Pager";#N/A,#N/A,FALSE,"Technical"}</definedName>
    <definedName name="_wrn2" localSheetId="10" hidden="1">{#N/A,#N/A,TRUE,"Financials";#N/A,#N/A,TRUE,"Operating Statistics";#N/A,#N/A,TRUE,"Capex &amp; Depreciation";#N/A,#N/A,TRUE,"Debt"}</definedName>
    <definedName name="_wrn2" hidden="1">{#N/A,#N/A,TRUE,"Financials";#N/A,#N/A,TRUE,"Operating Statistics";#N/A,#N/A,TRUE,"Capex &amp; Depreciation";#N/A,#N/A,TRUE,"Debt"}</definedName>
    <definedName name="_wrn3" localSheetId="10"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0"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0"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0" hidden="1">{#N/A,#N/A,FALSE,"One Pager";#N/A,#N/A,FALSE,"Technical"}</definedName>
    <definedName name="wrn.One._.Pager._.plus._.Technicals." hidden="1">{#N/A,#N/A,FALSE,"One Pager";#N/A,#N/A,FALSE,"Technical"}</definedName>
    <definedName name="wrn1.all" localSheetId="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0" l="1"/>
  <c r="C4" i="10"/>
  <c r="A4" i="47" a="1"/>
  <c r="A4" i="47" s="1"/>
  <c r="A4" i="48" a="1"/>
  <c r="A4" i="48" s="1"/>
  <c r="I2" i="2"/>
  <c r="B25" i="49"/>
  <c r="AT5" i="49"/>
  <c r="AS5" i="49"/>
  <c r="AR5" i="49"/>
  <c r="AQ5" i="49"/>
  <c r="AP5" i="49"/>
  <c r="AO5" i="49"/>
  <c r="AN5" i="49"/>
  <c r="AM5" i="49"/>
  <c r="AL5" i="49"/>
  <c r="AK5" i="49"/>
  <c r="AJ5" i="49"/>
  <c r="AI5" i="49"/>
  <c r="AH5" i="49"/>
  <c r="AG5" i="49"/>
  <c r="AF5" i="49"/>
  <c r="AE5" i="49"/>
  <c r="AD5" i="49"/>
  <c r="AC5" i="49"/>
  <c r="AB5" i="49"/>
  <c r="AA5" i="49"/>
  <c r="Z5" i="49"/>
  <c r="Y5" i="49"/>
  <c r="X5" i="49"/>
  <c r="W5" i="49"/>
  <c r="V5" i="49"/>
  <c r="U5" i="49"/>
  <c r="T5" i="49"/>
  <c r="S5" i="49"/>
  <c r="R5" i="49"/>
  <c r="Q5" i="49"/>
  <c r="P5" i="49"/>
  <c r="O5" i="49"/>
  <c r="N5" i="49"/>
  <c r="M5" i="49"/>
  <c r="L5" i="49"/>
  <c r="K5" i="49"/>
  <c r="J5" i="49"/>
  <c r="I5" i="49"/>
  <c r="H5" i="49"/>
  <c r="G5" i="49"/>
  <c r="F5" i="49"/>
  <c r="E5" i="49"/>
  <c r="D5" i="49"/>
  <c r="C5" i="49"/>
  <c r="B5" i="49"/>
  <c r="AT3" i="49"/>
  <c r="AS3" i="49"/>
  <c r="AS4" i="49" s="1"/>
  <c r="AR3" i="49"/>
  <c r="AQ3" i="49"/>
  <c r="AP3" i="49"/>
  <c r="AO3" i="49"/>
  <c r="AN3" i="49"/>
  <c r="AM3" i="49"/>
  <c r="AL3" i="49"/>
  <c r="AK3" i="49"/>
  <c r="AJ3" i="49"/>
  <c r="AI3" i="49"/>
  <c r="AH3" i="49"/>
  <c r="AG3" i="49"/>
  <c r="AF3" i="49"/>
  <c r="AE3" i="49"/>
  <c r="AD3" i="49"/>
  <c r="AC3" i="49"/>
  <c r="AB3" i="49"/>
  <c r="AA3" i="49"/>
  <c r="Z3" i="49"/>
  <c r="Y3" i="49"/>
  <c r="X3" i="49"/>
  <c r="W3" i="49"/>
  <c r="V3" i="49"/>
  <c r="U3" i="49"/>
  <c r="T3" i="49"/>
  <c r="S3" i="49"/>
  <c r="R3" i="49"/>
  <c r="Q3" i="49"/>
  <c r="P3" i="49"/>
  <c r="O3" i="49"/>
  <c r="N3" i="49"/>
  <c r="M3" i="49"/>
  <c r="L3" i="49"/>
  <c r="K3" i="49"/>
  <c r="J3" i="49"/>
  <c r="I3" i="49"/>
  <c r="H3" i="49"/>
  <c r="G3" i="49"/>
  <c r="F3" i="49"/>
  <c r="E3" i="49"/>
  <c r="D3" i="49"/>
  <c r="C3" i="49"/>
  <c r="B3" i="49"/>
  <c r="B1" i="47"/>
  <c r="B2" i="47"/>
  <c r="AD14"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B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7" i="51"/>
  <c r="C5" i="51"/>
  <c r="I3" i="2" s="1" a="1"/>
  <c r="I3" i="2" s="1"/>
  <c r="M33" i="2"/>
  <c r="D33" i="2" s="1"/>
  <c r="M34" i="2"/>
  <c r="D34" i="2" s="1"/>
  <c r="M35" i="2"/>
  <c r="D35" i="2" s="1"/>
  <c r="M36" i="2"/>
  <c r="D36" i="2" s="1"/>
  <c r="M37" i="2"/>
  <c r="D37" i="2" s="1"/>
  <c r="M38" i="2"/>
  <c r="D38" i="2" s="1"/>
  <c r="M39" i="2"/>
  <c r="D39" i="2" s="1"/>
  <c r="M40" i="2"/>
  <c r="D40" i="2" s="1"/>
  <c r="M41" i="2"/>
  <c r="D41" i="2" s="1"/>
  <c r="M42" i="2"/>
  <c r="D42" i="2" s="1"/>
  <c r="M43" i="2"/>
  <c r="D43" i="2" s="1"/>
  <c r="M44" i="2"/>
  <c r="D44" i="2" s="1"/>
  <c r="M45" i="2"/>
  <c r="D45" i="2" s="1"/>
  <c r="M46" i="2"/>
  <c r="D46" i="2" s="1"/>
  <c r="M47" i="2"/>
  <c r="D47" i="2" s="1"/>
  <c r="M48" i="2"/>
  <c r="D48" i="2" s="1"/>
  <c r="B23" i="49"/>
  <c r="B1" i="48"/>
  <c r="AA14" i="48" s="1"/>
  <c r="L48" i="2"/>
  <c r="C48" i="2" s="1"/>
  <c r="B23" i="46"/>
  <c r="R3" i="2"/>
  <c r="L7" i="23"/>
  <c r="L6" i="23"/>
  <c r="L5" i="23"/>
  <c r="L4" i="23"/>
  <c r="L3" i="23"/>
  <c r="L2" i="23"/>
  <c r="Z7" i="47" l="1"/>
  <c r="AA7" i="47"/>
  <c r="F14" i="47"/>
  <c r="G14" i="47"/>
  <c r="R14" i="47"/>
  <c r="AL7" i="47"/>
  <c r="AM7" i="47"/>
  <c r="S14" i="47"/>
  <c r="AN14" i="47"/>
  <c r="E7" i="47"/>
  <c r="AE14" i="47"/>
  <c r="N7" i="47"/>
  <c r="AP14" i="47"/>
  <c r="O7" i="47"/>
  <c r="AQ14" i="47"/>
  <c r="M7" i="47"/>
  <c r="Y7" i="47"/>
  <c r="AK7" i="47"/>
  <c r="AW7" i="47"/>
  <c r="Q14" i="47"/>
  <c r="AC14" i="47"/>
  <c r="AO14" i="47"/>
  <c r="I7" i="48"/>
  <c r="U7" i="48"/>
  <c r="AG7" i="48"/>
  <c r="P14" i="48"/>
  <c r="AB14" i="48"/>
  <c r="J7" i="48"/>
  <c r="V7" i="48"/>
  <c r="AH7" i="48"/>
  <c r="Q14" i="48"/>
  <c r="AC14" i="48"/>
  <c r="K7" i="48"/>
  <c r="W7" i="48"/>
  <c r="F14" i="48"/>
  <c r="R14" i="48"/>
  <c r="AD14" i="48"/>
  <c r="E14" i="47"/>
  <c r="P7" i="47"/>
  <c r="AB7" i="47"/>
  <c r="AN7" i="47"/>
  <c r="H14" i="47"/>
  <c r="T14" i="47"/>
  <c r="AF14" i="47"/>
  <c r="AR14" i="47"/>
  <c r="L7" i="48"/>
  <c r="X7" i="48"/>
  <c r="G14" i="48"/>
  <c r="S14" i="48"/>
  <c r="AE14" i="48"/>
  <c r="E14" i="48"/>
  <c r="Q7" i="47"/>
  <c r="AC7" i="47"/>
  <c r="AO7" i="47"/>
  <c r="I14" i="47"/>
  <c r="U14" i="47"/>
  <c r="AG14" i="47"/>
  <c r="AS14" i="47"/>
  <c r="M7" i="48"/>
  <c r="Y7" i="48"/>
  <c r="H14" i="48"/>
  <c r="T14" i="48"/>
  <c r="AF14" i="48"/>
  <c r="E7" i="48"/>
  <c r="F7" i="47"/>
  <c r="R7" i="47"/>
  <c r="AD7" i="47"/>
  <c r="AP7" i="47"/>
  <c r="J14" i="47"/>
  <c r="V14" i="47"/>
  <c r="AH14" i="47"/>
  <c r="AT14" i="47"/>
  <c r="N7" i="48"/>
  <c r="Z7" i="48"/>
  <c r="I14" i="48"/>
  <c r="AG14" i="48"/>
  <c r="U14" i="48"/>
  <c r="G7" i="47"/>
  <c r="S7" i="47"/>
  <c r="AE7" i="47"/>
  <c r="AQ7" i="47"/>
  <c r="K14" i="47"/>
  <c r="W14" i="47"/>
  <c r="AI14" i="47"/>
  <c r="AU14" i="47"/>
  <c r="O7" i="48"/>
  <c r="AA7" i="48"/>
  <c r="J14" i="48"/>
  <c r="V14" i="48"/>
  <c r="AH14" i="48"/>
  <c r="H7" i="47"/>
  <c r="T7" i="47"/>
  <c r="AF7" i="47"/>
  <c r="AR7" i="47"/>
  <c r="L14" i="47"/>
  <c r="X14" i="47"/>
  <c r="AJ14" i="47"/>
  <c r="AV14" i="47"/>
  <c r="P7" i="48"/>
  <c r="AB7" i="48"/>
  <c r="K14" i="48"/>
  <c r="W14" i="48"/>
  <c r="I7" i="47"/>
  <c r="U7" i="47"/>
  <c r="AG7" i="47"/>
  <c r="AS7" i="47"/>
  <c r="M14" i="47"/>
  <c r="Y14" i="47"/>
  <c r="AK14" i="47"/>
  <c r="AW14" i="47"/>
  <c r="Q7" i="48"/>
  <c r="AC7" i="48"/>
  <c r="L14" i="48"/>
  <c r="X14" i="48"/>
  <c r="J7" i="47"/>
  <c r="V7" i="47"/>
  <c r="AH7" i="47"/>
  <c r="AT7" i="47"/>
  <c r="N14" i="47"/>
  <c r="Z14" i="47"/>
  <c r="AL14" i="47"/>
  <c r="F7" i="48"/>
  <c r="R7" i="48"/>
  <c r="AD7" i="48"/>
  <c r="M14" i="48"/>
  <c r="Y14" i="48"/>
  <c r="K7" i="47"/>
  <c r="W7" i="47"/>
  <c r="AI7" i="47"/>
  <c r="AU7" i="47"/>
  <c r="O14" i="47"/>
  <c r="AA14" i="47"/>
  <c r="AM14" i="47"/>
  <c r="G7" i="48"/>
  <c r="S7" i="48"/>
  <c r="AE7" i="48"/>
  <c r="N14" i="48"/>
  <c r="Z14" i="48"/>
  <c r="L7" i="47"/>
  <c r="X7" i="47"/>
  <c r="AJ7" i="47"/>
  <c r="AV7" i="47"/>
  <c r="P14" i="47"/>
  <c r="AB14" i="47"/>
  <c r="H7" i="48"/>
  <c r="T7" i="48"/>
  <c r="AF7" i="48"/>
  <c r="O14" i="48"/>
  <c r="AS6" i="49"/>
  <c r="AT4" i="49"/>
  <c r="AH4" i="49"/>
  <c r="AK4" i="49"/>
  <c r="AL4" i="49"/>
  <c r="AM4" i="49"/>
  <c r="AN4" i="49"/>
  <c r="AJ4" i="49"/>
  <c r="AP4" i="49"/>
  <c r="AQ4" i="49"/>
  <c r="AI4" i="49"/>
  <c r="AO4" i="49"/>
  <c r="AF4" i="49"/>
  <c r="AR4" i="49"/>
  <c r="AG4" i="49"/>
  <c r="E4" i="45"/>
  <c r="D4" i="45"/>
  <c r="AS7" i="49" l="1"/>
  <c r="AS8" i="49" s="1"/>
  <c r="B17" i="46"/>
  <c r="B18" i="46" s="1"/>
  <c r="E30" i="47" s="1"/>
  <c r="AL6" i="49"/>
  <c r="AF6" i="49"/>
  <c r="AF7" i="49" s="1"/>
  <c r="AF8" i="49" s="1"/>
  <c r="AM6" i="49"/>
  <c r="AH6" i="49"/>
  <c r="AG6" i="49"/>
  <c r="AT6" i="49"/>
  <c r="AN6" i="49"/>
  <c r="AK6" i="49"/>
  <c r="AR6" i="49"/>
  <c r="AO6" i="49"/>
  <c r="AQ6" i="49"/>
  <c r="AP6" i="49"/>
  <c r="AP7" i="49" s="1"/>
  <c r="AP8" i="49" s="1"/>
  <c r="AI6" i="49"/>
  <c r="AJ6" i="49"/>
  <c r="E5" i="45"/>
  <c r="D5" i="45"/>
  <c r="R4" i="2"/>
  <c r="P4" i="2" s="1"/>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7" i="23" s="1"/>
  <c r="C7" i="23" s="1"/>
  <c r="D7" i="23" s="1"/>
  <c r="E7" i="23" s="1"/>
  <c r="F7" i="23" s="1"/>
  <c r="G7" i="23" s="1"/>
  <c r="H7" i="23" s="1"/>
  <c r="I7" i="23" s="1"/>
  <c r="J7" i="23" s="1"/>
  <c r="K7" i="23" s="1"/>
  <c r="B6" i="38"/>
  <c r="B6" i="23" s="1"/>
  <c r="C6" i="23" s="1"/>
  <c r="D6" i="23" s="1"/>
  <c r="E6" i="23" s="1"/>
  <c r="F6" i="23" s="1"/>
  <c r="G6" i="23" s="1"/>
  <c r="H6" i="23" s="1"/>
  <c r="I6" i="23" s="1"/>
  <c r="J6" i="23" s="1"/>
  <c r="K6" i="23" s="1"/>
  <c r="B5" i="38"/>
  <c r="B5" i="23" s="1"/>
  <c r="C5" i="23" s="1"/>
  <c r="D5" i="23" s="1"/>
  <c r="E5" i="23" s="1"/>
  <c r="F5" i="23" s="1"/>
  <c r="G5" i="23" s="1"/>
  <c r="H5" i="23" s="1"/>
  <c r="I5" i="23" s="1"/>
  <c r="J5" i="23" s="1"/>
  <c r="K5" i="23" s="1"/>
  <c r="B4" i="38"/>
  <c r="B4" i="23" s="1"/>
  <c r="C4" i="23" s="1"/>
  <c r="D4" i="23" s="1"/>
  <c r="E4" i="23" s="1"/>
  <c r="F4" i="23" s="1"/>
  <c r="G4" i="23" s="1"/>
  <c r="H4" i="23" s="1"/>
  <c r="I4" i="23" s="1"/>
  <c r="J4" i="23" s="1"/>
  <c r="K4" i="23" s="1"/>
  <c r="B3" i="38"/>
  <c r="B3" i="23" s="1"/>
  <c r="C3" i="23" s="1"/>
  <c r="D3" i="23" s="1"/>
  <c r="E3" i="23" s="1"/>
  <c r="F3" i="23" s="1"/>
  <c r="G3" i="23" s="1"/>
  <c r="H3" i="23" s="1"/>
  <c r="I3" i="23" s="1"/>
  <c r="J3" i="23" s="1"/>
  <c r="K3" i="23" s="1"/>
  <c r="B2" i="38"/>
  <c r="B2" i="23" s="1"/>
  <c r="C2" i="23" s="1"/>
  <c r="D2" i="23" s="1"/>
  <c r="E2" i="23" s="1"/>
  <c r="F2" i="23" s="1"/>
  <c r="G2" i="23" s="1"/>
  <c r="H2" i="23" s="1"/>
  <c r="I2" i="23" s="1"/>
  <c r="J2" i="23" s="1"/>
  <c r="K2" i="23" s="1"/>
  <c r="J54" i="18"/>
  <c r="K54" i="18"/>
  <c r="L54" i="18"/>
  <c r="M54" i="18"/>
  <c r="N54" i="18"/>
  <c r="O54" i="18"/>
  <c r="P54" i="18"/>
  <c r="Q54" i="18"/>
  <c r="R54" i="18"/>
  <c r="S54" i="18"/>
  <c r="I46" i="18"/>
  <c r="H46" i="18"/>
  <c r="E3" i="8"/>
  <c r="G78" i="8"/>
  <c r="G77" i="8"/>
  <c r="G76" i="8"/>
  <c r="G75" i="8"/>
  <c r="G74" i="8"/>
  <c r="G73" i="8"/>
  <c r="G72" i="8"/>
  <c r="G71" i="8"/>
  <c r="G70" i="8"/>
  <c r="G69" i="8"/>
  <c r="G68" i="8"/>
  <c r="G67" i="8"/>
  <c r="G66" i="8"/>
  <c r="G65" i="8"/>
  <c r="G64" i="8"/>
  <c r="G63" i="8"/>
  <c r="G62" i="8"/>
  <c r="G61" i="8"/>
  <c r="G60" i="8"/>
  <c r="G59" i="8"/>
  <c r="G58" i="8"/>
  <c r="G57" i="8"/>
  <c r="G56" i="8"/>
  <c r="G55" i="8"/>
  <c r="G54" i="8"/>
  <c r="G53" i="8"/>
  <c r="G52" i="8"/>
  <c r="G51" i="8"/>
  <c r="G50" i="8"/>
  <c r="G49" i="8"/>
  <c r="G4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S4" i="2" s="1"/>
  <c r="Q4" i="2" s="1"/>
  <c r="G18" i="8"/>
  <c r="S3" i="2" s="1"/>
  <c r="G17" i="8"/>
  <c r="G16" i="8"/>
  <c r="G15" i="8"/>
  <c r="G14" i="8"/>
  <c r="G13" i="8"/>
  <c r="G12" i="8"/>
  <c r="G11" i="8"/>
  <c r="G10" i="8"/>
  <c r="G9" i="8"/>
  <c r="G8" i="8"/>
  <c r="G7" i="8"/>
  <c r="G6" i="8"/>
  <c r="G5" i="8"/>
  <c r="G4" i="8"/>
  <c r="G3" i="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S30" i="47" l="1"/>
  <c r="U30" i="47"/>
  <c r="AC30" i="47"/>
  <c r="V30" i="47"/>
  <c r="B19" i="46"/>
  <c r="AN7" i="49"/>
  <c r="AN8" i="49" s="1"/>
  <c r="AT7" i="49"/>
  <c r="AT8" i="49" s="1"/>
  <c r="AG7" i="49"/>
  <c r="AG8" i="49" s="1"/>
  <c r="AH7" i="49"/>
  <c r="AH8" i="49" s="1"/>
  <c r="AJ7" i="49"/>
  <c r="AJ8" i="49" s="1"/>
  <c r="AM7" i="49"/>
  <c r="AM8" i="49" s="1"/>
  <c r="AI7" i="49"/>
  <c r="AI8" i="49" s="1"/>
  <c r="AK7" i="49"/>
  <c r="AK8" i="49" s="1"/>
  <c r="AL7" i="49"/>
  <c r="AL8" i="49" s="1"/>
  <c r="AQ7" i="49"/>
  <c r="AQ8" i="49" s="1"/>
  <c r="AA30" i="47"/>
  <c r="AO7" i="49"/>
  <c r="AO8" i="49" s="1"/>
  <c r="M30" i="47"/>
  <c r="AR7" i="49"/>
  <c r="AR8" i="49" s="1"/>
  <c r="G30" i="47"/>
  <c r="O30" i="47"/>
  <c r="W30" i="47"/>
  <c r="N30" i="47"/>
  <c r="H30" i="47"/>
  <c r="Y30" i="47"/>
  <c r="F30" i="47"/>
  <c r="J30" i="47"/>
  <c r="Z30" i="47"/>
  <c r="R30" i="47"/>
  <c r="K30" i="47"/>
  <c r="F7" i="43"/>
  <c r="P30" i="47"/>
  <c r="L30" i="47"/>
  <c r="X30" i="47"/>
  <c r="T30" i="47"/>
  <c r="I30" i="47"/>
  <c r="AB30" i="47"/>
  <c r="Q30" i="47"/>
  <c r="C4" i="43"/>
  <c r="E7" i="43" s="1"/>
  <c r="D6" i="45"/>
  <c r="R5" i="2"/>
  <c r="P5" i="2" s="1"/>
  <c r="E6" i="45"/>
  <c r="S5" i="2"/>
  <c r="Q5" i="2" s="1"/>
  <c r="N4" i="2"/>
  <c r="O4" i="2"/>
  <c r="O96" i="8"/>
  <c r="P60" i="8"/>
  <c r="P100" i="8"/>
  <c r="O85" i="8"/>
  <c r="P101" i="8"/>
  <c r="P18" i="8"/>
  <c r="P84" i="8"/>
  <c r="O19" i="8"/>
  <c r="O37" i="8"/>
  <c r="O55" i="8"/>
  <c r="O73" i="8"/>
  <c r="O91" i="8"/>
  <c r="P7" i="8"/>
  <c r="P13" i="8"/>
  <c r="P19" i="8"/>
  <c r="P25" i="8"/>
  <c r="P31" i="8"/>
  <c r="Q31" i="8" s="1"/>
  <c r="P37" i="8"/>
  <c r="P43" i="8"/>
  <c r="P49" i="8"/>
  <c r="P55" i="8"/>
  <c r="P61" i="8"/>
  <c r="P67" i="8"/>
  <c r="P73" i="8"/>
  <c r="Q73" i="8" s="1"/>
  <c r="P79" i="8"/>
  <c r="P85" i="8"/>
  <c r="P91" i="8"/>
  <c r="P97" i="8"/>
  <c r="P42" i="8"/>
  <c r="O13" i="8"/>
  <c r="O31" i="8"/>
  <c r="O49" i="8"/>
  <c r="O67" i="8"/>
  <c r="O79" i="8"/>
  <c r="O97" i="8"/>
  <c r="O8" i="8"/>
  <c r="O14" i="8"/>
  <c r="O20" i="8"/>
  <c r="O26" i="8"/>
  <c r="Q26" i="8" s="1"/>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P48" i="8"/>
  <c r="P26" i="8"/>
  <c r="P44" i="8"/>
  <c r="P62" i="8"/>
  <c r="P74" i="8"/>
  <c r="Q74" i="8" s="1"/>
  <c r="P86" i="8"/>
  <c r="Q86" i="8" s="1"/>
  <c r="P98" i="8"/>
  <c r="P3" i="8"/>
  <c r="P9" i="8"/>
  <c r="P15" i="8"/>
  <c r="Q15" i="8" s="1"/>
  <c r="P21" i="8"/>
  <c r="P27" i="8"/>
  <c r="P33" i="8"/>
  <c r="P39" i="8"/>
  <c r="P45" i="8"/>
  <c r="P51" i="8"/>
  <c r="P57" i="8"/>
  <c r="Q57" i="8" s="1"/>
  <c r="P63" i="8"/>
  <c r="Q63" i="8" s="1"/>
  <c r="P69" i="8"/>
  <c r="P75" i="8"/>
  <c r="P81" i="8"/>
  <c r="P87" i="8"/>
  <c r="Q87" i="8" s="1"/>
  <c r="P93" i="8"/>
  <c r="P99" i="8"/>
  <c r="P54" i="8"/>
  <c r="O10" i="8"/>
  <c r="O34" i="8"/>
  <c r="O52" i="8"/>
  <c r="O70" i="8"/>
  <c r="Q70" i="8" s="1"/>
  <c r="O94" i="8"/>
  <c r="P36" i="8"/>
  <c r="O4" i="8"/>
  <c r="O22" i="8"/>
  <c r="O40" i="8"/>
  <c r="O46" i="8"/>
  <c r="O64" i="8"/>
  <c r="O76" i="8"/>
  <c r="O82" i="8"/>
  <c r="O88" i="8"/>
  <c r="O100" i="8"/>
  <c r="P4" i="8"/>
  <c r="P10" i="8"/>
  <c r="Q10" i="8" s="1"/>
  <c r="P16" i="8"/>
  <c r="P22" i="8"/>
  <c r="P28" i="8"/>
  <c r="P34" i="8"/>
  <c r="P40" i="8"/>
  <c r="P46" i="8"/>
  <c r="P52" i="8"/>
  <c r="P58" i="8"/>
  <c r="P64" i="8"/>
  <c r="P70" i="8"/>
  <c r="P76" i="8"/>
  <c r="P82" i="8"/>
  <c r="Q82" i="8" s="1"/>
  <c r="P88" i="8"/>
  <c r="Q88" i="8" s="1"/>
  <c r="P94" i="8"/>
  <c r="P30" i="8"/>
  <c r="P90" i="8"/>
  <c r="O16" i="8"/>
  <c r="O28" i="8"/>
  <c r="O58" i="8"/>
  <c r="O5" i="8"/>
  <c r="O11" i="8"/>
  <c r="O17" i="8"/>
  <c r="O23" i="8"/>
  <c r="Q23" i="8" s="1"/>
  <c r="O29" i="8"/>
  <c r="O35" i="8"/>
  <c r="O41" i="8"/>
  <c r="O47" i="8"/>
  <c r="O53" i="8"/>
  <c r="O59" i="8"/>
  <c r="O65" i="8"/>
  <c r="O71" i="8"/>
  <c r="O77" i="8"/>
  <c r="O83" i="8"/>
  <c r="O89" i="8"/>
  <c r="O95" i="8"/>
  <c r="Q95" i="8" s="1"/>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Q6" i="8" s="1"/>
  <c r="O12" i="8"/>
  <c r="Q12" i="8" s="1"/>
  <c r="O18" i="8"/>
  <c r="O24" i="8"/>
  <c r="O30" i="8"/>
  <c r="Q30" i="8" s="1"/>
  <c r="O36" i="8"/>
  <c r="Q36" i="8" s="1"/>
  <c r="O42" i="8"/>
  <c r="O48" i="8"/>
  <c r="O54" i="8"/>
  <c r="O60" i="8"/>
  <c r="Q60" i="8" s="1"/>
  <c r="O66" i="8"/>
  <c r="O72" i="8"/>
  <c r="O78" i="8"/>
  <c r="Q78" i="8" s="1"/>
  <c r="O84" i="8"/>
  <c r="Q84" i="8" s="1"/>
  <c r="O90" i="8"/>
  <c r="O7" i="8"/>
  <c r="Q7" i="8" s="1"/>
  <c r="O25" i="8"/>
  <c r="O43" i="8"/>
  <c r="Q43" i="8" s="1"/>
  <c r="O61" i="8"/>
  <c r="F48" i="2"/>
  <c r="F41" i="2"/>
  <c r="F37" i="2"/>
  <c r="F45" i="2"/>
  <c r="F38" i="2"/>
  <c r="F46" i="2"/>
  <c r="F39" i="2"/>
  <c r="F47" i="2"/>
  <c r="F33" i="2"/>
  <c r="F34" i="2"/>
  <c r="F42" i="2"/>
  <c r="F35" i="2"/>
  <c r="F43" i="2"/>
  <c r="F36" i="2"/>
  <c r="F44" i="2"/>
  <c r="Q27" i="8"/>
  <c r="Q8" i="8"/>
  <c r="Q80" i="8"/>
  <c r="Q50" i="8"/>
  <c r="Q100" i="8" l="1"/>
  <c r="Q54" i="8"/>
  <c r="Q81" i="8"/>
  <c r="Q4" i="8"/>
  <c r="Q41" i="8"/>
  <c r="Q75" i="8"/>
  <c r="Q18" i="8"/>
  <c r="Q46" i="8"/>
  <c r="Q37" i="8"/>
  <c r="Q52" i="8"/>
  <c r="Q45" i="8"/>
  <c r="Q33" i="8"/>
  <c r="Q89" i="8"/>
  <c r="Q62" i="8"/>
  <c r="Q71" i="8"/>
  <c r="Q58" i="8"/>
  <c r="Q39" i="8"/>
  <c r="Q67" i="8"/>
  <c r="N5" i="2"/>
  <c r="Q72" i="8"/>
  <c r="Q96" i="8"/>
  <c r="Q35" i="8"/>
  <c r="O5" i="2"/>
  <c r="Q66" i="8"/>
  <c r="Q79" i="8"/>
  <c r="Q69" i="8"/>
  <c r="Q16" i="8"/>
  <c r="E7" i="45"/>
  <c r="S6" i="2"/>
  <c r="Q6" i="2" s="1"/>
  <c r="Q34" i="8"/>
  <c r="Q42" i="8"/>
  <c r="Q77" i="8"/>
  <c r="Q5" i="8"/>
  <c r="Q3" i="8"/>
  <c r="Q13" i="8"/>
  <c r="D7" i="45"/>
  <c r="R6" i="2"/>
  <c r="P6" i="2" s="1"/>
  <c r="Q32" i="8"/>
  <c r="Q19" i="8"/>
  <c r="Q53" i="8"/>
  <c r="Q90" i="8"/>
  <c r="Q93" i="8"/>
  <c r="Q99" i="8"/>
  <c r="Q55" i="8"/>
  <c r="Q14" i="8"/>
  <c r="Q64" i="8"/>
  <c r="Q94" i="8"/>
  <c r="Q44" i="8"/>
  <c r="Q98" i="8"/>
  <c r="Q48" i="8"/>
  <c r="Q40" i="8"/>
  <c r="Q68" i="8"/>
  <c r="Q61" i="8"/>
  <c r="T7" i="8" s="1"/>
  <c r="Q28" i="8"/>
  <c r="Q22" i="8"/>
  <c r="Q9" i="8"/>
  <c r="Q59" i="8"/>
  <c r="Q21" i="8"/>
  <c r="Q97" i="8"/>
  <c r="Q91" i="8"/>
  <c r="Q85" i="8"/>
  <c r="Q17" i="8"/>
  <c r="Q76" i="8"/>
  <c r="Q51" i="8"/>
  <c r="Q24" i="8"/>
  <c r="T6" i="8" s="1"/>
  <c r="Q101" i="8"/>
  <c r="T3" i="8"/>
  <c r="D3" i="8" s="1"/>
  <c r="Q49" i="8"/>
  <c r="Q25" i="8"/>
  <c r="T9" i="8"/>
  <c r="D37" i="8" s="1"/>
  <c r="T10" i="8"/>
  <c r="T5" i="8"/>
  <c r="T4" i="8"/>
  <c r="T11" i="8"/>
  <c r="T8" i="8"/>
  <c r="N6" i="2" l="1"/>
  <c r="E8" i="45"/>
  <c r="S7" i="2"/>
  <c r="Q7" i="2" s="1"/>
  <c r="D8" i="45"/>
  <c r="R7" i="2"/>
  <c r="P7" i="2" s="1"/>
  <c r="O6" i="2"/>
  <c r="O7" i="2" s="1"/>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33" i="8"/>
  <c r="D34" i="8"/>
  <c r="D35" i="8"/>
  <c r="D36" i="8"/>
  <c r="D48" i="8"/>
  <c r="D47" i="8"/>
  <c r="D46" i="8"/>
  <c r="D45" i="8"/>
  <c r="D44" i="8"/>
  <c r="D43" i="8"/>
  <c r="D8" i="8"/>
  <c r="D12" i="8"/>
  <c r="D11" i="8"/>
  <c r="D10" i="8"/>
  <c r="D9" i="8"/>
  <c r="D32" i="8"/>
  <c r="D31" i="8"/>
  <c r="D30" i="8"/>
  <c r="D29" i="8"/>
  <c r="D28" i="8"/>
  <c r="D40" i="8"/>
  <c r="D39" i="8"/>
  <c r="D38" i="8"/>
  <c r="D42" i="8"/>
  <c r="D41" i="8"/>
  <c r="D7" i="8"/>
  <c r="D6" i="8"/>
  <c r="D5" i="8"/>
  <c r="D4" i="8"/>
  <c r="E4" i="8" s="1"/>
  <c r="D22" i="8"/>
  <c r="D21" i="8"/>
  <c r="D20" i="8"/>
  <c r="D19" i="8"/>
  <c r="D18" i="8"/>
  <c r="D16" i="8"/>
  <c r="D15" i="8"/>
  <c r="D14" i="8"/>
  <c r="D13" i="8"/>
  <c r="D17" i="8"/>
  <c r="D24" i="8"/>
  <c r="D23" i="8"/>
  <c r="D27" i="8"/>
  <c r="D26" i="8"/>
  <c r="D25" i="8"/>
  <c r="D9" i="45" l="1"/>
  <c r="R8" i="2"/>
  <c r="P8" i="2" s="1"/>
  <c r="E9" i="45"/>
  <c r="S8" i="2"/>
  <c r="Q8" i="2" s="1"/>
  <c r="N7" i="2"/>
  <c r="N8" i="2" s="1"/>
  <c r="E5" i="8"/>
  <c r="E10" i="45" l="1"/>
  <c r="S9" i="2"/>
  <c r="Q9" i="2" s="1"/>
  <c r="D10" i="45"/>
  <c r="R9" i="2"/>
  <c r="P9" i="2" s="1"/>
  <c r="O8" i="2"/>
  <c r="E6" i="8"/>
  <c r="E7" i="8" s="1"/>
  <c r="D11" i="45" l="1"/>
  <c r="R10" i="2"/>
  <c r="P10" i="2" s="1"/>
  <c r="E11" i="45"/>
  <c r="S10" i="2"/>
  <c r="Q10" i="2" s="1"/>
  <c r="N9" i="2"/>
  <c r="O9" i="2"/>
  <c r="E8" i="8"/>
  <c r="E9" i="8" s="1"/>
  <c r="O10" i="2" l="1"/>
  <c r="N10" i="2"/>
  <c r="E12" i="45"/>
  <c r="S11" i="2"/>
  <c r="Q11" i="2" s="1"/>
  <c r="D12" i="45"/>
  <c r="R11" i="2"/>
  <c r="P11" i="2" s="1"/>
  <c r="E10" i="8"/>
  <c r="E11" i="8" s="1"/>
  <c r="D13" i="45" l="1"/>
  <c r="R12" i="2"/>
  <c r="P12" i="2" s="1"/>
  <c r="O11" i="2"/>
  <c r="E13" i="45"/>
  <c r="S12" i="2"/>
  <c r="Q12" i="2" s="1"/>
  <c r="N11" i="2"/>
  <c r="E12" i="8"/>
  <c r="N12" i="2" l="1"/>
  <c r="E14" i="45"/>
  <c r="S13" i="2"/>
  <c r="Q13" i="2" s="1"/>
  <c r="D14" i="45"/>
  <c r="R13" i="2"/>
  <c r="P13" i="2" s="1"/>
  <c r="O12" i="2"/>
  <c r="E13" i="8"/>
  <c r="O13" i="2" l="1"/>
  <c r="E15" i="45"/>
  <c r="S14" i="2"/>
  <c r="Q14" i="2" s="1"/>
  <c r="N13" i="2"/>
  <c r="D15" i="45"/>
  <c r="R14" i="2"/>
  <c r="P14" i="2" s="1"/>
  <c r="E14" i="8"/>
  <c r="O14" i="2" l="1"/>
  <c r="E16" i="45"/>
  <c r="S15" i="2"/>
  <c r="Q15" i="2" s="1"/>
  <c r="D16" i="45"/>
  <c r="R15" i="2"/>
  <c r="P15" i="2" s="1"/>
  <c r="N14" i="2"/>
  <c r="N15" i="2" s="1"/>
  <c r="E15" i="8"/>
  <c r="E16" i="8" s="1"/>
  <c r="O15" i="2" l="1"/>
  <c r="D17" i="45"/>
  <c r="R16" i="2"/>
  <c r="P16" i="2" s="1"/>
  <c r="E17" i="45"/>
  <c r="S16" i="2"/>
  <c r="Q16" i="2" s="1"/>
  <c r="E17" i="8"/>
  <c r="E18" i="8" s="1"/>
  <c r="D18" i="45" l="1"/>
  <c r="R17" i="2"/>
  <c r="P17" i="2" s="1"/>
  <c r="O16" i="2"/>
  <c r="E18" i="45"/>
  <c r="S17" i="2"/>
  <c r="Q17" i="2" s="1"/>
  <c r="N16" i="2"/>
  <c r="E19" i="8"/>
  <c r="E19" i="45" l="1"/>
  <c r="S18" i="2"/>
  <c r="Q18" i="2" s="1"/>
  <c r="O17" i="2"/>
  <c r="D19" i="45"/>
  <c r="R18" i="2"/>
  <c r="P18" i="2" s="1"/>
  <c r="N17" i="2"/>
  <c r="N18" i="2" s="1"/>
  <c r="E20" i="8"/>
  <c r="D20" i="45" l="1"/>
  <c r="R19" i="2"/>
  <c r="P19" i="2" s="1"/>
  <c r="O18" i="2"/>
  <c r="E20" i="45"/>
  <c r="S19" i="2"/>
  <c r="Q19" i="2" s="1"/>
  <c r="E21" i="8"/>
  <c r="O19" i="2" l="1"/>
  <c r="E21" i="45"/>
  <c r="S20" i="2"/>
  <c r="Q20" i="2" s="1"/>
  <c r="D21" i="45"/>
  <c r="R20" i="2"/>
  <c r="P20" i="2" s="1"/>
  <c r="N19" i="2"/>
  <c r="N20" i="2" s="1"/>
  <c r="E22" i="8"/>
  <c r="E23" i="8" s="1"/>
  <c r="O20" i="2" l="1"/>
  <c r="D22" i="45"/>
  <c r="R21" i="2"/>
  <c r="P21" i="2" s="1"/>
  <c r="E22" i="45"/>
  <c r="S21" i="2"/>
  <c r="Q21" i="2" s="1"/>
  <c r="N21" i="2"/>
  <c r="E24" i="8"/>
  <c r="E25" i="8" s="1"/>
  <c r="E23" i="45" l="1"/>
  <c r="S22" i="2"/>
  <c r="Q22" i="2" s="1"/>
  <c r="O21" i="2"/>
  <c r="D23" i="45"/>
  <c r="R22" i="2"/>
  <c r="P22" i="2" s="1"/>
  <c r="E26" i="8"/>
  <c r="O22" i="2" l="1"/>
  <c r="N22" i="2"/>
  <c r="D24" i="45"/>
  <c r="R23" i="2"/>
  <c r="P23" i="2" s="1"/>
  <c r="E24" i="45"/>
  <c r="S23" i="2"/>
  <c r="O23" i="2" s="1"/>
  <c r="E27" i="8"/>
  <c r="E28" i="8" s="1"/>
  <c r="D25" i="45" l="1"/>
  <c r="R24" i="2"/>
  <c r="P24" i="2" s="1"/>
  <c r="N23" i="2"/>
  <c r="N24" i="2" s="1"/>
  <c r="Q23" i="2"/>
  <c r="E25" i="45"/>
  <c r="S24" i="2"/>
  <c r="O24" i="2" s="1"/>
  <c r="E29" i="8"/>
  <c r="E30" i="8" s="1"/>
  <c r="Q24" i="2" l="1"/>
  <c r="D26" i="45"/>
  <c r="R25" i="2"/>
  <c r="P25" i="2" s="1"/>
  <c r="E26" i="45"/>
  <c r="S25" i="2"/>
  <c r="O25" i="2" s="1"/>
  <c r="E31" i="8"/>
  <c r="E32" i="8" s="1"/>
  <c r="E33" i="8" s="1"/>
  <c r="D27" i="45" l="1"/>
  <c r="R26" i="2"/>
  <c r="P26" i="2" s="1"/>
  <c r="N25" i="2"/>
  <c r="E27" i="45"/>
  <c r="S26" i="2"/>
  <c r="O26" i="2" s="1"/>
  <c r="Q25" i="2"/>
  <c r="Q26" i="2" s="1"/>
  <c r="E34" i="8"/>
  <c r="E35" i="8" s="1"/>
  <c r="N26" i="2" l="1"/>
  <c r="E28" i="45"/>
  <c r="S27" i="2"/>
  <c r="O27" i="2" s="1"/>
  <c r="D28" i="45"/>
  <c r="R27" i="2"/>
  <c r="P27" i="2" s="1"/>
  <c r="E36" i="8"/>
  <c r="E29" i="45" l="1"/>
  <c r="S28" i="2"/>
  <c r="O28" i="2" s="1"/>
  <c r="N27" i="2"/>
  <c r="D29" i="45"/>
  <c r="R28" i="2"/>
  <c r="P28" i="2" s="1"/>
  <c r="Q27" i="2"/>
  <c r="Q28" i="2" s="1"/>
  <c r="E37" i="8"/>
  <c r="N28" i="2" l="1"/>
  <c r="D30" i="45"/>
  <c r="R29" i="2"/>
  <c r="P29" i="2" s="1"/>
  <c r="E30" i="45"/>
  <c r="S29" i="2"/>
  <c r="Q29" i="2" s="1"/>
  <c r="E38" i="8"/>
  <c r="N29" i="2" l="1"/>
  <c r="E31" i="45"/>
  <c r="S30" i="2"/>
  <c r="Q30" i="2" s="1"/>
  <c r="D31" i="45"/>
  <c r="R30" i="2"/>
  <c r="P30" i="2" s="1"/>
  <c r="O29" i="2"/>
  <c r="E39" i="8"/>
  <c r="O30" i="2" l="1"/>
  <c r="D32" i="45"/>
  <c r="R31" i="2"/>
  <c r="P31" i="2" s="1"/>
  <c r="E32" i="45"/>
  <c r="S31" i="2"/>
  <c r="Q31" i="2" s="1"/>
  <c r="N30" i="2"/>
  <c r="N31" i="2" s="1"/>
  <c r="E40" i="8"/>
  <c r="O31" i="2" l="1"/>
  <c r="D33" i="45"/>
  <c r="R32" i="2"/>
  <c r="P32" i="2" s="1"/>
  <c r="E33" i="45"/>
  <c r="S32" i="2"/>
  <c r="Q32" i="2" s="1"/>
  <c r="E41" i="8"/>
  <c r="E34" i="45" l="1"/>
  <c r="Q33" i="2"/>
  <c r="O33" i="2"/>
  <c r="S33" i="2"/>
  <c r="D34" i="45"/>
  <c r="R33" i="2"/>
  <c r="P33" i="2" s="1"/>
  <c r="N32" i="2"/>
  <c r="O32" i="2"/>
  <c r="E42" i="8"/>
  <c r="N33" i="2" l="1"/>
  <c r="E2" i="48" a="1"/>
  <c r="AE3" i="48" s="1"/>
  <c r="B2" i="49" a="1"/>
  <c r="D35" i="45"/>
  <c r="R34" i="2"/>
  <c r="P34" i="2" s="1"/>
  <c r="E35" i="45"/>
  <c r="O34" i="2"/>
  <c r="Q34" i="2"/>
  <c r="S34" i="2"/>
  <c r="E43" i="8"/>
  <c r="M3" i="48" l="1"/>
  <c r="S3" i="48"/>
  <c r="K3" i="48"/>
  <c r="AF3" i="48"/>
  <c r="AD3" i="48"/>
  <c r="H3" i="48"/>
  <c r="Z3" i="48"/>
  <c r="L3" i="48"/>
  <c r="N3" i="48"/>
  <c r="R3" i="48"/>
  <c r="O3" i="48"/>
  <c r="P3" i="48"/>
  <c r="U3" i="48"/>
  <c r="AA3" i="48"/>
  <c r="V3" i="48"/>
  <c r="W3" i="48"/>
  <c r="AB3" i="48"/>
  <c r="AG3" i="48"/>
  <c r="Y3" i="48"/>
  <c r="T3" i="48"/>
  <c r="AH3" i="48"/>
  <c r="Q3" i="48"/>
  <c r="I3" i="48"/>
  <c r="X3" i="48"/>
  <c r="AC3" i="48"/>
  <c r="J3" i="48"/>
  <c r="F3" i="48"/>
  <c r="E2" i="48"/>
  <c r="E3" i="48" s="1"/>
  <c r="G3" i="48"/>
  <c r="B2" i="49"/>
  <c r="L4" i="49"/>
  <c r="H4" i="49"/>
  <c r="T4" i="49"/>
  <c r="D4" i="49"/>
  <c r="F4" i="49"/>
  <c r="AA4" i="49"/>
  <c r="J4" i="49"/>
  <c r="V4" i="49"/>
  <c r="P4" i="49"/>
  <c r="C4" i="49"/>
  <c r="Q4" i="49"/>
  <c r="R4" i="49"/>
  <c r="Y4" i="49"/>
  <c r="E4" i="49"/>
  <c r="S4" i="49"/>
  <c r="AE4" i="49"/>
  <c r="O4" i="49"/>
  <c r="W4" i="49"/>
  <c r="G4" i="49"/>
  <c r="X4" i="49"/>
  <c r="I4" i="49"/>
  <c r="AB4" i="49"/>
  <c r="AD4" i="49"/>
  <c r="U4" i="49"/>
  <c r="K4" i="49"/>
  <c r="AC4" i="49"/>
  <c r="M4" i="49"/>
  <c r="N4" i="49"/>
  <c r="Z4" i="49"/>
  <c r="E36" i="45"/>
  <c r="O35" i="2"/>
  <c r="Q35" i="2"/>
  <c r="S35" i="2"/>
  <c r="D36" i="45"/>
  <c r="R35" i="2"/>
  <c r="P35" i="2" s="1"/>
  <c r="N34" i="2"/>
  <c r="E44" i="8"/>
  <c r="J4" i="48" l="1"/>
  <c r="G6" i="49"/>
  <c r="Z4" i="48"/>
  <c r="W6" i="49"/>
  <c r="AC4" i="48"/>
  <c r="Z6" i="49"/>
  <c r="W4" i="48"/>
  <c r="T6" i="49"/>
  <c r="T4" i="48"/>
  <c r="Q6" i="49"/>
  <c r="L4" i="48"/>
  <c r="I6" i="49"/>
  <c r="S4" i="48"/>
  <c r="P6" i="49"/>
  <c r="Y4" i="48"/>
  <c r="V6" i="49"/>
  <c r="M4" i="48"/>
  <c r="J6" i="49"/>
  <c r="AD4" i="48"/>
  <c r="AA6" i="49"/>
  <c r="R4" i="48"/>
  <c r="O6" i="49"/>
  <c r="I4" i="48"/>
  <c r="F6" i="49"/>
  <c r="Q4" i="48"/>
  <c r="N6" i="49"/>
  <c r="AH4" i="48"/>
  <c r="AE6" i="49"/>
  <c r="P4" i="48"/>
  <c r="M6" i="49"/>
  <c r="AF4" i="48"/>
  <c r="AC6" i="49"/>
  <c r="H4" i="48"/>
  <c r="E6" i="49"/>
  <c r="K4" i="48"/>
  <c r="H6" i="49"/>
  <c r="AG4" i="48"/>
  <c r="AD6" i="49"/>
  <c r="AE4" i="48"/>
  <c r="AB6" i="49"/>
  <c r="AA4" i="48"/>
  <c r="X6" i="49"/>
  <c r="G4" i="48"/>
  <c r="D6" i="49"/>
  <c r="N4" i="48"/>
  <c r="K6" i="49"/>
  <c r="AB4" i="48"/>
  <c r="Y6" i="49"/>
  <c r="O4" i="48"/>
  <c r="L6" i="49"/>
  <c r="F4" i="48"/>
  <c r="C6" i="49"/>
  <c r="V4" i="48"/>
  <c r="S6" i="49"/>
  <c r="X4" i="48"/>
  <c r="U6" i="49"/>
  <c r="U4" i="48"/>
  <c r="R6" i="49"/>
  <c r="B6" i="49"/>
  <c r="B4" i="49"/>
  <c r="E37" i="45"/>
  <c r="Q36" i="2"/>
  <c r="O36" i="2"/>
  <c r="S36" i="2"/>
  <c r="N35" i="2"/>
  <c r="D37" i="45"/>
  <c r="R36" i="2"/>
  <c r="P36" i="2" s="1"/>
  <c r="E45" i="8"/>
  <c r="B7" i="49" l="1"/>
  <c r="H7" i="49"/>
  <c r="H8" i="49" s="1"/>
  <c r="Y7" i="49"/>
  <c r="Y8" i="49" s="1"/>
  <c r="AC7" i="49"/>
  <c r="AC8" i="49" s="1"/>
  <c r="U7" i="49"/>
  <c r="U8" i="49" s="1"/>
  <c r="F7" i="49"/>
  <c r="F8" i="49" s="1"/>
  <c r="T7" i="49"/>
  <c r="T8" i="49" s="1"/>
  <c r="D7" i="49"/>
  <c r="D8" i="49" s="1"/>
  <c r="S7" i="49"/>
  <c r="S8" i="49" s="1"/>
  <c r="X7" i="49"/>
  <c r="X8" i="49" s="1"/>
  <c r="Z7" i="49"/>
  <c r="Z8" i="49" s="1"/>
  <c r="AB7" i="49"/>
  <c r="AB8" i="49" s="1"/>
  <c r="AE7" i="49"/>
  <c r="AE8" i="49" s="1"/>
  <c r="V7" i="49"/>
  <c r="V8" i="49" s="1"/>
  <c r="W7" i="49"/>
  <c r="W8" i="49" s="1"/>
  <c r="O7" i="49"/>
  <c r="O8" i="49" s="1"/>
  <c r="J7" i="49"/>
  <c r="J8" i="49" s="1"/>
  <c r="C7" i="49"/>
  <c r="C8" i="49" s="1"/>
  <c r="I7" i="49"/>
  <c r="I8" i="49" s="1"/>
  <c r="R7" i="49"/>
  <c r="R8" i="49" s="1"/>
  <c r="K7" i="49"/>
  <c r="K8" i="49" s="1"/>
  <c r="E7" i="49"/>
  <c r="E8" i="49" s="1"/>
  <c r="Q7" i="49"/>
  <c r="Q8" i="49" s="1"/>
  <c r="AA7" i="49"/>
  <c r="AA8" i="49" s="1"/>
  <c r="M7" i="49"/>
  <c r="M8" i="49" s="1"/>
  <c r="L7" i="49"/>
  <c r="L8" i="49" s="1"/>
  <c r="AD7" i="49"/>
  <c r="AD8" i="49" s="1"/>
  <c r="N7" i="49"/>
  <c r="N8" i="49" s="1"/>
  <c r="P7" i="49"/>
  <c r="P8" i="49" s="1"/>
  <c r="G7" i="49"/>
  <c r="G8" i="49" s="1"/>
  <c r="N36" i="2"/>
  <c r="E4" i="48"/>
  <c r="B8" i="49"/>
  <c r="E38" i="45"/>
  <c r="O37" i="2"/>
  <c r="Q37" i="2"/>
  <c r="S37" i="2"/>
  <c r="D38" i="45"/>
  <c r="R37" i="2"/>
  <c r="P37" i="2" s="1"/>
  <c r="E46" i="8"/>
  <c r="E47" i="8" s="1"/>
  <c r="B12" i="49" l="1"/>
  <c r="B13" i="49" s="1"/>
  <c r="B14" i="49" s="1"/>
  <c r="AB22" i="48" s="1"/>
  <c r="AB24" i="48" s="1"/>
  <c r="H22" i="48"/>
  <c r="H24" i="48" s="1"/>
  <c r="F22" i="48"/>
  <c r="F24" i="48" s="1"/>
  <c r="Q22" i="48"/>
  <c r="Q24" i="48" s="1"/>
  <c r="Z22" i="48"/>
  <c r="Z24" i="48" s="1"/>
  <c r="N22" i="48"/>
  <c r="N24" i="48" s="1"/>
  <c r="G22" i="48"/>
  <c r="G24" i="48" s="1"/>
  <c r="AC22" i="48"/>
  <c r="AC24" i="48" s="1"/>
  <c r="Y22" i="48"/>
  <c r="Y24" i="48" s="1"/>
  <c r="M22" i="48"/>
  <c r="M24" i="48" s="1"/>
  <c r="X22" i="48"/>
  <c r="X24" i="48" s="1"/>
  <c r="L22" i="48"/>
  <c r="L24" i="48" s="1"/>
  <c r="K22" i="48"/>
  <c r="K24" i="48" s="1"/>
  <c r="T22" i="48"/>
  <c r="T24" i="48" s="1"/>
  <c r="V22" i="48"/>
  <c r="V24" i="48" s="1"/>
  <c r="J22" i="48"/>
  <c r="J24" i="48" s="1"/>
  <c r="I22" i="48"/>
  <c r="I24" i="48" s="1"/>
  <c r="U22" i="48"/>
  <c r="U24" i="48" s="1"/>
  <c r="S22" i="48"/>
  <c r="S24" i="48" s="1"/>
  <c r="R22" i="48"/>
  <c r="R24" i="48" s="1"/>
  <c r="D39" i="45"/>
  <c r="R38" i="2"/>
  <c r="P38" i="2" s="1"/>
  <c r="E39" i="45"/>
  <c r="Q38" i="2"/>
  <c r="O38" i="2"/>
  <c r="S38" i="2"/>
  <c r="N37" i="2"/>
  <c r="W22" i="48" l="1"/>
  <c r="W24" i="48" s="1"/>
  <c r="N38" i="2"/>
  <c r="O22" i="48"/>
  <c r="O24" i="48" s="1"/>
  <c r="AA22" i="48"/>
  <c r="AA24" i="48" s="1"/>
  <c r="E22" i="48"/>
  <c r="P22" i="48"/>
  <c r="P24" i="48" s="1"/>
  <c r="P25" i="48" s="1"/>
  <c r="G27" i="48"/>
  <c r="G26" i="48"/>
  <c r="G25" i="48"/>
  <c r="J27" i="48"/>
  <c r="J26" i="48"/>
  <c r="J25" i="48"/>
  <c r="H27" i="48"/>
  <c r="H26" i="48"/>
  <c r="H25" i="48"/>
  <c r="U26" i="48"/>
  <c r="U25" i="48"/>
  <c r="U27" i="48"/>
  <c r="I27" i="48"/>
  <c r="I26" i="48"/>
  <c r="I25" i="48"/>
  <c r="Q25" i="48"/>
  <c r="Q27" i="48"/>
  <c r="Q26" i="48"/>
  <c r="F26" i="48"/>
  <c r="F27" i="48"/>
  <c r="F25" i="48"/>
  <c r="S27" i="48"/>
  <c r="S25" i="48"/>
  <c r="S26" i="48"/>
  <c r="N27" i="48"/>
  <c r="N26" i="48"/>
  <c r="N25" i="48"/>
  <c r="Z25" i="48"/>
  <c r="Z26" i="48"/>
  <c r="Z27" i="48"/>
  <c r="V26" i="48"/>
  <c r="V27" i="48"/>
  <c r="V25" i="48"/>
  <c r="K27" i="48"/>
  <c r="K26" i="48"/>
  <c r="K25" i="48"/>
  <c r="W27" i="48"/>
  <c r="W26" i="48"/>
  <c r="W25" i="48"/>
  <c r="L27" i="48"/>
  <c r="L26" i="48"/>
  <c r="L25" i="48"/>
  <c r="T27" i="48"/>
  <c r="T26" i="48"/>
  <c r="T25" i="48"/>
  <c r="O25" i="48"/>
  <c r="O26" i="48"/>
  <c r="O27" i="48"/>
  <c r="X27" i="48"/>
  <c r="X26" i="48"/>
  <c r="X25" i="48"/>
  <c r="AA25" i="48"/>
  <c r="AA27" i="48"/>
  <c r="AA26" i="48"/>
  <c r="M26" i="48"/>
  <c r="M25" i="48"/>
  <c r="M27" i="48"/>
  <c r="Y27" i="48"/>
  <c r="Y25" i="48"/>
  <c r="Y26" i="48"/>
  <c r="R25" i="48"/>
  <c r="R26" i="48"/>
  <c r="R27" i="48"/>
  <c r="AC27" i="48"/>
  <c r="AC26" i="48"/>
  <c r="AC25" i="48"/>
  <c r="AB27" i="48"/>
  <c r="AB25" i="48"/>
  <c r="AB26" i="48"/>
  <c r="E40" i="45"/>
  <c r="O39" i="2"/>
  <c r="Q39" i="2"/>
  <c r="S39" i="2"/>
  <c r="D40" i="45"/>
  <c r="R39" i="2"/>
  <c r="P39" i="2" s="1"/>
  <c r="P27" i="48" l="1"/>
  <c r="L28" i="48"/>
  <c r="L29" i="48" s="1"/>
  <c r="P26" i="48"/>
  <c r="X28" i="48"/>
  <c r="X29" i="48" s="1"/>
  <c r="W28" i="48"/>
  <c r="W29" i="48" s="1"/>
  <c r="N28" i="48"/>
  <c r="N29" i="48" s="1"/>
  <c r="I28" i="48"/>
  <c r="I29" i="48" s="1"/>
  <c r="G28" i="48"/>
  <c r="G29" i="48" s="1"/>
  <c r="K28" i="48"/>
  <c r="K29" i="48" s="1"/>
  <c r="F28" i="48"/>
  <c r="F29" i="48" s="1"/>
  <c r="P28" i="48"/>
  <c r="P29" i="48" s="1"/>
  <c r="H28" i="48"/>
  <c r="H29" i="48" s="1"/>
  <c r="T28" i="48"/>
  <c r="T29" i="48" s="1"/>
  <c r="AC28" i="48"/>
  <c r="AC29" i="48" s="1"/>
  <c r="AB28" i="48"/>
  <c r="AB29" i="48" s="1"/>
  <c r="V28" i="48"/>
  <c r="V29" i="48" s="1"/>
  <c r="J28" i="48"/>
  <c r="J29" i="48" s="1"/>
  <c r="M28" i="48"/>
  <c r="M29" i="48" s="1"/>
  <c r="U28" i="48"/>
  <c r="U29" i="48" s="1"/>
  <c r="S28" i="48"/>
  <c r="S29" i="48" s="1"/>
  <c r="AA28" i="48"/>
  <c r="AA29" i="48" s="1"/>
  <c r="R28" i="48"/>
  <c r="R29" i="48" s="1"/>
  <c r="Z28" i="48"/>
  <c r="Z29" i="48" s="1"/>
  <c r="Q28" i="48"/>
  <c r="Q29" i="48" s="1"/>
  <c r="Y28" i="48"/>
  <c r="Y29" i="48" s="1"/>
  <c r="O28" i="48"/>
  <c r="O29" i="48" s="1"/>
  <c r="D41" i="45"/>
  <c r="R40" i="2"/>
  <c r="P40" i="2" s="1"/>
  <c r="E41" i="45"/>
  <c r="O40" i="2"/>
  <c r="Q40" i="2"/>
  <c r="S40" i="2"/>
  <c r="N39" i="2"/>
  <c r="N40" i="2" s="1"/>
  <c r="E42" i="45" l="1"/>
  <c r="Q41" i="2"/>
  <c r="O41" i="2"/>
  <c r="S41" i="2"/>
  <c r="D42" i="45"/>
  <c r="R41" i="2"/>
  <c r="P41" i="2" s="1"/>
  <c r="D43" i="45" l="1"/>
  <c r="R42" i="2"/>
  <c r="P42" i="2" s="1"/>
  <c r="N41" i="2"/>
  <c r="E43" i="45"/>
  <c r="Q42" i="2"/>
  <c r="O42" i="2"/>
  <c r="S42" i="2"/>
  <c r="E44" i="45" l="1"/>
  <c r="Q43" i="2"/>
  <c r="O43" i="2"/>
  <c r="S43" i="2"/>
  <c r="N42" i="2"/>
  <c r="D44" i="45"/>
  <c r="R43" i="2"/>
  <c r="P43" i="2" s="1"/>
  <c r="N43" i="2" l="1"/>
  <c r="D45" i="45"/>
  <c r="R44" i="2"/>
  <c r="P44" i="2" s="1"/>
  <c r="E45" i="45"/>
  <c r="Q44" i="2"/>
  <c r="O44" i="2"/>
  <c r="S44" i="2"/>
  <c r="D46" i="45" l="1"/>
  <c r="R45" i="2"/>
  <c r="P45" i="2" s="1"/>
  <c r="N44" i="2"/>
  <c r="E46" i="45"/>
  <c r="Q45" i="2"/>
  <c r="O45" i="2"/>
  <c r="S45" i="2"/>
  <c r="N45" i="2" l="1"/>
  <c r="E47" i="45"/>
  <c r="O46" i="2"/>
  <c r="Q46" i="2"/>
  <c r="S46" i="2"/>
  <c r="D47" i="45"/>
  <c r="R46" i="2"/>
  <c r="P46" i="2" s="1"/>
  <c r="N46" i="2" l="1"/>
  <c r="E48" i="45"/>
  <c r="O47" i="2"/>
  <c r="Q47" i="2"/>
  <c r="S47" i="2"/>
  <c r="D48" i="45"/>
  <c r="R47" i="2"/>
  <c r="P47" i="2" s="1"/>
  <c r="D49" i="45" l="1"/>
  <c r="D50" i="45" s="1"/>
  <c r="D51" i="45" s="1"/>
  <c r="D52" i="45" s="1"/>
  <c r="D53" i="45" s="1"/>
  <c r="P48" i="2"/>
  <c r="N48" i="2"/>
  <c r="R48" i="2"/>
  <c r="N47" i="2"/>
  <c r="E49" i="45"/>
  <c r="E50" i="45" s="1"/>
  <c r="E51" i="45" s="1"/>
  <c r="E52" i="45" s="1"/>
  <c r="E53" i="45" s="1"/>
  <c r="O48" i="2"/>
  <c r="Q48" i="2"/>
  <c r="S48" i="2"/>
  <c r="E48" i="2"/>
  <c r="B2" i="46" l="1" a="1"/>
  <c r="E2" i="47" a="1"/>
  <c r="E2" i="47" l="1"/>
  <c r="E3" i="47" s="1"/>
  <c r="U3" i="47"/>
  <c r="W3" i="47"/>
  <c r="AO3" i="47"/>
  <c r="AQ3" i="47"/>
  <c r="AC3" i="47"/>
  <c r="AU3" i="47"/>
  <c r="AE3" i="47"/>
  <c r="AW3" i="47"/>
  <c r="X3" i="47"/>
  <c r="AT3" i="47"/>
  <c r="S3" i="47"/>
  <c r="AK3" i="47"/>
  <c r="H3" i="47"/>
  <c r="J3" i="47"/>
  <c r="L3" i="47"/>
  <c r="AS3" i="47"/>
  <c r="P3" i="47"/>
  <c r="R3" i="47"/>
  <c r="T3" i="47"/>
  <c r="AB3" i="47"/>
  <c r="F3" i="47"/>
  <c r="Z3" i="47"/>
  <c r="Q3" i="47"/>
  <c r="N3" i="47"/>
  <c r="AF3" i="47"/>
  <c r="AH3" i="47"/>
  <c r="AJ3" i="47"/>
  <c r="V3" i="47"/>
  <c r="AN3" i="47"/>
  <c r="AP3" i="47"/>
  <c r="AR3" i="47"/>
  <c r="AD3" i="47"/>
  <c r="AV3" i="47"/>
  <c r="AM3" i="47"/>
  <c r="Y3" i="47"/>
  <c r="AL3" i="47"/>
  <c r="I3" i="47"/>
  <c r="K3" i="47"/>
  <c r="M3" i="47"/>
  <c r="O3" i="47"/>
  <c r="AG3" i="47"/>
  <c r="AI3" i="47"/>
  <c r="G3" i="47"/>
  <c r="AA3" i="47"/>
  <c r="B2" i="46"/>
  <c r="AL4" i="46"/>
  <c r="Z4" i="46"/>
  <c r="N4" i="46"/>
  <c r="AK4" i="46"/>
  <c r="Y4" i="46"/>
  <c r="M4" i="46"/>
  <c r="AJ4" i="46"/>
  <c r="X4" i="46"/>
  <c r="L4" i="46"/>
  <c r="AI4" i="46"/>
  <c r="W4" i="46"/>
  <c r="K4" i="46"/>
  <c r="AT4" i="46"/>
  <c r="AH4" i="46"/>
  <c r="V4" i="46"/>
  <c r="J4" i="46"/>
  <c r="AS4" i="46"/>
  <c r="AG4" i="46"/>
  <c r="U4" i="46"/>
  <c r="I4" i="46"/>
  <c r="AR4" i="46"/>
  <c r="AF4" i="46"/>
  <c r="T4" i="46"/>
  <c r="H4" i="46"/>
  <c r="AQ4" i="46"/>
  <c r="AE4" i="46"/>
  <c r="S4" i="46"/>
  <c r="G4" i="46"/>
  <c r="AP4" i="46"/>
  <c r="AD4" i="46"/>
  <c r="R4" i="46"/>
  <c r="F4" i="46"/>
  <c r="AO4" i="46"/>
  <c r="AC4" i="46"/>
  <c r="Q4" i="46"/>
  <c r="E4" i="46"/>
  <c r="AN4" i="46"/>
  <c r="AB4" i="46"/>
  <c r="P4" i="46"/>
  <c r="D4" i="46"/>
  <c r="AM4" i="46"/>
  <c r="AA4" i="46"/>
  <c r="O4" i="46"/>
  <c r="C4" i="46"/>
  <c r="B4" i="46" l="1"/>
  <c r="B6" i="46"/>
  <c r="AT6" i="46"/>
  <c r="AT7" i="46" s="1"/>
  <c r="AT8" i="46" s="1"/>
  <c r="AW4" i="47"/>
  <c r="AW5" i="47" s="1"/>
  <c r="AW6" i="47" s="1"/>
  <c r="AL6" i="46"/>
  <c r="AO4" i="47"/>
  <c r="AO5" i="47" s="1"/>
  <c r="AO6" i="47" s="1"/>
  <c r="E5" i="48"/>
  <c r="E6" i="48" s="1"/>
  <c r="E4" i="47"/>
  <c r="E5" i="47" s="1"/>
  <c r="E6" i="47" s="1"/>
  <c r="Z4" i="47"/>
  <c r="Z5" i="47" s="1"/>
  <c r="Z6" i="47" s="1"/>
  <c r="W6" i="46"/>
  <c r="Z5" i="48"/>
  <c r="Z6" i="48" s="1"/>
  <c r="K5" i="48"/>
  <c r="K6" i="48" s="1"/>
  <c r="K4" i="47"/>
  <c r="K5" i="47" s="1"/>
  <c r="K6" i="47" s="1"/>
  <c r="H6" i="46"/>
  <c r="AL4" i="47"/>
  <c r="AL5" i="47" s="1"/>
  <c r="AL6" i="47" s="1"/>
  <c r="AI6" i="46"/>
  <c r="AB6" i="46"/>
  <c r="AE5" i="48"/>
  <c r="AE6" i="48" s="1"/>
  <c r="AE4" i="47"/>
  <c r="AE5" i="47" s="1"/>
  <c r="AE6" i="47" s="1"/>
  <c r="AT4" i="47"/>
  <c r="AT5" i="47" s="1"/>
  <c r="AT6" i="47" s="1"/>
  <c r="AQ6" i="46"/>
  <c r="W5" i="48"/>
  <c r="W6" i="48" s="1"/>
  <c r="W4" i="47"/>
  <c r="W5" i="47" s="1"/>
  <c r="W6" i="47" s="1"/>
  <c r="T6" i="46"/>
  <c r="AI4" i="47"/>
  <c r="AI5" i="47" s="1"/>
  <c r="AI6" i="47" s="1"/>
  <c r="AF6" i="46"/>
  <c r="Q6" i="46"/>
  <c r="T5" i="48"/>
  <c r="T6" i="48" s="1"/>
  <c r="T4" i="47"/>
  <c r="T5" i="47" s="1"/>
  <c r="T6" i="47" s="1"/>
  <c r="AC6" i="46"/>
  <c r="AF5" i="48"/>
  <c r="AF6" i="48" s="1"/>
  <c r="AF4" i="47"/>
  <c r="AF5" i="47" s="1"/>
  <c r="AF6" i="47" s="1"/>
  <c r="U5" i="48"/>
  <c r="U6" i="48" s="1"/>
  <c r="U4" i="47"/>
  <c r="U5" i="47" s="1"/>
  <c r="U6" i="47" s="1"/>
  <c r="R6" i="46"/>
  <c r="AK4" i="47"/>
  <c r="AK5" i="47" s="1"/>
  <c r="AK6" i="47" s="1"/>
  <c r="AH6" i="46"/>
  <c r="E6" i="46"/>
  <c r="H5" i="48"/>
  <c r="H6" i="48" s="1"/>
  <c r="H4" i="47"/>
  <c r="H5" i="47" s="1"/>
  <c r="H6" i="47" s="1"/>
  <c r="AJ4" i="47"/>
  <c r="AJ5" i="47" s="1"/>
  <c r="AJ6" i="47" s="1"/>
  <c r="AG6" i="46"/>
  <c r="Z6" i="46"/>
  <c r="AC5" i="48"/>
  <c r="AC6" i="48" s="1"/>
  <c r="AC4" i="47"/>
  <c r="AC5" i="47" s="1"/>
  <c r="AC6" i="47" s="1"/>
  <c r="AO6" i="46"/>
  <c r="AR4" i="47"/>
  <c r="AR5" i="47" s="1"/>
  <c r="AR6" i="47" s="1"/>
  <c r="AU4" i="47"/>
  <c r="AU5" i="47" s="1"/>
  <c r="AU6" i="47" s="1"/>
  <c r="AR6" i="46"/>
  <c r="L6" i="46"/>
  <c r="O5" i="48"/>
  <c r="O6" i="48" s="1"/>
  <c r="O4" i="47"/>
  <c r="O5" i="47" s="1"/>
  <c r="O6" i="47" s="1"/>
  <c r="AA6" i="46"/>
  <c r="AD5" i="48"/>
  <c r="AD6" i="48" s="1"/>
  <c r="AD4" i="47"/>
  <c r="AD5" i="47" s="1"/>
  <c r="AD6" i="47" s="1"/>
  <c r="M6" i="46"/>
  <c r="P5" i="48"/>
  <c r="P6" i="48" s="1"/>
  <c r="P4" i="47"/>
  <c r="P5" i="47" s="1"/>
  <c r="P6" i="47" s="1"/>
  <c r="AM6" i="46"/>
  <c r="AP4" i="47"/>
  <c r="AP5" i="47" s="1"/>
  <c r="AP6" i="47" s="1"/>
  <c r="AS4" i="47"/>
  <c r="AS5" i="47" s="1"/>
  <c r="AS6" i="47" s="1"/>
  <c r="AP6" i="46"/>
  <c r="AV4" i="47"/>
  <c r="AV5" i="47" s="1"/>
  <c r="AV6" i="47" s="1"/>
  <c r="AS6" i="46"/>
  <c r="Y6" i="46"/>
  <c r="AB5" i="48"/>
  <c r="AB6" i="48" s="1"/>
  <c r="AB4" i="47"/>
  <c r="AB5" i="47" s="1"/>
  <c r="AB6" i="47" s="1"/>
  <c r="AH5" i="48"/>
  <c r="AH6" i="48" s="1"/>
  <c r="AH4" i="47"/>
  <c r="AH5" i="47" s="1"/>
  <c r="AH6" i="47" s="1"/>
  <c r="AE6" i="46"/>
  <c r="AN6" i="46"/>
  <c r="AQ4" i="47"/>
  <c r="AQ5" i="47" s="1"/>
  <c r="AQ6" i="47" s="1"/>
  <c r="I5" i="48"/>
  <c r="I6" i="48" s="1"/>
  <c r="I4" i="47"/>
  <c r="I5" i="47" s="1"/>
  <c r="I6" i="47" s="1"/>
  <c r="F6" i="46"/>
  <c r="O6" i="46"/>
  <c r="R5" i="48"/>
  <c r="R6" i="48" s="1"/>
  <c r="R4" i="47"/>
  <c r="R5" i="47" s="1"/>
  <c r="R6" i="47" s="1"/>
  <c r="AJ6" i="46"/>
  <c r="AM4" i="47"/>
  <c r="AM5" i="47" s="1"/>
  <c r="AM6" i="47" s="1"/>
  <c r="D6" i="46"/>
  <c r="G5" i="48"/>
  <c r="G6" i="48" s="1"/>
  <c r="G4" i="47"/>
  <c r="G5" i="47" s="1"/>
  <c r="G6" i="47" s="1"/>
  <c r="J5" i="48"/>
  <c r="J6" i="48" s="1"/>
  <c r="J4" i="47"/>
  <c r="J5" i="47" s="1"/>
  <c r="J6" i="47" s="1"/>
  <c r="G6" i="46"/>
  <c r="M4" i="47"/>
  <c r="M5" i="47" s="1"/>
  <c r="M6" i="47" s="1"/>
  <c r="J6" i="46"/>
  <c r="M5" i="48"/>
  <c r="M6" i="48" s="1"/>
  <c r="AK6" i="46"/>
  <c r="AN4" i="47"/>
  <c r="AN5" i="47" s="1"/>
  <c r="AN6" i="47" s="1"/>
  <c r="N4" i="47"/>
  <c r="N5" i="47" s="1"/>
  <c r="N6" i="47" s="1"/>
  <c r="K6" i="46"/>
  <c r="N5" i="48"/>
  <c r="N6" i="48" s="1"/>
  <c r="C6" i="46"/>
  <c r="F5" i="48"/>
  <c r="F6" i="48" s="1"/>
  <c r="F4" i="47"/>
  <c r="F5" i="47" s="1"/>
  <c r="F6" i="47" s="1"/>
  <c r="L4" i="47"/>
  <c r="L5" i="47" s="1"/>
  <c r="L6" i="47" s="1"/>
  <c r="I6" i="46"/>
  <c r="L5" i="48"/>
  <c r="L6" i="48" s="1"/>
  <c r="X6" i="46"/>
  <c r="AA5" i="48"/>
  <c r="AA6" i="48" s="1"/>
  <c r="AA4" i="47"/>
  <c r="AA5" i="47" s="1"/>
  <c r="AA6" i="47" s="1"/>
  <c r="X4" i="47"/>
  <c r="X5" i="47" s="1"/>
  <c r="X6" i="47" s="1"/>
  <c r="U6" i="46"/>
  <c r="X5" i="48"/>
  <c r="X6" i="48" s="1"/>
  <c r="AG5" i="48"/>
  <c r="AG6" i="48" s="1"/>
  <c r="AG4" i="47"/>
  <c r="AG5" i="47" s="1"/>
  <c r="AG6" i="47" s="1"/>
  <c r="AD6" i="46"/>
  <c r="P6" i="46"/>
  <c r="S5" i="48"/>
  <c r="S6" i="48" s="1"/>
  <c r="S4" i="47"/>
  <c r="S5" i="47" s="1"/>
  <c r="S6" i="47" s="1"/>
  <c r="V5" i="48"/>
  <c r="V6" i="48" s="1"/>
  <c r="V4" i="47"/>
  <c r="V5" i="47" s="1"/>
  <c r="V6" i="47" s="1"/>
  <c r="S6" i="46"/>
  <c r="Y4" i="47"/>
  <c r="Y5" i="47" s="1"/>
  <c r="Y6" i="47" s="1"/>
  <c r="V6" i="46"/>
  <c r="Y5" i="48"/>
  <c r="Y6" i="48" s="1"/>
  <c r="N6" i="46"/>
  <c r="Q5" i="48"/>
  <c r="Q6" i="48" s="1"/>
  <c r="Q4" i="47"/>
  <c r="Q5" i="47" s="1"/>
  <c r="Q6" i="47" s="1"/>
  <c r="AG9" i="47" l="1"/>
  <c r="AG8" i="47"/>
  <c r="AG8" i="48"/>
  <c r="AG9" i="48"/>
  <c r="AR9" i="47"/>
  <c r="AR8" i="47"/>
  <c r="W9" i="47"/>
  <c r="W8" i="47"/>
  <c r="Z9" i="48"/>
  <c r="Z8" i="48"/>
  <c r="U9" i="47"/>
  <c r="U8" i="47"/>
  <c r="W9" i="48"/>
  <c r="W8" i="48"/>
  <c r="U9" i="48"/>
  <c r="U8" i="48"/>
  <c r="Z8" i="47"/>
  <c r="Z9" i="47"/>
  <c r="J8" i="48"/>
  <c r="J9" i="48"/>
  <c r="Y9" i="48"/>
  <c r="Y8" i="48"/>
  <c r="N9" i="48"/>
  <c r="N8" i="48"/>
  <c r="AC9" i="48"/>
  <c r="AC8" i="48"/>
  <c r="AF9" i="47"/>
  <c r="AF8" i="47"/>
  <c r="AT9" i="47"/>
  <c r="AT8" i="47"/>
  <c r="E9" i="47"/>
  <c r="E8" i="47"/>
  <c r="AK9" i="47"/>
  <c r="AK8" i="47"/>
  <c r="X9" i="48"/>
  <c r="X8" i="48"/>
  <c r="Y9" i="47"/>
  <c r="Y8" i="47"/>
  <c r="AD8" i="47"/>
  <c r="AD9" i="47"/>
  <c r="AF9" i="48"/>
  <c r="AF8" i="48"/>
  <c r="AE9" i="47"/>
  <c r="AE8" i="47"/>
  <c r="E9" i="48"/>
  <c r="E8" i="48"/>
  <c r="P8" i="47"/>
  <c r="P9" i="47"/>
  <c r="P9" i="48"/>
  <c r="P8" i="48"/>
  <c r="AH8" i="48"/>
  <c r="AH9" i="48"/>
  <c r="AN8" i="47"/>
  <c r="AN9" i="47"/>
  <c r="AA9" i="48"/>
  <c r="AA8" i="48"/>
  <c r="R8" i="47"/>
  <c r="R9" i="47"/>
  <c r="AB9" i="48"/>
  <c r="AB8" i="48"/>
  <c r="AD9" i="48"/>
  <c r="AD8" i="48"/>
  <c r="AE9" i="48"/>
  <c r="AE8" i="48"/>
  <c r="AO9" i="47"/>
  <c r="AO8" i="47"/>
  <c r="AQ9" i="47"/>
  <c r="AQ8" i="47"/>
  <c r="AJ9" i="47"/>
  <c r="AJ8" i="47"/>
  <c r="T9" i="47"/>
  <c r="T8" i="47"/>
  <c r="Q9" i="48"/>
  <c r="Q8" i="48"/>
  <c r="AH9" i="47"/>
  <c r="AH8" i="47"/>
  <c r="L8" i="48"/>
  <c r="L9" i="48"/>
  <c r="O8" i="47"/>
  <c r="O9" i="47"/>
  <c r="H9" i="47"/>
  <c r="H8" i="47"/>
  <c r="T9" i="48"/>
  <c r="T8" i="48"/>
  <c r="AW9" i="47"/>
  <c r="AW8" i="47"/>
  <c r="F9" i="48"/>
  <c r="F8" i="48"/>
  <c r="K8" i="48"/>
  <c r="K9" i="48"/>
  <c r="G9" i="48"/>
  <c r="G8" i="48"/>
  <c r="X9" i="47"/>
  <c r="X8" i="47"/>
  <c r="AB8" i="47"/>
  <c r="AB9" i="47"/>
  <c r="R9" i="48"/>
  <c r="R8" i="48"/>
  <c r="S9" i="47"/>
  <c r="S8" i="47"/>
  <c r="AV9" i="47"/>
  <c r="AV8" i="47"/>
  <c r="O9" i="48"/>
  <c r="O8" i="48"/>
  <c r="H9" i="48"/>
  <c r="H8" i="48"/>
  <c r="AL9" i="47"/>
  <c r="AL8" i="47"/>
  <c r="AU9" i="47"/>
  <c r="AU8" i="47"/>
  <c r="N8" i="47"/>
  <c r="N9" i="47"/>
  <c r="S9" i="48"/>
  <c r="S8" i="48"/>
  <c r="M9" i="47"/>
  <c r="M8" i="47"/>
  <c r="L9" i="47"/>
  <c r="L8" i="47"/>
  <c r="I9" i="47"/>
  <c r="I8" i="47"/>
  <c r="AP9" i="47"/>
  <c r="AP8" i="47"/>
  <c r="G9" i="47"/>
  <c r="G8" i="47"/>
  <c r="AC8" i="47"/>
  <c r="AC9" i="47"/>
  <c r="AM9" i="47"/>
  <c r="AM8" i="47"/>
  <c r="AA8" i="47"/>
  <c r="AA9" i="47"/>
  <c r="V9" i="47"/>
  <c r="V8" i="47"/>
  <c r="V9" i="48"/>
  <c r="V8" i="48"/>
  <c r="M9" i="48"/>
  <c r="M8" i="48"/>
  <c r="Q8" i="47"/>
  <c r="Q9" i="47"/>
  <c r="F9" i="47"/>
  <c r="F8" i="47"/>
  <c r="J9" i="47"/>
  <c r="J8" i="47"/>
  <c r="I8" i="48"/>
  <c r="I9" i="48"/>
  <c r="AS9" i="47"/>
  <c r="AS8" i="47"/>
  <c r="AI9" i="47"/>
  <c r="AI8" i="47"/>
  <c r="K9" i="47"/>
  <c r="K8" i="47"/>
  <c r="B7" i="46"/>
  <c r="B8" i="46" s="1"/>
  <c r="D7" i="46"/>
  <c r="D8" i="46" s="1"/>
  <c r="AJ7" i="46"/>
  <c r="AJ8" i="46" s="1"/>
  <c r="Z7" i="46"/>
  <c r="Z8" i="46" s="1"/>
  <c r="U7" i="46"/>
  <c r="U8" i="46" s="1"/>
  <c r="Y7" i="46"/>
  <c r="Y8" i="46" s="1"/>
  <c r="AA7" i="46"/>
  <c r="AA8" i="46" s="1"/>
  <c r="AG7" i="46"/>
  <c r="AG8" i="46" s="1"/>
  <c r="AC7" i="46"/>
  <c r="AC8" i="46" s="1"/>
  <c r="M7" i="46"/>
  <c r="M8" i="46" s="1"/>
  <c r="O7" i="46"/>
  <c r="O8" i="46" s="1"/>
  <c r="AS7" i="46"/>
  <c r="AS8" i="46" s="1"/>
  <c r="AB7" i="46"/>
  <c r="AB8" i="46" s="1"/>
  <c r="AQ7" i="46"/>
  <c r="AQ8" i="46" s="1"/>
  <c r="F7" i="46"/>
  <c r="F8" i="46" s="1"/>
  <c r="AI7" i="46"/>
  <c r="AI8" i="46" s="1"/>
  <c r="AL7" i="46"/>
  <c r="AL8" i="46" s="1"/>
  <c r="J7" i="46"/>
  <c r="J8" i="46" s="1"/>
  <c r="G7" i="46"/>
  <c r="G8" i="46" s="1"/>
  <c r="AP7" i="46"/>
  <c r="AP8" i="46" s="1"/>
  <c r="L7" i="46"/>
  <c r="L8" i="46" s="1"/>
  <c r="Q7" i="46"/>
  <c r="Q8" i="46" s="1"/>
  <c r="S7" i="46"/>
  <c r="S8" i="46" s="1"/>
  <c r="AR7" i="46"/>
  <c r="AR8" i="46" s="1"/>
  <c r="E7" i="46"/>
  <c r="E8" i="46" s="1"/>
  <c r="AF7" i="46"/>
  <c r="AF8" i="46" s="1"/>
  <c r="H7" i="46"/>
  <c r="H8" i="46" s="1"/>
  <c r="K7" i="46"/>
  <c r="K8" i="46" s="1"/>
  <c r="AK7" i="46"/>
  <c r="AK8" i="46" s="1"/>
  <c r="AD7" i="46"/>
  <c r="AD8" i="46" s="1"/>
  <c r="AH7" i="46"/>
  <c r="AH8" i="46" s="1"/>
  <c r="V7" i="46"/>
  <c r="V8" i="46" s="1"/>
  <c r="AN7" i="46"/>
  <c r="AN8" i="46" s="1"/>
  <c r="AM7" i="46"/>
  <c r="AM8" i="46" s="1"/>
  <c r="T7" i="46"/>
  <c r="T8" i="46" s="1"/>
  <c r="W7" i="46"/>
  <c r="W8" i="46" s="1"/>
  <c r="X7" i="46"/>
  <c r="X8" i="46" s="1"/>
  <c r="I7" i="46"/>
  <c r="I8" i="46" s="1"/>
  <c r="P7" i="46"/>
  <c r="P8" i="46" s="1"/>
  <c r="N7" i="46"/>
  <c r="N8" i="46" s="1"/>
  <c r="C7" i="46"/>
  <c r="C8" i="46" s="1"/>
  <c r="AE7" i="46"/>
  <c r="AE8" i="46" s="1"/>
  <c r="AO7" i="46"/>
  <c r="AO8" i="46" s="1"/>
  <c r="R7" i="46"/>
  <c r="R8" i="46" s="1"/>
  <c r="M10" i="48" l="1"/>
  <c r="M11" i="48"/>
  <c r="O11" i="48"/>
  <c r="O10" i="48"/>
  <c r="O12" i="48" s="1"/>
  <c r="AA11" i="48"/>
  <c r="AA10" i="48"/>
  <c r="AA12" i="48" s="1"/>
  <c r="E10" i="47"/>
  <c r="E11" i="47"/>
  <c r="U10" i="48"/>
  <c r="U11" i="48"/>
  <c r="I10" i="48"/>
  <c r="I11" i="48"/>
  <c r="AM11" i="47"/>
  <c r="AM10" i="47"/>
  <c r="AM12" i="47" s="1"/>
  <c r="O10" i="47"/>
  <c r="O11" i="47"/>
  <c r="P10" i="47"/>
  <c r="P11" i="47"/>
  <c r="W11" i="47"/>
  <c r="W10" i="47"/>
  <c r="N11" i="47"/>
  <c r="N10" i="47"/>
  <c r="AB10" i="47"/>
  <c r="AB11" i="47"/>
  <c r="AD10" i="47"/>
  <c r="AD11" i="47"/>
  <c r="N10" i="48"/>
  <c r="N11" i="48"/>
  <c r="K11" i="47"/>
  <c r="K10" i="47"/>
  <c r="K12" i="47" s="1"/>
  <c r="J10" i="47"/>
  <c r="J11" i="47"/>
  <c r="V11" i="48"/>
  <c r="V10" i="48"/>
  <c r="V12" i="48" s="1"/>
  <c r="L11" i="47"/>
  <c r="L10" i="47"/>
  <c r="AU11" i="47"/>
  <c r="AU10" i="47"/>
  <c r="AV10" i="47"/>
  <c r="AV11" i="47"/>
  <c r="X11" i="47"/>
  <c r="X10" i="47"/>
  <c r="X12" i="47" s="1"/>
  <c r="AW11" i="47"/>
  <c r="AW10" i="47"/>
  <c r="AJ10" i="47"/>
  <c r="AJ11" i="47"/>
  <c r="AD11" i="48"/>
  <c r="AD10" i="48"/>
  <c r="Y11" i="47"/>
  <c r="Y10" i="47"/>
  <c r="Y12" i="47" s="1"/>
  <c r="AT10" i="47"/>
  <c r="AT11" i="47"/>
  <c r="Y10" i="48"/>
  <c r="Y11" i="48"/>
  <c r="AR10" i="47"/>
  <c r="AR11" i="47"/>
  <c r="AR12" i="47" s="1"/>
  <c r="AE11" i="48"/>
  <c r="AE10" i="48"/>
  <c r="AE12" i="48" s="1"/>
  <c r="AN10" i="47"/>
  <c r="AN11" i="47"/>
  <c r="E10" i="48"/>
  <c r="E11" i="48"/>
  <c r="W10" i="48"/>
  <c r="W11" i="48"/>
  <c r="F10" i="48"/>
  <c r="F11" i="48"/>
  <c r="AI11" i="47"/>
  <c r="AI10" i="47"/>
  <c r="AI12" i="47" s="1"/>
  <c r="F10" i="47"/>
  <c r="F11" i="47"/>
  <c r="V11" i="47"/>
  <c r="V10" i="47"/>
  <c r="G10" i="47"/>
  <c r="G11" i="47"/>
  <c r="M11" i="47"/>
  <c r="M10" i="47"/>
  <c r="AL11" i="47"/>
  <c r="AL10" i="47"/>
  <c r="AL12" i="47" s="1"/>
  <c r="S10" i="47"/>
  <c r="S11" i="47"/>
  <c r="G11" i="48"/>
  <c r="G10" i="48"/>
  <c r="AH11" i="47"/>
  <c r="AH10" i="47"/>
  <c r="AQ10" i="47"/>
  <c r="AQ11" i="47"/>
  <c r="AB10" i="48"/>
  <c r="AB11" i="48"/>
  <c r="AE10" i="47"/>
  <c r="AE11" i="47"/>
  <c r="AF10" i="47"/>
  <c r="AF11" i="47"/>
  <c r="U10" i="47"/>
  <c r="U11" i="47"/>
  <c r="AH11" i="48"/>
  <c r="AH10" i="48"/>
  <c r="X10" i="48"/>
  <c r="X12" i="48" s="1"/>
  <c r="X11" i="48"/>
  <c r="J11" i="48"/>
  <c r="J10" i="48"/>
  <c r="AG10" i="48"/>
  <c r="AG11" i="48"/>
  <c r="AG12" i="48" s="1"/>
  <c r="T10" i="48"/>
  <c r="T11" i="48"/>
  <c r="L10" i="48"/>
  <c r="L11" i="48"/>
  <c r="AS10" i="47"/>
  <c r="AS11" i="47"/>
  <c r="AP10" i="47"/>
  <c r="AP11" i="47"/>
  <c r="H10" i="48"/>
  <c r="H11" i="48"/>
  <c r="H11" i="47"/>
  <c r="H10" i="47"/>
  <c r="H12" i="47" s="1"/>
  <c r="Q11" i="48"/>
  <c r="Q10" i="48"/>
  <c r="AO10" i="47"/>
  <c r="AO11" i="47"/>
  <c r="P11" i="48"/>
  <c r="P10" i="48"/>
  <c r="AF10" i="48"/>
  <c r="AF11" i="48"/>
  <c r="AK11" i="47"/>
  <c r="AK10" i="47"/>
  <c r="AC11" i="48"/>
  <c r="AC10" i="48"/>
  <c r="AC12" i="48" s="1"/>
  <c r="Z10" i="48"/>
  <c r="Z11" i="48"/>
  <c r="AG11" i="47"/>
  <c r="AG10" i="47"/>
  <c r="AG12" i="47" s="1"/>
  <c r="AG13" i="47" s="1"/>
  <c r="AG15" i="47" s="1"/>
  <c r="AG16" i="47" s="1"/>
  <c r="I10" i="47"/>
  <c r="I11" i="47"/>
  <c r="T11" i="47"/>
  <c r="T10" i="47"/>
  <c r="Q10" i="47"/>
  <c r="Q11" i="47"/>
  <c r="S10" i="48"/>
  <c r="S11" i="48"/>
  <c r="R10" i="48"/>
  <c r="R11" i="48"/>
  <c r="R10" i="47"/>
  <c r="R11" i="47"/>
  <c r="AC11" i="47"/>
  <c r="AC10" i="47"/>
  <c r="AA11" i="47"/>
  <c r="AA10" i="47"/>
  <c r="K11" i="48"/>
  <c r="K10" i="48"/>
  <c r="Z11" i="47"/>
  <c r="Z10" i="47"/>
  <c r="Z12" i="47" s="1"/>
  <c r="B12" i="46"/>
  <c r="B13" i="46" s="1"/>
  <c r="B14" i="46" s="1"/>
  <c r="L22" i="47" s="1"/>
  <c r="L24" i="47" s="1"/>
  <c r="X22" i="47"/>
  <c r="X24" i="47" s="1"/>
  <c r="S22" i="47"/>
  <c r="S24" i="47" s="1"/>
  <c r="G22" i="47"/>
  <c r="G24" i="47" s="1"/>
  <c r="E24" i="48"/>
  <c r="AS12" i="47" l="1"/>
  <c r="V12" i="47"/>
  <c r="I12" i="48"/>
  <c r="G12" i="48"/>
  <c r="Z12" i="48"/>
  <c r="I12" i="47"/>
  <c r="AB12" i="48"/>
  <c r="E12" i="48"/>
  <c r="E13" i="48" s="1"/>
  <c r="E15" i="48" s="1"/>
  <c r="E16" i="48" s="1"/>
  <c r="N12" i="47"/>
  <c r="R12" i="48"/>
  <c r="R13" i="48" s="1"/>
  <c r="R15" i="48" s="1"/>
  <c r="R16" i="48" s="1"/>
  <c r="Q12" i="48"/>
  <c r="Q13" i="48" s="1"/>
  <c r="Q15" i="48" s="1"/>
  <c r="Q16" i="48" s="1"/>
  <c r="S12" i="47"/>
  <c r="S13" i="47" s="1"/>
  <c r="S15" i="47" s="1"/>
  <c r="S16" i="47" s="1"/>
  <c r="Y22" i="47"/>
  <c r="Y24" i="47" s="1"/>
  <c r="K12" i="48"/>
  <c r="Q12" i="47"/>
  <c r="Q13" i="47" s="1"/>
  <c r="Q15" i="47" s="1"/>
  <c r="Q16" i="47" s="1"/>
  <c r="AK12" i="47"/>
  <c r="AK13" i="47" s="1"/>
  <c r="AK15" i="47" s="1"/>
  <c r="AK16" i="47" s="1"/>
  <c r="AT12" i="47"/>
  <c r="AT13" i="47" s="1"/>
  <c r="AT15" i="47" s="1"/>
  <c r="AT16" i="47" s="1"/>
  <c r="P12" i="47"/>
  <c r="P13" i="47" s="1"/>
  <c r="P15" i="47" s="1"/>
  <c r="P16" i="47" s="1"/>
  <c r="Z22" i="47"/>
  <c r="Z24" i="47" s="1"/>
  <c r="Z27" i="47" s="1"/>
  <c r="AA12" i="47"/>
  <c r="AA13" i="47" s="1"/>
  <c r="AA15" i="47" s="1"/>
  <c r="AA16" i="47" s="1"/>
  <c r="T12" i="47"/>
  <c r="N22" i="47"/>
  <c r="N24" i="47" s="1"/>
  <c r="N26" i="47" s="1"/>
  <c r="AP12" i="47"/>
  <c r="AP13" i="47" s="1"/>
  <c r="AP15" i="47" s="1"/>
  <c r="AP16" i="47" s="1"/>
  <c r="AD12" i="47"/>
  <c r="AD13" i="47" s="1"/>
  <c r="AD15" i="47" s="1"/>
  <c r="AD16" i="47" s="1"/>
  <c r="R22" i="47"/>
  <c r="R24" i="47" s="1"/>
  <c r="AC12" i="47"/>
  <c r="P12" i="48"/>
  <c r="AH12" i="47"/>
  <c r="AH13" i="47" s="1"/>
  <c r="AH15" i="47" s="1"/>
  <c r="AH16" i="47" s="1"/>
  <c r="AD12" i="48"/>
  <c r="AD13" i="48" s="1"/>
  <c r="AD15" i="48" s="1"/>
  <c r="AD16" i="48" s="1"/>
  <c r="I13" i="47"/>
  <c r="I15" i="47" s="1"/>
  <c r="I16" i="47" s="1"/>
  <c r="AR13" i="47"/>
  <c r="AR15" i="47" s="1"/>
  <c r="AR16" i="47" s="1"/>
  <c r="AS13" i="47"/>
  <c r="AS15" i="47" s="1"/>
  <c r="AS16" i="47" s="1"/>
  <c r="X13" i="47"/>
  <c r="X15" i="47" s="1"/>
  <c r="X16" i="47" s="1"/>
  <c r="O13" i="48"/>
  <c r="O15" i="48" s="1"/>
  <c r="O16" i="48" s="1"/>
  <c r="F12" i="48"/>
  <c r="AW12" i="47"/>
  <c r="J12" i="47"/>
  <c r="AC13" i="47"/>
  <c r="AC15" i="47" s="1"/>
  <c r="AC16" i="47" s="1"/>
  <c r="AF12" i="48"/>
  <c r="AQ12" i="47"/>
  <c r="G12" i="47"/>
  <c r="K13" i="47"/>
  <c r="K15" i="47" s="1"/>
  <c r="K16" i="47" s="1"/>
  <c r="U12" i="48"/>
  <c r="T13" i="47"/>
  <c r="T15" i="47" s="1"/>
  <c r="T16" i="47" s="1"/>
  <c r="N13" i="47"/>
  <c r="N15" i="47" s="1"/>
  <c r="N16" i="47" s="1"/>
  <c r="AH12" i="48"/>
  <c r="Y12" i="48"/>
  <c r="W12" i="47"/>
  <c r="E12" i="47"/>
  <c r="E13" i="47" s="1"/>
  <c r="E15" i="47" s="1"/>
  <c r="E16" i="47" s="1"/>
  <c r="P13" i="48"/>
  <c r="P15" i="48" s="1"/>
  <c r="P16" i="48" s="1"/>
  <c r="H22" i="47"/>
  <c r="H24" i="47" s="1"/>
  <c r="H27" i="47" s="1"/>
  <c r="AA22" i="47"/>
  <c r="AA24" i="47" s="1"/>
  <c r="G13" i="48"/>
  <c r="G15" i="48" s="1"/>
  <c r="G16" i="48" s="1"/>
  <c r="W12" i="48"/>
  <c r="AV12" i="47"/>
  <c r="N12" i="48"/>
  <c r="AB13" i="48"/>
  <c r="AB15" i="48" s="1"/>
  <c r="AB16" i="48" s="1"/>
  <c r="I13" i="48"/>
  <c r="I15" i="48" s="1"/>
  <c r="I16" i="48" s="1"/>
  <c r="Z13" i="47"/>
  <c r="Z15" i="47" s="1"/>
  <c r="Z16" i="47" s="1"/>
  <c r="U22" i="47"/>
  <c r="U24" i="47" s="1"/>
  <c r="U27" i="47" s="1"/>
  <c r="U12" i="47"/>
  <c r="F12" i="47"/>
  <c r="Y13" i="47"/>
  <c r="Y15" i="47" s="1"/>
  <c r="Y16" i="47" s="1"/>
  <c r="AA13" i="48"/>
  <c r="AA15" i="48" s="1"/>
  <c r="AA16" i="48" s="1"/>
  <c r="X13" i="48"/>
  <c r="X15" i="48" s="1"/>
  <c r="X16" i="48" s="1"/>
  <c r="R12" i="47"/>
  <c r="L12" i="48"/>
  <c r="Z13" i="48"/>
  <c r="Z15" i="48" s="1"/>
  <c r="Z16" i="48" s="1"/>
  <c r="AI13" i="47"/>
  <c r="AI15" i="47" s="1"/>
  <c r="AI16" i="47" s="1"/>
  <c r="AU12" i="47"/>
  <c r="AO12" i="47"/>
  <c r="AB22" i="47"/>
  <c r="AB24" i="47" s="1"/>
  <c r="T12" i="48"/>
  <c r="AF12" i="47"/>
  <c r="AE13" i="48"/>
  <c r="AE15" i="48" s="1"/>
  <c r="AE16" i="48" s="1"/>
  <c r="O12" i="47"/>
  <c r="T22" i="47"/>
  <c r="T24" i="47" s="1"/>
  <c r="T25" i="47" s="1"/>
  <c r="V13" i="47"/>
  <c r="V15" i="47" s="1"/>
  <c r="V16" i="47" s="1"/>
  <c r="I22" i="47"/>
  <c r="I24" i="47" s="1"/>
  <c r="I25" i="47" s="1"/>
  <c r="P22" i="47"/>
  <c r="P24" i="47" s="1"/>
  <c r="P25" i="47" s="1"/>
  <c r="S12" i="48"/>
  <c r="K22" i="47"/>
  <c r="K24" i="47" s="1"/>
  <c r="AG13" i="48"/>
  <c r="AG15" i="48" s="1"/>
  <c r="AG16" i="48" s="1"/>
  <c r="AL13" i="47"/>
  <c r="AL15" i="47" s="1"/>
  <c r="AL16" i="47" s="1"/>
  <c r="AN12" i="47"/>
  <c r="L12" i="47"/>
  <c r="AM13" i="47"/>
  <c r="AM15" i="47" s="1"/>
  <c r="AM16" i="47" s="1"/>
  <c r="K13" i="48"/>
  <c r="K15" i="48" s="1"/>
  <c r="K16" i="48" s="1"/>
  <c r="E22" i="47"/>
  <c r="E24" i="47" s="1"/>
  <c r="E26" i="47" s="1"/>
  <c r="V22" i="47"/>
  <c r="V24" i="47" s="1"/>
  <c r="V26" i="47" s="1"/>
  <c r="H13" i="47"/>
  <c r="H15" i="47" s="1"/>
  <c r="H16" i="47" s="1"/>
  <c r="Q22" i="47"/>
  <c r="Q24" i="47" s="1"/>
  <c r="AC22" i="47"/>
  <c r="AC24" i="47" s="1"/>
  <c r="AC26" i="47" s="1"/>
  <c r="AE12" i="47"/>
  <c r="V13" i="48"/>
  <c r="V15" i="48" s="1"/>
  <c r="V16" i="48" s="1"/>
  <c r="AB12" i="47"/>
  <c r="O22" i="47"/>
  <c r="O24" i="47" s="1"/>
  <c r="O26" i="47" s="1"/>
  <c r="J22" i="47"/>
  <c r="J24" i="47" s="1"/>
  <c r="J26" i="47" s="1"/>
  <c r="AC13" i="48"/>
  <c r="AC15" i="48" s="1"/>
  <c r="AC16" i="48" s="1"/>
  <c r="W22" i="47"/>
  <c r="W24" i="47" s="1"/>
  <c r="W26" i="47" s="1"/>
  <c r="M22" i="47"/>
  <c r="M24" i="47" s="1"/>
  <c r="M26" i="47" s="1"/>
  <c r="F22" i="47"/>
  <c r="F24" i="47" s="1"/>
  <c r="F25" i="47" s="1"/>
  <c r="H12" i="48"/>
  <c r="J12" i="48"/>
  <c r="M12" i="47"/>
  <c r="AJ12" i="47"/>
  <c r="M12" i="48"/>
  <c r="L25" i="47"/>
  <c r="L26" i="47"/>
  <c r="L27" i="47"/>
  <c r="R27" i="47"/>
  <c r="R25" i="47"/>
  <c r="R26" i="47"/>
  <c r="U26" i="47"/>
  <c r="U25" i="47"/>
  <c r="X27" i="47"/>
  <c r="X25" i="47"/>
  <c r="X26" i="47"/>
  <c r="AA25" i="47"/>
  <c r="AA26" i="47"/>
  <c r="AA27" i="47"/>
  <c r="Y25" i="47"/>
  <c r="Y27" i="47"/>
  <c r="Y26" i="47"/>
  <c r="G26" i="47"/>
  <c r="G27" i="47"/>
  <c r="G25" i="47"/>
  <c r="N27" i="47"/>
  <c r="S25" i="47"/>
  <c r="S26" i="47"/>
  <c r="S27" i="47"/>
  <c r="AB27" i="47"/>
  <c r="AB25" i="47"/>
  <c r="AB26" i="47"/>
  <c r="Z26" i="47"/>
  <c r="E27" i="48"/>
  <c r="E26" i="48"/>
  <c r="E25" i="48"/>
  <c r="Q26" i="47"/>
  <c r="Q27" i="47"/>
  <c r="Q25" i="47"/>
  <c r="H26" i="47"/>
  <c r="H25" i="47"/>
  <c r="K25" i="47"/>
  <c r="K26" i="47"/>
  <c r="K27" i="47"/>
  <c r="M27" i="47" l="1"/>
  <c r="W25" i="47"/>
  <c r="M25" i="47"/>
  <c r="W27" i="47"/>
  <c r="N25" i="47"/>
  <c r="F27" i="47"/>
  <c r="F26" i="47"/>
  <c r="F28" i="47" s="1"/>
  <c r="F29" i="47" s="1"/>
  <c r="F31" i="47" s="1"/>
  <c r="F32" i="47" s="1"/>
  <c r="V27" i="47"/>
  <c r="I27" i="47"/>
  <c r="E27" i="47"/>
  <c r="E28" i="47" s="1"/>
  <c r="E29" i="47" s="1"/>
  <c r="I26" i="47"/>
  <c r="I28" i="47" s="1"/>
  <c r="I29" i="47" s="1"/>
  <c r="I31" i="47" s="1"/>
  <c r="I32" i="47" s="1"/>
  <c r="O27" i="47"/>
  <c r="O28" i="47" s="1"/>
  <c r="O29" i="47" s="1"/>
  <c r="O31" i="47" s="1"/>
  <c r="O32" i="47" s="1"/>
  <c r="O25" i="47"/>
  <c r="P27" i="47"/>
  <c r="P26" i="47"/>
  <c r="P28" i="47" s="1"/>
  <c r="P29" i="47" s="1"/>
  <c r="P31" i="47" s="1"/>
  <c r="P32" i="47" s="1"/>
  <c r="Z25" i="47"/>
  <c r="Z28" i="47" s="1"/>
  <c r="Z29" i="47" s="1"/>
  <c r="Z31" i="47" s="1"/>
  <c r="Z32" i="47" s="1"/>
  <c r="E25" i="47"/>
  <c r="AV13" i="47"/>
  <c r="AV15" i="47" s="1"/>
  <c r="AV16" i="47" s="1"/>
  <c r="J13" i="47"/>
  <c r="J15" i="47" s="1"/>
  <c r="J16" i="47" s="1"/>
  <c r="AH13" i="48"/>
  <c r="AH15" i="48" s="1"/>
  <c r="AH16" i="48" s="1"/>
  <c r="W13" i="48"/>
  <c r="W15" i="48" s="1"/>
  <c r="W16" i="48" s="1"/>
  <c r="AW13" i="47"/>
  <c r="AW15" i="47" s="1"/>
  <c r="AW16" i="47" s="1"/>
  <c r="O13" i="47"/>
  <c r="O15" i="47" s="1"/>
  <c r="O16" i="47" s="1"/>
  <c r="F13" i="47"/>
  <c r="F15" i="47" s="1"/>
  <c r="F16" i="47" s="1"/>
  <c r="F13" i="48"/>
  <c r="F15" i="48" s="1"/>
  <c r="F16" i="48" s="1"/>
  <c r="M13" i="48"/>
  <c r="M15" i="48" s="1"/>
  <c r="M16" i="48" s="1"/>
  <c r="U13" i="47"/>
  <c r="U15" i="47" s="1"/>
  <c r="U16" i="47" s="1"/>
  <c r="AU13" i="47"/>
  <c r="AU15" i="47" s="1"/>
  <c r="AU16" i="47" s="1"/>
  <c r="AC25" i="47"/>
  <c r="AJ13" i="47"/>
  <c r="AJ15" i="47" s="1"/>
  <c r="AJ16" i="47" s="1"/>
  <c r="L13" i="48"/>
  <c r="L15" i="48" s="1"/>
  <c r="L16" i="48" s="1"/>
  <c r="U13" i="48"/>
  <c r="U15" i="48" s="1"/>
  <c r="U16" i="48" s="1"/>
  <c r="M13" i="47"/>
  <c r="M15" i="47" s="1"/>
  <c r="M16" i="47" s="1"/>
  <c r="AB13" i="47"/>
  <c r="AB15" i="47" s="1"/>
  <c r="AB16" i="47" s="1"/>
  <c r="AF13" i="47"/>
  <c r="AF15" i="47" s="1"/>
  <c r="AF16" i="47" s="1"/>
  <c r="R13" i="47"/>
  <c r="R15" i="47" s="1"/>
  <c r="R16" i="47" s="1"/>
  <c r="N13" i="48"/>
  <c r="N15" i="48" s="1"/>
  <c r="N16" i="48" s="1"/>
  <c r="J13" i="48"/>
  <c r="J15" i="48" s="1"/>
  <c r="J16" i="48" s="1"/>
  <c r="S13" i="48"/>
  <c r="S15" i="48" s="1"/>
  <c r="S16" i="48" s="1"/>
  <c r="T13" i="48"/>
  <c r="T15" i="48" s="1"/>
  <c r="T16" i="48" s="1"/>
  <c r="T26" i="47"/>
  <c r="H13" i="48"/>
  <c r="H15" i="48" s="1"/>
  <c r="H16" i="48" s="1"/>
  <c r="G13" i="47"/>
  <c r="G15" i="47" s="1"/>
  <c r="G16" i="47" s="1"/>
  <c r="J25" i="47"/>
  <c r="T27" i="47"/>
  <c r="AE13" i="47"/>
  <c r="AE15" i="47" s="1"/>
  <c r="AE16" i="47" s="1"/>
  <c r="AO13" i="47"/>
  <c r="AO15" i="47" s="1"/>
  <c r="AO16" i="47" s="1"/>
  <c r="AQ13" i="47"/>
  <c r="AQ15" i="47" s="1"/>
  <c r="AQ16" i="47" s="1"/>
  <c r="AC27" i="47"/>
  <c r="J27" i="47"/>
  <c r="L13" i="47"/>
  <c r="L15" i="47" s="1"/>
  <c r="L16" i="47" s="1"/>
  <c r="W13" i="47"/>
  <c r="W15" i="47" s="1"/>
  <c r="W16" i="47" s="1"/>
  <c r="AF13" i="48"/>
  <c r="AF15" i="48" s="1"/>
  <c r="AF16" i="48" s="1"/>
  <c r="V25" i="47"/>
  <c r="V28" i="47" s="1"/>
  <c r="V29" i="47" s="1"/>
  <c r="V31" i="47" s="1"/>
  <c r="V32" i="47" s="1"/>
  <c r="AN13" i="47"/>
  <c r="AN15" i="47" s="1"/>
  <c r="AN16" i="47" s="1"/>
  <c r="Y13" i="48"/>
  <c r="Y15" i="48" s="1"/>
  <c r="Y16" i="48" s="1"/>
  <c r="L46" i="2"/>
  <c r="C46" i="2" s="1"/>
  <c r="E46" i="2" s="1"/>
  <c r="H28" i="47"/>
  <c r="H29" i="47" s="1"/>
  <c r="H31" i="47" s="1"/>
  <c r="H32" i="47" s="1"/>
  <c r="M31" i="2"/>
  <c r="D31" i="2" s="1"/>
  <c r="F31" i="2" s="1"/>
  <c r="M32" i="2"/>
  <c r="D32" i="2" s="1"/>
  <c r="F32" i="2" s="1"/>
  <c r="L47" i="2"/>
  <c r="C47" i="2" s="1"/>
  <c r="E47" i="2" s="1"/>
  <c r="L28" i="47"/>
  <c r="L29" i="47" s="1"/>
  <c r="L31" i="47" s="1"/>
  <c r="L32" i="47" s="1"/>
  <c r="W28" i="47"/>
  <c r="W29" i="47" s="1"/>
  <c r="W31" i="47" s="1"/>
  <c r="W32" i="47" s="1"/>
  <c r="Y28" i="47"/>
  <c r="Y29" i="47" s="1"/>
  <c r="Y31" i="47" s="1"/>
  <c r="Y32" i="47" s="1"/>
  <c r="X28" i="47"/>
  <c r="X29" i="47" s="1"/>
  <c r="X31" i="47" s="1"/>
  <c r="X32" i="47" s="1"/>
  <c r="N28" i="47"/>
  <c r="N29" i="47" s="1"/>
  <c r="N31" i="47" s="1"/>
  <c r="N32" i="47" s="1"/>
  <c r="U28" i="47"/>
  <c r="U29" i="47" s="1"/>
  <c r="U31" i="47" s="1"/>
  <c r="U32" i="47" s="1"/>
  <c r="G28" i="47"/>
  <c r="G29" i="47" s="1"/>
  <c r="G31" i="47" s="1"/>
  <c r="G32" i="47" s="1"/>
  <c r="K28" i="47"/>
  <c r="K29" i="47" s="1"/>
  <c r="K31" i="47" s="1"/>
  <c r="K32" i="47" s="1"/>
  <c r="AA28" i="47"/>
  <c r="AA29" i="47" s="1"/>
  <c r="AA31" i="47" s="1"/>
  <c r="AA32" i="47" s="1"/>
  <c r="R28" i="47"/>
  <c r="R29" i="47" s="1"/>
  <c r="R31" i="47" s="1"/>
  <c r="R32" i="47" s="1"/>
  <c r="E28" i="48"/>
  <c r="E29" i="48" s="1"/>
  <c r="M28" i="47"/>
  <c r="M29" i="47" s="1"/>
  <c r="M31" i="47" s="1"/>
  <c r="M32" i="47" s="1"/>
  <c r="AB28" i="47"/>
  <c r="AB29" i="47" s="1"/>
  <c r="AB31" i="47" s="1"/>
  <c r="AB32" i="47" s="1"/>
  <c r="S28" i="47"/>
  <c r="S29" i="47" s="1"/>
  <c r="S31" i="47" s="1"/>
  <c r="S32" i="47" s="1"/>
  <c r="Q28" i="47"/>
  <c r="Q29" i="47" s="1"/>
  <c r="Q31" i="47" s="1"/>
  <c r="Q32" i="47" s="1"/>
  <c r="T28" i="47" l="1"/>
  <c r="T29" i="47" s="1"/>
  <c r="T31" i="47" s="1"/>
  <c r="T32" i="47" s="1"/>
  <c r="J28" i="47"/>
  <c r="J29" i="47" s="1"/>
  <c r="J31" i="47" s="1"/>
  <c r="J32" i="47" s="1"/>
  <c r="AC28" i="47"/>
  <c r="AC29" i="47" s="1"/>
  <c r="AC31" i="47" s="1"/>
  <c r="AC32" i="47" s="1"/>
  <c r="AT2" i="48" a="1"/>
  <c r="N33" i="48"/>
  <c r="U33" i="48"/>
  <c r="J33" i="48"/>
  <c r="I33" i="48"/>
  <c r="Q33" i="48"/>
  <c r="P33" i="48"/>
  <c r="AC33" i="48"/>
  <c r="H33" i="48"/>
  <c r="AA33" i="48"/>
  <c r="R33" i="48"/>
  <c r="Y33" i="48"/>
  <c r="F33" i="48"/>
  <c r="S33" i="48"/>
  <c r="V33" i="48"/>
  <c r="M33" i="48"/>
  <c r="T33" i="48"/>
  <c r="E33" i="48"/>
  <c r="X33" i="48"/>
  <c r="G33" i="48"/>
  <c r="W33" i="48"/>
  <c r="K33" i="48"/>
  <c r="L33" i="48"/>
  <c r="Z33" i="48"/>
  <c r="O33" i="48"/>
  <c r="AB33" i="48"/>
  <c r="Q33" i="47"/>
  <c r="Q34" i="47" s="1"/>
  <c r="Q35" i="47" s="1"/>
  <c r="W33" i="47"/>
  <c r="W34" i="47" s="1"/>
  <c r="W35" i="47" s="1"/>
  <c r="E33" i="47"/>
  <c r="AB33" i="47"/>
  <c r="AB34" i="47" s="1"/>
  <c r="AB35" i="47" s="1"/>
  <c r="P33" i="47"/>
  <c r="P34" i="47" s="1"/>
  <c r="P35" i="47" s="1"/>
  <c r="J33" i="47"/>
  <c r="J34" i="47" s="1"/>
  <c r="J35" i="47" s="1"/>
  <c r="I33" i="47"/>
  <c r="I34" i="47" s="1"/>
  <c r="I35" i="47" s="1"/>
  <c r="Z33" i="47"/>
  <c r="Z34" i="47" s="1"/>
  <c r="Z35" i="47" s="1"/>
  <c r="G33" i="47"/>
  <c r="G34" i="47" s="1"/>
  <c r="G35" i="47" s="1"/>
  <c r="R33" i="47"/>
  <c r="R34" i="47" s="1"/>
  <c r="R35" i="47" s="1"/>
  <c r="M33" i="47"/>
  <c r="F33" i="47"/>
  <c r="F34" i="47" s="1"/>
  <c r="F35" i="47" s="1"/>
  <c r="K33" i="47"/>
  <c r="K34" i="47" s="1"/>
  <c r="K35" i="47" s="1"/>
  <c r="U33" i="47"/>
  <c r="U34" i="47" s="1"/>
  <c r="U35" i="47" s="1"/>
  <c r="T33" i="47"/>
  <c r="O33" i="47"/>
  <c r="Y33" i="47"/>
  <c r="Y34" i="47" s="1"/>
  <c r="Y35" i="47" s="1"/>
  <c r="V33" i="47"/>
  <c r="V34" i="47" s="1"/>
  <c r="V35" i="47" s="1"/>
  <c r="AA33" i="47"/>
  <c r="AA34" i="47" s="1"/>
  <c r="AA35" i="47" s="1"/>
  <c r="S33" i="47"/>
  <c r="S34" i="47" s="1"/>
  <c r="S35" i="47" s="1"/>
  <c r="AC33" i="47"/>
  <c r="AC34" i="47" s="1"/>
  <c r="AC35" i="47" s="1"/>
  <c r="X33" i="47"/>
  <c r="L33" i="47"/>
  <c r="H33" i="47"/>
  <c r="H34" i="47" s="1"/>
  <c r="H35" i="47" s="1"/>
  <c r="N33" i="47"/>
  <c r="N34" i="47" s="1"/>
  <c r="N35" i="47" s="1"/>
  <c r="BI2" i="47" a="1"/>
  <c r="T34" i="47"/>
  <c r="T35" i="47" s="1"/>
  <c r="O34" i="47"/>
  <c r="O35" i="47" s="1"/>
  <c r="L34" i="47"/>
  <c r="L35" i="47" s="1"/>
  <c r="M34" i="47"/>
  <c r="M35" i="47" s="1"/>
  <c r="X34" i="47"/>
  <c r="X35" i="47" s="1"/>
  <c r="E31" i="47"/>
  <c r="E32" i="47" s="1"/>
  <c r="BI2" i="47" l="1"/>
  <c r="L3" i="2" s="1"/>
  <c r="C3" i="2" s="1"/>
  <c r="E3" i="2" s="1"/>
  <c r="L41" i="2"/>
  <c r="C41" i="2" s="1"/>
  <c r="E41" i="2" s="1"/>
  <c r="L29" i="2"/>
  <c r="C29" i="2" s="1"/>
  <c r="E29" i="2" s="1"/>
  <c r="L19" i="2"/>
  <c r="C19" i="2" s="1"/>
  <c r="E19" i="2" s="1"/>
  <c r="L31" i="2"/>
  <c r="C31" i="2" s="1"/>
  <c r="E31" i="2" s="1"/>
  <c r="L37" i="2"/>
  <c r="C37" i="2" s="1"/>
  <c r="E37" i="2" s="1"/>
  <c r="L42" i="2"/>
  <c r="C42" i="2" s="1"/>
  <c r="E42" i="2" s="1"/>
  <c r="L32" i="2"/>
  <c r="C32" i="2" s="1"/>
  <c r="E32" i="2" s="1"/>
  <c r="L4" i="2"/>
  <c r="C4" i="2" s="1"/>
  <c r="E4" i="2" s="1"/>
  <c r="L22" i="2"/>
  <c r="C22" i="2" s="1"/>
  <c r="E22" i="2" s="1"/>
  <c r="L8" i="2"/>
  <c r="C8" i="2" s="1"/>
  <c r="E8" i="2" s="1"/>
  <c r="L25" i="2"/>
  <c r="C25" i="2" s="1"/>
  <c r="E25" i="2" s="1"/>
  <c r="L33" i="2"/>
  <c r="C33" i="2" s="1"/>
  <c r="E33" i="2" s="1"/>
  <c r="L23" i="2"/>
  <c r="C23" i="2" s="1"/>
  <c r="E23" i="2" s="1"/>
  <c r="L24" i="2"/>
  <c r="C24" i="2" s="1"/>
  <c r="E24" i="2" s="1"/>
  <c r="L14" i="2"/>
  <c r="C14" i="2" s="1"/>
  <c r="E14" i="2" s="1"/>
  <c r="L17" i="2"/>
  <c r="C17" i="2" s="1"/>
  <c r="E17" i="2" s="1"/>
  <c r="L39" i="2"/>
  <c r="C39" i="2" s="1"/>
  <c r="E39" i="2" s="1"/>
  <c r="L10" i="2"/>
  <c r="C10" i="2" s="1"/>
  <c r="E10" i="2" s="1"/>
  <c r="L40" i="2"/>
  <c r="C40" i="2" s="1"/>
  <c r="E40" i="2" s="1"/>
  <c r="L36" i="2"/>
  <c r="C36" i="2" s="1"/>
  <c r="E36" i="2" s="1"/>
  <c r="L7" i="2"/>
  <c r="C7" i="2" s="1"/>
  <c r="E7" i="2" s="1"/>
  <c r="L43" i="2"/>
  <c r="C43" i="2" s="1"/>
  <c r="E43" i="2" s="1"/>
  <c r="L15" i="2"/>
  <c r="C15" i="2" s="1"/>
  <c r="E15" i="2" s="1"/>
  <c r="L6" i="2"/>
  <c r="C6" i="2" s="1"/>
  <c r="E6" i="2" s="1"/>
  <c r="L12" i="2"/>
  <c r="C12" i="2" s="1"/>
  <c r="E12" i="2" s="1"/>
  <c r="L28" i="2"/>
  <c r="C28" i="2" s="1"/>
  <c r="E28" i="2" s="1"/>
  <c r="L11" i="2"/>
  <c r="C11" i="2" s="1"/>
  <c r="E11" i="2" s="1"/>
  <c r="L34" i="2"/>
  <c r="C34" i="2" s="1"/>
  <c r="E34" i="2" s="1"/>
  <c r="L35" i="2"/>
  <c r="C35" i="2" s="1"/>
  <c r="E35" i="2" s="1"/>
  <c r="L44" i="2"/>
  <c r="C44" i="2" s="1"/>
  <c r="E44" i="2" s="1"/>
  <c r="L13" i="2"/>
  <c r="C13" i="2" s="1"/>
  <c r="E13" i="2" s="1"/>
  <c r="L45" i="2"/>
  <c r="C45" i="2" s="1"/>
  <c r="E45" i="2" s="1"/>
  <c r="L27" i="2"/>
  <c r="C27" i="2" s="1"/>
  <c r="E27" i="2" s="1"/>
  <c r="L20" i="2"/>
  <c r="C20" i="2" s="1"/>
  <c r="E20" i="2" s="1"/>
  <c r="L21" i="2"/>
  <c r="C21" i="2" s="1"/>
  <c r="E21" i="2" s="1"/>
  <c r="L9" i="2"/>
  <c r="C9" i="2" s="1"/>
  <c r="E9" i="2" s="1"/>
  <c r="L5" i="2"/>
  <c r="C5" i="2" s="1"/>
  <c r="E5" i="2" s="1"/>
  <c r="L38" i="2"/>
  <c r="C38" i="2" s="1"/>
  <c r="E38" i="2" s="1"/>
  <c r="L26" i="2"/>
  <c r="C26" i="2" s="1"/>
  <c r="E26" i="2" s="1"/>
  <c r="L18" i="2"/>
  <c r="C18" i="2" s="1"/>
  <c r="E18" i="2" s="1"/>
  <c r="L30" i="2"/>
  <c r="C30" i="2" s="1"/>
  <c r="E30" i="2" s="1"/>
  <c r="L16" i="2"/>
  <c r="C16" i="2" s="1"/>
  <c r="E16" i="2" s="1"/>
  <c r="E34" i="47"/>
  <c r="E35" i="47" s="1"/>
  <c r="E38" i="47" s="1"/>
  <c r="B17" i="49"/>
  <c r="B18" i="49" s="1"/>
  <c r="M15" i="2"/>
  <c r="D15" i="2" s="1"/>
  <c r="F15" i="2" s="1"/>
  <c r="M19" i="2"/>
  <c r="D19" i="2" s="1"/>
  <c r="F19" i="2" s="1"/>
  <c r="M12" i="2"/>
  <c r="D12" i="2" s="1"/>
  <c r="F12" i="2" s="1"/>
  <c r="M16" i="2"/>
  <c r="D16" i="2" s="1"/>
  <c r="F16" i="2" s="1"/>
  <c r="M29" i="2"/>
  <c r="D29" i="2" s="1"/>
  <c r="F29" i="2" s="1"/>
  <c r="AT2" i="48"/>
  <c r="M3" i="2" s="1"/>
  <c r="D3" i="2" s="1"/>
  <c r="F3" i="2" s="1"/>
  <c r="M7" i="2"/>
  <c r="D7" i="2" s="1"/>
  <c r="F7" i="2" s="1"/>
  <c r="M27" i="2"/>
  <c r="D27" i="2" s="1"/>
  <c r="F27" i="2" s="1"/>
  <c r="M24" i="2"/>
  <c r="D24" i="2" s="1"/>
  <c r="F24" i="2" s="1"/>
  <c r="M5" i="2"/>
  <c r="D5" i="2" s="1"/>
  <c r="F5" i="2" s="1"/>
  <c r="M25" i="2"/>
  <c r="D25" i="2" s="1"/>
  <c r="F25" i="2" s="1"/>
  <c r="M4" i="2"/>
  <c r="D4" i="2" s="1"/>
  <c r="F4" i="2" s="1"/>
  <c r="M8" i="2"/>
  <c r="D8" i="2" s="1"/>
  <c r="F8" i="2" s="1"/>
  <c r="M13" i="2"/>
  <c r="D13" i="2" s="1"/>
  <c r="F13" i="2" s="1"/>
  <c r="M14" i="2"/>
  <c r="D14" i="2" s="1"/>
  <c r="F14" i="2" s="1"/>
  <c r="M26" i="2"/>
  <c r="D26" i="2" s="1"/>
  <c r="F26" i="2" s="1"/>
  <c r="M17" i="2"/>
  <c r="D17" i="2" s="1"/>
  <c r="F17" i="2" s="1"/>
  <c r="M20" i="2"/>
  <c r="D20" i="2" s="1"/>
  <c r="F20" i="2" s="1"/>
  <c r="M28" i="2"/>
  <c r="D28" i="2" s="1"/>
  <c r="F28" i="2" s="1"/>
  <c r="M21" i="2"/>
  <c r="D21" i="2" s="1"/>
  <c r="F21" i="2" s="1"/>
  <c r="M22" i="2"/>
  <c r="D22" i="2" s="1"/>
  <c r="F22" i="2" s="1"/>
  <c r="M9" i="2"/>
  <c r="D9" i="2" s="1"/>
  <c r="F9" i="2" s="1"/>
  <c r="M10" i="2"/>
  <c r="D10" i="2" s="1"/>
  <c r="F10" i="2" s="1"/>
  <c r="M11" i="2"/>
  <c r="D11" i="2" s="1"/>
  <c r="F11" i="2" s="1"/>
  <c r="M6" i="2"/>
  <c r="D6" i="2" s="1"/>
  <c r="F6" i="2" s="1"/>
  <c r="M18" i="2"/>
  <c r="D18" i="2" s="1"/>
  <c r="F18" i="2" s="1"/>
  <c r="M30" i="2"/>
  <c r="D30" i="2" s="1"/>
  <c r="F30" i="2" s="1"/>
  <c r="M23" i="2"/>
  <c r="D23" i="2" s="1"/>
  <c r="F23" i="2" s="1"/>
  <c r="K30" i="48" l="1"/>
  <c r="K31" i="48" s="1"/>
  <c r="K32" i="48" s="1"/>
  <c r="K34" i="48" s="1"/>
  <c r="K35" i="48" s="1"/>
  <c r="T30" i="48"/>
  <c r="T31" i="48" s="1"/>
  <c r="T32" i="48" s="1"/>
  <c r="T34" i="48" s="1"/>
  <c r="T35" i="48" s="1"/>
  <c r="Z30" i="48"/>
  <c r="Z31" i="48" s="1"/>
  <c r="Z32" i="48" s="1"/>
  <c r="Z34" i="48" s="1"/>
  <c r="Z35" i="48" s="1"/>
  <c r="V30" i="48"/>
  <c r="V31" i="48" s="1"/>
  <c r="V32" i="48" s="1"/>
  <c r="V34" i="48" s="1"/>
  <c r="V35" i="48" s="1"/>
  <c r="B19" i="49"/>
  <c r="J30" i="48"/>
  <c r="J31" i="48" s="1"/>
  <c r="J32" i="48" s="1"/>
  <c r="J34" i="48" s="1"/>
  <c r="J35" i="48" s="1"/>
  <c r="G30" i="48"/>
  <c r="G31" i="48" s="1"/>
  <c r="G32" i="48" s="1"/>
  <c r="G34" i="48" s="1"/>
  <c r="G35" i="48" s="1"/>
  <c r="U30" i="48"/>
  <c r="U31" i="48" s="1"/>
  <c r="U32" i="48" s="1"/>
  <c r="U34" i="48" s="1"/>
  <c r="U35" i="48" s="1"/>
  <c r="F30" i="48"/>
  <c r="F31" i="48" s="1"/>
  <c r="F32" i="48" s="1"/>
  <c r="F34" i="48" s="1"/>
  <c r="F35" i="48" s="1"/>
  <c r="W30" i="48"/>
  <c r="W31" i="48" s="1"/>
  <c r="W32" i="48" s="1"/>
  <c r="W34" i="48" s="1"/>
  <c r="W35" i="48" s="1"/>
  <c r="AA30" i="48"/>
  <c r="AA31" i="48" s="1"/>
  <c r="AA32" i="48" s="1"/>
  <c r="AA34" i="48" s="1"/>
  <c r="AA35" i="48" s="1"/>
  <c r="Q30" i="48"/>
  <c r="Q31" i="48" s="1"/>
  <c r="Q32" i="48" s="1"/>
  <c r="Q34" i="48" s="1"/>
  <c r="Q35" i="48" s="1"/>
  <c r="P30" i="48"/>
  <c r="P31" i="48" s="1"/>
  <c r="P32" i="48" s="1"/>
  <c r="P34" i="48" s="1"/>
  <c r="P35" i="48" s="1"/>
  <c r="O30" i="48"/>
  <c r="O31" i="48" s="1"/>
  <c r="O32" i="48" s="1"/>
  <c r="O34" i="48" s="1"/>
  <c r="O35" i="48" s="1"/>
  <c r="S30" i="48"/>
  <c r="S31" i="48" s="1"/>
  <c r="S32" i="48" s="1"/>
  <c r="S34" i="48" s="1"/>
  <c r="S35" i="48" s="1"/>
  <c r="H30" i="48"/>
  <c r="H31" i="48" s="1"/>
  <c r="H32" i="48" s="1"/>
  <c r="H34" i="48" s="1"/>
  <c r="H35" i="48" s="1"/>
  <c r="Y30" i="48"/>
  <c r="Y31" i="48" s="1"/>
  <c r="Y32" i="48" s="1"/>
  <c r="Y34" i="48" s="1"/>
  <c r="Y35" i="48" s="1"/>
  <c r="M30" i="48"/>
  <c r="M31" i="48" s="1"/>
  <c r="M32" i="48" s="1"/>
  <c r="M34" i="48" s="1"/>
  <c r="M35" i="48" s="1"/>
  <c r="E30" i="48"/>
  <c r="E31" i="48" s="1"/>
  <c r="E32" i="48" s="1"/>
  <c r="E34" i="48" s="1"/>
  <c r="E35" i="48" s="1"/>
  <c r="N30" i="48"/>
  <c r="N31" i="48" s="1"/>
  <c r="N32" i="48" s="1"/>
  <c r="N34" i="48" s="1"/>
  <c r="N35" i="48" s="1"/>
  <c r="AB30" i="48"/>
  <c r="AB31" i="48" s="1"/>
  <c r="AB32" i="48" s="1"/>
  <c r="AB34" i="48" s="1"/>
  <c r="AB35" i="48" s="1"/>
  <c r="R30" i="48"/>
  <c r="R31" i="48" s="1"/>
  <c r="R32" i="48" s="1"/>
  <c r="R34" i="48" s="1"/>
  <c r="R35" i="48" s="1"/>
  <c r="I30" i="48"/>
  <c r="I31" i="48" s="1"/>
  <c r="I32" i="48" s="1"/>
  <c r="I34" i="48" s="1"/>
  <c r="I35" i="48" s="1"/>
  <c r="X30" i="48"/>
  <c r="X31" i="48" s="1"/>
  <c r="X32" i="48" s="1"/>
  <c r="X34" i="48" s="1"/>
  <c r="X35" i="48" s="1"/>
  <c r="AC30" i="48"/>
  <c r="AC31" i="48" s="1"/>
  <c r="AC32" i="48" s="1"/>
  <c r="AC34" i="48" s="1"/>
  <c r="AC35" i="48" s="1"/>
  <c r="L30" i="48"/>
  <c r="L31" i="48" s="1"/>
  <c r="L32" i="48" s="1"/>
  <c r="L34" i="48" s="1"/>
  <c r="L35" i="48" s="1"/>
  <c r="F3" i="33"/>
  <c r="J3" i="33"/>
  <c r="W3" i="33"/>
  <c r="U3" i="33"/>
  <c r="I3" i="33"/>
  <c r="G3" i="33"/>
  <c r="L3" i="33"/>
  <c r="AD3" i="33"/>
  <c r="AB3" i="33"/>
  <c r="P3" i="33"/>
  <c r="E3" i="33"/>
  <c r="H3" i="33"/>
  <c r="AN3" i="33"/>
  <c r="AH3" i="33"/>
  <c r="AC3" i="33"/>
  <c r="AQ3" i="33"/>
  <c r="AT3" i="33"/>
  <c r="AV3" i="33"/>
  <c r="AY3" i="33"/>
  <c r="Y3" i="33"/>
  <c r="C3" i="30" a="1"/>
  <c r="C3" i="30" s="1"/>
  <c r="AS3" i="33"/>
  <c r="AE3" i="33"/>
  <c r="AJ3" i="33"/>
  <c r="O3" i="33"/>
  <c r="K3" i="33"/>
  <c r="M3" i="33"/>
  <c r="Q3" i="33"/>
  <c r="Z3" i="33"/>
  <c r="AO3" i="33"/>
  <c r="AF3" i="33"/>
  <c r="C3" i="33"/>
  <c r="AG3" i="33"/>
  <c r="T3" i="33"/>
  <c r="AW3" i="33"/>
  <c r="AP3" i="33"/>
  <c r="AA3" i="33"/>
  <c r="S3" i="33"/>
  <c r="V3" i="33"/>
  <c r="AR3" i="33"/>
  <c r="R3" i="33"/>
  <c r="N3" i="33"/>
  <c r="AZ3" i="33"/>
  <c r="B3" i="33"/>
  <c r="AX3" i="33"/>
  <c r="AU3" i="33"/>
  <c r="AL3" i="33"/>
  <c r="X3" i="33"/>
  <c r="D3" i="33"/>
  <c r="AM3" i="33"/>
  <c r="AK3" i="33"/>
  <c r="AI3" i="33"/>
  <c r="E2" i="33"/>
  <c r="C2" i="33"/>
  <c r="D2" i="33"/>
  <c r="B2" i="33"/>
  <c r="N2" i="33"/>
  <c r="AX2" i="33"/>
  <c r="AZ2" i="33"/>
  <c r="AO2" i="33"/>
  <c r="U2" i="33"/>
  <c r="AN2" i="33"/>
  <c r="Y2" i="33"/>
  <c r="AS2" i="33"/>
  <c r="AL2" i="33"/>
  <c r="T2" i="33"/>
  <c r="L2" i="33"/>
  <c r="AI2" i="33"/>
  <c r="AK2" i="33"/>
  <c r="R2" i="33"/>
  <c r="G2" i="33"/>
  <c r="Q2" i="33"/>
  <c r="AA2" i="33"/>
  <c r="W2" i="33"/>
  <c r="AV2" i="33"/>
  <c r="AP2" i="33"/>
  <c r="AY2" i="33"/>
  <c r="AT2" i="33"/>
  <c r="M2" i="33"/>
  <c r="C2" i="30" a="1"/>
  <c r="C2" i="30" s="1"/>
  <c r="AH2" i="33"/>
  <c r="AB2" i="33"/>
  <c r="AM2" i="33"/>
  <c r="V2" i="33"/>
  <c r="J2" i="33"/>
  <c r="AJ2" i="33"/>
  <c r="Z2" i="33"/>
  <c r="AD2" i="33"/>
  <c r="I2" i="33"/>
  <c r="AC2" i="33"/>
  <c r="AR2" i="33"/>
  <c r="K2" i="33"/>
  <c r="X2" i="33"/>
  <c r="AU2" i="33"/>
  <c r="S2" i="33"/>
  <c r="O2" i="33"/>
  <c r="AE2" i="33"/>
  <c r="AG2" i="33"/>
  <c r="F2" i="33"/>
  <c r="AW2" i="33"/>
  <c r="AF2" i="33"/>
  <c r="H2" i="33"/>
  <c r="AQ2" i="33"/>
  <c r="P2" i="33"/>
  <c r="E38" i="4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<sst xmlns="http://schemas.openxmlformats.org/spreadsheetml/2006/main" count="1376" uniqueCount="253">
  <si>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</si>
  <si>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</si>
  <si>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</si>
  <si>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</si>
  <si>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</si>
  <si>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</si>
  <si>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</si>
  <si>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</si>
  <si>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</si>
  <si>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</si>
  <si>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</si>
  <si>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</si>
  <si>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</si>
  <si>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</si>
  <si>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</si>
  <si>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</si>
  <si>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</si>
  <si>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</si>
  <si>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</si>
  <si>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</si>
  <si>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</si>
  <si>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</si>
  <si>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</si>
  <si>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</si>
  <si>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</si>
  <si>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</si>
  <si>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</si>
  <si>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</si>
  <si>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</si>
  <si>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</si>
  <si>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</si>
  <si>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</si>
  <si>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</si>
  <si>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</si>
  <si>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</si>
  <si>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</si>
  <si>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</si>
  <si>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</si>
  <si>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</si>
  <si>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</si>
  <si>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</si>
  <si>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</si>
  <si>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</si>
  <si>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</si>
  <si>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&lt;-- If we download a report from a source, ex: Djøf, we will store it here and will not directly edit it</t>
  </si>
  <si>
    <t>Table Colors</t>
  </si>
  <si>
    <t>Uploaded to Python</t>
  </si>
  <si>
    <t>Raw Report</t>
  </si>
  <si>
    <t>Calculation</t>
  </si>
  <si>
    <t>Not Uploaded to Python</t>
  </si>
  <si>
    <t>Age</t>
  </si>
  <si>
    <t>Age Group</t>
  </si>
  <si>
    <t>Finance Workers</t>
  </si>
  <si>
    <t>Finance Hoppers</t>
  </si>
  <si>
    <t>FH/FW</t>
  </si>
  <si>
    <t>FH/FV</t>
  </si>
  <si>
    <t>Raw Report with Key</t>
  </si>
  <si>
    <t>&lt;-- Raw Report but a column has been added for lookups</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</si>
  <si>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</si>
  <si>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</si>
  <si>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</si>
  <si>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</si>
  <si>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</si>
  <si>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</si>
  <si>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</si>
  <si>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</si>
  <si>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</si>
  <si>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</si>
  <si>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</si>
  <si>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</si>
  <si>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</si>
  <si>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</si>
  <si>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</si>
  <si>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</si>
  <si>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</si>
  <si>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</si>
  <si>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</si>
  <si>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</si>
  <si>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</si>
  <si>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</si>
  <si>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</si>
  <si>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</si>
  <si>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</si>
  <si>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</si>
  <si>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</si>
  <si>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</si>
  <si>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</si>
  <si>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</si>
  <si>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</si>
  <si>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</si>
  <si>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</si>
  <si>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</si>
  <si>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</si>
  <si>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</si>
  <si>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</si>
  <si>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</si>
  <si>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</si>
  <si>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</si>
  <si>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</si>
  <si>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</si>
  <si>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</si>
  <si>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</si>
  <si>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</si>
  <si>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</si>
  <si>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</si>
  <si>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</si>
  <si>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</si>
  <si>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</si>
  <si>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</si>
  <si>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</si>
  <si>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</si>
  <si>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</si>
  <si>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</si>
  <si>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</si>
  <si>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</si>
  <si>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</si>
  <si>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</si>
  <si>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</si>
  <si>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</si>
  <si>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</si>
  <si>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</si>
  <si>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</si>
  <si>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</si>
  <si>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</si>
  <si>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</si>
  <si>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</si>
  <si>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</si>
  <si>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</si>
  <si>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</si>
  <si>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</si>
  <si>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</si>
  <si>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</si>
  <si>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</si>
  <si>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</si>
  <si>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</si>
  <si>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</si>
  <si>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</si>
  <si>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</si>
  <si>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</si>
  <si>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</si>
  <si>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</si>
  <si>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</si>
  <si>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</si>
  <si>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</si>
  <si>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</si>
  <si>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</si>
  <si>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</si>
  <si>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</si>
  <si>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</si>
  <si>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</si>
  <si>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</si>
  <si>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</si>
  <si>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</si>
  <si>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</si>
  <si>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</si>
  <si>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</si>
  <si>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</si>
  <si>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</si>
  <si>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</si>
  <si>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</si>
  <si>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</si>
  <si>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</si>
  <si>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</si>
  <si>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</si>
  <si>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</si>
  <si>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</si>
  <si>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</si>
  <si>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</si>
  <si>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</si>
  <si>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</si>
  <si>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</si>
  <si>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</si>
  <si>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</si>
  <si>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</si>
  <si>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</si>
  <si>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</si>
  <si>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</si>
  <si>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</si>
  <si>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</si>
  <si>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</si>
  <si>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</si>
  <si>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</si>
  <si>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</si>
  <si>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</si>
  <si>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</si>
  <si>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</si>
  <si>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</si>
  <si>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Total Contribution (ratepension)</t>
  </si>
  <si>
    <t>per month (gross)</t>
  </si>
  <si>
    <t>Ratepension</t>
  </si>
  <si>
    <t>Yearly Salary</t>
  </si>
  <si>
    <t>Post Pension</t>
  </si>
  <si>
    <t>AM (%)</t>
  </si>
  <si>
    <t>Municipal Tax</t>
  </si>
  <si>
    <t>Top State Tax</t>
  </si>
  <si>
    <t>Bottom State Tax</t>
  </si>
  <si>
    <t>Total Tax</t>
  </si>
  <si>
    <t>Post Tax Salary</t>
  </si>
  <si>
    <t>Aldersopsparing</t>
  </si>
  <si>
    <t xml:space="preserve">Aldersopsparing max </t>
  </si>
  <si>
    <t>Month Salary (Inflation Adjusted)</t>
  </si>
  <si>
    <t>Net Salary (Yearly)</t>
  </si>
  <si>
    <t>Net Salary (Monthly)</t>
  </si>
  <si>
    <t>Public Pension Average Monthly</t>
  </si>
  <si>
    <t>Taxed in Retirement?</t>
  </si>
  <si>
    <t>No</t>
  </si>
  <si>
    <t>Yes</t>
  </si>
  <si>
    <t>Income tax</t>
  </si>
  <si>
    <t>Public Pension Average Yearly</t>
  </si>
  <si>
    <t>Monthly Salary</t>
  </si>
  <si>
    <t>Yearly Salary Inflation Adjusted</t>
  </si>
  <si>
    <t>Aldersopsparing benefit</t>
  </si>
  <si>
    <t>Last Yearly Income from Work</t>
  </si>
  <si>
    <t>Diff</t>
  </si>
  <si>
    <t>To be financed</t>
  </si>
  <si>
    <t>helper for other column, do not remove --&gt;</t>
  </si>
  <si>
    <t>taken from sum of Net Salary P1 page</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</si>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</sst>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00"/>
    <numFmt numFmtId="165" formatCode="0.00000"/>
    <numFmt numFmtId="166" formatCode="0.000000"/>
  </numFmts>
  <fonts count="12"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sz val="10"/>
      <color theme="1"/>
      <name val="Arial"/>
      <family val="2"/>
    </font>
    <font>
      <u/>
      <sz val="11"/>
      <color theme="10"/>
      <name val="Aptos Narrow"/>
      <family val="2"/>
      <scheme val="minor"/>
    </font>
    <font>
      <sz val="11"/>
      <name val="Aptos Narrow"/>
      <family val="2"/>
      <scheme val="minor"/>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1">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right style="thin">
        <color theme="1"/>
      </right>
      <top style="thin">
        <color theme="1"/>
      </top>
      <bottom style="thin">
        <color theme="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xf numFmtId="0" fontId="10" fillId="0" borderId="0" applyNumberFormat="0" applyFill="0" applyBorder="0" applyAlignment="0" applyProtection="0"/>
  </cellStyleXfs>
  <cellXfs count="75">
    <xf numFmtId="0" fontId="0" fillId="0" borderId="0" xfId="0"/>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43" fontId="0" fillId="0" borderId="0" xfId="1" applyFont="1"/>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9" xfId="0" applyBorder="1" applyAlignment="1">
      <alignment horizontal="center"/>
    </xf>
    <xf numFmtId="49" fontId="0" fillId="0" borderId="0" xfId="0" applyNumberFormat="1"/>
    <xf numFmtId="0" fontId="0" fillId="0" borderId="0" xfId="0" quotePrefix="1"/>
    <xf numFmtId="2" fontId="0" fillId="0" borderId="0" xfId="0" applyNumberFormat="1"/>
    <xf numFmtId="164" fontId="0" fillId="0" borderId="0" xfId="0" applyNumberFormat="1"/>
    <xf numFmtId="165" fontId="0" fillId="0" borderId="0" xfId="0" applyNumberFormat="1"/>
    <xf numFmtId="166"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166" fontId="7" fillId="0" borderId="0" xfId="0" applyNumberFormat="1" applyFont="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1" xfId="0" applyFont="1" applyBorder="1"/>
    <xf numFmtId="0" fontId="7" fillId="0" borderId="12" xfId="0" applyFont="1" applyBorder="1"/>
    <xf numFmtId="0" fontId="0" fillId="0" borderId="13" xfId="0" applyBorder="1" applyAlignment="1">
      <alignment horizontal="left" indent="1"/>
    </xf>
    <xf numFmtId="10" fontId="0" fillId="0" borderId="10" xfId="2" applyNumberFormat="1" applyFont="1" applyBorder="1"/>
    <xf numFmtId="10" fontId="0" fillId="0" borderId="14" xfId="0" applyNumberFormat="1" applyBorder="1"/>
    <xf numFmtId="4" fontId="0" fillId="0" borderId="15" xfId="0" applyNumberFormat="1" applyBorder="1"/>
    <xf numFmtId="0" fontId="0" fillId="0" borderId="17" xfId="0" applyBorder="1" applyAlignment="1">
      <alignment horizontal="left" indent="1"/>
    </xf>
    <xf numFmtId="10" fontId="0" fillId="0" borderId="16" xfId="2" applyNumberFormat="1" applyFont="1" applyBorder="1"/>
    <xf numFmtId="0" fontId="0" fillId="0" borderId="18" xfId="0" applyBorder="1" applyAlignment="1">
      <alignment horizontal="left" indent="1"/>
    </xf>
    <xf numFmtId="10" fontId="0" fillId="0" borderId="19" xfId="2" applyNumberFormat="1" applyFont="1" applyBorder="1"/>
    <xf numFmtId="4" fontId="0" fillId="0" borderId="19" xfId="1" applyNumberFormat="1" applyFont="1" applyBorder="1"/>
    <xf numFmtId="4" fontId="0" fillId="0" borderId="19" xfId="0" applyNumberFormat="1" applyBorder="1"/>
    <xf numFmtId="10" fontId="0" fillId="0" borderId="19" xfId="0" applyNumberFormat="1" applyBorder="1"/>
    <xf numFmtId="4" fontId="0" fillId="0" borderId="16" xfId="2" applyNumberFormat="1" applyFont="1" applyBorder="1"/>
    <xf numFmtId="4" fontId="0" fillId="2" borderId="0" xfId="2" applyNumberFormat="1" applyFont="1" applyFill="1"/>
    <xf numFmtId="0" fontId="10" fillId="2" borderId="0" xfId="6" applyFill="1"/>
    <xf numFmtId="0" fontId="0" fillId="2" borderId="20" xfId="0" applyFill="1" applyBorder="1" applyAlignment="1">
      <alignment horizontal="left" indent="1"/>
    </xf>
    <xf numFmtId="0" fontId="0" fillId="2" borderId="20" xfId="0" applyFill="1" applyBorder="1"/>
    <xf numFmtId="0" fontId="0" fillId="2" borderId="15" xfId="0" applyFill="1" applyBorder="1"/>
    <xf numFmtId="0" fontId="7" fillId="11" borderId="10" xfId="0" applyFont="1" applyFill="1" applyBorder="1"/>
    <xf numFmtId="0" fontId="10" fillId="6" borderId="20" xfId="6" applyFill="1" applyBorder="1" applyAlignment="1">
      <alignment horizontal="left" indent="1"/>
    </xf>
    <xf numFmtId="0" fontId="0" fillId="6" borderId="6" xfId="0" applyFill="1" applyBorder="1"/>
    <xf numFmtId="0" fontId="0" fillId="7" borderId="6" xfId="0" applyFill="1" applyBorder="1"/>
    <xf numFmtId="0" fontId="0" fillId="8" borderId="6" xfId="0" applyFill="1" applyBorder="1"/>
    <xf numFmtId="0" fontId="11" fillId="9" borderId="6" xfId="3" applyFont="1"/>
    <xf numFmtId="0" fontId="11" fillId="9" borderId="10" xfId="3" applyFont="1" applyBorder="1" applyAlignment="1">
      <alignment horizontal="left" indent="1"/>
    </xf>
    <xf numFmtId="0" fontId="10" fillId="8" borderId="20" xfId="6" applyFill="1" applyBorder="1" applyAlignment="1">
      <alignment horizontal="left" indent="1"/>
    </xf>
    <xf numFmtId="0" fontId="7" fillId="12" borderId="10" xfId="0" applyFont="1" applyFill="1" applyBorder="1"/>
    <xf numFmtId="0" fontId="4" fillId="2" borderId="0" xfId="0" applyFont="1" applyFill="1" applyAlignment="1">
      <alignment vertical="center"/>
    </xf>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7">
    <cellStyle name="Comma" xfId="1" builtinId="3"/>
    <cellStyle name="Hyperlink" xfId="6" builtinId="8"/>
    <cellStyle name="Input" xfId="3" builtinId="20"/>
    <cellStyle name="Normal" xfId="0" builtinId="0"/>
    <cellStyle name="Normal 2" xfId="5" xr:uid="{41E29A97-4811-40B2-832B-A941F46C3049}"/>
    <cellStyle name="Output" xfId="4" builtinId="21"/>
    <cellStyle name="Percent" xfId="2" builtinId="5"/>
  </cellStyles>
  <dxfs count="57">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xml"/><Relationship Id="rId21" Type="http://schemas.openxmlformats.org/officeDocument/2006/relationships/worksheet" Target="worksheets/sheet21.xml"/><Relationship Id="rId42" Type="http://schemas.openxmlformats.org/officeDocument/2006/relationships/externalLink" Target="externalLinks/externalLink18.xml"/><Relationship Id="rId47" Type="http://schemas.openxmlformats.org/officeDocument/2006/relationships/externalLink" Target="externalLinks/externalLink23.xml"/><Relationship Id="rId63" Type="http://schemas.openxmlformats.org/officeDocument/2006/relationships/sharedStrings" Target="sharedStrings.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externalLink" Target="externalLinks/externalLink21.xml"/><Relationship Id="rId53" Type="http://schemas.openxmlformats.org/officeDocument/2006/relationships/externalLink" Target="externalLinks/externalLink29.xml"/><Relationship Id="rId58" Type="http://schemas.openxmlformats.org/officeDocument/2006/relationships/externalLink" Target="externalLinks/externalLink34.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48" Type="http://schemas.openxmlformats.org/officeDocument/2006/relationships/externalLink" Target="externalLinks/externalLink24.xml"/><Relationship Id="rId56" Type="http://schemas.openxmlformats.org/officeDocument/2006/relationships/externalLink" Target="externalLinks/externalLink32.xml"/><Relationship Id="rId64" Type="http://schemas.openxmlformats.org/officeDocument/2006/relationships/sheetMetadata" Target="metadata.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externalLink" Target="externalLinks/externalLink2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externalLink" Target="externalLinks/externalLink22.xml"/><Relationship Id="rId59" Type="http://schemas.openxmlformats.org/officeDocument/2006/relationships/externalLink" Target="externalLinks/externalLink35.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externalLink" Target="externalLinks/externalLink17.xml"/><Relationship Id="rId54" Type="http://schemas.openxmlformats.org/officeDocument/2006/relationships/externalLink" Target="externalLinks/externalLink30.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49" Type="http://schemas.openxmlformats.org/officeDocument/2006/relationships/externalLink" Target="externalLinks/externalLink25.xml"/><Relationship Id="rId57" Type="http://schemas.openxmlformats.org/officeDocument/2006/relationships/externalLink" Target="externalLinks/externalLink33.xml"/><Relationship Id="rId10" Type="http://schemas.openxmlformats.org/officeDocument/2006/relationships/worksheet" Target="worksheets/sheet10.xml"/><Relationship Id="rId31" Type="http://schemas.openxmlformats.org/officeDocument/2006/relationships/externalLink" Target="externalLinks/externalLink7.xml"/><Relationship Id="rId44" Type="http://schemas.openxmlformats.org/officeDocument/2006/relationships/externalLink" Target="externalLinks/externalLink20.xml"/><Relationship Id="rId52" Type="http://schemas.openxmlformats.org/officeDocument/2006/relationships/externalLink" Target="externalLinks/externalLink28.xml"/><Relationship Id="rId60" Type="http://schemas.openxmlformats.org/officeDocument/2006/relationships/externalLink" Target="externalLinks/externalLink36.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5.xml"/><Relationship Id="rId34" Type="http://schemas.openxmlformats.org/officeDocument/2006/relationships/externalLink" Target="externalLinks/externalLink10.xml"/><Relationship Id="rId50" Type="http://schemas.openxmlformats.org/officeDocument/2006/relationships/externalLink" Target="externalLinks/externalLink26.xml"/><Relationship Id="rId55" Type="http://schemas.openxmlformats.org/officeDocument/2006/relationships/externalLink" Target="externalLinks/externalLink3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19</xdr:col>
      <xdr:colOff>222405</xdr:colOff>
      <xdr:row>3</xdr:row>
      <xdr:rowOff>160385</xdr:rowOff>
    </xdr:from>
    <xdr:to>
      <xdr:col>24</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15</xdr:col>
      <xdr:colOff>1341549</xdr:colOff>
      <xdr:row>1</xdr:row>
      <xdr:rowOff>143098</xdr:rowOff>
    </xdr:from>
    <xdr:to>
      <xdr:col>19</xdr:col>
      <xdr:colOff>304084</xdr:colOff>
      <xdr:row>7</xdr:row>
      <xdr:rowOff>17887</xdr:rowOff>
    </xdr:to>
    <xdr:cxnSp macro="">
      <xdr:nvCxnSpPr>
        <xdr:cNvPr id="5" name="Straight Arrow Connector 4">
          <a:extLst>
            <a:ext uri="{FF2B5EF4-FFF2-40B4-BE49-F238E27FC236}">
              <a16:creationId xmlns:a16="http://schemas.microsoft.com/office/drawing/2014/main" id="{BF0F1574-FB35-545B-0984-B31589A6D8FA}"/>
            </a:ext>
          </a:extLst>
        </xdr:cNvPr>
        <xdr:cNvCxnSpPr/>
      </xdr:nvCxnSpPr>
      <xdr:spPr>
        <a:xfrm flipH="1" flipV="1">
          <a:off x="8442817" y="330915"/>
          <a:ext cx="3935211" cy="100169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16</xdr:col>
      <xdr:colOff>1439931</xdr:colOff>
      <xdr:row>1</xdr:row>
      <xdr:rowOff>116267</xdr:rowOff>
    </xdr:from>
    <xdr:to>
      <xdr:col>19</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48" totalsRowShown="0" headerRowDxfId="56" dataDxfId="55">
  <autoFilter ref="B2:F48"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L2:S48" totalsRowShown="0" headerRowDxfId="49" dataDxfId="48">
  <autoFilter ref="L2:S48"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calculatedColumnFormula>'Net Salary P2'!AT2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_xlfn.XLOOKUP(_xlfn.XLOOKUP(TableIncome[[#This Row],[Year]],Loop!C:C,Loop!D:D),'Job Hopping'!B:B,'Job Hopping'!F:F)</calculatedColumnFormula>
    </tableColumn>
    <tableColumn id="6" xr3:uid="{85FE9DAF-5AA1-4B37-AB45-C3AD3B6E6CC3}" name="SwitchP2" dataDxfId="40">
      <calculatedColumnFormula>_xlfn.XLOOKUP(_xlfn.XLOOKUP(TableIncome[[#This Row],[Year]],Loop!C:C,Loop!E:E),'Job Hopping'!B:B,'Job Hopping'!G:G)</calculatedColumnFormula>
    </tableColumn>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dataCellStyle="Percent">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calculatedColumnFormula>IF(JobHopping[[#This Row],[Age]]&lt;40,"",JobHopping[[#This Row],[SwitchP1Static]])</calculatedColumnFormula>
    </tableColumn>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dataCellStyle="Percent">
      <calculatedColumnFormula>IF(O3&gt;0, P3/O3, 0)</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20" dataDxfId="19">
  <autoFilter ref="B2:F53" xr:uid="{FCF7B272-2B0E-4976-9393-E73F3487686E}"/>
  <tableColumns count="5">
    <tableColumn id="1" xr3:uid="{D58C7B30-A492-4B74-BDE4-021BA5FDD463}" name="N" dataDxfId="18"/>
    <tableColumn id="2" xr3:uid="{9476476E-39E2-48A9-976E-32DDB37BA54B}" name="Year" dataDxfId="17"/>
    <tableColumn id="3" xr3:uid="{32E1CBDE-916A-4A47-B5C5-B62DE0AFD6F2}" name="AgeP1" dataDxfId="16">
      <calculatedColumnFormula>D2+1</calculatedColumnFormula>
    </tableColumn>
    <tableColumn id="4" xr3:uid="{6AC3787E-719B-482A-96B1-472E58822CE9}" name="AgeP2" dataDxfId="15">
      <calculatedColumnFormula>E2+1</calculatedColumnFormula>
    </tableColumn>
    <tableColumn id="5" xr3:uid="{5A11FA80-8E16-4604-BB85-0D6642EE67E7}" name="LoopStatus" dataDxfId="14"/>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13" dataDxfId="12">
  <autoFilter ref="B2:F5" xr:uid="{E6188FC4-483E-4C27-BFF6-3D5A9BEC7A02}"/>
  <tableColumns count="5">
    <tableColumn id="1" xr3:uid="{B2C6C0FB-6BCC-4A61-B677-3B10161A53EF}" name="Goal Info" dataDxfId="11"/>
    <tableColumn id="2" xr3:uid="{C536957A-8C0E-4218-9336-E98D68589B96}" name="GOAL A" dataDxfId="10"/>
    <tableColumn id="3" xr3:uid="{119B5EE3-3581-4D04-BB55-BCC2E702193C}" name="GOAL B" dataDxfId="9"/>
    <tableColumn id="4" xr3:uid="{6D7BF2C5-D2EB-4CDD-A1E3-639A94B04FB3}" name="GOAL C" dataDxfId="8"/>
    <tableColumn id="5" xr3:uid="{FC141F07-39CA-4E36-BE88-AE8259A28409}" name="GOAL D" dataDxfId="7"/>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6" dataDxfId="5">
  <autoFilter ref="B7:F10" xr:uid="{06296D22-18E1-44D3-A59A-E5E6D672089D}"/>
  <tableColumns count="5">
    <tableColumn id="1" xr3:uid="{B3C79FB9-971E-4621-BADB-62E0B6C842D7}" name="Goal Info" dataDxfId="4"/>
    <tableColumn id="2" xr3:uid="{08F0C2B6-02D7-4431-924D-D9E7C41049B7}" name="GOAL A" dataDxfId="3"/>
    <tableColumn id="3" xr3:uid="{7D5C117D-0D45-489D-81E8-DBEB6FE69CF3}" name="GOAL B" dataDxfId="2"/>
    <tableColumn id="4" xr3:uid="{900DE77F-2D16-4E30-8E7F-638FF98F2CDB}" name="GOAL C" dataDxfId="1"/>
    <tableColumn id="5" xr3:uid="{B0C50B12-C738-4419-9074-3A1A9E37C8AC}" name="GOAL D"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C37"/>
  <sheetViews>
    <sheetView tabSelected="1" workbookViewId="0">
      <selection activeCell="L5" sqref="L5"/>
    </sheetView>
  </sheetViews>
  <sheetFormatPr defaultColWidth="8.7109375" defaultRowHeight="15" x14ac:dyDescent="0.25"/>
  <cols>
    <col min="1" max="1" width="3.28515625" style="1" customWidth="1"/>
    <col min="2" max="2" width="41.7109375" style="1" bestFit="1" customWidth="1"/>
    <col min="3" max="3" width="25.140625" style="1" customWidth="1"/>
    <col min="4" max="16384" width="8.7109375" style="1"/>
  </cols>
  <sheetData>
    <row r="1" spans="2:3" ht="24" x14ac:dyDescent="0.4">
      <c r="B1" s="9" t="s">
        <v>218</v>
      </c>
    </row>
    <row r="5" spans="2:3" ht="24" x14ac:dyDescent="0.4">
      <c r="B5" s="9" t="s">
        <v>247</v>
      </c>
    </row>
    <row r="6" spans="2:3" x14ac:dyDescent="0.25">
      <c r="B6" s="67" t="s">
        <v>252</v>
      </c>
    </row>
    <row r="7" spans="2:3" x14ac:dyDescent="0.25">
      <c r="B7" s="64" t="s">
        <v>48</v>
      </c>
    </row>
    <row r="8" spans="2:3" x14ac:dyDescent="0.25">
      <c r="B8" s="65" t="s">
        <v>47</v>
      </c>
      <c r="C8" s="1" t="s">
        <v>44</v>
      </c>
    </row>
    <row r="9" spans="2:3" x14ac:dyDescent="0.25">
      <c r="B9" s="66" t="s">
        <v>56</v>
      </c>
      <c r="C9" s="1" t="s">
        <v>57</v>
      </c>
    </row>
    <row r="11" spans="2:3" ht="24" x14ac:dyDescent="0.4">
      <c r="B11" s="9" t="s">
        <v>45</v>
      </c>
    </row>
    <row r="12" spans="2:3" x14ac:dyDescent="0.25">
      <c r="B12" s="10" t="s">
        <v>46</v>
      </c>
    </row>
    <row r="13" spans="2:3" x14ac:dyDescent="0.25">
      <c r="B13" s="11" t="s">
        <v>49</v>
      </c>
    </row>
    <row r="16" spans="2:3" ht="27" customHeight="1" x14ac:dyDescent="0.25">
      <c r="B16" s="71" t="s">
        <v>219</v>
      </c>
    </row>
    <row r="17" spans="2:2" x14ac:dyDescent="0.25">
      <c r="B17" s="62" t="s">
        <v>220</v>
      </c>
    </row>
    <row r="18" spans="2:2" x14ac:dyDescent="0.25">
      <c r="B18" s="68" t="s">
        <v>238</v>
      </c>
    </row>
    <row r="19" spans="2:2" x14ac:dyDescent="0.25">
      <c r="B19" s="63" t="s">
        <v>237</v>
      </c>
    </row>
    <row r="20" spans="2:2" x14ac:dyDescent="0.25">
      <c r="B20" s="63" t="s">
        <v>235</v>
      </c>
    </row>
    <row r="21" spans="2:2" x14ac:dyDescent="0.25">
      <c r="B21" s="63" t="s">
        <v>236</v>
      </c>
    </row>
    <row r="22" spans="2:2" x14ac:dyDescent="0.25">
      <c r="B22" s="63" t="s">
        <v>233</v>
      </c>
    </row>
    <row r="23" spans="2:2" x14ac:dyDescent="0.25">
      <c r="B23" s="63" t="s">
        <v>234</v>
      </c>
    </row>
    <row r="24" spans="2:2" x14ac:dyDescent="0.25">
      <c r="B24" s="63" t="s">
        <v>249</v>
      </c>
    </row>
    <row r="25" spans="2:2" x14ac:dyDescent="0.25">
      <c r="B25" s="69" t="s">
        <v>250</v>
      </c>
    </row>
    <row r="26" spans="2:2" x14ac:dyDescent="0.25">
      <c r="B26" s="69" t="s">
        <v>251</v>
      </c>
    </row>
    <row r="27" spans="2:2" x14ac:dyDescent="0.25">
      <c r="B27" s="70" t="s">
        <v>221</v>
      </c>
    </row>
    <row r="28" spans="2:2" x14ac:dyDescent="0.25">
      <c r="B28" s="59" t="s">
        <v>248</v>
      </c>
    </row>
    <row r="29" spans="2:2" x14ac:dyDescent="0.25">
      <c r="B29" s="60"/>
    </row>
    <row r="30" spans="2:2" x14ac:dyDescent="0.25">
      <c r="B30" s="60"/>
    </row>
    <row r="31" spans="2:2" x14ac:dyDescent="0.25">
      <c r="B31" s="60"/>
    </row>
    <row r="32" spans="2:2" x14ac:dyDescent="0.25">
      <c r="B32" s="60"/>
    </row>
    <row r="33" spans="2:2" x14ac:dyDescent="0.25">
      <c r="B33" s="60"/>
    </row>
    <row r="34" spans="2:2" x14ac:dyDescent="0.25">
      <c r="B34" s="60"/>
    </row>
    <row r="35" spans="2:2" x14ac:dyDescent="0.25">
      <c r="B35" s="60"/>
    </row>
    <row r="36" spans="2:2" x14ac:dyDescent="0.25">
      <c r="B36" s="60"/>
    </row>
    <row r="37" spans="2:2" x14ac:dyDescent="0.25">
      <c r="B37" s="61"/>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workbookViewId="0">
      <selection activeCell="F47" sqref="F47"/>
    </sheetView>
  </sheetViews>
  <sheetFormatPr defaultRowHeight="15" x14ac:dyDescent="0.25"/>
  <cols>
    <col min="1" max="1" width="3.140625" customWidth="1"/>
    <col min="2" max="2" width="38.42578125" bestFit="1" customWidth="1"/>
    <col min="3" max="3" width="12.140625" style="36" bestFit="1" customWidth="1"/>
  </cols>
  <sheetData>
    <row r="2" spans="2:3" x14ac:dyDescent="0.25">
      <c r="B2" s="43" t="s">
        <v>64</v>
      </c>
      <c r="C2" s="46">
        <v>0.02</v>
      </c>
    </row>
    <row r="3" spans="2:3" x14ac:dyDescent="0.25">
      <c r="B3" s="44" t="s">
        <v>227</v>
      </c>
      <c r="C3" s="47"/>
    </row>
    <row r="4" spans="2:3" x14ac:dyDescent="0.25">
      <c r="B4" s="49" t="s">
        <v>65</v>
      </c>
      <c r="C4" s="50">
        <v>0.03</v>
      </c>
    </row>
    <row r="5" spans="2:3" x14ac:dyDescent="0.25">
      <c r="B5" s="51" t="s">
        <v>67</v>
      </c>
      <c r="C5" s="52">
        <f>C4-C2</f>
        <v>9.9999999999999985E-3</v>
      </c>
    </row>
    <row r="6" spans="2:3" x14ac:dyDescent="0.25">
      <c r="B6" s="51" t="s">
        <v>66</v>
      </c>
      <c r="C6" s="52">
        <v>0.06</v>
      </c>
    </row>
    <row r="7" spans="2:3" x14ac:dyDescent="0.25">
      <c r="B7" s="51" t="s">
        <v>177</v>
      </c>
      <c r="C7" s="52">
        <f>C6-C2</f>
        <v>3.9999999999999994E-2</v>
      </c>
    </row>
    <row r="8" spans="2:3" x14ac:dyDescent="0.25">
      <c r="B8" s="51" t="s">
        <v>78</v>
      </c>
      <c r="C8" s="52">
        <v>0.1</v>
      </c>
    </row>
    <row r="9" spans="2:3" x14ac:dyDescent="0.25">
      <c r="B9" s="51" t="s">
        <v>231</v>
      </c>
      <c r="C9" s="53">
        <v>43871</v>
      </c>
    </row>
    <row r="10" spans="2:3" x14ac:dyDescent="0.25">
      <c r="B10" s="45" t="s">
        <v>232</v>
      </c>
      <c r="C10" s="48">
        <v>64001</v>
      </c>
    </row>
    <row r="11" spans="2:3" x14ac:dyDescent="0.25">
      <c r="B11" s="44" t="s">
        <v>222</v>
      </c>
      <c r="C11" s="47"/>
    </row>
    <row r="12" spans="2:3" x14ac:dyDescent="0.25">
      <c r="B12" s="49" t="s">
        <v>223</v>
      </c>
      <c r="C12" s="50">
        <v>0.05</v>
      </c>
    </row>
    <row r="13" spans="2:3" x14ac:dyDescent="0.25">
      <c r="B13" s="51" t="s">
        <v>224</v>
      </c>
      <c r="C13" s="52">
        <v>0.1</v>
      </c>
    </row>
    <row r="14" spans="2:3" x14ac:dyDescent="0.25">
      <c r="B14" s="45" t="s">
        <v>226</v>
      </c>
      <c r="C14" s="48">
        <v>9400</v>
      </c>
    </row>
    <row r="15" spans="2:3" x14ac:dyDescent="0.25">
      <c r="B15" s="44" t="s">
        <v>225</v>
      </c>
      <c r="C15" s="47"/>
    </row>
    <row r="16" spans="2:3" x14ac:dyDescent="0.25">
      <c r="B16" s="49" t="s">
        <v>192</v>
      </c>
      <c r="C16" s="50">
        <v>0.08</v>
      </c>
    </row>
    <row r="17" spans="2:3" x14ac:dyDescent="0.25">
      <c r="B17" s="49" t="s">
        <v>239</v>
      </c>
      <c r="C17" s="56">
        <v>51600</v>
      </c>
    </row>
    <row r="18" spans="2:3" x14ac:dyDescent="0.25">
      <c r="B18" s="51" t="s">
        <v>240</v>
      </c>
      <c r="C18" s="52">
        <v>0.1201</v>
      </c>
    </row>
    <row r="19" spans="2:3" x14ac:dyDescent="0.25">
      <c r="B19" s="51" t="s">
        <v>241</v>
      </c>
      <c r="C19" s="52">
        <v>0.15</v>
      </c>
    </row>
    <row r="20" spans="2:3" x14ac:dyDescent="0.25">
      <c r="B20" s="51" t="s">
        <v>242</v>
      </c>
      <c r="C20" s="54">
        <v>618400</v>
      </c>
    </row>
    <row r="21" spans="2:3" x14ac:dyDescent="0.25">
      <c r="B21" s="51" t="s">
        <v>243</v>
      </c>
      <c r="C21" s="52">
        <v>0.25</v>
      </c>
    </row>
    <row r="22" spans="2:3" x14ac:dyDescent="0.25">
      <c r="B22" s="51" t="s">
        <v>228</v>
      </c>
      <c r="C22" s="55">
        <v>0.27</v>
      </c>
    </row>
    <row r="23" spans="2:3" x14ac:dyDescent="0.25">
      <c r="B23" s="51" t="s">
        <v>229</v>
      </c>
      <c r="C23" s="55">
        <v>0.42</v>
      </c>
    </row>
    <row r="24" spans="2:3" x14ac:dyDescent="0.25">
      <c r="B24" s="45" t="s">
        <v>230</v>
      </c>
      <c r="C24" s="48">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S48"/>
  <sheetViews>
    <sheetView workbookViewId="0">
      <selection activeCell="C20" sqref="C20"/>
    </sheetView>
  </sheetViews>
  <sheetFormatPr defaultColWidth="15.28515625" defaultRowHeight="15" x14ac:dyDescent="0.25"/>
  <cols>
    <col min="1" max="1" width="3.85546875" style="1" customWidth="1"/>
    <col min="2" max="2" width="11.42578125" style="1" bestFit="1" customWidth="1"/>
    <col min="3" max="3" width="15" style="1" customWidth="1"/>
    <col min="4" max="4" width="15" style="1" bestFit="1" customWidth="1"/>
    <col min="5" max="6" width="20" style="1" bestFit="1" customWidth="1"/>
    <col min="7" max="7" width="4.5703125" style="1" customWidth="1"/>
    <col min="8" max="8" width="34.85546875" style="1" bestFit="1" customWidth="1"/>
    <col min="9" max="11" width="15.28515625" style="1"/>
    <col min="12" max="13" width="25.7109375" style="1" bestFit="1" customWidth="1"/>
    <col min="14" max="15" width="38.28515625" style="1" bestFit="1" customWidth="1"/>
    <col min="16" max="17" width="27.7109375" style="1" bestFit="1" customWidth="1"/>
    <col min="18" max="19" width="15.5703125" style="1" bestFit="1" customWidth="1"/>
    <col min="20" max="16384" width="15.28515625" style="1"/>
  </cols>
  <sheetData>
    <row r="1" spans="1:19" x14ac:dyDescent="0.25">
      <c r="A1" s="58" t="s">
        <v>246</v>
      </c>
    </row>
    <row r="2" spans="1:19" x14ac:dyDescent="0.25">
      <c r="B2" s="2" t="s">
        <v>1</v>
      </c>
      <c r="C2" s="2" t="s">
        <v>2</v>
      </c>
      <c r="D2" s="2" t="s">
        <v>3</v>
      </c>
      <c r="E2" s="2" t="s">
        <v>79</v>
      </c>
      <c r="F2" s="2" t="s">
        <v>80</v>
      </c>
      <c r="G2" s="16"/>
      <c r="H2" s="13" t="s">
        <v>64</v>
      </c>
      <c r="I2" s="14">
        <f>'Salary Variables'!$C$2</f>
        <v>0.02</v>
      </c>
      <c r="L2" s="3" t="s">
        <v>173</v>
      </c>
      <c r="M2" s="3" t="s">
        <v>174</v>
      </c>
      <c r="N2" s="3" t="s">
        <v>176</v>
      </c>
      <c r="O2" s="3" t="s">
        <v>175</v>
      </c>
      <c r="P2" s="3" t="s">
        <v>4</v>
      </c>
      <c r="Q2" s="3" t="s">
        <v>5</v>
      </c>
      <c r="R2" s="3" t="s">
        <v>58</v>
      </c>
      <c r="S2" s="3" t="s">
        <v>59</v>
      </c>
    </row>
    <row r="3" spans="1:19" x14ac:dyDescent="0.25">
      <c r="B3" s="2">
        <v>2025</v>
      </c>
      <c r="C3" s="40">
        <f>(TableIncomeCalculations[[#This Row],[NetMonthlySalaryP1]]*12)</f>
        <v>286626.14833520004</v>
      </c>
      <c r="D3" s="41">
        <f>(TableIncomeCalculations[[#This Row],[NetMonthlySalaryP2]]*12)</f>
        <v>419426.42999119998</v>
      </c>
      <c r="E3" s="40">
        <f>TableIncome[[#This Row],[SalaryP1]]*$I$7</f>
        <v>28662.614833520005</v>
      </c>
      <c r="F3" s="40">
        <f>TableIncome[[#This Row],[SalaryP2]]*$I$7</f>
        <v>41942.642999119998</v>
      </c>
      <c r="G3" s="16"/>
      <c r="H3" s="13" t="s">
        <v>65</v>
      </c>
      <c r="I3" s="14" cm="1">
        <f t="array" ref="I3:I7">'Salary Variables'!$C$4:$C$8</f>
        <v>0.03</v>
      </c>
      <c r="L3" s="38">
        <f>'Net Salary P1'!BI2</f>
        <v>23885.512361266668</v>
      </c>
      <c r="M3" s="39">
        <f>'Net Salary P2'!AT2</f>
        <v>34952.202499266663</v>
      </c>
      <c r="N3" s="39">
        <v>43871</v>
      </c>
      <c r="O3" s="35">
        <v>64001</v>
      </c>
      <c r="P3" s="39">
        <v>43871</v>
      </c>
      <c r="Q3" s="35">
        <v>64001</v>
      </c>
      <c r="R3" t="str">
        <f>_xlfn.XLOOKUP(_xlfn.XLOOKUP(TableIncome[[#This Row],[Year]],Loop!C:C,Loop!D:D),'Job Hopping'!B:B,'Job Hopping'!F:F)</f>
        <v>N</v>
      </c>
      <c r="S3" t="str">
        <f>_xlfn.XLOOKUP(_xlfn.XLOOKUP(TableIncome[[#This Row],[Year]],Loop!C:C,Loop!E:E),'Job Hopping'!B:B,'Job Hopping'!G:G)</f>
        <v>N</v>
      </c>
    </row>
    <row r="4" spans="1:19" x14ac:dyDescent="0.25">
      <c r="B4" s="2">
        <v>2026</v>
      </c>
      <c r="C4" s="42">
        <f>(TableIncomeCalculations[[#This Row],[NetMonthlySalaryP1]]*12)</f>
        <v>289708.75194404222</v>
      </c>
      <c r="D4" s="41">
        <f>(TableIncomeCalculations[[#This Row],[NetMonthlySalaryP2]]*12)</f>
        <v>422832.03641660209</v>
      </c>
      <c r="E4" s="40">
        <f>TableIncome[[#This Row],[SalaryP1]]*$I$7</f>
        <v>28970.875194404223</v>
      </c>
      <c r="F4" s="40">
        <f>TableIncome[[#This Row],[SalaryP2]]*$I$7</f>
        <v>42283.203641660213</v>
      </c>
      <c r="G4" s="16"/>
      <c r="H4" s="13" t="s">
        <v>67</v>
      </c>
      <c r="I4" s="14">
        <v>9.9999999999999985E-3</v>
      </c>
      <c r="L4" s="38">
        <f>'Net Salary P1'!BI3</f>
        <v>24142.39599533685</v>
      </c>
      <c r="M4" s="39">
        <f>'Net Salary P2'!AT3</f>
        <v>35236.003034716843</v>
      </c>
      <c r="N4" s="39">
        <f>IF(_xlfn.XLOOKUP(TableIncome[[#This Row],[Year]],Loop!C:C,Loop!D:D)&lt;70,(N3*(1+$I$4))+IF(TableIncomeCalculations[[#This Row],[SwitchP1]]="Y",N3*$I$6,0),0)</f>
        <v>44309.71</v>
      </c>
      <c r="O4" s="39">
        <f>IF(_xlfn.XLOOKUP(TableIncome[[#This Row],[Year]],Loop!C:C,Loop!E:E)&lt;70,(O3*(1+$I$4))+IF(TableIncomeCalculations[[#This Row],[SwitchP2]]="Y",Q3*$I$6,0),0)</f>
        <v>64641.01</v>
      </c>
      <c r="P4" s="39">
        <f>IF(_xlfn.XLOOKUP(TableIncome[[#This Row],[Year]],Loop!C:C,Loop!D:D)&lt;70,(P3*(1+$I$3))+IF(TableIncomeCalculations[[#This Row],[SwitchP1]]="Y",P3*$I$5,0),0)</f>
        <v>45187.130000000005</v>
      </c>
      <c r="Q4" s="39">
        <f>IF(_xlfn.XLOOKUP(TableIncome[[#This Row],[Year]],Loop!C:C,Loop!E:E)&lt;70,(Q3*(1+$I$3))+IF(TableIncomeCalculations[[#This Row],[SwitchP2]]="Y",Q3*$I$5,0),0)</f>
        <v>65921.03</v>
      </c>
      <c r="R4" t="str">
        <f>_xlfn.XLOOKUP(_xlfn.XLOOKUP(TableIncome[[#This Row],[Year]],Loop!C:C,Loop!D:D),'Job Hopping'!B:B,'Job Hopping'!F:F)</f>
        <v>N</v>
      </c>
      <c r="S4" t="str">
        <f>_xlfn.XLOOKUP(_xlfn.XLOOKUP(TableIncome[[#This Row],[Year]],Loop!C:C,Loop!E:E),'Job Hopping'!B:B,'Job Hopping'!G:G)</f>
        <v>N</v>
      </c>
    </row>
    <row r="5" spans="1:19" x14ac:dyDescent="0.25">
      <c r="B5" s="2">
        <v>2027</v>
      </c>
      <c r="C5" s="42">
        <f>(TableIncomeCalculations[[#This Row],[NetMonthlySalaryP1]]*12)</f>
        <v>304525.81558584247</v>
      </c>
      <c r="D5" s="41">
        <f>(TableIncomeCalculations[[#This Row],[NetMonthlySalaryP2]]*12)</f>
        <v>426266.24177438614</v>
      </c>
      <c r="E5" s="40">
        <f>TableIncome[[#This Row],[SalaryP1]]*$I$7</f>
        <v>30452.58155858425</v>
      </c>
      <c r="F5" s="40">
        <f>TableIncome[[#This Row],[SalaryP2]]*$I$7</f>
        <v>42626.624177438614</v>
      </c>
      <c r="G5" s="16"/>
      <c r="H5" s="13" t="s">
        <v>66</v>
      </c>
      <c r="I5" s="14">
        <v>0.06</v>
      </c>
      <c r="L5" s="38">
        <f>'Net Salary P1'!BI4</f>
        <v>25377.151298820205</v>
      </c>
      <c r="M5" s="39">
        <f>'Net Salary P2'!AT4</f>
        <v>35522.186814532179</v>
      </c>
      <c r="N5" s="39">
        <f>IF(_xlfn.XLOOKUP(TableIncome[[#This Row],[Year]],Loop!C:C,Loop!D:D)&lt;70,(N4*(1+$I$4))+IF(TableIncomeCalculations[[#This Row],[SwitchP1]]="Y",N4*$I$6,0),0)</f>
        <v>46525.195499999994</v>
      </c>
      <c r="O5" s="39">
        <f>IF(_xlfn.XLOOKUP(TableIncome[[#This Row],[Year]],Loop!C:C,Loop!E:E)&lt;70,(O4*(1+$I$4))+IF(TableIncomeCalculations[[#This Row],[SwitchP2]]="Y",Q4*$I$6,0),0)</f>
        <v>65287.420100000003</v>
      </c>
      <c r="P5" s="39">
        <f>IF(_xlfn.XLOOKUP(TableIncome[[#This Row],[Year]],Loop!C:C,Loop!D:D)&lt;70,(P4*(1+$I$3))+IF(TableIncomeCalculations[[#This Row],[SwitchP1]]="Y",P4*$I$5,0),0)</f>
        <v>49253.971700000009</v>
      </c>
      <c r="Q5" s="39">
        <f>IF(_xlfn.XLOOKUP(TableIncome[[#This Row],[Year]],Loop!C:C,Loop!E:E)&lt;70,(Q4*(1+$I$3))+IF(TableIncomeCalculations[[#This Row],[SwitchP2]]="Y",Q4*$I$5,0),0)</f>
        <v>67898.660900000003</v>
      </c>
      <c r="R5" t="str">
        <f>_xlfn.XLOOKUP(_xlfn.XLOOKUP(TableIncome[[#This Row],[Year]],Loop!C:C,Loop!D:D),'Job Hopping'!B:B,'Job Hopping'!F:F)</f>
        <v>Y</v>
      </c>
      <c r="S5" t="str">
        <f>_xlfn.XLOOKUP(_xlfn.XLOOKUP(TableIncome[[#This Row],[Year]],Loop!C:C,Loop!E:E),'Job Hopping'!B:B,'Job Hopping'!G:G)</f>
        <v>N</v>
      </c>
    </row>
    <row r="6" spans="1:19" x14ac:dyDescent="0.25">
      <c r="B6" s="2">
        <v>2028</v>
      </c>
      <c r="C6" s="42">
        <f>(TableIncomeCalculations[[#This Row],[NetMonthlySalaryP1]]*12)</f>
        <v>307776.60860603215</v>
      </c>
      <c r="D6" s="41">
        <f>(TableIncomeCalculations[[#This Row],[NetMonthlySalaryP2]]*12)</f>
        <v>443399.31675780768</v>
      </c>
      <c r="E6" s="40">
        <f>TableIncome[[#This Row],[SalaryP1]]*$I$7</f>
        <v>30777.660860603217</v>
      </c>
      <c r="F6" s="40">
        <f>TableIncome[[#This Row],[SalaryP2]]*$I$7</f>
        <v>44339.931675780768</v>
      </c>
      <c r="G6" s="16"/>
      <c r="H6" s="13" t="s">
        <v>177</v>
      </c>
      <c r="I6" s="14">
        <v>3.9999999999999994E-2</v>
      </c>
      <c r="L6" s="38">
        <f>'Net Salary P1'!BI5</f>
        <v>25648.050717169346</v>
      </c>
      <c r="M6" s="39">
        <f>'Net Salary P2'!AT5</f>
        <v>36949.94306315064</v>
      </c>
      <c r="N6" s="39">
        <f>IF(_xlfn.XLOOKUP(TableIncome[[#This Row],[Year]],Loop!C:C,Loop!D:D)&lt;70,(N5*(1+$I$4))+IF(TableIncomeCalculations[[#This Row],[SwitchP1]]="Y",N5*$I$6,0),0)</f>
        <v>46990.447454999994</v>
      </c>
      <c r="O6" s="39">
        <f>IF(_xlfn.XLOOKUP(TableIncome[[#This Row],[Year]],Loop!C:C,Loop!E:E)&lt;70,(O5*(1+$I$4))+IF(TableIncomeCalculations[[#This Row],[SwitchP2]]="Y",Q5*$I$6,0),0)</f>
        <v>68656.240737</v>
      </c>
      <c r="P6" s="39">
        <f>IF(_xlfn.XLOOKUP(TableIncome[[#This Row],[Year]],Loop!C:C,Loop!D:D)&lt;70,(P5*(1+$I$3))+IF(TableIncomeCalculations[[#This Row],[SwitchP1]]="Y",P5*$I$5,0),0)</f>
        <v>50731.590851000008</v>
      </c>
      <c r="Q6" s="39">
        <f>IF(_xlfn.XLOOKUP(TableIncome[[#This Row],[Year]],Loop!C:C,Loop!E:E)&lt;70,(Q5*(1+$I$3))+IF(TableIncomeCalculations[[#This Row],[SwitchP2]]="Y",Q5*$I$5,0),0)</f>
        <v>74009.540380999999</v>
      </c>
      <c r="R6" t="str">
        <f>_xlfn.XLOOKUP(_xlfn.XLOOKUP(TableIncome[[#This Row],[Year]],Loop!C:C,Loop!D:D),'Job Hopping'!B:B,'Job Hopping'!F:F)</f>
        <v>N</v>
      </c>
      <c r="S6" t="str">
        <f>_xlfn.XLOOKUP(_xlfn.XLOOKUP(TableIncome[[#This Row],[Year]],Loop!C:C,Loop!E:E),'Job Hopping'!B:B,'Job Hopping'!G:G)</f>
        <v>Y</v>
      </c>
    </row>
    <row r="7" spans="1:19" x14ac:dyDescent="0.25">
      <c r="B7" s="2">
        <v>2029</v>
      </c>
      <c r="C7" s="42">
        <f>(TableIncomeCalculations[[#This Row],[NetMonthlySalaryP1]]*12)</f>
        <v>311054.6643316329</v>
      </c>
      <c r="D7" s="41">
        <f>(TableIncomeCalculations[[#This Row],[NetMonthlySalaryP2]]*12)</f>
        <v>447028.59956492623</v>
      </c>
      <c r="E7" s="40">
        <f>TableIncome[[#This Row],[SalaryP1]]*$I$7</f>
        <v>31105.466433163292</v>
      </c>
      <c r="F7" s="40">
        <f>TableIncome[[#This Row],[SalaryP2]]*$I$7</f>
        <v>44702.859956492626</v>
      </c>
      <c r="G7" s="16"/>
      <c r="H7" s="13" t="s">
        <v>78</v>
      </c>
      <c r="I7" s="14">
        <v>0.1</v>
      </c>
      <c r="L7" s="38">
        <f>'Net Salary P1'!BI6</f>
        <v>25921.222027636075</v>
      </c>
      <c r="M7" s="39">
        <f>'Net Salary P2'!AT6</f>
        <v>37252.383297077184</v>
      </c>
      <c r="N7" s="39">
        <f>IF(_xlfn.XLOOKUP(TableIncome[[#This Row],[Year]],Loop!C:C,Loop!D:D)&lt;70,(N6*(1+$I$4))+IF(TableIncomeCalculations[[#This Row],[SwitchP1]]="Y",N6*$I$6,0),0)</f>
        <v>47460.351929549994</v>
      </c>
      <c r="O7" s="39">
        <f>IF(_xlfn.XLOOKUP(TableIncome[[#This Row],[Year]],Loop!C:C,Loop!E:E)&lt;70,(O6*(1+$I$4))+IF(TableIncomeCalculations[[#This Row],[SwitchP2]]="Y",Q6*$I$6,0),0)</f>
        <v>69342.803144370002</v>
      </c>
      <c r="P7" s="39">
        <f>IF(_xlfn.XLOOKUP(TableIncome[[#This Row],[Year]],Loop!C:C,Loop!D:D)&lt;70,(P6*(1+$I$3))+IF(TableIncomeCalculations[[#This Row],[SwitchP1]]="Y",P6*$I$5,0),0)</f>
        <v>52253.538576530009</v>
      </c>
      <c r="Q7" s="39">
        <f>IF(_xlfn.XLOOKUP(TableIncome[[#This Row],[Year]],Loop!C:C,Loop!E:E)&lt;70,(Q6*(1+$I$3))+IF(TableIncomeCalculations[[#This Row],[SwitchP2]]="Y",Q6*$I$5,0),0)</f>
        <v>76229.826592430007</v>
      </c>
      <c r="R7" t="str">
        <f>_xlfn.XLOOKUP(_xlfn.XLOOKUP(TableIncome[[#This Row],[Year]],Loop!C:C,Loop!D:D),'Job Hopping'!B:B,'Job Hopping'!F:F)</f>
        <v>N</v>
      </c>
      <c r="S7" t="str">
        <f>_xlfn.XLOOKUP(_xlfn.XLOOKUP(TableIncome[[#This Row],[Year]],Loop!C:C,Loop!E:E),'Job Hopping'!B:B,'Job Hopping'!G:G)</f>
        <v>N</v>
      </c>
    </row>
    <row r="8" spans="1:19" x14ac:dyDescent="0.25">
      <c r="B8" s="2">
        <v>2030</v>
      </c>
      <c r="C8" s="42">
        <f>(TableIncomeCalculations[[#This Row],[NetMonthlySalaryP1]]*12)</f>
        <v>333849.92477557767</v>
      </c>
      <c r="D8" s="41">
        <f>(TableIncomeCalculations[[#This Row],[NetMonthlySalaryP2]]*12)</f>
        <v>474386.81663079513</v>
      </c>
      <c r="E8" s="40">
        <f>TableIncome[[#This Row],[SalaryP1]]*$I$7</f>
        <v>33384.992477557767</v>
      </c>
      <c r="F8" s="40">
        <f>TableIncome[[#This Row],[SalaryP2]]*$I$7</f>
        <v>47438.681663079515</v>
      </c>
      <c r="G8" s="16"/>
      <c r="I8" s="17"/>
      <c r="L8" s="38">
        <f>'Net Salary P1'!BI9</f>
        <v>27820.827064631474</v>
      </c>
      <c r="M8" s="39">
        <f>'Net Salary P2'!AT9</f>
        <v>39532.234719232925</v>
      </c>
      <c r="N8" s="39">
        <f>IF(_xlfn.XLOOKUP(TableIncome[[#This Row],[Year]],Loop!C:C,Loop!D:D)&lt;70,(N7*(1+$I$4))+IF(TableIncomeCalculations[[#This Row],[SwitchP1]]="Y",N7*$I$6,0),0)</f>
        <v>47934.955448845496</v>
      </c>
      <c r="O8" s="39">
        <f>IF(_xlfn.XLOOKUP(TableIncome[[#This Row],[Year]],Loop!C:C,Loop!E:E)&lt;70,(O7*(1+$I$4))+IF(TableIncomeCalculations[[#This Row],[SwitchP2]]="Y",Q7*$I$6,0),0)</f>
        <v>70036.231175813708</v>
      </c>
      <c r="P8" s="39">
        <f>IF(_xlfn.XLOOKUP(TableIncome[[#This Row],[Year]],Loop!C:C,Loop!D:D)&lt;70,(P7*(1+$I$3))+IF(TableIncomeCalculations[[#This Row],[SwitchP1]]="Y",P7*$I$5,0),0)</f>
        <v>53821.144733825909</v>
      </c>
      <c r="Q8" s="39">
        <f>IF(_xlfn.XLOOKUP(TableIncome[[#This Row],[Year]],Loop!C:C,Loop!E:E)&lt;70,(Q7*(1+$I$3))+IF(TableIncomeCalculations[[#This Row],[SwitchP2]]="Y",Q7*$I$5,0),0)</f>
        <v>78516.721390202903</v>
      </c>
      <c r="R8" t="str">
        <f>_xlfn.XLOOKUP(_xlfn.XLOOKUP(TableIncome[[#This Row],[Year]],Loop!C:C,Loop!D:D),'Job Hopping'!B:B,'Job Hopping'!F:F)</f>
        <v>N</v>
      </c>
      <c r="S8" t="str">
        <f>_xlfn.XLOOKUP(_xlfn.XLOOKUP(TableIncome[[#This Row],[Year]],Loop!C:C,Loop!E:E),'Job Hopping'!B:B,'Job Hopping'!G:G)</f>
        <v>N</v>
      </c>
    </row>
    <row r="9" spans="1:19" x14ac:dyDescent="0.25">
      <c r="B9" s="2">
        <v>2031</v>
      </c>
      <c r="C9" s="42">
        <f>(TableIncomeCalculations[[#This Row],[NetMonthlySalaryP1]]*12)</f>
        <v>337368.74126990704</v>
      </c>
      <c r="D9" s="41">
        <f>(TableIncomeCalculations[[#This Row],[NetMonthlySalaryP2]]*12)</f>
        <v>478306.00204367645</v>
      </c>
      <c r="E9" s="40">
        <f>TableIncome[[#This Row],[SalaryP1]]*$I$7</f>
        <v>33736.874126990704</v>
      </c>
      <c r="F9" s="40">
        <f>TableIncome[[#This Row],[SalaryP2]]*$I$7</f>
        <v>47830.600204367649</v>
      </c>
      <c r="G9" s="16"/>
      <c r="L9" s="38">
        <f>'Net Salary P1'!BI10</f>
        <v>28114.061772492252</v>
      </c>
      <c r="M9" s="39">
        <f>'Net Salary P2'!AT10</f>
        <v>39858.833503639704</v>
      </c>
      <c r="N9" s="39">
        <f>IF(_xlfn.XLOOKUP(TableIncome[[#This Row],[Year]],Loop!C:C,Loop!D:D)&lt;70,(N8*(1+$I$4))+IF(TableIncomeCalculations[[#This Row],[SwitchP1]]="Y",N8*$I$6,0),0)</f>
        <v>50331.703221287775</v>
      </c>
      <c r="O9" s="39">
        <f>IF(_xlfn.XLOOKUP(TableIncome[[#This Row],[Year]],Loop!C:C,Loop!E:E)&lt;70,(O8*(1+$I$4))+IF(TableIncomeCalculations[[#This Row],[SwitchP2]]="Y",Q8*$I$6,0),0)</f>
        <v>70736.593487571852</v>
      </c>
      <c r="P9" s="39">
        <f>IF(_xlfn.XLOOKUP(TableIncome[[#This Row],[Year]],Loop!C:C,Loop!D:D)&lt;70,(P8*(1+$I$3))+IF(TableIncomeCalculations[[#This Row],[SwitchP1]]="Y",P8*$I$5,0),0)</f>
        <v>58665.047759870249</v>
      </c>
      <c r="Q9" s="39">
        <f>IF(_xlfn.XLOOKUP(TableIncome[[#This Row],[Year]],Loop!C:C,Loop!E:E)&lt;70,(Q8*(1+$I$3))+IF(TableIncomeCalculations[[#This Row],[SwitchP2]]="Y",Q8*$I$5,0),0)</f>
        <v>80872.223031908987</v>
      </c>
      <c r="R9" t="str">
        <f>_xlfn.XLOOKUP(_xlfn.XLOOKUP(TableIncome[[#This Row],[Year]],Loop!C:C,Loop!D:D),'Job Hopping'!B:B,'Job Hopping'!F:F)</f>
        <v>Y</v>
      </c>
      <c r="S9" t="str">
        <f>_xlfn.XLOOKUP(_xlfn.XLOOKUP(TableIncome[[#This Row],[Year]],Loop!C:C,Loop!E:E),'Job Hopping'!B:B,'Job Hopping'!G:G)</f>
        <v>N</v>
      </c>
    </row>
    <row r="10" spans="1:19" x14ac:dyDescent="0.25">
      <c r="B10" s="2">
        <v>2032</v>
      </c>
      <c r="C10" s="42">
        <f>(TableIncomeCalculations[[#This Row],[NetMonthlySalaryP1]]*12)</f>
        <v>340917.995167482</v>
      </c>
      <c r="D10" s="41">
        <f>(TableIncomeCalculations[[#This Row],[NetMonthlySalaryP2]]*12)</f>
        <v>482259.62854898919</v>
      </c>
      <c r="E10" s="40">
        <f>TableIncome[[#This Row],[SalaryP1]]*$I$7</f>
        <v>34091.7995167482</v>
      </c>
      <c r="F10" s="40">
        <f>TableIncome[[#This Row],[SalaryP2]]*$I$7</f>
        <v>48225.96285489892</v>
      </c>
      <c r="G10" s="16"/>
      <c r="L10" s="38">
        <f>'Net Salary P1'!BI11</f>
        <v>28409.832930623499</v>
      </c>
      <c r="M10" s="39">
        <f>'Net Salary P2'!AT11</f>
        <v>40188.30237908243</v>
      </c>
      <c r="N10" s="39">
        <f>IF(_xlfn.XLOOKUP(TableIncome[[#This Row],[Year]],Loop!C:C,Loop!D:D)&lt;70,(N9*(1+$I$4))+IF(TableIncomeCalculations[[#This Row],[SwitchP1]]="Y",N9*$I$6,0),0)</f>
        <v>50835.020253500654</v>
      </c>
      <c r="O10" s="39">
        <f>IF(_xlfn.XLOOKUP(TableIncome[[#This Row],[Year]],Loop!C:C,Loop!E:E)&lt;70,(O9*(1+$I$4))+IF(TableIncomeCalculations[[#This Row],[SwitchP2]]="Y",Q9*$I$6,0),0)</f>
        <v>74678.848343723934</v>
      </c>
      <c r="P10" s="39">
        <f>IF(_xlfn.XLOOKUP(TableIncome[[#This Row],[Year]],Loop!C:C,Loop!D:D)&lt;70,(P9*(1+$I$3))+IF(TableIncomeCalculations[[#This Row],[SwitchP1]]="Y",P9*$I$5,0),0)</f>
        <v>60424.999192666357</v>
      </c>
      <c r="Q10" s="39">
        <f>IF(_xlfn.XLOOKUP(TableIncome[[#This Row],[Year]],Loop!C:C,Loop!E:E)&lt;70,(Q9*(1+$I$3))+IF(TableIncomeCalculations[[#This Row],[SwitchP2]]="Y",Q9*$I$5,0),0)</f>
        <v>88150.723104780787</v>
      </c>
      <c r="R10" t="str">
        <f>_xlfn.XLOOKUP(_xlfn.XLOOKUP(TableIncome[[#This Row],[Year]],Loop!C:C,Loop!D:D),'Job Hopping'!B:B,'Job Hopping'!F:F)</f>
        <v>N</v>
      </c>
      <c r="S10" t="str">
        <f>_xlfn.XLOOKUP(_xlfn.XLOOKUP(TableIncome[[#This Row],[Year]],Loop!C:C,Loop!E:E),'Job Hopping'!B:B,'Job Hopping'!G:G)</f>
        <v>Y</v>
      </c>
    </row>
    <row r="11" spans="1:19" x14ac:dyDescent="0.25">
      <c r="B11" s="2">
        <v>2033</v>
      </c>
      <c r="C11" s="42">
        <f>(TableIncomeCalculations[[#This Row],[NetMonthlySalaryP1]]*12)</f>
        <v>358201.53738119279</v>
      </c>
      <c r="D11" s="41">
        <f>(TableIncomeCalculations[[#This Row],[NetMonthlySalaryP2]]*12)</f>
        <v>486248.13370984758</v>
      </c>
      <c r="E11" s="40">
        <f>TableIncome[[#This Row],[SalaryP1]]*$I$7</f>
        <v>35820.153738119283</v>
      </c>
      <c r="F11" s="40">
        <f>TableIncome[[#This Row],[SalaryP2]]*$I$7</f>
        <v>48624.813370984761</v>
      </c>
      <c r="G11" s="16"/>
      <c r="L11" s="38">
        <f>'Net Salary P1'!BI12</f>
        <v>29850.1281150994</v>
      </c>
      <c r="M11" s="39">
        <f>'Net Salary P2'!AT12</f>
        <v>40520.677809153967</v>
      </c>
      <c r="N11" s="39">
        <f>IF(_xlfn.XLOOKUP(TableIncome[[#This Row],[Year]],Loop!C:C,Loop!D:D)&lt;70,(N10*(1+$I$4))+IF(TableIncomeCalculations[[#This Row],[SwitchP1]]="Y",N10*$I$6,0),0)</f>
        <v>51343.370456035664</v>
      </c>
      <c r="O11" s="39">
        <f>IF(_xlfn.XLOOKUP(TableIncome[[#This Row],[Year]],Loop!C:C,Loop!E:E)&lt;70,(O10*(1+$I$4))+IF(TableIncomeCalculations[[#This Row],[SwitchP2]]="Y",Q10*$I$6,0),0)</f>
        <v>75425.636827161172</v>
      </c>
      <c r="P11" s="39">
        <f>IF(_xlfn.XLOOKUP(TableIncome[[#This Row],[Year]],Loop!C:C,Loop!D:D)&lt;70,(P10*(1+$I$3))+IF(TableIncomeCalculations[[#This Row],[SwitchP1]]="Y",P10*$I$5,0),0)</f>
        <v>62237.749168446346</v>
      </c>
      <c r="Q11" s="39">
        <f>IF(_xlfn.XLOOKUP(TableIncome[[#This Row],[Year]],Loop!C:C,Loop!E:E)&lt;70,(Q10*(1+$I$3))+IF(TableIncomeCalculations[[#This Row],[SwitchP2]]="Y",Q10*$I$5,0),0)</f>
        <v>90795.244797924213</v>
      </c>
      <c r="R11" t="str">
        <f>_xlfn.XLOOKUP(_xlfn.XLOOKUP(TableIncome[[#This Row],[Year]],Loop!C:C,Loop!D:D),'Job Hopping'!B:B,'Job Hopping'!F:F)</f>
        <v>N</v>
      </c>
      <c r="S11" t="str">
        <f>_xlfn.XLOOKUP(_xlfn.XLOOKUP(TableIncome[[#This Row],[Year]],Loop!C:C,Loop!E:E),'Job Hopping'!B:B,'Job Hopping'!G:G)</f>
        <v>N</v>
      </c>
    </row>
    <row r="12" spans="1:19" x14ac:dyDescent="0.25">
      <c r="B12" s="2">
        <v>2034</v>
      </c>
      <c r="C12" s="42">
        <f>(TableIncomeCalculations[[#This Row],[NetMonthlySalaryP1]]*12)</f>
        <v>361949.89534654247</v>
      </c>
      <c r="D12" s="41">
        <f>(TableIncomeCalculations[[#This Row],[NetMonthlySalaryP2]]*12)</f>
        <v>490271.95763848396</v>
      </c>
      <c r="E12" s="40">
        <f>TableIncome[[#This Row],[SalaryP1]]*$I$7</f>
        <v>36194.989534654247</v>
      </c>
      <c r="F12" s="40">
        <f>TableIncome[[#This Row],[SalaryP2]]*$I$7</f>
        <v>49027.195763848402</v>
      </c>
      <c r="G12" s="16"/>
      <c r="L12" s="38">
        <f>'Net Salary P1'!BI13</f>
        <v>30162.49127887854</v>
      </c>
      <c r="M12" s="39">
        <f>'Net Salary P2'!AT13</f>
        <v>40855.996469873666</v>
      </c>
      <c r="N12" s="39">
        <f>IF(_xlfn.XLOOKUP(TableIncome[[#This Row],[Year]],Loop!C:C,Loop!D:D)&lt;70,(N11*(1+$I$4))+IF(TableIncomeCalculations[[#This Row],[SwitchP1]]="Y",N11*$I$6,0),0)</f>
        <v>51856.804160596024</v>
      </c>
      <c r="O12" s="39">
        <f>IF(_xlfn.XLOOKUP(TableIncome[[#This Row],[Year]],Loop!C:C,Loop!E:E)&lt;70,(O11*(1+$I$4))+IF(TableIncomeCalculations[[#This Row],[SwitchP2]]="Y",Q11*$I$6,0),0)</f>
        <v>76179.893195432785</v>
      </c>
      <c r="P12" s="39">
        <f>IF(_xlfn.XLOOKUP(TableIncome[[#This Row],[Year]],Loop!C:C,Loop!D:D)&lt;70,(P11*(1+$I$3))+IF(TableIncomeCalculations[[#This Row],[SwitchP1]]="Y",P11*$I$5,0),0)</f>
        <v>64104.881643499735</v>
      </c>
      <c r="Q12" s="39">
        <f>IF(_xlfn.XLOOKUP(TableIncome[[#This Row],[Year]],Loop!C:C,Loop!E:E)&lt;70,(Q11*(1+$I$3))+IF(TableIncomeCalculations[[#This Row],[SwitchP2]]="Y",Q11*$I$5,0),0)</f>
        <v>93519.102141861949</v>
      </c>
      <c r="R12" t="str">
        <f>_xlfn.XLOOKUP(_xlfn.XLOOKUP(TableIncome[[#This Row],[Year]],Loop!C:C,Loop!D:D),'Job Hopping'!B:B,'Job Hopping'!F:F)</f>
        <v>N</v>
      </c>
      <c r="S12" t="str">
        <f>_xlfn.XLOOKUP(_xlfn.XLOOKUP(TableIncome[[#This Row],[Year]],Loop!C:C,Loop!E:E),'Job Hopping'!B:B,'Job Hopping'!G:G)</f>
        <v>N</v>
      </c>
    </row>
    <row r="13" spans="1:19" x14ac:dyDescent="0.25">
      <c r="B13" s="2">
        <v>2035</v>
      </c>
      <c r="C13" s="42">
        <f>(TableIncomeCalculations[[#This Row],[NetMonthlySalaryP1]]*12)</f>
        <v>365731.26014269213</v>
      </c>
      <c r="D13" s="41">
        <f>(TableIncomeCalculations[[#This Row],[NetMonthlySalaryP2]]*12)</f>
        <v>494331.543057553</v>
      </c>
      <c r="E13" s="40">
        <f>TableIncome[[#This Row],[SalaryP1]]*$I$7</f>
        <v>36573.126014269212</v>
      </c>
      <c r="F13" s="40">
        <f>TableIncome[[#This Row],[SalaryP2]]*$I$7</f>
        <v>49433.154305755306</v>
      </c>
      <c r="G13" s="16"/>
      <c r="L13" s="38">
        <f>'Net Salary P1'!BI14</f>
        <v>30477.60501189101</v>
      </c>
      <c r="M13" s="39">
        <f>'Net Salary P2'!AT14</f>
        <v>41194.295254796081</v>
      </c>
      <c r="N13" s="39">
        <f>IF(_xlfn.XLOOKUP(TableIncome[[#This Row],[Year]],Loop!C:C,Loop!D:D)&lt;70,(N12*(1+$I$4))+IF(TableIncomeCalculations[[#This Row],[SwitchP1]]="Y",N12*$I$6,0),0)</f>
        <v>54449.644368625828</v>
      </c>
      <c r="O13" s="39">
        <f>IF(_xlfn.XLOOKUP(TableIncome[[#This Row],[Year]],Loop!C:C,Loop!E:E)&lt;70,(O12*(1+$I$4))+IF(TableIncomeCalculations[[#This Row],[SwitchP2]]="Y",Q12*$I$6,0),0)</f>
        <v>76941.692127387112</v>
      </c>
      <c r="P13" s="39">
        <f>IF(_xlfn.XLOOKUP(TableIncome[[#This Row],[Year]],Loop!C:C,Loop!D:D)&lt;70,(P12*(1+$I$3))+IF(TableIncomeCalculations[[#This Row],[SwitchP1]]="Y",P12*$I$5,0),0)</f>
        <v>69874.320991414716</v>
      </c>
      <c r="Q13" s="39">
        <f>IF(_xlfn.XLOOKUP(TableIncome[[#This Row],[Year]],Loop!C:C,Loop!E:E)&lt;70,(Q12*(1+$I$3))+IF(TableIncomeCalculations[[#This Row],[SwitchP2]]="Y",Q12*$I$5,0),0)</f>
        <v>96324.675206117812</v>
      </c>
      <c r="R13" t="str">
        <f>_xlfn.XLOOKUP(_xlfn.XLOOKUP(TableIncome[[#This Row],[Year]],Loop!C:C,Loop!D:D),'Job Hopping'!B:B,'Job Hopping'!F:F)</f>
        <v>Y</v>
      </c>
      <c r="S13" t="str">
        <f>_xlfn.XLOOKUP(_xlfn.XLOOKUP(TableIncome[[#This Row],[Year]],Loop!C:C,Loop!E:E),'Job Hopping'!B:B,'Job Hopping'!G:G)</f>
        <v>N</v>
      </c>
    </row>
    <row r="14" spans="1:19" x14ac:dyDescent="0.25">
      <c r="B14" s="2">
        <v>2036</v>
      </c>
      <c r="C14" s="42">
        <f>(TableIncomeCalculations[[#This Row],[NetMonthlySalaryP1]]*12)</f>
        <v>369546.04961733881</v>
      </c>
      <c r="D14" s="41">
        <f>(TableIncomeCalculations[[#This Row],[NetMonthlySalaryP2]]*12)</f>
        <v>498427.33536134812</v>
      </c>
      <c r="E14" s="40">
        <f>TableIncome[[#This Row],[SalaryP1]]*$I$7</f>
        <v>36954.604961733879</v>
      </c>
      <c r="F14" s="40">
        <f>TableIncome[[#This Row],[SalaryP2]]*$I$7</f>
        <v>49842.733536134816</v>
      </c>
      <c r="G14" s="16"/>
      <c r="L14" s="38">
        <f>'Net Salary P1'!BI15</f>
        <v>30795.504134778235</v>
      </c>
      <c r="M14" s="39">
        <f>'Net Salary P2'!AT15</f>
        <v>41535.611280112345</v>
      </c>
      <c r="N14" s="39">
        <f>IF(_xlfn.XLOOKUP(TableIncome[[#This Row],[Year]],Loop!C:C,Loop!D:D)&lt;70,(N13*(1+$I$4))+IF(TableIncomeCalculations[[#This Row],[SwitchP1]]="Y",N13*$I$6,0),0)</f>
        <v>54994.140812312085</v>
      </c>
      <c r="O14" s="39">
        <f>IF(_xlfn.XLOOKUP(TableIncome[[#This Row],[Year]],Loop!C:C,Loop!E:E)&lt;70,(O13*(1+$I$4))+IF(TableIncomeCalculations[[#This Row],[SwitchP2]]="Y",Q13*$I$6,0),0)</f>
        <v>77711.10904866099</v>
      </c>
      <c r="P14" s="39">
        <f>IF(_xlfn.XLOOKUP(TableIncome[[#This Row],[Year]],Loop!C:C,Loop!D:D)&lt;70,(P13*(1+$I$3))+IF(TableIncomeCalculations[[#This Row],[SwitchP1]]="Y",P13*$I$5,0),0)</f>
        <v>71970.550621157163</v>
      </c>
      <c r="Q14" s="39">
        <f>IF(_xlfn.XLOOKUP(TableIncome[[#This Row],[Year]],Loop!C:C,Loop!E:E)&lt;70,(Q13*(1+$I$3))+IF(TableIncomeCalculations[[#This Row],[SwitchP2]]="Y",Q13*$I$5,0),0)</f>
        <v>99214.415462301346</v>
      </c>
      <c r="R14" t="str">
        <f>_xlfn.XLOOKUP(_xlfn.XLOOKUP(TableIncome[[#This Row],[Year]],Loop!C:C,Loop!D:D),'Job Hopping'!B:B,'Job Hopping'!F:F)</f>
        <v>N</v>
      </c>
      <c r="S14" t="str">
        <f>_xlfn.XLOOKUP(_xlfn.XLOOKUP(TableIncome[[#This Row],[Year]],Loop!C:C,Loop!E:E),'Job Hopping'!B:B,'Job Hopping'!G:G)</f>
        <v>N</v>
      </c>
    </row>
    <row r="15" spans="1:19" x14ac:dyDescent="0.25">
      <c r="B15" s="2">
        <v>2037</v>
      </c>
      <c r="C15" s="42">
        <f>(TableIncomeCalculations[[#This Row],[NetMonthlySalaryP1]]*12)</f>
        <v>388219.29988961591</v>
      </c>
      <c r="D15" s="41">
        <f>(TableIncomeCalculations[[#This Row],[NetMonthlySalaryP2]]*12)</f>
        <v>502559.78267694172</v>
      </c>
      <c r="E15" s="40">
        <f>TableIncome[[#This Row],[SalaryP1]]*$I$7</f>
        <v>38821.929988961594</v>
      </c>
      <c r="F15" s="40">
        <f>TableIncome[[#This Row],[SalaryP2]]*$I$7</f>
        <v>50255.978267694176</v>
      </c>
      <c r="G15" s="16"/>
      <c r="L15" s="38">
        <f>'Net Salary P1'!BI16</f>
        <v>32351.608324134661</v>
      </c>
      <c r="M15" s="39">
        <f>'Net Salary P2'!AT16</f>
        <v>41879.981889745141</v>
      </c>
      <c r="N15" s="39">
        <f>IF(_xlfn.XLOOKUP(TableIncome[[#This Row],[Year]],Loop!C:C,Loop!D:D)&lt;70,(N14*(1+$I$4))+IF(TableIncomeCalculations[[#This Row],[SwitchP1]]="Y",N14*$I$6,0),0)</f>
        <v>55544.082220435208</v>
      </c>
      <c r="O15" s="39">
        <f>IF(_xlfn.XLOOKUP(TableIncome[[#This Row],[Year]],Loop!C:C,Loop!E:E)&lt;70,(O14*(1+$I$4))+IF(TableIncomeCalculations[[#This Row],[SwitchP2]]="Y",Q14*$I$6,0),0)</f>
        <v>78488.220139147597</v>
      </c>
      <c r="P15" s="39">
        <f>IF(_xlfn.XLOOKUP(TableIncome[[#This Row],[Year]],Loop!C:C,Loop!D:D)&lt;70,(P14*(1+$I$3))+IF(TableIncomeCalculations[[#This Row],[SwitchP1]]="Y",P14*$I$5,0),0)</f>
        <v>74129.667139791884</v>
      </c>
      <c r="Q15" s="39">
        <f>IF(_xlfn.XLOOKUP(TableIncome[[#This Row],[Year]],Loop!C:C,Loop!E:E)&lt;70,(Q14*(1+$I$3))+IF(TableIncomeCalculations[[#This Row],[SwitchP2]]="Y",Q14*$I$5,0),0)</f>
        <v>102190.84792617039</v>
      </c>
      <c r="R15" t="str">
        <f>_xlfn.XLOOKUP(_xlfn.XLOOKUP(TableIncome[[#This Row],[Year]],Loop!C:C,Loop!D:D),'Job Hopping'!B:B,'Job Hopping'!F:F)</f>
        <v>N</v>
      </c>
      <c r="S15" t="str">
        <f>_xlfn.XLOOKUP(_xlfn.XLOOKUP(TableIncome[[#This Row],[Year]],Loop!C:C,Loop!E:E),'Job Hopping'!B:B,'Job Hopping'!G:G)</f>
        <v>N</v>
      </c>
    </row>
    <row r="16" spans="1:19" x14ac:dyDescent="0.25">
      <c r="B16" s="2">
        <v>2038</v>
      </c>
      <c r="C16" s="42">
        <f>(TableIncomeCalculations[[#This Row],[NetMonthlySalaryP1]]*12)</f>
        <v>392250.44831006113</v>
      </c>
      <c r="D16" s="41">
        <f>(TableIncomeCalculations[[#This Row],[NetMonthlySalaryP2]]*12)</f>
        <v>506729.33592526027</v>
      </c>
      <c r="E16" s="40">
        <f>TableIncome[[#This Row],[SalaryP1]]*$I$7</f>
        <v>39225.044831006111</v>
      </c>
      <c r="F16" s="40">
        <f>TableIncome[[#This Row],[SalaryP2]]*$I$7</f>
        <v>50672.933592526031</v>
      </c>
      <c r="G16" s="16"/>
      <c r="L16" s="38">
        <f>'Net Salary P1'!BI17</f>
        <v>32687.537359171762</v>
      </c>
      <c r="M16" s="39">
        <f>'Net Salary P2'!AT17</f>
        <v>42227.444660438356</v>
      </c>
      <c r="N16" s="39">
        <f>IF(_xlfn.XLOOKUP(TableIncome[[#This Row],[Year]],Loop!C:C,Loop!D:D)&lt;70,(N15*(1+$I$4))+IF(TableIncomeCalculations[[#This Row],[SwitchP1]]="Y",N15*$I$6,0),0)</f>
        <v>56099.523042639557</v>
      </c>
      <c r="O16" s="39">
        <f>IF(_xlfn.XLOOKUP(TableIncome[[#This Row],[Year]],Loop!C:C,Loop!E:E)&lt;70,(O15*(1+$I$4))+IF(TableIncomeCalculations[[#This Row],[SwitchP2]]="Y",Q15*$I$6,0),0)</f>
        <v>79273.102340539073</v>
      </c>
      <c r="P16" s="39">
        <f>IF(_xlfn.XLOOKUP(TableIncome[[#This Row],[Year]],Loop!C:C,Loop!D:D)&lt;70,(P15*(1+$I$3))+IF(TableIncomeCalculations[[#This Row],[SwitchP1]]="Y",P15*$I$5,0),0)</f>
        <v>76353.557153985646</v>
      </c>
      <c r="Q16" s="39">
        <f>IF(_xlfn.XLOOKUP(TableIncome[[#This Row],[Year]],Loop!C:C,Loop!E:E)&lt;70,(Q15*(1+$I$3))+IF(TableIncomeCalculations[[#This Row],[SwitchP2]]="Y",Q15*$I$5,0),0)</f>
        <v>105256.57336395551</v>
      </c>
      <c r="R16" t="str">
        <f>_xlfn.XLOOKUP(_xlfn.XLOOKUP(TableIncome[[#This Row],[Year]],Loop!C:C,Loop!D:D),'Job Hopping'!B:B,'Job Hopping'!F:F)</f>
        <v>N</v>
      </c>
      <c r="S16" t="str">
        <f>_xlfn.XLOOKUP(_xlfn.XLOOKUP(TableIncome[[#This Row],[Year]],Loop!C:C,Loop!E:E),'Job Hopping'!B:B,'Job Hopping'!G:G)</f>
        <v>N</v>
      </c>
    </row>
    <row r="17" spans="2:19" x14ac:dyDescent="0.25">
      <c r="B17" s="2">
        <v>2039</v>
      </c>
      <c r="C17" s="42">
        <f>(TableIncomeCalculations[[#This Row],[NetMonthlySalaryP1]]*12)</f>
        <v>396317.77239075897</v>
      </c>
      <c r="D17" s="41">
        <f>(TableIncomeCalculations[[#This Row],[NetMonthlySalaryP2]]*12)</f>
        <v>510936.44888211007</v>
      </c>
      <c r="E17" s="40">
        <f>TableIncome[[#This Row],[SalaryP1]]*$I$7</f>
        <v>39631.777239075898</v>
      </c>
      <c r="F17" s="40">
        <f>TableIncome[[#This Row],[SalaryP2]]*$I$7</f>
        <v>51093.644888211013</v>
      </c>
      <c r="G17" s="16"/>
      <c r="L17" s="38">
        <f>'Net Salary P1'!BI18</f>
        <v>33026.48103256325</v>
      </c>
      <c r="M17" s="39">
        <f>'Net Salary P2'!AT18</f>
        <v>42578.037406842508</v>
      </c>
      <c r="N17" s="39">
        <f>IF(_xlfn.XLOOKUP(TableIncome[[#This Row],[Year]],Loop!C:C,Loop!D:D)&lt;70,(N16*(1+$I$4))+IF(TableIncomeCalculations[[#This Row],[SwitchP1]]="Y",N16*$I$6,0),0)</f>
        <v>58904.499194771532</v>
      </c>
      <c r="O17" s="39">
        <f>IF(_xlfn.XLOOKUP(TableIncome[[#This Row],[Year]],Loop!C:C,Loop!E:E)&lt;70,(O16*(1+$I$4))+IF(TableIncomeCalculations[[#This Row],[SwitchP2]]="Y",Q16*$I$6,0),0)</f>
        <v>80065.833363944461</v>
      </c>
      <c r="P17" s="39">
        <f>IF(_xlfn.XLOOKUP(TableIncome[[#This Row],[Year]],Loop!C:C,Loop!D:D)&lt;70,(P16*(1+$I$3))+IF(TableIncomeCalculations[[#This Row],[SwitchP1]]="Y",P16*$I$5,0),0)</f>
        <v>83225.377297844359</v>
      </c>
      <c r="Q17" s="39">
        <f>IF(_xlfn.XLOOKUP(TableIncome[[#This Row],[Year]],Loop!C:C,Loop!E:E)&lt;70,(Q16*(1+$I$3))+IF(TableIncomeCalculations[[#This Row],[SwitchP2]]="Y",Q16*$I$5,0),0)</f>
        <v>108414.27056487418</v>
      </c>
      <c r="R17" t="str">
        <f>_xlfn.XLOOKUP(_xlfn.XLOOKUP(TableIncome[[#This Row],[Year]],Loop!C:C,Loop!D:D),'Job Hopping'!B:B,'Job Hopping'!F:F)</f>
        <v>Y</v>
      </c>
      <c r="S17" t="str">
        <f>_xlfn.XLOOKUP(_xlfn.XLOOKUP(TableIncome[[#This Row],[Year]],Loop!C:C,Loop!E:E),'Job Hopping'!B:B,'Job Hopping'!G:G)</f>
        <v>N</v>
      </c>
    </row>
    <row r="18" spans="2:19" x14ac:dyDescent="0.25">
      <c r="B18" s="2">
        <v>2040</v>
      </c>
      <c r="C18" s="42">
        <f>(TableIncomeCalculations[[#This Row],[NetMonthlySalaryP1]]*12)</f>
        <v>400421.71498289902</v>
      </c>
      <c r="D18" s="41">
        <f>(TableIncomeCalculations[[#This Row],[NetMonthlySalaryP2]]*12)</f>
        <v>515181.57823916373</v>
      </c>
      <c r="E18" s="40">
        <f>TableIncome[[#This Row],[SalaryP1]]*$I$7</f>
        <v>40042.171498289907</v>
      </c>
      <c r="F18" s="40">
        <f>TableIncome[[#This Row],[SalaryP2]]*$I$7</f>
        <v>51518.157823916379</v>
      </c>
      <c r="G18" s="16"/>
      <c r="L18" s="38">
        <f>'Net Salary P1'!BI19</f>
        <v>33368.476248574916</v>
      </c>
      <c r="M18" s="39">
        <f>'Net Salary P2'!AT19</f>
        <v>42931.798186596978</v>
      </c>
      <c r="N18" s="39">
        <f>IF(_xlfn.XLOOKUP(TableIncome[[#This Row],[Year]],Loop!C:C,Loop!D:D)&lt;70,(N17*(1+$I$4))+IF(TableIncomeCalculations[[#This Row],[SwitchP1]]="Y",N17*$I$6,0),0)</f>
        <v>59493.544186719249</v>
      </c>
      <c r="O18" s="39">
        <f>IF(_xlfn.XLOOKUP(TableIncome[[#This Row],[Year]],Loop!C:C,Loop!E:E)&lt;70,(O17*(1+$I$4))+IF(TableIncomeCalculations[[#This Row],[SwitchP2]]="Y",Q17*$I$6,0),0)</f>
        <v>80866.491697583901</v>
      </c>
      <c r="P18" s="39">
        <f>IF(_xlfn.XLOOKUP(TableIncome[[#This Row],[Year]],Loop!C:C,Loop!D:D)&lt;70,(P17*(1+$I$3))+IF(TableIncomeCalculations[[#This Row],[SwitchP1]]="Y",P17*$I$5,0),0)</f>
        <v>85722.138616779688</v>
      </c>
      <c r="Q18" s="39">
        <f>IF(_xlfn.XLOOKUP(TableIncome[[#This Row],[Year]],Loop!C:C,Loop!E:E)&lt;70,(Q17*(1+$I$3))+IF(TableIncomeCalculations[[#This Row],[SwitchP2]]="Y",Q17*$I$5,0),0)</f>
        <v>111666.69868182042</v>
      </c>
      <c r="R18" t="str">
        <f>_xlfn.XLOOKUP(_xlfn.XLOOKUP(TableIncome[[#This Row],[Year]],Loop!C:C,Loop!D:D),'Job Hopping'!B:B,'Job Hopping'!F:F)</f>
        <v>N</v>
      </c>
      <c r="S18" t="str">
        <f>_xlfn.XLOOKUP(_xlfn.XLOOKUP(TableIncome[[#This Row],[Year]],Loop!C:C,Loop!E:E),'Job Hopping'!B:B,'Job Hopping'!G:G)</f>
        <v>N</v>
      </c>
    </row>
    <row r="19" spans="2:19" x14ac:dyDescent="0.25">
      <c r="B19" s="2">
        <v>2041</v>
      </c>
      <c r="C19" s="42">
        <f>(TableIncomeCalculations[[#This Row],[NetMonthlySalaryP1]]*12)</f>
        <v>420600.22909889615</v>
      </c>
      <c r="D19" s="41">
        <f>(TableIncomeCalculations[[#This Row],[NetMonthlySalaryP2]]*12)</f>
        <v>519465.18366492062</v>
      </c>
      <c r="E19" s="40">
        <f>TableIncome[[#This Row],[SalaryP1]]*$I$7</f>
        <v>42060.022909889616</v>
      </c>
      <c r="F19" s="40">
        <f>TableIncome[[#This Row],[SalaryP2]]*$I$7</f>
        <v>51946.518366492062</v>
      </c>
      <c r="G19" s="16"/>
      <c r="L19" s="38">
        <f>'Net Salary P1'!BI20</f>
        <v>35050.019091574679</v>
      </c>
      <c r="M19" s="39">
        <f>'Net Salary P2'!AT20</f>
        <v>43288.765305410052</v>
      </c>
      <c r="N19" s="39">
        <f>IF(_xlfn.XLOOKUP(TableIncome[[#This Row],[Year]],Loop!C:C,Loop!D:D)&lt;70,(N18*(1+$I$4))+IF(TableIncomeCalculations[[#This Row],[SwitchP1]]="Y",N18*$I$6,0),0)</f>
        <v>60088.479628586443</v>
      </c>
      <c r="O19" s="39">
        <f>IF(_xlfn.XLOOKUP(TableIncome[[#This Row],[Year]],Loop!C:C,Loop!E:E)&lt;70,(O18*(1+$I$4))+IF(TableIncomeCalculations[[#This Row],[SwitchP2]]="Y",Q18*$I$6,0),0)</f>
        <v>81675.156614559746</v>
      </c>
      <c r="P19" s="39">
        <f>IF(_xlfn.XLOOKUP(TableIncome[[#This Row],[Year]],Loop!C:C,Loop!D:D)&lt;70,(P18*(1+$I$3))+IF(TableIncomeCalculations[[#This Row],[SwitchP1]]="Y",P18*$I$5,0),0)</f>
        <v>88293.802775283082</v>
      </c>
      <c r="Q19" s="39">
        <f>IF(_xlfn.XLOOKUP(TableIncome[[#This Row],[Year]],Loop!C:C,Loop!E:E)&lt;70,(Q18*(1+$I$3))+IF(TableIncomeCalculations[[#This Row],[SwitchP2]]="Y",Q18*$I$5,0),0)</f>
        <v>115016.69964227504</v>
      </c>
      <c r="R19" t="str">
        <f>_xlfn.XLOOKUP(_xlfn.XLOOKUP(TableIncome[[#This Row],[Year]],Loop!C:C,Loop!D:D),'Job Hopping'!B:B,'Job Hopping'!F:F)</f>
        <v>N</v>
      </c>
      <c r="S19" t="str">
        <f>_xlfn.XLOOKUP(_xlfn.XLOOKUP(TableIncome[[#This Row],[Year]],Loop!C:C,Loop!E:E),'Job Hopping'!B:B,'Job Hopping'!G:G)</f>
        <v>N</v>
      </c>
    </row>
    <row r="20" spans="2:19" x14ac:dyDescent="0.25">
      <c r="B20" s="2">
        <v>2042</v>
      </c>
      <c r="C20" s="42">
        <f>(TableIncomeCalculations[[#This Row],[NetMonthlySalaryP1]]*12)</f>
        <v>424186.28689991042</v>
      </c>
      <c r="D20" s="41">
        <f>(TableIncomeCalculations[[#This Row],[NetMonthlySalaryP2]]*12)</f>
        <v>523787.7278656534</v>
      </c>
      <c r="E20" s="40">
        <f>TableIncome[[#This Row],[SalaryP1]]*$I$7</f>
        <v>42418.628689991048</v>
      </c>
      <c r="F20" s="40">
        <f>TableIncome[[#This Row],[SalaryP2]]*$I$7</f>
        <v>52378.772786565343</v>
      </c>
      <c r="G20" s="16"/>
      <c r="L20" s="38">
        <f>'Net Salary P1'!BI21</f>
        <v>35348.8572416592</v>
      </c>
      <c r="M20" s="39">
        <f>'Net Salary P2'!AT21</f>
        <v>43648.977322137784</v>
      </c>
      <c r="N20" s="39">
        <f>IF(_xlfn.XLOOKUP(TableIncome[[#This Row],[Year]],Loop!C:C,Loop!D:D)&lt;70,(N19*(1+$I$4))+IF(TableIncomeCalculations[[#This Row],[SwitchP1]]="Y",N19*$I$6,0),0)</f>
        <v>60689.364424872307</v>
      </c>
      <c r="O20" s="39">
        <f>IF(_xlfn.XLOOKUP(TableIncome[[#This Row],[Year]],Loop!C:C,Loop!E:E)&lt;70,(O19*(1+$I$4))+IF(TableIncomeCalculations[[#This Row],[SwitchP2]]="Y",Q19*$I$6,0),0)</f>
        <v>82491.908180705344</v>
      </c>
      <c r="P20" s="39">
        <f>IF(_xlfn.XLOOKUP(TableIncome[[#This Row],[Year]],Loop!C:C,Loop!D:D)&lt;70,(P19*(1+$I$3))+IF(TableIncomeCalculations[[#This Row],[SwitchP1]]="Y",P19*$I$5,0),0)</f>
        <v>90942.616858541573</v>
      </c>
      <c r="Q20" s="39">
        <f>IF(_xlfn.XLOOKUP(TableIncome[[#This Row],[Year]],Loop!C:C,Loop!E:E)&lt;70,(Q19*(1+$I$3))+IF(TableIncomeCalculations[[#This Row],[SwitchP2]]="Y",Q19*$I$5,0),0)</f>
        <v>118467.2006315433</v>
      </c>
      <c r="R20" t="str">
        <f>_xlfn.XLOOKUP(_xlfn.XLOOKUP(TableIncome[[#This Row],[Year]],Loop!C:C,Loop!D:D),'Job Hopping'!B:B,'Job Hopping'!F:F)</f>
        <v>N</v>
      </c>
      <c r="S20" t="str">
        <f>_xlfn.XLOOKUP(_xlfn.XLOOKUP(TableIncome[[#This Row],[Year]],Loop!C:C,Loop!E:E),'Job Hopping'!B:B,'Job Hopping'!G:G)</f>
        <v>N</v>
      </c>
    </row>
    <row r="21" spans="2:19" x14ac:dyDescent="0.25">
      <c r="B21" s="2">
        <v>2043</v>
      </c>
      <c r="C21" s="42">
        <f>(TableIncomeCalculations[[#This Row],[NetMonthlySalaryP1]]*12)</f>
        <v>427552.2212709522</v>
      </c>
      <c r="D21" s="41">
        <f>(TableIncomeCalculations[[#This Row],[NetMonthlySalaryP2]]*12)</f>
        <v>553452.9085373244</v>
      </c>
      <c r="E21" s="40">
        <f>TableIncome[[#This Row],[SalaryP1]]*$I$7</f>
        <v>42755.222127095221</v>
      </c>
      <c r="F21" s="40">
        <f>TableIncome[[#This Row],[SalaryP2]]*$I$7</f>
        <v>55345.29085373244</v>
      </c>
      <c r="G21" s="16"/>
      <c r="L21" s="38">
        <f>'Net Salary P1'!BI22</f>
        <v>35629.35177257935</v>
      </c>
      <c r="M21" s="39">
        <f>'Net Salary P2'!AT22</f>
        <v>46121.0757114437</v>
      </c>
      <c r="N21" s="39">
        <f>IF(_xlfn.XLOOKUP(TableIncome[[#This Row],[Year]],Loop!C:C,Loop!D:D)&lt;70,(N20*(1+$I$4))+IF(TableIncomeCalculations[[#This Row],[SwitchP1]]="Y",N20*$I$6,0),0)</f>
        <v>63723.832646115923</v>
      </c>
      <c r="O21" s="39">
        <f>IF(_xlfn.XLOOKUP(TableIncome[[#This Row],[Year]],Loop!C:C,Loop!E:E)&lt;70,(O20*(1+$I$4))+IF(TableIncomeCalculations[[#This Row],[SwitchP2]]="Y",Q20*$I$6,0),0)</f>
        <v>83316.827262512394</v>
      </c>
      <c r="P21" s="39">
        <f>IF(_xlfn.XLOOKUP(TableIncome[[#This Row],[Year]],Loop!C:C,Loop!D:D)&lt;70,(P20*(1+$I$3))+IF(TableIncomeCalculations[[#This Row],[SwitchP1]]="Y",P20*$I$5,0),0)</f>
        <v>99127.452375810302</v>
      </c>
      <c r="Q21" s="39">
        <f>IF(_xlfn.XLOOKUP(TableIncome[[#This Row],[Year]],Loop!C:C,Loop!E:E)&lt;70,(Q20*(1+$I$3))+IF(TableIncomeCalculations[[#This Row],[SwitchP2]]="Y",Q20*$I$5,0),0)</f>
        <v>122021.2166504896</v>
      </c>
      <c r="R21" t="str">
        <f>_xlfn.XLOOKUP(_xlfn.XLOOKUP(TableIncome[[#This Row],[Year]],Loop!C:C,Loop!D:D),'Job Hopping'!B:B,'Job Hopping'!F:F)</f>
        <v>Y</v>
      </c>
      <c r="S21" t="str">
        <f>_xlfn.XLOOKUP(_xlfn.XLOOKUP(TableIncome[[#This Row],[Year]],Loop!C:C,Loop!E:E),'Job Hopping'!B:B,'Job Hopping'!G:G)</f>
        <v>N</v>
      </c>
    </row>
    <row r="22" spans="2:19" x14ac:dyDescent="0.25">
      <c r="B22" s="2">
        <v>2044</v>
      </c>
      <c r="C22" s="42">
        <f>(TableIncomeCalculations[[#This Row],[NetMonthlySalaryP1]]*12)</f>
        <v>430948.06904252712</v>
      </c>
      <c r="D22" s="41">
        <f>(TableIncomeCalculations[[#This Row],[NetMonthlySalaryP2]]*12)</f>
        <v>558107.76318156312</v>
      </c>
      <c r="E22" s="40">
        <f>TableIncome[[#This Row],[SalaryP1]]*$I$7</f>
        <v>43094.806904252713</v>
      </c>
      <c r="F22" s="40">
        <f>TableIncome[[#This Row],[SalaryP2]]*$I$7</f>
        <v>55810.776318156313</v>
      </c>
      <c r="G22" s="16"/>
      <c r="L22" s="38">
        <f>'Net Salary P1'!BI23</f>
        <v>35912.339086877262</v>
      </c>
      <c r="M22" s="39">
        <f>'Net Salary P2'!AT23</f>
        <v>46508.98026513026</v>
      </c>
      <c r="N22" s="39">
        <f>IF(_xlfn.XLOOKUP(TableIncome[[#This Row],[Year]],Loop!C:C,Loop!D:D)&lt;70,(N21*(1+$I$4))+IF(TableIncomeCalculations[[#This Row],[SwitchP1]]="Y",N21*$I$6,0),0)</f>
        <v>64361.070972577079</v>
      </c>
      <c r="O22" s="39">
        <f>IF(_xlfn.XLOOKUP(TableIncome[[#This Row],[Year]],Loop!C:C,Loop!E:E)&lt;70,(O21*(1+$I$4))+IF(TableIncomeCalculations[[#This Row],[SwitchP2]]="Y",Q21*$I$6,0),0)</f>
        <v>84149.995535137525</v>
      </c>
      <c r="P22" s="39">
        <f>IF(_xlfn.XLOOKUP(TableIncome[[#This Row],[Year]],Loop!C:C,Loop!D:D)&lt;70,(P21*(1+$I$3))+IF(TableIncomeCalculations[[#This Row],[SwitchP1]]="Y",P21*$I$5,0),0)</f>
        <v>102101.27594708462</v>
      </c>
      <c r="Q22" s="39">
        <f>IF(_xlfn.XLOOKUP(TableIncome[[#This Row],[Year]],Loop!C:C,Loop!E:E)&lt;70,(Q21*(1+$I$3))+IF(TableIncomeCalculations[[#This Row],[SwitchP2]]="Y",Q21*$I$5,0),0)</f>
        <v>125681.85315000429</v>
      </c>
      <c r="R22" t="str">
        <f>_xlfn.XLOOKUP(_xlfn.XLOOKUP(TableIncome[[#This Row],[Year]],Loop!C:C,Loop!D:D),'Job Hopping'!B:B,'Job Hopping'!F:F)</f>
        <v>N</v>
      </c>
      <c r="S22" t="str">
        <f>_xlfn.XLOOKUP(_xlfn.XLOOKUP(TableIncome[[#This Row],[Year]],Loop!C:C,Loop!E:E),'Job Hopping'!B:B,'Job Hopping'!G:G)</f>
        <v>N</v>
      </c>
    </row>
    <row r="23" spans="2:19" x14ac:dyDescent="0.25">
      <c r="B23" s="2">
        <v>2045</v>
      </c>
      <c r="C23" s="42">
        <f>(TableIncomeCalculations[[#This Row],[NetMonthlySalaryP1]]*12)</f>
        <v>447592.3148673143</v>
      </c>
      <c r="D23" s="41">
        <f>(TableIncomeCalculations[[#This Row],[NetMonthlySalaryP2]]*12)</f>
        <v>562805.49387893314</v>
      </c>
      <c r="E23" s="40">
        <f>TableIncome[[#This Row],[SalaryP1]]*$I$7</f>
        <v>44759.231486731434</v>
      </c>
      <c r="F23" s="40">
        <f>TableIncome[[#This Row],[SalaryP2]]*$I$7</f>
        <v>56280.549387893319</v>
      </c>
      <c r="G23" s="16"/>
      <c r="L23" s="38">
        <f>'Net Salary P1'!BI24</f>
        <v>37299.359572276189</v>
      </c>
      <c r="M23" s="39">
        <f>'Net Salary P2'!AT24</f>
        <v>46900.457823244426</v>
      </c>
      <c r="N23" s="39">
        <f>IF(_xlfn.XLOOKUP(TableIncome[[#This Row],[Year]],Loop!C:C,Loop!D:D)&lt;70,(N22*(1+$I$4))+IF(TableIncomeCalculations[[#This Row],[SwitchP1]]="Y",N22*$I$6,0),0)</f>
        <v>65004.681682302849</v>
      </c>
      <c r="O23" s="39">
        <f>IF(_xlfn.XLOOKUP(TableIncome[[#This Row],[Year]],Loop!C:C,Loop!E:E)&lt;70,(O22*(1+$I$4))+IF(TableIncomeCalculations[[#This Row],[SwitchP2]]="Y",Q22*$I$6,0),0)</f>
        <v>90018.769616489066</v>
      </c>
      <c r="P23" s="39">
        <f>IF(_xlfn.XLOOKUP(TableIncome[[#This Row],[Year]],Loop!C:C,Loop!D:D)&lt;70,(P22*(1+$I$3))+IF(TableIncomeCalculations[[#This Row],[SwitchP1]]="Y",P22*$I$5,0),0)</f>
        <v>105164.31422549716</v>
      </c>
      <c r="Q23" s="39">
        <f>IF(_xlfn.XLOOKUP(TableIncome[[#This Row],[Year]],Loop!C:C,Loop!E:E)&lt;70,(Q22*(1+$I$3))+IF(TableIncomeCalculations[[#This Row],[SwitchP2]]="Y",Q22*$I$5,0),0)</f>
        <v>136993.21993350468</v>
      </c>
      <c r="R23" t="str">
        <f>_xlfn.XLOOKUP(_xlfn.XLOOKUP(TableIncome[[#This Row],[Year]],Loop!C:C,Loop!D:D),'Job Hopping'!B:B,'Job Hopping'!F:F)</f>
        <v>N</v>
      </c>
      <c r="S23" t="str">
        <f>_xlfn.XLOOKUP(_xlfn.XLOOKUP(TableIncome[[#This Row],[Year]],Loop!C:C,Loop!E:E),'Job Hopping'!B:B,'Job Hopping'!G:G)</f>
        <v>Y</v>
      </c>
    </row>
    <row r="24" spans="2:19" x14ac:dyDescent="0.25">
      <c r="B24" s="2">
        <v>2046</v>
      </c>
      <c r="C24" s="42">
        <f>(TableIncomeCalculations[[#This Row],[NetMonthlySalaryP1]]*12)</f>
        <v>451181.29059790343</v>
      </c>
      <c r="D24" s="41">
        <f>(TableIncomeCalculations[[#This Row],[NetMonthlySalaryP2]]*12)</f>
        <v>567546.60139963846</v>
      </c>
      <c r="E24" s="40">
        <f>TableIncome[[#This Row],[SalaryP1]]*$I$7</f>
        <v>45118.129059790343</v>
      </c>
      <c r="F24" s="40">
        <f>TableIncome[[#This Row],[SalaryP2]]*$I$7</f>
        <v>56754.660139963846</v>
      </c>
      <c r="G24" s="16"/>
      <c r="L24" s="38">
        <f>'Net Salary P1'!BI25</f>
        <v>37598.440883158619</v>
      </c>
      <c r="M24" s="39">
        <f>'Net Salary P2'!AT25</f>
        <v>47295.550116636536</v>
      </c>
      <c r="N24" s="39">
        <f>IF(_xlfn.XLOOKUP(TableIncome[[#This Row],[Year]],Loop!C:C,Loop!D:D)&lt;70,(N23*(1+$I$4))+IF(TableIncomeCalculations[[#This Row],[SwitchP1]]="Y",N23*$I$6,0),0)</f>
        <v>65654.728499125878</v>
      </c>
      <c r="O24" s="39">
        <f>IF(_xlfn.XLOOKUP(TableIncome[[#This Row],[Year]],Loop!C:C,Loop!E:E)&lt;70,(O23*(1+$I$4))+IF(TableIncomeCalculations[[#This Row],[SwitchP2]]="Y",Q23*$I$6,0),0)</f>
        <v>90918.957312653962</v>
      </c>
      <c r="P24" s="39">
        <f>IF(_xlfn.XLOOKUP(TableIncome[[#This Row],[Year]],Loop!C:C,Loop!D:D)&lt;70,(P23*(1+$I$3))+IF(TableIncomeCalculations[[#This Row],[SwitchP1]]="Y",P23*$I$5,0),0)</f>
        <v>108319.24365226208</v>
      </c>
      <c r="Q24" s="39">
        <f>IF(_xlfn.XLOOKUP(TableIncome[[#This Row],[Year]],Loop!C:C,Loop!E:E)&lt;70,(Q23*(1+$I$3))+IF(TableIncomeCalculations[[#This Row],[SwitchP2]]="Y",Q23*$I$5,0),0)</f>
        <v>141103.01653150981</v>
      </c>
      <c r="R24" t="str">
        <f>_xlfn.XLOOKUP(_xlfn.XLOOKUP(TableIncome[[#This Row],[Year]],Loop!C:C,Loop!D:D),'Job Hopping'!B:B,'Job Hopping'!F:F)</f>
        <v>N</v>
      </c>
      <c r="S24" t="str">
        <f>_xlfn.XLOOKUP(_xlfn.XLOOKUP(TableIncome[[#This Row],[Year]],Loop!C:C,Loop!E:E),'Job Hopping'!B:B,'Job Hopping'!G:G)</f>
        <v>N</v>
      </c>
    </row>
    <row r="25" spans="2:19" x14ac:dyDescent="0.25">
      <c r="B25" s="2">
        <v>2047</v>
      </c>
      <c r="C25" s="42">
        <f>(TableIncomeCalculations[[#This Row],[NetMonthlySalaryP1]]*12)</f>
        <v>454802.62619987864</v>
      </c>
      <c r="D25" s="41">
        <f>(TableIncomeCalculations[[#This Row],[NetMonthlySalaryP2]]*12)</f>
        <v>572331.59010963084</v>
      </c>
      <c r="E25" s="40">
        <f>TableIncome[[#This Row],[SalaryP1]]*$I$7</f>
        <v>45480.262619987865</v>
      </c>
      <c r="F25" s="40">
        <f>TableIncome[[#This Row],[SalaryP2]]*$I$7</f>
        <v>57233.159010963085</v>
      </c>
      <c r="G25" s="16"/>
      <c r="L25" s="38">
        <f>'Net Salary P1'!BI26</f>
        <v>37900.218849989884</v>
      </c>
      <c r="M25" s="39">
        <f>'Net Salary P2'!AT26</f>
        <v>47694.299175802567</v>
      </c>
      <c r="N25" s="39">
        <f>IF(_xlfn.XLOOKUP(TableIncome[[#This Row],[Year]],Loop!C:C,Loop!D:D)&lt;70,(N24*(1+$I$4))+IF(TableIncomeCalculations[[#This Row],[SwitchP1]]="Y",N24*$I$6,0),0)</f>
        <v>68937.464924082175</v>
      </c>
      <c r="O25" s="39">
        <f>IF(_xlfn.XLOOKUP(TableIncome[[#This Row],[Year]],Loop!C:C,Loop!E:E)&lt;70,(O24*(1+$I$4))+IF(TableIncomeCalculations[[#This Row],[SwitchP2]]="Y",Q24*$I$6,0),0)</f>
        <v>91828.146885780501</v>
      </c>
      <c r="P25" s="39">
        <f>IF(_xlfn.XLOOKUP(TableIncome[[#This Row],[Year]],Loop!C:C,Loop!D:D)&lt;70,(P24*(1+$I$3))+IF(TableIncomeCalculations[[#This Row],[SwitchP1]]="Y",P24*$I$5,0),0)</f>
        <v>118067.97558096566</v>
      </c>
      <c r="Q25" s="39">
        <f>IF(_xlfn.XLOOKUP(TableIncome[[#This Row],[Year]],Loop!C:C,Loop!E:E)&lt;70,(Q24*(1+$I$3))+IF(TableIncomeCalculations[[#This Row],[SwitchP2]]="Y",Q24*$I$5,0),0)</f>
        <v>145336.10702745512</v>
      </c>
      <c r="R25" t="str">
        <f>_xlfn.XLOOKUP(_xlfn.XLOOKUP(TableIncome[[#This Row],[Year]],Loop!C:C,Loop!D:D),'Job Hopping'!B:B,'Job Hopping'!F:F)</f>
        <v>Y</v>
      </c>
      <c r="S25" t="str">
        <f>_xlfn.XLOOKUP(_xlfn.XLOOKUP(TableIncome[[#This Row],[Year]],Loop!C:C,Loop!E:E),'Job Hopping'!B:B,'Job Hopping'!G:G)</f>
        <v>N</v>
      </c>
    </row>
    <row r="26" spans="2:19" x14ac:dyDescent="0.25">
      <c r="B26" s="2">
        <v>2048</v>
      </c>
      <c r="C26" s="42">
        <f>(TableIncomeCalculations[[#This Row],[NetMonthlySalaryP1]]*12)</f>
        <v>458456.71448540292</v>
      </c>
      <c r="D26" s="41">
        <f>(TableIncomeCalculations[[#This Row],[NetMonthlySalaryP2]]*12)</f>
        <v>577160.96803425276</v>
      </c>
      <c r="E26" s="40">
        <f>TableIncome[[#This Row],[SalaryP1]]*$I$7</f>
        <v>45845.671448540292</v>
      </c>
      <c r="F26" s="40">
        <f>TableIncome[[#This Row],[SalaryP2]]*$I$7</f>
        <v>57716.09680342528</v>
      </c>
      <c r="G26" s="16"/>
      <c r="L26" s="38">
        <f>'Net Salary P1'!BI27</f>
        <v>38204.72620711691</v>
      </c>
      <c r="M26" s="39">
        <f>'Net Salary P2'!AT27</f>
        <v>48096.747336187727</v>
      </c>
      <c r="N26" s="39">
        <f>IF(_xlfn.XLOOKUP(TableIncome[[#This Row],[Year]],Loop!C:C,Loop!D:D)&lt;70,(N25*(1+$I$4))+IF(TableIncomeCalculations[[#This Row],[SwitchP1]]="Y",N25*$I$6,0),0)</f>
        <v>69626.839573322999</v>
      </c>
      <c r="O26" s="39">
        <f>IF(_xlfn.XLOOKUP(TableIncome[[#This Row],[Year]],Loop!C:C,Loop!E:E)&lt;70,(O25*(1+$I$4))+IF(TableIncomeCalculations[[#This Row],[SwitchP2]]="Y",Q25*$I$6,0),0)</f>
        <v>92746.428354638309</v>
      </c>
      <c r="P26" s="39">
        <f>IF(_xlfn.XLOOKUP(TableIncome[[#This Row],[Year]],Loop!C:C,Loop!D:D)&lt;70,(P25*(1+$I$3))+IF(TableIncomeCalculations[[#This Row],[SwitchP1]]="Y",P25*$I$5,0),0)</f>
        <v>121610.01484839464</v>
      </c>
      <c r="Q26" s="39">
        <f>IF(_xlfn.XLOOKUP(TableIncome[[#This Row],[Year]],Loop!C:C,Loop!E:E)&lt;70,(Q25*(1+$I$3))+IF(TableIncomeCalculations[[#This Row],[SwitchP2]]="Y",Q25*$I$5,0),0)</f>
        <v>149696.19023827877</v>
      </c>
      <c r="R26" t="str">
        <f>_xlfn.XLOOKUP(_xlfn.XLOOKUP(TableIncome[[#This Row],[Year]],Loop!C:C,Loop!D:D),'Job Hopping'!B:B,'Job Hopping'!F:F)</f>
        <v>N</v>
      </c>
      <c r="S26" t="str">
        <f>_xlfn.XLOOKUP(_xlfn.XLOOKUP(TableIncome[[#This Row],[Year]],Loop!C:C,Loop!E:E),'Job Hopping'!B:B,'Job Hopping'!G:G)</f>
        <v>N</v>
      </c>
    </row>
    <row r="27" spans="2:19" x14ac:dyDescent="0.25">
      <c r="B27" s="2">
        <v>2049</v>
      </c>
      <c r="C27" s="42">
        <f>(TableIncomeCalculations[[#This Row],[NetMonthlySalaryP1]]*12)</f>
        <v>462143.95083763497</v>
      </c>
      <c r="D27" s="41">
        <f>(TableIncomeCalculations[[#This Row],[NetMonthlySalaryP2]]*12)</f>
        <v>582035.24692197319</v>
      </c>
      <c r="E27" s="40">
        <f>TableIncome[[#This Row],[SalaryP1]]*$I$7</f>
        <v>46214.395083763498</v>
      </c>
      <c r="F27" s="40">
        <f>TableIncome[[#This Row],[SalaryP2]]*$I$7</f>
        <v>58203.524692197323</v>
      </c>
      <c r="G27" s="16"/>
      <c r="L27" s="38">
        <f>'Net Salary P1'!BI28</f>
        <v>38511.995903136245</v>
      </c>
      <c r="M27" s="39">
        <f>'Net Salary P2'!AT28</f>
        <v>48502.937243497763</v>
      </c>
      <c r="N27" s="39">
        <f>IF(_xlfn.XLOOKUP(TableIncome[[#This Row],[Year]],Loop!C:C,Loop!D:D)&lt;70,(N26*(1+$I$4))+IF(TableIncomeCalculations[[#This Row],[SwitchP1]]="Y",N26*$I$6,0),0)</f>
        <v>70323.107969056233</v>
      </c>
      <c r="O27" s="39">
        <f>IF(_xlfn.XLOOKUP(TableIncome[[#This Row],[Year]],Loop!C:C,Loop!E:E)&lt;70,(O26*(1+$I$4))+IF(TableIncomeCalculations[[#This Row],[SwitchP2]]="Y",Q26*$I$6,0),0)</f>
        <v>93673.892638184698</v>
      </c>
      <c r="P27" s="39">
        <f>IF(_xlfn.XLOOKUP(TableIncome[[#This Row],[Year]],Loop!C:C,Loop!D:D)&lt;70,(P26*(1+$I$3))+IF(TableIncomeCalculations[[#This Row],[SwitchP1]]="Y",P26*$I$5,0),0)</f>
        <v>125258.31529384648</v>
      </c>
      <c r="Q27" s="39">
        <f>IF(_xlfn.XLOOKUP(TableIncome[[#This Row],[Year]],Loop!C:C,Loop!E:E)&lt;70,(Q26*(1+$I$3))+IF(TableIncomeCalculations[[#This Row],[SwitchP2]]="Y",Q26*$I$5,0),0)</f>
        <v>154187.07594542715</v>
      </c>
      <c r="R27" t="str">
        <f>_xlfn.XLOOKUP(_xlfn.XLOOKUP(TableIncome[[#This Row],[Year]],Loop!C:C,Loop!D:D),'Job Hopping'!B:B,'Job Hopping'!F:F)</f>
        <v>N</v>
      </c>
      <c r="S27" t="str">
        <f>_xlfn.XLOOKUP(_xlfn.XLOOKUP(TableIncome[[#This Row],[Year]],Loop!C:C,Loop!E:E),'Job Hopping'!B:B,'Job Hopping'!G:G)</f>
        <v>N</v>
      </c>
    </row>
    <row r="28" spans="2:19" x14ac:dyDescent="0.25">
      <c r="B28" s="2">
        <v>2050</v>
      </c>
      <c r="C28" s="42">
        <f>(TableIncomeCalculations[[#This Row],[NetMonthlySalaryP1]]*12)</f>
        <v>465864.73326304869</v>
      </c>
      <c r="D28" s="41">
        <f>(TableIncomeCalculations[[#This Row],[NetMonthlySalaryP2]]*12)</f>
        <v>586954.94230823033</v>
      </c>
      <c r="E28" s="40">
        <f>TableIncome[[#This Row],[SalaryP1]]*$I$7</f>
        <v>46586.473326304869</v>
      </c>
      <c r="F28" s="40">
        <f>TableIncome[[#This Row],[SalaryP2]]*$I$7</f>
        <v>58695.494230823038</v>
      </c>
      <c r="G28" s="16"/>
      <c r="L28" s="38">
        <f>'Net Salary P1'!BI29</f>
        <v>38822.061105254055</v>
      </c>
      <c r="M28" s="39">
        <f>'Net Salary P2'!AT29</f>
        <v>48912.911859019194</v>
      </c>
      <c r="N28" s="39">
        <f>IF(_xlfn.XLOOKUP(TableIncome[[#This Row],[Year]],Loop!C:C,Loop!D:D)&lt;70,(N27*(1+$I$4))+IF(TableIncomeCalculations[[#This Row],[SwitchP1]]="Y",N27*$I$6,0),0)</f>
        <v>71026.339048746799</v>
      </c>
      <c r="O28" s="39">
        <f>IF(_xlfn.XLOOKUP(TableIncome[[#This Row],[Year]],Loop!C:C,Loop!E:E)&lt;70,(O27*(1+$I$4))+IF(TableIncomeCalculations[[#This Row],[SwitchP2]]="Y",Q27*$I$6,0),0)</f>
        <v>94610.631564566545</v>
      </c>
      <c r="P28" s="39">
        <f>IF(_xlfn.XLOOKUP(TableIncome[[#This Row],[Year]],Loop!C:C,Loop!D:D)&lt;70,(P27*(1+$I$3))+IF(TableIncomeCalculations[[#This Row],[SwitchP1]]="Y",P27*$I$5,0),0)</f>
        <v>129016.06475266187</v>
      </c>
      <c r="Q28" s="39">
        <f>IF(_xlfn.XLOOKUP(TableIncome[[#This Row],[Year]],Loop!C:C,Loop!E:E)&lt;70,(Q27*(1+$I$3))+IF(TableIncomeCalculations[[#This Row],[SwitchP2]]="Y",Q27*$I$5,0),0)</f>
        <v>158812.68822378997</v>
      </c>
      <c r="R28" t="str">
        <f>_xlfn.XLOOKUP(_xlfn.XLOOKUP(TableIncome[[#This Row],[Year]],Loop!C:C,Loop!D:D),'Job Hopping'!B:B,'Job Hopping'!F:F)</f>
        <v>N</v>
      </c>
      <c r="S28" t="str">
        <f>_xlfn.XLOOKUP(_xlfn.XLOOKUP(TableIncome[[#This Row],[Year]],Loop!C:C,Loop!E:E),'Job Hopping'!B:B,'Job Hopping'!G:G)</f>
        <v>N</v>
      </c>
    </row>
    <row r="29" spans="2:19" x14ac:dyDescent="0.25">
      <c r="B29" s="2">
        <v>2051</v>
      </c>
      <c r="C29" s="42">
        <f>(TableIncomeCalculations[[#This Row],[NetMonthlySalaryP1]]*12)</f>
        <v>469619.46244375478</v>
      </c>
      <c r="D29" s="41">
        <f>(TableIncomeCalculations[[#This Row],[NetMonthlySalaryP2]]*12)</f>
        <v>591920.57357938844</v>
      </c>
      <c r="E29" s="40">
        <f>TableIncome[[#This Row],[SalaryP1]]*$I$7</f>
        <v>46961.946244375482</v>
      </c>
      <c r="F29" s="40">
        <f>TableIncome[[#This Row],[SalaryP2]]*$I$7</f>
        <v>59192.057357938844</v>
      </c>
      <c r="G29" s="16"/>
      <c r="L29" s="38">
        <f>'Net Salary P1'!BI30</f>
        <v>39134.955203646234</v>
      </c>
      <c r="M29" s="39">
        <f>'Net Salary P2'!AT30</f>
        <v>49326.714464949036</v>
      </c>
      <c r="N29" s="39">
        <f>IF(_xlfn.XLOOKUP(TableIncome[[#This Row],[Year]],Loop!C:C,Loop!D:D)&lt;70,(N28*(1+$I$4))+IF(TableIncomeCalculations[[#This Row],[SwitchP1]]="Y",N28*$I$6,0),0)</f>
        <v>71736.602439234266</v>
      </c>
      <c r="O29" s="39">
        <f>IF(_xlfn.XLOOKUP(TableIncome[[#This Row],[Year]],Loop!C:C,Loop!E:E)&lt;70,(O28*(1+$I$4))+IF(TableIncomeCalculations[[#This Row],[SwitchP2]]="Y",Q28*$I$6,0),0)</f>
        <v>95556.737880212211</v>
      </c>
      <c r="P29" s="39">
        <f>IF(_xlfn.XLOOKUP(TableIncome[[#This Row],[Year]],Loop!C:C,Loop!D:D)&lt;70,(P28*(1+$I$3))+IF(TableIncomeCalculations[[#This Row],[SwitchP1]]="Y",P28*$I$5,0),0)</f>
        <v>132886.54669524173</v>
      </c>
      <c r="Q29" s="39">
        <f>IF(_xlfn.XLOOKUP(TableIncome[[#This Row],[Year]],Loop!C:C,Loop!E:E)&lt;70,(Q28*(1+$I$3))+IF(TableIncomeCalculations[[#This Row],[SwitchP2]]="Y",Q28*$I$5,0),0)</f>
        <v>163577.06887050366</v>
      </c>
      <c r="R29" t="str">
        <f>_xlfn.XLOOKUP(_xlfn.XLOOKUP(TableIncome[[#This Row],[Year]],Loop!C:C,Loop!D:D),'Job Hopping'!B:B,'Job Hopping'!F:F)</f>
        <v>N</v>
      </c>
      <c r="S29" t="str">
        <f>_xlfn.XLOOKUP(_xlfn.XLOOKUP(TableIncome[[#This Row],[Year]],Loop!C:C,Loop!E:E),'Job Hopping'!B:B,'Job Hopping'!G:G)</f>
        <v>N</v>
      </c>
    </row>
    <row r="30" spans="2:19" x14ac:dyDescent="0.25">
      <c r="B30" s="2">
        <v>2052</v>
      </c>
      <c r="C30" s="42">
        <f>(TableIncomeCalculations[[#This Row],[NetMonthlySalaryP1]]*12)</f>
        <v>473408.5417898352</v>
      </c>
      <c r="D30" s="41">
        <f>(TableIncomeCalculations[[#This Row],[NetMonthlySalaryP2]]*12)</f>
        <v>596932.66403682507</v>
      </c>
      <c r="E30" s="40">
        <f>TableIncome[[#This Row],[SalaryP1]]*$I$7</f>
        <v>47340.854178983522</v>
      </c>
      <c r="F30" s="40">
        <f>TableIncome[[#This Row],[SalaryP2]]*$I$7</f>
        <v>59693.266403682508</v>
      </c>
      <c r="G30" s="16"/>
      <c r="L30" s="38">
        <f>'Net Salary P1'!BI31</f>
        <v>39450.711815819603</v>
      </c>
      <c r="M30" s="39">
        <f>'Net Salary P2'!AT31</f>
        <v>49744.388669735425</v>
      </c>
      <c r="N30" s="39">
        <f>IF(_xlfn.XLOOKUP(TableIncome[[#This Row],[Year]],Loop!C:C,Loop!D:D)&lt;70,(N29*(1+$I$4))+IF(TableIncomeCalculations[[#This Row],[SwitchP1]]="Y",N29*$I$6,0),0)</f>
        <v>72453.968463626603</v>
      </c>
      <c r="O30" s="39">
        <f>IF(_xlfn.XLOOKUP(TableIncome[[#This Row],[Year]],Loop!C:C,Loop!E:E)&lt;70,(O29*(1+$I$4))+IF(TableIncomeCalculations[[#This Row],[SwitchP2]]="Y",Q29*$I$6,0),0)</f>
        <v>96512.305259014334</v>
      </c>
      <c r="P30" s="39">
        <f>IF(_xlfn.XLOOKUP(TableIncome[[#This Row],[Year]],Loop!C:C,Loop!D:D)&lt;70,(P29*(1+$I$3))+IF(TableIncomeCalculations[[#This Row],[SwitchP1]]="Y",P29*$I$5,0),0)</f>
        <v>136873.143096099</v>
      </c>
      <c r="Q30" s="39">
        <f>IF(_xlfn.XLOOKUP(TableIncome[[#This Row],[Year]],Loop!C:C,Loop!E:E)&lt;70,(Q29*(1+$I$3))+IF(TableIncomeCalculations[[#This Row],[SwitchP2]]="Y",Q29*$I$5,0),0)</f>
        <v>168484.38093661878</v>
      </c>
      <c r="R30" t="str">
        <f>_xlfn.XLOOKUP(_xlfn.XLOOKUP(TableIncome[[#This Row],[Year]],Loop!C:C,Loop!D:D),'Job Hopping'!B:B,'Job Hopping'!F:F)</f>
        <v>N</v>
      </c>
      <c r="S30" t="str">
        <f>_xlfn.XLOOKUP(_xlfn.XLOOKUP(TableIncome[[#This Row],[Year]],Loop!C:C,Loop!E:E),'Job Hopping'!B:B,'Job Hopping'!G:G)</f>
        <v>N</v>
      </c>
    </row>
    <row r="31" spans="2:19" x14ac:dyDescent="0.25">
      <c r="B31" s="2">
        <v>2053</v>
      </c>
      <c r="C31" s="42">
        <f>(TableIncomeCalculations[[#This Row],[NetMonthlySalaryP1]]*12)</f>
        <v>477232.3774916972</v>
      </c>
      <c r="D31" s="41">
        <f>(TableIncomeCalculations[[#This Row],[NetMonthlySalaryP2]]*12)</f>
        <v>0</v>
      </c>
      <c r="E31" s="40">
        <f>TableIncome[[#This Row],[SalaryP1]]*$I$7</f>
        <v>47723.237749169726</v>
      </c>
      <c r="F31" s="40">
        <f>TableIncome[[#This Row],[SalaryP2]]*$I$7</f>
        <v>0</v>
      </c>
      <c r="G31" s="16"/>
      <c r="L31" s="38">
        <f>'Net Salary P1'!BI32</f>
        <v>39769.364790974767</v>
      </c>
      <c r="M31" s="39">
        <f>'Net Salary P2'!AT32</f>
        <v>0</v>
      </c>
      <c r="N31" s="39">
        <f>IF(_xlfn.XLOOKUP(TableIncome[[#This Row],[Year]],Loop!C:C,Loop!D:D)&lt;70,(N30*(1+$I$4))+IF(TableIncomeCalculations[[#This Row],[SwitchP1]]="Y",N30*$I$6,0),0)</f>
        <v>73178.508148262874</v>
      </c>
      <c r="O31" s="39">
        <f>IF(_xlfn.XLOOKUP(TableIncome[[#This Row],[Year]],Loop!C:C,Loop!E:E)&lt;70,(O30*(1+$I$4))+IF(TableIncomeCalculations[[#This Row],[SwitchP2]]="Y",Q30*$I$6,0),0)</f>
        <v>97477.428311604483</v>
      </c>
      <c r="P31" s="39">
        <f>IF(_xlfn.XLOOKUP(TableIncome[[#This Row],[Year]],Loop!C:C,Loop!D:D)&lt;70,(P30*(1+$I$3))+IF(TableIncomeCalculations[[#This Row],[SwitchP1]]="Y",P30*$I$5,0),0)</f>
        <v>140979.33738898198</v>
      </c>
      <c r="Q31" s="39">
        <f>IF(_xlfn.XLOOKUP(TableIncome[[#This Row],[Year]],Loop!C:C,Loop!E:E)&lt;70,(Q30*(1+$I$3))+IF(TableIncomeCalculations[[#This Row],[SwitchP2]]="Y",Q30*$I$5,0),0)</f>
        <v>173538.91236471734</v>
      </c>
      <c r="R31" t="str">
        <f>_xlfn.XLOOKUP(_xlfn.XLOOKUP(TableIncome[[#This Row],[Year]],Loop!C:C,Loop!D:D),'Job Hopping'!B:B,'Job Hopping'!F:F)</f>
        <v>N</v>
      </c>
      <c r="S31" t="str">
        <f>_xlfn.XLOOKUP(_xlfn.XLOOKUP(TableIncome[[#This Row],[Year]],Loop!C:C,Loop!E:E),'Job Hopping'!B:B,'Job Hopping'!G:G)</f>
        <v>N</v>
      </c>
    </row>
    <row r="32" spans="2:19" x14ac:dyDescent="0.25">
      <c r="B32" s="2">
        <v>2054</v>
      </c>
      <c r="C32" s="42">
        <f>(TableIncomeCalculations[[#This Row],[NetMonthlySalaryP1]]*12)</f>
        <v>481091.37857246085</v>
      </c>
      <c r="D32" s="41">
        <f>(TableIncomeCalculations[[#This Row],[NetMonthlySalaryP2]]*12)</f>
        <v>0</v>
      </c>
      <c r="E32" s="40">
        <f>TableIncome[[#This Row],[SalaryP1]]*$I$7</f>
        <v>48109.137857246089</v>
      </c>
      <c r="F32" s="40">
        <f>TableIncome[[#This Row],[SalaryP2]]*$I$7</f>
        <v>0</v>
      </c>
      <c r="G32" s="16"/>
      <c r="L32" s="38">
        <f>'Net Salary P1'!BI33</f>
        <v>40090.94821437174</v>
      </c>
      <c r="M32" s="39">
        <f>'Net Salary P2'!AT33</f>
        <v>0</v>
      </c>
      <c r="N32" s="39">
        <f>IF(_xlfn.XLOOKUP(TableIncome[[#This Row],[Year]],Loop!C:C,Loop!D:D)&lt;70,(N31*(1+$I$4))+IF(TableIncomeCalculations[[#This Row],[SwitchP1]]="Y",N31*$I$6,0),0)</f>
        <v>73910.293229745497</v>
      </c>
      <c r="O32" s="39">
        <f>IF(_xlfn.XLOOKUP(TableIncome[[#This Row],[Year]],Loop!C:C,Loop!E:E)&lt;70,(O31*(1+$I$4))+IF(TableIncomeCalculations[[#This Row],[SwitchP2]]="Y",Q31*$I$6,0),0)</f>
        <v>98452.202594720526</v>
      </c>
      <c r="P32" s="39">
        <f>IF(_xlfn.XLOOKUP(TableIncome[[#This Row],[Year]],Loop!C:C,Loop!D:D)&lt;70,(P31*(1+$I$3))+IF(TableIncomeCalculations[[#This Row],[SwitchP1]]="Y",P31*$I$5,0),0)</f>
        <v>145208.71751065145</v>
      </c>
      <c r="Q32" s="39">
        <f>IF(_xlfn.XLOOKUP(TableIncome[[#This Row],[Year]],Loop!C:C,Loop!E:E)&lt;70,(Q31*(1+$I$3))+IF(TableIncomeCalculations[[#This Row],[SwitchP2]]="Y",Q31*$I$5,0),0)</f>
        <v>178745.07973565886</v>
      </c>
      <c r="R32" t="str">
        <f>_xlfn.XLOOKUP(_xlfn.XLOOKUP(TableIncome[[#This Row],[Year]],Loop!C:C,Loop!D:D),'Job Hopping'!B:B,'Job Hopping'!F:F)</f>
        <v>N</v>
      </c>
      <c r="S32" t="str">
        <f>_xlfn.XLOOKUP(_xlfn.XLOOKUP(TableIncome[[#This Row],[Year]],Loop!C:C,Loop!E:E),'Job Hopping'!B:B,'Job Hopping'!G:G)</f>
        <v>N</v>
      </c>
    </row>
    <row r="33" spans="2:19" x14ac:dyDescent="0.25">
      <c r="B33" s="2">
        <v>2055</v>
      </c>
      <c r="C33" s="42">
        <f>(TableIncomeCalculations[[#This Row],[NetMonthlySalaryP1]]*12)</f>
        <v>484985.95694038807</v>
      </c>
      <c r="D33" s="41">
        <f>(TableIncomeCalculations[[#This Row],[NetMonthlySalaryP2]]*12)</f>
        <v>0</v>
      </c>
      <c r="E33" s="40">
        <f>TableIncome[[#This Row],[SalaryP1]]*$I$7</f>
        <v>48498.595694038813</v>
      </c>
      <c r="F33" s="40">
        <f>TableIncome[[#This Row],[SalaryP2]]*$I$7</f>
        <v>0</v>
      </c>
      <c r="G33" s="16"/>
      <c r="L33" s="38">
        <f>'Net Salary P1'!BI34</f>
        <v>40415.496411699009</v>
      </c>
      <c r="M33" s="39">
        <f>'Net Salary P2'!AT34</f>
        <v>0</v>
      </c>
      <c r="N33" s="39">
        <f>IF(_xlfn.XLOOKUP(TableIncome[[#This Row],[Year]],Loop!C:C,Loop!D:D)&lt;70,(N32*(1+$I$4))+IF(TableIncomeCalculations[[#This Row],[SwitchP1]]="Y",N32*$I$6,0),0)</f>
        <v>74649.396162042947</v>
      </c>
      <c r="O33" s="39">
        <f>IF(_xlfn.XLOOKUP(TableIncome[[#This Row],[Year]],Loop!C:C,Loop!E:E)&lt;70,(O32*(1+$I$4))+IF(TableIncomeCalculations[[#This Row],[SwitchP2]]="Y",Q32*$I$6,0),0)</f>
        <v>0</v>
      </c>
      <c r="P33" s="39">
        <f>IF(_xlfn.XLOOKUP(TableIncome[[#This Row],[Year]],Loop!C:C,Loop!D:D)&lt;70,(P32*(1+$I$3))+IF(TableIncomeCalculations[[#This Row],[SwitchP1]]="Y",P32*$I$5,0),0)</f>
        <v>149564.97903597099</v>
      </c>
      <c r="Q33" s="39">
        <f>IF(_xlfn.XLOOKUP(TableIncome[[#This Row],[Year]],Loop!C:C,Loop!E:E)&lt;70,(Q32*(1+$I$3))+IF(TableIncomeCalculations[[#This Row],[SwitchP2]]="Y",Q32*$I$5,0),0)</f>
        <v>0</v>
      </c>
      <c r="R33" t="str">
        <f>_xlfn.XLOOKUP(_xlfn.XLOOKUP(TableIncome[[#This Row],[Year]],Loop!C:C,Loop!D:D),'Job Hopping'!B:B,'Job Hopping'!F:F)</f>
        <v>N</v>
      </c>
      <c r="S33" t="str">
        <f>_xlfn.XLOOKUP(_xlfn.XLOOKUP(TableIncome[[#This Row],[Year]],Loop!C:C,Loop!E:E),'Job Hopping'!B:B,'Job Hopping'!G:G)</f>
        <v>N</v>
      </c>
    </row>
    <row r="34" spans="2:19" x14ac:dyDescent="0.25">
      <c r="B34" s="2">
        <v>2056</v>
      </c>
      <c r="C34" s="42">
        <f>(TableIncomeCalculations[[#This Row],[NetMonthlySalaryP1]]*12)</f>
        <v>488916.52744136308</v>
      </c>
      <c r="D34" s="41">
        <f>(TableIncomeCalculations[[#This Row],[NetMonthlySalaryP2]]*12)</f>
        <v>0</v>
      </c>
      <c r="E34" s="40">
        <f>TableIncome[[#This Row],[SalaryP1]]*$I$7</f>
        <v>48891.652744136314</v>
      </c>
      <c r="F34" s="40">
        <f>TableIncome[[#This Row],[SalaryP2]]*$I$7</f>
        <v>0</v>
      </c>
      <c r="G34" s="16"/>
      <c r="L34" s="38">
        <f>'Net Salary P1'!BI35</f>
        <v>40743.043953446926</v>
      </c>
      <c r="M34" s="39">
        <f>'Net Salary P2'!AT35</f>
        <v>0</v>
      </c>
      <c r="N34" s="39">
        <f>IF(_xlfn.XLOOKUP(TableIncome[[#This Row],[Year]],Loop!C:C,Loop!D:D)&lt;70,(N33*(1+$I$4))+IF(TableIncomeCalculations[[#This Row],[SwitchP1]]="Y",N33*$I$6,0),0)</f>
        <v>75395.890123663383</v>
      </c>
      <c r="O34" s="39">
        <f>IF(_xlfn.XLOOKUP(TableIncome[[#This Row],[Year]],Loop!C:C,Loop!E:E)&lt;70,(O33*(1+$I$4))+IF(TableIncomeCalculations[[#This Row],[SwitchP2]]="Y",Q33*$I$6,0),0)</f>
        <v>0</v>
      </c>
      <c r="P34" s="39">
        <f>IF(_xlfn.XLOOKUP(TableIncome[[#This Row],[Year]],Loop!C:C,Loop!D:D)&lt;70,(P33*(1+$I$3))+IF(TableIncomeCalculations[[#This Row],[SwitchP1]]="Y",P33*$I$5,0),0)</f>
        <v>154051.92840705012</v>
      </c>
      <c r="Q34" s="39">
        <f>IF(_xlfn.XLOOKUP(TableIncome[[#This Row],[Year]],Loop!C:C,Loop!E:E)&lt;70,(Q33*(1+$I$3))+IF(TableIncomeCalculations[[#This Row],[SwitchP2]]="Y",Q33*$I$5,0),0)</f>
        <v>0</v>
      </c>
      <c r="R34" t="str">
        <f>_xlfn.XLOOKUP(_xlfn.XLOOKUP(TableIncome[[#This Row],[Year]],Loop!C:C,Loop!D:D),'Job Hopping'!B:B,'Job Hopping'!F:F)</f>
        <v>N</v>
      </c>
      <c r="S34" t="str">
        <f>_xlfn.XLOOKUP(_xlfn.XLOOKUP(TableIncome[[#This Row],[Year]],Loop!C:C,Loop!E:E),'Job Hopping'!B:B,'Job Hopping'!G:G)</f>
        <v>N</v>
      </c>
    </row>
    <row r="35" spans="2:19" x14ac:dyDescent="0.25">
      <c r="B35" s="2">
        <v>2057</v>
      </c>
      <c r="C35" s="42">
        <f>(TableIncomeCalculations[[#This Row],[NetMonthlySalaryP1]]*12)</f>
        <v>492883.5079114348</v>
      </c>
      <c r="D35" s="41">
        <f>(TableIncomeCalculations[[#This Row],[NetMonthlySalaryP2]]*12)</f>
        <v>0</v>
      </c>
      <c r="E35" s="40">
        <f>TableIncome[[#This Row],[SalaryP1]]*$I$7</f>
        <v>49288.350791143486</v>
      </c>
      <c r="F35" s="40">
        <f>TableIncome[[#This Row],[SalaryP2]]*$I$7</f>
        <v>0</v>
      </c>
      <c r="G35" s="16"/>
      <c r="L35" s="38">
        <f>'Net Salary P1'!BI36</f>
        <v>41073.625659286234</v>
      </c>
      <c r="M35" s="39">
        <f>'Net Salary P2'!AT36</f>
        <v>0</v>
      </c>
      <c r="N35" s="39">
        <f>IF(_xlfn.XLOOKUP(TableIncome[[#This Row],[Year]],Loop!C:C,Loop!D:D)&lt;70,(N34*(1+$I$4))+IF(TableIncomeCalculations[[#This Row],[SwitchP1]]="Y",N34*$I$6,0),0)</f>
        <v>76149.849024900017</v>
      </c>
      <c r="O35" s="39">
        <f>IF(_xlfn.XLOOKUP(TableIncome[[#This Row],[Year]],Loop!C:C,Loop!E:E)&lt;70,(O34*(1+$I$4))+IF(TableIncomeCalculations[[#This Row],[SwitchP2]]="Y",Q34*$I$6,0),0)</f>
        <v>0</v>
      </c>
      <c r="P35" s="39">
        <f>IF(_xlfn.XLOOKUP(TableIncome[[#This Row],[Year]],Loop!C:C,Loop!D:D)&lt;70,(P34*(1+$I$3))+IF(TableIncomeCalculations[[#This Row],[SwitchP1]]="Y",P34*$I$5,0),0)</f>
        <v>158673.48625926161</v>
      </c>
      <c r="Q35" s="39">
        <f>IF(_xlfn.XLOOKUP(TableIncome[[#This Row],[Year]],Loop!C:C,Loop!E:E)&lt;70,(Q34*(1+$I$3))+IF(TableIncomeCalculations[[#This Row],[SwitchP2]]="Y",Q34*$I$5,0),0)</f>
        <v>0</v>
      </c>
      <c r="R35" t="str">
        <f>_xlfn.XLOOKUP(_xlfn.XLOOKUP(TableIncome[[#This Row],[Year]],Loop!C:C,Loop!D:D),'Job Hopping'!B:B,'Job Hopping'!F:F)</f>
        <v>N</v>
      </c>
      <c r="S35" t="str">
        <f>_xlfn.XLOOKUP(_xlfn.XLOOKUP(TableIncome[[#This Row],[Year]],Loop!C:C,Loop!E:E),'Job Hopping'!B:B,'Job Hopping'!G:G)</f>
        <v>N</v>
      </c>
    </row>
    <row r="36" spans="2:19" x14ac:dyDescent="0.25">
      <c r="B36" s="2">
        <v>2058</v>
      </c>
      <c r="C36" s="42">
        <f>(TableIncomeCalculations[[#This Row],[NetMonthlySalaryP1]]*12)</f>
        <v>512526.54373616248</v>
      </c>
      <c r="D36" s="41">
        <f>(TableIncomeCalculations[[#This Row],[NetMonthlySalaryP2]]*12)</f>
        <v>0</v>
      </c>
      <c r="E36" s="40">
        <f>TableIncome[[#This Row],[SalaryP1]]*$I$7</f>
        <v>51252.654373616249</v>
      </c>
      <c r="F36" s="40">
        <f>TableIncome[[#This Row],[SalaryP2]]*$I$7</f>
        <v>0</v>
      </c>
      <c r="G36" s="16"/>
      <c r="L36" s="38">
        <f>'Net Salary P1'!BI37</f>
        <v>42710.545311346876</v>
      </c>
      <c r="M36" s="39">
        <f>'Net Salary P2'!AT37</f>
        <v>0</v>
      </c>
      <c r="N36" s="39">
        <f>IF(_xlfn.XLOOKUP(TableIncome[[#This Row],[Year]],Loop!C:C,Loop!D:D)&lt;70,(N35*(1+$I$4))+IF(TableIncomeCalculations[[#This Row],[SwitchP1]]="Y",N35*$I$6,0),0)</f>
        <v>76911.347515149013</v>
      </c>
      <c r="O36" s="39">
        <f>IF(_xlfn.XLOOKUP(TableIncome[[#This Row],[Year]],Loop!C:C,Loop!E:E)&lt;70,(O35*(1+$I$4))+IF(TableIncomeCalculations[[#This Row],[SwitchP2]]="Y",Q35*$I$6,0),0)</f>
        <v>0</v>
      </c>
      <c r="P36" s="39">
        <f>IF(_xlfn.XLOOKUP(TableIncome[[#This Row],[Year]],Loop!C:C,Loop!D:D)&lt;70,(P35*(1+$I$3))+IF(TableIncomeCalculations[[#This Row],[SwitchP1]]="Y",P35*$I$5,0),0)</f>
        <v>163433.69084703946</v>
      </c>
      <c r="Q36" s="39">
        <f>IF(_xlfn.XLOOKUP(TableIncome[[#This Row],[Year]],Loop!C:C,Loop!E:E)&lt;70,(Q35*(1+$I$3))+IF(TableIncomeCalculations[[#This Row],[SwitchP2]]="Y",Q35*$I$5,0),0)</f>
        <v>0</v>
      </c>
      <c r="R36" t="str">
        <f>_xlfn.XLOOKUP(_xlfn.XLOOKUP(TableIncome[[#This Row],[Year]],Loop!C:C,Loop!D:D),'Job Hopping'!B:B,'Job Hopping'!F:F)</f>
        <v>N</v>
      </c>
      <c r="S36" t="str">
        <f>_xlfn.XLOOKUP(_xlfn.XLOOKUP(TableIncome[[#This Row],[Year]],Loop!C:C,Loop!E:E),'Job Hopping'!B:B,'Job Hopping'!G:G)</f>
        <v>N</v>
      </c>
    </row>
    <row r="37" spans="2:19" x14ac:dyDescent="0.25">
      <c r="B37" s="2">
        <v>2059</v>
      </c>
      <c r="C37" s="42">
        <f>(TableIncomeCalculations[[#This Row],[NetMonthlySalaryP1]]*12)</f>
        <v>516724.00212144619</v>
      </c>
      <c r="D37" s="41">
        <f>(TableIncomeCalculations[[#This Row],[NetMonthlySalaryP2]]*12)</f>
        <v>0</v>
      </c>
      <c r="E37" s="40">
        <f>TableIncome[[#This Row],[SalaryP1]]*$I$7</f>
        <v>51672.400212144625</v>
      </c>
      <c r="F37" s="40">
        <f>TableIncome[[#This Row],[SalaryP2]]*$I$7</f>
        <v>0</v>
      </c>
      <c r="G37" s="16"/>
      <c r="L37" s="38">
        <f>'Net Salary P1'!BI38</f>
        <v>43060.333510120516</v>
      </c>
      <c r="M37" s="39">
        <f>'Net Salary P2'!AT38</f>
        <v>0</v>
      </c>
      <c r="N37" s="39">
        <f>IF(_xlfn.XLOOKUP(TableIncome[[#This Row],[Year]],Loop!C:C,Loop!D:D)&lt;70,(N36*(1+$I$4))+IF(TableIncomeCalculations[[#This Row],[SwitchP1]]="Y",N36*$I$6,0),0)</f>
        <v>77680.460990300504</v>
      </c>
      <c r="O37" s="39">
        <f>IF(_xlfn.XLOOKUP(TableIncome[[#This Row],[Year]],Loop!C:C,Loop!E:E)&lt;70,(O36*(1+$I$4))+IF(TableIncomeCalculations[[#This Row],[SwitchP2]]="Y",Q36*$I$6,0),0)</f>
        <v>0</v>
      </c>
      <c r="P37" s="39">
        <f>IF(_xlfn.XLOOKUP(TableIncome[[#This Row],[Year]],Loop!C:C,Loop!D:D)&lt;70,(P36*(1+$I$3))+IF(TableIncomeCalculations[[#This Row],[SwitchP1]]="Y",P36*$I$5,0),0)</f>
        <v>168336.70157245063</v>
      </c>
      <c r="Q37" s="39">
        <f>IF(_xlfn.XLOOKUP(TableIncome[[#This Row],[Year]],Loop!C:C,Loop!E:E)&lt;70,(Q36*(1+$I$3))+IF(TableIncomeCalculations[[#This Row],[SwitchP2]]="Y",Q36*$I$5,0),0)</f>
        <v>0</v>
      </c>
      <c r="R37" t="str">
        <f>_xlfn.XLOOKUP(_xlfn.XLOOKUP(TableIncome[[#This Row],[Year]],Loop!C:C,Loop!D:D),'Job Hopping'!B:B,'Job Hopping'!F:F)</f>
        <v>N</v>
      </c>
      <c r="S37" t="str">
        <f>_xlfn.XLOOKUP(_xlfn.XLOOKUP(TableIncome[[#This Row],[Year]],Loop!C:C,Loop!E:E),'Job Hopping'!B:B,'Job Hopping'!G:G)</f>
        <v>N</v>
      </c>
    </row>
    <row r="38" spans="2:19" x14ac:dyDescent="0.25">
      <c r="B38" s="2">
        <v>2060</v>
      </c>
      <c r="C38" s="42">
        <f>(TableIncomeCalculations[[#This Row],[NetMonthlySalaryP1]]*12)</f>
        <v>520960.70637395664</v>
      </c>
      <c r="D38" s="41">
        <f>(TableIncomeCalculations[[#This Row],[NetMonthlySalaryP2]]*12)</f>
        <v>0</v>
      </c>
      <c r="E38" s="40">
        <f>TableIncome[[#This Row],[SalaryP1]]*$I$7</f>
        <v>52096.070637395664</v>
      </c>
      <c r="F38" s="40">
        <f>TableIncome[[#This Row],[SalaryP2]]*$I$7</f>
        <v>0</v>
      </c>
      <c r="G38" s="16"/>
      <c r="L38" s="38">
        <f>'Net Salary P1'!BI39</f>
        <v>43413.392197829722</v>
      </c>
      <c r="M38" s="39">
        <f>'Net Salary P2'!AT39</f>
        <v>0</v>
      </c>
      <c r="N38" s="39">
        <f>IF(_xlfn.XLOOKUP(TableIncome[[#This Row],[Year]],Loop!C:C,Loop!D:D)&lt;70,(N37*(1+$I$4))+IF(TableIncomeCalculations[[#This Row],[SwitchP1]]="Y",N37*$I$6,0),0)</f>
        <v>81564.484039815521</v>
      </c>
      <c r="O38" s="39">
        <f>IF(_xlfn.XLOOKUP(TableIncome[[#This Row],[Year]],Loop!C:C,Loop!E:E)&lt;70,(O37*(1+$I$4))+IF(TableIncomeCalculations[[#This Row],[SwitchP2]]="Y",Q37*$I$6,0),0)</f>
        <v>0</v>
      </c>
      <c r="P38" s="39">
        <f>IF(_xlfn.XLOOKUP(TableIncome[[#This Row],[Year]],Loop!C:C,Loop!D:D)&lt;70,(P37*(1+$I$3))+IF(TableIncomeCalculations[[#This Row],[SwitchP1]]="Y",P37*$I$5,0),0)</f>
        <v>183487.0047139712</v>
      </c>
      <c r="Q38" s="39">
        <f>IF(_xlfn.XLOOKUP(TableIncome[[#This Row],[Year]],Loop!C:C,Loop!E:E)&lt;70,(Q37*(1+$I$3))+IF(TableIncomeCalculations[[#This Row],[SwitchP2]]="Y",Q37*$I$5,0),0)</f>
        <v>0</v>
      </c>
      <c r="R38" t="str">
        <f>_xlfn.XLOOKUP(_xlfn.XLOOKUP(TableIncome[[#This Row],[Year]],Loop!C:C,Loop!D:D),'Job Hopping'!B:B,'Job Hopping'!F:F)</f>
        <v>Y</v>
      </c>
      <c r="S38" t="str">
        <f>_xlfn.XLOOKUP(_xlfn.XLOOKUP(TableIncome[[#This Row],[Year]],Loop!C:C,Loop!E:E),'Job Hopping'!B:B,'Job Hopping'!G:G)</f>
        <v>N</v>
      </c>
    </row>
    <row r="39" spans="2:19" x14ac:dyDescent="0.25">
      <c r="B39" s="2">
        <v>2061</v>
      </c>
      <c r="C39" s="42">
        <f>(TableIncomeCalculations[[#This Row],[NetMonthlySalaryP1]]*12)</f>
        <v>525237.10245661403</v>
      </c>
      <c r="D39" s="41">
        <f>(TableIncomeCalculations[[#This Row],[NetMonthlySalaryP2]]*12)</f>
        <v>0</v>
      </c>
      <c r="E39" s="40">
        <f>TableIncome[[#This Row],[SalaryP1]]*$I$7</f>
        <v>52523.710245661408</v>
      </c>
      <c r="F39" s="40">
        <f>TableIncome[[#This Row],[SalaryP2]]*$I$7</f>
        <v>0</v>
      </c>
      <c r="G39" s="16"/>
      <c r="L39" s="38">
        <f>'Net Salary P1'!BI40</f>
        <v>43769.758538051166</v>
      </c>
      <c r="M39" s="39">
        <f>'Net Salary P2'!AT40</f>
        <v>0</v>
      </c>
      <c r="N39" s="39">
        <f>IF(_xlfn.XLOOKUP(TableIncome[[#This Row],[Year]],Loop!C:C,Loop!D:D)&lt;70,(N38*(1+$I$4))+IF(TableIncomeCalculations[[#This Row],[SwitchP1]]="Y",N38*$I$6,0),0)</f>
        <v>82380.128880213684</v>
      </c>
      <c r="O39" s="39">
        <f>IF(_xlfn.XLOOKUP(TableIncome[[#This Row],[Year]],Loop!C:C,Loop!E:E)&lt;70,(O38*(1+$I$4))+IF(TableIncomeCalculations[[#This Row],[SwitchP2]]="Y",Q38*$I$6,0),0)</f>
        <v>0</v>
      </c>
      <c r="P39" s="39">
        <f>IF(_xlfn.XLOOKUP(TableIncome[[#This Row],[Year]],Loop!C:C,Loop!D:D)&lt;70,(P38*(1+$I$3))+IF(TableIncomeCalculations[[#This Row],[SwitchP1]]="Y",P38*$I$5,0),0)</f>
        <v>188991.61485539033</v>
      </c>
      <c r="Q39" s="39">
        <f>IF(_xlfn.XLOOKUP(TableIncome[[#This Row],[Year]],Loop!C:C,Loop!E:E)&lt;70,(Q38*(1+$I$3))+IF(TableIncomeCalculations[[#This Row],[SwitchP2]]="Y",Q38*$I$5,0),0)</f>
        <v>0</v>
      </c>
      <c r="R39" t="str">
        <f>_xlfn.XLOOKUP(_xlfn.XLOOKUP(TableIncome[[#This Row],[Year]],Loop!C:C,Loop!D:D),'Job Hopping'!B:B,'Job Hopping'!F:F)</f>
        <v>N</v>
      </c>
      <c r="S39" t="str">
        <f>_xlfn.XLOOKUP(_xlfn.XLOOKUP(TableIncome[[#This Row],[Year]],Loop!C:C,Loop!E:E),'Job Hopping'!B:B,'Job Hopping'!G:G)</f>
        <v>N</v>
      </c>
    </row>
    <row r="40" spans="2:19" x14ac:dyDescent="0.25">
      <c r="B40" s="2">
        <v>2062</v>
      </c>
      <c r="C40" s="42">
        <f>(TableIncomeCalculations[[#This Row],[NetMonthlySalaryP1]]*12)</f>
        <v>529553.63974286418</v>
      </c>
      <c r="D40" s="41">
        <f>(TableIncomeCalculations[[#This Row],[NetMonthlySalaryP2]]*12)</f>
        <v>0</v>
      </c>
      <c r="E40" s="40">
        <f>TableIncome[[#This Row],[SalaryP1]]*$I$7</f>
        <v>52955.363974286418</v>
      </c>
      <c r="F40" s="40">
        <f>TableIncome[[#This Row],[SalaryP2]]*$I$7</f>
        <v>0</v>
      </c>
      <c r="G40" s="16"/>
      <c r="L40" s="38">
        <f>'Net Salary P1'!BI41</f>
        <v>44129.469978572015</v>
      </c>
      <c r="M40" s="39">
        <f>'Net Salary P2'!AT41</f>
        <v>0</v>
      </c>
      <c r="N40" s="39">
        <f>IF(_xlfn.XLOOKUP(TableIncome[[#This Row],[Year]],Loop!C:C,Loop!D:D)&lt;70,(N39*(1+$I$4))+IF(TableIncomeCalculations[[#This Row],[SwitchP1]]="Y",N39*$I$6,0),0)</f>
        <v>83203.930169015817</v>
      </c>
      <c r="O40" s="39">
        <f>IF(_xlfn.XLOOKUP(TableIncome[[#This Row],[Year]],Loop!C:C,Loop!E:E)&lt;70,(O39*(1+$I$4))+IF(TableIncomeCalculations[[#This Row],[SwitchP2]]="Y",Q39*$I$6,0),0)</f>
        <v>0</v>
      </c>
      <c r="P40" s="39">
        <f>IF(_xlfn.XLOOKUP(TableIncome[[#This Row],[Year]],Loop!C:C,Loop!D:D)&lt;70,(P39*(1+$I$3))+IF(TableIncomeCalculations[[#This Row],[SwitchP1]]="Y",P39*$I$5,0),0)</f>
        <v>194661.36330105204</v>
      </c>
      <c r="Q40" s="39">
        <f>IF(_xlfn.XLOOKUP(TableIncome[[#This Row],[Year]],Loop!C:C,Loop!E:E)&lt;70,(Q39*(1+$I$3))+IF(TableIncomeCalculations[[#This Row],[SwitchP2]]="Y",Q39*$I$5,0),0)</f>
        <v>0</v>
      </c>
      <c r="R40" t="str">
        <f>_xlfn.XLOOKUP(_xlfn.XLOOKUP(TableIncome[[#This Row],[Year]],Loop!C:C,Loop!D:D),'Job Hopping'!B:B,'Job Hopping'!F:F)</f>
        <v>N</v>
      </c>
      <c r="S40" t="str">
        <f>_xlfn.XLOOKUP(_xlfn.XLOOKUP(TableIncome[[#This Row],[Year]],Loop!C:C,Loop!E:E),'Job Hopping'!B:B,'Job Hopping'!G:G)</f>
        <v>N</v>
      </c>
    </row>
    <row r="41" spans="2:19" x14ac:dyDescent="0.25">
      <c r="B41" s="2">
        <v>2063</v>
      </c>
      <c r="C41" s="42">
        <f>(TableIncomeCalculations[[#This Row],[NetMonthlySalaryP1]]*12)</f>
        <v>533910.77107135579</v>
      </c>
      <c r="D41" s="41">
        <f>(TableIncomeCalculations[[#This Row],[NetMonthlySalaryP2]]*12)</f>
        <v>0</v>
      </c>
      <c r="E41" s="40">
        <f>TableIncome[[#This Row],[SalaryP1]]*$I$7</f>
        <v>53391.077107135585</v>
      </c>
      <c r="F41" s="40">
        <f>TableIncome[[#This Row],[SalaryP2]]*$I$7</f>
        <v>0</v>
      </c>
      <c r="G41" s="16"/>
      <c r="L41" s="38">
        <f>'Net Salary P1'!BI42</f>
        <v>44492.564255946316</v>
      </c>
      <c r="M41" s="39">
        <f>'Net Salary P2'!AT42</f>
        <v>0</v>
      </c>
      <c r="N41" s="39">
        <f>IF(_xlfn.XLOOKUP(TableIncome[[#This Row],[Year]],Loop!C:C,Loop!D:D)&lt;70,(N40*(1+$I$4))+IF(TableIncomeCalculations[[#This Row],[SwitchP1]]="Y",N40*$I$6,0),0)</f>
        <v>84035.969470705983</v>
      </c>
      <c r="O41" s="39">
        <f>IF(_xlfn.XLOOKUP(TableIncome[[#This Row],[Year]],Loop!C:C,Loop!E:E)&lt;70,(O40*(1+$I$4))+IF(TableIncomeCalculations[[#This Row],[SwitchP2]]="Y",Q40*$I$6,0),0)</f>
        <v>0</v>
      </c>
      <c r="P41" s="39">
        <f>IF(_xlfn.XLOOKUP(TableIncome[[#This Row],[Year]],Loop!C:C,Loop!D:D)&lt;70,(P40*(1+$I$3))+IF(TableIncomeCalculations[[#This Row],[SwitchP1]]="Y",P40*$I$5,0),0)</f>
        <v>200501.20420008362</v>
      </c>
      <c r="Q41" s="39">
        <f>IF(_xlfn.XLOOKUP(TableIncome[[#This Row],[Year]],Loop!C:C,Loop!E:E)&lt;70,(Q40*(1+$I$3))+IF(TableIncomeCalculations[[#This Row],[SwitchP2]]="Y",Q40*$I$5,0),0)</f>
        <v>0</v>
      </c>
      <c r="R41" t="str">
        <f>_xlfn.XLOOKUP(_xlfn.XLOOKUP(TableIncome[[#This Row],[Year]],Loop!C:C,Loop!D:D),'Job Hopping'!B:B,'Job Hopping'!F:F)</f>
        <v>N</v>
      </c>
      <c r="S41" t="str">
        <f>_xlfn.XLOOKUP(_xlfn.XLOOKUP(TableIncome[[#This Row],[Year]],Loop!C:C,Loop!E:E),'Job Hopping'!B:B,'Job Hopping'!G:G)</f>
        <v>N</v>
      </c>
    </row>
    <row r="42" spans="2:19" x14ac:dyDescent="0.25">
      <c r="B42" s="2">
        <v>2064</v>
      </c>
      <c r="C42" s="42">
        <f>(TableIncomeCalculations[[#This Row],[NetMonthlySalaryP1]]*12)</f>
        <v>538308.9528007583</v>
      </c>
      <c r="D42" s="41">
        <f>(TableIncomeCalculations[[#This Row],[NetMonthlySalaryP2]]*12)</f>
        <v>0</v>
      </c>
      <c r="E42" s="40">
        <f>TableIncome[[#This Row],[SalaryP1]]*$I$7</f>
        <v>53830.895280075834</v>
      </c>
      <c r="F42" s="40">
        <f>TableIncome[[#This Row],[SalaryP2]]*$I$7</f>
        <v>0</v>
      </c>
      <c r="G42" s="16"/>
      <c r="L42" s="38">
        <f>'Net Salary P1'!BI43</f>
        <v>44859.079400063194</v>
      </c>
      <c r="M42" s="39">
        <f>'Net Salary P2'!AT43</f>
        <v>0</v>
      </c>
      <c r="N42" s="39">
        <f>IF(_xlfn.XLOOKUP(TableIncome[[#This Row],[Year]],Loop!C:C,Loop!D:D)&lt;70,(N41*(1+$I$4))+IF(TableIncomeCalculations[[#This Row],[SwitchP1]]="Y",N41*$I$6,0),0)</f>
        <v>84876.329165413044</v>
      </c>
      <c r="O42" s="39">
        <f>IF(_xlfn.XLOOKUP(TableIncome[[#This Row],[Year]],Loop!C:C,Loop!E:E)&lt;70,(O41*(1+$I$4))+IF(TableIncomeCalculations[[#This Row],[SwitchP2]]="Y",Q41*$I$6,0),0)</f>
        <v>0</v>
      </c>
      <c r="P42" s="39">
        <f>IF(_xlfn.XLOOKUP(TableIncome[[#This Row],[Year]],Loop!C:C,Loop!D:D)&lt;70,(P41*(1+$I$3))+IF(TableIncomeCalculations[[#This Row],[SwitchP1]]="Y",P41*$I$5,0),0)</f>
        <v>206516.24032608615</v>
      </c>
      <c r="Q42" s="39">
        <f>IF(_xlfn.XLOOKUP(TableIncome[[#This Row],[Year]],Loop!C:C,Loop!E:E)&lt;70,(Q41*(1+$I$3))+IF(TableIncomeCalculations[[#This Row],[SwitchP2]]="Y",Q41*$I$5,0),0)</f>
        <v>0</v>
      </c>
      <c r="R42" t="str">
        <f>_xlfn.XLOOKUP(_xlfn.XLOOKUP(TableIncome[[#This Row],[Year]],Loop!C:C,Loop!D:D),'Job Hopping'!B:B,'Job Hopping'!F:F)</f>
        <v>N</v>
      </c>
      <c r="S42" t="str">
        <f>_xlfn.XLOOKUP(_xlfn.XLOOKUP(TableIncome[[#This Row],[Year]],Loop!C:C,Loop!E:E),'Job Hopping'!B:B,'Job Hopping'!G:G)</f>
        <v>N</v>
      </c>
    </row>
    <row r="43" spans="2:19" x14ac:dyDescent="0.25">
      <c r="B43" s="2">
        <v>2065</v>
      </c>
      <c r="C43" s="42">
        <f>(TableIncomeCalculations[[#This Row],[NetMonthlySalaryP1]]*12)</f>
        <v>542748.64486473531</v>
      </c>
      <c r="D43" s="41">
        <f>(TableIncomeCalculations[[#This Row],[NetMonthlySalaryP2]]*12)</f>
        <v>0</v>
      </c>
      <c r="E43" s="40">
        <f>TableIncome[[#This Row],[SalaryP1]]*$I$7</f>
        <v>54274.864486473532</v>
      </c>
      <c r="F43" s="40">
        <f>TableIncome[[#This Row],[SalaryP2]]*$I$7</f>
        <v>0</v>
      </c>
      <c r="G43" s="16"/>
      <c r="L43" s="38">
        <f>'Net Salary P1'!BI44</f>
        <v>45229.05373872794</v>
      </c>
      <c r="M43" s="39">
        <f>'Net Salary P2'!AT44</f>
        <v>0</v>
      </c>
      <c r="N43" s="39">
        <f>IF(_xlfn.XLOOKUP(TableIncome[[#This Row],[Year]],Loop!C:C,Loop!D:D)&lt;70,(N42*(1+$I$4))+IF(TableIncomeCalculations[[#This Row],[SwitchP1]]="Y",N42*$I$6,0),0)</f>
        <v>85725.092457067178</v>
      </c>
      <c r="O43" s="39">
        <f>IF(_xlfn.XLOOKUP(TableIncome[[#This Row],[Year]],Loop!C:C,Loop!E:E)&lt;70,(O42*(1+$I$4))+IF(TableIncomeCalculations[[#This Row],[SwitchP2]]="Y",Q42*$I$6,0),0)</f>
        <v>0</v>
      </c>
      <c r="P43" s="39">
        <f>IF(_xlfn.XLOOKUP(TableIncome[[#This Row],[Year]],Loop!C:C,Loop!D:D)&lt;70,(P42*(1+$I$3))+IF(TableIncomeCalculations[[#This Row],[SwitchP1]]="Y",P42*$I$5,0),0)</f>
        <v>212711.72753586873</v>
      </c>
      <c r="Q43" s="39">
        <f>IF(_xlfn.XLOOKUP(TableIncome[[#This Row],[Year]],Loop!C:C,Loop!E:E)&lt;70,(Q42*(1+$I$3))+IF(TableIncomeCalculations[[#This Row],[SwitchP2]]="Y",Q42*$I$5,0),0)</f>
        <v>0</v>
      </c>
      <c r="R43" t="str">
        <f>_xlfn.XLOOKUP(_xlfn.XLOOKUP(TableIncome[[#This Row],[Year]],Loop!C:C,Loop!D:D),'Job Hopping'!B:B,'Job Hopping'!F:F)</f>
        <v>N</v>
      </c>
      <c r="S43" t="str">
        <f>_xlfn.XLOOKUP(_xlfn.XLOOKUP(TableIncome[[#This Row],[Year]],Loop!C:C,Loop!E:E),'Job Hopping'!B:B,'Job Hopping'!G:G)</f>
        <v>N</v>
      </c>
    </row>
    <row r="44" spans="2:19" x14ac:dyDescent="0.25">
      <c r="B44" s="2">
        <v>2066</v>
      </c>
      <c r="C44" s="42">
        <f>(TableIncomeCalculations[[#This Row],[NetMonthlySalaryP1]]*12)</f>
        <v>547230.31082707853</v>
      </c>
      <c r="D44" s="41">
        <f>(TableIncomeCalculations[[#This Row],[NetMonthlySalaryP2]]*12)</f>
        <v>0</v>
      </c>
      <c r="E44" s="40">
        <f>TableIncome[[#This Row],[SalaryP1]]*$I$7</f>
        <v>54723.031082707857</v>
      </c>
      <c r="F44" s="40">
        <f>TableIncome[[#This Row],[SalaryP2]]*$I$7</f>
        <v>0</v>
      </c>
      <c r="G44" s="16"/>
      <c r="L44" s="38">
        <f>'Net Salary P1'!BI45</f>
        <v>45602.525902256544</v>
      </c>
      <c r="M44" s="39">
        <f>'Net Salary P2'!AT45</f>
        <v>0</v>
      </c>
      <c r="N44" s="39">
        <f>IF(_xlfn.XLOOKUP(TableIncome[[#This Row],[Year]],Loop!C:C,Loop!D:D)&lt;70,(N43*(1+$I$4))+IF(TableIncomeCalculations[[#This Row],[SwitchP1]]="Y",N43*$I$6,0),0)</f>
        <v>86582.343381637853</v>
      </c>
      <c r="O44" s="39">
        <f>IF(_xlfn.XLOOKUP(TableIncome[[#This Row],[Year]],Loop!C:C,Loop!E:E)&lt;70,(O43*(1+$I$4))+IF(TableIncomeCalculations[[#This Row],[SwitchP2]]="Y",Q43*$I$6,0),0)</f>
        <v>0</v>
      </c>
      <c r="P44" s="39">
        <f>IF(_xlfn.XLOOKUP(TableIncome[[#This Row],[Year]],Loop!C:C,Loop!D:D)&lt;70,(P43*(1+$I$3))+IF(TableIncomeCalculations[[#This Row],[SwitchP1]]="Y",P43*$I$5,0),0)</f>
        <v>219093.07936194481</v>
      </c>
      <c r="Q44" s="39">
        <f>IF(_xlfn.XLOOKUP(TableIncome[[#This Row],[Year]],Loop!C:C,Loop!E:E)&lt;70,(Q43*(1+$I$3))+IF(TableIncomeCalculations[[#This Row],[SwitchP2]]="Y",Q43*$I$5,0),0)</f>
        <v>0</v>
      </c>
      <c r="R44" t="str">
        <f>_xlfn.XLOOKUP(_xlfn.XLOOKUP(TableIncome[[#This Row],[Year]],Loop!C:C,Loop!D:D),'Job Hopping'!B:B,'Job Hopping'!F:F)</f>
        <v>N</v>
      </c>
      <c r="S44" t="str">
        <f>_xlfn.XLOOKUP(_xlfn.XLOOKUP(TableIncome[[#This Row],[Year]],Loop!C:C,Loop!E:E),'Job Hopping'!B:B,'Job Hopping'!G:G)</f>
        <v>N</v>
      </c>
    </row>
    <row r="45" spans="2:19" x14ac:dyDescent="0.25">
      <c r="B45" s="2">
        <v>2067</v>
      </c>
      <c r="C45" s="42">
        <f>(TableIncomeCalculations[[#This Row],[NetMonthlySalaryP1]]*12)</f>
        <v>551754.41793701192</v>
      </c>
      <c r="D45" s="41">
        <f>(TableIncomeCalculations[[#This Row],[NetMonthlySalaryP2]]*12)</f>
        <v>0</v>
      </c>
      <c r="E45" s="40">
        <f>TableIncome[[#This Row],[SalaryP1]]*$I$7</f>
        <v>55175.441793701197</v>
      </c>
      <c r="F45" s="40">
        <f>TableIncome[[#This Row],[SalaryP2]]*$I$7</f>
        <v>0</v>
      </c>
      <c r="G45" s="16"/>
      <c r="L45" s="38">
        <f>'Net Salary P1'!BI46</f>
        <v>45979.534828084325</v>
      </c>
      <c r="M45" s="39">
        <f>'Net Salary P2'!AT46</f>
        <v>0</v>
      </c>
      <c r="N45" s="39">
        <f>IF(_xlfn.XLOOKUP(TableIncome[[#This Row],[Year]],Loop!C:C,Loop!D:D)&lt;70,(N44*(1+$I$4))+IF(TableIncomeCalculations[[#This Row],[SwitchP1]]="Y",N44*$I$6,0),0)</f>
        <v>87448.166815454228</v>
      </c>
      <c r="O45" s="39">
        <f>IF(_xlfn.XLOOKUP(TableIncome[[#This Row],[Year]],Loop!C:C,Loop!E:E)&lt;70,(O44*(1+$I$4))+IF(TableIncomeCalculations[[#This Row],[SwitchP2]]="Y",Q44*$I$6,0),0)</f>
        <v>0</v>
      </c>
      <c r="P45" s="39">
        <f>IF(_xlfn.XLOOKUP(TableIncome[[#This Row],[Year]],Loop!C:C,Loop!D:D)&lt;70,(P44*(1+$I$3))+IF(TableIncomeCalculations[[#This Row],[SwitchP1]]="Y",P44*$I$5,0),0)</f>
        <v>225665.87174280317</v>
      </c>
      <c r="Q45" s="39">
        <f>IF(_xlfn.XLOOKUP(TableIncome[[#This Row],[Year]],Loop!C:C,Loop!E:E)&lt;70,(Q44*(1+$I$3))+IF(TableIncomeCalculations[[#This Row],[SwitchP2]]="Y",Q44*$I$5,0),0)</f>
        <v>0</v>
      </c>
      <c r="R45" t="str">
        <f>_xlfn.XLOOKUP(_xlfn.XLOOKUP(TableIncome[[#This Row],[Year]],Loop!C:C,Loop!D:D),'Job Hopping'!B:B,'Job Hopping'!F:F)</f>
        <v>N</v>
      </c>
      <c r="S45" t="str">
        <f>_xlfn.XLOOKUP(_xlfn.XLOOKUP(TableIncome[[#This Row],[Year]],Loop!C:C,Loop!E:E),'Job Hopping'!B:B,'Job Hopping'!G:G)</f>
        <v>N</v>
      </c>
    </row>
    <row r="46" spans="2:19" x14ac:dyDescent="0.25">
      <c r="B46" s="2">
        <v>2068</v>
      </c>
      <c r="C46" s="42">
        <f>(TableIncomeCalculations[[#This Row],[NetMonthlySalaryP1]]*12)</f>
        <v>0</v>
      </c>
      <c r="D46" s="41">
        <f>(TableIncomeCalculations[[#This Row],[NetMonthlySalaryP2]]*12)</f>
        <v>0</v>
      </c>
      <c r="E46" s="40">
        <f>TableIncome[[#This Row],[SalaryP1]]*$I$7</f>
        <v>0</v>
      </c>
      <c r="F46" s="40">
        <f>TableIncome[[#This Row],[SalaryP2]]*$I$7</f>
        <v>0</v>
      </c>
      <c r="G46" s="16"/>
      <c r="L46" s="38">
        <f>'Net Salary P1'!BI47</f>
        <v>0</v>
      </c>
      <c r="M46" s="39">
        <f>'Net Salary P2'!AT47</f>
        <v>0</v>
      </c>
      <c r="N46" s="39">
        <f>IF(_xlfn.XLOOKUP(TableIncome[[#This Row],[Year]],Loop!C:C,Loop!D:D)&lt;70,(N45*(1+$I$4))+IF(TableIncomeCalculations[[#This Row],[SwitchP1]]="Y",N45*$I$6,0),0)</f>
        <v>88322.648483608777</v>
      </c>
      <c r="O46" s="39">
        <f>IF(_xlfn.XLOOKUP(TableIncome[[#This Row],[Year]],Loop!C:C,Loop!E:E)&lt;70,(O45*(1+$I$4))+IF(TableIncomeCalculations[[#This Row],[SwitchP2]]="Y",Q45*$I$6,0),0)</f>
        <v>0</v>
      </c>
      <c r="P46" s="39">
        <f>IF(_xlfn.XLOOKUP(TableIncome[[#This Row],[Year]],Loop!C:C,Loop!D:D)&lt;70,(P45*(1+$I$3))+IF(TableIncomeCalculations[[#This Row],[SwitchP1]]="Y",P45*$I$5,0),0)</f>
        <v>232435.84789508727</v>
      </c>
      <c r="Q46" s="39">
        <f>IF(_xlfn.XLOOKUP(TableIncome[[#This Row],[Year]],Loop!C:C,Loop!E:E)&lt;70,(Q45*(1+$I$3))+IF(TableIncomeCalculations[[#This Row],[SwitchP2]]="Y",Q45*$I$5,0),0)</f>
        <v>0</v>
      </c>
      <c r="R46" t="str">
        <f>_xlfn.XLOOKUP(_xlfn.XLOOKUP(TableIncome[[#This Row],[Year]],Loop!C:C,Loop!D:D),'Job Hopping'!B:B,'Job Hopping'!F:F)</f>
        <v>N</v>
      </c>
      <c r="S46" t="str">
        <f>_xlfn.XLOOKUP(_xlfn.XLOOKUP(TableIncome[[#This Row],[Year]],Loop!C:C,Loop!E:E),'Job Hopping'!B:B,'Job Hopping'!G:G)</f>
        <v>N</v>
      </c>
    </row>
    <row r="47" spans="2:19" x14ac:dyDescent="0.25">
      <c r="B47" s="2">
        <v>2069</v>
      </c>
      <c r="C47" s="42">
        <f>(TableIncomeCalculations[[#This Row],[NetMonthlySalaryP1]]*12)</f>
        <v>0</v>
      </c>
      <c r="D47" s="41">
        <f>(TableIncomeCalculations[[#This Row],[NetMonthlySalaryP2]]*12)</f>
        <v>0</v>
      </c>
      <c r="E47" s="40">
        <f>TableIncome[[#This Row],[SalaryP1]]*$I$7</f>
        <v>0</v>
      </c>
      <c r="F47" s="40">
        <f>TableIncome[[#This Row],[SalaryP2]]*$I$7</f>
        <v>0</v>
      </c>
      <c r="G47" s="16"/>
      <c r="L47" s="38">
        <f>'Net Salary P1'!BI48</f>
        <v>0</v>
      </c>
      <c r="M47" s="39">
        <f>'Net Salary P2'!AT48</f>
        <v>0</v>
      </c>
      <c r="N47" s="39">
        <f>IF(_xlfn.XLOOKUP(TableIncome[[#This Row],[Year]],Loop!C:C,Loop!D:D)&lt;70,(N46*(1+$I$4))+IF(TableIncomeCalculations[[#This Row],[SwitchP1]]="Y",N46*$I$6,0),0)</f>
        <v>89205.87496844487</v>
      </c>
      <c r="O47" s="39">
        <f>IF(_xlfn.XLOOKUP(TableIncome[[#This Row],[Year]],Loop!C:C,Loop!E:E)&lt;70,(O46*(1+$I$4))+IF(TableIncomeCalculations[[#This Row],[SwitchP2]]="Y",Q46*$I$6,0),0)</f>
        <v>0</v>
      </c>
      <c r="P47" s="39">
        <f>IF(_xlfn.XLOOKUP(TableIncome[[#This Row],[Year]],Loop!C:C,Loop!D:D)&lt;70,(P46*(1+$I$3))+IF(TableIncomeCalculations[[#This Row],[SwitchP1]]="Y",P46*$I$5,0),0)</f>
        <v>239408.92333193988</v>
      </c>
      <c r="Q47" s="39">
        <f>IF(_xlfn.XLOOKUP(TableIncome[[#This Row],[Year]],Loop!C:C,Loop!E:E)&lt;70,(Q46*(1+$I$3))+IF(TableIncomeCalculations[[#This Row],[SwitchP2]]="Y",Q46*$I$5,0),0)</f>
        <v>0</v>
      </c>
      <c r="R47" t="str">
        <f>_xlfn.XLOOKUP(_xlfn.XLOOKUP(TableIncome[[#This Row],[Year]],Loop!C:C,Loop!D:D),'Job Hopping'!B:B,'Job Hopping'!F:F)</f>
        <v>N</v>
      </c>
      <c r="S47" t="str">
        <f>_xlfn.XLOOKUP(_xlfn.XLOOKUP(TableIncome[[#This Row],[Year]],Loop!C:C,Loop!E:E),'Job Hopping'!B:B,'Job Hopping'!G:G)</f>
        <v>N</v>
      </c>
    </row>
    <row r="48" spans="2:19" x14ac:dyDescent="0.25">
      <c r="B48" s="2">
        <v>2070</v>
      </c>
      <c r="C48" s="42">
        <f>(TableIncomeCalculations[[#This Row],[NetMonthlySalaryP1]]*12)</f>
        <v>0</v>
      </c>
      <c r="D48" s="41">
        <f>(TableIncomeCalculations[[#This Row],[NetMonthlySalaryP2]]*12)</f>
        <v>0</v>
      </c>
      <c r="E48" s="40">
        <f>TableIncome[[#This Row],[SalaryP1]]*$I$7</f>
        <v>0</v>
      </c>
      <c r="F48" s="40">
        <f>TableIncome[[#This Row],[SalaryP2]]*$I$7</f>
        <v>0</v>
      </c>
      <c r="G48" s="16"/>
      <c r="L48" s="35">
        <f>'Net Salary P1'!BI49</f>
        <v>0</v>
      </c>
      <c r="M48" s="39">
        <f>'Net Salary P2'!AT49</f>
        <v>0</v>
      </c>
      <c r="N48" s="39">
        <f>IF(_xlfn.XLOOKUP(TableIncome[[#This Row],[Year]],Loop!C:C,Loop!D:D)&lt;70,(N47*(1+$I$4))+IF(TableIncomeCalculations[[#This Row],[SwitchP1]]="Y",N47*$I$6,0),0)</f>
        <v>0</v>
      </c>
      <c r="O48" s="39">
        <f>IF(_xlfn.XLOOKUP(TableIncome[[#This Row],[Year]],Loop!C:C,Loop!E:E)&lt;70,(O47*(1+$I$4))+IF(TableIncomeCalculations[[#This Row],[SwitchP2]]="Y",Q47*$I$6,0),0)</f>
        <v>0</v>
      </c>
      <c r="P48" s="39">
        <f>IF(_xlfn.XLOOKUP(TableIncome[[#This Row],[Year]],Loop!C:C,Loop!D:D)&lt;70,(P47*(1+$I$3))+IF(TableIncomeCalculations[[#This Row],[SwitchP1]]="Y",P47*$I$5,0),0)</f>
        <v>0</v>
      </c>
      <c r="Q48" s="39">
        <f>IF(_xlfn.XLOOKUP(TableIncome[[#This Row],[Year]],Loop!C:C,Loop!E:E)&lt;70,(Q47*(1+$I$3))+IF(TableIncomeCalculations[[#This Row],[SwitchP2]]="Y",Q47*$I$5,0),0)</f>
        <v>0</v>
      </c>
      <c r="R48" t="str">
        <f>_xlfn.XLOOKUP(_xlfn.XLOOKUP(TableIncome[[#This Row],[Year]],Loop!C:C,Loop!D:D),'Job Hopping'!B:B,'Job Hopping'!F:F)</f>
        <v>N</v>
      </c>
      <c r="S48" t="str">
        <f>_xlfn.XLOOKUP(_xlfn.XLOOKUP(TableIncome[[#This Row],[Year]],Loop!C:C,Loop!E:E),'Job Hopping'!B:B,'Job Hopping'!G:G)</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T29"/>
  <sheetViews>
    <sheetView workbookViewId="0">
      <selection activeCell="F54" sqref="F54"/>
    </sheetView>
  </sheetViews>
  <sheetFormatPr defaultRowHeight="15" x14ac:dyDescent="0.25"/>
  <cols>
    <col min="1" max="1" width="30" style="1" bestFit="1" customWidth="1"/>
    <col min="2" max="2" width="13.28515625" style="1" bestFit="1" customWidth="1"/>
    <col min="3" max="3" width="16.85546875" style="1" bestFit="1" customWidth="1"/>
    <col min="4" max="46" width="12" style="1" bestFit="1" customWidth="1"/>
    <col min="47" max="16384" width="9.140625" style="1"/>
  </cols>
  <sheetData>
    <row r="1" spans="1:46" x14ac:dyDescent="0.25">
      <c r="A1" s="1" t="s">
        <v>1</v>
      </c>
      <c r="B1" s="1">
        <v>2025</v>
      </c>
      <c r="C1" s="1">
        <v>2026</v>
      </c>
      <c r="D1" s="1">
        <v>2027</v>
      </c>
      <c r="E1" s="1">
        <v>2028</v>
      </c>
      <c r="F1" s="1">
        <v>2029</v>
      </c>
      <c r="G1" s="1">
        <v>2030</v>
      </c>
      <c r="H1" s="1">
        <v>2031</v>
      </c>
      <c r="I1" s="1">
        <v>2032</v>
      </c>
      <c r="J1" s="1">
        <v>2033</v>
      </c>
      <c r="K1" s="1">
        <v>2034</v>
      </c>
      <c r="L1" s="1">
        <v>2035</v>
      </c>
      <c r="M1" s="1">
        <v>2036</v>
      </c>
      <c r="N1" s="1">
        <v>2037</v>
      </c>
      <c r="O1" s="1">
        <v>2038</v>
      </c>
      <c r="P1" s="1">
        <v>2039</v>
      </c>
      <c r="Q1" s="1">
        <v>2040</v>
      </c>
      <c r="R1" s="1">
        <v>2041</v>
      </c>
      <c r="S1" s="1">
        <v>2042</v>
      </c>
      <c r="T1" s="1">
        <v>2043</v>
      </c>
      <c r="U1" s="1">
        <v>2044</v>
      </c>
      <c r="V1" s="1">
        <v>2045</v>
      </c>
      <c r="W1" s="1">
        <v>2046</v>
      </c>
      <c r="X1" s="1">
        <v>2047</v>
      </c>
      <c r="Y1" s="1">
        <v>2048</v>
      </c>
      <c r="Z1" s="1">
        <v>2049</v>
      </c>
      <c r="AA1" s="1">
        <v>2050</v>
      </c>
      <c r="AB1" s="1">
        <v>2051</v>
      </c>
      <c r="AC1" s="1">
        <v>2052</v>
      </c>
      <c r="AD1" s="1">
        <v>2053</v>
      </c>
      <c r="AE1" s="1">
        <v>2054</v>
      </c>
      <c r="AF1" s="1">
        <v>2055</v>
      </c>
      <c r="AG1" s="1">
        <v>2056</v>
      </c>
      <c r="AH1" s="1">
        <v>2057</v>
      </c>
      <c r="AI1" s="1">
        <v>2058</v>
      </c>
      <c r="AJ1" s="1">
        <v>2059</v>
      </c>
      <c r="AK1" s="1">
        <v>2060</v>
      </c>
      <c r="AL1" s="1">
        <v>2061</v>
      </c>
      <c r="AM1" s="1">
        <v>2062</v>
      </c>
      <c r="AN1" s="1">
        <v>2063</v>
      </c>
      <c r="AO1" s="1">
        <v>2064</v>
      </c>
      <c r="AP1" s="1">
        <v>2065</v>
      </c>
      <c r="AQ1" s="1">
        <v>2066</v>
      </c>
      <c r="AR1" s="1">
        <v>2067</v>
      </c>
      <c r="AS1" s="1">
        <v>2068</v>
      </c>
      <c r="AT1" s="1">
        <v>2069</v>
      </c>
    </row>
    <row r="2" spans="1:46" x14ac:dyDescent="0.25">
      <c r="A2" s="1" t="s">
        <v>178</v>
      </c>
      <c r="B2" s="32" cm="1">
        <f t="array" ref="B2:AT2">TRANSPOSE(Income!N3:N47)</f>
        <v>43871</v>
      </c>
      <c r="C2" s="32">
        <v>44309.71</v>
      </c>
      <c r="D2" s="32">
        <v>46525.195499999994</v>
      </c>
      <c r="E2" s="32">
        <v>46990.447454999994</v>
      </c>
      <c r="F2" s="32">
        <v>47460.351929549994</v>
      </c>
      <c r="G2" s="32">
        <v>47934.955448845496</v>
      </c>
      <c r="H2" s="32">
        <v>50331.703221287775</v>
      </c>
      <c r="I2" s="32">
        <v>50835.020253500654</v>
      </c>
      <c r="J2" s="32">
        <v>51343.370456035664</v>
      </c>
      <c r="K2" s="32">
        <v>51856.804160596024</v>
      </c>
      <c r="L2" s="32">
        <v>54449.644368625828</v>
      </c>
      <c r="M2" s="32">
        <v>54994.140812312085</v>
      </c>
      <c r="N2" s="32">
        <v>55544.082220435208</v>
      </c>
      <c r="O2" s="32">
        <v>56099.523042639557</v>
      </c>
      <c r="P2" s="32">
        <v>58904.499194771532</v>
      </c>
      <c r="Q2" s="32">
        <v>59493.544186719249</v>
      </c>
      <c r="R2" s="32">
        <v>60088.479628586443</v>
      </c>
      <c r="S2" s="32">
        <v>60689.364424872307</v>
      </c>
      <c r="T2" s="32">
        <v>63723.832646115923</v>
      </c>
      <c r="U2" s="32">
        <v>64361.070972577079</v>
      </c>
      <c r="V2" s="32">
        <v>65004.681682302849</v>
      </c>
      <c r="W2" s="32">
        <v>65654.728499125878</v>
      </c>
      <c r="X2" s="32">
        <v>68937.464924082175</v>
      </c>
      <c r="Y2" s="32">
        <v>69626.839573322999</v>
      </c>
      <c r="Z2" s="32">
        <v>70323.107969056233</v>
      </c>
      <c r="AA2" s="32">
        <v>71026.339048746799</v>
      </c>
      <c r="AB2" s="32">
        <v>71736.602439234266</v>
      </c>
      <c r="AC2" s="32">
        <v>72453.968463626603</v>
      </c>
      <c r="AD2" s="32">
        <v>73178.508148262874</v>
      </c>
      <c r="AE2" s="32">
        <v>73910.293229745497</v>
      </c>
      <c r="AF2" s="32">
        <v>74649.396162042947</v>
      </c>
      <c r="AG2" s="32">
        <v>75395.890123663383</v>
      </c>
      <c r="AH2" s="32">
        <v>76149.849024900017</v>
      </c>
      <c r="AI2" s="32">
        <v>76911.347515149013</v>
      </c>
      <c r="AJ2" s="32">
        <v>77680.460990300504</v>
      </c>
      <c r="AK2" s="32">
        <v>81564.484039815521</v>
      </c>
      <c r="AL2" s="32">
        <v>82380.128880213684</v>
      </c>
      <c r="AM2" s="32">
        <v>83203.930169015817</v>
      </c>
      <c r="AN2" s="32">
        <v>84035.969470705983</v>
      </c>
      <c r="AO2" s="32">
        <v>84876.329165413044</v>
      </c>
      <c r="AP2" s="32">
        <v>85725.092457067178</v>
      </c>
      <c r="AQ2" s="32">
        <v>86582.343381637853</v>
      </c>
      <c r="AR2" s="32">
        <v>87448.166815454228</v>
      </c>
      <c r="AS2" s="32">
        <v>88322.648483608777</v>
      </c>
      <c r="AT2" s="32">
        <v>89205.87496844487</v>
      </c>
    </row>
    <row r="3" spans="1:46" x14ac:dyDescent="0.25">
      <c r="A3" s="1" t="s">
        <v>180</v>
      </c>
      <c r="B3" s="37">
        <f>'Salary Variables'!$C$12</f>
        <v>0.05</v>
      </c>
      <c r="C3" s="37">
        <f>'Salary Variables'!$C$12</f>
        <v>0.05</v>
      </c>
      <c r="D3" s="37">
        <f>'Salary Variables'!$C$12</f>
        <v>0.05</v>
      </c>
      <c r="E3" s="37">
        <f>'Salary Variables'!$C$12</f>
        <v>0.05</v>
      </c>
      <c r="F3" s="37">
        <f>'Salary Variables'!$C$12</f>
        <v>0.05</v>
      </c>
      <c r="G3" s="37">
        <f>'Salary Variables'!$C$12</f>
        <v>0.05</v>
      </c>
      <c r="H3" s="37">
        <f>'Salary Variables'!$C$12</f>
        <v>0.05</v>
      </c>
      <c r="I3" s="37">
        <f>'Salary Variables'!$C$12</f>
        <v>0.05</v>
      </c>
      <c r="J3" s="37">
        <f>'Salary Variables'!$C$12</f>
        <v>0.05</v>
      </c>
      <c r="K3" s="37">
        <f>'Salary Variables'!$C$12</f>
        <v>0.05</v>
      </c>
      <c r="L3" s="37">
        <f>'Salary Variables'!$C$12</f>
        <v>0.05</v>
      </c>
      <c r="M3" s="37">
        <f>'Salary Variables'!$C$12</f>
        <v>0.05</v>
      </c>
      <c r="N3" s="37">
        <f>'Salary Variables'!$C$12</f>
        <v>0.05</v>
      </c>
      <c r="O3" s="37">
        <f>'Salary Variables'!$C$12</f>
        <v>0.05</v>
      </c>
      <c r="P3" s="37">
        <f>'Salary Variables'!$C$12</f>
        <v>0.05</v>
      </c>
      <c r="Q3" s="37">
        <f>'Salary Variables'!$C$12</f>
        <v>0.05</v>
      </c>
      <c r="R3" s="37">
        <f>'Salary Variables'!$C$12</f>
        <v>0.05</v>
      </c>
      <c r="S3" s="37">
        <f>'Salary Variables'!$C$12</f>
        <v>0.05</v>
      </c>
      <c r="T3" s="37">
        <f>'Salary Variables'!$C$12</f>
        <v>0.05</v>
      </c>
      <c r="U3" s="37">
        <f>'Salary Variables'!$C$12</f>
        <v>0.05</v>
      </c>
      <c r="V3" s="37">
        <f>'Salary Variables'!$C$12</f>
        <v>0.05</v>
      </c>
      <c r="W3" s="37">
        <f>'Salary Variables'!$C$12</f>
        <v>0.05</v>
      </c>
      <c r="X3" s="37">
        <f>'Salary Variables'!$C$12</f>
        <v>0.05</v>
      </c>
      <c r="Y3" s="37">
        <f>'Salary Variables'!$C$12</f>
        <v>0.05</v>
      </c>
      <c r="Z3" s="37">
        <f>'Salary Variables'!$C$12</f>
        <v>0.05</v>
      </c>
      <c r="AA3" s="37">
        <f>'Salary Variables'!$C$12</f>
        <v>0.05</v>
      </c>
      <c r="AB3" s="37">
        <f>'Salary Variables'!$C$12</f>
        <v>0.05</v>
      </c>
      <c r="AC3" s="37">
        <f>'Salary Variables'!$C$12</f>
        <v>0.05</v>
      </c>
      <c r="AD3" s="37">
        <f>'Salary Variables'!$C$12</f>
        <v>0.05</v>
      </c>
      <c r="AE3" s="37">
        <f>'Salary Variables'!$C$12</f>
        <v>0.05</v>
      </c>
      <c r="AF3" s="37">
        <f>'Salary Variables'!$C$12</f>
        <v>0.05</v>
      </c>
      <c r="AG3" s="37">
        <f>'Salary Variables'!$C$12</f>
        <v>0.05</v>
      </c>
      <c r="AH3" s="37">
        <f>'Salary Variables'!$C$12</f>
        <v>0.05</v>
      </c>
      <c r="AI3" s="37">
        <f>'Salary Variables'!$C$12</f>
        <v>0.05</v>
      </c>
      <c r="AJ3" s="37">
        <f>'Salary Variables'!$C$12</f>
        <v>0.05</v>
      </c>
      <c r="AK3" s="37">
        <f>'Salary Variables'!$C$12</f>
        <v>0.05</v>
      </c>
      <c r="AL3" s="37">
        <f>'Salary Variables'!$C$12</f>
        <v>0.05</v>
      </c>
      <c r="AM3" s="37">
        <f>'Salary Variables'!$C$12</f>
        <v>0.05</v>
      </c>
      <c r="AN3" s="37">
        <f>'Salary Variables'!$C$12</f>
        <v>0.05</v>
      </c>
      <c r="AO3" s="37">
        <f>'Salary Variables'!$C$12</f>
        <v>0.05</v>
      </c>
      <c r="AP3" s="37">
        <f>'Salary Variables'!$C$12</f>
        <v>0.05</v>
      </c>
      <c r="AQ3" s="37">
        <f>'Salary Variables'!$C$12</f>
        <v>0.05</v>
      </c>
      <c r="AR3" s="37">
        <f>'Salary Variables'!$C$12</f>
        <v>0.05</v>
      </c>
      <c r="AS3" s="37">
        <f>'Salary Variables'!$C$12</f>
        <v>0.05</v>
      </c>
      <c r="AT3" s="37">
        <f>'Salary Variables'!$C$12</f>
        <v>0.05</v>
      </c>
    </row>
    <row r="4" spans="1:46" x14ac:dyDescent="0.25">
      <c r="A4" s="1" t="s">
        <v>179</v>
      </c>
      <c r="B4" s="32">
        <f>B3*B2</f>
        <v>2193.5500000000002</v>
      </c>
      <c r="C4" s="32">
        <f t="shared" ref="C4:AT4" si="0">C3*C2</f>
        <v>2215.4855000000002</v>
      </c>
      <c r="D4" s="32">
        <f t="shared" si="0"/>
        <v>2326.259775</v>
      </c>
      <c r="E4" s="32">
        <f t="shared" si="0"/>
        <v>2349.5223727499997</v>
      </c>
      <c r="F4" s="32">
        <f t="shared" si="0"/>
        <v>2373.0175964774999</v>
      </c>
      <c r="G4" s="32">
        <f t="shared" si="0"/>
        <v>2396.7477724422747</v>
      </c>
      <c r="H4" s="32">
        <f t="shared" si="0"/>
        <v>2516.585161064389</v>
      </c>
      <c r="I4" s="32">
        <f t="shared" si="0"/>
        <v>2541.7510126750331</v>
      </c>
      <c r="J4" s="32">
        <f t="shared" si="0"/>
        <v>2567.1685228017832</v>
      </c>
      <c r="K4" s="32">
        <f t="shared" si="0"/>
        <v>2592.8402080298015</v>
      </c>
      <c r="L4" s="32">
        <f t="shared" si="0"/>
        <v>2722.4822184312916</v>
      </c>
      <c r="M4" s="32">
        <f t="shared" si="0"/>
        <v>2749.7070406156045</v>
      </c>
      <c r="N4" s="32">
        <f t="shared" si="0"/>
        <v>2777.2041110217606</v>
      </c>
      <c r="O4" s="32">
        <f t="shared" si="0"/>
        <v>2804.9761521319779</v>
      </c>
      <c r="P4" s="32">
        <f t="shared" si="0"/>
        <v>2945.2249597385767</v>
      </c>
      <c r="Q4" s="32">
        <f t="shared" si="0"/>
        <v>2974.6772093359627</v>
      </c>
      <c r="R4" s="32">
        <f t="shared" si="0"/>
        <v>3004.4239814293223</v>
      </c>
      <c r="S4" s="32">
        <f t="shared" si="0"/>
        <v>3034.4682212436155</v>
      </c>
      <c r="T4" s="32">
        <f t="shared" si="0"/>
        <v>3186.1916323057962</v>
      </c>
      <c r="U4" s="32">
        <f t="shared" si="0"/>
        <v>3218.0535486288541</v>
      </c>
      <c r="V4" s="32">
        <f t="shared" si="0"/>
        <v>3250.2340841151427</v>
      </c>
      <c r="W4" s="32">
        <f t="shared" si="0"/>
        <v>3282.7364249562943</v>
      </c>
      <c r="X4" s="32">
        <f t="shared" si="0"/>
        <v>3446.8732462041089</v>
      </c>
      <c r="Y4" s="32">
        <f t="shared" si="0"/>
        <v>3481.3419786661502</v>
      </c>
      <c r="Z4" s="32">
        <f t="shared" si="0"/>
        <v>3516.1553984528118</v>
      </c>
      <c r="AA4" s="32">
        <f t="shared" si="0"/>
        <v>3551.3169524373402</v>
      </c>
      <c r="AB4" s="32">
        <f t="shared" si="0"/>
        <v>3586.8301219617133</v>
      </c>
      <c r="AC4" s="32">
        <f t="shared" si="0"/>
        <v>3622.6984231813303</v>
      </c>
      <c r="AD4" s="32">
        <f t="shared" si="0"/>
        <v>3658.9254074131441</v>
      </c>
      <c r="AE4" s="32">
        <f t="shared" si="0"/>
        <v>3695.5146614872751</v>
      </c>
      <c r="AF4" s="32">
        <f t="shared" si="0"/>
        <v>3732.4698081021475</v>
      </c>
      <c r="AG4" s="32">
        <f t="shared" si="0"/>
        <v>3769.7945061831692</v>
      </c>
      <c r="AH4" s="32">
        <f t="shared" si="0"/>
        <v>3807.4924512450011</v>
      </c>
      <c r="AI4" s="32">
        <f t="shared" si="0"/>
        <v>3845.5673757574509</v>
      </c>
      <c r="AJ4" s="32">
        <f t="shared" si="0"/>
        <v>3884.0230495150254</v>
      </c>
      <c r="AK4" s="32">
        <f t="shared" si="0"/>
        <v>4078.2242019907762</v>
      </c>
      <c r="AL4" s="32">
        <f t="shared" si="0"/>
        <v>4119.0064440106844</v>
      </c>
      <c r="AM4" s="32">
        <f t="shared" si="0"/>
        <v>4160.196508450791</v>
      </c>
      <c r="AN4" s="32">
        <f t="shared" si="0"/>
        <v>4201.7984735352993</v>
      </c>
      <c r="AO4" s="32">
        <f t="shared" si="0"/>
        <v>4243.8164582706522</v>
      </c>
      <c r="AP4" s="32">
        <f t="shared" si="0"/>
        <v>4286.2546228533593</v>
      </c>
      <c r="AQ4" s="32">
        <f t="shared" si="0"/>
        <v>4329.1171690818928</v>
      </c>
      <c r="AR4" s="32">
        <f t="shared" si="0"/>
        <v>4372.4083407727112</v>
      </c>
      <c r="AS4" s="32">
        <f t="shared" si="0"/>
        <v>4416.1324241804386</v>
      </c>
      <c r="AT4" s="32">
        <f t="shared" si="0"/>
        <v>4460.2937484222439</v>
      </c>
    </row>
    <row r="5" spans="1:46" x14ac:dyDescent="0.25">
      <c r="A5" s="1" t="s">
        <v>217</v>
      </c>
      <c r="B5" s="37">
        <f>'Salary Variables'!$C$13</f>
        <v>0.1</v>
      </c>
      <c r="C5" s="37">
        <f>'Salary Variables'!$C$13</f>
        <v>0.1</v>
      </c>
      <c r="D5" s="37">
        <f>'Salary Variables'!$C$13</f>
        <v>0.1</v>
      </c>
      <c r="E5" s="37">
        <f>'Salary Variables'!$C$13</f>
        <v>0.1</v>
      </c>
      <c r="F5" s="37">
        <f>'Salary Variables'!$C$13</f>
        <v>0.1</v>
      </c>
      <c r="G5" s="37">
        <f>'Salary Variables'!$C$13</f>
        <v>0.1</v>
      </c>
      <c r="H5" s="37">
        <f>'Salary Variables'!$C$13</f>
        <v>0.1</v>
      </c>
      <c r="I5" s="37">
        <f>'Salary Variables'!$C$13</f>
        <v>0.1</v>
      </c>
      <c r="J5" s="37">
        <f>'Salary Variables'!$C$13</f>
        <v>0.1</v>
      </c>
      <c r="K5" s="37">
        <f>'Salary Variables'!$C$13</f>
        <v>0.1</v>
      </c>
      <c r="L5" s="37">
        <f>'Salary Variables'!$C$13</f>
        <v>0.1</v>
      </c>
      <c r="M5" s="37">
        <f>'Salary Variables'!$C$13</f>
        <v>0.1</v>
      </c>
      <c r="N5" s="37">
        <f>'Salary Variables'!$C$13</f>
        <v>0.1</v>
      </c>
      <c r="O5" s="37">
        <f>'Salary Variables'!$C$13</f>
        <v>0.1</v>
      </c>
      <c r="P5" s="37">
        <f>'Salary Variables'!$C$13</f>
        <v>0.1</v>
      </c>
      <c r="Q5" s="37">
        <f>'Salary Variables'!$C$13</f>
        <v>0.1</v>
      </c>
      <c r="R5" s="37">
        <f>'Salary Variables'!$C$13</f>
        <v>0.1</v>
      </c>
      <c r="S5" s="37">
        <f>'Salary Variables'!$C$13</f>
        <v>0.1</v>
      </c>
      <c r="T5" s="37">
        <f>'Salary Variables'!$C$13</f>
        <v>0.1</v>
      </c>
      <c r="U5" s="37">
        <f>'Salary Variables'!$C$13</f>
        <v>0.1</v>
      </c>
      <c r="V5" s="37">
        <f>'Salary Variables'!$C$13</f>
        <v>0.1</v>
      </c>
      <c r="W5" s="37">
        <f>'Salary Variables'!$C$13</f>
        <v>0.1</v>
      </c>
      <c r="X5" s="37">
        <f>'Salary Variables'!$C$13</f>
        <v>0.1</v>
      </c>
      <c r="Y5" s="37">
        <f>'Salary Variables'!$C$13</f>
        <v>0.1</v>
      </c>
      <c r="Z5" s="37">
        <f>'Salary Variables'!$C$13</f>
        <v>0.1</v>
      </c>
      <c r="AA5" s="37">
        <f>'Salary Variables'!$C$13</f>
        <v>0.1</v>
      </c>
      <c r="AB5" s="37">
        <f>'Salary Variables'!$C$13</f>
        <v>0.1</v>
      </c>
      <c r="AC5" s="37">
        <f>'Salary Variables'!$C$13</f>
        <v>0.1</v>
      </c>
      <c r="AD5" s="37">
        <f>'Salary Variables'!$C$13</f>
        <v>0.1</v>
      </c>
      <c r="AE5" s="37">
        <f>'Salary Variables'!$C$13</f>
        <v>0.1</v>
      </c>
      <c r="AF5" s="37">
        <f>'Salary Variables'!$C$13</f>
        <v>0.1</v>
      </c>
      <c r="AG5" s="37">
        <f>'Salary Variables'!$C$13</f>
        <v>0.1</v>
      </c>
      <c r="AH5" s="37">
        <f>'Salary Variables'!$C$13</f>
        <v>0.1</v>
      </c>
      <c r="AI5" s="37">
        <f>'Salary Variables'!$C$13</f>
        <v>0.1</v>
      </c>
      <c r="AJ5" s="37">
        <f>'Salary Variables'!$C$13</f>
        <v>0.1</v>
      </c>
      <c r="AK5" s="37">
        <f>'Salary Variables'!$C$13</f>
        <v>0.1</v>
      </c>
      <c r="AL5" s="37">
        <f>'Salary Variables'!$C$13</f>
        <v>0.1</v>
      </c>
      <c r="AM5" s="37">
        <f>'Salary Variables'!$C$13</f>
        <v>0.1</v>
      </c>
      <c r="AN5" s="37">
        <f>'Salary Variables'!$C$13</f>
        <v>0.1</v>
      </c>
      <c r="AO5" s="37">
        <f>'Salary Variables'!$C$13</f>
        <v>0.1</v>
      </c>
      <c r="AP5" s="37">
        <f>'Salary Variables'!$C$13</f>
        <v>0.1</v>
      </c>
      <c r="AQ5" s="37">
        <f>'Salary Variables'!$C$13</f>
        <v>0.1</v>
      </c>
      <c r="AR5" s="37">
        <f>'Salary Variables'!$C$13</f>
        <v>0.1</v>
      </c>
      <c r="AS5" s="37">
        <f>'Salary Variables'!$C$13</f>
        <v>0.1</v>
      </c>
      <c r="AT5" s="37">
        <f>'Salary Variables'!$C$13</f>
        <v>0.1</v>
      </c>
    </row>
    <row r="6" spans="1:46" x14ac:dyDescent="0.25">
      <c r="A6" s="1" t="s">
        <v>181</v>
      </c>
      <c r="B6" s="32">
        <f>B2*B5</f>
        <v>4387.1000000000004</v>
      </c>
      <c r="C6" s="32">
        <f t="shared" ref="C6:AT6" si="1">C4*2</f>
        <v>4430.9710000000005</v>
      </c>
      <c r="D6" s="32">
        <f t="shared" si="1"/>
        <v>4652.51955</v>
      </c>
      <c r="E6" s="32">
        <f t="shared" si="1"/>
        <v>4699.0447454999994</v>
      </c>
      <c r="F6" s="32">
        <f t="shared" si="1"/>
        <v>4746.0351929549997</v>
      </c>
      <c r="G6" s="32">
        <f t="shared" si="1"/>
        <v>4793.4955448845494</v>
      </c>
      <c r="H6" s="32">
        <f t="shared" si="1"/>
        <v>5033.170322128778</v>
      </c>
      <c r="I6" s="32">
        <f t="shared" si="1"/>
        <v>5083.5020253500661</v>
      </c>
      <c r="J6" s="32">
        <f t="shared" si="1"/>
        <v>5134.3370456035664</v>
      </c>
      <c r="K6" s="32">
        <f t="shared" si="1"/>
        <v>5185.680416059603</v>
      </c>
      <c r="L6" s="32">
        <f t="shared" si="1"/>
        <v>5444.9644368625832</v>
      </c>
      <c r="M6" s="32">
        <f t="shared" si="1"/>
        <v>5499.4140812312089</v>
      </c>
      <c r="N6" s="32">
        <f t="shared" si="1"/>
        <v>5554.4082220435212</v>
      </c>
      <c r="O6" s="32">
        <f t="shared" si="1"/>
        <v>5609.9523042639557</v>
      </c>
      <c r="P6" s="32">
        <f t="shared" si="1"/>
        <v>5890.4499194771533</v>
      </c>
      <c r="Q6" s="32">
        <f t="shared" si="1"/>
        <v>5949.3544186719255</v>
      </c>
      <c r="R6" s="32">
        <f t="shared" si="1"/>
        <v>6008.8479628586447</v>
      </c>
      <c r="S6" s="32">
        <f t="shared" si="1"/>
        <v>6068.936442487231</v>
      </c>
      <c r="T6" s="32">
        <f t="shared" si="1"/>
        <v>6372.3832646115925</v>
      </c>
      <c r="U6" s="32">
        <f t="shared" si="1"/>
        <v>6436.1070972577081</v>
      </c>
      <c r="V6" s="32">
        <f t="shared" si="1"/>
        <v>6500.4681682302853</v>
      </c>
      <c r="W6" s="32">
        <f t="shared" si="1"/>
        <v>6565.4728499125886</v>
      </c>
      <c r="X6" s="32">
        <f t="shared" si="1"/>
        <v>6893.7464924082178</v>
      </c>
      <c r="Y6" s="32">
        <f t="shared" si="1"/>
        <v>6962.6839573323005</v>
      </c>
      <c r="Z6" s="32">
        <f t="shared" si="1"/>
        <v>7032.3107969056236</v>
      </c>
      <c r="AA6" s="32">
        <f t="shared" si="1"/>
        <v>7102.6339048746804</v>
      </c>
      <c r="AB6" s="32">
        <f t="shared" si="1"/>
        <v>7173.6602439234266</v>
      </c>
      <c r="AC6" s="32">
        <f t="shared" si="1"/>
        <v>7245.3968463626607</v>
      </c>
      <c r="AD6" s="32">
        <f t="shared" si="1"/>
        <v>7317.8508148262881</v>
      </c>
      <c r="AE6" s="32">
        <f t="shared" si="1"/>
        <v>7391.0293229745503</v>
      </c>
      <c r="AF6" s="32">
        <f t="shared" si="1"/>
        <v>7464.9396162042949</v>
      </c>
      <c r="AG6" s="32">
        <f t="shared" si="1"/>
        <v>7539.5890123663385</v>
      </c>
      <c r="AH6" s="32">
        <f t="shared" si="1"/>
        <v>7614.9849024900022</v>
      </c>
      <c r="AI6" s="32">
        <f t="shared" si="1"/>
        <v>7691.1347515149018</v>
      </c>
      <c r="AJ6" s="32">
        <f t="shared" si="1"/>
        <v>7768.0460990300508</v>
      </c>
      <c r="AK6" s="32">
        <f t="shared" si="1"/>
        <v>8156.4484039815525</v>
      </c>
      <c r="AL6" s="32">
        <f t="shared" si="1"/>
        <v>8238.0128880213688</v>
      </c>
      <c r="AM6" s="32">
        <f t="shared" si="1"/>
        <v>8320.3930169015821</v>
      </c>
      <c r="AN6" s="32">
        <f t="shared" si="1"/>
        <v>8403.5969470705986</v>
      </c>
      <c r="AO6" s="32">
        <f t="shared" si="1"/>
        <v>8487.6329165413044</v>
      </c>
      <c r="AP6" s="32">
        <f t="shared" si="1"/>
        <v>8572.5092457067185</v>
      </c>
      <c r="AQ6" s="32">
        <f t="shared" si="1"/>
        <v>8658.2343381637857</v>
      </c>
      <c r="AR6" s="32">
        <f t="shared" si="1"/>
        <v>8744.8166815454224</v>
      </c>
      <c r="AS6" s="32">
        <f t="shared" si="1"/>
        <v>8832.2648483608773</v>
      </c>
      <c r="AT6" s="32">
        <f t="shared" si="1"/>
        <v>8920.5874968444878</v>
      </c>
    </row>
    <row r="7" spans="1:46" x14ac:dyDescent="0.25">
      <c r="A7" s="1" t="s">
        <v>182</v>
      </c>
      <c r="B7" s="33">
        <f>SUM(B6,B4)</f>
        <v>6580.6500000000005</v>
      </c>
      <c r="C7" s="33">
        <f t="shared" ref="C7:AT7" si="2">SUM(C6,C4)</f>
        <v>6646.4565000000002</v>
      </c>
      <c r="D7" s="33">
        <f t="shared" si="2"/>
        <v>6978.7793249999995</v>
      </c>
      <c r="E7" s="33">
        <f t="shared" si="2"/>
        <v>7048.5671182499991</v>
      </c>
      <c r="F7" s="33">
        <f t="shared" si="2"/>
        <v>7119.0527894324996</v>
      </c>
      <c r="G7" s="33">
        <f t="shared" si="2"/>
        <v>7190.2433173268237</v>
      </c>
      <c r="H7" s="33">
        <f t="shared" si="2"/>
        <v>7549.7554831931666</v>
      </c>
      <c r="I7" s="33">
        <f t="shared" si="2"/>
        <v>7625.2530380250992</v>
      </c>
      <c r="J7" s="33">
        <f t="shared" si="2"/>
        <v>7701.5055684053495</v>
      </c>
      <c r="K7" s="33">
        <f t="shared" si="2"/>
        <v>7778.520624089404</v>
      </c>
      <c r="L7" s="33">
        <f t="shared" si="2"/>
        <v>8167.4466552938748</v>
      </c>
      <c r="M7" s="33">
        <f t="shared" si="2"/>
        <v>8249.1211218468125</v>
      </c>
      <c r="N7" s="33">
        <f t="shared" si="2"/>
        <v>8331.6123330652808</v>
      </c>
      <c r="O7" s="33">
        <f t="shared" si="2"/>
        <v>8414.9284563959336</v>
      </c>
      <c r="P7" s="33">
        <f t="shared" si="2"/>
        <v>8835.6748792157305</v>
      </c>
      <c r="Q7" s="33">
        <f t="shared" si="2"/>
        <v>8924.0316280078878</v>
      </c>
      <c r="R7" s="33">
        <f t="shared" si="2"/>
        <v>9013.2719442879679</v>
      </c>
      <c r="S7" s="33">
        <f t="shared" si="2"/>
        <v>9103.4046637308456</v>
      </c>
      <c r="T7" s="33">
        <f t="shared" si="2"/>
        <v>9558.5748969173892</v>
      </c>
      <c r="U7" s="33">
        <f t="shared" si="2"/>
        <v>9654.1606458865626</v>
      </c>
      <c r="V7" s="33">
        <f t="shared" si="2"/>
        <v>9750.7022523454289</v>
      </c>
      <c r="W7" s="33">
        <f t="shared" si="2"/>
        <v>9848.2092748688829</v>
      </c>
      <c r="X7" s="33">
        <f t="shared" si="2"/>
        <v>10340.619738612328</v>
      </c>
      <c r="Y7" s="33">
        <f t="shared" si="2"/>
        <v>10444.02593599845</v>
      </c>
      <c r="Z7" s="33">
        <f t="shared" si="2"/>
        <v>10548.466195358436</v>
      </c>
      <c r="AA7" s="33">
        <f t="shared" si="2"/>
        <v>10653.95085731202</v>
      </c>
      <c r="AB7" s="33">
        <f t="shared" si="2"/>
        <v>10760.49036588514</v>
      </c>
      <c r="AC7" s="33">
        <f t="shared" si="2"/>
        <v>10868.095269543992</v>
      </c>
      <c r="AD7" s="33">
        <f t="shared" si="2"/>
        <v>10976.776222239432</v>
      </c>
      <c r="AE7" s="33">
        <f t="shared" si="2"/>
        <v>11086.543984461825</v>
      </c>
      <c r="AF7" s="33">
        <f t="shared" si="2"/>
        <v>11197.409424306443</v>
      </c>
      <c r="AG7" s="33">
        <f t="shared" si="2"/>
        <v>11309.383518549508</v>
      </c>
      <c r="AH7" s="33">
        <f t="shared" si="2"/>
        <v>11422.477353735003</v>
      </c>
      <c r="AI7" s="33">
        <f t="shared" si="2"/>
        <v>11536.702127272352</v>
      </c>
      <c r="AJ7" s="33">
        <f t="shared" si="2"/>
        <v>11652.069148545077</v>
      </c>
      <c r="AK7" s="33">
        <f t="shared" si="2"/>
        <v>12234.67260597233</v>
      </c>
      <c r="AL7" s="33">
        <f t="shared" si="2"/>
        <v>12357.019332032054</v>
      </c>
      <c r="AM7" s="33">
        <f t="shared" si="2"/>
        <v>12480.589525352374</v>
      </c>
      <c r="AN7" s="33">
        <f t="shared" si="2"/>
        <v>12605.395420605899</v>
      </c>
      <c r="AO7" s="33">
        <f t="shared" si="2"/>
        <v>12731.449374811957</v>
      </c>
      <c r="AP7" s="33">
        <f t="shared" si="2"/>
        <v>12858.763868560078</v>
      </c>
      <c r="AQ7" s="33">
        <f t="shared" si="2"/>
        <v>12987.351507245679</v>
      </c>
      <c r="AR7" s="33">
        <f t="shared" si="2"/>
        <v>13117.225022318133</v>
      </c>
      <c r="AS7" s="33">
        <f t="shared" si="2"/>
        <v>13248.397272541315</v>
      </c>
      <c r="AT7" s="33">
        <f t="shared" si="2"/>
        <v>13380.881245266732</v>
      </c>
    </row>
    <row r="8" spans="1:46" x14ac:dyDescent="0.25">
      <c r="A8" s="1" t="s">
        <v>183</v>
      </c>
      <c r="B8" s="32">
        <f>B7*12</f>
        <v>78967.8</v>
      </c>
      <c r="C8" s="32">
        <f t="shared" ref="C8:AT8" si="3">C7*12</f>
        <v>79757.478000000003</v>
      </c>
      <c r="D8" s="32">
        <f t="shared" si="3"/>
        <v>83745.351899999994</v>
      </c>
      <c r="E8" s="32">
        <f t="shared" si="3"/>
        <v>84582.805418999982</v>
      </c>
      <c r="F8" s="32">
        <f t="shared" si="3"/>
        <v>85428.633473189999</v>
      </c>
      <c r="G8" s="32">
        <f t="shared" si="3"/>
        <v>86282.919807921891</v>
      </c>
      <c r="H8" s="32">
        <f t="shared" si="3"/>
        <v>90597.065798317999</v>
      </c>
      <c r="I8" s="32">
        <f t="shared" si="3"/>
        <v>91503.036456301197</v>
      </c>
      <c r="J8" s="32">
        <f t="shared" si="3"/>
        <v>92418.066820864187</v>
      </c>
      <c r="K8" s="32">
        <f t="shared" si="3"/>
        <v>93342.247489072848</v>
      </c>
      <c r="L8" s="32">
        <f t="shared" si="3"/>
        <v>98009.359863526493</v>
      </c>
      <c r="M8" s="32">
        <f t="shared" si="3"/>
        <v>98989.453462161749</v>
      </c>
      <c r="N8" s="32">
        <f t="shared" si="3"/>
        <v>99979.34799678337</v>
      </c>
      <c r="O8" s="32">
        <f t="shared" si="3"/>
        <v>100979.1414767512</v>
      </c>
      <c r="P8" s="32">
        <f t="shared" si="3"/>
        <v>106028.09855058877</v>
      </c>
      <c r="Q8" s="32">
        <f t="shared" si="3"/>
        <v>107088.37953609465</v>
      </c>
      <c r="R8" s="32">
        <f t="shared" si="3"/>
        <v>108159.26333145562</v>
      </c>
      <c r="S8" s="32">
        <f t="shared" si="3"/>
        <v>109240.85596477015</v>
      </c>
      <c r="T8" s="32">
        <f t="shared" si="3"/>
        <v>114702.89876300868</v>
      </c>
      <c r="U8" s="32">
        <f t="shared" si="3"/>
        <v>115849.92775063874</v>
      </c>
      <c r="V8" s="32">
        <f t="shared" si="3"/>
        <v>117008.42702814515</v>
      </c>
      <c r="W8" s="32">
        <f t="shared" si="3"/>
        <v>118178.5112984266</v>
      </c>
      <c r="X8" s="32">
        <f t="shared" si="3"/>
        <v>124087.43686334793</v>
      </c>
      <c r="Y8" s="32">
        <f t="shared" si="3"/>
        <v>125328.31123198141</v>
      </c>
      <c r="Z8" s="32">
        <f t="shared" si="3"/>
        <v>126581.59434430124</v>
      </c>
      <c r="AA8" s="32">
        <f t="shared" si="3"/>
        <v>127847.41028774425</v>
      </c>
      <c r="AB8" s="32">
        <f t="shared" si="3"/>
        <v>129125.88439062168</v>
      </c>
      <c r="AC8" s="32">
        <f t="shared" si="3"/>
        <v>130417.1432345279</v>
      </c>
      <c r="AD8" s="32">
        <f t="shared" si="3"/>
        <v>131721.31466687319</v>
      </c>
      <c r="AE8" s="32">
        <f t="shared" si="3"/>
        <v>133038.52781354191</v>
      </c>
      <c r="AF8" s="32">
        <f t="shared" si="3"/>
        <v>134368.9130916773</v>
      </c>
      <c r="AG8" s="32">
        <f t="shared" si="3"/>
        <v>135712.60222259408</v>
      </c>
      <c r="AH8" s="32">
        <f t="shared" si="3"/>
        <v>137069.72824482003</v>
      </c>
      <c r="AI8" s="32">
        <f t="shared" si="3"/>
        <v>138440.42552726823</v>
      </c>
      <c r="AJ8" s="32">
        <f t="shared" si="3"/>
        <v>139824.82978254091</v>
      </c>
      <c r="AK8" s="32">
        <f t="shared" si="3"/>
        <v>146816.07127166796</v>
      </c>
      <c r="AL8" s="32">
        <f t="shared" si="3"/>
        <v>148284.23198438465</v>
      </c>
      <c r="AM8" s="32">
        <f t="shared" si="3"/>
        <v>149767.07430422847</v>
      </c>
      <c r="AN8" s="32">
        <f t="shared" si="3"/>
        <v>151264.74504727079</v>
      </c>
      <c r="AO8" s="32">
        <f t="shared" si="3"/>
        <v>152777.39249774348</v>
      </c>
      <c r="AP8" s="32">
        <f t="shared" si="3"/>
        <v>154305.16642272094</v>
      </c>
      <c r="AQ8" s="32">
        <f t="shared" si="3"/>
        <v>155848.21808694815</v>
      </c>
      <c r="AR8" s="32">
        <f t="shared" si="3"/>
        <v>157406.70026781759</v>
      </c>
      <c r="AS8" s="32">
        <f t="shared" si="3"/>
        <v>158980.76727049577</v>
      </c>
      <c r="AT8" s="32">
        <f t="shared" si="3"/>
        <v>160570.57494320077</v>
      </c>
    </row>
    <row r="12" spans="1:46" x14ac:dyDescent="0.25">
      <c r="A12" s="1" t="s">
        <v>187</v>
      </c>
      <c r="B12" s="32">
        <f>SUM(B8:AT8)</f>
        <v>5410424.1339853378</v>
      </c>
    </row>
    <row r="13" spans="1:46" x14ac:dyDescent="0.25">
      <c r="A13" s="1" t="s">
        <v>186</v>
      </c>
      <c r="B13" s="32">
        <f>B12/25</f>
        <v>216416.9653594135</v>
      </c>
      <c r="C13" s="1" t="s">
        <v>184</v>
      </c>
    </row>
    <row r="14" spans="1:46" x14ac:dyDescent="0.25">
      <c r="A14" s="1" t="s">
        <v>185</v>
      </c>
      <c r="B14" s="34">
        <f>B13/12</f>
        <v>18034.747113284458</v>
      </c>
      <c r="C14" s="1" t="s">
        <v>188</v>
      </c>
    </row>
    <row r="15" spans="1:46" x14ac:dyDescent="0.25">
      <c r="A15" s="1" t="s">
        <v>204</v>
      </c>
      <c r="B15" s="1" t="s">
        <v>206</v>
      </c>
      <c r="C15" s="1" t="s">
        <v>207</v>
      </c>
    </row>
    <row r="17" spans="1:26" x14ac:dyDescent="0.25">
      <c r="A17" s="1" t="s">
        <v>198</v>
      </c>
      <c r="B17" s="33">
        <f>SUM('Net Salary P1'!E14:AW14)</f>
        <v>282751.6528767391</v>
      </c>
      <c r="C17" s="18" t="s">
        <v>216</v>
      </c>
    </row>
    <row r="18" spans="1:26" x14ac:dyDescent="0.25">
      <c r="A18" s="1" t="s">
        <v>186</v>
      </c>
      <c r="B18" s="32">
        <f>B17/25</f>
        <v>11310.066115069563</v>
      </c>
    </row>
    <row r="19" spans="1:26" x14ac:dyDescent="0.25">
      <c r="A19" s="1" t="s">
        <v>185</v>
      </c>
      <c r="B19" s="32">
        <f>B18/12</f>
        <v>942.50550958913027</v>
      </c>
    </row>
    <row r="20" spans="1:26" x14ac:dyDescent="0.25">
      <c r="A20" s="1" t="s">
        <v>204</v>
      </c>
      <c r="B20" s="1" t="s">
        <v>205</v>
      </c>
    </row>
    <row r="22" spans="1:26" x14ac:dyDescent="0.25">
      <c r="A22" s="1" t="s">
        <v>203</v>
      </c>
      <c r="B22" s="34">
        <v>9500</v>
      </c>
    </row>
    <row r="23" spans="1:26" x14ac:dyDescent="0.25">
      <c r="A23" s="1" t="s">
        <v>208</v>
      </c>
      <c r="B23" s="32">
        <f>B22*12</f>
        <v>114000</v>
      </c>
    </row>
    <row r="24" spans="1:26" x14ac:dyDescent="0.25">
      <c r="A24" s="1" t="s">
        <v>204</v>
      </c>
      <c r="B24" s="1" t="s">
        <v>206</v>
      </c>
    </row>
    <row r="25" spans="1:26" x14ac:dyDescent="0.25">
      <c r="A25" s="1" t="s">
        <v>64</v>
      </c>
      <c r="B25" s="17">
        <f>'Salary Variables'!C2</f>
        <v>0.02</v>
      </c>
    </row>
    <row r="27" spans="1:26" x14ac:dyDescent="0.25">
      <c r="A27" s="1" t="s">
        <v>1</v>
      </c>
      <c r="B27" s="1">
        <v>2070</v>
      </c>
      <c r="C27" s="1">
        <v>2071</v>
      </c>
      <c r="D27" s="1">
        <v>2072</v>
      </c>
      <c r="E27" s="1">
        <v>2073</v>
      </c>
      <c r="F27" s="1">
        <v>2074</v>
      </c>
      <c r="G27" s="1">
        <v>2075</v>
      </c>
      <c r="H27" s="1">
        <v>2076</v>
      </c>
      <c r="I27" s="1">
        <v>2077</v>
      </c>
      <c r="J27" s="1">
        <v>2078</v>
      </c>
      <c r="K27" s="1">
        <v>2079</v>
      </c>
      <c r="L27" s="1">
        <v>2080</v>
      </c>
      <c r="M27" s="1">
        <v>2081</v>
      </c>
      <c r="N27" s="1">
        <v>2082</v>
      </c>
      <c r="O27" s="1">
        <v>2083</v>
      </c>
      <c r="P27" s="1">
        <v>2084</v>
      </c>
      <c r="Q27" s="1">
        <v>2085</v>
      </c>
      <c r="R27" s="1">
        <v>2086</v>
      </c>
      <c r="S27" s="1">
        <v>2087</v>
      </c>
      <c r="T27" s="1">
        <v>2088</v>
      </c>
      <c r="U27" s="1">
        <v>2089</v>
      </c>
      <c r="V27" s="1">
        <v>2090</v>
      </c>
      <c r="W27" s="1">
        <v>2091</v>
      </c>
      <c r="X27" s="1">
        <v>2092</v>
      </c>
      <c r="Y27" s="1">
        <v>2093</v>
      </c>
      <c r="Z27" s="1">
        <v>2094</v>
      </c>
    </row>
    <row r="28" spans="1:26" x14ac:dyDescent="0.25">
      <c r="B28" s="30"/>
    </row>
    <row r="29" spans="1:26" x14ac:dyDescent="0.25">
      <c r="B29" s="3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6127D-5E40-4648-A60A-A6A825C4F357}">
  <sheetPr>
    <tabColor theme="8" tint="0.79998168889431442"/>
  </sheetPr>
  <dimension ref="A1:AT29"/>
  <sheetViews>
    <sheetView workbookViewId="0">
      <selection activeCell="F54" sqref="F54"/>
    </sheetView>
  </sheetViews>
  <sheetFormatPr defaultRowHeight="15" x14ac:dyDescent="0.25"/>
  <cols>
    <col min="1" max="1" width="30" style="1" bestFit="1" customWidth="1"/>
    <col min="2" max="2" width="31.28515625" style="1" bestFit="1" customWidth="1"/>
    <col min="3" max="3" width="16.85546875" style="1" bestFit="1" customWidth="1"/>
    <col min="4" max="46" width="12" style="1" bestFit="1" customWidth="1"/>
    <col min="47" max="16384" width="9.140625" style="1"/>
  </cols>
  <sheetData>
    <row r="1" spans="1:46" x14ac:dyDescent="0.25">
      <c r="A1" s="1" t="s">
        <v>1</v>
      </c>
      <c r="B1" s="1">
        <v>2025</v>
      </c>
      <c r="C1" s="1">
        <v>2026</v>
      </c>
      <c r="D1" s="1">
        <v>2027</v>
      </c>
      <c r="E1" s="1">
        <v>2028</v>
      </c>
      <c r="F1" s="1">
        <v>2029</v>
      </c>
      <c r="G1" s="1">
        <v>2030</v>
      </c>
      <c r="H1" s="1">
        <v>2031</v>
      </c>
      <c r="I1" s="1">
        <v>2032</v>
      </c>
      <c r="J1" s="1">
        <v>2033</v>
      </c>
      <c r="K1" s="1">
        <v>2034</v>
      </c>
      <c r="L1" s="1">
        <v>2035</v>
      </c>
      <c r="M1" s="1">
        <v>2036</v>
      </c>
      <c r="N1" s="1">
        <v>2037</v>
      </c>
      <c r="O1" s="1">
        <v>2038</v>
      </c>
      <c r="P1" s="1">
        <v>2039</v>
      </c>
      <c r="Q1" s="1">
        <v>2040</v>
      </c>
      <c r="R1" s="1">
        <v>2041</v>
      </c>
      <c r="S1" s="1">
        <v>2042</v>
      </c>
      <c r="T1" s="1">
        <v>2043</v>
      </c>
      <c r="U1" s="1">
        <v>2044</v>
      </c>
      <c r="V1" s="1">
        <v>2045</v>
      </c>
      <c r="W1" s="1">
        <v>2046</v>
      </c>
      <c r="X1" s="1">
        <v>2047</v>
      </c>
      <c r="Y1" s="1">
        <v>2048</v>
      </c>
      <c r="Z1" s="1">
        <v>2049</v>
      </c>
      <c r="AA1" s="1">
        <v>2050</v>
      </c>
      <c r="AB1" s="1">
        <v>2051</v>
      </c>
      <c r="AC1" s="1">
        <v>2052</v>
      </c>
      <c r="AD1" s="1">
        <v>2053</v>
      </c>
      <c r="AE1" s="1">
        <v>2054</v>
      </c>
    </row>
    <row r="2" spans="1:46" x14ac:dyDescent="0.25">
      <c r="A2" s="1" t="s">
        <v>178</v>
      </c>
      <c r="B2" s="32" cm="1">
        <f t="array" ref="B2:AE2">TRANSPOSE(Income!O3:O32)</f>
        <v>64001</v>
      </c>
      <c r="C2" s="32">
        <v>64641.01</v>
      </c>
      <c r="D2" s="32">
        <v>65287.420100000003</v>
      </c>
      <c r="E2" s="32">
        <v>68656.240737</v>
      </c>
      <c r="F2" s="32">
        <v>69342.803144370002</v>
      </c>
      <c r="G2" s="32">
        <v>70036.231175813708</v>
      </c>
      <c r="H2" s="32">
        <v>70736.593487571852</v>
      </c>
      <c r="I2" s="32">
        <v>74678.848343723934</v>
      </c>
      <c r="J2" s="32">
        <v>75425.636827161172</v>
      </c>
      <c r="K2" s="32">
        <v>76179.893195432785</v>
      </c>
      <c r="L2" s="32">
        <v>76941.692127387112</v>
      </c>
      <c r="M2" s="32">
        <v>77711.10904866099</v>
      </c>
      <c r="N2" s="32">
        <v>78488.220139147597</v>
      </c>
      <c r="O2" s="32">
        <v>79273.102340539073</v>
      </c>
      <c r="P2" s="32">
        <v>80065.833363944461</v>
      </c>
      <c r="Q2" s="32">
        <v>80866.491697583901</v>
      </c>
      <c r="R2" s="32">
        <v>81675.156614559746</v>
      </c>
      <c r="S2" s="32">
        <v>82491.908180705344</v>
      </c>
      <c r="T2" s="32">
        <v>83316.827262512394</v>
      </c>
      <c r="U2" s="32">
        <v>84149.995535137525</v>
      </c>
      <c r="V2" s="32">
        <v>90018.769616489066</v>
      </c>
      <c r="W2" s="32">
        <v>90918.957312653962</v>
      </c>
      <c r="X2" s="32">
        <v>91828.146885780501</v>
      </c>
      <c r="Y2" s="32">
        <v>92746.428354638309</v>
      </c>
      <c r="Z2" s="32">
        <v>93673.892638184698</v>
      </c>
      <c r="AA2" s="32">
        <v>94610.631564566545</v>
      </c>
      <c r="AB2" s="32">
        <v>95556.737880212211</v>
      </c>
      <c r="AC2" s="32">
        <v>96512.305259014334</v>
      </c>
      <c r="AD2" s="32">
        <v>97477.428311604483</v>
      </c>
      <c r="AE2" s="32">
        <v>98452.202594720526</v>
      </c>
    </row>
    <row r="3" spans="1:46" x14ac:dyDescent="0.25">
      <c r="A3" s="1" t="s">
        <v>180</v>
      </c>
      <c r="B3" s="17">
        <f>'Salary Variables'!$C$12</f>
        <v>0.05</v>
      </c>
      <c r="C3" s="17">
        <f>'Salary Variables'!$C$12</f>
        <v>0.05</v>
      </c>
      <c r="D3" s="17">
        <f>'Salary Variables'!$C$12</f>
        <v>0.05</v>
      </c>
      <c r="E3" s="17">
        <f>'Salary Variables'!$C$12</f>
        <v>0.05</v>
      </c>
      <c r="F3" s="17">
        <f>'Salary Variables'!$C$12</f>
        <v>0.05</v>
      </c>
      <c r="G3" s="17">
        <f>'Salary Variables'!$C$12</f>
        <v>0.05</v>
      </c>
      <c r="H3" s="17">
        <f>'Salary Variables'!$C$12</f>
        <v>0.05</v>
      </c>
      <c r="I3" s="17">
        <f>'Salary Variables'!$C$12</f>
        <v>0.05</v>
      </c>
      <c r="J3" s="17">
        <f>'Salary Variables'!$C$12</f>
        <v>0.05</v>
      </c>
      <c r="K3" s="17">
        <f>'Salary Variables'!$C$12</f>
        <v>0.05</v>
      </c>
      <c r="L3" s="17">
        <f>'Salary Variables'!$C$12</f>
        <v>0.05</v>
      </c>
      <c r="M3" s="17">
        <f>'Salary Variables'!$C$12</f>
        <v>0.05</v>
      </c>
      <c r="N3" s="17">
        <f>'Salary Variables'!$C$12</f>
        <v>0.05</v>
      </c>
      <c r="O3" s="17">
        <f>'Salary Variables'!$C$12</f>
        <v>0.05</v>
      </c>
      <c r="P3" s="17">
        <f>'Salary Variables'!$C$12</f>
        <v>0.05</v>
      </c>
      <c r="Q3" s="17">
        <f>'Salary Variables'!$C$12</f>
        <v>0.05</v>
      </c>
      <c r="R3" s="17">
        <f>'Salary Variables'!$C$12</f>
        <v>0.05</v>
      </c>
      <c r="S3" s="17">
        <f>'Salary Variables'!$C$12</f>
        <v>0.05</v>
      </c>
      <c r="T3" s="17">
        <f>'Salary Variables'!$C$12</f>
        <v>0.05</v>
      </c>
      <c r="U3" s="17">
        <f>'Salary Variables'!$C$12</f>
        <v>0.05</v>
      </c>
      <c r="V3" s="17">
        <f>'Salary Variables'!$C$12</f>
        <v>0.05</v>
      </c>
      <c r="W3" s="17">
        <f>'Salary Variables'!$C$12</f>
        <v>0.05</v>
      </c>
      <c r="X3" s="17">
        <f>'Salary Variables'!$C$12</f>
        <v>0.05</v>
      </c>
      <c r="Y3" s="17">
        <f>'Salary Variables'!$C$12</f>
        <v>0.05</v>
      </c>
      <c r="Z3" s="17">
        <f>'Salary Variables'!$C$12</f>
        <v>0.05</v>
      </c>
      <c r="AA3" s="17">
        <f>'Salary Variables'!$C$12</f>
        <v>0.05</v>
      </c>
      <c r="AB3" s="17">
        <f>'Salary Variables'!$C$12</f>
        <v>0.05</v>
      </c>
      <c r="AC3" s="17">
        <f>'Salary Variables'!$C$12</f>
        <v>0.05</v>
      </c>
      <c r="AD3" s="17">
        <f>'Salary Variables'!$C$12</f>
        <v>0.05</v>
      </c>
      <c r="AE3" s="17">
        <f>'Salary Variables'!$C$12</f>
        <v>0.05</v>
      </c>
      <c r="AF3" s="17">
        <f>'Salary Variables'!$C$12</f>
        <v>0.05</v>
      </c>
      <c r="AG3" s="17">
        <f>'Salary Variables'!$C$12</f>
        <v>0.05</v>
      </c>
      <c r="AH3" s="17">
        <f>'Salary Variables'!$C$12</f>
        <v>0.05</v>
      </c>
      <c r="AI3" s="17">
        <f>'Salary Variables'!$C$12</f>
        <v>0.05</v>
      </c>
      <c r="AJ3" s="17">
        <f>'Salary Variables'!$C$12</f>
        <v>0.05</v>
      </c>
      <c r="AK3" s="17">
        <f>'Salary Variables'!$C$12</f>
        <v>0.05</v>
      </c>
      <c r="AL3" s="17">
        <f>'Salary Variables'!$C$12</f>
        <v>0.05</v>
      </c>
      <c r="AM3" s="17">
        <f>'Salary Variables'!$C$12</f>
        <v>0.05</v>
      </c>
      <c r="AN3" s="17">
        <f>'Salary Variables'!$C$12</f>
        <v>0.05</v>
      </c>
      <c r="AO3" s="17">
        <f>'Salary Variables'!$C$12</f>
        <v>0.05</v>
      </c>
      <c r="AP3" s="17">
        <f>'Salary Variables'!$C$12</f>
        <v>0.05</v>
      </c>
      <c r="AQ3" s="17">
        <f>'Salary Variables'!$C$12</f>
        <v>0.05</v>
      </c>
      <c r="AR3" s="17">
        <f>'Salary Variables'!$C$12</f>
        <v>0.05</v>
      </c>
      <c r="AS3" s="17">
        <f>'Salary Variables'!$C$12</f>
        <v>0.05</v>
      </c>
      <c r="AT3" s="17">
        <f>'Salary Variables'!$C$12</f>
        <v>0.05</v>
      </c>
    </row>
    <row r="4" spans="1:46" x14ac:dyDescent="0.25">
      <c r="A4" s="1" t="s">
        <v>179</v>
      </c>
      <c r="B4" s="32">
        <f>B3*B2</f>
        <v>3200.05</v>
      </c>
      <c r="C4" s="32">
        <f t="shared" ref="C4:AT4" si="0">C3*C2</f>
        <v>3232.0505000000003</v>
      </c>
      <c r="D4" s="32">
        <f t="shared" si="0"/>
        <v>3264.3710050000004</v>
      </c>
      <c r="E4" s="32">
        <f t="shared" si="0"/>
        <v>3432.8120368500004</v>
      </c>
      <c r="F4" s="32">
        <f t="shared" si="0"/>
        <v>3467.1401572185005</v>
      </c>
      <c r="G4" s="32">
        <f t="shared" si="0"/>
        <v>3501.8115587906855</v>
      </c>
      <c r="H4" s="32">
        <f t="shared" si="0"/>
        <v>3536.8296743785927</v>
      </c>
      <c r="I4" s="32">
        <f t="shared" si="0"/>
        <v>3733.942417186197</v>
      </c>
      <c r="J4" s="32">
        <f t="shared" si="0"/>
        <v>3771.281841358059</v>
      </c>
      <c r="K4" s="32">
        <f t="shared" si="0"/>
        <v>3808.9946597716394</v>
      </c>
      <c r="L4" s="32">
        <f t="shared" si="0"/>
        <v>3847.0846063693557</v>
      </c>
      <c r="M4" s="32">
        <f t="shared" si="0"/>
        <v>3885.5554524330496</v>
      </c>
      <c r="N4" s="32">
        <f t="shared" si="0"/>
        <v>3924.4110069573799</v>
      </c>
      <c r="O4" s="32">
        <f t="shared" si="0"/>
        <v>3963.655117026954</v>
      </c>
      <c r="P4" s="32">
        <f t="shared" si="0"/>
        <v>4003.2916681972233</v>
      </c>
      <c r="Q4" s="32">
        <f t="shared" si="0"/>
        <v>4043.3245848791953</v>
      </c>
      <c r="R4" s="32">
        <f t="shared" si="0"/>
        <v>4083.7578307279873</v>
      </c>
      <c r="S4" s="32">
        <f t="shared" si="0"/>
        <v>4124.595409035267</v>
      </c>
      <c r="T4" s="32">
        <f t="shared" si="0"/>
        <v>4165.8413631256199</v>
      </c>
      <c r="U4" s="32">
        <f t="shared" si="0"/>
        <v>4207.4997767568766</v>
      </c>
      <c r="V4" s="32">
        <f t="shared" si="0"/>
        <v>4500.9384808244531</v>
      </c>
      <c r="W4" s="32">
        <f t="shared" si="0"/>
        <v>4545.9478656326983</v>
      </c>
      <c r="X4" s="32">
        <f t="shared" si="0"/>
        <v>4591.4073442890249</v>
      </c>
      <c r="Y4" s="32">
        <f t="shared" si="0"/>
        <v>4637.321417731916</v>
      </c>
      <c r="Z4" s="32">
        <f t="shared" si="0"/>
        <v>4683.6946319092349</v>
      </c>
      <c r="AA4" s="32">
        <f t="shared" si="0"/>
        <v>4730.5315782283278</v>
      </c>
      <c r="AB4" s="32">
        <f t="shared" si="0"/>
        <v>4777.8368940106111</v>
      </c>
      <c r="AC4" s="32">
        <f t="shared" si="0"/>
        <v>4825.6152629507169</v>
      </c>
      <c r="AD4" s="32">
        <f t="shared" si="0"/>
        <v>4873.8714155802245</v>
      </c>
      <c r="AE4" s="32">
        <f t="shared" si="0"/>
        <v>4922.6101297360265</v>
      </c>
      <c r="AF4" s="32">
        <f t="shared" si="0"/>
        <v>0</v>
      </c>
      <c r="AG4" s="32">
        <f t="shared" si="0"/>
        <v>0</v>
      </c>
      <c r="AH4" s="32">
        <f t="shared" si="0"/>
        <v>0</v>
      </c>
      <c r="AI4" s="32">
        <f t="shared" si="0"/>
        <v>0</v>
      </c>
      <c r="AJ4" s="32">
        <f t="shared" si="0"/>
        <v>0</v>
      </c>
      <c r="AK4" s="32">
        <f t="shared" si="0"/>
        <v>0</v>
      </c>
      <c r="AL4" s="32">
        <f t="shared" si="0"/>
        <v>0</v>
      </c>
      <c r="AM4" s="32">
        <f t="shared" si="0"/>
        <v>0</v>
      </c>
      <c r="AN4" s="32">
        <f t="shared" si="0"/>
        <v>0</v>
      </c>
      <c r="AO4" s="32">
        <f t="shared" si="0"/>
        <v>0</v>
      </c>
      <c r="AP4" s="32">
        <f t="shared" si="0"/>
        <v>0</v>
      </c>
      <c r="AQ4" s="32">
        <f t="shared" si="0"/>
        <v>0</v>
      </c>
      <c r="AR4" s="32">
        <f t="shared" si="0"/>
        <v>0</v>
      </c>
      <c r="AS4" s="32">
        <f t="shared" si="0"/>
        <v>0</v>
      </c>
      <c r="AT4" s="32">
        <f t="shared" si="0"/>
        <v>0</v>
      </c>
    </row>
    <row r="5" spans="1:46" x14ac:dyDescent="0.25">
      <c r="A5" s="1" t="s">
        <v>217</v>
      </c>
      <c r="B5" s="17">
        <f>'Salary Variables'!$C$13</f>
        <v>0.1</v>
      </c>
      <c r="C5" s="17">
        <f>'Salary Variables'!$C$13</f>
        <v>0.1</v>
      </c>
      <c r="D5" s="17">
        <f>'Salary Variables'!$C$13</f>
        <v>0.1</v>
      </c>
      <c r="E5" s="17">
        <f>'Salary Variables'!$C$13</f>
        <v>0.1</v>
      </c>
      <c r="F5" s="17">
        <f>'Salary Variables'!$C$13</f>
        <v>0.1</v>
      </c>
      <c r="G5" s="17">
        <f>'Salary Variables'!$C$13</f>
        <v>0.1</v>
      </c>
      <c r="H5" s="17">
        <f>'Salary Variables'!$C$13</f>
        <v>0.1</v>
      </c>
      <c r="I5" s="17">
        <f>'Salary Variables'!$C$13</f>
        <v>0.1</v>
      </c>
      <c r="J5" s="17">
        <f>'Salary Variables'!$C$13</f>
        <v>0.1</v>
      </c>
      <c r="K5" s="17">
        <f>'Salary Variables'!$C$13</f>
        <v>0.1</v>
      </c>
      <c r="L5" s="17">
        <f>'Salary Variables'!$C$13</f>
        <v>0.1</v>
      </c>
      <c r="M5" s="17">
        <f>'Salary Variables'!$C$13</f>
        <v>0.1</v>
      </c>
      <c r="N5" s="17">
        <f>'Salary Variables'!$C$13</f>
        <v>0.1</v>
      </c>
      <c r="O5" s="17">
        <f>'Salary Variables'!$C$13</f>
        <v>0.1</v>
      </c>
      <c r="P5" s="17">
        <f>'Salary Variables'!$C$13</f>
        <v>0.1</v>
      </c>
      <c r="Q5" s="17">
        <f>'Salary Variables'!$C$13</f>
        <v>0.1</v>
      </c>
      <c r="R5" s="17">
        <f>'Salary Variables'!$C$13</f>
        <v>0.1</v>
      </c>
      <c r="S5" s="17">
        <f>'Salary Variables'!$C$13</f>
        <v>0.1</v>
      </c>
      <c r="T5" s="17">
        <f>'Salary Variables'!$C$13</f>
        <v>0.1</v>
      </c>
      <c r="U5" s="17">
        <f>'Salary Variables'!$C$13</f>
        <v>0.1</v>
      </c>
      <c r="V5" s="17">
        <f>'Salary Variables'!$C$13</f>
        <v>0.1</v>
      </c>
      <c r="W5" s="17">
        <f>'Salary Variables'!$C$13</f>
        <v>0.1</v>
      </c>
      <c r="X5" s="17">
        <f>'Salary Variables'!$C$13</f>
        <v>0.1</v>
      </c>
      <c r="Y5" s="17">
        <f>'Salary Variables'!$C$13</f>
        <v>0.1</v>
      </c>
      <c r="Z5" s="17">
        <f>'Salary Variables'!$C$13</f>
        <v>0.1</v>
      </c>
      <c r="AA5" s="17">
        <f>'Salary Variables'!$C$13</f>
        <v>0.1</v>
      </c>
      <c r="AB5" s="17">
        <f>'Salary Variables'!$C$13</f>
        <v>0.1</v>
      </c>
      <c r="AC5" s="17">
        <f>'Salary Variables'!$C$13</f>
        <v>0.1</v>
      </c>
      <c r="AD5" s="17">
        <f>'Salary Variables'!$C$13</f>
        <v>0.1</v>
      </c>
      <c r="AE5" s="17">
        <f>'Salary Variables'!$C$13</f>
        <v>0.1</v>
      </c>
      <c r="AF5" s="17">
        <f>'Salary Variables'!$C$13</f>
        <v>0.1</v>
      </c>
      <c r="AG5" s="17">
        <f>'Salary Variables'!$C$13</f>
        <v>0.1</v>
      </c>
      <c r="AH5" s="17">
        <f>'Salary Variables'!$C$13</f>
        <v>0.1</v>
      </c>
      <c r="AI5" s="17">
        <f>'Salary Variables'!$C$13</f>
        <v>0.1</v>
      </c>
      <c r="AJ5" s="17">
        <f>'Salary Variables'!$C$13</f>
        <v>0.1</v>
      </c>
      <c r="AK5" s="17">
        <f>'Salary Variables'!$C$13</f>
        <v>0.1</v>
      </c>
      <c r="AL5" s="17">
        <f>'Salary Variables'!$C$13</f>
        <v>0.1</v>
      </c>
      <c r="AM5" s="17">
        <f>'Salary Variables'!$C$13</f>
        <v>0.1</v>
      </c>
      <c r="AN5" s="17">
        <f>'Salary Variables'!$C$13</f>
        <v>0.1</v>
      </c>
      <c r="AO5" s="17">
        <f>'Salary Variables'!$C$13</f>
        <v>0.1</v>
      </c>
      <c r="AP5" s="17">
        <f>'Salary Variables'!$C$13</f>
        <v>0.1</v>
      </c>
      <c r="AQ5" s="17">
        <f>'Salary Variables'!$C$13</f>
        <v>0.1</v>
      </c>
      <c r="AR5" s="17">
        <f>'Salary Variables'!$C$13</f>
        <v>0.1</v>
      </c>
      <c r="AS5" s="17">
        <f>'Salary Variables'!$C$13</f>
        <v>0.1</v>
      </c>
      <c r="AT5" s="17">
        <f>'Salary Variables'!$C$13</f>
        <v>0.1</v>
      </c>
    </row>
    <row r="6" spans="1:46" x14ac:dyDescent="0.25">
      <c r="A6" s="1" t="s">
        <v>181</v>
      </c>
      <c r="B6" s="32">
        <f>B2*B5</f>
        <v>6400.1</v>
      </c>
      <c r="C6" s="32">
        <f t="shared" ref="C6:AT6" si="1">C4*2</f>
        <v>6464.1010000000006</v>
      </c>
      <c r="D6" s="32">
        <f t="shared" si="1"/>
        <v>6528.7420100000008</v>
      </c>
      <c r="E6" s="32">
        <f t="shared" si="1"/>
        <v>6865.6240737000007</v>
      </c>
      <c r="F6" s="32">
        <f t="shared" si="1"/>
        <v>6934.2803144370009</v>
      </c>
      <c r="G6" s="32">
        <f t="shared" si="1"/>
        <v>7003.6231175813709</v>
      </c>
      <c r="H6" s="32">
        <f t="shared" si="1"/>
        <v>7073.6593487571854</v>
      </c>
      <c r="I6" s="32">
        <f t="shared" si="1"/>
        <v>7467.8848343723939</v>
      </c>
      <c r="J6" s="32">
        <f t="shared" si="1"/>
        <v>7542.5636827161179</v>
      </c>
      <c r="K6" s="32">
        <f t="shared" si="1"/>
        <v>7617.9893195432787</v>
      </c>
      <c r="L6" s="32">
        <f t="shared" si="1"/>
        <v>7694.1692127387114</v>
      </c>
      <c r="M6" s="32">
        <f t="shared" si="1"/>
        <v>7771.1109048660992</v>
      </c>
      <c r="N6" s="32">
        <f t="shared" si="1"/>
        <v>7848.8220139147597</v>
      </c>
      <c r="O6" s="32">
        <f t="shared" si="1"/>
        <v>7927.3102340539081</v>
      </c>
      <c r="P6" s="32">
        <f t="shared" si="1"/>
        <v>8006.5833363944466</v>
      </c>
      <c r="Q6" s="32">
        <f t="shared" si="1"/>
        <v>8086.6491697583906</v>
      </c>
      <c r="R6" s="32">
        <f t="shared" si="1"/>
        <v>8167.5156614559746</v>
      </c>
      <c r="S6" s="32">
        <f t="shared" si="1"/>
        <v>8249.1908180705341</v>
      </c>
      <c r="T6" s="32">
        <f t="shared" si="1"/>
        <v>8331.6827262512397</v>
      </c>
      <c r="U6" s="32">
        <f t="shared" si="1"/>
        <v>8414.9995535137532</v>
      </c>
      <c r="V6" s="32">
        <f t="shared" si="1"/>
        <v>9001.8769616489062</v>
      </c>
      <c r="W6" s="32">
        <f t="shared" si="1"/>
        <v>9091.8957312653965</v>
      </c>
      <c r="X6" s="32">
        <f t="shared" si="1"/>
        <v>9182.8146885780498</v>
      </c>
      <c r="Y6" s="32">
        <f t="shared" si="1"/>
        <v>9274.6428354638319</v>
      </c>
      <c r="Z6" s="32">
        <f t="shared" si="1"/>
        <v>9367.3892638184698</v>
      </c>
      <c r="AA6" s="32">
        <f t="shared" si="1"/>
        <v>9461.0631564566556</v>
      </c>
      <c r="AB6" s="32">
        <f t="shared" si="1"/>
        <v>9555.6737880212222</v>
      </c>
      <c r="AC6" s="32">
        <f t="shared" si="1"/>
        <v>9651.2305259014338</v>
      </c>
      <c r="AD6" s="32">
        <f t="shared" si="1"/>
        <v>9747.742831160449</v>
      </c>
      <c r="AE6" s="32">
        <f t="shared" si="1"/>
        <v>9845.2202594720529</v>
      </c>
      <c r="AF6" s="32">
        <f t="shared" si="1"/>
        <v>0</v>
      </c>
      <c r="AG6" s="32">
        <f t="shared" si="1"/>
        <v>0</v>
      </c>
      <c r="AH6" s="32">
        <f t="shared" si="1"/>
        <v>0</v>
      </c>
      <c r="AI6" s="32">
        <f t="shared" si="1"/>
        <v>0</v>
      </c>
      <c r="AJ6" s="32">
        <f t="shared" si="1"/>
        <v>0</v>
      </c>
      <c r="AK6" s="32">
        <f t="shared" si="1"/>
        <v>0</v>
      </c>
      <c r="AL6" s="32">
        <f t="shared" si="1"/>
        <v>0</v>
      </c>
      <c r="AM6" s="32">
        <f t="shared" si="1"/>
        <v>0</v>
      </c>
      <c r="AN6" s="32">
        <f t="shared" si="1"/>
        <v>0</v>
      </c>
      <c r="AO6" s="32">
        <f t="shared" si="1"/>
        <v>0</v>
      </c>
      <c r="AP6" s="32">
        <f t="shared" si="1"/>
        <v>0</v>
      </c>
      <c r="AQ6" s="32">
        <f t="shared" si="1"/>
        <v>0</v>
      </c>
      <c r="AR6" s="32">
        <f t="shared" si="1"/>
        <v>0</v>
      </c>
      <c r="AS6" s="32">
        <f t="shared" si="1"/>
        <v>0</v>
      </c>
      <c r="AT6" s="32">
        <f t="shared" si="1"/>
        <v>0</v>
      </c>
    </row>
    <row r="7" spans="1:46" x14ac:dyDescent="0.25">
      <c r="A7" s="1" t="s">
        <v>182</v>
      </c>
      <c r="B7" s="33">
        <f>SUM(B6,B4)</f>
        <v>9600.1500000000015</v>
      </c>
      <c r="C7" s="33">
        <f t="shared" ref="C7:AT7" si="2">SUM(C6,C4)</f>
        <v>9696.1514999999999</v>
      </c>
      <c r="D7" s="33">
        <f t="shared" si="2"/>
        <v>9793.1130150000008</v>
      </c>
      <c r="E7" s="33">
        <f t="shared" si="2"/>
        <v>10298.436110550001</v>
      </c>
      <c r="F7" s="33">
        <f t="shared" si="2"/>
        <v>10401.420471655501</v>
      </c>
      <c r="G7" s="33">
        <f t="shared" si="2"/>
        <v>10505.434676372057</v>
      </c>
      <c r="H7" s="33">
        <f t="shared" si="2"/>
        <v>10610.489023135779</v>
      </c>
      <c r="I7" s="33">
        <f t="shared" si="2"/>
        <v>11201.82725155859</v>
      </c>
      <c r="J7" s="33">
        <f t="shared" si="2"/>
        <v>11313.845524074177</v>
      </c>
      <c r="K7" s="33">
        <f t="shared" si="2"/>
        <v>11426.983979314919</v>
      </c>
      <c r="L7" s="33">
        <f t="shared" si="2"/>
        <v>11541.253819108068</v>
      </c>
      <c r="M7" s="33">
        <f t="shared" si="2"/>
        <v>11656.666357299149</v>
      </c>
      <c r="N7" s="33">
        <f t="shared" si="2"/>
        <v>11773.23302087214</v>
      </c>
      <c r="O7" s="33">
        <f t="shared" si="2"/>
        <v>11890.965351080862</v>
      </c>
      <c r="P7" s="33">
        <f t="shared" si="2"/>
        <v>12009.875004591669</v>
      </c>
      <c r="Q7" s="33">
        <f t="shared" si="2"/>
        <v>12129.973754637585</v>
      </c>
      <c r="R7" s="33">
        <f t="shared" si="2"/>
        <v>12251.273492183962</v>
      </c>
      <c r="S7" s="33">
        <f t="shared" si="2"/>
        <v>12373.7862271058</v>
      </c>
      <c r="T7" s="33">
        <f t="shared" si="2"/>
        <v>12497.524089376861</v>
      </c>
      <c r="U7" s="33">
        <f t="shared" si="2"/>
        <v>12622.49933027063</v>
      </c>
      <c r="V7" s="33">
        <f t="shared" si="2"/>
        <v>13502.815442473358</v>
      </c>
      <c r="W7" s="33">
        <f t="shared" si="2"/>
        <v>13637.843596898096</v>
      </c>
      <c r="X7" s="33">
        <f t="shared" si="2"/>
        <v>13774.222032867074</v>
      </c>
      <c r="Y7" s="33">
        <f t="shared" si="2"/>
        <v>13911.964253195747</v>
      </c>
      <c r="Z7" s="33">
        <f t="shared" si="2"/>
        <v>14051.083895727705</v>
      </c>
      <c r="AA7" s="33">
        <f t="shared" si="2"/>
        <v>14191.594734684983</v>
      </c>
      <c r="AB7" s="33">
        <f t="shared" si="2"/>
        <v>14333.510682031832</v>
      </c>
      <c r="AC7" s="33">
        <f t="shared" si="2"/>
        <v>14476.845788852152</v>
      </c>
      <c r="AD7" s="33">
        <f t="shared" si="2"/>
        <v>14621.614246740673</v>
      </c>
      <c r="AE7" s="33">
        <f t="shared" si="2"/>
        <v>14767.83038920808</v>
      </c>
      <c r="AF7" s="33">
        <f t="shared" si="2"/>
        <v>0</v>
      </c>
      <c r="AG7" s="33">
        <f t="shared" si="2"/>
        <v>0</v>
      </c>
      <c r="AH7" s="33">
        <f t="shared" si="2"/>
        <v>0</v>
      </c>
      <c r="AI7" s="33">
        <f t="shared" si="2"/>
        <v>0</v>
      </c>
      <c r="AJ7" s="33">
        <f t="shared" si="2"/>
        <v>0</v>
      </c>
      <c r="AK7" s="33">
        <f t="shared" si="2"/>
        <v>0</v>
      </c>
      <c r="AL7" s="33">
        <f t="shared" si="2"/>
        <v>0</v>
      </c>
      <c r="AM7" s="33">
        <f t="shared" si="2"/>
        <v>0</v>
      </c>
      <c r="AN7" s="33">
        <f t="shared" si="2"/>
        <v>0</v>
      </c>
      <c r="AO7" s="33">
        <f t="shared" si="2"/>
        <v>0</v>
      </c>
      <c r="AP7" s="33">
        <f t="shared" si="2"/>
        <v>0</v>
      </c>
      <c r="AQ7" s="33">
        <f t="shared" si="2"/>
        <v>0</v>
      </c>
      <c r="AR7" s="33">
        <f t="shared" si="2"/>
        <v>0</v>
      </c>
      <c r="AS7" s="33">
        <f t="shared" si="2"/>
        <v>0</v>
      </c>
      <c r="AT7" s="33">
        <f t="shared" si="2"/>
        <v>0</v>
      </c>
    </row>
    <row r="8" spans="1:46" x14ac:dyDescent="0.25">
      <c r="A8" s="1" t="s">
        <v>183</v>
      </c>
      <c r="B8" s="32">
        <f>B7*12</f>
        <v>115201.80000000002</v>
      </c>
      <c r="C8" s="32">
        <f t="shared" ref="C8:AT8" si="3">C7*12</f>
        <v>116353.818</v>
      </c>
      <c r="D8" s="32">
        <f t="shared" si="3"/>
        <v>117517.35618</v>
      </c>
      <c r="E8" s="32">
        <f t="shared" si="3"/>
        <v>123581.23332660002</v>
      </c>
      <c r="F8" s="32">
        <f t="shared" si="3"/>
        <v>124817.04565986601</v>
      </c>
      <c r="G8" s="32">
        <f t="shared" si="3"/>
        <v>126065.21611646468</v>
      </c>
      <c r="H8" s="32">
        <f t="shared" si="3"/>
        <v>127325.86827762934</v>
      </c>
      <c r="I8" s="32">
        <f t="shared" si="3"/>
        <v>134421.92701870308</v>
      </c>
      <c r="J8" s="32">
        <f t="shared" si="3"/>
        <v>135766.14628889013</v>
      </c>
      <c r="K8" s="32">
        <f t="shared" si="3"/>
        <v>137123.80775177904</v>
      </c>
      <c r="L8" s="32">
        <f t="shared" si="3"/>
        <v>138495.04582929681</v>
      </c>
      <c r="M8" s="32">
        <f t="shared" si="3"/>
        <v>139879.99628758978</v>
      </c>
      <c r="N8" s="32">
        <f t="shared" si="3"/>
        <v>141278.79625046568</v>
      </c>
      <c r="O8" s="32">
        <f t="shared" si="3"/>
        <v>142691.58421297034</v>
      </c>
      <c r="P8" s="32">
        <f t="shared" si="3"/>
        <v>144118.50005510004</v>
      </c>
      <c r="Q8" s="32">
        <f t="shared" si="3"/>
        <v>145559.68505565103</v>
      </c>
      <c r="R8" s="32">
        <f t="shared" si="3"/>
        <v>147015.28190620756</v>
      </c>
      <c r="S8" s="32">
        <f t="shared" si="3"/>
        <v>148485.43472526962</v>
      </c>
      <c r="T8" s="32">
        <f t="shared" si="3"/>
        <v>149970.28907252231</v>
      </c>
      <c r="U8" s="32">
        <f t="shared" si="3"/>
        <v>151469.99196324756</v>
      </c>
      <c r="V8" s="32">
        <f t="shared" si="3"/>
        <v>162033.7853096803</v>
      </c>
      <c r="W8" s="32">
        <f t="shared" si="3"/>
        <v>163654.12316277716</v>
      </c>
      <c r="X8" s="32">
        <f t="shared" si="3"/>
        <v>165290.66439440488</v>
      </c>
      <c r="Y8" s="32">
        <f t="shared" si="3"/>
        <v>166943.57103834895</v>
      </c>
      <c r="Z8" s="32">
        <f t="shared" si="3"/>
        <v>168613.00674873247</v>
      </c>
      <c r="AA8" s="32">
        <f t="shared" si="3"/>
        <v>170299.13681621978</v>
      </c>
      <c r="AB8" s="32">
        <f t="shared" si="3"/>
        <v>172002.12818438199</v>
      </c>
      <c r="AC8" s="32">
        <f t="shared" si="3"/>
        <v>173722.14946622582</v>
      </c>
      <c r="AD8" s="32">
        <f t="shared" si="3"/>
        <v>175459.37096088807</v>
      </c>
      <c r="AE8" s="32">
        <f t="shared" si="3"/>
        <v>177213.96467049696</v>
      </c>
      <c r="AF8" s="32">
        <f t="shared" si="3"/>
        <v>0</v>
      </c>
      <c r="AG8" s="32">
        <f t="shared" si="3"/>
        <v>0</v>
      </c>
      <c r="AH8" s="32">
        <f t="shared" si="3"/>
        <v>0</v>
      </c>
      <c r="AI8" s="32">
        <f t="shared" si="3"/>
        <v>0</v>
      </c>
      <c r="AJ8" s="32">
        <f t="shared" si="3"/>
        <v>0</v>
      </c>
      <c r="AK8" s="32">
        <f t="shared" si="3"/>
        <v>0</v>
      </c>
      <c r="AL8" s="32">
        <f t="shared" si="3"/>
        <v>0</v>
      </c>
      <c r="AM8" s="32">
        <f t="shared" si="3"/>
        <v>0</v>
      </c>
      <c r="AN8" s="32">
        <f t="shared" si="3"/>
        <v>0</v>
      </c>
      <c r="AO8" s="32">
        <f t="shared" si="3"/>
        <v>0</v>
      </c>
      <c r="AP8" s="32">
        <f t="shared" si="3"/>
        <v>0</v>
      </c>
      <c r="AQ8" s="32">
        <f t="shared" si="3"/>
        <v>0</v>
      </c>
      <c r="AR8" s="32">
        <f t="shared" si="3"/>
        <v>0</v>
      </c>
      <c r="AS8" s="32">
        <f t="shared" si="3"/>
        <v>0</v>
      </c>
      <c r="AT8" s="32">
        <f t="shared" si="3"/>
        <v>0</v>
      </c>
    </row>
    <row r="12" spans="1:46" x14ac:dyDescent="0.25">
      <c r="A12" s="1" t="s">
        <v>187</v>
      </c>
      <c r="B12" s="32">
        <f>SUM(B8:AT8)</f>
        <v>4402370.7247304106</v>
      </c>
    </row>
    <row r="13" spans="1:46" x14ac:dyDescent="0.25">
      <c r="A13" s="1" t="s">
        <v>186</v>
      </c>
      <c r="B13" s="32">
        <f>B12/25</f>
        <v>176094.82898921642</v>
      </c>
      <c r="C13" s="1" t="s">
        <v>184</v>
      </c>
    </row>
    <row r="14" spans="1:46" x14ac:dyDescent="0.25">
      <c r="A14" s="1" t="s">
        <v>185</v>
      </c>
      <c r="B14" s="34">
        <f>B13/12</f>
        <v>14674.569082434702</v>
      </c>
      <c r="C14" s="1" t="s">
        <v>188</v>
      </c>
    </row>
    <row r="15" spans="1:46" x14ac:dyDescent="0.25">
      <c r="A15" s="1" t="s">
        <v>204</v>
      </c>
      <c r="B15" s="1" t="s">
        <v>206</v>
      </c>
      <c r="C15" s="1" t="s">
        <v>207</v>
      </c>
    </row>
    <row r="17" spans="1:26" x14ac:dyDescent="0.25">
      <c r="A17" s="1" t="s">
        <v>198</v>
      </c>
      <c r="B17" s="33">
        <f>SUM('Net Salary P2'!E14:AW14)</f>
        <v>255931.51107782632</v>
      </c>
      <c r="C17" s="18" t="s">
        <v>216</v>
      </c>
    </row>
    <row r="18" spans="1:26" x14ac:dyDescent="0.25">
      <c r="A18" s="1" t="s">
        <v>186</v>
      </c>
      <c r="B18" s="32">
        <f>B17/25</f>
        <v>10237.260443113053</v>
      </c>
    </row>
    <row r="19" spans="1:26" x14ac:dyDescent="0.25">
      <c r="A19" s="1" t="s">
        <v>185</v>
      </c>
      <c r="B19" s="32">
        <f>B18/12</f>
        <v>853.10503692608779</v>
      </c>
    </row>
    <row r="20" spans="1:26" x14ac:dyDescent="0.25">
      <c r="A20" s="1" t="s">
        <v>204</v>
      </c>
      <c r="B20" s="1" t="s">
        <v>205</v>
      </c>
    </row>
    <row r="22" spans="1:26" x14ac:dyDescent="0.25">
      <c r="A22" s="1" t="s">
        <v>203</v>
      </c>
      <c r="B22" s="34">
        <v>9500</v>
      </c>
    </row>
    <row r="23" spans="1:26" x14ac:dyDescent="0.25">
      <c r="A23" s="1" t="s">
        <v>208</v>
      </c>
      <c r="B23" s="32">
        <f>B22*12</f>
        <v>114000</v>
      </c>
    </row>
    <row r="24" spans="1:26" x14ac:dyDescent="0.25">
      <c r="A24" s="1" t="s">
        <v>204</v>
      </c>
      <c r="B24" s="1" t="s">
        <v>206</v>
      </c>
    </row>
    <row r="25" spans="1:26" x14ac:dyDescent="0.25">
      <c r="A25" s="1" t="s">
        <v>64</v>
      </c>
      <c r="B25" s="17">
        <f>'Salary Variables'!$C$2</f>
        <v>0.02</v>
      </c>
    </row>
    <row r="27" spans="1:26" x14ac:dyDescent="0.25">
      <c r="A27" s="1" t="s">
        <v>1</v>
      </c>
      <c r="B27" s="1">
        <v>2070</v>
      </c>
      <c r="C27" s="1">
        <v>2071</v>
      </c>
      <c r="D27" s="1">
        <v>2072</v>
      </c>
      <c r="E27" s="1">
        <v>2073</v>
      </c>
      <c r="F27" s="1">
        <v>2074</v>
      </c>
      <c r="G27" s="1">
        <v>2075</v>
      </c>
      <c r="H27" s="1">
        <v>2076</v>
      </c>
      <c r="I27" s="1">
        <v>2077</v>
      </c>
      <c r="J27" s="1">
        <v>2078</v>
      </c>
      <c r="K27" s="1">
        <v>2079</v>
      </c>
      <c r="L27" s="1">
        <v>2080</v>
      </c>
      <c r="M27" s="1">
        <v>2081</v>
      </c>
      <c r="N27" s="1">
        <v>2082</v>
      </c>
      <c r="O27" s="1">
        <v>2083</v>
      </c>
      <c r="P27" s="1">
        <v>2084</v>
      </c>
      <c r="Q27" s="1">
        <v>2085</v>
      </c>
      <c r="R27" s="1">
        <v>2086</v>
      </c>
      <c r="S27" s="1">
        <v>2087</v>
      </c>
      <c r="T27" s="1">
        <v>2088</v>
      </c>
      <c r="U27" s="1">
        <v>2089</v>
      </c>
      <c r="V27" s="1">
        <v>2090</v>
      </c>
      <c r="W27" s="1">
        <v>2091</v>
      </c>
      <c r="X27" s="1">
        <v>2092</v>
      </c>
      <c r="Y27" s="1">
        <v>2093</v>
      </c>
      <c r="Z27" s="1">
        <v>2094</v>
      </c>
    </row>
    <row r="28" spans="1:26" x14ac:dyDescent="0.25">
      <c r="B28" s="30"/>
    </row>
    <row r="29" spans="1:26" x14ac:dyDescent="0.25">
      <c r="B29" s="3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46"/>
  <sheetViews>
    <sheetView workbookViewId="0">
      <selection activeCell="F54" sqref="F54"/>
    </sheetView>
  </sheetViews>
  <sheetFormatPr defaultRowHeight="15" x14ac:dyDescent="0.25"/>
  <cols>
    <col min="1" max="1" width="30.7109375" style="1" bestFit="1" customWidth="1"/>
    <col min="2" max="2" width="13.28515625" style="1" bestFit="1" customWidth="1"/>
    <col min="3" max="3" width="9.140625" style="1"/>
    <col min="4" max="4" width="32.7109375" style="1" bestFit="1" customWidth="1"/>
    <col min="5" max="5" width="31.7109375" style="1" bestFit="1" customWidth="1"/>
    <col min="6" max="7" width="11.5703125" style="1" bestFit="1" customWidth="1"/>
    <col min="8" max="49" width="19" style="1" bestFit="1" customWidth="1"/>
    <col min="50" max="59" width="9.140625" style="1"/>
    <col min="60" max="60" width="38.85546875" style="1" bestFit="1" customWidth="1"/>
    <col min="61" max="16384" width="9.140625" style="1"/>
  </cols>
  <sheetData>
    <row r="1" spans="1:61" x14ac:dyDescent="0.25">
      <c r="A1" s="1" t="s">
        <v>64</v>
      </c>
      <c r="B1" s="17">
        <f>'Salary Variables'!$C$2</f>
        <v>0.02</v>
      </c>
      <c r="D1" s="1" t="s">
        <v>1</v>
      </c>
      <c r="E1" s="1">
        <v>2025</v>
      </c>
      <c r="F1" s="1">
        <v>2026</v>
      </c>
      <c r="G1" s="1">
        <v>2027</v>
      </c>
      <c r="H1" s="1">
        <v>2028</v>
      </c>
      <c r="I1" s="1">
        <v>2029</v>
      </c>
      <c r="J1" s="1">
        <v>2030</v>
      </c>
      <c r="K1" s="1">
        <v>2031</v>
      </c>
      <c r="L1" s="1">
        <v>2032</v>
      </c>
      <c r="M1" s="1">
        <v>2033</v>
      </c>
      <c r="N1" s="1">
        <v>2034</v>
      </c>
      <c r="O1" s="1">
        <v>2035</v>
      </c>
      <c r="P1" s="1">
        <v>2036</v>
      </c>
      <c r="Q1" s="1">
        <v>2037</v>
      </c>
      <c r="R1" s="1">
        <v>2038</v>
      </c>
      <c r="S1" s="1">
        <v>2039</v>
      </c>
      <c r="T1" s="1">
        <v>2040</v>
      </c>
      <c r="U1" s="1">
        <v>2041</v>
      </c>
      <c r="V1" s="1">
        <v>2042</v>
      </c>
      <c r="W1" s="1">
        <v>2043</v>
      </c>
      <c r="X1" s="1">
        <v>2044</v>
      </c>
      <c r="Y1" s="1">
        <v>2045</v>
      </c>
      <c r="Z1" s="1">
        <v>2046</v>
      </c>
      <c r="AA1" s="1">
        <v>2047</v>
      </c>
      <c r="AB1" s="1">
        <v>2048</v>
      </c>
      <c r="AC1" s="1">
        <v>2049</v>
      </c>
      <c r="AD1" s="1">
        <v>2050</v>
      </c>
      <c r="AE1" s="1">
        <v>2051</v>
      </c>
      <c r="AF1" s="1">
        <v>2052</v>
      </c>
      <c r="AG1" s="1">
        <v>2053</v>
      </c>
      <c r="AH1" s="1">
        <v>2054</v>
      </c>
      <c r="AI1" s="1">
        <v>2055</v>
      </c>
      <c r="AJ1" s="1">
        <v>2056</v>
      </c>
      <c r="AK1" s="1">
        <v>2057</v>
      </c>
      <c r="AL1" s="1">
        <v>2058</v>
      </c>
      <c r="AM1" s="1">
        <v>2059</v>
      </c>
      <c r="AN1" s="1">
        <v>2060</v>
      </c>
      <c r="AO1" s="1">
        <v>2061</v>
      </c>
      <c r="AP1" s="1">
        <v>2062</v>
      </c>
      <c r="AQ1" s="1">
        <v>2063</v>
      </c>
      <c r="AR1" s="1">
        <v>2064</v>
      </c>
      <c r="AS1" s="1">
        <v>2065</v>
      </c>
      <c r="AT1" s="1">
        <v>2066</v>
      </c>
      <c r="AU1" s="1">
        <v>2067</v>
      </c>
      <c r="AV1" s="1">
        <v>2068</v>
      </c>
      <c r="AW1" s="1">
        <v>2069</v>
      </c>
    </row>
    <row r="2" spans="1:61" x14ac:dyDescent="0.25">
      <c r="A2" s="1" t="s">
        <v>199</v>
      </c>
      <c r="B2" s="32">
        <f>'Salary Variables'!$C$14</f>
        <v>9400</v>
      </c>
      <c r="D2" s="1" t="s">
        <v>200</v>
      </c>
      <c r="E2" s="33" cm="1">
        <f t="array" ref="E2:AW2">TRANSPOSE(Income!N3:N47)</f>
        <v>43871</v>
      </c>
      <c r="F2" s="33">
        <v>44309.71</v>
      </c>
      <c r="G2" s="33">
        <v>46525.195499999994</v>
      </c>
      <c r="H2" s="33">
        <v>46990.447454999994</v>
      </c>
      <c r="I2" s="33">
        <v>47460.351929549994</v>
      </c>
      <c r="J2" s="33">
        <v>47934.955448845496</v>
      </c>
      <c r="K2" s="33">
        <v>50331.703221287775</v>
      </c>
      <c r="L2" s="33">
        <v>50835.020253500654</v>
      </c>
      <c r="M2" s="33">
        <v>51343.370456035664</v>
      </c>
      <c r="N2" s="33">
        <v>51856.804160596024</v>
      </c>
      <c r="O2" s="33">
        <v>54449.644368625828</v>
      </c>
      <c r="P2" s="33">
        <v>54994.140812312085</v>
      </c>
      <c r="Q2" s="33">
        <v>55544.082220435208</v>
      </c>
      <c r="R2" s="33">
        <v>56099.523042639557</v>
      </c>
      <c r="S2" s="33">
        <v>58904.499194771532</v>
      </c>
      <c r="T2" s="33">
        <v>59493.544186719249</v>
      </c>
      <c r="U2" s="33">
        <v>60088.479628586443</v>
      </c>
      <c r="V2" s="33">
        <v>60689.364424872307</v>
      </c>
      <c r="W2" s="33">
        <v>63723.832646115923</v>
      </c>
      <c r="X2" s="33">
        <v>64361.070972577079</v>
      </c>
      <c r="Y2" s="33">
        <v>65004.681682302849</v>
      </c>
      <c r="Z2" s="33">
        <v>65654.728499125878</v>
      </c>
      <c r="AA2" s="33">
        <v>68937.464924082175</v>
      </c>
      <c r="AB2" s="33">
        <v>69626.839573322999</v>
      </c>
      <c r="AC2" s="33">
        <v>70323.107969056233</v>
      </c>
      <c r="AD2" s="33">
        <v>71026.339048746799</v>
      </c>
      <c r="AE2" s="33">
        <v>71736.602439234266</v>
      </c>
      <c r="AF2" s="33">
        <v>72453.968463626603</v>
      </c>
      <c r="AG2" s="33">
        <v>73178.508148262874</v>
      </c>
      <c r="AH2" s="33">
        <v>73910.293229745497</v>
      </c>
      <c r="AI2" s="33">
        <v>74649.396162042947</v>
      </c>
      <c r="AJ2" s="33">
        <v>75395.890123663383</v>
      </c>
      <c r="AK2" s="33">
        <v>76149.849024900017</v>
      </c>
      <c r="AL2" s="33">
        <v>76911.347515149013</v>
      </c>
      <c r="AM2" s="33">
        <v>77680.460990300504</v>
      </c>
      <c r="AN2" s="33">
        <v>81564.484039815521</v>
      </c>
      <c r="AO2" s="33">
        <v>82380.128880213684</v>
      </c>
      <c r="AP2" s="33">
        <v>83203.930169015817</v>
      </c>
      <c r="AQ2" s="33">
        <v>84035.969470705983</v>
      </c>
      <c r="AR2" s="33">
        <v>84876.329165413044</v>
      </c>
      <c r="AS2" s="33">
        <v>85725.092457067178</v>
      </c>
      <c r="AT2" s="33">
        <v>86582.343381637853</v>
      </c>
      <c r="AU2" s="33">
        <v>87448.166815454228</v>
      </c>
      <c r="AV2" s="33">
        <v>88322.648483608777</v>
      </c>
      <c r="AW2" s="33">
        <v>89205.87496844487</v>
      </c>
      <c r="BH2" s="1" t="s">
        <v>215</v>
      </c>
      <c r="BI2" s="1" cm="1">
        <f t="array" ref="BI2:BI46">TRANSPOSE(E16:AW16)</f>
        <v>23885.512361266668</v>
      </c>
    </row>
    <row r="3" spans="1:61" x14ac:dyDescent="0.25">
      <c r="D3" s="1" t="s">
        <v>190</v>
      </c>
      <c r="E3" s="33">
        <f>E2*12</f>
        <v>526452</v>
      </c>
      <c r="F3" s="33">
        <f t="shared" ref="F3:AV3" si="0">F2*12</f>
        <v>531716.52</v>
      </c>
      <c r="G3" s="33">
        <f t="shared" si="0"/>
        <v>558302.3459999999</v>
      </c>
      <c r="H3" s="33">
        <f t="shared" si="0"/>
        <v>563885.36945999996</v>
      </c>
      <c r="I3" s="33">
        <f t="shared" si="0"/>
        <v>569524.22315459989</v>
      </c>
      <c r="J3" s="33">
        <f t="shared" si="0"/>
        <v>575219.46538614598</v>
      </c>
      <c r="K3" s="33">
        <f t="shared" si="0"/>
        <v>603980.43865545327</v>
      </c>
      <c r="L3" s="33">
        <f t="shared" si="0"/>
        <v>610020.24304200779</v>
      </c>
      <c r="M3" s="33">
        <f t="shared" si="0"/>
        <v>616120.44547242799</v>
      </c>
      <c r="N3" s="33">
        <f t="shared" si="0"/>
        <v>622281.64992715232</v>
      </c>
      <c r="O3" s="33">
        <f t="shared" si="0"/>
        <v>653395.73242350994</v>
      </c>
      <c r="P3" s="33">
        <f t="shared" si="0"/>
        <v>659929.68974774505</v>
      </c>
      <c r="Q3" s="33">
        <f t="shared" si="0"/>
        <v>666528.98664522253</v>
      </c>
      <c r="R3" s="33">
        <f t="shared" si="0"/>
        <v>673194.27651167475</v>
      </c>
      <c r="S3" s="33">
        <f t="shared" si="0"/>
        <v>706853.99033725844</v>
      </c>
      <c r="T3" s="33">
        <f t="shared" si="0"/>
        <v>713922.53024063096</v>
      </c>
      <c r="U3" s="33">
        <f t="shared" si="0"/>
        <v>721061.75554303732</v>
      </c>
      <c r="V3" s="33">
        <f t="shared" si="0"/>
        <v>728272.37309846771</v>
      </c>
      <c r="W3" s="33">
        <f t="shared" si="0"/>
        <v>764685.99175339111</v>
      </c>
      <c r="X3" s="33">
        <f t="shared" si="0"/>
        <v>772332.85167092492</v>
      </c>
      <c r="Y3" s="33">
        <f t="shared" si="0"/>
        <v>780056.18018763419</v>
      </c>
      <c r="Z3" s="33">
        <f t="shared" si="0"/>
        <v>787856.7419895106</v>
      </c>
      <c r="AA3" s="33">
        <f t="shared" si="0"/>
        <v>827249.57908898615</v>
      </c>
      <c r="AB3" s="33">
        <f t="shared" si="0"/>
        <v>835522.07487987599</v>
      </c>
      <c r="AC3" s="33">
        <f t="shared" si="0"/>
        <v>843877.29562867479</v>
      </c>
      <c r="AD3" s="33">
        <f t="shared" si="0"/>
        <v>852316.06858496158</v>
      </c>
      <c r="AE3" s="33">
        <f t="shared" si="0"/>
        <v>860839.22927081119</v>
      </c>
      <c r="AF3" s="33">
        <f t="shared" si="0"/>
        <v>869447.62156351923</v>
      </c>
      <c r="AG3" s="33">
        <f t="shared" si="0"/>
        <v>878142.09777915454</v>
      </c>
      <c r="AH3" s="33">
        <f t="shared" si="0"/>
        <v>886923.51875694597</v>
      </c>
      <c r="AI3" s="33">
        <f t="shared" si="0"/>
        <v>895792.75394451537</v>
      </c>
      <c r="AJ3" s="33">
        <f t="shared" si="0"/>
        <v>904750.68148396059</v>
      </c>
      <c r="AK3" s="33">
        <f t="shared" si="0"/>
        <v>913798.18829880026</v>
      </c>
      <c r="AL3" s="33">
        <f t="shared" si="0"/>
        <v>922936.17018178815</v>
      </c>
      <c r="AM3" s="33">
        <f t="shared" si="0"/>
        <v>932165.53188360599</v>
      </c>
      <c r="AN3" s="33">
        <f t="shared" si="0"/>
        <v>978773.80847778625</v>
      </c>
      <c r="AO3" s="33">
        <f t="shared" si="0"/>
        <v>988561.54656256421</v>
      </c>
      <c r="AP3" s="33">
        <f t="shared" si="0"/>
        <v>998447.16202818975</v>
      </c>
      <c r="AQ3" s="33">
        <f t="shared" si="0"/>
        <v>1008431.6336484718</v>
      </c>
      <c r="AR3" s="33">
        <f t="shared" si="0"/>
        <v>1018515.9499849565</v>
      </c>
      <c r="AS3" s="33">
        <f t="shared" si="0"/>
        <v>1028701.1094848062</v>
      </c>
      <c r="AT3" s="33">
        <f t="shared" si="0"/>
        <v>1038988.1205796542</v>
      </c>
      <c r="AU3" s="33">
        <f t="shared" si="0"/>
        <v>1049378.0017854506</v>
      </c>
      <c r="AV3" s="33">
        <f t="shared" si="0"/>
        <v>1059871.7818033053</v>
      </c>
      <c r="AW3" s="33">
        <f>AW2*12</f>
        <v>1070470.4996213384</v>
      </c>
      <c r="BI3" s="1">
        <v>24142.39599533685</v>
      </c>
    </row>
    <row r="4" spans="1:61" x14ac:dyDescent="0.25">
      <c r="A4" s="1" t="str" cm="1">
        <f t="array" ref="A4:B12">'Salary Variables'!$B$16:$C$24</f>
        <v>AM (%)</v>
      </c>
      <c r="B4" s="28">
        <v>0.08</v>
      </c>
      <c r="D4" s="1" t="s">
        <v>189</v>
      </c>
      <c r="E4" s="33">
        <f>'Pensions P1'!B4*12</f>
        <v>26322.600000000002</v>
      </c>
      <c r="F4" s="33">
        <f>'Pensions P1'!C4*12</f>
        <v>26585.826000000001</v>
      </c>
      <c r="G4" s="33">
        <f>'Pensions P1'!D4*12</f>
        <v>27915.117299999998</v>
      </c>
      <c r="H4" s="33">
        <f>'Pensions P1'!E4*12</f>
        <v>28194.268472999996</v>
      </c>
      <c r="I4" s="33">
        <f>'Pensions P1'!F4*12</f>
        <v>28476.211157729998</v>
      </c>
      <c r="J4" s="33">
        <f>'Pensions P1'!G4*12</f>
        <v>28760.973269307295</v>
      </c>
      <c r="K4" s="33">
        <f>'Pensions P1'!H4*12</f>
        <v>30199.021932772666</v>
      </c>
      <c r="L4" s="33">
        <f>'Pensions P1'!I4*12</f>
        <v>30501.012152100397</v>
      </c>
      <c r="M4" s="33">
        <f>'Pensions P1'!J4*12</f>
        <v>30806.022273621398</v>
      </c>
      <c r="N4" s="33">
        <f>'Pensions P1'!K4*12</f>
        <v>31114.082496357616</v>
      </c>
      <c r="O4" s="33">
        <f>'Pensions P1'!L4*12</f>
        <v>32669.786621175499</v>
      </c>
      <c r="P4" s="33">
        <f>'Pensions P1'!M4*12</f>
        <v>32996.48448738725</v>
      </c>
      <c r="Q4" s="33">
        <f>'Pensions P1'!N4*12</f>
        <v>33326.449332261123</v>
      </c>
      <c r="R4" s="33">
        <f>'Pensions P1'!O4*12</f>
        <v>33659.713825583734</v>
      </c>
      <c r="S4" s="33">
        <f>'Pensions P1'!P4*12</f>
        <v>35342.699516862922</v>
      </c>
      <c r="T4" s="33">
        <f>'Pensions P1'!Q4*12</f>
        <v>35696.126512031551</v>
      </c>
      <c r="U4" s="33">
        <f>'Pensions P1'!R4*12</f>
        <v>36053.087777151872</v>
      </c>
      <c r="V4" s="33">
        <f>'Pensions P1'!S4*12</f>
        <v>36413.618654923383</v>
      </c>
      <c r="W4" s="33">
        <f>'Pensions P1'!T4*12</f>
        <v>38234.299587669557</v>
      </c>
      <c r="X4" s="33">
        <f>'Pensions P1'!U4*12</f>
        <v>38616.642583546251</v>
      </c>
      <c r="Y4" s="33">
        <f>'Pensions P1'!V4*12</f>
        <v>39002.809009381715</v>
      </c>
      <c r="Z4" s="33">
        <f>'Pensions P1'!W4*12</f>
        <v>39392.837099475531</v>
      </c>
      <c r="AA4" s="33">
        <f>'Pensions P1'!X4*12</f>
        <v>41362.478954449311</v>
      </c>
      <c r="AB4" s="33">
        <f>'Pensions P1'!Y4*12</f>
        <v>41776.103743993801</v>
      </c>
      <c r="AC4" s="33">
        <f>'Pensions P1'!Z4*12</f>
        <v>42193.864781433746</v>
      </c>
      <c r="AD4" s="33">
        <f>'Pensions P1'!AA4*12</f>
        <v>42615.803429248081</v>
      </c>
      <c r="AE4" s="33">
        <f>'Pensions P1'!AB4*12</f>
        <v>43041.96146354056</v>
      </c>
      <c r="AF4" s="33">
        <f>'Pensions P1'!AC4*12</f>
        <v>43472.381078175968</v>
      </c>
      <c r="AG4" s="33">
        <f>'Pensions P1'!AD4*12</f>
        <v>43907.104888957729</v>
      </c>
      <c r="AH4" s="33">
        <f>'Pensions P1'!AE4*12</f>
        <v>44346.1759378473</v>
      </c>
      <c r="AI4" s="33">
        <f>'Pensions P1'!AF4*12</f>
        <v>44789.637697225771</v>
      </c>
      <c r="AJ4" s="33">
        <f>'Pensions P1'!AG4*12</f>
        <v>45237.534074198033</v>
      </c>
      <c r="AK4" s="33">
        <f>'Pensions P1'!AH4*12</f>
        <v>45689.909414940012</v>
      </c>
      <c r="AL4" s="33">
        <f>'Pensions P1'!AI4*12</f>
        <v>46146.808509089409</v>
      </c>
      <c r="AM4" s="33">
        <f>'Pensions P1'!AJ4*12</f>
        <v>46608.276594180308</v>
      </c>
      <c r="AN4" s="33">
        <f>'Pensions P1'!AK4*12</f>
        <v>48938.690423889318</v>
      </c>
      <c r="AO4" s="33">
        <f>'Pensions P1'!AL4*12</f>
        <v>49428.077328128216</v>
      </c>
      <c r="AP4" s="33">
        <f>'Pensions P1'!AM4*12</f>
        <v>49922.358101409496</v>
      </c>
      <c r="AQ4" s="33">
        <f>'Pensions P1'!AN4*12</f>
        <v>50421.581682423595</v>
      </c>
      <c r="AR4" s="33">
        <f>'Pensions P1'!AO4*12</f>
        <v>50925.797499247827</v>
      </c>
      <c r="AS4" s="33">
        <f>'Pensions P1'!AP4*12</f>
        <v>51435.055474240311</v>
      </c>
      <c r="AT4" s="33">
        <f>'Pensions P1'!AQ4*12</f>
        <v>51949.406028982718</v>
      </c>
      <c r="AU4" s="33">
        <f>'Pensions P1'!AR4*12</f>
        <v>52468.900089272531</v>
      </c>
      <c r="AV4" s="33">
        <f>'Pensions P1'!AS4*12</f>
        <v>52993.58909016526</v>
      </c>
      <c r="AW4" s="33">
        <f>'Pensions P1'!AT4*12</f>
        <v>53523.524981066927</v>
      </c>
      <c r="BI4" s="1">
        <v>25377.151298820205</v>
      </c>
    </row>
    <row r="5" spans="1:61" x14ac:dyDescent="0.25">
      <c r="A5" s="1" t="str">
        <v>Personal Allowance</v>
      </c>
      <c r="B5" s="32">
        <v>51600</v>
      </c>
      <c r="D5" s="1" t="s">
        <v>191</v>
      </c>
      <c r="E5" s="33">
        <f>E3-E4</f>
        <v>500129.4</v>
      </c>
      <c r="F5" s="33">
        <f t="shared" ref="F5:AV5" si="1">F3-F4</f>
        <v>505130.69400000002</v>
      </c>
      <c r="G5" s="33">
        <f t="shared" si="1"/>
        <v>530387.22869999986</v>
      </c>
      <c r="H5" s="33">
        <f t="shared" si="1"/>
        <v>535691.10098699993</v>
      </c>
      <c r="I5" s="33">
        <f t="shared" si="1"/>
        <v>541048.01199686993</v>
      </c>
      <c r="J5" s="33">
        <f t="shared" si="1"/>
        <v>546458.49211683869</v>
      </c>
      <c r="K5" s="33">
        <f t="shared" si="1"/>
        <v>573781.41672268056</v>
      </c>
      <c r="L5" s="33">
        <f t="shared" si="1"/>
        <v>579519.23088990734</v>
      </c>
      <c r="M5" s="33">
        <f t="shared" si="1"/>
        <v>585314.42319880659</v>
      </c>
      <c r="N5" s="33">
        <f t="shared" si="1"/>
        <v>591167.5674307947</v>
      </c>
      <c r="O5" s="33">
        <f t="shared" si="1"/>
        <v>620725.94580233446</v>
      </c>
      <c r="P5" s="33">
        <f t="shared" si="1"/>
        <v>626933.20526035782</v>
      </c>
      <c r="Q5" s="33">
        <f t="shared" si="1"/>
        <v>633202.53731296142</v>
      </c>
      <c r="R5" s="33">
        <f t="shared" si="1"/>
        <v>639534.56268609106</v>
      </c>
      <c r="S5" s="33">
        <f t="shared" si="1"/>
        <v>671511.29082039557</v>
      </c>
      <c r="T5" s="33">
        <f t="shared" si="1"/>
        <v>678226.40372859943</v>
      </c>
      <c r="U5" s="33">
        <f t="shared" si="1"/>
        <v>685008.66776588548</v>
      </c>
      <c r="V5" s="33">
        <f t="shared" si="1"/>
        <v>691858.75444354431</v>
      </c>
      <c r="W5" s="33">
        <f t="shared" si="1"/>
        <v>726451.69216572156</v>
      </c>
      <c r="X5" s="33">
        <f t="shared" si="1"/>
        <v>733716.20908737869</v>
      </c>
      <c r="Y5" s="33">
        <f t="shared" si="1"/>
        <v>741053.37117825251</v>
      </c>
      <c r="Z5" s="33">
        <f t="shared" si="1"/>
        <v>748463.90489003505</v>
      </c>
      <c r="AA5" s="33">
        <f t="shared" si="1"/>
        <v>785887.10013453686</v>
      </c>
      <c r="AB5" s="33">
        <f t="shared" si="1"/>
        <v>793745.9711358822</v>
      </c>
      <c r="AC5" s="33">
        <f t="shared" si="1"/>
        <v>801683.43084724108</v>
      </c>
      <c r="AD5" s="33">
        <f t="shared" si="1"/>
        <v>809700.26515571354</v>
      </c>
      <c r="AE5" s="33">
        <f t="shared" si="1"/>
        <v>817797.26780727063</v>
      </c>
      <c r="AF5" s="33">
        <f>AF3-AF4</f>
        <v>825975.24048534327</v>
      </c>
      <c r="AG5" s="33">
        <f t="shared" si="1"/>
        <v>834234.99289019685</v>
      </c>
      <c r="AH5" s="33">
        <f t="shared" si="1"/>
        <v>842577.34281909862</v>
      </c>
      <c r="AI5" s="33">
        <f t="shared" si="1"/>
        <v>851003.11624728958</v>
      </c>
      <c r="AJ5" s="33">
        <f t="shared" si="1"/>
        <v>859513.14740976261</v>
      </c>
      <c r="AK5" s="33">
        <f t="shared" si="1"/>
        <v>868108.27888386021</v>
      </c>
      <c r="AL5" s="33">
        <f t="shared" si="1"/>
        <v>876789.36167269875</v>
      </c>
      <c r="AM5" s="33">
        <f t="shared" si="1"/>
        <v>885557.25528942572</v>
      </c>
      <c r="AN5" s="33">
        <f t="shared" si="1"/>
        <v>929835.11805389693</v>
      </c>
      <c r="AO5" s="33">
        <f t="shared" si="1"/>
        <v>939133.46923443605</v>
      </c>
      <c r="AP5" s="33">
        <f t="shared" si="1"/>
        <v>948524.80392678024</v>
      </c>
      <c r="AQ5" s="33">
        <f t="shared" si="1"/>
        <v>958010.0519660482</v>
      </c>
      <c r="AR5" s="33">
        <f t="shared" si="1"/>
        <v>967590.15248570871</v>
      </c>
      <c r="AS5" s="33">
        <f t="shared" si="1"/>
        <v>977266.05401056586</v>
      </c>
      <c r="AT5" s="33">
        <f t="shared" si="1"/>
        <v>987038.71455067152</v>
      </c>
      <c r="AU5" s="33">
        <f t="shared" si="1"/>
        <v>996909.10169617808</v>
      </c>
      <c r="AV5" s="33">
        <f t="shared" si="1"/>
        <v>1006878.19271314</v>
      </c>
      <c r="AW5" s="33">
        <f>AW3-AW4</f>
        <v>1016946.9746402715</v>
      </c>
      <c r="BI5" s="1">
        <v>25648.050717169346</v>
      </c>
    </row>
    <row r="6" spans="1:61" x14ac:dyDescent="0.25">
      <c r="A6" s="1" t="str">
        <v>Bottom-Bracket State Tax rate (%)</v>
      </c>
      <c r="B6" s="28">
        <v>0.1201</v>
      </c>
      <c r="D6" s="1" t="s">
        <v>244</v>
      </c>
      <c r="E6" s="32">
        <f t="shared" ref="E6:AW6" si="2">E5*(1-$B$4)</f>
        <v>460119.04800000007</v>
      </c>
      <c r="F6" s="32">
        <f t="shared" si="2"/>
        <v>464720.23848000006</v>
      </c>
      <c r="G6" s="32">
        <f t="shared" si="2"/>
        <v>487956.25040399987</v>
      </c>
      <c r="H6" s="32">
        <f t="shared" si="2"/>
        <v>492835.81290803995</v>
      </c>
      <c r="I6" s="32">
        <f t="shared" si="2"/>
        <v>497764.17103712034</v>
      </c>
      <c r="J6" s="32">
        <f t="shared" si="2"/>
        <v>502741.81274749164</v>
      </c>
      <c r="K6" s="32">
        <f t="shared" si="2"/>
        <v>527878.90338486619</v>
      </c>
      <c r="L6" s="32">
        <f t="shared" si="2"/>
        <v>533157.69241871475</v>
      </c>
      <c r="M6" s="32">
        <f t="shared" si="2"/>
        <v>538489.26934290212</v>
      </c>
      <c r="N6" s="32">
        <f t="shared" si="2"/>
        <v>543874.16203633114</v>
      </c>
      <c r="O6" s="32">
        <f t="shared" si="2"/>
        <v>571067.87013814773</v>
      </c>
      <c r="P6" s="32">
        <f t="shared" si="2"/>
        <v>576778.54883952916</v>
      </c>
      <c r="Q6" s="32">
        <f t="shared" si="2"/>
        <v>582546.33432792453</v>
      </c>
      <c r="R6" s="32">
        <f t="shared" si="2"/>
        <v>588371.79767120385</v>
      </c>
      <c r="S6" s="32">
        <f t="shared" si="2"/>
        <v>617790.38755476393</v>
      </c>
      <c r="T6" s="32">
        <f t="shared" si="2"/>
        <v>623968.29143031151</v>
      </c>
      <c r="U6" s="32">
        <f t="shared" si="2"/>
        <v>630207.97434461466</v>
      </c>
      <c r="V6" s="32">
        <f t="shared" si="2"/>
        <v>636510.05408806074</v>
      </c>
      <c r="W6" s="32">
        <f t="shared" si="2"/>
        <v>668335.55679246387</v>
      </c>
      <c r="X6" s="32">
        <f t="shared" si="2"/>
        <v>675018.91236038844</v>
      </c>
      <c r="Y6" s="32">
        <f t="shared" si="2"/>
        <v>681769.1014839923</v>
      </c>
      <c r="Z6" s="32">
        <f t="shared" si="2"/>
        <v>688586.79249883222</v>
      </c>
      <c r="AA6" s="32">
        <f t="shared" si="2"/>
        <v>723016.13212377392</v>
      </c>
      <c r="AB6" s="32">
        <f t="shared" si="2"/>
        <v>730246.2934450116</v>
      </c>
      <c r="AC6" s="32">
        <f t="shared" si="2"/>
        <v>737548.75637946185</v>
      </c>
      <c r="AD6" s="32">
        <f t="shared" si="2"/>
        <v>744924.24394325644</v>
      </c>
      <c r="AE6" s="32">
        <f t="shared" si="2"/>
        <v>752373.48638268898</v>
      </c>
      <c r="AF6" s="32">
        <f t="shared" si="2"/>
        <v>759897.22124651587</v>
      </c>
      <c r="AG6" s="32">
        <f t="shared" si="2"/>
        <v>767496.19345898111</v>
      </c>
      <c r="AH6" s="32">
        <f t="shared" si="2"/>
        <v>775171.15539357078</v>
      </c>
      <c r="AI6" s="32">
        <f t="shared" si="2"/>
        <v>782922.86694750644</v>
      </c>
      <c r="AJ6" s="32">
        <f t="shared" si="2"/>
        <v>790752.09561698162</v>
      </c>
      <c r="AK6" s="32">
        <f t="shared" si="2"/>
        <v>798659.61657315143</v>
      </c>
      <c r="AL6" s="32">
        <f t="shared" si="2"/>
        <v>806646.21273888287</v>
      </c>
      <c r="AM6" s="32">
        <f t="shared" si="2"/>
        <v>814712.67486627167</v>
      </c>
      <c r="AN6" s="32">
        <f t="shared" si="2"/>
        <v>855448.30860958516</v>
      </c>
      <c r="AO6" s="32">
        <f t="shared" si="2"/>
        <v>864002.79169568117</v>
      </c>
      <c r="AP6" s="32">
        <f t="shared" si="2"/>
        <v>872642.81961263786</v>
      </c>
      <c r="AQ6" s="32">
        <f t="shared" si="2"/>
        <v>881369.24780876434</v>
      </c>
      <c r="AR6" s="32">
        <f t="shared" si="2"/>
        <v>890182.94028685207</v>
      </c>
      <c r="AS6" s="32">
        <f t="shared" si="2"/>
        <v>899084.76968972059</v>
      </c>
      <c r="AT6" s="32">
        <f t="shared" si="2"/>
        <v>908075.61738661781</v>
      </c>
      <c r="AU6" s="32">
        <f t="shared" si="2"/>
        <v>917156.37356048392</v>
      </c>
      <c r="AV6" s="32">
        <f t="shared" si="2"/>
        <v>926327.9372960889</v>
      </c>
      <c r="AW6" s="32">
        <f t="shared" si="2"/>
        <v>935591.21666904981</v>
      </c>
      <c r="BI6" s="1">
        <v>25921.222027636075</v>
      </c>
    </row>
    <row r="7" spans="1:61" x14ac:dyDescent="0.25">
      <c r="A7" s="1" t="str">
        <v>Top-bracket State Tax rate (%)</v>
      </c>
      <c r="B7" s="28">
        <v>0.15</v>
      </c>
      <c r="D7" s="1" t="s">
        <v>239</v>
      </c>
      <c r="E7" s="32">
        <f>$B$5</f>
        <v>51600</v>
      </c>
      <c r="F7" s="32">
        <f t="shared" ref="F7:AW7" si="3">$B$5</f>
        <v>51600</v>
      </c>
      <c r="G7" s="32">
        <f t="shared" si="3"/>
        <v>51600</v>
      </c>
      <c r="H7" s="32">
        <f t="shared" si="3"/>
        <v>51600</v>
      </c>
      <c r="I7" s="32">
        <f t="shared" si="3"/>
        <v>51600</v>
      </c>
      <c r="J7" s="32">
        <f t="shared" si="3"/>
        <v>51600</v>
      </c>
      <c r="K7" s="32">
        <f t="shared" si="3"/>
        <v>51600</v>
      </c>
      <c r="L7" s="32">
        <f t="shared" si="3"/>
        <v>51600</v>
      </c>
      <c r="M7" s="32">
        <f t="shared" si="3"/>
        <v>51600</v>
      </c>
      <c r="N7" s="32">
        <f t="shared" si="3"/>
        <v>51600</v>
      </c>
      <c r="O7" s="32">
        <f t="shared" si="3"/>
        <v>51600</v>
      </c>
      <c r="P7" s="32">
        <f t="shared" si="3"/>
        <v>51600</v>
      </c>
      <c r="Q7" s="32">
        <f t="shared" si="3"/>
        <v>51600</v>
      </c>
      <c r="R7" s="32">
        <f t="shared" si="3"/>
        <v>51600</v>
      </c>
      <c r="S7" s="32">
        <f t="shared" si="3"/>
        <v>51600</v>
      </c>
      <c r="T7" s="32">
        <f t="shared" si="3"/>
        <v>51600</v>
      </c>
      <c r="U7" s="32">
        <f t="shared" si="3"/>
        <v>51600</v>
      </c>
      <c r="V7" s="32">
        <f t="shared" si="3"/>
        <v>51600</v>
      </c>
      <c r="W7" s="32">
        <f t="shared" si="3"/>
        <v>51600</v>
      </c>
      <c r="X7" s="32">
        <f t="shared" si="3"/>
        <v>51600</v>
      </c>
      <c r="Y7" s="32">
        <f t="shared" si="3"/>
        <v>51600</v>
      </c>
      <c r="Z7" s="32">
        <f t="shared" si="3"/>
        <v>51600</v>
      </c>
      <c r="AA7" s="32">
        <f t="shared" si="3"/>
        <v>51600</v>
      </c>
      <c r="AB7" s="32">
        <f t="shared" si="3"/>
        <v>51600</v>
      </c>
      <c r="AC7" s="32">
        <f t="shared" si="3"/>
        <v>51600</v>
      </c>
      <c r="AD7" s="32">
        <f t="shared" si="3"/>
        <v>51600</v>
      </c>
      <c r="AE7" s="32">
        <f t="shared" si="3"/>
        <v>51600</v>
      </c>
      <c r="AF7" s="32">
        <f t="shared" si="3"/>
        <v>51600</v>
      </c>
      <c r="AG7" s="32">
        <f t="shared" si="3"/>
        <v>51600</v>
      </c>
      <c r="AH7" s="32">
        <f t="shared" si="3"/>
        <v>51600</v>
      </c>
      <c r="AI7" s="32">
        <f t="shared" si="3"/>
        <v>51600</v>
      </c>
      <c r="AJ7" s="32">
        <f t="shared" si="3"/>
        <v>51600</v>
      </c>
      <c r="AK7" s="32">
        <f t="shared" si="3"/>
        <v>51600</v>
      </c>
      <c r="AL7" s="32">
        <f t="shared" si="3"/>
        <v>51600</v>
      </c>
      <c r="AM7" s="32">
        <f t="shared" si="3"/>
        <v>51600</v>
      </c>
      <c r="AN7" s="32">
        <f t="shared" si="3"/>
        <v>51600</v>
      </c>
      <c r="AO7" s="32">
        <f t="shared" si="3"/>
        <v>51600</v>
      </c>
      <c r="AP7" s="32">
        <f t="shared" si="3"/>
        <v>51600</v>
      </c>
      <c r="AQ7" s="32">
        <f t="shared" si="3"/>
        <v>51600</v>
      </c>
      <c r="AR7" s="32">
        <f t="shared" si="3"/>
        <v>51600</v>
      </c>
      <c r="AS7" s="32">
        <f t="shared" si="3"/>
        <v>51600</v>
      </c>
      <c r="AT7" s="32">
        <f t="shared" si="3"/>
        <v>51600</v>
      </c>
      <c r="AU7" s="32">
        <f t="shared" si="3"/>
        <v>51600</v>
      </c>
      <c r="AV7" s="32">
        <f t="shared" si="3"/>
        <v>51600</v>
      </c>
      <c r="AW7" s="32">
        <f t="shared" si="3"/>
        <v>51600</v>
      </c>
      <c r="BI7" s="1">
        <v>26196.69651977031</v>
      </c>
    </row>
    <row r="8" spans="1:61" x14ac:dyDescent="0.25">
      <c r="A8" s="1" t="str">
        <v>State Tax Bracket Threshold</v>
      </c>
      <c r="B8" s="32">
        <v>618400</v>
      </c>
      <c r="D8" s="1" t="s">
        <v>245</v>
      </c>
      <c r="E8" s="32">
        <f>E6-E7</f>
        <v>408519.04800000007</v>
      </c>
      <c r="F8" s="32">
        <f t="shared" ref="F8:AW8" si="4">F6-F7</f>
        <v>413120.23848000006</v>
      </c>
      <c r="G8" s="32">
        <f t="shared" si="4"/>
        <v>436356.25040399987</v>
      </c>
      <c r="H8" s="32">
        <f t="shared" si="4"/>
        <v>441235.81290803995</v>
      </c>
      <c r="I8" s="32">
        <f t="shared" si="4"/>
        <v>446164.17103712034</v>
      </c>
      <c r="J8" s="32">
        <f t="shared" si="4"/>
        <v>451141.81274749164</v>
      </c>
      <c r="K8" s="32">
        <f t="shared" si="4"/>
        <v>476278.90338486619</v>
      </c>
      <c r="L8" s="32">
        <f t="shared" si="4"/>
        <v>481557.69241871475</v>
      </c>
      <c r="M8" s="32">
        <f t="shared" si="4"/>
        <v>486889.26934290212</v>
      </c>
      <c r="N8" s="32">
        <f t="shared" si="4"/>
        <v>492274.16203633114</v>
      </c>
      <c r="O8" s="32">
        <f t="shared" si="4"/>
        <v>519467.87013814773</v>
      </c>
      <c r="P8" s="32">
        <f t="shared" si="4"/>
        <v>525178.54883952916</v>
      </c>
      <c r="Q8" s="32">
        <f t="shared" si="4"/>
        <v>530946.33432792453</v>
      </c>
      <c r="R8" s="32">
        <f t="shared" si="4"/>
        <v>536771.79767120385</v>
      </c>
      <c r="S8" s="32">
        <f t="shared" si="4"/>
        <v>566190.38755476393</v>
      </c>
      <c r="T8" s="32">
        <f t="shared" si="4"/>
        <v>572368.29143031151</v>
      </c>
      <c r="U8" s="32">
        <f t="shared" si="4"/>
        <v>578607.97434461466</v>
      </c>
      <c r="V8" s="32">
        <f t="shared" si="4"/>
        <v>584910.05408806074</v>
      </c>
      <c r="W8" s="32">
        <f t="shared" si="4"/>
        <v>616735.55679246387</v>
      </c>
      <c r="X8" s="32">
        <f t="shared" si="4"/>
        <v>623418.91236038844</v>
      </c>
      <c r="Y8" s="32">
        <f t="shared" si="4"/>
        <v>630169.1014839923</v>
      </c>
      <c r="Z8" s="32">
        <f t="shared" si="4"/>
        <v>636986.79249883222</v>
      </c>
      <c r="AA8" s="32">
        <f t="shared" si="4"/>
        <v>671416.13212377392</v>
      </c>
      <c r="AB8" s="32">
        <f t="shared" si="4"/>
        <v>678646.2934450116</v>
      </c>
      <c r="AC8" s="32">
        <f t="shared" si="4"/>
        <v>685948.75637946185</v>
      </c>
      <c r="AD8" s="32">
        <f t="shared" si="4"/>
        <v>693324.24394325644</v>
      </c>
      <c r="AE8" s="32">
        <f t="shared" si="4"/>
        <v>700773.48638268898</v>
      </c>
      <c r="AF8" s="32">
        <f t="shared" si="4"/>
        <v>708297.22124651587</v>
      </c>
      <c r="AG8" s="32">
        <f t="shared" si="4"/>
        <v>715896.19345898111</v>
      </c>
      <c r="AH8" s="32">
        <f t="shared" si="4"/>
        <v>723571.15539357078</v>
      </c>
      <c r="AI8" s="32">
        <f t="shared" si="4"/>
        <v>731322.86694750644</v>
      </c>
      <c r="AJ8" s="32">
        <f t="shared" si="4"/>
        <v>739152.09561698162</v>
      </c>
      <c r="AK8" s="32">
        <f t="shared" si="4"/>
        <v>747059.61657315143</v>
      </c>
      <c r="AL8" s="32">
        <f t="shared" si="4"/>
        <v>755046.21273888287</v>
      </c>
      <c r="AM8" s="32">
        <f t="shared" si="4"/>
        <v>763112.67486627167</v>
      </c>
      <c r="AN8" s="32">
        <f t="shared" si="4"/>
        <v>803848.30860958516</v>
      </c>
      <c r="AO8" s="32">
        <f t="shared" si="4"/>
        <v>812402.79169568117</v>
      </c>
      <c r="AP8" s="32">
        <f t="shared" si="4"/>
        <v>821042.81961263786</v>
      </c>
      <c r="AQ8" s="32">
        <f t="shared" si="4"/>
        <v>829769.24780876434</v>
      </c>
      <c r="AR8" s="32">
        <f t="shared" si="4"/>
        <v>838582.94028685207</v>
      </c>
      <c r="AS8" s="32">
        <f t="shared" si="4"/>
        <v>847484.76968972059</v>
      </c>
      <c r="AT8" s="32">
        <f t="shared" si="4"/>
        <v>856475.61738661781</v>
      </c>
      <c r="AU8" s="32">
        <f t="shared" si="4"/>
        <v>865556.37356048392</v>
      </c>
      <c r="AV8" s="32">
        <f t="shared" si="4"/>
        <v>874727.9372960889</v>
      </c>
      <c r="AW8" s="32">
        <f t="shared" si="4"/>
        <v>883991.21666904981</v>
      </c>
      <c r="BI8" s="1">
        <v>27530.095854131418</v>
      </c>
    </row>
    <row r="9" spans="1:61" x14ac:dyDescent="0.25">
      <c r="A9" s="1" t="str">
        <v>Municipal Tax (%)</v>
      </c>
      <c r="B9" s="28">
        <v>0.25</v>
      </c>
      <c r="D9" s="1" t="s">
        <v>193</v>
      </c>
      <c r="E9" s="32">
        <f>E6*$B$9</f>
        <v>115029.76200000002</v>
      </c>
      <c r="F9" s="32">
        <f t="shared" ref="F9:AW9" si="5">F6*$B$9</f>
        <v>116180.05962000001</v>
      </c>
      <c r="G9" s="32">
        <f t="shared" si="5"/>
        <v>121989.06260099997</v>
      </c>
      <c r="H9" s="32">
        <f t="shared" si="5"/>
        <v>123208.95322700999</v>
      </c>
      <c r="I9" s="32">
        <f t="shared" si="5"/>
        <v>124441.04275928008</v>
      </c>
      <c r="J9" s="32">
        <f t="shared" si="5"/>
        <v>125685.45318687291</v>
      </c>
      <c r="K9" s="32">
        <f t="shared" si="5"/>
        <v>131969.72584621655</v>
      </c>
      <c r="L9" s="32">
        <f t="shared" si="5"/>
        <v>133289.42310467869</v>
      </c>
      <c r="M9" s="32">
        <f t="shared" si="5"/>
        <v>134622.31733572553</v>
      </c>
      <c r="N9" s="32">
        <f t="shared" si="5"/>
        <v>135968.54050908278</v>
      </c>
      <c r="O9" s="32">
        <f t="shared" si="5"/>
        <v>142766.96753453693</v>
      </c>
      <c r="P9" s="32">
        <f t="shared" si="5"/>
        <v>144194.63720988229</v>
      </c>
      <c r="Q9" s="32">
        <f t="shared" si="5"/>
        <v>145636.58358198113</v>
      </c>
      <c r="R9" s="32">
        <f t="shared" si="5"/>
        <v>147092.94941780096</v>
      </c>
      <c r="S9" s="32">
        <f t="shared" si="5"/>
        <v>154447.59688869098</v>
      </c>
      <c r="T9" s="32">
        <f t="shared" si="5"/>
        <v>155992.07285757788</v>
      </c>
      <c r="U9" s="32">
        <f t="shared" si="5"/>
        <v>157551.99358615367</v>
      </c>
      <c r="V9" s="32">
        <f t="shared" si="5"/>
        <v>159127.51352201519</v>
      </c>
      <c r="W9" s="32">
        <f t="shared" si="5"/>
        <v>167083.88919811597</v>
      </c>
      <c r="X9" s="32">
        <f t="shared" si="5"/>
        <v>168754.72809009711</v>
      </c>
      <c r="Y9" s="32">
        <f t="shared" si="5"/>
        <v>170442.27537099808</v>
      </c>
      <c r="Z9" s="32">
        <f t="shared" si="5"/>
        <v>172146.69812470805</v>
      </c>
      <c r="AA9" s="32">
        <f t="shared" si="5"/>
        <v>180754.03303094348</v>
      </c>
      <c r="AB9" s="32">
        <f t="shared" si="5"/>
        <v>182561.5733612529</v>
      </c>
      <c r="AC9" s="32">
        <f t="shared" si="5"/>
        <v>184387.18909486546</v>
      </c>
      <c r="AD9" s="32">
        <f t="shared" si="5"/>
        <v>186231.06098581411</v>
      </c>
      <c r="AE9" s="32">
        <f t="shared" si="5"/>
        <v>188093.37159567224</v>
      </c>
      <c r="AF9" s="32">
        <f t="shared" si="5"/>
        <v>189974.30531162897</v>
      </c>
      <c r="AG9" s="32">
        <f t="shared" si="5"/>
        <v>191874.04836474528</v>
      </c>
      <c r="AH9" s="32">
        <f t="shared" si="5"/>
        <v>193792.78884839269</v>
      </c>
      <c r="AI9" s="32">
        <f t="shared" si="5"/>
        <v>195730.71673687661</v>
      </c>
      <c r="AJ9" s="32">
        <f t="shared" si="5"/>
        <v>197688.0239042454</v>
      </c>
      <c r="AK9" s="32">
        <f t="shared" si="5"/>
        <v>199664.90414328786</v>
      </c>
      <c r="AL9" s="32">
        <f t="shared" si="5"/>
        <v>201661.55318472072</v>
      </c>
      <c r="AM9" s="32">
        <f t="shared" si="5"/>
        <v>203678.16871656792</v>
      </c>
      <c r="AN9" s="32">
        <f t="shared" si="5"/>
        <v>213862.07715239629</v>
      </c>
      <c r="AO9" s="32">
        <f t="shared" si="5"/>
        <v>216000.69792392029</v>
      </c>
      <c r="AP9" s="32">
        <f t="shared" si="5"/>
        <v>218160.70490315947</v>
      </c>
      <c r="AQ9" s="32">
        <f t="shared" si="5"/>
        <v>220342.31195219108</v>
      </c>
      <c r="AR9" s="32">
        <f t="shared" si="5"/>
        <v>222545.73507171302</v>
      </c>
      <c r="AS9" s="32">
        <f t="shared" si="5"/>
        <v>224771.19242243015</v>
      </c>
      <c r="AT9" s="32">
        <f t="shared" si="5"/>
        <v>227018.90434665445</v>
      </c>
      <c r="AU9" s="32">
        <f t="shared" si="5"/>
        <v>229289.09339012098</v>
      </c>
      <c r="AV9" s="32">
        <f t="shared" si="5"/>
        <v>231581.98432402223</v>
      </c>
      <c r="AW9" s="32">
        <f t="shared" si="5"/>
        <v>233897.80416726245</v>
      </c>
      <c r="BI9" s="1">
        <v>27820.827064631474</v>
      </c>
    </row>
    <row r="10" spans="1:61" x14ac:dyDescent="0.25">
      <c r="A10" s="1" t="str">
        <v>Capital Gains &lt; 67,500DKK</v>
      </c>
      <c r="B10" s="32">
        <v>0.27</v>
      </c>
      <c r="D10" s="1" t="s">
        <v>194</v>
      </c>
      <c r="E10" s="32">
        <f>MAX(E8-$B$8,0)*$B$7</f>
        <v>0</v>
      </c>
      <c r="F10" s="32">
        <f t="shared" ref="F10:AW10" si="6">MAX(F8-$B$8,0)*$B$7</f>
        <v>0</v>
      </c>
      <c r="G10" s="32">
        <f t="shared" si="6"/>
        <v>0</v>
      </c>
      <c r="H10" s="32">
        <f t="shared" si="6"/>
        <v>0</v>
      </c>
      <c r="I10" s="32">
        <f t="shared" si="6"/>
        <v>0</v>
      </c>
      <c r="J10" s="32">
        <f t="shared" si="6"/>
        <v>0</v>
      </c>
      <c r="K10" s="32">
        <f t="shared" si="6"/>
        <v>0</v>
      </c>
      <c r="L10" s="32">
        <f t="shared" si="6"/>
        <v>0</v>
      </c>
      <c r="M10" s="32">
        <f t="shared" si="6"/>
        <v>0</v>
      </c>
      <c r="N10" s="32">
        <f t="shared" si="6"/>
        <v>0</v>
      </c>
      <c r="O10" s="32">
        <f t="shared" si="6"/>
        <v>0</v>
      </c>
      <c r="P10" s="32">
        <f t="shared" si="6"/>
        <v>0</v>
      </c>
      <c r="Q10" s="32">
        <f t="shared" si="6"/>
        <v>0</v>
      </c>
      <c r="R10" s="32">
        <f t="shared" si="6"/>
        <v>0</v>
      </c>
      <c r="S10" s="32">
        <f t="shared" si="6"/>
        <v>0</v>
      </c>
      <c r="T10" s="32">
        <f t="shared" si="6"/>
        <v>0</v>
      </c>
      <c r="U10" s="32">
        <f t="shared" si="6"/>
        <v>0</v>
      </c>
      <c r="V10" s="32">
        <f t="shared" si="6"/>
        <v>0</v>
      </c>
      <c r="W10" s="32">
        <f t="shared" si="6"/>
        <v>0</v>
      </c>
      <c r="X10" s="32">
        <f t="shared" si="6"/>
        <v>752.83685405826543</v>
      </c>
      <c r="Y10" s="32">
        <f t="shared" si="6"/>
        <v>1765.3652225988451</v>
      </c>
      <c r="Z10" s="32">
        <f t="shared" si="6"/>
        <v>2788.0188748248329</v>
      </c>
      <c r="AA10" s="32">
        <f t="shared" si="6"/>
        <v>7952.4198185660871</v>
      </c>
      <c r="AB10" s="32">
        <f t="shared" si="6"/>
        <v>9036.9440167517405</v>
      </c>
      <c r="AC10" s="32">
        <f t="shared" si="6"/>
        <v>10132.313456919277</v>
      </c>
      <c r="AD10" s="32">
        <f t="shared" si="6"/>
        <v>11238.636591488466</v>
      </c>
      <c r="AE10" s="32">
        <f t="shared" si="6"/>
        <v>12356.022957403346</v>
      </c>
      <c r="AF10" s="32">
        <f t="shared" si="6"/>
        <v>13484.583186977379</v>
      </c>
      <c r="AG10" s="32">
        <f t="shared" si="6"/>
        <v>14624.429018847166</v>
      </c>
      <c r="AH10" s="32">
        <f t="shared" si="6"/>
        <v>15775.673309035616</v>
      </c>
      <c r="AI10" s="32">
        <f t="shared" si="6"/>
        <v>16938.430042125965</v>
      </c>
      <c r="AJ10" s="32">
        <f t="shared" si="6"/>
        <v>18112.814342547241</v>
      </c>
      <c r="AK10" s="32">
        <f t="shared" si="6"/>
        <v>19298.942485972715</v>
      </c>
      <c r="AL10" s="32">
        <f t="shared" si="6"/>
        <v>20496.931910832431</v>
      </c>
      <c r="AM10" s="32">
        <f t="shared" si="6"/>
        <v>21706.901229940751</v>
      </c>
      <c r="AN10" s="32">
        <f t="shared" si="6"/>
        <v>27817.246291437772</v>
      </c>
      <c r="AO10" s="32">
        <f t="shared" si="6"/>
        <v>29100.418754352173</v>
      </c>
      <c r="AP10" s="32">
        <f t="shared" si="6"/>
        <v>30396.422941895678</v>
      </c>
      <c r="AQ10" s="32">
        <f t="shared" si="6"/>
        <v>31705.387171314651</v>
      </c>
      <c r="AR10" s="32">
        <f t="shared" si="6"/>
        <v>33027.441043027808</v>
      </c>
      <c r="AS10" s="32">
        <f t="shared" si="6"/>
        <v>34362.715453458084</v>
      </c>
      <c r="AT10" s="32">
        <f t="shared" si="6"/>
        <v>35711.342607992672</v>
      </c>
      <c r="AU10" s="32">
        <f t="shared" si="6"/>
        <v>37073.456034072587</v>
      </c>
      <c r="AV10" s="32">
        <f t="shared" si="6"/>
        <v>38449.190594413332</v>
      </c>
      <c r="AW10" s="32">
        <f t="shared" si="6"/>
        <v>39838.68250035747</v>
      </c>
      <c r="BI10" s="1">
        <v>28114.061772492252</v>
      </c>
    </row>
    <row r="11" spans="1:61" x14ac:dyDescent="0.25">
      <c r="A11" s="1" t="str">
        <v>Capital Gains &gt; 67,500DKK</v>
      </c>
      <c r="B11" s="28">
        <v>0.42</v>
      </c>
      <c r="D11" s="1" t="s">
        <v>195</v>
      </c>
      <c r="E11" s="32">
        <f>E8*$B$6</f>
        <v>49063.137664800008</v>
      </c>
      <c r="F11" s="32">
        <f t="shared" ref="F11:AW11" si="7">F8*$B$6</f>
        <v>49615.740641448006</v>
      </c>
      <c r="G11" s="32">
        <f t="shared" si="7"/>
        <v>52406.385673520381</v>
      </c>
      <c r="H11" s="32">
        <f t="shared" si="7"/>
        <v>52992.4211302556</v>
      </c>
      <c r="I11" s="32">
        <f t="shared" si="7"/>
        <v>53584.316941558151</v>
      </c>
      <c r="J11" s="32">
        <f t="shared" si="7"/>
        <v>54182.131710973743</v>
      </c>
      <c r="K11" s="32">
        <f t="shared" si="7"/>
        <v>57201.096296522432</v>
      </c>
      <c r="L11" s="32">
        <f t="shared" si="7"/>
        <v>57835.078859487643</v>
      </c>
      <c r="M11" s="32">
        <f t="shared" si="7"/>
        <v>58475.40124808254</v>
      </c>
      <c r="N11" s="32">
        <f t="shared" si="7"/>
        <v>59122.126860563367</v>
      </c>
      <c r="O11" s="32">
        <f t="shared" si="7"/>
        <v>62388.091203591539</v>
      </c>
      <c r="P11" s="32">
        <f t="shared" si="7"/>
        <v>63073.943715627451</v>
      </c>
      <c r="Q11" s="32">
        <f t="shared" si="7"/>
        <v>63766.654752783732</v>
      </c>
      <c r="R11" s="32">
        <f t="shared" si="7"/>
        <v>64466.292900311579</v>
      </c>
      <c r="S11" s="32">
        <f t="shared" si="7"/>
        <v>67999.465545327141</v>
      </c>
      <c r="T11" s="32">
        <f t="shared" si="7"/>
        <v>68741.43180078041</v>
      </c>
      <c r="U11" s="32">
        <f t="shared" si="7"/>
        <v>69490.817718788225</v>
      </c>
      <c r="V11" s="32">
        <f t="shared" si="7"/>
        <v>70247.697495976099</v>
      </c>
      <c r="W11" s="32">
        <f t="shared" si="7"/>
        <v>74069.940370774915</v>
      </c>
      <c r="X11" s="32">
        <f t="shared" si="7"/>
        <v>74872.611374482643</v>
      </c>
      <c r="Y11" s="32">
        <f t="shared" si="7"/>
        <v>75683.30908822747</v>
      </c>
      <c r="Z11" s="32">
        <f t="shared" si="7"/>
        <v>76502.113779109743</v>
      </c>
      <c r="AA11" s="32">
        <f t="shared" si="7"/>
        <v>80637.077468065239</v>
      </c>
      <c r="AB11" s="32">
        <f t="shared" si="7"/>
        <v>81505.41984274589</v>
      </c>
      <c r="AC11" s="32">
        <f t="shared" si="7"/>
        <v>82382.44564117337</v>
      </c>
      <c r="AD11" s="32">
        <f t="shared" si="7"/>
        <v>83268.241697585094</v>
      </c>
      <c r="AE11" s="32">
        <f t="shared" si="7"/>
        <v>84162.895714560946</v>
      </c>
      <c r="AF11" s="32">
        <f t="shared" si="7"/>
        <v>85066.49627170655</v>
      </c>
      <c r="AG11" s="32">
        <f t="shared" si="7"/>
        <v>85979.132834423624</v>
      </c>
      <c r="AH11" s="32">
        <f t="shared" si="7"/>
        <v>86900.895762767846</v>
      </c>
      <c r="AI11" s="32">
        <f t="shared" si="7"/>
        <v>87831.876320395517</v>
      </c>
      <c r="AJ11" s="32">
        <f t="shared" si="7"/>
        <v>88772.166683599498</v>
      </c>
      <c r="AK11" s="32">
        <f t="shared" si="7"/>
        <v>89721.859950435479</v>
      </c>
      <c r="AL11" s="32">
        <f t="shared" si="7"/>
        <v>90681.050149939838</v>
      </c>
      <c r="AM11" s="32">
        <f t="shared" si="7"/>
        <v>91649.83225143922</v>
      </c>
      <c r="AN11" s="32">
        <f t="shared" si="7"/>
        <v>96542.181864011174</v>
      </c>
      <c r="AO11" s="32">
        <f t="shared" si="7"/>
        <v>97569.575282651305</v>
      </c>
      <c r="AP11" s="32">
        <f t="shared" si="7"/>
        <v>98607.2426354778</v>
      </c>
      <c r="AQ11" s="32">
        <f t="shared" si="7"/>
        <v>99655.286661832593</v>
      </c>
      <c r="AR11" s="32">
        <f t="shared" si="7"/>
        <v>100713.81112845094</v>
      </c>
      <c r="AS11" s="32">
        <f t="shared" si="7"/>
        <v>101782.92083973544</v>
      </c>
      <c r="AT11" s="32">
        <f t="shared" si="7"/>
        <v>102862.72164813279</v>
      </c>
      <c r="AU11" s="32">
        <f t="shared" si="7"/>
        <v>103953.32046461412</v>
      </c>
      <c r="AV11" s="32">
        <f t="shared" si="7"/>
        <v>105054.82526926027</v>
      </c>
      <c r="AW11" s="32">
        <f t="shared" si="7"/>
        <v>106167.34512195288</v>
      </c>
      <c r="BI11" s="1">
        <v>28409.832930623499</v>
      </c>
    </row>
    <row r="12" spans="1:61" x14ac:dyDescent="0.25">
      <c r="A12" s="1" t="str">
        <v>Capital Gains Threshold</v>
      </c>
      <c r="B12" s="57">
        <v>67500</v>
      </c>
      <c r="D12" s="1" t="s">
        <v>196</v>
      </c>
      <c r="E12" s="32">
        <f>SUM(E9:E11)</f>
        <v>164092.89966480003</v>
      </c>
      <c r="F12" s="32">
        <f t="shared" ref="F12:AW12" si="8">SUM(F9:F11)</f>
        <v>165795.80026144802</v>
      </c>
      <c r="G12" s="32">
        <f t="shared" si="8"/>
        <v>174395.44827452034</v>
      </c>
      <c r="H12" s="32">
        <f t="shared" si="8"/>
        <v>176201.37435726559</v>
      </c>
      <c r="I12" s="32">
        <f t="shared" si="8"/>
        <v>178025.35970083822</v>
      </c>
      <c r="J12" s="32">
        <f t="shared" si="8"/>
        <v>179867.58489784665</v>
      </c>
      <c r="K12" s="32">
        <f t="shared" si="8"/>
        <v>189170.82214273897</v>
      </c>
      <c r="L12" s="32">
        <f t="shared" si="8"/>
        <v>191124.50196416632</v>
      </c>
      <c r="M12" s="32">
        <f t="shared" si="8"/>
        <v>193097.71858380808</v>
      </c>
      <c r="N12" s="32">
        <f t="shared" si="8"/>
        <v>195090.66736964614</v>
      </c>
      <c r="O12" s="32">
        <f t="shared" si="8"/>
        <v>205155.05873812846</v>
      </c>
      <c r="P12" s="32">
        <f t="shared" si="8"/>
        <v>207268.58092550974</v>
      </c>
      <c r="Q12" s="32">
        <f t="shared" si="8"/>
        <v>209403.23833476487</v>
      </c>
      <c r="R12" s="32">
        <f t="shared" si="8"/>
        <v>211559.24231811255</v>
      </c>
      <c r="S12" s="32">
        <f t="shared" si="8"/>
        <v>222447.06243401812</v>
      </c>
      <c r="T12" s="32">
        <f t="shared" si="8"/>
        <v>224733.50465835829</v>
      </c>
      <c r="U12" s="32">
        <f t="shared" si="8"/>
        <v>227042.81130494189</v>
      </c>
      <c r="V12" s="32">
        <f t="shared" si="8"/>
        <v>229375.2110179913</v>
      </c>
      <c r="W12" s="32">
        <f t="shared" si="8"/>
        <v>241153.82956889088</v>
      </c>
      <c r="X12" s="32">
        <f t="shared" si="8"/>
        <v>244380.17631863803</v>
      </c>
      <c r="Y12" s="32">
        <f t="shared" si="8"/>
        <v>247890.94968182436</v>
      </c>
      <c r="Z12" s="32">
        <f t="shared" si="8"/>
        <v>251436.83077864262</v>
      </c>
      <c r="AA12" s="32">
        <f t="shared" si="8"/>
        <v>269343.5303175748</v>
      </c>
      <c r="AB12" s="32">
        <f t="shared" si="8"/>
        <v>273103.93722075055</v>
      </c>
      <c r="AC12" s="32">
        <f t="shared" si="8"/>
        <v>276901.94819295814</v>
      </c>
      <c r="AD12" s="32">
        <f t="shared" si="8"/>
        <v>280737.93927488767</v>
      </c>
      <c r="AE12" s="32">
        <f t="shared" si="8"/>
        <v>284612.29026763653</v>
      </c>
      <c r="AF12" s="32">
        <f t="shared" si="8"/>
        <v>288525.38477031287</v>
      </c>
      <c r="AG12" s="32">
        <f t="shared" si="8"/>
        <v>292477.61021801608</v>
      </c>
      <c r="AH12" s="32">
        <f t="shared" si="8"/>
        <v>296469.35792019614</v>
      </c>
      <c r="AI12" s="32">
        <f t="shared" si="8"/>
        <v>300501.02309939807</v>
      </c>
      <c r="AJ12" s="32">
        <f t="shared" si="8"/>
        <v>304573.00493039214</v>
      </c>
      <c r="AK12" s="32">
        <f t="shared" si="8"/>
        <v>308685.70657969604</v>
      </c>
      <c r="AL12" s="32">
        <f t="shared" si="8"/>
        <v>312839.535245493</v>
      </c>
      <c r="AM12" s="32">
        <f t="shared" si="8"/>
        <v>317034.9021979479</v>
      </c>
      <c r="AN12" s="32">
        <f t="shared" si="8"/>
        <v>338221.50530784525</v>
      </c>
      <c r="AO12" s="32">
        <f t="shared" si="8"/>
        <v>342670.69196092378</v>
      </c>
      <c r="AP12" s="32">
        <f t="shared" si="8"/>
        <v>347164.37048053293</v>
      </c>
      <c r="AQ12" s="32">
        <f t="shared" si="8"/>
        <v>351702.98578533833</v>
      </c>
      <c r="AR12" s="32">
        <f t="shared" si="8"/>
        <v>356286.9872431918</v>
      </c>
      <c r="AS12" s="32">
        <f t="shared" si="8"/>
        <v>360916.82871562365</v>
      </c>
      <c r="AT12" s="32">
        <f t="shared" si="8"/>
        <v>365592.9686027799</v>
      </c>
      <c r="AU12" s="32">
        <f t="shared" si="8"/>
        <v>370315.86988880771</v>
      </c>
      <c r="AV12" s="32">
        <f t="shared" si="8"/>
        <v>375086.00018769584</v>
      </c>
      <c r="AW12" s="32">
        <f t="shared" si="8"/>
        <v>379903.83178957278</v>
      </c>
      <c r="BI12" s="1">
        <v>29850.1281150994</v>
      </c>
    </row>
    <row r="13" spans="1:61" x14ac:dyDescent="0.25">
      <c r="B13" s="26"/>
      <c r="D13" s="1" t="s">
        <v>197</v>
      </c>
      <c r="E13" s="32">
        <f>E6-E12</f>
        <v>296026.14833520004</v>
      </c>
      <c r="F13" s="32">
        <f t="shared" ref="F13:AW13" si="9">F6-F12</f>
        <v>298924.43821855204</v>
      </c>
      <c r="G13" s="32">
        <f t="shared" si="9"/>
        <v>313560.80212947953</v>
      </c>
      <c r="H13" s="32">
        <f t="shared" si="9"/>
        <v>316634.43855077436</v>
      </c>
      <c r="I13" s="32">
        <f t="shared" si="9"/>
        <v>319738.81133628212</v>
      </c>
      <c r="J13" s="32">
        <f t="shared" si="9"/>
        <v>322874.22784964496</v>
      </c>
      <c r="K13" s="32">
        <f t="shared" si="9"/>
        <v>338708.08124212723</v>
      </c>
      <c r="L13" s="32">
        <f t="shared" si="9"/>
        <v>342033.19045454846</v>
      </c>
      <c r="M13" s="32">
        <f t="shared" si="9"/>
        <v>345391.55075909407</v>
      </c>
      <c r="N13" s="32">
        <f t="shared" si="9"/>
        <v>348783.494666685</v>
      </c>
      <c r="O13" s="32">
        <f t="shared" si="9"/>
        <v>365912.81140001927</v>
      </c>
      <c r="P13" s="32">
        <f t="shared" si="9"/>
        <v>369509.96791401942</v>
      </c>
      <c r="Q13" s="32">
        <f t="shared" si="9"/>
        <v>373143.09599315969</v>
      </c>
      <c r="R13" s="32">
        <f t="shared" si="9"/>
        <v>376812.55535309133</v>
      </c>
      <c r="S13" s="32">
        <f t="shared" si="9"/>
        <v>395343.32512074581</v>
      </c>
      <c r="T13" s="32">
        <f t="shared" si="9"/>
        <v>399234.78677195322</v>
      </c>
      <c r="U13" s="32">
        <f t="shared" si="9"/>
        <v>403165.16303967277</v>
      </c>
      <c r="V13" s="32">
        <f t="shared" si="9"/>
        <v>407134.84307006944</v>
      </c>
      <c r="W13" s="32">
        <f t="shared" si="9"/>
        <v>427181.72722357302</v>
      </c>
      <c r="X13" s="32">
        <f t="shared" si="9"/>
        <v>430638.73604175041</v>
      </c>
      <c r="Y13" s="32">
        <f t="shared" si="9"/>
        <v>433878.15180216794</v>
      </c>
      <c r="Z13" s="32">
        <f t="shared" si="9"/>
        <v>437149.9617201896</v>
      </c>
      <c r="AA13" s="32">
        <f t="shared" si="9"/>
        <v>453672.60180619912</v>
      </c>
      <c r="AB13" s="32">
        <f t="shared" si="9"/>
        <v>457142.35622426105</v>
      </c>
      <c r="AC13" s="32">
        <f t="shared" si="9"/>
        <v>460646.80818650371</v>
      </c>
      <c r="AD13" s="32">
        <f t="shared" si="9"/>
        <v>464186.30466836877</v>
      </c>
      <c r="AE13" s="32">
        <f t="shared" si="9"/>
        <v>467761.19611505244</v>
      </c>
      <c r="AF13" s="32">
        <f t="shared" si="9"/>
        <v>471371.836476203</v>
      </c>
      <c r="AG13" s="32">
        <f t="shared" si="9"/>
        <v>475018.58324096503</v>
      </c>
      <c r="AH13" s="32">
        <f t="shared" si="9"/>
        <v>478701.79747337464</v>
      </c>
      <c r="AI13" s="32">
        <f t="shared" si="9"/>
        <v>482421.84384810837</v>
      </c>
      <c r="AJ13" s="32">
        <f t="shared" si="9"/>
        <v>486179.09068658948</v>
      </c>
      <c r="AK13" s="32">
        <f t="shared" si="9"/>
        <v>489973.9099934554</v>
      </c>
      <c r="AL13" s="32">
        <f t="shared" si="9"/>
        <v>493806.67749338987</v>
      </c>
      <c r="AM13" s="32">
        <f t="shared" si="9"/>
        <v>497677.77266832377</v>
      </c>
      <c r="AN13" s="32">
        <f t="shared" si="9"/>
        <v>517226.80330173991</v>
      </c>
      <c r="AO13" s="32">
        <f t="shared" si="9"/>
        <v>521332.09973475739</v>
      </c>
      <c r="AP13" s="32">
        <f t="shared" si="9"/>
        <v>525478.44913210487</v>
      </c>
      <c r="AQ13" s="32">
        <f t="shared" si="9"/>
        <v>529666.26202342601</v>
      </c>
      <c r="AR13" s="32">
        <f t="shared" si="9"/>
        <v>533895.95304366027</v>
      </c>
      <c r="AS13" s="32">
        <f t="shared" si="9"/>
        <v>538167.940974097</v>
      </c>
      <c r="AT13" s="32">
        <f t="shared" si="9"/>
        <v>542482.64878383791</v>
      </c>
      <c r="AU13" s="32">
        <f t="shared" si="9"/>
        <v>546840.50367167615</v>
      </c>
      <c r="AV13" s="32">
        <f t="shared" si="9"/>
        <v>551241.93710839306</v>
      </c>
      <c r="AW13" s="32">
        <f t="shared" si="9"/>
        <v>555687.38487947709</v>
      </c>
      <c r="BI13" s="1">
        <v>30162.49127887854</v>
      </c>
    </row>
    <row r="14" spans="1:61" x14ac:dyDescent="0.25">
      <c r="B14" s="32"/>
      <c r="D14" s="1" t="s">
        <v>198</v>
      </c>
      <c r="E14" s="32">
        <f>$B$2/(1+$B$1)^(E1-$E$1)</f>
        <v>9400</v>
      </c>
      <c r="F14" s="32">
        <f t="shared" ref="F14:AW14" si="10">$B$2/(1+$B$1)^(F1-$E$1)</f>
        <v>9215.6862745098042</v>
      </c>
      <c r="G14" s="32">
        <f t="shared" si="10"/>
        <v>9034.9865436370619</v>
      </c>
      <c r="H14" s="32">
        <f t="shared" si="10"/>
        <v>8857.8299447422196</v>
      </c>
      <c r="I14" s="32">
        <f t="shared" si="10"/>
        <v>8684.1470046492341</v>
      </c>
      <c r="J14" s="32">
        <f t="shared" si="10"/>
        <v>8513.8696124012095</v>
      </c>
      <c r="K14" s="32">
        <f t="shared" si="10"/>
        <v>8346.9309925502057</v>
      </c>
      <c r="L14" s="32">
        <f t="shared" si="10"/>
        <v>8183.2656789707908</v>
      </c>
      <c r="M14" s="32">
        <f t="shared" si="10"/>
        <v>8022.8094891870487</v>
      </c>
      <c r="N14" s="32">
        <f t="shared" si="10"/>
        <v>7865.4994992029897</v>
      </c>
      <c r="O14" s="32">
        <f t="shared" si="10"/>
        <v>7711.2740188264597</v>
      </c>
      <c r="P14" s="32">
        <f t="shared" si="10"/>
        <v>7560.0725674769228</v>
      </c>
      <c r="Q14" s="32">
        <f t="shared" si="10"/>
        <v>7411.8358504675698</v>
      </c>
      <c r="R14" s="32">
        <f t="shared" si="10"/>
        <v>7266.5057357525202</v>
      </c>
      <c r="S14" s="32">
        <f t="shared" si="10"/>
        <v>7124.0252311299209</v>
      </c>
      <c r="T14" s="32">
        <f t="shared" si="10"/>
        <v>6984.3384618920809</v>
      </c>
      <c r="U14" s="32">
        <f t="shared" si="10"/>
        <v>6847.3906489138044</v>
      </c>
      <c r="V14" s="32">
        <f t="shared" si="10"/>
        <v>6713.1280871703957</v>
      </c>
      <c r="W14" s="32">
        <f t="shared" si="10"/>
        <v>6581.4981246768593</v>
      </c>
      <c r="X14" s="32">
        <f t="shared" si="10"/>
        <v>6452.4491418400585</v>
      </c>
      <c r="Y14" s="32">
        <f t="shared" si="10"/>
        <v>6325.930531215743</v>
      </c>
      <c r="Z14" s="32">
        <f t="shared" si="10"/>
        <v>6201.892677662493</v>
      </c>
      <c r="AA14" s="32">
        <f t="shared" si="10"/>
        <v>6080.2869388847967</v>
      </c>
      <c r="AB14" s="32">
        <f t="shared" si="10"/>
        <v>5961.0656263576448</v>
      </c>
      <c r="AC14" s="32">
        <f t="shared" si="10"/>
        <v>5844.1819866251417</v>
      </c>
      <c r="AD14" s="32">
        <f t="shared" si="10"/>
        <v>5729.590182965826</v>
      </c>
      <c r="AE14" s="32">
        <f t="shared" si="10"/>
        <v>5617.2452774174753</v>
      </c>
      <c r="AF14" s="32">
        <f t="shared" si="10"/>
        <v>5507.1032131543889</v>
      </c>
      <c r="AG14" s="32">
        <f t="shared" si="10"/>
        <v>5399.1207972101838</v>
      </c>
      <c r="AH14" s="32">
        <f t="shared" si="10"/>
        <v>5293.2556835393971</v>
      </c>
      <c r="AI14" s="32">
        <f t="shared" si="10"/>
        <v>5189.4663564111725</v>
      </c>
      <c r="AJ14" s="32">
        <f t="shared" si="10"/>
        <v>5087.7121141286025</v>
      </c>
      <c r="AK14" s="32">
        <f t="shared" si="10"/>
        <v>4987.9530530672555</v>
      </c>
      <c r="AL14" s="32">
        <f t="shared" si="10"/>
        <v>4890.1500520267209</v>
      </c>
      <c r="AM14" s="32">
        <f t="shared" si="10"/>
        <v>4794.2647568889424</v>
      </c>
      <c r="AN14" s="32">
        <f t="shared" si="10"/>
        <v>4700.2595655773948</v>
      </c>
      <c r="AO14" s="32">
        <f t="shared" si="10"/>
        <v>4608.0976133111717</v>
      </c>
      <c r="AP14" s="32">
        <f t="shared" si="10"/>
        <v>4517.742758148207</v>
      </c>
      <c r="AQ14" s="32">
        <f t="shared" si="10"/>
        <v>4429.1595668119671</v>
      </c>
      <c r="AR14" s="32">
        <f t="shared" si="10"/>
        <v>4342.3133007960478</v>
      </c>
      <c r="AS14" s="32">
        <f t="shared" si="10"/>
        <v>4257.1699027412224</v>
      </c>
      <c r="AT14" s="32">
        <f t="shared" si="10"/>
        <v>4173.6959830796295</v>
      </c>
      <c r="AU14" s="32">
        <f t="shared" si="10"/>
        <v>4091.8588069408138</v>
      </c>
      <c r="AV14" s="32">
        <f t="shared" si="10"/>
        <v>4011.6262813145236</v>
      </c>
      <c r="AW14" s="32">
        <f t="shared" si="10"/>
        <v>3932.9669424652184</v>
      </c>
      <c r="BI14" s="1">
        <v>30477.60501189101</v>
      </c>
    </row>
    <row r="15" spans="1:61" x14ac:dyDescent="0.25">
      <c r="D15" s="1" t="s">
        <v>201</v>
      </c>
      <c r="E15" s="32">
        <f>E13-E14</f>
        <v>286626.14833520004</v>
      </c>
      <c r="F15" s="32">
        <f t="shared" ref="F15:AW15" si="11">F13-F14</f>
        <v>289708.75194404222</v>
      </c>
      <c r="G15" s="32">
        <f t="shared" si="11"/>
        <v>304525.81558584247</v>
      </c>
      <c r="H15" s="32">
        <f t="shared" si="11"/>
        <v>307776.60860603215</v>
      </c>
      <c r="I15" s="32">
        <f t="shared" si="11"/>
        <v>311054.6643316329</v>
      </c>
      <c r="J15" s="32">
        <f t="shared" si="11"/>
        <v>314360.35823724372</v>
      </c>
      <c r="K15" s="32">
        <f t="shared" si="11"/>
        <v>330361.15024957701</v>
      </c>
      <c r="L15" s="32">
        <f t="shared" si="11"/>
        <v>333849.92477557767</v>
      </c>
      <c r="M15" s="32">
        <f t="shared" si="11"/>
        <v>337368.74126990704</v>
      </c>
      <c r="N15" s="32">
        <f t="shared" si="11"/>
        <v>340917.995167482</v>
      </c>
      <c r="O15" s="32">
        <f t="shared" si="11"/>
        <v>358201.53738119279</v>
      </c>
      <c r="P15" s="32">
        <f t="shared" si="11"/>
        <v>361949.89534654247</v>
      </c>
      <c r="Q15" s="32">
        <f t="shared" si="11"/>
        <v>365731.26014269213</v>
      </c>
      <c r="R15" s="32">
        <f t="shared" si="11"/>
        <v>369546.04961733881</v>
      </c>
      <c r="S15" s="32">
        <f t="shared" si="11"/>
        <v>388219.29988961591</v>
      </c>
      <c r="T15" s="32">
        <f t="shared" si="11"/>
        <v>392250.44831006113</v>
      </c>
      <c r="U15" s="32">
        <f t="shared" si="11"/>
        <v>396317.77239075897</v>
      </c>
      <c r="V15" s="32">
        <f t="shared" si="11"/>
        <v>400421.71498289902</v>
      </c>
      <c r="W15" s="32">
        <f t="shared" si="11"/>
        <v>420600.22909889615</v>
      </c>
      <c r="X15" s="32">
        <f t="shared" si="11"/>
        <v>424186.28689991037</v>
      </c>
      <c r="Y15" s="32">
        <f t="shared" si="11"/>
        <v>427552.2212709522</v>
      </c>
      <c r="Z15" s="32">
        <f t="shared" si="11"/>
        <v>430948.06904252712</v>
      </c>
      <c r="AA15" s="32">
        <f t="shared" si="11"/>
        <v>447592.3148673143</v>
      </c>
      <c r="AB15" s="32">
        <f t="shared" si="11"/>
        <v>451181.29059790343</v>
      </c>
      <c r="AC15" s="32">
        <f t="shared" si="11"/>
        <v>454802.62619987858</v>
      </c>
      <c r="AD15" s="32">
        <f t="shared" si="11"/>
        <v>458456.71448540292</v>
      </c>
      <c r="AE15" s="32">
        <f t="shared" si="11"/>
        <v>462143.95083763497</v>
      </c>
      <c r="AF15" s="32">
        <f t="shared" si="11"/>
        <v>465864.73326304863</v>
      </c>
      <c r="AG15" s="32">
        <f t="shared" si="11"/>
        <v>469619.46244375483</v>
      </c>
      <c r="AH15" s="32">
        <f t="shared" si="11"/>
        <v>473408.54178983526</v>
      </c>
      <c r="AI15" s="32">
        <f t="shared" si="11"/>
        <v>477232.3774916972</v>
      </c>
      <c r="AJ15" s="32">
        <f t="shared" si="11"/>
        <v>481091.3785724609</v>
      </c>
      <c r="AK15" s="32">
        <f t="shared" si="11"/>
        <v>484985.95694038813</v>
      </c>
      <c r="AL15" s="32">
        <f t="shared" si="11"/>
        <v>488916.52744136314</v>
      </c>
      <c r="AM15" s="32">
        <f t="shared" si="11"/>
        <v>492883.5079114348</v>
      </c>
      <c r="AN15" s="32">
        <f t="shared" si="11"/>
        <v>512526.54373616254</v>
      </c>
      <c r="AO15" s="32">
        <f t="shared" si="11"/>
        <v>516724.00212144619</v>
      </c>
      <c r="AP15" s="32">
        <f t="shared" si="11"/>
        <v>520960.70637395664</v>
      </c>
      <c r="AQ15" s="32">
        <f t="shared" si="11"/>
        <v>525237.10245661403</v>
      </c>
      <c r="AR15" s="32">
        <f t="shared" si="11"/>
        <v>529553.63974286418</v>
      </c>
      <c r="AS15" s="32">
        <f t="shared" si="11"/>
        <v>533910.77107135579</v>
      </c>
      <c r="AT15" s="32">
        <f t="shared" si="11"/>
        <v>538308.9528007583</v>
      </c>
      <c r="AU15" s="32">
        <f t="shared" si="11"/>
        <v>542748.64486473531</v>
      </c>
      <c r="AV15" s="32">
        <f t="shared" si="11"/>
        <v>547230.31082707853</v>
      </c>
      <c r="AW15" s="32">
        <f t="shared" si="11"/>
        <v>551754.41793701192</v>
      </c>
      <c r="BI15" s="1">
        <v>30795.504134778235</v>
      </c>
    </row>
    <row r="16" spans="1:61" x14ac:dyDescent="0.25">
      <c r="D16" s="1" t="s">
        <v>202</v>
      </c>
      <c r="E16" s="32">
        <f>E15/12</f>
        <v>23885.512361266668</v>
      </c>
      <c r="F16" s="32">
        <f t="shared" ref="F16:AW16" si="12">F15/12</f>
        <v>24142.39599533685</v>
      </c>
      <c r="G16" s="32">
        <f t="shared" si="12"/>
        <v>25377.151298820205</v>
      </c>
      <c r="H16" s="32">
        <f t="shared" si="12"/>
        <v>25648.050717169346</v>
      </c>
      <c r="I16" s="32">
        <f t="shared" si="12"/>
        <v>25921.222027636075</v>
      </c>
      <c r="J16" s="32">
        <f t="shared" si="12"/>
        <v>26196.69651977031</v>
      </c>
      <c r="K16" s="32">
        <f t="shared" si="12"/>
        <v>27530.095854131418</v>
      </c>
      <c r="L16" s="32">
        <f t="shared" si="12"/>
        <v>27820.827064631474</v>
      </c>
      <c r="M16" s="32">
        <f t="shared" si="12"/>
        <v>28114.061772492252</v>
      </c>
      <c r="N16" s="32">
        <f t="shared" si="12"/>
        <v>28409.832930623499</v>
      </c>
      <c r="O16" s="32">
        <f t="shared" si="12"/>
        <v>29850.1281150994</v>
      </c>
      <c r="P16" s="32">
        <f t="shared" si="12"/>
        <v>30162.49127887854</v>
      </c>
      <c r="Q16" s="32">
        <f t="shared" si="12"/>
        <v>30477.60501189101</v>
      </c>
      <c r="R16" s="32">
        <f t="shared" si="12"/>
        <v>30795.504134778235</v>
      </c>
      <c r="S16" s="32">
        <f t="shared" si="12"/>
        <v>32351.608324134661</v>
      </c>
      <c r="T16" s="32">
        <f t="shared" si="12"/>
        <v>32687.537359171762</v>
      </c>
      <c r="U16" s="32">
        <f t="shared" si="12"/>
        <v>33026.48103256325</v>
      </c>
      <c r="V16" s="32">
        <f t="shared" si="12"/>
        <v>33368.476248574916</v>
      </c>
      <c r="W16" s="32">
        <f t="shared" si="12"/>
        <v>35050.019091574679</v>
      </c>
      <c r="X16" s="32">
        <f t="shared" si="12"/>
        <v>35348.8572416592</v>
      </c>
      <c r="Y16" s="32">
        <f t="shared" si="12"/>
        <v>35629.35177257935</v>
      </c>
      <c r="Z16" s="32">
        <f t="shared" si="12"/>
        <v>35912.339086877262</v>
      </c>
      <c r="AA16" s="32">
        <f t="shared" si="12"/>
        <v>37299.359572276189</v>
      </c>
      <c r="AB16" s="32">
        <f t="shared" si="12"/>
        <v>37598.440883158619</v>
      </c>
      <c r="AC16" s="32">
        <f t="shared" si="12"/>
        <v>37900.218849989884</v>
      </c>
      <c r="AD16" s="32">
        <f t="shared" si="12"/>
        <v>38204.72620711691</v>
      </c>
      <c r="AE16" s="32">
        <f t="shared" si="12"/>
        <v>38511.995903136245</v>
      </c>
      <c r="AF16" s="32">
        <f t="shared" si="12"/>
        <v>38822.061105254055</v>
      </c>
      <c r="AG16" s="32">
        <f t="shared" si="12"/>
        <v>39134.955203646234</v>
      </c>
      <c r="AH16" s="32">
        <f t="shared" si="12"/>
        <v>39450.711815819603</v>
      </c>
      <c r="AI16" s="32">
        <f t="shared" si="12"/>
        <v>39769.364790974767</v>
      </c>
      <c r="AJ16" s="32">
        <f t="shared" si="12"/>
        <v>40090.94821437174</v>
      </c>
      <c r="AK16" s="32">
        <f t="shared" si="12"/>
        <v>40415.496411699009</v>
      </c>
      <c r="AL16" s="32">
        <f t="shared" si="12"/>
        <v>40743.043953446926</v>
      </c>
      <c r="AM16" s="32">
        <f t="shared" si="12"/>
        <v>41073.625659286234</v>
      </c>
      <c r="AN16" s="32">
        <f t="shared" si="12"/>
        <v>42710.545311346876</v>
      </c>
      <c r="AO16" s="32">
        <f t="shared" si="12"/>
        <v>43060.333510120516</v>
      </c>
      <c r="AP16" s="32">
        <f t="shared" si="12"/>
        <v>43413.392197829722</v>
      </c>
      <c r="AQ16" s="32">
        <f t="shared" si="12"/>
        <v>43769.758538051166</v>
      </c>
      <c r="AR16" s="32">
        <f t="shared" si="12"/>
        <v>44129.469978572015</v>
      </c>
      <c r="AS16" s="32">
        <f t="shared" si="12"/>
        <v>44492.564255946316</v>
      </c>
      <c r="AT16" s="32">
        <f t="shared" si="12"/>
        <v>44859.079400063194</v>
      </c>
      <c r="AU16" s="32">
        <f t="shared" si="12"/>
        <v>45229.05373872794</v>
      </c>
      <c r="AV16" s="32">
        <f t="shared" si="12"/>
        <v>45602.525902256544</v>
      </c>
      <c r="AW16" s="32">
        <f t="shared" si="12"/>
        <v>45979.534828084325</v>
      </c>
      <c r="BI16" s="1">
        <v>32351.608324134661</v>
      </c>
    </row>
    <row r="17" spans="4:61" x14ac:dyDescent="0.25">
      <c r="BI17" s="1">
        <v>32687.537359171762</v>
      </c>
    </row>
    <row r="18" spans="4:61" x14ac:dyDescent="0.25">
      <c r="BI18" s="1">
        <v>33026.48103256325</v>
      </c>
    </row>
    <row r="19" spans="4:61" x14ac:dyDescent="0.25">
      <c r="BI19" s="1">
        <v>33368.476248574916</v>
      </c>
    </row>
    <row r="20" spans="4:61" x14ac:dyDescent="0.25">
      <c r="D20" s="30"/>
      <c r="BI20" s="1">
        <v>35050.019091574679</v>
      </c>
    </row>
    <row r="21" spans="4:61" x14ac:dyDescent="0.25">
      <c r="D21" s="1" t="s">
        <v>1</v>
      </c>
      <c r="E21" s="1">
        <v>2070</v>
      </c>
      <c r="F21" s="1">
        <v>2071</v>
      </c>
      <c r="G21" s="1">
        <v>2072</v>
      </c>
      <c r="H21" s="1">
        <v>2073</v>
      </c>
      <c r="I21" s="1">
        <v>2074</v>
      </c>
      <c r="J21" s="1">
        <v>2075</v>
      </c>
      <c r="K21" s="1">
        <v>2076</v>
      </c>
      <c r="L21" s="1">
        <v>2077</v>
      </c>
      <c r="M21" s="1">
        <v>2078</v>
      </c>
      <c r="N21" s="1">
        <v>2079</v>
      </c>
      <c r="O21" s="1">
        <v>2080</v>
      </c>
      <c r="P21" s="1">
        <v>2081</v>
      </c>
      <c r="Q21" s="1">
        <v>2082</v>
      </c>
      <c r="R21" s="1">
        <v>2083</v>
      </c>
      <c r="S21" s="1">
        <v>2084</v>
      </c>
      <c r="T21" s="1">
        <v>2085</v>
      </c>
      <c r="U21" s="1">
        <v>2086</v>
      </c>
      <c r="V21" s="1">
        <v>2087</v>
      </c>
      <c r="W21" s="1">
        <v>2088</v>
      </c>
      <c r="X21" s="1">
        <v>2089</v>
      </c>
      <c r="Y21" s="1">
        <v>2090</v>
      </c>
      <c r="Z21" s="1">
        <v>2091</v>
      </c>
      <c r="AA21" s="1">
        <v>2092</v>
      </c>
      <c r="AB21" s="1">
        <v>2093</v>
      </c>
      <c r="AC21" s="1">
        <v>2094</v>
      </c>
      <c r="BI21" s="1">
        <v>35348.8572416592</v>
      </c>
    </row>
    <row r="22" spans="4:61" x14ac:dyDescent="0.25">
      <c r="D22" s="1" t="s">
        <v>209</v>
      </c>
      <c r="E22" s="30">
        <f>'Pensions P1'!$B$14+'Pensions P1'!$B$22</f>
        <v>27534.747113284458</v>
      </c>
      <c r="F22" s="30">
        <f>'Pensions P1'!$B$14+'Pensions P1'!$B$22</f>
        <v>27534.747113284458</v>
      </c>
      <c r="G22" s="30">
        <f>'Pensions P1'!$B$14+'Pensions P1'!$B$22</f>
        <v>27534.747113284458</v>
      </c>
      <c r="H22" s="30">
        <f>'Pensions P1'!$B$14+'Pensions P1'!$B$22</f>
        <v>27534.747113284458</v>
      </c>
      <c r="I22" s="30">
        <f>'Pensions P1'!$B$14+'Pensions P1'!$B$22</f>
        <v>27534.747113284458</v>
      </c>
      <c r="J22" s="30">
        <f>'Pensions P1'!$B$14+'Pensions P1'!$B$22</f>
        <v>27534.747113284458</v>
      </c>
      <c r="K22" s="30">
        <f>'Pensions P1'!$B$14+'Pensions P1'!$B$22</f>
        <v>27534.747113284458</v>
      </c>
      <c r="L22" s="30">
        <f>'Pensions P1'!$B$14+'Pensions P1'!$B$22</f>
        <v>27534.747113284458</v>
      </c>
      <c r="M22" s="30">
        <f>'Pensions P1'!$B$14+'Pensions P1'!$B$22</f>
        <v>27534.747113284458</v>
      </c>
      <c r="N22" s="30">
        <f>'Pensions P1'!$B$14+'Pensions P1'!$B$22</f>
        <v>27534.747113284458</v>
      </c>
      <c r="O22" s="30">
        <f>'Pensions P1'!$B$14+'Pensions P1'!$B$22</f>
        <v>27534.747113284458</v>
      </c>
      <c r="P22" s="30">
        <f>'Pensions P1'!$B$14+'Pensions P1'!$B$22</f>
        <v>27534.747113284458</v>
      </c>
      <c r="Q22" s="30">
        <f>'Pensions P1'!$B$14+'Pensions P1'!$B$22</f>
        <v>27534.747113284458</v>
      </c>
      <c r="R22" s="30">
        <f>'Pensions P1'!$B$14+'Pensions P1'!$B$22</f>
        <v>27534.747113284458</v>
      </c>
      <c r="S22" s="30">
        <f>'Pensions P1'!$B$14+'Pensions P1'!$B$22</f>
        <v>27534.747113284458</v>
      </c>
      <c r="T22" s="30">
        <f>'Pensions P1'!$B$14+'Pensions P1'!$B$22</f>
        <v>27534.747113284458</v>
      </c>
      <c r="U22" s="30">
        <f>'Pensions P1'!$B$14+'Pensions P1'!$B$22</f>
        <v>27534.747113284458</v>
      </c>
      <c r="V22" s="30">
        <f>'Pensions P1'!$B$14+'Pensions P1'!$B$22</f>
        <v>27534.747113284458</v>
      </c>
      <c r="W22" s="30">
        <f>'Pensions P1'!$B$14+'Pensions P1'!$B$22</f>
        <v>27534.747113284458</v>
      </c>
      <c r="X22" s="30">
        <f>'Pensions P1'!$B$14+'Pensions P1'!$B$22</f>
        <v>27534.747113284458</v>
      </c>
      <c r="Y22" s="30">
        <f>'Pensions P1'!$B$14+'Pensions P1'!$B$22</f>
        <v>27534.747113284458</v>
      </c>
      <c r="Z22" s="30">
        <f>'Pensions P1'!$B$14+'Pensions P1'!$B$22</f>
        <v>27534.747113284458</v>
      </c>
      <c r="AA22" s="30">
        <f>'Pensions P1'!$B$14+'Pensions P1'!$B$22</f>
        <v>27534.747113284458</v>
      </c>
      <c r="AB22" s="30">
        <f>'Pensions P1'!$B$14+'Pensions P1'!$B$22</f>
        <v>27534.747113284458</v>
      </c>
      <c r="AC22" s="30">
        <f>'Pensions P1'!$B$14+'Pensions P1'!$B$22</f>
        <v>27534.747113284458</v>
      </c>
      <c r="BI22" s="1">
        <v>35629.35177257935</v>
      </c>
    </row>
    <row r="23" spans="4:61" x14ac:dyDescent="0.25">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BI23" s="1">
        <v>35912.339086877262</v>
      </c>
    </row>
    <row r="24" spans="4:61" x14ac:dyDescent="0.25">
      <c r="D24" s="1" t="s">
        <v>210</v>
      </c>
      <c r="E24" s="30">
        <f>E22*12</f>
        <v>330416.96535941353</v>
      </c>
      <c r="F24" s="30">
        <f t="shared" ref="F24:AC24" si="13">F22*12</f>
        <v>330416.96535941353</v>
      </c>
      <c r="G24" s="30">
        <f t="shared" si="13"/>
        <v>330416.96535941353</v>
      </c>
      <c r="H24" s="30">
        <f t="shared" si="13"/>
        <v>330416.96535941353</v>
      </c>
      <c r="I24" s="30">
        <f t="shared" si="13"/>
        <v>330416.96535941353</v>
      </c>
      <c r="J24" s="30">
        <f t="shared" si="13"/>
        <v>330416.96535941353</v>
      </c>
      <c r="K24" s="30">
        <f t="shared" si="13"/>
        <v>330416.96535941353</v>
      </c>
      <c r="L24" s="30">
        <f t="shared" si="13"/>
        <v>330416.96535941353</v>
      </c>
      <c r="M24" s="30">
        <f t="shared" si="13"/>
        <v>330416.96535941353</v>
      </c>
      <c r="N24" s="30">
        <f t="shared" si="13"/>
        <v>330416.96535941353</v>
      </c>
      <c r="O24" s="30">
        <f t="shared" si="13"/>
        <v>330416.96535941353</v>
      </c>
      <c r="P24" s="30">
        <f t="shared" si="13"/>
        <v>330416.96535941353</v>
      </c>
      <c r="Q24" s="30">
        <f t="shared" si="13"/>
        <v>330416.96535941353</v>
      </c>
      <c r="R24" s="30">
        <f t="shared" si="13"/>
        <v>330416.96535941353</v>
      </c>
      <c r="S24" s="30">
        <f t="shared" si="13"/>
        <v>330416.96535941353</v>
      </c>
      <c r="T24" s="30">
        <f t="shared" si="13"/>
        <v>330416.96535941353</v>
      </c>
      <c r="U24" s="30">
        <f t="shared" si="13"/>
        <v>330416.96535941353</v>
      </c>
      <c r="V24" s="30">
        <f t="shared" si="13"/>
        <v>330416.96535941353</v>
      </c>
      <c r="W24" s="30">
        <f t="shared" si="13"/>
        <v>330416.96535941353</v>
      </c>
      <c r="X24" s="30">
        <f t="shared" si="13"/>
        <v>330416.96535941353</v>
      </c>
      <c r="Y24" s="30">
        <f t="shared" si="13"/>
        <v>330416.96535941353</v>
      </c>
      <c r="Z24" s="30">
        <f t="shared" si="13"/>
        <v>330416.96535941353</v>
      </c>
      <c r="AA24" s="30">
        <f t="shared" si="13"/>
        <v>330416.96535941353</v>
      </c>
      <c r="AB24" s="30">
        <f t="shared" si="13"/>
        <v>330416.96535941353</v>
      </c>
      <c r="AC24" s="30">
        <f t="shared" si="13"/>
        <v>330416.96535941353</v>
      </c>
      <c r="BI24" s="1">
        <v>37299.359572276189</v>
      </c>
    </row>
    <row r="25" spans="4:61" x14ac:dyDescent="0.25">
      <c r="D25" s="1" t="s">
        <v>193</v>
      </c>
      <c r="E25" s="30">
        <f t="shared" ref="E25:AC25" si="14">E24*$B$11</f>
        <v>138775.12545095367</v>
      </c>
      <c r="F25" s="30">
        <f t="shared" si="14"/>
        <v>138775.12545095367</v>
      </c>
      <c r="G25" s="30">
        <f t="shared" si="14"/>
        <v>138775.12545095367</v>
      </c>
      <c r="H25" s="30">
        <f t="shared" si="14"/>
        <v>138775.12545095367</v>
      </c>
      <c r="I25" s="30">
        <f t="shared" si="14"/>
        <v>138775.12545095367</v>
      </c>
      <c r="J25" s="30">
        <f t="shared" si="14"/>
        <v>138775.12545095367</v>
      </c>
      <c r="K25" s="30">
        <f t="shared" si="14"/>
        <v>138775.12545095367</v>
      </c>
      <c r="L25" s="30">
        <f t="shared" si="14"/>
        <v>138775.12545095367</v>
      </c>
      <c r="M25" s="30">
        <f t="shared" si="14"/>
        <v>138775.12545095367</v>
      </c>
      <c r="N25" s="30">
        <f t="shared" si="14"/>
        <v>138775.12545095367</v>
      </c>
      <c r="O25" s="30">
        <f t="shared" si="14"/>
        <v>138775.12545095367</v>
      </c>
      <c r="P25" s="30">
        <f t="shared" si="14"/>
        <v>138775.12545095367</v>
      </c>
      <c r="Q25" s="30">
        <f t="shared" si="14"/>
        <v>138775.12545095367</v>
      </c>
      <c r="R25" s="30">
        <f t="shared" si="14"/>
        <v>138775.12545095367</v>
      </c>
      <c r="S25" s="30">
        <f t="shared" si="14"/>
        <v>138775.12545095367</v>
      </c>
      <c r="T25" s="30">
        <f t="shared" si="14"/>
        <v>138775.12545095367</v>
      </c>
      <c r="U25" s="30">
        <f t="shared" si="14"/>
        <v>138775.12545095367</v>
      </c>
      <c r="V25" s="30">
        <f t="shared" si="14"/>
        <v>138775.12545095367</v>
      </c>
      <c r="W25" s="30">
        <f t="shared" si="14"/>
        <v>138775.12545095367</v>
      </c>
      <c r="X25" s="30">
        <f t="shared" si="14"/>
        <v>138775.12545095367</v>
      </c>
      <c r="Y25" s="30">
        <f t="shared" si="14"/>
        <v>138775.12545095367</v>
      </c>
      <c r="Z25" s="30">
        <f t="shared" si="14"/>
        <v>138775.12545095367</v>
      </c>
      <c r="AA25" s="30">
        <f t="shared" si="14"/>
        <v>138775.12545095367</v>
      </c>
      <c r="AB25" s="30">
        <f t="shared" si="14"/>
        <v>138775.12545095367</v>
      </c>
      <c r="AC25" s="30">
        <f t="shared" si="14"/>
        <v>138775.12545095367</v>
      </c>
      <c r="BI25" s="1">
        <v>37598.440883158619</v>
      </c>
    </row>
    <row r="26" spans="4:61" x14ac:dyDescent="0.25">
      <c r="D26" s="1" t="s">
        <v>194</v>
      </c>
      <c r="E26" s="30">
        <f t="shared" ref="E26:AC26" si="15">MAX(E24-$B$10,0)*$B$9</f>
        <v>82604.173839853378</v>
      </c>
      <c r="F26" s="30">
        <f t="shared" si="15"/>
        <v>82604.173839853378</v>
      </c>
      <c r="G26" s="30">
        <f t="shared" si="15"/>
        <v>82604.173839853378</v>
      </c>
      <c r="H26" s="30">
        <f t="shared" si="15"/>
        <v>82604.173839853378</v>
      </c>
      <c r="I26" s="30">
        <f t="shared" si="15"/>
        <v>82604.173839853378</v>
      </c>
      <c r="J26" s="30">
        <f t="shared" si="15"/>
        <v>82604.173839853378</v>
      </c>
      <c r="K26" s="30">
        <f t="shared" si="15"/>
        <v>82604.173839853378</v>
      </c>
      <c r="L26" s="30">
        <f t="shared" si="15"/>
        <v>82604.173839853378</v>
      </c>
      <c r="M26" s="30">
        <f t="shared" si="15"/>
        <v>82604.173839853378</v>
      </c>
      <c r="N26" s="30">
        <f t="shared" si="15"/>
        <v>82604.173839853378</v>
      </c>
      <c r="O26" s="30">
        <f t="shared" si="15"/>
        <v>82604.173839853378</v>
      </c>
      <c r="P26" s="30">
        <f t="shared" si="15"/>
        <v>82604.173839853378</v>
      </c>
      <c r="Q26" s="30">
        <f t="shared" si="15"/>
        <v>82604.173839853378</v>
      </c>
      <c r="R26" s="30">
        <f t="shared" si="15"/>
        <v>82604.173839853378</v>
      </c>
      <c r="S26" s="30">
        <f t="shared" si="15"/>
        <v>82604.173839853378</v>
      </c>
      <c r="T26" s="30">
        <f t="shared" si="15"/>
        <v>82604.173839853378</v>
      </c>
      <c r="U26" s="30">
        <f t="shared" si="15"/>
        <v>82604.173839853378</v>
      </c>
      <c r="V26" s="30">
        <f t="shared" si="15"/>
        <v>82604.173839853378</v>
      </c>
      <c r="W26" s="30">
        <f t="shared" si="15"/>
        <v>82604.173839853378</v>
      </c>
      <c r="X26" s="30">
        <f t="shared" si="15"/>
        <v>82604.173839853378</v>
      </c>
      <c r="Y26" s="30">
        <f t="shared" si="15"/>
        <v>82604.173839853378</v>
      </c>
      <c r="Z26" s="30">
        <f t="shared" si="15"/>
        <v>82604.173839853378</v>
      </c>
      <c r="AA26" s="30">
        <f t="shared" si="15"/>
        <v>82604.173839853378</v>
      </c>
      <c r="AB26" s="30">
        <f t="shared" si="15"/>
        <v>82604.173839853378</v>
      </c>
      <c r="AC26" s="30">
        <f t="shared" si="15"/>
        <v>82604.173839853378</v>
      </c>
      <c r="BI26" s="1">
        <v>37900.218849989884</v>
      </c>
    </row>
    <row r="27" spans="4:61" x14ac:dyDescent="0.25">
      <c r="D27" s="1" t="s">
        <v>195</v>
      </c>
      <c r="E27" s="30">
        <f t="shared" ref="E27:AC27" si="16">E24*$B$6</f>
        <v>39683.077539665566</v>
      </c>
      <c r="F27" s="30">
        <f t="shared" si="16"/>
        <v>39683.077539665566</v>
      </c>
      <c r="G27" s="30">
        <f t="shared" si="16"/>
        <v>39683.077539665566</v>
      </c>
      <c r="H27" s="30">
        <f t="shared" si="16"/>
        <v>39683.077539665566</v>
      </c>
      <c r="I27" s="30">
        <f t="shared" si="16"/>
        <v>39683.077539665566</v>
      </c>
      <c r="J27" s="30">
        <f t="shared" si="16"/>
        <v>39683.077539665566</v>
      </c>
      <c r="K27" s="30">
        <f t="shared" si="16"/>
        <v>39683.077539665566</v>
      </c>
      <c r="L27" s="30">
        <f t="shared" si="16"/>
        <v>39683.077539665566</v>
      </c>
      <c r="M27" s="30">
        <f t="shared" si="16"/>
        <v>39683.077539665566</v>
      </c>
      <c r="N27" s="30">
        <f t="shared" si="16"/>
        <v>39683.077539665566</v>
      </c>
      <c r="O27" s="30">
        <f t="shared" si="16"/>
        <v>39683.077539665566</v>
      </c>
      <c r="P27" s="30">
        <f t="shared" si="16"/>
        <v>39683.077539665566</v>
      </c>
      <c r="Q27" s="30">
        <f t="shared" si="16"/>
        <v>39683.077539665566</v>
      </c>
      <c r="R27" s="30">
        <f t="shared" si="16"/>
        <v>39683.077539665566</v>
      </c>
      <c r="S27" s="30">
        <f t="shared" si="16"/>
        <v>39683.077539665566</v>
      </c>
      <c r="T27" s="30">
        <f t="shared" si="16"/>
        <v>39683.077539665566</v>
      </c>
      <c r="U27" s="30">
        <f t="shared" si="16"/>
        <v>39683.077539665566</v>
      </c>
      <c r="V27" s="30">
        <f t="shared" si="16"/>
        <v>39683.077539665566</v>
      </c>
      <c r="W27" s="30">
        <f t="shared" si="16"/>
        <v>39683.077539665566</v>
      </c>
      <c r="X27" s="30">
        <f t="shared" si="16"/>
        <v>39683.077539665566</v>
      </c>
      <c r="Y27" s="30">
        <f t="shared" si="16"/>
        <v>39683.077539665566</v>
      </c>
      <c r="Z27" s="30">
        <f t="shared" si="16"/>
        <v>39683.077539665566</v>
      </c>
      <c r="AA27" s="30">
        <f t="shared" si="16"/>
        <v>39683.077539665566</v>
      </c>
      <c r="AB27" s="30">
        <f t="shared" si="16"/>
        <v>39683.077539665566</v>
      </c>
      <c r="AC27" s="30">
        <f t="shared" si="16"/>
        <v>39683.077539665566</v>
      </c>
      <c r="BI27" s="1">
        <v>38204.72620711691</v>
      </c>
    </row>
    <row r="28" spans="4:61" x14ac:dyDescent="0.25">
      <c r="D28" s="1" t="s">
        <v>196</v>
      </c>
      <c r="E28" s="30">
        <f>SUM(E25:E27)</f>
        <v>261062.37683047261</v>
      </c>
      <c r="F28" s="30">
        <f>SUM(F25:F27)</f>
        <v>261062.37683047261</v>
      </c>
      <c r="G28" s="30">
        <f t="shared" ref="G28:AC28" si="17">SUM(G25:G27)</f>
        <v>261062.37683047261</v>
      </c>
      <c r="H28" s="30">
        <f t="shared" si="17"/>
        <v>261062.37683047261</v>
      </c>
      <c r="I28" s="30">
        <f t="shared" si="17"/>
        <v>261062.37683047261</v>
      </c>
      <c r="J28" s="30">
        <f t="shared" si="17"/>
        <v>261062.37683047261</v>
      </c>
      <c r="K28" s="30">
        <f t="shared" si="17"/>
        <v>261062.37683047261</v>
      </c>
      <c r="L28" s="30">
        <f t="shared" si="17"/>
        <v>261062.37683047261</v>
      </c>
      <c r="M28" s="30">
        <f t="shared" si="17"/>
        <v>261062.37683047261</v>
      </c>
      <c r="N28" s="30">
        <f t="shared" si="17"/>
        <v>261062.37683047261</v>
      </c>
      <c r="O28" s="30">
        <f t="shared" si="17"/>
        <v>261062.37683047261</v>
      </c>
      <c r="P28" s="30">
        <f t="shared" si="17"/>
        <v>261062.37683047261</v>
      </c>
      <c r="Q28" s="30">
        <f t="shared" si="17"/>
        <v>261062.37683047261</v>
      </c>
      <c r="R28" s="30">
        <f t="shared" si="17"/>
        <v>261062.37683047261</v>
      </c>
      <c r="S28" s="30">
        <f t="shared" si="17"/>
        <v>261062.37683047261</v>
      </c>
      <c r="T28" s="30">
        <f t="shared" si="17"/>
        <v>261062.37683047261</v>
      </c>
      <c r="U28" s="30">
        <f t="shared" si="17"/>
        <v>261062.37683047261</v>
      </c>
      <c r="V28" s="30">
        <f t="shared" si="17"/>
        <v>261062.37683047261</v>
      </c>
      <c r="W28" s="30">
        <f t="shared" si="17"/>
        <v>261062.37683047261</v>
      </c>
      <c r="X28" s="30">
        <f t="shared" si="17"/>
        <v>261062.37683047261</v>
      </c>
      <c r="Y28" s="30">
        <f t="shared" si="17"/>
        <v>261062.37683047261</v>
      </c>
      <c r="Z28" s="30">
        <f t="shared" si="17"/>
        <v>261062.37683047261</v>
      </c>
      <c r="AA28" s="30">
        <f t="shared" si="17"/>
        <v>261062.37683047261</v>
      </c>
      <c r="AB28" s="30">
        <f t="shared" si="17"/>
        <v>261062.37683047261</v>
      </c>
      <c r="AC28" s="30">
        <f t="shared" si="17"/>
        <v>261062.37683047261</v>
      </c>
      <c r="BI28" s="1">
        <v>38511.995903136245</v>
      </c>
    </row>
    <row r="29" spans="4:61" x14ac:dyDescent="0.25">
      <c r="D29" s="1" t="s">
        <v>197</v>
      </c>
      <c r="E29" s="30">
        <f>E24-E28</f>
        <v>69354.58852894092</v>
      </c>
      <c r="F29" s="30">
        <f>F24-F28</f>
        <v>69354.58852894092</v>
      </c>
      <c r="G29" s="30">
        <f t="shared" ref="G29:AC29" si="18">G24-G28</f>
        <v>69354.58852894092</v>
      </c>
      <c r="H29" s="30">
        <f t="shared" si="18"/>
        <v>69354.58852894092</v>
      </c>
      <c r="I29" s="30">
        <f t="shared" si="18"/>
        <v>69354.58852894092</v>
      </c>
      <c r="J29" s="30">
        <f t="shared" si="18"/>
        <v>69354.58852894092</v>
      </c>
      <c r="K29" s="30">
        <f t="shared" si="18"/>
        <v>69354.58852894092</v>
      </c>
      <c r="L29" s="30">
        <f t="shared" si="18"/>
        <v>69354.58852894092</v>
      </c>
      <c r="M29" s="30">
        <f t="shared" si="18"/>
        <v>69354.58852894092</v>
      </c>
      <c r="N29" s="30">
        <f t="shared" si="18"/>
        <v>69354.58852894092</v>
      </c>
      <c r="O29" s="30">
        <f t="shared" si="18"/>
        <v>69354.58852894092</v>
      </c>
      <c r="P29" s="30">
        <f t="shared" si="18"/>
        <v>69354.58852894092</v>
      </c>
      <c r="Q29" s="30">
        <f t="shared" si="18"/>
        <v>69354.58852894092</v>
      </c>
      <c r="R29" s="30">
        <f t="shared" si="18"/>
        <v>69354.58852894092</v>
      </c>
      <c r="S29" s="30">
        <f t="shared" si="18"/>
        <v>69354.58852894092</v>
      </c>
      <c r="T29" s="30">
        <f t="shared" si="18"/>
        <v>69354.58852894092</v>
      </c>
      <c r="U29" s="30">
        <f t="shared" si="18"/>
        <v>69354.58852894092</v>
      </c>
      <c r="V29" s="30">
        <f t="shared" si="18"/>
        <v>69354.58852894092</v>
      </c>
      <c r="W29" s="30">
        <f t="shared" si="18"/>
        <v>69354.58852894092</v>
      </c>
      <c r="X29" s="30">
        <f t="shared" si="18"/>
        <v>69354.58852894092</v>
      </c>
      <c r="Y29" s="30">
        <f t="shared" si="18"/>
        <v>69354.58852894092</v>
      </c>
      <c r="Z29" s="30">
        <f t="shared" si="18"/>
        <v>69354.58852894092</v>
      </c>
      <c r="AA29" s="30">
        <f t="shared" si="18"/>
        <v>69354.58852894092</v>
      </c>
      <c r="AB29" s="30">
        <f t="shared" si="18"/>
        <v>69354.58852894092</v>
      </c>
      <c r="AC29" s="30">
        <f t="shared" si="18"/>
        <v>69354.58852894092</v>
      </c>
      <c r="BI29" s="1">
        <v>38822.061105254055</v>
      </c>
    </row>
    <row r="30" spans="4:61" x14ac:dyDescent="0.25">
      <c r="D30" s="1" t="s">
        <v>211</v>
      </c>
      <c r="E30" s="30">
        <f>'Pensions P1'!$B$18</f>
        <v>11310.066115069563</v>
      </c>
      <c r="F30" s="30">
        <f>'Pensions P1'!$B$18</f>
        <v>11310.066115069563</v>
      </c>
      <c r="G30" s="30">
        <f>'Pensions P1'!$B$18</f>
        <v>11310.066115069563</v>
      </c>
      <c r="H30" s="30">
        <f>'Pensions P1'!$B$18</f>
        <v>11310.066115069563</v>
      </c>
      <c r="I30" s="30">
        <f>'Pensions P1'!$B$18</f>
        <v>11310.066115069563</v>
      </c>
      <c r="J30" s="30">
        <f>'Pensions P1'!$B$18</f>
        <v>11310.066115069563</v>
      </c>
      <c r="K30" s="30">
        <f>'Pensions P1'!$B$18</f>
        <v>11310.066115069563</v>
      </c>
      <c r="L30" s="30">
        <f>'Pensions P1'!$B$18</f>
        <v>11310.066115069563</v>
      </c>
      <c r="M30" s="30">
        <f>'Pensions P1'!$B$18</f>
        <v>11310.066115069563</v>
      </c>
      <c r="N30" s="30">
        <f>'Pensions P1'!$B$18</f>
        <v>11310.066115069563</v>
      </c>
      <c r="O30" s="30">
        <f>'Pensions P1'!$B$18</f>
        <v>11310.066115069563</v>
      </c>
      <c r="P30" s="30">
        <f>'Pensions P1'!$B$18</f>
        <v>11310.066115069563</v>
      </c>
      <c r="Q30" s="30">
        <f>'Pensions P1'!$B$18</f>
        <v>11310.066115069563</v>
      </c>
      <c r="R30" s="30">
        <f>'Pensions P1'!$B$18</f>
        <v>11310.066115069563</v>
      </c>
      <c r="S30" s="30">
        <f>'Pensions P1'!$B$18</f>
        <v>11310.066115069563</v>
      </c>
      <c r="T30" s="30">
        <f>'Pensions P1'!$B$18</f>
        <v>11310.066115069563</v>
      </c>
      <c r="U30" s="30">
        <f>'Pensions P1'!$B$18</f>
        <v>11310.066115069563</v>
      </c>
      <c r="V30" s="30">
        <f>'Pensions P1'!$B$18</f>
        <v>11310.066115069563</v>
      </c>
      <c r="W30" s="30">
        <f>'Pensions P1'!$B$18</f>
        <v>11310.066115069563</v>
      </c>
      <c r="X30" s="30">
        <f>'Pensions P1'!$B$18</f>
        <v>11310.066115069563</v>
      </c>
      <c r="Y30" s="30">
        <f>'Pensions P1'!$B$18</f>
        <v>11310.066115069563</v>
      </c>
      <c r="Z30" s="30">
        <f>'Pensions P1'!$B$18</f>
        <v>11310.066115069563</v>
      </c>
      <c r="AA30" s="30">
        <f>'Pensions P1'!$B$18</f>
        <v>11310.066115069563</v>
      </c>
      <c r="AB30" s="30">
        <f>'Pensions P1'!$B$18</f>
        <v>11310.066115069563</v>
      </c>
      <c r="AC30" s="30">
        <f>'Pensions P1'!$B$18</f>
        <v>11310.066115069563</v>
      </c>
      <c r="BI30" s="1">
        <v>39134.955203646234</v>
      </c>
    </row>
    <row r="31" spans="4:61" x14ac:dyDescent="0.25">
      <c r="D31" s="1" t="s">
        <v>201</v>
      </c>
      <c r="E31" s="30">
        <f>E30+E29</f>
        <v>80664.654644010487</v>
      </c>
      <c r="F31" s="30">
        <f>F30+F29</f>
        <v>80664.654644010487</v>
      </c>
      <c r="G31" s="30">
        <f t="shared" ref="G31:AC31" si="19">G30+G29</f>
        <v>80664.654644010487</v>
      </c>
      <c r="H31" s="30">
        <f t="shared" si="19"/>
        <v>80664.654644010487</v>
      </c>
      <c r="I31" s="30">
        <f t="shared" si="19"/>
        <v>80664.654644010487</v>
      </c>
      <c r="J31" s="30">
        <f t="shared" si="19"/>
        <v>80664.654644010487</v>
      </c>
      <c r="K31" s="30">
        <f t="shared" si="19"/>
        <v>80664.654644010487</v>
      </c>
      <c r="L31" s="30">
        <f t="shared" si="19"/>
        <v>80664.654644010487</v>
      </c>
      <c r="M31" s="30">
        <f t="shared" si="19"/>
        <v>80664.654644010487</v>
      </c>
      <c r="N31" s="30">
        <f t="shared" si="19"/>
        <v>80664.654644010487</v>
      </c>
      <c r="O31" s="30">
        <f t="shared" si="19"/>
        <v>80664.654644010487</v>
      </c>
      <c r="P31" s="30">
        <f t="shared" si="19"/>
        <v>80664.654644010487</v>
      </c>
      <c r="Q31" s="30">
        <f t="shared" si="19"/>
        <v>80664.654644010487</v>
      </c>
      <c r="R31" s="30">
        <f t="shared" si="19"/>
        <v>80664.654644010487</v>
      </c>
      <c r="S31" s="30">
        <f t="shared" si="19"/>
        <v>80664.654644010487</v>
      </c>
      <c r="T31" s="30">
        <f t="shared" si="19"/>
        <v>80664.654644010487</v>
      </c>
      <c r="U31" s="30">
        <f t="shared" si="19"/>
        <v>80664.654644010487</v>
      </c>
      <c r="V31" s="30">
        <f t="shared" si="19"/>
        <v>80664.654644010487</v>
      </c>
      <c r="W31" s="30">
        <f t="shared" si="19"/>
        <v>80664.654644010487</v>
      </c>
      <c r="X31" s="30">
        <f t="shared" si="19"/>
        <v>80664.654644010487</v>
      </c>
      <c r="Y31" s="30">
        <f t="shared" si="19"/>
        <v>80664.654644010487</v>
      </c>
      <c r="Z31" s="30">
        <f t="shared" si="19"/>
        <v>80664.654644010487</v>
      </c>
      <c r="AA31" s="30">
        <f t="shared" si="19"/>
        <v>80664.654644010487</v>
      </c>
      <c r="AB31" s="30">
        <f t="shared" si="19"/>
        <v>80664.654644010487</v>
      </c>
      <c r="AC31" s="30">
        <f t="shared" si="19"/>
        <v>80664.654644010487</v>
      </c>
      <c r="BI31" s="1">
        <v>39450.711815819603</v>
      </c>
    </row>
    <row r="32" spans="4:61" x14ac:dyDescent="0.25">
      <c r="D32" s="1" t="s">
        <v>202</v>
      </c>
      <c r="E32" s="30">
        <f>E31/12</f>
        <v>6722.0545536675409</v>
      </c>
      <c r="F32" s="30">
        <f>F31/12</f>
        <v>6722.0545536675409</v>
      </c>
      <c r="G32" s="30">
        <f t="shared" ref="G32:AC32" si="20">G31/12</f>
        <v>6722.0545536675409</v>
      </c>
      <c r="H32" s="30">
        <f t="shared" si="20"/>
        <v>6722.0545536675409</v>
      </c>
      <c r="I32" s="30">
        <f t="shared" si="20"/>
        <v>6722.0545536675409</v>
      </c>
      <c r="J32" s="30">
        <f t="shared" si="20"/>
        <v>6722.0545536675409</v>
      </c>
      <c r="K32" s="30">
        <f t="shared" si="20"/>
        <v>6722.0545536675409</v>
      </c>
      <c r="L32" s="30">
        <f t="shared" si="20"/>
        <v>6722.0545536675409</v>
      </c>
      <c r="M32" s="30">
        <f t="shared" si="20"/>
        <v>6722.0545536675409</v>
      </c>
      <c r="N32" s="30">
        <f t="shared" si="20"/>
        <v>6722.0545536675409</v>
      </c>
      <c r="O32" s="30">
        <f t="shared" si="20"/>
        <v>6722.0545536675409</v>
      </c>
      <c r="P32" s="30">
        <f t="shared" si="20"/>
        <v>6722.0545536675409</v>
      </c>
      <c r="Q32" s="30">
        <f t="shared" si="20"/>
        <v>6722.0545536675409</v>
      </c>
      <c r="R32" s="30">
        <f t="shared" si="20"/>
        <v>6722.0545536675409</v>
      </c>
      <c r="S32" s="30">
        <f t="shared" si="20"/>
        <v>6722.0545536675409</v>
      </c>
      <c r="T32" s="30">
        <f t="shared" si="20"/>
        <v>6722.0545536675409</v>
      </c>
      <c r="U32" s="30">
        <f t="shared" si="20"/>
        <v>6722.0545536675409</v>
      </c>
      <c r="V32" s="30">
        <f t="shared" si="20"/>
        <v>6722.0545536675409</v>
      </c>
      <c r="W32" s="30">
        <f t="shared" si="20"/>
        <v>6722.0545536675409</v>
      </c>
      <c r="X32" s="30">
        <f t="shared" si="20"/>
        <v>6722.0545536675409</v>
      </c>
      <c r="Y32" s="30">
        <f t="shared" si="20"/>
        <v>6722.0545536675409</v>
      </c>
      <c r="Z32" s="30">
        <f t="shared" si="20"/>
        <v>6722.0545536675409</v>
      </c>
      <c r="AA32" s="30">
        <f t="shared" si="20"/>
        <v>6722.0545536675409</v>
      </c>
      <c r="AB32" s="30">
        <f t="shared" si="20"/>
        <v>6722.0545536675409</v>
      </c>
      <c r="AC32" s="30">
        <f t="shared" si="20"/>
        <v>6722.0545536675409</v>
      </c>
      <c r="BI32" s="1">
        <v>39769.364790974767</v>
      </c>
    </row>
    <row r="33" spans="4:61" x14ac:dyDescent="0.25">
      <c r="D33" s="1" t="s">
        <v>212</v>
      </c>
      <c r="E33" s="30">
        <f>$AW$16</f>
        <v>45979.534828084325</v>
      </c>
      <c r="F33" s="30">
        <f t="shared" ref="F33:AC33" si="21">$AW$16</f>
        <v>45979.534828084325</v>
      </c>
      <c r="G33" s="30">
        <f t="shared" si="21"/>
        <v>45979.534828084325</v>
      </c>
      <c r="H33" s="30">
        <f t="shared" si="21"/>
        <v>45979.534828084325</v>
      </c>
      <c r="I33" s="30">
        <f t="shared" si="21"/>
        <v>45979.534828084325</v>
      </c>
      <c r="J33" s="30">
        <f t="shared" si="21"/>
        <v>45979.534828084325</v>
      </c>
      <c r="K33" s="30">
        <f t="shared" si="21"/>
        <v>45979.534828084325</v>
      </c>
      <c r="L33" s="30">
        <f t="shared" si="21"/>
        <v>45979.534828084325</v>
      </c>
      <c r="M33" s="30">
        <f t="shared" si="21"/>
        <v>45979.534828084325</v>
      </c>
      <c r="N33" s="30">
        <f t="shared" si="21"/>
        <v>45979.534828084325</v>
      </c>
      <c r="O33" s="30">
        <f t="shared" si="21"/>
        <v>45979.534828084325</v>
      </c>
      <c r="P33" s="30">
        <f t="shared" si="21"/>
        <v>45979.534828084325</v>
      </c>
      <c r="Q33" s="30">
        <f t="shared" si="21"/>
        <v>45979.534828084325</v>
      </c>
      <c r="R33" s="30">
        <f t="shared" si="21"/>
        <v>45979.534828084325</v>
      </c>
      <c r="S33" s="30">
        <f t="shared" si="21"/>
        <v>45979.534828084325</v>
      </c>
      <c r="T33" s="30">
        <f t="shared" si="21"/>
        <v>45979.534828084325</v>
      </c>
      <c r="U33" s="30">
        <f t="shared" si="21"/>
        <v>45979.534828084325</v>
      </c>
      <c r="V33" s="30">
        <f t="shared" si="21"/>
        <v>45979.534828084325</v>
      </c>
      <c r="W33" s="30">
        <f t="shared" si="21"/>
        <v>45979.534828084325</v>
      </c>
      <c r="X33" s="30">
        <f t="shared" si="21"/>
        <v>45979.534828084325</v>
      </c>
      <c r="Y33" s="30">
        <f t="shared" si="21"/>
        <v>45979.534828084325</v>
      </c>
      <c r="Z33" s="30">
        <f t="shared" si="21"/>
        <v>45979.534828084325</v>
      </c>
      <c r="AA33" s="30">
        <f t="shared" si="21"/>
        <v>45979.534828084325</v>
      </c>
      <c r="AB33" s="30">
        <f t="shared" si="21"/>
        <v>45979.534828084325</v>
      </c>
      <c r="AC33" s="30">
        <f t="shared" si="21"/>
        <v>45979.534828084325</v>
      </c>
      <c r="BI33" s="1">
        <v>40090.94821437174</v>
      </c>
    </row>
    <row r="34" spans="4:61" x14ac:dyDescent="0.25">
      <c r="D34" s="1" t="s">
        <v>213</v>
      </c>
      <c r="E34" s="30">
        <f>E33-E32</f>
        <v>39257.480274416783</v>
      </c>
      <c r="F34" s="30">
        <f t="shared" ref="F34:AC34" si="22">F33-F32</f>
        <v>39257.480274416783</v>
      </c>
      <c r="G34" s="30">
        <f t="shared" si="22"/>
        <v>39257.480274416783</v>
      </c>
      <c r="H34" s="30">
        <f t="shared" si="22"/>
        <v>39257.480274416783</v>
      </c>
      <c r="I34" s="30">
        <f t="shared" si="22"/>
        <v>39257.480274416783</v>
      </c>
      <c r="J34" s="30">
        <f t="shared" si="22"/>
        <v>39257.480274416783</v>
      </c>
      <c r="K34" s="30">
        <f t="shared" si="22"/>
        <v>39257.480274416783</v>
      </c>
      <c r="L34" s="30">
        <f t="shared" si="22"/>
        <v>39257.480274416783</v>
      </c>
      <c r="M34" s="30">
        <f t="shared" si="22"/>
        <v>39257.480274416783</v>
      </c>
      <c r="N34" s="30">
        <f t="shared" si="22"/>
        <v>39257.480274416783</v>
      </c>
      <c r="O34" s="30">
        <f t="shared" si="22"/>
        <v>39257.480274416783</v>
      </c>
      <c r="P34" s="30">
        <f t="shared" si="22"/>
        <v>39257.480274416783</v>
      </c>
      <c r="Q34" s="30">
        <f t="shared" si="22"/>
        <v>39257.480274416783</v>
      </c>
      <c r="R34" s="30">
        <f t="shared" si="22"/>
        <v>39257.480274416783</v>
      </c>
      <c r="S34" s="30">
        <f t="shared" si="22"/>
        <v>39257.480274416783</v>
      </c>
      <c r="T34" s="30">
        <f t="shared" si="22"/>
        <v>39257.480274416783</v>
      </c>
      <c r="U34" s="30">
        <f t="shared" si="22"/>
        <v>39257.480274416783</v>
      </c>
      <c r="V34" s="30">
        <f t="shared" si="22"/>
        <v>39257.480274416783</v>
      </c>
      <c r="W34" s="30">
        <f t="shared" si="22"/>
        <v>39257.480274416783</v>
      </c>
      <c r="X34" s="30">
        <f t="shared" si="22"/>
        <v>39257.480274416783</v>
      </c>
      <c r="Y34" s="30">
        <f t="shared" si="22"/>
        <v>39257.480274416783</v>
      </c>
      <c r="Z34" s="30">
        <f t="shared" si="22"/>
        <v>39257.480274416783</v>
      </c>
      <c r="AA34" s="30">
        <f t="shared" si="22"/>
        <v>39257.480274416783</v>
      </c>
      <c r="AB34" s="30">
        <f t="shared" si="22"/>
        <v>39257.480274416783</v>
      </c>
      <c r="AC34" s="30">
        <f t="shared" si="22"/>
        <v>39257.480274416783</v>
      </c>
      <c r="BI34" s="1">
        <v>40415.496411699009</v>
      </c>
    </row>
    <row r="35" spans="4:61" x14ac:dyDescent="0.25">
      <c r="E35" s="30">
        <f>E34*(1+$B$10)</f>
        <v>49856.999948509314</v>
      </c>
      <c r="F35" s="30">
        <f t="shared" ref="F35:AC35" si="23">F34*(1+$B$10)</f>
        <v>49856.999948509314</v>
      </c>
      <c r="G35" s="30">
        <f t="shared" si="23"/>
        <v>49856.999948509314</v>
      </c>
      <c r="H35" s="30">
        <f t="shared" si="23"/>
        <v>49856.999948509314</v>
      </c>
      <c r="I35" s="30">
        <f t="shared" si="23"/>
        <v>49856.999948509314</v>
      </c>
      <c r="J35" s="30">
        <f t="shared" si="23"/>
        <v>49856.999948509314</v>
      </c>
      <c r="K35" s="30">
        <f t="shared" si="23"/>
        <v>49856.999948509314</v>
      </c>
      <c r="L35" s="30">
        <f t="shared" si="23"/>
        <v>49856.999948509314</v>
      </c>
      <c r="M35" s="30">
        <f t="shared" si="23"/>
        <v>49856.999948509314</v>
      </c>
      <c r="N35" s="30">
        <f t="shared" si="23"/>
        <v>49856.999948509314</v>
      </c>
      <c r="O35" s="30">
        <f t="shared" si="23"/>
        <v>49856.999948509314</v>
      </c>
      <c r="P35" s="30">
        <f t="shared" si="23"/>
        <v>49856.999948509314</v>
      </c>
      <c r="Q35" s="30">
        <f t="shared" si="23"/>
        <v>49856.999948509314</v>
      </c>
      <c r="R35" s="30">
        <f t="shared" si="23"/>
        <v>49856.999948509314</v>
      </c>
      <c r="S35" s="30">
        <f t="shared" si="23"/>
        <v>49856.999948509314</v>
      </c>
      <c r="T35" s="30">
        <f t="shared" si="23"/>
        <v>49856.999948509314</v>
      </c>
      <c r="U35" s="30">
        <f t="shared" si="23"/>
        <v>49856.999948509314</v>
      </c>
      <c r="V35" s="30">
        <f t="shared" si="23"/>
        <v>49856.999948509314</v>
      </c>
      <c r="W35" s="30">
        <f t="shared" si="23"/>
        <v>49856.999948509314</v>
      </c>
      <c r="X35" s="30">
        <f t="shared" si="23"/>
        <v>49856.999948509314</v>
      </c>
      <c r="Y35" s="30">
        <f t="shared" si="23"/>
        <v>49856.999948509314</v>
      </c>
      <c r="Z35" s="30">
        <f t="shared" si="23"/>
        <v>49856.999948509314</v>
      </c>
      <c r="AA35" s="30">
        <f t="shared" si="23"/>
        <v>49856.999948509314</v>
      </c>
      <c r="AB35" s="30">
        <f t="shared" si="23"/>
        <v>49856.999948509314</v>
      </c>
      <c r="AC35" s="30">
        <f t="shared" si="23"/>
        <v>49856.999948509314</v>
      </c>
      <c r="BI35" s="1">
        <v>40743.043953446926</v>
      </c>
    </row>
    <row r="36" spans="4:61" x14ac:dyDescent="0.25">
      <c r="BI36" s="1">
        <v>41073.625659286234</v>
      </c>
    </row>
    <row r="37" spans="4:61" x14ac:dyDescent="0.25">
      <c r="BI37" s="1">
        <v>42710.545311346876</v>
      </c>
    </row>
    <row r="38" spans="4:61" x14ac:dyDescent="0.25">
      <c r="D38" s="1" t="s">
        <v>214</v>
      </c>
      <c r="E38" s="31">
        <f>SUM(E35:AC35)</f>
        <v>1246424.9987127325</v>
      </c>
      <c r="BI38" s="1">
        <v>43060.333510120516</v>
      </c>
    </row>
    <row r="39" spans="4:61" x14ac:dyDescent="0.25">
      <c r="E39" s="30"/>
      <c r="BI39" s="1">
        <v>43413.392197829722</v>
      </c>
    </row>
    <row r="40" spans="4:61" x14ac:dyDescent="0.25">
      <c r="BI40" s="1">
        <v>43769.758538051166</v>
      </c>
    </row>
    <row r="41" spans="4:61" x14ac:dyDescent="0.25">
      <c r="BI41" s="1">
        <v>44129.469978572015</v>
      </c>
    </row>
    <row r="42" spans="4:61" x14ac:dyDescent="0.25">
      <c r="BI42" s="1">
        <v>44492.564255946316</v>
      </c>
    </row>
    <row r="43" spans="4:61" x14ac:dyDescent="0.25">
      <c r="BI43" s="1">
        <v>44859.079400063194</v>
      </c>
    </row>
    <row r="44" spans="4:61" x14ac:dyDescent="0.25">
      <c r="BI44" s="1">
        <v>45229.05373872794</v>
      </c>
    </row>
    <row r="45" spans="4:61" x14ac:dyDescent="0.25">
      <c r="BI45" s="1">
        <v>45602.525902256544</v>
      </c>
    </row>
    <row r="46" spans="4:61" x14ac:dyDescent="0.25">
      <c r="BI46" s="1">
        <v>45979.534828084325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667D8-AA82-4273-AD2B-3A853F36816C}">
  <sheetPr>
    <tabColor theme="8" tint="0.79998168889431442"/>
  </sheetPr>
  <dimension ref="A1:AW39"/>
  <sheetViews>
    <sheetView workbookViewId="0">
      <selection activeCell="F54" sqref="F54"/>
    </sheetView>
  </sheetViews>
  <sheetFormatPr defaultRowHeight="15" x14ac:dyDescent="0.25"/>
  <cols>
    <col min="1" max="1" width="23.140625" style="1" bestFit="1" customWidth="1"/>
    <col min="2" max="2" width="13.28515625" style="1" bestFit="1" customWidth="1"/>
    <col min="3" max="3" width="9.140625" style="1"/>
    <col min="4" max="4" width="32.7109375" style="1" bestFit="1" customWidth="1"/>
    <col min="5" max="5" width="37.42578125" style="1" bestFit="1" customWidth="1"/>
    <col min="6" max="7" width="11.5703125" style="1" bestFit="1" customWidth="1"/>
    <col min="8" max="34" width="19" style="1" bestFit="1" customWidth="1"/>
    <col min="35" max="44" width="9.140625" style="1"/>
    <col min="45" max="45" width="38.85546875" style="1" bestFit="1" customWidth="1"/>
    <col min="46" max="16384" width="9.140625" style="1"/>
  </cols>
  <sheetData>
    <row r="1" spans="1:49" x14ac:dyDescent="0.25">
      <c r="A1" s="1" t="s">
        <v>64</v>
      </c>
      <c r="B1" s="17">
        <f>Income!I2</f>
        <v>0.02</v>
      </c>
      <c r="D1" s="1" t="s">
        <v>1</v>
      </c>
      <c r="E1" s="1">
        <v>2025</v>
      </c>
      <c r="F1" s="1">
        <v>2026</v>
      </c>
      <c r="G1" s="1">
        <v>2027</v>
      </c>
      <c r="H1" s="1">
        <v>2028</v>
      </c>
      <c r="I1" s="1">
        <v>2029</v>
      </c>
      <c r="J1" s="1">
        <v>2030</v>
      </c>
      <c r="K1" s="1">
        <v>2031</v>
      </c>
      <c r="L1" s="1">
        <v>2032</v>
      </c>
      <c r="M1" s="1">
        <v>2033</v>
      </c>
      <c r="N1" s="1">
        <v>2034</v>
      </c>
      <c r="O1" s="1">
        <v>2035</v>
      </c>
      <c r="P1" s="1">
        <v>2036</v>
      </c>
      <c r="Q1" s="1">
        <v>2037</v>
      </c>
      <c r="R1" s="1">
        <v>2038</v>
      </c>
      <c r="S1" s="1">
        <v>2039</v>
      </c>
      <c r="T1" s="1">
        <v>2040</v>
      </c>
      <c r="U1" s="1">
        <v>2041</v>
      </c>
      <c r="V1" s="1">
        <v>2042</v>
      </c>
      <c r="W1" s="1">
        <v>2043</v>
      </c>
      <c r="X1" s="1">
        <v>2044</v>
      </c>
      <c r="Y1" s="1">
        <v>2045</v>
      </c>
      <c r="Z1" s="1">
        <v>2046</v>
      </c>
      <c r="AA1" s="1">
        <v>2047</v>
      </c>
      <c r="AB1" s="1">
        <v>2048</v>
      </c>
      <c r="AC1" s="1">
        <v>2049</v>
      </c>
      <c r="AD1" s="1">
        <v>2050</v>
      </c>
      <c r="AE1" s="1">
        <v>2051</v>
      </c>
      <c r="AF1" s="1">
        <v>2052</v>
      </c>
      <c r="AG1" s="1">
        <v>2053</v>
      </c>
      <c r="AH1" s="1">
        <v>2054</v>
      </c>
    </row>
    <row r="2" spans="1:49" x14ac:dyDescent="0.25">
      <c r="A2" s="1" t="s">
        <v>199</v>
      </c>
      <c r="B2" s="32">
        <v>9400</v>
      </c>
      <c r="D2" s="1" t="s">
        <v>200</v>
      </c>
      <c r="E2" s="33" cm="1">
        <f t="array" ref="E2:AH2">TRANSPOSE(Income!O3:O32)</f>
        <v>64001</v>
      </c>
      <c r="F2" s="33">
        <v>64641.01</v>
      </c>
      <c r="G2" s="33">
        <v>65287.420100000003</v>
      </c>
      <c r="H2" s="33">
        <v>68656.240737</v>
      </c>
      <c r="I2" s="33">
        <v>69342.803144370002</v>
      </c>
      <c r="J2" s="33">
        <v>70036.231175813708</v>
      </c>
      <c r="K2" s="33">
        <v>70736.593487571852</v>
      </c>
      <c r="L2" s="33">
        <v>74678.848343723934</v>
      </c>
      <c r="M2" s="33">
        <v>75425.636827161172</v>
      </c>
      <c r="N2" s="33">
        <v>76179.893195432785</v>
      </c>
      <c r="O2" s="33">
        <v>76941.692127387112</v>
      </c>
      <c r="P2" s="33">
        <v>77711.10904866099</v>
      </c>
      <c r="Q2" s="33">
        <v>78488.220139147597</v>
      </c>
      <c r="R2" s="33">
        <v>79273.102340539073</v>
      </c>
      <c r="S2" s="33">
        <v>80065.833363944461</v>
      </c>
      <c r="T2" s="33">
        <v>80866.491697583901</v>
      </c>
      <c r="U2" s="33">
        <v>81675.156614559746</v>
      </c>
      <c r="V2" s="33">
        <v>82491.908180705344</v>
      </c>
      <c r="W2" s="33">
        <v>83316.827262512394</v>
      </c>
      <c r="X2" s="33">
        <v>84149.995535137525</v>
      </c>
      <c r="Y2" s="33">
        <v>90018.769616489066</v>
      </c>
      <c r="Z2" s="33">
        <v>90918.957312653962</v>
      </c>
      <c r="AA2" s="33">
        <v>91828.146885780501</v>
      </c>
      <c r="AB2" s="33">
        <v>92746.428354638309</v>
      </c>
      <c r="AC2" s="33">
        <v>93673.892638184698</v>
      </c>
      <c r="AD2" s="33">
        <v>94610.631564566545</v>
      </c>
      <c r="AE2" s="33">
        <v>95556.737880212211</v>
      </c>
      <c r="AF2" s="33">
        <v>96512.305259014334</v>
      </c>
      <c r="AG2" s="33">
        <v>97477.428311604483</v>
      </c>
      <c r="AH2" s="33">
        <v>98452.202594720526</v>
      </c>
      <c r="AS2" s="1" t="s">
        <v>215</v>
      </c>
      <c r="AT2" s="1" cm="1">
        <f t="array" ref="AT2:AT31">TRANSPOSE(E16:AH16)</f>
        <v>34952.202499266663</v>
      </c>
    </row>
    <row r="3" spans="1:49" x14ac:dyDescent="0.25">
      <c r="D3" s="1" t="s">
        <v>190</v>
      </c>
      <c r="E3" s="33">
        <f>E2*12</f>
        <v>768012</v>
      </c>
      <c r="F3" s="33">
        <f t="shared" ref="F3:AH3" si="0">F2*12</f>
        <v>775692.12</v>
      </c>
      <c r="G3" s="33">
        <f t="shared" si="0"/>
        <v>783449.04120000009</v>
      </c>
      <c r="H3" s="33">
        <f t="shared" si="0"/>
        <v>823874.88884399994</v>
      </c>
      <c r="I3" s="33">
        <f t="shared" si="0"/>
        <v>832113.63773244002</v>
      </c>
      <c r="J3" s="33">
        <f t="shared" si="0"/>
        <v>840434.77410976449</v>
      </c>
      <c r="K3" s="33">
        <f t="shared" si="0"/>
        <v>848839.12185086217</v>
      </c>
      <c r="L3" s="33">
        <f t="shared" si="0"/>
        <v>896146.18012468726</v>
      </c>
      <c r="M3" s="33">
        <f t="shared" si="0"/>
        <v>905107.641925934</v>
      </c>
      <c r="N3" s="33">
        <f t="shared" si="0"/>
        <v>914158.71834519343</v>
      </c>
      <c r="O3" s="33">
        <f t="shared" si="0"/>
        <v>923300.3055286454</v>
      </c>
      <c r="P3" s="33">
        <f t="shared" si="0"/>
        <v>932533.30858393188</v>
      </c>
      <c r="Q3" s="33">
        <f t="shared" si="0"/>
        <v>941858.64166977117</v>
      </c>
      <c r="R3" s="33">
        <f t="shared" si="0"/>
        <v>951277.22808646888</v>
      </c>
      <c r="S3" s="33">
        <f t="shared" si="0"/>
        <v>960790.00036733353</v>
      </c>
      <c r="T3" s="33">
        <f t="shared" si="0"/>
        <v>970397.90037100681</v>
      </c>
      <c r="U3" s="33">
        <f t="shared" si="0"/>
        <v>980101.8793747169</v>
      </c>
      <c r="V3" s="33">
        <f t="shared" si="0"/>
        <v>989902.89816846419</v>
      </c>
      <c r="W3" s="33">
        <f t="shared" si="0"/>
        <v>999801.92715014867</v>
      </c>
      <c r="X3" s="33">
        <f t="shared" si="0"/>
        <v>1009799.9464216502</v>
      </c>
      <c r="Y3" s="33">
        <f t="shared" si="0"/>
        <v>1080225.2353978688</v>
      </c>
      <c r="Z3" s="33">
        <f t="shared" si="0"/>
        <v>1091027.4877518476</v>
      </c>
      <c r="AA3" s="33">
        <f t="shared" si="0"/>
        <v>1101937.762629366</v>
      </c>
      <c r="AB3" s="33">
        <f t="shared" si="0"/>
        <v>1112957.1402556598</v>
      </c>
      <c r="AC3" s="33">
        <f t="shared" si="0"/>
        <v>1124086.7116582163</v>
      </c>
      <c r="AD3" s="33">
        <f t="shared" si="0"/>
        <v>1135327.5787747987</v>
      </c>
      <c r="AE3" s="33">
        <f t="shared" si="0"/>
        <v>1146680.8545625466</v>
      </c>
      <c r="AF3" s="33">
        <f t="shared" si="0"/>
        <v>1158147.6631081719</v>
      </c>
      <c r="AG3" s="33">
        <f t="shared" si="0"/>
        <v>1169729.1397392538</v>
      </c>
      <c r="AH3" s="33">
        <f t="shared" si="0"/>
        <v>1181426.4311366463</v>
      </c>
      <c r="AT3" s="1">
        <v>35236.003034716843</v>
      </c>
    </row>
    <row r="4" spans="1:49" x14ac:dyDescent="0.25">
      <c r="A4" s="1" t="str" cm="1">
        <f t="array" ref="A4:B12">'Salary Variables'!$B$16:$C$24</f>
        <v>AM (%)</v>
      </c>
      <c r="B4" s="17">
        <v>0.08</v>
      </c>
      <c r="D4" s="18" t="s">
        <v>189</v>
      </c>
      <c r="E4" s="33">
        <f>'Pensions P2'!B4*12</f>
        <v>38400.600000000006</v>
      </c>
      <c r="F4" s="33">
        <f>'Pensions P2'!C4*12</f>
        <v>38784.606</v>
      </c>
      <c r="G4" s="33">
        <f>'Pensions P2'!D4*12</f>
        <v>39172.452060000003</v>
      </c>
      <c r="H4" s="33">
        <f>'Pensions P2'!E4*12</f>
        <v>41193.744442200004</v>
      </c>
      <c r="I4" s="33">
        <f>'Pensions P2'!F4*12</f>
        <v>41605.681886622006</v>
      </c>
      <c r="J4" s="33">
        <f>'Pensions P2'!G4*12</f>
        <v>42021.738705488227</v>
      </c>
      <c r="K4" s="33">
        <f>'Pensions P2'!H4*12</f>
        <v>42441.956092543114</v>
      </c>
      <c r="L4" s="33">
        <f>'Pensions P2'!I4*12</f>
        <v>44807.309006234362</v>
      </c>
      <c r="M4" s="33">
        <f>'Pensions P2'!J4*12</f>
        <v>45255.382096296707</v>
      </c>
      <c r="N4" s="33">
        <f>'Pensions P2'!K4*12</f>
        <v>45707.935917259674</v>
      </c>
      <c r="O4" s="33">
        <f>'Pensions P2'!L4*12</f>
        <v>46165.01527643227</v>
      </c>
      <c r="P4" s="33">
        <f>'Pensions P2'!M4*12</f>
        <v>46626.665429196597</v>
      </c>
      <c r="Q4" s="33">
        <f>'Pensions P2'!N4*12</f>
        <v>47092.932083488558</v>
      </c>
      <c r="R4" s="33">
        <f>'Pensions P2'!O4*12</f>
        <v>47563.861404323448</v>
      </c>
      <c r="S4" s="33">
        <f>'Pensions P2'!P4*12</f>
        <v>48039.500018366678</v>
      </c>
      <c r="T4" s="33">
        <f>'Pensions P2'!Q4*12</f>
        <v>48519.895018550342</v>
      </c>
      <c r="U4" s="33">
        <f>'Pensions P2'!R4*12</f>
        <v>49005.093968735848</v>
      </c>
      <c r="V4" s="33">
        <f>'Pensions P2'!S4*12</f>
        <v>49495.144908423201</v>
      </c>
      <c r="W4" s="33">
        <f>'Pensions P2'!T4*12</f>
        <v>49990.096357507442</v>
      </c>
      <c r="X4" s="33">
        <f>'Pensions P2'!U4*12</f>
        <v>50489.997321082519</v>
      </c>
      <c r="Y4" s="33">
        <f>'Pensions P2'!V4*12</f>
        <v>54011.261769893434</v>
      </c>
      <c r="Z4" s="33">
        <f>'Pensions P2'!W4*12</f>
        <v>54551.374387592383</v>
      </c>
      <c r="AA4" s="33">
        <f>'Pensions P2'!X4*12</f>
        <v>55096.888131468295</v>
      </c>
      <c r="AB4" s="33">
        <f>'Pensions P2'!Y4*12</f>
        <v>55647.857012782988</v>
      </c>
      <c r="AC4" s="33">
        <f>'Pensions P2'!Z4*12</f>
        <v>56204.335582910819</v>
      </c>
      <c r="AD4" s="33">
        <f>'Pensions P2'!AA4*12</f>
        <v>56766.37893873993</v>
      </c>
      <c r="AE4" s="33">
        <f>'Pensions P2'!AB4*12</f>
        <v>57334.04272812733</v>
      </c>
      <c r="AF4" s="33">
        <f>'Pensions P2'!AC4*12</f>
        <v>57907.383155408606</v>
      </c>
      <c r="AG4" s="33">
        <f>'Pensions P2'!AD4*12</f>
        <v>58486.456986962694</v>
      </c>
      <c r="AH4" s="33">
        <f>'Pensions P2'!AE4*12</f>
        <v>59071.321556832321</v>
      </c>
      <c r="AT4" s="1">
        <v>35522.186814532179</v>
      </c>
    </row>
    <row r="5" spans="1:49" x14ac:dyDescent="0.25">
      <c r="A5" s="1" t="str">
        <v>Personal Allowance</v>
      </c>
      <c r="B5" s="1">
        <v>51600</v>
      </c>
      <c r="D5" s="1" t="s">
        <v>191</v>
      </c>
      <c r="E5" s="33">
        <f>E3-E4</f>
        <v>729611.4</v>
      </c>
      <c r="F5" s="33">
        <f t="shared" ref="F5:AH5" si="1">F3-F4</f>
        <v>736907.51399999997</v>
      </c>
      <c r="G5" s="33">
        <f t="shared" si="1"/>
        <v>744276.58914000005</v>
      </c>
      <c r="H5" s="33">
        <f t="shared" si="1"/>
        <v>782681.14440179989</v>
      </c>
      <c r="I5" s="33">
        <f t="shared" si="1"/>
        <v>790507.95584581804</v>
      </c>
      <c r="J5" s="33">
        <f t="shared" si="1"/>
        <v>798413.03540427622</v>
      </c>
      <c r="K5" s="33">
        <f t="shared" si="1"/>
        <v>806397.16575831908</v>
      </c>
      <c r="L5" s="33">
        <f t="shared" si="1"/>
        <v>851338.87111845287</v>
      </c>
      <c r="M5" s="33">
        <f t="shared" si="1"/>
        <v>859852.25982963725</v>
      </c>
      <c r="N5" s="33">
        <f t="shared" si="1"/>
        <v>868450.78242793377</v>
      </c>
      <c r="O5" s="33">
        <f t="shared" si="1"/>
        <v>877135.29025221313</v>
      </c>
      <c r="P5" s="33">
        <f t="shared" si="1"/>
        <v>885906.64315473533</v>
      </c>
      <c r="Q5" s="33">
        <f t="shared" si="1"/>
        <v>894765.70958628261</v>
      </c>
      <c r="R5" s="33">
        <f t="shared" si="1"/>
        <v>903713.3666821454</v>
      </c>
      <c r="S5" s="33">
        <f t="shared" si="1"/>
        <v>912750.5003489668</v>
      </c>
      <c r="T5" s="33">
        <f t="shared" si="1"/>
        <v>921878.00535245647</v>
      </c>
      <c r="U5" s="33">
        <f t="shared" si="1"/>
        <v>931096.78540598101</v>
      </c>
      <c r="V5" s="33">
        <f t="shared" si="1"/>
        <v>940407.753260041</v>
      </c>
      <c r="W5" s="33">
        <f t="shared" si="1"/>
        <v>949811.83079264127</v>
      </c>
      <c r="X5" s="33">
        <f t="shared" si="1"/>
        <v>959309.94910056773</v>
      </c>
      <c r="Y5" s="33">
        <f t="shared" si="1"/>
        <v>1026213.9736279753</v>
      </c>
      <c r="Z5" s="33">
        <f t="shared" si="1"/>
        <v>1036476.1133642552</v>
      </c>
      <c r="AA5" s="33">
        <f t="shared" si="1"/>
        <v>1046840.8744978977</v>
      </c>
      <c r="AB5" s="33">
        <f t="shared" si="1"/>
        <v>1057309.2832428769</v>
      </c>
      <c r="AC5" s="33">
        <f t="shared" si="1"/>
        <v>1067882.3760753055</v>
      </c>
      <c r="AD5" s="33">
        <f t="shared" si="1"/>
        <v>1078561.1998360588</v>
      </c>
      <c r="AE5" s="33">
        <f t="shared" si="1"/>
        <v>1089346.8118344191</v>
      </c>
      <c r="AF5" s="33">
        <f>AF3-AF4</f>
        <v>1100240.2799527633</v>
      </c>
      <c r="AG5" s="33">
        <f t="shared" si="1"/>
        <v>1111242.6827522912</v>
      </c>
      <c r="AH5" s="33">
        <f t="shared" si="1"/>
        <v>1122355.1095798139</v>
      </c>
      <c r="AT5" s="1">
        <v>36949.94306315064</v>
      </c>
    </row>
    <row r="6" spans="1:49" x14ac:dyDescent="0.25">
      <c r="A6" s="1" t="str">
        <v>Bottom-Bracket State Tax rate (%)</v>
      </c>
      <c r="B6" s="28">
        <v>0.1201</v>
      </c>
      <c r="D6" s="1" t="s">
        <v>244</v>
      </c>
      <c r="E6" s="32">
        <f t="shared" ref="E6:AH6" si="2">E5*(1-$B$4)</f>
        <v>671242.48800000001</v>
      </c>
      <c r="F6" s="32">
        <f t="shared" si="2"/>
        <v>677954.91287999996</v>
      </c>
      <c r="G6" s="32">
        <f t="shared" si="2"/>
        <v>684734.46200880012</v>
      </c>
      <c r="H6" s="32">
        <f t="shared" si="2"/>
        <v>720066.65284965595</v>
      </c>
      <c r="I6" s="32">
        <f t="shared" si="2"/>
        <v>727267.31937815261</v>
      </c>
      <c r="J6" s="32">
        <f t="shared" si="2"/>
        <v>734539.99257193413</v>
      </c>
      <c r="K6" s="32">
        <f t="shared" si="2"/>
        <v>741885.39249765361</v>
      </c>
      <c r="L6" s="32">
        <f t="shared" si="2"/>
        <v>783231.76142897666</v>
      </c>
      <c r="M6" s="32">
        <f t="shared" si="2"/>
        <v>791064.07904326625</v>
      </c>
      <c r="N6" s="32">
        <f t="shared" si="2"/>
        <v>798974.71983369906</v>
      </c>
      <c r="O6" s="32">
        <f t="shared" si="2"/>
        <v>806964.46703203616</v>
      </c>
      <c r="P6" s="32">
        <f t="shared" si="2"/>
        <v>815034.11170235649</v>
      </c>
      <c r="Q6" s="32">
        <f t="shared" si="2"/>
        <v>823184.45281938009</v>
      </c>
      <c r="R6" s="32">
        <f t="shared" si="2"/>
        <v>831416.2973475738</v>
      </c>
      <c r="S6" s="32">
        <f t="shared" si="2"/>
        <v>839730.46032104944</v>
      </c>
      <c r="T6" s="32">
        <f t="shared" si="2"/>
        <v>848127.76492425997</v>
      </c>
      <c r="U6" s="32">
        <f t="shared" si="2"/>
        <v>856609.04257350252</v>
      </c>
      <c r="V6" s="32">
        <f t="shared" si="2"/>
        <v>865175.13299923774</v>
      </c>
      <c r="W6" s="32">
        <f t="shared" si="2"/>
        <v>873826.88432923006</v>
      </c>
      <c r="X6" s="32">
        <f t="shared" si="2"/>
        <v>882565.15317252232</v>
      </c>
      <c r="Y6" s="32">
        <f t="shared" si="2"/>
        <v>944116.85573773738</v>
      </c>
      <c r="Z6" s="32">
        <f t="shared" si="2"/>
        <v>953558.0242951148</v>
      </c>
      <c r="AA6" s="32">
        <f t="shared" si="2"/>
        <v>963093.60453806596</v>
      </c>
      <c r="AB6" s="32">
        <f t="shared" si="2"/>
        <v>972724.54058344674</v>
      </c>
      <c r="AC6" s="32">
        <f t="shared" si="2"/>
        <v>982451.78598928114</v>
      </c>
      <c r="AD6" s="32">
        <f t="shared" si="2"/>
        <v>992276.30384917406</v>
      </c>
      <c r="AE6" s="32">
        <f t="shared" si="2"/>
        <v>1002199.0668876657</v>
      </c>
      <c r="AF6" s="32">
        <f t="shared" si="2"/>
        <v>1012221.0575565423</v>
      </c>
      <c r="AG6" s="32">
        <f t="shared" si="2"/>
        <v>1022343.2681321079</v>
      </c>
      <c r="AH6" s="32">
        <f t="shared" si="2"/>
        <v>1032566.7008134288</v>
      </c>
      <c r="AT6" s="1">
        <v>37252.383297077184</v>
      </c>
    </row>
    <row r="7" spans="1:49" x14ac:dyDescent="0.25">
      <c r="A7" s="1" t="str">
        <v>Top-bracket State Tax rate (%)</v>
      </c>
      <c r="B7" s="28">
        <v>0.15</v>
      </c>
      <c r="D7" s="1" t="s">
        <v>239</v>
      </c>
      <c r="E7" s="32">
        <f>$B$5</f>
        <v>51600</v>
      </c>
      <c r="F7" s="32">
        <f t="shared" ref="F7:AH7" si="3">$B$5</f>
        <v>51600</v>
      </c>
      <c r="G7" s="32">
        <f t="shared" si="3"/>
        <v>51600</v>
      </c>
      <c r="H7" s="32">
        <f t="shared" si="3"/>
        <v>51600</v>
      </c>
      <c r="I7" s="32">
        <f t="shared" si="3"/>
        <v>51600</v>
      </c>
      <c r="J7" s="32">
        <f t="shared" si="3"/>
        <v>51600</v>
      </c>
      <c r="K7" s="32">
        <f t="shared" si="3"/>
        <v>51600</v>
      </c>
      <c r="L7" s="32">
        <f t="shared" si="3"/>
        <v>51600</v>
      </c>
      <c r="M7" s="32">
        <f t="shared" si="3"/>
        <v>51600</v>
      </c>
      <c r="N7" s="32">
        <f t="shared" si="3"/>
        <v>51600</v>
      </c>
      <c r="O7" s="32">
        <f t="shared" si="3"/>
        <v>51600</v>
      </c>
      <c r="P7" s="32">
        <f t="shared" si="3"/>
        <v>51600</v>
      </c>
      <c r="Q7" s="32">
        <f t="shared" si="3"/>
        <v>51600</v>
      </c>
      <c r="R7" s="32">
        <f t="shared" si="3"/>
        <v>51600</v>
      </c>
      <c r="S7" s="32">
        <f t="shared" si="3"/>
        <v>51600</v>
      </c>
      <c r="T7" s="32">
        <f t="shared" si="3"/>
        <v>51600</v>
      </c>
      <c r="U7" s="32">
        <f t="shared" si="3"/>
        <v>51600</v>
      </c>
      <c r="V7" s="32">
        <f t="shared" si="3"/>
        <v>51600</v>
      </c>
      <c r="W7" s="32">
        <f t="shared" si="3"/>
        <v>51600</v>
      </c>
      <c r="X7" s="32">
        <f t="shared" si="3"/>
        <v>51600</v>
      </c>
      <c r="Y7" s="32">
        <f t="shared" si="3"/>
        <v>51600</v>
      </c>
      <c r="Z7" s="32">
        <f t="shared" si="3"/>
        <v>51600</v>
      </c>
      <c r="AA7" s="32">
        <f t="shared" si="3"/>
        <v>51600</v>
      </c>
      <c r="AB7" s="32">
        <f t="shared" si="3"/>
        <v>51600</v>
      </c>
      <c r="AC7" s="32">
        <f t="shared" si="3"/>
        <v>51600</v>
      </c>
      <c r="AD7" s="32">
        <f t="shared" si="3"/>
        <v>51600</v>
      </c>
      <c r="AE7" s="32">
        <f t="shared" si="3"/>
        <v>51600</v>
      </c>
      <c r="AF7" s="32">
        <f t="shared" si="3"/>
        <v>51600</v>
      </c>
      <c r="AG7" s="32">
        <f t="shared" si="3"/>
        <v>51600</v>
      </c>
      <c r="AH7" s="32">
        <f t="shared" si="3"/>
        <v>51600</v>
      </c>
      <c r="AI7" s="32"/>
      <c r="AJ7" s="32"/>
      <c r="AK7" s="32"/>
      <c r="AL7" s="32"/>
      <c r="AM7" s="32"/>
      <c r="AN7" s="32"/>
      <c r="AO7" s="32"/>
      <c r="AP7" s="32"/>
      <c r="AQ7" s="32"/>
      <c r="AR7" s="32"/>
      <c r="AS7" s="32"/>
      <c r="AT7" s="32">
        <v>37557.419401905827</v>
      </c>
      <c r="AU7" s="32"/>
      <c r="AV7" s="32"/>
      <c r="AW7" s="32"/>
    </row>
    <row r="8" spans="1:49" x14ac:dyDescent="0.25">
      <c r="A8" s="1" t="str">
        <v>State Tax Bracket Threshold</v>
      </c>
      <c r="B8" s="32">
        <v>618400</v>
      </c>
      <c r="D8" s="1" t="s">
        <v>245</v>
      </c>
      <c r="E8" s="32">
        <f>E6-E7</f>
        <v>619642.48800000001</v>
      </c>
      <c r="F8" s="32">
        <f t="shared" ref="F8:AH8" si="4">F6-F7</f>
        <v>626354.91287999996</v>
      </c>
      <c r="G8" s="32">
        <f t="shared" si="4"/>
        <v>633134.46200880012</v>
      </c>
      <c r="H8" s="32">
        <f t="shared" si="4"/>
        <v>668466.65284965595</v>
      </c>
      <c r="I8" s="32">
        <f t="shared" si="4"/>
        <v>675667.31937815261</v>
      </c>
      <c r="J8" s="32">
        <f t="shared" si="4"/>
        <v>682939.99257193413</v>
      </c>
      <c r="K8" s="32">
        <f t="shared" si="4"/>
        <v>690285.39249765361</v>
      </c>
      <c r="L8" s="32">
        <f t="shared" si="4"/>
        <v>731631.76142897666</v>
      </c>
      <c r="M8" s="32">
        <f t="shared" si="4"/>
        <v>739464.07904326625</v>
      </c>
      <c r="N8" s="32">
        <f t="shared" si="4"/>
        <v>747374.71983369906</v>
      </c>
      <c r="O8" s="32">
        <f t="shared" si="4"/>
        <v>755364.46703203616</v>
      </c>
      <c r="P8" s="32">
        <f t="shared" si="4"/>
        <v>763434.11170235649</v>
      </c>
      <c r="Q8" s="32">
        <f t="shared" si="4"/>
        <v>771584.45281938009</v>
      </c>
      <c r="R8" s="32">
        <f t="shared" si="4"/>
        <v>779816.2973475738</v>
      </c>
      <c r="S8" s="32">
        <f t="shared" si="4"/>
        <v>788130.46032104944</v>
      </c>
      <c r="T8" s="32">
        <f t="shared" si="4"/>
        <v>796527.76492425997</v>
      </c>
      <c r="U8" s="32">
        <f t="shared" si="4"/>
        <v>805009.04257350252</v>
      </c>
      <c r="V8" s="32">
        <f t="shared" si="4"/>
        <v>813575.13299923774</v>
      </c>
      <c r="W8" s="32">
        <f t="shared" si="4"/>
        <v>822226.88432923006</v>
      </c>
      <c r="X8" s="32">
        <f t="shared" si="4"/>
        <v>830965.15317252232</v>
      </c>
      <c r="Y8" s="32">
        <f t="shared" si="4"/>
        <v>892516.85573773738</v>
      </c>
      <c r="Z8" s="32">
        <f t="shared" si="4"/>
        <v>901958.0242951148</v>
      </c>
      <c r="AA8" s="32">
        <f t="shared" si="4"/>
        <v>911493.60453806596</v>
      </c>
      <c r="AB8" s="32">
        <f t="shared" si="4"/>
        <v>921124.54058344674</v>
      </c>
      <c r="AC8" s="32">
        <f t="shared" si="4"/>
        <v>930851.78598928114</v>
      </c>
      <c r="AD8" s="32">
        <f t="shared" si="4"/>
        <v>940676.30384917406</v>
      </c>
      <c r="AE8" s="32">
        <f t="shared" si="4"/>
        <v>950599.06688766566</v>
      </c>
      <c r="AF8" s="32">
        <f t="shared" si="4"/>
        <v>960621.05755654234</v>
      </c>
      <c r="AG8" s="32">
        <f t="shared" si="4"/>
        <v>970743.26813210791</v>
      </c>
      <c r="AH8" s="32">
        <f t="shared" si="4"/>
        <v>980966.70081342885</v>
      </c>
      <c r="AI8" s="32"/>
      <c r="AJ8" s="32"/>
      <c r="AK8" s="32"/>
      <c r="AL8" s="32"/>
      <c r="AM8" s="32"/>
      <c r="AN8" s="32"/>
      <c r="AO8" s="32"/>
      <c r="AP8" s="32"/>
      <c r="AQ8" s="32"/>
      <c r="AR8" s="32"/>
      <c r="AS8" s="32"/>
      <c r="AT8" s="32">
        <v>37865.085738922811</v>
      </c>
      <c r="AU8" s="32"/>
      <c r="AV8" s="32"/>
      <c r="AW8" s="32"/>
    </row>
    <row r="9" spans="1:49" x14ac:dyDescent="0.25">
      <c r="A9" s="1" t="str">
        <v>Municipal Tax (%)</v>
      </c>
      <c r="B9" s="17">
        <v>0.25</v>
      </c>
      <c r="D9" s="1" t="s">
        <v>193</v>
      </c>
      <c r="E9" s="32">
        <f>E6*$B$9</f>
        <v>167810.622</v>
      </c>
      <c r="F9" s="32">
        <f t="shared" ref="F9:AH9" si="5">F6*$B$9</f>
        <v>169488.72821999999</v>
      </c>
      <c r="G9" s="32">
        <f t="shared" si="5"/>
        <v>171183.61550220003</v>
      </c>
      <c r="H9" s="32">
        <f t="shared" si="5"/>
        <v>180016.66321241399</v>
      </c>
      <c r="I9" s="32">
        <f t="shared" si="5"/>
        <v>181816.82984453815</v>
      </c>
      <c r="J9" s="32">
        <f t="shared" si="5"/>
        <v>183634.99814298353</v>
      </c>
      <c r="K9" s="32">
        <f t="shared" si="5"/>
        <v>185471.3481244134</v>
      </c>
      <c r="L9" s="32">
        <f t="shared" si="5"/>
        <v>195807.94035724417</v>
      </c>
      <c r="M9" s="32">
        <f t="shared" si="5"/>
        <v>197766.01976081656</v>
      </c>
      <c r="N9" s="32">
        <f t="shared" si="5"/>
        <v>199743.67995842476</v>
      </c>
      <c r="O9" s="32">
        <f t="shared" si="5"/>
        <v>201741.11675800904</v>
      </c>
      <c r="P9" s="32">
        <f t="shared" si="5"/>
        <v>203758.52792558912</v>
      </c>
      <c r="Q9" s="32">
        <f t="shared" si="5"/>
        <v>205796.11320484502</v>
      </c>
      <c r="R9" s="32">
        <f t="shared" si="5"/>
        <v>207854.07433689345</v>
      </c>
      <c r="S9" s="32">
        <f t="shared" si="5"/>
        <v>209932.61508026236</v>
      </c>
      <c r="T9" s="32">
        <f t="shared" si="5"/>
        <v>212031.94123106499</v>
      </c>
      <c r="U9" s="32">
        <f t="shared" si="5"/>
        <v>214152.26064337563</v>
      </c>
      <c r="V9" s="32">
        <f t="shared" si="5"/>
        <v>216293.78324980944</v>
      </c>
      <c r="W9" s="32">
        <f t="shared" si="5"/>
        <v>218456.72108230751</v>
      </c>
      <c r="X9" s="32">
        <f t="shared" si="5"/>
        <v>220641.28829313058</v>
      </c>
      <c r="Y9" s="32">
        <f t="shared" si="5"/>
        <v>236029.21393443434</v>
      </c>
      <c r="Z9" s="32">
        <f t="shared" si="5"/>
        <v>238389.5060737787</v>
      </c>
      <c r="AA9" s="32">
        <f t="shared" si="5"/>
        <v>240773.40113451649</v>
      </c>
      <c r="AB9" s="32">
        <f t="shared" si="5"/>
        <v>243181.13514586168</v>
      </c>
      <c r="AC9" s="32">
        <f t="shared" si="5"/>
        <v>245612.94649732028</v>
      </c>
      <c r="AD9" s="32">
        <f t="shared" si="5"/>
        <v>248069.07596229351</v>
      </c>
      <c r="AE9" s="32">
        <f t="shared" si="5"/>
        <v>250549.76672191641</v>
      </c>
      <c r="AF9" s="32">
        <f t="shared" si="5"/>
        <v>253055.26438913558</v>
      </c>
      <c r="AG9" s="32">
        <f t="shared" si="5"/>
        <v>255585.81703302698</v>
      </c>
      <c r="AH9" s="32">
        <f t="shared" si="5"/>
        <v>258141.67520335721</v>
      </c>
      <c r="AI9" s="32"/>
      <c r="AJ9" s="32"/>
      <c r="AK9" s="32"/>
      <c r="AL9" s="32"/>
      <c r="AM9" s="32"/>
      <c r="AN9" s="32"/>
      <c r="AO9" s="32"/>
      <c r="AP9" s="32"/>
      <c r="AQ9" s="32"/>
      <c r="AR9" s="32"/>
      <c r="AS9" s="32"/>
      <c r="AT9" s="32">
        <v>39532.234719232925</v>
      </c>
      <c r="AU9" s="32"/>
      <c r="AV9" s="32"/>
      <c r="AW9" s="32"/>
    </row>
    <row r="10" spans="1:49" x14ac:dyDescent="0.25">
      <c r="A10" s="1" t="str">
        <v>Capital Gains &lt; 67,500DKK</v>
      </c>
      <c r="B10" s="32">
        <v>0.27</v>
      </c>
      <c r="D10" s="1" t="s">
        <v>194</v>
      </c>
      <c r="E10" s="32">
        <f>MAX(E8-$B$8,0)*$B$7</f>
        <v>186.37320000000182</v>
      </c>
      <c r="F10" s="32">
        <f t="shared" ref="F10:AH10" si="6">MAX(F8-$B$8,0)*$B$7</f>
        <v>1193.2369319999939</v>
      </c>
      <c r="G10" s="32">
        <f t="shared" si="6"/>
        <v>2210.1693013200188</v>
      </c>
      <c r="H10" s="32">
        <f t="shared" si="6"/>
        <v>7509.9979274483921</v>
      </c>
      <c r="I10" s="32">
        <f t="shared" si="6"/>
        <v>8590.0979067228909</v>
      </c>
      <c r="J10" s="32">
        <f t="shared" si="6"/>
        <v>9680.9988857901189</v>
      </c>
      <c r="K10" s="32">
        <f t="shared" si="6"/>
        <v>10782.808874648041</v>
      </c>
      <c r="L10" s="32">
        <f t="shared" si="6"/>
        <v>16984.764214346498</v>
      </c>
      <c r="M10" s="32">
        <f t="shared" si="6"/>
        <v>18159.611856489937</v>
      </c>
      <c r="N10" s="32">
        <f t="shared" si="6"/>
        <v>19346.207975054858</v>
      </c>
      <c r="O10" s="32">
        <f t="shared" si="6"/>
        <v>20544.670054805425</v>
      </c>
      <c r="P10" s="32">
        <f t="shared" si="6"/>
        <v>21755.116755353472</v>
      </c>
      <c r="Q10" s="32">
        <f t="shared" si="6"/>
        <v>22977.667922907014</v>
      </c>
      <c r="R10" s="32">
        <f t="shared" si="6"/>
        <v>24212.444602136067</v>
      </c>
      <c r="S10" s="32">
        <f t="shared" si="6"/>
        <v>25459.569048157417</v>
      </c>
      <c r="T10" s="32">
        <f t="shared" si="6"/>
        <v>26719.164738638996</v>
      </c>
      <c r="U10" s="32">
        <f t="shared" si="6"/>
        <v>27991.356386025378</v>
      </c>
      <c r="V10" s="32">
        <f t="shared" si="6"/>
        <v>29276.26994988566</v>
      </c>
      <c r="W10" s="32">
        <f t="shared" si="6"/>
        <v>30574.032649384506</v>
      </c>
      <c r="X10" s="32">
        <f t="shared" si="6"/>
        <v>31884.772975878346</v>
      </c>
      <c r="Y10" s="32">
        <f t="shared" si="6"/>
        <v>41117.528360660603</v>
      </c>
      <c r="Z10" s="32">
        <f t="shared" si="6"/>
        <v>42533.703644267218</v>
      </c>
      <c r="AA10" s="32">
        <f t="shared" si="6"/>
        <v>43964.040680709892</v>
      </c>
      <c r="AB10" s="32">
        <f t="shared" si="6"/>
        <v>45408.681087517012</v>
      </c>
      <c r="AC10" s="32">
        <f t="shared" si="6"/>
        <v>46867.767898392172</v>
      </c>
      <c r="AD10" s="32">
        <f t="shared" si="6"/>
        <v>48341.445577376107</v>
      </c>
      <c r="AE10" s="32">
        <f t="shared" si="6"/>
        <v>49829.860033149846</v>
      </c>
      <c r="AF10" s="32">
        <f t="shared" si="6"/>
        <v>51333.158633481347</v>
      </c>
      <c r="AG10" s="32">
        <f t="shared" si="6"/>
        <v>52851.490219816187</v>
      </c>
      <c r="AH10" s="32">
        <f t="shared" si="6"/>
        <v>54385.005122014329</v>
      </c>
      <c r="AI10" s="32"/>
      <c r="AJ10" s="32"/>
      <c r="AK10" s="32"/>
      <c r="AL10" s="32"/>
      <c r="AM10" s="32"/>
      <c r="AN10" s="32"/>
      <c r="AO10" s="32"/>
      <c r="AP10" s="32"/>
      <c r="AQ10" s="32"/>
      <c r="AR10" s="32"/>
      <c r="AS10" s="32"/>
      <c r="AT10" s="32">
        <v>39858.833503639704</v>
      </c>
      <c r="AU10" s="32"/>
      <c r="AV10" s="32"/>
      <c r="AW10" s="32"/>
    </row>
    <row r="11" spans="1:49" x14ac:dyDescent="0.25">
      <c r="A11" s="1" t="str">
        <v>Capital Gains &gt; 67,500DKK</v>
      </c>
      <c r="B11" s="17">
        <v>0.42</v>
      </c>
      <c r="D11" s="1" t="s">
        <v>195</v>
      </c>
      <c r="E11" s="32">
        <f>E8*$B$6</f>
        <v>74419.062808799994</v>
      </c>
      <c r="F11" s="32">
        <f t="shared" ref="F11:AH11" si="7">F8*$B$6</f>
        <v>75225.22503688799</v>
      </c>
      <c r="G11" s="32">
        <f t="shared" si="7"/>
        <v>76039.448887256891</v>
      </c>
      <c r="H11" s="32">
        <f t="shared" si="7"/>
        <v>80282.845007243683</v>
      </c>
      <c r="I11" s="32">
        <f t="shared" si="7"/>
        <v>81147.645057316127</v>
      </c>
      <c r="J11" s="32">
        <f t="shared" si="7"/>
        <v>82021.09310788929</v>
      </c>
      <c r="K11" s="32">
        <f t="shared" si="7"/>
        <v>82903.275638968204</v>
      </c>
      <c r="L11" s="32">
        <f t="shared" si="7"/>
        <v>87868.974547620091</v>
      </c>
      <c r="M11" s="32">
        <f t="shared" si="7"/>
        <v>88809.635893096274</v>
      </c>
      <c r="N11" s="32">
        <f t="shared" si="7"/>
        <v>89759.703852027262</v>
      </c>
      <c r="O11" s="32">
        <f t="shared" si="7"/>
        <v>90719.272490547548</v>
      </c>
      <c r="P11" s="32">
        <f t="shared" si="7"/>
        <v>91688.436815453009</v>
      </c>
      <c r="Q11" s="32">
        <f t="shared" si="7"/>
        <v>92667.292783607554</v>
      </c>
      <c r="R11" s="32">
        <f t="shared" si="7"/>
        <v>93655.937311443617</v>
      </c>
      <c r="S11" s="32">
        <f t="shared" si="7"/>
        <v>94654.468284558039</v>
      </c>
      <c r="T11" s="32">
        <f t="shared" si="7"/>
        <v>95662.984567403619</v>
      </c>
      <c r="U11" s="32">
        <f t="shared" si="7"/>
        <v>96681.586013077656</v>
      </c>
      <c r="V11" s="32">
        <f t="shared" si="7"/>
        <v>97710.373473208456</v>
      </c>
      <c r="W11" s="32">
        <f t="shared" si="7"/>
        <v>98749.448807940527</v>
      </c>
      <c r="X11" s="32">
        <f t="shared" si="7"/>
        <v>99798.914896019924</v>
      </c>
      <c r="Y11" s="32">
        <f t="shared" si="7"/>
        <v>107191.27437410226</v>
      </c>
      <c r="Z11" s="32">
        <f t="shared" si="7"/>
        <v>108325.15871784328</v>
      </c>
      <c r="AA11" s="32">
        <f t="shared" si="7"/>
        <v>109470.38190502173</v>
      </c>
      <c r="AB11" s="32">
        <f t="shared" si="7"/>
        <v>110627.05732407195</v>
      </c>
      <c r="AC11" s="32">
        <f t="shared" si="7"/>
        <v>111795.29949731266</v>
      </c>
      <c r="AD11" s="32">
        <f t="shared" si="7"/>
        <v>112975.2240922858</v>
      </c>
      <c r="AE11" s="32">
        <f t="shared" si="7"/>
        <v>114166.94793320865</v>
      </c>
      <c r="AF11" s="32">
        <f t="shared" si="7"/>
        <v>115370.58901254073</v>
      </c>
      <c r="AG11" s="32">
        <f t="shared" si="7"/>
        <v>116586.26650266616</v>
      </c>
      <c r="AH11" s="32">
        <f t="shared" si="7"/>
        <v>117814.1007676928</v>
      </c>
      <c r="AI11" s="32"/>
      <c r="AJ11" s="32"/>
      <c r="AK11" s="32"/>
      <c r="AL11" s="32"/>
      <c r="AM11" s="32"/>
      <c r="AN11" s="32"/>
      <c r="AO11" s="32"/>
      <c r="AP11" s="32"/>
      <c r="AQ11" s="32"/>
      <c r="AR11" s="32"/>
      <c r="AS11" s="32"/>
      <c r="AT11" s="32">
        <v>40188.30237908243</v>
      </c>
      <c r="AU11" s="32"/>
      <c r="AV11" s="32"/>
      <c r="AW11" s="32"/>
    </row>
    <row r="12" spans="1:49" x14ac:dyDescent="0.25">
      <c r="A12" s="1" t="str">
        <v>Capital Gains Threshold</v>
      </c>
      <c r="B12" s="57">
        <v>67500</v>
      </c>
      <c r="D12" s="1" t="s">
        <v>196</v>
      </c>
      <c r="E12" s="32">
        <f>SUM(E9:E11)</f>
        <v>242416.0580088</v>
      </c>
      <c r="F12" s="32">
        <f t="shared" ref="F12:AH12" si="8">SUM(F9:F11)</f>
        <v>245907.19018888799</v>
      </c>
      <c r="G12" s="32">
        <f t="shared" si="8"/>
        <v>249433.23369077692</v>
      </c>
      <c r="H12" s="32">
        <f t="shared" si="8"/>
        <v>267809.50614710606</v>
      </c>
      <c r="I12" s="32">
        <f t="shared" si="8"/>
        <v>271554.57280857716</v>
      </c>
      <c r="J12" s="32">
        <f t="shared" si="8"/>
        <v>275337.09013666294</v>
      </c>
      <c r="K12" s="32">
        <f t="shared" si="8"/>
        <v>279157.43263802963</v>
      </c>
      <c r="L12" s="32">
        <f t="shared" si="8"/>
        <v>300661.67911921075</v>
      </c>
      <c r="M12" s="32">
        <f t="shared" si="8"/>
        <v>304735.26751040277</v>
      </c>
      <c r="N12" s="32">
        <f t="shared" si="8"/>
        <v>308849.59178550687</v>
      </c>
      <c r="O12" s="32">
        <f t="shared" si="8"/>
        <v>313005.05930336204</v>
      </c>
      <c r="P12" s="32">
        <f t="shared" si="8"/>
        <v>317202.08149639558</v>
      </c>
      <c r="Q12" s="32">
        <f t="shared" si="8"/>
        <v>321441.07391135959</v>
      </c>
      <c r="R12" s="32">
        <f t="shared" si="8"/>
        <v>325722.45625047316</v>
      </c>
      <c r="S12" s="32">
        <f t="shared" si="8"/>
        <v>330046.65241297783</v>
      </c>
      <c r="T12" s="32">
        <f t="shared" si="8"/>
        <v>334414.09053710761</v>
      </c>
      <c r="U12" s="32">
        <f t="shared" si="8"/>
        <v>338825.20304247865</v>
      </c>
      <c r="V12" s="32">
        <f t="shared" si="8"/>
        <v>343280.42667290359</v>
      </c>
      <c r="W12" s="32">
        <f t="shared" si="8"/>
        <v>347780.20253963256</v>
      </c>
      <c r="X12" s="32">
        <f t="shared" si="8"/>
        <v>352324.97616502887</v>
      </c>
      <c r="Y12" s="32">
        <f t="shared" si="8"/>
        <v>384338.01666919718</v>
      </c>
      <c r="Z12" s="32">
        <f t="shared" si="8"/>
        <v>389248.36843588919</v>
      </c>
      <c r="AA12" s="32">
        <f t="shared" si="8"/>
        <v>394207.82372024813</v>
      </c>
      <c r="AB12" s="32">
        <f t="shared" si="8"/>
        <v>399216.87355745066</v>
      </c>
      <c r="AC12" s="32">
        <f t="shared" si="8"/>
        <v>404276.01389302511</v>
      </c>
      <c r="AD12" s="32">
        <f t="shared" si="8"/>
        <v>409385.74563195539</v>
      </c>
      <c r="AE12" s="32">
        <f t="shared" si="8"/>
        <v>414546.57468827494</v>
      </c>
      <c r="AF12" s="32">
        <f t="shared" si="8"/>
        <v>419759.01203515765</v>
      </c>
      <c r="AG12" s="32">
        <f t="shared" si="8"/>
        <v>425023.57375550934</v>
      </c>
      <c r="AH12" s="32">
        <f t="shared" si="8"/>
        <v>430340.78109306435</v>
      </c>
      <c r="AI12" s="32"/>
      <c r="AJ12" s="32"/>
      <c r="AK12" s="32"/>
      <c r="AL12" s="32"/>
      <c r="AM12" s="32"/>
      <c r="AN12" s="32"/>
      <c r="AO12" s="32"/>
      <c r="AP12" s="32"/>
      <c r="AQ12" s="32"/>
      <c r="AR12" s="32"/>
      <c r="AS12" s="32"/>
      <c r="AT12" s="32">
        <v>40520.677809153967</v>
      </c>
      <c r="AU12" s="32"/>
      <c r="AV12" s="32"/>
      <c r="AW12" s="32"/>
    </row>
    <row r="13" spans="1:49" x14ac:dyDescent="0.25">
      <c r="B13" s="37"/>
      <c r="D13" s="1" t="s">
        <v>197</v>
      </c>
      <c r="E13" s="32">
        <f>E6-E12</f>
        <v>428826.42999119998</v>
      </c>
      <c r="F13" s="32">
        <f t="shared" ref="F13:AH13" si="9">F6-F12</f>
        <v>432047.72269111197</v>
      </c>
      <c r="G13" s="32">
        <f t="shared" si="9"/>
        <v>435301.2283180232</v>
      </c>
      <c r="H13" s="32">
        <f t="shared" si="9"/>
        <v>452257.14670254989</v>
      </c>
      <c r="I13" s="32">
        <f t="shared" si="9"/>
        <v>455712.74656957545</v>
      </c>
      <c r="J13" s="32">
        <f t="shared" si="9"/>
        <v>459202.90243527119</v>
      </c>
      <c r="K13" s="32">
        <f t="shared" si="9"/>
        <v>462727.95985962398</v>
      </c>
      <c r="L13" s="32">
        <f t="shared" si="9"/>
        <v>482570.08230976592</v>
      </c>
      <c r="M13" s="32">
        <f t="shared" si="9"/>
        <v>486328.81153286347</v>
      </c>
      <c r="N13" s="32">
        <f t="shared" si="9"/>
        <v>490125.12804819219</v>
      </c>
      <c r="O13" s="32">
        <f t="shared" si="9"/>
        <v>493959.40772867412</v>
      </c>
      <c r="P13" s="32">
        <f t="shared" si="9"/>
        <v>497832.03020596091</v>
      </c>
      <c r="Q13" s="32">
        <f t="shared" si="9"/>
        <v>501743.3789080205</v>
      </c>
      <c r="R13" s="32">
        <f t="shared" si="9"/>
        <v>505693.84109710064</v>
      </c>
      <c r="S13" s="32">
        <f t="shared" si="9"/>
        <v>509683.80790807161</v>
      </c>
      <c r="T13" s="32">
        <f t="shared" si="9"/>
        <v>513713.67438715236</v>
      </c>
      <c r="U13" s="32">
        <f t="shared" si="9"/>
        <v>517783.83953102387</v>
      </c>
      <c r="V13" s="32">
        <f t="shared" si="9"/>
        <v>521894.70632633416</v>
      </c>
      <c r="W13" s="32">
        <f t="shared" si="9"/>
        <v>526046.6817895975</v>
      </c>
      <c r="X13" s="32">
        <f t="shared" si="9"/>
        <v>530240.17700749345</v>
      </c>
      <c r="Y13" s="32">
        <f t="shared" si="9"/>
        <v>559778.83906854014</v>
      </c>
      <c r="Z13" s="32">
        <f t="shared" si="9"/>
        <v>564309.65585922566</v>
      </c>
      <c r="AA13" s="32">
        <f t="shared" si="9"/>
        <v>568885.7808178179</v>
      </c>
      <c r="AB13" s="32">
        <f t="shared" si="9"/>
        <v>573507.66702599614</v>
      </c>
      <c r="AC13" s="32">
        <f t="shared" si="9"/>
        <v>578175.77209625603</v>
      </c>
      <c r="AD13" s="32">
        <f t="shared" si="9"/>
        <v>582890.55821721861</v>
      </c>
      <c r="AE13" s="32">
        <f t="shared" si="9"/>
        <v>587652.49219939066</v>
      </c>
      <c r="AF13" s="32">
        <f t="shared" si="9"/>
        <v>592462.04552138469</v>
      </c>
      <c r="AG13" s="32">
        <f t="shared" si="9"/>
        <v>597319.69437659858</v>
      </c>
      <c r="AH13" s="32">
        <f t="shared" si="9"/>
        <v>602225.9197203645</v>
      </c>
      <c r="AI13" s="32"/>
      <c r="AJ13" s="32"/>
      <c r="AK13" s="32"/>
      <c r="AL13" s="32"/>
      <c r="AM13" s="32"/>
      <c r="AN13" s="32"/>
      <c r="AO13" s="32"/>
      <c r="AP13" s="32"/>
      <c r="AQ13" s="32"/>
      <c r="AR13" s="32"/>
      <c r="AS13" s="32"/>
      <c r="AT13" s="32">
        <v>40855.996469873666</v>
      </c>
      <c r="AU13" s="32"/>
      <c r="AV13" s="32"/>
      <c r="AW13" s="32"/>
    </row>
    <row r="14" spans="1:49" x14ac:dyDescent="0.25">
      <c r="D14" s="1" t="s">
        <v>198</v>
      </c>
      <c r="E14" s="32">
        <f>$B$2/(1+$B$1)^(E1-$E$1)</f>
        <v>9400</v>
      </c>
      <c r="F14" s="32">
        <f t="shared" ref="F14:AH14" si="10">$B$2/(1+$B$1)^(F1-$E$1)</f>
        <v>9215.6862745098042</v>
      </c>
      <c r="G14" s="32">
        <f t="shared" si="10"/>
        <v>9034.9865436370619</v>
      </c>
      <c r="H14" s="32">
        <f t="shared" si="10"/>
        <v>8857.8299447422196</v>
      </c>
      <c r="I14" s="32">
        <f t="shared" si="10"/>
        <v>8684.1470046492341</v>
      </c>
      <c r="J14" s="32">
        <f t="shared" si="10"/>
        <v>8513.8696124012095</v>
      </c>
      <c r="K14" s="32">
        <f t="shared" si="10"/>
        <v>8346.9309925502057</v>
      </c>
      <c r="L14" s="32">
        <f t="shared" si="10"/>
        <v>8183.2656789707908</v>
      </c>
      <c r="M14" s="32">
        <f t="shared" si="10"/>
        <v>8022.8094891870487</v>
      </c>
      <c r="N14" s="32">
        <f t="shared" si="10"/>
        <v>7865.4994992029897</v>
      </c>
      <c r="O14" s="32">
        <f t="shared" si="10"/>
        <v>7711.2740188264597</v>
      </c>
      <c r="P14" s="32">
        <f t="shared" si="10"/>
        <v>7560.0725674769228</v>
      </c>
      <c r="Q14" s="32">
        <f t="shared" si="10"/>
        <v>7411.8358504675698</v>
      </c>
      <c r="R14" s="32">
        <f t="shared" si="10"/>
        <v>7266.5057357525202</v>
      </c>
      <c r="S14" s="32">
        <f t="shared" si="10"/>
        <v>7124.0252311299209</v>
      </c>
      <c r="T14" s="32">
        <f t="shared" si="10"/>
        <v>6984.3384618920809</v>
      </c>
      <c r="U14" s="32">
        <f t="shared" si="10"/>
        <v>6847.3906489138044</v>
      </c>
      <c r="V14" s="32">
        <f t="shared" si="10"/>
        <v>6713.1280871703957</v>
      </c>
      <c r="W14" s="32">
        <f t="shared" si="10"/>
        <v>6581.4981246768593</v>
      </c>
      <c r="X14" s="32">
        <f t="shared" si="10"/>
        <v>6452.4491418400585</v>
      </c>
      <c r="Y14" s="32">
        <f t="shared" si="10"/>
        <v>6325.930531215743</v>
      </c>
      <c r="Z14" s="32">
        <f t="shared" si="10"/>
        <v>6201.892677662493</v>
      </c>
      <c r="AA14" s="32">
        <f t="shared" si="10"/>
        <v>6080.2869388847967</v>
      </c>
      <c r="AB14" s="32">
        <f t="shared" si="10"/>
        <v>5961.0656263576448</v>
      </c>
      <c r="AC14" s="32">
        <f t="shared" si="10"/>
        <v>5844.1819866251417</v>
      </c>
      <c r="AD14" s="32">
        <f t="shared" si="10"/>
        <v>5729.590182965826</v>
      </c>
      <c r="AE14" s="32">
        <f t="shared" si="10"/>
        <v>5617.2452774174753</v>
      </c>
      <c r="AF14" s="32">
        <f t="shared" si="10"/>
        <v>5507.1032131543889</v>
      </c>
      <c r="AG14" s="32">
        <f t="shared" si="10"/>
        <v>5399.1207972101838</v>
      </c>
      <c r="AH14" s="32">
        <f t="shared" si="10"/>
        <v>5293.2556835393971</v>
      </c>
      <c r="AI14" s="32"/>
      <c r="AJ14" s="32"/>
      <c r="AK14" s="32"/>
      <c r="AL14" s="32"/>
      <c r="AM14" s="32"/>
      <c r="AN14" s="32"/>
      <c r="AO14" s="32"/>
      <c r="AP14" s="32"/>
      <c r="AQ14" s="32"/>
      <c r="AR14" s="32"/>
      <c r="AS14" s="32"/>
      <c r="AT14" s="32">
        <v>41194.295254796081</v>
      </c>
      <c r="AU14" s="32"/>
      <c r="AV14" s="32"/>
      <c r="AW14" s="32"/>
    </row>
    <row r="15" spans="1:49" x14ac:dyDescent="0.25">
      <c r="D15" s="1" t="s">
        <v>201</v>
      </c>
      <c r="E15" s="32">
        <f>E13-E14</f>
        <v>419426.42999119998</v>
      </c>
      <c r="F15" s="32">
        <f t="shared" ref="F15:AH15" si="11">F13-F14</f>
        <v>422832.03641660215</v>
      </c>
      <c r="G15" s="32">
        <f t="shared" si="11"/>
        <v>426266.24177438614</v>
      </c>
      <c r="H15" s="32">
        <f t="shared" si="11"/>
        <v>443399.31675780768</v>
      </c>
      <c r="I15" s="32">
        <f t="shared" si="11"/>
        <v>447028.59956492623</v>
      </c>
      <c r="J15" s="32">
        <f t="shared" si="11"/>
        <v>450689.03282286995</v>
      </c>
      <c r="K15" s="32">
        <f t="shared" si="11"/>
        <v>454381.02886707376</v>
      </c>
      <c r="L15" s="32">
        <f t="shared" si="11"/>
        <v>474386.81663079513</v>
      </c>
      <c r="M15" s="32">
        <f t="shared" si="11"/>
        <v>478306.00204367645</v>
      </c>
      <c r="N15" s="32">
        <f t="shared" si="11"/>
        <v>482259.62854898919</v>
      </c>
      <c r="O15" s="32">
        <f t="shared" si="11"/>
        <v>486248.13370984764</v>
      </c>
      <c r="P15" s="32">
        <f t="shared" si="11"/>
        <v>490271.95763848396</v>
      </c>
      <c r="Q15" s="32">
        <f t="shared" si="11"/>
        <v>494331.54305755295</v>
      </c>
      <c r="R15" s="32">
        <f t="shared" si="11"/>
        <v>498427.33536134812</v>
      </c>
      <c r="S15" s="32">
        <f t="shared" si="11"/>
        <v>502559.78267694172</v>
      </c>
      <c r="T15" s="32">
        <f t="shared" si="11"/>
        <v>506729.33592526027</v>
      </c>
      <c r="U15" s="32">
        <f t="shared" si="11"/>
        <v>510936.44888211007</v>
      </c>
      <c r="V15" s="32">
        <f t="shared" si="11"/>
        <v>515181.57823916373</v>
      </c>
      <c r="W15" s="32">
        <f t="shared" si="11"/>
        <v>519465.18366492062</v>
      </c>
      <c r="X15" s="32">
        <f t="shared" si="11"/>
        <v>523787.7278656534</v>
      </c>
      <c r="Y15" s="32">
        <f t="shared" si="11"/>
        <v>553452.9085373244</v>
      </c>
      <c r="Z15" s="32">
        <f t="shared" si="11"/>
        <v>558107.76318156312</v>
      </c>
      <c r="AA15" s="32">
        <f t="shared" si="11"/>
        <v>562805.49387893314</v>
      </c>
      <c r="AB15" s="32">
        <f t="shared" si="11"/>
        <v>567546.60139963846</v>
      </c>
      <c r="AC15" s="32">
        <f t="shared" si="11"/>
        <v>572331.59010963084</v>
      </c>
      <c r="AD15" s="32">
        <f t="shared" si="11"/>
        <v>577160.96803425276</v>
      </c>
      <c r="AE15" s="32">
        <f t="shared" si="11"/>
        <v>582035.24692197319</v>
      </c>
      <c r="AF15" s="32">
        <f t="shared" si="11"/>
        <v>586954.94230823033</v>
      </c>
      <c r="AG15" s="32">
        <f t="shared" si="11"/>
        <v>591920.57357938844</v>
      </c>
      <c r="AH15" s="32">
        <f t="shared" si="11"/>
        <v>596932.66403682507</v>
      </c>
      <c r="AI15" s="32"/>
      <c r="AJ15" s="32"/>
      <c r="AK15" s="32"/>
      <c r="AL15" s="32"/>
      <c r="AM15" s="32"/>
      <c r="AN15" s="32"/>
      <c r="AO15" s="32"/>
      <c r="AP15" s="32"/>
      <c r="AQ15" s="32"/>
      <c r="AR15" s="32"/>
      <c r="AS15" s="32"/>
      <c r="AT15" s="32">
        <v>41535.611280112345</v>
      </c>
      <c r="AU15" s="32"/>
      <c r="AV15" s="32"/>
      <c r="AW15" s="32"/>
    </row>
    <row r="16" spans="1:49" x14ac:dyDescent="0.25">
      <c r="D16" s="1" t="s">
        <v>202</v>
      </c>
      <c r="E16" s="32">
        <f>E15/12</f>
        <v>34952.202499266663</v>
      </c>
      <c r="F16" s="32">
        <f t="shared" ref="F16:AH16" si="12">F15/12</f>
        <v>35236.003034716843</v>
      </c>
      <c r="G16" s="32">
        <f t="shared" si="12"/>
        <v>35522.186814532179</v>
      </c>
      <c r="H16" s="32">
        <f t="shared" si="12"/>
        <v>36949.94306315064</v>
      </c>
      <c r="I16" s="32">
        <f t="shared" si="12"/>
        <v>37252.383297077184</v>
      </c>
      <c r="J16" s="32">
        <f t="shared" si="12"/>
        <v>37557.419401905827</v>
      </c>
      <c r="K16" s="32">
        <f t="shared" si="12"/>
        <v>37865.085738922811</v>
      </c>
      <c r="L16" s="32">
        <f t="shared" si="12"/>
        <v>39532.234719232925</v>
      </c>
      <c r="M16" s="32">
        <f t="shared" si="12"/>
        <v>39858.833503639704</v>
      </c>
      <c r="N16" s="32">
        <f t="shared" si="12"/>
        <v>40188.30237908243</v>
      </c>
      <c r="O16" s="32">
        <f t="shared" si="12"/>
        <v>40520.677809153967</v>
      </c>
      <c r="P16" s="32">
        <f t="shared" si="12"/>
        <v>40855.996469873666</v>
      </c>
      <c r="Q16" s="32">
        <f t="shared" si="12"/>
        <v>41194.295254796081</v>
      </c>
      <c r="R16" s="32">
        <f t="shared" si="12"/>
        <v>41535.611280112345</v>
      </c>
      <c r="S16" s="32">
        <f t="shared" si="12"/>
        <v>41879.981889745141</v>
      </c>
      <c r="T16" s="32">
        <f t="shared" si="12"/>
        <v>42227.444660438356</v>
      </c>
      <c r="U16" s="32">
        <f t="shared" si="12"/>
        <v>42578.037406842508</v>
      </c>
      <c r="V16" s="32">
        <f t="shared" si="12"/>
        <v>42931.798186596978</v>
      </c>
      <c r="W16" s="32">
        <f t="shared" si="12"/>
        <v>43288.765305410052</v>
      </c>
      <c r="X16" s="32">
        <f t="shared" si="12"/>
        <v>43648.977322137784</v>
      </c>
      <c r="Y16" s="32">
        <f t="shared" si="12"/>
        <v>46121.0757114437</v>
      </c>
      <c r="Z16" s="32">
        <f t="shared" si="12"/>
        <v>46508.98026513026</v>
      </c>
      <c r="AA16" s="32">
        <f t="shared" si="12"/>
        <v>46900.457823244426</v>
      </c>
      <c r="AB16" s="32">
        <f t="shared" si="12"/>
        <v>47295.550116636536</v>
      </c>
      <c r="AC16" s="32">
        <f t="shared" si="12"/>
        <v>47694.299175802567</v>
      </c>
      <c r="AD16" s="32">
        <f t="shared" si="12"/>
        <v>48096.747336187727</v>
      </c>
      <c r="AE16" s="32">
        <f t="shared" si="12"/>
        <v>48502.937243497763</v>
      </c>
      <c r="AF16" s="32">
        <f t="shared" si="12"/>
        <v>48912.911859019194</v>
      </c>
      <c r="AG16" s="32">
        <f t="shared" si="12"/>
        <v>49326.714464949036</v>
      </c>
      <c r="AH16" s="32">
        <f t="shared" si="12"/>
        <v>49744.388669735425</v>
      </c>
      <c r="AI16" s="32"/>
      <c r="AJ16" s="32"/>
      <c r="AK16" s="32"/>
      <c r="AL16" s="32"/>
      <c r="AM16" s="32"/>
      <c r="AN16" s="32"/>
      <c r="AO16" s="32"/>
      <c r="AP16" s="32"/>
      <c r="AQ16" s="32"/>
      <c r="AR16" s="32"/>
      <c r="AS16" s="32"/>
      <c r="AT16" s="32">
        <v>41879.981889745141</v>
      </c>
      <c r="AU16" s="32"/>
      <c r="AV16" s="32"/>
      <c r="AW16" s="32"/>
    </row>
    <row r="17" spans="3:46" x14ac:dyDescent="0.25">
      <c r="AT17" s="1">
        <v>42227.444660438356</v>
      </c>
    </row>
    <row r="18" spans="3:46" x14ac:dyDescent="0.25">
      <c r="AT18" s="1">
        <v>42578.037406842508</v>
      </c>
    </row>
    <row r="19" spans="3:46" x14ac:dyDescent="0.25">
      <c r="C19" s="18"/>
      <c r="AT19" s="1">
        <v>42931.798186596978</v>
      </c>
    </row>
    <row r="20" spans="3:46" x14ac:dyDescent="0.25">
      <c r="D20" s="30"/>
      <c r="AT20" s="1">
        <v>43288.765305410052</v>
      </c>
    </row>
    <row r="21" spans="3:46" x14ac:dyDescent="0.25">
      <c r="D21" s="1" t="s">
        <v>1</v>
      </c>
      <c r="E21" s="1">
        <v>2055</v>
      </c>
      <c r="F21" s="1">
        <v>2056</v>
      </c>
      <c r="G21" s="1">
        <v>2057</v>
      </c>
      <c r="H21" s="1">
        <v>2058</v>
      </c>
      <c r="I21" s="1">
        <v>2059</v>
      </c>
      <c r="J21" s="1">
        <v>2060</v>
      </c>
      <c r="K21" s="1">
        <v>2061</v>
      </c>
      <c r="L21" s="1">
        <v>2062</v>
      </c>
      <c r="M21" s="1">
        <v>2063</v>
      </c>
      <c r="N21" s="1">
        <v>2064</v>
      </c>
      <c r="O21" s="1">
        <v>2065</v>
      </c>
      <c r="P21" s="1">
        <v>2066</v>
      </c>
      <c r="Q21" s="1">
        <v>2067</v>
      </c>
      <c r="R21" s="1">
        <v>2068</v>
      </c>
      <c r="S21" s="1">
        <v>2069</v>
      </c>
      <c r="T21" s="1">
        <v>2070</v>
      </c>
      <c r="U21" s="1">
        <v>2071</v>
      </c>
      <c r="V21" s="1">
        <v>2072</v>
      </c>
      <c r="W21" s="1">
        <v>2073</v>
      </c>
      <c r="X21" s="1">
        <v>2074</v>
      </c>
      <c r="Y21" s="1">
        <v>2075</v>
      </c>
      <c r="Z21" s="1">
        <v>2076</v>
      </c>
      <c r="AA21" s="1">
        <v>2077</v>
      </c>
      <c r="AB21" s="1">
        <v>2078</v>
      </c>
      <c r="AC21" s="1">
        <v>2079</v>
      </c>
      <c r="AT21" s="1">
        <v>43648.977322137784</v>
      </c>
    </row>
    <row r="22" spans="3:46" x14ac:dyDescent="0.25">
      <c r="D22" s="18" t="s">
        <v>209</v>
      </c>
      <c r="E22" s="30">
        <f>'Pensions P2'!$B$14+'Pensions P2'!$B$22</f>
        <v>24174.569082434704</v>
      </c>
      <c r="F22" s="30">
        <f>'Pensions P2'!$B$14+'Pensions P2'!$B$22</f>
        <v>24174.569082434704</v>
      </c>
      <c r="G22" s="30">
        <f>'Pensions P2'!$B$14+'Pensions P2'!$B$22</f>
        <v>24174.569082434704</v>
      </c>
      <c r="H22" s="30">
        <f>'Pensions P2'!$B$14+'Pensions P2'!$B$22</f>
        <v>24174.569082434704</v>
      </c>
      <c r="I22" s="30">
        <f>'Pensions P2'!$B$14+'Pensions P2'!$B$22</f>
        <v>24174.569082434704</v>
      </c>
      <c r="J22" s="30">
        <f>'Pensions P2'!$B$14+'Pensions P2'!$B$22</f>
        <v>24174.569082434704</v>
      </c>
      <c r="K22" s="30">
        <f>'Pensions P2'!$B$14+'Pensions P2'!$B$22</f>
        <v>24174.569082434704</v>
      </c>
      <c r="L22" s="30">
        <f>'Pensions P2'!$B$14+'Pensions P2'!$B$22</f>
        <v>24174.569082434704</v>
      </c>
      <c r="M22" s="30">
        <f>'Pensions P2'!$B$14+'Pensions P2'!$B$22</f>
        <v>24174.569082434704</v>
      </c>
      <c r="N22" s="30">
        <f>'Pensions P2'!$B$14+'Pensions P2'!$B$22</f>
        <v>24174.569082434704</v>
      </c>
      <c r="O22" s="30">
        <f>'Pensions P2'!$B$14+'Pensions P2'!$B$22</f>
        <v>24174.569082434704</v>
      </c>
      <c r="P22" s="30">
        <f>'Pensions P2'!$B$14+'Pensions P2'!$B$22</f>
        <v>24174.569082434704</v>
      </c>
      <c r="Q22" s="30">
        <f>'Pensions P2'!$B$14+'Pensions P2'!$B$22</f>
        <v>24174.569082434704</v>
      </c>
      <c r="R22" s="30">
        <f>'Pensions P2'!$B$14+'Pensions P2'!$B$22</f>
        <v>24174.569082434704</v>
      </c>
      <c r="S22" s="30">
        <f>'Pensions P2'!$B$14+'Pensions P2'!$B$22</f>
        <v>24174.569082434704</v>
      </c>
      <c r="T22" s="30">
        <f>'Pensions P2'!$B$14+'Pensions P2'!$B$22</f>
        <v>24174.569082434704</v>
      </c>
      <c r="U22" s="30">
        <f>'Pensions P2'!$B$14+'Pensions P2'!$B$22</f>
        <v>24174.569082434704</v>
      </c>
      <c r="V22" s="30">
        <f>'Pensions P2'!$B$14+'Pensions P2'!$B$22</f>
        <v>24174.569082434704</v>
      </c>
      <c r="W22" s="30">
        <f>'Pensions P2'!$B$14+'Pensions P2'!$B$22</f>
        <v>24174.569082434704</v>
      </c>
      <c r="X22" s="30">
        <f>'Pensions P2'!$B$14+'Pensions P2'!$B$22</f>
        <v>24174.569082434704</v>
      </c>
      <c r="Y22" s="30">
        <f>'Pensions P2'!$B$14+'Pensions P2'!$B$22</f>
        <v>24174.569082434704</v>
      </c>
      <c r="Z22" s="30">
        <f>'Pensions P2'!$B$14+'Pensions P2'!$B$22</f>
        <v>24174.569082434704</v>
      </c>
      <c r="AA22" s="30">
        <f>'Pensions P2'!$B$14+'Pensions P2'!$B$22</f>
        <v>24174.569082434704</v>
      </c>
      <c r="AB22" s="30">
        <f>'Pensions P2'!$B$14+'Pensions P2'!$B$22</f>
        <v>24174.569082434704</v>
      </c>
      <c r="AC22" s="30">
        <f>'Pensions P2'!$B$14+'Pensions P2'!$B$22</f>
        <v>24174.569082434704</v>
      </c>
      <c r="AT22" s="1">
        <v>46121.0757114437</v>
      </c>
    </row>
    <row r="23" spans="3:46" x14ac:dyDescent="0.25">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T23" s="1">
        <v>46508.98026513026</v>
      </c>
    </row>
    <row r="24" spans="3:46" x14ac:dyDescent="0.25">
      <c r="D24" s="1" t="s">
        <v>210</v>
      </c>
      <c r="E24" s="30">
        <f>E22*12</f>
        <v>290094.82898921648</v>
      </c>
      <c r="F24" s="30">
        <f t="shared" ref="F24:AC24" si="13">F22*12</f>
        <v>290094.82898921648</v>
      </c>
      <c r="G24" s="30">
        <f t="shared" si="13"/>
        <v>290094.82898921648</v>
      </c>
      <c r="H24" s="30">
        <f t="shared" si="13"/>
        <v>290094.82898921648</v>
      </c>
      <c r="I24" s="30">
        <f t="shared" si="13"/>
        <v>290094.82898921648</v>
      </c>
      <c r="J24" s="30">
        <f t="shared" si="13"/>
        <v>290094.82898921648</v>
      </c>
      <c r="K24" s="30">
        <f t="shared" si="13"/>
        <v>290094.82898921648</v>
      </c>
      <c r="L24" s="30">
        <f t="shared" si="13"/>
        <v>290094.82898921648</v>
      </c>
      <c r="M24" s="30">
        <f t="shared" si="13"/>
        <v>290094.82898921648</v>
      </c>
      <c r="N24" s="30">
        <f t="shared" si="13"/>
        <v>290094.82898921648</v>
      </c>
      <c r="O24" s="30">
        <f t="shared" si="13"/>
        <v>290094.82898921648</v>
      </c>
      <c r="P24" s="30">
        <f t="shared" si="13"/>
        <v>290094.82898921648</v>
      </c>
      <c r="Q24" s="30">
        <f t="shared" si="13"/>
        <v>290094.82898921648</v>
      </c>
      <c r="R24" s="30">
        <f t="shared" si="13"/>
        <v>290094.82898921648</v>
      </c>
      <c r="S24" s="30">
        <f t="shared" si="13"/>
        <v>290094.82898921648</v>
      </c>
      <c r="T24" s="30">
        <f t="shared" si="13"/>
        <v>290094.82898921648</v>
      </c>
      <c r="U24" s="30">
        <f t="shared" si="13"/>
        <v>290094.82898921648</v>
      </c>
      <c r="V24" s="30">
        <f t="shared" si="13"/>
        <v>290094.82898921648</v>
      </c>
      <c r="W24" s="30">
        <f t="shared" si="13"/>
        <v>290094.82898921648</v>
      </c>
      <c r="X24" s="30">
        <f t="shared" si="13"/>
        <v>290094.82898921648</v>
      </c>
      <c r="Y24" s="30">
        <f t="shared" si="13"/>
        <v>290094.82898921648</v>
      </c>
      <c r="Z24" s="30">
        <f t="shared" si="13"/>
        <v>290094.82898921648</v>
      </c>
      <c r="AA24" s="30">
        <f t="shared" si="13"/>
        <v>290094.82898921648</v>
      </c>
      <c r="AB24" s="30">
        <f t="shared" si="13"/>
        <v>290094.82898921648</v>
      </c>
      <c r="AC24" s="30">
        <f t="shared" si="13"/>
        <v>290094.82898921648</v>
      </c>
      <c r="AT24" s="1">
        <v>46900.457823244426</v>
      </c>
    </row>
    <row r="25" spans="3:46" x14ac:dyDescent="0.25">
      <c r="D25" s="1" t="s">
        <v>193</v>
      </c>
      <c r="E25" s="30">
        <f t="shared" ref="E25:AC25" si="14">E24*$B$11</f>
        <v>121839.82817547092</v>
      </c>
      <c r="F25" s="30">
        <f t="shared" si="14"/>
        <v>121839.82817547092</v>
      </c>
      <c r="G25" s="30">
        <f t="shared" si="14"/>
        <v>121839.82817547092</v>
      </c>
      <c r="H25" s="30">
        <f t="shared" si="14"/>
        <v>121839.82817547092</v>
      </c>
      <c r="I25" s="30">
        <f t="shared" si="14"/>
        <v>121839.82817547092</v>
      </c>
      <c r="J25" s="30">
        <f t="shared" si="14"/>
        <v>121839.82817547092</v>
      </c>
      <c r="K25" s="30">
        <f t="shared" si="14"/>
        <v>121839.82817547092</v>
      </c>
      <c r="L25" s="30">
        <f t="shared" si="14"/>
        <v>121839.82817547092</v>
      </c>
      <c r="M25" s="30">
        <f t="shared" si="14"/>
        <v>121839.82817547092</v>
      </c>
      <c r="N25" s="30">
        <f t="shared" si="14"/>
        <v>121839.82817547092</v>
      </c>
      <c r="O25" s="30">
        <f t="shared" si="14"/>
        <v>121839.82817547092</v>
      </c>
      <c r="P25" s="30">
        <f t="shared" si="14"/>
        <v>121839.82817547092</v>
      </c>
      <c r="Q25" s="30">
        <f t="shared" si="14"/>
        <v>121839.82817547092</v>
      </c>
      <c r="R25" s="30">
        <f t="shared" si="14"/>
        <v>121839.82817547092</v>
      </c>
      <c r="S25" s="30">
        <f t="shared" si="14"/>
        <v>121839.82817547092</v>
      </c>
      <c r="T25" s="30">
        <f t="shared" si="14"/>
        <v>121839.82817547092</v>
      </c>
      <c r="U25" s="30">
        <f t="shared" si="14"/>
        <v>121839.82817547092</v>
      </c>
      <c r="V25" s="30">
        <f t="shared" si="14"/>
        <v>121839.82817547092</v>
      </c>
      <c r="W25" s="30">
        <f t="shared" si="14"/>
        <v>121839.82817547092</v>
      </c>
      <c r="X25" s="30">
        <f t="shared" si="14"/>
        <v>121839.82817547092</v>
      </c>
      <c r="Y25" s="30">
        <f t="shared" si="14"/>
        <v>121839.82817547092</v>
      </c>
      <c r="Z25" s="30">
        <f t="shared" si="14"/>
        <v>121839.82817547092</v>
      </c>
      <c r="AA25" s="30">
        <f t="shared" si="14"/>
        <v>121839.82817547092</v>
      </c>
      <c r="AB25" s="30">
        <f t="shared" si="14"/>
        <v>121839.82817547092</v>
      </c>
      <c r="AC25" s="30">
        <f t="shared" si="14"/>
        <v>121839.82817547092</v>
      </c>
      <c r="AT25" s="1">
        <v>47295.550116636536</v>
      </c>
    </row>
    <row r="26" spans="3:46" x14ac:dyDescent="0.25">
      <c r="D26" s="1" t="s">
        <v>194</v>
      </c>
      <c r="E26" s="30">
        <f t="shared" ref="E26:AC26" si="15">MAX(E24-$B$10,0)*$B$9</f>
        <v>72523.639747304114</v>
      </c>
      <c r="F26" s="30">
        <f t="shared" si="15"/>
        <v>72523.639747304114</v>
      </c>
      <c r="G26" s="30">
        <f t="shared" si="15"/>
        <v>72523.639747304114</v>
      </c>
      <c r="H26" s="30">
        <f t="shared" si="15"/>
        <v>72523.639747304114</v>
      </c>
      <c r="I26" s="30">
        <f t="shared" si="15"/>
        <v>72523.639747304114</v>
      </c>
      <c r="J26" s="30">
        <f t="shared" si="15"/>
        <v>72523.639747304114</v>
      </c>
      <c r="K26" s="30">
        <f t="shared" si="15"/>
        <v>72523.639747304114</v>
      </c>
      <c r="L26" s="30">
        <f t="shared" si="15"/>
        <v>72523.639747304114</v>
      </c>
      <c r="M26" s="30">
        <f t="shared" si="15"/>
        <v>72523.639747304114</v>
      </c>
      <c r="N26" s="30">
        <f t="shared" si="15"/>
        <v>72523.639747304114</v>
      </c>
      <c r="O26" s="30">
        <f t="shared" si="15"/>
        <v>72523.639747304114</v>
      </c>
      <c r="P26" s="30">
        <f t="shared" si="15"/>
        <v>72523.639747304114</v>
      </c>
      <c r="Q26" s="30">
        <f t="shared" si="15"/>
        <v>72523.639747304114</v>
      </c>
      <c r="R26" s="30">
        <f t="shared" si="15"/>
        <v>72523.639747304114</v>
      </c>
      <c r="S26" s="30">
        <f t="shared" si="15"/>
        <v>72523.639747304114</v>
      </c>
      <c r="T26" s="30">
        <f t="shared" si="15"/>
        <v>72523.639747304114</v>
      </c>
      <c r="U26" s="30">
        <f t="shared" si="15"/>
        <v>72523.639747304114</v>
      </c>
      <c r="V26" s="30">
        <f t="shared" si="15"/>
        <v>72523.639747304114</v>
      </c>
      <c r="W26" s="30">
        <f t="shared" si="15"/>
        <v>72523.639747304114</v>
      </c>
      <c r="X26" s="30">
        <f t="shared" si="15"/>
        <v>72523.639747304114</v>
      </c>
      <c r="Y26" s="30">
        <f t="shared" si="15"/>
        <v>72523.639747304114</v>
      </c>
      <c r="Z26" s="30">
        <f t="shared" si="15"/>
        <v>72523.639747304114</v>
      </c>
      <c r="AA26" s="30">
        <f t="shared" si="15"/>
        <v>72523.639747304114</v>
      </c>
      <c r="AB26" s="30">
        <f t="shared" si="15"/>
        <v>72523.639747304114</v>
      </c>
      <c r="AC26" s="30">
        <f t="shared" si="15"/>
        <v>72523.639747304114</v>
      </c>
      <c r="AT26" s="1">
        <v>47694.299175802567</v>
      </c>
    </row>
    <row r="27" spans="3:46" x14ac:dyDescent="0.25">
      <c r="D27" s="1" t="s">
        <v>195</v>
      </c>
      <c r="E27" s="30">
        <f t="shared" ref="E27:AC27" si="16">E24*$B$6</f>
        <v>34840.388961604898</v>
      </c>
      <c r="F27" s="30">
        <f t="shared" si="16"/>
        <v>34840.388961604898</v>
      </c>
      <c r="G27" s="30">
        <f t="shared" si="16"/>
        <v>34840.388961604898</v>
      </c>
      <c r="H27" s="30">
        <f t="shared" si="16"/>
        <v>34840.388961604898</v>
      </c>
      <c r="I27" s="30">
        <f t="shared" si="16"/>
        <v>34840.388961604898</v>
      </c>
      <c r="J27" s="30">
        <f t="shared" si="16"/>
        <v>34840.388961604898</v>
      </c>
      <c r="K27" s="30">
        <f t="shared" si="16"/>
        <v>34840.388961604898</v>
      </c>
      <c r="L27" s="30">
        <f t="shared" si="16"/>
        <v>34840.388961604898</v>
      </c>
      <c r="M27" s="30">
        <f t="shared" si="16"/>
        <v>34840.388961604898</v>
      </c>
      <c r="N27" s="30">
        <f t="shared" si="16"/>
        <v>34840.388961604898</v>
      </c>
      <c r="O27" s="30">
        <f t="shared" si="16"/>
        <v>34840.388961604898</v>
      </c>
      <c r="P27" s="30">
        <f t="shared" si="16"/>
        <v>34840.388961604898</v>
      </c>
      <c r="Q27" s="30">
        <f t="shared" si="16"/>
        <v>34840.388961604898</v>
      </c>
      <c r="R27" s="30">
        <f t="shared" si="16"/>
        <v>34840.388961604898</v>
      </c>
      <c r="S27" s="30">
        <f t="shared" si="16"/>
        <v>34840.388961604898</v>
      </c>
      <c r="T27" s="30">
        <f t="shared" si="16"/>
        <v>34840.388961604898</v>
      </c>
      <c r="U27" s="30">
        <f t="shared" si="16"/>
        <v>34840.388961604898</v>
      </c>
      <c r="V27" s="30">
        <f t="shared" si="16"/>
        <v>34840.388961604898</v>
      </c>
      <c r="W27" s="30">
        <f t="shared" si="16"/>
        <v>34840.388961604898</v>
      </c>
      <c r="X27" s="30">
        <f t="shared" si="16"/>
        <v>34840.388961604898</v>
      </c>
      <c r="Y27" s="30">
        <f t="shared" si="16"/>
        <v>34840.388961604898</v>
      </c>
      <c r="Z27" s="30">
        <f t="shared" si="16"/>
        <v>34840.388961604898</v>
      </c>
      <c r="AA27" s="30">
        <f t="shared" si="16"/>
        <v>34840.388961604898</v>
      </c>
      <c r="AB27" s="30">
        <f t="shared" si="16"/>
        <v>34840.388961604898</v>
      </c>
      <c r="AC27" s="30">
        <f t="shared" si="16"/>
        <v>34840.388961604898</v>
      </c>
      <c r="AT27" s="1">
        <v>48096.747336187727</v>
      </c>
    </row>
    <row r="28" spans="3:46" x14ac:dyDescent="0.25">
      <c r="D28" s="1" t="s">
        <v>196</v>
      </c>
      <c r="E28" s="30">
        <f>SUM(E25:E27)</f>
        <v>229203.85688437993</v>
      </c>
      <c r="F28" s="30">
        <f t="shared" ref="F28:AC28" si="17">SUM(F25:F27)</f>
        <v>229203.85688437993</v>
      </c>
      <c r="G28" s="30">
        <f t="shared" si="17"/>
        <v>229203.85688437993</v>
      </c>
      <c r="H28" s="30">
        <f t="shared" si="17"/>
        <v>229203.85688437993</v>
      </c>
      <c r="I28" s="30">
        <f t="shared" si="17"/>
        <v>229203.85688437993</v>
      </c>
      <c r="J28" s="30">
        <f t="shared" si="17"/>
        <v>229203.85688437993</v>
      </c>
      <c r="K28" s="30">
        <f t="shared" si="17"/>
        <v>229203.85688437993</v>
      </c>
      <c r="L28" s="30">
        <f t="shared" si="17"/>
        <v>229203.85688437993</v>
      </c>
      <c r="M28" s="30">
        <f t="shared" si="17"/>
        <v>229203.85688437993</v>
      </c>
      <c r="N28" s="30">
        <f t="shared" si="17"/>
        <v>229203.85688437993</v>
      </c>
      <c r="O28" s="30">
        <f t="shared" si="17"/>
        <v>229203.85688437993</v>
      </c>
      <c r="P28" s="30">
        <f t="shared" si="17"/>
        <v>229203.85688437993</v>
      </c>
      <c r="Q28" s="30">
        <f t="shared" si="17"/>
        <v>229203.85688437993</v>
      </c>
      <c r="R28" s="30">
        <f t="shared" si="17"/>
        <v>229203.85688437993</v>
      </c>
      <c r="S28" s="30">
        <f t="shared" si="17"/>
        <v>229203.85688437993</v>
      </c>
      <c r="T28" s="30">
        <f t="shared" si="17"/>
        <v>229203.85688437993</v>
      </c>
      <c r="U28" s="30">
        <f t="shared" si="17"/>
        <v>229203.85688437993</v>
      </c>
      <c r="V28" s="30">
        <f t="shared" si="17"/>
        <v>229203.85688437993</v>
      </c>
      <c r="W28" s="30">
        <f t="shared" si="17"/>
        <v>229203.85688437993</v>
      </c>
      <c r="X28" s="30">
        <f t="shared" si="17"/>
        <v>229203.85688437993</v>
      </c>
      <c r="Y28" s="30">
        <f t="shared" si="17"/>
        <v>229203.85688437993</v>
      </c>
      <c r="Z28" s="30">
        <f t="shared" si="17"/>
        <v>229203.85688437993</v>
      </c>
      <c r="AA28" s="30">
        <f t="shared" si="17"/>
        <v>229203.85688437993</v>
      </c>
      <c r="AB28" s="30">
        <f t="shared" si="17"/>
        <v>229203.85688437993</v>
      </c>
      <c r="AC28" s="30">
        <f t="shared" si="17"/>
        <v>229203.85688437993</v>
      </c>
      <c r="AT28" s="1">
        <v>48502.937243497763</v>
      </c>
    </row>
    <row r="29" spans="3:46" x14ac:dyDescent="0.25">
      <c r="D29" s="1" t="s">
        <v>197</v>
      </c>
      <c r="E29" s="30">
        <f>E24-E28</f>
        <v>60890.972104836546</v>
      </c>
      <c r="F29" s="30">
        <f t="shared" ref="F29:AC29" si="18">F24-F28</f>
        <v>60890.972104836546</v>
      </c>
      <c r="G29" s="30">
        <f t="shared" si="18"/>
        <v>60890.972104836546</v>
      </c>
      <c r="H29" s="30">
        <f t="shared" si="18"/>
        <v>60890.972104836546</v>
      </c>
      <c r="I29" s="30">
        <f t="shared" si="18"/>
        <v>60890.972104836546</v>
      </c>
      <c r="J29" s="30">
        <f t="shared" si="18"/>
        <v>60890.972104836546</v>
      </c>
      <c r="K29" s="30">
        <f t="shared" si="18"/>
        <v>60890.972104836546</v>
      </c>
      <c r="L29" s="30">
        <f t="shared" si="18"/>
        <v>60890.972104836546</v>
      </c>
      <c r="M29" s="30">
        <f t="shared" si="18"/>
        <v>60890.972104836546</v>
      </c>
      <c r="N29" s="30">
        <f t="shared" si="18"/>
        <v>60890.972104836546</v>
      </c>
      <c r="O29" s="30">
        <f t="shared" si="18"/>
        <v>60890.972104836546</v>
      </c>
      <c r="P29" s="30">
        <f t="shared" si="18"/>
        <v>60890.972104836546</v>
      </c>
      <c r="Q29" s="30">
        <f t="shared" si="18"/>
        <v>60890.972104836546</v>
      </c>
      <c r="R29" s="30">
        <f t="shared" si="18"/>
        <v>60890.972104836546</v>
      </c>
      <c r="S29" s="30">
        <f t="shared" si="18"/>
        <v>60890.972104836546</v>
      </c>
      <c r="T29" s="30">
        <f t="shared" si="18"/>
        <v>60890.972104836546</v>
      </c>
      <c r="U29" s="30">
        <f t="shared" si="18"/>
        <v>60890.972104836546</v>
      </c>
      <c r="V29" s="30">
        <f t="shared" si="18"/>
        <v>60890.972104836546</v>
      </c>
      <c r="W29" s="30">
        <f t="shared" si="18"/>
        <v>60890.972104836546</v>
      </c>
      <c r="X29" s="30">
        <f t="shared" si="18"/>
        <v>60890.972104836546</v>
      </c>
      <c r="Y29" s="30">
        <f t="shared" si="18"/>
        <v>60890.972104836546</v>
      </c>
      <c r="Z29" s="30">
        <f t="shared" si="18"/>
        <v>60890.972104836546</v>
      </c>
      <c r="AA29" s="30">
        <f t="shared" si="18"/>
        <v>60890.972104836546</v>
      </c>
      <c r="AB29" s="30">
        <f t="shared" si="18"/>
        <v>60890.972104836546</v>
      </c>
      <c r="AC29" s="30">
        <f t="shared" si="18"/>
        <v>60890.972104836546</v>
      </c>
      <c r="AT29" s="1">
        <v>48912.911859019194</v>
      </c>
    </row>
    <row r="30" spans="3:46" x14ac:dyDescent="0.25">
      <c r="D30" s="1" t="s">
        <v>211</v>
      </c>
      <c r="E30" s="30">
        <f>'Pensions P2'!$B$18</f>
        <v>10237.260443113053</v>
      </c>
      <c r="F30" s="30">
        <f>'Pensions P2'!$B$18</f>
        <v>10237.260443113053</v>
      </c>
      <c r="G30" s="30">
        <f>'Pensions P2'!$B$18</f>
        <v>10237.260443113053</v>
      </c>
      <c r="H30" s="30">
        <f>'Pensions P2'!$B$18</f>
        <v>10237.260443113053</v>
      </c>
      <c r="I30" s="30">
        <f>'Pensions P2'!$B$18</f>
        <v>10237.260443113053</v>
      </c>
      <c r="J30" s="30">
        <f>'Pensions P2'!$B$18</f>
        <v>10237.260443113053</v>
      </c>
      <c r="K30" s="30">
        <f>'Pensions P2'!$B$18</f>
        <v>10237.260443113053</v>
      </c>
      <c r="L30" s="30">
        <f>'Pensions P2'!$B$18</f>
        <v>10237.260443113053</v>
      </c>
      <c r="M30" s="30">
        <f>'Pensions P2'!$B$18</f>
        <v>10237.260443113053</v>
      </c>
      <c r="N30" s="30">
        <f>'Pensions P2'!$B$18</f>
        <v>10237.260443113053</v>
      </c>
      <c r="O30" s="30">
        <f>'Pensions P2'!$B$18</f>
        <v>10237.260443113053</v>
      </c>
      <c r="P30" s="30">
        <f>'Pensions P2'!$B$18</f>
        <v>10237.260443113053</v>
      </c>
      <c r="Q30" s="30">
        <f>'Pensions P2'!$B$18</f>
        <v>10237.260443113053</v>
      </c>
      <c r="R30" s="30">
        <f>'Pensions P2'!$B$18</f>
        <v>10237.260443113053</v>
      </c>
      <c r="S30" s="30">
        <f>'Pensions P2'!$B$18</f>
        <v>10237.260443113053</v>
      </c>
      <c r="T30" s="30">
        <f>'Pensions P2'!$B$18</f>
        <v>10237.260443113053</v>
      </c>
      <c r="U30" s="30">
        <f>'Pensions P2'!$B$18</f>
        <v>10237.260443113053</v>
      </c>
      <c r="V30" s="30">
        <f>'Pensions P2'!$B$18</f>
        <v>10237.260443113053</v>
      </c>
      <c r="W30" s="30">
        <f>'Pensions P2'!$B$18</f>
        <v>10237.260443113053</v>
      </c>
      <c r="X30" s="30">
        <f>'Pensions P2'!$B$18</f>
        <v>10237.260443113053</v>
      </c>
      <c r="Y30" s="30">
        <f>'Pensions P2'!$B$18</f>
        <v>10237.260443113053</v>
      </c>
      <c r="Z30" s="30">
        <f>'Pensions P2'!$B$18</f>
        <v>10237.260443113053</v>
      </c>
      <c r="AA30" s="30">
        <f>'Pensions P2'!$B$18</f>
        <v>10237.260443113053</v>
      </c>
      <c r="AB30" s="30">
        <f>'Pensions P2'!$B$18</f>
        <v>10237.260443113053</v>
      </c>
      <c r="AC30" s="30">
        <f>'Pensions P2'!$B$18</f>
        <v>10237.260443113053</v>
      </c>
      <c r="AT30" s="1">
        <v>49326.714464949036</v>
      </c>
    </row>
    <row r="31" spans="3:46" x14ac:dyDescent="0.25">
      <c r="D31" s="1" t="s">
        <v>201</v>
      </c>
      <c r="E31" s="30">
        <f>E30+E29</f>
        <v>71128.232547949592</v>
      </c>
      <c r="F31" s="30">
        <f t="shared" ref="F31:AC31" si="19">F30+F29</f>
        <v>71128.232547949592</v>
      </c>
      <c r="G31" s="30">
        <f t="shared" si="19"/>
        <v>71128.232547949592</v>
      </c>
      <c r="H31" s="30">
        <f t="shared" si="19"/>
        <v>71128.232547949592</v>
      </c>
      <c r="I31" s="30">
        <f t="shared" si="19"/>
        <v>71128.232547949592</v>
      </c>
      <c r="J31" s="30">
        <f t="shared" si="19"/>
        <v>71128.232547949592</v>
      </c>
      <c r="K31" s="30">
        <f t="shared" si="19"/>
        <v>71128.232547949592</v>
      </c>
      <c r="L31" s="30">
        <f t="shared" si="19"/>
        <v>71128.232547949592</v>
      </c>
      <c r="M31" s="30">
        <f t="shared" si="19"/>
        <v>71128.232547949592</v>
      </c>
      <c r="N31" s="30">
        <f t="shared" si="19"/>
        <v>71128.232547949592</v>
      </c>
      <c r="O31" s="30">
        <f t="shared" si="19"/>
        <v>71128.232547949592</v>
      </c>
      <c r="P31" s="30">
        <f t="shared" si="19"/>
        <v>71128.232547949592</v>
      </c>
      <c r="Q31" s="30">
        <f t="shared" si="19"/>
        <v>71128.232547949592</v>
      </c>
      <c r="R31" s="30">
        <f t="shared" si="19"/>
        <v>71128.232547949592</v>
      </c>
      <c r="S31" s="30">
        <f t="shared" si="19"/>
        <v>71128.232547949592</v>
      </c>
      <c r="T31" s="30">
        <f t="shared" si="19"/>
        <v>71128.232547949592</v>
      </c>
      <c r="U31" s="30">
        <f t="shared" si="19"/>
        <v>71128.232547949592</v>
      </c>
      <c r="V31" s="30">
        <f t="shared" si="19"/>
        <v>71128.232547949592</v>
      </c>
      <c r="W31" s="30">
        <f t="shared" si="19"/>
        <v>71128.232547949592</v>
      </c>
      <c r="X31" s="30">
        <f t="shared" si="19"/>
        <v>71128.232547949592</v>
      </c>
      <c r="Y31" s="30">
        <f t="shared" si="19"/>
        <v>71128.232547949592</v>
      </c>
      <c r="Z31" s="30">
        <f t="shared" si="19"/>
        <v>71128.232547949592</v>
      </c>
      <c r="AA31" s="30">
        <f t="shared" si="19"/>
        <v>71128.232547949592</v>
      </c>
      <c r="AB31" s="30">
        <f t="shared" si="19"/>
        <v>71128.232547949592</v>
      </c>
      <c r="AC31" s="30">
        <f t="shared" si="19"/>
        <v>71128.232547949592</v>
      </c>
      <c r="AT31" s="1">
        <v>49744.388669735425</v>
      </c>
    </row>
    <row r="32" spans="3:46" x14ac:dyDescent="0.25">
      <c r="D32" s="1" t="s">
        <v>202</v>
      </c>
      <c r="E32" s="30">
        <f>E31/12</f>
        <v>5927.3527123291324</v>
      </c>
      <c r="F32" s="30">
        <f t="shared" ref="F32:AC32" si="20">F31/12</f>
        <v>5927.3527123291324</v>
      </c>
      <c r="G32" s="30">
        <f t="shared" si="20"/>
        <v>5927.3527123291324</v>
      </c>
      <c r="H32" s="30">
        <f t="shared" si="20"/>
        <v>5927.3527123291324</v>
      </c>
      <c r="I32" s="30">
        <f t="shared" si="20"/>
        <v>5927.3527123291324</v>
      </c>
      <c r="J32" s="30">
        <f t="shared" si="20"/>
        <v>5927.3527123291324</v>
      </c>
      <c r="K32" s="30">
        <f t="shared" si="20"/>
        <v>5927.3527123291324</v>
      </c>
      <c r="L32" s="30">
        <f t="shared" si="20"/>
        <v>5927.3527123291324</v>
      </c>
      <c r="M32" s="30">
        <f t="shared" si="20"/>
        <v>5927.3527123291324</v>
      </c>
      <c r="N32" s="30">
        <f t="shared" si="20"/>
        <v>5927.3527123291324</v>
      </c>
      <c r="O32" s="30">
        <f t="shared" si="20"/>
        <v>5927.3527123291324</v>
      </c>
      <c r="P32" s="30">
        <f t="shared" si="20"/>
        <v>5927.3527123291324</v>
      </c>
      <c r="Q32" s="30">
        <f t="shared" si="20"/>
        <v>5927.3527123291324</v>
      </c>
      <c r="R32" s="30">
        <f t="shared" si="20"/>
        <v>5927.3527123291324</v>
      </c>
      <c r="S32" s="30">
        <f t="shared" si="20"/>
        <v>5927.3527123291324</v>
      </c>
      <c r="T32" s="30">
        <f t="shared" si="20"/>
        <v>5927.3527123291324</v>
      </c>
      <c r="U32" s="30">
        <f t="shared" si="20"/>
        <v>5927.3527123291324</v>
      </c>
      <c r="V32" s="30">
        <f t="shared" si="20"/>
        <v>5927.3527123291324</v>
      </c>
      <c r="W32" s="30">
        <f t="shared" si="20"/>
        <v>5927.3527123291324</v>
      </c>
      <c r="X32" s="30">
        <f t="shared" si="20"/>
        <v>5927.3527123291324</v>
      </c>
      <c r="Y32" s="30">
        <f t="shared" si="20"/>
        <v>5927.3527123291324</v>
      </c>
      <c r="Z32" s="30">
        <f t="shared" si="20"/>
        <v>5927.3527123291324</v>
      </c>
      <c r="AA32" s="30">
        <f t="shared" si="20"/>
        <v>5927.3527123291324</v>
      </c>
      <c r="AB32" s="30">
        <f t="shared" si="20"/>
        <v>5927.3527123291324</v>
      </c>
      <c r="AC32" s="30">
        <f t="shared" si="20"/>
        <v>5927.3527123291324</v>
      </c>
    </row>
    <row r="33" spans="4:29" x14ac:dyDescent="0.25">
      <c r="D33" s="1" t="s">
        <v>212</v>
      </c>
      <c r="E33" s="30">
        <f>$AH$16</f>
        <v>49744.388669735425</v>
      </c>
      <c r="F33" s="30">
        <f t="shared" ref="F33:AC33" si="21">$AH$16</f>
        <v>49744.388669735425</v>
      </c>
      <c r="G33" s="30">
        <f t="shared" si="21"/>
        <v>49744.388669735425</v>
      </c>
      <c r="H33" s="30">
        <f t="shared" si="21"/>
        <v>49744.388669735425</v>
      </c>
      <c r="I33" s="30">
        <f t="shared" si="21"/>
        <v>49744.388669735425</v>
      </c>
      <c r="J33" s="30">
        <f t="shared" si="21"/>
        <v>49744.388669735425</v>
      </c>
      <c r="K33" s="30">
        <f t="shared" si="21"/>
        <v>49744.388669735425</v>
      </c>
      <c r="L33" s="30">
        <f t="shared" si="21"/>
        <v>49744.388669735425</v>
      </c>
      <c r="M33" s="30">
        <f t="shared" si="21"/>
        <v>49744.388669735425</v>
      </c>
      <c r="N33" s="30">
        <f t="shared" si="21"/>
        <v>49744.388669735425</v>
      </c>
      <c r="O33" s="30">
        <f t="shared" si="21"/>
        <v>49744.388669735425</v>
      </c>
      <c r="P33" s="30">
        <f t="shared" si="21"/>
        <v>49744.388669735425</v>
      </c>
      <c r="Q33" s="30">
        <f t="shared" si="21"/>
        <v>49744.388669735425</v>
      </c>
      <c r="R33" s="30">
        <f t="shared" si="21"/>
        <v>49744.388669735425</v>
      </c>
      <c r="S33" s="30">
        <f t="shared" si="21"/>
        <v>49744.388669735425</v>
      </c>
      <c r="T33" s="30">
        <f t="shared" si="21"/>
        <v>49744.388669735425</v>
      </c>
      <c r="U33" s="30">
        <f t="shared" si="21"/>
        <v>49744.388669735425</v>
      </c>
      <c r="V33" s="30">
        <f t="shared" si="21"/>
        <v>49744.388669735425</v>
      </c>
      <c r="W33" s="30">
        <f t="shared" si="21"/>
        <v>49744.388669735425</v>
      </c>
      <c r="X33" s="30">
        <f t="shared" si="21"/>
        <v>49744.388669735425</v>
      </c>
      <c r="Y33" s="30">
        <f t="shared" si="21"/>
        <v>49744.388669735425</v>
      </c>
      <c r="Z33" s="30">
        <f t="shared" si="21"/>
        <v>49744.388669735425</v>
      </c>
      <c r="AA33" s="30">
        <f t="shared" si="21"/>
        <v>49744.388669735425</v>
      </c>
      <c r="AB33" s="30">
        <f t="shared" si="21"/>
        <v>49744.388669735425</v>
      </c>
      <c r="AC33" s="30">
        <f t="shared" si="21"/>
        <v>49744.388669735425</v>
      </c>
    </row>
    <row r="34" spans="4:29" x14ac:dyDescent="0.25">
      <c r="D34" s="1" t="s">
        <v>213</v>
      </c>
      <c r="E34" s="30">
        <f>E33-E32</f>
        <v>43817.03595740629</v>
      </c>
      <c r="F34" s="30">
        <f t="shared" ref="F34:AC34" si="22">F33-F32</f>
        <v>43817.03595740629</v>
      </c>
      <c r="G34" s="30">
        <f t="shared" si="22"/>
        <v>43817.03595740629</v>
      </c>
      <c r="H34" s="30">
        <f t="shared" si="22"/>
        <v>43817.03595740629</v>
      </c>
      <c r="I34" s="30">
        <f t="shared" si="22"/>
        <v>43817.03595740629</v>
      </c>
      <c r="J34" s="30">
        <f t="shared" si="22"/>
        <v>43817.03595740629</v>
      </c>
      <c r="K34" s="30">
        <f t="shared" si="22"/>
        <v>43817.03595740629</v>
      </c>
      <c r="L34" s="30">
        <f t="shared" si="22"/>
        <v>43817.03595740629</v>
      </c>
      <c r="M34" s="30">
        <f t="shared" si="22"/>
        <v>43817.03595740629</v>
      </c>
      <c r="N34" s="30">
        <f t="shared" si="22"/>
        <v>43817.03595740629</v>
      </c>
      <c r="O34" s="30">
        <f t="shared" si="22"/>
        <v>43817.03595740629</v>
      </c>
      <c r="P34" s="30">
        <f t="shared" si="22"/>
        <v>43817.03595740629</v>
      </c>
      <c r="Q34" s="30">
        <f t="shared" si="22"/>
        <v>43817.03595740629</v>
      </c>
      <c r="R34" s="30">
        <f t="shared" si="22"/>
        <v>43817.03595740629</v>
      </c>
      <c r="S34" s="30">
        <f t="shared" si="22"/>
        <v>43817.03595740629</v>
      </c>
      <c r="T34" s="30">
        <f t="shared" si="22"/>
        <v>43817.03595740629</v>
      </c>
      <c r="U34" s="30">
        <f t="shared" si="22"/>
        <v>43817.03595740629</v>
      </c>
      <c r="V34" s="30">
        <f t="shared" si="22"/>
        <v>43817.03595740629</v>
      </c>
      <c r="W34" s="30">
        <f t="shared" si="22"/>
        <v>43817.03595740629</v>
      </c>
      <c r="X34" s="30">
        <f t="shared" si="22"/>
        <v>43817.03595740629</v>
      </c>
      <c r="Y34" s="30">
        <f t="shared" si="22"/>
        <v>43817.03595740629</v>
      </c>
      <c r="Z34" s="30">
        <f t="shared" si="22"/>
        <v>43817.03595740629</v>
      </c>
      <c r="AA34" s="30">
        <f t="shared" si="22"/>
        <v>43817.03595740629</v>
      </c>
      <c r="AB34" s="30">
        <f t="shared" si="22"/>
        <v>43817.03595740629</v>
      </c>
      <c r="AC34" s="30">
        <f t="shared" si="22"/>
        <v>43817.03595740629</v>
      </c>
    </row>
    <row r="35" spans="4:29" x14ac:dyDescent="0.25">
      <c r="E35" s="30">
        <f>E34*(1+$B$10)</f>
        <v>55647.635665905989</v>
      </c>
      <c r="F35" s="30">
        <f t="shared" ref="F35:AC35" si="23">F34*(1+$B$10)</f>
        <v>55647.635665905989</v>
      </c>
      <c r="G35" s="30">
        <f t="shared" si="23"/>
        <v>55647.635665905989</v>
      </c>
      <c r="H35" s="30">
        <f t="shared" si="23"/>
        <v>55647.635665905989</v>
      </c>
      <c r="I35" s="30">
        <f t="shared" si="23"/>
        <v>55647.635665905989</v>
      </c>
      <c r="J35" s="30">
        <f t="shared" si="23"/>
        <v>55647.635665905989</v>
      </c>
      <c r="K35" s="30">
        <f t="shared" si="23"/>
        <v>55647.635665905989</v>
      </c>
      <c r="L35" s="30">
        <f t="shared" si="23"/>
        <v>55647.635665905989</v>
      </c>
      <c r="M35" s="30">
        <f t="shared" si="23"/>
        <v>55647.635665905989</v>
      </c>
      <c r="N35" s="30">
        <f t="shared" si="23"/>
        <v>55647.635665905989</v>
      </c>
      <c r="O35" s="30">
        <f t="shared" si="23"/>
        <v>55647.635665905989</v>
      </c>
      <c r="P35" s="30">
        <f t="shared" si="23"/>
        <v>55647.635665905989</v>
      </c>
      <c r="Q35" s="30">
        <f t="shared" si="23"/>
        <v>55647.635665905989</v>
      </c>
      <c r="R35" s="30">
        <f t="shared" si="23"/>
        <v>55647.635665905989</v>
      </c>
      <c r="S35" s="30">
        <f t="shared" si="23"/>
        <v>55647.635665905989</v>
      </c>
      <c r="T35" s="30">
        <f t="shared" si="23"/>
        <v>55647.635665905989</v>
      </c>
      <c r="U35" s="30">
        <f t="shared" si="23"/>
        <v>55647.635665905989</v>
      </c>
      <c r="V35" s="30">
        <f t="shared" si="23"/>
        <v>55647.635665905989</v>
      </c>
      <c r="W35" s="30">
        <f t="shared" si="23"/>
        <v>55647.635665905989</v>
      </c>
      <c r="X35" s="30">
        <f t="shared" si="23"/>
        <v>55647.635665905989</v>
      </c>
      <c r="Y35" s="30">
        <f t="shared" si="23"/>
        <v>55647.635665905989</v>
      </c>
      <c r="Z35" s="30">
        <f t="shared" si="23"/>
        <v>55647.635665905989</v>
      </c>
      <c r="AA35" s="30">
        <f t="shared" si="23"/>
        <v>55647.635665905989</v>
      </c>
      <c r="AB35" s="30">
        <f t="shared" si="23"/>
        <v>55647.635665905989</v>
      </c>
      <c r="AC35" s="30">
        <f t="shared" si="23"/>
        <v>55647.635665905989</v>
      </c>
    </row>
    <row r="38" spans="4:29" x14ac:dyDescent="0.25">
      <c r="D38" s="1" t="s">
        <v>214</v>
      </c>
      <c r="E38" s="31">
        <f>SUM(E35:AC35)</f>
        <v>1391190.8916476495</v>
      </c>
    </row>
    <row r="39" spans="4:29" x14ac:dyDescent="0.25">
      <c r="E39" s="3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heetViews>
  <sheetFormatPr defaultColWidth="8.7109375" defaultRowHeight="15" x14ac:dyDescent="0.25"/>
  <cols>
    <col min="1" max="2" width="8.7109375" style="1"/>
    <col min="3" max="3" width="11.28515625" style="1" customWidth="1"/>
    <col min="4" max="4" width="8.42578125" style="1" customWidth="1"/>
    <col min="5" max="5" width="12.42578125" style="1" customWidth="1"/>
    <col min="6" max="7" width="20.7109375" style="1" bestFit="1" customWidth="1"/>
    <col min="8" max="13" width="8.7109375" style="1"/>
    <col min="14" max="14" width="11.28515625" style="1" customWidth="1"/>
    <col min="15" max="15" width="16.7109375" style="1" customWidth="1"/>
    <col min="16" max="16" width="16.85546875" style="1" customWidth="1"/>
    <col min="17" max="18" width="8.7109375" style="1"/>
    <col min="19" max="19" width="11.28515625" style="1" customWidth="1"/>
    <col min="20" max="16384" width="8.7109375" style="1"/>
  </cols>
  <sheetData>
    <row r="2" spans="2:20" x14ac:dyDescent="0.25">
      <c r="B2" s="3" t="s">
        <v>50</v>
      </c>
      <c r="C2" s="3" t="s">
        <v>51</v>
      </c>
      <c r="D2" s="3" t="s">
        <v>54</v>
      </c>
      <c r="E2" s="3" t="s">
        <v>63</v>
      </c>
      <c r="F2" s="3" t="s">
        <v>61</v>
      </c>
      <c r="G2" s="3" t="s">
        <v>62</v>
      </c>
      <c r="M2" s="3" t="s">
        <v>1</v>
      </c>
      <c r="N2" s="3" t="s">
        <v>51</v>
      </c>
      <c r="O2" s="3" t="s">
        <v>52</v>
      </c>
      <c r="P2" s="3" t="s">
        <v>53</v>
      </c>
      <c r="Q2" s="3" t="s">
        <v>54</v>
      </c>
      <c r="S2" s="3" t="s">
        <v>51</v>
      </c>
      <c r="T2" s="3" t="s">
        <v>55</v>
      </c>
    </row>
    <row r="3" spans="2:20" x14ac:dyDescent="0.25">
      <c r="B3" s="3">
        <v>25</v>
      </c>
      <c r="C3" s="3" t="str">
        <f>IF(B3&lt;30, "25-29 år", IF(B3&lt;35, "30-34 år", IF(B3&lt;40, "35-39 år", IF(B3&lt;45, "40-44 år", IF(B3&lt;50, "45-49 år", IF(B3&lt;55, "50-54 år", IF(B3&lt;60, "55-59 år", IF(B3&lt;65, "60-64 år", "65+ år"))))))))</f>
        <v>25-29 år</v>
      </c>
      <c r="D3" s="12">
        <f t="shared" ref="D3:D34" si="0">_xlfn.XLOOKUP(C3,S:S,T:T)</f>
        <v>0.51651947969596046</v>
      </c>
      <c r="E3" s="3" t="str">
        <f ca="1">IF(OR(JobHopping[[#This Row],[Age]]=25,JobHopping[[#This Row],[Age]]&gt;69),"N",IF(AND(E1="N",E2="N", RAND()&lt;=D3), "Y", "N"))</f>
        <v>N</v>
      </c>
      <c r="F3" s="3" t="s">
        <v>0</v>
      </c>
      <c r="G3" s="3" t="str">
        <f>IF(JobHopping[[#This Row],[Age]]&lt;40,"",JobHopping[[#This Row],[SwitchP1Static]])</f>
        <v/>
      </c>
      <c r="M3" s="3">
        <v>2013</v>
      </c>
      <c r="N3" s="3" t="s">
        <v>13</v>
      </c>
      <c r="O3" s="3">
        <f>_xlfn.XLOOKUP(M3&amp;"-"&amp;N3,'Djøf Finance Workers'!D:D,'Djøf Finance Workers'!C:C,0,1)</f>
        <v>6202</v>
      </c>
      <c r="P3" s="3">
        <f>_xlfn.XLOOKUP(M3&amp;"-"&amp;N3,'Djøf Finance Hoppers'!D:D,'Djøf Finance Hoppers'!C:C,0,1)</f>
        <v>2524</v>
      </c>
      <c r="Q3" s="12">
        <f t="shared" ref="Q3:Q66" si="1">IF(O3&gt;0, P3/O3, 0)</f>
        <v>0.40696549500161239</v>
      </c>
      <c r="S3" s="3" t="s">
        <v>13</v>
      </c>
      <c r="T3" s="3">
        <f t="shared" ref="T3:T11" si="2">SUMIFS(Q:Q,N:N,S3)/(MAX($M$3:$M$101)-MIN($M$3:$M$101))</f>
        <v>0.51651947969596046</v>
      </c>
    </row>
    <row r="4" spans="2:20" x14ac:dyDescent="0.25">
      <c r="B4" s="3">
        <v>26</v>
      </c>
      <c r="C4" s="3" t="str">
        <f>IF(B4&lt;30, "25-29 år", IF(B4&lt;35, "30-34 år", IF(B4&lt;40, "35-39 år", IF(B4&lt;45, "40-44 år", IF(B4&lt;50, "45-49 år", IF(B4&lt;55, "50-54 år", IF(B4&lt;60, "55-59 år", IF(B4&lt;65, "60-64 år", "65+ år"))))))))</f>
        <v>25-29 år</v>
      </c>
      <c r="D4" s="12">
        <f t="shared" si="0"/>
        <v>0.51651947969596046</v>
      </c>
      <c r="E4" s="3" t="str">
        <f ca="1">IF(OR(JobHopping[[#This Row],[Age]]=25,JobHopping[[#This Row],[Age]]&gt;69),"N",IF(AND(E2="N",E3="N", RAND()&lt;=D4), "Y", "N"))</f>
        <v>N</v>
      </c>
      <c r="F4" s="3" t="s">
        <v>0</v>
      </c>
      <c r="G4" s="3" t="str">
        <f>IF(JobHopping[[#This Row],[Age]]&lt;40,"",JobHopping[[#This Row],[SwitchP1Static]])</f>
        <v/>
      </c>
      <c r="M4" s="3">
        <v>2013</v>
      </c>
      <c r="N4" s="3" t="s">
        <v>14</v>
      </c>
      <c r="O4" s="3">
        <f>_xlfn.XLOOKUP(M4&amp;"-"&amp;N4,'Djøf Finance Workers'!D:D,'Djøf Finance Workers'!C:C,0,1)</f>
        <v>8560</v>
      </c>
      <c r="P4" s="3">
        <f>_xlfn.XLOOKUP(M4&amp;"-"&amp;N4,'Djøf Finance Hoppers'!D:D,'Djøf Finance Hoppers'!C:C,0,1)</f>
        <v>2176</v>
      </c>
      <c r="Q4" s="12">
        <f t="shared" si="1"/>
        <v>0.25420560747663551</v>
      </c>
      <c r="S4" s="3" t="s">
        <v>14</v>
      </c>
      <c r="T4" s="3">
        <f t="shared" si="2"/>
        <v>0.33908020385851029</v>
      </c>
    </row>
    <row r="5" spans="2:20" x14ac:dyDescent="0.25">
      <c r="B5" s="3">
        <v>27</v>
      </c>
      <c r="C5" s="3" t="str">
        <f>IF(B5&lt;30, "25-29 år", IF(B5&lt;35, "30-34 år", IF(B5&lt;40, "35-39 år", IF(B5&lt;45, "40-44 år", IF(B5&lt;50, "45-49 år", IF(B5&lt;55, "50-54 år", IF(B5&lt;60, "55-59 år", IF(B5&lt;65, "60-64 år", "65+ år"))))))))</f>
        <v>25-29 år</v>
      </c>
      <c r="D5" s="12">
        <f t="shared" si="0"/>
        <v>0.51651947969596046</v>
      </c>
      <c r="E5" s="3" t="str">
        <f ca="1">IF(OR(JobHopping[[#This Row],[Age]]=25,JobHopping[[#This Row],[Age]]&gt;69),"N",IF(AND(E3="N",E4="N", RAND()&lt;=D5), "Y", "N"))</f>
        <v>Y</v>
      </c>
      <c r="F5" s="3" t="s">
        <v>60</v>
      </c>
      <c r="G5" s="3" t="str">
        <f>IF(JobHopping[[#This Row],[Age]]&lt;40,"",JobHopping[[#This Row],[SwitchP1Static]])</f>
        <v/>
      </c>
      <c r="M5" s="3">
        <v>2013</v>
      </c>
      <c r="N5" s="3" t="s">
        <v>15</v>
      </c>
      <c r="O5" s="3">
        <f>_xlfn.XLOOKUP(M5&amp;"-"&amp;N5,'Djøf Finance Workers'!D:D,'Djøf Finance Workers'!C:C,0,1)</f>
        <v>9790</v>
      </c>
      <c r="P5" s="3">
        <f>_xlfn.XLOOKUP(M5&amp;"-"&amp;N5,'Djøf Finance Hoppers'!D:D,'Djøf Finance Hoppers'!C:C,0,1)</f>
        <v>1896</v>
      </c>
      <c r="Q5" s="12">
        <f t="shared" si="1"/>
        <v>0.19366700715015323</v>
      </c>
      <c r="S5" s="3" t="s">
        <v>15</v>
      </c>
      <c r="T5" s="3">
        <f t="shared" si="2"/>
        <v>0.2624026948424838</v>
      </c>
    </row>
    <row r="6" spans="2:20" x14ac:dyDescent="0.25">
      <c r="B6" s="3">
        <v>28</v>
      </c>
      <c r="C6" s="3" t="str">
        <f t="shared" ref="C6:C48" si="3">IF(B6&lt;30, "25-29 år", IF(B6&lt;35, "30-34 år", IF(B6&lt;40, "35-39 år", IF(B6&lt;45, "40-44 år", IF(B6&lt;50, "45-49 år", IF(B6&lt;55, "50-54 år", IF(B6&lt;60, "55-59 år", IF(B6&lt;65, "60-64 år", "65+ år"))))))))</f>
        <v>25-29 år</v>
      </c>
      <c r="D6" s="12">
        <f t="shared" si="0"/>
        <v>0.51651947969596046</v>
      </c>
      <c r="E6" s="3" t="str">
        <f ca="1">IF(OR(JobHopping[[#This Row],[Age]]=25,JobHopping[[#This Row],[Age]]&gt;69),"N",IF(AND(E4="N",E5="N", RAND()&lt;=D6), "Y", "N"))</f>
        <v>N</v>
      </c>
      <c r="F6" s="3" t="s">
        <v>0</v>
      </c>
      <c r="G6" s="3" t="str">
        <f>IF(JobHopping[[#This Row],[Age]]&lt;40,"",JobHopping[[#This Row],[SwitchP1Static]])</f>
        <v/>
      </c>
      <c r="M6" s="3">
        <v>2013</v>
      </c>
      <c r="N6" s="3" t="s">
        <v>16</v>
      </c>
      <c r="O6" s="3">
        <f>_xlfn.XLOOKUP(M6&amp;"-"&amp;N6,'Djøf Finance Workers'!D:D,'Djøf Finance Workers'!C:C,0,1)</f>
        <v>9383</v>
      </c>
      <c r="P6" s="3">
        <f>_xlfn.XLOOKUP(M6&amp;"-"&amp;N6,'Djøf Finance Hoppers'!D:D,'Djøf Finance Hoppers'!C:C,0,1)</f>
        <v>1579</v>
      </c>
      <c r="Q6" s="12">
        <f t="shared" si="1"/>
        <v>0.16828306511776617</v>
      </c>
      <c r="S6" s="3" t="s">
        <v>16</v>
      </c>
      <c r="T6" s="3">
        <f t="shared" si="2"/>
        <v>0.2213187304833609</v>
      </c>
    </row>
    <row r="7" spans="2:20" x14ac:dyDescent="0.25">
      <c r="B7" s="3">
        <v>29</v>
      </c>
      <c r="C7" s="3" t="str">
        <f t="shared" si="3"/>
        <v>25-29 år</v>
      </c>
      <c r="D7" s="12">
        <f t="shared" si="0"/>
        <v>0.51651947969596046</v>
      </c>
      <c r="E7" s="3" t="str">
        <f ca="1">IF(OR(JobHopping[[#This Row],[Age]]=25,JobHopping[[#This Row],[Age]]&gt;69),"N",IF(AND(E5="N",E6="N", RAND()&lt;=D7), "Y", "N"))</f>
        <v>N</v>
      </c>
      <c r="F7" s="3" t="s">
        <v>0</v>
      </c>
      <c r="G7" s="3" t="str">
        <f>IF(JobHopping[[#This Row],[Age]]&lt;40,"",JobHopping[[#This Row],[SwitchP1Static]])</f>
        <v/>
      </c>
      <c r="M7" s="3">
        <v>2013</v>
      </c>
      <c r="N7" s="3" t="s">
        <v>17</v>
      </c>
      <c r="O7" s="3">
        <f>_xlfn.XLOOKUP(M7&amp;"-"&amp;N7,'Djøf Finance Workers'!D:D,'Djøf Finance Workers'!C:C,0,1)</f>
        <v>12762</v>
      </c>
      <c r="P7" s="3">
        <f>_xlfn.XLOOKUP(M7&amp;"-"&amp;N7,'Djøf Finance Hoppers'!D:D,'Djøf Finance Hoppers'!C:C,0,1)</f>
        <v>1915</v>
      </c>
      <c r="Q7" s="12">
        <f t="shared" si="1"/>
        <v>0.15005485033693777</v>
      </c>
      <c r="S7" s="3" t="s">
        <v>17</v>
      </c>
      <c r="T7" s="3">
        <f t="shared" si="2"/>
        <v>0.19929479981866399</v>
      </c>
    </row>
    <row r="8" spans="2:20" x14ac:dyDescent="0.25">
      <c r="B8" s="3">
        <v>30</v>
      </c>
      <c r="C8" s="3" t="str">
        <f t="shared" si="3"/>
        <v>30-34 år</v>
      </c>
      <c r="D8" s="12">
        <f t="shared" si="0"/>
        <v>0.33908020385851029</v>
      </c>
      <c r="E8" s="3" t="str">
        <f ca="1">IF(OR(JobHopping[[#This Row],[Age]]=25,JobHopping[[#This Row],[Age]]&gt;69),"N",IF(AND(E6="N",E7="N", RAND()&lt;=D8), "Y", "N"))</f>
        <v>N</v>
      </c>
      <c r="F8" s="3" t="s">
        <v>0</v>
      </c>
      <c r="G8" s="3" t="str">
        <f>IF(JobHopping[[#This Row],[Age]]&lt;40,"",JobHopping[[#This Row],[SwitchP1Static]])</f>
        <v/>
      </c>
      <c r="M8" s="3">
        <v>2013</v>
      </c>
      <c r="N8" s="3" t="s">
        <v>18</v>
      </c>
      <c r="O8" s="3">
        <f>_xlfn.XLOOKUP(M8&amp;"-"&amp;N8,'Djøf Finance Workers'!D:D,'Djøf Finance Workers'!C:C,0,1)</f>
        <v>10587</v>
      </c>
      <c r="P8" s="3">
        <f>_xlfn.XLOOKUP(M8&amp;"-"&amp;N8,'Djøf Finance Hoppers'!D:D,'Djøf Finance Hoppers'!C:C,0,1)</f>
        <v>1462</v>
      </c>
      <c r="Q8" s="12">
        <f t="shared" si="1"/>
        <v>0.13809388873146311</v>
      </c>
      <c r="S8" s="3" t="s">
        <v>18</v>
      </c>
      <c r="T8" s="3">
        <f t="shared" si="2"/>
        <v>0.17668929185764676</v>
      </c>
    </row>
    <row r="9" spans="2:20" x14ac:dyDescent="0.25">
      <c r="B9" s="3">
        <v>31</v>
      </c>
      <c r="C9" s="3" t="str">
        <f t="shared" si="3"/>
        <v>30-34 år</v>
      </c>
      <c r="D9" s="12">
        <f t="shared" si="0"/>
        <v>0.33908020385851029</v>
      </c>
      <c r="E9" s="3" t="str">
        <f ca="1">IF(OR(JobHopping[[#This Row],[Age]]=25,JobHopping[[#This Row],[Age]]&gt;69),"N",IF(AND(E7="N",E8="N", RAND()&lt;=D9), "Y", "N"))</f>
        <v>Y</v>
      </c>
      <c r="F9" s="3" t="s">
        <v>60</v>
      </c>
      <c r="G9" s="3" t="str">
        <f>IF(JobHopping[[#This Row],[Age]]&lt;40,"",JobHopping[[#This Row],[SwitchP1Static]])</f>
        <v/>
      </c>
      <c r="M9" s="3">
        <v>2013</v>
      </c>
      <c r="N9" s="3" t="s">
        <v>19</v>
      </c>
      <c r="O9" s="3">
        <f>_xlfn.XLOOKUP(M9&amp;"-"&amp;N9,'Djøf Finance Workers'!D:D,'Djøf Finance Workers'!C:C,0,1)</f>
        <v>8811</v>
      </c>
      <c r="P9" s="3">
        <f>_xlfn.XLOOKUP(M9&amp;"-"&amp;N9,'Djøf Finance Hoppers'!D:D,'Djøf Finance Hoppers'!C:C,0,1)</f>
        <v>1227</v>
      </c>
      <c r="Q9" s="12">
        <f t="shared" si="1"/>
        <v>0.13925774599931903</v>
      </c>
      <c r="S9" s="3" t="s">
        <v>19</v>
      </c>
      <c r="T9" s="3">
        <f t="shared" si="2"/>
        <v>0.15515674597479437</v>
      </c>
    </row>
    <row r="10" spans="2:20" x14ac:dyDescent="0.25">
      <c r="B10" s="3">
        <v>32</v>
      </c>
      <c r="C10" s="3" t="str">
        <f t="shared" si="3"/>
        <v>30-34 år</v>
      </c>
      <c r="D10" s="12">
        <f t="shared" si="0"/>
        <v>0.33908020385851029</v>
      </c>
      <c r="E10" s="3" t="str">
        <f ca="1">IF(OR(JobHopping[[#This Row],[Age]]=25,JobHopping[[#This Row],[Age]]&gt;69),"N",IF(AND(E8="N",E9="N", RAND()&lt;=D10), "Y", "N"))</f>
        <v>N</v>
      </c>
      <c r="F10" s="3" t="s">
        <v>0</v>
      </c>
      <c r="G10" s="3" t="str">
        <f>IF(JobHopping[[#This Row],[Age]]&lt;40,"",JobHopping[[#This Row],[SwitchP1Static]])</f>
        <v/>
      </c>
      <c r="M10" s="3">
        <v>2013</v>
      </c>
      <c r="N10" s="3" t="s">
        <v>20</v>
      </c>
      <c r="O10" s="3">
        <f>_xlfn.XLOOKUP(M10&amp;"-"&amp;N10,'Djøf Finance Workers'!D:D,'Djøf Finance Workers'!C:C,0,1)</f>
        <v>5072</v>
      </c>
      <c r="P10" s="3">
        <f>_xlfn.XLOOKUP(M10&amp;"-"&amp;N10,'Djøf Finance Hoppers'!D:D,'Djøf Finance Hoppers'!C:C,0,1)</f>
        <v>667</v>
      </c>
      <c r="Q10" s="12">
        <f t="shared" si="1"/>
        <v>0.13150630914826497</v>
      </c>
      <c r="S10" s="3" t="s">
        <v>20</v>
      </c>
      <c r="T10" s="3">
        <f t="shared" si="2"/>
        <v>0.13997311637990331</v>
      </c>
    </row>
    <row r="11" spans="2:20" x14ac:dyDescent="0.25">
      <c r="B11" s="3">
        <v>33</v>
      </c>
      <c r="C11" s="3" t="str">
        <f t="shared" si="3"/>
        <v>30-34 år</v>
      </c>
      <c r="D11" s="12">
        <f t="shared" si="0"/>
        <v>0.33908020385851029</v>
      </c>
      <c r="E11" s="3" t="str">
        <f ca="1">IF(OR(JobHopping[[#This Row],[Age]]=25,JobHopping[[#This Row],[Age]]&gt;69),"N",IF(AND(E9="N",E10="N", RAND()&lt;=D11), "Y", "N"))</f>
        <v>N</v>
      </c>
      <c r="F11" s="3" t="s">
        <v>0</v>
      </c>
      <c r="G11" s="3" t="str">
        <f>IF(JobHopping[[#This Row],[Age]]&lt;40,"",JobHopping[[#This Row],[SwitchP1Static]])</f>
        <v/>
      </c>
      <c r="M11" s="3">
        <v>2013</v>
      </c>
      <c r="N11" s="3" t="s">
        <v>21</v>
      </c>
      <c r="O11" s="3">
        <f>_xlfn.XLOOKUP(M11&amp;"-"&amp;N11,'Djøf Finance Workers'!D:D,'Djøf Finance Workers'!C:C,0,1)</f>
        <v>1539</v>
      </c>
      <c r="P11" s="3">
        <f>_xlfn.XLOOKUP(M11&amp;"-"&amp;N11,'Djøf Finance Hoppers'!D:D,'Djøf Finance Hoppers'!C:C,0,1)</f>
        <v>224</v>
      </c>
      <c r="Q11" s="12">
        <f t="shared" si="1"/>
        <v>0.14554905782975958</v>
      </c>
      <c r="S11" s="3" t="s">
        <v>21</v>
      </c>
      <c r="T11" s="3">
        <f t="shared" si="2"/>
        <v>0.11691873000664299</v>
      </c>
    </row>
    <row r="12" spans="2:20" x14ac:dyDescent="0.25">
      <c r="B12" s="3">
        <v>34</v>
      </c>
      <c r="C12" s="3" t="str">
        <f t="shared" si="3"/>
        <v>30-34 år</v>
      </c>
      <c r="D12" s="12">
        <f t="shared" si="0"/>
        <v>0.33908020385851029</v>
      </c>
      <c r="E12" s="3" t="str">
        <f ca="1">IF(OR(JobHopping[[#This Row],[Age]]=25,JobHopping[[#This Row],[Age]]&gt;69),"N",IF(AND(E10="N",E11="N", RAND()&lt;=D12), "Y", "N"))</f>
        <v>Y</v>
      </c>
      <c r="F12" s="3" t="s">
        <v>0</v>
      </c>
      <c r="G12" s="3" t="str">
        <f>IF(JobHopping[[#This Row],[Age]]&lt;40,"",JobHopping[[#This Row],[SwitchP1Static]])</f>
        <v/>
      </c>
      <c r="M12" s="3">
        <v>2014</v>
      </c>
      <c r="N12" s="3" t="s">
        <v>13</v>
      </c>
      <c r="O12" s="3">
        <f>_xlfn.XLOOKUP(M12&amp;"-"&amp;N12,'Djøf Finance Workers'!D:D,'Djøf Finance Workers'!C:C,0,1)</f>
        <v>6041</v>
      </c>
      <c r="P12" s="3">
        <f>_xlfn.XLOOKUP(M12&amp;"-"&amp;N12,'Djøf Finance Hoppers'!D:D,'Djøf Finance Hoppers'!C:C,0,1)</f>
        <v>2521</v>
      </c>
      <c r="Q12" s="12">
        <f t="shared" si="1"/>
        <v>0.41731501407051813</v>
      </c>
    </row>
    <row r="13" spans="2:20" x14ac:dyDescent="0.25">
      <c r="B13" s="3">
        <v>35</v>
      </c>
      <c r="C13" s="3" t="str">
        <f t="shared" si="3"/>
        <v>35-39 år</v>
      </c>
      <c r="D13" s="12">
        <f t="shared" si="0"/>
        <v>0.2624026948424838</v>
      </c>
      <c r="E13" s="3" t="str">
        <f ca="1">IF(OR(JobHopping[[#This Row],[Age]]=25,JobHopping[[#This Row],[Age]]&gt;69),"N",IF(AND(E11="N",E12="N", RAND()&lt;=D13), "Y", "N"))</f>
        <v>N</v>
      </c>
      <c r="F13" s="3" t="s">
        <v>60</v>
      </c>
      <c r="G13" s="3" t="str">
        <f>IF(JobHopping[[#This Row],[Age]]&lt;40,"",JobHopping[[#This Row],[SwitchP1Static]])</f>
        <v/>
      </c>
      <c r="M13" s="3">
        <v>2014</v>
      </c>
      <c r="N13" s="3" t="s">
        <v>14</v>
      </c>
      <c r="O13" s="3">
        <f>_xlfn.XLOOKUP(M13&amp;"-"&amp;N13,'Djøf Finance Workers'!D:D,'Djøf Finance Workers'!C:C,0,1)</f>
        <v>8203</v>
      </c>
      <c r="P13" s="3">
        <f>_xlfn.XLOOKUP(M13&amp;"-"&amp;N13,'Djøf Finance Hoppers'!D:D,'Djøf Finance Hoppers'!C:C,0,1)</f>
        <v>2178</v>
      </c>
      <c r="Q13" s="12">
        <f t="shared" si="1"/>
        <v>0.26551261733512127</v>
      </c>
    </row>
    <row r="14" spans="2:20" x14ac:dyDescent="0.25">
      <c r="B14" s="3">
        <v>36</v>
      </c>
      <c r="C14" s="3" t="str">
        <f t="shared" si="3"/>
        <v>35-39 år</v>
      </c>
      <c r="D14" s="12">
        <f t="shared" si="0"/>
        <v>0.2624026948424838</v>
      </c>
      <c r="E14" s="3" t="str">
        <f ca="1">IF(OR(JobHopping[[#This Row],[Age]]=25,JobHopping[[#This Row],[Age]]&gt;69),"N",IF(AND(E12="N",E13="N", RAND()&lt;=D14), "Y", "N"))</f>
        <v>N</v>
      </c>
      <c r="F14" s="3" t="s">
        <v>0</v>
      </c>
      <c r="G14" s="3" t="str">
        <f>IF(JobHopping[[#This Row],[Age]]&lt;40,"",JobHopping[[#This Row],[SwitchP1Static]])</f>
        <v/>
      </c>
      <c r="M14" s="3">
        <v>2014</v>
      </c>
      <c r="N14" s="3" t="s">
        <v>15</v>
      </c>
      <c r="O14" s="3">
        <f>_xlfn.XLOOKUP(M14&amp;"-"&amp;N14,'Djøf Finance Workers'!D:D,'Djøf Finance Workers'!C:C,0,1)</f>
        <v>9972</v>
      </c>
      <c r="P14" s="3">
        <f>_xlfn.XLOOKUP(M14&amp;"-"&amp;N14,'Djøf Finance Hoppers'!D:D,'Djøf Finance Hoppers'!C:C,0,1)</f>
        <v>2066</v>
      </c>
      <c r="Q14" s="12">
        <f t="shared" si="1"/>
        <v>0.20718010429201764</v>
      </c>
    </row>
    <row r="15" spans="2:20" x14ac:dyDescent="0.25">
      <c r="B15" s="3">
        <v>37</v>
      </c>
      <c r="C15" s="3" t="str">
        <f t="shared" si="3"/>
        <v>35-39 år</v>
      </c>
      <c r="D15" s="12">
        <f t="shared" si="0"/>
        <v>0.2624026948424838</v>
      </c>
      <c r="E15" s="3" t="str">
        <f ca="1">IF(OR(JobHopping[[#This Row],[Age]]=25,JobHopping[[#This Row],[Age]]&gt;69),"N",IF(AND(E13="N",E14="N", RAND()&lt;=D15), "Y", "N"))</f>
        <v>N</v>
      </c>
      <c r="F15" s="3" t="s">
        <v>0</v>
      </c>
      <c r="G15" s="3" t="str">
        <f>IF(JobHopping[[#This Row],[Age]]&lt;40,"",JobHopping[[#This Row],[SwitchP1Static]])</f>
        <v/>
      </c>
      <c r="M15" s="3">
        <v>2014</v>
      </c>
      <c r="N15" s="3" t="s">
        <v>16</v>
      </c>
      <c r="O15" s="3">
        <f>_xlfn.XLOOKUP(M15&amp;"-"&amp;N15,'Djøf Finance Workers'!D:D,'Djøf Finance Workers'!C:C,0,1)</f>
        <v>9409</v>
      </c>
      <c r="P15" s="3">
        <f>_xlfn.XLOOKUP(M15&amp;"-"&amp;N15,'Djøf Finance Hoppers'!D:D,'Djøf Finance Hoppers'!C:C,0,1)</f>
        <v>1647</v>
      </c>
      <c r="Q15" s="12">
        <f t="shared" si="1"/>
        <v>0.17504516951854607</v>
      </c>
    </row>
    <row r="16" spans="2:20" x14ac:dyDescent="0.25">
      <c r="B16" s="3">
        <v>38</v>
      </c>
      <c r="C16" s="3" t="str">
        <f t="shared" si="3"/>
        <v>35-39 år</v>
      </c>
      <c r="D16" s="12">
        <f t="shared" si="0"/>
        <v>0.2624026948424838</v>
      </c>
      <c r="E16" s="3" t="str">
        <f ca="1">IF(OR(JobHopping[[#This Row],[Age]]=25,JobHopping[[#This Row],[Age]]&gt;69),"N",IF(AND(E14="N",E15="N", RAND()&lt;=D16), "Y", "N"))</f>
        <v>N</v>
      </c>
      <c r="F16" s="3" t="s">
        <v>0</v>
      </c>
      <c r="G16" s="3" t="str">
        <f>IF(JobHopping[[#This Row],[Age]]&lt;40,"",JobHopping[[#This Row],[SwitchP1Static]])</f>
        <v/>
      </c>
      <c r="M16" s="3">
        <v>2014</v>
      </c>
      <c r="N16" s="3" t="s">
        <v>17</v>
      </c>
      <c r="O16" s="3">
        <f>_xlfn.XLOOKUP(M16&amp;"-"&amp;N16,'Djøf Finance Workers'!D:D,'Djøf Finance Workers'!C:C,0,1)</f>
        <v>12377</v>
      </c>
      <c r="P16" s="3">
        <f>_xlfn.XLOOKUP(M16&amp;"-"&amp;N16,'Djøf Finance Hoppers'!D:D,'Djøf Finance Hoppers'!C:C,0,1)</f>
        <v>1953</v>
      </c>
      <c r="Q16" s="12">
        <f t="shared" si="1"/>
        <v>0.15779267997091379</v>
      </c>
    </row>
    <row r="17" spans="2:17" x14ac:dyDescent="0.25">
      <c r="B17" s="3">
        <v>39</v>
      </c>
      <c r="C17" s="3" t="str">
        <f t="shared" si="3"/>
        <v>35-39 år</v>
      </c>
      <c r="D17" s="12">
        <f t="shared" si="0"/>
        <v>0.2624026948424838</v>
      </c>
      <c r="E17" s="3" t="str">
        <f ca="1">IF(OR(JobHopping[[#This Row],[Age]]=25,JobHopping[[#This Row],[Age]]&gt;69),"N",IF(AND(E15="N",E16="N", RAND()&lt;=D17), "Y", "N"))</f>
        <v>N</v>
      </c>
      <c r="F17" s="3" t="s">
        <v>60</v>
      </c>
      <c r="G17" s="3" t="str">
        <f>IF(JobHopping[[#This Row],[Age]]&lt;40,"",JobHopping[[#This Row],[SwitchP1Static]])</f>
        <v/>
      </c>
      <c r="M17" s="3">
        <v>2014</v>
      </c>
      <c r="N17" s="3" t="s">
        <v>18</v>
      </c>
      <c r="O17" s="3">
        <f>_xlfn.XLOOKUP(M17&amp;"-"&amp;N17,'Djøf Finance Workers'!D:D,'Djøf Finance Workers'!C:C,0,1)</f>
        <v>10828</v>
      </c>
      <c r="P17" s="3">
        <f>_xlfn.XLOOKUP(M17&amp;"-"&amp;N17,'Djøf Finance Hoppers'!D:D,'Djøf Finance Hoppers'!C:C,0,1)</f>
        <v>1636</v>
      </c>
      <c r="Q17" s="12">
        <f t="shared" si="1"/>
        <v>0.15108976727004064</v>
      </c>
    </row>
    <row r="18" spans="2:17" x14ac:dyDescent="0.25">
      <c r="B18" s="3">
        <v>40</v>
      </c>
      <c r="C18" s="3" t="str">
        <f t="shared" si="3"/>
        <v>40-44 år</v>
      </c>
      <c r="D18" s="12">
        <f t="shared" si="0"/>
        <v>0.2213187304833609</v>
      </c>
      <c r="E18" s="3" t="str">
        <f ca="1">IF(OR(JobHopping[[#This Row],[Age]]=25,JobHopping[[#This Row],[Age]]&gt;69),"N",IF(AND(E16="N",E17="N", RAND()&lt;=D18), "Y", "N"))</f>
        <v>Y</v>
      </c>
      <c r="F18" s="3" t="s">
        <v>0</v>
      </c>
      <c r="G18" s="3" t="str">
        <f>IF(JobHopping[[#This Row],[Age]]&lt;40,"",JobHopping[[#This Row],[SwitchP1Static]])</f>
        <v>N</v>
      </c>
      <c r="M18" s="3">
        <v>2014</v>
      </c>
      <c r="N18" s="3" t="s">
        <v>19</v>
      </c>
      <c r="O18" s="3">
        <f>_xlfn.XLOOKUP(M18&amp;"-"&amp;N18,'Djøf Finance Workers'!D:D,'Djøf Finance Workers'!C:C,0,1)</f>
        <v>8888</v>
      </c>
      <c r="P18" s="3">
        <f>_xlfn.XLOOKUP(M18&amp;"-"&amp;N18,'Djøf Finance Hoppers'!D:D,'Djøf Finance Hoppers'!C:C,0,1)</f>
        <v>1231</v>
      </c>
      <c r="Q18" s="12">
        <f t="shared" si="1"/>
        <v>0.1385013501350135</v>
      </c>
    </row>
    <row r="19" spans="2:17" x14ac:dyDescent="0.25">
      <c r="B19" s="3">
        <v>41</v>
      </c>
      <c r="C19" s="3" t="str">
        <f t="shared" si="3"/>
        <v>40-44 år</v>
      </c>
      <c r="D19" s="12">
        <f t="shared" si="0"/>
        <v>0.2213187304833609</v>
      </c>
      <c r="E19" s="3" t="str">
        <f ca="1">IF(OR(JobHopping[[#This Row],[Age]]=25,JobHopping[[#This Row],[Age]]&gt;69),"N",IF(AND(E17="N",E18="N", RAND()&lt;=D19), "Y", "N"))</f>
        <v>N</v>
      </c>
      <c r="F19" s="3" t="s">
        <v>0</v>
      </c>
      <c r="G19" s="3" t="str">
        <f>IF(JobHopping[[#This Row],[Age]]&lt;40,"",JobHopping[[#This Row],[SwitchP1Static]])</f>
        <v>N</v>
      </c>
      <c r="M19" s="3">
        <v>2014</v>
      </c>
      <c r="N19" s="3" t="s">
        <v>20</v>
      </c>
      <c r="O19" s="3">
        <f>_xlfn.XLOOKUP(M19&amp;"-"&amp;N19,'Djøf Finance Workers'!D:D,'Djøf Finance Workers'!C:C,0,1)</f>
        <v>5141</v>
      </c>
      <c r="P19" s="3">
        <f>_xlfn.XLOOKUP(M19&amp;"-"&amp;N19,'Djøf Finance Hoppers'!D:D,'Djøf Finance Hoppers'!C:C,0,1)</f>
        <v>706</v>
      </c>
      <c r="Q19" s="12">
        <f t="shared" si="1"/>
        <v>0.13732736821630034</v>
      </c>
    </row>
    <row r="20" spans="2:17" x14ac:dyDescent="0.25">
      <c r="B20" s="3">
        <v>42</v>
      </c>
      <c r="C20" s="3" t="str">
        <f t="shared" si="3"/>
        <v>40-44 år</v>
      </c>
      <c r="D20" s="12">
        <f t="shared" si="0"/>
        <v>0.2213187304833609</v>
      </c>
      <c r="E20" s="3" t="str">
        <f ca="1">IF(OR(JobHopping[[#This Row],[Age]]=25,JobHopping[[#This Row],[Age]]&gt;69),"N",IF(AND(E18="N",E19="N", RAND()&lt;=D20), "Y", "N"))</f>
        <v>N</v>
      </c>
      <c r="F20" s="3" t="s">
        <v>0</v>
      </c>
      <c r="G20" s="3" t="str">
        <f>IF(JobHopping[[#This Row],[Age]]&lt;40,"",JobHopping[[#This Row],[SwitchP1Static]])</f>
        <v>N</v>
      </c>
      <c r="M20" s="3">
        <v>2014</v>
      </c>
      <c r="N20" s="3" t="s">
        <v>21</v>
      </c>
      <c r="O20" s="3">
        <f>_xlfn.XLOOKUP(M20&amp;"-"&amp;N20,'Djøf Finance Workers'!D:D,'Djøf Finance Workers'!C:C,0,1)</f>
        <v>1600</v>
      </c>
      <c r="P20" s="3">
        <f>_xlfn.XLOOKUP(M20&amp;"-"&amp;N20,'Djøf Finance Hoppers'!D:D,'Djøf Finance Hoppers'!C:C,0,1)</f>
        <v>204</v>
      </c>
      <c r="Q20" s="12">
        <f t="shared" si="1"/>
        <v>0.1275</v>
      </c>
    </row>
    <row r="21" spans="2:17" x14ac:dyDescent="0.25">
      <c r="B21" s="3">
        <v>43</v>
      </c>
      <c r="C21" s="3" t="str">
        <f t="shared" si="3"/>
        <v>40-44 år</v>
      </c>
      <c r="D21" s="12">
        <f t="shared" si="0"/>
        <v>0.2213187304833609</v>
      </c>
      <c r="E21" s="3" t="str">
        <f ca="1">IF(OR(JobHopping[[#This Row],[Age]]=25,JobHopping[[#This Row],[Age]]&gt;69),"N",IF(AND(E19="N",E20="N", RAND()&lt;=D21), "Y", "N"))</f>
        <v>N</v>
      </c>
      <c r="F21" s="3" t="s">
        <v>60</v>
      </c>
      <c r="G21" s="3" t="str">
        <f>IF(JobHopping[[#This Row],[Age]]&lt;40,"",JobHopping[[#This Row],[SwitchP1Static]])</f>
        <v>Y</v>
      </c>
      <c r="M21" s="3">
        <v>2015</v>
      </c>
      <c r="N21" s="3" t="s">
        <v>13</v>
      </c>
      <c r="O21" s="3">
        <f>_xlfn.XLOOKUP(M21&amp;"-"&amp;N21,'Djøf Finance Workers'!D:D,'Djøf Finance Workers'!C:C,0,1)</f>
        <v>5834</v>
      </c>
      <c r="P21" s="3">
        <f>_xlfn.XLOOKUP(M21&amp;"-"&amp;N21,'Djøf Finance Hoppers'!D:D,'Djøf Finance Hoppers'!C:C,0,1)</f>
        <v>2715</v>
      </c>
      <c r="Q21" s="12">
        <f t="shared" si="1"/>
        <v>0.46537538567020914</v>
      </c>
    </row>
    <row r="22" spans="2:17" x14ac:dyDescent="0.25">
      <c r="B22" s="3">
        <v>44</v>
      </c>
      <c r="C22" s="3" t="str">
        <f t="shared" si="3"/>
        <v>40-44 år</v>
      </c>
      <c r="D22" s="12">
        <f t="shared" si="0"/>
        <v>0.2213187304833609</v>
      </c>
      <c r="E22" s="3" t="str">
        <f ca="1">IF(OR(JobHopping[[#This Row],[Age]]=25,JobHopping[[#This Row],[Age]]&gt;69),"N",IF(AND(E20="N",E21="N", RAND()&lt;=D22), "Y", "N"))</f>
        <v>N</v>
      </c>
      <c r="F22" s="3" t="s">
        <v>0</v>
      </c>
      <c r="G22" s="3" t="str">
        <f>IF(JobHopping[[#This Row],[Age]]&lt;40,"",JobHopping[[#This Row],[SwitchP1Static]])</f>
        <v>N</v>
      </c>
      <c r="M22" s="3">
        <v>2015</v>
      </c>
      <c r="N22" s="3" t="s">
        <v>14</v>
      </c>
      <c r="O22" s="3">
        <f>_xlfn.XLOOKUP(M22&amp;"-"&amp;N22,'Djøf Finance Workers'!D:D,'Djøf Finance Workers'!C:C,0,1)</f>
        <v>7834</v>
      </c>
      <c r="P22" s="3">
        <f>_xlfn.XLOOKUP(M22&amp;"-"&amp;N22,'Djøf Finance Hoppers'!D:D,'Djøf Finance Hoppers'!C:C,0,1)</f>
        <v>2473</v>
      </c>
      <c r="Q22" s="12">
        <f t="shared" si="1"/>
        <v>0.31567526167985704</v>
      </c>
    </row>
    <row r="23" spans="2:17" x14ac:dyDescent="0.25">
      <c r="B23" s="3">
        <v>45</v>
      </c>
      <c r="C23" s="3" t="str">
        <f t="shared" si="3"/>
        <v>45-49 år</v>
      </c>
      <c r="D23" s="12">
        <f t="shared" si="0"/>
        <v>0.19929479981866399</v>
      </c>
      <c r="E23" s="3" t="str">
        <f ca="1">IF(OR(JobHopping[[#This Row],[Age]]=25,JobHopping[[#This Row],[Age]]&gt;69),"N",IF(AND(E21="N",E22="N", RAND()&lt;=D23), "Y", "N"))</f>
        <v>Y</v>
      </c>
      <c r="F23" s="3" t="s">
        <v>0</v>
      </c>
      <c r="G23" s="3" t="str">
        <f>IF(JobHopping[[#This Row],[Age]]&lt;40,"",JobHopping[[#This Row],[SwitchP1Static]])</f>
        <v>N</v>
      </c>
      <c r="M23" s="3">
        <v>2015</v>
      </c>
      <c r="N23" s="3" t="s">
        <v>15</v>
      </c>
      <c r="O23" s="3">
        <f>_xlfn.XLOOKUP(M23&amp;"-"&amp;N23,'Djøf Finance Workers'!D:D,'Djøf Finance Workers'!C:C,0,1)</f>
        <v>9897</v>
      </c>
      <c r="P23" s="3">
        <f>_xlfn.XLOOKUP(M23&amp;"-"&amp;N23,'Djøf Finance Hoppers'!D:D,'Djøf Finance Hoppers'!C:C,0,1)</f>
        <v>2378</v>
      </c>
      <c r="Q23" s="12">
        <f t="shared" si="1"/>
        <v>0.24027483075679498</v>
      </c>
    </row>
    <row r="24" spans="2:17" x14ac:dyDescent="0.25">
      <c r="B24" s="3">
        <v>46</v>
      </c>
      <c r="C24" s="3" t="str">
        <f t="shared" si="3"/>
        <v>45-49 år</v>
      </c>
      <c r="D24" s="12">
        <f t="shared" si="0"/>
        <v>0.19929479981866399</v>
      </c>
      <c r="E24" s="3" t="str">
        <f ca="1">IF(OR(JobHopping[[#This Row],[Age]]=25,JobHopping[[#This Row],[Age]]&gt;69),"N",IF(AND(E22="N",E23="N", RAND()&lt;=D24), "Y", "N"))</f>
        <v>N</v>
      </c>
      <c r="F24" s="3" t="s">
        <v>0</v>
      </c>
      <c r="G24" s="3" t="str">
        <f>IF(JobHopping[[#This Row],[Age]]&lt;40,"",JobHopping[[#This Row],[SwitchP1Static]])</f>
        <v>N</v>
      </c>
      <c r="M24" s="3">
        <v>2015</v>
      </c>
      <c r="N24" s="3" t="s">
        <v>16</v>
      </c>
      <c r="O24" s="3">
        <f>_xlfn.XLOOKUP(M24&amp;"-"&amp;N24,'Djøf Finance Workers'!D:D,'Djøf Finance Workers'!C:C,0,1)</f>
        <v>9571</v>
      </c>
      <c r="P24" s="3">
        <f>_xlfn.XLOOKUP(M24&amp;"-"&amp;N24,'Djøf Finance Hoppers'!D:D,'Djøf Finance Hoppers'!C:C,0,1)</f>
        <v>1902</v>
      </c>
      <c r="Q24" s="12">
        <f t="shared" si="1"/>
        <v>0.19872531605892801</v>
      </c>
    </row>
    <row r="25" spans="2:17" x14ac:dyDescent="0.25">
      <c r="B25" s="3">
        <v>47</v>
      </c>
      <c r="C25" s="3" t="str">
        <f t="shared" si="3"/>
        <v>45-49 år</v>
      </c>
      <c r="D25" s="12">
        <f t="shared" si="0"/>
        <v>0.19929479981866399</v>
      </c>
      <c r="E25" s="3" t="str">
        <f ca="1">IF(OR(JobHopping[[#This Row],[Age]]=25,JobHopping[[#This Row],[Age]]&gt;69),"N",IF(AND(E23="N",E24="N", RAND()&lt;=D25), "Y", "N"))</f>
        <v>N</v>
      </c>
      <c r="F25" s="3" t="s">
        <v>60</v>
      </c>
      <c r="G25" s="3" t="str">
        <f>IF(JobHopping[[#This Row],[Age]]&lt;40,"",JobHopping[[#This Row],[SwitchP1Static]])</f>
        <v>Y</v>
      </c>
      <c r="M25" s="3">
        <v>2015</v>
      </c>
      <c r="N25" s="3" t="s">
        <v>17</v>
      </c>
      <c r="O25" s="3">
        <f>_xlfn.XLOOKUP(M25&amp;"-"&amp;N25,'Djøf Finance Workers'!D:D,'Djøf Finance Workers'!C:C,0,1)</f>
        <v>11603</v>
      </c>
      <c r="P25" s="3">
        <f>_xlfn.XLOOKUP(M25&amp;"-"&amp;N25,'Djøf Finance Hoppers'!D:D,'Djøf Finance Hoppers'!C:C,0,1)</f>
        <v>2085</v>
      </c>
      <c r="Q25" s="12">
        <f t="shared" si="1"/>
        <v>0.17969490648970093</v>
      </c>
    </row>
    <row r="26" spans="2:17" x14ac:dyDescent="0.25">
      <c r="B26" s="3">
        <v>48</v>
      </c>
      <c r="C26" s="3" t="str">
        <f t="shared" si="3"/>
        <v>45-49 år</v>
      </c>
      <c r="D26" s="12">
        <f t="shared" si="0"/>
        <v>0.19929479981866399</v>
      </c>
      <c r="E26" s="3" t="str">
        <f ca="1">IF(OR(JobHopping[[#This Row],[Age]]=25,JobHopping[[#This Row],[Age]]&gt;69),"N",IF(AND(E24="N",E25="N", RAND()&lt;=D26), "Y", "N"))</f>
        <v>Y</v>
      </c>
      <c r="F26" s="3" t="s">
        <v>0</v>
      </c>
      <c r="G26" s="3" t="str">
        <f>IF(JobHopping[[#This Row],[Age]]&lt;40,"",JobHopping[[#This Row],[SwitchP1Static]])</f>
        <v>N</v>
      </c>
      <c r="M26" s="3">
        <v>2015</v>
      </c>
      <c r="N26" s="3" t="s">
        <v>18</v>
      </c>
      <c r="O26" s="3">
        <f>_xlfn.XLOOKUP(M26&amp;"-"&amp;N26,'Djøf Finance Workers'!D:D,'Djøf Finance Workers'!C:C,0,1)</f>
        <v>11160</v>
      </c>
      <c r="P26" s="3">
        <f>_xlfn.XLOOKUP(M26&amp;"-"&amp;N26,'Djøf Finance Hoppers'!D:D,'Djøf Finance Hoppers'!C:C,0,1)</f>
        <v>1717</v>
      </c>
      <c r="Q26" s="12">
        <f t="shared" si="1"/>
        <v>0.15385304659498208</v>
      </c>
    </row>
    <row r="27" spans="2:17" x14ac:dyDescent="0.25">
      <c r="B27" s="3">
        <v>49</v>
      </c>
      <c r="C27" s="3" t="str">
        <f t="shared" si="3"/>
        <v>45-49 år</v>
      </c>
      <c r="D27" s="12">
        <f t="shared" si="0"/>
        <v>0.19929479981866399</v>
      </c>
      <c r="E27" s="3" t="str">
        <f ca="1">IF(OR(JobHopping[[#This Row],[Age]]=25,JobHopping[[#This Row],[Age]]&gt;69),"N",IF(AND(E25="N",E26="N", RAND()&lt;=D27), "Y", "N"))</f>
        <v>N</v>
      </c>
      <c r="F27" s="3" t="s">
        <v>0</v>
      </c>
      <c r="G27" s="3" t="str">
        <f>IF(JobHopping[[#This Row],[Age]]&lt;40,"",JobHopping[[#This Row],[SwitchP1Static]])</f>
        <v>N</v>
      </c>
      <c r="M27" s="3">
        <v>2015</v>
      </c>
      <c r="N27" s="3" t="s">
        <v>19</v>
      </c>
      <c r="O27" s="3">
        <f>_xlfn.XLOOKUP(M27&amp;"-"&amp;N27,'Djøf Finance Workers'!D:D,'Djøf Finance Workers'!C:C,0,1)</f>
        <v>8969</v>
      </c>
      <c r="P27" s="3">
        <f>_xlfn.XLOOKUP(M27&amp;"-"&amp;N27,'Djøf Finance Hoppers'!D:D,'Djøf Finance Hoppers'!C:C,0,1)</f>
        <v>1226</v>
      </c>
      <c r="Q27" s="12">
        <f t="shared" si="1"/>
        <v>0.13669305385215744</v>
      </c>
    </row>
    <row r="28" spans="2:17" x14ac:dyDescent="0.25">
      <c r="B28" s="3">
        <v>50</v>
      </c>
      <c r="C28" s="3" t="str">
        <f t="shared" si="3"/>
        <v>50-54 år</v>
      </c>
      <c r="D28" s="12">
        <f t="shared" si="0"/>
        <v>0.17668929185764676</v>
      </c>
      <c r="E28" s="3" t="str">
        <f ca="1">IF(OR(JobHopping[[#This Row],[Age]]=25,JobHopping[[#This Row],[Age]]&gt;69),"N",IF(AND(E26="N",E27="N", RAND()&lt;=D28), "Y", "N"))</f>
        <v>N</v>
      </c>
      <c r="F28" s="3" t="s">
        <v>0</v>
      </c>
      <c r="G28" s="3" t="str">
        <f>IF(JobHopping[[#This Row],[Age]]&lt;40,"",JobHopping[[#This Row],[SwitchP1Static]])</f>
        <v>N</v>
      </c>
      <c r="M28" s="3">
        <v>2015</v>
      </c>
      <c r="N28" s="3" t="s">
        <v>20</v>
      </c>
      <c r="O28" s="3">
        <f>_xlfn.XLOOKUP(M28&amp;"-"&amp;N28,'Djøf Finance Workers'!D:D,'Djøf Finance Workers'!C:C,0,1)</f>
        <v>5167</v>
      </c>
      <c r="P28" s="3">
        <f>_xlfn.XLOOKUP(M28&amp;"-"&amp;N28,'Djøf Finance Hoppers'!D:D,'Djøf Finance Hoppers'!C:C,0,1)</f>
        <v>583</v>
      </c>
      <c r="Q28" s="12">
        <f t="shared" si="1"/>
        <v>0.11283143023030773</v>
      </c>
    </row>
    <row r="29" spans="2:17" x14ac:dyDescent="0.25">
      <c r="B29" s="3">
        <v>51</v>
      </c>
      <c r="C29" s="3" t="str">
        <f t="shared" si="3"/>
        <v>50-54 år</v>
      </c>
      <c r="D29" s="12">
        <f t="shared" si="0"/>
        <v>0.17668929185764676</v>
      </c>
      <c r="E29" s="3" t="str">
        <f ca="1">IF(OR(JobHopping[[#This Row],[Age]]=25,JobHopping[[#This Row],[Age]]&gt;69),"N",IF(AND(E27="N",E28="N", RAND()&lt;=D29), "Y", "N"))</f>
        <v>N</v>
      </c>
      <c r="F29" s="3" t="s">
        <v>0</v>
      </c>
      <c r="G29" s="3" t="str">
        <f>IF(JobHopping[[#This Row],[Age]]&lt;40,"",JobHopping[[#This Row],[SwitchP1Static]])</f>
        <v>N</v>
      </c>
      <c r="M29" s="3">
        <v>2015</v>
      </c>
      <c r="N29" s="3" t="s">
        <v>21</v>
      </c>
      <c r="O29" s="3">
        <f>_xlfn.XLOOKUP(M29&amp;"-"&amp;N29,'Djøf Finance Workers'!D:D,'Djøf Finance Workers'!C:C,0,1)</f>
        <v>1642</v>
      </c>
      <c r="P29" s="3">
        <f>_xlfn.XLOOKUP(M29&amp;"-"&amp;N29,'Djøf Finance Hoppers'!D:D,'Djøf Finance Hoppers'!C:C,0,1)</f>
        <v>211</v>
      </c>
      <c r="Q29" s="12">
        <f t="shared" si="1"/>
        <v>0.12850182704019489</v>
      </c>
    </row>
    <row r="30" spans="2:17" x14ac:dyDescent="0.25">
      <c r="B30" s="3">
        <v>52</v>
      </c>
      <c r="C30" s="3" t="str">
        <f t="shared" si="3"/>
        <v>50-54 år</v>
      </c>
      <c r="D30" s="12">
        <f t="shared" si="0"/>
        <v>0.17668929185764676</v>
      </c>
      <c r="E30" s="3" t="str">
        <f ca="1">IF(OR(JobHopping[[#This Row],[Age]]=25,JobHopping[[#This Row],[Age]]&gt;69),"N",IF(AND(E28="N",E29="N", RAND()&lt;=D30), "Y", "N"))</f>
        <v>N</v>
      </c>
      <c r="F30" s="3" t="s">
        <v>0</v>
      </c>
      <c r="G30" s="3" t="str">
        <f>IF(JobHopping[[#This Row],[Age]]&lt;40,"",JobHopping[[#This Row],[SwitchP1Static]])</f>
        <v>N</v>
      </c>
      <c r="M30" s="3">
        <v>2016</v>
      </c>
      <c r="N30" s="3" t="s">
        <v>13</v>
      </c>
      <c r="O30" s="3">
        <f>_xlfn.XLOOKUP(M30&amp;"-"&amp;N30,'Djøf Finance Workers'!D:D,'Djøf Finance Workers'!C:C,0,1)</f>
        <v>5701</v>
      </c>
      <c r="P30" s="3">
        <f>_xlfn.XLOOKUP(M30&amp;"-"&amp;N30,'Djøf Finance Hoppers'!D:D,'Djøf Finance Hoppers'!C:C,0,1)</f>
        <v>3005</v>
      </c>
      <c r="Q30" s="12">
        <f t="shared" si="1"/>
        <v>0.52710050868268721</v>
      </c>
    </row>
    <row r="31" spans="2:17" x14ac:dyDescent="0.25">
      <c r="B31" s="3">
        <v>53</v>
      </c>
      <c r="C31" s="3" t="str">
        <f t="shared" si="3"/>
        <v>50-54 år</v>
      </c>
      <c r="D31" s="12">
        <f t="shared" si="0"/>
        <v>0.17668929185764676</v>
      </c>
      <c r="E31" s="3" t="str">
        <f ca="1">IF(OR(JobHopping[[#This Row],[Age]]=25,JobHopping[[#This Row],[Age]]&gt;69),"N",IF(AND(E29="N",E30="N", RAND()&lt;=D31), "Y", "N"))</f>
        <v>Y</v>
      </c>
      <c r="F31" s="3" t="s">
        <v>0</v>
      </c>
      <c r="G31" s="3" t="str">
        <f>IF(JobHopping[[#This Row],[Age]]&lt;40,"",JobHopping[[#This Row],[SwitchP1Static]])</f>
        <v>N</v>
      </c>
      <c r="M31" s="3">
        <v>2016</v>
      </c>
      <c r="N31" s="3" t="s">
        <v>14</v>
      </c>
      <c r="O31" s="3">
        <f>_xlfn.XLOOKUP(M31&amp;"-"&amp;N31,'Djøf Finance Workers'!D:D,'Djøf Finance Workers'!C:C,0,1)</f>
        <v>7831</v>
      </c>
      <c r="P31" s="3">
        <f>_xlfn.XLOOKUP(M31&amp;"-"&amp;N31,'Djøf Finance Hoppers'!D:D,'Djøf Finance Hoppers'!C:C,0,1)</f>
        <v>2584</v>
      </c>
      <c r="Q31" s="12">
        <f t="shared" si="1"/>
        <v>0.32997062954922746</v>
      </c>
    </row>
    <row r="32" spans="2:17" x14ac:dyDescent="0.25">
      <c r="B32" s="3">
        <v>54</v>
      </c>
      <c r="C32" s="3" t="str">
        <f t="shared" si="3"/>
        <v>50-54 år</v>
      </c>
      <c r="D32" s="12">
        <f t="shared" si="0"/>
        <v>0.17668929185764676</v>
      </c>
      <c r="E32" s="3" t="str">
        <f ca="1">IF(OR(JobHopping[[#This Row],[Age]]=25,JobHopping[[#This Row],[Age]]&gt;69),"N",IF(AND(E30="N",E31="N", RAND()&lt;=D32), "Y", "N"))</f>
        <v>N</v>
      </c>
      <c r="F32" s="3" t="s">
        <v>0</v>
      </c>
      <c r="G32" s="3" t="str">
        <f>IF(JobHopping[[#This Row],[Age]]&lt;40,"",JobHopping[[#This Row],[SwitchP1Static]])</f>
        <v>N</v>
      </c>
      <c r="M32" s="3">
        <v>2016</v>
      </c>
      <c r="N32" s="3" t="s">
        <v>15</v>
      </c>
      <c r="O32" s="3">
        <f>_xlfn.XLOOKUP(M32&amp;"-"&amp;N32,'Djøf Finance Workers'!D:D,'Djøf Finance Workers'!C:C,0,1)</f>
        <v>9564</v>
      </c>
      <c r="P32" s="3">
        <f>_xlfn.XLOOKUP(M32&amp;"-"&amp;N32,'Djøf Finance Hoppers'!D:D,'Djøf Finance Hoppers'!C:C,0,1)</f>
        <v>2311</v>
      </c>
      <c r="Q32" s="12">
        <f t="shared" si="1"/>
        <v>0.24163529903805939</v>
      </c>
    </row>
    <row r="33" spans="2:17" x14ac:dyDescent="0.25">
      <c r="B33" s="3">
        <v>55</v>
      </c>
      <c r="C33" s="3" t="str">
        <f t="shared" si="3"/>
        <v>55-59 år</v>
      </c>
      <c r="D33" s="12">
        <f t="shared" si="0"/>
        <v>0.15515674597479437</v>
      </c>
      <c r="E33" s="3" t="str">
        <f ca="1">IF(OR(JobHopping[[#This Row],[Age]]=25,JobHopping[[#This Row],[Age]]&gt;69),"N",IF(AND(E31="N",E32="N", RAND()&lt;=D33), "Y", "N"))</f>
        <v>N</v>
      </c>
      <c r="F33" s="3" t="s">
        <v>0</v>
      </c>
      <c r="G33" s="3" t="str">
        <f>IF(JobHopping[[#This Row],[Age]]&lt;40,"",JobHopping[[#This Row],[SwitchP1Static]])</f>
        <v>N</v>
      </c>
      <c r="M33" s="3">
        <v>2016</v>
      </c>
      <c r="N33" s="3" t="s">
        <v>16</v>
      </c>
      <c r="O33" s="3">
        <f>_xlfn.XLOOKUP(M33&amp;"-"&amp;N33,'Djøf Finance Workers'!D:D,'Djøf Finance Workers'!C:C,0,1)</f>
        <v>9711</v>
      </c>
      <c r="P33" s="3">
        <f>_xlfn.XLOOKUP(M33&amp;"-"&amp;N33,'Djøf Finance Hoppers'!D:D,'Djøf Finance Hoppers'!C:C,0,1)</f>
        <v>2111</v>
      </c>
      <c r="Q33" s="12">
        <f t="shared" si="1"/>
        <v>0.21738234991247041</v>
      </c>
    </row>
    <row r="34" spans="2:17" x14ac:dyDescent="0.25">
      <c r="B34" s="3">
        <v>56</v>
      </c>
      <c r="C34" s="3" t="str">
        <f t="shared" si="3"/>
        <v>55-59 år</v>
      </c>
      <c r="D34" s="12">
        <f t="shared" si="0"/>
        <v>0.15515674597479437</v>
      </c>
      <c r="E34" s="3" t="str">
        <f ca="1">IF(OR(JobHopping[[#This Row],[Age]]=25,JobHopping[[#This Row],[Age]]&gt;69),"N",IF(AND(E32="N",E33="N", RAND()&lt;=D34), "Y", "N"))</f>
        <v>Y</v>
      </c>
      <c r="F34" s="3" t="s">
        <v>0</v>
      </c>
      <c r="G34" s="3" t="str">
        <f>IF(JobHopping[[#This Row],[Age]]&lt;40,"",JobHopping[[#This Row],[SwitchP1Static]])</f>
        <v>N</v>
      </c>
      <c r="M34" s="3">
        <v>2016</v>
      </c>
      <c r="N34" s="3" t="s">
        <v>17</v>
      </c>
      <c r="O34" s="3">
        <f>_xlfn.XLOOKUP(M34&amp;"-"&amp;N34,'Djøf Finance Workers'!D:D,'Djøf Finance Workers'!C:C,0,1)</f>
        <v>10533</v>
      </c>
      <c r="P34" s="3">
        <f>_xlfn.XLOOKUP(M34&amp;"-"&amp;N34,'Djøf Finance Hoppers'!D:D,'Djøf Finance Hoppers'!C:C,0,1)</f>
        <v>2000</v>
      </c>
      <c r="Q34" s="12">
        <f t="shared" si="1"/>
        <v>0.18987942656413179</v>
      </c>
    </row>
    <row r="35" spans="2:17" x14ac:dyDescent="0.25">
      <c r="B35" s="3">
        <v>57</v>
      </c>
      <c r="C35" s="3" t="str">
        <f t="shared" si="3"/>
        <v>55-59 år</v>
      </c>
      <c r="D35" s="12">
        <f t="shared" ref="D35:D66" si="4">_xlfn.XLOOKUP(C35,S:S,T:T)</f>
        <v>0.15515674597479437</v>
      </c>
      <c r="E35" s="3" t="str">
        <f ca="1">IF(OR(JobHopping[[#This Row],[Age]]=25,JobHopping[[#This Row],[Age]]&gt;69),"N",IF(AND(E33="N",E34="N", RAND()&lt;=D35), "Y", "N"))</f>
        <v>N</v>
      </c>
      <c r="F35" s="3" t="s">
        <v>0</v>
      </c>
      <c r="G35" s="3" t="str">
        <f>IF(JobHopping[[#This Row],[Age]]&lt;40,"",JobHopping[[#This Row],[SwitchP1Static]])</f>
        <v>N</v>
      </c>
      <c r="M35" s="3">
        <v>2016</v>
      </c>
      <c r="N35" s="3" t="s">
        <v>18</v>
      </c>
      <c r="O35" s="3">
        <f>_xlfn.XLOOKUP(M35&amp;"-"&amp;N35,'Djøf Finance Workers'!D:D,'Djøf Finance Workers'!C:C,0,1)</f>
        <v>11490</v>
      </c>
      <c r="P35" s="3">
        <f>_xlfn.XLOOKUP(M35&amp;"-"&amp;N35,'Djøf Finance Hoppers'!D:D,'Djøf Finance Hoppers'!C:C,0,1)</f>
        <v>1808</v>
      </c>
      <c r="Q35" s="12">
        <f t="shared" si="1"/>
        <v>0.15735422106179286</v>
      </c>
    </row>
    <row r="36" spans="2:17" x14ac:dyDescent="0.25">
      <c r="B36" s="3">
        <v>58</v>
      </c>
      <c r="C36" s="3" t="str">
        <f t="shared" si="3"/>
        <v>55-59 år</v>
      </c>
      <c r="D36" s="12">
        <f t="shared" si="4"/>
        <v>0.15515674597479437</v>
      </c>
      <c r="E36" s="3" t="str">
        <f ca="1">IF(OR(JobHopping[[#This Row],[Age]]=25,JobHopping[[#This Row],[Age]]&gt;69),"N",IF(AND(E34="N",E35="N", RAND()&lt;=D36), "Y", "N"))</f>
        <v>N</v>
      </c>
      <c r="F36" s="3" t="s">
        <v>0</v>
      </c>
      <c r="G36" s="3" t="str">
        <f>IF(JobHopping[[#This Row],[Age]]&lt;40,"",JobHopping[[#This Row],[SwitchP1Static]])</f>
        <v>N</v>
      </c>
      <c r="M36" s="3">
        <v>2016</v>
      </c>
      <c r="N36" s="3" t="s">
        <v>19</v>
      </c>
      <c r="O36" s="3">
        <f>_xlfn.XLOOKUP(M36&amp;"-"&amp;N36,'Djøf Finance Workers'!D:D,'Djøf Finance Workers'!C:C,0,1)</f>
        <v>9121</v>
      </c>
      <c r="P36" s="3">
        <f>_xlfn.XLOOKUP(M36&amp;"-"&amp;N36,'Djøf Finance Hoppers'!D:D,'Djøf Finance Hoppers'!C:C,0,1)</f>
        <v>1301</v>
      </c>
      <c r="Q36" s="12">
        <f t="shared" si="1"/>
        <v>0.14263786865475278</v>
      </c>
    </row>
    <row r="37" spans="2:17" x14ac:dyDescent="0.25">
      <c r="B37" s="3">
        <v>59</v>
      </c>
      <c r="C37" s="3" t="str">
        <f t="shared" si="3"/>
        <v>55-59 år</v>
      </c>
      <c r="D37" s="12">
        <f t="shared" si="4"/>
        <v>0.15515674597479437</v>
      </c>
      <c r="E37" s="3" t="str">
        <f ca="1">IF(OR(JobHopping[[#This Row],[Age]]=25,JobHopping[[#This Row],[Age]]&gt;69),"N",IF(AND(E35="N",E36="N", RAND()&lt;=D37), "Y", "N"))</f>
        <v>N</v>
      </c>
      <c r="F37" s="3" t="s">
        <v>0</v>
      </c>
      <c r="G37" s="3" t="str">
        <f>IF(JobHopping[[#This Row],[Age]]&lt;40,"",JobHopping[[#This Row],[SwitchP1Static]])</f>
        <v>N</v>
      </c>
      <c r="M37" s="3">
        <v>2016</v>
      </c>
      <c r="N37" s="3" t="s">
        <v>20</v>
      </c>
      <c r="O37" s="3">
        <f>_xlfn.XLOOKUP(M37&amp;"-"&amp;N37,'Djøf Finance Workers'!D:D,'Djøf Finance Workers'!C:C,0,1)</f>
        <v>5304</v>
      </c>
      <c r="P37" s="3">
        <f>_xlfn.XLOOKUP(M37&amp;"-"&amp;N37,'Djøf Finance Hoppers'!D:D,'Djøf Finance Hoppers'!C:C,0,1)</f>
        <v>708</v>
      </c>
      <c r="Q37" s="12">
        <f t="shared" si="1"/>
        <v>0.1334841628959276</v>
      </c>
    </row>
    <row r="38" spans="2:17" x14ac:dyDescent="0.25">
      <c r="B38" s="3">
        <v>60</v>
      </c>
      <c r="C38" s="3" t="str">
        <f t="shared" si="3"/>
        <v>60-64 år</v>
      </c>
      <c r="D38" s="12">
        <f t="shared" si="4"/>
        <v>0.13997311637990331</v>
      </c>
      <c r="E38" s="3" t="str">
        <f ca="1">IF(OR(JobHopping[[#This Row],[Age]]=25,JobHopping[[#This Row],[Age]]&gt;69),"N",IF(AND(E36="N",E37="N", RAND()&lt;=D38), "Y", "N"))</f>
        <v>N</v>
      </c>
      <c r="F38" s="3" t="s">
        <v>60</v>
      </c>
      <c r="G38" s="3" t="str">
        <f>IF(JobHopping[[#This Row],[Age]]&lt;40,"",JobHopping[[#This Row],[SwitchP1Static]])</f>
        <v>Y</v>
      </c>
      <c r="M38" s="3">
        <v>2016</v>
      </c>
      <c r="N38" s="3" t="s">
        <v>21</v>
      </c>
      <c r="O38" s="3">
        <f>_xlfn.XLOOKUP(M38&amp;"-"&amp;N38,'Djøf Finance Workers'!D:D,'Djøf Finance Workers'!C:C,0,1)</f>
        <v>1680</v>
      </c>
      <c r="P38" s="3">
        <f>_xlfn.XLOOKUP(M38&amp;"-"&amp;N38,'Djøf Finance Hoppers'!D:D,'Djøf Finance Hoppers'!C:C,0,1)</f>
        <v>183</v>
      </c>
      <c r="Q38" s="12">
        <f t="shared" si="1"/>
        <v>0.10892857142857143</v>
      </c>
    </row>
    <row r="39" spans="2:17" x14ac:dyDescent="0.25">
      <c r="B39" s="3">
        <v>61</v>
      </c>
      <c r="C39" s="3" t="str">
        <f t="shared" si="3"/>
        <v>60-64 år</v>
      </c>
      <c r="D39" s="12">
        <f t="shared" si="4"/>
        <v>0.13997311637990331</v>
      </c>
      <c r="E39" s="3" t="str">
        <f ca="1">IF(OR(JobHopping[[#This Row],[Age]]=25,JobHopping[[#This Row],[Age]]&gt;69),"N",IF(AND(E37="N",E38="N", RAND()&lt;=D39), "Y", "N"))</f>
        <v>N</v>
      </c>
      <c r="F39" s="3" t="s">
        <v>0</v>
      </c>
      <c r="G39" s="3" t="str">
        <f>IF(JobHopping[[#This Row],[Age]]&lt;40,"",JobHopping[[#This Row],[SwitchP1Static]])</f>
        <v>N</v>
      </c>
      <c r="M39" s="3">
        <v>2017</v>
      </c>
      <c r="N39" s="3" t="s">
        <v>13</v>
      </c>
      <c r="O39" s="3">
        <f>_xlfn.XLOOKUP(M39&amp;"-"&amp;N39,'Djøf Finance Workers'!D:D,'Djøf Finance Workers'!C:C,0,1)</f>
        <v>5951</v>
      </c>
      <c r="P39" s="3">
        <f>_xlfn.XLOOKUP(M39&amp;"-"&amp;N39,'Djøf Finance Hoppers'!D:D,'Djøf Finance Hoppers'!C:C,0,1)</f>
        <v>3106</v>
      </c>
      <c r="Q39" s="12">
        <f t="shared" si="1"/>
        <v>0.52192908754831124</v>
      </c>
    </row>
    <row r="40" spans="2:17" x14ac:dyDescent="0.25">
      <c r="B40" s="3">
        <v>62</v>
      </c>
      <c r="C40" s="3" t="str">
        <f t="shared" si="3"/>
        <v>60-64 år</v>
      </c>
      <c r="D40" s="12">
        <f t="shared" si="4"/>
        <v>0.13997311637990331</v>
      </c>
      <c r="E40" s="3" t="str">
        <f ca="1">IF(OR(JobHopping[[#This Row],[Age]]=25,JobHopping[[#This Row],[Age]]&gt;69),"N",IF(AND(E38="N",E39="N", RAND()&lt;=D40), "Y", "N"))</f>
        <v>N</v>
      </c>
      <c r="F40" s="3" t="s">
        <v>0</v>
      </c>
      <c r="G40" s="3" t="str">
        <f>IF(JobHopping[[#This Row],[Age]]&lt;40,"",JobHopping[[#This Row],[SwitchP1Static]])</f>
        <v>N</v>
      </c>
      <c r="M40" s="3">
        <v>2017</v>
      </c>
      <c r="N40" s="3" t="s">
        <v>14</v>
      </c>
      <c r="O40" s="3">
        <f>_xlfn.XLOOKUP(M40&amp;"-"&amp;N40,'Djøf Finance Workers'!D:D,'Djøf Finance Workers'!C:C,0,1)</f>
        <v>8016</v>
      </c>
      <c r="P40" s="3">
        <f>_xlfn.XLOOKUP(M40&amp;"-"&amp;N40,'Djøf Finance Hoppers'!D:D,'Djøf Finance Hoppers'!C:C,0,1)</f>
        <v>2692</v>
      </c>
      <c r="Q40" s="12">
        <f t="shared" si="1"/>
        <v>0.33582834331337325</v>
      </c>
    </row>
    <row r="41" spans="2:17" x14ac:dyDescent="0.25">
      <c r="B41" s="3">
        <v>63</v>
      </c>
      <c r="C41" s="3" t="str">
        <f t="shared" si="3"/>
        <v>60-64 år</v>
      </c>
      <c r="D41" s="12">
        <f t="shared" si="4"/>
        <v>0.13997311637990331</v>
      </c>
      <c r="E41" s="3" t="str">
        <f ca="1">IF(OR(JobHopping[[#This Row],[Age]]=25,JobHopping[[#This Row],[Age]]&gt;69),"N",IF(AND(E39="N",E40="N", RAND()&lt;=D41), "Y", "N"))</f>
        <v>N</v>
      </c>
      <c r="F41" s="3" t="s">
        <v>0</v>
      </c>
      <c r="G41" s="3" t="str">
        <f>IF(JobHopping[[#This Row],[Age]]&lt;40,"",JobHopping[[#This Row],[SwitchP1Static]])</f>
        <v>N</v>
      </c>
      <c r="M41" s="3">
        <v>2017</v>
      </c>
      <c r="N41" s="3" t="s">
        <v>15</v>
      </c>
      <c r="O41" s="3">
        <f>_xlfn.XLOOKUP(M41&amp;"-"&amp;N41,'Djøf Finance Workers'!D:D,'Djøf Finance Workers'!C:C,0,1)</f>
        <v>9344</v>
      </c>
      <c r="P41" s="3">
        <f>_xlfn.XLOOKUP(M41&amp;"-"&amp;N41,'Djøf Finance Hoppers'!D:D,'Djøf Finance Hoppers'!C:C,0,1)</f>
        <v>2452</v>
      </c>
      <c r="Q41" s="12">
        <f t="shared" si="1"/>
        <v>0.26241438356164382</v>
      </c>
    </row>
    <row r="42" spans="2:17" x14ac:dyDescent="0.25">
      <c r="B42" s="3">
        <v>64</v>
      </c>
      <c r="C42" s="3" t="str">
        <f t="shared" si="3"/>
        <v>60-64 år</v>
      </c>
      <c r="D42" s="12">
        <f t="shared" si="4"/>
        <v>0.13997311637990331</v>
      </c>
      <c r="E42" s="3" t="str">
        <f ca="1">IF(OR(JobHopping[[#This Row],[Age]]=25,JobHopping[[#This Row],[Age]]&gt;69),"N",IF(AND(E40="N",E41="N", RAND()&lt;=D42), "Y", "N"))</f>
        <v>N</v>
      </c>
      <c r="F42" s="3" t="s">
        <v>0</v>
      </c>
      <c r="G42" s="3" t="str">
        <f>IF(JobHopping[[#This Row],[Age]]&lt;40,"",JobHopping[[#This Row],[SwitchP1Static]])</f>
        <v>N</v>
      </c>
      <c r="M42" s="3">
        <v>2017</v>
      </c>
      <c r="N42" s="3" t="s">
        <v>16</v>
      </c>
      <c r="O42" s="3">
        <f>_xlfn.XLOOKUP(M42&amp;"-"&amp;N42,'Djøf Finance Workers'!D:D,'Djøf Finance Workers'!C:C,0,1)</f>
        <v>9699</v>
      </c>
      <c r="P42" s="3">
        <f>_xlfn.XLOOKUP(M42&amp;"-"&amp;N42,'Djøf Finance Hoppers'!D:D,'Djøf Finance Hoppers'!C:C,0,1)</f>
        <v>2105</v>
      </c>
      <c r="Q42" s="12">
        <f t="shared" si="1"/>
        <v>0.21703268378183319</v>
      </c>
    </row>
    <row r="43" spans="2:17" x14ac:dyDescent="0.25">
      <c r="B43" s="3">
        <v>65</v>
      </c>
      <c r="C43" s="3" t="str">
        <f t="shared" si="3"/>
        <v>65+ år</v>
      </c>
      <c r="D43" s="12">
        <f t="shared" si="4"/>
        <v>0.11691873000664299</v>
      </c>
      <c r="E43" s="3" t="str">
        <f ca="1">IF(OR(JobHopping[[#This Row],[Age]]=25,JobHopping[[#This Row],[Age]]&gt;69),"N",IF(AND(E41="N",E42="N", RAND()&lt;=D43), "Y", "N"))</f>
        <v>N</v>
      </c>
      <c r="F43" s="3" t="s">
        <v>0</v>
      </c>
      <c r="G43" s="3" t="str">
        <f>IF(JobHopping[[#This Row],[Age]]&lt;40,"",JobHopping[[#This Row],[SwitchP1Static]])</f>
        <v>N</v>
      </c>
      <c r="M43" s="3">
        <v>2017</v>
      </c>
      <c r="N43" s="3" t="s">
        <v>17</v>
      </c>
      <c r="O43" s="3">
        <f>_xlfn.XLOOKUP(M43&amp;"-"&amp;N43,'Djøf Finance Workers'!D:D,'Djøf Finance Workers'!C:C,0,1)</f>
        <v>9778</v>
      </c>
      <c r="P43" s="3">
        <f>_xlfn.XLOOKUP(M43&amp;"-"&amp;N43,'Djøf Finance Hoppers'!D:D,'Djøf Finance Hoppers'!C:C,0,1)</f>
        <v>1892</v>
      </c>
      <c r="Q43" s="12">
        <f t="shared" si="1"/>
        <v>0.19349560237267335</v>
      </c>
    </row>
    <row r="44" spans="2:17" x14ac:dyDescent="0.25">
      <c r="B44" s="3">
        <v>66</v>
      </c>
      <c r="C44" s="3" t="str">
        <f t="shared" si="3"/>
        <v>65+ år</v>
      </c>
      <c r="D44" s="12">
        <f t="shared" si="4"/>
        <v>0.11691873000664299</v>
      </c>
      <c r="E44" s="3" t="str">
        <f ca="1">IF(OR(JobHopping[[#This Row],[Age]]=25,JobHopping[[#This Row],[Age]]&gt;69),"N",IF(AND(E42="N",E43="N", RAND()&lt;=D44), "Y", "N"))</f>
        <v>N</v>
      </c>
      <c r="F44" s="3" t="s">
        <v>0</v>
      </c>
      <c r="G44" s="3" t="str">
        <f>IF(JobHopping[[#This Row],[Age]]&lt;40,"",JobHopping[[#This Row],[SwitchP1Static]])</f>
        <v>N</v>
      </c>
      <c r="M44" s="3">
        <v>2017</v>
      </c>
      <c r="N44" s="3" t="s">
        <v>18</v>
      </c>
      <c r="O44" s="3">
        <f>_xlfn.XLOOKUP(M44&amp;"-"&amp;N44,'Djøf Finance Workers'!D:D,'Djøf Finance Workers'!C:C,0,1)</f>
        <v>11940</v>
      </c>
      <c r="P44" s="3">
        <f>_xlfn.XLOOKUP(M44&amp;"-"&amp;N44,'Djøf Finance Hoppers'!D:D,'Djøf Finance Hoppers'!C:C,0,1)</f>
        <v>2042</v>
      </c>
      <c r="Q44" s="12">
        <f t="shared" si="1"/>
        <v>0.1710217755443886</v>
      </c>
    </row>
    <row r="45" spans="2:17" x14ac:dyDescent="0.25">
      <c r="B45" s="3">
        <v>67</v>
      </c>
      <c r="C45" s="3" t="str">
        <f t="shared" si="3"/>
        <v>65+ år</v>
      </c>
      <c r="D45" s="12">
        <f t="shared" si="4"/>
        <v>0.11691873000664299</v>
      </c>
      <c r="E45" s="3" t="str">
        <f ca="1">IF(OR(JobHopping[[#This Row],[Age]]=25,JobHopping[[#This Row],[Age]]&gt;69),"N",IF(AND(E43="N",E44="N", RAND()&lt;=D45), "Y", "N"))</f>
        <v>N</v>
      </c>
      <c r="F45" s="3" t="s">
        <v>0</v>
      </c>
      <c r="G45" s="3" t="str">
        <f>IF(JobHopping[[#This Row],[Age]]&lt;40,"",JobHopping[[#This Row],[SwitchP1Static]])</f>
        <v>N</v>
      </c>
      <c r="M45" s="3">
        <v>2017</v>
      </c>
      <c r="N45" s="3" t="s">
        <v>19</v>
      </c>
      <c r="O45" s="3">
        <f>_xlfn.XLOOKUP(M45&amp;"-"&amp;N45,'Djøf Finance Workers'!D:D,'Djøf Finance Workers'!C:C,0,1)</f>
        <v>9231</v>
      </c>
      <c r="P45" s="3">
        <f>_xlfn.XLOOKUP(M45&amp;"-"&amp;N45,'Djøf Finance Hoppers'!D:D,'Djøf Finance Hoppers'!C:C,0,1)</f>
        <v>1410</v>
      </c>
      <c r="Q45" s="12">
        <f t="shared" si="1"/>
        <v>0.15274618134546636</v>
      </c>
    </row>
    <row r="46" spans="2:17" x14ac:dyDescent="0.25">
      <c r="B46" s="3">
        <v>68</v>
      </c>
      <c r="C46" s="3" t="str">
        <f t="shared" si="3"/>
        <v>65+ år</v>
      </c>
      <c r="D46" s="12">
        <f t="shared" si="4"/>
        <v>0.11691873000664299</v>
      </c>
      <c r="E46" s="3" t="str">
        <f ca="1">IF(OR(JobHopping[[#This Row],[Age]]=25,JobHopping[[#This Row],[Age]]&gt;69),"N",IF(AND(E44="N",E45="N", RAND()&lt;=D46), "Y", "N"))</f>
        <v>N</v>
      </c>
      <c r="F46" s="3" t="s">
        <v>0</v>
      </c>
      <c r="G46" s="3" t="str">
        <f>IF(JobHopping[[#This Row],[Age]]&lt;40,"",JobHopping[[#This Row],[SwitchP1Static]])</f>
        <v>N</v>
      </c>
      <c r="M46" s="3">
        <v>2017</v>
      </c>
      <c r="N46" s="3" t="s">
        <v>20</v>
      </c>
      <c r="O46" s="3">
        <f>_xlfn.XLOOKUP(M46&amp;"-"&amp;N46,'Djøf Finance Workers'!D:D,'Djøf Finance Workers'!C:C,0,1)</f>
        <v>5403</v>
      </c>
      <c r="P46" s="3">
        <f>_xlfn.XLOOKUP(M46&amp;"-"&amp;N46,'Djøf Finance Hoppers'!D:D,'Djøf Finance Hoppers'!C:C,0,1)</f>
        <v>757</v>
      </c>
      <c r="Q46" s="12">
        <f t="shared" si="1"/>
        <v>0.14010734776975753</v>
      </c>
    </row>
    <row r="47" spans="2:17" x14ac:dyDescent="0.25">
      <c r="B47" s="3">
        <v>69</v>
      </c>
      <c r="C47" s="3" t="str">
        <f t="shared" si="3"/>
        <v>65+ år</v>
      </c>
      <c r="D47" s="12">
        <f t="shared" si="4"/>
        <v>0.11691873000664299</v>
      </c>
      <c r="E47" s="3" t="str">
        <f ca="1">IF(OR(JobHopping[[#This Row],[Age]]=25,JobHopping[[#This Row],[Age]]&gt;69),"N",IF(AND(E45="N",E46="N", RAND()&lt;=D47), "Y", "N"))</f>
        <v>Y</v>
      </c>
      <c r="F47" s="3" t="s">
        <v>0</v>
      </c>
      <c r="G47" s="3" t="str">
        <f>IF(JobHopping[[#This Row],[Age]]&lt;40,"",JobHopping[[#This Row],[SwitchP1Static]])</f>
        <v>N</v>
      </c>
      <c r="M47" s="3">
        <v>2017</v>
      </c>
      <c r="N47" s="3" t="s">
        <v>21</v>
      </c>
      <c r="O47" s="3">
        <f>_xlfn.XLOOKUP(M47&amp;"-"&amp;N47,'Djøf Finance Workers'!D:D,'Djøf Finance Workers'!C:C,0,1)</f>
        <v>1775</v>
      </c>
      <c r="P47" s="3">
        <f>_xlfn.XLOOKUP(M47&amp;"-"&amp;N47,'Djøf Finance Hoppers'!D:D,'Djøf Finance Hoppers'!C:C,0,1)</f>
        <v>194</v>
      </c>
      <c r="Q47" s="12">
        <f t="shared" si="1"/>
        <v>0.10929577464788733</v>
      </c>
    </row>
    <row r="48" spans="2:17" x14ac:dyDescent="0.25">
      <c r="B48" s="3">
        <v>70</v>
      </c>
      <c r="C48" s="3" t="str">
        <f t="shared" si="3"/>
        <v>65+ år</v>
      </c>
      <c r="D48" s="12">
        <f t="shared" si="4"/>
        <v>0.11691873000664299</v>
      </c>
      <c r="E48" s="3" t="str">
        <f ca="1">IF(OR(JobHopping[[#This Row],[Age]]=25,JobHopping[[#This Row],[Age]]&gt;69),"N",IF(AND(E46="N",E47="N", RAND()&lt;=D48), "Y", "N"))</f>
        <v>N</v>
      </c>
      <c r="F48" s="3" t="s">
        <v>0</v>
      </c>
      <c r="G48" s="3" t="str">
        <f>IF(JobHopping[[#This Row],[Age]]&lt;40,"",JobHopping[[#This Row],[SwitchP1Static]])</f>
        <v>N</v>
      </c>
      <c r="M48" s="3">
        <v>2018</v>
      </c>
      <c r="N48" s="3" t="s">
        <v>13</v>
      </c>
      <c r="O48" s="3">
        <f>_xlfn.XLOOKUP(M48&amp;"-"&amp;N48,'Djøf Finance Workers'!D:D,'Djøf Finance Workers'!C:C,0,1)</f>
        <v>6353</v>
      </c>
      <c r="P48" s="3">
        <f>_xlfn.XLOOKUP(M48&amp;"-"&amp;N48,'Djøf Finance Hoppers'!D:D,'Djøf Finance Hoppers'!C:C,0,1)</f>
        <v>3149</v>
      </c>
      <c r="Q48" s="12">
        <f t="shared" si="1"/>
        <v>0.49567133637651506</v>
      </c>
    </row>
    <row r="49" spans="2:17" x14ac:dyDescent="0.25">
      <c r="B49" s="3">
        <v>71</v>
      </c>
      <c r="C49" s="3" t="str">
        <f t="shared" ref="C49:C54" si="5">IF(B49&lt;30, "25-29 år", IF(B49&lt;35, "30-34 år", IF(B49&lt;40, "35-39 år", IF(B49&lt;45, "40-44 år", IF(B49&lt;50, "45-49 år", IF(B49&lt;55, "50-54 år", IF(B49&lt;60, "55-59 år", IF(B49&lt;65, "60-64 år", "65+ år"))))))))</f>
        <v>65+ år</v>
      </c>
      <c r="D49" s="12">
        <f t="shared" si="4"/>
        <v>0.11691873000664299</v>
      </c>
      <c r="E49" s="3" t="str">
        <f ca="1">IF(OR(JobHopping[[#This Row],[Age]]=25,JobHopping[[#This Row],[Age]]&gt;69),"N",IF(AND(E47="N",E48="N", RAND()&lt;=D49), "Y", "N"))</f>
        <v>N</v>
      </c>
      <c r="F49" s="3" t="s">
        <v>0</v>
      </c>
      <c r="G49" s="3" t="str">
        <f>IF(JobHopping[[#This Row],[Age]]&lt;40,"",JobHopping[[#This Row],[SwitchP1Static]])</f>
        <v>N</v>
      </c>
      <c r="M49" s="3">
        <v>2018</v>
      </c>
      <c r="N49" s="3" t="s">
        <v>14</v>
      </c>
      <c r="O49" s="3">
        <f>_xlfn.XLOOKUP(M49&amp;"-"&amp;N49,'Djøf Finance Workers'!D:D,'Djøf Finance Workers'!C:C,0,1)</f>
        <v>8276</v>
      </c>
      <c r="P49" s="3">
        <f>_xlfn.XLOOKUP(M49&amp;"-"&amp;N49,'Djøf Finance Hoppers'!D:D,'Djøf Finance Hoppers'!C:C,0,1)</f>
        <v>2658</v>
      </c>
      <c r="Q49" s="12">
        <f t="shared" si="1"/>
        <v>0.32116964717254715</v>
      </c>
    </row>
    <row r="50" spans="2:17" x14ac:dyDescent="0.25">
      <c r="B50" s="3">
        <v>72</v>
      </c>
      <c r="C50" s="3" t="str">
        <f t="shared" si="5"/>
        <v>65+ år</v>
      </c>
      <c r="D50" s="12">
        <f t="shared" si="4"/>
        <v>0.11691873000664299</v>
      </c>
      <c r="E50" s="3" t="str">
        <f ca="1">IF(OR(JobHopping[[#This Row],[Age]]=25,JobHopping[[#This Row],[Age]]&gt;69),"N",IF(AND(E48="N",E49="N", RAND()&lt;=D50), "Y", "N"))</f>
        <v>N</v>
      </c>
      <c r="F50" s="3" t="s">
        <v>0</v>
      </c>
      <c r="G50" s="3" t="str">
        <f>IF(JobHopping[[#This Row],[Age]]&lt;40,"",JobHopping[[#This Row],[SwitchP1Static]])</f>
        <v>N</v>
      </c>
      <c r="M50" s="3">
        <v>2018</v>
      </c>
      <c r="N50" s="3" t="s">
        <v>15</v>
      </c>
      <c r="O50" s="3">
        <f>_xlfn.XLOOKUP(M50&amp;"-"&amp;N50,'Djøf Finance Workers'!D:D,'Djøf Finance Workers'!C:C,0,1)</f>
        <v>9245</v>
      </c>
      <c r="P50" s="3">
        <f>_xlfn.XLOOKUP(M50&amp;"-"&amp;N50,'Djøf Finance Hoppers'!D:D,'Djøf Finance Hoppers'!C:C,0,1)</f>
        <v>2333</v>
      </c>
      <c r="Q50" s="12">
        <f t="shared" si="1"/>
        <v>0.25235262303948081</v>
      </c>
    </row>
    <row r="51" spans="2:17" x14ac:dyDescent="0.25">
      <c r="B51" s="3">
        <v>73</v>
      </c>
      <c r="C51" s="3" t="str">
        <f t="shared" si="5"/>
        <v>65+ år</v>
      </c>
      <c r="D51" s="12">
        <f t="shared" si="4"/>
        <v>0.11691873000664299</v>
      </c>
      <c r="E51" s="3" t="str">
        <f ca="1">IF(OR(JobHopping[[#This Row],[Age]]=25,JobHopping[[#This Row],[Age]]&gt;69),"N",IF(AND(E49="N",E50="N", RAND()&lt;=D51), "Y", "N"))</f>
        <v>N</v>
      </c>
      <c r="F51" s="3" t="s">
        <v>0</v>
      </c>
      <c r="G51" s="3" t="str">
        <f>IF(JobHopping[[#This Row],[Age]]&lt;40,"",JobHopping[[#This Row],[SwitchP1Static]])</f>
        <v>N</v>
      </c>
      <c r="M51" s="3">
        <v>2018</v>
      </c>
      <c r="N51" s="3" t="s">
        <v>16</v>
      </c>
      <c r="O51" s="3">
        <f>_xlfn.XLOOKUP(M51&amp;"-"&amp;N51,'Djøf Finance Workers'!D:D,'Djøf Finance Workers'!C:C,0,1)</f>
        <v>9937</v>
      </c>
      <c r="P51" s="3">
        <f>_xlfn.XLOOKUP(M51&amp;"-"&amp;N51,'Djøf Finance Hoppers'!D:D,'Djøf Finance Hoppers'!C:C,0,1)</f>
        <v>2068</v>
      </c>
      <c r="Q51" s="12">
        <f t="shared" si="1"/>
        <v>0.2081110999295562</v>
      </c>
    </row>
    <row r="52" spans="2:17" x14ac:dyDescent="0.25">
      <c r="B52" s="3">
        <v>74</v>
      </c>
      <c r="C52" s="3" t="str">
        <f t="shared" si="5"/>
        <v>65+ år</v>
      </c>
      <c r="D52" s="12">
        <f t="shared" si="4"/>
        <v>0.11691873000664299</v>
      </c>
      <c r="E52" s="3" t="str">
        <f ca="1">IF(OR(JobHopping[[#This Row],[Age]]=25,JobHopping[[#This Row],[Age]]&gt;69),"N",IF(AND(E50="N",E51="N", RAND()&lt;=D52), "Y", "N"))</f>
        <v>N</v>
      </c>
      <c r="F52" s="3" t="s">
        <v>0</v>
      </c>
      <c r="G52" s="3" t="str">
        <f>IF(JobHopping[[#This Row],[Age]]&lt;40,"",JobHopping[[#This Row],[SwitchP1Static]])</f>
        <v>N</v>
      </c>
      <c r="M52" s="3">
        <v>2018</v>
      </c>
      <c r="N52" s="3" t="s">
        <v>17</v>
      </c>
      <c r="O52" s="3">
        <f>_xlfn.XLOOKUP(M52&amp;"-"&amp;N52,'Djøf Finance Workers'!D:D,'Djøf Finance Workers'!C:C,0,1)</f>
        <v>9488</v>
      </c>
      <c r="P52" s="3">
        <f>_xlfn.XLOOKUP(M52&amp;"-"&amp;N52,'Djøf Finance Hoppers'!D:D,'Djøf Finance Hoppers'!C:C,0,1)</f>
        <v>1770</v>
      </c>
      <c r="Q52" s="12">
        <f t="shared" si="1"/>
        <v>0.18655143338954469</v>
      </c>
    </row>
    <row r="53" spans="2:17" x14ac:dyDescent="0.25">
      <c r="B53" s="3">
        <v>75</v>
      </c>
      <c r="C53" s="3" t="str">
        <f t="shared" si="5"/>
        <v>65+ år</v>
      </c>
      <c r="D53" s="12">
        <f t="shared" si="4"/>
        <v>0.11691873000664299</v>
      </c>
      <c r="E53" s="3" t="str">
        <f ca="1">IF(OR(JobHopping[[#This Row],[Age]]=25,JobHopping[[#This Row],[Age]]&gt;69),"N",IF(AND(E51="N",E52="N", RAND()&lt;=D53), "Y", "N"))</f>
        <v>N</v>
      </c>
      <c r="F53" s="3" t="s">
        <v>0</v>
      </c>
      <c r="G53" s="3" t="str">
        <f>IF(JobHopping[[#This Row],[Age]]&lt;40,"",JobHopping[[#This Row],[SwitchP1Static]])</f>
        <v>N</v>
      </c>
      <c r="M53" s="3">
        <v>2018</v>
      </c>
      <c r="N53" s="3" t="s">
        <v>18</v>
      </c>
      <c r="O53" s="3">
        <f>_xlfn.XLOOKUP(M53&amp;"-"&amp;N53,'Djøf Finance Workers'!D:D,'Djøf Finance Workers'!C:C,0,1)</f>
        <v>12171</v>
      </c>
      <c r="P53" s="3">
        <f>_xlfn.XLOOKUP(M53&amp;"-"&amp;N53,'Djøf Finance Hoppers'!D:D,'Djøf Finance Hoppers'!C:C,0,1)</f>
        <v>2055</v>
      </c>
      <c r="Q53" s="12">
        <f t="shared" si="1"/>
        <v>0.16884397337934434</v>
      </c>
    </row>
    <row r="54" spans="2:17" x14ac:dyDescent="0.25">
      <c r="B54" s="3">
        <v>76</v>
      </c>
      <c r="C54" s="3" t="str">
        <f t="shared" si="5"/>
        <v>65+ år</v>
      </c>
      <c r="D54" s="12">
        <f t="shared" si="4"/>
        <v>0.11691873000664299</v>
      </c>
      <c r="E54" s="3" t="str">
        <f ca="1">IF(OR(JobHopping[[#This Row],[Age]]=25,JobHopping[[#This Row],[Age]]&gt;69),"N",IF(AND(E52="N",E53="N", RAND()&lt;=D54), "Y", "N"))</f>
        <v>N</v>
      </c>
      <c r="F54" s="3" t="s">
        <v>0</v>
      </c>
      <c r="G54" s="3" t="str">
        <f>IF(JobHopping[[#This Row],[Age]]&lt;40,"",JobHopping[[#This Row],[SwitchP1Static]])</f>
        <v>N</v>
      </c>
      <c r="M54" s="3">
        <v>2018</v>
      </c>
      <c r="N54" s="3" t="s">
        <v>19</v>
      </c>
      <c r="O54" s="3">
        <f>_xlfn.XLOOKUP(M54&amp;"-"&amp;N54,'Djøf Finance Workers'!D:D,'Djøf Finance Workers'!C:C,0,1)</f>
        <v>9537</v>
      </c>
      <c r="P54" s="3">
        <f>_xlfn.XLOOKUP(M54&amp;"-"&amp;N54,'Djøf Finance Hoppers'!D:D,'Djøf Finance Hoppers'!C:C,0,1)</f>
        <v>1415</v>
      </c>
      <c r="Q54" s="12">
        <f t="shared" si="1"/>
        <v>0.14836950823109993</v>
      </c>
    </row>
    <row r="55" spans="2:17" x14ac:dyDescent="0.25">
      <c r="B55" s="3">
        <v>77</v>
      </c>
      <c r="C55" s="3" t="str">
        <f t="shared" ref="C55:C69" si="6">IF(B55&lt;30, "25-29 år", IF(B55&lt;35, "30-34 år", IF(B55&lt;40, "35-39 år", IF(B55&lt;45, "40-44 år", IF(B55&lt;50, "45-49 år", IF(B55&lt;55, "50-54 år", IF(B55&lt;60, "55-59 år", IF(B55&lt;65, "60-64 år", "65+ år"))))))))</f>
        <v>65+ år</v>
      </c>
      <c r="D55" s="12">
        <f t="shared" si="4"/>
        <v>0.11691873000664299</v>
      </c>
      <c r="E55" s="3" t="str">
        <f ca="1">IF(OR(JobHopping[[#This Row],[Age]]=25,JobHopping[[#This Row],[Age]]&gt;69),"N",IF(AND(E53="N",E54="N", RAND()&lt;=D55), "Y", "N"))</f>
        <v>N</v>
      </c>
      <c r="F55" s="3" t="s">
        <v>0</v>
      </c>
      <c r="G55" s="3" t="str">
        <f>IF(JobHopping[[#This Row],[Age]]&lt;40,"",JobHopping[[#This Row],[SwitchP1Static]])</f>
        <v>N</v>
      </c>
      <c r="M55" s="3">
        <v>2018</v>
      </c>
      <c r="N55" s="3" t="s">
        <v>20</v>
      </c>
      <c r="O55" s="3">
        <f>_xlfn.XLOOKUP(M55&amp;"-"&amp;N55,'Djøf Finance Workers'!D:D,'Djøf Finance Workers'!C:C,0,1)</f>
        <v>5638</v>
      </c>
      <c r="P55" s="3">
        <f>_xlfn.XLOOKUP(M55&amp;"-"&amp;N55,'Djøf Finance Hoppers'!D:D,'Djøf Finance Hoppers'!C:C,0,1)</f>
        <v>681</v>
      </c>
      <c r="Q55" s="12">
        <f t="shared" si="1"/>
        <v>0.12078751330258958</v>
      </c>
    </row>
    <row r="56" spans="2:17" x14ac:dyDescent="0.25">
      <c r="B56" s="3">
        <v>78</v>
      </c>
      <c r="C56" s="3" t="str">
        <f t="shared" si="6"/>
        <v>65+ år</v>
      </c>
      <c r="D56" s="12">
        <f t="shared" si="4"/>
        <v>0.11691873000664299</v>
      </c>
      <c r="E56" s="3" t="str">
        <f ca="1">IF(OR(JobHopping[[#This Row],[Age]]=25,JobHopping[[#This Row],[Age]]&gt;69),"N",IF(AND(E54="N",E55="N", RAND()&lt;=D56), "Y", "N"))</f>
        <v>N</v>
      </c>
      <c r="F56" s="3" t="s">
        <v>0</v>
      </c>
      <c r="G56" s="3" t="str">
        <f>IF(JobHopping[[#This Row],[Age]]&lt;40,"",JobHopping[[#This Row],[SwitchP1Static]])</f>
        <v>N</v>
      </c>
      <c r="M56" s="3">
        <v>2018</v>
      </c>
      <c r="N56" s="3" t="s">
        <v>21</v>
      </c>
      <c r="O56" s="3">
        <f>_xlfn.XLOOKUP(M56&amp;"-"&amp;N56,'Djøf Finance Workers'!D:D,'Djøf Finance Workers'!C:C,0,1)</f>
        <v>1897</v>
      </c>
      <c r="P56" s="3">
        <f>_xlfn.XLOOKUP(M56&amp;"-"&amp;N56,'Djøf Finance Hoppers'!D:D,'Djøf Finance Hoppers'!C:C,0,1)</f>
        <v>174</v>
      </c>
      <c r="Q56" s="12">
        <f t="shared" si="1"/>
        <v>9.1723774380600948E-2</v>
      </c>
    </row>
    <row r="57" spans="2:17" x14ac:dyDescent="0.25">
      <c r="B57" s="3">
        <v>79</v>
      </c>
      <c r="C57" s="3" t="str">
        <f t="shared" si="6"/>
        <v>65+ år</v>
      </c>
      <c r="D57" s="12">
        <f t="shared" si="4"/>
        <v>0.11691873000664299</v>
      </c>
      <c r="E57" s="3" t="str">
        <f ca="1">IF(OR(JobHopping[[#This Row],[Age]]=25,JobHopping[[#This Row],[Age]]&gt;69),"N",IF(AND(E55="N",E56="N", RAND()&lt;=D57), "Y", "N"))</f>
        <v>N</v>
      </c>
      <c r="F57" s="3" t="s">
        <v>0</v>
      </c>
      <c r="G57" s="3" t="str">
        <f>IF(JobHopping[[#This Row],[Age]]&lt;40,"",JobHopping[[#This Row],[SwitchP1Static]])</f>
        <v>N</v>
      </c>
      <c r="M57" s="3">
        <v>2019</v>
      </c>
      <c r="N57" s="3" t="s">
        <v>13</v>
      </c>
      <c r="O57" s="3">
        <f>_xlfn.XLOOKUP(M57&amp;"-"&amp;N57,'Djøf Finance Workers'!D:D,'Djøf Finance Workers'!C:C,0,1)</f>
        <v>6883</v>
      </c>
      <c r="P57" s="3">
        <f>_xlfn.XLOOKUP(M57&amp;"-"&amp;N57,'Djøf Finance Hoppers'!D:D,'Djøf Finance Hoppers'!C:C,0,1)</f>
        <v>3477</v>
      </c>
      <c r="Q57" s="12">
        <f t="shared" si="1"/>
        <v>0.50515763475228825</v>
      </c>
    </row>
    <row r="58" spans="2:17" x14ac:dyDescent="0.25">
      <c r="B58" s="3">
        <v>80</v>
      </c>
      <c r="C58" s="3" t="str">
        <f t="shared" si="6"/>
        <v>65+ år</v>
      </c>
      <c r="D58" s="12">
        <f t="shared" si="4"/>
        <v>0.11691873000664299</v>
      </c>
      <c r="E58" s="3" t="str">
        <f ca="1">IF(OR(JobHopping[[#This Row],[Age]]=25,JobHopping[[#This Row],[Age]]&gt;69),"N",IF(AND(E56="N",E57="N", RAND()&lt;=D58), "Y", "N"))</f>
        <v>N</v>
      </c>
      <c r="F58" s="3" t="s">
        <v>0</v>
      </c>
      <c r="G58" s="3" t="str">
        <f>IF(JobHopping[[#This Row],[Age]]&lt;40,"",JobHopping[[#This Row],[SwitchP1Static]])</f>
        <v>N</v>
      </c>
      <c r="M58" s="3">
        <v>2019</v>
      </c>
      <c r="N58" s="3" t="s">
        <v>14</v>
      </c>
      <c r="O58" s="3">
        <f>_xlfn.XLOOKUP(M58&amp;"-"&amp;N58,'Djøf Finance Workers'!D:D,'Djøf Finance Workers'!C:C,0,1)</f>
        <v>8461</v>
      </c>
      <c r="P58" s="3">
        <f>_xlfn.XLOOKUP(M58&amp;"-"&amp;N58,'Djøf Finance Hoppers'!D:D,'Djøf Finance Hoppers'!C:C,0,1)</f>
        <v>2839</v>
      </c>
      <c r="Q58" s="12">
        <f t="shared" si="1"/>
        <v>0.33553953433400308</v>
      </c>
    </row>
    <row r="59" spans="2:17" x14ac:dyDescent="0.25">
      <c r="B59" s="3">
        <v>81</v>
      </c>
      <c r="C59" s="3" t="str">
        <f t="shared" si="6"/>
        <v>65+ år</v>
      </c>
      <c r="D59" s="12">
        <f t="shared" si="4"/>
        <v>0.11691873000664299</v>
      </c>
      <c r="E59" s="3" t="str">
        <f ca="1">IF(OR(JobHopping[[#This Row],[Age]]=25,JobHopping[[#This Row],[Age]]&gt;69),"N",IF(AND(E57="N",E58="N", RAND()&lt;=D59), "Y", "N"))</f>
        <v>N</v>
      </c>
      <c r="F59" s="3" t="s">
        <v>0</v>
      </c>
      <c r="G59" s="3" t="str">
        <f>IF(JobHopping[[#This Row],[Age]]&lt;40,"",JobHopping[[#This Row],[SwitchP1Static]])</f>
        <v>N</v>
      </c>
      <c r="M59" s="3">
        <v>2019</v>
      </c>
      <c r="N59" s="3" t="s">
        <v>15</v>
      </c>
      <c r="O59" s="3">
        <f>_xlfn.XLOOKUP(M59&amp;"-"&amp;N59,'Djøf Finance Workers'!D:D,'Djøf Finance Workers'!C:C,0,1)</f>
        <v>9057</v>
      </c>
      <c r="P59" s="3">
        <f>_xlfn.XLOOKUP(M59&amp;"-"&amp;N59,'Djøf Finance Hoppers'!D:D,'Djøf Finance Hoppers'!C:C,0,1)</f>
        <v>2298</v>
      </c>
      <c r="Q59" s="12">
        <f t="shared" si="1"/>
        <v>0.25372639947002318</v>
      </c>
    </row>
    <row r="60" spans="2:17" x14ac:dyDescent="0.25">
      <c r="B60" s="3">
        <v>82</v>
      </c>
      <c r="C60" s="3" t="str">
        <f t="shared" si="6"/>
        <v>65+ år</v>
      </c>
      <c r="D60" s="12">
        <f t="shared" si="4"/>
        <v>0.11691873000664299</v>
      </c>
      <c r="E60" s="3" t="str">
        <f ca="1">IF(OR(JobHopping[[#This Row],[Age]]=25,JobHopping[[#This Row],[Age]]&gt;69),"N",IF(AND(E58="N",E59="N", RAND()&lt;=D60), "Y", "N"))</f>
        <v>N</v>
      </c>
      <c r="F60" s="3" t="s">
        <v>0</v>
      </c>
      <c r="G60" s="3" t="str">
        <f>IF(JobHopping[[#This Row],[Age]]&lt;40,"",JobHopping[[#This Row],[SwitchP1Static]])</f>
        <v>N</v>
      </c>
      <c r="M60" s="3">
        <v>2019</v>
      </c>
      <c r="N60" s="3" t="s">
        <v>16</v>
      </c>
      <c r="O60" s="3">
        <f>_xlfn.XLOOKUP(M60&amp;"-"&amp;N60,'Djøf Finance Workers'!D:D,'Djøf Finance Workers'!C:C,0,1)</f>
        <v>10158</v>
      </c>
      <c r="P60" s="3">
        <f>_xlfn.XLOOKUP(M60&amp;"-"&amp;N60,'Djøf Finance Hoppers'!D:D,'Djøf Finance Hoppers'!C:C,0,1)</f>
        <v>2100</v>
      </c>
      <c r="Q60" s="12">
        <f t="shared" si="1"/>
        <v>0.2067336089781453</v>
      </c>
    </row>
    <row r="61" spans="2:17" x14ac:dyDescent="0.25">
      <c r="B61" s="3">
        <v>83</v>
      </c>
      <c r="C61" s="3" t="str">
        <f t="shared" si="6"/>
        <v>65+ år</v>
      </c>
      <c r="D61" s="12">
        <f t="shared" si="4"/>
        <v>0.11691873000664299</v>
      </c>
      <c r="E61" s="3" t="str">
        <f ca="1">IF(OR(JobHopping[[#This Row],[Age]]=25,JobHopping[[#This Row],[Age]]&gt;69),"N",IF(AND(E59="N",E60="N", RAND()&lt;=D61), "Y", "N"))</f>
        <v>N</v>
      </c>
      <c r="F61" s="3" t="s">
        <v>0</v>
      </c>
      <c r="G61" s="3" t="str">
        <f>IF(JobHopping[[#This Row],[Age]]&lt;40,"",JobHopping[[#This Row],[SwitchP1Static]])</f>
        <v>N</v>
      </c>
      <c r="M61" s="3">
        <v>2019</v>
      </c>
      <c r="N61" s="3" t="s">
        <v>17</v>
      </c>
      <c r="O61" s="3">
        <f>_xlfn.XLOOKUP(M61&amp;"-"&amp;N61,'Djøf Finance Workers'!D:D,'Djøf Finance Workers'!C:C,0,1)</f>
        <v>9482</v>
      </c>
      <c r="P61" s="3">
        <f>_xlfn.XLOOKUP(M61&amp;"-"&amp;N61,'Djøf Finance Hoppers'!D:D,'Djøf Finance Hoppers'!C:C,0,1)</f>
        <v>1802</v>
      </c>
      <c r="Q61" s="12">
        <f t="shared" si="1"/>
        <v>0.19004429445264712</v>
      </c>
    </row>
    <row r="62" spans="2:17" x14ac:dyDescent="0.25">
      <c r="B62" s="3">
        <v>84</v>
      </c>
      <c r="C62" s="3" t="str">
        <f t="shared" si="6"/>
        <v>65+ år</v>
      </c>
      <c r="D62" s="12">
        <f t="shared" si="4"/>
        <v>0.11691873000664299</v>
      </c>
      <c r="E62" s="3" t="str">
        <f ca="1">IF(OR(JobHopping[[#This Row],[Age]]=25,JobHopping[[#This Row],[Age]]&gt;69),"N",IF(AND(E60="N",E61="N", RAND()&lt;=D62), "Y", "N"))</f>
        <v>N</v>
      </c>
      <c r="F62" s="3" t="s">
        <v>0</v>
      </c>
      <c r="G62" s="3" t="str">
        <f>IF(JobHopping[[#This Row],[Age]]&lt;40,"",JobHopping[[#This Row],[SwitchP1Static]])</f>
        <v>N</v>
      </c>
      <c r="M62" s="3">
        <v>2019</v>
      </c>
      <c r="N62" s="3" t="s">
        <v>18</v>
      </c>
      <c r="O62" s="3">
        <f>_xlfn.XLOOKUP(M62&amp;"-"&amp;N62,'Djøf Finance Workers'!D:D,'Djøf Finance Workers'!C:C,0,1)</f>
        <v>11866</v>
      </c>
      <c r="P62" s="3">
        <f>_xlfn.XLOOKUP(M62&amp;"-"&amp;N62,'Djøf Finance Hoppers'!D:D,'Djøf Finance Hoppers'!C:C,0,1)</f>
        <v>2054</v>
      </c>
      <c r="Q62" s="12">
        <f t="shared" si="1"/>
        <v>0.1730996123377718</v>
      </c>
    </row>
    <row r="63" spans="2:17" x14ac:dyDescent="0.25">
      <c r="B63" s="3">
        <v>85</v>
      </c>
      <c r="C63" s="3" t="str">
        <f t="shared" si="6"/>
        <v>65+ år</v>
      </c>
      <c r="D63" s="12">
        <f t="shared" si="4"/>
        <v>0.11691873000664299</v>
      </c>
      <c r="E63" s="3" t="str">
        <f ca="1">IF(OR(JobHopping[[#This Row],[Age]]=25,JobHopping[[#This Row],[Age]]&gt;69),"N",IF(AND(E61="N",E62="N", RAND()&lt;=D63), "Y", "N"))</f>
        <v>N</v>
      </c>
      <c r="F63" s="3" t="s">
        <v>0</v>
      </c>
      <c r="G63" s="3" t="str">
        <f>IF(JobHopping[[#This Row],[Age]]&lt;40,"",JobHopping[[#This Row],[SwitchP1Static]])</f>
        <v>N</v>
      </c>
      <c r="M63" s="3">
        <v>2019</v>
      </c>
      <c r="N63" s="3" t="s">
        <v>19</v>
      </c>
      <c r="O63" s="3">
        <f>_xlfn.XLOOKUP(M63&amp;"-"&amp;N63,'Djøf Finance Workers'!D:D,'Djøf Finance Workers'!C:C,0,1)</f>
        <v>9811</v>
      </c>
      <c r="P63" s="3">
        <f>_xlfn.XLOOKUP(M63&amp;"-"&amp;N63,'Djøf Finance Hoppers'!D:D,'Djøf Finance Hoppers'!C:C,0,1)</f>
        <v>1383</v>
      </c>
      <c r="Q63" s="12">
        <f t="shared" si="1"/>
        <v>0.14096422383039445</v>
      </c>
    </row>
    <row r="64" spans="2:17" x14ac:dyDescent="0.25">
      <c r="B64" s="3">
        <v>86</v>
      </c>
      <c r="C64" s="3" t="str">
        <f t="shared" si="6"/>
        <v>65+ år</v>
      </c>
      <c r="D64" s="12">
        <f t="shared" si="4"/>
        <v>0.11691873000664299</v>
      </c>
      <c r="E64" s="3" t="str">
        <f ca="1">IF(OR(JobHopping[[#This Row],[Age]]=25,JobHopping[[#This Row],[Age]]&gt;69),"N",IF(AND(E62="N",E63="N", RAND()&lt;=D64), "Y", "N"))</f>
        <v>N</v>
      </c>
      <c r="F64" s="3" t="s">
        <v>0</v>
      </c>
      <c r="G64" s="3" t="str">
        <f>IF(JobHopping[[#This Row],[Age]]&lt;40,"",JobHopping[[#This Row],[SwitchP1Static]])</f>
        <v>N</v>
      </c>
      <c r="M64" s="3">
        <v>2019</v>
      </c>
      <c r="N64" s="3" t="s">
        <v>20</v>
      </c>
      <c r="O64" s="3">
        <f>_xlfn.XLOOKUP(M64&amp;"-"&amp;N64,'Djøf Finance Workers'!D:D,'Djøf Finance Workers'!C:C,0,1)</f>
        <v>5907</v>
      </c>
      <c r="P64" s="3">
        <f>_xlfn.XLOOKUP(M64&amp;"-"&amp;N64,'Djøf Finance Hoppers'!D:D,'Djøf Finance Hoppers'!C:C,0,1)</f>
        <v>791</v>
      </c>
      <c r="Q64" s="12">
        <f t="shared" si="1"/>
        <v>0.13390892161841883</v>
      </c>
    </row>
    <row r="65" spans="2:17" x14ac:dyDescent="0.25">
      <c r="B65" s="3">
        <v>87</v>
      </c>
      <c r="C65" s="3" t="str">
        <f t="shared" si="6"/>
        <v>65+ år</v>
      </c>
      <c r="D65" s="12">
        <f t="shared" si="4"/>
        <v>0.11691873000664299</v>
      </c>
      <c r="E65" s="3" t="str">
        <f ca="1">IF(OR(JobHopping[[#This Row],[Age]]=25,JobHopping[[#This Row],[Age]]&gt;69),"N",IF(AND(E63="N",E64="N", RAND()&lt;=D65), "Y", "N"))</f>
        <v>N</v>
      </c>
      <c r="F65" s="3" t="s">
        <v>0</v>
      </c>
      <c r="G65" s="3" t="str">
        <f>IF(JobHopping[[#This Row],[Age]]&lt;40,"",JobHopping[[#This Row],[SwitchP1Static]])</f>
        <v>N</v>
      </c>
      <c r="M65" s="3">
        <v>2019</v>
      </c>
      <c r="N65" s="3" t="s">
        <v>21</v>
      </c>
      <c r="O65" s="3">
        <f>_xlfn.XLOOKUP(M65&amp;"-"&amp;N65,'Djøf Finance Workers'!D:D,'Djøf Finance Workers'!C:C,0,1)</f>
        <v>2030</v>
      </c>
      <c r="P65" s="3">
        <f>_xlfn.XLOOKUP(M65&amp;"-"&amp;N65,'Djøf Finance Hoppers'!D:D,'Djøf Finance Hoppers'!C:C,0,1)</f>
        <v>188</v>
      </c>
      <c r="Q65" s="12">
        <f t="shared" si="1"/>
        <v>9.2610837438423646E-2</v>
      </c>
    </row>
    <row r="66" spans="2:17" x14ac:dyDescent="0.25">
      <c r="B66" s="3">
        <v>88</v>
      </c>
      <c r="C66" s="3" t="str">
        <f t="shared" si="6"/>
        <v>65+ år</v>
      </c>
      <c r="D66" s="12">
        <f t="shared" si="4"/>
        <v>0.11691873000664299</v>
      </c>
      <c r="E66" s="3" t="str">
        <f ca="1">IF(OR(JobHopping[[#This Row],[Age]]=25,JobHopping[[#This Row],[Age]]&gt;69),"N",IF(AND(E64="N",E65="N", RAND()&lt;=D66), "Y", "N"))</f>
        <v>N</v>
      </c>
      <c r="F66" s="3" t="s">
        <v>0</v>
      </c>
      <c r="G66" s="3" t="str">
        <f>IF(JobHopping[[#This Row],[Age]]&lt;40,"",JobHopping[[#This Row],[SwitchP1Static]])</f>
        <v>N</v>
      </c>
      <c r="M66" s="3">
        <v>2020</v>
      </c>
      <c r="N66" s="3" t="s">
        <v>13</v>
      </c>
      <c r="O66" s="3">
        <f>_xlfn.XLOOKUP(M66&amp;"-"&amp;N66,'Djøf Finance Workers'!D:D,'Djøf Finance Workers'!C:C,0,1)</f>
        <v>7337</v>
      </c>
      <c r="P66" s="3">
        <f>_xlfn.XLOOKUP(M66&amp;"-"&amp;N66,'Djøf Finance Hoppers'!D:D,'Djøf Finance Hoppers'!C:C,0,1)</f>
        <v>3028</v>
      </c>
      <c r="Q66" s="12">
        <f t="shared" si="1"/>
        <v>0.41270273953932124</v>
      </c>
    </row>
    <row r="67" spans="2:17" x14ac:dyDescent="0.25">
      <c r="B67" s="3">
        <v>89</v>
      </c>
      <c r="C67" s="3" t="str">
        <f t="shared" si="6"/>
        <v>65+ år</v>
      </c>
      <c r="D67" s="12">
        <f t="shared" ref="D67:D78" si="7">_xlfn.XLOOKUP(C67,S:S,T:T)</f>
        <v>0.11691873000664299</v>
      </c>
      <c r="E67" s="3" t="str">
        <f ca="1">IF(OR(JobHopping[[#This Row],[Age]]=25,JobHopping[[#This Row],[Age]]&gt;69),"N",IF(AND(E65="N",E66="N", RAND()&lt;=D67), "Y", "N"))</f>
        <v>N</v>
      </c>
      <c r="F67" s="3" t="s">
        <v>0</v>
      </c>
      <c r="G67" s="3" t="str">
        <f>IF(JobHopping[[#This Row],[Age]]&lt;40,"",JobHopping[[#This Row],[SwitchP1Static]])</f>
        <v>N</v>
      </c>
      <c r="M67" s="3">
        <v>2020</v>
      </c>
      <c r="N67" s="3" t="s">
        <v>14</v>
      </c>
      <c r="O67" s="3">
        <f>_xlfn.XLOOKUP(M67&amp;"-"&amp;N67,'Djøf Finance Workers'!D:D,'Djøf Finance Workers'!C:C,0,1)</f>
        <v>8658</v>
      </c>
      <c r="P67" s="3">
        <f>_xlfn.XLOOKUP(M67&amp;"-"&amp;N67,'Djøf Finance Hoppers'!D:D,'Djøf Finance Hoppers'!C:C,0,1)</f>
        <v>2339</v>
      </c>
      <c r="Q67" s="12">
        <f t="shared" ref="Q67:Q100" si="8">IF(O67&gt;0, P67/O67, 0)</f>
        <v>0.27015477015477013</v>
      </c>
    </row>
    <row r="68" spans="2:17" x14ac:dyDescent="0.25">
      <c r="B68" s="3">
        <v>90</v>
      </c>
      <c r="C68" s="3" t="str">
        <f t="shared" si="6"/>
        <v>65+ år</v>
      </c>
      <c r="D68" s="12">
        <f t="shared" si="7"/>
        <v>0.11691873000664299</v>
      </c>
      <c r="E68" s="3" t="str">
        <f ca="1">IF(OR(JobHopping[[#This Row],[Age]]=25,JobHopping[[#This Row],[Age]]&gt;69),"N",IF(AND(E66="N",E67="N", RAND()&lt;=D68), "Y", "N"))</f>
        <v>N</v>
      </c>
      <c r="F68" s="3" t="s">
        <v>0</v>
      </c>
      <c r="G68" s="3" t="str">
        <f>IF(JobHopping[[#This Row],[Age]]&lt;40,"",JobHopping[[#This Row],[SwitchP1Static]])</f>
        <v>N</v>
      </c>
      <c r="M68" s="3">
        <v>2020</v>
      </c>
      <c r="N68" s="3" t="s">
        <v>15</v>
      </c>
      <c r="O68" s="3">
        <f>_xlfn.XLOOKUP(M68&amp;"-"&amp;N68,'Djøf Finance Workers'!D:D,'Djøf Finance Workers'!C:C,0,1)</f>
        <v>8798</v>
      </c>
      <c r="P68" s="3">
        <f>_xlfn.XLOOKUP(M68&amp;"-"&amp;N68,'Djøf Finance Hoppers'!D:D,'Djøf Finance Hoppers'!C:C,0,1)</f>
        <v>1929</v>
      </c>
      <c r="Q68" s="12">
        <f t="shared" si="8"/>
        <v>0.21925437599454423</v>
      </c>
    </row>
    <row r="69" spans="2:17" x14ac:dyDescent="0.25">
      <c r="B69" s="3">
        <v>91</v>
      </c>
      <c r="C69" s="3" t="str">
        <f t="shared" si="6"/>
        <v>65+ år</v>
      </c>
      <c r="D69" s="12">
        <f t="shared" si="7"/>
        <v>0.11691873000664299</v>
      </c>
      <c r="E69" s="3" t="str">
        <f ca="1">IF(OR(JobHopping[[#This Row],[Age]]=25,JobHopping[[#This Row],[Age]]&gt;69),"N",IF(AND(E67="N",E68="N", RAND()&lt;=D69), "Y", "N"))</f>
        <v>N</v>
      </c>
      <c r="F69" s="3" t="s">
        <v>0</v>
      </c>
      <c r="G69" s="3" t="str">
        <f>IF(JobHopping[[#This Row],[Age]]&lt;40,"",JobHopping[[#This Row],[SwitchP1Static]])</f>
        <v>N</v>
      </c>
      <c r="M69" s="3">
        <v>2020</v>
      </c>
      <c r="N69" s="3" t="s">
        <v>16</v>
      </c>
      <c r="O69" s="3">
        <f>_xlfn.XLOOKUP(M69&amp;"-"&amp;N69,'Djøf Finance Workers'!D:D,'Djøf Finance Workers'!C:C,0,1)</f>
        <v>10129</v>
      </c>
      <c r="P69" s="3">
        <f>_xlfn.XLOOKUP(M69&amp;"-"&amp;N69,'Djøf Finance Hoppers'!D:D,'Djøf Finance Hoppers'!C:C,0,1)</f>
        <v>1758</v>
      </c>
      <c r="Q69" s="12">
        <f t="shared" si="8"/>
        <v>0.17356106229637674</v>
      </c>
    </row>
    <row r="70" spans="2:17" x14ac:dyDescent="0.25">
      <c r="B70" s="3">
        <v>92</v>
      </c>
      <c r="C70" s="3" t="str">
        <f t="shared" ref="C70:C78" si="9">IF(B70&lt;30, "25-29 år", IF(B70&lt;35, "30-34 år", IF(B70&lt;40, "35-39 år", IF(B70&lt;45, "40-44 år", IF(B70&lt;50, "45-49 år", IF(B70&lt;55, "50-54 år", IF(B70&lt;60, "55-59 år", IF(B70&lt;65, "60-64 år", "65+ år"))))))))</f>
        <v>65+ år</v>
      </c>
      <c r="D70" s="12">
        <f t="shared" si="7"/>
        <v>0.11691873000664299</v>
      </c>
      <c r="E70" s="3" t="str">
        <f ca="1">IF(OR(JobHopping[[#This Row],[Age]]=25,JobHopping[[#This Row],[Age]]&gt;69),"N",IF(AND(E68="N",E69="N", RAND()&lt;=D70), "Y", "N"))</f>
        <v>N</v>
      </c>
      <c r="F70" s="3" t="s">
        <v>0</v>
      </c>
      <c r="G70" s="3" t="str">
        <f>IF(JobHopping[[#This Row],[Age]]&lt;40,"",JobHopping[[#This Row],[SwitchP1Static]])</f>
        <v>N</v>
      </c>
      <c r="M70" s="3">
        <v>2020</v>
      </c>
      <c r="N70" s="3" t="s">
        <v>17</v>
      </c>
      <c r="O70" s="3">
        <f>_xlfn.XLOOKUP(M70&amp;"-"&amp;N70,'Djøf Finance Workers'!D:D,'Djøf Finance Workers'!C:C,0,1)</f>
        <v>9740</v>
      </c>
      <c r="P70" s="3">
        <f>_xlfn.XLOOKUP(M70&amp;"-"&amp;N70,'Djøf Finance Hoppers'!D:D,'Djøf Finance Hoppers'!C:C,0,1)</f>
        <v>1654</v>
      </c>
      <c r="Q70" s="12">
        <f t="shared" si="8"/>
        <v>0.1698151950718686</v>
      </c>
    </row>
    <row r="71" spans="2:17" x14ac:dyDescent="0.25">
      <c r="B71" s="3">
        <v>93</v>
      </c>
      <c r="C71" s="3" t="str">
        <f t="shared" si="9"/>
        <v>65+ år</v>
      </c>
      <c r="D71" s="12">
        <f t="shared" si="7"/>
        <v>0.11691873000664299</v>
      </c>
      <c r="E71" s="3" t="str">
        <f ca="1">IF(OR(JobHopping[[#This Row],[Age]]=25,JobHopping[[#This Row],[Age]]&gt;69),"N",IF(AND(E69="N",E70="N", RAND()&lt;=D71), "Y", "N"))</f>
        <v>N</v>
      </c>
      <c r="F71" s="3" t="s">
        <v>0</v>
      </c>
      <c r="G71" s="3" t="str">
        <f>IF(JobHopping[[#This Row],[Age]]&lt;40,"",JobHopping[[#This Row],[SwitchP1Static]])</f>
        <v>N</v>
      </c>
      <c r="M71" s="3">
        <v>2020</v>
      </c>
      <c r="N71" s="3" t="s">
        <v>18</v>
      </c>
      <c r="O71" s="3">
        <f>_xlfn.XLOOKUP(M71&amp;"-"&amp;N71,'Djøf Finance Workers'!D:D,'Djøf Finance Workers'!C:C,0,1)</f>
        <v>11187</v>
      </c>
      <c r="P71" s="3">
        <f>_xlfn.XLOOKUP(M71&amp;"-"&amp;N71,'Djøf Finance Hoppers'!D:D,'Djøf Finance Hoppers'!C:C,0,1)</f>
        <v>1616</v>
      </c>
      <c r="Q71" s="12">
        <f t="shared" si="8"/>
        <v>0.14445338339143649</v>
      </c>
    </row>
    <row r="72" spans="2:17" x14ac:dyDescent="0.25">
      <c r="B72" s="3">
        <v>94</v>
      </c>
      <c r="C72" s="3" t="str">
        <f t="shared" si="9"/>
        <v>65+ år</v>
      </c>
      <c r="D72" s="12">
        <f t="shared" si="7"/>
        <v>0.11691873000664299</v>
      </c>
      <c r="E72" s="3" t="str">
        <f ca="1">IF(OR(JobHopping[[#This Row],[Age]]=25,JobHopping[[#This Row],[Age]]&gt;69),"N",IF(AND(E70="N",E71="N", RAND()&lt;=D72), "Y", "N"))</f>
        <v>N</v>
      </c>
      <c r="F72" s="3" t="s">
        <v>0</v>
      </c>
      <c r="G72" s="3" t="str">
        <f>IF(JobHopping[[#This Row],[Age]]&lt;40,"",JobHopping[[#This Row],[SwitchP1Static]])</f>
        <v>N</v>
      </c>
      <c r="M72" s="3">
        <v>2020</v>
      </c>
      <c r="N72" s="3" t="s">
        <v>19</v>
      </c>
      <c r="O72" s="3">
        <f>_xlfn.XLOOKUP(M72&amp;"-"&amp;N72,'Djøf Finance Workers'!D:D,'Djøf Finance Workers'!C:C,0,1)</f>
        <v>10215</v>
      </c>
      <c r="P72" s="3">
        <f>_xlfn.XLOOKUP(M72&amp;"-"&amp;N72,'Djøf Finance Hoppers'!D:D,'Djøf Finance Hoppers'!C:C,0,1)</f>
        <v>1279</v>
      </c>
      <c r="Q72" s="12">
        <f t="shared" si="8"/>
        <v>0.12520802741067058</v>
      </c>
    </row>
    <row r="73" spans="2:17" x14ac:dyDescent="0.25">
      <c r="B73" s="3">
        <v>95</v>
      </c>
      <c r="C73" s="3" t="str">
        <f t="shared" si="9"/>
        <v>65+ år</v>
      </c>
      <c r="D73" s="12">
        <f t="shared" si="7"/>
        <v>0.11691873000664299</v>
      </c>
      <c r="E73" s="3" t="str">
        <f ca="1">IF(OR(JobHopping[[#This Row],[Age]]=25,JobHopping[[#This Row],[Age]]&gt;69),"N",IF(AND(E71="N",E72="N", RAND()&lt;=D73), "Y", "N"))</f>
        <v>N</v>
      </c>
      <c r="F73" s="3" t="s">
        <v>0</v>
      </c>
      <c r="G73" s="3" t="str">
        <f>IF(JobHopping[[#This Row],[Age]]&lt;40,"",JobHopping[[#This Row],[SwitchP1Static]])</f>
        <v>N</v>
      </c>
      <c r="M73" s="3">
        <v>2020</v>
      </c>
      <c r="N73" s="3" t="s">
        <v>20</v>
      </c>
      <c r="O73" s="3">
        <f>_xlfn.XLOOKUP(M73&amp;"-"&amp;N73,'Djøf Finance Workers'!D:D,'Djøf Finance Workers'!C:C,0,1)</f>
        <v>6305</v>
      </c>
      <c r="P73" s="3">
        <f>_xlfn.XLOOKUP(M73&amp;"-"&amp;N73,'Djøf Finance Hoppers'!D:D,'Djøf Finance Hoppers'!C:C,0,1)</f>
        <v>623</v>
      </c>
      <c r="Q73" s="12">
        <f t="shared" si="8"/>
        <v>9.8810467882632827E-2</v>
      </c>
    </row>
    <row r="74" spans="2:17" x14ac:dyDescent="0.25">
      <c r="B74" s="3">
        <v>96</v>
      </c>
      <c r="C74" s="3" t="str">
        <f t="shared" si="9"/>
        <v>65+ år</v>
      </c>
      <c r="D74" s="12">
        <f t="shared" si="7"/>
        <v>0.11691873000664299</v>
      </c>
      <c r="E74" s="3" t="str">
        <f ca="1">IF(OR(JobHopping[[#This Row],[Age]]=25,JobHopping[[#This Row],[Age]]&gt;69),"N",IF(AND(E72="N",E73="N", RAND()&lt;=D74), "Y", "N"))</f>
        <v>N</v>
      </c>
      <c r="F74" s="3" t="s">
        <v>0</v>
      </c>
      <c r="G74" s="3" t="str">
        <f>IF(JobHopping[[#This Row],[Age]]&lt;40,"",JobHopping[[#This Row],[SwitchP1Static]])</f>
        <v>N</v>
      </c>
      <c r="M74" s="3">
        <v>2020</v>
      </c>
      <c r="N74" s="3" t="s">
        <v>21</v>
      </c>
      <c r="O74" s="3">
        <f>_xlfn.XLOOKUP(M74&amp;"-"&amp;N74,'Djøf Finance Workers'!D:D,'Djøf Finance Workers'!C:C,0,1)</f>
        <v>2231</v>
      </c>
      <c r="P74" s="3">
        <f>_xlfn.XLOOKUP(M74&amp;"-"&amp;N74,'Djøf Finance Hoppers'!D:D,'Djøf Finance Hoppers'!C:C,0,1)</f>
        <v>201</v>
      </c>
      <c r="Q74" s="12">
        <f t="shared" si="8"/>
        <v>9.0094128193635145E-2</v>
      </c>
    </row>
    <row r="75" spans="2:17" x14ac:dyDescent="0.25">
      <c r="B75" s="3">
        <v>97</v>
      </c>
      <c r="C75" s="3" t="str">
        <f t="shared" si="9"/>
        <v>65+ år</v>
      </c>
      <c r="D75" s="12">
        <f t="shared" si="7"/>
        <v>0.11691873000664299</v>
      </c>
      <c r="E75" s="3" t="str">
        <f ca="1">IF(OR(JobHopping[[#This Row],[Age]]=25,JobHopping[[#This Row],[Age]]&gt;69),"N",IF(AND(E73="N",E74="N", RAND()&lt;=D75), "Y", "N"))</f>
        <v>N</v>
      </c>
      <c r="F75" s="3" t="s">
        <v>0</v>
      </c>
      <c r="G75" s="3" t="str">
        <f>IF(JobHopping[[#This Row],[Age]]&lt;40,"",JobHopping[[#This Row],[SwitchP1Static]])</f>
        <v>N</v>
      </c>
      <c r="M75" s="3">
        <v>2021</v>
      </c>
      <c r="N75" s="3" t="s">
        <v>13</v>
      </c>
      <c r="O75" s="3">
        <f>_xlfn.XLOOKUP(M75&amp;"-"&amp;N75,'Djøf Finance Workers'!D:D,'Djøf Finance Workers'!C:C,0,1)</f>
        <v>7687</v>
      </c>
      <c r="P75" s="3">
        <f>_xlfn.XLOOKUP(M75&amp;"-"&amp;N75,'Djøf Finance Hoppers'!D:D,'Djøf Finance Hoppers'!C:C,0,1)</f>
        <v>3854</v>
      </c>
      <c r="Q75" s="12">
        <f t="shared" si="8"/>
        <v>0.50136594250032518</v>
      </c>
    </row>
    <row r="76" spans="2:17" x14ac:dyDescent="0.25">
      <c r="B76" s="3">
        <v>98</v>
      </c>
      <c r="C76" s="3" t="str">
        <f t="shared" si="9"/>
        <v>65+ år</v>
      </c>
      <c r="D76" s="12">
        <f t="shared" si="7"/>
        <v>0.11691873000664299</v>
      </c>
      <c r="E76" s="3" t="str">
        <f ca="1">IF(OR(JobHopping[[#This Row],[Age]]=25,JobHopping[[#This Row],[Age]]&gt;69),"N",IF(AND(E74="N",E75="N", RAND()&lt;=D76), "Y", "N"))</f>
        <v>N</v>
      </c>
      <c r="F76" s="3" t="s">
        <v>0</v>
      </c>
      <c r="G76" s="3" t="str">
        <f>IF(JobHopping[[#This Row],[Age]]&lt;40,"",JobHopping[[#This Row],[SwitchP1Static]])</f>
        <v>N</v>
      </c>
      <c r="M76" s="3">
        <v>2021</v>
      </c>
      <c r="N76" s="3" t="s">
        <v>14</v>
      </c>
      <c r="O76" s="3">
        <f>_xlfn.XLOOKUP(M76&amp;"-"&amp;N76,'Djøf Finance Workers'!D:D,'Djøf Finance Workers'!C:C,0,1)</f>
        <v>8844</v>
      </c>
      <c r="P76" s="3">
        <f>_xlfn.XLOOKUP(M76&amp;"-"&amp;N76,'Djøf Finance Hoppers'!D:D,'Djøf Finance Hoppers'!C:C,0,1)</f>
        <v>3059</v>
      </c>
      <c r="Q76" s="12">
        <f t="shared" si="8"/>
        <v>0.34588421528720037</v>
      </c>
    </row>
    <row r="77" spans="2:17" x14ac:dyDescent="0.25">
      <c r="B77" s="3">
        <v>99</v>
      </c>
      <c r="C77" s="3" t="str">
        <f t="shared" si="9"/>
        <v>65+ år</v>
      </c>
      <c r="D77" s="12">
        <f t="shared" si="7"/>
        <v>0.11691873000664299</v>
      </c>
      <c r="E77" s="3" t="str">
        <f ca="1">IF(OR(JobHopping[[#This Row],[Age]]=25,JobHopping[[#This Row],[Age]]&gt;69),"N",IF(AND(E75="N",E76="N", RAND()&lt;=D77), "Y", "N"))</f>
        <v>N</v>
      </c>
      <c r="F77" s="3" t="s">
        <v>0</v>
      </c>
      <c r="G77" s="3" t="str">
        <f>IF(JobHopping[[#This Row],[Age]]&lt;40,"",JobHopping[[#This Row],[SwitchP1Static]])</f>
        <v>N</v>
      </c>
      <c r="M77" s="3">
        <v>2021</v>
      </c>
      <c r="N77" s="3" t="s">
        <v>15</v>
      </c>
      <c r="O77" s="3">
        <f>_xlfn.XLOOKUP(M77&amp;"-"&amp;N77,'Djøf Finance Workers'!D:D,'Djøf Finance Workers'!C:C,0,1)</f>
        <v>8987</v>
      </c>
      <c r="P77" s="3">
        <f>_xlfn.XLOOKUP(M77&amp;"-"&amp;N77,'Djøf Finance Hoppers'!D:D,'Djøf Finance Hoppers'!C:C,0,1)</f>
        <v>2330</v>
      </c>
      <c r="Q77" s="12">
        <f t="shared" si="8"/>
        <v>0.25926338043841102</v>
      </c>
    </row>
    <row r="78" spans="2:17" x14ac:dyDescent="0.25">
      <c r="B78" s="3">
        <v>100</v>
      </c>
      <c r="C78" s="3" t="str">
        <f t="shared" si="9"/>
        <v>65+ år</v>
      </c>
      <c r="D78" s="12">
        <f t="shared" si="7"/>
        <v>0.11691873000664299</v>
      </c>
      <c r="E78" s="3" t="str">
        <f ca="1">IF(OR(JobHopping[[#This Row],[Age]]=25,JobHopping[[#This Row],[Age]]&gt;69),"N",IF(AND(E76="N",E77="N", RAND()&lt;=D78), "Y", "N"))</f>
        <v>N</v>
      </c>
      <c r="F78" s="3" t="s">
        <v>0</v>
      </c>
      <c r="G78" s="3" t="str">
        <f>IF(JobHopping[[#This Row],[Age]]&lt;40,"",JobHopping[[#This Row],[SwitchP1Static]])</f>
        <v>N</v>
      </c>
      <c r="M78" s="3">
        <v>2021</v>
      </c>
      <c r="N78" s="3" t="s">
        <v>16</v>
      </c>
      <c r="O78" s="3">
        <f>_xlfn.XLOOKUP(M78&amp;"-"&amp;N78,'Djøf Finance Workers'!D:D,'Djøf Finance Workers'!C:C,0,1)</f>
        <v>10002</v>
      </c>
      <c r="P78" s="3">
        <f>_xlfn.XLOOKUP(M78&amp;"-"&amp;N78,'Djøf Finance Hoppers'!D:D,'Djøf Finance Hoppers'!C:C,0,1)</f>
        <v>2220</v>
      </c>
      <c r="Q78" s="12">
        <f t="shared" si="8"/>
        <v>0.22195560887822435</v>
      </c>
    </row>
    <row r="79" spans="2:17" x14ac:dyDescent="0.25">
      <c r="M79" s="3">
        <v>2021</v>
      </c>
      <c r="N79" s="3" t="s">
        <v>17</v>
      </c>
      <c r="O79" s="3">
        <f>_xlfn.XLOOKUP(M79&amp;"-"&amp;N79,'Djøf Finance Workers'!D:D,'Djøf Finance Workers'!C:C,0,1)</f>
        <v>10036</v>
      </c>
      <c r="P79" s="3">
        <f>_xlfn.XLOOKUP(M79&amp;"-"&amp;N79,'Djøf Finance Hoppers'!D:D,'Djøf Finance Hoppers'!C:C,0,1)</f>
        <v>1980</v>
      </c>
      <c r="Q79" s="12">
        <f t="shared" si="8"/>
        <v>0.19728975687524911</v>
      </c>
    </row>
    <row r="80" spans="2:17" x14ac:dyDescent="0.25">
      <c r="M80" s="3">
        <v>2021</v>
      </c>
      <c r="N80" s="3" t="s">
        <v>18</v>
      </c>
      <c r="O80" s="3">
        <f>_xlfn.XLOOKUP(M80&amp;"-"&amp;N80,'Djøf Finance Workers'!D:D,'Djøf Finance Workers'!C:C,0,1)</f>
        <v>10467</v>
      </c>
      <c r="P80" s="3">
        <f>_xlfn.XLOOKUP(M80&amp;"-"&amp;N80,'Djøf Finance Hoppers'!D:D,'Djøf Finance Hoppers'!C:C,0,1)</f>
        <v>1810</v>
      </c>
      <c r="Q80" s="12">
        <f t="shared" si="8"/>
        <v>0.17292442915830705</v>
      </c>
    </row>
    <row r="81" spans="13:17" x14ac:dyDescent="0.25">
      <c r="M81" s="3">
        <v>2021</v>
      </c>
      <c r="N81" s="3" t="s">
        <v>19</v>
      </c>
      <c r="O81" s="3">
        <f>_xlfn.XLOOKUP(M81&amp;"-"&amp;N81,'Djøf Finance Workers'!D:D,'Djøf Finance Workers'!C:C,0,1)</f>
        <v>10749</v>
      </c>
      <c r="P81" s="3">
        <f>_xlfn.XLOOKUP(M81&amp;"-"&amp;N81,'Djøf Finance Hoppers'!D:D,'Djøf Finance Hoppers'!C:C,0,1)</f>
        <v>1631</v>
      </c>
      <c r="Q81" s="12">
        <f t="shared" si="8"/>
        <v>0.15173504512047634</v>
      </c>
    </row>
    <row r="82" spans="13:17" x14ac:dyDescent="0.25">
      <c r="M82" s="3">
        <v>2021</v>
      </c>
      <c r="N82" s="3" t="s">
        <v>20</v>
      </c>
      <c r="O82" s="3">
        <f>_xlfn.XLOOKUP(M82&amp;"-"&amp;N82,'Djøf Finance Workers'!D:D,'Djøf Finance Workers'!C:C,0,1)</f>
        <v>6688</v>
      </c>
      <c r="P82" s="3">
        <f>_xlfn.XLOOKUP(M82&amp;"-"&amp;N82,'Djøf Finance Hoppers'!D:D,'Djøf Finance Hoppers'!C:C,0,1)</f>
        <v>962</v>
      </c>
      <c r="Q82" s="12">
        <f t="shared" si="8"/>
        <v>0.1438397129186603</v>
      </c>
    </row>
    <row r="83" spans="13:17" x14ac:dyDescent="0.25">
      <c r="M83" s="3">
        <v>2021</v>
      </c>
      <c r="N83" s="3" t="s">
        <v>21</v>
      </c>
      <c r="O83" s="3">
        <f>_xlfn.XLOOKUP(M83&amp;"-"&amp;N83,'Djøf Finance Workers'!D:D,'Djøf Finance Workers'!C:C,0,1)</f>
        <v>2522</v>
      </c>
      <c r="P83" s="3">
        <f>_xlfn.XLOOKUP(M83&amp;"-"&amp;N83,'Djøf Finance Hoppers'!D:D,'Djøf Finance Hoppers'!C:C,0,1)</f>
        <v>216</v>
      </c>
      <c r="Q83" s="12">
        <f t="shared" si="8"/>
        <v>8.5646312450436163E-2</v>
      </c>
    </row>
    <row r="84" spans="13:17" x14ac:dyDescent="0.25">
      <c r="M84" s="3">
        <v>2022</v>
      </c>
      <c r="N84" s="3" t="s">
        <v>13</v>
      </c>
      <c r="O84" s="3">
        <f>_xlfn.XLOOKUP(M84&amp;"-"&amp;N84,'Djøf Finance Workers'!D:D,'Djøf Finance Workers'!C:C,0,1)</f>
        <v>8107</v>
      </c>
      <c r="P84" s="3">
        <f>_xlfn.XLOOKUP(M84&amp;"-"&amp;N84,'Djøf Finance Hoppers'!D:D,'Djøf Finance Hoppers'!C:C,0,1)</f>
        <v>3870</v>
      </c>
      <c r="Q84" s="12">
        <f t="shared" si="8"/>
        <v>0.4773652399161219</v>
      </c>
    </row>
    <row r="85" spans="13:17" x14ac:dyDescent="0.25">
      <c r="M85" s="3">
        <v>2022</v>
      </c>
      <c r="N85" s="3" t="s">
        <v>14</v>
      </c>
      <c r="O85" s="3">
        <f>_xlfn.XLOOKUP(M85&amp;"-"&amp;N85,'Djøf Finance Workers'!D:D,'Djøf Finance Workers'!C:C,0,1)</f>
        <v>9307</v>
      </c>
      <c r="P85" s="3">
        <f>_xlfn.XLOOKUP(M85&amp;"-"&amp;N85,'Djøf Finance Hoppers'!D:D,'Djøf Finance Hoppers'!C:C,0,1)</f>
        <v>3004</v>
      </c>
      <c r="Q85" s="12">
        <f t="shared" si="8"/>
        <v>0.3227678091758891</v>
      </c>
    </row>
    <row r="86" spans="13:17" x14ac:dyDescent="0.25">
      <c r="M86" s="3">
        <v>2022</v>
      </c>
      <c r="N86" s="3" t="s">
        <v>15</v>
      </c>
      <c r="O86" s="3">
        <f>_xlfn.XLOOKUP(M86&amp;"-"&amp;N86,'Djøf Finance Workers'!D:D,'Djøf Finance Workers'!C:C,0,1)</f>
        <v>9287</v>
      </c>
      <c r="P86" s="3">
        <f>_xlfn.XLOOKUP(M86&amp;"-"&amp;N86,'Djøf Finance Hoppers'!D:D,'Djøf Finance Hoppers'!C:C,0,1)</f>
        <v>2511</v>
      </c>
      <c r="Q86" s="12">
        <f t="shared" si="8"/>
        <v>0.27037794766878431</v>
      </c>
    </row>
    <row r="87" spans="13:17" x14ac:dyDescent="0.25">
      <c r="M87" s="3">
        <v>2022</v>
      </c>
      <c r="N87" s="3" t="s">
        <v>16</v>
      </c>
      <c r="O87" s="3">
        <f>_xlfn.XLOOKUP(M87&amp;"-"&amp;N87,'Djøf Finance Workers'!D:D,'Djøf Finance Workers'!C:C,0,1)</f>
        <v>9808</v>
      </c>
      <c r="P87" s="3">
        <f>_xlfn.XLOOKUP(M87&amp;"-"&amp;N87,'Djøf Finance Hoppers'!D:D,'Djøf Finance Hoppers'!C:C,0,1)</f>
        <v>2191</v>
      </c>
      <c r="Q87" s="12">
        <f t="shared" si="8"/>
        <v>0.22338907014681891</v>
      </c>
    </row>
    <row r="88" spans="13:17" x14ac:dyDescent="0.25">
      <c r="M88" s="3">
        <v>2022</v>
      </c>
      <c r="N88" s="3" t="s">
        <v>17</v>
      </c>
      <c r="O88" s="3">
        <f>_xlfn.XLOOKUP(M88&amp;"-"&amp;N88,'Djøf Finance Workers'!D:D,'Djøf Finance Workers'!C:C,0,1)</f>
        <v>10063</v>
      </c>
      <c r="P88" s="3">
        <f>_xlfn.XLOOKUP(M88&amp;"-"&amp;N88,'Djøf Finance Hoppers'!D:D,'Djøf Finance Hoppers'!C:C,0,1)</f>
        <v>2044</v>
      </c>
      <c r="Q88" s="12">
        <f t="shared" si="8"/>
        <v>0.20312034184636787</v>
      </c>
    </row>
    <row r="89" spans="13:17" x14ac:dyDescent="0.25">
      <c r="M89" s="3">
        <v>2022</v>
      </c>
      <c r="N89" s="3" t="s">
        <v>18</v>
      </c>
      <c r="O89" s="3">
        <f>_xlfn.XLOOKUP(M89&amp;"-"&amp;N89,'Djøf Finance Workers'!D:D,'Djøf Finance Workers'!C:C,0,1)</f>
        <v>9799</v>
      </c>
      <c r="P89" s="3">
        <f>_xlfn.XLOOKUP(M89&amp;"-"&amp;N89,'Djøf Finance Hoppers'!D:D,'Djøf Finance Hoppers'!C:C,0,1)</f>
        <v>1683</v>
      </c>
      <c r="Q89" s="12">
        <f t="shared" si="8"/>
        <v>0.17175221961424636</v>
      </c>
    </row>
    <row r="90" spans="13:17" x14ac:dyDescent="0.25">
      <c r="M90" s="3">
        <v>2022</v>
      </c>
      <c r="N90" s="3" t="s">
        <v>19</v>
      </c>
      <c r="O90" s="3">
        <f>_xlfn.XLOOKUP(M90&amp;"-"&amp;N90,'Djøf Finance Workers'!D:D,'Djøf Finance Workers'!C:C,0,1)</f>
        <v>11340</v>
      </c>
      <c r="P90" s="3">
        <f>_xlfn.XLOOKUP(M90&amp;"-"&amp;N90,'Djøf Finance Hoppers'!D:D,'Djøf Finance Hoppers'!C:C,0,1)</f>
        <v>1578</v>
      </c>
      <c r="Q90" s="12">
        <f t="shared" si="8"/>
        <v>0.13915343915343914</v>
      </c>
    </row>
    <row r="91" spans="13:17" x14ac:dyDescent="0.25">
      <c r="M91" s="3">
        <v>2022</v>
      </c>
      <c r="N91" s="3" t="s">
        <v>20</v>
      </c>
      <c r="O91" s="3">
        <f>_xlfn.XLOOKUP(M91&amp;"-"&amp;N91,'Djøf Finance Workers'!D:D,'Djøf Finance Workers'!C:C,0,1)</f>
        <v>6943</v>
      </c>
      <c r="P91" s="3">
        <f>_xlfn.XLOOKUP(M91&amp;"-"&amp;N91,'Djøf Finance Hoppers'!D:D,'Djøf Finance Hoppers'!C:C,0,1)</f>
        <v>880</v>
      </c>
      <c r="Q91" s="12">
        <f t="shared" si="8"/>
        <v>0.12674636324355465</v>
      </c>
    </row>
    <row r="92" spans="13:17" x14ac:dyDescent="0.25">
      <c r="M92" s="3">
        <v>2022</v>
      </c>
      <c r="N92" s="3" t="s">
        <v>21</v>
      </c>
      <c r="O92" s="3">
        <f>_xlfn.XLOOKUP(M92&amp;"-"&amp;N92,'Djøf Finance Workers'!D:D,'Djøf Finance Workers'!C:C,0,1)</f>
        <v>2779</v>
      </c>
      <c r="P92" s="3">
        <f>_xlfn.XLOOKUP(M92&amp;"-"&amp;N92,'Djøf Finance Hoppers'!D:D,'Djøf Finance Hoppers'!C:C,0,1)</f>
        <v>265</v>
      </c>
      <c r="Q92" s="12">
        <f t="shared" si="8"/>
        <v>9.5358042461317016E-2</v>
      </c>
    </row>
    <row r="93" spans="13:17" x14ac:dyDescent="0.25">
      <c r="M93" s="3">
        <v>2023</v>
      </c>
      <c r="N93" s="3" t="s">
        <v>13</v>
      </c>
      <c r="O93" s="3">
        <f>_xlfn.XLOOKUP(M93&amp;"-"&amp;N93,'Djøf Finance Workers'!D:D,'Djøf Finance Workers'!C:C,0,1)</f>
        <v>8433</v>
      </c>
      <c r="P93" s="3">
        <f>_xlfn.XLOOKUP(M93&amp;"-"&amp;N93,'Djøf Finance Hoppers'!D:D,'Djøf Finance Hoppers'!C:C,0,1)</f>
        <v>3662</v>
      </c>
      <c r="Q93" s="12">
        <f t="shared" si="8"/>
        <v>0.43424641290169574</v>
      </c>
    </row>
    <row r="94" spans="13:17" x14ac:dyDescent="0.25">
      <c r="M94" s="3">
        <v>2023</v>
      </c>
      <c r="N94" s="3" t="s">
        <v>14</v>
      </c>
      <c r="O94" s="3">
        <f>_xlfn.XLOOKUP(M94&amp;"-"&amp;N94,'Djøf Finance Workers'!D:D,'Djøf Finance Workers'!C:C,0,1)</f>
        <v>9786</v>
      </c>
      <c r="P94" s="3">
        <f>_xlfn.XLOOKUP(M94&amp;"-"&amp;N94,'Djøf Finance Hoppers'!D:D,'Djøf Finance Hoppers'!C:C,0,1)</f>
        <v>2878</v>
      </c>
      <c r="Q94" s="12">
        <f t="shared" si="8"/>
        <v>0.29409360310647864</v>
      </c>
    </row>
    <row r="95" spans="13:17" x14ac:dyDescent="0.25">
      <c r="M95" s="3">
        <v>2023</v>
      </c>
      <c r="N95" s="3" t="s">
        <v>15</v>
      </c>
      <c r="O95" s="3">
        <f>_xlfn.XLOOKUP(M95&amp;"-"&amp;N95,'Djøf Finance Workers'!D:D,'Djøf Finance Workers'!C:C,0,1)</f>
        <v>9648</v>
      </c>
      <c r="P95" s="3">
        <f>_xlfn.XLOOKUP(M95&amp;"-"&amp;N95,'Djøf Finance Hoppers'!D:D,'Djøf Finance Hoppers'!C:C,0,1)</f>
        <v>2160</v>
      </c>
      <c r="Q95" s="12">
        <f t="shared" si="8"/>
        <v>0.22388059701492538</v>
      </c>
    </row>
    <row r="96" spans="13:17" x14ac:dyDescent="0.25">
      <c r="M96" s="3">
        <v>2023</v>
      </c>
      <c r="N96" s="3" t="s">
        <v>16</v>
      </c>
      <c r="O96" s="3">
        <f>_xlfn.XLOOKUP(M96&amp;"-"&amp;N96,'Djøf Finance Workers'!D:D,'Djøf Finance Workers'!C:C,0,1)</f>
        <v>9770</v>
      </c>
      <c r="P96" s="3">
        <f>_xlfn.XLOOKUP(M96&amp;"-"&amp;N96,'Djøf Finance Hoppers'!D:D,'Djøf Finance Hoppers'!C:C,0,1)</f>
        <v>1983</v>
      </c>
      <c r="Q96" s="12">
        <f t="shared" si="8"/>
        <v>0.20296827021494371</v>
      </c>
    </row>
    <row r="97" spans="13:17" x14ac:dyDescent="0.25">
      <c r="M97" s="3">
        <v>2023</v>
      </c>
      <c r="N97" s="3" t="s">
        <v>17</v>
      </c>
      <c r="O97" s="3">
        <f>_xlfn.XLOOKUP(M97&amp;"-"&amp;N97,'Djøf Finance Workers'!D:D,'Djøf Finance Workers'!C:C,0,1)</f>
        <v>10262</v>
      </c>
      <c r="P97" s="3">
        <f>_xlfn.XLOOKUP(M97&amp;"-"&amp;N97,'Djøf Finance Hoppers'!D:D,'Djøf Finance Hoppers'!C:C,0,1)</f>
        <v>1798</v>
      </c>
      <c r="Q97" s="12">
        <f t="shared" si="8"/>
        <v>0.17520951081660496</v>
      </c>
    </row>
    <row r="98" spans="13:17" x14ac:dyDescent="0.25">
      <c r="M98" s="3">
        <v>2023</v>
      </c>
      <c r="N98" s="3" t="s">
        <v>18</v>
      </c>
      <c r="O98" s="3">
        <f>_xlfn.XLOOKUP(M98&amp;"-"&amp;N98,'Djøf Finance Workers'!D:D,'Djøf Finance Workers'!C:C,0,1)</f>
        <v>9513</v>
      </c>
      <c r="P98" s="3">
        <f>_xlfn.XLOOKUP(M98&amp;"-"&amp;N98,'Djøf Finance Hoppers'!D:D,'Djøf Finance Hoppers'!C:C,0,1)</f>
        <v>1564</v>
      </c>
      <c r="Q98" s="12">
        <f t="shared" si="8"/>
        <v>0.1644066014926942</v>
      </c>
    </row>
    <row r="99" spans="13:17" x14ac:dyDescent="0.25">
      <c r="M99" s="3">
        <v>2023</v>
      </c>
      <c r="N99" s="3" t="s">
        <v>19</v>
      </c>
      <c r="O99" s="3">
        <f>_xlfn.XLOOKUP(M99&amp;"-"&amp;N99,'Djøf Finance Workers'!D:D,'Djøf Finance Workers'!C:C,0,1)</f>
        <v>11614</v>
      </c>
      <c r="P99" s="3">
        <f>_xlfn.XLOOKUP(M99&amp;"-"&amp;N99,'Djøf Finance Hoppers'!D:D,'Djøf Finance Hoppers'!C:C,0,1)</f>
        <v>1583</v>
      </c>
      <c r="Q99" s="12">
        <f t="shared" si="8"/>
        <v>0.13630101601515413</v>
      </c>
    </row>
    <row r="100" spans="13:17" x14ac:dyDescent="0.25">
      <c r="M100" s="3">
        <v>2023</v>
      </c>
      <c r="N100" s="3" t="s">
        <v>20</v>
      </c>
      <c r="O100" s="3">
        <f>_xlfn.XLOOKUP(M100&amp;"-"&amp;N100,'Djøf Finance Workers'!D:D,'Djøf Finance Workers'!C:C,0,1)</f>
        <v>7443</v>
      </c>
      <c r="P100" s="3">
        <f>_xlfn.XLOOKUP(M100&amp;"-"&amp;N100,'Djøf Finance Hoppers'!D:D,'Djøf Finance Hoppers'!C:C,0,1)</f>
        <v>896</v>
      </c>
      <c r="Q100" s="12">
        <f t="shared" si="8"/>
        <v>0.12038156657261857</v>
      </c>
    </row>
    <row r="101" spans="13:17" x14ac:dyDescent="0.25">
      <c r="M101" s="3">
        <v>2023</v>
      </c>
      <c r="N101" s="3" t="s">
        <v>21</v>
      </c>
      <c r="O101" s="3">
        <f>_xlfn.XLOOKUP(M101&amp;"-"&amp;N101,'Djøf Finance Workers'!D:D,'Djøf Finance Workers'!C:C,0,1)</f>
        <v>3139</v>
      </c>
      <c r="P101" s="3">
        <f>_xlfn.XLOOKUP(M101&amp;"-"&amp;N101,'Djøf Finance Hoppers'!D:D,'Djøf Finance Hoppers'!C:C,0,1)</f>
        <v>295</v>
      </c>
      <c r="Q101" s="12">
        <f>IF(O101&gt;0, P101/O101, 0)</f>
        <v>9.3978974195603693E-2</v>
      </c>
    </row>
  </sheetData>
  <phoneticPr fontId="8" type="noConversion"/>
  <pageMargins left="0.7" right="0.7" top="0.75" bottom="0.75" header="0.3" footer="0.3"/>
  <tableParts count="3">
    <tablePart r:id="rId1"/>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defaultRowHeight="15" x14ac:dyDescent="0.25"/>
  <cols>
    <col min="2" max="2" width="13" customWidth="1"/>
    <col min="3" max="3" width="31" customWidth="1"/>
  </cols>
  <sheetData>
    <row r="1" spans="1:4" ht="24" thickBot="1" x14ac:dyDescent="0.4">
      <c r="A1" s="4" t="s">
        <v>40</v>
      </c>
      <c r="B1" s="5"/>
      <c r="C1" s="5"/>
    </row>
    <row r="2" spans="1:4" ht="15.75" thickTop="1" x14ac:dyDescent="0.25">
      <c r="C2" s="6" t="s">
        <v>7</v>
      </c>
    </row>
    <row r="3" spans="1:4" x14ac:dyDescent="0.25">
      <c r="C3" s="6" t="s">
        <v>41</v>
      </c>
    </row>
    <row r="4" spans="1:4" x14ac:dyDescent="0.25">
      <c r="C4" s="6" t="s">
        <v>8</v>
      </c>
    </row>
    <row r="5" spans="1:4" x14ac:dyDescent="0.25">
      <c r="C5" s="6" t="s">
        <v>9</v>
      </c>
    </row>
    <row r="6" spans="1:4" x14ac:dyDescent="0.25">
      <c r="C6" s="6" t="s">
        <v>10</v>
      </c>
    </row>
    <row r="7" spans="1:4" x14ac:dyDescent="0.25">
      <c r="C7" s="6" t="s">
        <v>42</v>
      </c>
    </row>
    <row r="8" spans="1:4" x14ac:dyDescent="0.25">
      <c r="A8" s="6" t="s">
        <v>22</v>
      </c>
      <c r="B8" s="6" t="s">
        <v>13</v>
      </c>
      <c r="C8" s="7">
        <v>3410</v>
      </c>
      <c r="D8" t="str">
        <f t="shared" ref="D8:D71" si="0">A8&amp;"-"&amp;B8</f>
        <v>2009-25-29 år</v>
      </c>
    </row>
    <row r="9" spans="1:4" x14ac:dyDescent="0.25">
      <c r="A9" s="6" t="s">
        <v>22</v>
      </c>
      <c r="B9" s="6" t="s">
        <v>14</v>
      </c>
      <c r="C9" s="7">
        <v>3525</v>
      </c>
      <c r="D9" t="str">
        <f t="shared" si="0"/>
        <v>2009-30-34 år</v>
      </c>
    </row>
    <row r="10" spans="1:4" x14ac:dyDescent="0.25">
      <c r="A10" s="6" t="s">
        <v>22</v>
      </c>
      <c r="B10" s="6" t="s">
        <v>15</v>
      </c>
      <c r="C10" s="7">
        <v>3090</v>
      </c>
      <c r="D10" t="str">
        <f t="shared" si="0"/>
        <v>2009-35-39 år</v>
      </c>
    </row>
    <row r="11" spans="1:4" x14ac:dyDescent="0.25">
      <c r="A11" s="6" t="s">
        <v>22</v>
      </c>
      <c r="B11" s="6" t="s">
        <v>16</v>
      </c>
      <c r="C11" s="7">
        <v>4180</v>
      </c>
      <c r="D11" t="str">
        <f t="shared" si="0"/>
        <v>2009-40-44 år</v>
      </c>
    </row>
    <row r="12" spans="1:4" x14ac:dyDescent="0.25">
      <c r="A12" s="6" t="s">
        <v>22</v>
      </c>
      <c r="B12" s="6" t="s">
        <v>17</v>
      </c>
      <c r="C12" s="7">
        <v>3533</v>
      </c>
      <c r="D12" t="str">
        <f t="shared" si="0"/>
        <v>2009-45-49 år</v>
      </c>
    </row>
    <row r="13" spans="1:4" x14ac:dyDescent="0.25">
      <c r="A13" s="6" t="s">
        <v>22</v>
      </c>
      <c r="B13" s="6" t="s">
        <v>18</v>
      </c>
      <c r="C13" s="7">
        <v>2940</v>
      </c>
      <c r="D13" t="str">
        <f t="shared" si="0"/>
        <v>2009-50-54 år</v>
      </c>
    </row>
    <row r="14" spans="1:4" x14ac:dyDescent="0.25">
      <c r="A14" s="6" t="s">
        <v>22</v>
      </c>
      <c r="B14" s="6" t="s">
        <v>19</v>
      </c>
      <c r="C14" s="7">
        <v>2419</v>
      </c>
      <c r="D14" t="str">
        <f t="shared" si="0"/>
        <v>2009-55-59 år</v>
      </c>
    </row>
    <row r="15" spans="1:4" x14ac:dyDescent="0.25">
      <c r="A15" s="6" t="s">
        <v>22</v>
      </c>
      <c r="B15" s="6" t="s">
        <v>20</v>
      </c>
      <c r="C15" s="7">
        <v>1263</v>
      </c>
      <c r="D15" t="str">
        <f t="shared" si="0"/>
        <v>2009-60-64 år</v>
      </c>
    </row>
    <row r="16" spans="1:4" x14ac:dyDescent="0.25">
      <c r="A16" s="6" t="s">
        <v>22</v>
      </c>
      <c r="B16" s="6" t="s">
        <v>43</v>
      </c>
      <c r="C16" s="7">
        <v>196</v>
      </c>
      <c r="D16" t="str">
        <f t="shared" si="0"/>
        <v>2009-65-69 år</v>
      </c>
    </row>
    <row r="17" spans="1:4" x14ac:dyDescent="0.25">
      <c r="A17" s="6" t="s">
        <v>23</v>
      </c>
      <c r="B17" s="6" t="s">
        <v>13</v>
      </c>
      <c r="C17" s="7">
        <v>2457</v>
      </c>
      <c r="D17" t="str">
        <f t="shared" si="0"/>
        <v>2010-25-29 år</v>
      </c>
    </row>
    <row r="18" spans="1:4" x14ac:dyDescent="0.25">
      <c r="A18" s="6" t="s">
        <v>23</v>
      </c>
      <c r="B18" s="6" t="s">
        <v>14</v>
      </c>
      <c r="C18" s="7">
        <v>2382</v>
      </c>
      <c r="D18" t="str">
        <f t="shared" si="0"/>
        <v>2010-30-34 år</v>
      </c>
    </row>
    <row r="19" spans="1:4" x14ac:dyDescent="0.25">
      <c r="A19" s="6" t="s">
        <v>23</v>
      </c>
      <c r="B19" s="6" t="s">
        <v>15</v>
      </c>
      <c r="C19" s="7">
        <v>1880</v>
      </c>
      <c r="D19" t="str">
        <f t="shared" si="0"/>
        <v>2010-35-39 år</v>
      </c>
    </row>
    <row r="20" spans="1:4" x14ac:dyDescent="0.25">
      <c r="A20" s="6" t="s">
        <v>23</v>
      </c>
      <c r="B20" s="6" t="s">
        <v>16</v>
      </c>
      <c r="C20" s="7">
        <v>2045</v>
      </c>
      <c r="D20" t="str">
        <f t="shared" si="0"/>
        <v>2010-40-44 år</v>
      </c>
    </row>
    <row r="21" spans="1:4" x14ac:dyDescent="0.25">
      <c r="A21" s="6" t="s">
        <v>23</v>
      </c>
      <c r="B21" s="6" t="s">
        <v>17</v>
      </c>
      <c r="C21" s="7">
        <v>1826</v>
      </c>
      <c r="D21" t="str">
        <f t="shared" si="0"/>
        <v>2010-45-49 år</v>
      </c>
    </row>
    <row r="22" spans="1:4" x14ac:dyDescent="0.25">
      <c r="A22" s="6" t="s">
        <v>23</v>
      </c>
      <c r="B22" s="6" t="s">
        <v>18</v>
      </c>
      <c r="C22" s="7">
        <v>1417</v>
      </c>
      <c r="D22" t="str">
        <f t="shared" si="0"/>
        <v>2010-50-54 år</v>
      </c>
    </row>
    <row r="23" spans="1:4" x14ac:dyDescent="0.25">
      <c r="A23" s="6" t="s">
        <v>23</v>
      </c>
      <c r="B23" s="6" t="s">
        <v>19</v>
      </c>
      <c r="C23" s="7">
        <v>1229</v>
      </c>
      <c r="D23" t="str">
        <f t="shared" si="0"/>
        <v>2010-55-59 år</v>
      </c>
    </row>
    <row r="24" spans="1:4" x14ac:dyDescent="0.25">
      <c r="A24" s="6" t="s">
        <v>23</v>
      </c>
      <c r="B24" s="6" t="s">
        <v>20</v>
      </c>
      <c r="C24" s="7">
        <v>712</v>
      </c>
      <c r="D24" t="str">
        <f t="shared" si="0"/>
        <v>2010-60-64 år</v>
      </c>
    </row>
    <row r="25" spans="1:4" x14ac:dyDescent="0.25">
      <c r="A25" s="6" t="s">
        <v>23</v>
      </c>
      <c r="B25" s="6" t="s">
        <v>43</v>
      </c>
      <c r="C25" s="7">
        <v>220</v>
      </c>
      <c r="D25" t="str">
        <f t="shared" si="0"/>
        <v>2010-65-69 år</v>
      </c>
    </row>
    <row r="26" spans="1:4" x14ac:dyDescent="0.25">
      <c r="A26" s="6" t="s">
        <v>24</v>
      </c>
      <c r="B26" s="6" t="s">
        <v>13</v>
      </c>
      <c r="C26" s="7">
        <v>2791</v>
      </c>
      <c r="D26" t="str">
        <f t="shared" si="0"/>
        <v>2011-25-29 år</v>
      </c>
    </row>
    <row r="27" spans="1:4" x14ac:dyDescent="0.25">
      <c r="A27" s="6" t="s">
        <v>24</v>
      </c>
      <c r="B27" s="6" t="s">
        <v>14</v>
      </c>
      <c r="C27" s="7">
        <v>2600</v>
      </c>
      <c r="D27" t="str">
        <f t="shared" si="0"/>
        <v>2011-30-34 år</v>
      </c>
    </row>
    <row r="28" spans="1:4" x14ac:dyDescent="0.25">
      <c r="A28" s="6" t="s">
        <v>24</v>
      </c>
      <c r="B28" s="6" t="s">
        <v>15</v>
      </c>
      <c r="C28" s="7">
        <v>2164</v>
      </c>
      <c r="D28" t="str">
        <f t="shared" si="0"/>
        <v>2011-35-39 år</v>
      </c>
    </row>
    <row r="29" spans="1:4" x14ac:dyDescent="0.25">
      <c r="A29" s="6" t="s">
        <v>24</v>
      </c>
      <c r="B29" s="6" t="s">
        <v>16</v>
      </c>
      <c r="C29" s="7">
        <v>2134</v>
      </c>
      <c r="D29" t="str">
        <f t="shared" si="0"/>
        <v>2011-40-44 år</v>
      </c>
    </row>
    <row r="30" spans="1:4" x14ac:dyDescent="0.25">
      <c r="A30" s="6" t="s">
        <v>24</v>
      </c>
      <c r="B30" s="6" t="s">
        <v>17</v>
      </c>
      <c r="C30" s="7">
        <v>2030</v>
      </c>
      <c r="D30" t="str">
        <f t="shared" si="0"/>
        <v>2011-45-49 år</v>
      </c>
    </row>
    <row r="31" spans="1:4" x14ac:dyDescent="0.25">
      <c r="A31" s="6" t="s">
        <v>24</v>
      </c>
      <c r="B31" s="6" t="s">
        <v>18</v>
      </c>
      <c r="C31" s="7">
        <v>1660</v>
      </c>
      <c r="D31" t="str">
        <f t="shared" si="0"/>
        <v>2011-50-54 år</v>
      </c>
    </row>
    <row r="32" spans="1:4" x14ac:dyDescent="0.25">
      <c r="A32" s="6" t="s">
        <v>24</v>
      </c>
      <c r="B32" s="6" t="s">
        <v>19</v>
      </c>
      <c r="C32" s="7">
        <v>1415</v>
      </c>
      <c r="D32" t="str">
        <f t="shared" si="0"/>
        <v>2011-55-59 år</v>
      </c>
    </row>
    <row r="33" spans="1:4" x14ac:dyDescent="0.25">
      <c r="A33" s="6" t="s">
        <v>24</v>
      </c>
      <c r="B33" s="6" t="s">
        <v>20</v>
      </c>
      <c r="C33" s="7">
        <v>726</v>
      </c>
      <c r="D33" t="str">
        <f t="shared" si="0"/>
        <v>2011-60-64 år</v>
      </c>
    </row>
    <row r="34" spans="1:4" x14ac:dyDescent="0.25">
      <c r="A34" s="6" t="s">
        <v>24</v>
      </c>
      <c r="B34" s="6" t="s">
        <v>43</v>
      </c>
      <c r="C34" s="7">
        <v>197</v>
      </c>
      <c r="D34" t="str">
        <f t="shared" si="0"/>
        <v>2011-65-69 år</v>
      </c>
    </row>
    <row r="35" spans="1:4" x14ac:dyDescent="0.25">
      <c r="A35" s="6" t="s">
        <v>25</v>
      </c>
      <c r="B35" s="6" t="s">
        <v>13</v>
      </c>
      <c r="C35" s="7">
        <v>2457</v>
      </c>
      <c r="D35" t="str">
        <f t="shared" si="0"/>
        <v>2012-25-29 år</v>
      </c>
    </row>
    <row r="36" spans="1:4" x14ac:dyDescent="0.25">
      <c r="A36" s="6" t="s">
        <v>25</v>
      </c>
      <c r="B36" s="6" t="s">
        <v>14</v>
      </c>
      <c r="C36" s="7">
        <v>2116</v>
      </c>
      <c r="D36" t="str">
        <f t="shared" si="0"/>
        <v>2012-30-34 år</v>
      </c>
    </row>
    <row r="37" spans="1:4" x14ac:dyDescent="0.25">
      <c r="A37" s="6" t="s">
        <v>25</v>
      </c>
      <c r="B37" s="6" t="s">
        <v>15</v>
      </c>
      <c r="C37" s="7">
        <v>1935</v>
      </c>
      <c r="D37" t="str">
        <f t="shared" si="0"/>
        <v>2012-35-39 år</v>
      </c>
    </row>
    <row r="38" spans="1:4" x14ac:dyDescent="0.25">
      <c r="A38" s="6" t="s">
        <v>25</v>
      </c>
      <c r="B38" s="6" t="s">
        <v>16</v>
      </c>
      <c r="C38" s="7">
        <v>1734</v>
      </c>
      <c r="D38" t="str">
        <f t="shared" si="0"/>
        <v>2012-40-44 år</v>
      </c>
    </row>
    <row r="39" spans="1:4" x14ac:dyDescent="0.25">
      <c r="A39" s="6" t="s">
        <v>25</v>
      </c>
      <c r="B39" s="6" t="s">
        <v>17</v>
      </c>
      <c r="C39" s="7">
        <v>1913</v>
      </c>
      <c r="D39" t="str">
        <f t="shared" si="0"/>
        <v>2012-45-49 år</v>
      </c>
    </row>
    <row r="40" spans="1:4" x14ac:dyDescent="0.25">
      <c r="A40" s="6" t="s">
        <v>25</v>
      </c>
      <c r="B40" s="6" t="s">
        <v>18</v>
      </c>
      <c r="C40" s="7">
        <v>1465</v>
      </c>
      <c r="D40" t="str">
        <f t="shared" si="0"/>
        <v>2012-50-54 år</v>
      </c>
    </row>
    <row r="41" spans="1:4" x14ac:dyDescent="0.25">
      <c r="A41" s="6" t="s">
        <v>25</v>
      </c>
      <c r="B41" s="6" t="s">
        <v>19</v>
      </c>
      <c r="C41" s="7">
        <v>1254</v>
      </c>
      <c r="D41" t="str">
        <f t="shared" si="0"/>
        <v>2012-55-59 år</v>
      </c>
    </row>
    <row r="42" spans="1:4" x14ac:dyDescent="0.25">
      <c r="A42" s="6" t="s">
        <v>25</v>
      </c>
      <c r="B42" s="6" t="s">
        <v>20</v>
      </c>
      <c r="C42" s="7">
        <v>718</v>
      </c>
      <c r="D42" t="str">
        <f t="shared" si="0"/>
        <v>2012-60-64 år</v>
      </c>
    </row>
    <row r="43" spans="1:4" x14ac:dyDescent="0.25">
      <c r="A43" s="6" t="s">
        <v>25</v>
      </c>
      <c r="B43" s="6" t="s">
        <v>43</v>
      </c>
      <c r="C43" s="7">
        <v>208</v>
      </c>
      <c r="D43" t="str">
        <f t="shared" si="0"/>
        <v>2012-65-69 år</v>
      </c>
    </row>
    <row r="44" spans="1:4" x14ac:dyDescent="0.25">
      <c r="A44" s="6" t="s">
        <v>26</v>
      </c>
      <c r="B44" s="6" t="s">
        <v>13</v>
      </c>
      <c r="C44" s="7">
        <v>2524</v>
      </c>
      <c r="D44" t="str">
        <f t="shared" si="0"/>
        <v>2013-25-29 år</v>
      </c>
    </row>
    <row r="45" spans="1:4" x14ac:dyDescent="0.25">
      <c r="A45" s="6" t="s">
        <v>26</v>
      </c>
      <c r="B45" s="6" t="s">
        <v>14</v>
      </c>
      <c r="C45" s="7">
        <v>2176</v>
      </c>
      <c r="D45" t="str">
        <f t="shared" si="0"/>
        <v>2013-30-34 år</v>
      </c>
    </row>
    <row r="46" spans="1:4" x14ac:dyDescent="0.25">
      <c r="A46" s="6" t="s">
        <v>26</v>
      </c>
      <c r="B46" s="6" t="s">
        <v>15</v>
      </c>
      <c r="C46" s="7">
        <v>1896</v>
      </c>
      <c r="D46" t="str">
        <f t="shared" si="0"/>
        <v>2013-35-39 år</v>
      </c>
    </row>
    <row r="47" spans="1:4" x14ac:dyDescent="0.25">
      <c r="A47" s="6" t="s">
        <v>26</v>
      </c>
      <c r="B47" s="6" t="s">
        <v>16</v>
      </c>
      <c r="C47" s="7">
        <v>1579</v>
      </c>
      <c r="D47" t="str">
        <f t="shared" si="0"/>
        <v>2013-40-44 år</v>
      </c>
    </row>
    <row r="48" spans="1:4" x14ac:dyDescent="0.25">
      <c r="A48" s="6" t="s">
        <v>26</v>
      </c>
      <c r="B48" s="6" t="s">
        <v>17</v>
      </c>
      <c r="C48" s="7">
        <v>1915</v>
      </c>
      <c r="D48" t="str">
        <f t="shared" si="0"/>
        <v>2013-45-49 år</v>
      </c>
    </row>
    <row r="49" spans="1:4" x14ac:dyDescent="0.25">
      <c r="A49" s="6" t="s">
        <v>26</v>
      </c>
      <c r="B49" s="6" t="s">
        <v>18</v>
      </c>
      <c r="C49" s="7">
        <v>1462</v>
      </c>
      <c r="D49" t="str">
        <f t="shared" si="0"/>
        <v>2013-50-54 år</v>
      </c>
    </row>
    <row r="50" spans="1:4" x14ac:dyDescent="0.25">
      <c r="A50" s="6" t="s">
        <v>26</v>
      </c>
      <c r="B50" s="6" t="s">
        <v>19</v>
      </c>
      <c r="C50" s="7">
        <v>1227</v>
      </c>
      <c r="D50" t="str">
        <f t="shared" si="0"/>
        <v>2013-55-59 år</v>
      </c>
    </row>
    <row r="51" spans="1:4" x14ac:dyDescent="0.25">
      <c r="A51" s="6" t="s">
        <v>26</v>
      </c>
      <c r="B51" s="6" t="s">
        <v>20</v>
      </c>
      <c r="C51" s="7">
        <v>667</v>
      </c>
      <c r="D51" t="str">
        <f t="shared" si="0"/>
        <v>2013-60-64 år</v>
      </c>
    </row>
    <row r="52" spans="1:4" x14ac:dyDescent="0.25">
      <c r="A52" s="6" t="s">
        <v>26</v>
      </c>
      <c r="B52" s="6" t="s">
        <v>43</v>
      </c>
      <c r="C52" s="7">
        <v>224</v>
      </c>
      <c r="D52" t="str">
        <f t="shared" si="0"/>
        <v>2013-65-69 år</v>
      </c>
    </row>
    <row r="53" spans="1:4" x14ac:dyDescent="0.25">
      <c r="A53" s="6" t="s">
        <v>27</v>
      </c>
      <c r="B53" s="6" t="s">
        <v>13</v>
      </c>
      <c r="C53" s="7">
        <v>2521</v>
      </c>
      <c r="D53" t="str">
        <f t="shared" si="0"/>
        <v>2014-25-29 år</v>
      </c>
    </row>
    <row r="54" spans="1:4" x14ac:dyDescent="0.25">
      <c r="A54" s="6" t="s">
        <v>27</v>
      </c>
      <c r="B54" s="6" t="s">
        <v>14</v>
      </c>
      <c r="C54" s="7">
        <v>2178</v>
      </c>
      <c r="D54" t="str">
        <f t="shared" si="0"/>
        <v>2014-30-34 år</v>
      </c>
    </row>
    <row r="55" spans="1:4" x14ac:dyDescent="0.25">
      <c r="A55" s="6" t="s">
        <v>27</v>
      </c>
      <c r="B55" s="6" t="s">
        <v>15</v>
      </c>
      <c r="C55" s="7">
        <v>2066</v>
      </c>
      <c r="D55" t="str">
        <f t="shared" si="0"/>
        <v>2014-35-39 år</v>
      </c>
    </row>
    <row r="56" spans="1:4" x14ac:dyDescent="0.25">
      <c r="A56" s="6" t="s">
        <v>27</v>
      </c>
      <c r="B56" s="6" t="s">
        <v>16</v>
      </c>
      <c r="C56" s="7">
        <v>1647</v>
      </c>
      <c r="D56" t="str">
        <f t="shared" si="0"/>
        <v>2014-40-44 år</v>
      </c>
    </row>
    <row r="57" spans="1:4" x14ac:dyDescent="0.25">
      <c r="A57" s="6" t="s">
        <v>27</v>
      </c>
      <c r="B57" s="6" t="s">
        <v>17</v>
      </c>
      <c r="C57" s="7">
        <v>1953</v>
      </c>
      <c r="D57" t="str">
        <f t="shared" si="0"/>
        <v>2014-45-49 år</v>
      </c>
    </row>
    <row r="58" spans="1:4" x14ac:dyDescent="0.25">
      <c r="A58" s="6" t="s">
        <v>27</v>
      </c>
      <c r="B58" s="6" t="s">
        <v>18</v>
      </c>
      <c r="C58" s="7">
        <v>1636</v>
      </c>
      <c r="D58" t="str">
        <f t="shared" si="0"/>
        <v>2014-50-54 år</v>
      </c>
    </row>
    <row r="59" spans="1:4" x14ac:dyDescent="0.25">
      <c r="A59" s="6" t="s">
        <v>27</v>
      </c>
      <c r="B59" s="6" t="s">
        <v>19</v>
      </c>
      <c r="C59" s="7">
        <v>1231</v>
      </c>
      <c r="D59" t="str">
        <f t="shared" si="0"/>
        <v>2014-55-59 år</v>
      </c>
    </row>
    <row r="60" spans="1:4" x14ac:dyDescent="0.25">
      <c r="A60" s="6" t="s">
        <v>27</v>
      </c>
      <c r="B60" s="6" t="s">
        <v>20</v>
      </c>
      <c r="C60" s="7">
        <v>706</v>
      </c>
      <c r="D60" t="str">
        <f t="shared" si="0"/>
        <v>2014-60-64 år</v>
      </c>
    </row>
    <row r="61" spans="1:4" x14ac:dyDescent="0.25">
      <c r="A61" s="6" t="s">
        <v>27</v>
      </c>
      <c r="B61" s="6" t="s">
        <v>43</v>
      </c>
      <c r="C61" s="7">
        <v>204</v>
      </c>
      <c r="D61" t="str">
        <f t="shared" si="0"/>
        <v>2014-65-69 år</v>
      </c>
    </row>
    <row r="62" spans="1:4" x14ac:dyDescent="0.25">
      <c r="A62" s="6" t="s">
        <v>28</v>
      </c>
      <c r="B62" s="6" t="s">
        <v>13</v>
      </c>
      <c r="C62" s="7">
        <v>2715</v>
      </c>
      <c r="D62" t="str">
        <f t="shared" si="0"/>
        <v>2015-25-29 år</v>
      </c>
    </row>
    <row r="63" spans="1:4" x14ac:dyDescent="0.25">
      <c r="A63" s="6" t="s">
        <v>28</v>
      </c>
      <c r="B63" s="6" t="s">
        <v>14</v>
      </c>
      <c r="C63" s="7">
        <v>2473</v>
      </c>
      <c r="D63" t="str">
        <f t="shared" si="0"/>
        <v>2015-30-34 år</v>
      </c>
    </row>
    <row r="64" spans="1:4" x14ac:dyDescent="0.25">
      <c r="A64" s="6" t="s">
        <v>28</v>
      </c>
      <c r="B64" s="6" t="s">
        <v>15</v>
      </c>
      <c r="C64" s="7">
        <v>2378</v>
      </c>
      <c r="D64" t="str">
        <f t="shared" si="0"/>
        <v>2015-35-39 år</v>
      </c>
    </row>
    <row r="65" spans="1:4" x14ac:dyDescent="0.25">
      <c r="A65" s="6" t="s">
        <v>28</v>
      </c>
      <c r="B65" s="6" t="s">
        <v>16</v>
      </c>
      <c r="C65" s="7">
        <v>1902</v>
      </c>
      <c r="D65" t="str">
        <f t="shared" si="0"/>
        <v>2015-40-44 år</v>
      </c>
    </row>
    <row r="66" spans="1:4" x14ac:dyDescent="0.25">
      <c r="A66" s="6" t="s">
        <v>28</v>
      </c>
      <c r="B66" s="6" t="s">
        <v>17</v>
      </c>
      <c r="C66" s="7">
        <v>2085</v>
      </c>
      <c r="D66" t="str">
        <f t="shared" si="0"/>
        <v>2015-45-49 år</v>
      </c>
    </row>
    <row r="67" spans="1:4" x14ac:dyDescent="0.25">
      <c r="A67" s="6" t="s">
        <v>28</v>
      </c>
      <c r="B67" s="6" t="s">
        <v>18</v>
      </c>
      <c r="C67" s="7">
        <v>1717</v>
      </c>
      <c r="D67" t="str">
        <f t="shared" si="0"/>
        <v>2015-50-54 år</v>
      </c>
    </row>
    <row r="68" spans="1:4" x14ac:dyDescent="0.25">
      <c r="A68" s="6" t="s">
        <v>28</v>
      </c>
      <c r="B68" s="6" t="s">
        <v>19</v>
      </c>
      <c r="C68" s="7">
        <v>1226</v>
      </c>
      <c r="D68" t="str">
        <f t="shared" si="0"/>
        <v>2015-55-59 år</v>
      </c>
    </row>
    <row r="69" spans="1:4" x14ac:dyDescent="0.25">
      <c r="A69" s="6" t="s">
        <v>28</v>
      </c>
      <c r="B69" s="6" t="s">
        <v>20</v>
      </c>
      <c r="C69" s="7">
        <v>583</v>
      </c>
      <c r="D69" t="str">
        <f t="shared" si="0"/>
        <v>2015-60-64 år</v>
      </c>
    </row>
    <row r="70" spans="1:4" x14ac:dyDescent="0.25">
      <c r="A70" s="6" t="s">
        <v>28</v>
      </c>
      <c r="B70" s="6" t="s">
        <v>43</v>
      </c>
      <c r="C70" s="7">
        <v>211</v>
      </c>
      <c r="D70" t="str">
        <f t="shared" si="0"/>
        <v>2015-65-69 år</v>
      </c>
    </row>
    <row r="71" spans="1:4" x14ac:dyDescent="0.25">
      <c r="A71" s="6" t="s">
        <v>29</v>
      </c>
      <c r="B71" s="6" t="s">
        <v>13</v>
      </c>
      <c r="C71" s="7">
        <v>3005</v>
      </c>
      <c r="D71" t="str">
        <f t="shared" si="0"/>
        <v>2016-25-29 år</v>
      </c>
    </row>
    <row r="72" spans="1:4" x14ac:dyDescent="0.25">
      <c r="A72" s="6" t="s">
        <v>29</v>
      </c>
      <c r="B72" s="6" t="s">
        <v>14</v>
      </c>
      <c r="C72" s="7">
        <v>2584</v>
      </c>
      <c r="D72" t="str">
        <f t="shared" ref="D72:D135" si="1">A72&amp;"-"&amp;B72</f>
        <v>2016-30-34 år</v>
      </c>
    </row>
    <row r="73" spans="1:4" x14ac:dyDescent="0.25">
      <c r="A73" s="6" t="s">
        <v>29</v>
      </c>
      <c r="B73" s="6" t="s">
        <v>15</v>
      </c>
      <c r="C73" s="7">
        <v>2311</v>
      </c>
      <c r="D73" t="str">
        <f t="shared" si="1"/>
        <v>2016-35-39 år</v>
      </c>
    </row>
    <row r="74" spans="1:4" x14ac:dyDescent="0.25">
      <c r="A74" s="6" t="s">
        <v>29</v>
      </c>
      <c r="B74" s="6" t="s">
        <v>16</v>
      </c>
      <c r="C74" s="7">
        <v>2111</v>
      </c>
      <c r="D74" t="str">
        <f t="shared" si="1"/>
        <v>2016-40-44 år</v>
      </c>
    </row>
    <row r="75" spans="1:4" x14ac:dyDescent="0.25">
      <c r="A75" s="6" t="s">
        <v>29</v>
      </c>
      <c r="B75" s="6" t="s">
        <v>17</v>
      </c>
      <c r="C75" s="7">
        <v>2000</v>
      </c>
      <c r="D75" t="str">
        <f t="shared" si="1"/>
        <v>2016-45-49 år</v>
      </c>
    </row>
    <row r="76" spans="1:4" x14ac:dyDescent="0.25">
      <c r="A76" s="6" t="s">
        <v>29</v>
      </c>
      <c r="B76" s="6" t="s">
        <v>18</v>
      </c>
      <c r="C76" s="7">
        <v>1808</v>
      </c>
      <c r="D76" t="str">
        <f t="shared" si="1"/>
        <v>2016-50-54 år</v>
      </c>
    </row>
    <row r="77" spans="1:4" x14ac:dyDescent="0.25">
      <c r="A77" s="6" t="s">
        <v>29</v>
      </c>
      <c r="B77" s="6" t="s">
        <v>19</v>
      </c>
      <c r="C77" s="7">
        <v>1301</v>
      </c>
      <c r="D77" t="str">
        <f t="shared" si="1"/>
        <v>2016-55-59 år</v>
      </c>
    </row>
    <row r="78" spans="1:4" x14ac:dyDescent="0.25">
      <c r="A78" s="6" t="s">
        <v>29</v>
      </c>
      <c r="B78" s="6" t="s">
        <v>20</v>
      </c>
      <c r="C78" s="7">
        <v>708</v>
      </c>
      <c r="D78" t="str">
        <f t="shared" si="1"/>
        <v>2016-60-64 år</v>
      </c>
    </row>
    <row r="79" spans="1:4" x14ac:dyDescent="0.25">
      <c r="A79" s="6" t="s">
        <v>29</v>
      </c>
      <c r="B79" s="6" t="s">
        <v>43</v>
      </c>
      <c r="C79" s="7">
        <v>183</v>
      </c>
      <c r="D79" t="str">
        <f t="shared" si="1"/>
        <v>2016-65-69 år</v>
      </c>
    </row>
    <row r="80" spans="1:4" x14ac:dyDescent="0.25">
      <c r="A80" s="6" t="s">
        <v>30</v>
      </c>
      <c r="B80" s="6" t="s">
        <v>13</v>
      </c>
      <c r="C80" s="7">
        <v>3106</v>
      </c>
      <c r="D80" t="str">
        <f t="shared" si="1"/>
        <v>2017-25-29 år</v>
      </c>
    </row>
    <row r="81" spans="1:4" x14ac:dyDescent="0.25">
      <c r="A81" s="6" t="s">
        <v>30</v>
      </c>
      <c r="B81" s="6" t="s">
        <v>14</v>
      </c>
      <c r="C81" s="7">
        <v>2692</v>
      </c>
      <c r="D81" t="str">
        <f t="shared" si="1"/>
        <v>2017-30-34 år</v>
      </c>
    </row>
    <row r="82" spans="1:4" x14ac:dyDescent="0.25">
      <c r="A82" s="6" t="s">
        <v>30</v>
      </c>
      <c r="B82" s="6" t="s">
        <v>15</v>
      </c>
      <c r="C82" s="7">
        <v>2452</v>
      </c>
      <c r="D82" t="str">
        <f t="shared" si="1"/>
        <v>2017-35-39 år</v>
      </c>
    </row>
    <row r="83" spans="1:4" x14ac:dyDescent="0.25">
      <c r="A83" s="6" t="s">
        <v>30</v>
      </c>
      <c r="B83" s="6" t="s">
        <v>16</v>
      </c>
      <c r="C83" s="7">
        <v>2105</v>
      </c>
      <c r="D83" t="str">
        <f t="shared" si="1"/>
        <v>2017-40-44 år</v>
      </c>
    </row>
    <row r="84" spans="1:4" x14ac:dyDescent="0.25">
      <c r="A84" s="6" t="s">
        <v>30</v>
      </c>
      <c r="B84" s="6" t="s">
        <v>17</v>
      </c>
      <c r="C84" s="7">
        <v>1892</v>
      </c>
      <c r="D84" t="str">
        <f t="shared" si="1"/>
        <v>2017-45-49 år</v>
      </c>
    </row>
    <row r="85" spans="1:4" x14ac:dyDescent="0.25">
      <c r="A85" s="6" t="s">
        <v>30</v>
      </c>
      <c r="B85" s="6" t="s">
        <v>18</v>
      </c>
      <c r="C85" s="7">
        <v>2042</v>
      </c>
      <c r="D85" t="str">
        <f t="shared" si="1"/>
        <v>2017-50-54 år</v>
      </c>
    </row>
    <row r="86" spans="1:4" x14ac:dyDescent="0.25">
      <c r="A86" s="6" t="s">
        <v>30</v>
      </c>
      <c r="B86" s="6" t="s">
        <v>19</v>
      </c>
      <c r="C86" s="7">
        <v>1410</v>
      </c>
      <c r="D86" t="str">
        <f t="shared" si="1"/>
        <v>2017-55-59 år</v>
      </c>
    </row>
    <row r="87" spans="1:4" x14ac:dyDescent="0.25">
      <c r="A87" s="6" t="s">
        <v>30</v>
      </c>
      <c r="B87" s="6" t="s">
        <v>20</v>
      </c>
      <c r="C87" s="7">
        <v>757</v>
      </c>
      <c r="D87" t="str">
        <f t="shared" si="1"/>
        <v>2017-60-64 år</v>
      </c>
    </row>
    <row r="88" spans="1:4" x14ac:dyDescent="0.25">
      <c r="A88" s="6" t="s">
        <v>30</v>
      </c>
      <c r="B88" s="6" t="s">
        <v>43</v>
      </c>
      <c r="C88" s="7">
        <v>194</v>
      </c>
      <c r="D88" t="str">
        <f t="shared" si="1"/>
        <v>2017-65-69 år</v>
      </c>
    </row>
    <row r="89" spans="1:4" x14ac:dyDescent="0.25">
      <c r="A89" s="6" t="s">
        <v>31</v>
      </c>
      <c r="B89" s="6" t="s">
        <v>13</v>
      </c>
      <c r="C89" s="7">
        <v>3149</v>
      </c>
      <c r="D89" t="str">
        <f t="shared" si="1"/>
        <v>2018-25-29 år</v>
      </c>
    </row>
    <row r="90" spans="1:4" x14ac:dyDescent="0.25">
      <c r="A90" s="6" t="s">
        <v>31</v>
      </c>
      <c r="B90" s="6" t="s">
        <v>14</v>
      </c>
      <c r="C90" s="7">
        <v>2658</v>
      </c>
      <c r="D90" t="str">
        <f t="shared" si="1"/>
        <v>2018-30-34 år</v>
      </c>
    </row>
    <row r="91" spans="1:4" x14ac:dyDescent="0.25">
      <c r="A91" s="6" t="s">
        <v>31</v>
      </c>
      <c r="B91" s="6" t="s">
        <v>15</v>
      </c>
      <c r="C91" s="7">
        <v>2333</v>
      </c>
      <c r="D91" t="str">
        <f t="shared" si="1"/>
        <v>2018-35-39 år</v>
      </c>
    </row>
    <row r="92" spans="1:4" x14ac:dyDescent="0.25">
      <c r="A92" s="6" t="s">
        <v>31</v>
      </c>
      <c r="B92" s="6" t="s">
        <v>16</v>
      </c>
      <c r="C92" s="7">
        <v>2068</v>
      </c>
      <c r="D92" t="str">
        <f t="shared" si="1"/>
        <v>2018-40-44 år</v>
      </c>
    </row>
    <row r="93" spans="1:4" x14ac:dyDescent="0.25">
      <c r="A93" s="6" t="s">
        <v>31</v>
      </c>
      <c r="B93" s="6" t="s">
        <v>17</v>
      </c>
      <c r="C93" s="7">
        <v>1770</v>
      </c>
      <c r="D93" t="str">
        <f t="shared" si="1"/>
        <v>2018-45-49 år</v>
      </c>
    </row>
    <row r="94" spans="1:4" x14ac:dyDescent="0.25">
      <c r="A94" s="6" t="s">
        <v>31</v>
      </c>
      <c r="B94" s="6" t="s">
        <v>18</v>
      </c>
      <c r="C94" s="7">
        <v>2055</v>
      </c>
      <c r="D94" t="str">
        <f t="shared" si="1"/>
        <v>2018-50-54 år</v>
      </c>
    </row>
    <row r="95" spans="1:4" x14ac:dyDescent="0.25">
      <c r="A95" s="6" t="s">
        <v>31</v>
      </c>
      <c r="B95" s="6" t="s">
        <v>19</v>
      </c>
      <c r="C95" s="7">
        <v>1415</v>
      </c>
      <c r="D95" t="str">
        <f t="shared" si="1"/>
        <v>2018-55-59 år</v>
      </c>
    </row>
    <row r="96" spans="1:4" x14ac:dyDescent="0.25">
      <c r="A96" s="6" t="s">
        <v>31</v>
      </c>
      <c r="B96" s="6" t="s">
        <v>20</v>
      </c>
      <c r="C96" s="7">
        <v>681</v>
      </c>
      <c r="D96" t="str">
        <f t="shared" si="1"/>
        <v>2018-60-64 år</v>
      </c>
    </row>
    <row r="97" spans="1:4" x14ac:dyDescent="0.25">
      <c r="A97" s="6" t="s">
        <v>31</v>
      </c>
      <c r="B97" s="6" t="s">
        <v>43</v>
      </c>
      <c r="C97" s="7">
        <v>174</v>
      </c>
      <c r="D97" t="str">
        <f t="shared" si="1"/>
        <v>2018-65-69 år</v>
      </c>
    </row>
    <row r="98" spans="1:4" x14ac:dyDescent="0.25">
      <c r="A98" s="6" t="s">
        <v>32</v>
      </c>
      <c r="B98" s="6" t="s">
        <v>13</v>
      </c>
      <c r="C98" s="7">
        <v>3477</v>
      </c>
      <c r="D98" t="str">
        <f t="shared" si="1"/>
        <v>2019-25-29 år</v>
      </c>
    </row>
    <row r="99" spans="1:4" x14ac:dyDescent="0.25">
      <c r="A99" s="6" t="s">
        <v>32</v>
      </c>
      <c r="B99" s="6" t="s">
        <v>14</v>
      </c>
      <c r="C99" s="7">
        <v>2839</v>
      </c>
      <c r="D99" t="str">
        <f t="shared" si="1"/>
        <v>2019-30-34 år</v>
      </c>
    </row>
    <row r="100" spans="1:4" x14ac:dyDescent="0.25">
      <c r="A100" s="6" t="s">
        <v>32</v>
      </c>
      <c r="B100" s="6" t="s">
        <v>15</v>
      </c>
      <c r="C100" s="7">
        <v>2298</v>
      </c>
      <c r="D100" t="str">
        <f t="shared" si="1"/>
        <v>2019-35-39 år</v>
      </c>
    </row>
    <row r="101" spans="1:4" x14ac:dyDescent="0.25">
      <c r="A101" s="6" t="s">
        <v>32</v>
      </c>
      <c r="B101" s="6" t="s">
        <v>16</v>
      </c>
      <c r="C101" s="7">
        <v>2100</v>
      </c>
      <c r="D101" t="str">
        <f t="shared" si="1"/>
        <v>2019-40-44 år</v>
      </c>
    </row>
    <row r="102" spans="1:4" x14ac:dyDescent="0.25">
      <c r="A102" s="6" t="s">
        <v>32</v>
      </c>
      <c r="B102" s="6" t="s">
        <v>17</v>
      </c>
      <c r="C102" s="7">
        <v>1802</v>
      </c>
      <c r="D102" t="str">
        <f t="shared" si="1"/>
        <v>2019-45-49 år</v>
      </c>
    </row>
    <row r="103" spans="1:4" x14ac:dyDescent="0.25">
      <c r="A103" s="6" t="s">
        <v>32</v>
      </c>
      <c r="B103" s="6" t="s">
        <v>18</v>
      </c>
      <c r="C103" s="7">
        <v>2054</v>
      </c>
      <c r="D103" t="str">
        <f t="shared" si="1"/>
        <v>2019-50-54 år</v>
      </c>
    </row>
    <row r="104" spans="1:4" x14ac:dyDescent="0.25">
      <c r="A104" s="6" t="s">
        <v>32</v>
      </c>
      <c r="B104" s="6" t="s">
        <v>19</v>
      </c>
      <c r="C104" s="7">
        <v>1383</v>
      </c>
      <c r="D104" t="str">
        <f t="shared" si="1"/>
        <v>2019-55-59 år</v>
      </c>
    </row>
    <row r="105" spans="1:4" x14ac:dyDescent="0.25">
      <c r="A105" s="6" t="s">
        <v>32</v>
      </c>
      <c r="B105" s="6" t="s">
        <v>20</v>
      </c>
      <c r="C105" s="7">
        <v>791</v>
      </c>
      <c r="D105" t="str">
        <f t="shared" si="1"/>
        <v>2019-60-64 år</v>
      </c>
    </row>
    <row r="106" spans="1:4" x14ac:dyDescent="0.25">
      <c r="A106" s="6" t="s">
        <v>32</v>
      </c>
      <c r="B106" s="6" t="s">
        <v>43</v>
      </c>
      <c r="C106" s="7">
        <v>188</v>
      </c>
      <c r="D106" t="str">
        <f t="shared" si="1"/>
        <v>2019-65-69 år</v>
      </c>
    </row>
    <row r="107" spans="1:4" x14ac:dyDescent="0.25">
      <c r="A107" s="6" t="s">
        <v>33</v>
      </c>
      <c r="B107" s="6" t="s">
        <v>13</v>
      </c>
      <c r="C107" s="7">
        <v>3028</v>
      </c>
      <c r="D107" t="str">
        <f t="shared" si="1"/>
        <v>2020-25-29 år</v>
      </c>
    </row>
    <row r="108" spans="1:4" x14ac:dyDescent="0.25">
      <c r="A108" s="6" t="s">
        <v>33</v>
      </c>
      <c r="B108" s="6" t="s">
        <v>14</v>
      </c>
      <c r="C108" s="7">
        <v>2339</v>
      </c>
      <c r="D108" t="str">
        <f t="shared" si="1"/>
        <v>2020-30-34 år</v>
      </c>
    </row>
    <row r="109" spans="1:4" x14ac:dyDescent="0.25">
      <c r="A109" s="6" t="s">
        <v>33</v>
      </c>
      <c r="B109" s="6" t="s">
        <v>15</v>
      </c>
      <c r="C109" s="7">
        <v>1929</v>
      </c>
      <c r="D109" t="str">
        <f t="shared" si="1"/>
        <v>2020-35-39 år</v>
      </c>
    </row>
    <row r="110" spans="1:4" x14ac:dyDescent="0.25">
      <c r="A110" s="6" t="s">
        <v>33</v>
      </c>
      <c r="B110" s="6" t="s">
        <v>16</v>
      </c>
      <c r="C110" s="7">
        <v>1758</v>
      </c>
      <c r="D110" t="str">
        <f t="shared" si="1"/>
        <v>2020-40-44 år</v>
      </c>
    </row>
    <row r="111" spans="1:4" x14ac:dyDescent="0.25">
      <c r="A111" s="6" t="s">
        <v>33</v>
      </c>
      <c r="B111" s="6" t="s">
        <v>17</v>
      </c>
      <c r="C111" s="7">
        <v>1654</v>
      </c>
      <c r="D111" t="str">
        <f t="shared" si="1"/>
        <v>2020-45-49 år</v>
      </c>
    </row>
    <row r="112" spans="1:4" x14ac:dyDescent="0.25">
      <c r="A112" s="6" t="s">
        <v>33</v>
      </c>
      <c r="B112" s="6" t="s">
        <v>18</v>
      </c>
      <c r="C112" s="7">
        <v>1616</v>
      </c>
      <c r="D112" t="str">
        <f t="shared" si="1"/>
        <v>2020-50-54 år</v>
      </c>
    </row>
    <row r="113" spans="1:4" x14ac:dyDescent="0.25">
      <c r="A113" s="6" t="s">
        <v>33</v>
      </c>
      <c r="B113" s="6" t="s">
        <v>19</v>
      </c>
      <c r="C113" s="7">
        <v>1279</v>
      </c>
      <c r="D113" t="str">
        <f t="shared" si="1"/>
        <v>2020-55-59 år</v>
      </c>
    </row>
    <row r="114" spans="1:4" x14ac:dyDescent="0.25">
      <c r="A114" s="6" t="s">
        <v>33</v>
      </c>
      <c r="B114" s="6" t="s">
        <v>20</v>
      </c>
      <c r="C114" s="7">
        <v>623</v>
      </c>
      <c r="D114" t="str">
        <f t="shared" si="1"/>
        <v>2020-60-64 år</v>
      </c>
    </row>
    <row r="115" spans="1:4" x14ac:dyDescent="0.25">
      <c r="A115" s="6" t="s">
        <v>33</v>
      </c>
      <c r="B115" s="6" t="s">
        <v>43</v>
      </c>
      <c r="C115" s="7">
        <v>201</v>
      </c>
      <c r="D115" t="str">
        <f t="shared" si="1"/>
        <v>2020-65-69 år</v>
      </c>
    </row>
    <row r="116" spans="1:4" x14ac:dyDescent="0.25">
      <c r="A116" s="6" t="s">
        <v>34</v>
      </c>
      <c r="B116" s="6" t="s">
        <v>13</v>
      </c>
      <c r="C116" s="7">
        <v>3854</v>
      </c>
      <c r="D116" t="str">
        <f t="shared" si="1"/>
        <v>2021-25-29 år</v>
      </c>
    </row>
    <row r="117" spans="1:4" x14ac:dyDescent="0.25">
      <c r="A117" s="6" t="s">
        <v>34</v>
      </c>
      <c r="B117" s="6" t="s">
        <v>14</v>
      </c>
      <c r="C117" s="7">
        <v>3059</v>
      </c>
      <c r="D117" t="str">
        <f t="shared" si="1"/>
        <v>2021-30-34 år</v>
      </c>
    </row>
    <row r="118" spans="1:4" x14ac:dyDescent="0.25">
      <c r="A118" s="6" t="s">
        <v>34</v>
      </c>
      <c r="B118" s="6" t="s">
        <v>15</v>
      </c>
      <c r="C118" s="7">
        <v>2330</v>
      </c>
      <c r="D118" t="str">
        <f t="shared" si="1"/>
        <v>2021-35-39 år</v>
      </c>
    </row>
    <row r="119" spans="1:4" x14ac:dyDescent="0.25">
      <c r="A119" s="6" t="s">
        <v>34</v>
      </c>
      <c r="B119" s="6" t="s">
        <v>16</v>
      </c>
      <c r="C119" s="7">
        <v>2220</v>
      </c>
      <c r="D119" t="str">
        <f t="shared" si="1"/>
        <v>2021-40-44 år</v>
      </c>
    </row>
    <row r="120" spans="1:4" x14ac:dyDescent="0.25">
      <c r="A120" s="6" t="s">
        <v>34</v>
      </c>
      <c r="B120" s="6" t="s">
        <v>17</v>
      </c>
      <c r="C120" s="7">
        <v>1980</v>
      </c>
      <c r="D120" t="str">
        <f t="shared" si="1"/>
        <v>2021-45-49 år</v>
      </c>
    </row>
    <row r="121" spans="1:4" x14ac:dyDescent="0.25">
      <c r="A121" s="6" t="s">
        <v>34</v>
      </c>
      <c r="B121" s="6" t="s">
        <v>18</v>
      </c>
      <c r="C121" s="7">
        <v>1810</v>
      </c>
      <c r="D121" t="str">
        <f t="shared" si="1"/>
        <v>2021-50-54 år</v>
      </c>
    </row>
    <row r="122" spans="1:4" x14ac:dyDescent="0.25">
      <c r="A122" s="6" t="s">
        <v>34</v>
      </c>
      <c r="B122" s="6" t="s">
        <v>19</v>
      </c>
      <c r="C122" s="7">
        <v>1631</v>
      </c>
      <c r="D122" t="str">
        <f t="shared" si="1"/>
        <v>2021-55-59 år</v>
      </c>
    </row>
    <row r="123" spans="1:4" x14ac:dyDescent="0.25">
      <c r="A123" s="6" t="s">
        <v>34</v>
      </c>
      <c r="B123" s="6" t="s">
        <v>20</v>
      </c>
      <c r="C123" s="7">
        <v>962</v>
      </c>
      <c r="D123" t="str">
        <f t="shared" si="1"/>
        <v>2021-60-64 år</v>
      </c>
    </row>
    <row r="124" spans="1:4" x14ac:dyDescent="0.25">
      <c r="A124" s="6" t="s">
        <v>34</v>
      </c>
      <c r="B124" s="6" t="s">
        <v>43</v>
      </c>
      <c r="C124" s="7">
        <v>216</v>
      </c>
      <c r="D124" t="str">
        <f t="shared" si="1"/>
        <v>2021-65-69 år</v>
      </c>
    </row>
    <row r="125" spans="1:4" x14ac:dyDescent="0.25">
      <c r="A125" s="6" t="s">
        <v>35</v>
      </c>
      <c r="B125" s="6" t="s">
        <v>13</v>
      </c>
      <c r="C125" s="7">
        <v>3870</v>
      </c>
      <c r="D125" t="str">
        <f t="shared" si="1"/>
        <v>2022-25-29 år</v>
      </c>
    </row>
    <row r="126" spans="1:4" x14ac:dyDescent="0.25">
      <c r="A126" s="6" t="s">
        <v>35</v>
      </c>
      <c r="B126" s="6" t="s">
        <v>14</v>
      </c>
      <c r="C126" s="7">
        <v>3004</v>
      </c>
      <c r="D126" t="str">
        <f t="shared" si="1"/>
        <v>2022-30-34 år</v>
      </c>
    </row>
    <row r="127" spans="1:4" x14ac:dyDescent="0.25">
      <c r="A127" s="6" t="s">
        <v>35</v>
      </c>
      <c r="B127" s="6" t="s">
        <v>15</v>
      </c>
      <c r="C127" s="7">
        <v>2511</v>
      </c>
      <c r="D127" t="str">
        <f t="shared" si="1"/>
        <v>2022-35-39 år</v>
      </c>
    </row>
    <row r="128" spans="1:4" x14ac:dyDescent="0.25">
      <c r="A128" s="6" t="s">
        <v>35</v>
      </c>
      <c r="B128" s="6" t="s">
        <v>16</v>
      </c>
      <c r="C128" s="7">
        <v>2191</v>
      </c>
      <c r="D128" t="str">
        <f t="shared" si="1"/>
        <v>2022-40-44 år</v>
      </c>
    </row>
    <row r="129" spans="1:4" x14ac:dyDescent="0.25">
      <c r="A129" s="6" t="s">
        <v>35</v>
      </c>
      <c r="B129" s="6" t="s">
        <v>17</v>
      </c>
      <c r="C129" s="7">
        <v>2044</v>
      </c>
      <c r="D129" t="str">
        <f t="shared" si="1"/>
        <v>2022-45-49 år</v>
      </c>
    </row>
    <row r="130" spans="1:4" x14ac:dyDescent="0.25">
      <c r="A130" s="6" t="s">
        <v>35</v>
      </c>
      <c r="B130" s="6" t="s">
        <v>18</v>
      </c>
      <c r="C130" s="7">
        <v>1683</v>
      </c>
      <c r="D130" t="str">
        <f t="shared" si="1"/>
        <v>2022-50-54 år</v>
      </c>
    </row>
    <row r="131" spans="1:4" x14ac:dyDescent="0.25">
      <c r="A131" s="6" t="s">
        <v>35</v>
      </c>
      <c r="B131" s="6" t="s">
        <v>19</v>
      </c>
      <c r="C131" s="7">
        <v>1578</v>
      </c>
      <c r="D131" t="str">
        <f t="shared" si="1"/>
        <v>2022-55-59 år</v>
      </c>
    </row>
    <row r="132" spans="1:4" x14ac:dyDescent="0.25">
      <c r="A132" s="6" t="s">
        <v>35</v>
      </c>
      <c r="B132" s="6" t="s">
        <v>20</v>
      </c>
      <c r="C132" s="7">
        <v>880</v>
      </c>
      <c r="D132" t="str">
        <f t="shared" si="1"/>
        <v>2022-60-64 år</v>
      </c>
    </row>
    <row r="133" spans="1:4" x14ac:dyDescent="0.25">
      <c r="A133" s="6" t="s">
        <v>35</v>
      </c>
      <c r="B133" s="6" t="s">
        <v>43</v>
      </c>
      <c r="C133" s="7">
        <v>265</v>
      </c>
      <c r="D133" t="str">
        <f t="shared" si="1"/>
        <v>2022-65-69 år</v>
      </c>
    </row>
    <row r="134" spans="1:4" x14ac:dyDescent="0.25">
      <c r="A134" s="6" t="s">
        <v>36</v>
      </c>
      <c r="B134" s="6" t="s">
        <v>13</v>
      </c>
      <c r="C134" s="7">
        <v>3662</v>
      </c>
      <c r="D134" t="str">
        <f t="shared" si="1"/>
        <v>2023-25-29 år</v>
      </c>
    </row>
    <row r="135" spans="1:4" x14ac:dyDescent="0.25">
      <c r="A135" s="6" t="s">
        <v>36</v>
      </c>
      <c r="B135" s="6" t="s">
        <v>14</v>
      </c>
      <c r="C135" s="7">
        <v>2878</v>
      </c>
      <c r="D135" t="str">
        <f t="shared" si="1"/>
        <v>2023-30-34 år</v>
      </c>
    </row>
    <row r="136" spans="1:4" x14ac:dyDescent="0.25">
      <c r="A136" s="6" t="s">
        <v>36</v>
      </c>
      <c r="B136" s="6" t="s">
        <v>15</v>
      </c>
      <c r="C136" s="7">
        <v>2160</v>
      </c>
      <c r="D136" t="str">
        <f t="shared" ref="D136:D141" si="2">A136&amp;"-"&amp;B136</f>
        <v>2023-35-39 år</v>
      </c>
    </row>
    <row r="137" spans="1:4" x14ac:dyDescent="0.25">
      <c r="A137" s="6" t="s">
        <v>36</v>
      </c>
      <c r="B137" s="6" t="s">
        <v>16</v>
      </c>
      <c r="C137" s="7">
        <v>1983</v>
      </c>
      <c r="D137" t="str">
        <f t="shared" si="2"/>
        <v>2023-40-44 år</v>
      </c>
    </row>
    <row r="138" spans="1:4" x14ac:dyDescent="0.25">
      <c r="A138" s="6" t="s">
        <v>36</v>
      </c>
      <c r="B138" s="6" t="s">
        <v>17</v>
      </c>
      <c r="C138" s="7">
        <v>1798</v>
      </c>
      <c r="D138" t="str">
        <f t="shared" si="2"/>
        <v>2023-45-49 år</v>
      </c>
    </row>
    <row r="139" spans="1:4" x14ac:dyDescent="0.25">
      <c r="A139" s="6" t="s">
        <v>36</v>
      </c>
      <c r="B139" s="6" t="s">
        <v>18</v>
      </c>
      <c r="C139" s="7">
        <v>1564</v>
      </c>
      <c r="D139" t="str">
        <f t="shared" si="2"/>
        <v>2023-50-54 år</v>
      </c>
    </row>
    <row r="140" spans="1:4" x14ac:dyDescent="0.25">
      <c r="A140" s="6" t="s">
        <v>36</v>
      </c>
      <c r="B140" s="6" t="s">
        <v>19</v>
      </c>
      <c r="C140" s="7">
        <v>1583</v>
      </c>
      <c r="D140" t="str">
        <f t="shared" si="2"/>
        <v>2023-55-59 år</v>
      </c>
    </row>
    <row r="141" spans="1:4" x14ac:dyDescent="0.25">
      <c r="A141" s="6" t="s">
        <v>36</v>
      </c>
      <c r="B141" s="6" t="s">
        <v>20</v>
      </c>
      <c r="C141" s="7">
        <v>896</v>
      </c>
      <c r="D141" t="str">
        <f t="shared" si="2"/>
        <v>2023-60-64 år</v>
      </c>
    </row>
    <row r="142" spans="1:4" ht="15.75" thickBot="1" x14ac:dyDescent="0.3">
      <c r="A142" s="6" t="s">
        <v>36</v>
      </c>
      <c r="B142" s="6" t="s">
        <v>43</v>
      </c>
      <c r="C142" s="7">
        <v>295</v>
      </c>
      <c r="D142" t="str">
        <f t="shared" ref="D142" si="3">A142&amp;"-"&amp;B142</f>
        <v>2023-65-69 år</v>
      </c>
    </row>
    <row r="143" spans="1:4" ht="15.75" thickTop="1" x14ac:dyDescent="0.25">
      <c r="A143" s="8"/>
      <c r="B143" s="8"/>
      <c r="C143" s="8"/>
    </row>
    <row r="145" spans="1:1" x14ac:dyDescent="0.25">
      <c r="A145" t="s">
        <v>38</v>
      </c>
    </row>
    <row r="146" spans="1:1" x14ac:dyDescent="0.25">
      <c r="A146" t="s">
        <v>39</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defaultRowHeight="15" x14ac:dyDescent="0.25"/>
  <cols>
    <col min="2" max="2" width="13" customWidth="1"/>
    <col min="3" max="3" width="56" customWidth="1"/>
  </cols>
  <sheetData>
    <row r="1" spans="1:4" ht="24" thickBot="1" x14ac:dyDescent="0.4">
      <c r="A1" s="4" t="s">
        <v>6</v>
      </c>
      <c r="B1" s="5"/>
      <c r="C1" s="5"/>
    </row>
    <row r="2" spans="1:4" ht="15.75" thickTop="1" x14ac:dyDescent="0.25">
      <c r="C2" s="6" t="s">
        <v>7</v>
      </c>
    </row>
    <row r="3" spans="1:4" x14ac:dyDescent="0.25">
      <c r="C3" s="6" t="s">
        <v>8</v>
      </c>
    </row>
    <row r="4" spans="1:4" x14ac:dyDescent="0.25">
      <c r="C4" s="6" t="s">
        <v>9</v>
      </c>
    </row>
    <row r="5" spans="1:4" x14ac:dyDescent="0.25">
      <c r="C5" s="6" t="s">
        <v>10</v>
      </c>
    </row>
    <row r="6" spans="1:4" x14ac:dyDescent="0.25">
      <c r="C6" s="6" t="s">
        <v>11</v>
      </c>
    </row>
    <row r="7" spans="1:4" x14ac:dyDescent="0.25">
      <c r="A7" s="6" t="s">
        <v>12</v>
      </c>
      <c r="B7" s="6" t="s">
        <v>13</v>
      </c>
      <c r="C7" s="7">
        <v>6876</v>
      </c>
      <c r="D7" t="str">
        <f t="shared" ref="D7:D70" si="0">A7&amp;"-"&amp;B7</f>
        <v>2008-25-29 år</v>
      </c>
    </row>
    <row r="8" spans="1:4" x14ac:dyDescent="0.25">
      <c r="A8" s="6" t="s">
        <v>12</v>
      </c>
      <c r="B8" s="6" t="s">
        <v>14</v>
      </c>
      <c r="C8" s="7">
        <v>8541</v>
      </c>
      <c r="D8" t="str">
        <f t="shared" si="0"/>
        <v>2008-30-34 år</v>
      </c>
    </row>
    <row r="9" spans="1:4" x14ac:dyDescent="0.25">
      <c r="A9" s="6" t="s">
        <v>12</v>
      </c>
      <c r="B9" s="6" t="s">
        <v>15</v>
      </c>
      <c r="C9" s="7">
        <v>8222</v>
      </c>
      <c r="D9" t="str">
        <f t="shared" si="0"/>
        <v>2008-35-39 år</v>
      </c>
    </row>
    <row r="10" spans="1:4" x14ac:dyDescent="0.25">
      <c r="A10" s="6" t="s">
        <v>12</v>
      </c>
      <c r="B10" s="6" t="s">
        <v>16</v>
      </c>
      <c r="C10" s="7">
        <v>11172</v>
      </c>
      <c r="D10" t="str">
        <f t="shared" si="0"/>
        <v>2008-40-44 år</v>
      </c>
    </row>
    <row r="11" spans="1:4" x14ac:dyDescent="0.25">
      <c r="A11" s="6" t="s">
        <v>12</v>
      </c>
      <c r="B11" s="6" t="s">
        <v>17</v>
      </c>
      <c r="C11" s="7">
        <v>9399</v>
      </c>
      <c r="D11" t="str">
        <f t="shared" si="0"/>
        <v>2008-45-49 år</v>
      </c>
    </row>
    <row r="12" spans="1:4" x14ac:dyDescent="0.25">
      <c r="A12" s="6" t="s">
        <v>12</v>
      </c>
      <c r="B12" s="6" t="s">
        <v>18</v>
      </c>
      <c r="C12" s="7">
        <v>8459</v>
      </c>
      <c r="D12" t="str">
        <f t="shared" si="0"/>
        <v>2008-50-54 år</v>
      </c>
    </row>
    <row r="13" spans="1:4" x14ac:dyDescent="0.25">
      <c r="A13" s="6" t="s">
        <v>12</v>
      </c>
      <c r="B13" s="6" t="s">
        <v>19</v>
      </c>
      <c r="C13" s="7">
        <v>7916</v>
      </c>
      <c r="D13" t="str">
        <f t="shared" si="0"/>
        <v>2008-55-59 år</v>
      </c>
    </row>
    <row r="14" spans="1:4" x14ac:dyDescent="0.25">
      <c r="A14" s="6" t="s">
        <v>12</v>
      </c>
      <c r="B14" s="6" t="s">
        <v>20</v>
      </c>
      <c r="C14" s="7">
        <v>4371</v>
      </c>
      <c r="D14" t="str">
        <f t="shared" si="0"/>
        <v>2008-60-64 år</v>
      </c>
    </row>
    <row r="15" spans="1:4" x14ac:dyDescent="0.25">
      <c r="A15" s="6" t="s">
        <v>12</v>
      </c>
      <c r="B15" s="6" t="s">
        <v>21</v>
      </c>
      <c r="C15" s="7">
        <v>857</v>
      </c>
      <c r="D15" t="str">
        <f t="shared" si="0"/>
        <v>2008-65+ år</v>
      </c>
    </row>
    <row r="16" spans="1:4" x14ac:dyDescent="0.25">
      <c r="A16" s="6" t="s">
        <v>22</v>
      </c>
      <c r="B16" s="6" t="s">
        <v>13</v>
      </c>
      <c r="C16" s="7">
        <v>7284</v>
      </c>
      <c r="D16" t="str">
        <f t="shared" si="0"/>
        <v>2009-25-29 år</v>
      </c>
    </row>
    <row r="17" spans="1:4" x14ac:dyDescent="0.25">
      <c r="A17" s="6" t="s">
        <v>22</v>
      </c>
      <c r="B17" s="6" t="s">
        <v>14</v>
      </c>
      <c r="C17" s="7">
        <v>9750</v>
      </c>
      <c r="D17" t="str">
        <f t="shared" si="0"/>
        <v>2009-30-34 år</v>
      </c>
    </row>
    <row r="18" spans="1:4" x14ac:dyDescent="0.25">
      <c r="A18" s="6" t="s">
        <v>22</v>
      </c>
      <c r="B18" s="6" t="s">
        <v>15</v>
      </c>
      <c r="C18" s="7">
        <v>9328</v>
      </c>
      <c r="D18" t="str">
        <f t="shared" si="0"/>
        <v>2009-35-39 år</v>
      </c>
    </row>
    <row r="19" spans="1:4" x14ac:dyDescent="0.25">
      <c r="A19" s="6" t="s">
        <v>22</v>
      </c>
      <c r="B19" s="6" t="s">
        <v>16</v>
      </c>
      <c r="C19" s="7">
        <v>12571</v>
      </c>
      <c r="D19" t="str">
        <f t="shared" si="0"/>
        <v>2009-40-44 år</v>
      </c>
    </row>
    <row r="20" spans="1:4" x14ac:dyDescent="0.25">
      <c r="A20" s="6" t="s">
        <v>22</v>
      </c>
      <c r="B20" s="6" t="s">
        <v>17</v>
      </c>
      <c r="C20" s="7">
        <v>11248</v>
      </c>
      <c r="D20" t="str">
        <f t="shared" si="0"/>
        <v>2009-45-49 år</v>
      </c>
    </row>
    <row r="21" spans="1:4" x14ac:dyDescent="0.25">
      <c r="A21" s="6" t="s">
        <v>22</v>
      </c>
      <c r="B21" s="6" t="s">
        <v>18</v>
      </c>
      <c r="C21" s="7">
        <v>9862</v>
      </c>
      <c r="D21" t="str">
        <f t="shared" si="0"/>
        <v>2009-50-54 år</v>
      </c>
    </row>
    <row r="22" spans="1:4" x14ac:dyDescent="0.25">
      <c r="A22" s="6" t="s">
        <v>22</v>
      </c>
      <c r="B22" s="6" t="s">
        <v>19</v>
      </c>
      <c r="C22" s="7">
        <v>9081</v>
      </c>
      <c r="D22" t="str">
        <f t="shared" si="0"/>
        <v>2009-55-59 år</v>
      </c>
    </row>
    <row r="23" spans="1:4" x14ac:dyDescent="0.25">
      <c r="A23" s="6" t="s">
        <v>22</v>
      </c>
      <c r="B23" s="6" t="s">
        <v>20</v>
      </c>
      <c r="C23" s="7">
        <v>5056</v>
      </c>
      <c r="D23" t="str">
        <f t="shared" si="0"/>
        <v>2009-60-64 år</v>
      </c>
    </row>
    <row r="24" spans="1:4" x14ac:dyDescent="0.25">
      <c r="A24" s="6" t="s">
        <v>22</v>
      </c>
      <c r="B24" s="6" t="s">
        <v>21</v>
      </c>
      <c r="C24" s="7">
        <v>984</v>
      </c>
      <c r="D24" t="str">
        <f t="shared" si="0"/>
        <v>2009-65+ år</v>
      </c>
    </row>
    <row r="25" spans="1:4" x14ac:dyDescent="0.25">
      <c r="A25" s="6" t="s">
        <v>23</v>
      </c>
      <c r="B25" s="6" t="s">
        <v>13</v>
      </c>
      <c r="C25" s="7">
        <v>6802</v>
      </c>
      <c r="D25" t="str">
        <f t="shared" si="0"/>
        <v>2010-25-29 år</v>
      </c>
    </row>
    <row r="26" spans="1:4" x14ac:dyDescent="0.25">
      <c r="A26" s="6" t="s">
        <v>23</v>
      </c>
      <c r="B26" s="6" t="s">
        <v>14</v>
      </c>
      <c r="C26" s="7">
        <v>9673</v>
      </c>
      <c r="D26" t="str">
        <f t="shared" si="0"/>
        <v>2010-30-34 år</v>
      </c>
    </row>
    <row r="27" spans="1:4" x14ac:dyDescent="0.25">
      <c r="A27" s="6" t="s">
        <v>23</v>
      </c>
      <c r="B27" s="6" t="s">
        <v>15</v>
      </c>
      <c r="C27" s="7">
        <v>9565</v>
      </c>
      <c r="D27" t="str">
        <f t="shared" si="0"/>
        <v>2010-35-39 år</v>
      </c>
    </row>
    <row r="28" spans="1:4" x14ac:dyDescent="0.25">
      <c r="A28" s="6" t="s">
        <v>23</v>
      </c>
      <c r="B28" s="6" t="s">
        <v>16</v>
      </c>
      <c r="C28" s="7">
        <v>11893</v>
      </c>
      <c r="D28" t="str">
        <f t="shared" si="0"/>
        <v>2010-40-44 år</v>
      </c>
    </row>
    <row r="29" spans="1:4" x14ac:dyDescent="0.25">
      <c r="A29" s="6" t="s">
        <v>23</v>
      </c>
      <c r="B29" s="6" t="s">
        <v>17</v>
      </c>
      <c r="C29" s="7">
        <v>11808</v>
      </c>
      <c r="D29" t="str">
        <f t="shared" si="0"/>
        <v>2010-45-49 år</v>
      </c>
    </row>
    <row r="30" spans="1:4" x14ac:dyDescent="0.25">
      <c r="A30" s="6" t="s">
        <v>23</v>
      </c>
      <c r="B30" s="6" t="s">
        <v>18</v>
      </c>
      <c r="C30" s="7">
        <v>10091</v>
      </c>
      <c r="D30" t="str">
        <f t="shared" si="0"/>
        <v>2010-50-54 år</v>
      </c>
    </row>
    <row r="31" spans="1:4" x14ac:dyDescent="0.25">
      <c r="A31" s="6" t="s">
        <v>23</v>
      </c>
      <c r="B31" s="6" t="s">
        <v>19</v>
      </c>
      <c r="C31" s="7">
        <v>9186</v>
      </c>
      <c r="D31" t="str">
        <f t="shared" si="0"/>
        <v>2010-55-59 år</v>
      </c>
    </row>
    <row r="32" spans="1:4" x14ac:dyDescent="0.25">
      <c r="A32" s="6" t="s">
        <v>23</v>
      </c>
      <c r="B32" s="6" t="s">
        <v>20</v>
      </c>
      <c r="C32" s="7">
        <v>5175</v>
      </c>
      <c r="D32" t="str">
        <f t="shared" si="0"/>
        <v>2010-60-64 år</v>
      </c>
    </row>
    <row r="33" spans="1:4" x14ac:dyDescent="0.25">
      <c r="A33" s="6" t="s">
        <v>23</v>
      </c>
      <c r="B33" s="6" t="s">
        <v>21</v>
      </c>
      <c r="C33" s="7">
        <v>1161</v>
      </c>
      <c r="D33" t="str">
        <f t="shared" si="0"/>
        <v>2010-65+ år</v>
      </c>
    </row>
    <row r="34" spans="1:4" x14ac:dyDescent="0.25">
      <c r="A34" s="6" t="s">
        <v>24</v>
      </c>
      <c r="B34" s="6" t="s">
        <v>13</v>
      </c>
      <c r="C34" s="7">
        <v>6619</v>
      </c>
      <c r="D34" t="str">
        <f t="shared" si="0"/>
        <v>2011-25-29 år</v>
      </c>
    </row>
    <row r="35" spans="1:4" x14ac:dyDescent="0.25">
      <c r="A35" s="6" t="s">
        <v>24</v>
      </c>
      <c r="B35" s="6" t="s">
        <v>14</v>
      </c>
      <c r="C35" s="7">
        <v>9409</v>
      </c>
      <c r="D35" t="str">
        <f t="shared" si="0"/>
        <v>2011-30-34 år</v>
      </c>
    </row>
    <row r="36" spans="1:4" x14ac:dyDescent="0.25">
      <c r="A36" s="6" t="s">
        <v>24</v>
      </c>
      <c r="B36" s="6" t="s">
        <v>15</v>
      </c>
      <c r="C36" s="7">
        <v>9809</v>
      </c>
      <c r="D36" t="str">
        <f t="shared" si="0"/>
        <v>2011-35-39 år</v>
      </c>
    </row>
    <row r="37" spans="1:4" x14ac:dyDescent="0.25">
      <c r="A37" s="6" t="s">
        <v>24</v>
      </c>
      <c r="B37" s="6" t="s">
        <v>16</v>
      </c>
      <c r="C37" s="7">
        <v>10924</v>
      </c>
      <c r="D37" t="str">
        <f t="shared" si="0"/>
        <v>2011-40-44 år</v>
      </c>
    </row>
    <row r="38" spans="1:4" x14ac:dyDescent="0.25">
      <c r="A38" s="6" t="s">
        <v>24</v>
      </c>
      <c r="B38" s="6" t="s">
        <v>17</v>
      </c>
      <c r="C38" s="7">
        <v>12323</v>
      </c>
      <c r="D38" t="str">
        <f t="shared" si="0"/>
        <v>2011-45-49 år</v>
      </c>
    </row>
    <row r="39" spans="1:4" x14ac:dyDescent="0.25">
      <c r="A39" s="6" t="s">
        <v>24</v>
      </c>
      <c r="B39" s="6" t="s">
        <v>18</v>
      </c>
      <c r="C39" s="7">
        <v>10305</v>
      </c>
      <c r="D39" t="str">
        <f t="shared" si="0"/>
        <v>2011-50-54 år</v>
      </c>
    </row>
    <row r="40" spans="1:4" x14ac:dyDescent="0.25">
      <c r="A40" s="6" t="s">
        <v>24</v>
      </c>
      <c r="B40" s="6" t="s">
        <v>19</v>
      </c>
      <c r="C40" s="7">
        <v>9210</v>
      </c>
      <c r="D40" t="str">
        <f t="shared" si="0"/>
        <v>2011-55-59 år</v>
      </c>
    </row>
    <row r="41" spans="1:4" x14ac:dyDescent="0.25">
      <c r="A41" s="6" t="s">
        <v>24</v>
      </c>
      <c r="B41" s="6" t="s">
        <v>20</v>
      </c>
      <c r="C41" s="7">
        <v>5200</v>
      </c>
      <c r="D41" t="str">
        <f t="shared" si="0"/>
        <v>2011-60-64 år</v>
      </c>
    </row>
    <row r="42" spans="1:4" x14ac:dyDescent="0.25">
      <c r="A42" s="6" t="s">
        <v>24</v>
      </c>
      <c r="B42" s="6" t="s">
        <v>21</v>
      </c>
      <c r="C42" s="7">
        <v>1320</v>
      </c>
      <c r="D42" t="str">
        <f t="shared" si="0"/>
        <v>2011-65+ år</v>
      </c>
    </row>
    <row r="43" spans="1:4" x14ac:dyDescent="0.25">
      <c r="A43" s="6" t="s">
        <v>25</v>
      </c>
      <c r="B43" s="6" t="s">
        <v>13</v>
      </c>
      <c r="C43" s="7">
        <v>6332</v>
      </c>
      <c r="D43" t="str">
        <f t="shared" si="0"/>
        <v>2012-25-29 år</v>
      </c>
    </row>
    <row r="44" spans="1:4" x14ac:dyDescent="0.25">
      <c r="A44" s="6" t="s">
        <v>25</v>
      </c>
      <c r="B44" s="6" t="s">
        <v>14</v>
      </c>
      <c r="C44" s="7">
        <v>8887</v>
      </c>
      <c r="D44" t="str">
        <f t="shared" si="0"/>
        <v>2012-30-34 år</v>
      </c>
    </row>
    <row r="45" spans="1:4" x14ac:dyDescent="0.25">
      <c r="A45" s="6" t="s">
        <v>25</v>
      </c>
      <c r="B45" s="6" t="s">
        <v>15</v>
      </c>
      <c r="C45" s="7">
        <v>9638</v>
      </c>
      <c r="D45" t="str">
        <f t="shared" si="0"/>
        <v>2012-35-39 år</v>
      </c>
    </row>
    <row r="46" spans="1:4" x14ac:dyDescent="0.25">
      <c r="A46" s="6" t="s">
        <v>25</v>
      </c>
      <c r="B46" s="6" t="s">
        <v>16</v>
      </c>
      <c r="C46" s="7">
        <v>9823</v>
      </c>
      <c r="D46" t="str">
        <f t="shared" si="0"/>
        <v>2012-40-44 år</v>
      </c>
    </row>
    <row r="47" spans="1:4" x14ac:dyDescent="0.25">
      <c r="A47" s="6" t="s">
        <v>25</v>
      </c>
      <c r="B47" s="6" t="s">
        <v>17</v>
      </c>
      <c r="C47" s="7">
        <v>12680</v>
      </c>
      <c r="D47" t="str">
        <f t="shared" si="0"/>
        <v>2012-45-49 år</v>
      </c>
    </row>
    <row r="48" spans="1:4" x14ac:dyDescent="0.25">
      <c r="A48" s="6" t="s">
        <v>25</v>
      </c>
      <c r="B48" s="6" t="s">
        <v>18</v>
      </c>
      <c r="C48" s="7">
        <v>10381</v>
      </c>
      <c r="D48" t="str">
        <f t="shared" si="0"/>
        <v>2012-50-54 år</v>
      </c>
    </row>
    <row r="49" spans="1:4" x14ac:dyDescent="0.25">
      <c r="A49" s="6" t="s">
        <v>25</v>
      </c>
      <c r="B49" s="6" t="s">
        <v>19</v>
      </c>
      <c r="C49" s="7">
        <v>9032</v>
      </c>
      <c r="D49" t="str">
        <f t="shared" si="0"/>
        <v>2012-55-59 år</v>
      </c>
    </row>
    <row r="50" spans="1:4" x14ac:dyDescent="0.25">
      <c r="A50" s="6" t="s">
        <v>25</v>
      </c>
      <c r="B50" s="6" t="s">
        <v>20</v>
      </c>
      <c r="C50" s="7">
        <v>5237</v>
      </c>
      <c r="D50" t="str">
        <f t="shared" si="0"/>
        <v>2012-60-64 år</v>
      </c>
    </row>
    <row r="51" spans="1:4" x14ac:dyDescent="0.25">
      <c r="A51" s="6" t="s">
        <v>25</v>
      </c>
      <c r="B51" s="6" t="s">
        <v>21</v>
      </c>
      <c r="C51" s="7">
        <v>1446</v>
      </c>
      <c r="D51" t="str">
        <f t="shared" si="0"/>
        <v>2012-65+ år</v>
      </c>
    </row>
    <row r="52" spans="1:4" x14ac:dyDescent="0.25">
      <c r="A52" s="6" t="s">
        <v>26</v>
      </c>
      <c r="B52" s="6" t="s">
        <v>13</v>
      </c>
      <c r="C52" s="7">
        <v>6202</v>
      </c>
      <c r="D52" t="str">
        <f t="shared" si="0"/>
        <v>2013-25-29 år</v>
      </c>
    </row>
    <row r="53" spans="1:4" x14ac:dyDescent="0.25">
      <c r="A53" s="6" t="s">
        <v>26</v>
      </c>
      <c r="B53" s="6" t="s">
        <v>14</v>
      </c>
      <c r="C53" s="7">
        <v>8560</v>
      </c>
      <c r="D53" t="str">
        <f t="shared" si="0"/>
        <v>2013-30-34 år</v>
      </c>
    </row>
    <row r="54" spans="1:4" x14ac:dyDescent="0.25">
      <c r="A54" s="6" t="s">
        <v>26</v>
      </c>
      <c r="B54" s="6" t="s">
        <v>15</v>
      </c>
      <c r="C54" s="7">
        <v>9790</v>
      </c>
      <c r="D54" t="str">
        <f t="shared" si="0"/>
        <v>2013-35-39 år</v>
      </c>
    </row>
    <row r="55" spans="1:4" x14ac:dyDescent="0.25">
      <c r="A55" s="6" t="s">
        <v>26</v>
      </c>
      <c r="B55" s="6" t="s">
        <v>16</v>
      </c>
      <c r="C55" s="7">
        <v>9383</v>
      </c>
      <c r="D55" t="str">
        <f t="shared" si="0"/>
        <v>2013-40-44 år</v>
      </c>
    </row>
    <row r="56" spans="1:4" x14ac:dyDescent="0.25">
      <c r="A56" s="6" t="s">
        <v>26</v>
      </c>
      <c r="B56" s="6" t="s">
        <v>17</v>
      </c>
      <c r="C56" s="7">
        <v>12762</v>
      </c>
      <c r="D56" t="str">
        <f t="shared" si="0"/>
        <v>2013-45-49 år</v>
      </c>
    </row>
    <row r="57" spans="1:4" x14ac:dyDescent="0.25">
      <c r="A57" s="6" t="s">
        <v>26</v>
      </c>
      <c r="B57" s="6" t="s">
        <v>18</v>
      </c>
      <c r="C57" s="7">
        <v>10587</v>
      </c>
      <c r="D57" t="str">
        <f t="shared" si="0"/>
        <v>2013-50-54 år</v>
      </c>
    </row>
    <row r="58" spans="1:4" x14ac:dyDescent="0.25">
      <c r="A58" s="6" t="s">
        <v>26</v>
      </c>
      <c r="B58" s="6" t="s">
        <v>19</v>
      </c>
      <c r="C58" s="7">
        <v>8811</v>
      </c>
      <c r="D58" t="str">
        <f t="shared" si="0"/>
        <v>2013-55-59 år</v>
      </c>
    </row>
    <row r="59" spans="1:4" x14ac:dyDescent="0.25">
      <c r="A59" s="6" t="s">
        <v>26</v>
      </c>
      <c r="B59" s="6" t="s">
        <v>20</v>
      </c>
      <c r="C59" s="7">
        <v>5072</v>
      </c>
      <c r="D59" t="str">
        <f t="shared" si="0"/>
        <v>2013-60-64 år</v>
      </c>
    </row>
    <row r="60" spans="1:4" x14ac:dyDescent="0.25">
      <c r="A60" s="6" t="s">
        <v>26</v>
      </c>
      <c r="B60" s="6" t="s">
        <v>21</v>
      </c>
      <c r="C60" s="7">
        <v>1539</v>
      </c>
      <c r="D60" t="str">
        <f t="shared" si="0"/>
        <v>2013-65+ år</v>
      </c>
    </row>
    <row r="61" spans="1:4" x14ac:dyDescent="0.25">
      <c r="A61" s="6" t="s">
        <v>27</v>
      </c>
      <c r="B61" s="6" t="s">
        <v>13</v>
      </c>
      <c r="C61" s="7">
        <v>6041</v>
      </c>
      <c r="D61" t="str">
        <f t="shared" si="0"/>
        <v>2014-25-29 år</v>
      </c>
    </row>
    <row r="62" spans="1:4" x14ac:dyDescent="0.25">
      <c r="A62" s="6" t="s">
        <v>27</v>
      </c>
      <c r="B62" s="6" t="s">
        <v>14</v>
      </c>
      <c r="C62" s="7">
        <v>8203</v>
      </c>
      <c r="D62" t="str">
        <f t="shared" si="0"/>
        <v>2014-30-34 år</v>
      </c>
    </row>
    <row r="63" spans="1:4" x14ac:dyDescent="0.25">
      <c r="A63" s="6" t="s">
        <v>27</v>
      </c>
      <c r="B63" s="6" t="s">
        <v>15</v>
      </c>
      <c r="C63" s="7">
        <v>9972</v>
      </c>
      <c r="D63" t="str">
        <f t="shared" si="0"/>
        <v>2014-35-39 år</v>
      </c>
    </row>
    <row r="64" spans="1:4" x14ac:dyDescent="0.25">
      <c r="A64" s="6" t="s">
        <v>27</v>
      </c>
      <c r="B64" s="6" t="s">
        <v>16</v>
      </c>
      <c r="C64" s="7">
        <v>9409</v>
      </c>
      <c r="D64" t="str">
        <f t="shared" si="0"/>
        <v>2014-40-44 år</v>
      </c>
    </row>
    <row r="65" spans="1:4" x14ac:dyDescent="0.25">
      <c r="A65" s="6" t="s">
        <v>27</v>
      </c>
      <c r="B65" s="6" t="s">
        <v>17</v>
      </c>
      <c r="C65" s="7">
        <v>12377</v>
      </c>
      <c r="D65" t="str">
        <f t="shared" si="0"/>
        <v>2014-45-49 år</v>
      </c>
    </row>
    <row r="66" spans="1:4" x14ac:dyDescent="0.25">
      <c r="A66" s="6" t="s">
        <v>27</v>
      </c>
      <c r="B66" s="6" t="s">
        <v>18</v>
      </c>
      <c r="C66" s="7">
        <v>10828</v>
      </c>
      <c r="D66" t="str">
        <f t="shared" si="0"/>
        <v>2014-50-54 år</v>
      </c>
    </row>
    <row r="67" spans="1:4" x14ac:dyDescent="0.25">
      <c r="A67" s="6" t="s">
        <v>27</v>
      </c>
      <c r="B67" s="6" t="s">
        <v>19</v>
      </c>
      <c r="C67" s="7">
        <v>8888</v>
      </c>
      <c r="D67" t="str">
        <f t="shared" si="0"/>
        <v>2014-55-59 år</v>
      </c>
    </row>
    <row r="68" spans="1:4" x14ac:dyDescent="0.25">
      <c r="A68" s="6" t="s">
        <v>27</v>
      </c>
      <c r="B68" s="6" t="s">
        <v>20</v>
      </c>
      <c r="C68" s="7">
        <v>5141</v>
      </c>
      <c r="D68" t="str">
        <f t="shared" si="0"/>
        <v>2014-60-64 år</v>
      </c>
    </row>
    <row r="69" spans="1:4" x14ac:dyDescent="0.25">
      <c r="A69" s="6" t="s">
        <v>27</v>
      </c>
      <c r="B69" s="6" t="s">
        <v>21</v>
      </c>
      <c r="C69" s="7">
        <v>1600</v>
      </c>
      <c r="D69" t="str">
        <f t="shared" si="0"/>
        <v>2014-65+ år</v>
      </c>
    </row>
    <row r="70" spans="1:4" x14ac:dyDescent="0.25">
      <c r="A70" s="6" t="s">
        <v>28</v>
      </c>
      <c r="B70" s="6" t="s">
        <v>13</v>
      </c>
      <c r="C70" s="7">
        <v>5834</v>
      </c>
      <c r="D70" t="str">
        <f t="shared" si="0"/>
        <v>2015-25-29 år</v>
      </c>
    </row>
    <row r="71" spans="1:4" x14ac:dyDescent="0.25">
      <c r="A71" s="6" t="s">
        <v>28</v>
      </c>
      <c r="B71" s="6" t="s">
        <v>14</v>
      </c>
      <c r="C71" s="7">
        <v>7834</v>
      </c>
      <c r="D71" t="str">
        <f t="shared" ref="D71:D134" si="1">A71&amp;"-"&amp;B71</f>
        <v>2015-30-34 år</v>
      </c>
    </row>
    <row r="72" spans="1:4" x14ac:dyDescent="0.25">
      <c r="A72" s="6" t="s">
        <v>28</v>
      </c>
      <c r="B72" s="6" t="s">
        <v>15</v>
      </c>
      <c r="C72" s="7">
        <v>9897</v>
      </c>
      <c r="D72" t="str">
        <f t="shared" si="1"/>
        <v>2015-35-39 år</v>
      </c>
    </row>
    <row r="73" spans="1:4" x14ac:dyDescent="0.25">
      <c r="A73" s="6" t="s">
        <v>28</v>
      </c>
      <c r="B73" s="6" t="s">
        <v>16</v>
      </c>
      <c r="C73" s="7">
        <v>9571</v>
      </c>
      <c r="D73" t="str">
        <f t="shared" si="1"/>
        <v>2015-40-44 år</v>
      </c>
    </row>
    <row r="74" spans="1:4" x14ac:dyDescent="0.25">
      <c r="A74" s="6" t="s">
        <v>28</v>
      </c>
      <c r="B74" s="6" t="s">
        <v>17</v>
      </c>
      <c r="C74" s="7">
        <v>11603</v>
      </c>
      <c r="D74" t="str">
        <f t="shared" si="1"/>
        <v>2015-45-49 år</v>
      </c>
    </row>
    <row r="75" spans="1:4" x14ac:dyDescent="0.25">
      <c r="A75" s="6" t="s">
        <v>28</v>
      </c>
      <c r="B75" s="6" t="s">
        <v>18</v>
      </c>
      <c r="C75" s="7">
        <v>11160</v>
      </c>
      <c r="D75" t="str">
        <f t="shared" si="1"/>
        <v>2015-50-54 år</v>
      </c>
    </row>
    <row r="76" spans="1:4" x14ac:dyDescent="0.25">
      <c r="A76" s="6" t="s">
        <v>28</v>
      </c>
      <c r="B76" s="6" t="s">
        <v>19</v>
      </c>
      <c r="C76" s="7">
        <v>8969</v>
      </c>
      <c r="D76" t="str">
        <f t="shared" si="1"/>
        <v>2015-55-59 år</v>
      </c>
    </row>
    <row r="77" spans="1:4" x14ac:dyDescent="0.25">
      <c r="A77" s="6" t="s">
        <v>28</v>
      </c>
      <c r="B77" s="6" t="s">
        <v>20</v>
      </c>
      <c r="C77" s="7">
        <v>5167</v>
      </c>
      <c r="D77" t="str">
        <f t="shared" si="1"/>
        <v>2015-60-64 år</v>
      </c>
    </row>
    <row r="78" spans="1:4" x14ac:dyDescent="0.25">
      <c r="A78" s="6" t="s">
        <v>28</v>
      </c>
      <c r="B78" s="6" t="s">
        <v>21</v>
      </c>
      <c r="C78" s="7">
        <v>1642</v>
      </c>
      <c r="D78" t="str">
        <f t="shared" si="1"/>
        <v>2015-65+ år</v>
      </c>
    </row>
    <row r="79" spans="1:4" x14ac:dyDescent="0.25">
      <c r="A79" s="6" t="s">
        <v>29</v>
      </c>
      <c r="B79" s="6" t="s">
        <v>13</v>
      </c>
      <c r="C79" s="7">
        <v>5701</v>
      </c>
      <c r="D79" t="str">
        <f t="shared" si="1"/>
        <v>2016-25-29 år</v>
      </c>
    </row>
    <row r="80" spans="1:4" x14ac:dyDescent="0.25">
      <c r="A80" s="6" t="s">
        <v>29</v>
      </c>
      <c r="B80" s="6" t="s">
        <v>14</v>
      </c>
      <c r="C80" s="7">
        <v>7831</v>
      </c>
      <c r="D80" t="str">
        <f t="shared" si="1"/>
        <v>2016-30-34 år</v>
      </c>
    </row>
    <row r="81" spans="1:4" x14ac:dyDescent="0.25">
      <c r="A81" s="6" t="s">
        <v>29</v>
      </c>
      <c r="B81" s="6" t="s">
        <v>15</v>
      </c>
      <c r="C81" s="7">
        <v>9564</v>
      </c>
      <c r="D81" t="str">
        <f t="shared" si="1"/>
        <v>2016-35-39 år</v>
      </c>
    </row>
    <row r="82" spans="1:4" x14ac:dyDescent="0.25">
      <c r="A82" s="6" t="s">
        <v>29</v>
      </c>
      <c r="B82" s="6" t="s">
        <v>16</v>
      </c>
      <c r="C82" s="7">
        <v>9711</v>
      </c>
      <c r="D82" t="str">
        <f t="shared" si="1"/>
        <v>2016-40-44 år</v>
      </c>
    </row>
    <row r="83" spans="1:4" x14ac:dyDescent="0.25">
      <c r="A83" s="6" t="s">
        <v>29</v>
      </c>
      <c r="B83" s="6" t="s">
        <v>17</v>
      </c>
      <c r="C83" s="7">
        <v>10533</v>
      </c>
      <c r="D83" t="str">
        <f t="shared" si="1"/>
        <v>2016-45-49 år</v>
      </c>
    </row>
    <row r="84" spans="1:4" x14ac:dyDescent="0.25">
      <c r="A84" s="6" t="s">
        <v>29</v>
      </c>
      <c r="B84" s="6" t="s">
        <v>18</v>
      </c>
      <c r="C84" s="7">
        <v>11490</v>
      </c>
      <c r="D84" t="str">
        <f t="shared" si="1"/>
        <v>2016-50-54 år</v>
      </c>
    </row>
    <row r="85" spans="1:4" x14ac:dyDescent="0.25">
      <c r="A85" s="6" t="s">
        <v>29</v>
      </c>
      <c r="B85" s="6" t="s">
        <v>19</v>
      </c>
      <c r="C85" s="7">
        <v>9121</v>
      </c>
      <c r="D85" t="str">
        <f t="shared" si="1"/>
        <v>2016-55-59 år</v>
      </c>
    </row>
    <row r="86" spans="1:4" x14ac:dyDescent="0.25">
      <c r="A86" s="6" t="s">
        <v>29</v>
      </c>
      <c r="B86" s="6" t="s">
        <v>20</v>
      </c>
      <c r="C86" s="7">
        <v>5304</v>
      </c>
      <c r="D86" t="str">
        <f t="shared" si="1"/>
        <v>2016-60-64 år</v>
      </c>
    </row>
    <row r="87" spans="1:4" x14ac:dyDescent="0.25">
      <c r="A87" s="6" t="s">
        <v>29</v>
      </c>
      <c r="B87" s="6" t="s">
        <v>21</v>
      </c>
      <c r="C87" s="7">
        <v>1680</v>
      </c>
      <c r="D87" t="str">
        <f t="shared" si="1"/>
        <v>2016-65+ år</v>
      </c>
    </row>
    <row r="88" spans="1:4" x14ac:dyDescent="0.25">
      <c r="A88" s="6" t="s">
        <v>30</v>
      </c>
      <c r="B88" s="6" t="s">
        <v>13</v>
      </c>
      <c r="C88" s="7">
        <v>5951</v>
      </c>
      <c r="D88" t="str">
        <f t="shared" si="1"/>
        <v>2017-25-29 år</v>
      </c>
    </row>
    <row r="89" spans="1:4" x14ac:dyDescent="0.25">
      <c r="A89" s="6" t="s">
        <v>30</v>
      </c>
      <c r="B89" s="6" t="s">
        <v>14</v>
      </c>
      <c r="C89" s="7">
        <v>8016</v>
      </c>
      <c r="D89" t="str">
        <f t="shared" si="1"/>
        <v>2017-30-34 år</v>
      </c>
    </row>
    <row r="90" spans="1:4" x14ac:dyDescent="0.25">
      <c r="A90" s="6" t="s">
        <v>30</v>
      </c>
      <c r="B90" s="6" t="s">
        <v>15</v>
      </c>
      <c r="C90" s="7">
        <v>9344</v>
      </c>
      <c r="D90" t="str">
        <f t="shared" si="1"/>
        <v>2017-35-39 år</v>
      </c>
    </row>
    <row r="91" spans="1:4" x14ac:dyDescent="0.25">
      <c r="A91" s="6" t="s">
        <v>30</v>
      </c>
      <c r="B91" s="6" t="s">
        <v>16</v>
      </c>
      <c r="C91" s="7">
        <v>9699</v>
      </c>
      <c r="D91" t="str">
        <f t="shared" si="1"/>
        <v>2017-40-44 år</v>
      </c>
    </row>
    <row r="92" spans="1:4" x14ac:dyDescent="0.25">
      <c r="A92" s="6" t="s">
        <v>30</v>
      </c>
      <c r="B92" s="6" t="s">
        <v>17</v>
      </c>
      <c r="C92" s="7">
        <v>9778</v>
      </c>
      <c r="D92" t="str">
        <f t="shared" si="1"/>
        <v>2017-45-49 år</v>
      </c>
    </row>
    <row r="93" spans="1:4" x14ac:dyDescent="0.25">
      <c r="A93" s="6" t="s">
        <v>30</v>
      </c>
      <c r="B93" s="6" t="s">
        <v>18</v>
      </c>
      <c r="C93" s="7">
        <v>11940</v>
      </c>
      <c r="D93" t="str">
        <f t="shared" si="1"/>
        <v>2017-50-54 år</v>
      </c>
    </row>
    <row r="94" spans="1:4" x14ac:dyDescent="0.25">
      <c r="A94" s="6" t="s">
        <v>30</v>
      </c>
      <c r="B94" s="6" t="s">
        <v>19</v>
      </c>
      <c r="C94" s="7">
        <v>9231</v>
      </c>
      <c r="D94" t="str">
        <f t="shared" si="1"/>
        <v>2017-55-59 år</v>
      </c>
    </row>
    <row r="95" spans="1:4" x14ac:dyDescent="0.25">
      <c r="A95" s="6" t="s">
        <v>30</v>
      </c>
      <c r="B95" s="6" t="s">
        <v>20</v>
      </c>
      <c r="C95" s="7">
        <v>5403</v>
      </c>
      <c r="D95" t="str">
        <f t="shared" si="1"/>
        <v>2017-60-64 år</v>
      </c>
    </row>
    <row r="96" spans="1:4" x14ac:dyDescent="0.25">
      <c r="A96" s="6" t="s">
        <v>30</v>
      </c>
      <c r="B96" s="6" t="s">
        <v>21</v>
      </c>
      <c r="C96" s="7">
        <v>1775</v>
      </c>
      <c r="D96" t="str">
        <f t="shared" si="1"/>
        <v>2017-65+ år</v>
      </c>
    </row>
    <row r="97" spans="1:4" x14ac:dyDescent="0.25">
      <c r="A97" s="6" t="s">
        <v>31</v>
      </c>
      <c r="B97" s="6" t="s">
        <v>13</v>
      </c>
      <c r="C97" s="7">
        <v>6353</v>
      </c>
      <c r="D97" t="str">
        <f t="shared" si="1"/>
        <v>2018-25-29 år</v>
      </c>
    </row>
    <row r="98" spans="1:4" x14ac:dyDescent="0.25">
      <c r="A98" s="6" t="s">
        <v>31</v>
      </c>
      <c r="B98" s="6" t="s">
        <v>14</v>
      </c>
      <c r="C98" s="7">
        <v>8276</v>
      </c>
      <c r="D98" t="str">
        <f t="shared" si="1"/>
        <v>2018-30-34 år</v>
      </c>
    </row>
    <row r="99" spans="1:4" x14ac:dyDescent="0.25">
      <c r="A99" s="6" t="s">
        <v>31</v>
      </c>
      <c r="B99" s="6" t="s">
        <v>15</v>
      </c>
      <c r="C99" s="7">
        <v>9245</v>
      </c>
      <c r="D99" t="str">
        <f t="shared" si="1"/>
        <v>2018-35-39 år</v>
      </c>
    </row>
    <row r="100" spans="1:4" x14ac:dyDescent="0.25">
      <c r="A100" s="6" t="s">
        <v>31</v>
      </c>
      <c r="B100" s="6" t="s">
        <v>16</v>
      </c>
      <c r="C100" s="7">
        <v>9937</v>
      </c>
      <c r="D100" t="str">
        <f t="shared" si="1"/>
        <v>2018-40-44 år</v>
      </c>
    </row>
    <row r="101" spans="1:4" x14ac:dyDescent="0.25">
      <c r="A101" s="6" t="s">
        <v>31</v>
      </c>
      <c r="B101" s="6" t="s">
        <v>17</v>
      </c>
      <c r="C101" s="7">
        <v>9488</v>
      </c>
      <c r="D101" t="str">
        <f t="shared" si="1"/>
        <v>2018-45-49 år</v>
      </c>
    </row>
    <row r="102" spans="1:4" x14ac:dyDescent="0.25">
      <c r="A102" s="6" t="s">
        <v>31</v>
      </c>
      <c r="B102" s="6" t="s">
        <v>18</v>
      </c>
      <c r="C102" s="7">
        <v>12171</v>
      </c>
      <c r="D102" t="str">
        <f t="shared" si="1"/>
        <v>2018-50-54 år</v>
      </c>
    </row>
    <row r="103" spans="1:4" x14ac:dyDescent="0.25">
      <c r="A103" s="6" t="s">
        <v>31</v>
      </c>
      <c r="B103" s="6" t="s">
        <v>19</v>
      </c>
      <c r="C103" s="7">
        <v>9537</v>
      </c>
      <c r="D103" t="str">
        <f t="shared" si="1"/>
        <v>2018-55-59 år</v>
      </c>
    </row>
    <row r="104" spans="1:4" x14ac:dyDescent="0.25">
      <c r="A104" s="6" t="s">
        <v>31</v>
      </c>
      <c r="B104" s="6" t="s">
        <v>20</v>
      </c>
      <c r="C104" s="7">
        <v>5638</v>
      </c>
      <c r="D104" t="str">
        <f t="shared" si="1"/>
        <v>2018-60-64 år</v>
      </c>
    </row>
    <row r="105" spans="1:4" x14ac:dyDescent="0.25">
      <c r="A105" s="6" t="s">
        <v>31</v>
      </c>
      <c r="B105" s="6" t="s">
        <v>21</v>
      </c>
      <c r="C105" s="7">
        <v>1897</v>
      </c>
      <c r="D105" t="str">
        <f t="shared" si="1"/>
        <v>2018-65+ år</v>
      </c>
    </row>
    <row r="106" spans="1:4" x14ac:dyDescent="0.25">
      <c r="A106" s="6" t="s">
        <v>32</v>
      </c>
      <c r="B106" s="6" t="s">
        <v>13</v>
      </c>
      <c r="C106" s="7">
        <v>6883</v>
      </c>
      <c r="D106" t="str">
        <f t="shared" si="1"/>
        <v>2019-25-29 år</v>
      </c>
    </row>
    <row r="107" spans="1:4" x14ac:dyDescent="0.25">
      <c r="A107" s="6" t="s">
        <v>32</v>
      </c>
      <c r="B107" s="6" t="s">
        <v>14</v>
      </c>
      <c r="C107" s="7">
        <v>8461</v>
      </c>
      <c r="D107" t="str">
        <f t="shared" si="1"/>
        <v>2019-30-34 år</v>
      </c>
    </row>
    <row r="108" spans="1:4" x14ac:dyDescent="0.25">
      <c r="A108" s="6" t="s">
        <v>32</v>
      </c>
      <c r="B108" s="6" t="s">
        <v>15</v>
      </c>
      <c r="C108" s="7">
        <v>9057</v>
      </c>
      <c r="D108" t="str">
        <f t="shared" si="1"/>
        <v>2019-35-39 år</v>
      </c>
    </row>
    <row r="109" spans="1:4" x14ac:dyDescent="0.25">
      <c r="A109" s="6" t="s">
        <v>32</v>
      </c>
      <c r="B109" s="6" t="s">
        <v>16</v>
      </c>
      <c r="C109" s="7">
        <v>10158</v>
      </c>
      <c r="D109" t="str">
        <f t="shared" si="1"/>
        <v>2019-40-44 år</v>
      </c>
    </row>
    <row r="110" spans="1:4" x14ac:dyDescent="0.25">
      <c r="A110" s="6" t="s">
        <v>32</v>
      </c>
      <c r="B110" s="6" t="s">
        <v>17</v>
      </c>
      <c r="C110" s="7">
        <v>9482</v>
      </c>
      <c r="D110" t="str">
        <f t="shared" si="1"/>
        <v>2019-45-49 år</v>
      </c>
    </row>
    <row r="111" spans="1:4" x14ac:dyDescent="0.25">
      <c r="A111" s="6" t="s">
        <v>32</v>
      </c>
      <c r="B111" s="6" t="s">
        <v>18</v>
      </c>
      <c r="C111" s="7">
        <v>11866</v>
      </c>
      <c r="D111" t="str">
        <f t="shared" si="1"/>
        <v>2019-50-54 år</v>
      </c>
    </row>
    <row r="112" spans="1:4" x14ac:dyDescent="0.25">
      <c r="A112" s="6" t="s">
        <v>32</v>
      </c>
      <c r="B112" s="6" t="s">
        <v>19</v>
      </c>
      <c r="C112" s="7">
        <v>9811</v>
      </c>
      <c r="D112" t="str">
        <f t="shared" si="1"/>
        <v>2019-55-59 år</v>
      </c>
    </row>
    <row r="113" spans="1:4" x14ac:dyDescent="0.25">
      <c r="A113" s="6" t="s">
        <v>32</v>
      </c>
      <c r="B113" s="6" t="s">
        <v>20</v>
      </c>
      <c r="C113" s="7">
        <v>5907</v>
      </c>
      <c r="D113" t="str">
        <f t="shared" si="1"/>
        <v>2019-60-64 år</v>
      </c>
    </row>
    <row r="114" spans="1:4" x14ac:dyDescent="0.25">
      <c r="A114" s="6" t="s">
        <v>32</v>
      </c>
      <c r="B114" s="6" t="s">
        <v>21</v>
      </c>
      <c r="C114" s="7">
        <v>2030</v>
      </c>
      <c r="D114" t="str">
        <f t="shared" si="1"/>
        <v>2019-65+ år</v>
      </c>
    </row>
    <row r="115" spans="1:4" x14ac:dyDescent="0.25">
      <c r="A115" s="6" t="s">
        <v>33</v>
      </c>
      <c r="B115" s="6" t="s">
        <v>13</v>
      </c>
      <c r="C115" s="7">
        <v>7337</v>
      </c>
      <c r="D115" t="str">
        <f t="shared" si="1"/>
        <v>2020-25-29 år</v>
      </c>
    </row>
    <row r="116" spans="1:4" x14ac:dyDescent="0.25">
      <c r="A116" s="6" t="s">
        <v>33</v>
      </c>
      <c r="B116" s="6" t="s">
        <v>14</v>
      </c>
      <c r="C116" s="7">
        <v>8658</v>
      </c>
      <c r="D116" t="str">
        <f t="shared" si="1"/>
        <v>2020-30-34 år</v>
      </c>
    </row>
    <row r="117" spans="1:4" x14ac:dyDescent="0.25">
      <c r="A117" s="6" t="s">
        <v>33</v>
      </c>
      <c r="B117" s="6" t="s">
        <v>15</v>
      </c>
      <c r="C117" s="7">
        <v>8798</v>
      </c>
      <c r="D117" t="str">
        <f t="shared" si="1"/>
        <v>2020-35-39 år</v>
      </c>
    </row>
    <row r="118" spans="1:4" x14ac:dyDescent="0.25">
      <c r="A118" s="6" t="s">
        <v>33</v>
      </c>
      <c r="B118" s="6" t="s">
        <v>16</v>
      </c>
      <c r="C118" s="7">
        <v>10129</v>
      </c>
      <c r="D118" t="str">
        <f t="shared" si="1"/>
        <v>2020-40-44 år</v>
      </c>
    </row>
    <row r="119" spans="1:4" x14ac:dyDescent="0.25">
      <c r="A119" s="6" t="s">
        <v>33</v>
      </c>
      <c r="B119" s="6" t="s">
        <v>17</v>
      </c>
      <c r="C119" s="7">
        <v>9740</v>
      </c>
      <c r="D119" t="str">
        <f t="shared" si="1"/>
        <v>2020-45-49 år</v>
      </c>
    </row>
    <row r="120" spans="1:4" x14ac:dyDescent="0.25">
      <c r="A120" s="6" t="s">
        <v>33</v>
      </c>
      <c r="B120" s="6" t="s">
        <v>18</v>
      </c>
      <c r="C120" s="7">
        <v>11187</v>
      </c>
      <c r="D120" t="str">
        <f t="shared" si="1"/>
        <v>2020-50-54 år</v>
      </c>
    </row>
    <row r="121" spans="1:4" x14ac:dyDescent="0.25">
      <c r="A121" s="6" t="s">
        <v>33</v>
      </c>
      <c r="B121" s="6" t="s">
        <v>19</v>
      </c>
      <c r="C121" s="7">
        <v>10215</v>
      </c>
      <c r="D121" t="str">
        <f t="shared" si="1"/>
        <v>2020-55-59 år</v>
      </c>
    </row>
    <row r="122" spans="1:4" x14ac:dyDescent="0.25">
      <c r="A122" s="6" t="s">
        <v>33</v>
      </c>
      <c r="B122" s="6" t="s">
        <v>20</v>
      </c>
      <c r="C122" s="7">
        <v>6305</v>
      </c>
      <c r="D122" t="str">
        <f t="shared" si="1"/>
        <v>2020-60-64 år</v>
      </c>
    </row>
    <row r="123" spans="1:4" x14ac:dyDescent="0.25">
      <c r="A123" s="6" t="s">
        <v>33</v>
      </c>
      <c r="B123" s="6" t="s">
        <v>21</v>
      </c>
      <c r="C123" s="7">
        <v>2231</v>
      </c>
      <c r="D123" t="str">
        <f t="shared" si="1"/>
        <v>2020-65+ år</v>
      </c>
    </row>
    <row r="124" spans="1:4" x14ac:dyDescent="0.25">
      <c r="A124" s="6" t="s">
        <v>34</v>
      </c>
      <c r="B124" s="6" t="s">
        <v>13</v>
      </c>
      <c r="C124" s="7">
        <v>7687</v>
      </c>
      <c r="D124" t="str">
        <f t="shared" si="1"/>
        <v>2021-25-29 år</v>
      </c>
    </row>
    <row r="125" spans="1:4" x14ac:dyDescent="0.25">
      <c r="A125" s="6" t="s">
        <v>34</v>
      </c>
      <c r="B125" s="6" t="s">
        <v>14</v>
      </c>
      <c r="C125" s="7">
        <v>8844</v>
      </c>
      <c r="D125" t="str">
        <f t="shared" si="1"/>
        <v>2021-30-34 år</v>
      </c>
    </row>
    <row r="126" spans="1:4" x14ac:dyDescent="0.25">
      <c r="A126" s="6" t="s">
        <v>34</v>
      </c>
      <c r="B126" s="6" t="s">
        <v>15</v>
      </c>
      <c r="C126" s="7">
        <v>8987</v>
      </c>
      <c r="D126" t="str">
        <f t="shared" si="1"/>
        <v>2021-35-39 år</v>
      </c>
    </row>
    <row r="127" spans="1:4" x14ac:dyDescent="0.25">
      <c r="A127" s="6" t="s">
        <v>34</v>
      </c>
      <c r="B127" s="6" t="s">
        <v>16</v>
      </c>
      <c r="C127" s="7">
        <v>10002</v>
      </c>
      <c r="D127" t="str">
        <f t="shared" si="1"/>
        <v>2021-40-44 år</v>
      </c>
    </row>
    <row r="128" spans="1:4" x14ac:dyDescent="0.25">
      <c r="A128" s="6" t="s">
        <v>34</v>
      </c>
      <c r="B128" s="6" t="s">
        <v>17</v>
      </c>
      <c r="C128" s="7">
        <v>10036</v>
      </c>
      <c r="D128" t="str">
        <f t="shared" si="1"/>
        <v>2021-45-49 år</v>
      </c>
    </row>
    <row r="129" spans="1:4" x14ac:dyDescent="0.25">
      <c r="A129" s="6" t="s">
        <v>34</v>
      </c>
      <c r="B129" s="6" t="s">
        <v>18</v>
      </c>
      <c r="C129" s="7">
        <v>10467</v>
      </c>
      <c r="D129" t="str">
        <f t="shared" si="1"/>
        <v>2021-50-54 år</v>
      </c>
    </row>
    <row r="130" spans="1:4" x14ac:dyDescent="0.25">
      <c r="A130" s="6" t="s">
        <v>34</v>
      </c>
      <c r="B130" s="6" t="s">
        <v>19</v>
      </c>
      <c r="C130" s="7">
        <v>10749</v>
      </c>
      <c r="D130" t="str">
        <f t="shared" si="1"/>
        <v>2021-55-59 år</v>
      </c>
    </row>
    <row r="131" spans="1:4" x14ac:dyDescent="0.25">
      <c r="A131" s="6" t="s">
        <v>34</v>
      </c>
      <c r="B131" s="6" t="s">
        <v>20</v>
      </c>
      <c r="C131" s="7">
        <v>6688</v>
      </c>
      <c r="D131" t="str">
        <f t="shared" si="1"/>
        <v>2021-60-64 år</v>
      </c>
    </row>
    <row r="132" spans="1:4" x14ac:dyDescent="0.25">
      <c r="A132" s="6" t="s">
        <v>34</v>
      </c>
      <c r="B132" s="6" t="s">
        <v>21</v>
      </c>
      <c r="C132" s="7">
        <v>2522</v>
      </c>
      <c r="D132" t="str">
        <f t="shared" si="1"/>
        <v>2021-65+ år</v>
      </c>
    </row>
    <row r="133" spans="1:4" x14ac:dyDescent="0.25">
      <c r="A133" s="6" t="s">
        <v>35</v>
      </c>
      <c r="B133" s="6" t="s">
        <v>13</v>
      </c>
      <c r="C133" s="7">
        <v>8107</v>
      </c>
      <c r="D133" t="str">
        <f t="shared" si="1"/>
        <v>2022-25-29 år</v>
      </c>
    </row>
    <row r="134" spans="1:4" x14ac:dyDescent="0.25">
      <c r="A134" s="6" t="s">
        <v>35</v>
      </c>
      <c r="B134" s="6" t="s">
        <v>14</v>
      </c>
      <c r="C134" s="7">
        <v>9307</v>
      </c>
      <c r="D134" t="str">
        <f t="shared" si="1"/>
        <v>2022-30-34 år</v>
      </c>
    </row>
    <row r="135" spans="1:4" x14ac:dyDescent="0.25">
      <c r="A135" s="6" t="s">
        <v>35</v>
      </c>
      <c r="B135" s="6" t="s">
        <v>15</v>
      </c>
      <c r="C135" s="7">
        <v>9287</v>
      </c>
      <c r="D135" t="str">
        <f t="shared" ref="D135:D158" si="2">A135&amp;"-"&amp;B135</f>
        <v>2022-35-39 år</v>
      </c>
    </row>
    <row r="136" spans="1:4" x14ac:dyDescent="0.25">
      <c r="A136" s="6" t="s">
        <v>35</v>
      </c>
      <c r="B136" s="6" t="s">
        <v>16</v>
      </c>
      <c r="C136" s="7">
        <v>9808</v>
      </c>
      <c r="D136" t="str">
        <f t="shared" si="2"/>
        <v>2022-40-44 år</v>
      </c>
    </row>
    <row r="137" spans="1:4" x14ac:dyDescent="0.25">
      <c r="A137" s="6" t="s">
        <v>35</v>
      </c>
      <c r="B137" s="6" t="s">
        <v>17</v>
      </c>
      <c r="C137" s="7">
        <v>10063</v>
      </c>
      <c r="D137" t="str">
        <f t="shared" si="2"/>
        <v>2022-45-49 år</v>
      </c>
    </row>
    <row r="138" spans="1:4" x14ac:dyDescent="0.25">
      <c r="A138" s="6" t="s">
        <v>35</v>
      </c>
      <c r="B138" s="6" t="s">
        <v>18</v>
      </c>
      <c r="C138" s="7">
        <v>9799</v>
      </c>
      <c r="D138" t="str">
        <f t="shared" si="2"/>
        <v>2022-50-54 år</v>
      </c>
    </row>
    <row r="139" spans="1:4" x14ac:dyDescent="0.25">
      <c r="A139" s="6" t="s">
        <v>35</v>
      </c>
      <c r="B139" s="6" t="s">
        <v>19</v>
      </c>
      <c r="C139" s="7">
        <v>11340</v>
      </c>
      <c r="D139" t="str">
        <f t="shared" si="2"/>
        <v>2022-55-59 år</v>
      </c>
    </row>
    <row r="140" spans="1:4" x14ac:dyDescent="0.25">
      <c r="A140" s="6" t="s">
        <v>35</v>
      </c>
      <c r="B140" s="6" t="s">
        <v>20</v>
      </c>
      <c r="C140" s="7">
        <v>6943</v>
      </c>
      <c r="D140" t="str">
        <f t="shared" si="2"/>
        <v>2022-60-64 år</v>
      </c>
    </row>
    <row r="141" spans="1:4" x14ac:dyDescent="0.25">
      <c r="A141" s="6" t="s">
        <v>35</v>
      </c>
      <c r="B141" s="6" t="s">
        <v>21</v>
      </c>
      <c r="C141" s="7">
        <v>2779</v>
      </c>
      <c r="D141" t="str">
        <f t="shared" si="2"/>
        <v>2022-65+ år</v>
      </c>
    </row>
    <row r="142" spans="1:4" x14ac:dyDescent="0.25">
      <c r="A142" s="6" t="s">
        <v>36</v>
      </c>
      <c r="B142" s="6" t="s">
        <v>13</v>
      </c>
      <c r="C142" s="7">
        <v>8433</v>
      </c>
      <c r="D142" t="str">
        <f t="shared" si="2"/>
        <v>2023-25-29 år</v>
      </c>
    </row>
    <row r="143" spans="1:4" x14ac:dyDescent="0.25">
      <c r="A143" s="6" t="s">
        <v>36</v>
      </c>
      <c r="B143" s="6" t="s">
        <v>14</v>
      </c>
      <c r="C143" s="7">
        <v>9786</v>
      </c>
      <c r="D143" t="str">
        <f t="shared" si="2"/>
        <v>2023-30-34 år</v>
      </c>
    </row>
    <row r="144" spans="1:4" x14ac:dyDescent="0.25">
      <c r="A144" s="6" t="s">
        <v>36</v>
      </c>
      <c r="B144" s="6" t="s">
        <v>15</v>
      </c>
      <c r="C144" s="7">
        <v>9648</v>
      </c>
      <c r="D144" t="str">
        <f t="shared" si="2"/>
        <v>2023-35-39 år</v>
      </c>
    </row>
    <row r="145" spans="1:4" x14ac:dyDescent="0.25">
      <c r="A145" s="6" t="s">
        <v>36</v>
      </c>
      <c r="B145" s="6" t="s">
        <v>16</v>
      </c>
      <c r="C145" s="7">
        <v>9770</v>
      </c>
      <c r="D145" t="str">
        <f t="shared" si="2"/>
        <v>2023-40-44 år</v>
      </c>
    </row>
    <row r="146" spans="1:4" x14ac:dyDescent="0.25">
      <c r="A146" s="6" t="s">
        <v>36</v>
      </c>
      <c r="B146" s="6" t="s">
        <v>17</v>
      </c>
      <c r="C146" s="7">
        <v>10262</v>
      </c>
      <c r="D146" t="str">
        <f t="shared" si="2"/>
        <v>2023-45-49 år</v>
      </c>
    </row>
    <row r="147" spans="1:4" x14ac:dyDescent="0.25">
      <c r="A147" s="6" t="s">
        <v>36</v>
      </c>
      <c r="B147" s="6" t="s">
        <v>18</v>
      </c>
      <c r="C147" s="7">
        <v>9513</v>
      </c>
      <c r="D147" t="str">
        <f t="shared" si="2"/>
        <v>2023-50-54 år</v>
      </c>
    </row>
    <row r="148" spans="1:4" x14ac:dyDescent="0.25">
      <c r="A148" s="6" t="s">
        <v>36</v>
      </c>
      <c r="B148" s="6" t="s">
        <v>19</v>
      </c>
      <c r="C148" s="7">
        <v>11614</v>
      </c>
      <c r="D148" t="str">
        <f t="shared" si="2"/>
        <v>2023-55-59 år</v>
      </c>
    </row>
    <row r="149" spans="1:4" x14ac:dyDescent="0.25">
      <c r="A149" s="6" t="s">
        <v>36</v>
      </c>
      <c r="B149" s="6" t="s">
        <v>20</v>
      </c>
      <c r="C149" s="7">
        <v>7443</v>
      </c>
      <c r="D149" t="str">
        <f t="shared" si="2"/>
        <v>2023-60-64 år</v>
      </c>
    </row>
    <row r="150" spans="1:4" x14ac:dyDescent="0.25">
      <c r="A150" s="6" t="s">
        <v>36</v>
      </c>
      <c r="B150" s="6" t="s">
        <v>21</v>
      </c>
      <c r="C150" s="7">
        <v>3139</v>
      </c>
      <c r="D150" t="str">
        <f t="shared" si="2"/>
        <v>2023-65+ år</v>
      </c>
    </row>
    <row r="151" spans="1:4" x14ac:dyDescent="0.25">
      <c r="A151" s="6" t="s">
        <v>37</v>
      </c>
      <c r="B151" s="6" t="s">
        <v>13</v>
      </c>
      <c r="C151" s="7">
        <v>8560</v>
      </c>
      <c r="D151" t="str">
        <f t="shared" si="2"/>
        <v>2024-25-29 år</v>
      </c>
    </row>
    <row r="152" spans="1:4" x14ac:dyDescent="0.25">
      <c r="A152" s="6" t="s">
        <v>37</v>
      </c>
      <c r="B152" s="6" t="s">
        <v>14</v>
      </c>
      <c r="C152" s="7">
        <v>10150</v>
      </c>
      <c r="D152" t="str">
        <f t="shared" si="2"/>
        <v>2024-30-34 år</v>
      </c>
    </row>
    <row r="153" spans="1:4" x14ac:dyDescent="0.25">
      <c r="A153" s="6" t="s">
        <v>37</v>
      </c>
      <c r="B153" s="6" t="s">
        <v>15</v>
      </c>
      <c r="C153" s="7">
        <v>9885</v>
      </c>
      <c r="D153" t="str">
        <f t="shared" si="2"/>
        <v>2024-35-39 år</v>
      </c>
    </row>
    <row r="154" spans="1:4" x14ac:dyDescent="0.25">
      <c r="A154" s="6" t="s">
        <v>37</v>
      </c>
      <c r="B154" s="6" t="s">
        <v>16</v>
      </c>
      <c r="C154" s="7">
        <v>9594</v>
      </c>
      <c r="D154" t="str">
        <f t="shared" si="2"/>
        <v>2024-40-44 år</v>
      </c>
    </row>
    <row r="155" spans="1:4" x14ac:dyDescent="0.25">
      <c r="A155" s="6" t="s">
        <v>37</v>
      </c>
      <c r="B155" s="6" t="s">
        <v>17</v>
      </c>
      <c r="C155" s="7">
        <v>10483</v>
      </c>
      <c r="D155" t="str">
        <f t="shared" si="2"/>
        <v>2024-45-49 år</v>
      </c>
    </row>
    <row r="156" spans="1:4" x14ac:dyDescent="0.25">
      <c r="A156" s="6" t="s">
        <v>37</v>
      </c>
      <c r="B156" s="6" t="s">
        <v>18</v>
      </c>
      <c r="C156" s="7">
        <v>9604</v>
      </c>
      <c r="D156" t="str">
        <f t="shared" si="2"/>
        <v>2024-50-54 år</v>
      </c>
    </row>
    <row r="157" spans="1:4" x14ac:dyDescent="0.25">
      <c r="A157" s="6" t="s">
        <v>37</v>
      </c>
      <c r="B157" s="6" t="s">
        <v>19</v>
      </c>
      <c r="C157" s="7">
        <v>11402</v>
      </c>
      <c r="D157" t="str">
        <f t="shared" si="2"/>
        <v>2024-55-59 år</v>
      </c>
    </row>
    <row r="158" spans="1:4" x14ac:dyDescent="0.25">
      <c r="A158" s="6" t="s">
        <v>37</v>
      </c>
      <c r="B158" s="6" t="s">
        <v>20</v>
      </c>
      <c r="C158" s="7">
        <v>7871</v>
      </c>
      <c r="D158" t="str">
        <f t="shared" si="2"/>
        <v>2024-60-64 år</v>
      </c>
    </row>
    <row r="159" spans="1:4" ht="15.75" thickBot="1" x14ac:dyDescent="0.3">
      <c r="A159" s="6" t="s">
        <v>37</v>
      </c>
      <c r="B159" s="6" t="s">
        <v>21</v>
      </c>
      <c r="C159" s="7">
        <v>3573</v>
      </c>
      <c r="D159" t="str">
        <f>A159&amp;"-"&amp;B159</f>
        <v>2024-65+ år</v>
      </c>
    </row>
    <row r="160" spans="1:4" ht="15.75" thickTop="1" x14ac:dyDescent="0.25">
      <c r="A160" s="8"/>
      <c r="B160" s="8"/>
      <c r="C160" s="8"/>
    </row>
    <row r="162" spans="1:1" x14ac:dyDescent="0.25">
      <c r="A162" t="s">
        <v>38</v>
      </c>
    </row>
    <row r="163" spans="1:1" x14ac:dyDescent="0.25">
      <c r="A163"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heetViews>
  <sheetFormatPr defaultColWidth="8.7109375" defaultRowHeight="15" x14ac:dyDescent="0.25"/>
  <cols>
    <col min="1" max="1" width="3.42578125" style="1" customWidth="1"/>
    <col min="2" max="2" width="8.7109375" style="1"/>
    <col min="3" max="3" width="13.140625" style="1" customWidth="1"/>
    <col min="4" max="4" width="11.5703125" style="1" customWidth="1"/>
    <col min="5" max="5" width="11.28515625" style="1" customWidth="1"/>
    <col min="6" max="6" width="16.28515625" style="1" customWidth="1"/>
    <col min="7" max="16384" width="8.7109375" style="1"/>
  </cols>
  <sheetData>
    <row r="2" spans="2:6" x14ac:dyDescent="0.25">
      <c r="B2" s="2" t="s">
        <v>0</v>
      </c>
      <c r="C2" s="2" t="s">
        <v>1</v>
      </c>
      <c r="D2" s="2" t="s">
        <v>170</v>
      </c>
      <c r="E2" s="2" t="s">
        <v>171</v>
      </c>
      <c r="F2" s="2" t="s">
        <v>172</v>
      </c>
    </row>
    <row r="3" spans="2:6" x14ac:dyDescent="0.25">
      <c r="B3" s="2">
        <v>1</v>
      </c>
      <c r="C3" s="2">
        <v>2025</v>
      </c>
      <c r="D3" s="2">
        <v>25</v>
      </c>
      <c r="E3" s="2">
        <v>40</v>
      </c>
      <c r="F3" s="2" t="s">
        <v>0</v>
      </c>
    </row>
    <row r="4" spans="2:6" x14ac:dyDescent="0.25">
      <c r="B4" s="2">
        <v>2</v>
      </c>
      <c r="C4" s="2">
        <v>2026</v>
      </c>
      <c r="D4" s="2">
        <f>D3+1</f>
        <v>26</v>
      </c>
      <c r="E4" s="2">
        <f>E3+1</f>
        <v>41</v>
      </c>
      <c r="F4" s="2" t="s">
        <v>0</v>
      </c>
    </row>
    <row r="5" spans="2:6" x14ac:dyDescent="0.25">
      <c r="B5" s="2">
        <v>3</v>
      </c>
      <c r="C5" s="2">
        <v>2027</v>
      </c>
      <c r="D5" s="2">
        <f t="shared" ref="D5:E16" si="0">D4+1</f>
        <v>27</v>
      </c>
      <c r="E5" s="2">
        <f t="shared" si="0"/>
        <v>42</v>
      </c>
      <c r="F5" s="2" t="s">
        <v>0</v>
      </c>
    </row>
    <row r="6" spans="2:6" x14ac:dyDescent="0.25">
      <c r="B6" s="2">
        <v>4</v>
      </c>
      <c r="C6" s="2">
        <v>2028</v>
      </c>
      <c r="D6" s="2">
        <f t="shared" si="0"/>
        <v>28</v>
      </c>
      <c r="E6" s="2">
        <f t="shared" si="0"/>
        <v>43</v>
      </c>
      <c r="F6" s="2" t="s">
        <v>0</v>
      </c>
    </row>
    <row r="7" spans="2:6" x14ac:dyDescent="0.25">
      <c r="B7" s="2">
        <v>5</v>
      </c>
      <c r="C7" s="2">
        <v>2029</v>
      </c>
      <c r="D7" s="2">
        <f t="shared" si="0"/>
        <v>29</v>
      </c>
      <c r="E7" s="2">
        <f t="shared" si="0"/>
        <v>44</v>
      </c>
      <c r="F7" s="2" t="s">
        <v>0</v>
      </c>
    </row>
    <row r="8" spans="2:6" x14ac:dyDescent="0.25">
      <c r="B8" s="2">
        <v>6</v>
      </c>
      <c r="C8" s="2">
        <v>2030</v>
      </c>
      <c r="D8" s="2">
        <f t="shared" si="0"/>
        <v>30</v>
      </c>
      <c r="E8" s="2">
        <f t="shared" si="0"/>
        <v>45</v>
      </c>
      <c r="F8" s="2" t="s">
        <v>0</v>
      </c>
    </row>
    <row r="9" spans="2:6" x14ac:dyDescent="0.25">
      <c r="B9" s="2">
        <v>7</v>
      </c>
      <c r="C9" s="2">
        <v>2031</v>
      </c>
      <c r="D9" s="2">
        <f t="shared" si="0"/>
        <v>31</v>
      </c>
      <c r="E9" s="2">
        <f t="shared" si="0"/>
        <v>46</v>
      </c>
      <c r="F9" s="2" t="s">
        <v>0</v>
      </c>
    </row>
    <row r="10" spans="2:6" x14ac:dyDescent="0.25">
      <c r="B10" s="2">
        <v>8</v>
      </c>
      <c r="C10" s="2">
        <v>2032</v>
      </c>
      <c r="D10" s="2">
        <f t="shared" si="0"/>
        <v>32</v>
      </c>
      <c r="E10" s="2">
        <f t="shared" si="0"/>
        <v>47</v>
      </c>
      <c r="F10" s="2" t="s">
        <v>0</v>
      </c>
    </row>
    <row r="11" spans="2:6" x14ac:dyDescent="0.25">
      <c r="B11" s="2">
        <v>9</v>
      </c>
      <c r="C11" s="2">
        <v>2033</v>
      </c>
      <c r="D11" s="2">
        <f t="shared" si="0"/>
        <v>33</v>
      </c>
      <c r="E11" s="2">
        <f t="shared" si="0"/>
        <v>48</v>
      </c>
      <c r="F11" s="2" t="s">
        <v>0</v>
      </c>
    </row>
    <row r="12" spans="2:6" x14ac:dyDescent="0.25">
      <c r="B12" s="2">
        <v>10</v>
      </c>
      <c r="C12" s="2">
        <v>2034</v>
      </c>
      <c r="D12" s="2">
        <f t="shared" si="0"/>
        <v>34</v>
      </c>
      <c r="E12" s="2">
        <f t="shared" si="0"/>
        <v>49</v>
      </c>
      <c r="F12" s="2" t="s">
        <v>0</v>
      </c>
    </row>
    <row r="13" spans="2:6" x14ac:dyDescent="0.25">
      <c r="B13" s="2">
        <v>11</v>
      </c>
      <c r="C13" s="2">
        <v>2035</v>
      </c>
      <c r="D13" s="2">
        <f t="shared" si="0"/>
        <v>35</v>
      </c>
      <c r="E13" s="2">
        <f t="shared" si="0"/>
        <v>50</v>
      </c>
      <c r="F13" s="2" t="s">
        <v>0</v>
      </c>
    </row>
    <row r="14" spans="2:6" x14ac:dyDescent="0.25">
      <c r="B14" s="2">
        <v>12</v>
      </c>
      <c r="C14" s="2">
        <v>2036</v>
      </c>
      <c r="D14" s="2">
        <f t="shared" si="0"/>
        <v>36</v>
      </c>
      <c r="E14" s="2">
        <f t="shared" si="0"/>
        <v>51</v>
      </c>
      <c r="F14" s="2" t="s">
        <v>0</v>
      </c>
    </row>
    <row r="15" spans="2:6" x14ac:dyDescent="0.25">
      <c r="B15" s="2">
        <v>13</v>
      </c>
      <c r="C15" s="2">
        <v>2037</v>
      </c>
      <c r="D15" s="2">
        <f t="shared" si="0"/>
        <v>37</v>
      </c>
      <c r="E15" s="2">
        <f t="shared" si="0"/>
        <v>52</v>
      </c>
      <c r="F15" s="2" t="s">
        <v>0</v>
      </c>
    </row>
    <row r="16" spans="2:6" x14ac:dyDescent="0.25">
      <c r="B16" s="2">
        <v>14</v>
      </c>
      <c r="C16" s="2">
        <v>2038</v>
      </c>
      <c r="D16" s="2">
        <f t="shared" si="0"/>
        <v>38</v>
      </c>
      <c r="E16" s="2">
        <f t="shared" si="0"/>
        <v>53</v>
      </c>
      <c r="F16" s="2" t="s">
        <v>0</v>
      </c>
    </row>
    <row r="17" spans="2:6" x14ac:dyDescent="0.25">
      <c r="B17" s="2">
        <v>15</v>
      </c>
      <c r="C17" s="2">
        <v>2039</v>
      </c>
      <c r="D17" s="2">
        <f>D16+1</f>
        <v>39</v>
      </c>
      <c r="E17" s="2">
        <f>E16+1</f>
        <v>54</v>
      </c>
      <c r="F17" s="2" t="s">
        <v>0</v>
      </c>
    </row>
    <row r="18" spans="2:6" x14ac:dyDescent="0.25">
      <c r="B18" s="2">
        <v>16</v>
      </c>
      <c r="C18" s="2">
        <v>2040</v>
      </c>
      <c r="D18" s="2">
        <f t="shared" ref="D18:E33" si="1">D17+1</f>
        <v>40</v>
      </c>
      <c r="E18" s="2">
        <f t="shared" si="1"/>
        <v>55</v>
      </c>
      <c r="F18" s="2" t="s">
        <v>0</v>
      </c>
    </row>
    <row r="19" spans="2:6" x14ac:dyDescent="0.25">
      <c r="B19" s="2">
        <v>17</v>
      </c>
      <c r="C19" s="2">
        <v>2041</v>
      </c>
      <c r="D19" s="2">
        <f t="shared" si="1"/>
        <v>41</v>
      </c>
      <c r="E19" s="2">
        <f t="shared" si="1"/>
        <v>56</v>
      </c>
      <c r="F19" s="2" t="s">
        <v>0</v>
      </c>
    </row>
    <row r="20" spans="2:6" x14ac:dyDescent="0.25">
      <c r="B20" s="2">
        <v>18</v>
      </c>
      <c r="C20" s="2">
        <v>2042</v>
      </c>
      <c r="D20" s="2">
        <f t="shared" si="1"/>
        <v>42</v>
      </c>
      <c r="E20" s="2">
        <f t="shared" si="1"/>
        <v>57</v>
      </c>
      <c r="F20" s="2" t="s">
        <v>0</v>
      </c>
    </row>
    <row r="21" spans="2:6" x14ac:dyDescent="0.25">
      <c r="B21" s="2">
        <v>19</v>
      </c>
      <c r="C21" s="2">
        <v>2043</v>
      </c>
      <c r="D21" s="2">
        <f t="shared" si="1"/>
        <v>43</v>
      </c>
      <c r="E21" s="2">
        <f t="shared" si="1"/>
        <v>58</v>
      </c>
      <c r="F21" s="2" t="s">
        <v>0</v>
      </c>
    </row>
    <row r="22" spans="2:6" x14ac:dyDescent="0.25">
      <c r="B22" s="2">
        <v>20</v>
      </c>
      <c r="C22" s="2">
        <v>2044</v>
      </c>
      <c r="D22" s="2">
        <f t="shared" si="1"/>
        <v>44</v>
      </c>
      <c r="E22" s="2">
        <f t="shared" si="1"/>
        <v>59</v>
      </c>
      <c r="F22" s="2" t="s">
        <v>0</v>
      </c>
    </row>
    <row r="23" spans="2:6" x14ac:dyDescent="0.25">
      <c r="B23" s="2">
        <v>21</v>
      </c>
      <c r="C23" s="2">
        <v>2045</v>
      </c>
      <c r="D23" s="2">
        <f t="shared" si="1"/>
        <v>45</v>
      </c>
      <c r="E23" s="2">
        <f t="shared" si="1"/>
        <v>60</v>
      </c>
      <c r="F23" s="2" t="s">
        <v>0</v>
      </c>
    </row>
    <row r="24" spans="2:6" x14ac:dyDescent="0.25">
      <c r="B24" s="2">
        <v>22</v>
      </c>
      <c r="C24" s="2">
        <v>2046</v>
      </c>
      <c r="D24" s="2">
        <f t="shared" si="1"/>
        <v>46</v>
      </c>
      <c r="E24" s="2">
        <f t="shared" si="1"/>
        <v>61</v>
      </c>
      <c r="F24" s="2" t="s">
        <v>0</v>
      </c>
    </row>
    <row r="25" spans="2:6" x14ac:dyDescent="0.25">
      <c r="B25" s="2">
        <v>23</v>
      </c>
      <c r="C25" s="2">
        <v>2047</v>
      </c>
      <c r="D25" s="2">
        <f t="shared" si="1"/>
        <v>47</v>
      </c>
      <c r="E25" s="2">
        <f t="shared" si="1"/>
        <v>62</v>
      </c>
      <c r="F25" s="2" t="s">
        <v>0</v>
      </c>
    </row>
    <row r="26" spans="2:6" x14ac:dyDescent="0.25">
      <c r="B26" s="2">
        <v>24</v>
      </c>
      <c r="C26" s="2">
        <v>2048</v>
      </c>
      <c r="D26" s="2">
        <f t="shared" si="1"/>
        <v>48</v>
      </c>
      <c r="E26" s="2">
        <f t="shared" si="1"/>
        <v>63</v>
      </c>
      <c r="F26" s="2" t="s">
        <v>0</v>
      </c>
    </row>
    <row r="27" spans="2:6" x14ac:dyDescent="0.25">
      <c r="B27" s="2">
        <v>25</v>
      </c>
      <c r="C27" s="2">
        <v>2049</v>
      </c>
      <c r="D27" s="2">
        <f t="shared" si="1"/>
        <v>49</v>
      </c>
      <c r="E27" s="2">
        <f t="shared" si="1"/>
        <v>64</v>
      </c>
      <c r="F27" s="2" t="s">
        <v>0</v>
      </c>
    </row>
    <row r="28" spans="2:6" x14ac:dyDescent="0.25">
      <c r="B28" s="2">
        <v>26</v>
      </c>
      <c r="C28" s="2">
        <v>2050</v>
      </c>
      <c r="D28" s="2">
        <f t="shared" si="1"/>
        <v>50</v>
      </c>
      <c r="E28" s="2">
        <f t="shared" si="1"/>
        <v>65</v>
      </c>
      <c r="F28" s="2" t="s">
        <v>0</v>
      </c>
    </row>
    <row r="29" spans="2:6" x14ac:dyDescent="0.25">
      <c r="B29" s="2">
        <v>27</v>
      </c>
      <c r="C29" s="2">
        <v>2051</v>
      </c>
      <c r="D29" s="2">
        <f t="shared" si="1"/>
        <v>51</v>
      </c>
      <c r="E29" s="2">
        <f t="shared" si="1"/>
        <v>66</v>
      </c>
      <c r="F29" s="2" t="s">
        <v>0</v>
      </c>
    </row>
    <row r="30" spans="2:6" x14ac:dyDescent="0.25">
      <c r="B30" s="2">
        <v>28</v>
      </c>
      <c r="C30" s="2">
        <v>2052</v>
      </c>
      <c r="D30" s="2">
        <f t="shared" si="1"/>
        <v>52</v>
      </c>
      <c r="E30" s="2">
        <f t="shared" si="1"/>
        <v>67</v>
      </c>
      <c r="F30" s="2" t="s">
        <v>0</v>
      </c>
    </row>
    <row r="31" spans="2:6" x14ac:dyDescent="0.25">
      <c r="B31" s="2">
        <v>29</v>
      </c>
      <c r="C31" s="2">
        <v>2053</v>
      </c>
      <c r="D31" s="2">
        <f t="shared" si="1"/>
        <v>53</v>
      </c>
      <c r="E31" s="2">
        <f t="shared" si="1"/>
        <v>68</v>
      </c>
      <c r="F31" s="2" t="s">
        <v>0</v>
      </c>
    </row>
    <row r="32" spans="2:6" x14ac:dyDescent="0.25">
      <c r="B32" s="2">
        <v>30</v>
      </c>
      <c r="C32" s="2">
        <v>2054</v>
      </c>
      <c r="D32" s="2">
        <f t="shared" si="1"/>
        <v>54</v>
      </c>
      <c r="E32" s="2">
        <f t="shared" si="1"/>
        <v>69</v>
      </c>
      <c r="F32" s="2" t="s">
        <v>0</v>
      </c>
    </row>
    <row r="33" spans="2:6" x14ac:dyDescent="0.25">
      <c r="B33" s="2">
        <v>31</v>
      </c>
      <c r="C33" s="2">
        <v>2055</v>
      </c>
      <c r="D33" s="2">
        <f t="shared" si="1"/>
        <v>55</v>
      </c>
      <c r="E33" s="2">
        <f t="shared" si="1"/>
        <v>70</v>
      </c>
      <c r="F33" s="2" t="s">
        <v>0</v>
      </c>
    </row>
    <row r="34" spans="2:6" x14ac:dyDescent="0.25">
      <c r="B34" s="2">
        <v>32</v>
      </c>
      <c r="C34" s="2">
        <v>2056</v>
      </c>
      <c r="D34" s="2">
        <f t="shared" ref="D34:E49" si="2">D33+1</f>
        <v>56</v>
      </c>
      <c r="E34" s="2">
        <f t="shared" si="2"/>
        <v>71</v>
      </c>
      <c r="F34" s="2" t="s">
        <v>0</v>
      </c>
    </row>
    <row r="35" spans="2:6" x14ac:dyDescent="0.25">
      <c r="B35" s="2">
        <v>33</v>
      </c>
      <c r="C35" s="2">
        <v>2057</v>
      </c>
      <c r="D35" s="2">
        <f t="shared" si="2"/>
        <v>57</v>
      </c>
      <c r="E35" s="2">
        <f t="shared" si="2"/>
        <v>72</v>
      </c>
      <c r="F35" s="2" t="s">
        <v>0</v>
      </c>
    </row>
    <row r="36" spans="2:6" x14ac:dyDescent="0.25">
      <c r="B36" s="2">
        <v>34</v>
      </c>
      <c r="C36" s="2">
        <v>2058</v>
      </c>
      <c r="D36" s="2">
        <f t="shared" si="2"/>
        <v>58</v>
      </c>
      <c r="E36" s="2">
        <f t="shared" si="2"/>
        <v>73</v>
      </c>
      <c r="F36" s="2" t="s">
        <v>0</v>
      </c>
    </row>
    <row r="37" spans="2:6" x14ac:dyDescent="0.25">
      <c r="B37" s="2">
        <v>35</v>
      </c>
      <c r="C37" s="2">
        <v>2059</v>
      </c>
      <c r="D37" s="2">
        <f t="shared" si="2"/>
        <v>59</v>
      </c>
      <c r="E37" s="2">
        <f t="shared" si="2"/>
        <v>74</v>
      </c>
      <c r="F37" s="2" t="s">
        <v>0</v>
      </c>
    </row>
    <row r="38" spans="2:6" x14ac:dyDescent="0.25">
      <c r="B38" s="2">
        <v>36</v>
      </c>
      <c r="C38" s="2">
        <v>2060</v>
      </c>
      <c r="D38" s="2">
        <f t="shared" si="2"/>
        <v>60</v>
      </c>
      <c r="E38" s="2">
        <f t="shared" si="2"/>
        <v>75</v>
      </c>
      <c r="F38" s="2" t="s">
        <v>0</v>
      </c>
    </row>
    <row r="39" spans="2:6" x14ac:dyDescent="0.25">
      <c r="B39" s="2">
        <v>37</v>
      </c>
      <c r="C39" s="2">
        <v>2061</v>
      </c>
      <c r="D39" s="2">
        <f t="shared" si="2"/>
        <v>61</v>
      </c>
      <c r="E39" s="2">
        <f t="shared" si="2"/>
        <v>76</v>
      </c>
      <c r="F39" s="2" t="s">
        <v>0</v>
      </c>
    </row>
    <row r="40" spans="2:6" x14ac:dyDescent="0.25">
      <c r="B40" s="2">
        <v>38</v>
      </c>
      <c r="C40" s="2">
        <v>2062</v>
      </c>
      <c r="D40" s="2">
        <f t="shared" si="2"/>
        <v>62</v>
      </c>
      <c r="E40" s="2">
        <f t="shared" si="2"/>
        <v>77</v>
      </c>
      <c r="F40" s="2" t="s">
        <v>0</v>
      </c>
    </row>
    <row r="41" spans="2:6" x14ac:dyDescent="0.25">
      <c r="B41" s="2">
        <v>39</v>
      </c>
      <c r="C41" s="2">
        <v>2063</v>
      </c>
      <c r="D41" s="2">
        <f t="shared" si="2"/>
        <v>63</v>
      </c>
      <c r="E41" s="2">
        <f t="shared" si="2"/>
        <v>78</v>
      </c>
      <c r="F41" s="2" t="s">
        <v>0</v>
      </c>
    </row>
    <row r="42" spans="2:6" x14ac:dyDescent="0.25">
      <c r="B42" s="2">
        <v>40</v>
      </c>
      <c r="C42" s="2">
        <v>2064</v>
      </c>
      <c r="D42" s="2">
        <f t="shared" si="2"/>
        <v>64</v>
      </c>
      <c r="E42" s="2">
        <f t="shared" si="2"/>
        <v>79</v>
      </c>
      <c r="F42" s="2" t="s">
        <v>0</v>
      </c>
    </row>
    <row r="43" spans="2:6" x14ac:dyDescent="0.25">
      <c r="B43" s="2">
        <v>41</v>
      </c>
      <c r="C43" s="2">
        <v>2065</v>
      </c>
      <c r="D43" s="2">
        <f t="shared" si="2"/>
        <v>65</v>
      </c>
      <c r="E43" s="2">
        <f t="shared" si="2"/>
        <v>80</v>
      </c>
      <c r="F43" s="2" t="s">
        <v>0</v>
      </c>
    </row>
    <row r="44" spans="2:6" x14ac:dyDescent="0.25">
      <c r="B44" s="2">
        <v>42</v>
      </c>
      <c r="C44" s="2">
        <v>2066</v>
      </c>
      <c r="D44" s="2">
        <f t="shared" si="2"/>
        <v>66</v>
      </c>
      <c r="E44" s="2">
        <f t="shared" si="2"/>
        <v>81</v>
      </c>
      <c r="F44" s="2" t="s">
        <v>0</v>
      </c>
    </row>
    <row r="45" spans="2:6" x14ac:dyDescent="0.25">
      <c r="B45" s="2">
        <v>43</v>
      </c>
      <c r="C45" s="2">
        <v>2067</v>
      </c>
      <c r="D45" s="2">
        <f t="shared" si="2"/>
        <v>67</v>
      </c>
      <c r="E45" s="2">
        <f t="shared" si="2"/>
        <v>82</v>
      </c>
      <c r="F45" s="2" t="s">
        <v>0</v>
      </c>
    </row>
    <row r="46" spans="2:6" x14ac:dyDescent="0.25">
      <c r="B46" s="2">
        <v>44</v>
      </c>
      <c r="C46" s="2">
        <v>2068</v>
      </c>
      <c r="D46" s="2">
        <f t="shared" si="2"/>
        <v>68</v>
      </c>
      <c r="E46" s="2">
        <f t="shared" si="2"/>
        <v>83</v>
      </c>
      <c r="F46" s="2" t="s">
        <v>0</v>
      </c>
    </row>
    <row r="47" spans="2:6" x14ac:dyDescent="0.25">
      <c r="B47" s="2">
        <v>45</v>
      </c>
      <c r="C47" s="2">
        <v>2069</v>
      </c>
      <c r="D47" s="2">
        <f t="shared" si="2"/>
        <v>69</v>
      </c>
      <c r="E47" s="2">
        <f t="shared" si="2"/>
        <v>84</v>
      </c>
      <c r="F47" s="2" t="s">
        <v>0</v>
      </c>
    </row>
    <row r="48" spans="2:6" x14ac:dyDescent="0.25">
      <c r="B48" s="2">
        <v>46</v>
      </c>
      <c r="C48" s="2">
        <v>2070</v>
      </c>
      <c r="D48" s="2">
        <f t="shared" si="2"/>
        <v>70</v>
      </c>
      <c r="E48" s="2">
        <f t="shared" si="2"/>
        <v>85</v>
      </c>
      <c r="F48" s="2" t="s">
        <v>0</v>
      </c>
    </row>
    <row r="49" spans="2:6" x14ac:dyDescent="0.25">
      <c r="B49" s="2">
        <v>47</v>
      </c>
      <c r="C49" s="2">
        <v>2071</v>
      </c>
      <c r="D49" s="2">
        <f t="shared" si="2"/>
        <v>71</v>
      </c>
      <c r="E49" s="2">
        <f t="shared" si="2"/>
        <v>86</v>
      </c>
      <c r="F49" s="2" t="s">
        <v>0</v>
      </c>
    </row>
    <row r="50" spans="2:6" x14ac:dyDescent="0.25">
      <c r="B50" s="2">
        <v>48</v>
      </c>
      <c r="C50" s="2">
        <v>2072</v>
      </c>
      <c r="D50" s="2">
        <f t="shared" ref="D50:E53" si="3">D49+1</f>
        <v>72</v>
      </c>
      <c r="E50" s="2">
        <f t="shared" si="3"/>
        <v>87</v>
      </c>
      <c r="F50" s="2" t="s">
        <v>0</v>
      </c>
    </row>
    <row r="51" spans="2:6" x14ac:dyDescent="0.25">
      <c r="B51" s="2">
        <v>49</v>
      </c>
      <c r="C51" s="2">
        <v>2073</v>
      </c>
      <c r="D51" s="2">
        <f t="shared" si="3"/>
        <v>73</v>
      </c>
      <c r="E51" s="2">
        <f t="shared" si="3"/>
        <v>88</v>
      </c>
      <c r="F51" s="2" t="s">
        <v>0</v>
      </c>
    </row>
    <row r="52" spans="2:6" x14ac:dyDescent="0.25">
      <c r="B52" s="2">
        <v>50</v>
      </c>
      <c r="C52" s="2">
        <v>2074</v>
      </c>
      <c r="D52" s="2">
        <f t="shared" si="3"/>
        <v>74</v>
      </c>
      <c r="E52" s="2">
        <f t="shared" si="3"/>
        <v>89</v>
      </c>
      <c r="F52" s="2" t="s">
        <v>0</v>
      </c>
    </row>
    <row r="53" spans="2:6" x14ac:dyDescent="0.25">
      <c r="B53" s="2">
        <v>51</v>
      </c>
      <c r="C53" s="2">
        <v>2075</v>
      </c>
      <c r="D53" s="2">
        <f t="shared" si="3"/>
        <v>75</v>
      </c>
      <c r="E53" s="2">
        <f t="shared" si="3"/>
        <v>90</v>
      </c>
      <c r="F53" s="2" t="s">
        <v>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4" tint="0.79998168889431442"/>
  </sheetPr>
  <dimension ref="B2:G10"/>
  <sheetViews>
    <sheetView workbookViewId="0">
      <selection activeCell="D14" sqref="D14"/>
    </sheetView>
  </sheetViews>
  <sheetFormatPr defaultColWidth="8.7109375" defaultRowHeight="15" x14ac:dyDescent="0.25"/>
  <cols>
    <col min="1" max="1" width="3.140625" style="1" customWidth="1"/>
    <col min="2" max="2" width="20" style="1" bestFit="1" customWidth="1"/>
    <col min="3" max="6" width="13.85546875" style="1" bestFit="1" customWidth="1"/>
    <col min="7" max="16384" width="8.7109375" style="1"/>
  </cols>
  <sheetData>
    <row r="2" spans="2:7" x14ac:dyDescent="0.25">
      <c r="B2" t="s">
        <v>75</v>
      </c>
      <c r="C2" t="s">
        <v>71</v>
      </c>
      <c r="D2" t="s">
        <v>72</v>
      </c>
      <c r="E2" t="s">
        <v>73</v>
      </c>
      <c r="F2" t="s">
        <v>74</v>
      </c>
      <c r="G2" s="72" t="s">
        <v>77</v>
      </c>
    </row>
    <row r="3" spans="2:7" x14ac:dyDescent="0.25">
      <c r="B3" t="s">
        <v>68</v>
      </c>
      <c r="C3">
        <v>1</v>
      </c>
      <c r="D3">
        <v>0.8</v>
      </c>
      <c r="E3">
        <v>0.3</v>
      </c>
      <c r="F3">
        <v>0.6</v>
      </c>
      <c r="G3" s="72"/>
    </row>
    <row r="4" spans="2:7" x14ac:dyDescent="0.25">
      <c r="B4" t="s">
        <v>69</v>
      </c>
      <c r="C4" s="38">
        <f>'Net Salary P1'!E38</f>
        <v>1246424.9987127325</v>
      </c>
      <c r="D4" s="38">
        <v>250000</v>
      </c>
      <c r="E4" s="38">
        <v>72530</v>
      </c>
      <c r="F4" s="38">
        <v>2500000</v>
      </c>
      <c r="G4" s="72"/>
    </row>
    <row r="5" spans="2:7" x14ac:dyDescent="0.25">
      <c r="B5" t="s">
        <v>70</v>
      </c>
      <c r="C5">
        <v>50</v>
      </c>
      <c r="D5">
        <v>5</v>
      </c>
      <c r="E5">
        <v>20</v>
      </c>
      <c r="F5">
        <v>30</v>
      </c>
      <c r="G5" s="72"/>
    </row>
    <row r="7" spans="2:7" x14ac:dyDescent="0.25">
      <c r="B7" t="s">
        <v>75</v>
      </c>
      <c r="C7" t="s">
        <v>71</v>
      </c>
      <c r="D7" t="s">
        <v>72</v>
      </c>
      <c r="E7" t="s">
        <v>73</v>
      </c>
      <c r="F7" t="s">
        <v>74</v>
      </c>
      <c r="G7" s="72" t="s">
        <v>76</v>
      </c>
    </row>
    <row r="8" spans="2:7" x14ac:dyDescent="0.25">
      <c r="B8" t="s">
        <v>68</v>
      </c>
      <c r="C8">
        <v>1</v>
      </c>
      <c r="D8">
        <v>0.45</v>
      </c>
      <c r="E8">
        <v>0.5</v>
      </c>
      <c r="F8">
        <v>0.57999999999999996</v>
      </c>
      <c r="G8" s="72"/>
    </row>
    <row r="9" spans="2:7" x14ac:dyDescent="0.25">
      <c r="B9" t="s">
        <v>69</v>
      </c>
      <c r="C9" s="38">
        <f>'Net Salary P2'!E38</f>
        <v>1391190.8916476495</v>
      </c>
      <c r="D9" s="38">
        <v>75000</v>
      </c>
      <c r="E9" s="38">
        <v>72530</v>
      </c>
      <c r="F9" s="38">
        <v>2500000</v>
      </c>
      <c r="G9" s="72"/>
    </row>
    <row r="10" spans="2:7" x14ac:dyDescent="0.25">
      <c r="B10" t="s">
        <v>70</v>
      </c>
      <c r="C10">
        <v>35</v>
      </c>
      <c r="D10">
        <v>30</v>
      </c>
      <c r="E10">
        <v>5</v>
      </c>
      <c r="F10">
        <v>15</v>
      </c>
      <c r="G10" s="72"/>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defaultColWidth="8.7109375" defaultRowHeight="15" x14ac:dyDescent="0.25"/>
  <cols>
    <col min="1" max="2" width="8.7109375" style="1"/>
    <col min="3" max="3" width="10.140625" style="1" bestFit="1" customWidth="1"/>
    <col min="4" max="16384" width="8.7109375" style="1"/>
  </cols>
  <sheetData>
    <row r="1" spans="1:6" x14ac:dyDescent="0.25">
      <c r="A1" s="1" t="s">
        <v>165</v>
      </c>
    </row>
    <row r="2" spans="1:6" x14ac:dyDescent="0.25">
      <c r="A2" s="1" t="s">
        <v>1</v>
      </c>
      <c r="B2" s="1" t="s">
        <v>167</v>
      </c>
      <c r="C2" s="1" t="s">
        <v>168</v>
      </c>
    </row>
    <row r="3" spans="1:6" x14ac:dyDescent="0.25">
      <c r="A3" s="1">
        <v>2019</v>
      </c>
      <c r="B3" s="1">
        <v>50000</v>
      </c>
    </row>
    <row r="4" spans="1:6" x14ac:dyDescent="0.25">
      <c r="A4" s="1">
        <v>2020</v>
      </c>
      <c r="B4" s="1">
        <f>100000</f>
        <v>100000</v>
      </c>
      <c r="C4" s="26">
        <f t="shared" ref="C4:C9" si="0">(B4-B3)/B3</f>
        <v>1</v>
      </c>
    </row>
    <row r="5" spans="1:6" x14ac:dyDescent="0.25">
      <c r="A5" s="1">
        <v>2021</v>
      </c>
      <c r="B5" s="1">
        <v>102300</v>
      </c>
      <c r="C5" s="26">
        <f t="shared" si="0"/>
        <v>2.3E-2</v>
      </c>
    </row>
    <row r="6" spans="1:6" x14ac:dyDescent="0.25">
      <c r="A6" s="1">
        <v>2022</v>
      </c>
      <c r="B6" s="1">
        <v>103500</v>
      </c>
      <c r="C6" s="26">
        <f t="shared" si="0"/>
        <v>1.1730205278592375E-2</v>
      </c>
      <c r="E6" s="1" t="s">
        <v>166</v>
      </c>
      <c r="F6" s="1" t="s">
        <v>169</v>
      </c>
    </row>
    <row r="7" spans="1:6" x14ac:dyDescent="0.25">
      <c r="A7" s="1">
        <v>2023</v>
      </c>
      <c r="B7" s="1">
        <v>106600</v>
      </c>
      <c r="C7" s="26">
        <f t="shared" si="0"/>
        <v>2.9951690821256038E-2</v>
      </c>
      <c r="E7" s="27">
        <f>MEDIAN(C4:C9)</f>
        <v>0.12645487410819978</v>
      </c>
      <c r="F7" s="28">
        <f>MEDIAN(C5:C9)</f>
        <v>2.9951690821256038E-2</v>
      </c>
    </row>
    <row r="8" spans="1:6" x14ac:dyDescent="0.25">
      <c r="A8" s="1">
        <v>2024</v>
      </c>
      <c r="B8" s="1">
        <v>135900</v>
      </c>
      <c r="C8" s="26">
        <f t="shared" si="0"/>
        <v>0.27485928705440899</v>
      </c>
    </row>
    <row r="9" spans="1:6" x14ac:dyDescent="0.25">
      <c r="A9" s="1">
        <v>2025</v>
      </c>
      <c r="B9" s="1">
        <v>166200</v>
      </c>
      <c r="C9" s="26">
        <f t="shared" si="0"/>
        <v>0.22295805739514349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AZ3"/>
  <sheetViews>
    <sheetView workbookViewId="0"/>
  </sheetViews>
  <sheetFormatPr defaultRowHeight="15" x14ac:dyDescent="0.25"/>
  <sheetData>
    <row r="1" spans="1:52" x14ac:dyDescent="0.25">
      <c r="A1" s="19"/>
      <c r="B1" t="s">
        <v>104</v>
      </c>
      <c r="C1" t="s">
        <v>105</v>
      </c>
      <c r="D1" t="s">
        <v>106</v>
      </c>
      <c r="E1" t="s">
        <v>107</v>
      </c>
      <c r="F1" t="s">
        <v>108</v>
      </c>
      <c r="G1" t="s">
        <v>109</v>
      </c>
      <c r="H1" t="s">
        <v>110</v>
      </c>
      <c r="I1" t="s">
        <v>111</v>
      </c>
      <c r="J1" t="s">
        <v>112</v>
      </c>
      <c r="K1" t="s">
        <v>113</v>
      </c>
      <c r="L1" t="s">
        <v>114</v>
      </c>
      <c r="M1" t="s">
        <v>115</v>
      </c>
      <c r="N1" t="s">
        <v>116</v>
      </c>
      <c r="O1" t="s">
        <v>117</v>
      </c>
      <c r="P1" t="s">
        <v>118</v>
      </c>
      <c r="Q1" t="s">
        <v>119</v>
      </c>
      <c r="R1" t="s">
        <v>120</v>
      </c>
      <c r="S1" t="s">
        <v>121</v>
      </c>
      <c r="T1" t="s">
        <v>122</v>
      </c>
      <c r="U1" t="s">
        <v>123</v>
      </c>
      <c r="V1" t="s">
        <v>124</v>
      </c>
      <c r="W1" t="s">
        <v>125</v>
      </c>
      <c r="X1" t="s">
        <v>126</v>
      </c>
      <c r="Y1" t="s">
        <v>127</v>
      </c>
      <c r="Z1" t="s">
        <v>128</v>
      </c>
      <c r="AA1" t="s">
        <v>129</v>
      </c>
      <c r="AB1" t="s">
        <v>130</v>
      </c>
      <c r="AC1" t="s">
        <v>131</v>
      </c>
      <c r="AD1" t="s">
        <v>132</v>
      </c>
      <c r="AE1" t="s">
        <v>133</v>
      </c>
      <c r="AF1" t="s">
        <v>134</v>
      </c>
      <c r="AG1" t="s">
        <v>135</v>
      </c>
      <c r="AH1" t="s">
        <v>136</v>
      </c>
      <c r="AI1" t="s">
        <v>137</v>
      </c>
      <c r="AJ1" t="s">
        <v>138</v>
      </c>
      <c r="AK1" t="s">
        <v>139</v>
      </c>
      <c r="AL1" t="s">
        <v>140</v>
      </c>
      <c r="AM1" t="s">
        <v>141</v>
      </c>
      <c r="AN1" t="s">
        <v>142</v>
      </c>
      <c r="AO1" t="s">
        <v>143</v>
      </c>
      <c r="AP1" t="s">
        <v>144</v>
      </c>
      <c r="AQ1" t="s">
        <v>145</v>
      </c>
      <c r="AR1" t="s">
        <v>146</v>
      </c>
      <c r="AS1" t="s">
        <v>147</v>
      </c>
      <c r="AT1" t="s">
        <v>148</v>
      </c>
      <c r="AU1" t="s">
        <v>149</v>
      </c>
      <c r="AV1" t="s">
        <v>150</v>
      </c>
      <c r="AW1" t="s">
        <v>151</v>
      </c>
      <c r="AX1" t="s">
        <v>152</v>
      </c>
      <c r="AY1" t="s">
        <v>153</v>
      </c>
      <c r="AZ1" s="21" t="s">
        <v>159</v>
      </c>
    </row>
    <row r="2" spans="1:52" x14ac:dyDescent="0.25">
      <c r="A2" t="s">
        <v>77</v>
      </c>
      <c r="B2">
        <v>0</v>
      </c>
      <c r="C2" cm="1">
        <f t="array" ref="C2:AV2">TRANSPOSE(TableIncome[InvestmentP1])</f>
        <v>28662.614833520005</v>
      </c>
      <c r="D2">
        <v>28970.875194404223</v>
      </c>
      <c r="E2">
        <v>30452.58155858425</v>
      </c>
      <c r="F2">
        <v>30777.660860603217</v>
      </c>
      <c r="G2">
        <v>31105.466433163292</v>
      </c>
      <c r="H2">
        <v>33384.992477557767</v>
      </c>
      <c r="I2">
        <v>33736.874126990704</v>
      </c>
      <c r="J2">
        <v>34091.7995167482</v>
      </c>
      <c r="K2">
        <v>35820.153738119283</v>
      </c>
      <c r="L2">
        <v>36194.989534654247</v>
      </c>
      <c r="M2">
        <v>36573.126014269212</v>
      </c>
      <c r="N2">
        <v>36954.604961733879</v>
      </c>
      <c r="O2">
        <v>38821.929988961594</v>
      </c>
      <c r="P2">
        <v>39225.044831006111</v>
      </c>
      <c r="Q2">
        <v>39631.777239075898</v>
      </c>
      <c r="R2">
        <v>40042.171498289907</v>
      </c>
      <c r="S2">
        <v>42060.022909889616</v>
      </c>
      <c r="T2">
        <v>42418.628689991048</v>
      </c>
      <c r="U2">
        <v>42755.222127095221</v>
      </c>
      <c r="V2">
        <v>43094.806904252713</v>
      </c>
      <c r="W2">
        <v>44759.231486731434</v>
      </c>
      <c r="X2">
        <v>45118.129059790343</v>
      </c>
      <c r="Y2">
        <v>45480.262619987865</v>
      </c>
      <c r="Z2">
        <v>45845.671448540292</v>
      </c>
      <c r="AA2">
        <v>46214.395083763498</v>
      </c>
      <c r="AB2">
        <v>46586.473326304869</v>
      </c>
      <c r="AC2">
        <v>46961.946244375482</v>
      </c>
      <c r="AD2">
        <v>47340.854178983522</v>
      </c>
      <c r="AE2">
        <v>47723.237749169726</v>
      </c>
      <c r="AF2">
        <v>48109.137857246089</v>
      </c>
      <c r="AG2">
        <v>48498.595694038813</v>
      </c>
      <c r="AH2">
        <v>48891.652744136314</v>
      </c>
      <c r="AI2">
        <v>49288.350791143486</v>
      </c>
      <c r="AJ2">
        <v>51252.654373616249</v>
      </c>
      <c r="AK2">
        <v>51672.400212144625</v>
      </c>
      <c r="AL2">
        <v>52096.070637395664</v>
      </c>
      <c r="AM2">
        <v>52523.710245661408</v>
      </c>
      <c r="AN2">
        <v>52955.363974286418</v>
      </c>
      <c r="AO2">
        <v>53391.077107135585</v>
      </c>
      <c r="AP2">
        <v>53830.895280075834</v>
      </c>
      <c r="AQ2">
        <v>54274.864486473532</v>
      </c>
      <c r="AR2">
        <v>54723.031082707857</v>
      </c>
      <c r="AS2">
        <v>55175.441793701197</v>
      </c>
      <c r="AT2">
        <v>0</v>
      </c>
      <c r="AU2">
        <v>0</v>
      </c>
      <c r="AV2">
        <v>0</v>
      </c>
      <c r="AW2">
        <v>0</v>
      </c>
      <c r="AX2">
        <v>0</v>
      </c>
      <c r="AY2">
        <v>0</v>
      </c>
      <c r="AZ2">
        <v>0</v>
      </c>
    </row>
    <row r="3" spans="1:52" x14ac:dyDescent="0.25">
      <c r="A3" t="s">
        <v>76</v>
      </c>
      <c r="B3">
        <v>200000</v>
      </c>
      <c r="C3" cm="1">
        <f t="array" ref="C3:AV3">TRANSPOSE(TableIncome[InvestmentP2])</f>
        <v>41942.642999119998</v>
      </c>
      <c r="D3">
        <v>42283.203641660213</v>
      </c>
      <c r="E3">
        <v>42626.624177438614</v>
      </c>
      <c r="F3">
        <v>44339.931675780768</v>
      </c>
      <c r="G3">
        <v>44702.859956492626</v>
      </c>
      <c r="H3">
        <v>47438.681663079515</v>
      </c>
      <c r="I3">
        <v>47830.600204367649</v>
      </c>
      <c r="J3">
        <v>48225.96285489892</v>
      </c>
      <c r="K3">
        <v>48624.813370984761</v>
      </c>
      <c r="L3">
        <v>49027.195763848402</v>
      </c>
      <c r="M3">
        <v>49433.154305755306</v>
      </c>
      <c r="N3">
        <v>49842.733536134816</v>
      </c>
      <c r="O3">
        <v>50255.978267694176</v>
      </c>
      <c r="P3">
        <v>50672.933592526031</v>
      </c>
      <c r="Q3">
        <v>51093.644888211013</v>
      </c>
      <c r="R3">
        <v>51518.157823916379</v>
      </c>
      <c r="S3">
        <v>51946.518366492062</v>
      </c>
      <c r="T3">
        <v>52378.772786565343</v>
      </c>
      <c r="U3">
        <v>55345.29085373244</v>
      </c>
      <c r="V3">
        <v>55810.776318156313</v>
      </c>
      <c r="W3">
        <v>56280.549387893319</v>
      </c>
      <c r="X3">
        <v>56754.660139963846</v>
      </c>
      <c r="Y3">
        <v>57233.159010963085</v>
      </c>
      <c r="Z3">
        <v>57716.09680342528</v>
      </c>
      <c r="AA3">
        <v>58203.524692197323</v>
      </c>
      <c r="AB3">
        <v>58695.494230823038</v>
      </c>
      <c r="AC3">
        <v>59192.057357938844</v>
      </c>
      <c r="AD3">
        <v>59693.266403682508</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workbookViewId="0"/>
  </sheetViews>
  <sheetFormatPr defaultRowHeight="15" x14ac:dyDescent="0.25"/>
  <cols>
    <col min="2" max="2" width="10.5703125" bestFit="1" customWidth="1"/>
    <col min="3" max="12" width="11.28515625" bestFit="1" customWidth="1"/>
    <col min="13" max="13" width="13.28515625" bestFit="1" customWidth="1"/>
    <col min="14" max="15" width="12.7109375" bestFit="1" customWidth="1"/>
    <col min="16" max="51" width="12.85546875" bestFit="1" customWidth="1"/>
    <col min="52" max="52" width="13.28515625" bestFit="1" customWidth="1"/>
  </cols>
  <sheetData>
    <row r="1" spans="1:52" x14ac:dyDescent="0.25">
      <c r="B1" t="s">
        <v>104</v>
      </c>
      <c r="C1" t="s">
        <v>105</v>
      </c>
      <c r="D1" t="s">
        <v>106</v>
      </c>
      <c r="E1" t="s">
        <v>107</v>
      </c>
      <c r="F1" t="s">
        <v>108</v>
      </c>
      <c r="G1" t="s">
        <v>109</v>
      </c>
      <c r="H1" t="s">
        <v>110</v>
      </c>
      <c r="I1" t="s">
        <v>111</v>
      </c>
      <c r="J1" t="s">
        <v>112</v>
      </c>
      <c r="K1" t="s">
        <v>113</v>
      </c>
      <c r="L1" t="s">
        <v>114</v>
      </c>
      <c r="M1" t="s">
        <v>115</v>
      </c>
      <c r="N1" t="s">
        <v>116</v>
      </c>
      <c r="O1" t="s">
        <v>117</v>
      </c>
      <c r="P1" t="s">
        <v>118</v>
      </c>
      <c r="Q1" t="s">
        <v>119</v>
      </c>
      <c r="R1" t="s">
        <v>120</v>
      </c>
      <c r="S1" t="s">
        <v>121</v>
      </c>
      <c r="T1" t="s">
        <v>122</v>
      </c>
      <c r="U1" t="s">
        <v>123</v>
      </c>
      <c r="V1" t="s">
        <v>124</v>
      </c>
      <c r="W1" t="s">
        <v>125</v>
      </c>
      <c r="X1" t="s">
        <v>126</v>
      </c>
      <c r="Y1" t="s">
        <v>127</v>
      </c>
      <c r="Z1" t="s">
        <v>128</v>
      </c>
      <c r="AA1" t="s">
        <v>129</v>
      </c>
      <c r="AB1" t="s">
        <v>130</v>
      </c>
      <c r="AC1" t="s">
        <v>131</v>
      </c>
      <c r="AD1" t="s">
        <v>132</v>
      </c>
      <c r="AE1" t="s">
        <v>133</v>
      </c>
      <c r="AF1" t="s">
        <v>134</v>
      </c>
      <c r="AG1" t="s">
        <v>135</v>
      </c>
      <c r="AH1" t="s">
        <v>136</v>
      </c>
      <c r="AI1" t="s">
        <v>137</v>
      </c>
      <c r="AJ1" t="s">
        <v>138</v>
      </c>
      <c r="AK1" t="s">
        <v>139</v>
      </c>
      <c r="AL1" t="s">
        <v>140</v>
      </c>
      <c r="AM1" t="s">
        <v>141</v>
      </c>
      <c r="AN1" t="s">
        <v>142</v>
      </c>
      <c r="AO1" t="s">
        <v>143</v>
      </c>
      <c r="AP1" t="s">
        <v>144</v>
      </c>
      <c r="AQ1" t="s">
        <v>145</v>
      </c>
      <c r="AR1" t="s">
        <v>146</v>
      </c>
      <c r="AS1" t="s">
        <v>147</v>
      </c>
      <c r="AT1" t="s">
        <v>148</v>
      </c>
      <c r="AU1" t="s">
        <v>149</v>
      </c>
      <c r="AV1" t="s">
        <v>150</v>
      </c>
      <c r="AW1" t="s">
        <v>151</v>
      </c>
      <c r="AX1" t="s">
        <v>152</v>
      </c>
      <c r="AY1" t="s">
        <v>153</v>
      </c>
      <c r="AZ1" s="20" t="s">
        <v>159</v>
      </c>
    </row>
    <row r="2" spans="1:52" x14ac:dyDescent="0.25">
      <c r="A2" t="s">
        <v>77</v>
      </c>
      <c r="B2" s="15">
        <f>SUMIF(TableIncome[Year], "&lt;=" &amp; B1, TableIncome[InvestmentP1])</f>
        <v>28662.614833520005</v>
      </c>
      <c r="C2" s="15">
        <f>SUMIF(TableIncome[Year], "&lt;=" &amp; C1, TableIncome[InvestmentP1])</f>
        <v>57633.490027924228</v>
      </c>
      <c r="D2" s="15">
        <f>SUMIF(TableIncome[Year], "&lt;=" &amp; D1, TableIncome[InvestmentP1])</f>
        <v>88086.071586508479</v>
      </c>
      <c r="E2" s="15">
        <f>SUMIF(TableIncome[Year], "&lt;=" &amp; E1, TableIncome[InvestmentP1])</f>
        <v>118863.73244711169</v>
      </c>
      <c r="F2" s="15">
        <f>SUMIF(TableIncome[Year], "&lt;=" &amp; F1, TableIncome[InvestmentP1])</f>
        <v>149969.19888027498</v>
      </c>
      <c r="G2" s="15">
        <f>SUMIF(TableIncome[Year], "&lt;=" &amp; G1, TableIncome[InvestmentP1])</f>
        <v>183354.19135783275</v>
      </c>
      <c r="H2" s="15">
        <f>SUMIF(TableIncome[Year], "&lt;=" &amp; H1, TableIncome[InvestmentP1])</f>
        <v>217091.06548482346</v>
      </c>
      <c r="I2" s="15">
        <f>SUMIF(TableIncome[Year], "&lt;=" &amp; I1, TableIncome[InvestmentP1])</f>
        <v>251182.86500157166</v>
      </c>
      <c r="J2" s="15">
        <f>SUMIF(TableIncome[Year], "&lt;=" &amp; J1, TableIncome[InvestmentP1])</f>
        <v>287003.01873969095</v>
      </c>
      <c r="K2" s="15">
        <f>SUMIF(TableIncome[Year], "&lt;=" &amp; K1, TableIncome[InvestmentP1])</f>
        <v>323198.00827434519</v>
      </c>
      <c r="L2" s="15">
        <f>SUMIF(TableIncome[Year], "&lt;=" &amp; L1, TableIncome[InvestmentP1])</f>
        <v>359771.13428861438</v>
      </c>
      <c r="M2" s="15">
        <f>SUMIF(TableIncome[Year], "&lt;=" &amp; M1, TableIncome[InvestmentP1])</f>
        <v>396725.73925034824</v>
      </c>
      <c r="N2" s="15">
        <f>SUMIF(TableIncome[Year], "&lt;=" &amp; N1, TableIncome[InvestmentP1])</f>
        <v>435547.66923930985</v>
      </c>
      <c r="O2" s="15">
        <f>SUMIF(TableIncome[Year], "&lt;=" &amp; O1, TableIncome[InvestmentP1])</f>
        <v>474772.71407031594</v>
      </c>
      <c r="P2" s="15">
        <f>SUMIF(TableIncome[Year], "&lt;=" &amp; P1, TableIncome[InvestmentP1])</f>
        <v>514404.49130939186</v>
      </c>
      <c r="Q2" s="15">
        <f>SUMIF(TableIncome[Year], "&lt;=" &amp; Q1, TableIncome[InvestmentP1])</f>
        <v>554446.66280768171</v>
      </c>
      <c r="R2" s="15">
        <f>SUMIF(TableIncome[Year], "&lt;=" &amp; R1, TableIncome[InvestmentP1])</f>
        <v>596506.68571757129</v>
      </c>
      <c r="S2" s="15">
        <f>SUMIF(TableIncome[Year], "&lt;=" &amp; S1, TableIncome[InvestmentP1])</f>
        <v>638925.31440756237</v>
      </c>
      <c r="T2" s="15">
        <f>SUMIF(TableIncome[Year], "&lt;=" &amp; T1, TableIncome[InvestmentP1])</f>
        <v>681680.53653465759</v>
      </c>
      <c r="U2" s="15">
        <f>SUMIF(TableIncome[Year], "&lt;=" &amp; U1, TableIncome[InvestmentP1])</f>
        <v>724775.34343891032</v>
      </c>
      <c r="V2" s="15">
        <f>SUMIF(TableIncome[Year], "&lt;=" &amp; V1, TableIncome[InvestmentP1])</f>
        <v>769534.57492564176</v>
      </c>
      <c r="W2" s="15">
        <f>SUMIF(TableIncome[Year], "&lt;=" &amp; W1, TableIncome[InvestmentP1])</f>
        <v>814652.70398543216</v>
      </c>
      <c r="X2" s="15">
        <f>SUMIF(TableIncome[Year], "&lt;=" &amp; X1, TableIncome[InvestmentP1])</f>
        <v>860132.96660541999</v>
      </c>
      <c r="Y2" s="15">
        <f>SUMIF(TableIncome[Year], "&lt;=" &amp; Y1, TableIncome[InvestmentP1])</f>
        <v>905978.63805396028</v>
      </c>
      <c r="Z2" s="15">
        <f>SUMIF(TableIncome[Year], "&lt;=" &amp; Z1, TableIncome[InvestmentP1])</f>
        <v>952193.0331377238</v>
      </c>
      <c r="AA2" s="15">
        <f>SUMIF(TableIncome[Year], "&lt;=" &amp; AA1, TableIncome[InvestmentP1])</f>
        <v>998779.50646402873</v>
      </c>
      <c r="AB2" s="15">
        <f>SUMIF(TableIncome[Year], "&lt;=" &amp; AB1, TableIncome[InvestmentP1])</f>
        <v>1045741.4527084042</v>
      </c>
      <c r="AC2" s="15">
        <f>SUMIF(TableIncome[Year], "&lt;=" &amp; AC1, TableIncome[InvestmentP1])</f>
        <v>1093082.3068873878</v>
      </c>
      <c r="AD2" s="15">
        <f>SUMIF(TableIncome[Year], "&lt;=" &amp; AD1, TableIncome[InvestmentP1])</f>
        <v>1140805.5446365576</v>
      </c>
      <c r="AE2" s="15">
        <f>SUMIF(TableIncome[Year], "&lt;=" &amp; AE1, TableIncome[InvestmentP1])</f>
        <v>1188914.6824938036</v>
      </c>
      <c r="AF2" s="15">
        <f>SUMIF(TableIncome[Year], "&lt;=" &amp; AF1, TableIncome[InvestmentP1])</f>
        <v>1237413.2781878423</v>
      </c>
      <c r="AG2" s="15">
        <f>SUMIF(TableIncome[Year], "&lt;=" &amp; AG1, TableIncome[InvestmentP1])</f>
        <v>1286304.9309319786</v>
      </c>
      <c r="AH2" s="15">
        <f>SUMIF(TableIncome[Year], "&lt;=" &amp; AH1, TableIncome[InvestmentP1])</f>
        <v>1335593.2817231221</v>
      </c>
      <c r="AI2" s="15">
        <f>SUMIF(TableIncome[Year], "&lt;=" &amp; AI1, TableIncome[InvestmentP1])</f>
        <v>1386845.9360967383</v>
      </c>
      <c r="AJ2" s="15">
        <f>SUMIF(TableIncome[Year], "&lt;=" &amp; AJ1, TableIncome[InvestmentP1])</f>
        <v>1438518.336308883</v>
      </c>
      <c r="AK2" s="15">
        <f>SUMIF(TableIncome[Year], "&lt;=" &amp; AK1, TableIncome[InvestmentP1])</f>
        <v>1490614.4069462786</v>
      </c>
      <c r="AL2" s="15">
        <f>SUMIF(TableIncome[Year], "&lt;=" &amp; AL1, TableIncome[InvestmentP1])</f>
        <v>1543138.1171919401</v>
      </c>
      <c r="AM2" s="15">
        <f>SUMIF(TableIncome[Year], "&lt;=" &amp; AM1, TableIncome[InvestmentP1])</f>
        <v>1596093.4811662266</v>
      </c>
      <c r="AN2" s="15">
        <f>SUMIF(TableIncome[Year], "&lt;=" &amp; AN1, TableIncome[InvestmentP1])</f>
        <v>1649484.5582733622</v>
      </c>
      <c r="AO2" s="15">
        <f>SUMIF(TableIncome[Year], "&lt;=" &amp; AO1, TableIncome[InvestmentP1])</f>
        <v>1703315.453553438</v>
      </c>
      <c r="AP2" s="15">
        <f>SUMIF(TableIncome[Year], "&lt;=" &amp; AP1, TableIncome[InvestmentP1])</f>
        <v>1757590.3180399116</v>
      </c>
      <c r="AQ2" s="15">
        <f>SUMIF(TableIncome[Year], "&lt;=" &amp; AQ1, TableIncome[InvestmentP1])</f>
        <v>1812313.3491226195</v>
      </c>
      <c r="AR2" s="15">
        <f>SUMIF(TableIncome[Year], "&lt;=" &amp; AR1, TableIncome[InvestmentP1])</f>
        <v>1867488.7909163206</v>
      </c>
      <c r="AS2" s="15">
        <f>SUMIF(TableIncome[Year], "&lt;=" &amp; AS1, TableIncome[InvestmentP1])</f>
        <v>1867488.7909163206</v>
      </c>
      <c r="AT2" s="15">
        <f>SUMIF(TableIncome[Year], "&lt;=" &amp; AT1, TableIncome[InvestmentP1])</f>
        <v>1867488.7909163206</v>
      </c>
      <c r="AU2" s="15">
        <f>SUMIF(TableIncome[Year], "&lt;=" &amp; AU1, TableIncome[InvestmentP1])</f>
        <v>1867488.7909163206</v>
      </c>
      <c r="AV2" s="15">
        <f>SUMIF(TableIncome[Year], "&lt;=" &amp; AV1, TableIncome[InvestmentP1])</f>
        <v>1867488.7909163206</v>
      </c>
      <c r="AW2" s="15">
        <f>SUMIF(TableIncome[Year], "&lt;=" &amp; AW1, TableIncome[InvestmentP1])</f>
        <v>1867488.7909163206</v>
      </c>
      <c r="AX2" s="15">
        <f>SUMIF(TableIncome[Year], "&lt;=" &amp; AX1, TableIncome[InvestmentP1])</f>
        <v>1867488.7909163206</v>
      </c>
      <c r="AY2" s="15">
        <f>SUMIF(TableIncome[Year], "&lt;=" &amp; AY1, TableIncome[InvestmentP1])</f>
        <v>1867488.7909163206</v>
      </c>
      <c r="AZ2" s="15">
        <f>SUMIF(TableIncome[Year], "&lt;=" &amp; AZ1, TableIncome[InvestmentP1])</f>
        <v>1867488.7909163206</v>
      </c>
    </row>
    <row r="3" spans="1:52" x14ac:dyDescent="0.25">
      <c r="A3" t="s">
        <v>76</v>
      </c>
      <c r="B3" s="15">
        <f>SUMIF(TableIncome[Year], "&lt;=" &amp; B1, TableIncome[InvestmentP2])</f>
        <v>41942.642999119998</v>
      </c>
      <c r="C3" s="15">
        <f>SUMIF(TableIncome[Year], "&lt;=" &amp; C1, TableIncome[InvestmentP2])</f>
        <v>84225.846640780219</v>
      </c>
      <c r="D3" s="15">
        <f>SUMIF(TableIncome[Year], "&lt;=" &amp; D1, TableIncome[InvestmentP2])</f>
        <v>126852.47081821883</v>
      </c>
      <c r="E3" s="15">
        <f>SUMIF(TableIncome[Year], "&lt;=" &amp; E1, TableIncome[InvestmentP2])</f>
        <v>171192.4024939996</v>
      </c>
      <c r="F3" s="15">
        <f>SUMIF(TableIncome[Year], "&lt;=" &amp; F1, TableIncome[InvestmentP2])</f>
        <v>215895.26245049224</v>
      </c>
      <c r="G3" s="15">
        <f>SUMIF(TableIncome[Year], "&lt;=" &amp; G1, TableIncome[InvestmentP2])</f>
        <v>263333.94411357178</v>
      </c>
      <c r="H3" s="15">
        <f>SUMIF(TableIncome[Year], "&lt;=" &amp; H1, TableIncome[InvestmentP2])</f>
        <v>311164.54431793944</v>
      </c>
      <c r="I3" s="15">
        <f>SUMIF(TableIncome[Year], "&lt;=" &amp; I1, TableIncome[InvestmentP2])</f>
        <v>359390.50717283838</v>
      </c>
      <c r="J3" s="15">
        <f>SUMIF(TableIncome[Year], "&lt;=" &amp; J1, TableIncome[InvestmentP2])</f>
        <v>408015.32054382312</v>
      </c>
      <c r="K3" s="15">
        <f>SUMIF(TableIncome[Year], "&lt;=" &amp; K1, TableIncome[InvestmentP2])</f>
        <v>457042.51630767155</v>
      </c>
      <c r="L3" s="15">
        <f>SUMIF(TableIncome[Year], "&lt;=" &amp; L1, TableIncome[InvestmentP2])</f>
        <v>506475.67061342683</v>
      </c>
      <c r="M3" s="15">
        <f>SUMIF(TableIncome[Year], "&lt;=" &amp; M1, TableIncome[InvestmentP2])</f>
        <v>556318.40414956165</v>
      </c>
      <c r="N3" s="15">
        <f>SUMIF(TableIncome[Year], "&lt;=" &amp; N1, TableIncome[InvestmentP2])</f>
        <v>606574.38241725578</v>
      </c>
      <c r="O3" s="15">
        <f>SUMIF(TableIncome[Year], "&lt;=" &amp; O1, TableIncome[InvestmentP2])</f>
        <v>657247.31600978179</v>
      </c>
      <c r="P3" s="15">
        <f>SUMIF(TableIncome[Year], "&lt;=" &amp; P1, TableIncome[InvestmentP2])</f>
        <v>708340.96089799283</v>
      </c>
      <c r="Q3" s="15">
        <f>SUMIF(TableIncome[Year], "&lt;=" &amp; Q1, TableIncome[InvestmentP2])</f>
        <v>759859.11872190924</v>
      </c>
      <c r="R3" s="15">
        <f>SUMIF(TableIncome[Year], "&lt;=" &amp; R1, TableIncome[InvestmentP2])</f>
        <v>811805.63708840124</v>
      </c>
      <c r="S3" s="15">
        <f>SUMIF(TableIncome[Year], "&lt;=" &amp; S1, TableIncome[InvestmentP2])</f>
        <v>864184.4098749666</v>
      </c>
      <c r="T3" s="15">
        <f>SUMIF(TableIncome[Year], "&lt;=" &amp; T1, TableIncome[InvestmentP2])</f>
        <v>919529.7007286991</v>
      </c>
      <c r="U3" s="15">
        <f>SUMIF(TableIncome[Year], "&lt;=" &amp; U1, TableIncome[InvestmentP2])</f>
        <v>975340.47704685538</v>
      </c>
      <c r="V3" s="15">
        <f>SUMIF(TableIncome[Year], "&lt;=" &amp; V1, TableIncome[InvestmentP2])</f>
        <v>1031621.0264347487</v>
      </c>
      <c r="W3" s="15">
        <f>SUMIF(TableIncome[Year], "&lt;=" &amp; W1, TableIncome[InvestmentP2])</f>
        <v>1088375.6865747124</v>
      </c>
      <c r="X3" s="15">
        <f>SUMIF(TableIncome[Year], "&lt;=" &amp; X1, TableIncome[InvestmentP2])</f>
        <v>1145608.8455856754</v>
      </c>
      <c r="Y3" s="15">
        <f>SUMIF(TableIncome[Year], "&lt;=" &amp; Y1, TableIncome[InvestmentP2])</f>
        <v>1203324.9423891008</v>
      </c>
      <c r="Z3" s="15">
        <f>SUMIF(TableIncome[Year], "&lt;=" &amp; Z1, TableIncome[InvestmentP2])</f>
        <v>1261528.4670812981</v>
      </c>
      <c r="AA3" s="15">
        <f>SUMIF(TableIncome[Year], "&lt;=" &amp; AA1, TableIncome[InvestmentP2])</f>
        <v>1320223.9613121212</v>
      </c>
      <c r="AB3" s="15">
        <f>SUMIF(TableIncome[Year], "&lt;=" &amp; AB1, TableIncome[InvestmentP2])</f>
        <v>1379416.0186700602</v>
      </c>
      <c r="AC3" s="15">
        <f>SUMIF(TableIncome[Year], "&lt;=" &amp; AC1, TableIncome[InvestmentP2])</f>
        <v>1439109.2850737427</v>
      </c>
      <c r="AD3" s="15">
        <f>SUMIF(TableIncome[Year], "&lt;=" &amp; AD1, TableIncome[InvestmentP2])</f>
        <v>1439109.2850737427</v>
      </c>
      <c r="AE3" s="15">
        <f>SUMIF(TableIncome[Year], "&lt;=" &amp; AE1, TableIncome[InvestmentP2])</f>
        <v>1439109.2850737427</v>
      </c>
      <c r="AF3" s="15">
        <f>SUMIF(TableIncome[Year], "&lt;=" &amp; AF1, TableIncome[InvestmentP2])</f>
        <v>1439109.2850737427</v>
      </c>
      <c r="AG3" s="15">
        <f>SUMIF(TableIncome[Year], "&lt;=" &amp; AG1, TableIncome[InvestmentP2])</f>
        <v>1439109.2850737427</v>
      </c>
      <c r="AH3" s="15">
        <f>SUMIF(TableIncome[Year], "&lt;=" &amp; AH1, TableIncome[InvestmentP2])</f>
        <v>1439109.2850737427</v>
      </c>
      <c r="AI3" s="15">
        <f>SUMIF(TableIncome[Year], "&lt;=" &amp; AI1, TableIncome[InvestmentP2])</f>
        <v>1439109.2850737427</v>
      </c>
      <c r="AJ3" s="15">
        <f>SUMIF(TableIncome[Year], "&lt;=" &amp; AJ1, TableIncome[InvestmentP2])</f>
        <v>1439109.2850737427</v>
      </c>
      <c r="AK3" s="15">
        <f>SUMIF(TableIncome[Year], "&lt;=" &amp; AK1, TableIncome[InvestmentP2])</f>
        <v>1439109.2850737427</v>
      </c>
      <c r="AL3" s="15">
        <f>SUMIF(TableIncome[Year], "&lt;=" &amp; AL1, TableIncome[InvestmentP2])</f>
        <v>1439109.2850737427</v>
      </c>
      <c r="AM3" s="15">
        <f>SUMIF(TableIncome[Year], "&lt;=" &amp; AM1, TableIncome[InvestmentP2])</f>
        <v>1439109.2850737427</v>
      </c>
      <c r="AN3" s="15">
        <f>SUMIF(TableIncome[Year], "&lt;=" &amp; AN1, TableIncome[InvestmentP2])</f>
        <v>1439109.2850737427</v>
      </c>
      <c r="AO3" s="15">
        <f>SUMIF(TableIncome[Year], "&lt;=" &amp; AO1, TableIncome[InvestmentP2])</f>
        <v>1439109.2850737427</v>
      </c>
      <c r="AP3" s="15">
        <f>SUMIF(TableIncome[Year], "&lt;=" &amp; AP1, TableIncome[InvestmentP2])</f>
        <v>1439109.2850737427</v>
      </c>
      <c r="AQ3" s="15">
        <f>SUMIF(TableIncome[Year], "&lt;=" &amp; AQ1, TableIncome[InvestmentP2])</f>
        <v>1439109.2850737427</v>
      </c>
      <c r="AR3" s="15">
        <f>SUMIF(TableIncome[Year], "&lt;=" &amp; AR1, TableIncome[InvestmentP2])</f>
        <v>1439109.2850737427</v>
      </c>
      <c r="AS3" s="15">
        <f>SUMIF(TableIncome[Year], "&lt;=" &amp; AS1, TableIncome[InvestmentP2])</f>
        <v>1439109.2850737427</v>
      </c>
      <c r="AT3" s="15">
        <f>SUMIF(TableIncome[Year], "&lt;=" &amp; AT1, TableIncome[InvestmentP2])</f>
        <v>1439109.2850737427</v>
      </c>
      <c r="AU3" s="15">
        <f>SUMIF(TableIncome[Year], "&lt;=" &amp; AU1, TableIncome[InvestmentP2])</f>
        <v>1439109.2850737427</v>
      </c>
      <c r="AV3" s="15">
        <f>SUMIF(TableIncome[Year], "&lt;=" &amp; AV1, TableIncome[InvestmentP2])</f>
        <v>1439109.2850737427</v>
      </c>
      <c r="AW3" s="15">
        <f>SUMIF(TableIncome[Year], "&lt;=" &amp; AW1, TableIncome[InvestmentP2])</f>
        <v>1439109.2850737427</v>
      </c>
      <c r="AX3" s="15">
        <f>SUMIF(TableIncome[Year], "&lt;=" &amp; AX1, TableIncome[InvestmentP2])</f>
        <v>1439109.2850737427</v>
      </c>
      <c r="AY3" s="15">
        <f>SUMIF(TableIncome[Year], "&lt;=" &amp; AY1, TableIncome[InvestmentP2])</f>
        <v>1439109.2850737427</v>
      </c>
      <c r="AZ3" s="15">
        <f>SUMIF(TableIncome[Year], "&lt;=" &amp; AZ1, TableIncome[InvestmentP2])</f>
        <v>1439109.2850737427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defaultColWidth="9.140625" defaultRowHeight="15" x14ac:dyDescent="0.25"/>
  <cols>
    <col min="1" max="1" width="9.140625" style="1"/>
    <col min="2" max="2" width="134.7109375" style="1" customWidth="1"/>
    <col min="3" max="12" width="9.140625" style="1"/>
    <col min="13" max="13" width="18.7109375" style="1" customWidth="1"/>
    <col min="14" max="14" width="15.42578125" style="1" customWidth="1"/>
    <col min="15" max="16384" width="9.140625" style="1"/>
  </cols>
  <sheetData>
    <row r="3" spans="2:2" x14ac:dyDescent="0.25">
      <c r="B3" s="1" t="s">
        <v>81</v>
      </c>
    </row>
    <row r="4" spans="2:2" x14ac:dyDescent="0.25">
      <c r="B4" s="1" t="s">
        <v>82</v>
      </c>
    </row>
    <row r="5" spans="2:2" x14ac:dyDescent="0.25">
      <c r="B5" s="1" t="s">
        <v>83</v>
      </c>
    </row>
    <row r="6" spans="2:2" x14ac:dyDescent="0.25">
      <c r="B6" s="1" t="s">
        <v>88</v>
      </c>
    </row>
    <row r="7" spans="2:2" x14ac:dyDescent="0.25">
      <c r="B7" s="1" t="s">
        <v>84</v>
      </c>
    </row>
    <row r="9" spans="2:2" x14ac:dyDescent="0.25">
      <c r="B9" s="1" t="s">
        <v>85</v>
      </c>
    </row>
    <row r="13" spans="2:2" x14ac:dyDescent="0.25">
      <c r="B13" s="1" t="s">
        <v>86</v>
      </c>
    </row>
    <row r="14" spans="2:2" x14ac:dyDescent="0.25">
      <c r="B14" s="1" t="s">
        <v>87</v>
      </c>
    </row>
    <row r="18" spans="2:2" x14ac:dyDescent="0.25">
      <c r="B18" s="1" t="s">
        <v>89</v>
      </c>
    </row>
    <row r="37" spans="2:14" x14ac:dyDescent="0.25">
      <c r="B37" s="1" t="s">
        <v>90</v>
      </c>
    </row>
    <row r="41" spans="2:14" x14ac:dyDescent="0.25">
      <c r="C41" s="1" t="s">
        <v>91</v>
      </c>
    </row>
    <row r="42" spans="2:14" x14ac:dyDescent="0.25">
      <c r="D42" s="1" t="s">
        <v>94</v>
      </c>
      <c r="E42" s="1" t="s">
        <v>95</v>
      </c>
    </row>
    <row r="43" spans="2:14" x14ac:dyDescent="0.25">
      <c r="C43" s="1" t="s">
        <v>92</v>
      </c>
      <c r="D43" s="17">
        <v>0.03</v>
      </c>
      <c r="E43" s="17">
        <v>0.01</v>
      </c>
      <c r="H43" s="1">
        <v>2025</v>
      </c>
      <c r="I43" s="1">
        <v>2026</v>
      </c>
      <c r="J43" s="1">
        <v>2027</v>
      </c>
      <c r="M43" s="73" t="s">
        <v>96</v>
      </c>
      <c r="N43" s="74" t="s">
        <v>97</v>
      </c>
    </row>
    <row r="44" spans="2:14" x14ac:dyDescent="0.25">
      <c r="C44" s="1" t="s">
        <v>93</v>
      </c>
      <c r="D44" s="17">
        <v>0.1</v>
      </c>
      <c r="E44" s="17">
        <v>0.03</v>
      </c>
      <c r="H44" s="17">
        <v>0.03</v>
      </c>
      <c r="I44" s="17">
        <v>0.04</v>
      </c>
      <c r="J44" s="17">
        <v>0.06</v>
      </c>
      <c r="K44" s="17">
        <v>7.0000000000000007E-2</v>
      </c>
      <c r="L44" s="17">
        <v>0.1</v>
      </c>
      <c r="M44" s="73"/>
      <c r="N44" s="74"/>
    </row>
    <row r="45" spans="2:14" x14ac:dyDescent="0.25">
      <c r="M45" s="73"/>
      <c r="N45" s="74"/>
    </row>
    <row r="46" spans="2:14" x14ac:dyDescent="0.25">
      <c r="H46" s="17">
        <f>AVERAGE(H44:L44)</f>
        <v>6.0000000000000012E-2</v>
      </c>
      <c r="I46" s="17">
        <f>AVERAGE(I44:L44)</f>
        <v>6.7500000000000004E-2</v>
      </c>
      <c r="M46" s="73"/>
      <c r="N46" s="74"/>
    </row>
    <row r="51" spans="2:21" x14ac:dyDescent="0.25">
      <c r="J51" s="1" t="s">
        <v>98</v>
      </c>
      <c r="L51" s="1" t="s">
        <v>99</v>
      </c>
    </row>
    <row r="53" spans="2:21" x14ac:dyDescent="0.25">
      <c r="J53" s="1">
        <v>2025</v>
      </c>
      <c r="K53" s="1">
        <v>2026</v>
      </c>
      <c r="L53" s="1">
        <v>2027</v>
      </c>
      <c r="M53" s="1">
        <v>2028</v>
      </c>
      <c r="N53" s="1">
        <v>2029</v>
      </c>
      <c r="O53" s="1">
        <v>2030</v>
      </c>
      <c r="P53" s="1">
        <v>2031</v>
      </c>
      <c r="Q53" s="1">
        <v>2032</v>
      </c>
      <c r="R53" s="1">
        <v>2033</v>
      </c>
      <c r="S53" s="1">
        <v>2034</v>
      </c>
      <c r="U53" s="1" t="s">
        <v>100</v>
      </c>
    </row>
    <row r="54" spans="2:21" x14ac:dyDescent="0.25">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1">
        <v>2000000</v>
      </c>
    </row>
    <row r="57" spans="2:21" x14ac:dyDescent="0.25">
      <c r="B57" s="18" t="s">
        <v>101</v>
      </c>
    </row>
  </sheetData>
  <mergeCells count="2">
    <mergeCell ref="M43:M46"/>
    <mergeCell ref="N43:N4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workbookViewId="0"/>
  </sheetViews>
  <sheetFormatPr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52" x14ac:dyDescent="0.25">
      <c r="B1" t="s">
        <v>104</v>
      </c>
      <c r="C1" t="s">
        <v>105</v>
      </c>
      <c r="D1" t="s">
        <v>106</v>
      </c>
      <c r="E1" t="s">
        <v>107</v>
      </c>
      <c r="F1" t="s">
        <v>108</v>
      </c>
      <c r="G1" t="s">
        <v>109</v>
      </c>
      <c r="H1" t="s">
        <v>110</v>
      </c>
      <c r="I1" t="s">
        <v>111</v>
      </c>
      <c r="J1" t="s">
        <v>112</v>
      </c>
      <c r="K1" t="s">
        <v>113</v>
      </c>
      <c r="L1" t="s">
        <v>114</v>
      </c>
      <c r="M1" t="s">
        <v>115</v>
      </c>
      <c r="N1" t="s">
        <v>116</v>
      </c>
      <c r="O1" t="s">
        <v>117</v>
      </c>
      <c r="P1" t="s">
        <v>118</v>
      </c>
      <c r="Q1" t="s">
        <v>119</v>
      </c>
      <c r="R1" t="s">
        <v>120</v>
      </c>
      <c r="S1" t="s">
        <v>121</v>
      </c>
      <c r="T1" t="s">
        <v>122</v>
      </c>
      <c r="U1" t="s">
        <v>123</v>
      </c>
      <c r="V1" t="s">
        <v>124</v>
      </c>
      <c r="W1" t="s">
        <v>125</v>
      </c>
      <c r="X1" t="s">
        <v>126</v>
      </c>
      <c r="Y1" t="s">
        <v>127</v>
      </c>
      <c r="Z1" t="s">
        <v>128</v>
      </c>
      <c r="AA1" t="s">
        <v>129</v>
      </c>
      <c r="AB1" t="s">
        <v>130</v>
      </c>
      <c r="AC1" t="s">
        <v>131</v>
      </c>
      <c r="AD1" t="s">
        <v>132</v>
      </c>
      <c r="AE1" t="s">
        <v>133</v>
      </c>
      <c r="AF1" t="s">
        <v>134</v>
      </c>
      <c r="AG1" t="s">
        <v>135</v>
      </c>
      <c r="AH1" t="s">
        <v>136</v>
      </c>
      <c r="AI1" t="s">
        <v>137</v>
      </c>
      <c r="AJ1" t="s">
        <v>138</v>
      </c>
      <c r="AK1" t="s">
        <v>139</v>
      </c>
      <c r="AL1" t="s">
        <v>140</v>
      </c>
      <c r="AM1" t="s">
        <v>141</v>
      </c>
      <c r="AN1" t="s">
        <v>142</v>
      </c>
      <c r="AO1" t="s">
        <v>143</v>
      </c>
      <c r="AP1" t="s">
        <v>144</v>
      </c>
      <c r="AQ1" t="s">
        <v>145</v>
      </c>
      <c r="AR1" t="s">
        <v>146</v>
      </c>
      <c r="AS1" t="s">
        <v>147</v>
      </c>
      <c r="AT1" t="s">
        <v>148</v>
      </c>
      <c r="AU1" t="s">
        <v>149</v>
      </c>
      <c r="AV1" t="s">
        <v>150</v>
      </c>
      <c r="AW1" t="s">
        <v>151</v>
      </c>
      <c r="AX1" t="s">
        <v>152</v>
      </c>
      <c r="AY1" t="s">
        <v>153</v>
      </c>
      <c r="AZ1" s="21" t="s">
        <v>159</v>
      </c>
    </row>
    <row r="2" spans="1:52" x14ac:dyDescent="0.25">
      <c r="A2" t="s">
        <v>102</v>
      </c>
      <c r="B2" s="25">
        <v>1E-3</v>
      </c>
      <c r="C2" s="25">
        <f>B2</f>
        <v>1E-3</v>
      </c>
      <c r="D2" s="25">
        <f t="shared" ref="D2:K3" si="0">C2</f>
        <v>1E-3</v>
      </c>
      <c r="E2" s="25">
        <f t="shared" si="0"/>
        <v>1E-3</v>
      </c>
      <c r="F2" s="25">
        <f t="shared" si="0"/>
        <v>1E-3</v>
      </c>
      <c r="G2" s="25">
        <f t="shared" si="0"/>
        <v>1E-3</v>
      </c>
      <c r="H2" s="25">
        <f t="shared" si="0"/>
        <v>1E-3</v>
      </c>
      <c r="I2" s="25">
        <f t="shared" si="0"/>
        <v>1E-3</v>
      </c>
      <c r="J2" s="25">
        <f t="shared" si="0"/>
        <v>1E-3</v>
      </c>
      <c r="K2" s="25">
        <f t="shared" si="0"/>
        <v>1E-3</v>
      </c>
      <c r="L2" s="25">
        <v>0.04</v>
      </c>
      <c r="M2" s="25">
        <f t="shared" ref="M2:AB7" si="1">L2</f>
        <v>0.04</v>
      </c>
      <c r="N2" s="25">
        <f t="shared" si="1"/>
        <v>0.04</v>
      </c>
      <c r="O2" s="25">
        <f t="shared" si="1"/>
        <v>0.04</v>
      </c>
      <c r="P2" s="25">
        <f t="shared" si="1"/>
        <v>0.04</v>
      </c>
      <c r="Q2" s="25">
        <f t="shared" si="1"/>
        <v>0.04</v>
      </c>
      <c r="R2" s="25">
        <f t="shared" si="1"/>
        <v>0.04</v>
      </c>
      <c r="S2" s="25">
        <f t="shared" si="1"/>
        <v>0.04</v>
      </c>
      <c r="T2" s="25">
        <f t="shared" si="1"/>
        <v>0.04</v>
      </c>
      <c r="U2" s="25">
        <f t="shared" si="1"/>
        <v>0.04</v>
      </c>
      <c r="V2" s="25">
        <f t="shared" si="1"/>
        <v>0.04</v>
      </c>
      <c r="W2" s="25">
        <f t="shared" si="1"/>
        <v>0.04</v>
      </c>
      <c r="X2" s="25">
        <f t="shared" si="1"/>
        <v>0.04</v>
      </c>
      <c r="Y2" s="25">
        <f t="shared" si="1"/>
        <v>0.04</v>
      </c>
      <c r="Z2" s="25">
        <f t="shared" si="1"/>
        <v>0.04</v>
      </c>
      <c r="AA2" s="25">
        <f t="shared" si="1"/>
        <v>0.04</v>
      </c>
      <c r="AB2" s="25">
        <f t="shared" si="1"/>
        <v>0.04</v>
      </c>
      <c r="AC2" s="25">
        <f t="shared" ref="AC2:AR7" si="2">AB2</f>
        <v>0.04</v>
      </c>
      <c r="AD2" s="25">
        <f t="shared" si="2"/>
        <v>0.04</v>
      </c>
      <c r="AE2" s="25">
        <f t="shared" si="2"/>
        <v>0.04</v>
      </c>
      <c r="AF2" s="25">
        <f t="shared" si="2"/>
        <v>0.04</v>
      </c>
      <c r="AG2" s="25">
        <f t="shared" si="2"/>
        <v>0.04</v>
      </c>
      <c r="AH2" s="25">
        <f t="shared" si="2"/>
        <v>0.04</v>
      </c>
      <c r="AI2" s="25">
        <f t="shared" si="2"/>
        <v>0.04</v>
      </c>
      <c r="AJ2" s="25">
        <f t="shared" si="2"/>
        <v>0.04</v>
      </c>
      <c r="AK2" s="25">
        <f t="shared" si="2"/>
        <v>0.04</v>
      </c>
      <c r="AL2" s="25">
        <f t="shared" si="2"/>
        <v>0.04</v>
      </c>
      <c r="AM2" s="25">
        <f t="shared" si="2"/>
        <v>0.04</v>
      </c>
      <c r="AN2" s="25">
        <f t="shared" si="2"/>
        <v>0.04</v>
      </c>
      <c r="AO2" s="25">
        <f t="shared" si="2"/>
        <v>0.04</v>
      </c>
      <c r="AP2" s="25">
        <f t="shared" si="2"/>
        <v>0.04</v>
      </c>
      <c r="AQ2" s="25">
        <f t="shared" si="2"/>
        <v>0.04</v>
      </c>
      <c r="AR2" s="25">
        <f t="shared" si="2"/>
        <v>0.04</v>
      </c>
      <c r="AS2" s="25">
        <f t="shared" ref="AS2:AZ7" si="3">AR2</f>
        <v>0.04</v>
      </c>
      <c r="AT2" s="25">
        <f t="shared" si="3"/>
        <v>0.04</v>
      </c>
      <c r="AU2" s="25">
        <f t="shared" si="3"/>
        <v>0.04</v>
      </c>
      <c r="AV2" s="25">
        <f t="shared" si="3"/>
        <v>0.04</v>
      </c>
      <c r="AW2" s="25">
        <f t="shared" si="3"/>
        <v>0.04</v>
      </c>
      <c r="AX2" s="25">
        <f t="shared" si="3"/>
        <v>0.04</v>
      </c>
      <c r="AY2" s="25">
        <f t="shared" si="3"/>
        <v>0.04</v>
      </c>
      <c r="AZ2" s="25">
        <f t="shared" si="3"/>
        <v>0.04</v>
      </c>
    </row>
    <row r="3" spans="1:52" x14ac:dyDescent="0.25">
      <c r="A3" t="s">
        <v>103</v>
      </c>
      <c r="B3" s="25">
        <v>1E-3</v>
      </c>
      <c r="C3" s="25">
        <f>B3</f>
        <v>1E-3</v>
      </c>
      <c r="D3" s="25">
        <f t="shared" si="0"/>
        <v>1E-3</v>
      </c>
      <c r="E3" s="25">
        <f t="shared" si="0"/>
        <v>1E-3</v>
      </c>
      <c r="F3" s="25">
        <f t="shared" si="0"/>
        <v>1E-3</v>
      </c>
      <c r="G3" s="25">
        <f t="shared" si="0"/>
        <v>1E-3</v>
      </c>
      <c r="H3" s="25">
        <f t="shared" si="0"/>
        <v>1E-3</v>
      </c>
      <c r="I3" s="25">
        <f t="shared" si="0"/>
        <v>1E-3</v>
      </c>
      <c r="J3" s="25">
        <f t="shared" si="0"/>
        <v>1E-3</v>
      </c>
      <c r="K3" s="25">
        <f t="shared" si="0"/>
        <v>1E-3</v>
      </c>
      <c r="L3" s="25">
        <v>0.04</v>
      </c>
      <c r="M3" s="25">
        <f t="shared" si="1"/>
        <v>0.04</v>
      </c>
      <c r="N3" s="25">
        <f t="shared" si="1"/>
        <v>0.04</v>
      </c>
      <c r="O3" s="25">
        <f t="shared" si="1"/>
        <v>0.04</v>
      </c>
      <c r="P3" s="25">
        <f t="shared" si="1"/>
        <v>0.04</v>
      </c>
      <c r="Q3" s="25">
        <f t="shared" si="1"/>
        <v>0.04</v>
      </c>
      <c r="R3" s="25">
        <f t="shared" si="1"/>
        <v>0.04</v>
      </c>
      <c r="S3" s="25">
        <f t="shared" si="1"/>
        <v>0.04</v>
      </c>
      <c r="T3" s="25">
        <f t="shared" si="1"/>
        <v>0.04</v>
      </c>
      <c r="U3" s="25">
        <f t="shared" si="1"/>
        <v>0.04</v>
      </c>
      <c r="V3" s="25">
        <f t="shared" si="1"/>
        <v>0.04</v>
      </c>
      <c r="W3" s="25">
        <f t="shared" si="1"/>
        <v>0.04</v>
      </c>
      <c r="X3" s="25">
        <f t="shared" si="1"/>
        <v>0.04</v>
      </c>
      <c r="Y3" s="25">
        <f t="shared" si="1"/>
        <v>0.04</v>
      </c>
      <c r="Z3" s="25">
        <f t="shared" si="1"/>
        <v>0.04</v>
      </c>
      <c r="AA3" s="25">
        <f t="shared" si="1"/>
        <v>0.04</v>
      </c>
      <c r="AB3" s="25">
        <f t="shared" si="1"/>
        <v>0.04</v>
      </c>
      <c r="AC3" s="25">
        <f t="shared" si="2"/>
        <v>0.04</v>
      </c>
      <c r="AD3" s="25">
        <f t="shared" si="2"/>
        <v>0.04</v>
      </c>
      <c r="AE3" s="25">
        <f t="shared" si="2"/>
        <v>0.04</v>
      </c>
      <c r="AF3" s="25">
        <f t="shared" si="2"/>
        <v>0.04</v>
      </c>
      <c r="AG3" s="25">
        <f t="shared" si="2"/>
        <v>0.04</v>
      </c>
      <c r="AH3" s="25">
        <f t="shared" si="2"/>
        <v>0.04</v>
      </c>
      <c r="AI3" s="25">
        <f t="shared" si="2"/>
        <v>0.04</v>
      </c>
      <c r="AJ3" s="25">
        <f t="shared" si="2"/>
        <v>0.04</v>
      </c>
      <c r="AK3" s="25">
        <f t="shared" si="2"/>
        <v>0.04</v>
      </c>
      <c r="AL3" s="25">
        <f t="shared" si="2"/>
        <v>0.04</v>
      </c>
      <c r="AM3" s="25">
        <f t="shared" si="2"/>
        <v>0.04</v>
      </c>
      <c r="AN3" s="25">
        <f t="shared" si="2"/>
        <v>0.04</v>
      </c>
      <c r="AO3" s="25">
        <f t="shared" si="2"/>
        <v>0.04</v>
      </c>
      <c r="AP3" s="25">
        <f t="shared" si="2"/>
        <v>0.04</v>
      </c>
      <c r="AQ3" s="25">
        <f t="shared" si="2"/>
        <v>0.04</v>
      </c>
      <c r="AR3" s="25">
        <f t="shared" si="2"/>
        <v>0.04</v>
      </c>
      <c r="AS3" s="25">
        <f t="shared" si="3"/>
        <v>0.04</v>
      </c>
      <c r="AT3" s="25">
        <f t="shared" si="3"/>
        <v>0.04</v>
      </c>
      <c r="AU3" s="25">
        <f t="shared" si="3"/>
        <v>0.04</v>
      </c>
      <c r="AV3" s="25">
        <f t="shared" si="3"/>
        <v>0.04</v>
      </c>
      <c r="AW3" s="25">
        <f t="shared" si="3"/>
        <v>0.04</v>
      </c>
      <c r="AX3" s="25">
        <f t="shared" si="3"/>
        <v>0.04</v>
      </c>
      <c r="AY3" s="25">
        <f t="shared" si="3"/>
        <v>0.04</v>
      </c>
      <c r="AZ3" s="25">
        <f t="shared" si="3"/>
        <v>0.04</v>
      </c>
    </row>
    <row r="4" spans="1:52" x14ac:dyDescent="0.25">
      <c r="A4" t="s">
        <v>157</v>
      </c>
      <c r="B4" s="25">
        <v>1E-3</v>
      </c>
      <c r="C4" s="25">
        <f t="shared" ref="C4:M7" si="4">B4</f>
        <v>1E-3</v>
      </c>
      <c r="D4" s="25">
        <f t="shared" si="4"/>
        <v>1E-3</v>
      </c>
      <c r="E4" s="25">
        <f t="shared" si="4"/>
        <v>1E-3</v>
      </c>
      <c r="F4" s="25">
        <f t="shared" si="4"/>
        <v>1E-3</v>
      </c>
      <c r="G4" s="25">
        <f t="shared" si="4"/>
        <v>1E-3</v>
      </c>
      <c r="H4" s="25">
        <f t="shared" si="4"/>
        <v>1E-3</v>
      </c>
      <c r="I4" s="25">
        <f t="shared" si="4"/>
        <v>1E-3</v>
      </c>
      <c r="J4" s="25">
        <f t="shared" si="4"/>
        <v>1E-3</v>
      </c>
      <c r="K4" s="25">
        <f t="shared" si="4"/>
        <v>1E-3</v>
      </c>
      <c r="L4" s="25">
        <v>0.04</v>
      </c>
      <c r="M4" s="25">
        <f t="shared" si="4"/>
        <v>0.04</v>
      </c>
      <c r="N4" s="25">
        <f t="shared" si="1"/>
        <v>0.04</v>
      </c>
      <c r="O4" s="25">
        <f t="shared" si="1"/>
        <v>0.04</v>
      </c>
      <c r="P4" s="25">
        <f t="shared" si="1"/>
        <v>0.04</v>
      </c>
      <c r="Q4" s="25">
        <f t="shared" si="1"/>
        <v>0.04</v>
      </c>
      <c r="R4" s="25">
        <f t="shared" si="1"/>
        <v>0.04</v>
      </c>
      <c r="S4" s="25">
        <f t="shared" si="1"/>
        <v>0.04</v>
      </c>
      <c r="T4" s="25">
        <f t="shared" si="1"/>
        <v>0.04</v>
      </c>
      <c r="U4" s="25">
        <f t="shared" si="1"/>
        <v>0.04</v>
      </c>
      <c r="V4" s="25">
        <f t="shared" si="1"/>
        <v>0.04</v>
      </c>
      <c r="W4" s="25">
        <f t="shared" si="1"/>
        <v>0.04</v>
      </c>
      <c r="X4" s="25">
        <f t="shared" si="1"/>
        <v>0.04</v>
      </c>
      <c r="Y4" s="25">
        <f t="shared" si="1"/>
        <v>0.04</v>
      </c>
      <c r="Z4" s="25">
        <f t="shared" si="1"/>
        <v>0.04</v>
      </c>
      <c r="AA4" s="25">
        <f t="shared" si="1"/>
        <v>0.04</v>
      </c>
      <c r="AB4" s="25">
        <f t="shared" si="1"/>
        <v>0.04</v>
      </c>
      <c r="AC4" s="25">
        <f t="shared" si="2"/>
        <v>0.04</v>
      </c>
      <c r="AD4" s="25">
        <f t="shared" si="2"/>
        <v>0.04</v>
      </c>
      <c r="AE4" s="25">
        <f t="shared" si="2"/>
        <v>0.04</v>
      </c>
      <c r="AF4" s="25">
        <f t="shared" si="2"/>
        <v>0.04</v>
      </c>
      <c r="AG4" s="25">
        <f t="shared" si="2"/>
        <v>0.04</v>
      </c>
      <c r="AH4" s="25">
        <f t="shared" si="2"/>
        <v>0.04</v>
      </c>
      <c r="AI4" s="25">
        <f t="shared" si="2"/>
        <v>0.04</v>
      </c>
      <c r="AJ4" s="25">
        <f t="shared" si="2"/>
        <v>0.04</v>
      </c>
      <c r="AK4" s="25">
        <f t="shared" si="2"/>
        <v>0.04</v>
      </c>
      <c r="AL4" s="25">
        <f t="shared" si="2"/>
        <v>0.04</v>
      </c>
      <c r="AM4" s="25">
        <f t="shared" si="2"/>
        <v>0.04</v>
      </c>
      <c r="AN4" s="25">
        <f t="shared" si="2"/>
        <v>0.04</v>
      </c>
      <c r="AO4" s="25">
        <f t="shared" si="2"/>
        <v>0.04</v>
      </c>
      <c r="AP4" s="25">
        <f t="shared" si="2"/>
        <v>0.04</v>
      </c>
      <c r="AQ4" s="25">
        <f t="shared" si="2"/>
        <v>0.04</v>
      </c>
      <c r="AR4" s="25">
        <f t="shared" si="2"/>
        <v>0.04</v>
      </c>
      <c r="AS4" s="25">
        <f t="shared" si="3"/>
        <v>0.04</v>
      </c>
      <c r="AT4" s="25">
        <f t="shared" si="3"/>
        <v>0.04</v>
      </c>
      <c r="AU4" s="25">
        <f t="shared" si="3"/>
        <v>0.04</v>
      </c>
      <c r="AV4" s="25">
        <f t="shared" si="3"/>
        <v>0.04</v>
      </c>
      <c r="AW4" s="25">
        <f t="shared" si="3"/>
        <v>0.04</v>
      </c>
      <c r="AX4" s="25">
        <f t="shared" si="3"/>
        <v>0.04</v>
      </c>
      <c r="AY4" s="25">
        <f t="shared" si="3"/>
        <v>0.04</v>
      </c>
      <c r="AZ4" s="25">
        <f t="shared" si="3"/>
        <v>0.04</v>
      </c>
    </row>
    <row r="5" spans="1:52" x14ac:dyDescent="0.25">
      <c r="A5" t="s">
        <v>156</v>
      </c>
      <c r="B5" s="25">
        <v>1E-3</v>
      </c>
      <c r="C5" s="25">
        <f t="shared" si="4"/>
        <v>1E-3</v>
      </c>
      <c r="D5" s="25">
        <f t="shared" si="4"/>
        <v>1E-3</v>
      </c>
      <c r="E5" s="25">
        <f t="shared" si="4"/>
        <v>1E-3</v>
      </c>
      <c r="F5" s="25">
        <f t="shared" si="4"/>
        <v>1E-3</v>
      </c>
      <c r="G5" s="25">
        <f t="shared" si="4"/>
        <v>1E-3</v>
      </c>
      <c r="H5" s="25">
        <f t="shared" si="4"/>
        <v>1E-3</v>
      </c>
      <c r="I5" s="25">
        <f t="shared" si="4"/>
        <v>1E-3</v>
      </c>
      <c r="J5" s="25">
        <f t="shared" si="4"/>
        <v>1E-3</v>
      </c>
      <c r="K5" s="25">
        <f t="shared" si="4"/>
        <v>1E-3</v>
      </c>
      <c r="L5" s="25">
        <v>0.04</v>
      </c>
      <c r="M5" s="25">
        <f t="shared" si="4"/>
        <v>0.04</v>
      </c>
      <c r="N5" s="25">
        <f t="shared" si="1"/>
        <v>0.04</v>
      </c>
      <c r="O5" s="25">
        <f t="shared" si="1"/>
        <v>0.04</v>
      </c>
      <c r="P5" s="25">
        <f t="shared" si="1"/>
        <v>0.04</v>
      </c>
      <c r="Q5" s="25">
        <f t="shared" si="1"/>
        <v>0.04</v>
      </c>
      <c r="R5" s="25">
        <f t="shared" si="1"/>
        <v>0.04</v>
      </c>
      <c r="S5" s="25">
        <f t="shared" si="1"/>
        <v>0.04</v>
      </c>
      <c r="T5" s="25">
        <f t="shared" si="1"/>
        <v>0.04</v>
      </c>
      <c r="U5" s="25">
        <f t="shared" si="1"/>
        <v>0.04</v>
      </c>
      <c r="V5" s="25">
        <f t="shared" si="1"/>
        <v>0.04</v>
      </c>
      <c r="W5" s="25">
        <f t="shared" si="1"/>
        <v>0.04</v>
      </c>
      <c r="X5" s="25">
        <f t="shared" si="1"/>
        <v>0.04</v>
      </c>
      <c r="Y5" s="25">
        <f t="shared" si="1"/>
        <v>0.04</v>
      </c>
      <c r="Z5" s="25">
        <f t="shared" si="1"/>
        <v>0.04</v>
      </c>
      <c r="AA5" s="25">
        <f t="shared" si="1"/>
        <v>0.04</v>
      </c>
      <c r="AB5" s="25">
        <f t="shared" si="1"/>
        <v>0.04</v>
      </c>
      <c r="AC5" s="25">
        <f t="shared" si="2"/>
        <v>0.04</v>
      </c>
      <c r="AD5" s="25">
        <f t="shared" si="2"/>
        <v>0.04</v>
      </c>
      <c r="AE5" s="25">
        <f t="shared" si="2"/>
        <v>0.04</v>
      </c>
      <c r="AF5" s="25">
        <f t="shared" si="2"/>
        <v>0.04</v>
      </c>
      <c r="AG5" s="25">
        <f t="shared" si="2"/>
        <v>0.04</v>
      </c>
      <c r="AH5" s="25">
        <f t="shared" si="2"/>
        <v>0.04</v>
      </c>
      <c r="AI5" s="25">
        <f t="shared" si="2"/>
        <v>0.04</v>
      </c>
      <c r="AJ5" s="25">
        <f t="shared" si="2"/>
        <v>0.04</v>
      </c>
      <c r="AK5" s="25">
        <f t="shared" si="2"/>
        <v>0.04</v>
      </c>
      <c r="AL5" s="25">
        <f t="shared" si="2"/>
        <v>0.04</v>
      </c>
      <c r="AM5" s="25">
        <f t="shared" si="2"/>
        <v>0.04</v>
      </c>
      <c r="AN5" s="25">
        <f t="shared" si="2"/>
        <v>0.04</v>
      </c>
      <c r="AO5" s="25">
        <f t="shared" si="2"/>
        <v>0.04</v>
      </c>
      <c r="AP5" s="25">
        <f t="shared" si="2"/>
        <v>0.04</v>
      </c>
      <c r="AQ5" s="25">
        <f t="shared" si="2"/>
        <v>0.04</v>
      </c>
      <c r="AR5" s="25">
        <f t="shared" si="2"/>
        <v>0.04</v>
      </c>
      <c r="AS5" s="25">
        <f t="shared" si="3"/>
        <v>0.04</v>
      </c>
      <c r="AT5" s="25">
        <f t="shared" si="3"/>
        <v>0.04</v>
      </c>
      <c r="AU5" s="25">
        <f t="shared" si="3"/>
        <v>0.04</v>
      </c>
      <c r="AV5" s="25">
        <f t="shared" si="3"/>
        <v>0.04</v>
      </c>
      <c r="AW5" s="25">
        <f t="shared" si="3"/>
        <v>0.04</v>
      </c>
      <c r="AX5" s="25">
        <f t="shared" si="3"/>
        <v>0.04</v>
      </c>
      <c r="AY5" s="25">
        <f t="shared" si="3"/>
        <v>0.04</v>
      </c>
      <c r="AZ5" s="25">
        <f t="shared" si="3"/>
        <v>0.04</v>
      </c>
    </row>
    <row r="6" spans="1:52" x14ac:dyDescent="0.25">
      <c r="A6" t="s">
        <v>155</v>
      </c>
      <c r="B6" s="25">
        <v>1E-3</v>
      </c>
      <c r="C6" s="25">
        <f t="shared" si="4"/>
        <v>1E-3</v>
      </c>
      <c r="D6" s="25">
        <f t="shared" si="4"/>
        <v>1E-3</v>
      </c>
      <c r="E6" s="25">
        <f t="shared" si="4"/>
        <v>1E-3</v>
      </c>
      <c r="F6" s="25">
        <f t="shared" si="4"/>
        <v>1E-3</v>
      </c>
      <c r="G6" s="25">
        <f t="shared" si="4"/>
        <v>1E-3</v>
      </c>
      <c r="H6" s="25">
        <f t="shared" si="4"/>
        <v>1E-3</v>
      </c>
      <c r="I6" s="25">
        <f t="shared" si="4"/>
        <v>1E-3</v>
      </c>
      <c r="J6" s="25">
        <f t="shared" si="4"/>
        <v>1E-3</v>
      </c>
      <c r="K6" s="25">
        <f t="shared" si="4"/>
        <v>1E-3</v>
      </c>
      <c r="L6" s="25">
        <v>0.04</v>
      </c>
      <c r="M6" s="25">
        <f t="shared" si="4"/>
        <v>0.04</v>
      </c>
      <c r="N6" s="25">
        <f t="shared" si="1"/>
        <v>0.04</v>
      </c>
      <c r="O6" s="25">
        <f t="shared" si="1"/>
        <v>0.04</v>
      </c>
      <c r="P6" s="25">
        <f t="shared" si="1"/>
        <v>0.04</v>
      </c>
      <c r="Q6" s="25">
        <f t="shared" si="1"/>
        <v>0.04</v>
      </c>
      <c r="R6" s="25">
        <f t="shared" si="1"/>
        <v>0.04</v>
      </c>
      <c r="S6" s="25">
        <f t="shared" si="1"/>
        <v>0.04</v>
      </c>
      <c r="T6" s="25">
        <f t="shared" si="1"/>
        <v>0.04</v>
      </c>
      <c r="U6" s="25">
        <f t="shared" si="1"/>
        <v>0.04</v>
      </c>
      <c r="V6" s="25">
        <f t="shared" si="1"/>
        <v>0.04</v>
      </c>
      <c r="W6" s="25">
        <f t="shared" si="1"/>
        <v>0.04</v>
      </c>
      <c r="X6" s="25">
        <f t="shared" si="1"/>
        <v>0.04</v>
      </c>
      <c r="Y6" s="25">
        <f t="shared" si="1"/>
        <v>0.04</v>
      </c>
      <c r="Z6" s="25">
        <f t="shared" si="1"/>
        <v>0.04</v>
      </c>
      <c r="AA6" s="25">
        <f t="shared" si="1"/>
        <v>0.04</v>
      </c>
      <c r="AB6" s="25">
        <f t="shared" si="1"/>
        <v>0.04</v>
      </c>
      <c r="AC6" s="25">
        <f t="shared" si="2"/>
        <v>0.04</v>
      </c>
      <c r="AD6" s="25">
        <f t="shared" si="2"/>
        <v>0.04</v>
      </c>
      <c r="AE6" s="25">
        <f t="shared" si="2"/>
        <v>0.04</v>
      </c>
      <c r="AF6" s="25">
        <f t="shared" si="2"/>
        <v>0.04</v>
      </c>
      <c r="AG6" s="25">
        <f t="shared" si="2"/>
        <v>0.04</v>
      </c>
      <c r="AH6" s="25">
        <f t="shared" si="2"/>
        <v>0.04</v>
      </c>
      <c r="AI6" s="25">
        <f t="shared" si="2"/>
        <v>0.04</v>
      </c>
      <c r="AJ6" s="25">
        <f t="shared" si="2"/>
        <v>0.04</v>
      </c>
      <c r="AK6" s="25">
        <f t="shared" si="2"/>
        <v>0.04</v>
      </c>
      <c r="AL6" s="25">
        <f t="shared" si="2"/>
        <v>0.04</v>
      </c>
      <c r="AM6" s="25">
        <f t="shared" si="2"/>
        <v>0.04</v>
      </c>
      <c r="AN6" s="25">
        <f t="shared" si="2"/>
        <v>0.04</v>
      </c>
      <c r="AO6" s="25">
        <f t="shared" si="2"/>
        <v>0.04</v>
      </c>
      <c r="AP6" s="25">
        <f t="shared" si="2"/>
        <v>0.04</v>
      </c>
      <c r="AQ6" s="25">
        <f t="shared" si="2"/>
        <v>0.04</v>
      </c>
      <c r="AR6" s="25">
        <f t="shared" si="2"/>
        <v>0.04</v>
      </c>
      <c r="AS6" s="25">
        <f t="shared" si="3"/>
        <v>0.04</v>
      </c>
      <c r="AT6" s="25">
        <f t="shared" si="3"/>
        <v>0.04</v>
      </c>
      <c r="AU6" s="25">
        <f t="shared" si="3"/>
        <v>0.04</v>
      </c>
      <c r="AV6" s="25">
        <f t="shared" si="3"/>
        <v>0.04</v>
      </c>
      <c r="AW6" s="25">
        <f t="shared" si="3"/>
        <v>0.04</v>
      </c>
      <c r="AX6" s="25">
        <f t="shared" si="3"/>
        <v>0.04</v>
      </c>
      <c r="AY6" s="25">
        <f t="shared" si="3"/>
        <v>0.04</v>
      </c>
      <c r="AZ6" s="25">
        <f t="shared" si="3"/>
        <v>0.04</v>
      </c>
    </row>
    <row r="7" spans="1:52" x14ac:dyDescent="0.25">
      <c r="A7" t="s">
        <v>154</v>
      </c>
      <c r="B7" s="25">
        <v>1E-3</v>
      </c>
      <c r="C7" s="25">
        <f t="shared" si="4"/>
        <v>1E-3</v>
      </c>
      <c r="D7" s="25">
        <f t="shared" si="4"/>
        <v>1E-3</v>
      </c>
      <c r="E7" s="25">
        <f t="shared" si="4"/>
        <v>1E-3</v>
      </c>
      <c r="F7" s="25">
        <f t="shared" si="4"/>
        <v>1E-3</v>
      </c>
      <c r="G7" s="25">
        <f t="shared" si="4"/>
        <v>1E-3</v>
      </c>
      <c r="H7" s="25">
        <f t="shared" si="4"/>
        <v>1E-3</v>
      </c>
      <c r="I7" s="25">
        <f t="shared" si="4"/>
        <v>1E-3</v>
      </c>
      <c r="J7" s="25">
        <f t="shared" si="4"/>
        <v>1E-3</v>
      </c>
      <c r="K7" s="25">
        <f t="shared" si="4"/>
        <v>1E-3</v>
      </c>
      <c r="L7" s="25">
        <v>0.04</v>
      </c>
      <c r="M7" s="25">
        <f t="shared" si="4"/>
        <v>0.04</v>
      </c>
      <c r="N7" s="25">
        <f t="shared" si="1"/>
        <v>0.04</v>
      </c>
      <c r="O7" s="25">
        <f t="shared" si="1"/>
        <v>0.04</v>
      </c>
      <c r="P7" s="25">
        <f t="shared" si="1"/>
        <v>0.04</v>
      </c>
      <c r="Q7" s="25">
        <f t="shared" si="1"/>
        <v>0.04</v>
      </c>
      <c r="R7" s="25">
        <f t="shared" si="1"/>
        <v>0.04</v>
      </c>
      <c r="S7" s="25">
        <f t="shared" si="1"/>
        <v>0.04</v>
      </c>
      <c r="T7" s="25">
        <f t="shared" si="1"/>
        <v>0.04</v>
      </c>
      <c r="U7" s="25">
        <f t="shared" si="1"/>
        <v>0.04</v>
      </c>
      <c r="V7" s="25">
        <f t="shared" si="1"/>
        <v>0.04</v>
      </c>
      <c r="W7" s="25">
        <f t="shared" si="1"/>
        <v>0.04</v>
      </c>
      <c r="X7" s="25">
        <f t="shared" si="1"/>
        <v>0.04</v>
      </c>
      <c r="Y7" s="25">
        <f t="shared" si="1"/>
        <v>0.04</v>
      </c>
      <c r="Z7" s="25">
        <f t="shared" si="1"/>
        <v>0.04</v>
      </c>
      <c r="AA7" s="25">
        <f t="shared" si="1"/>
        <v>0.04</v>
      </c>
      <c r="AB7" s="25">
        <f t="shared" si="1"/>
        <v>0.04</v>
      </c>
      <c r="AC7" s="25">
        <f t="shared" si="2"/>
        <v>0.04</v>
      </c>
      <c r="AD7" s="25">
        <f t="shared" si="2"/>
        <v>0.04</v>
      </c>
      <c r="AE7" s="25">
        <f t="shared" si="2"/>
        <v>0.04</v>
      </c>
      <c r="AF7" s="25">
        <f t="shared" si="2"/>
        <v>0.04</v>
      </c>
      <c r="AG7" s="25">
        <f t="shared" si="2"/>
        <v>0.04</v>
      </c>
      <c r="AH7" s="25">
        <f t="shared" si="2"/>
        <v>0.04</v>
      </c>
      <c r="AI7" s="25">
        <f t="shared" si="2"/>
        <v>0.04</v>
      </c>
      <c r="AJ7" s="25">
        <f t="shared" si="2"/>
        <v>0.04</v>
      </c>
      <c r="AK7" s="25">
        <f t="shared" si="2"/>
        <v>0.04</v>
      </c>
      <c r="AL7" s="25">
        <f t="shared" si="2"/>
        <v>0.04</v>
      </c>
      <c r="AM7" s="25">
        <f t="shared" si="2"/>
        <v>0.04</v>
      </c>
      <c r="AN7" s="25">
        <f t="shared" si="2"/>
        <v>0.04</v>
      </c>
      <c r="AO7" s="25">
        <f t="shared" si="2"/>
        <v>0.04</v>
      </c>
      <c r="AP7" s="25">
        <f t="shared" si="2"/>
        <v>0.04</v>
      </c>
      <c r="AQ7" s="25">
        <f t="shared" si="2"/>
        <v>0.04</v>
      </c>
      <c r="AR7" s="25">
        <f t="shared" si="2"/>
        <v>0.04</v>
      </c>
      <c r="AS7" s="25">
        <f t="shared" si="3"/>
        <v>0.04</v>
      </c>
      <c r="AT7" s="25">
        <f t="shared" si="3"/>
        <v>0.04</v>
      </c>
      <c r="AU7" s="25">
        <f t="shared" si="3"/>
        <v>0.04</v>
      </c>
      <c r="AV7" s="25">
        <f t="shared" si="3"/>
        <v>0.04</v>
      </c>
      <c r="AW7" s="25">
        <f t="shared" si="3"/>
        <v>0.04</v>
      </c>
      <c r="AX7" s="25">
        <f t="shared" si="3"/>
        <v>0.04</v>
      </c>
      <c r="AY7" s="25">
        <f t="shared" si="3"/>
        <v>0.04</v>
      </c>
      <c r="AZ7" s="25">
        <f t="shared" si="3"/>
        <v>0.04</v>
      </c>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heetViews>
  <sheetFormatPr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52" x14ac:dyDescent="0.25">
      <c r="B1" t="s">
        <v>104</v>
      </c>
      <c r="C1" t="s">
        <v>105</v>
      </c>
      <c r="D1" t="s">
        <v>106</v>
      </c>
      <c r="E1" t="s">
        <v>107</v>
      </c>
      <c r="F1" t="s">
        <v>108</v>
      </c>
      <c r="G1" t="s">
        <v>109</v>
      </c>
      <c r="H1" t="s">
        <v>110</v>
      </c>
      <c r="I1" t="s">
        <v>111</v>
      </c>
      <c r="J1" t="s">
        <v>112</v>
      </c>
      <c r="K1" t="s">
        <v>113</v>
      </c>
      <c r="L1" t="s">
        <v>114</v>
      </c>
      <c r="M1" t="s">
        <v>115</v>
      </c>
      <c r="N1" t="s">
        <v>116</v>
      </c>
      <c r="O1" t="s">
        <v>117</v>
      </c>
      <c r="P1" t="s">
        <v>118</v>
      </c>
      <c r="Q1" t="s">
        <v>119</v>
      </c>
      <c r="R1" t="s">
        <v>120</v>
      </c>
      <c r="S1" t="s">
        <v>121</v>
      </c>
      <c r="T1" t="s">
        <v>122</v>
      </c>
      <c r="U1" t="s">
        <v>123</v>
      </c>
      <c r="V1" t="s">
        <v>124</v>
      </c>
      <c r="W1" t="s">
        <v>125</v>
      </c>
      <c r="X1" t="s">
        <v>126</v>
      </c>
      <c r="Y1" t="s">
        <v>127</v>
      </c>
      <c r="Z1" t="s">
        <v>128</v>
      </c>
      <c r="AA1" t="s">
        <v>129</v>
      </c>
      <c r="AB1" t="s">
        <v>130</v>
      </c>
      <c r="AC1" t="s">
        <v>131</v>
      </c>
      <c r="AD1" t="s">
        <v>132</v>
      </c>
      <c r="AE1" t="s">
        <v>133</v>
      </c>
      <c r="AF1" t="s">
        <v>134</v>
      </c>
      <c r="AG1" t="s">
        <v>135</v>
      </c>
      <c r="AH1" t="s">
        <v>136</v>
      </c>
      <c r="AI1" t="s">
        <v>137</v>
      </c>
      <c r="AJ1" t="s">
        <v>138</v>
      </c>
      <c r="AK1" t="s">
        <v>139</v>
      </c>
      <c r="AL1" t="s">
        <v>140</v>
      </c>
      <c r="AM1" t="s">
        <v>141</v>
      </c>
      <c r="AN1" t="s">
        <v>142</v>
      </c>
      <c r="AO1" t="s">
        <v>143</v>
      </c>
      <c r="AP1" t="s">
        <v>144</v>
      </c>
      <c r="AQ1" t="s">
        <v>145</v>
      </c>
      <c r="AR1" t="s">
        <v>146</v>
      </c>
      <c r="AS1" t="s">
        <v>147</v>
      </c>
      <c r="AT1" t="s">
        <v>148</v>
      </c>
      <c r="AU1" t="s">
        <v>149</v>
      </c>
      <c r="AV1" t="s">
        <v>150</v>
      </c>
      <c r="AW1" t="s">
        <v>151</v>
      </c>
      <c r="AX1" t="s">
        <v>152</v>
      </c>
      <c r="AY1" t="s">
        <v>153</v>
      </c>
      <c r="AZ1" s="21" t="s">
        <v>159</v>
      </c>
    </row>
    <row r="2" spans="1:52" x14ac:dyDescent="0.25">
      <c r="A2" t="s">
        <v>102</v>
      </c>
      <c r="B2" s="25">
        <f>8.6%-_xlfn.XLOOKUP(A2,BasisPointCost!$A:$A,BasisPointCost!$B:$B)</f>
        <v>8.3999999999999991E-2</v>
      </c>
      <c r="C2" s="25">
        <f>B2</f>
        <v>8.3999999999999991E-2</v>
      </c>
      <c r="D2" s="25">
        <f t="shared" ref="D2:K2" si="0">C2</f>
        <v>8.3999999999999991E-2</v>
      </c>
      <c r="E2" s="25">
        <f t="shared" si="0"/>
        <v>8.3999999999999991E-2</v>
      </c>
      <c r="F2" s="25">
        <f t="shared" si="0"/>
        <v>8.3999999999999991E-2</v>
      </c>
      <c r="G2" s="25">
        <f t="shared" si="0"/>
        <v>8.3999999999999991E-2</v>
      </c>
      <c r="H2" s="25">
        <f t="shared" si="0"/>
        <v>8.3999999999999991E-2</v>
      </c>
      <c r="I2" s="25">
        <f t="shared" si="0"/>
        <v>8.3999999999999991E-2</v>
      </c>
      <c r="J2" s="25">
        <f t="shared" si="0"/>
        <v>8.3999999999999991E-2</v>
      </c>
      <c r="K2" s="25">
        <f t="shared" si="0"/>
        <v>8.3999999999999991E-2</v>
      </c>
      <c r="L2" s="29">
        <f>6.5%-0.2%</f>
        <v>6.3E-2</v>
      </c>
      <c r="M2" s="25">
        <f t="shared" ref="C2:M7" si="1">L2</f>
        <v>6.3E-2</v>
      </c>
      <c r="N2" s="25">
        <f t="shared" ref="N2:N7" si="2">M2</f>
        <v>6.3E-2</v>
      </c>
      <c r="O2" s="25">
        <f t="shared" ref="O2:O7" si="3">N2</f>
        <v>6.3E-2</v>
      </c>
      <c r="P2" s="25">
        <f t="shared" ref="P2:P7" si="4">O2</f>
        <v>6.3E-2</v>
      </c>
      <c r="Q2" s="25">
        <f t="shared" ref="Q2:Q7" si="5">P2</f>
        <v>6.3E-2</v>
      </c>
      <c r="R2" s="25">
        <f t="shared" ref="R2:R7" si="6">Q2</f>
        <v>6.3E-2</v>
      </c>
      <c r="S2" s="25">
        <f t="shared" ref="S2:S7" si="7">R2</f>
        <v>6.3E-2</v>
      </c>
      <c r="T2" s="25">
        <f t="shared" ref="T2:T7" si="8">S2</f>
        <v>6.3E-2</v>
      </c>
      <c r="U2" s="25">
        <f t="shared" ref="U2:U7" si="9">T2</f>
        <v>6.3E-2</v>
      </c>
      <c r="V2" s="25">
        <f t="shared" ref="V2:V7" si="10">U2</f>
        <v>6.3E-2</v>
      </c>
      <c r="W2" s="25">
        <f t="shared" ref="W2:W7" si="11">V2</f>
        <v>6.3E-2</v>
      </c>
      <c r="X2" s="25">
        <f t="shared" ref="X2:X7" si="12">W2</f>
        <v>6.3E-2</v>
      </c>
      <c r="Y2" s="25">
        <f t="shared" ref="Y2:Y7" si="13">X2</f>
        <v>6.3E-2</v>
      </c>
      <c r="Z2" s="25">
        <f t="shared" ref="Z2:Z7" si="14">Y2</f>
        <v>6.3E-2</v>
      </c>
      <c r="AA2" s="25">
        <f t="shared" ref="AA2:AA7" si="15">Z2</f>
        <v>6.3E-2</v>
      </c>
      <c r="AB2" s="25">
        <f t="shared" ref="AB2:AB7" si="16">AA2</f>
        <v>6.3E-2</v>
      </c>
      <c r="AC2" s="25">
        <f t="shared" ref="AC2:AC7" si="17">AB2</f>
        <v>6.3E-2</v>
      </c>
      <c r="AD2" s="25">
        <f t="shared" ref="AD2:AD7" si="18">AC2</f>
        <v>6.3E-2</v>
      </c>
      <c r="AE2" s="25">
        <f t="shared" ref="AE2:AE7" si="19">AD2</f>
        <v>6.3E-2</v>
      </c>
      <c r="AF2" s="25">
        <f t="shared" ref="AF2:AF7" si="20">AE2</f>
        <v>6.3E-2</v>
      </c>
      <c r="AG2" s="25">
        <f t="shared" ref="AG2:AG7" si="21">AF2</f>
        <v>6.3E-2</v>
      </c>
      <c r="AH2" s="25">
        <f t="shared" ref="AH2:AH7" si="22">AG2</f>
        <v>6.3E-2</v>
      </c>
      <c r="AI2" s="25">
        <f t="shared" ref="AI2:AI7" si="23">AH2</f>
        <v>6.3E-2</v>
      </c>
      <c r="AJ2" s="25">
        <f t="shared" ref="AJ2:AJ7" si="24">AI2</f>
        <v>6.3E-2</v>
      </c>
      <c r="AK2" s="25">
        <f t="shared" ref="AK2:AK7" si="25">AJ2</f>
        <v>6.3E-2</v>
      </c>
      <c r="AL2" s="25">
        <f t="shared" ref="AL2:AL7" si="26">AK2</f>
        <v>6.3E-2</v>
      </c>
      <c r="AM2" s="25">
        <f t="shared" ref="AM2:AM7" si="27">AL2</f>
        <v>6.3E-2</v>
      </c>
      <c r="AN2" s="25">
        <f t="shared" ref="AN2:AN7" si="28">AM2</f>
        <v>6.3E-2</v>
      </c>
      <c r="AO2" s="25">
        <f t="shared" ref="AO2:AO7" si="29">AN2</f>
        <v>6.3E-2</v>
      </c>
      <c r="AP2" s="25">
        <f t="shared" ref="AP2:AP7" si="30">AO2</f>
        <v>6.3E-2</v>
      </c>
      <c r="AQ2" s="25">
        <f t="shared" ref="AQ2:AQ7" si="31">AP2</f>
        <v>6.3E-2</v>
      </c>
      <c r="AR2" s="25">
        <f t="shared" ref="AR2:AR7" si="32">AQ2</f>
        <v>6.3E-2</v>
      </c>
      <c r="AS2" s="25">
        <f t="shared" ref="AS2:AS7" si="33">AR2</f>
        <v>6.3E-2</v>
      </c>
      <c r="AT2" s="25">
        <f t="shared" ref="AT2:AT7" si="34">AS2</f>
        <v>6.3E-2</v>
      </c>
      <c r="AU2" s="25">
        <f t="shared" ref="AU2:AU7" si="35">AT2</f>
        <v>6.3E-2</v>
      </c>
      <c r="AV2" s="25">
        <f t="shared" ref="AV2:AV7" si="36">AU2</f>
        <v>6.3E-2</v>
      </c>
      <c r="AW2" s="25">
        <f t="shared" ref="AW2:AW7" si="37">AV2</f>
        <v>6.3E-2</v>
      </c>
      <c r="AX2" s="25">
        <f t="shared" ref="AX2:AX7" si="38">AW2</f>
        <v>6.3E-2</v>
      </c>
      <c r="AY2" s="25">
        <f t="shared" ref="AY2:AY7" si="39">AX2</f>
        <v>6.3E-2</v>
      </c>
      <c r="AZ2" s="25">
        <f t="shared" ref="AZ2:AZ7" si="40">AY2</f>
        <v>6.3E-2</v>
      </c>
    </row>
    <row r="3" spans="1:52" x14ac:dyDescent="0.25">
      <c r="A3" t="s">
        <v>103</v>
      </c>
      <c r="B3" s="25">
        <f>7%-_xlfn.XLOOKUP(A3,BasisPointCost!$A:$A,BasisPointCost!$B:$B)</f>
        <v>6.8000000000000005E-2</v>
      </c>
      <c r="C3" s="25">
        <f>B3</f>
        <v>6.8000000000000005E-2</v>
      </c>
      <c r="D3" s="25">
        <f t="shared" ref="D3:K3" si="41">C3</f>
        <v>6.8000000000000005E-2</v>
      </c>
      <c r="E3" s="25">
        <f t="shared" si="41"/>
        <v>6.8000000000000005E-2</v>
      </c>
      <c r="F3" s="25">
        <f t="shared" si="41"/>
        <v>6.8000000000000005E-2</v>
      </c>
      <c r="G3" s="25">
        <f t="shared" si="41"/>
        <v>6.8000000000000005E-2</v>
      </c>
      <c r="H3" s="25">
        <f t="shared" si="41"/>
        <v>6.8000000000000005E-2</v>
      </c>
      <c r="I3" s="25">
        <f t="shared" si="41"/>
        <v>6.8000000000000005E-2</v>
      </c>
      <c r="J3" s="25">
        <f t="shared" si="41"/>
        <v>6.8000000000000005E-2</v>
      </c>
      <c r="K3" s="25">
        <f t="shared" si="41"/>
        <v>6.8000000000000005E-2</v>
      </c>
      <c r="L3" s="29">
        <f>6.5%-0.2%</f>
        <v>6.3E-2</v>
      </c>
      <c r="M3" s="25">
        <f t="shared" si="1"/>
        <v>6.3E-2</v>
      </c>
      <c r="N3" s="25">
        <f t="shared" si="2"/>
        <v>6.3E-2</v>
      </c>
      <c r="O3" s="25">
        <f t="shared" si="3"/>
        <v>6.3E-2</v>
      </c>
      <c r="P3" s="25">
        <f t="shared" si="4"/>
        <v>6.3E-2</v>
      </c>
      <c r="Q3" s="25">
        <f t="shared" si="5"/>
        <v>6.3E-2</v>
      </c>
      <c r="R3" s="25">
        <f t="shared" si="6"/>
        <v>6.3E-2</v>
      </c>
      <c r="S3" s="25">
        <f t="shared" si="7"/>
        <v>6.3E-2</v>
      </c>
      <c r="T3" s="25">
        <f t="shared" si="8"/>
        <v>6.3E-2</v>
      </c>
      <c r="U3" s="25">
        <f t="shared" si="9"/>
        <v>6.3E-2</v>
      </c>
      <c r="V3" s="25">
        <f t="shared" si="10"/>
        <v>6.3E-2</v>
      </c>
      <c r="W3" s="25">
        <f t="shared" si="11"/>
        <v>6.3E-2</v>
      </c>
      <c r="X3" s="25">
        <f t="shared" si="12"/>
        <v>6.3E-2</v>
      </c>
      <c r="Y3" s="25">
        <f t="shared" si="13"/>
        <v>6.3E-2</v>
      </c>
      <c r="Z3" s="25">
        <f t="shared" si="14"/>
        <v>6.3E-2</v>
      </c>
      <c r="AA3" s="25">
        <f t="shared" si="15"/>
        <v>6.3E-2</v>
      </c>
      <c r="AB3" s="25">
        <f t="shared" si="16"/>
        <v>6.3E-2</v>
      </c>
      <c r="AC3" s="25">
        <f t="shared" si="17"/>
        <v>6.3E-2</v>
      </c>
      <c r="AD3" s="25">
        <f t="shared" si="18"/>
        <v>6.3E-2</v>
      </c>
      <c r="AE3" s="25">
        <f t="shared" si="19"/>
        <v>6.3E-2</v>
      </c>
      <c r="AF3" s="25">
        <f t="shared" si="20"/>
        <v>6.3E-2</v>
      </c>
      <c r="AG3" s="25">
        <f t="shared" si="21"/>
        <v>6.3E-2</v>
      </c>
      <c r="AH3" s="25">
        <f t="shared" si="22"/>
        <v>6.3E-2</v>
      </c>
      <c r="AI3" s="25">
        <f t="shared" si="23"/>
        <v>6.3E-2</v>
      </c>
      <c r="AJ3" s="25">
        <f t="shared" si="24"/>
        <v>6.3E-2</v>
      </c>
      <c r="AK3" s="25">
        <f t="shared" si="25"/>
        <v>6.3E-2</v>
      </c>
      <c r="AL3" s="25">
        <f t="shared" si="26"/>
        <v>6.3E-2</v>
      </c>
      <c r="AM3" s="25">
        <f t="shared" si="27"/>
        <v>6.3E-2</v>
      </c>
      <c r="AN3" s="25">
        <f t="shared" si="28"/>
        <v>6.3E-2</v>
      </c>
      <c r="AO3" s="25">
        <f t="shared" si="29"/>
        <v>6.3E-2</v>
      </c>
      <c r="AP3" s="25">
        <f t="shared" si="30"/>
        <v>6.3E-2</v>
      </c>
      <c r="AQ3" s="25">
        <f t="shared" si="31"/>
        <v>6.3E-2</v>
      </c>
      <c r="AR3" s="25">
        <f t="shared" si="32"/>
        <v>6.3E-2</v>
      </c>
      <c r="AS3" s="25">
        <f t="shared" si="33"/>
        <v>6.3E-2</v>
      </c>
      <c r="AT3" s="25">
        <f t="shared" si="34"/>
        <v>6.3E-2</v>
      </c>
      <c r="AU3" s="25">
        <f t="shared" si="35"/>
        <v>6.3E-2</v>
      </c>
      <c r="AV3" s="25">
        <f t="shared" si="36"/>
        <v>6.3E-2</v>
      </c>
      <c r="AW3" s="25">
        <f t="shared" si="37"/>
        <v>6.3E-2</v>
      </c>
      <c r="AX3" s="25">
        <f t="shared" si="38"/>
        <v>6.3E-2</v>
      </c>
      <c r="AY3" s="25">
        <f t="shared" si="39"/>
        <v>6.3E-2</v>
      </c>
      <c r="AZ3" s="25">
        <f t="shared" si="40"/>
        <v>6.3E-2</v>
      </c>
    </row>
    <row r="4" spans="1:52" x14ac:dyDescent="0.25">
      <c r="A4" t="s">
        <v>157</v>
      </c>
      <c r="B4" s="25">
        <f>4.9%-_xlfn.XLOOKUP(A4,BasisPointCost!$A:$A,BasisPointCost!$B:$B)</f>
        <v>4.8300000000000003E-2</v>
      </c>
      <c r="C4" s="25">
        <f t="shared" si="1"/>
        <v>4.8300000000000003E-2</v>
      </c>
      <c r="D4" s="25">
        <f t="shared" si="1"/>
        <v>4.8300000000000003E-2</v>
      </c>
      <c r="E4" s="25">
        <f t="shared" si="1"/>
        <v>4.8300000000000003E-2</v>
      </c>
      <c r="F4" s="25">
        <f t="shared" si="1"/>
        <v>4.8300000000000003E-2</v>
      </c>
      <c r="G4" s="25">
        <f t="shared" si="1"/>
        <v>4.8300000000000003E-2</v>
      </c>
      <c r="H4" s="25">
        <f t="shared" si="1"/>
        <v>4.8300000000000003E-2</v>
      </c>
      <c r="I4" s="25">
        <f t="shared" si="1"/>
        <v>4.8300000000000003E-2</v>
      </c>
      <c r="J4" s="25">
        <f t="shared" si="1"/>
        <v>4.8300000000000003E-2</v>
      </c>
      <c r="K4" s="25">
        <f t="shared" si="1"/>
        <v>4.8300000000000003E-2</v>
      </c>
      <c r="L4" s="29">
        <f>3.5%-0.07%</f>
        <v>3.4300000000000004E-2</v>
      </c>
      <c r="M4" s="25">
        <f t="shared" si="1"/>
        <v>3.4300000000000004E-2</v>
      </c>
      <c r="N4" s="25">
        <f t="shared" si="2"/>
        <v>3.4300000000000004E-2</v>
      </c>
      <c r="O4" s="25">
        <f t="shared" si="3"/>
        <v>3.4300000000000004E-2</v>
      </c>
      <c r="P4" s="25">
        <f t="shared" si="4"/>
        <v>3.4300000000000004E-2</v>
      </c>
      <c r="Q4" s="25">
        <f t="shared" si="5"/>
        <v>3.4300000000000004E-2</v>
      </c>
      <c r="R4" s="25">
        <f t="shared" si="6"/>
        <v>3.4300000000000004E-2</v>
      </c>
      <c r="S4" s="25">
        <f t="shared" si="7"/>
        <v>3.4300000000000004E-2</v>
      </c>
      <c r="T4" s="25">
        <f t="shared" si="8"/>
        <v>3.4300000000000004E-2</v>
      </c>
      <c r="U4" s="25">
        <f t="shared" si="9"/>
        <v>3.4300000000000004E-2</v>
      </c>
      <c r="V4" s="25">
        <f t="shared" si="10"/>
        <v>3.4300000000000004E-2</v>
      </c>
      <c r="W4" s="25">
        <f t="shared" si="11"/>
        <v>3.4300000000000004E-2</v>
      </c>
      <c r="X4" s="25">
        <f t="shared" si="12"/>
        <v>3.4300000000000004E-2</v>
      </c>
      <c r="Y4" s="25">
        <f t="shared" si="13"/>
        <v>3.4300000000000004E-2</v>
      </c>
      <c r="Z4" s="25">
        <f t="shared" si="14"/>
        <v>3.4300000000000004E-2</v>
      </c>
      <c r="AA4" s="25">
        <f t="shared" si="15"/>
        <v>3.4300000000000004E-2</v>
      </c>
      <c r="AB4" s="25">
        <f t="shared" si="16"/>
        <v>3.4300000000000004E-2</v>
      </c>
      <c r="AC4" s="25">
        <f t="shared" si="17"/>
        <v>3.4300000000000004E-2</v>
      </c>
      <c r="AD4" s="25">
        <f t="shared" si="18"/>
        <v>3.4300000000000004E-2</v>
      </c>
      <c r="AE4" s="25">
        <f t="shared" si="19"/>
        <v>3.4300000000000004E-2</v>
      </c>
      <c r="AF4" s="25">
        <f t="shared" si="20"/>
        <v>3.4300000000000004E-2</v>
      </c>
      <c r="AG4" s="25">
        <f t="shared" si="21"/>
        <v>3.4300000000000004E-2</v>
      </c>
      <c r="AH4" s="25">
        <f t="shared" si="22"/>
        <v>3.4300000000000004E-2</v>
      </c>
      <c r="AI4" s="25">
        <f t="shared" si="23"/>
        <v>3.4300000000000004E-2</v>
      </c>
      <c r="AJ4" s="25">
        <f t="shared" si="24"/>
        <v>3.4300000000000004E-2</v>
      </c>
      <c r="AK4" s="25">
        <f t="shared" si="25"/>
        <v>3.4300000000000004E-2</v>
      </c>
      <c r="AL4" s="25">
        <f t="shared" si="26"/>
        <v>3.4300000000000004E-2</v>
      </c>
      <c r="AM4" s="25">
        <f t="shared" si="27"/>
        <v>3.4300000000000004E-2</v>
      </c>
      <c r="AN4" s="25">
        <f t="shared" si="28"/>
        <v>3.4300000000000004E-2</v>
      </c>
      <c r="AO4" s="25">
        <f t="shared" si="29"/>
        <v>3.4300000000000004E-2</v>
      </c>
      <c r="AP4" s="25">
        <f t="shared" si="30"/>
        <v>3.4300000000000004E-2</v>
      </c>
      <c r="AQ4" s="25">
        <f t="shared" si="31"/>
        <v>3.4300000000000004E-2</v>
      </c>
      <c r="AR4" s="25">
        <f t="shared" si="32"/>
        <v>3.4300000000000004E-2</v>
      </c>
      <c r="AS4" s="25">
        <f t="shared" si="33"/>
        <v>3.4300000000000004E-2</v>
      </c>
      <c r="AT4" s="25">
        <f t="shared" si="34"/>
        <v>3.4300000000000004E-2</v>
      </c>
      <c r="AU4" s="25">
        <f t="shared" si="35"/>
        <v>3.4300000000000004E-2</v>
      </c>
      <c r="AV4" s="25">
        <f t="shared" si="36"/>
        <v>3.4300000000000004E-2</v>
      </c>
      <c r="AW4" s="25">
        <f t="shared" si="37"/>
        <v>3.4300000000000004E-2</v>
      </c>
      <c r="AX4" s="25">
        <f t="shared" si="38"/>
        <v>3.4300000000000004E-2</v>
      </c>
      <c r="AY4" s="25">
        <f t="shared" si="39"/>
        <v>3.4300000000000004E-2</v>
      </c>
      <c r="AZ4" s="25">
        <f t="shared" si="40"/>
        <v>3.4300000000000004E-2</v>
      </c>
    </row>
    <row r="5" spans="1:52" x14ac:dyDescent="0.25">
      <c r="A5" t="s">
        <v>156</v>
      </c>
      <c r="B5" s="25">
        <f>5%-_xlfn.XLOOKUP(A5,BasisPointCost!$A:$A,BasisPointCost!$B:$B)</f>
        <v>4.9300000000000004E-2</v>
      </c>
      <c r="C5" s="25">
        <f t="shared" si="1"/>
        <v>4.9300000000000004E-2</v>
      </c>
      <c r="D5" s="25">
        <f t="shared" si="1"/>
        <v>4.9300000000000004E-2</v>
      </c>
      <c r="E5" s="25">
        <f t="shared" si="1"/>
        <v>4.9300000000000004E-2</v>
      </c>
      <c r="F5" s="25">
        <f t="shared" si="1"/>
        <v>4.9300000000000004E-2</v>
      </c>
      <c r="G5" s="25">
        <f t="shared" si="1"/>
        <v>4.9300000000000004E-2</v>
      </c>
      <c r="H5" s="25">
        <f t="shared" si="1"/>
        <v>4.9300000000000004E-2</v>
      </c>
      <c r="I5" s="25">
        <f t="shared" si="1"/>
        <v>4.9300000000000004E-2</v>
      </c>
      <c r="J5" s="25">
        <f t="shared" si="1"/>
        <v>4.9300000000000004E-2</v>
      </c>
      <c r="K5" s="25">
        <f t="shared" si="1"/>
        <v>4.9300000000000004E-2</v>
      </c>
      <c r="L5" s="29">
        <f>3.5%-0.07%</f>
        <v>3.4300000000000004E-2</v>
      </c>
      <c r="M5" s="25">
        <f t="shared" si="1"/>
        <v>3.4300000000000004E-2</v>
      </c>
      <c r="N5" s="25">
        <f t="shared" si="2"/>
        <v>3.4300000000000004E-2</v>
      </c>
      <c r="O5" s="25">
        <f t="shared" si="3"/>
        <v>3.4300000000000004E-2</v>
      </c>
      <c r="P5" s="25">
        <f t="shared" si="4"/>
        <v>3.4300000000000004E-2</v>
      </c>
      <c r="Q5" s="25">
        <f t="shared" si="5"/>
        <v>3.4300000000000004E-2</v>
      </c>
      <c r="R5" s="25">
        <f t="shared" si="6"/>
        <v>3.4300000000000004E-2</v>
      </c>
      <c r="S5" s="25">
        <f t="shared" si="7"/>
        <v>3.4300000000000004E-2</v>
      </c>
      <c r="T5" s="25">
        <f t="shared" si="8"/>
        <v>3.4300000000000004E-2</v>
      </c>
      <c r="U5" s="25">
        <f t="shared" si="9"/>
        <v>3.4300000000000004E-2</v>
      </c>
      <c r="V5" s="25">
        <f t="shared" si="10"/>
        <v>3.4300000000000004E-2</v>
      </c>
      <c r="W5" s="25">
        <f t="shared" si="11"/>
        <v>3.4300000000000004E-2</v>
      </c>
      <c r="X5" s="25">
        <f t="shared" si="12"/>
        <v>3.4300000000000004E-2</v>
      </c>
      <c r="Y5" s="25">
        <f t="shared" si="13"/>
        <v>3.4300000000000004E-2</v>
      </c>
      <c r="Z5" s="25">
        <f t="shared" si="14"/>
        <v>3.4300000000000004E-2</v>
      </c>
      <c r="AA5" s="25">
        <f t="shared" si="15"/>
        <v>3.4300000000000004E-2</v>
      </c>
      <c r="AB5" s="25">
        <f t="shared" si="16"/>
        <v>3.4300000000000004E-2</v>
      </c>
      <c r="AC5" s="25">
        <f t="shared" si="17"/>
        <v>3.4300000000000004E-2</v>
      </c>
      <c r="AD5" s="25">
        <f t="shared" si="18"/>
        <v>3.4300000000000004E-2</v>
      </c>
      <c r="AE5" s="25">
        <f t="shared" si="19"/>
        <v>3.4300000000000004E-2</v>
      </c>
      <c r="AF5" s="25">
        <f t="shared" si="20"/>
        <v>3.4300000000000004E-2</v>
      </c>
      <c r="AG5" s="25">
        <f t="shared" si="21"/>
        <v>3.4300000000000004E-2</v>
      </c>
      <c r="AH5" s="25">
        <f t="shared" si="22"/>
        <v>3.4300000000000004E-2</v>
      </c>
      <c r="AI5" s="25">
        <f t="shared" si="23"/>
        <v>3.4300000000000004E-2</v>
      </c>
      <c r="AJ5" s="25">
        <f t="shared" si="24"/>
        <v>3.4300000000000004E-2</v>
      </c>
      <c r="AK5" s="25">
        <f t="shared" si="25"/>
        <v>3.4300000000000004E-2</v>
      </c>
      <c r="AL5" s="25">
        <f t="shared" si="26"/>
        <v>3.4300000000000004E-2</v>
      </c>
      <c r="AM5" s="25">
        <f t="shared" si="27"/>
        <v>3.4300000000000004E-2</v>
      </c>
      <c r="AN5" s="25">
        <f t="shared" si="28"/>
        <v>3.4300000000000004E-2</v>
      </c>
      <c r="AO5" s="25">
        <f t="shared" si="29"/>
        <v>3.4300000000000004E-2</v>
      </c>
      <c r="AP5" s="25">
        <f t="shared" si="30"/>
        <v>3.4300000000000004E-2</v>
      </c>
      <c r="AQ5" s="25">
        <f t="shared" si="31"/>
        <v>3.4300000000000004E-2</v>
      </c>
      <c r="AR5" s="25">
        <f t="shared" si="32"/>
        <v>3.4300000000000004E-2</v>
      </c>
      <c r="AS5" s="25">
        <f t="shared" si="33"/>
        <v>3.4300000000000004E-2</v>
      </c>
      <c r="AT5" s="25">
        <f t="shared" si="34"/>
        <v>3.4300000000000004E-2</v>
      </c>
      <c r="AU5" s="25">
        <f t="shared" si="35"/>
        <v>3.4300000000000004E-2</v>
      </c>
      <c r="AV5" s="25">
        <f t="shared" si="36"/>
        <v>3.4300000000000004E-2</v>
      </c>
      <c r="AW5" s="25">
        <f t="shared" si="37"/>
        <v>3.4300000000000004E-2</v>
      </c>
      <c r="AX5" s="25">
        <f t="shared" si="38"/>
        <v>3.4300000000000004E-2</v>
      </c>
      <c r="AY5" s="25">
        <f t="shared" si="39"/>
        <v>3.4300000000000004E-2</v>
      </c>
      <c r="AZ5" s="25">
        <f t="shared" si="40"/>
        <v>3.4300000000000004E-2</v>
      </c>
    </row>
    <row r="6" spans="1:52" x14ac:dyDescent="0.25">
      <c r="A6" t="s">
        <v>155</v>
      </c>
      <c r="B6" s="25">
        <f>3.7%-_xlfn.XLOOKUP(A6,BasisPointCost!$A:$A,BasisPointCost!$B:$B)</f>
        <v>3.6300000000000006E-2</v>
      </c>
      <c r="C6" s="25">
        <f t="shared" si="1"/>
        <v>3.6300000000000006E-2</v>
      </c>
      <c r="D6" s="25">
        <f t="shared" si="1"/>
        <v>3.6300000000000006E-2</v>
      </c>
      <c r="E6" s="25">
        <f t="shared" si="1"/>
        <v>3.6300000000000006E-2</v>
      </c>
      <c r="F6" s="25">
        <f t="shared" si="1"/>
        <v>3.6300000000000006E-2</v>
      </c>
      <c r="G6" s="25">
        <f t="shared" si="1"/>
        <v>3.6300000000000006E-2</v>
      </c>
      <c r="H6" s="25">
        <f t="shared" si="1"/>
        <v>3.6300000000000006E-2</v>
      </c>
      <c r="I6" s="25">
        <f t="shared" si="1"/>
        <v>3.6300000000000006E-2</v>
      </c>
      <c r="J6" s="25">
        <f t="shared" si="1"/>
        <v>3.6300000000000006E-2</v>
      </c>
      <c r="K6" s="25">
        <f t="shared" si="1"/>
        <v>3.6300000000000006E-2</v>
      </c>
      <c r="L6" s="29">
        <f>3.5%-0.07%</f>
        <v>3.4300000000000004E-2</v>
      </c>
      <c r="M6" s="25">
        <f t="shared" si="1"/>
        <v>3.4300000000000004E-2</v>
      </c>
      <c r="N6" s="25">
        <f t="shared" si="2"/>
        <v>3.4300000000000004E-2</v>
      </c>
      <c r="O6" s="25">
        <f t="shared" si="3"/>
        <v>3.4300000000000004E-2</v>
      </c>
      <c r="P6" s="25">
        <f t="shared" si="4"/>
        <v>3.4300000000000004E-2</v>
      </c>
      <c r="Q6" s="25">
        <f t="shared" si="5"/>
        <v>3.4300000000000004E-2</v>
      </c>
      <c r="R6" s="25">
        <f t="shared" si="6"/>
        <v>3.4300000000000004E-2</v>
      </c>
      <c r="S6" s="25">
        <f t="shared" si="7"/>
        <v>3.4300000000000004E-2</v>
      </c>
      <c r="T6" s="25">
        <f t="shared" si="8"/>
        <v>3.4300000000000004E-2</v>
      </c>
      <c r="U6" s="25">
        <f t="shared" si="9"/>
        <v>3.4300000000000004E-2</v>
      </c>
      <c r="V6" s="25">
        <f t="shared" si="10"/>
        <v>3.4300000000000004E-2</v>
      </c>
      <c r="W6" s="25">
        <f t="shared" si="11"/>
        <v>3.4300000000000004E-2</v>
      </c>
      <c r="X6" s="25">
        <f t="shared" si="12"/>
        <v>3.4300000000000004E-2</v>
      </c>
      <c r="Y6" s="25">
        <f t="shared" si="13"/>
        <v>3.4300000000000004E-2</v>
      </c>
      <c r="Z6" s="25">
        <f t="shared" si="14"/>
        <v>3.4300000000000004E-2</v>
      </c>
      <c r="AA6" s="25">
        <f t="shared" si="15"/>
        <v>3.4300000000000004E-2</v>
      </c>
      <c r="AB6" s="25">
        <f t="shared" si="16"/>
        <v>3.4300000000000004E-2</v>
      </c>
      <c r="AC6" s="25">
        <f t="shared" si="17"/>
        <v>3.4300000000000004E-2</v>
      </c>
      <c r="AD6" s="25">
        <f t="shared" si="18"/>
        <v>3.4300000000000004E-2</v>
      </c>
      <c r="AE6" s="25">
        <f t="shared" si="19"/>
        <v>3.4300000000000004E-2</v>
      </c>
      <c r="AF6" s="25">
        <f t="shared" si="20"/>
        <v>3.4300000000000004E-2</v>
      </c>
      <c r="AG6" s="25">
        <f t="shared" si="21"/>
        <v>3.4300000000000004E-2</v>
      </c>
      <c r="AH6" s="25">
        <f t="shared" si="22"/>
        <v>3.4300000000000004E-2</v>
      </c>
      <c r="AI6" s="25">
        <f t="shared" si="23"/>
        <v>3.4300000000000004E-2</v>
      </c>
      <c r="AJ6" s="25">
        <f t="shared" si="24"/>
        <v>3.4300000000000004E-2</v>
      </c>
      <c r="AK6" s="25">
        <f t="shared" si="25"/>
        <v>3.4300000000000004E-2</v>
      </c>
      <c r="AL6" s="25">
        <f t="shared" si="26"/>
        <v>3.4300000000000004E-2</v>
      </c>
      <c r="AM6" s="25">
        <f t="shared" si="27"/>
        <v>3.4300000000000004E-2</v>
      </c>
      <c r="AN6" s="25">
        <f t="shared" si="28"/>
        <v>3.4300000000000004E-2</v>
      </c>
      <c r="AO6" s="25">
        <f t="shared" si="29"/>
        <v>3.4300000000000004E-2</v>
      </c>
      <c r="AP6" s="25">
        <f t="shared" si="30"/>
        <v>3.4300000000000004E-2</v>
      </c>
      <c r="AQ6" s="25">
        <f t="shared" si="31"/>
        <v>3.4300000000000004E-2</v>
      </c>
      <c r="AR6" s="25">
        <f t="shared" si="32"/>
        <v>3.4300000000000004E-2</v>
      </c>
      <c r="AS6" s="25">
        <f t="shared" si="33"/>
        <v>3.4300000000000004E-2</v>
      </c>
      <c r="AT6" s="25">
        <f t="shared" si="34"/>
        <v>3.4300000000000004E-2</v>
      </c>
      <c r="AU6" s="25">
        <f t="shared" si="35"/>
        <v>3.4300000000000004E-2</v>
      </c>
      <c r="AV6" s="25">
        <f t="shared" si="36"/>
        <v>3.4300000000000004E-2</v>
      </c>
      <c r="AW6" s="25">
        <f t="shared" si="37"/>
        <v>3.4300000000000004E-2</v>
      </c>
      <c r="AX6" s="25">
        <f t="shared" si="38"/>
        <v>3.4300000000000004E-2</v>
      </c>
      <c r="AY6" s="25">
        <f t="shared" si="39"/>
        <v>3.4300000000000004E-2</v>
      </c>
      <c r="AZ6" s="25">
        <f t="shared" si="40"/>
        <v>3.4300000000000004E-2</v>
      </c>
    </row>
    <row r="7" spans="1:52" x14ac:dyDescent="0.25">
      <c r="A7" t="s">
        <v>154</v>
      </c>
      <c r="B7" s="25">
        <f>2.9%-_xlfn.XLOOKUP($A7,BasisPointCost!$A:$A,BasisPointCost!$B:$B)</f>
        <v>2.8299999999999999E-2</v>
      </c>
      <c r="C7" s="25">
        <f t="shared" si="1"/>
        <v>2.8299999999999999E-2</v>
      </c>
      <c r="D7" s="25">
        <f t="shared" si="1"/>
        <v>2.8299999999999999E-2</v>
      </c>
      <c r="E7" s="25">
        <f t="shared" si="1"/>
        <v>2.8299999999999999E-2</v>
      </c>
      <c r="F7" s="25">
        <f t="shared" si="1"/>
        <v>2.8299999999999999E-2</v>
      </c>
      <c r="G7" s="25">
        <f t="shared" si="1"/>
        <v>2.8299999999999999E-2</v>
      </c>
      <c r="H7" s="25">
        <f t="shared" si="1"/>
        <v>2.8299999999999999E-2</v>
      </c>
      <c r="I7" s="25">
        <f t="shared" si="1"/>
        <v>2.8299999999999999E-2</v>
      </c>
      <c r="J7" s="25">
        <f t="shared" si="1"/>
        <v>2.8299999999999999E-2</v>
      </c>
      <c r="K7" s="25">
        <f t="shared" si="1"/>
        <v>2.8299999999999999E-2</v>
      </c>
      <c r="L7" s="29">
        <f>3.5%-0.07%</f>
        <v>3.4300000000000004E-2</v>
      </c>
      <c r="M7" s="25">
        <f t="shared" si="1"/>
        <v>3.4300000000000004E-2</v>
      </c>
      <c r="N7" s="25">
        <f t="shared" si="2"/>
        <v>3.4300000000000004E-2</v>
      </c>
      <c r="O7" s="25">
        <f t="shared" si="3"/>
        <v>3.4300000000000004E-2</v>
      </c>
      <c r="P7" s="25">
        <f t="shared" si="4"/>
        <v>3.4300000000000004E-2</v>
      </c>
      <c r="Q7" s="25">
        <f t="shared" si="5"/>
        <v>3.4300000000000004E-2</v>
      </c>
      <c r="R7" s="25">
        <f t="shared" si="6"/>
        <v>3.4300000000000004E-2</v>
      </c>
      <c r="S7" s="25">
        <f t="shared" si="7"/>
        <v>3.4300000000000004E-2</v>
      </c>
      <c r="T7" s="25">
        <f t="shared" si="8"/>
        <v>3.4300000000000004E-2</v>
      </c>
      <c r="U7" s="25">
        <f t="shared" si="9"/>
        <v>3.4300000000000004E-2</v>
      </c>
      <c r="V7" s="25">
        <f t="shared" si="10"/>
        <v>3.4300000000000004E-2</v>
      </c>
      <c r="W7" s="25">
        <f t="shared" si="11"/>
        <v>3.4300000000000004E-2</v>
      </c>
      <c r="X7" s="25">
        <f t="shared" si="12"/>
        <v>3.4300000000000004E-2</v>
      </c>
      <c r="Y7" s="25">
        <f t="shared" si="13"/>
        <v>3.4300000000000004E-2</v>
      </c>
      <c r="Z7" s="25">
        <f t="shared" si="14"/>
        <v>3.4300000000000004E-2</v>
      </c>
      <c r="AA7" s="25">
        <f t="shared" si="15"/>
        <v>3.4300000000000004E-2</v>
      </c>
      <c r="AB7" s="25">
        <f t="shared" si="16"/>
        <v>3.4300000000000004E-2</v>
      </c>
      <c r="AC7" s="25">
        <f t="shared" si="17"/>
        <v>3.4300000000000004E-2</v>
      </c>
      <c r="AD7" s="25">
        <f t="shared" si="18"/>
        <v>3.4300000000000004E-2</v>
      </c>
      <c r="AE7" s="25">
        <f t="shared" si="19"/>
        <v>3.4300000000000004E-2</v>
      </c>
      <c r="AF7" s="25">
        <f t="shared" si="20"/>
        <v>3.4300000000000004E-2</v>
      </c>
      <c r="AG7" s="25">
        <f t="shared" si="21"/>
        <v>3.4300000000000004E-2</v>
      </c>
      <c r="AH7" s="25">
        <f t="shared" si="22"/>
        <v>3.4300000000000004E-2</v>
      </c>
      <c r="AI7" s="25">
        <f t="shared" si="23"/>
        <v>3.4300000000000004E-2</v>
      </c>
      <c r="AJ7" s="25">
        <f t="shared" si="24"/>
        <v>3.4300000000000004E-2</v>
      </c>
      <c r="AK7" s="25">
        <f t="shared" si="25"/>
        <v>3.4300000000000004E-2</v>
      </c>
      <c r="AL7" s="25">
        <f t="shared" si="26"/>
        <v>3.4300000000000004E-2</v>
      </c>
      <c r="AM7" s="25">
        <f t="shared" si="27"/>
        <v>3.4300000000000004E-2</v>
      </c>
      <c r="AN7" s="25">
        <f t="shared" si="28"/>
        <v>3.4300000000000004E-2</v>
      </c>
      <c r="AO7" s="25">
        <f t="shared" si="29"/>
        <v>3.4300000000000004E-2</v>
      </c>
      <c r="AP7" s="25">
        <f t="shared" si="30"/>
        <v>3.4300000000000004E-2</v>
      </c>
      <c r="AQ7" s="25">
        <f t="shared" si="31"/>
        <v>3.4300000000000004E-2</v>
      </c>
      <c r="AR7" s="25">
        <f t="shared" si="32"/>
        <v>3.4300000000000004E-2</v>
      </c>
      <c r="AS7" s="25">
        <f t="shared" si="33"/>
        <v>3.4300000000000004E-2</v>
      </c>
      <c r="AT7" s="25">
        <f t="shared" si="34"/>
        <v>3.4300000000000004E-2</v>
      </c>
      <c r="AU7" s="25">
        <f t="shared" si="35"/>
        <v>3.4300000000000004E-2</v>
      </c>
      <c r="AV7" s="25">
        <f t="shared" si="36"/>
        <v>3.4300000000000004E-2</v>
      </c>
      <c r="AW7" s="25">
        <f t="shared" si="37"/>
        <v>3.4300000000000004E-2</v>
      </c>
      <c r="AX7" s="25">
        <f t="shared" si="38"/>
        <v>3.4300000000000004E-2</v>
      </c>
      <c r="AY7" s="25">
        <f t="shared" si="39"/>
        <v>3.4300000000000004E-2</v>
      </c>
      <c r="AZ7" s="25">
        <f t="shared" si="40"/>
        <v>3.4300000000000004E-2</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defaultRowHeight="15" x14ac:dyDescent="0.25"/>
  <cols>
    <col min="1" max="1" width="31.42578125" bestFit="1" customWidth="1"/>
    <col min="2" max="2" width="15.28515625" bestFit="1" customWidth="1"/>
  </cols>
  <sheetData>
    <row r="1" spans="1:3" x14ac:dyDescent="0.25">
      <c r="A1" t="s">
        <v>160</v>
      </c>
      <c r="B1" t="s">
        <v>161</v>
      </c>
      <c r="C1" t="s">
        <v>162</v>
      </c>
    </row>
    <row r="2" spans="1:3" x14ac:dyDescent="0.25">
      <c r="A2" t="s">
        <v>102</v>
      </c>
      <c r="B2" s="23">
        <f>0.2%</f>
        <v>2E-3</v>
      </c>
    </row>
    <row r="3" spans="1:3" x14ac:dyDescent="0.25">
      <c r="A3" t="s">
        <v>103</v>
      </c>
      <c r="B3" s="23">
        <f>0.2%</f>
        <v>2E-3</v>
      </c>
    </row>
    <row r="4" spans="1:3" x14ac:dyDescent="0.25">
      <c r="A4" t="s">
        <v>157</v>
      </c>
      <c r="B4" s="23">
        <f>0.07%</f>
        <v>7.000000000000001E-4</v>
      </c>
    </row>
    <row r="5" spans="1:3" x14ac:dyDescent="0.25">
      <c r="A5" t="s">
        <v>156</v>
      </c>
      <c r="B5" s="23">
        <f>0.07%</f>
        <v>7.000000000000001E-4</v>
      </c>
    </row>
    <row r="6" spans="1:3" x14ac:dyDescent="0.25">
      <c r="A6" t="s">
        <v>155</v>
      </c>
      <c r="B6" s="23">
        <f>0.07%</f>
        <v>7.000000000000001E-4</v>
      </c>
    </row>
    <row r="7" spans="1:3" x14ac:dyDescent="0.25">
      <c r="A7" t="s">
        <v>154</v>
      </c>
      <c r="B7" s="23">
        <f>0.07%</f>
        <v>7.000000000000001E-4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42" x14ac:dyDescent="0.25">
      <c r="B1" t="s">
        <v>114</v>
      </c>
      <c r="C1" t="s">
        <v>115</v>
      </c>
      <c r="D1" t="s">
        <v>116</v>
      </c>
      <c r="E1" t="s">
        <v>117</v>
      </c>
      <c r="F1" t="s">
        <v>118</v>
      </c>
      <c r="G1" t="s">
        <v>119</v>
      </c>
      <c r="H1" t="s">
        <v>120</v>
      </c>
      <c r="I1" t="s">
        <v>121</v>
      </c>
      <c r="J1" t="s">
        <v>122</v>
      </c>
      <c r="K1" t="s">
        <v>123</v>
      </c>
      <c r="L1" t="s">
        <v>124</v>
      </c>
      <c r="M1" t="s">
        <v>125</v>
      </c>
      <c r="N1" t="s">
        <v>126</v>
      </c>
      <c r="O1" t="s">
        <v>127</v>
      </c>
      <c r="P1" t="s">
        <v>128</v>
      </c>
      <c r="Q1" t="s">
        <v>129</v>
      </c>
      <c r="R1" t="s">
        <v>130</v>
      </c>
      <c r="S1" t="s">
        <v>131</v>
      </c>
      <c r="T1" t="s">
        <v>132</v>
      </c>
      <c r="U1" t="s">
        <v>133</v>
      </c>
      <c r="V1" t="s">
        <v>134</v>
      </c>
      <c r="W1" t="s">
        <v>135</v>
      </c>
      <c r="X1" t="s">
        <v>136</v>
      </c>
      <c r="Y1" t="s">
        <v>137</v>
      </c>
      <c r="Z1" t="s">
        <v>138</v>
      </c>
      <c r="AA1" t="s">
        <v>139</v>
      </c>
      <c r="AB1" t="s">
        <v>140</v>
      </c>
      <c r="AC1" t="s">
        <v>141</v>
      </c>
      <c r="AD1" t="s">
        <v>142</v>
      </c>
      <c r="AE1" t="s">
        <v>143</v>
      </c>
      <c r="AF1" t="s">
        <v>144</v>
      </c>
      <c r="AG1" t="s">
        <v>145</v>
      </c>
      <c r="AH1" t="s">
        <v>146</v>
      </c>
      <c r="AI1" t="s">
        <v>147</v>
      </c>
      <c r="AJ1" t="s">
        <v>148</v>
      </c>
      <c r="AK1" t="s">
        <v>149</v>
      </c>
      <c r="AL1" t="s">
        <v>150</v>
      </c>
      <c r="AM1" t="s">
        <v>151</v>
      </c>
      <c r="AN1" t="s">
        <v>152</v>
      </c>
      <c r="AO1" t="s">
        <v>153</v>
      </c>
      <c r="AP1" s="21" t="s">
        <v>159</v>
      </c>
    </row>
    <row r="2" spans="1:42" x14ac:dyDescent="0.25">
      <c r="A2" t="s">
        <v>163</v>
      </c>
      <c r="B2" s="24">
        <f>6.5%-0.2%</f>
        <v>6.3E-2</v>
      </c>
      <c r="C2" s="24">
        <f>B2</f>
        <v>6.3E-2</v>
      </c>
      <c r="D2" s="24">
        <f t="shared" ref="D2:S3" si="0">C2</f>
        <v>6.3E-2</v>
      </c>
      <c r="E2" s="24">
        <f t="shared" si="0"/>
        <v>6.3E-2</v>
      </c>
      <c r="F2" s="24">
        <f t="shared" si="0"/>
        <v>6.3E-2</v>
      </c>
      <c r="G2" s="24">
        <f t="shared" si="0"/>
        <v>6.3E-2</v>
      </c>
      <c r="H2" s="24">
        <f t="shared" si="0"/>
        <v>6.3E-2</v>
      </c>
      <c r="I2" s="24">
        <f t="shared" si="0"/>
        <v>6.3E-2</v>
      </c>
      <c r="J2" s="24">
        <f t="shared" si="0"/>
        <v>6.3E-2</v>
      </c>
      <c r="K2" s="24">
        <f t="shared" si="0"/>
        <v>6.3E-2</v>
      </c>
      <c r="L2" s="24">
        <f t="shared" si="0"/>
        <v>6.3E-2</v>
      </c>
      <c r="M2" s="24">
        <f t="shared" si="0"/>
        <v>6.3E-2</v>
      </c>
      <c r="N2" s="24">
        <f t="shared" si="0"/>
        <v>6.3E-2</v>
      </c>
      <c r="O2" s="24">
        <f t="shared" si="0"/>
        <v>6.3E-2</v>
      </c>
      <c r="P2" s="24">
        <f t="shared" si="0"/>
        <v>6.3E-2</v>
      </c>
      <c r="Q2" s="24">
        <f t="shared" si="0"/>
        <v>6.3E-2</v>
      </c>
      <c r="R2" s="24">
        <f t="shared" si="0"/>
        <v>6.3E-2</v>
      </c>
      <c r="S2" s="24">
        <f t="shared" si="0"/>
        <v>6.3E-2</v>
      </c>
      <c r="T2" s="24">
        <f t="shared" ref="T2:AO3" si="1">S2</f>
        <v>6.3E-2</v>
      </c>
      <c r="U2" s="24">
        <f t="shared" si="1"/>
        <v>6.3E-2</v>
      </c>
      <c r="V2" s="24">
        <f t="shared" si="1"/>
        <v>6.3E-2</v>
      </c>
      <c r="W2" s="24">
        <f t="shared" si="1"/>
        <v>6.3E-2</v>
      </c>
      <c r="X2" s="24">
        <f t="shared" si="1"/>
        <v>6.3E-2</v>
      </c>
      <c r="Y2" s="24">
        <f t="shared" si="1"/>
        <v>6.3E-2</v>
      </c>
      <c r="Z2" s="24">
        <f t="shared" si="1"/>
        <v>6.3E-2</v>
      </c>
      <c r="AA2" s="24">
        <f t="shared" si="1"/>
        <v>6.3E-2</v>
      </c>
      <c r="AB2" s="24">
        <f t="shared" si="1"/>
        <v>6.3E-2</v>
      </c>
      <c r="AC2" s="24">
        <f t="shared" si="1"/>
        <v>6.3E-2</v>
      </c>
      <c r="AD2" s="24">
        <f t="shared" si="1"/>
        <v>6.3E-2</v>
      </c>
      <c r="AE2" s="24">
        <f t="shared" si="1"/>
        <v>6.3E-2</v>
      </c>
      <c r="AF2" s="24">
        <f t="shared" si="1"/>
        <v>6.3E-2</v>
      </c>
      <c r="AG2" s="24">
        <f t="shared" si="1"/>
        <v>6.3E-2</v>
      </c>
      <c r="AH2" s="24">
        <f t="shared" si="1"/>
        <v>6.3E-2</v>
      </c>
      <c r="AI2" s="24">
        <f t="shared" si="1"/>
        <v>6.3E-2</v>
      </c>
      <c r="AJ2" s="24">
        <f t="shared" si="1"/>
        <v>6.3E-2</v>
      </c>
      <c r="AK2" s="24">
        <f t="shared" si="1"/>
        <v>6.3E-2</v>
      </c>
      <c r="AL2" s="24">
        <f t="shared" si="1"/>
        <v>6.3E-2</v>
      </c>
      <c r="AM2" s="24">
        <f t="shared" si="1"/>
        <v>6.3E-2</v>
      </c>
      <c r="AN2" s="24">
        <f t="shared" si="1"/>
        <v>6.3E-2</v>
      </c>
      <c r="AO2" s="24">
        <f t="shared" si="1"/>
        <v>6.3E-2</v>
      </c>
      <c r="AP2" s="24">
        <f t="shared" ref="AP2" si="2">AO2</f>
        <v>6.3E-2</v>
      </c>
    </row>
    <row r="3" spans="1:42" x14ac:dyDescent="0.25">
      <c r="A3" t="s">
        <v>164</v>
      </c>
      <c r="B3" s="24">
        <f>3.5%-0.07%</f>
        <v>3.4300000000000004E-2</v>
      </c>
      <c r="C3" s="24">
        <f>B3</f>
        <v>3.4300000000000004E-2</v>
      </c>
      <c r="D3" s="24">
        <f t="shared" si="0"/>
        <v>3.4300000000000004E-2</v>
      </c>
      <c r="E3" s="24">
        <f t="shared" si="0"/>
        <v>3.4300000000000004E-2</v>
      </c>
      <c r="F3" s="24">
        <f t="shared" si="0"/>
        <v>3.4300000000000004E-2</v>
      </c>
      <c r="G3" s="24">
        <f t="shared" si="0"/>
        <v>3.4300000000000004E-2</v>
      </c>
      <c r="H3" s="24">
        <f t="shared" si="0"/>
        <v>3.4300000000000004E-2</v>
      </c>
      <c r="I3" s="24">
        <f t="shared" si="0"/>
        <v>3.4300000000000004E-2</v>
      </c>
      <c r="J3" s="24">
        <f t="shared" si="0"/>
        <v>3.4300000000000004E-2</v>
      </c>
      <c r="K3" s="24">
        <f t="shared" si="0"/>
        <v>3.4300000000000004E-2</v>
      </c>
      <c r="L3" s="24">
        <f t="shared" si="0"/>
        <v>3.4300000000000004E-2</v>
      </c>
      <c r="M3" s="24">
        <f t="shared" si="0"/>
        <v>3.4300000000000004E-2</v>
      </c>
      <c r="N3" s="24">
        <f t="shared" si="0"/>
        <v>3.4300000000000004E-2</v>
      </c>
      <c r="O3" s="24">
        <f t="shared" si="0"/>
        <v>3.4300000000000004E-2</v>
      </c>
      <c r="P3" s="24">
        <f t="shared" si="0"/>
        <v>3.4300000000000004E-2</v>
      </c>
      <c r="Q3" s="24">
        <f t="shared" si="0"/>
        <v>3.4300000000000004E-2</v>
      </c>
      <c r="R3" s="24">
        <f t="shared" si="0"/>
        <v>3.4300000000000004E-2</v>
      </c>
      <c r="S3" s="24">
        <f t="shared" si="0"/>
        <v>3.4300000000000004E-2</v>
      </c>
      <c r="T3" s="24">
        <f t="shared" si="1"/>
        <v>3.4300000000000004E-2</v>
      </c>
      <c r="U3" s="24">
        <f t="shared" si="1"/>
        <v>3.4300000000000004E-2</v>
      </c>
      <c r="V3" s="24">
        <f t="shared" si="1"/>
        <v>3.4300000000000004E-2</v>
      </c>
      <c r="W3" s="24">
        <f t="shared" si="1"/>
        <v>3.4300000000000004E-2</v>
      </c>
      <c r="X3" s="24">
        <f t="shared" si="1"/>
        <v>3.4300000000000004E-2</v>
      </c>
      <c r="Y3" s="24">
        <f t="shared" si="1"/>
        <v>3.4300000000000004E-2</v>
      </c>
      <c r="Z3" s="24">
        <f t="shared" si="1"/>
        <v>3.4300000000000004E-2</v>
      </c>
      <c r="AA3" s="24">
        <f t="shared" si="1"/>
        <v>3.4300000000000004E-2</v>
      </c>
      <c r="AB3" s="24">
        <f t="shared" si="1"/>
        <v>3.4300000000000004E-2</v>
      </c>
      <c r="AC3" s="24">
        <f t="shared" si="1"/>
        <v>3.4300000000000004E-2</v>
      </c>
      <c r="AD3" s="24">
        <f t="shared" si="1"/>
        <v>3.4300000000000004E-2</v>
      </c>
      <c r="AE3" s="24">
        <f t="shared" si="1"/>
        <v>3.4300000000000004E-2</v>
      </c>
      <c r="AF3" s="24">
        <f t="shared" si="1"/>
        <v>3.4300000000000004E-2</v>
      </c>
      <c r="AG3" s="24">
        <f t="shared" si="1"/>
        <v>3.4300000000000004E-2</v>
      </c>
      <c r="AH3" s="24">
        <f t="shared" si="1"/>
        <v>3.4300000000000004E-2</v>
      </c>
      <c r="AI3" s="24">
        <f t="shared" si="1"/>
        <v>3.4300000000000004E-2</v>
      </c>
      <c r="AJ3" s="24">
        <f t="shared" si="1"/>
        <v>3.4300000000000004E-2</v>
      </c>
      <c r="AK3" s="24">
        <f t="shared" si="1"/>
        <v>3.4300000000000004E-2</v>
      </c>
      <c r="AL3" s="24">
        <f t="shared" si="1"/>
        <v>3.4300000000000004E-2</v>
      </c>
      <c r="AM3" s="24">
        <f t="shared" si="1"/>
        <v>3.4300000000000004E-2</v>
      </c>
      <c r="AN3" s="24">
        <f t="shared" si="1"/>
        <v>3.4300000000000004E-2</v>
      </c>
      <c r="AO3" s="24">
        <f t="shared" si="1"/>
        <v>3.4300000000000004E-2</v>
      </c>
      <c r="AP3" s="24">
        <f t="shared" ref="AP3" si="3">AO3</f>
        <v>3.4300000000000004E-2</v>
      </c>
    </row>
    <row r="4" spans="1:42" x14ac:dyDescent="0.25">
      <c r="B4" s="22"/>
      <c r="C4" s="22"/>
      <c r="D4" s="22"/>
      <c r="E4" s="22"/>
      <c r="F4" s="22"/>
      <c r="G4" s="22"/>
      <c r="H4" s="22"/>
      <c r="I4" s="22"/>
      <c r="J4" s="22"/>
      <c r="K4" s="22"/>
    </row>
    <row r="5" spans="1:42" x14ac:dyDescent="0.25">
      <c r="B5" s="22"/>
      <c r="C5" s="22"/>
      <c r="D5" s="22"/>
      <c r="E5" s="22"/>
      <c r="F5" s="22"/>
      <c r="G5" s="22"/>
      <c r="H5" s="22"/>
      <c r="I5" s="22"/>
      <c r="J5" s="22"/>
      <c r="K5" s="22"/>
    </row>
    <row r="6" spans="1:42" x14ac:dyDescent="0.25">
      <c r="B6" s="22"/>
      <c r="C6" s="22"/>
      <c r="D6" s="22"/>
      <c r="E6" s="22"/>
      <c r="F6" s="22"/>
      <c r="G6" s="22"/>
      <c r="H6" s="22"/>
      <c r="I6" s="22"/>
      <c r="J6" s="22"/>
      <c r="K6" s="22"/>
    </row>
    <row r="7" spans="1:42" x14ac:dyDescent="0.25">
      <c r="B7" s="22"/>
      <c r="C7" s="22"/>
      <c r="D7" s="22"/>
      <c r="E7" s="22"/>
      <c r="F7" s="22"/>
      <c r="G7" s="22"/>
      <c r="H7" s="22"/>
      <c r="I7" s="22"/>
      <c r="J7" s="22"/>
      <c r="K7" s="22"/>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heetViews>
  <sheetFormatPr defaultColWidth="8.7109375" defaultRowHeight="15" x14ac:dyDescent="0.25"/>
  <cols>
    <col min="1" max="1" width="31.42578125" style="1" bestFit="1" customWidth="1"/>
    <col min="2" max="2" width="29.7109375" style="1" bestFit="1" customWidth="1"/>
    <col min="3" max="16384" width="8.7109375" style="1"/>
  </cols>
  <sheetData>
    <row r="1" spans="1:2" x14ac:dyDescent="0.25">
      <c r="B1" s="1" t="s">
        <v>158</v>
      </c>
    </row>
    <row r="2" spans="1:2" x14ac:dyDescent="0.25">
      <c r="A2" s="1" t="s">
        <v>102</v>
      </c>
      <c r="B2" s="1">
        <v>8.5999999999999993E-2</v>
      </c>
    </row>
    <row r="3" spans="1:2" x14ac:dyDescent="0.25">
      <c r="A3" s="1" t="s">
        <v>103</v>
      </c>
      <c r="B3" s="1">
        <v>7.0000000000000007E-2</v>
      </c>
    </row>
    <row r="4" spans="1:2" x14ac:dyDescent="0.25">
      <c r="A4" s="1" t="s">
        <v>157</v>
      </c>
      <c r="B4" s="1">
        <v>4.9000000000000002E-2</v>
      </c>
    </row>
    <row r="5" spans="1:2" x14ac:dyDescent="0.25">
      <c r="A5" s="1" t="s">
        <v>156</v>
      </c>
      <c r="B5" s="1">
        <v>0.05</v>
      </c>
    </row>
    <row r="6" spans="1:2" x14ac:dyDescent="0.25">
      <c r="A6" s="1" t="s">
        <v>155</v>
      </c>
      <c r="B6" s="1">
        <v>3.6999999999999998E-2</v>
      </c>
    </row>
    <row r="7" spans="1:2" x14ac:dyDescent="0.25">
      <c r="A7" s="1" t="s">
        <v>154</v>
      </c>
      <c r="B7" s="1">
        <v>2.9000000000000001E-2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defaultColWidth="8.7109375" defaultRowHeight="15" x14ac:dyDescent="0.25"/>
  <cols>
    <col min="1" max="1" width="31.42578125" style="1" bestFit="1" customWidth="1"/>
    <col min="2" max="2" width="29.7109375" style="1" bestFit="1" customWidth="1"/>
    <col min="3" max="16384" width="8.7109375" style="1"/>
  </cols>
  <sheetData>
    <row r="1" spans="1:2" x14ac:dyDescent="0.25">
      <c r="B1" s="1" t="s">
        <v>158</v>
      </c>
    </row>
    <row r="2" spans="1:2" x14ac:dyDescent="0.25">
      <c r="A2" s="1" t="s">
        <v>163</v>
      </c>
      <c r="B2" s="1">
        <v>0.18</v>
      </c>
    </row>
    <row r="3" spans="1:2" x14ac:dyDescent="0.25">
      <c r="A3" s="1" t="s">
        <v>164</v>
      </c>
      <c r="B3" s="1">
        <v>0.08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defaultRowHeight="15" x14ac:dyDescent="0.25"/>
  <cols>
    <col min="1" max="1" width="31.42578125" bestFit="1" customWidth="1"/>
    <col min="2" max="2" width="29.5703125" bestFit="1" customWidth="1"/>
    <col min="3" max="3" width="31.42578125" bestFit="1" customWidth="1"/>
    <col min="4" max="4" width="24.85546875" bestFit="1" customWidth="1"/>
    <col min="5" max="5" width="30.85546875" bestFit="1" customWidth="1"/>
    <col min="6" max="6" width="24.42578125" bestFit="1" customWidth="1"/>
    <col min="7" max="7" width="23.28515625" bestFit="1" customWidth="1"/>
  </cols>
  <sheetData>
    <row r="1" spans="1:7" x14ac:dyDescent="0.25">
      <c r="B1" t="s">
        <v>154</v>
      </c>
      <c r="C1" t="s">
        <v>155</v>
      </c>
      <c r="D1" t="s">
        <v>156</v>
      </c>
      <c r="E1" t="s">
        <v>157</v>
      </c>
      <c r="F1" t="s">
        <v>103</v>
      </c>
      <c r="G1" t="s">
        <v>102</v>
      </c>
    </row>
    <row r="2" spans="1:7" x14ac:dyDescent="0.25">
      <c r="A2" t="s">
        <v>154</v>
      </c>
      <c r="B2">
        <v>1</v>
      </c>
      <c r="C2">
        <v>0.6</v>
      </c>
      <c r="D2">
        <v>0.2</v>
      </c>
      <c r="E2">
        <v>0.4</v>
      </c>
      <c r="F2">
        <v>0</v>
      </c>
      <c r="G2">
        <v>0</v>
      </c>
    </row>
    <row r="3" spans="1:7" x14ac:dyDescent="0.25">
      <c r="A3" t="s">
        <v>155</v>
      </c>
      <c r="B3">
        <v>0.6</v>
      </c>
      <c r="C3">
        <v>1</v>
      </c>
      <c r="D3">
        <v>0.7</v>
      </c>
      <c r="E3">
        <v>0.6</v>
      </c>
      <c r="F3">
        <v>0.3</v>
      </c>
      <c r="G3">
        <v>0.3</v>
      </c>
    </row>
    <row r="4" spans="1:7" x14ac:dyDescent="0.25">
      <c r="A4" t="s">
        <v>156</v>
      </c>
      <c r="B4">
        <v>0.2</v>
      </c>
      <c r="C4">
        <v>0.7</v>
      </c>
      <c r="D4">
        <v>1</v>
      </c>
      <c r="E4">
        <v>0.7</v>
      </c>
      <c r="F4">
        <v>0.7</v>
      </c>
      <c r="G4">
        <v>0.6</v>
      </c>
    </row>
    <row r="5" spans="1:7" x14ac:dyDescent="0.25">
      <c r="A5" t="s">
        <v>157</v>
      </c>
      <c r="B5">
        <v>0.4</v>
      </c>
      <c r="C5">
        <v>0.6</v>
      </c>
      <c r="D5">
        <v>0.7</v>
      </c>
      <c r="E5">
        <v>1</v>
      </c>
      <c r="F5">
        <v>0.5</v>
      </c>
      <c r="G5">
        <v>0.7</v>
      </c>
    </row>
    <row r="6" spans="1:7" x14ac:dyDescent="0.25">
      <c r="A6" t="s">
        <v>103</v>
      </c>
      <c r="B6">
        <v>0</v>
      </c>
      <c r="C6">
        <v>0.3</v>
      </c>
      <c r="D6">
        <v>0.7</v>
      </c>
      <c r="E6">
        <v>0.5</v>
      </c>
      <c r="F6">
        <v>1</v>
      </c>
      <c r="G6">
        <v>0.7</v>
      </c>
    </row>
    <row r="7" spans="1:7" x14ac:dyDescent="0.25">
      <c r="A7" t="s">
        <v>102</v>
      </c>
      <c r="B7">
        <v>0</v>
      </c>
      <c r="C7">
        <v>0.3</v>
      </c>
      <c r="D7">
        <v>0.6</v>
      </c>
      <c r="E7">
        <v>0.7</v>
      </c>
      <c r="F7">
        <v>0.7</v>
      </c>
      <c r="G7">
        <v>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defaultRowHeight="15" x14ac:dyDescent="0.25"/>
  <cols>
    <col min="1" max="1" width="31.42578125" bestFit="1" customWidth="1"/>
    <col min="2" max="2" width="29.5703125" bestFit="1" customWidth="1"/>
    <col min="3" max="3" width="31.42578125" bestFit="1" customWidth="1"/>
    <col min="4" max="4" width="24.85546875" bestFit="1" customWidth="1"/>
    <col min="5" max="5" width="30.85546875" bestFit="1" customWidth="1"/>
    <col min="6" max="6" width="24.42578125" bestFit="1" customWidth="1"/>
    <col min="7" max="7" width="23.28515625" bestFit="1" customWidth="1"/>
  </cols>
  <sheetData>
    <row r="1" spans="1:3" x14ac:dyDescent="0.25">
      <c r="B1" t="s">
        <v>164</v>
      </c>
      <c r="C1" t="s">
        <v>163</v>
      </c>
    </row>
    <row r="2" spans="1:3" x14ac:dyDescent="0.25">
      <c r="A2" t="str" cm="1">
        <f t="array" ref="A2:A3">TRANSPOSE(B1:C1)</f>
        <v>Obligations</v>
      </c>
      <c r="B2">
        <v>1</v>
      </c>
      <c r="C2">
        <v>0</v>
      </c>
    </row>
    <row r="3" spans="1:3" x14ac:dyDescent="0.25">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2.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customXml/itemProps3.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65CEB7C-82CD-45C0-898C-1974C456611C}">
  <ds:schemaRefs>
    <ds:schemaRef ds:uri="http://www.w3.org/2001/XMLSchema"/>
    <ds:schemaRef ds:uri="http://www.boozallen.com/argo/gui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Front Page</vt:lpstr>
      <vt:lpstr>Salary Variables</vt:lpstr>
      <vt:lpstr>Income</vt:lpstr>
      <vt:lpstr>Pensions P1</vt:lpstr>
      <vt:lpstr>Pensions P2</vt:lpstr>
      <vt:lpstr>Net Salary P1</vt:lpstr>
      <vt:lpstr>Net Salary P2</vt:lpstr>
      <vt:lpstr>Job Hopping</vt:lpstr>
      <vt:lpstr>Djøf Finance Hoppers</vt:lpstr>
      <vt:lpstr>Djøf Finance Workers</vt:lpstr>
      <vt:lpstr>Loop</vt:lpstr>
      <vt:lpstr>Goals</vt:lpstr>
      <vt:lpstr>Aktiesparekonto Increase</vt:lpstr>
      <vt:lpstr>Salary</vt:lpstr>
      <vt:lpstr>Wealth</vt:lpstr>
      <vt:lpstr>notes next time talk</vt:lpstr>
      <vt:lpstr>Real Returns</vt:lpstr>
      <vt:lpstr>Returns</vt:lpstr>
      <vt:lpstr>BasisPointCost</vt:lpstr>
      <vt:lpstr>Returns2</vt:lpstr>
      <vt:lpstr>Volatilities</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Thorbjørn Gundertofte Larsen</cp:lastModifiedBy>
  <dcterms:created xsi:type="dcterms:W3CDTF">2025-02-13T10:09:46Z</dcterms:created>
  <dcterms:modified xsi:type="dcterms:W3CDTF">2025-04-30T14:53:49Z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