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"/>
    </mc:Choice>
  </mc:AlternateContent>
  <xr:revisionPtr revIDLastSave="0" documentId="13_ncr:1_{33C26D5F-D478-1644-8329-C604B127A309}" xr6:coauthVersionLast="47" xr6:coauthVersionMax="47" xr10:uidLastSave="{00000000-0000-0000-0000-000000000000}"/>
  <bookViews>
    <workbookView xWindow="0" yWindow="760" windowWidth="30240" windowHeight="17640" activeTab="4" xr2:uid="{520DC68B-09D6-4918-8B2A-7CA85AF9EF74}"/>
  </bookViews>
  <sheets>
    <sheet name="Returns" sheetId="1" r:id="rId1"/>
    <sheet name="Volatility" sheetId="2" r:id="rId2"/>
    <sheet name="Cost" sheetId="4" r:id="rId3"/>
    <sheet name="Correlation" sheetId="3" r:id="rId4"/>
    <sheet name="Saml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4" i="5"/>
  <c r="D3" i="5"/>
  <c r="D5" i="5"/>
  <c r="D6" i="5"/>
  <c r="D7" i="5"/>
  <c r="B3" i="4"/>
  <c r="B4" i="4"/>
  <c r="B2" i="4"/>
  <c r="B7" i="4"/>
  <c r="B6" i="4"/>
  <c r="B5" i="4"/>
</calcChain>
</file>

<file path=xl/sharedStrings.xml><?xml version="1.0" encoding="utf-8"?>
<sst xmlns="http://schemas.openxmlformats.org/spreadsheetml/2006/main" count="58" uniqueCount="11">
  <si>
    <t>Assets</t>
  </si>
  <si>
    <t>Stats- og realkreditobligationer</t>
  </si>
  <si>
    <t>Investment-grade obligationer</t>
  </si>
  <si>
    <t>High-yield obligationer</t>
  </si>
  <si>
    <t>Emerging markets statsobligationer</t>
  </si>
  <si>
    <t>Globale aktier (developed markets)</t>
  </si>
  <si>
    <t>Emerging markets aktier</t>
  </si>
  <si>
    <t>Return</t>
  </si>
  <si>
    <t>Std. Dev.</t>
  </si>
  <si>
    <t>Cost</t>
  </si>
  <si>
    <t>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</si>
</sst>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12"/>
      <color theme="1"/>
      <name val="Calibri Light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</cellXfs>
  <cellStyles count="2">
    <cellStyle name="Normal" xfId="0" builtinId="0"/>
    <cellStyle name="Percent 2" xfId="1" xr:uid="{D51D1746-65CD-4EB4-9226-1683C777DE83}"/>
  </cellStyles>
  <dxfs count="3">
    <dxf>
      <numFmt numFmtId="165" formatCode="0.000"/>
    </dxf>
    <dxf>
      <numFmt numFmtId="164" formatCode="#,##0.000"/>
    </dxf>
    <dxf>
      <numFmt numFmtId="164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95CFA-88B8-4E8A-9459-AA16602082B0}" name="Returns" displayName="Returns" ref="A1:B7" totalsRowShown="0">
  <autoFilter ref="A1:B7" xr:uid="{40995CFA-88B8-4E8A-9459-AA16602082B0}"/>
  <tableColumns count="2">
    <tableColumn id="1" xr3:uid="{66492367-33F8-4886-90C3-080C90699FF1}" name="Assets"/>
    <tableColumn id="2" xr3:uid="{0C8C42A0-3EC0-4F27-8CDF-A8157115325C}" name="Retur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207369-8959-4EF5-AF72-A5634F02F36C}" name="Volatility" displayName="Volatility" ref="A1:B7" totalsRowShown="0">
  <autoFilter ref="A1:B7" xr:uid="{93207369-8959-4EF5-AF72-A5634F02F36C}"/>
  <tableColumns count="2">
    <tableColumn id="1" xr3:uid="{A999CC29-25D1-4546-A5B5-D548F2538046}" name="Assets"/>
    <tableColumn id="3" xr3:uid="{80D6A63C-B366-4B29-B87C-4D69198D73DE}" name="Std. Dev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A88A5-FB9B-4D29-864A-74E11780939D}" name="Volatility2" displayName="Volatility2" ref="A1:B7" totalsRowShown="0">
  <autoFilter ref="A1:B7" xr:uid="{F11A88A5-FB9B-4D29-864A-74E11780939D}"/>
  <sortState xmlns:xlrd2="http://schemas.microsoft.com/office/spreadsheetml/2017/richdata2" ref="A2:B7">
    <sortCondition ref="A1:A7"/>
  </sortState>
  <tableColumns count="2">
    <tableColumn id="1" xr3:uid="{C31C4DA5-F387-4B0B-BA51-4DE46CAE9361}" name="Assets"/>
    <tableColumn id="3" xr3:uid="{2B56A8D4-1A73-4211-AD57-9DE32A3C2C33}" name="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3F773-3ACC-D146-8B14-806A2AA2AB5E}" name="Returns5" displayName="Returns5" ref="A1:D7" totalsRowShown="0">
  <autoFilter ref="A1:D7" xr:uid="{4B03F773-3ACC-D146-8B14-806A2AA2AB5E}"/>
  <sortState xmlns:xlrd2="http://schemas.microsoft.com/office/spreadsheetml/2017/richdata2" ref="A2:D7">
    <sortCondition ref="A1:A7"/>
  </sortState>
  <tableColumns count="4">
    <tableColumn id="1" xr3:uid="{B79FE4B6-5C5A-CA48-BAE9-FA075D805F08}" name="Assets"/>
    <tableColumn id="2" xr3:uid="{46EB955E-9756-5848-8E41-BCAE0B80931B}" name="Expected Return" dataDxfId="1"/>
    <tableColumn id="3" xr3:uid="{B2ADEC9A-2062-4A4F-91C9-608343A03711}" name="Std. Dev."/>
    <tableColumn id="4" xr3:uid="{21905499-8699-E14A-BC97-5612739A0169}" name="Cost" dataDxfId="0">
      <calculatedColumnFormula>0.07%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B03D-E5E7-448A-ABE8-1D6C8CA953E4}">
  <dimension ref="A1:B7"/>
  <sheetViews>
    <sheetView workbookViewId="0">
      <selection activeCell="A6" sqref="A1:B7"/>
    </sheetView>
  </sheetViews>
  <sheetFormatPr baseColWidth="10" defaultColWidth="8.83203125" defaultRowHeight="16" x14ac:dyDescent="0.2"/>
  <cols>
    <col min="1" max="1" width="30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s="1">
        <v>2.9000000000000001E-2</v>
      </c>
    </row>
    <row r="3" spans="1:2" x14ac:dyDescent="0.2">
      <c r="A3" t="s">
        <v>2</v>
      </c>
      <c r="B3" s="1">
        <v>3.6999999999999998E-2</v>
      </c>
    </row>
    <row r="4" spans="1:2" x14ac:dyDescent="0.2">
      <c r="A4" t="s">
        <v>3</v>
      </c>
      <c r="B4" s="1">
        <v>0.05</v>
      </c>
    </row>
    <row r="5" spans="1:2" x14ac:dyDescent="0.2">
      <c r="A5" t="s">
        <v>4</v>
      </c>
      <c r="B5" s="1">
        <v>4.9000000000000002E-2</v>
      </c>
    </row>
    <row r="6" spans="1:2" x14ac:dyDescent="0.2">
      <c r="A6" t="s">
        <v>5</v>
      </c>
      <c r="B6" s="1">
        <v>7.0000000000000007E-2</v>
      </c>
    </row>
    <row r="7" spans="1:2" x14ac:dyDescent="0.2">
      <c r="A7" t="s">
        <v>6</v>
      </c>
      <c r="B7" s="1">
        <v>8.5999999999999993E-2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0781-6C52-46E8-AC35-00281278B8AD}">
  <dimension ref="A1:B7"/>
  <sheetViews>
    <sheetView workbookViewId="0">
      <selection activeCell="B7" sqref="B1:B7"/>
    </sheetView>
  </sheetViews>
  <sheetFormatPr baseColWidth="10" defaultColWidth="8.83203125" defaultRowHeight="16" x14ac:dyDescent="0.2"/>
  <cols>
    <col min="1" max="1" width="30.6640625" bestFit="1" customWidth="1"/>
  </cols>
  <sheetData>
    <row r="1" spans="1:2" x14ac:dyDescent="0.2">
      <c r="A1" t="s">
        <v>0</v>
      </c>
      <c r="B1" t="s">
        <v>8</v>
      </c>
    </row>
    <row r="2" spans="1:2" x14ac:dyDescent="0.2">
      <c r="A2" t="s">
        <v>1</v>
      </c>
      <c r="B2">
        <v>3.3000000000000002E-2</v>
      </c>
    </row>
    <row r="3" spans="1:2" x14ac:dyDescent="0.2">
      <c r="A3" t="s">
        <v>2</v>
      </c>
      <c r="B3">
        <v>5.7000000000000002E-2</v>
      </c>
    </row>
    <row r="4" spans="1:2" x14ac:dyDescent="0.2">
      <c r="A4" t="s">
        <v>3</v>
      </c>
      <c r="B4">
        <v>9.7000000000000003E-2</v>
      </c>
    </row>
    <row r="5" spans="1:2" x14ac:dyDescent="0.2">
      <c r="A5" t="s">
        <v>4</v>
      </c>
      <c r="B5">
        <v>9.2999999999999999E-2</v>
      </c>
    </row>
    <row r="6" spans="1:2" x14ac:dyDescent="0.2">
      <c r="A6" t="s">
        <v>5</v>
      </c>
      <c r="B6">
        <v>0.158</v>
      </c>
    </row>
    <row r="7" spans="1:2" x14ac:dyDescent="0.2">
      <c r="A7" t="s">
        <v>6</v>
      </c>
      <c r="B7">
        <v>0.20799999999999999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2FF6-F600-4625-9A98-233484F65B09}">
  <dimension ref="A1:B7"/>
  <sheetViews>
    <sheetView workbookViewId="0">
      <selection activeCell="B1" sqref="B1:B7"/>
    </sheetView>
  </sheetViews>
  <sheetFormatPr baseColWidth="10" defaultColWidth="8.83203125" defaultRowHeight="16" x14ac:dyDescent="0.2"/>
  <cols>
    <col min="1" max="1" width="30.6640625" bestFit="1" customWidth="1"/>
  </cols>
  <sheetData>
    <row r="1" spans="1:2" x14ac:dyDescent="0.2">
      <c r="A1" t="s">
        <v>0</v>
      </c>
      <c r="B1" t="s">
        <v>9</v>
      </c>
    </row>
    <row r="2" spans="1:2" x14ac:dyDescent="0.2">
      <c r="A2" t="s">
        <v>6</v>
      </c>
      <c r="B2" s="2">
        <f>0.2%</f>
        <v>2E-3</v>
      </c>
    </row>
    <row r="3" spans="1:2" x14ac:dyDescent="0.2">
      <c r="A3" t="s">
        <v>4</v>
      </c>
      <c r="B3" s="2">
        <f>0.07%</f>
        <v>7.000000000000001E-4</v>
      </c>
    </row>
    <row r="4" spans="1:2" x14ac:dyDescent="0.2">
      <c r="A4" t="s">
        <v>5</v>
      </c>
      <c r="B4" s="2">
        <f>0.2%</f>
        <v>2E-3</v>
      </c>
    </row>
    <row r="5" spans="1:2" x14ac:dyDescent="0.2">
      <c r="A5" t="s">
        <v>3</v>
      </c>
      <c r="B5" s="2">
        <f>0.07%</f>
        <v>7.000000000000001E-4</v>
      </c>
    </row>
    <row r="6" spans="1:2" x14ac:dyDescent="0.2">
      <c r="A6" t="s">
        <v>2</v>
      </c>
      <c r="B6" s="2">
        <f>0.07%</f>
        <v>7.000000000000001E-4</v>
      </c>
    </row>
    <row r="7" spans="1:2" x14ac:dyDescent="0.2">
      <c r="A7" t="s">
        <v>1</v>
      </c>
      <c r="B7" s="2">
        <f>0.07%</f>
        <v>7.000000000000001E-4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FD4F-951C-4C32-ADF1-E2D68B2B63B7}">
  <dimension ref="A1:G7"/>
  <sheetViews>
    <sheetView workbookViewId="0">
      <selection activeCell="G7" sqref="A1:G7"/>
    </sheetView>
  </sheetViews>
  <sheetFormatPr baseColWidth="10" defaultColWidth="8.83203125" defaultRowHeight="16" x14ac:dyDescent="0.2"/>
  <cols>
    <col min="1" max="1" width="30.6640625" bestFit="1" customWidth="1"/>
    <col min="2" max="2" width="26.6640625" bestFit="1" customWidth="1"/>
    <col min="3" max="3" width="26.1640625" bestFit="1" customWidth="1"/>
    <col min="4" max="4" width="19.6640625" bestFit="1" customWidth="1"/>
    <col min="5" max="5" width="30.6640625" bestFit="1" customWidth="1"/>
    <col min="6" max="6" width="30.1640625" bestFit="1" customWidth="1"/>
    <col min="7" max="7" width="21.5" bestFit="1" customWidth="1"/>
  </cols>
  <sheetData>
    <row r="1" spans="1:7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</v>
      </c>
      <c r="B2">
        <v>1</v>
      </c>
      <c r="C2">
        <v>0.6</v>
      </c>
      <c r="D2">
        <v>0.2</v>
      </c>
      <c r="E2">
        <v>0.4</v>
      </c>
      <c r="F2">
        <v>0</v>
      </c>
      <c r="G2">
        <v>0</v>
      </c>
    </row>
    <row r="3" spans="1:7" x14ac:dyDescent="0.2">
      <c r="A3" t="s">
        <v>2</v>
      </c>
      <c r="C3">
        <v>1</v>
      </c>
      <c r="D3">
        <v>0.7</v>
      </c>
      <c r="E3">
        <v>0.6</v>
      </c>
      <c r="F3">
        <v>0.3</v>
      </c>
      <c r="G3">
        <v>0.3</v>
      </c>
    </row>
    <row r="4" spans="1:7" x14ac:dyDescent="0.2">
      <c r="A4" t="s">
        <v>3</v>
      </c>
      <c r="D4">
        <v>1</v>
      </c>
      <c r="E4">
        <v>0.7</v>
      </c>
      <c r="F4">
        <v>0.7</v>
      </c>
      <c r="G4">
        <v>0.6</v>
      </c>
    </row>
    <row r="5" spans="1:7" x14ac:dyDescent="0.2">
      <c r="A5" t="s">
        <v>4</v>
      </c>
      <c r="E5">
        <v>1</v>
      </c>
      <c r="F5">
        <v>0.5</v>
      </c>
      <c r="G5">
        <v>0.7</v>
      </c>
    </row>
    <row r="6" spans="1:7" x14ac:dyDescent="0.2">
      <c r="A6" t="s">
        <v>5</v>
      </c>
      <c r="F6">
        <v>1</v>
      </c>
      <c r="G6">
        <v>0.7</v>
      </c>
    </row>
    <row r="7" spans="1:7" x14ac:dyDescent="0.2">
      <c r="A7" t="s">
        <v>6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B43B-623C-9245-8889-9754FC263E82}">
  <dimension ref="A1:L7"/>
  <sheetViews>
    <sheetView tabSelected="1" topLeftCell="B1" workbookViewId="0">
      <selection activeCell="J15" sqref="J15"/>
    </sheetView>
  </sheetViews>
  <sheetFormatPr baseColWidth="10" defaultRowHeight="16" x14ac:dyDescent="0.2"/>
  <cols>
    <col min="1" max="1" width="30.6640625" bestFit="1" customWidth="1"/>
    <col min="6" max="6" width="30.6640625" bestFit="1" customWidth="1"/>
    <col min="7" max="7" width="27" bestFit="1" customWidth="1"/>
    <col min="8" max="8" width="26.1640625" bestFit="1" customWidth="1"/>
    <col min="9" max="9" width="19.83203125" bestFit="1" customWidth="1"/>
    <col min="10" max="10" width="30.6640625" bestFit="1" customWidth="1"/>
    <col min="11" max="11" width="30.33203125" bestFit="1" customWidth="1"/>
    <col min="12" max="12" width="21.1640625" bestFit="1" customWidth="1"/>
  </cols>
  <sheetData>
    <row r="1" spans="1:12" x14ac:dyDescent="0.2">
      <c r="A1" t="s">
        <v>0</v>
      </c>
      <c r="B1" t="s">
        <v>10</v>
      </c>
      <c r="C1" t="s">
        <v>8</v>
      </c>
      <c r="D1" t="s">
        <v>9</v>
      </c>
      <c r="F1" s="9"/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8" t="s">
        <v>6</v>
      </c>
    </row>
    <row r="2" spans="1:12" x14ac:dyDescent="0.2">
      <c r="A2" t="s">
        <v>6</v>
      </c>
      <c r="B2" s="1">
        <v>8.5999999999999993E-2</v>
      </c>
      <c r="C2">
        <v>0.20799999999999999</v>
      </c>
      <c r="D2" s="2">
        <f>0.07%</f>
        <v>7.000000000000001E-4</v>
      </c>
      <c r="F2" s="10" t="s">
        <v>1</v>
      </c>
      <c r="G2" s="3">
        <v>1</v>
      </c>
      <c r="H2" s="3">
        <v>0.6</v>
      </c>
      <c r="I2" s="3">
        <v>0.2</v>
      </c>
      <c r="J2" s="3">
        <v>0.4</v>
      </c>
      <c r="K2" s="3">
        <v>0</v>
      </c>
      <c r="L2" s="4">
        <v>0</v>
      </c>
    </row>
    <row r="3" spans="1:12" x14ac:dyDescent="0.2">
      <c r="A3" t="s">
        <v>4</v>
      </c>
      <c r="B3" s="1">
        <v>4.9000000000000002E-2</v>
      </c>
      <c r="C3">
        <v>9.2999999999999999E-2</v>
      </c>
      <c r="D3" s="2">
        <f>0.07%</f>
        <v>7.000000000000001E-4</v>
      </c>
      <c r="F3" s="10" t="s">
        <v>2</v>
      </c>
      <c r="G3" s="3">
        <v>0.6</v>
      </c>
      <c r="H3" s="3">
        <v>1</v>
      </c>
      <c r="I3" s="3">
        <v>0.7</v>
      </c>
      <c r="J3" s="3">
        <v>0.6</v>
      </c>
      <c r="K3" s="3">
        <v>0.3</v>
      </c>
      <c r="L3" s="4">
        <v>0.3</v>
      </c>
    </row>
    <row r="4" spans="1:12" x14ac:dyDescent="0.2">
      <c r="A4" t="s">
        <v>5</v>
      </c>
      <c r="B4" s="1">
        <v>7.0000000000000007E-2</v>
      </c>
      <c r="C4">
        <v>0.158</v>
      </c>
      <c r="D4" s="2">
        <f>0.07%</f>
        <v>7.000000000000001E-4</v>
      </c>
      <c r="F4" s="10" t="s">
        <v>3</v>
      </c>
      <c r="G4" s="3">
        <v>0.2</v>
      </c>
      <c r="H4" s="3">
        <v>0.7</v>
      </c>
      <c r="I4" s="3">
        <v>1</v>
      </c>
      <c r="J4" s="3">
        <v>0.7</v>
      </c>
      <c r="K4" s="3">
        <v>0.7</v>
      </c>
      <c r="L4" s="4">
        <v>0.6</v>
      </c>
    </row>
    <row r="5" spans="1:12" x14ac:dyDescent="0.2">
      <c r="A5" t="s">
        <v>3</v>
      </c>
      <c r="B5" s="1">
        <v>0.05</v>
      </c>
      <c r="C5">
        <v>9.7000000000000003E-2</v>
      </c>
      <c r="D5" s="2">
        <f>0.2%</f>
        <v>2E-3</v>
      </c>
      <c r="F5" s="10" t="s">
        <v>4</v>
      </c>
      <c r="G5" s="3">
        <v>0.4</v>
      </c>
      <c r="H5" s="3">
        <v>0.6</v>
      </c>
      <c r="I5" s="3">
        <v>0.7</v>
      </c>
      <c r="J5" s="3">
        <v>1</v>
      </c>
      <c r="K5" s="3">
        <v>0.5</v>
      </c>
      <c r="L5" s="4">
        <v>0.7</v>
      </c>
    </row>
    <row r="6" spans="1:12" x14ac:dyDescent="0.2">
      <c r="A6" t="s">
        <v>2</v>
      </c>
      <c r="B6" s="1">
        <v>3.6999999999999998E-2</v>
      </c>
      <c r="C6">
        <v>5.7000000000000002E-2</v>
      </c>
      <c r="D6" s="2">
        <f>0.07%</f>
        <v>7.000000000000001E-4</v>
      </c>
      <c r="F6" s="10" t="s">
        <v>5</v>
      </c>
      <c r="G6" s="3">
        <v>0</v>
      </c>
      <c r="H6" s="3">
        <v>0.3</v>
      </c>
      <c r="I6" s="3">
        <v>0.7</v>
      </c>
      <c r="J6" s="3">
        <v>0.5</v>
      </c>
      <c r="K6" s="3">
        <v>1</v>
      </c>
      <c r="L6" s="4">
        <v>0.7</v>
      </c>
    </row>
    <row r="7" spans="1:12" x14ac:dyDescent="0.2">
      <c r="A7" t="s">
        <v>1</v>
      </c>
      <c r="B7" s="1">
        <v>2.9000000000000001E-2</v>
      </c>
      <c r="C7">
        <v>3.3000000000000002E-2</v>
      </c>
      <c r="D7" s="2">
        <f>0.2%</f>
        <v>2E-3</v>
      </c>
      <c r="F7" s="11" t="s">
        <v>6</v>
      </c>
      <c r="G7" s="5">
        <v>0</v>
      </c>
      <c r="H7" s="5">
        <v>0.3</v>
      </c>
      <c r="I7" s="5">
        <v>0.6</v>
      </c>
      <c r="J7" s="5">
        <v>0.7</v>
      </c>
      <c r="K7" s="5">
        <v>0.7</v>
      </c>
      <c r="L7" s="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7F60E-50DD-4ACA-9A35-BA4269FAE954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Returns</vt:lpstr>
      <vt:lpstr>Volatility</vt:lpstr>
      <vt:lpstr>Cost</vt:lpstr>
      <vt:lpstr>Correlation</vt:lpstr>
      <vt:lpstr>Samlet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Thorbjørn Gundertofte Larsen</dc:creator>
  <cp:lastModifiedBy>Thorbjørn Larsen</cp:lastModifiedBy>
  <dcterms:created xsi:type="dcterms:W3CDTF">2025-03-13T14:14:30Z</dcterms:created>
  <dcterms:modified xsi:type="dcterms:W3CDTF">2025-05-08T19:13:18Z</dcterms:modified>
</cp:coreProperties>
</file>