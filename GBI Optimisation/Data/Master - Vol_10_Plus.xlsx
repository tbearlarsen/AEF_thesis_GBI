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justo\PycharmProjects\AEF_thesis_GBI\GBI Optimisation\Data\"/>
    </mc:Choice>
  </mc:AlternateContent>
  <xr:revisionPtr revIDLastSave="0" documentId="13_ncr:1_{A5AAD3B0-67A7-4EFA-8809-3250419CEF65}" xr6:coauthVersionLast="47" xr6:coauthVersionMax="47" xr10:uidLastSave="{00000000-0000-0000-0000-000000000000}"/>
  <bookViews>
    <workbookView xWindow="-120" yWindow="-120" windowWidth="29040" windowHeight="15720" tabRatio="972" firstSheet="7" activeTab="2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y Modifier" sheetId="57" r:id="rId23"/>
    <sheet name="Volatilities2" sheetId="24" r:id="rId24"/>
    <sheet name="Correlation" sheetId="22" r:id="rId25"/>
    <sheet name="Correlation2" sheetId="25"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0" l="1"/>
  <c r="B6" i="20"/>
  <c r="B5" i="20"/>
  <c r="B4" i="20"/>
  <c r="B3" i="20"/>
  <c r="B2" i="20"/>
  <c r="C7" i="57"/>
  <c r="C6" i="57"/>
  <c r="C5" i="57"/>
  <c r="C4" i="57"/>
  <c r="C3" i="57"/>
  <c r="C2" i="57"/>
  <c r="B43" i="55"/>
  <c r="B45" i="55" s="1"/>
  <c r="C7" i="51"/>
  <c r="B22" i="55"/>
  <c r="B5" i="55"/>
  <c r="B3" i="55"/>
  <c r="N39" i="2"/>
  <c r="N40" i="2"/>
  <c r="N41" i="2"/>
  <c r="N42" i="2"/>
  <c r="N43" i="2"/>
  <c r="N44" i="2"/>
  <c r="N45" i="2"/>
  <c r="N46" i="2"/>
  <c r="N47" i="2"/>
  <c r="N48" i="2"/>
  <c r="N49" i="2"/>
  <c r="D49" i="2" s="1"/>
  <c r="N50" i="2"/>
  <c r="D50" i="2" s="1"/>
  <c r="N51" i="2"/>
  <c r="D51" i="2" s="1"/>
  <c r="N52" i="2"/>
  <c r="N53" i="2"/>
  <c r="BB15" i="56"/>
  <c r="F39" i="56"/>
  <c r="E39" i="56"/>
  <c r="AC15" i="56"/>
  <c r="B14" i="56"/>
  <c r="A4" i="56" a="1"/>
  <c r="AP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4" i="56" l="1"/>
  <c r="AU8" i="56"/>
  <c r="G8" i="56"/>
  <c r="AW8" i="56"/>
  <c r="I8" i="56"/>
  <c r="J8" i="56"/>
  <c r="O8" i="56"/>
  <c r="Q8" i="56"/>
  <c r="B50" i="55"/>
  <c r="B54" i="55" s="1"/>
  <c r="C50" i="55" s="1"/>
  <c r="C52" i="55" s="1"/>
  <c r="C53" i="55" s="1"/>
  <c r="R8" i="56"/>
  <c r="AX8" i="56"/>
  <c r="W8" i="56"/>
  <c r="AY8" i="56"/>
  <c r="Y8" i="56"/>
  <c r="AZ8" i="56"/>
  <c r="B52" i="55"/>
  <c r="B53" i="55" s="1"/>
  <c r="Z8" i="56"/>
  <c r="BA8" i="56"/>
  <c r="AE8" i="56"/>
  <c r="BB8" i="56"/>
  <c r="AG8" i="56"/>
  <c r="AX15" i="56"/>
  <c r="AH8" i="56"/>
  <c r="AY15" i="56"/>
  <c r="AM8" i="56"/>
  <c r="AZ15"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C43" i="55" l="1"/>
  <c r="C45" i="55" s="1"/>
  <c r="C46"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B46" i="46" l="1"/>
  <c r="B47" i="46" s="1"/>
  <c r="C43" i="46" s="1"/>
  <c r="C45" i="46" s="1"/>
  <c r="C46" i="46" s="1"/>
  <c r="C47" i="46" s="1"/>
  <c r="D43" i="46" s="1"/>
  <c r="C47" i="55"/>
  <c r="D43" i="55" s="1"/>
  <c r="D52" i="55"/>
  <c r="D53" i="55" s="1"/>
  <c r="D54" i="55" s="1"/>
  <c r="E50" i="55" s="1"/>
  <c r="D45" i="55"/>
  <c r="D46"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Q36" i="8" l="1"/>
  <c r="Q86" i="8"/>
  <c r="D52" i="46"/>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G54" i="46"/>
  <c r="H50" i="46" s="1"/>
  <c r="P10" i="2"/>
  <c r="G47" i="55"/>
  <c r="H43" i="55" s="1"/>
  <c r="H54" i="55"/>
  <c r="I50" i="55" s="1"/>
  <c r="Q10" i="2"/>
  <c r="O10" i="2"/>
  <c r="R10" i="2"/>
  <c r="H7" i="53"/>
  <c r="O15" i="53" a="1"/>
  <c r="O15" i="53" s="1"/>
  <c r="G6" i="53"/>
  <c r="N16" i="53" a="1"/>
  <c r="N16" i="53" s="1"/>
  <c r="Q16" i="53" s="1"/>
  <c r="H45" i="46"/>
  <c r="H46" i="46" s="1"/>
  <c r="D11" i="45"/>
  <c r="E11" i="45"/>
  <c r="E8" i="8"/>
  <c r="E9" i="8" s="1"/>
  <c r="H52" i="46" l="1"/>
  <c r="H53" i="46" s="1"/>
  <c r="H54" i="46" s="1"/>
  <c r="I50" i="46" s="1"/>
  <c r="P11" i="2"/>
  <c r="I52" i="55"/>
  <c r="I53" i="55" s="1"/>
  <c r="H45" i="55"/>
  <c r="H46" i="55" s="1"/>
  <c r="Q11" i="2"/>
  <c r="R11" i="2"/>
  <c r="O11" i="2"/>
  <c r="H8" i="53"/>
  <c r="O14" i="53" a="1"/>
  <c r="O14" i="53" s="1"/>
  <c r="G7" i="53"/>
  <c r="N15" i="53" a="1"/>
  <c r="N15" i="53" s="1"/>
  <c r="Q15" i="53" s="1"/>
  <c r="H47" i="46"/>
  <c r="I43" i="46" s="1"/>
  <c r="E12" i="45"/>
  <c r="D12" i="45"/>
  <c r="E10" i="8"/>
  <c r="E11" i="8" s="1"/>
  <c r="I52" i="46" l="1"/>
  <c r="I53" i="46" s="1"/>
  <c r="I54" i="46"/>
  <c r="J50" i="46" s="1"/>
  <c r="J52" i="46" s="1"/>
  <c r="J53" i="46" s="1"/>
  <c r="P12" i="2"/>
  <c r="H47" i="55"/>
  <c r="I43" i="55" s="1"/>
  <c r="I54" i="55"/>
  <c r="J50" i="55" s="1"/>
  <c r="Q12" i="2"/>
  <c r="O12" i="2"/>
  <c r="R12" i="2"/>
  <c r="J54" i="46"/>
  <c r="K50" i="46" s="1"/>
  <c r="K52" i="46" s="1"/>
  <c r="K53" i="46" s="1"/>
  <c r="H9" i="53"/>
  <c r="O13" i="53" a="1"/>
  <c r="O13" i="53" s="1"/>
  <c r="G8" i="53"/>
  <c r="N14" i="53" a="1"/>
  <c r="N14" i="53" s="1"/>
  <c r="Q14" i="53" s="1"/>
  <c r="I45" i="46"/>
  <c r="I46" i="46" s="1"/>
  <c r="D13" i="45"/>
  <c r="E13" i="45"/>
  <c r="E12" i="8"/>
  <c r="P13" i="2" l="1"/>
  <c r="J52" i="55"/>
  <c r="J53" i="55" s="1"/>
  <c r="I45" i="55"/>
  <c r="I46" i="55" s="1"/>
  <c r="Q13" i="2"/>
  <c r="R13" i="2"/>
  <c r="O13" i="2"/>
  <c r="K54" i="46"/>
  <c r="L50" i="46" s="1"/>
  <c r="H10" i="53"/>
  <c r="O12" i="53" a="1"/>
  <c r="O12" i="53" s="1"/>
  <c r="G9" i="53"/>
  <c r="N13" i="53" a="1"/>
  <c r="N13" i="53" s="1"/>
  <c r="Q13" i="53" s="1"/>
  <c r="I47" i="46"/>
  <c r="J43" i="46" s="1"/>
  <c r="E14" i="45"/>
  <c r="D14" i="45"/>
  <c r="E13" i="8"/>
  <c r="P14" i="2" l="1"/>
  <c r="I47" i="55"/>
  <c r="J43" i="55" s="1"/>
  <c r="J54" i="55"/>
  <c r="K50" i="55" s="1"/>
  <c r="Q14" i="2"/>
  <c r="O14" i="2"/>
  <c r="R14" i="2"/>
  <c r="L52" i="46"/>
  <c r="L53" i="46" s="1"/>
  <c r="H11" i="53"/>
  <c r="O11" i="53" a="1"/>
  <c r="O11" i="53" s="1"/>
  <c r="G10" i="53"/>
  <c r="N12" i="53" a="1"/>
  <c r="N12" i="53" s="1"/>
  <c r="Q12" i="53" s="1"/>
  <c r="J45" i="46"/>
  <c r="J46" i="46" s="1"/>
  <c r="E15" i="45"/>
  <c r="D15" i="45"/>
  <c r="E14" i="8"/>
  <c r="P15" i="2" l="1"/>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P22" i="2"/>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3" i="56" s="1"/>
  <c r="J14" i="56" s="1"/>
  <c r="J16" i="56" s="1"/>
  <c r="J17" i="56" s="1"/>
  <c r="J12" i="56"/>
  <c r="E12" i="56"/>
  <c r="E11" i="56"/>
  <c r="E13" i="56" s="1"/>
  <c r="E14" i="56" s="1"/>
  <c r="E16" i="56" s="1"/>
  <c r="E17" i="56" s="1"/>
  <c r="H11" i="56"/>
  <c r="H12" i="56"/>
  <c r="N11" i="56"/>
  <c r="N13" i="56" s="1"/>
  <c r="N14" i="56" s="1"/>
  <c r="N16" i="56" s="1"/>
  <c r="N17" i="56" s="1"/>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L13" i="56" l="1"/>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R35" i="2"/>
  <c r="Q35" i="2"/>
  <c r="AA52" i="46"/>
  <c r="AA53" i="46" s="1"/>
  <c r="X47" i="46"/>
  <c r="Y43" i="46" s="1"/>
  <c r="E36" i="45"/>
  <c r="P36" i="2" s="1"/>
  <c r="D36" i="45"/>
  <c r="O36" i="2" s="1"/>
  <c r="E44" i="8"/>
  <c r="U54" i="55" l="1"/>
  <c r="V50" i="55" s="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R6" i="55"/>
  <c r="R7" i="55" s="1"/>
  <c r="R8" i="55" s="1"/>
  <c r="U4" i="56"/>
  <c r="U5" i="56" s="1"/>
  <c r="U6" i="56" s="1"/>
  <c r="U7" i="56" s="1"/>
  <c r="AU5" i="56"/>
  <c r="AU6" i="56" s="1"/>
  <c r="A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AT5" i="56"/>
  <c r="AT6" i="56" s="1"/>
  <c r="A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M36" i="55"/>
  <c r="M37" i="55" s="1"/>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W13" i="56" s="1"/>
  <c r="W14" i="56" s="1"/>
  <c r="W16" i="56" s="1"/>
  <c r="W17" i="56" s="1"/>
  <c r="AY11" i="56"/>
  <c r="AY12" i="56"/>
  <c r="AC12" i="56"/>
  <c r="AC11" i="56"/>
  <c r="AC13" i="56" s="1"/>
  <c r="AC14" i="56" s="1"/>
  <c r="AC16" i="56" s="1"/>
  <c r="AC17" i="56" s="1"/>
  <c r="AR11" i="56"/>
  <c r="AR13" i="56" s="1"/>
  <c r="AR14" i="56" s="1"/>
  <c r="AR16" i="56" s="1"/>
  <c r="AR17" i="56" s="1"/>
  <c r="AR12" i="56"/>
  <c r="AF12" i="56"/>
  <c r="AF11" i="56"/>
  <c r="AP12" i="56"/>
  <c r="AP11" i="56"/>
  <c r="AE12" i="56"/>
  <c r="AE11" i="56"/>
  <c r="AE13" i="56" s="1"/>
  <c r="AE14" i="56" s="1"/>
  <c r="AE16" i="56" s="1"/>
  <c r="AE17" i="56" s="1"/>
  <c r="AK12" i="56"/>
  <c r="AK11" i="56"/>
  <c r="AD12" i="56"/>
  <c r="AD11" i="56"/>
  <c r="AD13" i="56" s="1"/>
  <c r="AD14" i="56" s="1"/>
  <c r="AD16" i="56" s="1"/>
  <c r="AD17" i="56" s="1"/>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O13" i="56" s="1"/>
  <c r="AO14" i="56" s="1"/>
  <c r="AO16" i="56" s="1"/>
  <c r="AO17" i="56" s="1"/>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M13" i="56" s="1"/>
  <c r="AM14" i="56" s="1"/>
  <c r="AM16" i="56" s="1"/>
  <c r="AM17" i="56" s="1"/>
  <c r="AZ11" i="56"/>
  <c r="AZ12" i="56"/>
  <c r="X11" i="56"/>
  <c r="X12" i="56"/>
  <c r="Y52" i="55"/>
  <c r="Y53" i="55" s="1"/>
  <c r="X47" i="55"/>
  <c r="Y43" i="55" s="1"/>
  <c r="Q41" i="2"/>
  <c r="P41" i="2"/>
  <c r="R41" i="2"/>
  <c r="AD54" i="46"/>
  <c r="AE50" i="46" s="1"/>
  <c r="AB47" i="46"/>
  <c r="AC43" i="46" s="1"/>
  <c r="E42" i="45"/>
  <c r="D42" i="45"/>
  <c r="O42" i="2" s="1"/>
  <c r="AF13" i="56" l="1"/>
  <c r="AF14" i="56" s="1"/>
  <c r="AF16" i="56" s="1"/>
  <c r="AF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9" i="2"/>
  <c r="N4" i="2"/>
  <c r="N29" i="2"/>
  <c r="N15" i="2"/>
  <c r="N25" i="2"/>
  <c r="N33" i="2"/>
  <c r="D33" i="2" s="1"/>
  <c r="F33" i="2" s="1"/>
  <c r="L33" i="2" s="1"/>
  <c r="N14" i="2"/>
  <c r="N12" i="2"/>
  <c r="N37" i="2"/>
  <c r="D37" i="2" s="1"/>
  <c r="F37" i="2" s="1"/>
  <c r="L37" i="2" s="1"/>
  <c r="N23" i="2"/>
  <c r="N20" i="2"/>
  <c r="N6" i="2"/>
  <c r="N31" i="2"/>
  <c r="N10" i="2"/>
  <c r="N24" i="2"/>
  <c r="N8" i="2"/>
  <c r="N36" i="2"/>
  <c r="D36" i="2" s="1"/>
  <c r="F36" i="2" s="1"/>
  <c r="L36" i="2" s="1"/>
  <c r="N16" i="2"/>
  <c r="N18" i="2"/>
  <c r="N11" i="2"/>
  <c r="N5" i="2"/>
  <c r="N30" i="2"/>
  <c r="N19" i="2"/>
  <c r="N13" i="2"/>
  <c r="N32" i="2"/>
  <c r="N34" i="2"/>
  <c r="D34" i="2" s="1"/>
  <c r="F34" i="2" s="1"/>
  <c r="L34" i="2" s="1"/>
  <c r="N26" i="2"/>
  <c r="N38" i="55"/>
  <c r="O34" i="55" s="1"/>
  <c r="Z52" i="55"/>
  <c r="Z53" i="55" s="1"/>
  <c r="Y47" i="55"/>
  <c r="Z43" i="55" s="1"/>
  <c r="Q43" i="2"/>
  <c r="P43" i="2"/>
  <c r="R43" i="2"/>
  <c r="AE54" i="46"/>
  <c r="AF50" i="46" s="1"/>
  <c r="AC47" i="46"/>
  <c r="AD43" i="46" s="1"/>
  <c r="E44" i="45"/>
  <c r="D44" i="45"/>
  <c r="N35" i="2" l="1"/>
  <c r="D35" i="2" s="1"/>
  <c r="F35" i="2" s="1"/>
  <c r="L35" i="2" s="1"/>
  <c r="S32" i="56"/>
  <c r="E32" i="56"/>
  <c r="Y32" i="56"/>
  <c r="BI2" i="56"/>
  <c r="N3" i="2" s="1"/>
  <c r="AA32" i="56"/>
  <c r="N7" i="2"/>
  <c r="G32" i="56"/>
  <c r="L32" i="56"/>
  <c r="N28" i="2"/>
  <c r="N21" i="2"/>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c r="T34" i="55" s="1"/>
  <c r="AM3" i="47"/>
  <c r="AV3" i="47"/>
  <c r="X3" i="47"/>
  <c r="AC3" i="47"/>
  <c r="AD54" i="55"/>
  <c r="AE50" i="55" s="1"/>
  <c r="AD45" i="55"/>
  <c r="AD46" i="55" s="1"/>
  <c r="AB3" i="47"/>
  <c r="T3" i="47"/>
  <c r="AJ4" i="46"/>
  <c r="AJ6" i="46" s="1"/>
  <c r="AL4" i="46"/>
  <c r="AA3" i="47"/>
  <c r="T4" i="46"/>
  <c r="W4" i="47" s="1"/>
  <c r="AQ4" i="46"/>
  <c r="AT4" i="47" s="1"/>
  <c r="AM4" i="46"/>
  <c r="D4" i="46"/>
  <c r="G4" i="47" s="1"/>
  <c r="AS4" i="46"/>
  <c r="G3" i="47"/>
  <c r="AN3" i="47"/>
  <c r="R3" i="47"/>
  <c r="AQ3" i="47"/>
  <c r="L4" i="46"/>
  <c r="O4" i="47" s="1"/>
  <c r="I3" i="47"/>
  <c r="AH3" i="47"/>
  <c r="AK3" i="47"/>
  <c r="U3" i="47"/>
  <c r="AZ3" i="47"/>
  <c r="P4" i="46"/>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M6" i="46"/>
  <c r="AP4" i="47"/>
  <c r="AV4" i="47"/>
  <c r="AV5" i="47" s="1"/>
  <c r="AV6" i="47" s="1"/>
  <c r="AV7" i="47" s="1"/>
  <c r="AS6" i="46"/>
  <c r="AM4" i="47"/>
  <c r="D6" i="46"/>
  <c r="P6" i="46"/>
  <c r="S4" i="47"/>
  <c r="E10" i="47" l="1"/>
  <c r="E9" i="47"/>
  <c r="K6" i="46"/>
  <c r="I4" i="47"/>
  <c r="J6" i="46"/>
  <c r="T4" i="47"/>
  <c r="T5" i="47" s="1"/>
  <c r="T6" i="47" s="1"/>
  <c r="T7" i="47" s="1"/>
  <c r="AU6" i="46"/>
  <c r="AU7" i="46" s="1"/>
  <c r="AU8" i="46" s="1"/>
  <c r="F5" i="47"/>
  <c r="F6" i="47" s="1"/>
  <c r="F7" i="47" s="1"/>
  <c r="AK5" i="47"/>
  <c r="AK6" i="47" s="1"/>
  <c r="AK7" i="47" s="1"/>
  <c r="T6" i="46"/>
  <c r="AB6" i="46"/>
  <c r="AM5" i="47"/>
  <c r="AM6" i="47" s="1"/>
  <c r="AM7" i="47" s="1"/>
  <c r="G5" i="47"/>
  <c r="G6" i="47" s="1"/>
  <c r="G7" i="47" s="1"/>
  <c r="G10" i="47" s="1"/>
  <c r="T36" i="55"/>
  <c r="T37" i="55" s="1"/>
  <c r="L6" i="46"/>
  <c r="L7" i="46" s="1"/>
  <c r="L8" i="46" s="1"/>
  <c r="AI5" i="47"/>
  <c r="AI6" i="47" s="1"/>
  <c r="AI7" i="47" s="1"/>
  <c r="AH5" i="47"/>
  <c r="AH6" i="47" s="1"/>
  <c r="AH7" i="47" s="1"/>
  <c r="AH10" i="47" s="1"/>
  <c r="AQ6" i="46"/>
  <c r="Y6" i="46"/>
  <c r="G6" i="46"/>
  <c r="P5" i="47"/>
  <c r="P6" i="47" s="1"/>
  <c r="P7" i="47" s="1"/>
  <c r="P9" i="47" s="1"/>
  <c r="AD47" i="55"/>
  <c r="AE43" i="55" s="1"/>
  <c r="AE52" i="55"/>
  <c r="AE53" i="55" s="1"/>
  <c r="V5" i="47"/>
  <c r="V6" i="47" s="1"/>
  <c r="V7" i="47" s="1"/>
  <c r="X4" i="47"/>
  <c r="X5" i="47" s="1"/>
  <c r="X6" i="47" s="1"/>
  <c r="X7" i="47" s="1"/>
  <c r="X9" i="47" s="1"/>
  <c r="Y5" i="47"/>
  <c r="Y6" i="47" s="1"/>
  <c r="Y7" i="47" s="1"/>
  <c r="Y10" i="47" s="1"/>
  <c r="W5" i="47"/>
  <c r="W6" i="47" s="1"/>
  <c r="W7" i="47" s="1"/>
  <c r="W9" i="47" s="1"/>
  <c r="AO5" i="47"/>
  <c r="AO6" i="47" s="1"/>
  <c r="AO7"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K10" i="47"/>
  <c r="AK9" i="47"/>
  <c r="AN9" i="47"/>
  <c r="AN10" i="47"/>
  <c r="AO10" i="47"/>
  <c r="AO9" i="47"/>
  <c r="AJ10" i="47"/>
  <c r="AJ9" i="47"/>
  <c r="T10" i="47"/>
  <c r="T9" i="47"/>
  <c r="AB9" i="47"/>
  <c r="AB10" i="47"/>
  <c r="S10" i="47"/>
  <c r="AV10" i="47"/>
  <c r="AV9" i="47"/>
  <c r="AM10" i="47"/>
  <c r="AM9" i="47"/>
  <c r="V10" i="47"/>
  <c r="V9" i="47"/>
  <c r="F10" i="47"/>
  <c r="F9" i="47"/>
  <c r="AI10" i="47"/>
  <c r="AI9" i="47"/>
  <c r="D7" i="46"/>
  <c r="D8" i="46" s="1"/>
  <c r="AJ7" i="46"/>
  <c r="AJ8" i="46" s="1"/>
  <c r="Z7" i="46"/>
  <c r="Z8" i="46" s="1"/>
  <c r="U7" i="46"/>
  <c r="U8" i="46" s="1"/>
  <c r="Y7" i="46"/>
  <c r="Y8" i="46" s="1"/>
  <c r="AA7" i="46"/>
  <c r="AA8" i="46" s="1"/>
  <c r="AC7" i="46"/>
  <c r="AC8" i="46" s="1"/>
  <c r="O7" i="46"/>
  <c r="O8" i="46" s="1"/>
  <c r="AS7" i="46"/>
  <c r="AS8" i="46" s="1"/>
  <c r="AB7" i="46"/>
  <c r="AB8" i="46" s="1"/>
  <c r="AQ7" i="46"/>
  <c r="AQ8" i="46" s="1"/>
  <c r="F7" i="46"/>
  <c r="F8" i="46" s="1"/>
  <c r="AL7" i="46"/>
  <c r="AL8" i="46" s="1"/>
  <c r="J7" i="46"/>
  <c r="J8" i="46" s="1"/>
  <c r="G7" i="46"/>
  <c r="G8" i="46" s="1"/>
  <c r="Q7" i="46"/>
  <c r="Q8" i="46" s="1"/>
  <c r="E7" i="46"/>
  <c r="E8" i="46" s="1"/>
  <c r="AF7" i="46"/>
  <c r="AF8" i="46" s="1"/>
  <c r="K7" i="46"/>
  <c r="K8" i="46" s="1"/>
  <c r="AH7" i="46"/>
  <c r="AH8" i="46" s="1"/>
  <c r="AN7" i="46"/>
  <c r="AN8" i="46" s="1"/>
  <c r="AM7" i="46"/>
  <c r="AM8" i="46" s="1"/>
  <c r="T7" i="46"/>
  <c r="T8" i="46" s="1"/>
  <c r="X7" i="46"/>
  <c r="X8" i="46" s="1"/>
  <c r="P7" i="46"/>
  <c r="P8" i="46" s="1"/>
  <c r="N7" i="46"/>
  <c r="N8" i="46" s="1"/>
  <c r="AO7" i="46"/>
  <c r="AO8" i="46" s="1"/>
  <c r="R7" i="46"/>
  <c r="R8" i="46" s="1"/>
  <c r="G9" i="47" l="1"/>
  <c r="E12" i="47"/>
  <c r="E11" i="47"/>
  <c r="E13" i="47"/>
  <c r="E14" i="47" s="1"/>
  <c r="E16" i="47" s="1"/>
  <c r="E17" i="47" s="1"/>
  <c r="AF10" i="47"/>
  <c r="Z10" i="47"/>
  <c r="X10" i="47"/>
  <c r="L9" i="47"/>
  <c r="L12" i="47" s="1"/>
  <c r="AH9" i="47"/>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X12"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S11" i="47"/>
  <c r="S12" i="47"/>
  <c r="AH12" i="47"/>
  <c r="AH11" i="47"/>
  <c r="AE12" i="47"/>
  <c r="AF11" i="47"/>
  <c r="AF12" i="47"/>
  <c r="H12" i="47"/>
  <c r="H11" i="47"/>
  <c r="AO11" i="47"/>
  <c r="AO12" i="47"/>
  <c r="AK12" i="47"/>
  <c r="AK11" i="47"/>
  <c r="T12" i="47"/>
  <c r="T11" i="47"/>
  <c r="R11" i="47"/>
  <c r="R12" i="47"/>
  <c r="AA12" i="47"/>
  <c r="AA11" i="47"/>
  <c r="Z12" i="47"/>
  <c r="Z11" i="47"/>
  <c r="AY11" i="47" l="1"/>
  <c r="AU11" i="47"/>
  <c r="B37" i="46"/>
  <c r="B38" i="46" s="1"/>
  <c r="C34" i="46" s="1"/>
  <c r="C36" i="46" s="1"/>
  <c r="C37" i="46" s="1"/>
  <c r="C38" i="46" s="1"/>
  <c r="D34" i="46" s="1"/>
  <c r="D36" i="46" s="1"/>
  <c r="D37" i="46" s="1"/>
  <c r="D38" i="46" s="1"/>
  <c r="E34" i="46" s="1"/>
  <c r="AS12" i="47"/>
  <c r="AR11" i="47"/>
  <c r="AR13" i="47" s="1"/>
  <c r="AR14" i="47" s="1"/>
  <c r="AR16" i="47" s="1"/>
  <c r="AR17" i="47" s="1"/>
  <c r="Y11" i="47"/>
  <c r="Y13" i="47" s="1"/>
  <c r="Y14" i="47" s="1"/>
  <c r="Y16" i="47" s="1"/>
  <c r="Y17" i="47" s="1"/>
  <c r="L11" i="47"/>
  <c r="AL12" i="47"/>
  <c r="AL13" i="47" s="1"/>
  <c r="AL14" i="47" s="1"/>
  <c r="AL16" i="47" s="1"/>
  <c r="AL17" i="47" s="1"/>
  <c r="BB12" i="47"/>
  <c r="U36" i="55"/>
  <c r="U37" i="55" s="1"/>
  <c r="AP12" i="47"/>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BB13" i="47"/>
  <c r="BB14" i="47" s="1"/>
  <c r="BB16" i="47" s="1"/>
  <c r="BB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P13" i="47"/>
  <c r="AP14" i="47" s="1"/>
  <c r="AP16" i="47" s="1"/>
  <c r="AP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c r="AE37" i="55" s="1"/>
  <c r="AM47" i="55"/>
  <c r="AN43" i="55" s="1"/>
  <c r="AN45" i="55" s="1"/>
  <c r="AN46" i="55" s="1"/>
  <c r="AO52" i="55"/>
  <c r="AO53" i="55" s="1"/>
  <c r="P36" i="46"/>
  <c r="P37" i="46" s="1"/>
  <c r="P38" i="46" s="1"/>
  <c r="Q34" i="46" s="1"/>
  <c r="AR47" i="46"/>
  <c r="AS43" i="46" s="1"/>
  <c r="E30" i="47" l="1"/>
  <c r="M30" i="47"/>
  <c r="AB30" i="47"/>
  <c r="AA30" i="47"/>
  <c r="S30" i="47"/>
  <c r="K30" i="47"/>
  <c r="T30" i="47"/>
  <c r="Z30" i="47"/>
  <c r="G30" i="47"/>
  <c r="V30" i="47"/>
  <c r="F30" i="47"/>
  <c r="P30" i="47"/>
  <c r="L30" i="47"/>
  <c r="W30" i="47"/>
  <c r="R30" i="47"/>
  <c r="J30" i="47"/>
  <c r="Y30" i="47"/>
  <c r="Q30" i="47"/>
  <c r="N30" i="47"/>
  <c r="X30" i="47"/>
  <c r="U30" i="47"/>
  <c r="O30" i="47"/>
  <c r="AC30" i="47"/>
  <c r="H30" i="47"/>
  <c r="I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V54" i="55"/>
  <c r="AW50" i="55" s="1"/>
  <c r="AO36" i="55"/>
  <c r="AO37" i="55" s="1"/>
  <c r="AO38" i="55" s="1"/>
  <c r="AP34" i="55" s="1"/>
  <c r="AT47" i="55"/>
  <c r="AU43" i="55" s="1"/>
  <c r="V36" i="46"/>
  <c r="V37" i="46" s="1"/>
  <c r="AW52" i="55" l="1"/>
  <c r="AW53" i="55" s="1"/>
  <c r="AU45" i="55"/>
  <c r="AU46" i="55" s="1"/>
  <c r="AP36" i="55"/>
  <c r="AP37" i="55" s="1"/>
  <c r="AP38" i="55" s="1"/>
  <c r="AQ34" i="55" s="1"/>
  <c r="V38" i="46"/>
  <c r="W34" i="46" s="1"/>
  <c r="W36" i="46" s="1"/>
  <c r="W37" i="46" s="1"/>
  <c r="AU47" i="55" l="1"/>
  <c r="AV43" i="55" s="1"/>
  <c r="AW54" i="55"/>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R27" i="47"/>
  <c r="M27" i="47"/>
  <c r="U26" i="47"/>
  <c r="U25" i="47"/>
  <c r="U27" i="47"/>
  <c r="AA26" i="47"/>
  <c r="I27" i="47"/>
  <c r="I25" i="47"/>
  <c r="X27" i="47"/>
  <c r="X26" i="47"/>
  <c r="W27" i="47"/>
  <c r="W26" i="47"/>
  <c r="J25" i="47"/>
  <c r="E27" i="47" l="1"/>
  <c r="E25" i="47"/>
  <c r="E26" i="47"/>
  <c r="H27" i="47"/>
  <c r="F25" i="47"/>
  <c r="H25" i="47"/>
  <c r="G27" i="47"/>
  <c r="AA25" i="47"/>
  <c r="L25" i="47"/>
  <c r="L28" i="47" s="1"/>
  <c r="L29" i="47" s="1"/>
  <c r="L31" i="47" s="1"/>
  <c r="L33" i="47" s="1"/>
  <c r="L34" i="47" s="1"/>
  <c r="L35" i="47" s="1"/>
  <c r="N25" i="47"/>
  <c r="N28" i="47" s="1"/>
  <c r="N29" i="47" s="1"/>
  <c r="N31" i="47" s="1"/>
  <c r="N33" i="47" s="1"/>
  <c r="N34" i="47" s="1"/>
  <c r="N35" i="47" s="1"/>
  <c r="N26" i="47"/>
  <c r="L27" i="47"/>
  <c r="AB25" i="47"/>
  <c r="F26" i="47"/>
  <c r="F28" i="47" s="1"/>
  <c r="F29" i="47" s="1"/>
  <c r="F31" i="47" s="1"/>
  <c r="F33" i="47" s="1"/>
  <c r="F34" i="47" s="1"/>
  <c r="F35" i="47" s="1"/>
  <c r="J27" i="47"/>
  <c r="J28" i="47" s="1"/>
  <c r="J29" i="47" s="1"/>
  <c r="J31" i="47" s="1"/>
  <c r="J33" i="47" s="1"/>
  <c r="J34" i="47" s="1"/>
  <c r="J35" i="47" s="1"/>
  <c r="AB26" i="47"/>
  <c r="P25" i="47"/>
  <c r="T26" i="47"/>
  <c r="Z26" i="47"/>
  <c r="Z25" i="47"/>
  <c r="Z28" i="47" s="1"/>
  <c r="Z29" i="47" s="1"/>
  <c r="Z31" i="47" s="1"/>
  <c r="Z33" i="47" s="1"/>
  <c r="Z34" i="47" s="1"/>
  <c r="Z35" i="47" s="1"/>
  <c r="AC25" i="47"/>
  <c r="K25" i="47"/>
  <c r="P26" i="47"/>
  <c r="P28" i="47" s="1"/>
  <c r="P29" i="47" s="1"/>
  <c r="P31" i="47" s="1"/>
  <c r="P33" i="47" s="1"/>
  <c r="P34" i="47" s="1"/>
  <c r="P35" i="47" s="1"/>
  <c r="G26" i="47"/>
  <c r="G28" i="47" s="1"/>
  <c r="G29" i="47" s="1"/>
  <c r="G31" i="47" s="1"/>
  <c r="G33" i="47" s="1"/>
  <c r="G34" i="47" s="1"/>
  <c r="G35" i="47" s="1"/>
  <c r="AC27" i="47"/>
  <c r="M26" i="47"/>
  <c r="Y26" i="47"/>
  <c r="Y28" i="47" s="1"/>
  <c r="Y29" i="47" s="1"/>
  <c r="Y31" i="47" s="1"/>
  <c r="Y33" i="47" s="1"/>
  <c r="Y34" i="47" s="1"/>
  <c r="Y35" i="47" s="1"/>
  <c r="Y27" i="47"/>
  <c r="V26" i="47"/>
  <c r="V25" i="47"/>
  <c r="V28" i="47" s="1"/>
  <c r="V29" i="47" s="1"/>
  <c r="V31" i="47" s="1"/>
  <c r="V33" i="47" s="1"/>
  <c r="V34" i="47" s="1"/>
  <c r="V35" i="47" s="1"/>
  <c r="K26" i="47"/>
  <c r="S25" i="47"/>
  <c r="O25" i="47"/>
  <c r="Q27" i="47"/>
  <c r="S27" i="47"/>
  <c r="O27" i="47"/>
  <c r="T25" i="47"/>
  <c r="T28" i="47" s="1"/>
  <c r="T29" i="47" s="1"/>
  <c r="T31" i="47" s="1"/>
  <c r="T33" i="47" s="1"/>
  <c r="T34" i="47" s="1"/>
  <c r="T35" i="47" s="1"/>
  <c r="Q26" i="47"/>
  <c r="Q28" i="47" s="1"/>
  <c r="Q29" i="47" s="1"/>
  <c r="Q31" i="47" s="1"/>
  <c r="Q33" i="47" s="1"/>
  <c r="Q34" i="47" s="1"/>
  <c r="Q35" i="47" s="1"/>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W28" i="47"/>
  <c r="W29" i="47" s="1"/>
  <c r="W31" i="47" s="1"/>
  <c r="W33" i="47" s="1"/>
  <c r="W34" i="47" s="1"/>
  <c r="W35" i="47" s="1"/>
  <c r="H28" i="47"/>
  <c r="H29" i="47" s="1"/>
  <c r="H31" i="47" s="1"/>
  <c r="H33" i="47" s="1"/>
  <c r="H34" i="47" s="1"/>
  <c r="H35" i="47" s="1"/>
  <c r="M28" i="47"/>
  <c r="M29" i="47" s="1"/>
  <c r="M31" i="47" s="1"/>
  <c r="M33" i="47" s="1"/>
  <c r="M34" i="47" s="1"/>
  <c r="M35" i="47" s="1"/>
  <c r="K28" i="47" l="1"/>
  <c r="K29" i="47" s="1"/>
  <c r="K31" i="47" s="1"/>
  <c r="K33" i="47" s="1"/>
  <c r="K34" i="47" s="1"/>
  <c r="K35" i="47" s="1"/>
  <c r="E28" i="47"/>
  <c r="E29" i="47" s="1"/>
  <c r="E31" i="47" s="1"/>
  <c r="E33" i="47" s="1"/>
  <c r="E34" i="47" s="1"/>
  <c r="E35" i="47" s="1"/>
  <c r="AB28" i="47"/>
  <c r="AB29" i="47" s="1"/>
  <c r="AB31" i="47" s="1"/>
  <c r="AB33" i="47" s="1"/>
  <c r="AB34" i="47" s="1"/>
  <c r="AB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<sst xmlns="http://schemas.openxmlformats.org/spreadsheetml/2006/main" count="1533" uniqueCount="280">
  <si>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</si>
  <si>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</si>
  <si>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</si>
  <si>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</si>
  <si>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</si>
  <si>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</si>
  <si>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</si>
  <si>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</si>
  <si>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</si>
  <si>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</si>
  <si>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</si>
  <si>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</si>
  <si>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</si>
  <si>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</si>
  <si>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</si>
  <si>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</si>
  <si>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</si>
  <si>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</si>
  <si>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</si>
  <si>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</si>
  <si>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</si>
  <si>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</si>
  <si>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</si>
  <si>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</si>
  <si>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</si>
  <si>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</si>
  <si>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</si>
  <si>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</si>
  <si>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</si>
  <si>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</si>
  <si>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</si>
  <si>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</si>
  <si>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</si>
  <si>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</si>
  <si>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</si>
  <si>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</si>
  <si>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</si>
  <si>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</si>
  <si>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</si>
  <si>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</si>
  <si>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</si>
  <si>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</si>
  <si>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</si>
  <si>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</si>
  <si>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</si>
  <si>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</si>
  <si>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</si>
  <si>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</si>
  <si>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</si>
  <si>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</si>
  <si>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</si>
  <si>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</si>
  <si>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</si>
  <si>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</si>
  <si>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</si>
  <si>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</si>
  <si>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</si>
  <si>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</si>
  <si>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</si>
  <si>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</si>
  <si>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</si>
  <si>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</si>
  <si>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</si>
  <si>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</si>
  <si>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</si>
  <si>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</si>
  <si>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</si>
  <si>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</si>
  <si>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</si>
  <si>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</si>
  <si>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</si>
  <si>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</si>
  <si>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</si>
  <si>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</si>
  <si>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</si>
  <si>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</si>
  <si>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</si>
  <si>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</si>
  <si>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</si>
  <si>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</si>
  <si>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</si>
  <si>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</si>
  <si>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</si>
  <si>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</si>
  <si>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</si>
  <si>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</si>
  <si>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</si>
  <si>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</si>
  <si>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</si>
  <si>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</si>
  <si>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</si>
  <si>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</si>
  <si>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</si>
  <si>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</si>
  <si>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</si>
  <si>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</si>
  <si>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</si>
  <si>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</si>
  <si>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</si>
  <si>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</si>
  <si>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</si>
  <si>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</si>
  <si>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</si>
  <si>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</si>
  <si>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</si>
  <si>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</si>
  <si>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</si>
  <si>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</si>
  <si>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</si>
  <si>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</si>
  <si>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</si>
  <si>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</si>
  <si>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</si>
  <si>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</si>
  <si>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</si>
  <si>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</si>
  <si>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</si>
  <si>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</si>
  <si>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</si>
  <si>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</si>
  <si>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</si>
  <si>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</si>
  <si>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</si>
  <si>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</si>
  <si>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</si>
  <si>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</si>
  <si>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</si>
  <si>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</si>
  <si>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</si>
  <si>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</si>
  <si>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</si>
  <si>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</si>
  <si>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</si>
  <si>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</si>
  <si>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</si>
  <si>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</si>
  <si>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</si>
  <si>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</si>
  <si>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</si>
  <si>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</si>
  <si>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</si>
  <si>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</si>
  <si>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</si>
  <si>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</si>
  <si>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</si>
  <si>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</si>
  <si>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</si>
  <si>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</si>
  <si>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</si>
  <si>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</si>
  <si>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</si>
  <si>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</si>
  <si>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</si>
  <si>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</si>
  <si>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</si>
  <si>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</si>
  <si>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</si>
  <si>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</si>
  <si>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</si>
  <si>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</si>
  <si>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</si>
  <si>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</si>
  <si>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</si>
  <si>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</si>
  <si>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</si>
  <si>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</si>
  <si>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</si>
  <si>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</si>
  <si>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</si>
  <si>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</si>
  <si>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</si>
  <si>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</si>
  <si>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</si>
  <si>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</si>
  <si>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</si>
  <si>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</si>
  <si>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</si>
  <si>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</si>
  <si>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</si>
  <si>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</si>
  <si>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</si>
  <si>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</si>
  <si>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</si>
  <si>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</si>
  <si>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</si>
  <si>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</si>
  <si>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</si>
  <si>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</si>
  <si>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</si>
  <si>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</si>
  <si>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</si>
  <si>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</si>
  <si>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</si>
  <si>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</si>
  <si>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</si>
  <si>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</si>
  <si>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</si>
  <si>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</si>
  <si>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</si>
  <si>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</si>
  <si>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</si>
  <si>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</si>
  <si>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</si>
  <si>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</si>
  <si>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</si>
  <si>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</si>
  <si>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</si>
  <si>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</si>
  <si>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</si>
  <si>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</si>
  <si>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</si>
  <si>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</si>
  <si>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</si>
  <si>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</si>
  <si>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</si>
  <si>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</si>
  <si>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</si>
  <si>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</si>
  <si>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</si>
  <si>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</si>
  <si>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</si>
  <si>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</si>
  <si>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</si>
  <si>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</si>
  <si>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</si>
  <si>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</si>
  <si>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</si>
  <si>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</si>
  <si>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</si>
  <si>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</si>
  <si>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</si>
  <si>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</si>
  <si>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</si>
  <si>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</si>
  <si>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</si>
  <si>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</si>
  <si>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</si>
  <si>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</si>
  <si>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</si>
  <si>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</si>
  <si>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</si>
  <si>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</si>
  <si>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</si>
  <si>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</si>
  <si>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</si>
  <si>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</si>
  <si>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</si>
  <si>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</si>
  <si>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</si>
  <si>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</si>
  <si>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</si>
  <si>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</si>
  <si>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</si>
  <si>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</si>
  <si>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</si>
  <si>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</si>
  <si>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</si>
  <si>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</si>
  <si>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</si>
  <si>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</si>
  <si>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</si>
  <si>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</si>
  <si>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</si>
  <si>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</si>
  <si>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</si>
  <si>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</si>
  <si>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</si>
  <si>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</si>
  <si>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</si>
  <si>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</si>
  <si>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</si>
  <si>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</si>
  <si>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</si>
  <si>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</si>
  <si>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</si>
  <si>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</si>
  <si>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</si>
  <si>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</si>
  <si>
    <t>volatility modified</t>
  </si>
  <si>
    <t>modifier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</si>
</sst>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8">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xf numFmtId="9" fontId="0" fillId="0" borderId="0" xfId="0" applyNumberFormat="1"/>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theme" Target="theme/theme1.xml"/><Relationship Id="rId68"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styles" Target="style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109375" defaultRowHeight="15" x14ac:dyDescent="0.25"/>
  <cols>
    <col min="1" max="1" width="3.28515625" style="2" customWidth="1"/>
    <col min="2" max="2" width="49.140625" style="2" customWidth="1"/>
    <col min="3" max="3" width="9.42578125" style="2" customWidth="1"/>
    <col min="4" max="16384" width="8.7109375" style="2"/>
  </cols>
  <sheetData>
    <row r="1" spans="2:2" ht="24" x14ac:dyDescent="0.4">
      <c r="B1" s="10" t="s">
        <v>208</v>
      </c>
    </row>
    <row r="5" spans="2:2" ht="24" x14ac:dyDescent="0.4">
      <c r="B5" s="10" t="s">
        <v>237</v>
      </c>
    </row>
    <row r="6" spans="2:2" x14ac:dyDescent="0.25">
      <c r="B6" s="64" t="s">
        <v>242</v>
      </c>
    </row>
    <row r="7" spans="2:2" x14ac:dyDescent="0.25">
      <c r="B7" s="65" t="s">
        <v>47</v>
      </c>
    </row>
    <row r="8" spans="2:2" x14ac:dyDescent="0.25">
      <c r="B8" s="74" t="s">
        <v>46</v>
      </c>
    </row>
    <row r="9" spans="2:2" x14ac:dyDescent="0.25">
      <c r="B9" s="66" t="s">
        <v>55</v>
      </c>
    </row>
    <row r="11" spans="2:2" ht="24" x14ac:dyDescent="0.4">
      <c r="B11" s="10" t="s">
        <v>44</v>
      </c>
    </row>
    <row r="12" spans="2:2" x14ac:dyDescent="0.25">
      <c r="B12" s="11" t="s">
        <v>45</v>
      </c>
    </row>
    <row r="13" spans="2:2" x14ac:dyDescent="0.25">
      <c r="B13" s="12" t="s">
        <v>48</v>
      </c>
    </row>
    <row r="16" spans="2:2" ht="27" customHeight="1" x14ac:dyDescent="0.25">
      <c r="B16" s="55" t="s">
        <v>209</v>
      </c>
    </row>
    <row r="17" spans="2:2" ht="15.75" x14ac:dyDescent="0.25">
      <c r="B17" s="75" t="s">
        <v>210</v>
      </c>
    </row>
    <row r="18" spans="2:2" x14ac:dyDescent="0.25">
      <c r="B18" s="77" t="s">
        <v>228</v>
      </c>
    </row>
    <row r="19" spans="2:2" x14ac:dyDescent="0.25">
      <c r="B19" s="78" t="s">
        <v>227</v>
      </c>
    </row>
    <row r="20" spans="2:2" x14ac:dyDescent="0.25">
      <c r="B20" s="78" t="s">
        <v>225</v>
      </c>
    </row>
    <row r="21" spans="2:2" x14ac:dyDescent="0.25">
      <c r="B21" s="78" t="s">
        <v>226</v>
      </c>
    </row>
    <row r="22" spans="2:2" x14ac:dyDescent="0.25">
      <c r="B22" s="78" t="s">
        <v>223</v>
      </c>
    </row>
    <row r="23" spans="2:2" x14ac:dyDescent="0.25">
      <c r="B23" s="78" t="s">
        <v>224</v>
      </c>
    </row>
    <row r="24" spans="2:2" x14ac:dyDescent="0.25">
      <c r="B24" s="78" t="s">
        <v>239</v>
      </c>
    </row>
    <row r="25" spans="2:2" x14ac:dyDescent="0.25">
      <c r="B25" s="79" t="s">
        <v>240</v>
      </c>
    </row>
    <row r="26" spans="2:2" x14ac:dyDescent="0.25">
      <c r="B26" s="80" t="s">
        <v>241</v>
      </c>
    </row>
    <row r="27" spans="2:2" ht="15.75" x14ac:dyDescent="0.25">
      <c r="B27" s="76" t="s">
        <v>211</v>
      </c>
    </row>
    <row r="28" spans="2:2" x14ac:dyDescent="0.25">
      <c r="B28" s="77" t="s">
        <v>276</v>
      </c>
    </row>
    <row r="29" spans="2:2" x14ac:dyDescent="0.25">
      <c r="B29" s="78" t="s">
        <v>238</v>
      </c>
    </row>
    <row r="30" spans="2:2" x14ac:dyDescent="0.25">
      <c r="B30" s="81"/>
    </row>
    <row r="31" spans="2:2" x14ac:dyDescent="0.25">
      <c r="B31" s="81"/>
    </row>
    <row r="32" spans="2:2" x14ac:dyDescent="0.25">
      <c r="B32" s="82"/>
    </row>
    <row r="33" spans="2:2" x14ac:dyDescent="0.25">
      <c r="B33" s="82"/>
    </row>
    <row r="34" spans="2:2" x14ac:dyDescent="0.25">
      <c r="B34" s="82"/>
    </row>
    <row r="35" spans="2:2" x14ac:dyDescent="0.25">
      <c r="B35" s="82"/>
    </row>
    <row r="36" spans="2:2" x14ac:dyDescent="0.25">
      <c r="B36" s="82"/>
    </row>
    <row r="37" spans="2:2" x14ac:dyDescent="0.25">
      <c r="B37" s="82"/>
    </row>
    <row r="38" spans="2:2" x14ac:dyDescent="0.25">
      <c r="B38" s="82"/>
    </row>
    <row r="39" spans="2:2" x14ac:dyDescent="0.25">
      <c r="B39" s="82"/>
    </row>
    <row r="40" spans="2:2" x14ac:dyDescent="0.25">
      <c r="B40" s="82"/>
    </row>
    <row r="41" spans="2:2" x14ac:dyDescent="0.25">
      <c r="B41" s="82"/>
    </row>
    <row r="42" spans="2:2" x14ac:dyDescent="0.25">
      <c r="B42" s="82"/>
    </row>
    <row r="43" spans="2:2" x14ac:dyDescent="0.25">
      <c r="B43" s="82"/>
    </row>
    <row r="44" spans="2:2" x14ac:dyDescent="0.25">
      <c r="B44" s="82"/>
    </row>
    <row r="45" spans="2:2" x14ac:dyDescent="0.25">
      <c r="B45" s="82"/>
    </row>
    <row r="46" spans="2:2" x14ac:dyDescent="0.25">
      <c r="B46" s="82"/>
    </row>
    <row r="47" spans="2:2" x14ac:dyDescent="0.25">
      <c r="B47" s="82"/>
    </row>
    <row r="48" spans="2:2" x14ac:dyDescent="0.25">
      <c r="B48" s="82"/>
    </row>
    <row r="49" spans="2:2" x14ac:dyDescent="0.25">
      <c r="B49" s="82"/>
    </row>
    <row r="50" spans="2:2" x14ac:dyDescent="0.25">
      <c r="B50" s="82"/>
    </row>
    <row r="51" spans="2:2" x14ac:dyDescent="0.25">
      <c r="B51" s="82"/>
    </row>
    <row r="52" spans="2:2" x14ac:dyDescent="0.25">
      <c r="B52" s="82"/>
    </row>
    <row r="53" spans="2:2" x14ac:dyDescent="0.2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defaultColWidth="8.85546875" defaultRowHeight="15" x14ac:dyDescent="0.25"/>
  <cols>
    <col min="1" max="1" width="3.140625" customWidth="1"/>
    <col min="2" max="2" width="38.42578125" bestFit="1" customWidth="1"/>
    <col min="3" max="3" width="12.140625" style="32" bestFit="1" customWidth="1"/>
  </cols>
  <sheetData>
    <row r="2" spans="2:3" x14ac:dyDescent="0.25">
      <c r="B2" s="39" t="s">
        <v>62</v>
      </c>
      <c r="C2" s="42">
        <v>0.02</v>
      </c>
    </row>
    <row r="3" spans="2:3" x14ac:dyDescent="0.25">
      <c r="B3" s="40" t="s">
        <v>217</v>
      </c>
      <c r="C3" s="43"/>
    </row>
    <row r="4" spans="2:3" x14ac:dyDescent="0.25">
      <c r="B4" s="45" t="s">
        <v>63</v>
      </c>
      <c r="C4" s="46">
        <v>0.03</v>
      </c>
    </row>
    <row r="5" spans="2:3" x14ac:dyDescent="0.25">
      <c r="B5" s="47" t="s">
        <v>65</v>
      </c>
      <c r="C5" s="48">
        <f>C4-C2</f>
        <v>9.9999999999999985E-3</v>
      </c>
    </row>
    <row r="6" spans="2:3" x14ac:dyDescent="0.25">
      <c r="B6" s="47" t="s">
        <v>64</v>
      </c>
      <c r="C6" s="48">
        <v>0.06</v>
      </c>
    </row>
    <row r="7" spans="2:3" x14ac:dyDescent="0.25">
      <c r="B7" s="47" t="s">
        <v>175</v>
      </c>
      <c r="C7" s="48">
        <f>C6-C2</f>
        <v>3.9999999999999994E-2</v>
      </c>
    </row>
    <row r="8" spans="2:3" x14ac:dyDescent="0.25">
      <c r="B8" s="47" t="s">
        <v>76</v>
      </c>
      <c r="C8" s="48">
        <v>0.2</v>
      </c>
    </row>
    <row r="9" spans="2:3" x14ac:dyDescent="0.25">
      <c r="B9" s="47" t="s">
        <v>221</v>
      </c>
      <c r="C9" s="49">
        <v>43871</v>
      </c>
    </row>
    <row r="10" spans="2:3" x14ac:dyDescent="0.25">
      <c r="B10" s="41" t="s">
        <v>222</v>
      </c>
      <c r="C10" s="44">
        <v>72000</v>
      </c>
    </row>
    <row r="11" spans="2:3" x14ac:dyDescent="0.25">
      <c r="B11" s="40" t="s">
        <v>212</v>
      </c>
      <c r="C11" s="43"/>
    </row>
    <row r="12" spans="2:3" x14ac:dyDescent="0.25">
      <c r="B12" s="45" t="s">
        <v>213</v>
      </c>
      <c r="C12" s="46">
        <v>0.05</v>
      </c>
    </row>
    <row r="13" spans="2:3" x14ac:dyDescent="0.25">
      <c r="B13" s="47" t="s">
        <v>214</v>
      </c>
      <c r="C13" s="48">
        <v>0.1</v>
      </c>
    </row>
    <row r="14" spans="2:3" x14ac:dyDescent="0.25">
      <c r="B14" s="41" t="s">
        <v>216</v>
      </c>
      <c r="C14" s="44">
        <v>9400</v>
      </c>
    </row>
    <row r="15" spans="2:3" x14ac:dyDescent="0.25">
      <c r="B15" s="40" t="s">
        <v>215</v>
      </c>
      <c r="C15" s="43"/>
    </row>
    <row r="16" spans="2:3" x14ac:dyDescent="0.25">
      <c r="B16" s="45" t="s">
        <v>188</v>
      </c>
      <c r="C16" s="46">
        <v>0.08</v>
      </c>
    </row>
    <row r="17" spans="2:3" x14ac:dyDescent="0.25">
      <c r="B17" s="45" t="s">
        <v>229</v>
      </c>
      <c r="C17" s="52">
        <v>51600</v>
      </c>
    </row>
    <row r="18" spans="2:3" x14ac:dyDescent="0.25">
      <c r="B18" s="47" t="s">
        <v>230</v>
      </c>
      <c r="C18" s="48">
        <v>0.1201</v>
      </c>
    </row>
    <row r="19" spans="2:3" x14ac:dyDescent="0.25">
      <c r="B19" s="47" t="s">
        <v>231</v>
      </c>
      <c r="C19" s="48">
        <v>0.15</v>
      </c>
    </row>
    <row r="20" spans="2:3" x14ac:dyDescent="0.25">
      <c r="B20" s="47" t="s">
        <v>232</v>
      </c>
      <c r="C20" s="50">
        <v>618400</v>
      </c>
    </row>
    <row r="21" spans="2:3" x14ac:dyDescent="0.25">
      <c r="B21" s="47" t="s">
        <v>233</v>
      </c>
      <c r="C21" s="48">
        <v>0.25</v>
      </c>
    </row>
    <row r="22" spans="2:3" x14ac:dyDescent="0.25">
      <c r="B22" s="47" t="s">
        <v>218</v>
      </c>
      <c r="C22" s="51">
        <v>0.27</v>
      </c>
    </row>
    <row r="23" spans="2:3" x14ac:dyDescent="0.25">
      <c r="B23" s="47" t="s">
        <v>219</v>
      </c>
      <c r="C23" s="51">
        <v>0.42</v>
      </c>
    </row>
    <row r="24" spans="2:3" x14ac:dyDescent="0.2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8515625" defaultRowHeight="15" x14ac:dyDescent="0.25"/>
  <cols>
    <col min="1" max="1" width="4.42578125" style="2" customWidth="1"/>
    <col min="2" max="2" width="34.85546875" style="2" bestFit="1" customWidth="1"/>
    <col min="3" max="6" width="15.28515625" style="2"/>
    <col min="7" max="7" width="50.42578125" style="2" bestFit="1" customWidth="1"/>
    <col min="8" max="8" width="27.7109375" style="2" bestFit="1" customWidth="1"/>
    <col min="9" max="9" width="15.42578125" style="2" bestFit="1" customWidth="1"/>
    <col min="10" max="13" width="15.28515625" style="2"/>
    <col min="14" max="14" width="44" style="2" customWidth="1"/>
    <col min="15" max="15" width="31" style="2" customWidth="1"/>
    <col min="16" max="16384" width="15.28515625" style="2"/>
  </cols>
  <sheetData>
    <row r="2" spans="1:17" x14ac:dyDescent="0.25">
      <c r="A2" s="16"/>
      <c r="B2" s="14" t="s">
        <v>62</v>
      </c>
      <c r="C2" s="15">
        <f>Income!I2</f>
        <v>0.02</v>
      </c>
      <c r="G2" s="4" t="s">
        <v>173</v>
      </c>
      <c r="H2" s="4" t="s">
        <v>5</v>
      </c>
      <c r="I2" s="4" t="s">
        <v>57</v>
      </c>
      <c r="J2" s="59" t="s">
        <v>263</v>
      </c>
      <c r="K2" s="4" t="s">
        <v>1</v>
      </c>
      <c r="M2" s="60" t="s">
        <v>1</v>
      </c>
      <c r="N2" s="60" t="s">
        <v>173</v>
      </c>
      <c r="O2" s="60" t="s">
        <v>5</v>
      </c>
    </row>
    <row r="3" spans="1:17" x14ac:dyDescent="0.25">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5">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5">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5">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5">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5">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5">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5">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5">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5">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5">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5">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5">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5">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5">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5">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5">
      <c r="A19" s="16"/>
      <c r="M19" s="62"/>
    </row>
    <row r="20" spans="1:17" x14ac:dyDescent="0.25">
      <c r="A20" s="16"/>
    </row>
    <row r="21" spans="1:17" x14ac:dyDescent="0.25">
      <c r="A21" s="16"/>
      <c r="Q21" s="63">
        <f>SUM(Q3:Q18)</f>
        <v>198719.14865950411</v>
      </c>
    </row>
    <row r="22" spans="1:17" x14ac:dyDescent="0.25">
      <c r="A22" s="16"/>
    </row>
    <row r="23" spans="1:17" x14ac:dyDescent="0.25">
      <c r="A23" s="16"/>
    </row>
    <row r="24" spans="1:17" x14ac:dyDescent="0.25">
      <c r="A24" s="16"/>
    </row>
    <row r="25" spans="1:17" x14ac:dyDescent="0.25">
      <c r="A25" s="16"/>
    </row>
    <row r="26" spans="1:17" x14ac:dyDescent="0.25">
      <c r="A26" s="16"/>
    </row>
    <row r="27" spans="1:17" x14ac:dyDescent="0.25">
      <c r="A27" s="16"/>
    </row>
    <row r="28" spans="1:17" x14ac:dyDescent="0.25">
      <c r="A28" s="16"/>
    </row>
    <row r="29" spans="1:17" x14ac:dyDescent="0.25">
      <c r="A29" s="16"/>
    </row>
    <row r="30" spans="1:17" x14ac:dyDescent="0.25">
      <c r="A30" s="16"/>
    </row>
    <row r="31" spans="1:17" x14ac:dyDescent="0.25">
      <c r="A31" s="16"/>
    </row>
    <row r="32" spans="1:17" x14ac:dyDescent="0.25">
      <c r="A32" s="16"/>
    </row>
    <row r="33" spans="1:1" x14ac:dyDescent="0.25">
      <c r="A33" s="16"/>
    </row>
    <row r="34" spans="1:1" x14ac:dyDescent="0.25">
      <c r="A34" s="16"/>
    </row>
    <row r="35" spans="1:1" x14ac:dyDescent="0.25">
      <c r="A35" s="16"/>
    </row>
    <row r="36" spans="1:1" x14ac:dyDescent="0.25">
      <c r="A36" s="16"/>
    </row>
    <row r="37" spans="1:1" x14ac:dyDescent="0.25">
      <c r="A37" s="16"/>
    </row>
    <row r="38" spans="1:1" x14ac:dyDescent="0.25">
      <c r="A38" s="16"/>
    </row>
    <row r="39" spans="1:1" x14ac:dyDescent="0.25">
      <c r="A39" s="16"/>
    </row>
    <row r="40" spans="1:1" x14ac:dyDescent="0.25">
      <c r="A40" s="16"/>
    </row>
    <row r="41" spans="1:1" x14ac:dyDescent="0.25">
      <c r="A41" s="16"/>
    </row>
    <row r="42" spans="1:1" x14ac:dyDescent="0.25">
      <c r="A42" s="16"/>
    </row>
    <row r="43" spans="1:1" x14ac:dyDescent="0.25">
      <c r="A43" s="16"/>
    </row>
    <row r="44" spans="1:1" x14ac:dyDescent="0.25">
      <c r="A44" s="16"/>
    </row>
    <row r="45" spans="1:1" x14ac:dyDescent="0.25">
      <c r="A45" s="16"/>
    </row>
    <row r="46" spans="1:1" x14ac:dyDescent="0.25">
      <c r="A46" s="16"/>
    </row>
    <row r="47" spans="1:1" x14ac:dyDescent="0.25">
      <c r="A47" s="16"/>
    </row>
    <row r="48" spans="1:1" x14ac:dyDescent="0.2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defaultColWidth="15.28515625" defaultRowHeight="15" x14ac:dyDescent="0.25"/>
  <cols>
    <col min="1" max="1" width="3.85546875" style="2" customWidth="1"/>
    <col min="2" max="2" width="11.42578125" style="2" bestFit="1" customWidth="1"/>
    <col min="3" max="3" width="19.42578125" style="2" bestFit="1" customWidth="1"/>
    <col min="4" max="4" width="19.85546875" style="2" bestFit="1" customWidth="1"/>
    <col min="5" max="6" width="20" style="2" bestFit="1" customWidth="1"/>
    <col min="7" max="7" width="4.42578125" style="2" customWidth="1"/>
    <col min="8" max="8" width="34.85546875" style="2" bestFit="1" customWidth="1"/>
    <col min="9" max="12" width="15.28515625" style="2"/>
    <col min="13" max="14" width="25.7109375" style="2" bestFit="1" customWidth="1"/>
    <col min="15" max="16" width="38.28515625" style="2" bestFit="1" customWidth="1"/>
    <col min="17" max="18" width="27.7109375" style="2" bestFit="1" customWidth="1"/>
    <col min="19" max="20" width="15.42578125" style="2" bestFit="1" customWidth="1"/>
    <col min="21" max="16384" width="15.28515625" style="2"/>
  </cols>
  <sheetData>
    <row r="1" spans="1:20" x14ac:dyDescent="0.25">
      <c r="A1" s="54" t="s">
        <v>236</v>
      </c>
    </row>
    <row r="2" spans="1:20" x14ac:dyDescent="0.25">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5">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5">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5">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5">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5">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5">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5">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5">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5">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5">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5">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5">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5">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5">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5">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5">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5">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5">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5">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5">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5">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5">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5">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5">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5">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5">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5">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5">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5">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5">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5">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5">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5">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5">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5">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5">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5">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5">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5">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5">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5">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5">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5">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5">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5">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5">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5">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5">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5">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5">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13" style="2" bestFit="1" customWidth="1"/>
    <col min="48" max="48" width="11.7109375" style="2" bestFit="1" customWidth="1"/>
    <col min="49" max="49" width="13.28515625" style="2" bestFit="1" customWidth="1"/>
    <col min="50" max="51" width="14.140625" style="2" bestFit="1" customWidth="1"/>
    <col min="52" max="16384" width="9.140625" style="2"/>
  </cols>
  <sheetData>
    <row r="1" spans="1:51" x14ac:dyDescent="0.2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5">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5">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5">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11542485.609751757</v>
      </c>
    </row>
    <row r="17" spans="1:4" x14ac:dyDescent="0.25">
      <c r="A17" s="2" t="s">
        <v>184</v>
      </c>
      <c r="B17" s="28">
        <f>B16/25</f>
        <v>461699.42439007031</v>
      </c>
      <c r="C17" s="2" t="s">
        <v>182</v>
      </c>
    </row>
    <row r="18" spans="1:4" x14ac:dyDescent="0.25">
      <c r="A18" s="2" t="s">
        <v>183</v>
      </c>
      <c r="B18" s="30">
        <f>B17/12</f>
        <v>38474.952032505862</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5">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5">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5">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5">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5">
      <c r="A40" s="2" t="s">
        <v>250</v>
      </c>
      <c r="B40" s="26">
        <f>AT38</f>
        <v>9402684.2786489464</v>
      </c>
    </row>
    <row r="42" spans="1:51" x14ac:dyDescent="0.25">
      <c r="A42" s="2" t="s">
        <v>251</v>
      </c>
      <c r="B42" s="54" t="s">
        <v>252</v>
      </c>
    </row>
    <row r="43" spans="1:51" x14ac:dyDescent="0.2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5">
      <c r="A49" s="2" t="s">
        <v>268</v>
      </c>
    </row>
    <row r="50" spans="1:51" x14ac:dyDescent="0.2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9.140625" style="2"/>
    <col min="48" max="48" width="11.7109375" style="2" bestFit="1" customWidth="1"/>
    <col min="49" max="49" width="13.28515625" style="2" bestFit="1" customWidth="1"/>
    <col min="50" max="51" width="13.85546875" style="2" bestFit="1" customWidth="1"/>
    <col min="52" max="16384" width="9.140625" style="2"/>
  </cols>
  <sheetData>
    <row r="1" spans="1:51" x14ac:dyDescent="0.2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5">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5">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5">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14854176.445099022</v>
      </c>
    </row>
    <row r="17" spans="1:4" x14ac:dyDescent="0.25">
      <c r="A17" s="2" t="s">
        <v>184</v>
      </c>
      <c r="B17" s="28">
        <f>B16/25</f>
        <v>594167.05780396087</v>
      </c>
      <c r="C17" s="2" t="s">
        <v>182</v>
      </c>
    </row>
    <row r="18" spans="1:4" x14ac:dyDescent="0.25">
      <c r="A18" s="2" t="s">
        <v>183</v>
      </c>
      <c r="B18" s="30">
        <f>B17/12</f>
        <v>49513.921483663406</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5">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5">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5">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5">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5">
      <c r="B40" s="26"/>
    </row>
    <row r="42" spans="1:51" x14ac:dyDescent="0.25">
      <c r="A42" s="2" t="s">
        <v>251</v>
      </c>
      <c r="B42" s="54" t="s">
        <v>252</v>
      </c>
    </row>
    <row r="43" spans="1:51" x14ac:dyDescent="0.2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5">
      <c r="A49" s="2" t="s">
        <v>268</v>
      </c>
    </row>
    <row r="50" spans="1:51" x14ac:dyDescent="0.2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5">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5">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5">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5">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5">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5">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5">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5">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5">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5">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5">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5">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5">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5">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5">
      <c r="BI18" s="2">
        <v>49929.433026865918</v>
      </c>
    </row>
    <row r="19" spans="4:61" x14ac:dyDescent="0.25">
      <c r="BI19" s="2">
        <v>50348.083483387927</v>
      </c>
    </row>
    <row r="20" spans="4:61" x14ac:dyDescent="0.25">
      <c r="D20" s="26"/>
      <c r="BI20" s="2">
        <v>52462.268288823987</v>
      </c>
    </row>
    <row r="21" spans="4:61" x14ac:dyDescent="0.2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5">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5">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5">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5">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5">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5">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5">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5">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5">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5">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5">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5">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5">
      <c r="BI36" s="2">
        <v>62186.176871495067</v>
      </c>
    </row>
    <row r="37" spans="4:61" x14ac:dyDescent="0.25">
      <c r="D37" s="2" t="s">
        <v>205</v>
      </c>
      <c r="E37" s="27">
        <f>SUM(E35:AC35)</f>
        <v>4212659.3152651591</v>
      </c>
      <c r="BI37" s="2">
        <v>0</v>
      </c>
    </row>
    <row r="38" spans="4:61" x14ac:dyDescent="0.25">
      <c r="E38" s="26"/>
    </row>
    <row r="39" spans="4:61" x14ac:dyDescent="0.25">
      <c r="E39" s="57">
        <f>1500000</f>
        <v>1500000</v>
      </c>
      <c r="F39" s="57">
        <f>E39/25</f>
        <v>60000</v>
      </c>
    </row>
    <row r="43" spans="4:61" x14ac:dyDescent="0.25">
      <c r="E43" s="28"/>
    </row>
    <row r="44" spans="4:61" x14ac:dyDescent="0.25">
      <c r="E44" s="28"/>
    </row>
    <row r="45" spans="4:61" x14ac:dyDescent="0.25">
      <c r="E45" s="26"/>
    </row>
    <row r="46" spans="4:61" x14ac:dyDescent="0.25">
      <c r="E46" s="26"/>
    </row>
    <row r="47" spans="4:61" x14ac:dyDescent="0.25">
      <c r="E47" s="26"/>
    </row>
    <row r="48" spans="4:61" x14ac:dyDescent="0.25">
      <c r="E48" s="26"/>
    </row>
    <row r="49" spans="5:5" x14ac:dyDescent="0.25">
      <c r="E49" s="26"/>
    </row>
    <row r="50" spans="5:5" x14ac:dyDescent="0.25">
      <c r="E50" s="26"/>
    </row>
    <row r="51" spans="5:5" x14ac:dyDescent="0.25">
      <c r="E51" s="26"/>
    </row>
    <row r="52" spans="5:5" x14ac:dyDescent="0.25">
      <c r="E52" s="26"/>
    </row>
    <row r="53" spans="5:5" x14ac:dyDescent="0.25">
      <c r="E53" s="26"/>
    </row>
    <row r="54" spans="5:5" x14ac:dyDescent="0.25">
      <c r="E54" s="26"/>
    </row>
    <row r="55" spans="5:5" x14ac:dyDescent="0.25">
      <c r="E55" s="26"/>
    </row>
    <row r="56" spans="5:5" x14ac:dyDescent="0.25">
      <c r="E56" s="26"/>
    </row>
    <row r="57" spans="5:5" x14ac:dyDescent="0.25">
      <c r="E57" s="26"/>
    </row>
    <row r="58" spans="5:5" x14ac:dyDescent="0.2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5">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5">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5">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5">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5">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5">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5">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5">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5">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5">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5">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5">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5">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5">
      <c r="BI18" s="2">
        <v>32417.501238162906</v>
      </c>
    </row>
    <row r="19" spans="4:61" x14ac:dyDescent="0.25">
      <c r="BI19" s="2">
        <v>32744.918996797875</v>
      </c>
    </row>
    <row r="20" spans="4:61" x14ac:dyDescent="0.25">
      <c r="D20" s="26"/>
      <c r="BI20" s="2">
        <v>34398.378677904424</v>
      </c>
    </row>
    <row r="21" spans="4:61" x14ac:dyDescent="0.2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5">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5">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5">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5">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5">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5">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5">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5">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5">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5">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5">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5">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5">
      <c r="BI36" s="2">
        <v>40312.325467751049</v>
      </c>
    </row>
    <row r="37" spans="4:61" x14ac:dyDescent="0.25">
      <c r="D37" s="2" t="s">
        <v>205</v>
      </c>
      <c r="E37" s="27">
        <f>SUM(E35:AC35)</f>
        <v>1864268.0513442026</v>
      </c>
      <c r="BI37" s="2">
        <v>41924.722372405275</v>
      </c>
    </row>
    <row r="38" spans="4:61" x14ac:dyDescent="0.25">
      <c r="E38" s="26"/>
      <c r="BI38" s="2">
        <v>42263.325722382659</v>
      </c>
    </row>
    <row r="39" spans="4:61" x14ac:dyDescent="0.25">
      <c r="E39" s="57">
        <f>1500000</f>
        <v>1500000</v>
      </c>
      <c r="F39" s="57">
        <f>E39/25</f>
        <v>60000</v>
      </c>
      <c r="BI39" s="2">
        <v>42605.315105859809</v>
      </c>
    </row>
    <row r="40" spans="4:61" x14ac:dyDescent="0.25">
      <c r="BI40" s="2">
        <v>42950.724383171742</v>
      </c>
    </row>
    <row r="41" spans="4:61" x14ac:dyDescent="0.25">
      <c r="BI41" s="2">
        <v>43299.58775325679</v>
      </c>
    </row>
    <row r="42" spans="4:61" x14ac:dyDescent="0.25">
      <c r="BI42" s="2">
        <v>43651.939757042703</v>
      </c>
    </row>
    <row r="43" spans="4:61" x14ac:dyDescent="0.25">
      <c r="E43" s="28"/>
      <c r="BI43" s="2">
        <v>44007.81528086646</v>
      </c>
    </row>
    <row r="44" spans="4:61" x14ac:dyDescent="0.25">
      <c r="E44" s="28"/>
      <c r="BI44" s="2">
        <v>44367.249559928459</v>
      </c>
    </row>
    <row r="45" spans="4:61" x14ac:dyDescent="0.25">
      <c r="E45" s="26"/>
      <c r="BI45" s="2">
        <v>44730.278181781083</v>
      </c>
    </row>
    <row r="46" spans="4:61" x14ac:dyDescent="0.25">
      <c r="E46" s="26"/>
      <c r="BI46" s="2">
        <v>45096.93708985221</v>
      </c>
    </row>
    <row r="47" spans="4:61" x14ac:dyDescent="0.25">
      <c r="E47" s="26"/>
      <c r="BI47" s="2">
        <v>45467.262587004072</v>
      </c>
    </row>
    <row r="48" spans="4:61" x14ac:dyDescent="0.25">
      <c r="E48" s="26"/>
      <c r="BI48" s="2">
        <v>45841.291339127441</v>
      </c>
    </row>
    <row r="49" spans="5:61" x14ac:dyDescent="0.25">
      <c r="E49" s="26"/>
      <c r="BI49" s="2">
        <v>46219.060378772054</v>
      </c>
    </row>
    <row r="50" spans="5:61" x14ac:dyDescent="0.25">
      <c r="E50" s="26"/>
      <c r="BI50" s="2">
        <v>46600.607108813107</v>
      </c>
    </row>
    <row r="51" spans="5:61" x14ac:dyDescent="0.25">
      <c r="E51" s="26"/>
      <c r="BI51" s="2">
        <v>46985.969306154577</v>
      </c>
    </row>
    <row r="52" spans="5:61" x14ac:dyDescent="0.25">
      <c r="E52" s="26"/>
      <c r="BI52" s="2">
        <v>0</v>
      </c>
    </row>
    <row r="53" spans="5:61" x14ac:dyDescent="0.25">
      <c r="E53" s="26"/>
    </row>
    <row r="54" spans="5:61" x14ac:dyDescent="0.25">
      <c r="E54" s="26"/>
    </row>
    <row r="55" spans="5:61" x14ac:dyDescent="0.25">
      <c r="E55" s="26"/>
    </row>
    <row r="56" spans="5:61" x14ac:dyDescent="0.25">
      <c r="E56" s="26"/>
    </row>
    <row r="57" spans="5:61" x14ac:dyDescent="0.25">
      <c r="E57" s="26"/>
    </row>
    <row r="58" spans="5:61" x14ac:dyDescent="0.2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109375" defaultRowHeight="15" x14ac:dyDescent="0.25"/>
  <cols>
    <col min="1" max="2" width="8.7109375" style="2"/>
    <col min="3" max="3" width="11.28515625" style="2" customWidth="1"/>
    <col min="4" max="4" width="15.140625" style="2" customWidth="1"/>
    <col min="5" max="5" width="12.42578125" style="2" customWidth="1"/>
    <col min="6" max="7" width="20.7109375" style="2" bestFit="1" customWidth="1"/>
    <col min="8" max="13" width="8.7109375" style="2"/>
    <col min="14" max="14" width="11.28515625" style="2" customWidth="1"/>
    <col min="15" max="15" width="16.7109375" style="2" customWidth="1"/>
    <col min="16" max="16" width="16.85546875" style="2" customWidth="1"/>
    <col min="17" max="18" width="8.7109375" style="2"/>
    <col min="19" max="19" width="11.28515625" style="2" customWidth="1"/>
    <col min="20" max="16384" width="8.7109375" style="2"/>
  </cols>
  <sheetData>
    <row r="2" spans="2:20" x14ac:dyDescent="0.2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5">
      <c r="B7" s="4">
        <v>29</v>
      </c>
      <c r="C7" s="4" t="str">
        <f t="shared" si="3"/>
        <v>25-29 år</v>
      </c>
      <c r="D7" s="13">
        <f t="shared" si="0"/>
        <v>0.51651947969596046</v>
      </c>
      <c r="E7" s="4" t="str">
        <f ca="1">IF(OR(JobHopping[[#This Row],[Age]]=25,JobHopping[[#This Row],[Age]]&gt;69),"N",IF(AND(E5="N",E6="N", RAND()&lt;=D7), "Y", "N"))</f>
        <v>Y</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5">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5">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5">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5">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25">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5">
      <c r="B15" s="4">
        <v>37</v>
      </c>
      <c r="C15" s="4" t="str">
        <f t="shared" si="3"/>
        <v>35-39 år</v>
      </c>
      <c r="D15" s="13">
        <f t="shared" si="0"/>
        <v>0.2624026948424838</v>
      </c>
      <c r="E15" s="4" t="str">
        <f ca="1">IF(OR(JobHopping[[#This Row],[Age]]=25,JobHopping[[#This Row],[Age]]&gt;69),"N",IF(AND(E13="N",E14="N", RAND()&lt;=D15), "Y", "N"))</f>
        <v>Y</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5">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5">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5">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5">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25">
      <c r="B21" s="4">
        <v>43</v>
      </c>
      <c r="C21" s="4" t="str">
        <f t="shared" si="3"/>
        <v>40-44 år</v>
      </c>
      <c r="D21" s="13">
        <f t="shared" si="0"/>
        <v>0.2213187304833609</v>
      </c>
      <c r="E21" s="4" t="str">
        <f ca="1">IF(OR(JobHopping[[#This Row],[Age]]=25,JobHopping[[#This Row],[Age]]&gt;69),"N",IF(AND(E19="N",E20="N", RAND()&lt;=D21), "Y", "N"))</f>
        <v>Y</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5">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5">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5">
      <c r="B24" s="4">
        <v>46</v>
      </c>
      <c r="C24" s="4" t="str">
        <f t="shared" si="3"/>
        <v>45-49 år</v>
      </c>
      <c r="D24" s="13">
        <f t="shared" si="0"/>
        <v>0.19929479981866399</v>
      </c>
      <c r="E24" s="4" t="str">
        <f ca="1">IF(OR(JobHopping[[#This Row],[Age]]=25,JobHopping[[#This Row],[Age]]&gt;69),"N",IF(AND(E22="N",E23="N", RAND()&lt;=D24), "Y", "N"))</f>
        <v>Y</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5">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5">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5">
      <c r="B27" s="4">
        <v>49</v>
      </c>
      <c r="C27" s="4" t="str">
        <f t="shared" si="3"/>
        <v>45-49 år</v>
      </c>
      <c r="D27" s="13">
        <f t="shared" si="0"/>
        <v>0.19929479981866399</v>
      </c>
      <c r="E27" s="4" t="str">
        <f ca="1">IF(OR(JobHopping[[#This Row],[Age]]=25,JobHopping[[#This Row],[Age]]&gt;69),"N",IF(AND(E25="N",E26="N", RAND()&lt;=D27), "Y", "N"))</f>
        <v>Y</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5">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5">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25">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5">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5">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5">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5">
      <c r="B34" s="4">
        <v>56</v>
      </c>
      <c r="C34" s="4" t="str">
        <f t="shared" si="3"/>
        <v>55-59 år</v>
      </c>
      <c r="D34" s="13">
        <f t="shared" si="0"/>
        <v>0.15515674597479437</v>
      </c>
      <c r="E34" s="4" t="str">
        <f ca="1">IF(OR(JobHopping[[#This Row],[Age]]=25,JobHopping[[#This Row],[Age]]&gt;69),"N",IF(AND(E32="N",E33="N", RAND()&lt;=D34), "Y", "N"))</f>
        <v>Y</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5">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5">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5">
      <c r="B37" s="4">
        <v>59</v>
      </c>
      <c r="C37" s="4" t="str">
        <f t="shared" si="3"/>
        <v>55-59 år</v>
      </c>
      <c r="D37" s="13">
        <f t="shared" si="4"/>
        <v>0.15515674597479437</v>
      </c>
      <c r="E37" s="4" t="str">
        <f ca="1">IF(OR(JobHopping[[#This Row],[Age]]=25,JobHopping[[#This Row],[Age]]&gt;69),"N",IF(AND(E35="N",E36="N", RAND()&lt;=D37), "Y", "N"))</f>
        <v>Y</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25">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5">
      <c r="B41" s="4">
        <v>63</v>
      </c>
      <c r="C41" s="4" t="str">
        <f t="shared" si="3"/>
        <v>60-64 år</v>
      </c>
      <c r="D41" s="13">
        <f t="shared" si="4"/>
        <v>0.13997311637990331</v>
      </c>
      <c r="E41" s="4" t="str">
        <f ca="1">IF(OR(JobHopping[[#This Row],[Age]]=25,JobHopping[[#This Row],[Age]]&gt;69),"N",IF(AND(E39="N",E40="N", RAND()&lt;=D41), "Y", "N"))</f>
        <v>Y</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5">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5">
      <c r="B43" s="4">
        <v>65</v>
      </c>
      <c r="C43" s="4" t="str">
        <f t="shared" si="3"/>
        <v>65+ år</v>
      </c>
      <c r="D43" s="13">
        <f t="shared" si="4"/>
        <v>0.11691873000664299</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5">
      <c r="B44" s="4">
        <v>66</v>
      </c>
      <c r="C44" s="4" t="str">
        <f t="shared" si="3"/>
        <v>65+ år</v>
      </c>
      <c r="D44" s="13">
        <f t="shared" si="4"/>
        <v>0.11691873000664299</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5">
      <c r="B45" s="4">
        <v>67</v>
      </c>
      <c r="C45" s="4" t="str">
        <f t="shared" si="3"/>
        <v>65+ år</v>
      </c>
      <c r="D45" s="13">
        <f t="shared" si="4"/>
        <v>0.11691873000664299</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5">
      <c r="B46" s="4">
        <v>68</v>
      </c>
      <c r="C46" s="4" t="str">
        <f t="shared" si="3"/>
        <v>65+ år</v>
      </c>
      <c r="D46" s="13">
        <f t="shared" si="4"/>
        <v>0.11691873000664299</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5">
      <c r="B47" s="4">
        <v>69</v>
      </c>
      <c r="C47" s="4" t="str">
        <f t="shared" si="3"/>
        <v>65+ år</v>
      </c>
      <c r="D47" s="13">
        <f t="shared" si="4"/>
        <v>0.11691873000664299</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2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2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2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2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2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2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5546875" defaultRowHeight="15" x14ac:dyDescent="0.25"/>
  <cols>
    <col min="2" max="2" width="13" customWidth="1"/>
    <col min="3" max="3" width="31" customWidth="1"/>
  </cols>
  <sheetData>
    <row r="1" spans="1:4" ht="24" thickBot="1" x14ac:dyDescent="0.4">
      <c r="A1" s="5" t="s">
        <v>40</v>
      </c>
      <c r="B1" s="6"/>
      <c r="C1" s="6"/>
    </row>
    <row r="2" spans="1:4" ht="15.75" thickTop="1" x14ac:dyDescent="0.25">
      <c r="C2" s="7" t="s">
        <v>7</v>
      </c>
    </row>
    <row r="3" spans="1:4" x14ac:dyDescent="0.25">
      <c r="C3" s="7" t="s">
        <v>41</v>
      </c>
    </row>
    <row r="4" spans="1:4" x14ac:dyDescent="0.25">
      <c r="C4" s="7" t="s">
        <v>8</v>
      </c>
    </row>
    <row r="5" spans="1:4" x14ac:dyDescent="0.25">
      <c r="C5" s="7" t="s">
        <v>9</v>
      </c>
    </row>
    <row r="6" spans="1:4" x14ac:dyDescent="0.25">
      <c r="C6" s="7" t="s">
        <v>10</v>
      </c>
    </row>
    <row r="7" spans="1:4" x14ac:dyDescent="0.25">
      <c r="C7" s="7" t="s">
        <v>42</v>
      </c>
    </row>
    <row r="8" spans="1:4" x14ac:dyDescent="0.25">
      <c r="A8" s="7" t="s">
        <v>22</v>
      </c>
      <c r="B8" s="7" t="s">
        <v>13</v>
      </c>
      <c r="C8" s="8">
        <v>3410</v>
      </c>
      <c r="D8" t="str">
        <f t="shared" ref="D8:D71" si="0">A8&amp;"-"&amp;B8</f>
        <v>2009-25-29 år</v>
      </c>
    </row>
    <row r="9" spans="1:4" x14ac:dyDescent="0.25">
      <c r="A9" s="7" t="s">
        <v>22</v>
      </c>
      <c r="B9" s="7" t="s">
        <v>14</v>
      </c>
      <c r="C9" s="8">
        <v>3525</v>
      </c>
      <c r="D9" t="str">
        <f t="shared" si="0"/>
        <v>2009-30-34 år</v>
      </c>
    </row>
    <row r="10" spans="1:4" x14ac:dyDescent="0.25">
      <c r="A10" s="7" t="s">
        <v>22</v>
      </c>
      <c r="B10" s="7" t="s">
        <v>15</v>
      </c>
      <c r="C10" s="8">
        <v>3090</v>
      </c>
      <c r="D10" t="str">
        <f t="shared" si="0"/>
        <v>2009-35-39 år</v>
      </c>
    </row>
    <row r="11" spans="1:4" x14ac:dyDescent="0.25">
      <c r="A11" s="7" t="s">
        <v>22</v>
      </c>
      <c r="B11" s="7" t="s">
        <v>16</v>
      </c>
      <c r="C11" s="8">
        <v>4180</v>
      </c>
      <c r="D11" t="str">
        <f t="shared" si="0"/>
        <v>2009-40-44 år</v>
      </c>
    </row>
    <row r="12" spans="1:4" x14ac:dyDescent="0.25">
      <c r="A12" s="7" t="s">
        <v>22</v>
      </c>
      <c r="B12" s="7" t="s">
        <v>17</v>
      </c>
      <c r="C12" s="8">
        <v>3533</v>
      </c>
      <c r="D12" t="str">
        <f t="shared" si="0"/>
        <v>2009-45-49 år</v>
      </c>
    </row>
    <row r="13" spans="1:4" x14ac:dyDescent="0.25">
      <c r="A13" s="7" t="s">
        <v>22</v>
      </c>
      <c r="B13" s="7" t="s">
        <v>18</v>
      </c>
      <c r="C13" s="8">
        <v>2940</v>
      </c>
      <c r="D13" t="str">
        <f t="shared" si="0"/>
        <v>2009-50-54 år</v>
      </c>
    </row>
    <row r="14" spans="1:4" x14ac:dyDescent="0.25">
      <c r="A14" s="7" t="s">
        <v>22</v>
      </c>
      <c r="B14" s="7" t="s">
        <v>19</v>
      </c>
      <c r="C14" s="8">
        <v>2419</v>
      </c>
      <c r="D14" t="str">
        <f t="shared" si="0"/>
        <v>2009-55-59 år</v>
      </c>
    </row>
    <row r="15" spans="1:4" x14ac:dyDescent="0.25">
      <c r="A15" s="7" t="s">
        <v>22</v>
      </c>
      <c r="B15" s="7" t="s">
        <v>20</v>
      </c>
      <c r="C15" s="8">
        <v>1263</v>
      </c>
      <c r="D15" t="str">
        <f t="shared" si="0"/>
        <v>2009-60-64 år</v>
      </c>
    </row>
    <row r="16" spans="1:4" x14ac:dyDescent="0.25">
      <c r="A16" s="7" t="s">
        <v>22</v>
      </c>
      <c r="B16" s="7" t="s">
        <v>43</v>
      </c>
      <c r="C16" s="8">
        <v>196</v>
      </c>
      <c r="D16" t="str">
        <f t="shared" si="0"/>
        <v>2009-65-69 år</v>
      </c>
    </row>
    <row r="17" spans="1:4" x14ac:dyDescent="0.25">
      <c r="A17" s="7" t="s">
        <v>23</v>
      </c>
      <c r="B17" s="7" t="s">
        <v>13</v>
      </c>
      <c r="C17" s="8">
        <v>2457</v>
      </c>
      <c r="D17" t="str">
        <f t="shared" si="0"/>
        <v>2010-25-29 år</v>
      </c>
    </row>
    <row r="18" spans="1:4" x14ac:dyDescent="0.25">
      <c r="A18" s="7" t="s">
        <v>23</v>
      </c>
      <c r="B18" s="7" t="s">
        <v>14</v>
      </c>
      <c r="C18" s="8">
        <v>2382</v>
      </c>
      <c r="D18" t="str">
        <f t="shared" si="0"/>
        <v>2010-30-34 år</v>
      </c>
    </row>
    <row r="19" spans="1:4" x14ac:dyDescent="0.25">
      <c r="A19" s="7" t="s">
        <v>23</v>
      </c>
      <c r="B19" s="7" t="s">
        <v>15</v>
      </c>
      <c r="C19" s="8">
        <v>1880</v>
      </c>
      <c r="D19" t="str">
        <f t="shared" si="0"/>
        <v>2010-35-39 år</v>
      </c>
    </row>
    <row r="20" spans="1:4" x14ac:dyDescent="0.25">
      <c r="A20" s="7" t="s">
        <v>23</v>
      </c>
      <c r="B20" s="7" t="s">
        <v>16</v>
      </c>
      <c r="C20" s="8">
        <v>2045</v>
      </c>
      <c r="D20" t="str">
        <f t="shared" si="0"/>
        <v>2010-40-44 år</v>
      </c>
    </row>
    <row r="21" spans="1:4" x14ac:dyDescent="0.25">
      <c r="A21" s="7" t="s">
        <v>23</v>
      </c>
      <c r="B21" s="7" t="s">
        <v>17</v>
      </c>
      <c r="C21" s="8">
        <v>1826</v>
      </c>
      <c r="D21" t="str">
        <f t="shared" si="0"/>
        <v>2010-45-49 år</v>
      </c>
    </row>
    <row r="22" spans="1:4" x14ac:dyDescent="0.25">
      <c r="A22" s="7" t="s">
        <v>23</v>
      </c>
      <c r="B22" s="7" t="s">
        <v>18</v>
      </c>
      <c r="C22" s="8">
        <v>1417</v>
      </c>
      <c r="D22" t="str">
        <f t="shared" si="0"/>
        <v>2010-50-54 år</v>
      </c>
    </row>
    <row r="23" spans="1:4" x14ac:dyDescent="0.25">
      <c r="A23" s="7" t="s">
        <v>23</v>
      </c>
      <c r="B23" s="7" t="s">
        <v>19</v>
      </c>
      <c r="C23" s="8">
        <v>1229</v>
      </c>
      <c r="D23" t="str">
        <f t="shared" si="0"/>
        <v>2010-55-59 år</v>
      </c>
    </row>
    <row r="24" spans="1:4" x14ac:dyDescent="0.25">
      <c r="A24" s="7" t="s">
        <v>23</v>
      </c>
      <c r="B24" s="7" t="s">
        <v>20</v>
      </c>
      <c r="C24" s="8">
        <v>712</v>
      </c>
      <c r="D24" t="str">
        <f t="shared" si="0"/>
        <v>2010-60-64 år</v>
      </c>
    </row>
    <row r="25" spans="1:4" x14ac:dyDescent="0.25">
      <c r="A25" s="7" t="s">
        <v>23</v>
      </c>
      <c r="B25" s="7" t="s">
        <v>43</v>
      </c>
      <c r="C25" s="8">
        <v>220</v>
      </c>
      <c r="D25" t="str">
        <f t="shared" si="0"/>
        <v>2010-65-69 år</v>
      </c>
    </row>
    <row r="26" spans="1:4" x14ac:dyDescent="0.25">
      <c r="A26" s="7" t="s">
        <v>24</v>
      </c>
      <c r="B26" s="7" t="s">
        <v>13</v>
      </c>
      <c r="C26" s="8">
        <v>2791</v>
      </c>
      <c r="D26" t="str">
        <f t="shared" si="0"/>
        <v>2011-25-29 år</v>
      </c>
    </row>
    <row r="27" spans="1:4" x14ac:dyDescent="0.25">
      <c r="A27" s="7" t="s">
        <v>24</v>
      </c>
      <c r="B27" s="7" t="s">
        <v>14</v>
      </c>
      <c r="C27" s="8">
        <v>2600</v>
      </c>
      <c r="D27" t="str">
        <f t="shared" si="0"/>
        <v>2011-30-34 år</v>
      </c>
    </row>
    <row r="28" spans="1:4" x14ac:dyDescent="0.25">
      <c r="A28" s="7" t="s">
        <v>24</v>
      </c>
      <c r="B28" s="7" t="s">
        <v>15</v>
      </c>
      <c r="C28" s="8">
        <v>2164</v>
      </c>
      <c r="D28" t="str">
        <f t="shared" si="0"/>
        <v>2011-35-39 år</v>
      </c>
    </row>
    <row r="29" spans="1:4" x14ac:dyDescent="0.25">
      <c r="A29" s="7" t="s">
        <v>24</v>
      </c>
      <c r="B29" s="7" t="s">
        <v>16</v>
      </c>
      <c r="C29" s="8">
        <v>2134</v>
      </c>
      <c r="D29" t="str">
        <f t="shared" si="0"/>
        <v>2011-40-44 år</v>
      </c>
    </row>
    <row r="30" spans="1:4" x14ac:dyDescent="0.25">
      <c r="A30" s="7" t="s">
        <v>24</v>
      </c>
      <c r="B30" s="7" t="s">
        <v>17</v>
      </c>
      <c r="C30" s="8">
        <v>2030</v>
      </c>
      <c r="D30" t="str">
        <f t="shared" si="0"/>
        <v>2011-45-49 år</v>
      </c>
    </row>
    <row r="31" spans="1:4" x14ac:dyDescent="0.25">
      <c r="A31" s="7" t="s">
        <v>24</v>
      </c>
      <c r="B31" s="7" t="s">
        <v>18</v>
      </c>
      <c r="C31" s="8">
        <v>1660</v>
      </c>
      <c r="D31" t="str">
        <f t="shared" si="0"/>
        <v>2011-50-54 år</v>
      </c>
    </row>
    <row r="32" spans="1:4" x14ac:dyDescent="0.25">
      <c r="A32" s="7" t="s">
        <v>24</v>
      </c>
      <c r="B32" s="7" t="s">
        <v>19</v>
      </c>
      <c r="C32" s="8">
        <v>1415</v>
      </c>
      <c r="D32" t="str">
        <f t="shared" si="0"/>
        <v>2011-55-59 år</v>
      </c>
    </row>
    <row r="33" spans="1:4" x14ac:dyDescent="0.25">
      <c r="A33" s="7" t="s">
        <v>24</v>
      </c>
      <c r="B33" s="7" t="s">
        <v>20</v>
      </c>
      <c r="C33" s="8">
        <v>726</v>
      </c>
      <c r="D33" t="str">
        <f t="shared" si="0"/>
        <v>2011-60-64 år</v>
      </c>
    </row>
    <row r="34" spans="1:4" x14ac:dyDescent="0.25">
      <c r="A34" s="7" t="s">
        <v>24</v>
      </c>
      <c r="B34" s="7" t="s">
        <v>43</v>
      </c>
      <c r="C34" s="8">
        <v>197</v>
      </c>
      <c r="D34" t="str">
        <f t="shared" si="0"/>
        <v>2011-65-69 år</v>
      </c>
    </row>
    <row r="35" spans="1:4" x14ac:dyDescent="0.25">
      <c r="A35" s="7" t="s">
        <v>25</v>
      </c>
      <c r="B35" s="7" t="s">
        <v>13</v>
      </c>
      <c r="C35" s="8">
        <v>2457</v>
      </c>
      <c r="D35" t="str">
        <f t="shared" si="0"/>
        <v>2012-25-29 år</v>
      </c>
    </row>
    <row r="36" spans="1:4" x14ac:dyDescent="0.25">
      <c r="A36" s="7" t="s">
        <v>25</v>
      </c>
      <c r="B36" s="7" t="s">
        <v>14</v>
      </c>
      <c r="C36" s="8">
        <v>2116</v>
      </c>
      <c r="D36" t="str">
        <f t="shared" si="0"/>
        <v>2012-30-34 år</v>
      </c>
    </row>
    <row r="37" spans="1:4" x14ac:dyDescent="0.25">
      <c r="A37" s="7" t="s">
        <v>25</v>
      </c>
      <c r="B37" s="7" t="s">
        <v>15</v>
      </c>
      <c r="C37" s="8">
        <v>1935</v>
      </c>
      <c r="D37" t="str">
        <f t="shared" si="0"/>
        <v>2012-35-39 år</v>
      </c>
    </row>
    <row r="38" spans="1:4" x14ac:dyDescent="0.25">
      <c r="A38" s="7" t="s">
        <v>25</v>
      </c>
      <c r="B38" s="7" t="s">
        <v>16</v>
      </c>
      <c r="C38" s="8">
        <v>1734</v>
      </c>
      <c r="D38" t="str">
        <f t="shared" si="0"/>
        <v>2012-40-44 år</v>
      </c>
    </row>
    <row r="39" spans="1:4" x14ac:dyDescent="0.25">
      <c r="A39" s="7" t="s">
        <v>25</v>
      </c>
      <c r="B39" s="7" t="s">
        <v>17</v>
      </c>
      <c r="C39" s="8">
        <v>1913</v>
      </c>
      <c r="D39" t="str">
        <f t="shared" si="0"/>
        <v>2012-45-49 år</v>
      </c>
    </row>
    <row r="40" spans="1:4" x14ac:dyDescent="0.25">
      <c r="A40" s="7" t="s">
        <v>25</v>
      </c>
      <c r="B40" s="7" t="s">
        <v>18</v>
      </c>
      <c r="C40" s="8">
        <v>1465</v>
      </c>
      <c r="D40" t="str">
        <f t="shared" si="0"/>
        <v>2012-50-54 år</v>
      </c>
    </row>
    <row r="41" spans="1:4" x14ac:dyDescent="0.25">
      <c r="A41" s="7" t="s">
        <v>25</v>
      </c>
      <c r="B41" s="7" t="s">
        <v>19</v>
      </c>
      <c r="C41" s="8">
        <v>1254</v>
      </c>
      <c r="D41" t="str">
        <f t="shared" si="0"/>
        <v>2012-55-59 år</v>
      </c>
    </row>
    <row r="42" spans="1:4" x14ac:dyDescent="0.25">
      <c r="A42" s="7" t="s">
        <v>25</v>
      </c>
      <c r="B42" s="7" t="s">
        <v>20</v>
      </c>
      <c r="C42" s="8">
        <v>718</v>
      </c>
      <c r="D42" t="str">
        <f t="shared" si="0"/>
        <v>2012-60-64 år</v>
      </c>
    </row>
    <row r="43" spans="1:4" x14ac:dyDescent="0.25">
      <c r="A43" s="7" t="s">
        <v>25</v>
      </c>
      <c r="B43" s="7" t="s">
        <v>43</v>
      </c>
      <c r="C43" s="8">
        <v>208</v>
      </c>
      <c r="D43" t="str">
        <f t="shared" si="0"/>
        <v>2012-65-69 år</v>
      </c>
    </row>
    <row r="44" spans="1:4" x14ac:dyDescent="0.25">
      <c r="A44" s="7" t="s">
        <v>26</v>
      </c>
      <c r="B44" s="7" t="s">
        <v>13</v>
      </c>
      <c r="C44" s="8">
        <v>2524</v>
      </c>
      <c r="D44" t="str">
        <f t="shared" si="0"/>
        <v>2013-25-29 år</v>
      </c>
    </row>
    <row r="45" spans="1:4" x14ac:dyDescent="0.25">
      <c r="A45" s="7" t="s">
        <v>26</v>
      </c>
      <c r="B45" s="7" t="s">
        <v>14</v>
      </c>
      <c r="C45" s="8">
        <v>2176</v>
      </c>
      <c r="D45" t="str">
        <f t="shared" si="0"/>
        <v>2013-30-34 år</v>
      </c>
    </row>
    <row r="46" spans="1:4" x14ac:dyDescent="0.25">
      <c r="A46" s="7" t="s">
        <v>26</v>
      </c>
      <c r="B46" s="7" t="s">
        <v>15</v>
      </c>
      <c r="C46" s="8">
        <v>1896</v>
      </c>
      <c r="D46" t="str">
        <f t="shared" si="0"/>
        <v>2013-35-39 år</v>
      </c>
    </row>
    <row r="47" spans="1:4" x14ac:dyDescent="0.25">
      <c r="A47" s="7" t="s">
        <v>26</v>
      </c>
      <c r="B47" s="7" t="s">
        <v>16</v>
      </c>
      <c r="C47" s="8">
        <v>1579</v>
      </c>
      <c r="D47" t="str">
        <f t="shared" si="0"/>
        <v>2013-40-44 år</v>
      </c>
    </row>
    <row r="48" spans="1:4" x14ac:dyDescent="0.25">
      <c r="A48" s="7" t="s">
        <v>26</v>
      </c>
      <c r="B48" s="7" t="s">
        <v>17</v>
      </c>
      <c r="C48" s="8">
        <v>1915</v>
      </c>
      <c r="D48" t="str">
        <f t="shared" si="0"/>
        <v>2013-45-49 år</v>
      </c>
    </row>
    <row r="49" spans="1:4" x14ac:dyDescent="0.25">
      <c r="A49" s="7" t="s">
        <v>26</v>
      </c>
      <c r="B49" s="7" t="s">
        <v>18</v>
      </c>
      <c r="C49" s="8">
        <v>1462</v>
      </c>
      <c r="D49" t="str">
        <f t="shared" si="0"/>
        <v>2013-50-54 år</v>
      </c>
    </row>
    <row r="50" spans="1:4" x14ac:dyDescent="0.25">
      <c r="A50" s="7" t="s">
        <v>26</v>
      </c>
      <c r="B50" s="7" t="s">
        <v>19</v>
      </c>
      <c r="C50" s="8">
        <v>1227</v>
      </c>
      <c r="D50" t="str">
        <f t="shared" si="0"/>
        <v>2013-55-59 år</v>
      </c>
    </row>
    <row r="51" spans="1:4" x14ac:dyDescent="0.25">
      <c r="A51" s="7" t="s">
        <v>26</v>
      </c>
      <c r="B51" s="7" t="s">
        <v>20</v>
      </c>
      <c r="C51" s="8">
        <v>667</v>
      </c>
      <c r="D51" t="str">
        <f t="shared" si="0"/>
        <v>2013-60-64 år</v>
      </c>
    </row>
    <row r="52" spans="1:4" x14ac:dyDescent="0.25">
      <c r="A52" s="7" t="s">
        <v>26</v>
      </c>
      <c r="B52" s="7" t="s">
        <v>43</v>
      </c>
      <c r="C52" s="8">
        <v>224</v>
      </c>
      <c r="D52" t="str">
        <f t="shared" si="0"/>
        <v>2013-65-69 år</v>
      </c>
    </row>
    <row r="53" spans="1:4" x14ac:dyDescent="0.25">
      <c r="A53" s="7" t="s">
        <v>27</v>
      </c>
      <c r="B53" s="7" t="s">
        <v>13</v>
      </c>
      <c r="C53" s="8">
        <v>2521</v>
      </c>
      <c r="D53" t="str">
        <f t="shared" si="0"/>
        <v>2014-25-29 år</v>
      </c>
    </row>
    <row r="54" spans="1:4" x14ac:dyDescent="0.25">
      <c r="A54" s="7" t="s">
        <v>27</v>
      </c>
      <c r="B54" s="7" t="s">
        <v>14</v>
      </c>
      <c r="C54" s="8">
        <v>2178</v>
      </c>
      <c r="D54" t="str">
        <f t="shared" si="0"/>
        <v>2014-30-34 år</v>
      </c>
    </row>
    <row r="55" spans="1:4" x14ac:dyDescent="0.25">
      <c r="A55" s="7" t="s">
        <v>27</v>
      </c>
      <c r="B55" s="7" t="s">
        <v>15</v>
      </c>
      <c r="C55" s="8">
        <v>2066</v>
      </c>
      <c r="D55" t="str">
        <f t="shared" si="0"/>
        <v>2014-35-39 år</v>
      </c>
    </row>
    <row r="56" spans="1:4" x14ac:dyDescent="0.25">
      <c r="A56" s="7" t="s">
        <v>27</v>
      </c>
      <c r="B56" s="7" t="s">
        <v>16</v>
      </c>
      <c r="C56" s="8">
        <v>1647</v>
      </c>
      <c r="D56" t="str">
        <f t="shared" si="0"/>
        <v>2014-40-44 år</v>
      </c>
    </row>
    <row r="57" spans="1:4" x14ac:dyDescent="0.25">
      <c r="A57" s="7" t="s">
        <v>27</v>
      </c>
      <c r="B57" s="7" t="s">
        <v>17</v>
      </c>
      <c r="C57" s="8">
        <v>1953</v>
      </c>
      <c r="D57" t="str">
        <f t="shared" si="0"/>
        <v>2014-45-49 år</v>
      </c>
    </row>
    <row r="58" spans="1:4" x14ac:dyDescent="0.25">
      <c r="A58" s="7" t="s">
        <v>27</v>
      </c>
      <c r="B58" s="7" t="s">
        <v>18</v>
      </c>
      <c r="C58" s="8">
        <v>1636</v>
      </c>
      <c r="D58" t="str">
        <f t="shared" si="0"/>
        <v>2014-50-54 år</v>
      </c>
    </row>
    <row r="59" spans="1:4" x14ac:dyDescent="0.25">
      <c r="A59" s="7" t="s">
        <v>27</v>
      </c>
      <c r="B59" s="7" t="s">
        <v>19</v>
      </c>
      <c r="C59" s="8">
        <v>1231</v>
      </c>
      <c r="D59" t="str">
        <f t="shared" si="0"/>
        <v>2014-55-59 år</v>
      </c>
    </row>
    <row r="60" spans="1:4" x14ac:dyDescent="0.25">
      <c r="A60" s="7" t="s">
        <v>27</v>
      </c>
      <c r="B60" s="7" t="s">
        <v>20</v>
      </c>
      <c r="C60" s="8">
        <v>706</v>
      </c>
      <c r="D60" t="str">
        <f t="shared" si="0"/>
        <v>2014-60-64 år</v>
      </c>
    </row>
    <row r="61" spans="1:4" x14ac:dyDescent="0.25">
      <c r="A61" s="7" t="s">
        <v>27</v>
      </c>
      <c r="B61" s="7" t="s">
        <v>43</v>
      </c>
      <c r="C61" s="8">
        <v>204</v>
      </c>
      <c r="D61" t="str">
        <f t="shared" si="0"/>
        <v>2014-65-69 år</v>
      </c>
    </row>
    <row r="62" spans="1:4" x14ac:dyDescent="0.25">
      <c r="A62" s="7" t="s">
        <v>28</v>
      </c>
      <c r="B62" s="7" t="s">
        <v>13</v>
      </c>
      <c r="C62" s="8">
        <v>2715</v>
      </c>
      <c r="D62" t="str">
        <f t="shared" si="0"/>
        <v>2015-25-29 år</v>
      </c>
    </row>
    <row r="63" spans="1:4" x14ac:dyDescent="0.25">
      <c r="A63" s="7" t="s">
        <v>28</v>
      </c>
      <c r="B63" s="7" t="s">
        <v>14</v>
      </c>
      <c r="C63" s="8">
        <v>2473</v>
      </c>
      <c r="D63" t="str">
        <f t="shared" si="0"/>
        <v>2015-30-34 år</v>
      </c>
    </row>
    <row r="64" spans="1:4" x14ac:dyDescent="0.25">
      <c r="A64" s="7" t="s">
        <v>28</v>
      </c>
      <c r="B64" s="7" t="s">
        <v>15</v>
      </c>
      <c r="C64" s="8">
        <v>2378</v>
      </c>
      <c r="D64" t="str">
        <f t="shared" si="0"/>
        <v>2015-35-39 år</v>
      </c>
    </row>
    <row r="65" spans="1:4" x14ac:dyDescent="0.25">
      <c r="A65" s="7" t="s">
        <v>28</v>
      </c>
      <c r="B65" s="7" t="s">
        <v>16</v>
      </c>
      <c r="C65" s="8">
        <v>1902</v>
      </c>
      <c r="D65" t="str">
        <f t="shared" si="0"/>
        <v>2015-40-44 år</v>
      </c>
    </row>
    <row r="66" spans="1:4" x14ac:dyDescent="0.25">
      <c r="A66" s="7" t="s">
        <v>28</v>
      </c>
      <c r="B66" s="7" t="s">
        <v>17</v>
      </c>
      <c r="C66" s="8">
        <v>2085</v>
      </c>
      <c r="D66" t="str">
        <f t="shared" si="0"/>
        <v>2015-45-49 år</v>
      </c>
    </row>
    <row r="67" spans="1:4" x14ac:dyDescent="0.25">
      <c r="A67" s="7" t="s">
        <v>28</v>
      </c>
      <c r="B67" s="7" t="s">
        <v>18</v>
      </c>
      <c r="C67" s="8">
        <v>1717</v>
      </c>
      <c r="D67" t="str">
        <f t="shared" si="0"/>
        <v>2015-50-54 år</v>
      </c>
    </row>
    <row r="68" spans="1:4" x14ac:dyDescent="0.25">
      <c r="A68" s="7" t="s">
        <v>28</v>
      </c>
      <c r="B68" s="7" t="s">
        <v>19</v>
      </c>
      <c r="C68" s="8">
        <v>1226</v>
      </c>
      <c r="D68" t="str">
        <f t="shared" si="0"/>
        <v>2015-55-59 år</v>
      </c>
    </row>
    <row r="69" spans="1:4" x14ac:dyDescent="0.25">
      <c r="A69" s="7" t="s">
        <v>28</v>
      </c>
      <c r="B69" s="7" t="s">
        <v>20</v>
      </c>
      <c r="C69" s="8">
        <v>583</v>
      </c>
      <c r="D69" t="str">
        <f t="shared" si="0"/>
        <v>2015-60-64 år</v>
      </c>
    </row>
    <row r="70" spans="1:4" x14ac:dyDescent="0.25">
      <c r="A70" s="7" t="s">
        <v>28</v>
      </c>
      <c r="B70" s="7" t="s">
        <v>43</v>
      </c>
      <c r="C70" s="8">
        <v>211</v>
      </c>
      <c r="D70" t="str">
        <f t="shared" si="0"/>
        <v>2015-65-69 år</v>
      </c>
    </row>
    <row r="71" spans="1:4" x14ac:dyDescent="0.25">
      <c r="A71" s="7" t="s">
        <v>29</v>
      </c>
      <c r="B71" s="7" t="s">
        <v>13</v>
      </c>
      <c r="C71" s="8">
        <v>3005</v>
      </c>
      <c r="D71" t="str">
        <f t="shared" si="0"/>
        <v>2016-25-29 år</v>
      </c>
    </row>
    <row r="72" spans="1:4" x14ac:dyDescent="0.25">
      <c r="A72" s="7" t="s">
        <v>29</v>
      </c>
      <c r="B72" s="7" t="s">
        <v>14</v>
      </c>
      <c r="C72" s="8">
        <v>2584</v>
      </c>
      <c r="D72" t="str">
        <f t="shared" ref="D72:D135" si="1">A72&amp;"-"&amp;B72</f>
        <v>2016-30-34 år</v>
      </c>
    </row>
    <row r="73" spans="1:4" x14ac:dyDescent="0.25">
      <c r="A73" s="7" t="s">
        <v>29</v>
      </c>
      <c r="B73" s="7" t="s">
        <v>15</v>
      </c>
      <c r="C73" s="8">
        <v>2311</v>
      </c>
      <c r="D73" t="str">
        <f t="shared" si="1"/>
        <v>2016-35-39 år</v>
      </c>
    </row>
    <row r="74" spans="1:4" x14ac:dyDescent="0.25">
      <c r="A74" s="7" t="s">
        <v>29</v>
      </c>
      <c r="B74" s="7" t="s">
        <v>16</v>
      </c>
      <c r="C74" s="8">
        <v>2111</v>
      </c>
      <c r="D74" t="str">
        <f t="shared" si="1"/>
        <v>2016-40-44 år</v>
      </c>
    </row>
    <row r="75" spans="1:4" x14ac:dyDescent="0.25">
      <c r="A75" s="7" t="s">
        <v>29</v>
      </c>
      <c r="B75" s="7" t="s">
        <v>17</v>
      </c>
      <c r="C75" s="8">
        <v>2000</v>
      </c>
      <c r="D75" t="str">
        <f t="shared" si="1"/>
        <v>2016-45-49 år</v>
      </c>
    </row>
    <row r="76" spans="1:4" x14ac:dyDescent="0.25">
      <c r="A76" s="7" t="s">
        <v>29</v>
      </c>
      <c r="B76" s="7" t="s">
        <v>18</v>
      </c>
      <c r="C76" s="8">
        <v>1808</v>
      </c>
      <c r="D76" t="str">
        <f t="shared" si="1"/>
        <v>2016-50-54 år</v>
      </c>
    </row>
    <row r="77" spans="1:4" x14ac:dyDescent="0.25">
      <c r="A77" s="7" t="s">
        <v>29</v>
      </c>
      <c r="B77" s="7" t="s">
        <v>19</v>
      </c>
      <c r="C77" s="8">
        <v>1301</v>
      </c>
      <c r="D77" t="str">
        <f t="shared" si="1"/>
        <v>2016-55-59 år</v>
      </c>
    </row>
    <row r="78" spans="1:4" x14ac:dyDescent="0.25">
      <c r="A78" s="7" t="s">
        <v>29</v>
      </c>
      <c r="B78" s="7" t="s">
        <v>20</v>
      </c>
      <c r="C78" s="8">
        <v>708</v>
      </c>
      <c r="D78" t="str">
        <f t="shared" si="1"/>
        <v>2016-60-64 år</v>
      </c>
    </row>
    <row r="79" spans="1:4" x14ac:dyDescent="0.25">
      <c r="A79" s="7" t="s">
        <v>29</v>
      </c>
      <c r="B79" s="7" t="s">
        <v>43</v>
      </c>
      <c r="C79" s="8">
        <v>183</v>
      </c>
      <c r="D79" t="str">
        <f t="shared" si="1"/>
        <v>2016-65-69 år</v>
      </c>
    </row>
    <row r="80" spans="1:4" x14ac:dyDescent="0.25">
      <c r="A80" s="7" t="s">
        <v>30</v>
      </c>
      <c r="B80" s="7" t="s">
        <v>13</v>
      </c>
      <c r="C80" s="8">
        <v>3106</v>
      </c>
      <c r="D80" t="str">
        <f t="shared" si="1"/>
        <v>2017-25-29 år</v>
      </c>
    </row>
    <row r="81" spans="1:4" x14ac:dyDescent="0.25">
      <c r="A81" s="7" t="s">
        <v>30</v>
      </c>
      <c r="B81" s="7" t="s">
        <v>14</v>
      </c>
      <c r="C81" s="8">
        <v>2692</v>
      </c>
      <c r="D81" t="str">
        <f t="shared" si="1"/>
        <v>2017-30-34 år</v>
      </c>
    </row>
    <row r="82" spans="1:4" x14ac:dyDescent="0.25">
      <c r="A82" s="7" t="s">
        <v>30</v>
      </c>
      <c r="B82" s="7" t="s">
        <v>15</v>
      </c>
      <c r="C82" s="8">
        <v>2452</v>
      </c>
      <c r="D82" t="str">
        <f t="shared" si="1"/>
        <v>2017-35-39 år</v>
      </c>
    </row>
    <row r="83" spans="1:4" x14ac:dyDescent="0.25">
      <c r="A83" s="7" t="s">
        <v>30</v>
      </c>
      <c r="B83" s="7" t="s">
        <v>16</v>
      </c>
      <c r="C83" s="8">
        <v>2105</v>
      </c>
      <c r="D83" t="str">
        <f t="shared" si="1"/>
        <v>2017-40-44 år</v>
      </c>
    </row>
    <row r="84" spans="1:4" x14ac:dyDescent="0.25">
      <c r="A84" s="7" t="s">
        <v>30</v>
      </c>
      <c r="B84" s="7" t="s">
        <v>17</v>
      </c>
      <c r="C84" s="8">
        <v>1892</v>
      </c>
      <c r="D84" t="str">
        <f t="shared" si="1"/>
        <v>2017-45-49 år</v>
      </c>
    </row>
    <row r="85" spans="1:4" x14ac:dyDescent="0.25">
      <c r="A85" s="7" t="s">
        <v>30</v>
      </c>
      <c r="B85" s="7" t="s">
        <v>18</v>
      </c>
      <c r="C85" s="8">
        <v>2042</v>
      </c>
      <c r="D85" t="str">
        <f t="shared" si="1"/>
        <v>2017-50-54 år</v>
      </c>
    </row>
    <row r="86" spans="1:4" x14ac:dyDescent="0.25">
      <c r="A86" s="7" t="s">
        <v>30</v>
      </c>
      <c r="B86" s="7" t="s">
        <v>19</v>
      </c>
      <c r="C86" s="8">
        <v>1410</v>
      </c>
      <c r="D86" t="str">
        <f t="shared" si="1"/>
        <v>2017-55-59 år</v>
      </c>
    </row>
    <row r="87" spans="1:4" x14ac:dyDescent="0.25">
      <c r="A87" s="7" t="s">
        <v>30</v>
      </c>
      <c r="B87" s="7" t="s">
        <v>20</v>
      </c>
      <c r="C87" s="8">
        <v>757</v>
      </c>
      <c r="D87" t="str">
        <f t="shared" si="1"/>
        <v>2017-60-64 år</v>
      </c>
    </row>
    <row r="88" spans="1:4" x14ac:dyDescent="0.25">
      <c r="A88" s="7" t="s">
        <v>30</v>
      </c>
      <c r="B88" s="7" t="s">
        <v>43</v>
      </c>
      <c r="C88" s="8">
        <v>194</v>
      </c>
      <c r="D88" t="str">
        <f t="shared" si="1"/>
        <v>2017-65-69 år</v>
      </c>
    </row>
    <row r="89" spans="1:4" x14ac:dyDescent="0.25">
      <c r="A89" s="7" t="s">
        <v>31</v>
      </c>
      <c r="B89" s="7" t="s">
        <v>13</v>
      </c>
      <c r="C89" s="8">
        <v>3149</v>
      </c>
      <c r="D89" t="str">
        <f t="shared" si="1"/>
        <v>2018-25-29 år</v>
      </c>
    </row>
    <row r="90" spans="1:4" x14ac:dyDescent="0.25">
      <c r="A90" s="7" t="s">
        <v>31</v>
      </c>
      <c r="B90" s="7" t="s">
        <v>14</v>
      </c>
      <c r="C90" s="8">
        <v>2658</v>
      </c>
      <c r="D90" t="str">
        <f t="shared" si="1"/>
        <v>2018-30-34 år</v>
      </c>
    </row>
    <row r="91" spans="1:4" x14ac:dyDescent="0.25">
      <c r="A91" s="7" t="s">
        <v>31</v>
      </c>
      <c r="B91" s="7" t="s">
        <v>15</v>
      </c>
      <c r="C91" s="8">
        <v>2333</v>
      </c>
      <c r="D91" t="str">
        <f t="shared" si="1"/>
        <v>2018-35-39 år</v>
      </c>
    </row>
    <row r="92" spans="1:4" x14ac:dyDescent="0.25">
      <c r="A92" s="7" t="s">
        <v>31</v>
      </c>
      <c r="B92" s="7" t="s">
        <v>16</v>
      </c>
      <c r="C92" s="8">
        <v>2068</v>
      </c>
      <c r="D92" t="str">
        <f t="shared" si="1"/>
        <v>2018-40-44 år</v>
      </c>
    </row>
    <row r="93" spans="1:4" x14ac:dyDescent="0.25">
      <c r="A93" s="7" t="s">
        <v>31</v>
      </c>
      <c r="B93" s="7" t="s">
        <v>17</v>
      </c>
      <c r="C93" s="8">
        <v>1770</v>
      </c>
      <c r="D93" t="str">
        <f t="shared" si="1"/>
        <v>2018-45-49 år</v>
      </c>
    </row>
    <row r="94" spans="1:4" x14ac:dyDescent="0.25">
      <c r="A94" s="7" t="s">
        <v>31</v>
      </c>
      <c r="B94" s="7" t="s">
        <v>18</v>
      </c>
      <c r="C94" s="8">
        <v>2055</v>
      </c>
      <c r="D94" t="str">
        <f t="shared" si="1"/>
        <v>2018-50-54 år</v>
      </c>
    </row>
    <row r="95" spans="1:4" x14ac:dyDescent="0.25">
      <c r="A95" s="7" t="s">
        <v>31</v>
      </c>
      <c r="B95" s="7" t="s">
        <v>19</v>
      </c>
      <c r="C95" s="8">
        <v>1415</v>
      </c>
      <c r="D95" t="str">
        <f t="shared" si="1"/>
        <v>2018-55-59 år</v>
      </c>
    </row>
    <row r="96" spans="1:4" x14ac:dyDescent="0.25">
      <c r="A96" s="7" t="s">
        <v>31</v>
      </c>
      <c r="B96" s="7" t="s">
        <v>20</v>
      </c>
      <c r="C96" s="8">
        <v>681</v>
      </c>
      <c r="D96" t="str">
        <f t="shared" si="1"/>
        <v>2018-60-64 år</v>
      </c>
    </row>
    <row r="97" spans="1:4" x14ac:dyDescent="0.25">
      <c r="A97" s="7" t="s">
        <v>31</v>
      </c>
      <c r="B97" s="7" t="s">
        <v>43</v>
      </c>
      <c r="C97" s="8">
        <v>174</v>
      </c>
      <c r="D97" t="str">
        <f t="shared" si="1"/>
        <v>2018-65-69 år</v>
      </c>
    </row>
    <row r="98" spans="1:4" x14ac:dyDescent="0.25">
      <c r="A98" s="7" t="s">
        <v>32</v>
      </c>
      <c r="B98" s="7" t="s">
        <v>13</v>
      </c>
      <c r="C98" s="8">
        <v>3477</v>
      </c>
      <c r="D98" t="str">
        <f t="shared" si="1"/>
        <v>2019-25-29 år</v>
      </c>
    </row>
    <row r="99" spans="1:4" x14ac:dyDescent="0.25">
      <c r="A99" s="7" t="s">
        <v>32</v>
      </c>
      <c r="B99" s="7" t="s">
        <v>14</v>
      </c>
      <c r="C99" s="8">
        <v>2839</v>
      </c>
      <c r="D99" t="str">
        <f t="shared" si="1"/>
        <v>2019-30-34 år</v>
      </c>
    </row>
    <row r="100" spans="1:4" x14ac:dyDescent="0.25">
      <c r="A100" s="7" t="s">
        <v>32</v>
      </c>
      <c r="B100" s="7" t="s">
        <v>15</v>
      </c>
      <c r="C100" s="8">
        <v>2298</v>
      </c>
      <c r="D100" t="str">
        <f t="shared" si="1"/>
        <v>2019-35-39 år</v>
      </c>
    </row>
    <row r="101" spans="1:4" x14ac:dyDescent="0.25">
      <c r="A101" s="7" t="s">
        <v>32</v>
      </c>
      <c r="B101" s="7" t="s">
        <v>16</v>
      </c>
      <c r="C101" s="8">
        <v>2100</v>
      </c>
      <c r="D101" t="str">
        <f t="shared" si="1"/>
        <v>2019-40-44 år</v>
      </c>
    </row>
    <row r="102" spans="1:4" x14ac:dyDescent="0.25">
      <c r="A102" s="7" t="s">
        <v>32</v>
      </c>
      <c r="B102" s="7" t="s">
        <v>17</v>
      </c>
      <c r="C102" s="8">
        <v>1802</v>
      </c>
      <c r="D102" t="str">
        <f t="shared" si="1"/>
        <v>2019-45-49 år</v>
      </c>
    </row>
    <row r="103" spans="1:4" x14ac:dyDescent="0.25">
      <c r="A103" s="7" t="s">
        <v>32</v>
      </c>
      <c r="B103" s="7" t="s">
        <v>18</v>
      </c>
      <c r="C103" s="8">
        <v>2054</v>
      </c>
      <c r="D103" t="str">
        <f t="shared" si="1"/>
        <v>2019-50-54 år</v>
      </c>
    </row>
    <row r="104" spans="1:4" x14ac:dyDescent="0.25">
      <c r="A104" s="7" t="s">
        <v>32</v>
      </c>
      <c r="B104" s="7" t="s">
        <v>19</v>
      </c>
      <c r="C104" s="8">
        <v>1383</v>
      </c>
      <c r="D104" t="str">
        <f t="shared" si="1"/>
        <v>2019-55-59 år</v>
      </c>
    </row>
    <row r="105" spans="1:4" x14ac:dyDescent="0.25">
      <c r="A105" s="7" t="s">
        <v>32</v>
      </c>
      <c r="B105" s="7" t="s">
        <v>20</v>
      </c>
      <c r="C105" s="8">
        <v>791</v>
      </c>
      <c r="D105" t="str">
        <f t="shared" si="1"/>
        <v>2019-60-64 år</v>
      </c>
    </row>
    <row r="106" spans="1:4" x14ac:dyDescent="0.25">
      <c r="A106" s="7" t="s">
        <v>32</v>
      </c>
      <c r="B106" s="7" t="s">
        <v>43</v>
      </c>
      <c r="C106" s="8">
        <v>188</v>
      </c>
      <c r="D106" t="str">
        <f t="shared" si="1"/>
        <v>2019-65-69 år</v>
      </c>
    </row>
    <row r="107" spans="1:4" x14ac:dyDescent="0.25">
      <c r="A107" s="7" t="s">
        <v>33</v>
      </c>
      <c r="B107" s="7" t="s">
        <v>13</v>
      </c>
      <c r="C107" s="8">
        <v>3028</v>
      </c>
      <c r="D107" t="str">
        <f t="shared" si="1"/>
        <v>2020-25-29 år</v>
      </c>
    </row>
    <row r="108" spans="1:4" x14ac:dyDescent="0.25">
      <c r="A108" s="7" t="s">
        <v>33</v>
      </c>
      <c r="B108" s="7" t="s">
        <v>14</v>
      </c>
      <c r="C108" s="8">
        <v>2339</v>
      </c>
      <c r="D108" t="str">
        <f t="shared" si="1"/>
        <v>2020-30-34 år</v>
      </c>
    </row>
    <row r="109" spans="1:4" x14ac:dyDescent="0.25">
      <c r="A109" s="7" t="s">
        <v>33</v>
      </c>
      <c r="B109" s="7" t="s">
        <v>15</v>
      </c>
      <c r="C109" s="8">
        <v>1929</v>
      </c>
      <c r="D109" t="str">
        <f t="shared" si="1"/>
        <v>2020-35-39 år</v>
      </c>
    </row>
    <row r="110" spans="1:4" x14ac:dyDescent="0.25">
      <c r="A110" s="7" t="s">
        <v>33</v>
      </c>
      <c r="B110" s="7" t="s">
        <v>16</v>
      </c>
      <c r="C110" s="8">
        <v>1758</v>
      </c>
      <c r="D110" t="str">
        <f t="shared" si="1"/>
        <v>2020-40-44 år</v>
      </c>
    </row>
    <row r="111" spans="1:4" x14ac:dyDescent="0.25">
      <c r="A111" s="7" t="s">
        <v>33</v>
      </c>
      <c r="B111" s="7" t="s">
        <v>17</v>
      </c>
      <c r="C111" s="8">
        <v>1654</v>
      </c>
      <c r="D111" t="str">
        <f t="shared" si="1"/>
        <v>2020-45-49 år</v>
      </c>
    </row>
    <row r="112" spans="1:4" x14ac:dyDescent="0.25">
      <c r="A112" s="7" t="s">
        <v>33</v>
      </c>
      <c r="B112" s="7" t="s">
        <v>18</v>
      </c>
      <c r="C112" s="8">
        <v>1616</v>
      </c>
      <c r="D112" t="str">
        <f t="shared" si="1"/>
        <v>2020-50-54 år</v>
      </c>
    </row>
    <row r="113" spans="1:4" x14ac:dyDescent="0.25">
      <c r="A113" s="7" t="s">
        <v>33</v>
      </c>
      <c r="B113" s="7" t="s">
        <v>19</v>
      </c>
      <c r="C113" s="8">
        <v>1279</v>
      </c>
      <c r="D113" t="str">
        <f t="shared" si="1"/>
        <v>2020-55-59 år</v>
      </c>
    </row>
    <row r="114" spans="1:4" x14ac:dyDescent="0.25">
      <c r="A114" s="7" t="s">
        <v>33</v>
      </c>
      <c r="B114" s="7" t="s">
        <v>20</v>
      </c>
      <c r="C114" s="8">
        <v>623</v>
      </c>
      <c r="D114" t="str">
        <f t="shared" si="1"/>
        <v>2020-60-64 år</v>
      </c>
    </row>
    <row r="115" spans="1:4" x14ac:dyDescent="0.25">
      <c r="A115" s="7" t="s">
        <v>33</v>
      </c>
      <c r="B115" s="7" t="s">
        <v>43</v>
      </c>
      <c r="C115" s="8">
        <v>201</v>
      </c>
      <c r="D115" t="str">
        <f t="shared" si="1"/>
        <v>2020-65-69 år</v>
      </c>
    </row>
    <row r="116" spans="1:4" x14ac:dyDescent="0.25">
      <c r="A116" s="7" t="s">
        <v>34</v>
      </c>
      <c r="B116" s="7" t="s">
        <v>13</v>
      </c>
      <c r="C116" s="8">
        <v>3854</v>
      </c>
      <c r="D116" t="str">
        <f t="shared" si="1"/>
        <v>2021-25-29 år</v>
      </c>
    </row>
    <row r="117" spans="1:4" x14ac:dyDescent="0.25">
      <c r="A117" s="7" t="s">
        <v>34</v>
      </c>
      <c r="B117" s="7" t="s">
        <v>14</v>
      </c>
      <c r="C117" s="8">
        <v>3059</v>
      </c>
      <c r="D117" t="str">
        <f t="shared" si="1"/>
        <v>2021-30-34 år</v>
      </c>
    </row>
    <row r="118" spans="1:4" x14ac:dyDescent="0.25">
      <c r="A118" s="7" t="s">
        <v>34</v>
      </c>
      <c r="B118" s="7" t="s">
        <v>15</v>
      </c>
      <c r="C118" s="8">
        <v>2330</v>
      </c>
      <c r="D118" t="str">
        <f t="shared" si="1"/>
        <v>2021-35-39 år</v>
      </c>
    </row>
    <row r="119" spans="1:4" x14ac:dyDescent="0.25">
      <c r="A119" s="7" t="s">
        <v>34</v>
      </c>
      <c r="B119" s="7" t="s">
        <v>16</v>
      </c>
      <c r="C119" s="8">
        <v>2220</v>
      </c>
      <c r="D119" t="str">
        <f t="shared" si="1"/>
        <v>2021-40-44 år</v>
      </c>
    </row>
    <row r="120" spans="1:4" x14ac:dyDescent="0.25">
      <c r="A120" s="7" t="s">
        <v>34</v>
      </c>
      <c r="B120" s="7" t="s">
        <v>17</v>
      </c>
      <c r="C120" s="8">
        <v>1980</v>
      </c>
      <c r="D120" t="str">
        <f t="shared" si="1"/>
        <v>2021-45-49 år</v>
      </c>
    </row>
    <row r="121" spans="1:4" x14ac:dyDescent="0.25">
      <c r="A121" s="7" t="s">
        <v>34</v>
      </c>
      <c r="B121" s="7" t="s">
        <v>18</v>
      </c>
      <c r="C121" s="8">
        <v>1810</v>
      </c>
      <c r="D121" t="str">
        <f t="shared" si="1"/>
        <v>2021-50-54 år</v>
      </c>
    </row>
    <row r="122" spans="1:4" x14ac:dyDescent="0.25">
      <c r="A122" s="7" t="s">
        <v>34</v>
      </c>
      <c r="B122" s="7" t="s">
        <v>19</v>
      </c>
      <c r="C122" s="8">
        <v>1631</v>
      </c>
      <c r="D122" t="str">
        <f t="shared" si="1"/>
        <v>2021-55-59 år</v>
      </c>
    </row>
    <row r="123" spans="1:4" x14ac:dyDescent="0.25">
      <c r="A123" s="7" t="s">
        <v>34</v>
      </c>
      <c r="B123" s="7" t="s">
        <v>20</v>
      </c>
      <c r="C123" s="8">
        <v>962</v>
      </c>
      <c r="D123" t="str">
        <f t="shared" si="1"/>
        <v>2021-60-64 år</v>
      </c>
    </row>
    <row r="124" spans="1:4" x14ac:dyDescent="0.25">
      <c r="A124" s="7" t="s">
        <v>34</v>
      </c>
      <c r="B124" s="7" t="s">
        <v>43</v>
      </c>
      <c r="C124" s="8">
        <v>216</v>
      </c>
      <c r="D124" t="str">
        <f t="shared" si="1"/>
        <v>2021-65-69 år</v>
      </c>
    </row>
    <row r="125" spans="1:4" x14ac:dyDescent="0.25">
      <c r="A125" s="7" t="s">
        <v>35</v>
      </c>
      <c r="B125" s="7" t="s">
        <v>13</v>
      </c>
      <c r="C125" s="8">
        <v>3870</v>
      </c>
      <c r="D125" t="str">
        <f t="shared" si="1"/>
        <v>2022-25-29 år</v>
      </c>
    </row>
    <row r="126" spans="1:4" x14ac:dyDescent="0.25">
      <c r="A126" s="7" t="s">
        <v>35</v>
      </c>
      <c r="B126" s="7" t="s">
        <v>14</v>
      </c>
      <c r="C126" s="8">
        <v>3004</v>
      </c>
      <c r="D126" t="str">
        <f t="shared" si="1"/>
        <v>2022-30-34 år</v>
      </c>
    </row>
    <row r="127" spans="1:4" x14ac:dyDescent="0.25">
      <c r="A127" s="7" t="s">
        <v>35</v>
      </c>
      <c r="B127" s="7" t="s">
        <v>15</v>
      </c>
      <c r="C127" s="8">
        <v>2511</v>
      </c>
      <c r="D127" t="str">
        <f t="shared" si="1"/>
        <v>2022-35-39 år</v>
      </c>
    </row>
    <row r="128" spans="1:4" x14ac:dyDescent="0.25">
      <c r="A128" s="7" t="s">
        <v>35</v>
      </c>
      <c r="B128" s="7" t="s">
        <v>16</v>
      </c>
      <c r="C128" s="8">
        <v>2191</v>
      </c>
      <c r="D128" t="str">
        <f t="shared" si="1"/>
        <v>2022-40-44 år</v>
      </c>
    </row>
    <row r="129" spans="1:4" x14ac:dyDescent="0.25">
      <c r="A129" s="7" t="s">
        <v>35</v>
      </c>
      <c r="B129" s="7" t="s">
        <v>17</v>
      </c>
      <c r="C129" s="8">
        <v>2044</v>
      </c>
      <c r="D129" t="str">
        <f t="shared" si="1"/>
        <v>2022-45-49 år</v>
      </c>
    </row>
    <row r="130" spans="1:4" x14ac:dyDescent="0.25">
      <c r="A130" s="7" t="s">
        <v>35</v>
      </c>
      <c r="B130" s="7" t="s">
        <v>18</v>
      </c>
      <c r="C130" s="8">
        <v>1683</v>
      </c>
      <c r="D130" t="str">
        <f t="shared" si="1"/>
        <v>2022-50-54 år</v>
      </c>
    </row>
    <row r="131" spans="1:4" x14ac:dyDescent="0.25">
      <c r="A131" s="7" t="s">
        <v>35</v>
      </c>
      <c r="B131" s="7" t="s">
        <v>19</v>
      </c>
      <c r="C131" s="8">
        <v>1578</v>
      </c>
      <c r="D131" t="str">
        <f t="shared" si="1"/>
        <v>2022-55-59 år</v>
      </c>
    </row>
    <row r="132" spans="1:4" x14ac:dyDescent="0.25">
      <c r="A132" s="7" t="s">
        <v>35</v>
      </c>
      <c r="B132" s="7" t="s">
        <v>20</v>
      </c>
      <c r="C132" s="8">
        <v>880</v>
      </c>
      <c r="D132" t="str">
        <f t="shared" si="1"/>
        <v>2022-60-64 år</v>
      </c>
    </row>
    <row r="133" spans="1:4" x14ac:dyDescent="0.25">
      <c r="A133" s="7" t="s">
        <v>35</v>
      </c>
      <c r="B133" s="7" t="s">
        <v>43</v>
      </c>
      <c r="C133" s="8">
        <v>265</v>
      </c>
      <c r="D133" t="str">
        <f t="shared" si="1"/>
        <v>2022-65-69 år</v>
      </c>
    </row>
    <row r="134" spans="1:4" x14ac:dyDescent="0.25">
      <c r="A134" s="7" t="s">
        <v>36</v>
      </c>
      <c r="B134" s="7" t="s">
        <v>13</v>
      </c>
      <c r="C134" s="8">
        <v>3662</v>
      </c>
      <c r="D134" t="str">
        <f t="shared" si="1"/>
        <v>2023-25-29 år</v>
      </c>
    </row>
    <row r="135" spans="1:4" x14ac:dyDescent="0.25">
      <c r="A135" s="7" t="s">
        <v>36</v>
      </c>
      <c r="B135" s="7" t="s">
        <v>14</v>
      </c>
      <c r="C135" s="8">
        <v>2878</v>
      </c>
      <c r="D135" t="str">
        <f t="shared" si="1"/>
        <v>2023-30-34 år</v>
      </c>
    </row>
    <row r="136" spans="1:4" x14ac:dyDescent="0.25">
      <c r="A136" s="7" t="s">
        <v>36</v>
      </c>
      <c r="B136" s="7" t="s">
        <v>15</v>
      </c>
      <c r="C136" s="8">
        <v>2160</v>
      </c>
      <c r="D136" t="str">
        <f t="shared" ref="D136:D141" si="2">A136&amp;"-"&amp;B136</f>
        <v>2023-35-39 år</v>
      </c>
    </row>
    <row r="137" spans="1:4" x14ac:dyDescent="0.25">
      <c r="A137" s="7" t="s">
        <v>36</v>
      </c>
      <c r="B137" s="7" t="s">
        <v>16</v>
      </c>
      <c r="C137" s="8">
        <v>1983</v>
      </c>
      <c r="D137" t="str">
        <f t="shared" si="2"/>
        <v>2023-40-44 år</v>
      </c>
    </row>
    <row r="138" spans="1:4" x14ac:dyDescent="0.25">
      <c r="A138" s="7" t="s">
        <v>36</v>
      </c>
      <c r="B138" s="7" t="s">
        <v>17</v>
      </c>
      <c r="C138" s="8">
        <v>1798</v>
      </c>
      <c r="D138" t="str">
        <f t="shared" si="2"/>
        <v>2023-45-49 år</v>
      </c>
    </row>
    <row r="139" spans="1:4" x14ac:dyDescent="0.25">
      <c r="A139" s="7" t="s">
        <v>36</v>
      </c>
      <c r="B139" s="7" t="s">
        <v>18</v>
      </c>
      <c r="C139" s="8">
        <v>1564</v>
      </c>
      <c r="D139" t="str">
        <f t="shared" si="2"/>
        <v>2023-50-54 år</v>
      </c>
    </row>
    <row r="140" spans="1:4" x14ac:dyDescent="0.25">
      <c r="A140" s="7" t="s">
        <v>36</v>
      </c>
      <c r="B140" s="7" t="s">
        <v>19</v>
      </c>
      <c r="C140" s="8">
        <v>1583</v>
      </c>
      <c r="D140" t="str">
        <f t="shared" si="2"/>
        <v>2023-55-59 år</v>
      </c>
    </row>
    <row r="141" spans="1:4" x14ac:dyDescent="0.25">
      <c r="A141" s="7" t="s">
        <v>36</v>
      </c>
      <c r="B141" s="7" t="s">
        <v>20</v>
      </c>
      <c r="C141" s="8">
        <v>896</v>
      </c>
      <c r="D141" t="str">
        <f t="shared" si="2"/>
        <v>2023-60-64 år</v>
      </c>
    </row>
    <row r="142" spans="1:4" ht="15.75" thickBot="1" x14ac:dyDescent="0.3">
      <c r="A142" s="7" t="s">
        <v>36</v>
      </c>
      <c r="B142" s="7" t="s">
        <v>43</v>
      </c>
      <c r="C142" s="8">
        <v>295</v>
      </c>
      <c r="D142" t="str">
        <f t="shared" ref="D142" si="3">A142&amp;"-"&amp;B142</f>
        <v>2023-65-69 år</v>
      </c>
    </row>
    <row r="143" spans="1:4" ht="15.75" thickTop="1" x14ac:dyDescent="0.25">
      <c r="A143" s="9"/>
      <c r="B143" s="9"/>
      <c r="C143" s="9"/>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5546875" defaultRowHeight="15" x14ac:dyDescent="0.25"/>
  <cols>
    <col min="2" max="2" width="13" customWidth="1"/>
    <col min="3" max="3" width="56" customWidth="1"/>
  </cols>
  <sheetData>
    <row r="1" spans="1:4" ht="24" thickBot="1" x14ac:dyDescent="0.4">
      <c r="A1" s="5" t="s">
        <v>6</v>
      </c>
      <c r="B1" s="6"/>
      <c r="C1" s="6"/>
    </row>
    <row r="2" spans="1:4" ht="15.75" thickTop="1" x14ac:dyDescent="0.25">
      <c r="C2" s="7" t="s">
        <v>7</v>
      </c>
    </row>
    <row r="3" spans="1:4" x14ac:dyDescent="0.25">
      <c r="C3" s="7" t="s">
        <v>8</v>
      </c>
    </row>
    <row r="4" spans="1:4" x14ac:dyDescent="0.25">
      <c r="C4" s="7" t="s">
        <v>9</v>
      </c>
    </row>
    <row r="5" spans="1:4" x14ac:dyDescent="0.25">
      <c r="C5" s="7" t="s">
        <v>10</v>
      </c>
    </row>
    <row r="6" spans="1:4" x14ac:dyDescent="0.25">
      <c r="C6" s="7" t="s">
        <v>11</v>
      </c>
    </row>
    <row r="7" spans="1:4" x14ac:dyDescent="0.25">
      <c r="A7" s="7" t="s">
        <v>12</v>
      </c>
      <c r="B7" s="7" t="s">
        <v>13</v>
      </c>
      <c r="C7" s="8">
        <v>6876</v>
      </c>
      <c r="D7" t="str">
        <f t="shared" ref="D7:D70" si="0">A7&amp;"-"&amp;B7</f>
        <v>2008-25-29 år</v>
      </c>
    </row>
    <row r="8" spans="1:4" x14ac:dyDescent="0.25">
      <c r="A8" s="7" t="s">
        <v>12</v>
      </c>
      <c r="B8" s="7" t="s">
        <v>14</v>
      </c>
      <c r="C8" s="8">
        <v>8541</v>
      </c>
      <c r="D8" t="str">
        <f t="shared" si="0"/>
        <v>2008-30-34 år</v>
      </c>
    </row>
    <row r="9" spans="1:4" x14ac:dyDescent="0.25">
      <c r="A9" s="7" t="s">
        <v>12</v>
      </c>
      <c r="B9" s="7" t="s">
        <v>15</v>
      </c>
      <c r="C9" s="8">
        <v>8222</v>
      </c>
      <c r="D9" t="str">
        <f t="shared" si="0"/>
        <v>2008-35-39 år</v>
      </c>
    </row>
    <row r="10" spans="1:4" x14ac:dyDescent="0.25">
      <c r="A10" s="7" t="s">
        <v>12</v>
      </c>
      <c r="B10" s="7" t="s">
        <v>16</v>
      </c>
      <c r="C10" s="8">
        <v>11172</v>
      </c>
      <c r="D10" t="str">
        <f t="shared" si="0"/>
        <v>2008-40-44 år</v>
      </c>
    </row>
    <row r="11" spans="1:4" x14ac:dyDescent="0.25">
      <c r="A11" s="7" t="s">
        <v>12</v>
      </c>
      <c r="B11" s="7" t="s">
        <v>17</v>
      </c>
      <c r="C11" s="8">
        <v>9399</v>
      </c>
      <c r="D11" t="str">
        <f t="shared" si="0"/>
        <v>2008-45-49 år</v>
      </c>
    </row>
    <row r="12" spans="1:4" x14ac:dyDescent="0.25">
      <c r="A12" s="7" t="s">
        <v>12</v>
      </c>
      <c r="B12" s="7" t="s">
        <v>18</v>
      </c>
      <c r="C12" s="8">
        <v>8459</v>
      </c>
      <c r="D12" t="str">
        <f t="shared" si="0"/>
        <v>2008-50-54 år</v>
      </c>
    </row>
    <row r="13" spans="1:4" x14ac:dyDescent="0.25">
      <c r="A13" s="7" t="s">
        <v>12</v>
      </c>
      <c r="B13" s="7" t="s">
        <v>19</v>
      </c>
      <c r="C13" s="8">
        <v>7916</v>
      </c>
      <c r="D13" t="str">
        <f t="shared" si="0"/>
        <v>2008-55-59 år</v>
      </c>
    </row>
    <row r="14" spans="1:4" x14ac:dyDescent="0.25">
      <c r="A14" s="7" t="s">
        <v>12</v>
      </c>
      <c r="B14" s="7" t="s">
        <v>20</v>
      </c>
      <c r="C14" s="8">
        <v>4371</v>
      </c>
      <c r="D14" t="str">
        <f t="shared" si="0"/>
        <v>2008-60-64 år</v>
      </c>
    </row>
    <row r="15" spans="1:4" x14ac:dyDescent="0.25">
      <c r="A15" s="7" t="s">
        <v>12</v>
      </c>
      <c r="B15" s="7" t="s">
        <v>21</v>
      </c>
      <c r="C15" s="8">
        <v>857</v>
      </c>
      <c r="D15" t="str">
        <f t="shared" si="0"/>
        <v>2008-65+ år</v>
      </c>
    </row>
    <row r="16" spans="1:4" x14ac:dyDescent="0.25">
      <c r="A16" s="7" t="s">
        <v>22</v>
      </c>
      <c r="B16" s="7" t="s">
        <v>13</v>
      </c>
      <c r="C16" s="8">
        <v>7284</v>
      </c>
      <c r="D16" t="str">
        <f t="shared" si="0"/>
        <v>2009-25-29 år</v>
      </c>
    </row>
    <row r="17" spans="1:4" x14ac:dyDescent="0.25">
      <c r="A17" s="7" t="s">
        <v>22</v>
      </c>
      <c r="B17" s="7" t="s">
        <v>14</v>
      </c>
      <c r="C17" s="8">
        <v>9750</v>
      </c>
      <c r="D17" t="str">
        <f t="shared" si="0"/>
        <v>2009-30-34 år</v>
      </c>
    </row>
    <row r="18" spans="1:4" x14ac:dyDescent="0.25">
      <c r="A18" s="7" t="s">
        <v>22</v>
      </c>
      <c r="B18" s="7" t="s">
        <v>15</v>
      </c>
      <c r="C18" s="8">
        <v>9328</v>
      </c>
      <c r="D18" t="str">
        <f t="shared" si="0"/>
        <v>2009-35-39 år</v>
      </c>
    </row>
    <row r="19" spans="1:4" x14ac:dyDescent="0.25">
      <c r="A19" s="7" t="s">
        <v>22</v>
      </c>
      <c r="B19" s="7" t="s">
        <v>16</v>
      </c>
      <c r="C19" s="8">
        <v>12571</v>
      </c>
      <c r="D19" t="str">
        <f t="shared" si="0"/>
        <v>2009-40-44 år</v>
      </c>
    </row>
    <row r="20" spans="1:4" x14ac:dyDescent="0.25">
      <c r="A20" s="7" t="s">
        <v>22</v>
      </c>
      <c r="B20" s="7" t="s">
        <v>17</v>
      </c>
      <c r="C20" s="8">
        <v>11248</v>
      </c>
      <c r="D20" t="str">
        <f t="shared" si="0"/>
        <v>2009-45-49 år</v>
      </c>
    </row>
    <row r="21" spans="1:4" x14ac:dyDescent="0.25">
      <c r="A21" s="7" t="s">
        <v>22</v>
      </c>
      <c r="B21" s="7" t="s">
        <v>18</v>
      </c>
      <c r="C21" s="8">
        <v>9862</v>
      </c>
      <c r="D21" t="str">
        <f t="shared" si="0"/>
        <v>2009-50-54 år</v>
      </c>
    </row>
    <row r="22" spans="1:4" x14ac:dyDescent="0.25">
      <c r="A22" s="7" t="s">
        <v>22</v>
      </c>
      <c r="B22" s="7" t="s">
        <v>19</v>
      </c>
      <c r="C22" s="8">
        <v>9081</v>
      </c>
      <c r="D22" t="str">
        <f t="shared" si="0"/>
        <v>2009-55-59 år</v>
      </c>
    </row>
    <row r="23" spans="1:4" x14ac:dyDescent="0.25">
      <c r="A23" s="7" t="s">
        <v>22</v>
      </c>
      <c r="B23" s="7" t="s">
        <v>20</v>
      </c>
      <c r="C23" s="8">
        <v>5056</v>
      </c>
      <c r="D23" t="str">
        <f t="shared" si="0"/>
        <v>2009-60-64 år</v>
      </c>
    </row>
    <row r="24" spans="1:4" x14ac:dyDescent="0.25">
      <c r="A24" s="7" t="s">
        <v>22</v>
      </c>
      <c r="B24" s="7" t="s">
        <v>21</v>
      </c>
      <c r="C24" s="8">
        <v>984</v>
      </c>
      <c r="D24" t="str">
        <f t="shared" si="0"/>
        <v>2009-65+ år</v>
      </c>
    </row>
    <row r="25" spans="1:4" x14ac:dyDescent="0.25">
      <c r="A25" s="7" t="s">
        <v>23</v>
      </c>
      <c r="B25" s="7" t="s">
        <v>13</v>
      </c>
      <c r="C25" s="8">
        <v>6802</v>
      </c>
      <c r="D25" t="str">
        <f t="shared" si="0"/>
        <v>2010-25-29 år</v>
      </c>
    </row>
    <row r="26" spans="1:4" x14ac:dyDescent="0.25">
      <c r="A26" s="7" t="s">
        <v>23</v>
      </c>
      <c r="B26" s="7" t="s">
        <v>14</v>
      </c>
      <c r="C26" s="8">
        <v>9673</v>
      </c>
      <c r="D26" t="str">
        <f t="shared" si="0"/>
        <v>2010-30-34 år</v>
      </c>
    </row>
    <row r="27" spans="1:4" x14ac:dyDescent="0.25">
      <c r="A27" s="7" t="s">
        <v>23</v>
      </c>
      <c r="B27" s="7" t="s">
        <v>15</v>
      </c>
      <c r="C27" s="8">
        <v>9565</v>
      </c>
      <c r="D27" t="str">
        <f t="shared" si="0"/>
        <v>2010-35-39 år</v>
      </c>
    </row>
    <row r="28" spans="1:4" x14ac:dyDescent="0.25">
      <c r="A28" s="7" t="s">
        <v>23</v>
      </c>
      <c r="B28" s="7" t="s">
        <v>16</v>
      </c>
      <c r="C28" s="8">
        <v>11893</v>
      </c>
      <c r="D28" t="str">
        <f t="shared" si="0"/>
        <v>2010-40-44 år</v>
      </c>
    </row>
    <row r="29" spans="1:4" x14ac:dyDescent="0.25">
      <c r="A29" s="7" t="s">
        <v>23</v>
      </c>
      <c r="B29" s="7" t="s">
        <v>17</v>
      </c>
      <c r="C29" s="8">
        <v>11808</v>
      </c>
      <c r="D29" t="str">
        <f t="shared" si="0"/>
        <v>2010-45-49 år</v>
      </c>
    </row>
    <row r="30" spans="1:4" x14ac:dyDescent="0.25">
      <c r="A30" s="7" t="s">
        <v>23</v>
      </c>
      <c r="B30" s="7" t="s">
        <v>18</v>
      </c>
      <c r="C30" s="8">
        <v>10091</v>
      </c>
      <c r="D30" t="str">
        <f t="shared" si="0"/>
        <v>2010-50-54 år</v>
      </c>
    </row>
    <row r="31" spans="1:4" x14ac:dyDescent="0.25">
      <c r="A31" s="7" t="s">
        <v>23</v>
      </c>
      <c r="B31" s="7" t="s">
        <v>19</v>
      </c>
      <c r="C31" s="8">
        <v>9186</v>
      </c>
      <c r="D31" t="str">
        <f t="shared" si="0"/>
        <v>2010-55-59 år</v>
      </c>
    </row>
    <row r="32" spans="1:4" x14ac:dyDescent="0.25">
      <c r="A32" s="7" t="s">
        <v>23</v>
      </c>
      <c r="B32" s="7" t="s">
        <v>20</v>
      </c>
      <c r="C32" s="8">
        <v>5175</v>
      </c>
      <c r="D32" t="str">
        <f t="shared" si="0"/>
        <v>2010-60-64 år</v>
      </c>
    </row>
    <row r="33" spans="1:4" x14ac:dyDescent="0.25">
      <c r="A33" s="7" t="s">
        <v>23</v>
      </c>
      <c r="B33" s="7" t="s">
        <v>21</v>
      </c>
      <c r="C33" s="8">
        <v>1161</v>
      </c>
      <c r="D33" t="str">
        <f t="shared" si="0"/>
        <v>2010-65+ år</v>
      </c>
    </row>
    <row r="34" spans="1:4" x14ac:dyDescent="0.25">
      <c r="A34" s="7" t="s">
        <v>24</v>
      </c>
      <c r="B34" s="7" t="s">
        <v>13</v>
      </c>
      <c r="C34" s="8">
        <v>6619</v>
      </c>
      <c r="D34" t="str">
        <f t="shared" si="0"/>
        <v>2011-25-29 år</v>
      </c>
    </row>
    <row r="35" spans="1:4" x14ac:dyDescent="0.25">
      <c r="A35" s="7" t="s">
        <v>24</v>
      </c>
      <c r="B35" s="7" t="s">
        <v>14</v>
      </c>
      <c r="C35" s="8">
        <v>9409</v>
      </c>
      <c r="D35" t="str">
        <f t="shared" si="0"/>
        <v>2011-30-34 år</v>
      </c>
    </row>
    <row r="36" spans="1:4" x14ac:dyDescent="0.25">
      <c r="A36" s="7" t="s">
        <v>24</v>
      </c>
      <c r="B36" s="7" t="s">
        <v>15</v>
      </c>
      <c r="C36" s="8">
        <v>9809</v>
      </c>
      <c r="D36" t="str">
        <f t="shared" si="0"/>
        <v>2011-35-39 år</v>
      </c>
    </row>
    <row r="37" spans="1:4" x14ac:dyDescent="0.25">
      <c r="A37" s="7" t="s">
        <v>24</v>
      </c>
      <c r="B37" s="7" t="s">
        <v>16</v>
      </c>
      <c r="C37" s="8">
        <v>10924</v>
      </c>
      <c r="D37" t="str">
        <f t="shared" si="0"/>
        <v>2011-40-44 år</v>
      </c>
    </row>
    <row r="38" spans="1:4" x14ac:dyDescent="0.25">
      <c r="A38" s="7" t="s">
        <v>24</v>
      </c>
      <c r="B38" s="7" t="s">
        <v>17</v>
      </c>
      <c r="C38" s="8">
        <v>12323</v>
      </c>
      <c r="D38" t="str">
        <f t="shared" si="0"/>
        <v>2011-45-49 år</v>
      </c>
    </row>
    <row r="39" spans="1:4" x14ac:dyDescent="0.25">
      <c r="A39" s="7" t="s">
        <v>24</v>
      </c>
      <c r="B39" s="7" t="s">
        <v>18</v>
      </c>
      <c r="C39" s="8">
        <v>10305</v>
      </c>
      <c r="D39" t="str">
        <f t="shared" si="0"/>
        <v>2011-50-54 år</v>
      </c>
    </row>
    <row r="40" spans="1:4" x14ac:dyDescent="0.25">
      <c r="A40" s="7" t="s">
        <v>24</v>
      </c>
      <c r="B40" s="7" t="s">
        <v>19</v>
      </c>
      <c r="C40" s="8">
        <v>9210</v>
      </c>
      <c r="D40" t="str">
        <f t="shared" si="0"/>
        <v>2011-55-59 år</v>
      </c>
    </row>
    <row r="41" spans="1:4" x14ac:dyDescent="0.25">
      <c r="A41" s="7" t="s">
        <v>24</v>
      </c>
      <c r="B41" s="7" t="s">
        <v>20</v>
      </c>
      <c r="C41" s="8">
        <v>5200</v>
      </c>
      <c r="D41" t="str">
        <f t="shared" si="0"/>
        <v>2011-60-64 år</v>
      </c>
    </row>
    <row r="42" spans="1:4" x14ac:dyDescent="0.25">
      <c r="A42" s="7" t="s">
        <v>24</v>
      </c>
      <c r="B42" s="7" t="s">
        <v>21</v>
      </c>
      <c r="C42" s="8">
        <v>1320</v>
      </c>
      <c r="D42" t="str">
        <f t="shared" si="0"/>
        <v>2011-65+ år</v>
      </c>
    </row>
    <row r="43" spans="1:4" x14ac:dyDescent="0.25">
      <c r="A43" s="7" t="s">
        <v>25</v>
      </c>
      <c r="B43" s="7" t="s">
        <v>13</v>
      </c>
      <c r="C43" s="8">
        <v>6332</v>
      </c>
      <c r="D43" t="str">
        <f t="shared" si="0"/>
        <v>2012-25-29 år</v>
      </c>
    </row>
    <row r="44" spans="1:4" x14ac:dyDescent="0.25">
      <c r="A44" s="7" t="s">
        <v>25</v>
      </c>
      <c r="B44" s="7" t="s">
        <v>14</v>
      </c>
      <c r="C44" s="8">
        <v>8887</v>
      </c>
      <c r="D44" t="str">
        <f t="shared" si="0"/>
        <v>2012-30-34 år</v>
      </c>
    </row>
    <row r="45" spans="1:4" x14ac:dyDescent="0.25">
      <c r="A45" s="7" t="s">
        <v>25</v>
      </c>
      <c r="B45" s="7" t="s">
        <v>15</v>
      </c>
      <c r="C45" s="8">
        <v>9638</v>
      </c>
      <c r="D45" t="str">
        <f t="shared" si="0"/>
        <v>2012-35-39 år</v>
      </c>
    </row>
    <row r="46" spans="1:4" x14ac:dyDescent="0.25">
      <c r="A46" s="7" t="s">
        <v>25</v>
      </c>
      <c r="B46" s="7" t="s">
        <v>16</v>
      </c>
      <c r="C46" s="8">
        <v>9823</v>
      </c>
      <c r="D46" t="str">
        <f t="shared" si="0"/>
        <v>2012-40-44 år</v>
      </c>
    </row>
    <row r="47" spans="1:4" x14ac:dyDescent="0.25">
      <c r="A47" s="7" t="s">
        <v>25</v>
      </c>
      <c r="B47" s="7" t="s">
        <v>17</v>
      </c>
      <c r="C47" s="8">
        <v>12680</v>
      </c>
      <c r="D47" t="str">
        <f t="shared" si="0"/>
        <v>2012-45-49 år</v>
      </c>
    </row>
    <row r="48" spans="1:4" x14ac:dyDescent="0.25">
      <c r="A48" s="7" t="s">
        <v>25</v>
      </c>
      <c r="B48" s="7" t="s">
        <v>18</v>
      </c>
      <c r="C48" s="8">
        <v>10381</v>
      </c>
      <c r="D48" t="str">
        <f t="shared" si="0"/>
        <v>2012-50-54 år</v>
      </c>
    </row>
    <row r="49" spans="1:4" x14ac:dyDescent="0.25">
      <c r="A49" s="7" t="s">
        <v>25</v>
      </c>
      <c r="B49" s="7" t="s">
        <v>19</v>
      </c>
      <c r="C49" s="8">
        <v>9032</v>
      </c>
      <c r="D49" t="str">
        <f t="shared" si="0"/>
        <v>2012-55-59 år</v>
      </c>
    </row>
    <row r="50" spans="1:4" x14ac:dyDescent="0.25">
      <c r="A50" s="7" t="s">
        <v>25</v>
      </c>
      <c r="B50" s="7" t="s">
        <v>20</v>
      </c>
      <c r="C50" s="8">
        <v>5237</v>
      </c>
      <c r="D50" t="str">
        <f t="shared" si="0"/>
        <v>2012-60-64 år</v>
      </c>
    </row>
    <row r="51" spans="1:4" x14ac:dyDescent="0.25">
      <c r="A51" s="7" t="s">
        <v>25</v>
      </c>
      <c r="B51" s="7" t="s">
        <v>21</v>
      </c>
      <c r="C51" s="8">
        <v>1446</v>
      </c>
      <c r="D51" t="str">
        <f t="shared" si="0"/>
        <v>2012-65+ år</v>
      </c>
    </row>
    <row r="52" spans="1:4" x14ac:dyDescent="0.25">
      <c r="A52" s="7" t="s">
        <v>26</v>
      </c>
      <c r="B52" s="7" t="s">
        <v>13</v>
      </c>
      <c r="C52" s="8">
        <v>6202</v>
      </c>
      <c r="D52" t="str">
        <f t="shared" si="0"/>
        <v>2013-25-29 år</v>
      </c>
    </row>
    <row r="53" spans="1:4" x14ac:dyDescent="0.25">
      <c r="A53" s="7" t="s">
        <v>26</v>
      </c>
      <c r="B53" s="7" t="s">
        <v>14</v>
      </c>
      <c r="C53" s="8">
        <v>8560</v>
      </c>
      <c r="D53" t="str">
        <f t="shared" si="0"/>
        <v>2013-30-34 år</v>
      </c>
    </row>
    <row r="54" spans="1:4" x14ac:dyDescent="0.25">
      <c r="A54" s="7" t="s">
        <v>26</v>
      </c>
      <c r="B54" s="7" t="s">
        <v>15</v>
      </c>
      <c r="C54" s="8">
        <v>9790</v>
      </c>
      <c r="D54" t="str">
        <f t="shared" si="0"/>
        <v>2013-35-39 år</v>
      </c>
    </row>
    <row r="55" spans="1:4" x14ac:dyDescent="0.25">
      <c r="A55" s="7" t="s">
        <v>26</v>
      </c>
      <c r="B55" s="7" t="s">
        <v>16</v>
      </c>
      <c r="C55" s="8">
        <v>9383</v>
      </c>
      <c r="D55" t="str">
        <f t="shared" si="0"/>
        <v>2013-40-44 år</v>
      </c>
    </row>
    <row r="56" spans="1:4" x14ac:dyDescent="0.25">
      <c r="A56" s="7" t="s">
        <v>26</v>
      </c>
      <c r="B56" s="7" t="s">
        <v>17</v>
      </c>
      <c r="C56" s="8">
        <v>12762</v>
      </c>
      <c r="D56" t="str">
        <f t="shared" si="0"/>
        <v>2013-45-49 år</v>
      </c>
    </row>
    <row r="57" spans="1:4" x14ac:dyDescent="0.25">
      <c r="A57" s="7" t="s">
        <v>26</v>
      </c>
      <c r="B57" s="7" t="s">
        <v>18</v>
      </c>
      <c r="C57" s="8">
        <v>10587</v>
      </c>
      <c r="D57" t="str">
        <f t="shared" si="0"/>
        <v>2013-50-54 år</v>
      </c>
    </row>
    <row r="58" spans="1:4" x14ac:dyDescent="0.25">
      <c r="A58" s="7" t="s">
        <v>26</v>
      </c>
      <c r="B58" s="7" t="s">
        <v>19</v>
      </c>
      <c r="C58" s="8">
        <v>8811</v>
      </c>
      <c r="D58" t="str">
        <f t="shared" si="0"/>
        <v>2013-55-59 år</v>
      </c>
    </row>
    <row r="59" spans="1:4" x14ac:dyDescent="0.25">
      <c r="A59" s="7" t="s">
        <v>26</v>
      </c>
      <c r="B59" s="7" t="s">
        <v>20</v>
      </c>
      <c r="C59" s="8">
        <v>5072</v>
      </c>
      <c r="D59" t="str">
        <f t="shared" si="0"/>
        <v>2013-60-64 år</v>
      </c>
    </row>
    <row r="60" spans="1:4" x14ac:dyDescent="0.25">
      <c r="A60" s="7" t="s">
        <v>26</v>
      </c>
      <c r="B60" s="7" t="s">
        <v>21</v>
      </c>
      <c r="C60" s="8">
        <v>1539</v>
      </c>
      <c r="D60" t="str">
        <f t="shared" si="0"/>
        <v>2013-65+ år</v>
      </c>
    </row>
    <row r="61" spans="1:4" x14ac:dyDescent="0.25">
      <c r="A61" s="7" t="s">
        <v>27</v>
      </c>
      <c r="B61" s="7" t="s">
        <v>13</v>
      </c>
      <c r="C61" s="8">
        <v>6041</v>
      </c>
      <c r="D61" t="str">
        <f t="shared" si="0"/>
        <v>2014-25-29 år</v>
      </c>
    </row>
    <row r="62" spans="1:4" x14ac:dyDescent="0.25">
      <c r="A62" s="7" t="s">
        <v>27</v>
      </c>
      <c r="B62" s="7" t="s">
        <v>14</v>
      </c>
      <c r="C62" s="8">
        <v>8203</v>
      </c>
      <c r="D62" t="str">
        <f t="shared" si="0"/>
        <v>2014-30-34 år</v>
      </c>
    </row>
    <row r="63" spans="1:4" x14ac:dyDescent="0.25">
      <c r="A63" s="7" t="s">
        <v>27</v>
      </c>
      <c r="B63" s="7" t="s">
        <v>15</v>
      </c>
      <c r="C63" s="8">
        <v>9972</v>
      </c>
      <c r="D63" t="str">
        <f t="shared" si="0"/>
        <v>2014-35-39 år</v>
      </c>
    </row>
    <row r="64" spans="1:4" x14ac:dyDescent="0.25">
      <c r="A64" s="7" t="s">
        <v>27</v>
      </c>
      <c r="B64" s="7" t="s">
        <v>16</v>
      </c>
      <c r="C64" s="8">
        <v>9409</v>
      </c>
      <c r="D64" t="str">
        <f t="shared" si="0"/>
        <v>2014-40-44 år</v>
      </c>
    </row>
    <row r="65" spans="1:4" x14ac:dyDescent="0.25">
      <c r="A65" s="7" t="s">
        <v>27</v>
      </c>
      <c r="B65" s="7" t="s">
        <v>17</v>
      </c>
      <c r="C65" s="8">
        <v>12377</v>
      </c>
      <c r="D65" t="str">
        <f t="shared" si="0"/>
        <v>2014-45-49 år</v>
      </c>
    </row>
    <row r="66" spans="1:4" x14ac:dyDescent="0.25">
      <c r="A66" s="7" t="s">
        <v>27</v>
      </c>
      <c r="B66" s="7" t="s">
        <v>18</v>
      </c>
      <c r="C66" s="8">
        <v>10828</v>
      </c>
      <c r="D66" t="str">
        <f t="shared" si="0"/>
        <v>2014-50-54 år</v>
      </c>
    </row>
    <row r="67" spans="1:4" x14ac:dyDescent="0.25">
      <c r="A67" s="7" t="s">
        <v>27</v>
      </c>
      <c r="B67" s="7" t="s">
        <v>19</v>
      </c>
      <c r="C67" s="8">
        <v>8888</v>
      </c>
      <c r="D67" t="str">
        <f t="shared" si="0"/>
        <v>2014-55-59 år</v>
      </c>
    </row>
    <row r="68" spans="1:4" x14ac:dyDescent="0.25">
      <c r="A68" s="7" t="s">
        <v>27</v>
      </c>
      <c r="B68" s="7" t="s">
        <v>20</v>
      </c>
      <c r="C68" s="8">
        <v>5141</v>
      </c>
      <c r="D68" t="str">
        <f t="shared" si="0"/>
        <v>2014-60-64 år</v>
      </c>
    </row>
    <row r="69" spans="1:4" x14ac:dyDescent="0.25">
      <c r="A69" s="7" t="s">
        <v>27</v>
      </c>
      <c r="B69" s="7" t="s">
        <v>21</v>
      </c>
      <c r="C69" s="8">
        <v>1600</v>
      </c>
      <c r="D69" t="str">
        <f t="shared" si="0"/>
        <v>2014-65+ år</v>
      </c>
    </row>
    <row r="70" spans="1:4" x14ac:dyDescent="0.25">
      <c r="A70" s="7" t="s">
        <v>28</v>
      </c>
      <c r="B70" s="7" t="s">
        <v>13</v>
      </c>
      <c r="C70" s="8">
        <v>5834</v>
      </c>
      <c r="D70" t="str">
        <f t="shared" si="0"/>
        <v>2015-25-29 år</v>
      </c>
    </row>
    <row r="71" spans="1:4" x14ac:dyDescent="0.25">
      <c r="A71" s="7" t="s">
        <v>28</v>
      </c>
      <c r="B71" s="7" t="s">
        <v>14</v>
      </c>
      <c r="C71" s="8">
        <v>7834</v>
      </c>
      <c r="D71" t="str">
        <f t="shared" ref="D71:D134" si="1">A71&amp;"-"&amp;B71</f>
        <v>2015-30-34 år</v>
      </c>
    </row>
    <row r="72" spans="1:4" x14ac:dyDescent="0.25">
      <c r="A72" s="7" t="s">
        <v>28</v>
      </c>
      <c r="B72" s="7" t="s">
        <v>15</v>
      </c>
      <c r="C72" s="8">
        <v>9897</v>
      </c>
      <c r="D72" t="str">
        <f t="shared" si="1"/>
        <v>2015-35-39 år</v>
      </c>
    </row>
    <row r="73" spans="1:4" x14ac:dyDescent="0.25">
      <c r="A73" s="7" t="s">
        <v>28</v>
      </c>
      <c r="B73" s="7" t="s">
        <v>16</v>
      </c>
      <c r="C73" s="8">
        <v>9571</v>
      </c>
      <c r="D73" t="str">
        <f t="shared" si="1"/>
        <v>2015-40-44 år</v>
      </c>
    </row>
    <row r="74" spans="1:4" x14ac:dyDescent="0.25">
      <c r="A74" s="7" t="s">
        <v>28</v>
      </c>
      <c r="B74" s="7" t="s">
        <v>17</v>
      </c>
      <c r="C74" s="8">
        <v>11603</v>
      </c>
      <c r="D74" t="str">
        <f t="shared" si="1"/>
        <v>2015-45-49 år</v>
      </c>
    </row>
    <row r="75" spans="1:4" x14ac:dyDescent="0.25">
      <c r="A75" s="7" t="s">
        <v>28</v>
      </c>
      <c r="B75" s="7" t="s">
        <v>18</v>
      </c>
      <c r="C75" s="8">
        <v>11160</v>
      </c>
      <c r="D75" t="str">
        <f t="shared" si="1"/>
        <v>2015-50-54 år</v>
      </c>
    </row>
    <row r="76" spans="1:4" x14ac:dyDescent="0.25">
      <c r="A76" s="7" t="s">
        <v>28</v>
      </c>
      <c r="B76" s="7" t="s">
        <v>19</v>
      </c>
      <c r="C76" s="8">
        <v>8969</v>
      </c>
      <c r="D76" t="str">
        <f t="shared" si="1"/>
        <v>2015-55-59 år</v>
      </c>
    </row>
    <row r="77" spans="1:4" x14ac:dyDescent="0.25">
      <c r="A77" s="7" t="s">
        <v>28</v>
      </c>
      <c r="B77" s="7" t="s">
        <v>20</v>
      </c>
      <c r="C77" s="8">
        <v>5167</v>
      </c>
      <c r="D77" t="str">
        <f t="shared" si="1"/>
        <v>2015-60-64 år</v>
      </c>
    </row>
    <row r="78" spans="1:4" x14ac:dyDescent="0.25">
      <c r="A78" s="7" t="s">
        <v>28</v>
      </c>
      <c r="B78" s="7" t="s">
        <v>21</v>
      </c>
      <c r="C78" s="8">
        <v>1642</v>
      </c>
      <c r="D78" t="str">
        <f t="shared" si="1"/>
        <v>2015-65+ år</v>
      </c>
    </row>
    <row r="79" spans="1:4" x14ac:dyDescent="0.25">
      <c r="A79" s="7" t="s">
        <v>29</v>
      </c>
      <c r="B79" s="7" t="s">
        <v>13</v>
      </c>
      <c r="C79" s="8">
        <v>5701</v>
      </c>
      <c r="D79" t="str">
        <f t="shared" si="1"/>
        <v>2016-25-29 år</v>
      </c>
    </row>
    <row r="80" spans="1:4" x14ac:dyDescent="0.25">
      <c r="A80" s="7" t="s">
        <v>29</v>
      </c>
      <c r="B80" s="7" t="s">
        <v>14</v>
      </c>
      <c r="C80" s="8">
        <v>7831</v>
      </c>
      <c r="D80" t="str">
        <f t="shared" si="1"/>
        <v>2016-30-34 år</v>
      </c>
    </row>
    <row r="81" spans="1:4" x14ac:dyDescent="0.25">
      <c r="A81" s="7" t="s">
        <v>29</v>
      </c>
      <c r="B81" s="7" t="s">
        <v>15</v>
      </c>
      <c r="C81" s="8">
        <v>9564</v>
      </c>
      <c r="D81" t="str">
        <f t="shared" si="1"/>
        <v>2016-35-39 år</v>
      </c>
    </row>
    <row r="82" spans="1:4" x14ac:dyDescent="0.25">
      <c r="A82" s="7" t="s">
        <v>29</v>
      </c>
      <c r="B82" s="7" t="s">
        <v>16</v>
      </c>
      <c r="C82" s="8">
        <v>9711</v>
      </c>
      <c r="D82" t="str">
        <f t="shared" si="1"/>
        <v>2016-40-44 år</v>
      </c>
    </row>
    <row r="83" spans="1:4" x14ac:dyDescent="0.25">
      <c r="A83" s="7" t="s">
        <v>29</v>
      </c>
      <c r="B83" s="7" t="s">
        <v>17</v>
      </c>
      <c r="C83" s="8">
        <v>10533</v>
      </c>
      <c r="D83" t="str">
        <f t="shared" si="1"/>
        <v>2016-45-49 år</v>
      </c>
    </row>
    <row r="84" spans="1:4" x14ac:dyDescent="0.25">
      <c r="A84" s="7" t="s">
        <v>29</v>
      </c>
      <c r="B84" s="7" t="s">
        <v>18</v>
      </c>
      <c r="C84" s="8">
        <v>11490</v>
      </c>
      <c r="D84" t="str">
        <f t="shared" si="1"/>
        <v>2016-50-54 år</v>
      </c>
    </row>
    <row r="85" spans="1:4" x14ac:dyDescent="0.25">
      <c r="A85" s="7" t="s">
        <v>29</v>
      </c>
      <c r="B85" s="7" t="s">
        <v>19</v>
      </c>
      <c r="C85" s="8">
        <v>9121</v>
      </c>
      <c r="D85" t="str">
        <f t="shared" si="1"/>
        <v>2016-55-59 år</v>
      </c>
    </row>
    <row r="86" spans="1:4" x14ac:dyDescent="0.25">
      <c r="A86" s="7" t="s">
        <v>29</v>
      </c>
      <c r="B86" s="7" t="s">
        <v>20</v>
      </c>
      <c r="C86" s="8">
        <v>5304</v>
      </c>
      <c r="D86" t="str">
        <f t="shared" si="1"/>
        <v>2016-60-64 år</v>
      </c>
    </row>
    <row r="87" spans="1:4" x14ac:dyDescent="0.25">
      <c r="A87" s="7" t="s">
        <v>29</v>
      </c>
      <c r="B87" s="7" t="s">
        <v>21</v>
      </c>
      <c r="C87" s="8">
        <v>1680</v>
      </c>
      <c r="D87" t="str">
        <f t="shared" si="1"/>
        <v>2016-65+ år</v>
      </c>
    </row>
    <row r="88" spans="1:4" x14ac:dyDescent="0.25">
      <c r="A88" s="7" t="s">
        <v>30</v>
      </c>
      <c r="B88" s="7" t="s">
        <v>13</v>
      </c>
      <c r="C88" s="8">
        <v>5951</v>
      </c>
      <c r="D88" t="str">
        <f t="shared" si="1"/>
        <v>2017-25-29 år</v>
      </c>
    </row>
    <row r="89" spans="1:4" x14ac:dyDescent="0.25">
      <c r="A89" s="7" t="s">
        <v>30</v>
      </c>
      <c r="B89" s="7" t="s">
        <v>14</v>
      </c>
      <c r="C89" s="8">
        <v>8016</v>
      </c>
      <c r="D89" t="str">
        <f t="shared" si="1"/>
        <v>2017-30-34 år</v>
      </c>
    </row>
    <row r="90" spans="1:4" x14ac:dyDescent="0.25">
      <c r="A90" s="7" t="s">
        <v>30</v>
      </c>
      <c r="B90" s="7" t="s">
        <v>15</v>
      </c>
      <c r="C90" s="8">
        <v>9344</v>
      </c>
      <c r="D90" t="str">
        <f t="shared" si="1"/>
        <v>2017-35-39 år</v>
      </c>
    </row>
    <row r="91" spans="1:4" x14ac:dyDescent="0.25">
      <c r="A91" s="7" t="s">
        <v>30</v>
      </c>
      <c r="B91" s="7" t="s">
        <v>16</v>
      </c>
      <c r="C91" s="8">
        <v>9699</v>
      </c>
      <c r="D91" t="str">
        <f t="shared" si="1"/>
        <v>2017-40-44 år</v>
      </c>
    </row>
    <row r="92" spans="1:4" x14ac:dyDescent="0.25">
      <c r="A92" s="7" t="s">
        <v>30</v>
      </c>
      <c r="B92" s="7" t="s">
        <v>17</v>
      </c>
      <c r="C92" s="8">
        <v>9778</v>
      </c>
      <c r="D92" t="str">
        <f t="shared" si="1"/>
        <v>2017-45-49 år</v>
      </c>
    </row>
    <row r="93" spans="1:4" x14ac:dyDescent="0.25">
      <c r="A93" s="7" t="s">
        <v>30</v>
      </c>
      <c r="B93" s="7" t="s">
        <v>18</v>
      </c>
      <c r="C93" s="8">
        <v>11940</v>
      </c>
      <c r="D93" t="str">
        <f t="shared" si="1"/>
        <v>2017-50-54 år</v>
      </c>
    </row>
    <row r="94" spans="1:4" x14ac:dyDescent="0.25">
      <c r="A94" s="7" t="s">
        <v>30</v>
      </c>
      <c r="B94" s="7" t="s">
        <v>19</v>
      </c>
      <c r="C94" s="8">
        <v>9231</v>
      </c>
      <c r="D94" t="str">
        <f t="shared" si="1"/>
        <v>2017-55-59 år</v>
      </c>
    </row>
    <row r="95" spans="1:4" x14ac:dyDescent="0.25">
      <c r="A95" s="7" t="s">
        <v>30</v>
      </c>
      <c r="B95" s="7" t="s">
        <v>20</v>
      </c>
      <c r="C95" s="8">
        <v>5403</v>
      </c>
      <c r="D95" t="str">
        <f t="shared" si="1"/>
        <v>2017-60-64 år</v>
      </c>
    </row>
    <row r="96" spans="1:4" x14ac:dyDescent="0.25">
      <c r="A96" s="7" t="s">
        <v>30</v>
      </c>
      <c r="B96" s="7" t="s">
        <v>21</v>
      </c>
      <c r="C96" s="8">
        <v>1775</v>
      </c>
      <c r="D96" t="str">
        <f t="shared" si="1"/>
        <v>2017-65+ år</v>
      </c>
    </row>
    <row r="97" spans="1:4" x14ac:dyDescent="0.25">
      <c r="A97" s="7" t="s">
        <v>31</v>
      </c>
      <c r="B97" s="7" t="s">
        <v>13</v>
      </c>
      <c r="C97" s="8">
        <v>6353</v>
      </c>
      <c r="D97" t="str">
        <f t="shared" si="1"/>
        <v>2018-25-29 år</v>
      </c>
    </row>
    <row r="98" spans="1:4" x14ac:dyDescent="0.25">
      <c r="A98" s="7" t="s">
        <v>31</v>
      </c>
      <c r="B98" s="7" t="s">
        <v>14</v>
      </c>
      <c r="C98" s="8">
        <v>8276</v>
      </c>
      <c r="D98" t="str">
        <f t="shared" si="1"/>
        <v>2018-30-34 år</v>
      </c>
    </row>
    <row r="99" spans="1:4" x14ac:dyDescent="0.25">
      <c r="A99" s="7" t="s">
        <v>31</v>
      </c>
      <c r="B99" s="7" t="s">
        <v>15</v>
      </c>
      <c r="C99" s="8">
        <v>9245</v>
      </c>
      <c r="D99" t="str">
        <f t="shared" si="1"/>
        <v>2018-35-39 år</v>
      </c>
    </row>
    <row r="100" spans="1:4" x14ac:dyDescent="0.25">
      <c r="A100" s="7" t="s">
        <v>31</v>
      </c>
      <c r="B100" s="7" t="s">
        <v>16</v>
      </c>
      <c r="C100" s="8">
        <v>9937</v>
      </c>
      <c r="D100" t="str">
        <f t="shared" si="1"/>
        <v>2018-40-44 år</v>
      </c>
    </row>
    <row r="101" spans="1:4" x14ac:dyDescent="0.25">
      <c r="A101" s="7" t="s">
        <v>31</v>
      </c>
      <c r="B101" s="7" t="s">
        <v>17</v>
      </c>
      <c r="C101" s="8">
        <v>9488</v>
      </c>
      <c r="D101" t="str">
        <f t="shared" si="1"/>
        <v>2018-45-49 år</v>
      </c>
    </row>
    <row r="102" spans="1:4" x14ac:dyDescent="0.25">
      <c r="A102" s="7" t="s">
        <v>31</v>
      </c>
      <c r="B102" s="7" t="s">
        <v>18</v>
      </c>
      <c r="C102" s="8">
        <v>12171</v>
      </c>
      <c r="D102" t="str">
        <f t="shared" si="1"/>
        <v>2018-50-54 år</v>
      </c>
    </row>
    <row r="103" spans="1:4" x14ac:dyDescent="0.25">
      <c r="A103" s="7" t="s">
        <v>31</v>
      </c>
      <c r="B103" s="7" t="s">
        <v>19</v>
      </c>
      <c r="C103" s="8">
        <v>9537</v>
      </c>
      <c r="D103" t="str">
        <f t="shared" si="1"/>
        <v>2018-55-59 år</v>
      </c>
    </row>
    <row r="104" spans="1:4" x14ac:dyDescent="0.25">
      <c r="A104" s="7" t="s">
        <v>31</v>
      </c>
      <c r="B104" s="7" t="s">
        <v>20</v>
      </c>
      <c r="C104" s="8">
        <v>5638</v>
      </c>
      <c r="D104" t="str">
        <f t="shared" si="1"/>
        <v>2018-60-64 år</v>
      </c>
    </row>
    <row r="105" spans="1:4" x14ac:dyDescent="0.25">
      <c r="A105" s="7" t="s">
        <v>31</v>
      </c>
      <c r="B105" s="7" t="s">
        <v>21</v>
      </c>
      <c r="C105" s="8">
        <v>1897</v>
      </c>
      <c r="D105" t="str">
        <f t="shared" si="1"/>
        <v>2018-65+ år</v>
      </c>
    </row>
    <row r="106" spans="1:4" x14ac:dyDescent="0.25">
      <c r="A106" s="7" t="s">
        <v>32</v>
      </c>
      <c r="B106" s="7" t="s">
        <v>13</v>
      </c>
      <c r="C106" s="8">
        <v>6883</v>
      </c>
      <c r="D106" t="str">
        <f t="shared" si="1"/>
        <v>2019-25-29 år</v>
      </c>
    </row>
    <row r="107" spans="1:4" x14ac:dyDescent="0.25">
      <c r="A107" s="7" t="s">
        <v>32</v>
      </c>
      <c r="B107" s="7" t="s">
        <v>14</v>
      </c>
      <c r="C107" s="8">
        <v>8461</v>
      </c>
      <c r="D107" t="str">
        <f t="shared" si="1"/>
        <v>2019-30-34 år</v>
      </c>
    </row>
    <row r="108" spans="1:4" x14ac:dyDescent="0.25">
      <c r="A108" s="7" t="s">
        <v>32</v>
      </c>
      <c r="B108" s="7" t="s">
        <v>15</v>
      </c>
      <c r="C108" s="8">
        <v>9057</v>
      </c>
      <c r="D108" t="str">
        <f t="shared" si="1"/>
        <v>2019-35-39 år</v>
      </c>
    </row>
    <row r="109" spans="1:4" x14ac:dyDescent="0.25">
      <c r="A109" s="7" t="s">
        <v>32</v>
      </c>
      <c r="B109" s="7" t="s">
        <v>16</v>
      </c>
      <c r="C109" s="8">
        <v>10158</v>
      </c>
      <c r="D109" t="str">
        <f t="shared" si="1"/>
        <v>2019-40-44 år</v>
      </c>
    </row>
    <row r="110" spans="1:4" x14ac:dyDescent="0.25">
      <c r="A110" s="7" t="s">
        <v>32</v>
      </c>
      <c r="B110" s="7" t="s">
        <v>17</v>
      </c>
      <c r="C110" s="8">
        <v>9482</v>
      </c>
      <c r="D110" t="str">
        <f t="shared" si="1"/>
        <v>2019-45-49 år</v>
      </c>
    </row>
    <row r="111" spans="1:4" x14ac:dyDescent="0.25">
      <c r="A111" s="7" t="s">
        <v>32</v>
      </c>
      <c r="B111" s="7" t="s">
        <v>18</v>
      </c>
      <c r="C111" s="8">
        <v>11866</v>
      </c>
      <c r="D111" t="str">
        <f t="shared" si="1"/>
        <v>2019-50-54 år</v>
      </c>
    </row>
    <row r="112" spans="1:4" x14ac:dyDescent="0.25">
      <c r="A112" s="7" t="s">
        <v>32</v>
      </c>
      <c r="B112" s="7" t="s">
        <v>19</v>
      </c>
      <c r="C112" s="8">
        <v>9811</v>
      </c>
      <c r="D112" t="str">
        <f t="shared" si="1"/>
        <v>2019-55-59 år</v>
      </c>
    </row>
    <row r="113" spans="1:4" x14ac:dyDescent="0.25">
      <c r="A113" s="7" t="s">
        <v>32</v>
      </c>
      <c r="B113" s="7" t="s">
        <v>20</v>
      </c>
      <c r="C113" s="8">
        <v>5907</v>
      </c>
      <c r="D113" t="str">
        <f t="shared" si="1"/>
        <v>2019-60-64 år</v>
      </c>
    </row>
    <row r="114" spans="1:4" x14ac:dyDescent="0.25">
      <c r="A114" s="7" t="s">
        <v>32</v>
      </c>
      <c r="B114" s="7" t="s">
        <v>21</v>
      </c>
      <c r="C114" s="8">
        <v>2030</v>
      </c>
      <c r="D114" t="str">
        <f t="shared" si="1"/>
        <v>2019-65+ år</v>
      </c>
    </row>
    <row r="115" spans="1:4" x14ac:dyDescent="0.25">
      <c r="A115" s="7" t="s">
        <v>33</v>
      </c>
      <c r="B115" s="7" t="s">
        <v>13</v>
      </c>
      <c r="C115" s="8">
        <v>7337</v>
      </c>
      <c r="D115" t="str">
        <f t="shared" si="1"/>
        <v>2020-25-29 år</v>
      </c>
    </row>
    <row r="116" spans="1:4" x14ac:dyDescent="0.25">
      <c r="A116" s="7" t="s">
        <v>33</v>
      </c>
      <c r="B116" s="7" t="s">
        <v>14</v>
      </c>
      <c r="C116" s="8">
        <v>8658</v>
      </c>
      <c r="D116" t="str">
        <f t="shared" si="1"/>
        <v>2020-30-34 år</v>
      </c>
    </row>
    <row r="117" spans="1:4" x14ac:dyDescent="0.25">
      <c r="A117" s="7" t="s">
        <v>33</v>
      </c>
      <c r="B117" s="7" t="s">
        <v>15</v>
      </c>
      <c r="C117" s="8">
        <v>8798</v>
      </c>
      <c r="D117" t="str">
        <f t="shared" si="1"/>
        <v>2020-35-39 år</v>
      </c>
    </row>
    <row r="118" spans="1:4" x14ac:dyDescent="0.25">
      <c r="A118" s="7" t="s">
        <v>33</v>
      </c>
      <c r="B118" s="7" t="s">
        <v>16</v>
      </c>
      <c r="C118" s="8">
        <v>10129</v>
      </c>
      <c r="D118" t="str">
        <f t="shared" si="1"/>
        <v>2020-40-44 år</v>
      </c>
    </row>
    <row r="119" spans="1:4" x14ac:dyDescent="0.25">
      <c r="A119" s="7" t="s">
        <v>33</v>
      </c>
      <c r="B119" s="7" t="s">
        <v>17</v>
      </c>
      <c r="C119" s="8">
        <v>9740</v>
      </c>
      <c r="D119" t="str">
        <f t="shared" si="1"/>
        <v>2020-45-49 år</v>
      </c>
    </row>
    <row r="120" spans="1:4" x14ac:dyDescent="0.25">
      <c r="A120" s="7" t="s">
        <v>33</v>
      </c>
      <c r="B120" s="7" t="s">
        <v>18</v>
      </c>
      <c r="C120" s="8">
        <v>11187</v>
      </c>
      <c r="D120" t="str">
        <f t="shared" si="1"/>
        <v>2020-50-54 år</v>
      </c>
    </row>
    <row r="121" spans="1:4" x14ac:dyDescent="0.25">
      <c r="A121" s="7" t="s">
        <v>33</v>
      </c>
      <c r="B121" s="7" t="s">
        <v>19</v>
      </c>
      <c r="C121" s="8">
        <v>10215</v>
      </c>
      <c r="D121" t="str">
        <f t="shared" si="1"/>
        <v>2020-55-59 år</v>
      </c>
    </row>
    <row r="122" spans="1:4" x14ac:dyDescent="0.25">
      <c r="A122" s="7" t="s">
        <v>33</v>
      </c>
      <c r="B122" s="7" t="s">
        <v>20</v>
      </c>
      <c r="C122" s="8">
        <v>6305</v>
      </c>
      <c r="D122" t="str">
        <f t="shared" si="1"/>
        <v>2020-60-64 år</v>
      </c>
    </row>
    <row r="123" spans="1:4" x14ac:dyDescent="0.25">
      <c r="A123" s="7" t="s">
        <v>33</v>
      </c>
      <c r="B123" s="7" t="s">
        <v>21</v>
      </c>
      <c r="C123" s="8">
        <v>2231</v>
      </c>
      <c r="D123" t="str">
        <f t="shared" si="1"/>
        <v>2020-65+ år</v>
      </c>
    </row>
    <row r="124" spans="1:4" x14ac:dyDescent="0.25">
      <c r="A124" s="7" t="s">
        <v>34</v>
      </c>
      <c r="B124" s="7" t="s">
        <v>13</v>
      </c>
      <c r="C124" s="8">
        <v>7687</v>
      </c>
      <c r="D124" t="str">
        <f t="shared" si="1"/>
        <v>2021-25-29 år</v>
      </c>
    </row>
    <row r="125" spans="1:4" x14ac:dyDescent="0.25">
      <c r="A125" s="7" t="s">
        <v>34</v>
      </c>
      <c r="B125" s="7" t="s">
        <v>14</v>
      </c>
      <c r="C125" s="8">
        <v>8844</v>
      </c>
      <c r="D125" t="str">
        <f t="shared" si="1"/>
        <v>2021-30-34 år</v>
      </c>
    </row>
    <row r="126" spans="1:4" x14ac:dyDescent="0.25">
      <c r="A126" s="7" t="s">
        <v>34</v>
      </c>
      <c r="B126" s="7" t="s">
        <v>15</v>
      </c>
      <c r="C126" s="8">
        <v>8987</v>
      </c>
      <c r="D126" t="str">
        <f t="shared" si="1"/>
        <v>2021-35-39 år</v>
      </c>
    </row>
    <row r="127" spans="1:4" x14ac:dyDescent="0.25">
      <c r="A127" s="7" t="s">
        <v>34</v>
      </c>
      <c r="B127" s="7" t="s">
        <v>16</v>
      </c>
      <c r="C127" s="8">
        <v>10002</v>
      </c>
      <c r="D127" t="str">
        <f t="shared" si="1"/>
        <v>2021-40-44 år</v>
      </c>
    </row>
    <row r="128" spans="1:4" x14ac:dyDescent="0.25">
      <c r="A128" s="7" t="s">
        <v>34</v>
      </c>
      <c r="B128" s="7" t="s">
        <v>17</v>
      </c>
      <c r="C128" s="8">
        <v>10036</v>
      </c>
      <c r="D128" t="str">
        <f t="shared" si="1"/>
        <v>2021-45-49 år</v>
      </c>
    </row>
    <row r="129" spans="1:4" x14ac:dyDescent="0.25">
      <c r="A129" s="7" t="s">
        <v>34</v>
      </c>
      <c r="B129" s="7" t="s">
        <v>18</v>
      </c>
      <c r="C129" s="8">
        <v>10467</v>
      </c>
      <c r="D129" t="str">
        <f t="shared" si="1"/>
        <v>2021-50-54 år</v>
      </c>
    </row>
    <row r="130" spans="1:4" x14ac:dyDescent="0.25">
      <c r="A130" s="7" t="s">
        <v>34</v>
      </c>
      <c r="B130" s="7" t="s">
        <v>19</v>
      </c>
      <c r="C130" s="8">
        <v>10749</v>
      </c>
      <c r="D130" t="str">
        <f t="shared" si="1"/>
        <v>2021-55-59 år</v>
      </c>
    </row>
    <row r="131" spans="1:4" x14ac:dyDescent="0.25">
      <c r="A131" s="7" t="s">
        <v>34</v>
      </c>
      <c r="B131" s="7" t="s">
        <v>20</v>
      </c>
      <c r="C131" s="8">
        <v>6688</v>
      </c>
      <c r="D131" t="str">
        <f t="shared" si="1"/>
        <v>2021-60-64 år</v>
      </c>
    </row>
    <row r="132" spans="1:4" x14ac:dyDescent="0.25">
      <c r="A132" s="7" t="s">
        <v>34</v>
      </c>
      <c r="B132" s="7" t="s">
        <v>21</v>
      </c>
      <c r="C132" s="8">
        <v>2522</v>
      </c>
      <c r="D132" t="str">
        <f t="shared" si="1"/>
        <v>2021-65+ år</v>
      </c>
    </row>
    <row r="133" spans="1:4" x14ac:dyDescent="0.25">
      <c r="A133" s="7" t="s">
        <v>35</v>
      </c>
      <c r="B133" s="7" t="s">
        <v>13</v>
      </c>
      <c r="C133" s="8">
        <v>8107</v>
      </c>
      <c r="D133" t="str">
        <f t="shared" si="1"/>
        <v>2022-25-29 år</v>
      </c>
    </row>
    <row r="134" spans="1:4" x14ac:dyDescent="0.25">
      <c r="A134" s="7" t="s">
        <v>35</v>
      </c>
      <c r="B134" s="7" t="s">
        <v>14</v>
      </c>
      <c r="C134" s="8">
        <v>9307</v>
      </c>
      <c r="D134" t="str">
        <f t="shared" si="1"/>
        <v>2022-30-34 år</v>
      </c>
    </row>
    <row r="135" spans="1:4" x14ac:dyDescent="0.25">
      <c r="A135" s="7" t="s">
        <v>35</v>
      </c>
      <c r="B135" s="7" t="s">
        <v>15</v>
      </c>
      <c r="C135" s="8">
        <v>9287</v>
      </c>
      <c r="D135" t="str">
        <f t="shared" ref="D135:D158" si="2">A135&amp;"-"&amp;B135</f>
        <v>2022-35-39 år</v>
      </c>
    </row>
    <row r="136" spans="1:4" x14ac:dyDescent="0.25">
      <c r="A136" s="7" t="s">
        <v>35</v>
      </c>
      <c r="B136" s="7" t="s">
        <v>16</v>
      </c>
      <c r="C136" s="8">
        <v>9808</v>
      </c>
      <c r="D136" t="str">
        <f t="shared" si="2"/>
        <v>2022-40-44 år</v>
      </c>
    </row>
    <row r="137" spans="1:4" x14ac:dyDescent="0.25">
      <c r="A137" s="7" t="s">
        <v>35</v>
      </c>
      <c r="B137" s="7" t="s">
        <v>17</v>
      </c>
      <c r="C137" s="8">
        <v>10063</v>
      </c>
      <c r="D137" t="str">
        <f t="shared" si="2"/>
        <v>2022-45-49 år</v>
      </c>
    </row>
    <row r="138" spans="1:4" x14ac:dyDescent="0.25">
      <c r="A138" s="7" t="s">
        <v>35</v>
      </c>
      <c r="B138" s="7" t="s">
        <v>18</v>
      </c>
      <c r="C138" s="8">
        <v>9799</v>
      </c>
      <c r="D138" t="str">
        <f t="shared" si="2"/>
        <v>2022-50-54 år</v>
      </c>
    </row>
    <row r="139" spans="1:4" x14ac:dyDescent="0.25">
      <c r="A139" s="7" t="s">
        <v>35</v>
      </c>
      <c r="B139" s="7" t="s">
        <v>19</v>
      </c>
      <c r="C139" s="8">
        <v>11340</v>
      </c>
      <c r="D139" t="str">
        <f t="shared" si="2"/>
        <v>2022-55-59 år</v>
      </c>
    </row>
    <row r="140" spans="1:4" x14ac:dyDescent="0.25">
      <c r="A140" s="7" t="s">
        <v>35</v>
      </c>
      <c r="B140" s="7" t="s">
        <v>20</v>
      </c>
      <c r="C140" s="8">
        <v>6943</v>
      </c>
      <c r="D140" t="str">
        <f t="shared" si="2"/>
        <v>2022-60-64 år</v>
      </c>
    </row>
    <row r="141" spans="1:4" x14ac:dyDescent="0.25">
      <c r="A141" s="7" t="s">
        <v>35</v>
      </c>
      <c r="B141" s="7" t="s">
        <v>21</v>
      </c>
      <c r="C141" s="8">
        <v>2779</v>
      </c>
      <c r="D141" t="str">
        <f t="shared" si="2"/>
        <v>2022-65+ år</v>
      </c>
    </row>
    <row r="142" spans="1:4" x14ac:dyDescent="0.25">
      <c r="A142" s="7" t="s">
        <v>36</v>
      </c>
      <c r="B142" s="7" t="s">
        <v>13</v>
      </c>
      <c r="C142" s="8">
        <v>8433</v>
      </c>
      <c r="D142" t="str">
        <f t="shared" si="2"/>
        <v>2023-25-29 år</v>
      </c>
    </row>
    <row r="143" spans="1:4" x14ac:dyDescent="0.25">
      <c r="A143" s="7" t="s">
        <v>36</v>
      </c>
      <c r="B143" s="7" t="s">
        <v>14</v>
      </c>
      <c r="C143" s="8">
        <v>9786</v>
      </c>
      <c r="D143" t="str">
        <f t="shared" si="2"/>
        <v>2023-30-34 år</v>
      </c>
    </row>
    <row r="144" spans="1:4" x14ac:dyDescent="0.25">
      <c r="A144" s="7" t="s">
        <v>36</v>
      </c>
      <c r="B144" s="7" t="s">
        <v>15</v>
      </c>
      <c r="C144" s="8">
        <v>9648</v>
      </c>
      <c r="D144" t="str">
        <f t="shared" si="2"/>
        <v>2023-35-39 år</v>
      </c>
    </row>
    <row r="145" spans="1:4" x14ac:dyDescent="0.25">
      <c r="A145" s="7" t="s">
        <v>36</v>
      </c>
      <c r="B145" s="7" t="s">
        <v>16</v>
      </c>
      <c r="C145" s="8">
        <v>9770</v>
      </c>
      <c r="D145" t="str">
        <f t="shared" si="2"/>
        <v>2023-40-44 år</v>
      </c>
    </row>
    <row r="146" spans="1:4" x14ac:dyDescent="0.25">
      <c r="A146" s="7" t="s">
        <v>36</v>
      </c>
      <c r="B146" s="7" t="s">
        <v>17</v>
      </c>
      <c r="C146" s="8">
        <v>10262</v>
      </c>
      <c r="D146" t="str">
        <f t="shared" si="2"/>
        <v>2023-45-49 år</v>
      </c>
    </row>
    <row r="147" spans="1:4" x14ac:dyDescent="0.25">
      <c r="A147" s="7" t="s">
        <v>36</v>
      </c>
      <c r="B147" s="7" t="s">
        <v>18</v>
      </c>
      <c r="C147" s="8">
        <v>9513</v>
      </c>
      <c r="D147" t="str">
        <f t="shared" si="2"/>
        <v>2023-50-54 år</v>
      </c>
    </row>
    <row r="148" spans="1:4" x14ac:dyDescent="0.25">
      <c r="A148" s="7" t="s">
        <v>36</v>
      </c>
      <c r="B148" s="7" t="s">
        <v>19</v>
      </c>
      <c r="C148" s="8">
        <v>11614</v>
      </c>
      <c r="D148" t="str">
        <f t="shared" si="2"/>
        <v>2023-55-59 år</v>
      </c>
    </row>
    <row r="149" spans="1:4" x14ac:dyDescent="0.25">
      <c r="A149" s="7" t="s">
        <v>36</v>
      </c>
      <c r="B149" s="7" t="s">
        <v>20</v>
      </c>
      <c r="C149" s="8">
        <v>7443</v>
      </c>
      <c r="D149" t="str">
        <f t="shared" si="2"/>
        <v>2023-60-64 år</v>
      </c>
    </row>
    <row r="150" spans="1:4" x14ac:dyDescent="0.25">
      <c r="A150" s="7" t="s">
        <v>36</v>
      </c>
      <c r="B150" s="7" t="s">
        <v>21</v>
      </c>
      <c r="C150" s="8">
        <v>3139</v>
      </c>
      <c r="D150" t="str">
        <f t="shared" si="2"/>
        <v>2023-65+ år</v>
      </c>
    </row>
    <row r="151" spans="1:4" x14ac:dyDescent="0.25">
      <c r="A151" s="7" t="s">
        <v>37</v>
      </c>
      <c r="B151" s="7" t="s">
        <v>13</v>
      </c>
      <c r="C151" s="8">
        <v>8560</v>
      </c>
      <c r="D151" t="str">
        <f t="shared" si="2"/>
        <v>2024-25-29 år</v>
      </c>
    </row>
    <row r="152" spans="1:4" x14ac:dyDescent="0.25">
      <c r="A152" s="7" t="s">
        <v>37</v>
      </c>
      <c r="B152" s="7" t="s">
        <v>14</v>
      </c>
      <c r="C152" s="8">
        <v>10150</v>
      </c>
      <c r="D152" t="str">
        <f t="shared" si="2"/>
        <v>2024-30-34 år</v>
      </c>
    </row>
    <row r="153" spans="1:4" x14ac:dyDescent="0.25">
      <c r="A153" s="7" t="s">
        <v>37</v>
      </c>
      <c r="B153" s="7" t="s">
        <v>15</v>
      </c>
      <c r="C153" s="8">
        <v>9885</v>
      </c>
      <c r="D153" t="str">
        <f t="shared" si="2"/>
        <v>2024-35-39 år</v>
      </c>
    </row>
    <row r="154" spans="1:4" x14ac:dyDescent="0.25">
      <c r="A154" s="7" t="s">
        <v>37</v>
      </c>
      <c r="B154" s="7" t="s">
        <v>16</v>
      </c>
      <c r="C154" s="8">
        <v>9594</v>
      </c>
      <c r="D154" t="str">
        <f t="shared" si="2"/>
        <v>2024-40-44 år</v>
      </c>
    </row>
    <row r="155" spans="1:4" x14ac:dyDescent="0.25">
      <c r="A155" s="7" t="s">
        <v>37</v>
      </c>
      <c r="B155" s="7" t="s">
        <v>17</v>
      </c>
      <c r="C155" s="8">
        <v>10483</v>
      </c>
      <c r="D155" t="str">
        <f t="shared" si="2"/>
        <v>2024-45-49 år</v>
      </c>
    </row>
    <row r="156" spans="1:4" x14ac:dyDescent="0.25">
      <c r="A156" s="7" t="s">
        <v>37</v>
      </c>
      <c r="B156" s="7" t="s">
        <v>18</v>
      </c>
      <c r="C156" s="8">
        <v>9604</v>
      </c>
      <c r="D156" t="str">
        <f t="shared" si="2"/>
        <v>2024-50-54 år</v>
      </c>
    </row>
    <row r="157" spans="1:4" x14ac:dyDescent="0.25">
      <c r="A157" s="7" t="s">
        <v>37</v>
      </c>
      <c r="B157" s="7" t="s">
        <v>19</v>
      </c>
      <c r="C157" s="8">
        <v>11402</v>
      </c>
      <c r="D157" t="str">
        <f t="shared" si="2"/>
        <v>2024-55-59 år</v>
      </c>
    </row>
    <row r="158" spans="1:4" x14ac:dyDescent="0.25">
      <c r="A158" s="7" t="s">
        <v>37</v>
      </c>
      <c r="B158" s="7" t="s">
        <v>20</v>
      </c>
      <c r="C158" s="8">
        <v>7871</v>
      </c>
      <c r="D158" t="str">
        <f t="shared" si="2"/>
        <v>2024-60-64 år</v>
      </c>
    </row>
    <row r="159" spans="1:4" ht="15.75" thickBot="1" x14ac:dyDescent="0.3">
      <c r="A159" s="7" t="s">
        <v>37</v>
      </c>
      <c r="B159" s="7" t="s">
        <v>21</v>
      </c>
      <c r="C159" s="8">
        <v>3573</v>
      </c>
      <c r="D159" t="str">
        <f>A159&amp;"-"&amp;B159</f>
        <v>2024-65+ år</v>
      </c>
    </row>
    <row r="160" spans="1:4" ht="15.75" thickTop="1" x14ac:dyDescent="0.25">
      <c r="A160" s="9"/>
      <c r="B160" s="9"/>
      <c r="C160" s="9"/>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defaultColWidth="8.7109375" defaultRowHeight="15" x14ac:dyDescent="0.25"/>
  <cols>
    <col min="1" max="1" width="3.140625" style="2" customWidth="1"/>
    <col min="2" max="2" width="20" style="2" bestFit="1" customWidth="1"/>
    <col min="3" max="6" width="13.85546875" style="2" bestFit="1" customWidth="1"/>
    <col min="7" max="16384" width="8.7109375" style="2"/>
  </cols>
  <sheetData>
    <row r="2" spans="2:7" x14ac:dyDescent="0.25">
      <c r="B2" t="s">
        <v>73</v>
      </c>
      <c r="C2" t="s">
        <v>69</v>
      </c>
      <c r="D2" t="s">
        <v>70</v>
      </c>
      <c r="E2" t="s">
        <v>71</v>
      </c>
      <c r="F2" t="s">
        <v>72</v>
      </c>
      <c r="G2" s="84" t="s">
        <v>75</v>
      </c>
    </row>
    <row r="3" spans="2:7" x14ac:dyDescent="0.25">
      <c r="B3" t="s">
        <v>66</v>
      </c>
      <c r="C3">
        <v>1</v>
      </c>
      <c r="D3">
        <v>0.75</v>
      </c>
      <c r="E3">
        <v>0.5</v>
      </c>
      <c r="F3">
        <v>0.25</v>
      </c>
      <c r="G3" s="84"/>
    </row>
    <row r="4" spans="2:7" x14ac:dyDescent="0.25">
      <c r="B4" t="s">
        <v>67</v>
      </c>
      <c r="C4" s="34">
        <f>'Net Salary P1'!E37</f>
        <v>1864268.0513442026</v>
      </c>
      <c r="D4" s="34">
        <f>3500000*0.2</f>
        <v>700000</v>
      </c>
      <c r="E4" s="34">
        <v>72530</v>
      </c>
      <c r="F4" s="34">
        <f>2500000*0.3</f>
        <v>750000</v>
      </c>
      <c r="G4" s="84"/>
    </row>
    <row r="5" spans="2:7" x14ac:dyDescent="0.25">
      <c r="B5" t="s">
        <v>68</v>
      </c>
      <c r="C5">
        <v>50</v>
      </c>
      <c r="D5">
        <v>10</v>
      </c>
      <c r="E5">
        <v>20</v>
      </c>
      <c r="F5">
        <v>30</v>
      </c>
      <c r="G5" s="84"/>
    </row>
    <row r="7" spans="2:7" x14ac:dyDescent="0.25">
      <c r="B7" t="s">
        <v>73</v>
      </c>
      <c r="C7" t="s">
        <v>69</v>
      </c>
      <c r="D7" t="s">
        <v>70</v>
      </c>
      <c r="E7" t="s">
        <v>71</v>
      </c>
      <c r="F7" t="s">
        <v>72</v>
      </c>
      <c r="G7" s="84" t="s">
        <v>74</v>
      </c>
    </row>
    <row r="8" spans="2:7" x14ac:dyDescent="0.25">
      <c r="B8" t="s">
        <v>66</v>
      </c>
      <c r="C8">
        <v>1</v>
      </c>
      <c r="D8">
        <v>0.75</v>
      </c>
      <c r="E8">
        <v>0.5</v>
      </c>
      <c r="F8">
        <v>0.25</v>
      </c>
      <c r="G8" s="84"/>
    </row>
    <row r="9" spans="2:7" x14ac:dyDescent="0.25">
      <c r="B9" t="s">
        <v>67</v>
      </c>
      <c r="C9" s="34">
        <f>'Net Salary P2'!E37</f>
        <v>4212659.3152651591</v>
      </c>
      <c r="D9" s="34">
        <f>3500000*0.2</f>
        <v>700000</v>
      </c>
      <c r="E9" s="34">
        <v>75176</v>
      </c>
      <c r="F9" s="34">
        <f>2500000*0.3</f>
        <v>750000</v>
      </c>
      <c r="G9" s="84"/>
    </row>
    <row r="10" spans="2:7" x14ac:dyDescent="0.25">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M30" sqref="M30"/>
    </sheetView>
  </sheetViews>
  <sheetFormatPr defaultColWidth="8.7109375" defaultRowHeight="15" x14ac:dyDescent="0.25"/>
  <cols>
    <col min="1" max="1" width="3.42578125" style="2" customWidth="1"/>
    <col min="2" max="2" width="8.7109375" style="2"/>
    <col min="3" max="3" width="13.140625" style="2" customWidth="1"/>
    <col min="4" max="4" width="11.42578125" style="2" customWidth="1"/>
    <col min="5" max="5" width="11.28515625" style="2" customWidth="1"/>
    <col min="6" max="6" width="16.28515625" style="2" customWidth="1"/>
    <col min="7" max="16384" width="8.7109375" style="2"/>
  </cols>
  <sheetData>
    <row r="2" spans="2:6" x14ac:dyDescent="0.25">
      <c r="B2" s="3" t="s">
        <v>0</v>
      </c>
      <c r="C2" s="3" t="s">
        <v>1</v>
      </c>
      <c r="D2" s="3" t="s">
        <v>168</v>
      </c>
      <c r="E2" s="3" t="s">
        <v>169</v>
      </c>
      <c r="F2" s="3" t="s">
        <v>170</v>
      </c>
    </row>
    <row r="3" spans="2:6" x14ac:dyDescent="0.25">
      <c r="B3" s="3">
        <v>1</v>
      </c>
      <c r="C3" s="3">
        <v>2025</v>
      </c>
      <c r="D3" s="3">
        <v>25</v>
      </c>
      <c r="E3" s="3">
        <v>40</v>
      </c>
      <c r="F3" s="3" t="s">
        <v>0</v>
      </c>
    </row>
    <row r="4" spans="2:6" x14ac:dyDescent="0.25">
      <c r="B4" s="3">
        <v>2</v>
      </c>
      <c r="C4" s="3">
        <v>2026</v>
      </c>
      <c r="D4" s="3">
        <f>D3+1</f>
        <v>26</v>
      </c>
      <c r="E4" s="3">
        <f>E3+1</f>
        <v>41</v>
      </c>
      <c r="F4" s="3" t="s">
        <v>0</v>
      </c>
    </row>
    <row r="5" spans="2:6" x14ac:dyDescent="0.25">
      <c r="B5" s="3">
        <v>3</v>
      </c>
      <c r="C5" s="3">
        <v>2027</v>
      </c>
      <c r="D5" s="3">
        <f t="shared" ref="D5:E16" si="0">D4+1</f>
        <v>27</v>
      </c>
      <c r="E5" s="3">
        <f t="shared" si="0"/>
        <v>42</v>
      </c>
      <c r="F5" s="3" t="s">
        <v>0</v>
      </c>
    </row>
    <row r="6" spans="2:6" x14ac:dyDescent="0.25">
      <c r="B6" s="3">
        <v>4</v>
      </c>
      <c r="C6" s="3">
        <v>2028</v>
      </c>
      <c r="D6" s="3">
        <f t="shared" si="0"/>
        <v>28</v>
      </c>
      <c r="E6" s="3">
        <f t="shared" si="0"/>
        <v>43</v>
      </c>
      <c r="F6" s="3" t="s">
        <v>0</v>
      </c>
    </row>
    <row r="7" spans="2:6" x14ac:dyDescent="0.25">
      <c r="B7" s="3">
        <v>5</v>
      </c>
      <c r="C7" s="3">
        <v>2029</v>
      </c>
      <c r="D7" s="3">
        <f t="shared" si="0"/>
        <v>29</v>
      </c>
      <c r="E7" s="3">
        <f t="shared" si="0"/>
        <v>44</v>
      </c>
      <c r="F7" s="3" t="s">
        <v>0</v>
      </c>
    </row>
    <row r="8" spans="2:6" x14ac:dyDescent="0.25">
      <c r="B8" s="3">
        <v>6</v>
      </c>
      <c r="C8" s="3">
        <v>2030</v>
      </c>
      <c r="D8" s="3">
        <f t="shared" si="0"/>
        <v>30</v>
      </c>
      <c r="E8" s="3">
        <f t="shared" si="0"/>
        <v>45</v>
      </c>
      <c r="F8" s="3" t="s">
        <v>0</v>
      </c>
    </row>
    <row r="9" spans="2:6" x14ac:dyDescent="0.25">
      <c r="B9" s="3">
        <v>7</v>
      </c>
      <c r="C9" s="3">
        <v>2031</v>
      </c>
      <c r="D9" s="3">
        <f t="shared" si="0"/>
        <v>31</v>
      </c>
      <c r="E9" s="3">
        <f t="shared" si="0"/>
        <v>46</v>
      </c>
      <c r="F9" s="3" t="s">
        <v>0</v>
      </c>
    </row>
    <row r="10" spans="2:6" x14ac:dyDescent="0.25">
      <c r="B10" s="3">
        <v>8</v>
      </c>
      <c r="C10" s="3">
        <v>2032</v>
      </c>
      <c r="D10" s="3">
        <f t="shared" si="0"/>
        <v>32</v>
      </c>
      <c r="E10" s="3">
        <f t="shared" si="0"/>
        <v>47</v>
      </c>
      <c r="F10" s="3" t="s">
        <v>0</v>
      </c>
    </row>
    <row r="11" spans="2:6" x14ac:dyDescent="0.25">
      <c r="B11" s="3">
        <v>9</v>
      </c>
      <c r="C11" s="3">
        <v>2033</v>
      </c>
      <c r="D11" s="3">
        <f t="shared" si="0"/>
        <v>33</v>
      </c>
      <c r="E11" s="3">
        <f t="shared" si="0"/>
        <v>48</v>
      </c>
      <c r="F11" s="3" t="s">
        <v>0</v>
      </c>
    </row>
    <row r="12" spans="2:6" x14ac:dyDescent="0.25">
      <c r="B12" s="3">
        <v>10</v>
      </c>
      <c r="C12" s="3">
        <v>2034</v>
      </c>
      <c r="D12" s="3">
        <f t="shared" si="0"/>
        <v>34</v>
      </c>
      <c r="E12" s="3">
        <f t="shared" si="0"/>
        <v>49</v>
      </c>
      <c r="F12" s="3" t="s">
        <v>0</v>
      </c>
    </row>
    <row r="13" spans="2:6" x14ac:dyDescent="0.25">
      <c r="B13" s="3">
        <v>11</v>
      </c>
      <c r="C13" s="3">
        <v>2035</v>
      </c>
      <c r="D13" s="3">
        <f t="shared" si="0"/>
        <v>35</v>
      </c>
      <c r="E13" s="3">
        <f t="shared" si="0"/>
        <v>50</v>
      </c>
      <c r="F13" s="3" t="s">
        <v>0</v>
      </c>
    </row>
    <row r="14" spans="2:6" x14ac:dyDescent="0.25">
      <c r="B14" s="3">
        <v>12</v>
      </c>
      <c r="C14" s="3">
        <v>2036</v>
      </c>
      <c r="D14" s="3">
        <f t="shared" si="0"/>
        <v>36</v>
      </c>
      <c r="E14" s="3">
        <f t="shared" si="0"/>
        <v>51</v>
      </c>
      <c r="F14" s="3" t="s">
        <v>0</v>
      </c>
    </row>
    <row r="15" spans="2:6" x14ac:dyDescent="0.25">
      <c r="B15" s="3">
        <v>13</v>
      </c>
      <c r="C15" s="3">
        <v>2037</v>
      </c>
      <c r="D15" s="3">
        <f t="shared" si="0"/>
        <v>37</v>
      </c>
      <c r="E15" s="3">
        <f t="shared" si="0"/>
        <v>52</v>
      </c>
      <c r="F15" s="3" t="s">
        <v>0</v>
      </c>
    </row>
    <row r="16" spans="2:6" x14ac:dyDescent="0.25">
      <c r="B16" s="3">
        <v>14</v>
      </c>
      <c r="C16" s="3">
        <v>2038</v>
      </c>
      <c r="D16" s="3">
        <f t="shared" si="0"/>
        <v>38</v>
      </c>
      <c r="E16" s="3">
        <f t="shared" si="0"/>
        <v>53</v>
      </c>
      <c r="F16" s="3" t="s">
        <v>0</v>
      </c>
    </row>
    <row r="17" spans="2:6" x14ac:dyDescent="0.25">
      <c r="B17" s="3">
        <v>15</v>
      </c>
      <c r="C17" s="3">
        <v>2039</v>
      </c>
      <c r="D17" s="3">
        <f>D16+1</f>
        <v>39</v>
      </c>
      <c r="E17" s="3">
        <f>E16+1</f>
        <v>54</v>
      </c>
      <c r="F17" s="3" t="s">
        <v>0</v>
      </c>
    </row>
    <row r="18" spans="2:6" x14ac:dyDescent="0.25">
      <c r="B18" s="3">
        <v>16</v>
      </c>
      <c r="C18" s="3">
        <v>2040</v>
      </c>
      <c r="D18" s="3">
        <f t="shared" ref="D18:E33" si="1">D17+1</f>
        <v>40</v>
      </c>
      <c r="E18" s="3">
        <f t="shared" si="1"/>
        <v>55</v>
      </c>
      <c r="F18" s="3" t="s">
        <v>0</v>
      </c>
    </row>
    <row r="19" spans="2:6" x14ac:dyDescent="0.25">
      <c r="B19" s="3">
        <v>17</v>
      </c>
      <c r="C19" s="3">
        <v>2041</v>
      </c>
      <c r="D19" s="3">
        <f t="shared" si="1"/>
        <v>41</v>
      </c>
      <c r="E19" s="3">
        <f t="shared" si="1"/>
        <v>56</v>
      </c>
      <c r="F19" s="3" t="s">
        <v>0</v>
      </c>
    </row>
    <row r="20" spans="2:6" x14ac:dyDescent="0.25">
      <c r="B20" s="3">
        <v>18</v>
      </c>
      <c r="C20" s="3">
        <v>2042</v>
      </c>
      <c r="D20" s="3">
        <f t="shared" si="1"/>
        <v>42</v>
      </c>
      <c r="E20" s="3">
        <f t="shared" si="1"/>
        <v>57</v>
      </c>
      <c r="F20" s="3" t="s">
        <v>0</v>
      </c>
    </row>
    <row r="21" spans="2:6" x14ac:dyDescent="0.25">
      <c r="B21" s="3">
        <v>19</v>
      </c>
      <c r="C21" s="3">
        <v>2043</v>
      </c>
      <c r="D21" s="3">
        <f t="shared" si="1"/>
        <v>43</v>
      </c>
      <c r="E21" s="3">
        <f t="shared" si="1"/>
        <v>58</v>
      </c>
      <c r="F21" s="3" t="s">
        <v>0</v>
      </c>
    </row>
    <row r="22" spans="2:6" x14ac:dyDescent="0.25">
      <c r="B22" s="3">
        <v>20</v>
      </c>
      <c r="C22" s="3">
        <v>2044</v>
      </c>
      <c r="D22" s="3">
        <f t="shared" si="1"/>
        <v>44</v>
      </c>
      <c r="E22" s="3">
        <f t="shared" si="1"/>
        <v>59</v>
      </c>
      <c r="F22" s="3" t="s">
        <v>0</v>
      </c>
    </row>
    <row r="23" spans="2:6" x14ac:dyDescent="0.25">
      <c r="B23" s="3">
        <v>21</v>
      </c>
      <c r="C23" s="3">
        <v>2045</v>
      </c>
      <c r="D23" s="3">
        <f t="shared" si="1"/>
        <v>45</v>
      </c>
      <c r="E23" s="3">
        <f t="shared" si="1"/>
        <v>60</v>
      </c>
      <c r="F23" s="3" t="s">
        <v>0</v>
      </c>
    </row>
    <row r="24" spans="2:6" x14ac:dyDescent="0.25">
      <c r="B24" s="3">
        <v>22</v>
      </c>
      <c r="C24" s="3">
        <v>2046</v>
      </c>
      <c r="D24" s="3">
        <f t="shared" si="1"/>
        <v>46</v>
      </c>
      <c r="E24" s="3">
        <f t="shared" si="1"/>
        <v>61</v>
      </c>
      <c r="F24" s="3" t="s">
        <v>0</v>
      </c>
    </row>
    <row r="25" spans="2:6" x14ac:dyDescent="0.25">
      <c r="B25" s="3">
        <v>23</v>
      </c>
      <c r="C25" s="3">
        <v>2047</v>
      </c>
      <c r="D25" s="3">
        <f t="shared" si="1"/>
        <v>47</v>
      </c>
      <c r="E25" s="3">
        <f t="shared" si="1"/>
        <v>62</v>
      </c>
      <c r="F25" s="3" t="s">
        <v>0</v>
      </c>
    </row>
    <row r="26" spans="2:6" x14ac:dyDescent="0.25">
      <c r="B26" s="3">
        <v>24</v>
      </c>
      <c r="C26" s="3">
        <v>2048</v>
      </c>
      <c r="D26" s="3">
        <f t="shared" si="1"/>
        <v>48</v>
      </c>
      <c r="E26" s="3">
        <f t="shared" si="1"/>
        <v>63</v>
      </c>
      <c r="F26" s="3" t="s">
        <v>0</v>
      </c>
    </row>
    <row r="27" spans="2:6" x14ac:dyDescent="0.25">
      <c r="B27" s="3">
        <v>25</v>
      </c>
      <c r="C27" s="3">
        <v>2049</v>
      </c>
      <c r="D27" s="3">
        <f t="shared" si="1"/>
        <v>49</v>
      </c>
      <c r="E27" s="3">
        <f t="shared" si="1"/>
        <v>64</v>
      </c>
      <c r="F27" s="3" t="s">
        <v>0</v>
      </c>
    </row>
    <row r="28" spans="2:6" x14ac:dyDescent="0.25">
      <c r="B28" s="3">
        <v>26</v>
      </c>
      <c r="C28" s="3">
        <v>2050</v>
      </c>
      <c r="D28" s="3">
        <f t="shared" si="1"/>
        <v>50</v>
      </c>
      <c r="E28" s="3">
        <f t="shared" si="1"/>
        <v>65</v>
      </c>
      <c r="F28" s="3" t="s">
        <v>0</v>
      </c>
    </row>
    <row r="29" spans="2:6" x14ac:dyDescent="0.25">
      <c r="B29" s="3">
        <v>27</v>
      </c>
      <c r="C29" s="3">
        <v>2051</v>
      </c>
      <c r="D29" s="3">
        <f t="shared" si="1"/>
        <v>51</v>
      </c>
      <c r="E29" s="3">
        <f t="shared" si="1"/>
        <v>66</v>
      </c>
      <c r="F29" s="3" t="s">
        <v>0</v>
      </c>
    </row>
    <row r="30" spans="2:6" x14ac:dyDescent="0.25">
      <c r="B30" s="3">
        <v>28</v>
      </c>
      <c r="C30" s="3">
        <v>2052</v>
      </c>
      <c r="D30" s="3">
        <f t="shared" si="1"/>
        <v>52</v>
      </c>
      <c r="E30" s="3">
        <f t="shared" si="1"/>
        <v>67</v>
      </c>
      <c r="F30" s="3" t="s">
        <v>0</v>
      </c>
    </row>
    <row r="31" spans="2:6" x14ac:dyDescent="0.25">
      <c r="B31" s="3">
        <v>29</v>
      </c>
      <c r="C31" s="3">
        <v>2053</v>
      </c>
      <c r="D31" s="3">
        <f t="shared" si="1"/>
        <v>53</v>
      </c>
      <c r="E31" s="3">
        <f t="shared" si="1"/>
        <v>68</v>
      </c>
      <c r="F31" s="3" t="s">
        <v>0</v>
      </c>
    </row>
    <row r="32" spans="2:6" x14ac:dyDescent="0.25">
      <c r="B32" s="3">
        <v>30</v>
      </c>
      <c r="C32" s="3">
        <v>2054</v>
      </c>
      <c r="D32" s="3">
        <f t="shared" si="1"/>
        <v>54</v>
      </c>
      <c r="E32" s="3">
        <f t="shared" si="1"/>
        <v>69</v>
      </c>
      <c r="F32" s="3" t="s">
        <v>0</v>
      </c>
    </row>
    <row r="33" spans="2:6" x14ac:dyDescent="0.25">
      <c r="B33" s="3">
        <v>31</v>
      </c>
      <c r="C33" s="3">
        <v>2055</v>
      </c>
      <c r="D33" s="3">
        <f t="shared" si="1"/>
        <v>55</v>
      </c>
      <c r="E33" s="3">
        <f t="shared" si="1"/>
        <v>70</v>
      </c>
      <c r="F33" s="3" t="s">
        <v>0</v>
      </c>
    </row>
    <row r="34" spans="2:6" x14ac:dyDescent="0.25">
      <c r="B34" s="3">
        <v>32</v>
      </c>
      <c r="C34" s="3">
        <v>2056</v>
      </c>
      <c r="D34" s="3">
        <f t="shared" ref="D34:E49" si="2">D33+1</f>
        <v>56</v>
      </c>
      <c r="E34" s="3">
        <f t="shared" si="2"/>
        <v>71</v>
      </c>
      <c r="F34" s="3" t="s">
        <v>0</v>
      </c>
    </row>
    <row r="35" spans="2:6" x14ac:dyDescent="0.25">
      <c r="B35" s="3">
        <v>33</v>
      </c>
      <c r="C35" s="3">
        <v>2057</v>
      </c>
      <c r="D35" s="3">
        <f t="shared" si="2"/>
        <v>57</v>
      </c>
      <c r="E35" s="3">
        <f t="shared" si="2"/>
        <v>72</v>
      </c>
      <c r="F35" s="3" t="s">
        <v>0</v>
      </c>
    </row>
    <row r="36" spans="2:6" x14ac:dyDescent="0.25">
      <c r="B36" s="3">
        <v>34</v>
      </c>
      <c r="C36" s="3">
        <v>2058</v>
      </c>
      <c r="D36" s="3">
        <f t="shared" si="2"/>
        <v>58</v>
      </c>
      <c r="E36" s="3">
        <f t="shared" si="2"/>
        <v>73</v>
      </c>
      <c r="F36" s="3" t="s">
        <v>0</v>
      </c>
    </row>
    <row r="37" spans="2:6" x14ac:dyDescent="0.25">
      <c r="B37" s="3">
        <v>35</v>
      </c>
      <c r="C37" s="3">
        <v>2059</v>
      </c>
      <c r="D37" s="3">
        <f t="shared" si="2"/>
        <v>59</v>
      </c>
      <c r="E37" s="3">
        <f t="shared" si="2"/>
        <v>74</v>
      </c>
      <c r="F37" s="3" t="s">
        <v>0</v>
      </c>
    </row>
    <row r="38" spans="2:6" x14ac:dyDescent="0.25">
      <c r="B38" s="3">
        <v>36</v>
      </c>
      <c r="C38" s="3">
        <v>2060</v>
      </c>
      <c r="D38" s="3">
        <f t="shared" si="2"/>
        <v>60</v>
      </c>
      <c r="E38" s="3">
        <f t="shared" si="2"/>
        <v>75</v>
      </c>
      <c r="F38" s="3" t="s">
        <v>0</v>
      </c>
    </row>
    <row r="39" spans="2:6" x14ac:dyDescent="0.25">
      <c r="B39" s="3">
        <v>37</v>
      </c>
      <c r="C39" s="3">
        <v>2061</v>
      </c>
      <c r="D39" s="3">
        <f t="shared" si="2"/>
        <v>61</v>
      </c>
      <c r="E39" s="3">
        <f t="shared" si="2"/>
        <v>76</v>
      </c>
      <c r="F39" s="3" t="s">
        <v>0</v>
      </c>
    </row>
    <row r="40" spans="2:6" x14ac:dyDescent="0.25">
      <c r="B40" s="3">
        <v>38</v>
      </c>
      <c r="C40" s="3">
        <v>2062</v>
      </c>
      <c r="D40" s="3">
        <f t="shared" si="2"/>
        <v>62</v>
      </c>
      <c r="E40" s="3">
        <f t="shared" si="2"/>
        <v>77</v>
      </c>
      <c r="F40" s="3" t="s">
        <v>0</v>
      </c>
    </row>
    <row r="41" spans="2:6" x14ac:dyDescent="0.25">
      <c r="B41" s="3">
        <v>39</v>
      </c>
      <c r="C41" s="3">
        <v>2063</v>
      </c>
      <c r="D41" s="3">
        <f t="shared" si="2"/>
        <v>63</v>
      </c>
      <c r="E41" s="3">
        <f t="shared" si="2"/>
        <v>78</v>
      </c>
      <c r="F41" s="3" t="s">
        <v>0</v>
      </c>
    </row>
    <row r="42" spans="2:6" x14ac:dyDescent="0.25">
      <c r="B42" s="3">
        <v>40</v>
      </c>
      <c r="C42" s="3">
        <v>2064</v>
      </c>
      <c r="D42" s="3">
        <f t="shared" si="2"/>
        <v>64</v>
      </c>
      <c r="E42" s="3">
        <f t="shared" si="2"/>
        <v>79</v>
      </c>
      <c r="F42" s="3" t="s">
        <v>0</v>
      </c>
    </row>
    <row r="43" spans="2:6" x14ac:dyDescent="0.25">
      <c r="B43" s="3">
        <v>41</v>
      </c>
      <c r="C43" s="3">
        <v>2065</v>
      </c>
      <c r="D43" s="3">
        <f t="shared" si="2"/>
        <v>65</v>
      </c>
      <c r="E43" s="3">
        <f t="shared" si="2"/>
        <v>80</v>
      </c>
      <c r="F43" s="3" t="s">
        <v>0</v>
      </c>
    </row>
    <row r="44" spans="2:6" x14ac:dyDescent="0.25">
      <c r="B44" s="3">
        <v>42</v>
      </c>
      <c r="C44" s="3">
        <v>2066</v>
      </c>
      <c r="D44" s="3">
        <f t="shared" si="2"/>
        <v>66</v>
      </c>
      <c r="E44" s="3">
        <f t="shared" si="2"/>
        <v>81</v>
      </c>
      <c r="F44" s="3" t="s">
        <v>0</v>
      </c>
    </row>
    <row r="45" spans="2:6" x14ac:dyDescent="0.25">
      <c r="B45" s="3">
        <v>43</v>
      </c>
      <c r="C45" s="3">
        <v>2067</v>
      </c>
      <c r="D45" s="3">
        <f t="shared" si="2"/>
        <v>67</v>
      </c>
      <c r="E45" s="3">
        <f t="shared" si="2"/>
        <v>82</v>
      </c>
      <c r="F45" s="3" t="s">
        <v>0</v>
      </c>
    </row>
    <row r="46" spans="2:6" x14ac:dyDescent="0.25">
      <c r="B46" s="3">
        <v>44</v>
      </c>
      <c r="C46" s="3">
        <v>2068</v>
      </c>
      <c r="D46" s="3">
        <f t="shared" si="2"/>
        <v>68</v>
      </c>
      <c r="E46" s="3">
        <f t="shared" si="2"/>
        <v>83</v>
      </c>
      <c r="F46" s="3" t="s">
        <v>0</v>
      </c>
    </row>
    <row r="47" spans="2:6" x14ac:dyDescent="0.25">
      <c r="B47" s="3">
        <v>45</v>
      </c>
      <c r="C47" s="3">
        <v>2069</v>
      </c>
      <c r="D47" s="3">
        <f t="shared" si="2"/>
        <v>69</v>
      </c>
      <c r="E47" s="3">
        <f t="shared" si="2"/>
        <v>84</v>
      </c>
      <c r="F47" s="3" t="s">
        <v>0</v>
      </c>
    </row>
    <row r="48" spans="2:6" x14ac:dyDescent="0.25">
      <c r="B48" s="3">
        <v>46</v>
      </c>
      <c r="C48" s="3">
        <v>2070</v>
      </c>
      <c r="D48" s="3">
        <f t="shared" si="2"/>
        <v>70</v>
      </c>
      <c r="E48" s="3">
        <f t="shared" si="2"/>
        <v>85</v>
      </c>
      <c r="F48" s="3" t="s">
        <v>0</v>
      </c>
    </row>
    <row r="49" spans="2:6" x14ac:dyDescent="0.25">
      <c r="B49" s="3">
        <v>47</v>
      </c>
      <c r="C49" s="3">
        <v>2071</v>
      </c>
      <c r="D49" s="3">
        <f t="shared" si="2"/>
        <v>71</v>
      </c>
      <c r="E49" s="3">
        <f t="shared" si="2"/>
        <v>86</v>
      </c>
      <c r="F49" s="3" t="s">
        <v>0</v>
      </c>
    </row>
    <row r="50" spans="2:6" x14ac:dyDescent="0.25">
      <c r="B50" s="3">
        <v>48</v>
      </c>
      <c r="C50" s="3">
        <v>2072</v>
      </c>
      <c r="D50" s="3">
        <f t="shared" ref="D50:E53" si="3">D49+1</f>
        <v>72</v>
      </c>
      <c r="E50" s="3">
        <f t="shared" si="3"/>
        <v>87</v>
      </c>
      <c r="F50" s="3" t="s">
        <v>0</v>
      </c>
    </row>
    <row r="51" spans="2:6" x14ac:dyDescent="0.25">
      <c r="B51" s="3">
        <v>49</v>
      </c>
      <c r="C51" s="3">
        <v>2073</v>
      </c>
      <c r="D51" s="3">
        <f t="shared" si="3"/>
        <v>73</v>
      </c>
      <c r="E51" s="3">
        <f t="shared" si="3"/>
        <v>88</v>
      </c>
      <c r="F51" s="3" t="s">
        <v>0</v>
      </c>
    </row>
    <row r="52" spans="2:6" x14ac:dyDescent="0.25">
      <c r="B52" s="3">
        <v>50</v>
      </c>
      <c r="C52" s="3">
        <v>2074</v>
      </c>
      <c r="D52" s="3">
        <f t="shared" si="3"/>
        <v>74</v>
      </c>
      <c r="E52" s="3">
        <f t="shared" si="3"/>
        <v>89</v>
      </c>
      <c r="F52" s="3" t="s">
        <v>0</v>
      </c>
    </row>
    <row r="53" spans="2:6" x14ac:dyDescent="0.2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2"/>
    <col min="3" max="3" width="10.140625" style="2" bestFit="1" customWidth="1"/>
    <col min="4" max="16384" width="8.7109375" style="2"/>
  </cols>
  <sheetData>
    <row r="1" spans="1:6" x14ac:dyDescent="0.25">
      <c r="A1" s="2" t="s">
        <v>163</v>
      </c>
    </row>
    <row r="2" spans="1:6" x14ac:dyDescent="0.25">
      <c r="A2" s="2" t="s">
        <v>1</v>
      </c>
      <c r="B2" s="2" t="s">
        <v>165</v>
      </c>
      <c r="C2" s="2" t="s">
        <v>166</v>
      </c>
    </row>
    <row r="3" spans="1:6" x14ac:dyDescent="0.25">
      <c r="A3" s="2">
        <v>2019</v>
      </c>
      <c r="B3" s="2">
        <v>50000</v>
      </c>
    </row>
    <row r="4" spans="1:6" x14ac:dyDescent="0.25">
      <c r="A4" s="2">
        <v>2020</v>
      </c>
      <c r="B4" s="2">
        <f>100000</f>
        <v>100000</v>
      </c>
      <c r="C4" s="23">
        <f t="shared" ref="C4:C9" si="0">(B4-B3)/B3</f>
        <v>1</v>
      </c>
    </row>
    <row r="5" spans="1:6" x14ac:dyDescent="0.25">
      <c r="A5" s="2">
        <v>2021</v>
      </c>
      <c r="B5" s="2">
        <v>102300</v>
      </c>
      <c r="C5" s="23">
        <f t="shared" si="0"/>
        <v>2.3E-2</v>
      </c>
    </row>
    <row r="6" spans="1:6" x14ac:dyDescent="0.25">
      <c r="A6" s="2">
        <v>2022</v>
      </c>
      <c r="B6" s="2">
        <v>103500</v>
      </c>
      <c r="C6" s="23">
        <f t="shared" si="0"/>
        <v>1.1730205278592375E-2</v>
      </c>
      <c r="E6" s="2" t="s">
        <v>164</v>
      </c>
      <c r="F6" s="2" t="s">
        <v>167</v>
      </c>
    </row>
    <row r="7" spans="1:6" x14ac:dyDescent="0.25">
      <c r="A7" s="2">
        <v>2023</v>
      </c>
      <c r="B7" s="2">
        <v>106600</v>
      </c>
      <c r="C7" s="23">
        <f t="shared" si="0"/>
        <v>2.9951690821256038E-2</v>
      </c>
      <c r="E7" s="24">
        <f>MEDIAN(C4:C9)</f>
        <v>0.12645487410819978</v>
      </c>
      <c r="F7" s="25">
        <f>MEDIAN(C5:C9)</f>
        <v>2.9951690821256038E-2</v>
      </c>
    </row>
    <row r="8" spans="1:6" x14ac:dyDescent="0.25">
      <c r="A8" s="2">
        <v>2024</v>
      </c>
      <c r="B8" s="2">
        <v>135900</v>
      </c>
      <c r="C8" s="23">
        <f t="shared" si="0"/>
        <v>0.27485928705440899</v>
      </c>
    </row>
    <row r="9" spans="1:6" x14ac:dyDescent="0.2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5546875" defaultRowHeight="15" x14ac:dyDescent="0.25"/>
  <cols>
    <col min="1" max="1" width="3.140625" bestFit="1" customWidth="1"/>
    <col min="2" max="2" width="10.1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5">
      <c r="A2" s="67" t="s">
        <v>75</v>
      </c>
      <c r="B2" s="67">
        <v>0</v>
      </c>
      <c r="C2" s="67" cm="1">
        <f t="array" ref="C2:BA2">TRANSPOSE(TableIncome[InvestmentP1])</f>
        <v>56593.714673317649</v>
      </c>
      <c r="D2" s="67">
        <v>57167.434411058835</v>
      </c>
      <c r="E2" s="67">
        <v>60064.719086651763</v>
      </c>
      <c r="F2" s="67">
        <v>60673.148868526288</v>
      </c>
      <c r="G2" s="67">
        <v>61287.662948219528</v>
      </c>
      <c r="H2" s="67">
        <v>61908.322168709739</v>
      </c>
      <c r="I2" s="67">
        <v>65042.651232185242</v>
      </c>
      <c r="J2" s="67">
        <v>65700.860335515099</v>
      </c>
      <c r="K2" s="67">
        <v>66365.651529878247</v>
      </c>
      <c r="L2" s="67">
        <v>67037.090636185021</v>
      </c>
      <c r="M2" s="67">
        <v>70427.858123034268</v>
      </c>
      <c r="N2" s="67">
        <v>71139.91929527263</v>
      </c>
      <c r="O2" s="67">
        <v>71859.10107923334</v>
      </c>
      <c r="P2" s="67">
        <v>75490.969088235011</v>
      </c>
      <c r="Q2" s="67">
        <v>76253.661370125366</v>
      </c>
      <c r="R2" s="67">
        <v>77023.980574834641</v>
      </c>
      <c r="S2" s="67">
        <v>77802.002971590977</v>
      </c>
      <c r="T2" s="67">
        <v>78587.805592314908</v>
      </c>
      <c r="U2" s="67">
        <v>82556.108826970623</v>
      </c>
      <c r="V2" s="67">
        <v>83389.452506248359</v>
      </c>
      <c r="W2" s="67">
        <v>84120.374513019226</v>
      </c>
      <c r="X2" s="67">
        <v>84768.032961157413</v>
      </c>
      <c r="Y2" s="67">
        <v>88038.708124255296</v>
      </c>
      <c r="Z2" s="67">
        <v>88725.549908505855</v>
      </c>
      <c r="AA2" s="67">
        <v>89419.260110598902</v>
      </c>
      <c r="AB2" s="67">
        <v>90119.907414712899</v>
      </c>
      <c r="AC2" s="67">
        <v>90827.561191868037</v>
      </c>
      <c r="AD2" s="67">
        <v>91542.291506794703</v>
      </c>
      <c r="AE2" s="67">
        <v>92264.169124870663</v>
      </c>
      <c r="AF2" s="67">
        <v>92993.265519127366</v>
      </c>
      <c r="AG2" s="67">
        <v>93729.652877326647</v>
      </c>
      <c r="AH2" s="67">
        <v>94473.404109107913</v>
      </c>
      <c r="AI2" s="67">
        <v>95224.592853206981</v>
      </c>
      <c r="AJ2" s="67">
        <v>95983.293484747046</v>
      </c>
      <c r="AK2" s="67">
        <v>96749.581122602525</v>
      </c>
      <c r="AL2" s="67">
        <v>100619.33369377267</v>
      </c>
      <c r="AM2" s="67">
        <v>101431.98173371838</v>
      </c>
      <c r="AN2" s="67">
        <v>102252.75625406356</v>
      </c>
      <c r="AO2" s="67">
        <v>103081.73851961219</v>
      </c>
      <c r="AP2" s="67">
        <v>103919.01060781631</v>
      </c>
      <c r="AQ2" s="67">
        <v>104764.65541690249</v>
      </c>
      <c r="AR2" s="67">
        <v>105618.75667407952</v>
      </c>
      <c r="AS2" s="67">
        <v>106481.3989438283</v>
      </c>
      <c r="AT2" s="67">
        <v>107352.66763627459</v>
      </c>
      <c r="AU2" s="67">
        <v>108232.64901564532</v>
      </c>
      <c r="AV2" s="67">
        <v>109121.43020880978</v>
      </c>
      <c r="AW2" s="67">
        <v>110019.09921390587</v>
      </c>
      <c r="AX2" s="67">
        <v>110925.74490905293</v>
      </c>
      <c r="AY2" s="67">
        <v>111841.45706115146</v>
      </c>
      <c r="AZ2" s="67">
        <v>112766.32633477099</v>
      </c>
      <c r="BA2">
        <v>0</v>
      </c>
    </row>
    <row r="3" spans="1:53" x14ac:dyDescent="0.25">
      <c r="A3" s="67" t="s">
        <v>74</v>
      </c>
      <c r="B3" s="69">
        <v>200000</v>
      </c>
      <c r="C3" s="67" cm="1">
        <f t="array" ref="C3:BA3">TRANSPOSE(TableIncome[InvestmentP2])</f>
        <v>92712.807858084721</v>
      </c>
      <c r="D3" s="67">
        <v>93446.390639673569</v>
      </c>
      <c r="E3" s="67">
        <v>97150.983686697262</v>
      </c>
      <c r="F3" s="67">
        <v>97928.948226572233</v>
      </c>
      <c r="G3" s="67">
        <v>98714.692411845928</v>
      </c>
      <c r="H3" s="67">
        <v>99508.294038972381</v>
      </c>
      <c r="I3" s="67">
        <v>103515.982255961</v>
      </c>
      <c r="J3" s="67">
        <v>104357.59678152861</v>
      </c>
      <c r="K3" s="67">
        <v>105207.62745235191</v>
      </c>
      <c r="L3" s="67">
        <v>106066.15842988342</v>
      </c>
      <c r="M3" s="67">
        <v>110401.7398664176</v>
      </c>
      <c r="N3" s="67">
        <v>111312.21196808979</v>
      </c>
      <c r="O3" s="67">
        <v>112231.78879077868</v>
      </c>
      <c r="P3" s="67">
        <v>116875.65174535762</v>
      </c>
      <c r="Q3" s="67">
        <v>117850.86296581919</v>
      </c>
      <c r="R3" s="67">
        <v>118835.82629848538</v>
      </c>
      <c r="S3" s="67">
        <v>119830.63926447822</v>
      </c>
      <c r="T3" s="67">
        <v>120835.40036013104</v>
      </c>
      <c r="U3" s="67">
        <v>125909.44389317758</v>
      </c>
      <c r="V3" s="67">
        <v>126974.99303511735</v>
      </c>
      <c r="W3" s="67">
        <v>128051.19766847655</v>
      </c>
      <c r="X3" s="67">
        <v>129138.16434816933</v>
      </c>
      <c r="Y3" s="67">
        <v>134627.34608061778</v>
      </c>
      <c r="Z3" s="67">
        <v>135780.07424443195</v>
      </c>
      <c r="AA3" s="67">
        <v>136944.3296898843</v>
      </c>
      <c r="AB3" s="67">
        <v>138120.22768979112</v>
      </c>
      <c r="AC3" s="67">
        <v>139307.88466969706</v>
      </c>
      <c r="AD3" s="67">
        <v>140507.41821940202</v>
      </c>
      <c r="AE3" s="67">
        <v>141718.94710460404</v>
      </c>
      <c r="AF3" s="67">
        <v>142942.5912786581</v>
      </c>
      <c r="AG3" s="67">
        <v>144178.47189445267</v>
      </c>
      <c r="AH3" s="67">
        <v>145426.71131640518</v>
      </c>
      <c r="AI3" s="67">
        <v>146687.43313257728</v>
      </c>
      <c r="AJ3" s="67">
        <v>147960.76216691101</v>
      </c>
      <c r="AK3" s="67">
        <v>149246.82449158817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5546875" defaultRowHeight="15" x14ac:dyDescent="0.25"/>
  <cols>
    <col min="1" max="1" width="3.140625" bestFit="1" customWidth="1"/>
    <col min="2" max="2" width="10.5703125" bestFit="1" customWidth="1"/>
    <col min="3" max="10" width="11.5703125" bestFit="1" customWidth="1"/>
    <col min="11" max="52" width="13.2851562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5">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5">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2"/>
    <col min="2" max="2" width="134.7109375" style="2" customWidth="1"/>
    <col min="3" max="12" width="9.140625" style="2"/>
    <col min="13" max="13" width="18.7109375" style="2" customWidth="1"/>
    <col min="14" max="14" width="15.42578125" style="2" customWidth="1"/>
    <col min="15" max="16384" width="9.140625" style="2"/>
  </cols>
  <sheetData>
    <row r="3" spans="2:2" x14ac:dyDescent="0.25">
      <c r="B3" s="2" t="s">
        <v>79</v>
      </c>
    </row>
    <row r="4" spans="2:2" x14ac:dyDescent="0.25">
      <c r="B4" s="2" t="s">
        <v>80</v>
      </c>
    </row>
    <row r="5" spans="2:2" x14ac:dyDescent="0.25">
      <c r="B5" s="2" t="s">
        <v>81</v>
      </c>
    </row>
    <row r="6" spans="2:2" x14ac:dyDescent="0.25">
      <c r="B6" s="2" t="s">
        <v>86</v>
      </c>
    </row>
    <row r="7" spans="2:2" x14ac:dyDescent="0.25">
      <c r="B7" s="2" t="s">
        <v>82</v>
      </c>
    </row>
    <row r="9" spans="2:2" x14ac:dyDescent="0.25">
      <c r="B9" s="2" t="s">
        <v>83</v>
      </c>
    </row>
    <row r="13" spans="2:2" x14ac:dyDescent="0.25">
      <c r="B13" s="2" t="s">
        <v>84</v>
      </c>
    </row>
    <row r="14" spans="2:2" x14ac:dyDescent="0.25">
      <c r="B14" s="2" t="s">
        <v>85</v>
      </c>
    </row>
    <row r="18" spans="2:2" x14ac:dyDescent="0.25">
      <c r="B18" s="2" t="s">
        <v>87</v>
      </c>
    </row>
    <row r="37" spans="2:14" x14ac:dyDescent="0.25">
      <c r="B37" s="2" t="s">
        <v>88</v>
      </c>
    </row>
    <row r="41" spans="2:14" x14ac:dyDescent="0.25">
      <c r="C41" s="2" t="s">
        <v>89</v>
      </c>
    </row>
    <row r="42" spans="2:14" x14ac:dyDescent="0.25">
      <c r="D42" s="2" t="s">
        <v>92</v>
      </c>
      <c r="E42" s="2" t="s">
        <v>93</v>
      </c>
    </row>
    <row r="43" spans="2:14" x14ac:dyDescent="0.25">
      <c r="C43" s="2" t="s">
        <v>90</v>
      </c>
      <c r="D43" s="17">
        <v>0.03</v>
      </c>
      <c r="E43" s="17">
        <v>0.01</v>
      </c>
      <c r="H43" s="2">
        <v>2025</v>
      </c>
      <c r="I43" s="2">
        <v>2026</v>
      </c>
      <c r="J43" s="2">
        <v>2027</v>
      </c>
      <c r="M43" s="85" t="s">
        <v>94</v>
      </c>
      <c r="N43" s="86" t="s">
        <v>95</v>
      </c>
    </row>
    <row r="44" spans="2:14" x14ac:dyDescent="0.25">
      <c r="C44" s="2" t="s">
        <v>91</v>
      </c>
      <c r="D44" s="17">
        <v>0.1</v>
      </c>
      <c r="E44" s="17">
        <v>0.03</v>
      </c>
      <c r="H44" s="17">
        <v>0.03</v>
      </c>
      <c r="I44" s="17">
        <v>0.04</v>
      </c>
      <c r="J44" s="17">
        <v>0.06</v>
      </c>
      <c r="K44" s="17">
        <v>7.0000000000000007E-2</v>
      </c>
      <c r="L44" s="17">
        <v>0.1</v>
      </c>
      <c r="M44" s="85"/>
      <c r="N44" s="86"/>
    </row>
    <row r="45" spans="2:14" x14ac:dyDescent="0.25">
      <c r="M45" s="85"/>
      <c r="N45" s="86"/>
    </row>
    <row r="46" spans="2:14" x14ac:dyDescent="0.25">
      <c r="H46" s="17">
        <f>AVERAGE(H44:L44)</f>
        <v>6.0000000000000012E-2</v>
      </c>
      <c r="I46" s="17">
        <f>AVERAGE(I44:L44)</f>
        <v>6.7500000000000004E-2</v>
      </c>
      <c r="M46" s="85"/>
      <c r="N46" s="86"/>
    </row>
    <row r="51" spans="2:21" x14ac:dyDescent="0.25">
      <c r="J51" s="2" t="s">
        <v>96</v>
      </c>
      <c r="L51" s="2" t="s">
        <v>97</v>
      </c>
    </row>
    <row r="53" spans="2:21" x14ac:dyDescent="0.25">
      <c r="J53" s="2">
        <v>2025</v>
      </c>
      <c r="K53" s="2">
        <v>2026</v>
      </c>
      <c r="L53" s="2">
        <v>2027</v>
      </c>
      <c r="M53" s="2">
        <v>2028</v>
      </c>
      <c r="N53" s="2">
        <v>2029</v>
      </c>
      <c r="O53" s="2">
        <v>2030</v>
      </c>
      <c r="P53" s="2">
        <v>2031</v>
      </c>
      <c r="Q53" s="2">
        <v>2032</v>
      </c>
      <c r="R53" s="2">
        <v>2033</v>
      </c>
      <c r="S53" s="2">
        <v>2034</v>
      </c>
      <c r="U53" s="2" t="s">
        <v>98</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5">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5">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5">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5">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5">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5546875" defaultRowHeight="15" x14ac:dyDescent="0.25"/>
  <cols>
    <col min="1" max="1" width="35" bestFit="1" customWidth="1"/>
    <col min="2" max="2" width="15.28515625" bestFit="1" customWidth="1"/>
  </cols>
  <sheetData>
    <row r="1" spans="1:3" x14ac:dyDescent="0.25">
      <c r="A1" t="s">
        <v>158</v>
      </c>
      <c r="B1" t="s">
        <v>159</v>
      </c>
      <c r="C1" t="s">
        <v>160</v>
      </c>
    </row>
    <row r="2" spans="1:3" x14ac:dyDescent="0.25">
      <c r="A2" t="s">
        <v>100</v>
      </c>
      <c r="B2" s="21">
        <f>0.2%</f>
        <v>2E-3</v>
      </c>
    </row>
    <row r="3" spans="1:3" x14ac:dyDescent="0.25">
      <c r="A3" t="s">
        <v>101</v>
      </c>
      <c r="B3" s="21">
        <f>0.2%</f>
        <v>2E-3</v>
      </c>
    </row>
    <row r="4" spans="1:3" x14ac:dyDescent="0.25">
      <c r="A4" t="s">
        <v>155</v>
      </c>
      <c r="B4" s="21">
        <f>0.07%</f>
        <v>7.000000000000001E-4</v>
      </c>
    </row>
    <row r="5" spans="1:3" x14ac:dyDescent="0.25">
      <c r="A5" t="s">
        <v>154</v>
      </c>
      <c r="B5" s="21">
        <f>0.07%</f>
        <v>7.000000000000001E-4</v>
      </c>
    </row>
    <row r="6" spans="1:3" x14ac:dyDescent="0.25">
      <c r="A6" t="s">
        <v>153</v>
      </c>
      <c r="B6" s="21">
        <f>0.07%</f>
        <v>7.000000000000001E-4</v>
      </c>
    </row>
    <row r="7" spans="1:3" x14ac:dyDescent="0.25">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5">
      <c r="B4" s="20"/>
      <c r="C4" s="20"/>
      <c r="D4" s="20"/>
      <c r="E4" s="20"/>
      <c r="F4" s="20"/>
      <c r="G4" s="20"/>
      <c r="H4" s="20"/>
      <c r="I4" s="20"/>
      <c r="J4" s="20"/>
      <c r="K4" s="20"/>
    </row>
    <row r="5" spans="1:42" x14ac:dyDescent="0.25">
      <c r="B5" s="20"/>
      <c r="C5" s="20"/>
      <c r="D5" s="20"/>
      <c r="E5" s="20"/>
      <c r="F5" s="20"/>
      <c r="G5" s="20"/>
      <c r="H5" s="20"/>
      <c r="I5" s="20"/>
      <c r="J5" s="20"/>
      <c r="K5" s="20"/>
    </row>
    <row r="6" spans="1:42" x14ac:dyDescent="0.25">
      <c r="B6" s="20"/>
      <c r="C6" s="20"/>
      <c r="D6" s="20"/>
      <c r="E6" s="20"/>
      <c r="F6" s="20"/>
      <c r="G6" s="20"/>
      <c r="H6" s="20"/>
      <c r="I6" s="20"/>
      <c r="J6" s="20"/>
      <c r="K6" s="20"/>
    </row>
    <row r="7" spans="1:42" x14ac:dyDescent="0.25">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tabSelected="1" workbookViewId="0">
      <selection activeCell="F3" sqref="F3"/>
    </sheetView>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100</v>
      </c>
      <c r="B2" s="2">
        <f>'Volatility Modifier'!C2</f>
        <v>9.4600000000000004E-2</v>
      </c>
    </row>
    <row r="3" spans="1:2" x14ac:dyDescent="0.25">
      <c r="A3" s="2" t="s">
        <v>101</v>
      </c>
      <c r="B3" s="2">
        <f>'Volatility Modifier'!C3</f>
        <v>7.7000000000000013E-2</v>
      </c>
    </row>
    <row r="4" spans="1:2" x14ac:dyDescent="0.25">
      <c r="A4" s="2" t="s">
        <v>155</v>
      </c>
      <c r="B4" s="2">
        <f>'Volatility Modifier'!C4</f>
        <v>5.3900000000000003E-2</v>
      </c>
    </row>
    <row r="5" spans="1:2" x14ac:dyDescent="0.25">
      <c r="A5" s="2" t="s">
        <v>154</v>
      </c>
      <c r="B5" s="2">
        <f>'Volatility Modifier'!C5</f>
        <v>5.5000000000000007E-2</v>
      </c>
    </row>
    <row r="6" spans="1:2" x14ac:dyDescent="0.25">
      <c r="A6" s="2" t="s">
        <v>153</v>
      </c>
      <c r="B6" s="2">
        <f>'Volatility Modifier'!C6</f>
        <v>4.07E-2</v>
      </c>
    </row>
    <row r="7" spans="1:2" x14ac:dyDescent="0.25">
      <c r="A7" s="2" t="s">
        <v>152</v>
      </c>
      <c r="B7" s="2">
        <f>'Volatility Modifier'!C7</f>
        <v>3.1900000000000005E-2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8DBE8-CF75-4655-BEBA-522F79047F23}">
  <dimension ref="A1:C11"/>
  <sheetViews>
    <sheetView workbookViewId="0">
      <selection activeCell="C7" sqref="C7"/>
    </sheetView>
  </sheetViews>
  <sheetFormatPr defaultRowHeight="15" x14ac:dyDescent="0.25"/>
  <cols>
    <col min="1" max="1" width="30.5703125" customWidth="1"/>
    <col min="2" max="2" width="27" customWidth="1"/>
  </cols>
  <sheetData>
    <row r="1" spans="1:3" x14ac:dyDescent="0.25">
      <c r="A1" s="2"/>
      <c r="B1" s="2" t="s">
        <v>156</v>
      </c>
      <c r="C1" t="s">
        <v>278</v>
      </c>
    </row>
    <row r="2" spans="1:3" x14ac:dyDescent="0.25">
      <c r="A2" s="2" t="s">
        <v>100</v>
      </c>
      <c r="B2" s="2">
        <v>8.5999999999999993E-2</v>
      </c>
      <c r="C2">
        <f>B2*(1+$B$11)</f>
        <v>9.4600000000000004E-2</v>
      </c>
    </row>
    <row r="3" spans="1:3" x14ac:dyDescent="0.25">
      <c r="A3" s="2" t="s">
        <v>101</v>
      </c>
      <c r="B3" s="2">
        <v>7.0000000000000007E-2</v>
      </c>
      <c r="C3">
        <f>B3*(1+$B$11)</f>
        <v>7.7000000000000013E-2</v>
      </c>
    </row>
    <row r="4" spans="1:3" x14ac:dyDescent="0.25">
      <c r="A4" s="2" t="s">
        <v>155</v>
      </c>
      <c r="B4" s="2">
        <v>4.9000000000000002E-2</v>
      </c>
      <c r="C4">
        <f>B4*(1+$B$11)</f>
        <v>5.3900000000000003E-2</v>
      </c>
    </row>
    <row r="5" spans="1:3" x14ac:dyDescent="0.25">
      <c r="A5" s="2" t="s">
        <v>154</v>
      </c>
      <c r="B5" s="2">
        <v>0.05</v>
      </c>
      <c r="C5">
        <f>B5*(1+$B$11)</f>
        <v>5.5000000000000007E-2</v>
      </c>
    </row>
    <row r="6" spans="1:3" x14ac:dyDescent="0.25">
      <c r="A6" s="2" t="s">
        <v>153</v>
      </c>
      <c r="B6" s="2">
        <v>3.6999999999999998E-2</v>
      </c>
      <c r="C6">
        <f>B6*(1+$B$11)</f>
        <v>4.07E-2</v>
      </c>
    </row>
    <row r="7" spans="1:3" x14ac:dyDescent="0.25">
      <c r="A7" s="2" t="s">
        <v>152</v>
      </c>
      <c r="B7" s="2">
        <v>2.9000000000000001E-2</v>
      </c>
      <c r="C7">
        <f>B7*(1+$B$11)</f>
        <v>3.1900000000000005E-2</v>
      </c>
    </row>
    <row r="11" spans="1:3" x14ac:dyDescent="0.25">
      <c r="A11" t="s">
        <v>279</v>
      </c>
      <c r="B11" s="87">
        <v>0.1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161</v>
      </c>
      <c r="B2" s="2">
        <v>0.18</v>
      </c>
    </row>
    <row r="3" spans="1:2" x14ac:dyDescent="0.25">
      <c r="A3" s="2" t="s">
        <v>162</v>
      </c>
      <c r="B3" s="2">
        <v>0.08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152</v>
      </c>
      <c r="C1" t="s">
        <v>153</v>
      </c>
      <c r="D1" t="s">
        <v>154</v>
      </c>
      <c r="E1" t="s">
        <v>155</v>
      </c>
      <c r="F1" t="s">
        <v>101</v>
      </c>
      <c r="G1" t="s">
        <v>100</v>
      </c>
    </row>
    <row r="2" spans="1:7" x14ac:dyDescent="0.25">
      <c r="A2" t="s">
        <v>152</v>
      </c>
      <c r="B2">
        <v>1</v>
      </c>
      <c r="C2">
        <v>0.6</v>
      </c>
      <c r="D2">
        <v>0.2</v>
      </c>
      <c r="E2">
        <v>0.4</v>
      </c>
      <c r="F2">
        <v>0</v>
      </c>
      <c r="G2">
        <v>0</v>
      </c>
    </row>
    <row r="3" spans="1:7" x14ac:dyDescent="0.25">
      <c r="A3" t="s">
        <v>153</v>
      </c>
      <c r="B3">
        <v>0.6</v>
      </c>
      <c r="C3">
        <v>1</v>
      </c>
      <c r="D3">
        <v>0.7</v>
      </c>
      <c r="E3">
        <v>0.6</v>
      </c>
      <c r="F3">
        <v>0.3</v>
      </c>
      <c r="G3">
        <v>0.3</v>
      </c>
    </row>
    <row r="4" spans="1:7" x14ac:dyDescent="0.25">
      <c r="A4" t="s">
        <v>154</v>
      </c>
      <c r="B4">
        <v>0.2</v>
      </c>
      <c r="C4">
        <v>0.7</v>
      </c>
      <c r="D4">
        <v>1</v>
      </c>
      <c r="E4">
        <v>0.7</v>
      </c>
      <c r="F4">
        <v>0.7</v>
      </c>
      <c r="G4">
        <v>0.6</v>
      </c>
    </row>
    <row r="5" spans="1:7" x14ac:dyDescent="0.25">
      <c r="A5" t="s">
        <v>155</v>
      </c>
      <c r="B5">
        <v>0.4</v>
      </c>
      <c r="C5">
        <v>0.6</v>
      </c>
      <c r="D5">
        <v>0.7</v>
      </c>
      <c r="E5">
        <v>1</v>
      </c>
      <c r="F5">
        <v>0.5</v>
      </c>
      <c r="G5">
        <v>0.7</v>
      </c>
    </row>
    <row r="6" spans="1:7" x14ac:dyDescent="0.25">
      <c r="A6" t="s">
        <v>101</v>
      </c>
      <c r="B6">
        <v>0</v>
      </c>
      <c r="C6">
        <v>0.3</v>
      </c>
      <c r="D6">
        <v>0.7</v>
      </c>
      <c r="E6">
        <v>0.5</v>
      </c>
      <c r="F6">
        <v>1</v>
      </c>
      <c r="G6">
        <v>0.7</v>
      </c>
    </row>
    <row r="7" spans="1:7" x14ac:dyDescent="0.25">
      <c r="A7" t="s">
        <v>100</v>
      </c>
      <c r="B7">
        <v>0</v>
      </c>
      <c r="C7">
        <v>0.3</v>
      </c>
      <c r="D7">
        <v>0.6</v>
      </c>
      <c r="E7">
        <v>0.7</v>
      </c>
      <c r="F7">
        <v>0.7</v>
      </c>
      <c r="G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162</v>
      </c>
      <c r="C1" t="s">
        <v>161</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Volatility Modifier</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2025-05-07T19:25:00Z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