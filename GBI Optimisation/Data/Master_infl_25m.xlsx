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A8C9C8CC-5CD4-4142-8867-8F1379B16C6B}" xr6:coauthVersionLast="47" xr6:coauthVersionMax="47" xr10:uidLastSave="{00000000-0000-0000-0000-000000000000}"/>
  <bookViews>
    <workbookView xWindow="0" yWindow="760" windowWidth="19420" windowHeight="10300" tabRatio="972" firstSheet="8" activeTab="1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1" l="1"/>
  <c r="C7" i="51" s="1"/>
  <c r="B22" i="55"/>
  <c r="B5" i="55"/>
  <c r="B3" i="55"/>
  <c r="N39" i="2"/>
  <c r="N40" i="2"/>
  <c r="N41" i="2"/>
  <c r="N42" i="2"/>
  <c r="N43" i="2"/>
  <c r="N44" i="2"/>
  <c r="N45" i="2"/>
  <c r="N46" i="2"/>
  <c r="N47" i="2"/>
  <c r="N48" i="2"/>
  <c r="N49" i="2"/>
  <c r="D49" i="2" s="1"/>
  <c r="N50" i="2"/>
  <c r="D50" i="2" s="1"/>
  <c r="N51" i="2"/>
  <c r="D51" i="2" s="1"/>
  <c r="N52" i="2"/>
  <c r="D52" i="2" s="1"/>
  <c r="N53" i="2"/>
  <c r="D53" i="2" s="1"/>
  <c r="BA8" i="56"/>
  <c r="AX8" i="56"/>
  <c r="E39" i="56"/>
  <c r="F39" i="56" s="1"/>
  <c r="B14" i="56"/>
  <c r="B43" i="55" s="1"/>
  <c r="AW8" i="56"/>
  <c r="AE8" i="56"/>
  <c r="Z8" i="56"/>
  <c r="R8" i="56"/>
  <c r="Q8" i="56"/>
  <c r="O8" i="56"/>
  <c r="I8" i="56"/>
  <c r="A4" i="56" a="1"/>
  <c r="AY8" i="56" s="1"/>
  <c r="B2" i="56"/>
  <c r="BB15" i="56" s="1"/>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45" i="55" l="1"/>
  <c r="AM8" i="56"/>
  <c r="G8" i="56"/>
  <c r="AO8" i="56"/>
  <c r="B25" i="55"/>
  <c r="B1" i="56"/>
  <c r="AH8" i="56"/>
  <c r="BB8" i="56"/>
  <c r="A4" i="56"/>
  <c r="Y8" i="56"/>
  <c r="AU8" i="56"/>
  <c r="AZ8" i="56"/>
  <c r="J8" i="56"/>
  <c r="AG8" i="56"/>
  <c r="AC15" i="56"/>
  <c r="AX15" i="56"/>
  <c r="AY15" i="56"/>
  <c r="AZ15" i="56"/>
  <c r="B50" i="55"/>
  <c r="B52" i="55" s="1"/>
  <c r="B53" i="55" s="1"/>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7" i="46"/>
  <c r="C43" i="46" s="1"/>
  <c r="C45" i="46" s="1"/>
  <c r="C46" i="46" s="1"/>
  <c r="C47" i="46" s="1"/>
  <c r="D43" i="46" s="1"/>
  <c r="B46" i="46"/>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M52" i="46" s="1"/>
  <c r="M53" i="46" s="1"/>
  <c r="P18" i="2"/>
  <c r="Q18" i="2"/>
  <c r="K47" i="55"/>
  <c r="L43" i="55" s="1"/>
  <c r="L54" i="55"/>
  <c r="M50" i="55" s="1"/>
  <c r="R18" i="2"/>
  <c r="O18" i="2"/>
  <c r="H15" i="53"/>
  <c r="O7" i="53" a="1"/>
  <c r="O7" i="53" s="1"/>
  <c r="G14" i="53"/>
  <c r="N8" i="53" a="1"/>
  <c r="N8" i="53" s="1"/>
  <c r="Q8" i="53" s="1"/>
  <c r="M45" i="46"/>
  <c r="M46" i="46" s="1"/>
  <c r="E19" i="45"/>
  <c r="D19" i="45"/>
  <c r="E20" i="8"/>
  <c r="M54" i="46" l="1"/>
  <c r="N50" i="46" s="1"/>
  <c r="N52" i="46" s="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E22" i="45"/>
  <c r="E25" i="8"/>
  <c r="E26" i="8" s="1"/>
  <c r="Q22" i="2" l="1"/>
  <c r="P22" i="2"/>
  <c r="N45" i="55"/>
  <c r="N46" i="55" s="1"/>
  <c r="N54" i="55"/>
  <c r="O50" i="55" s="1"/>
  <c r="R22" i="2"/>
  <c r="O22" i="2"/>
  <c r="Q54" i="46"/>
  <c r="R50" i="46" s="1"/>
  <c r="G18" i="53"/>
  <c r="N3" i="53" s="1" a="1"/>
  <c r="N3" i="53" s="1"/>
  <c r="N4" i="53" a="1"/>
  <c r="N4" i="53" s="1"/>
  <c r="Q4" i="53" s="1"/>
  <c r="O45" i="46"/>
  <c r="O46" i="46" s="1"/>
  <c r="E23" i="45"/>
  <c r="D23" i="45"/>
  <c r="Q23" i="2" l="1"/>
  <c r="P23" i="2"/>
  <c r="Q3" i="53"/>
  <c r="Q21" i="53" s="1"/>
  <c r="E2" i="56" a="1"/>
  <c r="B2" i="55" a="1"/>
  <c r="O52" i="55"/>
  <c r="O53" i="55" s="1"/>
  <c r="N47" i="55"/>
  <c r="O43" i="55" s="1"/>
  <c r="O23" i="2"/>
  <c r="R23" i="2"/>
  <c r="R52" i="46"/>
  <c r="R53" i="46" s="1"/>
  <c r="O47" i="46"/>
  <c r="P43" i="46" s="1"/>
  <c r="P45" i="46" s="1"/>
  <c r="P46" i="46" s="1"/>
  <c r="D24" i="45"/>
  <c r="E24" i="45"/>
  <c r="P24" i="2" s="1"/>
  <c r="E27" i="8"/>
  <c r="E28" i="8" s="1"/>
  <c r="Q24" i="2" l="1"/>
  <c r="B2" i="55"/>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E25" i="45"/>
  <c r="P25" i="2" s="1"/>
  <c r="E29" i="8"/>
  <c r="E30" i="8" s="1"/>
  <c r="Q25" i="2" l="1"/>
  <c r="M6" i="55"/>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E13" i="56" l="1"/>
  <c r="E14" i="56" s="1"/>
  <c r="E16" i="56" s="1"/>
  <c r="E17" i="56" s="1"/>
  <c r="G13" i="56"/>
  <c r="G14" i="56" s="1"/>
  <c r="G16" i="56" s="1"/>
  <c r="G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U54" i="55"/>
  <c r="V50" i="55" s="1"/>
  <c r="R35" i="2"/>
  <c r="Q35" i="2"/>
  <c r="AA52" i="46"/>
  <c r="AA53" i="46" s="1"/>
  <c r="X47" i="46"/>
  <c r="Y43" i="46" s="1"/>
  <c r="E36" i="45"/>
  <c r="D36" i="45"/>
  <c r="E44" i="8"/>
  <c r="P36" i="2" l="1"/>
  <c r="O36" i="2"/>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L36" i="55" s="1"/>
  <c r="L37"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E13" i="56" l="1"/>
  <c r="AE14" i="56" s="1"/>
  <c r="AE16" i="56" s="1"/>
  <c r="AE17" i="56" s="1"/>
  <c r="AA13" i="56"/>
  <c r="AA14" i="56" s="1"/>
  <c r="AA16" i="56" s="1"/>
  <c r="AA17" i="56" s="1"/>
  <c r="AR13" i="56"/>
  <c r="AR14" i="56" s="1"/>
  <c r="AR16" i="56" s="1"/>
  <c r="AR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26" i="2" l="1"/>
  <c r="N18" i="2"/>
  <c r="N31" i="2"/>
  <c r="N25" i="2"/>
  <c r="N34" i="2"/>
  <c r="D34" i="2" s="1"/>
  <c r="F34" i="2" s="1"/>
  <c r="L34" i="2" s="1"/>
  <c r="N16" i="2"/>
  <c r="N6" i="2"/>
  <c r="N15" i="2"/>
  <c r="N32" i="2"/>
  <c r="N36" i="2"/>
  <c r="D36" i="2" s="1"/>
  <c r="F36" i="2" s="1"/>
  <c r="L36" i="2" s="1"/>
  <c r="N20" i="2"/>
  <c r="N29" i="2"/>
  <c r="N13" i="2"/>
  <c r="BI2" i="56"/>
  <c r="N3" i="2" s="1"/>
  <c r="N23" i="2"/>
  <c r="N4" i="2"/>
  <c r="N19" i="2"/>
  <c r="N8" i="2"/>
  <c r="N37" i="2"/>
  <c r="D37" i="2" s="1"/>
  <c r="F37" i="2" s="1"/>
  <c r="L37" i="2" s="1"/>
  <c r="Y32" i="56" s="1"/>
  <c r="N35" i="2"/>
  <c r="D35" i="2" s="1"/>
  <c r="F35" i="2" s="1"/>
  <c r="L35" i="2" s="1"/>
  <c r="N30" i="2"/>
  <c r="N24" i="2"/>
  <c r="N12" i="2"/>
  <c r="N9" i="2"/>
  <c r="N5" i="2"/>
  <c r="N10" i="2"/>
  <c r="N14" i="2"/>
  <c r="N7" i="2"/>
  <c r="N11" i="2"/>
  <c r="N28" i="2"/>
  <c r="N33" i="2"/>
  <c r="D33" i="2" s="1"/>
  <c r="F33" i="2" s="1"/>
  <c r="L33" i="2" s="1"/>
  <c r="N21" i="2"/>
  <c r="N38" i="2"/>
  <c r="D38" i="2" s="1"/>
  <c r="F38" i="2" s="1"/>
  <c r="L38" i="2" s="1"/>
  <c r="N22" i="2"/>
  <c r="N17" i="2"/>
  <c r="O32" i="56"/>
  <c r="I32" i="56"/>
  <c r="R32" i="56"/>
  <c r="O36" i="55"/>
  <c r="O37" i="55" s="1"/>
  <c r="Z45" i="55"/>
  <c r="Z46" i="55" s="1"/>
  <c r="Z54" i="55"/>
  <c r="AA50" i="55" s="1"/>
  <c r="Q44" i="2"/>
  <c r="O44" i="2"/>
  <c r="P44" i="2"/>
  <c r="R44" i="2"/>
  <c r="AF52" i="46"/>
  <c r="AF53" i="46" s="1"/>
  <c r="AD45" i="46"/>
  <c r="AD46" i="46" s="1"/>
  <c r="D45" i="45"/>
  <c r="E45" i="45"/>
  <c r="U32" i="56" l="1"/>
  <c r="Z32" i="56"/>
  <c r="L32" i="56"/>
  <c r="AA32" i="56"/>
  <c r="G32" i="56"/>
  <c r="W32" i="56"/>
  <c r="E32" i="56"/>
  <c r="X32" i="56"/>
  <c r="M32" i="56"/>
  <c r="T32" i="56"/>
  <c r="F32" i="56"/>
  <c r="AB32" i="56"/>
  <c r="K32" i="56"/>
  <c r="J32" i="56"/>
  <c r="H32" i="56"/>
  <c r="N32" i="56"/>
  <c r="AC32" i="56"/>
  <c r="Q32" i="56"/>
  <c r="V32" i="56"/>
  <c r="P32" i="56"/>
  <c r="S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AG54" i="46"/>
  <c r="AH50" i="46" s="1"/>
  <c r="AH52" i="46" s="1"/>
  <c r="AH53" i="46" s="1"/>
  <c r="AE45" i="46"/>
  <c r="AE46" i="46" s="1"/>
  <c r="E47" i="45"/>
  <c r="D47" i="45"/>
  <c r="O47" i="2" l="1"/>
  <c r="Q47" i="2"/>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P4" i="47" s="1"/>
  <c r="D4" i="46"/>
  <c r="G4" i="47" s="1"/>
  <c r="AS4" i="46"/>
  <c r="AV4"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4" i="47"/>
  <c r="J6" i="46"/>
  <c r="AV5" i="47" l="1"/>
  <c r="AV6" i="47" s="1"/>
  <c r="AV7" i="47" s="1"/>
  <c r="AV10" i="47" s="1"/>
  <c r="AS6" i="46"/>
  <c r="AM6" i="46"/>
  <c r="D6" i="46"/>
  <c r="I4" i="47"/>
  <c r="I5" i="47" s="1"/>
  <c r="I6" i="47" s="1"/>
  <c r="I7" i="47" s="1"/>
  <c r="I10" i="47" s="1"/>
  <c r="S38" i="55"/>
  <c r="T34" i="55" s="1"/>
  <c r="T36" i="55" s="1"/>
  <c r="T37" i="55" s="1"/>
  <c r="E10" i="47"/>
  <c r="E9" i="47"/>
  <c r="K6" i="46"/>
  <c r="K7" i="46" s="1"/>
  <c r="K8" i="46" s="1"/>
  <c r="S4" i="47"/>
  <c r="S5" i="47" s="1"/>
  <c r="S6" i="47" s="1"/>
  <c r="S7" i="47" s="1"/>
  <c r="AN5" i="47"/>
  <c r="AN6" i="47" s="1"/>
  <c r="AN7" i="47" s="1"/>
  <c r="AN10" i="47" s="1"/>
  <c r="T4" i="47"/>
  <c r="T5" i="47" s="1"/>
  <c r="T6" i="47" s="1"/>
  <c r="T7" i="47" s="1"/>
  <c r="AU6" i="46"/>
  <c r="AU7" i="46" s="1"/>
  <c r="AU8" i="46" s="1"/>
  <c r="F5" i="47"/>
  <c r="F6" i="47" s="1"/>
  <c r="F7" i="47" s="1"/>
  <c r="F9" i="47" s="1"/>
  <c r="AK5" i="47"/>
  <c r="AK6" i="47" s="1"/>
  <c r="AK7" i="47" s="1"/>
  <c r="AK10" i="47" s="1"/>
  <c r="T6" i="46"/>
  <c r="T7" i="46" s="1"/>
  <c r="T8" i="46" s="1"/>
  <c r="AB6" i="46"/>
  <c r="AB7" i="46" s="1"/>
  <c r="AB8" i="46" s="1"/>
  <c r="AM5" i="47"/>
  <c r="AM6" i="47" s="1"/>
  <c r="AM7" i="47" s="1"/>
  <c r="AM10" i="47" s="1"/>
  <c r="G5" i="47"/>
  <c r="G6" i="47" s="1"/>
  <c r="G7" i="47" s="1"/>
  <c r="G10" i="47" s="1"/>
  <c r="L6" i="46"/>
  <c r="L7" i="46" s="1"/>
  <c r="L8" i="46" s="1"/>
  <c r="AI5" i="47"/>
  <c r="AI6" i="47" s="1"/>
  <c r="AI7" i="47" s="1"/>
  <c r="AI10" i="47" s="1"/>
  <c r="AH5" i="47"/>
  <c r="AH6" i="47" s="1"/>
  <c r="AH7" i="47" s="1"/>
  <c r="AH10" i="47" s="1"/>
  <c r="AQ6" i="46"/>
  <c r="AQ7" i="46" s="1"/>
  <c r="AQ8" i="46" s="1"/>
  <c r="Y6" i="46"/>
  <c r="Y7" i="46" s="1"/>
  <c r="Y8" i="46" s="1"/>
  <c r="G6" i="46"/>
  <c r="G7" i="46" s="1"/>
  <c r="G8" i="46" s="1"/>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J10" i="47"/>
  <c r="AJ9" i="47"/>
  <c r="T10" i="47"/>
  <c r="T9" i="47"/>
  <c r="AB9" i="47"/>
  <c r="AB10" i="47"/>
  <c r="AV9" i="47"/>
  <c r="G9" i="47"/>
  <c r="D7" i="46"/>
  <c r="D8" i="46" s="1"/>
  <c r="AJ7" i="46"/>
  <c r="AJ8" i="46" s="1"/>
  <c r="Z7" i="46"/>
  <c r="Z8" i="46" s="1"/>
  <c r="U7" i="46"/>
  <c r="U8" i="46" s="1"/>
  <c r="AA7" i="46"/>
  <c r="AA8" i="46" s="1"/>
  <c r="AC7" i="46"/>
  <c r="AC8" i="46" s="1"/>
  <c r="O7" i="46"/>
  <c r="O8" i="46" s="1"/>
  <c r="AS7" i="46"/>
  <c r="AS8" i="46" s="1"/>
  <c r="F7" i="46"/>
  <c r="F8" i="46" s="1"/>
  <c r="AL7" i="46"/>
  <c r="AL8" i="46" s="1"/>
  <c r="J7" i="46"/>
  <c r="J8" i="46" s="1"/>
  <c r="Q7" i="46"/>
  <c r="Q8" i="46" s="1"/>
  <c r="E7" i="46"/>
  <c r="E8" i="46" s="1"/>
  <c r="AN7" i="46"/>
  <c r="AN8" i="46" s="1"/>
  <c r="AM7" i="46"/>
  <c r="AM8" i="46" s="1"/>
  <c r="X7" i="46"/>
  <c r="X8" i="46" s="1"/>
  <c r="P7" i="46"/>
  <c r="P8" i="46" s="1"/>
  <c r="N7" i="46"/>
  <c r="N8" i="46" s="1"/>
  <c r="AO7" i="46"/>
  <c r="AO8" i="46" s="1"/>
  <c r="R7" i="46"/>
  <c r="R8" i="46" s="1"/>
  <c r="AN9" i="47" l="1"/>
  <c r="AI9" i="47"/>
  <c r="AI12" i="47" s="1"/>
  <c r="AM9" i="47"/>
  <c r="AO9" i="47"/>
  <c r="AO12" i="47" s="1"/>
  <c r="F10" i="47"/>
  <c r="V9" i="47"/>
  <c r="V11" i="47" s="1"/>
  <c r="S9" i="47"/>
  <c r="S12" i="47" s="1"/>
  <c r="S10" i="47"/>
  <c r="AK9" i="47"/>
  <c r="AK12" i="47" s="1"/>
  <c r="E12" i="47"/>
  <c r="E13" i="47" s="1"/>
  <c r="E14" i="47" s="1"/>
  <c r="E16" i="47" s="1"/>
  <c r="E17" i="47" s="1"/>
  <c r="E11" i="47"/>
  <c r="AF10" i="47"/>
  <c r="Z10" i="47"/>
  <c r="X10" i="47"/>
  <c r="L9" i="47"/>
  <c r="L12" i="47" s="1"/>
  <c r="AH9" i="47"/>
  <c r="AH12"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U12" i="47"/>
  <c r="AV11" i="47"/>
  <c r="AV12" i="47"/>
  <c r="X12" i="47"/>
  <c r="X11" i="47"/>
  <c r="AW12" i="47"/>
  <c r="AW11" i="47"/>
  <c r="AJ11" i="47"/>
  <c r="AJ12" i="47"/>
  <c r="AN11" i="47"/>
  <c r="AN12" i="47"/>
  <c r="F11" i="47"/>
  <c r="F12" i="47"/>
  <c r="G11" i="47"/>
  <c r="G12" i="47"/>
  <c r="M12" i="47"/>
  <c r="M11" i="47"/>
  <c r="S11" i="47"/>
  <c r="AF11" i="47"/>
  <c r="AF12" i="47"/>
  <c r="H12" i="47"/>
  <c r="H11" i="47"/>
  <c r="AO11" i="47"/>
  <c r="T12" i="47"/>
  <c r="T11" i="47"/>
  <c r="R11" i="47"/>
  <c r="R12" i="47"/>
  <c r="AA12" i="47"/>
  <c r="AA11" i="47"/>
  <c r="Z12" i="47"/>
  <c r="Z11" i="47"/>
  <c r="AS12" i="47" l="1"/>
  <c r="V12" i="47"/>
  <c r="AH11" i="47"/>
  <c r="AI11" i="47"/>
  <c r="AY11" i="47"/>
  <c r="AE12" i="47"/>
  <c r="AE13" i="47" s="1"/>
  <c r="AE14" i="47" s="1"/>
  <c r="AE16" i="47" s="1"/>
  <c r="AE17" i="47" s="1"/>
  <c r="AK11"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Q54" i="46"/>
  <c r="AR50" i="46" s="1"/>
  <c r="J38" i="46"/>
  <c r="K34" i="46" s="1"/>
  <c r="K36" i="46" s="1"/>
  <c r="K37" i="46" s="1"/>
  <c r="K38" i="46" s="1"/>
  <c r="L34" i="46" s="1"/>
  <c r="L36" i="46" s="1"/>
  <c r="L37" i="46" s="1"/>
  <c r="AN47" i="46"/>
  <c r="AO43" i="46" s="1"/>
  <c r="AJ54" i="55" l="1"/>
  <c r="AK50" i="55" s="1"/>
  <c r="AK52" i="55" s="1"/>
  <c r="AK53" i="55" s="1"/>
  <c r="AK54" i="55" s="1"/>
  <c r="AL50" i="55" s="1"/>
  <c r="AA36" i="55"/>
  <c r="AA37"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O52" i="55" s="1"/>
  <c r="AO53" i="55" s="1"/>
  <c r="AD38" i="55"/>
  <c r="AE34" i="55" s="1"/>
  <c r="AE36" i="55" s="1"/>
  <c r="AE37" i="55" s="1"/>
  <c r="AM47" i="55"/>
  <c r="AN43" i="55" s="1"/>
  <c r="AN45" i="55"/>
  <c r="AN46"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V45" i="55" s="1"/>
  <c r="AV46" i="55" s="1"/>
  <c r="AW54" i="55"/>
  <c r="AX50"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7"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5" i="47"/>
  <c r="U26" i="47" l="1"/>
  <c r="X26" i="47"/>
  <c r="X27" i="47"/>
  <c r="X28" i="47" s="1"/>
  <c r="X29" i="47" s="1"/>
  <c r="X31" i="47" s="1"/>
  <c r="X33" i="47" s="1"/>
  <c r="X34" i="47" s="1"/>
  <c r="X35" i="47" s="1"/>
  <c r="AA26" i="47"/>
  <c r="J25" i="47"/>
  <c r="E27" i="47"/>
  <c r="E25" i="47"/>
  <c r="E26" i="47"/>
  <c r="W26" i="47"/>
  <c r="I27" i="47"/>
  <c r="W27" i="47"/>
  <c r="H27" i="47"/>
  <c r="AA25" i="47"/>
  <c r="I25" i="47"/>
  <c r="F25" i="47"/>
  <c r="G27" i="47"/>
  <c r="R27" i="47"/>
  <c r="H25" i="47"/>
  <c r="L25" i="47"/>
  <c r="N25" i="47"/>
  <c r="N26" i="47"/>
  <c r="L27" i="47"/>
  <c r="AB25" i="47"/>
  <c r="F26" i="47"/>
  <c r="F28" i="47" s="1"/>
  <c r="F29" i="47" s="1"/>
  <c r="F31" i="47" s="1"/>
  <c r="F33" i="47" s="1"/>
  <c r="F34" i="47" s="1"/>
  <c r="F35" i="47" s="1"/>
  <c r="J27" i="47"/>
  <c r="AB26" i="47"/>
  <c r="P25" i="47"/>
  <c r="T26" i="47"/>
  <c r="Z26" i="47"/>
  <c r="Z25" i="47"/>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U28" i="47"/>
  <c r="U29" i="47" s="1"/>
  <c r="U31" i="47" s="1"/>
  <c r="U33" i="47" s="1"/>
  <c r="U34" i="47" s="1"/>
  <c r="U35" i="47" s="1"/>
  <c r="AA28" i="47" l="1"/>
  <c r="AA29" i="47" s="1"/>
  <c r="AA31" i="47" s="1"/>
  <c r="AA33" i="47" s="1"/>
  <c r="AA34" i="47" s="1"/>
  <c r="AA35" i="47" s="1"/>
  <c r="W28" i="47"/>
  <c r="W29" i="47" s="1"/>
  <c r="W31" i="47" s="1"/>
  <c r="W33" i="47" s="1"/>
  <c r="W34" i="47" s="1"/>
  <c r="W35" i="47" s="1"/>
  <c r="Z28" i="47"/>
  <c r="Z29" i="47" s="1"/>
  <c r="Z31" i="47" s="1"/>
  <c r="Z33" i="47" s="1"/>
  <c r="Z34" i="47" s="1"/>
  <c r="Z35" i="47" s="1"/>
  <c r="L28" i="47"/>
  <c r="L29" i="47" s="1"/>
  <c r="L31" i="47" s="1"/>
  <c r="L33" i="47" s="1"/>
  <c r="L34" i="47" s="1"/>
  <c r="L35" i="47" s="1"/>
  <c r="G28" i="47"/>
  <c r="G29" i="47" s="1"/>
  <c r="G31" i="47" s="1"/>
  <c r="G33" i="47" s="1"/>
  <c r="G34" i="47" s="1"/>
  <c r="G35" i="47" s="1"/>
  <c r="AB28" i="47"/>
  <c r="AB29" i="47" s="1"/>
  <c r="AB31" i="47" s="1"/>
  <c r="AB33" i="47" s="1"/>
  <c r="AB34" i="47" s="1"/>
  <c r="AB35" i="47" s="1"/>
  <c r="H28" i="47"/>
  <c r="H29" i="47" s="1"/>
  <c r="H31" i="47" s="1"/>
  <c r="H33" i="47" s="1"/>
  <c r="H34" i="47" s="1"/>
  <c r="H35" i="47" s="1"/>
  <c r="I28" i="47"/>
  <c r="I29" i="47" s="1"/>
  <c r="I31" i="47" s="1"/>
  <c r="I33" i="47" s="1"/>
  <c r="I34" i="47" s="1"/>
  <c r="I35" i="47" s="1"/>
  <c r="J28" i="47"/>
  <c r="J29" i="47" s="1"/>
  <c r="J31" i="47" s="1"/>
  <c r="J33" i="47" s="1"/>
  <c r="J34" i="47" s="1"/>
  <c r="J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<sst xmlns="http://schemas.openxmlformats.org/spreadsheetml/2006/main" count="1524" uniqueCount="278">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</sst>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2" sqref="C2"/>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f>2%*(1-25%)</f>
        <v>1.4999999999999999E-2</v>
      </c>
    </row>
    <row r="3" spans="2:3" x14ac:dyDescent="0.2">
      <c r="B3" s="40" t="s">
        <v>217</v>
      </c>
      <c r="C3" s="43"/>
    </row>
    <row r="4" spans="2:3" x14ac:dyDescent="0.2">
      <c r="B4" s="45" t="s">
        <v>63</v>
      </c>
      <c r="C4" s="46">
        <v>0.03</v>
      </c>
    </row>
    <row r="5" spans="2:3" x14ac:dyDescent="0.2">
      <c r="B5" s="47" t="s">
        <v>65</v>
      </c>
      <c r="C5" s="48">
        <f>C4-C2</f>
        <v>1.4999999999999999E-2</v>
      </c>
    </row>
    <row r="6" spans="2:3" x14ac:dyDescent="0.2">
      <c r="B6" s="47" t="s">
        <v>64</v>
      </c>
      <c r="C6" s="48">
        <v>0.06</v>
      </c>
    </row>
    <row r="7" spans="2:3" x14ac:dyDescent="0.2">
      <c r="B7" s="47" t="s">
        <v>175</v>
      </c>
      <c r="C7" s="48">
        <f>C6-C2</f>
        <v>4.4999999999999998E-2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1.4999999999999999E-2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73233.507389162565</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48585.245840417425</v>
      </c>
      <c r="O3" s="60" cm="1">
        <f t="array" ref="O3">INDEX($H$3:$H$18,ROWS($H$3:$H$18)+ROW($H$3)-ROW())</f>
        <v>36965.72433477857</v>
      </c>
      <c r="Q3" s="63">
        <f>Table11[[#This Row],[GrossMonthlyInflationAdjustedP2]]*0.2</f>
        <v>9717.0491680834857</v>
      </c>
    </row>
    <row r="4" spans="1:17" x14ac:dyDescent="0.2">
      <c r="A4" s="16"/>
      <c r="B4" s="14" t="s">
        <v>65</v>
      </c>
      <c r="C4" s="15">
        <f>Income!I4</f>
        <v>1.4999999999999999E-2</v>
      </c>
      <c r="G4" s="35">
        <f>(G3/(1+$C$4))-IF(TableIncomeCalculations11[[#This Row],[Inverse]]="Y",G3*$C$6,0)</f>
        <v>72151.238807056725</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49314.024528023685</v>
      </c>
      <c r="O4" s="60" cm="1">
        <f t="array" ref="O4">INDEX($H$3:$H$18,ROWS($H$3:$H$18)+ROW($H$3)-ROW())</f>
        <v>38074.696064821925</v>
      </c>
      <c r="Q4" s="63">
        <f>Table11[[#This Row],[GrossMonthlyInflationAdjustedP2]]*0.2</f>
        <v>9862.8049056047385</v>
      </c>
    </row>
    <row r="5" spans="1:17" x14ac:dyDescent="0.2">
      <c r="A5" s="16"/>
      <c r="B5" s="14" t="s">
        <v>64</v>
      </c>
      <c r="C5" s="15">
        <f>Income!I5</f>
        <v>0.06</v>
      </c>
      <c r="G5" s="35">
        <f>(G4/(1+$C$4))-IF(TableIncomeCalculations11[[#This Row],[Inverse]]="Y",G4*$C$6,0)</f>
        <v>67838.158595610264</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50053.734895944035</v>
      </c>
      <c r="O5" s="60" cm="1">
        <f t="array" ref="O5">INDEX($H$3:$H$18,ROWS($H$3:$H$18)+ROW($H$3)-ROW())</f>
        <v>39216.936946766582</v>
      </c>
      <c r="Q5" s="63">
        <f>Table11[[#This Row],[GrossMonthlyInflationAdjustedP2]]*0.2</f>
        <v>10010.746979188807</v>
      </c>
    </row>
    <row r="6" spans="1:17" x14ac:dyDescent="0.2">
      <c r="A6" s="16"/>
      <c r="B6" s="14" t="s">
        <v>175</v>
      </c>
      <c r="C6" s="15">
        <f>Income!I6</f>
        <v>4.4999999999999998E-2</v>
      </c>
      <c r="G6" s="35">
        <f>(G5/(1+$C$4))-IF(TableIncomeCalculations11[[#This Row],[Inverse]]="Y",G5*$C$6,0)</f>
        <v>66835.62423212835</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53236.099776683193</v>
      </c>
      <c r="O6" s="60" cm="1">
        <f t="array" ref="O6">INDEX($H$3:$H$18,ROWS($H$3:$H$18)+ROW($H$3)-ROW())</f>
        <v>43054.194260466407</v>
      </c>
      <c r="Q6" s="63">
        <f>Table11[[#This Row],[GrossMonthlyInflationAdjustedP2]]*0.2</f>
        <v>10647.219955336639</v>
      </c>
    </row>
    <row r="7" spans="1:17" x14ac:dyDescent="0.2">
      <c r="A7" s="16"/>
      <c r="B7" s="14" t="s">
        <v>76</v>
      </c>
      <c r="C7" s="15">
        <f>Income!I7</f>
        <v>0.2</v>
      </c>
      <c r="G7" s="35">
        <f>(G6/(1+$C$4))-IF(TableIncomeCalculations11[[#This Row],[Inverse]]="Y",G6*$C$6,0)</f>
        <v>65847.905647417094</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54034.641273333436</v>
      </c>
      <c r="O7" s="60" cm="1">
        <f t="array" ref="O7">INDEX($H$3:$H$18,ROWS($H$3:$H$18)+ROW($H$3)-ROW())</f>
        <v>44345.820088280401</v>
      </c>
      <c r="Q7" s="63">
        <f>Table11[[#This Row],[GrossMonthlyInflationAdjustedP2]]*0.2</f>
        <v>10806.928254666687</v>
      </c>
    </row>
    <row r="8" spans="1:17" x14ac:dyDescent="0.2">
      <c r="A8" s="16"/>
      <c r="C8" s="17"/>
      <c r="G8" s="35">
        <f>(G7/(1+$C$4))-IF(TableIncomeCalculations11[[#This Row],[Inverse]]="Y",G7*$C$6,0)</f>
        <v>61911.628134947117</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54845.160892433436</v>
      </c>
      <c r="O8" s="60" cm="1">
        <f t="array" ref="O8">INDEX($H$3:$H$18,ROWS($H$3:$H$18)+ROW($H$3)-ROW())</f>
        <v>45676.194690928816</v>
      </c>
      <c r="Q8" s="63">
        <f>Table11[[#This Row],[GrossMonthlyInflationAdjustedP2]]*0.2</f>
        <v>10969.032178486688</v>
      </c>
    </row>
    <row r="9" spans="1:17" x14ac:dyDescent="0.2">
      <c r="A9" s="16"/>
      <c r="G9" s="35">
        <f>(G8/(1+$C$4))-IF(TableIncomeCalculations11[[#This Row],[Inverse]]="Y",G8*$C$6,0)</f>
        <v>60996.677965465147</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55667.838305819932</v>
      </c>
      <c r="O9" s="60" cm="1">
        <f t="array" ref="O9">INDEX($H$3:$H$18,ROWS($H$3:$H$18)+ROW($H$3)-ROW())</f>
        <v>47046.480531656685</v>
      </c>
      <c r="Q9" s="63">
        <f>Table11[[#This Row],[GrossMonthlyInflationAdjustedP2]]*0.2</f>
        <v>11133.567661163986</v>
      </c>
    </row>
    <row r="10" spans="1:17" x14ac:dyDescent="0.2">
      <c r="A10" s="16"/>
      <c r="G10" s="35">
        <f>(G9/(1+$C$4))-IF(TableIncomeCalculations11[[#This Row],[Inverse]]="Y",G9*$C$6,0)</f>
        <v>60095.249227059263</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59207.142095624899</v>
      </c>
      <c r="O10" s="60" cm="1">
        <f t="array" ref="O10">INDEX($H$3:$H$18,ROWS($H$3:$H$18)+ROW($H$3)-ROW())</f>
        <v>51649.834734178628</v>
      </c>
      <c r="Q10" s="63">
        <f>Table11[[#This Row],[GrossMonthlyInflationAdjustedP2]]*0.2</f>
        <v>11841.428419124981</v>
      </c>
    </row>
    <row r="11" spans="1:17" x14ac:dyDescent="0.2">
      <c r="A11" s="16"/>
      <c r="G11" s="35">
        <f>(G10/(1+$C$4))-IF(TableIncomeCalculations11[[#This Row],[Inverse]]="Y",G10*$C$6,0)</f>
        <v>59207.142095624899</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60095.249227059263</v>
      </c>
      <c r="O11" s="60" cm="1">
        <f t="array" ref="O11">INDEX($H$3:$H$18,ROWS($H$3:$H$18)+ROW($H$3)-ROW())</f>
        <v>53199.329776203987</v>
      </c>
      <c r="Q11" s="63">
        <f>Table11[[#This Row],[GrossMonthlyInflationAdjustedP2]]*0.2</f>
        <v>12019.049845411853</v>
      </c>
    </row>
    <row r="12" spans="1:17" x14ac:dyDescent="0.2">
      <c r="A12" s="16"/>
      <c r="G12" s="35">
        <f>(G11/(1+$C$4))-IF(TableIncomeCalculations11[[#This Row],[Inverse]]="Y",G11*$C$6,0)</f>
        <v>55667.838305819932</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60996.677965465147</v>
      </c>
      <c r="O12" s="60" cm="1">
        <f t="array" ref="O12">INDEX($H$3:$H$18,ROWS($H$3:$H$18)+ROW($H$3)-ROW())</f>
        <v>54795.309669490111</v>
      </c>
      <c r="Q12" s="63">
        <f>Table11[[#This Row],[GrossMonthlyInflationAdjustedP2]]*0.2</f>
        <v>12199.33559309303</v>
      </c>
    </row>
    <row r="13" spans="1:17" x14ac:dyDescent="0.2">
      <c r="A13" s="16"/>
      <c r="G13" s="35">
        <f>(G12/(1+$C$4))-IF(TableIncomeCalculations11[[#This Row],[Inverse]]="Y",G12*$C$6,0)</f>
        <v>54845.160892433436</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61911.628134947117</v>
      </c>
      <c r="O13" s="60" cm="1">
        <f t="array" ref="O13">INDEX($H$3:$H$18,ROWS($H$3:$H$18)+ROW($H$3)-ROW())</f>
        <v>56439.168959574818</v>
      </c>
      <c r="Q13" s="63">
        <f>Table11[[#This Row],[GrossMonthlyInflationAdjustedP2]]*0.2</f>
        <v>12382.325626989425</v>
      </c>
    </row>
    <row r="14" spans="1:17" x14ac:dyDescent="0.2">
      <c r="A14" s="16"/>
      <c r="G14" s="35">
        <f>(G13/(1+$C$4))-IF(TableIncomeCalculations11[[#This Row],[Inverse]]="Y",G13*$C$6,0)</f>
        <v>54034.641273333436</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65847.905647417094</v>
      </c>
      <c r="O14" s="60" cm="1">
        <f t="array" ref="O14">INDEX($H$3:$H$18,ROWS($H$3:$H$18)+ROW($H$3)-ROW())</f>
        <v>61961.56899207212</v>
      </c>
      <c r="Q14" s="63">
        <f>Table11[[#This Row],[GrossMonthlyInflationAdjustedP2]]*0.2</f>
        <v>13169.58112948342</v>
      </c>
    </row>
    <row r="15" spans="1:17" x14ac:dyDescent="0.2">
      <c r="A15" s="16"/>
      <c r="G15" s="35">
        <f>(G14/(1+$C$4))-IF(TableIncomeCalculations11[[#This Row],[Inverse]]="Y",G14*$C$6,0)</f>
        <v>53236.099776683193</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66835.62423212835</v>
      </c>
      <c r="O15" s="60" cm="1">
        <f t="array" ref="O15">INDEX($H$3:$H$18,ROWS($H$3:$H$18)+ROW($H$3)-ROW())</f>
        <v>63820.416061834287</v>
      </c>
      <c r="Q15" s="63">
        <f>Table11[[#This Row],[GrossMonthlyInflationAdjustedP2]]*0.2</f>
        <v>13367.124846425671</v>
      </c>
    </row>
    <row r="16" spans="1:17" x14ac:dyDescent="0.2">
      <c r="A16" s="16"/>
      <c r="G16" s="35">
        <f>(G15/(1+$C$4))-IF(TableIncomeCalculations11[[#This Row],[Inverse]]="Y",G15*$C$6,0)</f>
        <v>50053.734895944035</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67838.158595610264</v>
      </c>
      <c r="O16" s="60" cm="1">
        <f t="array" ref="O16">INDEX($H$3:$H$18,ROWS($H$3:$H$18)+ROW($H$3)-ROW())</f>
        <v>65735.028543689317</v>
      </c>
      <c r="Q16" s="63">
        <f>Table11[[#This Row],[GrossMonthlyInflationAdjustedP2]]*0.2</f>
        <v>13567.631719122053</v>
      </c>
    </row>
    <row r="17" spans="1:17" x14ac:dyDescent="0.2">
      <c r="A17" s="16"/>
      <c r="G17" s="35">
        <f>(G16/(1+$C$4))-IF(TableIncomeCalculations11[[#This Row],[Inverse]]="Y",G16*$C$6,0)</f>
        <v>49314.024528023685</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72151.238807056725</v>
      </c>
      <c r="O17" s="60" cm="1">
        <f t="array" ref="O17">INDEX($H$3:$H$18,ROWS($H$3:$H$18)+ROW($H$3)-ROW())</f>
        <v>72167</v>
      </c>
      <c r="Q17" s="63">
        <f>Table11[[#This Row],[GrossMonthlyInflationAdjustedP2]]*0.2</f>
        <v>14430.247761411345</v>
      </c>
    </row>
    <row r="18" spans="1:17" x14ac:dyDescent="0.2">
      <c r="A18" s="16"/>
      <c r="G18" s="35">
        <f>(G17/(1+$C$4))-IF(TableIncomeCalculations11[[#This Row],[Inverse]]="Y",G17*$C$6,0)</f>
        <v>48585.245840417425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73233.507389162565</v>
      </c>
      <c r="O18" s="60" cm="1">
        <f t="array" ref="O18">INDEX($H$3:$H$18,ROWS($H$3:$H$18)+ROW($H$3)-ROW())</f>
        <v>74332.009999999995</v>
      </c>
      <c r="Q18" s="63">
        <f>Table11[[#This Row],[GrossMonthlyInflationAdjustedP2]]*0.2</f>
        <v>14646.701477832514</v>
      </c>
    </row>
    <row r="19" spans="1:17" x14ac:dyDescent="0.2">
      <c r="A19" s="16"/>
      <c r="M19" s="62"/>
    </row>
    <row r="20" spans="1:17" x14ac:dyDescent="0.2">
      <c r="A20" s="16"/>
    </row>
    <row r="21" spans="1:17" x14ac:dyDescent="0.2">
      <c r="A21" s="16"/>
      <c r="Q21" s="63">
        <f>SUM(Q3:Q18)</f>
        <v>190770.7755214253</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1.4999999999999999E-2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284381.6761689065</v>
      </c>
      <c r="D3" s="37">
        <f>(TableIncomeCalculations[[#This Row],[NetMonthlySalaryP2]]*12)</f>
        <v>465370.89343226806</v>
      </c>
      <c r="E3" s="36">
        <f>TableIncome[[#This Row],[SalaryP1]]*$I$7</f>
        <v>56876.335233781305</v>
      </c>
      <c r="F3" s="36">
        <f>TableIncome[[#This Row],[SalaryP2]]*$I$7</f>
        <v>93074.178686453612</v>
      </c>
      <c r="G3" s="16"/>
      <c r="H3" s="14" t="s">
        <v>63</v>
      </c>
      <c r="I3" s="15" cm="1">
        <f t="array" ref="I3:I7">'Salary Variables'!$C$4:$C$8</f>
        <v>0.03</v>
      </c>
      <c r="K3" s="57">
        <f>(TableIncome[[#This Row],[SalaryP1]]-TableIncome[[#This Row],[InvestmentP1]])/12</f>
        <v>18958.778411260431</v>
      </c>
      <c r="L3" s="57">
        <f>(TableIncome[[#This Row],[SalaryP2]]-TableIncome[[#This Row],[InvestmentP2]])/12</f>
        <v>31024.726228817872</v>
      </c>
      <c r="M3" s="34">
        <f>'Net Salary P1'!BI2</f>
        <v>23698.473014075542</v>
      </c>
      <c r="N3" s="35">
        <f>'Net Salary P2'!BI2</f>
        <v>38780.907786022341</v>
      </c>
      <c r="O3" s="35">
        <f>TableIncomeCalculations[[#This Row],[GrossMonthlySalaryP1]]/(1+I2)</f>
        <v>43635.467980295572</v>
      </c>
      <c r="P3" s="31">
        <f>TableIncomeCalculations[[#This Row],[GrossMonthlySalaryP2]]/(1+I2)</f>
        <v>73233.507389162565</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288705.77074399998</v>
      </c>
      <c r="D4" s="37">
        <f>(TableIncomeCalculations[[#This Row],[NetMonthlySalaryP2]]*12)</f>
        <v>470899.86710631195</v>
      </c>
      <c r="E4" s="36">
        <f>TableIncome[[#This Row],[SalaryP1]]*$I$7</f>
        <v>57741.1541488</v>
      </c>
      <c r="F4" s="36">
        <f>TableIncome[[#This Row],[SalaryP2]]*$I$7</f>
        <v>94179.973421262403</v>
      </c>
      <c r="G4" s="16"/>
      <c r="H4" s="14" t="s">
        <v>65</v>
      </c>
      <c r="I4" s="15">
        <v>1.4999999999999999E-2</v>
      </c>
      <c r="K4" s="57">
        <f>(TableIncome[[#This Row],[SalaryP1]]-TableIncome[[#This Row],[InvestmentP1]])/12</f>
        <v>19247.051382933332</v>
      </c>
      <c r="L4" s="57">
        <f>(TableIncome[[#This Row],[SalaryP2]]-TableIncome[[#This Row],[InvestmentP2]])/12</f>
        <v>31393.324473754128</v>
      </c>
      <c r="M4" s="34">
        <f>'Net Salary P1'!BI3</f>
        <v>24058.814228666666</v>
      </c>
      <c r="N4" s="35">
        <f>'Net Salary P2'!BI3</f>
        <v>39241.655592192663</v>
      </c>
      <c r="O4" s="35">
        <f>IF(_xlfn.XLOOKUP(TableIncome[[#This Row],[Year]],Loop!C:C,Loop!D:D)&lt;75,(O3*(1+$I$4))+IF(TableIncomeCalculations[[#This Row],[SwitchP1]]="Y",O3*$I$6,0),0)</f>
        <v>44290</v>
      </c>
      <c r="P4" s="35">
        <f>IF(_xlfn.XLOOKUP(TableIncome[[#This Row],[Year]],Loop!C:C,Loop!E:E)&lt;75,(P3*(1+$I$4))+IF(TableIncomeCalculations[[#This Row],[SwitchP2]]="Y",P3*$I$6,0),0)</f>
        <v>74332.009999999995</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306261.59471888008</v>
      </c>
      <c r="D5" s="37">
        <f>(TableIncomeCalculations[[#This Row],[NetMonthlySalaryP2]]*12)</f>
        <v>493347.50022293068</v>
      </c>
      <c r="E5" s="36">
        <f>TableIncome[[#This Row],[SalaryP1]]*$I$7</f>
        <v>61252.318943776016</v>
      </c>
      <c r="F5" s="36">
        <f>TableIncome[[#This Row],[SalaryP2]]*$I$7</f>
        <v>98669.500044586137</v>
      </c>
      <c r="G5" s="16"/>
      <c r="H5" s="14" t="s">
        <v>64</v>
      </c>
      <c r="I5" s="15">
        <v>0.06</v>
      </c>
      <c r="K5" s="57">
        <f>(TableIncome[[#This Row],[SalaryP1]]-TableIncome[[#This Row],[InvestmentP1]])/12</f>
        <v>20417.439647925337</v>
      </c>
      <c r="L5" s="57">
        <f>(TableIncome[[#This Row],[SalaryP2]]-TableIncome[[#This Row],[InvestmentP2]])/12</f>
        <v>32889.833348195381</v>
      </c>
      <c r="M5" s="34">
        <f>'Net Salary P1'!BI4</f>
        <v>25521.799559906674</v>
      </c>
      <c r="N5" s="35">
        <f>'Net Salary P2'!BI4</f>
        <v>41112.291685244221</v>
      </c>
      <c r="O5" s="35">
        <f>IF(_xlfn.XLOOKUP(TableIncome[[#This Row],[Year]],Loop!C:C,Loop!D:D)&lt;75,(O4*(1+$I$4))+IF(TableIncomeCalculations[[#This Row],[SwitchP1]]="Y",O4*$I$6,0),0)</f>
        <v>46947.4</v>
      </c>
      <c r="P5" s="35">
        <f>IF(_xlfn.XLOOKUP(TableIncome[[#This Row],[Year]],Loop!C:C,Loop!E:E)&lt;75,(P4*(1+$I$4))+IF(TableIncomeCalculations[[#This Row],[SwitchP2]]="Y",P4*$I$6,0),0)</f>
        <v>78791.930599999978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310913.88807222317</v>
      </c>
      <c r="D6" s="37">
        <f>(TableIncomeCalculations[[#This Row],[NetMonthlySalaryP2]]*12)</f>
        <v>499296.12299883465</v>
      </c>
      <c r="E6" s="36">
        <f>TableIncome[[#This Row],[SalaryP1]]*$I$7</f>
        <v>62182.77761444464</v>
      </c>
      <c r="F6" s="36">
        <f>TableIncome[[#This Row],[SalaryP2]]*$I$7</f>
        <v>99859.224599766938</v>
      </c>
      <c r="G6" s="16"/>
      <c r="H6" s="14" t="s">
        <v>175</v>
      </c>
      <c r="I6" s="15">
        <v>4.4999999999999998E-2</v>
      </c>
      <c r="K6" s="57">
        <f>(TableIncome[[#This Row],[SalaryP1]]-TableIncome[[#This Row],[InvestmentP1]])/12</f>
        <v>20727.592538148212</v>
      </c>
      <c r="L6" s="57">
        <f>(TableIncome[[#This Row],[SalaryP2]]-TableIncome[[#This Row],[InvestmentP2]])/12</f>
        <v>33286.408199922305</v>
      </c>
      <c r="M6" s="34">
        <f>'Net Salary P1'!BI5</f>
        <v>25909.490672685264</v>
      </c>
      <c r="N6" s="35">
        <f>'Net Salary P2'!BI5</f>
        <v>41608.010249902887</v>
      </c>
      <c r="O6" s="35">
        <f>IF(_xlfn.XLOOKUP(TableIncome[[#This Row],[Year]],Loop!C:C,Loop!D:D)&lt;75,(O5*(1+$I$4))+IF(TableIncomeCalculations[[#This Row],[SwitchP1]]="Y",O5*$I$6,0),0)</f>
        <v>47651.610999999997</v>
      </c>
      <c r="P6" s="35">
        <f>IF(_xlfn.XLOOKUP(TableIncome[[#This Row],[Year]],Loop!C:C,Loop!E:E)&lt;75,(P5*(1+$I$4))+IF(TableIncomeCalculations[[#This Row],[SwitchP2]]="Y",P5*$I$6,0),0)</f>
        <v>79973.809558999972</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315635.96582586656</v>
      </c>
      <c r="D7" s="37">
        <f>(TableIncomeCalculations[[#This Row],[NetMonthlySalaryP2]]*12)</f>
        <v>505333.975116377</v>
      </c>
      <c r="E7" s="36">
        <f>TableIncome[[#This Row],[SalaryP1]]*$I$7</f>
        <v>63127.193165173318</v>
      </c>
      <c r="F7" s="36">
        <f>TableIncome[[#This Row],[SalaryP2]]*$I$7</f>
        <v>101066.79502327541</v>
      </c>
      <c r="G7" s="16"/>
      <c r="H7" s="14" t="s">
        <v>76</v>
      </c>
      <c r="I7" s="15">
        <v>0.2</v>
      </c>
      <c r="K7" s="57">
        <f>(TableIncome[[#This Row],[SalaryP1]]-TableIncome[[#This Row],[InvestmentP1]])/12</f>
        <v>21042.397721724436</v>
      </c>
      <c r="L7" s="57">
        <f>(TableIncome[[#This Row],[SalaryP2]]-TableIncome[[#This Row],[InvestmentP2]])/12</f>
        <v>33688.931674425134</v>
      </c>
      <c r="M7" s="34">
        <f>'Net Salary P1'!BI6</f>
        <v>26302.997152155545</v>
      </c>
      <c r="N7" s="35">
        <f>'Net Salary P2'!BI6</f>
        <v>42111.164593031419</v>
      </c>
      <c r="O7" s="35">
        <f>IF(_xlfn.XLOOKUP(TableIncome[[#This Row],[Year]],Loop!C:C,Loop!D:D)&lt;75,(O6*(1+$I$4))+IF(TableIncomeCalculations[[#This Row],[SwitchP1]]="Y",O6*$I$6,0),0)</f>
        <v>48366.385164999992</v>
      </c>
      <c r="P7" s="35">
        <f>IF(_xlfn.XLOOKUP(TableIncome[[#This Row],[Year]],Loop!C:C,Loop!E:E)&lt;75,(P6*(1+$I$4))+IF(TableIncomeCalculations[[#This Row],[SwitchP2]]="Y",P6*$I$6,0),0)</f>
        <v>81173.416702384959</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320428.87474581448</v>
      </c>
      <c r="D8" s="37">
        <f>(TableIncomeCalculations[[#This Row],[NetMonthlySalaryP2]]*12)</f>
        <v>511462.39501568262</v>
      </c>
      <c r="E8" s="36">
        <f>TableIncome[[#This Row],[SalaryP1]]*$I$7</f>
        <v>64085.7749491629</v>
      </c>
      <c r="F8" s="36">
        <f>TableIncome[[#This Row],[SalaryP2]]*$I$7</f>
        <v>102292.47900313653</v>
      </c>
      <c r="G8" s="16"/>
      <c r="I8" s="17"/>
      <c r="K8" s="57">
        <f>(TableIncome[[#This Row],[SalaryP1]]-TableIncome[[#This Row],[InvestmentP1]])/12</f>
        <v>21361.924983054298</v>
      </c>
      <c r="L8" s="57">
        <f>(TableIncome[[#This Row],[SalaryP2]]-TableIncome[[#This Row],[InvestmentP2]])/12</f>
        <v>34097.493001045506</v>
      </c>
      <c r="M8" s="34">
        <f>'Net Salary P1'!BI7</f>
        <v>26702.406228817872</v>
      </c>
      <c r="N8" s="35">
        <f>'Net Salary P2'!BI7</f>
        <v>42621.866251306885</v>
      </c>
      <c r="O8" s="35">
        <f>IF(_xlfn.XLOOKUP(TableIncome[[#This Row],[Year]],Loop!C:C,Loop!D:D)&lt;75,(O7*(1+$I$4))+IF(TableIncomeCalculations[[#This Row],[SwitchP1]]="Y",O7*$I$6,0),0)</f>
        <v>49091.880942474985</v>
      </c>
      <c r="P8" s="35">
        <f>IF(_xlfn.XLOOKUP(TableIncome[[#This Row],[Year]],Loop!C:C,Loop!E:E)&lt;75,(P7*(1+$I$4))+IF(TableIncomeCalculations[[#This Row],[SwitchP2]]="Y",P7*$I$6,0),0)</f>
        <v>82391.017952920723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339888.08496080333</v>
      </c>
      <c r="D9" s="37">
        <f>(TableIncomeCalculations[[#This Row],[NetMonthlySalaryP2]]*12)</f>
        <v>536343.77980686352</v>
      </c>
      <c r="E9" s="36">
        <f>TableIncome[[#This Row],[SalaryP1]]*$I$7</f>
        <v>67977.616992160663</v>
      </c>
      <c r="F9" s="36">
        <f>TableIncome[[#This Row],[SalaryP2]]*$I$7</f>
        <v>107268.75596137271</v>
      </c>
      <c r="G9" s="16"/>
      <c r="K9" s="57">
        <f>(TableIncome[[#This Row],[SalaryP1]]-TableIncome[[#This Row],[InvestmentP1]])/12</f>
        <v>22659.205664053556</v>
      </c>
      <c r="L9" s="57">
        <f>(TableIncome[[#This Row],[SalaryP2]]-TableIncome[[#This Row],[InvestmentP2]])/12</f>
        <v>35756.251987124233</v>
      </c>
      <c r="M9" s="34">
        <f>'Net Salary P1'!BI8</f>
        <v>28324.007080066945</v>
      </c>
      <c r="N9" s="35">
        <f>'Net Salary P2'!BI8</f>
        <v>44695.314983905293</v>
      </c>
      <c r="O9" s="35">
        <f>IF(_xlfn.XLOOKUP(TableIncome[[#This Row],[Year]],Loop!C:C,Loop!D:D)&lt;75,(O8*(1+$I$4))+IF(TableIncomeCalculations[[#This Row],[SwitchP1]]="Y",O8*$I$6,0),0)</f>
        <v>52037.393799023477</v>
      </c>
      <c r="P9" s="35">
        <f>IF(_xlfn.XLOOKUP(TableIncome[[#This Row],[Year]],Loop!C:C,Loop!E:E)&lt;75,(P8*(1+$I$4))+IF(TableIncomeCalculations[[#This Row],[SwitchP2]]="Y",P8*$I$6,0),0)</f>
        <v>87334.479030095958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345044.77566777519</v>
      </c>
      <c r="D10" s="37">
        <f>(TableIncomeCalculations[[#This Row],[NetMonthlySalaryP2]]*12)</f>
        <v>542937.34677652654</v>
      </c>
      <c r="E10" s="36">
        <f>TableIncome[[#This Row],[SalaryP1]]*$I$7</f>
        <v>69008.955133555035</v>
      </c>
      <c r="F10" s="36">
        <f>TableIncome[[#This Row],[SalaryP2]]*$I$7</f>
        <v>108587.46935530531</v>
      </c>
      <c r="G10" s="16"/>
      <c r="H10" s="28"/>
      <c r="K10" s="57">
        <f>(TableIncome[[#This Row],[SalaryP1]]-TableIncome[[#This Row],[InvestmentP1]])/12</f>
        <v>23002.985044518344</v>
      </c>
      <c r="L10" s="57">
        <f>(TableIncome[[#This Row],[SalaryP2]]-TableIncome[[#This Row],[InvestmentP2]])/12</f>
        <v>36195.823118435103</v>
      </c>
      <c r="M10" s="34">
        <f>'Net Salary P1'!BI9</f>
        <v>28753.731305647932</v>
      </c>
      <c r="N10" s="35">
        <f>'Net Salary P2'!BI9</f>
        <v>45244.778898043878</v>
      </c>
      <c r="O10" s="35">
        <f>IF(_xlfn.XLOOKUP(TableIncome[[#This Row],[Year]],Loop!C:C,Loop!D:D)&lt;75,(O9*(1+$I$4))+IF(TableIncomeCalculations[[#This Row],[SwitchP1]]="Y",O9*$I$6,0),0)</f>
        <v>52817.954706008823</v>
      </c>
      <c r="P10" s="35">
        <f>IF(_xlfn.XLOOKUP(TableIncome[[#This Row],[Year]],Loop!C:C,Loop!E:E)&lt;75,(P9*(1+$I$4))+IF(TableIncomeCalculations[[#This Row],[SwitchP2]]="Y",P9*$I$6,0),0)</f>
        <v>88644.496215547391</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350278.81673535192</v>
      </c>
      <c r="D11" s="37">
        <f>(TableIncomeCalculations[[#This Row],[NetMonthlySalaryP2]]*12)</f>
        <v>549629.81725073431</v>
      </c>
      <c r="E11" s="36">
        <f>TableIncome[[#This Row],[SalaryP1]]*$I$7</f>
        <v>70055.763347070388</v>
      </c>
      <c r="F11" s="36">
        <f>TableIncome[[#This Row],[SalaryP2]]*$I$7</f>
        <v>109925.96345014687</v>
      </c>
      <c r="G11" s="16"/>
      <c r="K11" s="57">
        <f>(TableIncome[[#This Row],[SalaryP1]]-TableIncome[[#This Row],[InvestmentP1]])/12</f>
        <v>23351.921115690129</v>
      </c>
      <c r="L11" s="57">
        <f>(TableIncome[[#This Row],[SalaryP2]]-TableIncome[[#This Row],[InvestmentP2]])/12</f>
        <v>36641.98781671562</v>
      </c>
      <c r="M11" s="34">
        <f>'Net Salary P1'!BI10</f>
        <v>29189.901394612662</v>
      </c>
      <c r="N11" s="35">
        <f>'Net Salary P2'!BI10</f>
        <v>45802.484770894524</v>
      </c>
      <c r="O11" s="35">
        <f>IF(_xlfn.XLOOKUP(TableIncome[[#This Row],[Year]],Loop!C:C,Loop!D:D)&lt;75,(O10*(1+$I$4))+IF(TableIncomeCalculations[[#This Row],[SwitchP1]]="Y",O10*$I$6,0),0)</f>
        <v>53610.224026598953</v>
      </c>
      <c r="P11" s="35">
        <f>IF(_xlfn.XLOOKUP(TableIncome[[#This Row],[Year]],Loop!C:C,Loop!E:E)&lt;75,(P10*(1+$I$4))+IF(TableIncomeCalculations[[#This Row],[SwitchP2]]="Y",P10*$I$6,0),0)</f>
        <v>89974.163658780599</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355591.36841894221</v>
      </c>
      <c r="D12" s="37">
        <f>(TableIncomeCalculations[[#This Row],[NetMonthlySalaryP2]]*12)</f>
        <v>556422.67478205531</v>
      </c>
      <c r="E12" s="36">
        <f>TableIncome[[#This Row],[SalaryP1]]*$I$7</f>
        <v>71118.273683788444</v>
      </c>
      <c r="F12" s="36">
        <f>TableIncome[[#This Row],[SalaryP2]]*$I$7</f>
        <v>111284.53495641107</v>
      </c>
      <c r="G12" s="16"/>
      <c r="K12" s="57">
        <f>(TableIncome[[#This Row],[SalaryP1]]-TableIncome[[#This Row],[InvestmentP1]])/12</f>
        <v>23706.091227929483</v>
      </c>
      <c r="L12" s="57">
        <f>(TableIncome[[#This Row],[SalaryP2]]-TableIncome[[#This Row],[InvestmentP2]])/12</f>
        <v>37094.844985470358</v>
      </c>
      <c r="M12" s="34">
        <f>'Net Salary P1'!BI11</f>
        <v>29632.61403491185</v>
      </c>
      <c r="N12" s="35">
        <f>'Net Salary P2'!BI11</f>
        <v>46368.556231837945</v>
      </c>
      <c r="O12" s="35">
        <f>IF(_xlfn.XLOOKUP(TableIncome[[#This Row],[Year]],Loop!C:C,Loop!D:D)&lt;75,(O11*(1+$I$4))+IF(TableIncomeCalculations[[#This Row],[SwitchP1]]="Y",O11*$I$6,0),0)</f>
        <v>54414.377386997934</v>
      </c>
      <c r="P12" s="35">
        <f>IF(_xlfn.XLOOKUP(TableIncome[[#This Row],[Year]],Loop!C:C,Loop!E:E)&lt;75,(P11*(1+$I$4))+IF(TableIncomeCalculations[[#This Row],[SwitchP2]]="Y",P11*$I$6,0),0)</f>
        <v>91323.776113662301</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377160.32825431874</v>
      </c>
      <c r="D13" s="37">
        <f>(TableIncomeCalculations[[#This Row],[NetMonthlySalaryP2]]*12)</f>
        <v>584001.67635921855</v>
      </c>
      <c r="E13" s="36">
        <f>TableIncome[[#This Row],[SalaryP1]]*$I$7</f>
        <v>75432.065650863748</v>
      </c>
      <c r="F13" s="36">
        <f>TableIncome[[#This Row],[SalaryP2]]*$I$7</f>
        <v>116800.33527184371</v>
      </c>
      <c r="G13" s="16"/>
      <c r="K13" s="57">
        <f>(TableIncome[[#This Row],[SalaryP1]]-TableIncome[[#This Row],[InvestmentP1]])/12</f>
        <v>25144.021883621248</v>
      </c>
      <c r="L13" s="57">
        <f>(TableIncome[[#This Row],[SalaryP2]]-TableIncome[[#This Row],[InvestmentP2]])/12</f>
        <v>38933.445090614572</v>
      </c>
      <c r="M13" s="34">
        <f>'Net Salary P1'!BI12</f>
        <v>31430.027354526563</v>
      </c>
      <c r="N13" s="35">
        <f>'Net Salary P2'!BI12</f>
        <v>48666.80636326821</v>
      </c>
      <c r="O13" s="35">
        <f>IF(_xlfn.XLOOKUP(TableIncome[[#This Row],[Year]],Loop!C:C,Loop!D:D)&lt;75,(O12*(1+$I$4))+IF(TableIncomeCalculations[[#This Row],[SwitchP1]]="Y",O12*$I$6,0),0)</f>
        <v>57679.240030217807</v>
      </c>
      <c r="P13" s="35">
        <f>IF(_xlfn.XLOOKUP(TableIncome[[#This Row],[Year]],Loop!C:C,Loop!E:E)&lt;75,(P12*(1+$I$4))+IF(TableIncomeCalculations[[#This Row],[SwitchP2]]="Y",P12*$I$6,0),0)</f>
        <v>96803.202680482034</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382876.10261069343</v>
      </c>
      <c r="D14" s="37">
        <f>(TableIncomeCalculations[[#This Row],[NetMonthlySalaryP2]]*12)</f>
        <v>591310.11177716695</v>
      </c>
      <c r="E14" s="36">
        <f>TableIncome[[#This Row],[SalaryP1]]*$I$7</f>
        <v>76575.220522138683</v>
      </c>
      <c r="F14" s="36">
        <f>TableIncome[[#This Row],[SalaryP2]]*$I$7</f>
        <v>118262.02235543339</v>
      </c>
      <c r="G14" s="16"/>
      <c r="K14" s="57">
        <f>(TableIncome[[#This Row],[SalaryP1]]-TableIncome[[#This Row],[InvestmentP1]])/12</f>
        <v>25525.073507379562</v>
      </c>
      <c r="L14" s="57">
        <f>(TableIncome[[#This Row],[SalaryP2]]-TableIncome[[#This Row],[InvestmentP2]])/12</f>
        <v>39420.6741184778</v>
      </c>
      <c r="M14" s="34">
        <f>'Net Salary P1'!BI13</f>
        <v>31906.341884224454</v>
      </c>
      <c r="N14" s="35">
        <f>'Net Salary P2'!BI13</f>
        <v>49275.842648097248</v>
      </c>
      <c r="O14" s="35">
        <f>IF(_xlfn.XLOOKUP(TableIncome[[#This Row],[Year]],Loop!C:C,Loop!D:D)&lt;75,(O13*(1+$I$4))+IF(TableIncomeCalculations[[#This Row],[SwitchP1]]="Y",O13*$I$6,0),0)</f>
        <v>58544.428630671071</v>
      </c>
      <c r="P14" s="35">
        <f>IF(_xlfn.XLOOKUP(TableIncome[[#This Row],[Year]],Loop!C:C,Loop!E:E)&lt;75,(P13*(1+$I$4))+IF(TableIncomeCalculations[[#This Row],[SwitchP2]]="Y",P13*$I$6,0),0)</f>
        <v>98255.250720689262</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388677.61358241388</v>
      </c>
      <c r="D15" s="37">
        <f>(TableIncomeCalculations[[#This Row],[NetMonthlySalaryP2]]*12)</f>
        <v>598728.1737263843</v>
      </c>
      <c r="E15" s="36">
        <f>TableIncome[[#This Row],[SalaryP1]]*$I$7</f>
        <v>77735.522716482781</v>
      </c>
      <c r="F15" s="36">
        <f>TableIncome[[#This Row],[SalaryP2]]*$I$7</f>
        <v>119745.63474527687</v>
      </c>
      <c r="G15" s="16"/>
      <c r="K15" s="57">
        <f>(TableIncome[[#This Row],[SalaryP1]]-TableIncome[[#This Row],[InvestmentP1]])/12</f>
        <v>25911.84090549426</v>
      </c>
      <c r="L15" s="57">
        <f>(TableIncome[[#This Row],[SalaryP2]]-TableIncome[[#This Row],[InvestmentP2]])/12</f>
        <v>39915.211581758951</v>
      </c>
      <c r="M15" s="34">
        <f>'Net Salary P1'!BI14</f>
        <v>32389.801131867822</v>
      </c>
      <c r="N15" s="35">
        <f>'Net Salary P2'!BI14</f>
        <v>49894.014477198689</v>
      </c>
      <c r="O15" s="35">
        <f>IF(_xlfn.XLOOKUP(TableIncome[[#This Row],[Year]],Loop!C:C,Loop!D:D)&lt;75,(O14*(1+$I$4))+IF(TableIncomeCalculations[[#This Row],[SwitchP1]]="Y",O14*$I$6,0),0)</f>
        <v>59422.595060131134</v>
      </c>
      <c r="P15" s="35">
        <f>IF(_xlfn.XLOOKUP(TableIncome[[#This Row],[Year]],Loop!C:C,Loop!E:E)&lt;75,(P14*(1+$I$4))+IF(TableIncomeCalculations[[#This Row],[SwitchP2]]="Y",P14*$I$6,0),0)</f>
        <v>99729.07948149959</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412231.74812759855</v>
      </c>
      <c r="D16" s="37">
        <f>(TableIncomeCalculations[[#This Row],[NetMonthlySalaryP2]]*12)</f>
        <v>628845.50524020731</v>
      </c>
      <c r="E16" s="36">
        <f>TableIncome[[#This Row],[SalaryP1]]*$I$7</f>
        <v>82446.34962551971</v>
      </c>
      <c r="F16" s="36">
        <f>TableIncome[[#This Row],[SalaryP2]]*$I$7</f>
        <v>125769.10104804147</v>
      </c>
      <c r="G16" s="16"/>
      <c r="K16" s="57">
        <f>(TableIncome[[#This Row],[SalaryP1]]-TableIncome[[#This Row],[InvestmentP1]])/12</f>
        <v>27482.116541839903</v>
      </c>
      <c r="L16" s="57">
        <f>(TableIncome[[#This Row],[SalaryP2]]-TableIncome[[#This Row],[InvestmentP2]])/12</f>
        <v>41923.033682680485</v>
      </c>
      <c r="M16" s="34">
        <f>'Net Salary P1'!BI15</f>
        <v>34352.645677299879</v>
      </c>
      <c r="N16" s="35">
        <f>'Net Salary P2'!BI15</f>
        <v>52403.792103350606</v>
      </c>
      <c r="O16" s="35">
        <f>IF(_xlfn.XLOOKUP(TableIncome[[#This Row],[Year]],Loop!C:C,Loop!D:D)&lt;75,(O15*(1+$I$4))+IF(TableIncomeCalculations[[#This Row],[SwitchP1]]="Y",O15*$I$6,0),0)</f>
        <v>62987.950763738998</v>
      </c>
      <c r="P16" s="35">
        <f>IF(_xlfn.XLOOKUP(TableIncome[[#This Row],[Year]],Loop!C:C,Loop!E:E)&lt;75,(P15*(1+$I$4))+IF(TableIncomeCalculations[[#This Row],[SwitchP2]]="Y",P15*$I$6,0),0)</f>
        <v>105712.82425038955</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418473.59378207254</v>
      </c>
      <c r="D17" s="37">
        <f>(TableIncomeCalculations[[#This Row],[NetMonthlySalaryP2]]*12)</f>
        <v>636826.59809137043</v>
      </c>
      <c r="E17" s="36">
        <f>TableIncome[[#This Row],[SalaryP1]]*$I$7</f>
        <v>83694.718756414513</v>
      </c>
      <c r="F17" s="36">
        <f>TableIncome[[#This Row],[SalaryP2]]*$I$7</f>
        <v>127365.31961827409</v>
      </c>
      <c r="G17" s="16"/>
      <c r="K17" s="57">
        <f>(TableIncome[[#This Row],[SalaryP1]]-TableIncome[[#This Row],[InvestmentP1]])/12</f>
        <v>27898.239585471503</v>
      </c>
      <c r="L17" s="57">
        <f>(TableIncome[[#This Row],[SalaryP2]]-TableIncome[[#This Row],[InvestmentP2]])/12</f>
        <v>42455.106539424691</v>
      </c>
      <c r="M17" s="34">
        <f>'Net Salary P1'!BI16</f>
        <v>34872.799481839378</v>
      </c>
      <c r="N17" s="35">
        <f>'Net Salary P2'!BI16</f>
        <v>53068.883174280869</v>
      </c>
      <c r="O17" s="35">
        <f>IF(_xlfn.XLOOKUP(TableIncome[[#This Row],[Year]],Loop!C:C,Loop!D:D)&lt;75,(O16*(1+$I$4))+IF(TableIncomeCalculations[[#This Row],[SwitchP1]]="Y",O16*$I$6,0),0)</f>
        <v>63932.770025195074</v>
      </c>
      <c r="P17" s="35">
        <f>IF(_xlfn.XLOOKUP(TableIncome[[#This Row],[Year]],Loop!C:C,Loop!E:E)&lt;75,(P16*(1+$I$4))+IF(TableIncomeCalculations[[#This Row],[SwitchP2]]="Y",P16*$I$6,0),0)</f>
        <v>107298.51661414538</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423385.29181067203</v>
      </c>
      <c r="D18" s="37">
        <f>(TableIncomeCalculations[[#This Row],[NetMonthlySalaryP2]]*12)</f>
        <v>644927.4073353007</v>
      </c>
      <c r="E18" s="36">
        <f>TableIncome[[#This Row],[SalaryP1]]*$I$7</f>
        <v>84677.058362134412</v>
      </c>
      <c r="F18" s="36">
        <f>TableIncome[[#This Row],[SalaryP2]]*$I$7</f>
        <v>128985.48146706015</v>
      </c>
      <c r="G18" s="16"/>
      <c r="K18" s="57">
        <f>(TableIncome[[#This Row],[SalaryP1]]-TableIncome[[#This Row],[InvestmentP1]])/12</f>
        <v>28225.686120711471</v>
      </c>
      <c r="L18" s="57">
        <f>(TableIncome[[#This Row],[SalaryP2]]-TableIncome[[#This Row],[InvestmentP2]])/12</f>
        <v>42995.160489020047</v>
      </c>
      <c r="M18" s="34">
        <f>'Net Salary P1'!BI17</f>
        <v>35282.107650889338</v>
      </c>
      <c r="N18" s="35">
        <f>'Net Salary P2'!BI17</f>
        <v>53743.950611275061</v>
      </c>
      <c r="O18" s="35">
        <f>IF(_xlfn.XLOOKUP(TableIncome[[#This Row],[Year]],Loop!C:C,Loop!D:D)&lt;75,(O17*(1+$I$4))+IF(TableIncomeCalculations[[#This Row],[SwitchP1]]="Y",O17*$I$6,0),0)</f>
        <v>64891.761575572993</v>
      </c>
      <c r="P18" s="35">
        <f>IF(_xlfn.XLOOKUP(TableIncome[[#This Row],[Year]],Loop!C:C,Loop!E:E)&lt;75,(P17*(1+$I$4))+IF(TableIncomeCalculations[[#This Row],[SwitchP2]]="Y",P17*$I$6,0),0)</f>
        <v>108907.99436335755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428284.48146039224</v>
      </c>
      <c r="D19" s="37">
        <f>(TableIncomeCalculations[[#This Row],[NetMonthlySalaryP2]]*12)</f>
        <v>653149.72871789034</v>
      </c>
      <c r="E19" s="36">
        <f>TableIncome[[#This Row],[SalaryP1]]*$I$7</f>
        <v>85656.896292078454</v>
      </c>
      <c r="F19" s="36">
        <f>TableIncome[[#This Row],[SalaryP2]]*$I$7</f>
        <v>130629.94574357808</v>
      </c>
      <c r="G19" s="16"/>
      <c r="K19" s="57">
        <f>(TableIncome[[#This Row],[SalaryP1]]-TableIncome[[#This Row],[InvestmentP1]])/12</f>
        <v>28552.298764026153</v>
      </c>
      <c r="L19" s="57">
        <f>(TableIncome[[#This Row],[SalaryP2]]-TableIncome[[#This Row],[InvestmentP2]])/12</f>
        <v>43543.315247859355</v>
      </c>
      <c r="M19" s="34">
        <f>'Net Salary P1'!BI18</f>
        <v>35690.373455032684</v>
      </c>
      <c r="N19" s="35">
        <f>'Net Salary P2'!BI18</f>
        <v>54429.144059824197</v>
      </c>
      <c r="O19" s="35">
        <f>IF(_xlfn.XLOOKUP(TableIncome[[#This Row],[Year]],Loop!C:C,Loop!D:D)&lt;75,(O18*(1+$I$4))+IF(TableIncomeCalculations[[#This Row],[SwitchP1]]="Y",O18*$I$6,0),0)</f>
        <v>65865.137999206578</v>
      </c>
      <c r="P19" s="35">
        <f>IF(_xlfn.XLOOKUP(TableIncome[[#This Row],[Year]],Loop!C:C,Loop!E:E)&lt;75,(P18*(1+$I$4))+IF(TableIncomeCalculations[[#This Row],[SwitchP2]]="Y",P18*$I$6,0),0)</f>
        <v>110541.6142788079</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433257.15895485796</v>
      </c>
      <c r="D20" s="37">
        <f>(TableIncomeCalculations[[#This Row],[NetMonthlySalaryP2]]*12)</f>
        <v>661495.3849212185</v>
      </c>
      <c r="E20" s="36">
        <f>TableIncome[[#This Row],[SalaryP1]]*$I$7</f>
        <v>86651.431790971605</v>
      </c>
      <c r="F20" s="36">
        <f>TableIncome[[#This Row],[SalaryP2]]*$I$7</f>
        <v>132299.0769842437</v>
      </c>
      <c r="G20" s="16"/>
      <c r="K20" s="57">
        <f>(TableIncome[[#This Row],[SalaryP1]]-TableIncome[[#This Row],[InvestmentP1]])/12</f>
        <v>28883.81059699053</v>
      </c>
      <c r="L20" s="57">
        <f>(TableIncome[[#This Row],[SalaryP2]]-TableIncome[[#This Row],[InvestmentP2]])/12</f>
        <v>44099.692328081233</v>
      </c>
      <c r="M20" s="34">
        <f>'Net Salary P1'!BI19</f>
        <v>36104.763246238166</v>
      </c>
      <c r="N20" s="35">
        <f>'Net Salary P2'!BI19</f>
        <v>55124.615410101542</v>
      </c>
      <c r="O20" s="35">
        <f>IF(_xlfn.XLOOKUP(TableIncome[[#This Row],[Year]],Loop!C:C,Loop!D:D)&lt;75,(O19*(1+$I$4))+IF(TableIncomeCalculations[[#This Row],[SwitchP1]]="Y",O19*$I$6,0),0)</f>
        <v>66853.115069194668</v>
      </c>
      <c r="P20" s="35">
        <f>IF(_xlfn.XLOOKUP(TableIncome[[#This Row],[Year]],Loop!C:C,Loop!E:E)&lt;75,(P19*(1+$I$4))+IF(TableIncomeCalculations[[#This Row],[SwitchP2]]="Y",P19*$I$6,0),0)</f>
        <v>112199.73849299001</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453446.22958238935</v>
      </c>
      <c r="D21" s="37">
        <f>(TableIncomeCalculations[[#This Row],[NetMonthlySalaryP2]]*12)</f>
        <v>695378.74910673173</v>
      </c>
      <c r="E21" s="36">
        <f>TableIncome[[#This Row],[SalaryP1]]*$I$7</f>
        <v>90689.24591647787</v>
      </c>
      <c r="F21" s="36">
        <f>TableIncome[[#This Row],[SalaryP2]]*$I$7</f>
        <v>139075.74982134634</v>
      </c>
      <c r="G21" s="16"/>
      <c r="K21" s="57">
        <f>(TableIncome[[#This Row],[SalaryP1]]-TableIncome[[#This Row],[InvestmentP1]])/12</f>
        <v>30229.748638825957</v>
      </c>
      <c r="L21" s="57">
        <f>(TableIncome[[#This Row],[SalaryP2]]-TableIncome[[#This Row],[InvestmentP2]])/12</f>
        <v>46358.583273782111</v>
      </c>
      <c r="M21" s="34">
        <f>'Net Salary P1'!BI20</f>
        <v>37787.185798532446</v>
      </c>
      <c r="N21" s="35">
        <f>'Net Salary P2'!BI20</f>
        <v>57948.229092227644</v>
      </c>
      <c r="O21" s="35">
        <f>IF(_xlfn.XLOOKUP(TableIncome[[#This Row],[Year]],Loop!C:C,Loop!D:D)&lt;75,(O20*(1+$I$4))+IF(TableIncomeCalculations[[#This Row],[SwitchP1]]="Y",O20*$I$6,0),0)</f>
        <v>70864.30197334633</v>
      </c>
      <c r="P21" s="35">
        <f>IF(_xlfn.XLOOKUP(TableIncome[[#This Row],[Year]],Loop!C:C,Loop!E:E)&lt;75,(P20*(1+$I$4))+IF(TableIncomeCalculations[[#This Row],[SwitchP2]]="Y",P20*$I$6,0),0)</f>
        <v>118931.72280256941</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458796.33329868515</v>
      </c>
      <c r="D22" s="37">
        <f>(TableIncomeCalculations[[#This Row],[NetMonthlySalaryP2]]*12)</f>
        <v>704357.84061589255</v>
      </c>
      <c r="E22" s="36">
        <f>TableIncome[[#This Row],[SalaryP1]]*$I$7</f>
        <v>91759.266659737041</v>
      </c>
      <c r="F22" s="36">
        <f>TableIncome[[#This Row],[SalaryP2]]*$I$7</f>
        <v>140871.56812317853</v>
      </c>
      <c r="G22" s="16"/>
      <c r="K22" s="57">
        <f>(TableIncome[[#This Row],[SalaryP1]]-TableIncome[[#This Row],[InvestmentP1]])/12</f>
        <v>30586.422219912343</v>
      </c>
      <c r="L22" s="57">
        <f>(TableIncome[[#This Row],[SalaryP2]]-TableIncome[[#This Row],[InvestmentP2]])/12</f>
        <v>46957.18937439283</v>
      </c>
      <c r="M22" s="34">
        <f>'Net Salary P1'!BI21</f>
        <v>38233.027774890426</v>
      </c>
      <c r="N22" s="35">
        <f>'Net Salary P2'!BI21</f>
        <v>58696.486717991043</v>
      </c>
      <c r="O22" s="35">
        <f>IF(_xlfn.XLOOKUP(TableIncome[[#This Row],[Year]],Loop!C:C,Loop!D:D)&lt;75,(O21*(1+$I$4))+IF(TableIncomeCalculations[[#This Row],[SwitchP1]]="Y",O21*$I$6,0),0)</f>
        <v>71927.266502946513</v>
      </c>
      <c r="P22" s="35">
        <f>IF(_xlfn.XLOOKUP(TableIncome[[#This Row],[Year]],Loop!C:C,Loop!E:E)&lt;75,(P21*(1+$I$4))+IF(TableIncomeCalculations[[#This Row],[SwitchP2]]="Y",P21*$I$6,0),0)</f>
        <v>120715.69864460794</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464226.68857072538</v>
      </c>
      <c r="D23" s="37">
        <f>(TableIncomeCalculations[[#This Row],[NetMonthlySalaryP2]]*12)</f>
        <v>713471.61849769088</v>
      </c>
      <c r="E23" s="36">
        <f>TableIncome[[#This Row],[SalaryP1]]*$I$7</f>
        <v>92845.337714145076</v>
      </c>
      <c r="F23" s="36">
        <f>TableIncome[[#This Row],[SalaryP2]]*$I$7</f>
        <v>142694.32369953819</v>
      </c>
      <c r="G23" s="16"/>
      <c r="K23" s="57">
        <f>(TableIncome[[#This Row],[SalaryP1]]-TableIncome[[#This Row],[InvestmentP1]])/12</f>
        <v>30948.445904715027</v>
      </c>
      <c r="L23" s="57">
        <f>(TableIncome[[#This Row],[SalaryP2]]-TableIncome[[#This Row],[InvestmentP2]])/12</f>
        <v>47564.77456651273</v>
      </c>
      <c r="M23" s="34">
        <f>'Net Salary P1'!BI22</f>
        <v>38685.557380893784</v>
      </c>
      <c r="N23" s="35">
        <f>'Net Salary P2'!BI22</f>
        <v>59455.968208140905</v>
      </c>
      <c r="O23" s="35">
        <f>IF(_xlfn.XLOOKUP(TableIncome[[#This Row],[Year]],Loop!C:C,Loop!D:D)&lt;75,(O22*(1+$I$4))+IF(TableIncomeCalculations[[#This Row],[SwitchP1]]="Y",O22*$I$6,0),0)</f>
        <v>73006.175500490703</v>
      </c>
      <c r="P23" s="35">
        <f>IF(_xlfn.XLOOKUP(TableIncome[[#This Row],[Year]],Loop!C:C,Loop!E:E)&lt;75,(P22*(1+$I$4))+IF(TableIncomeCalculations[[#This Row],[SwitchP2]]="Y",P22*$I$6,0),0)</f>
        <v>122526.43412427705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469738.49917184631</v>
      </c>
      <c r="D24" s="37">
        <f>(TableIncomeCalculations[[#This Row],[NetMonthlySalaryP2]]*12)</f>
        <v>722722.10304771643</v>
      </c>
      <c r="E24" s="36">
        <f>TableIncome[[#This Row],[SalaryP1]]*$I$7</f>
        <v>93947.699834369269</v>
      </c>
      <c r="F24" s="36">
        <f>TableIncome[[#This Row],[SalaryP2]]*$I$7</f>
        <v>144544.4206095433</v>
      </c>
      <c r="G24" s="16"/>
      <c r="K24" s="57">
        <f>(TableIncome[[#This Row],[SalaryP1]]-TableIncome[[#This Row],[InvestmentP1]])/12</f>
        <v>31315.899944789755</v>
      </c>
      <c r="L24" s="57">
        <f>(TableIncome[[#This Row],[SalaryP2]]-TableIncome[[#This Row],[InvestmentP2]])/12</f>
        <v>48181.473536514422</v>
      </c>
      <c r="M24" s="34">
        <f>'Net Salary P1'!BI23</f>
        <v>39144.874930987193</v>
      </c>
      <c r="N24" s="35">
        <f>'Net Salary P2'!BI23</f>
        <v>60226.841920643034</v>
      </c>
      <c r="O24" s="35">
        <f>IF(_xlfn.XLOOKUP(TableIncome[[#This Row],[Year]],Loop!C:C,Loop!D:D)&lt;75,(O23*(1+$I$4))+IF(TableIncomeCalculations[[#This Row],[SwitchP1]]="Y",O23*$I$6,0),0)</f>
        <v>74101.268132998055</v>
      </c>
      <c r="P24" s="35">
        <f>IF(_xlfn.XLOOKUP(TableIncome[[#This Row],[Year]],Loop!C:C,Loop!E:E)&lt;75,(P23*(1+$I$4))+IF(TableIncomeCalculations[[#This Row],[SwitchP2]]="Y",P23*$I$6,0),0)</f>
        <v>124364.3306361412</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492116.45021239703</v>
      </c>
      <c r="D25" s="37">
        <f>(TableIncomeCalculations[[#This Row],[NetMonthlySalaryP2]]*12)</f>
        <v>760279.07032081927</v>
      </c>
      <c r="E25" s="36">
        <f>TableIncome[[#This Row],[SalaryP1]]*$I$7</f>
        <v>98423.290042479406</v>
      </c>
      <c r="F25" s="36">
        <f>TableIncome[[#This Row],[SalaryP2]]*$I$7</f>
        <v>152055.81406416386</v>
      </c>
      <c r="G25" s="16"/>
      <c r="K25" s="57">
        <f>(TableIncome[[#This Row],[SalaryP1]]-TableIncome[[#This Row],[InvestmentP1]])/12</f>
        <v>32807.763347493135</v>
      </c>
      <c r="L25" s="57">
        <f>(TableIncome[[#This Row],[SalaryP2]]-TableIncome[[#This Row],[InvestmentP2]])/12</f>
        <v>50685.271354721284</v>
      </c>
      <c r="M25" s="34">
        <f>'Net Salary P1'!BI24</f>
        <v>41009.704184366419</v>
      </c>
      <c r="N25" s="35">
        <f>'Net Salary P2'!BI24</f>
        <v>63356.589193401604</v>
      </c>
      <c r="O25" s="35">
        <f>IF(_xlfn.XLOOKUP(TableIncome[[#This Row],[Year]],Loop!C:C,Loop!D:D)&lt;75,(O24*(1+$I$4))+IF(TableIncomeCalculations[[#This Row],[SwitchP1]]="Y",O24*$I$6,0),0)</f>
        <v>78547.344220977931</v>
      </c>
      <c r="P25" s="35">
        <f>IF(_xlfn.XLOOKUP(TableIncome[[#This Row],[Year]],Loop!C:C,Loop!E:E)&lt;75,(P24*(1+$I$4))+IF(TableIncomeCalculations[[#This Row],[SwitchP2]]="Y",P24*$I$6,0),0)</f>
        <v>131826.19047430967</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498046.60723814298</v>
      </c>
      <c r="D26" s="37">
        <f>(TableIncomeCalculations[[#This Row],[NetMonthlySalaryP2]]*12)</f>
        <v>770231.66664819163</v>
      </c>
      <c r="E26" s="36">
        <f>TableIncome[[#This Row],[SalaryP1]]*$I$7</f>
        <v>99609.321447628608</v>
      </c>
      <c r="F26" s="36">
        <f>TableIncome[[#This Row],[SalaryP2]]*$I$7</f>
        <v>154046.33332963832</v>
      </c>
      <c r="G26" s="16"/>
      <c r="K26" s="57">
        <f>(TableIncome[[#This Row],[SalaryP1]]-TableIncome[[#This Row],[InvestmentP1]])/12</f>
        <v>33203.107149209529</v>
      </c>
      <c r="L26" s="57">
        <f>(TableIncome[[#This Row],[SalaryP2]]-TableIncome[[#This Row],[InvestmentP2]])/12</f>
        <v>51348.777776546107</v>
      </c>
      <c r="M26" s="34">
        <f>'Net Salary P1'!BI25</f>
        <v>41503.883936511913</v>
      </c>
      <c r="N26" s="35">
        <f>'Net Salary P2'!BI25</f>
        <v>64185.972220682634</v>
      </c>
      <c r="O26" s="35">
        <f>IF(_xlfn.XLOOKUP(TableIncome[[#This Row],[Year]],Loop!C:C,Loop!D:D)&lt;75,(O25*(1+$I$4))+IF(TableIncomeCalculations[[#This Row],[SwitchP1]]="Y",O25*$I$6,0),0)</f>
        <v>79725.554384292598</v>
      </c>
      <c r="P26" s="35">
        <f>IF(_xlfn.XLOOKUP(TableIncome[[#This Row],[Year]],Loop!C:C,Loop!E:E)&lt;75,(P25*(1+$I$4))+IF(TableIncomeCalculations[[#This Row],[SwitchP2]]="Y",P25*$I$6,0),0)</f>
        <v>133803.58333142431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504065.71661927504</v>
      </c>
      <c r="D27" s="37">
        <f>(TableIncomeCalculations[[#This Row],[NetMonthlySalaryP2]]*12)</f>
        <v>780333.55192047439</v>
      </c>
      <c r="E27" s="36">
        <f>TableIncome[[#This Row],[SalaryP1]]*$I$7</f>
        <v>100813.14332385501</v>
      </c>
      <c r="F27" s="36">
        <f>TableIncome[[#This Row],[SalaryP2]]*$I$7</f>
        <v>156066.71038409488</v>
      </c>
      <c r="G27" s="16"/>
      <c r="K27" s="57">
        <f>(TableIncome[[#This Row],[SalaryP1]]-TableIncome[[#This Row],[InvestmentP1]])/12</f>
        <v>33604.381107951667</v>
      </c>
      <c r="L27" s="57">
        <f>(TableIncome[[#This Row],[SalaryP2]]-TableIncome[[#This Row],[InvestmentP2]])/12</f>
        <v>52022.236794698292</v>
      </c>
      <c r="M27" s="34">
        <f>'Net Salary P1'!BI26</f>
        <v>42005.476384939589</v>
      </c>
      <c r="N27" s="35">
        <f>'Net Salary P2'!BI26</f>
        <v>65027.795993372863</v>
      </c>
      <c r="O27" s="35">
        <f>IF(_xlfn.XLOOKUP(TableIncome[[#This Row],[Year]],Loop!C:C,Loop!D:D)&lt;75,(O26*(1+$I$4))+IF(TableIncomeCalculations[[#This Row],[SwitchP1]]="Y",O26*$I$6,0),0)</f>
        <v>80921.43770005698</v>
      </c>
      <c r="P27" s="35">
        <f>IF(_xlfn.XLOOKUP(TableIncome[[#This Row],[Year]],Loop!C:C,Loop!E:E)&lt;75,(P26*(1+$I$4))+IF(TableIncomeCalculations[[#This Row],[SwitchP2]]="Y",P26*$I$6,0),0)</f>
        <v>135810.63708139566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510175.11264112417</v>
      </c>
      <c r="D28" s="37">
        <f>(TableIncomeCalculations[[#This Row],[NetMonthlySalaryP2]]*12)</f>
        <v>790586.96547184139</v>
      </c>
      <c r="E28" s="36">
        <f>TableIncome[[#This Row],[SalaryP1]]*$I$7</f>
        <v>102035.02252822484</v>
      </c>
      <c r="F28" s="36">
        <f>TableIncome[[#This Row],[SalaryP2]]*$I$7</f>
        <v>158117.39309436828</v>
      </c>
      <c r="G28" s="16"/>
      <c r="K28" s="57">
        <f>(TableIncome[[#This Row],[SalaryP1]]-TableIncome[[#This Row],[InvestmentP1]])/12</f>
        <v>34011.674176074943</v>
      </c>
      <c r="L28" s="57">
        <f>(TableIncome[[#This Row],[SalaryP2]]-TableIncome[[#This Row],[InvestmentP2]])/12</f>
        <v>52705.797698122762</v>
      </c>
      <c r="M28" s="34">
        <f>'Net Salary P1'!BI27</f>
        <v>42514.592720093679</v>
      </c>
      <c r="N28" s="35">
        <f>'Net Salary P2'!BI27</f>
        <v>65882.247122653454</v>
      </c>
      <c r="O28" s="35">
        <f>IF(_xlfn.XLOOKUP(TableIncome[[#This Row],[Year]],Loop!C:C,Loop!D:D)&lt;75,(O27*(1+$I$4))+IF(TableIncomeCalculations[[#This Row],[SwitchP1]]="Y",O27*$I$6,0),0)</f>
        <v>82135.259265557834</v>
      </c>
      <c r="P28" s="35">
        <f>IF(_xlfn.XLOOKUP(TableIncome[[#This Row],[Year]],Loop!C:C,Loop!E:E)&lt;75,(P27*(1+$I$4))+IF(TableIncomeCalculations[[#This Row],[SwitchP2]]="Y",P27*$I$6,0),0)</f>
        <v>137847.79663761659</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516376.14960330096</v>
      </c>
      <c r="D29" s="37">
        <f>(TableIncomeCalculations[[#This Row],[NetMonthlySalaryP2]]*12)</f>
        <v>800994.18022647896</v>
      </c>
      <c r="E29" s="36">
        <f>TableIncome[[#This Row],[SalaryP1]]*$I$7</f>
        <v>103275.2299206602</v>
      </c>
      <c r="F29" s="36">
        <f>TableIncome[[#This Row],[SalaryP2]]*$I$7</f>
        <v>160198.83604529581</v>
      </c>
      <c r="G29" s="16"/>
      <c r="K29" s="57">
        <f>(TableIncome[[#This Row],[SalaryP1]]-TableIncome[[#This Row],[InvestmentP1]])/12</f>
        <v>34425.076640220061</v>
      </c>
      <c r="L29" s="57">
        <f>(TableIncome[[#This Row],[SalaryP2]]-TableIncome[[#This Row],[InvestmentP2]])/12</f>
        <v>53399.612015098595</v>
      </c>
      <c r="M29" s="34">
        <f>'Net Salary P1'!BI28</f>
        <v>43031.345800275078</v>
      </c>
      <c r="N29" s="35">
        <f>'Net Salary P2'!BI28</f>
        <v>66749.515018873251</v>
      </c>
      <c r="O29" s="35">
        <f>IF(_xlfn.XLOOKUP(TableIncome[[#This Row],[Year]],Loop!C:C,Loop!D:D)&lt;75,(O28*(1+$I$4))+IF(TableIncomeCalculations[[#This Row],[SwitchP1]]="Y",O28*$I$6,0),0)</f>
        <v>83367.288154541195</v>
      </c>
      <c r="P29" s="35">
        <f>IF(_xlfn.XLOOKUP(TableIncome[[#This Row],[Year]],Loop!C:C,Loop!E:E)&lt;75,(P28*(1+$I$4))+IF(TableIncomeCalculations[[#This Row],[SwitchP2]]="Y",P28*$I$6,0),0)</f>
        <v>139915.51358718082</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522670.20211991039</v>
      </c>
      <c r="D30" s="37">
        <f>(TableIncomeCalculations[[#This Row],[NetMonthlySalaryP2]]*12)</f>
        <v>811557.50320243603</v>
      </c>
      <c r="E30" s="36">
        <f>TableIncome[[#This Row],[SalaryP1]]*$I$7</f>
        <v>104534.04042398208</v>
      </c>
      <c r="F30" s="36">
        <f>TableIncome[[#This Row],[SalaryP2]]*$I$7</f>
        <v>162311.50064048721</v>
      </c>
      <c r="G30" s="16"/>
      <c r="K30" s="57">
        <f>(TableIncome[[#This Row],[SalaryP1]]-TableIncome[[#This Row],[InvestmentP1]])/12</f>
        <v>34844.680141327357</v>
      </c>
      <c r="L30" s="57">
        <f>(TableIncome[[#This Row],[SalaryP2]]-TableIncome[[#This Row],[InvestmentP2]])/12</f>
        <v>54103.833546829068</v>
      </c>
      <c r="M30" s="34">
        <f>'Net Salary P1'!BI29</f>
        <v>43555.850176659202</v>
      </c>
      <c r="N30" s="35">
        <f>'Net Salary P2'!BI29</f>
        <v>67629.79193353634</v>
      </c>
      <c r="O30" s="35">
        <f>IF(_xlfn.XLOOKUP(TableIncome[[#This Row],[Year]],Loop!C:C,Loop!D:D)&lt;75,(O29*(1+$I$4))+IF(TableIncomeCalculations[[#This Row],[SwitchP1]]="Y",O29*$I$6,0),0)</f>
        <v>84617.797476859298</v>
      </c>
      <c r="P30" s="35">
        <f>IF(_xlfn.XLOOKUP(TableIncome[[#This Row],[Year]],Loop!C:C,Loop!E:E)&lt;75,(P29*(1+$I$4))+IF(TableIncomeCalculations[[#This Row],[SwitchP2]]="Y",P29*$I$6,0),0)</f>
        <v>142014.24629098852</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529058.66542426904</v>
      </c>
      <c r="D31" s="37">
        <f>(TableIncomeCalculations[[#This Row],[NetMonthlySalaryP2]]*12)</f>
        <v>822279.27602303261</v>
      </c>
      <c r="E31" s="36">
        <f>TableIncome[[#This Row],[SalaryP1]]*$I$7</f>
        <v>105811.73308485381</v>
      </c>
      <c r="F31" s="36">
        <f>TableIncome[[#This Row],[SalaryP2]]*$I$7</f>
        <v>164455.85520460655</v>
      </c>
      <c r="G31" s="16"/>
      <c r="K31" s="57">
        <f>(TableIncome[[#This Row],[SalaryP1]]-TableIncome[[#This Row],[InvestmentP1]])/12</f>
        <v>35270.577694951273</v>
      </c>
      <c r="L31" s="57">
        <f>(TableIncome[[#This Row],[SalaryP2]]-TableIncome[[#This Row],[InvestmentP2]])/12</f>
        <v>54818.618401535503</v>
      </c>
      <c r="M31" s="34">
        <f>'Net Salary P1'!BI30</f>
        <v>44088.222118689089</v>
      </c>
      <c r="N31" s="35">
        <f>'Net Salary P2'!BI30</f>
        <v>68523.273001919384</v>
      </c>
      <c r="O31" s="35">
        <f>IF(_xlfn.XLOOKUP(TableIncome[[#This Row],[Year]],Loop!C:C,Loop!D:D)&lt;75,(O30*(1+$I$4))+IF(TableIncomeCalculations[[#This Row],[SwitchP1]]="Y",O30*$I$6,0),0)</f>
        <v>85887.064439012174</v>
      </c>
      <c r="P31" s="35">
        <f>IF(_xlfn.XLOOKUP(TableIncome[[#This Row],[Year]],Loop!C:C,Loop!E:E)&lt;75,(P30*(1+$I$4))+IF(TableIncomeCalculations[[#This Row],[SwitchP2]]="Y",P30*$I$6,0),0)</f>
        <v>144144.45998535334</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535542.95567819313</v>
      </c>
      <c r="D32" s="37">
        <f>(TableIncomeCalculations[[#This Row],[NetMonthlySalaryP2]]*12)</f>
        <v>833161.87543593813</v>
      </c>
      <c r="E32" s="36">
        <f>TableIncome[[#This Row],[SalaryP1]]*$I$7</f>
        <v>107108.59113563864</v>
      </c>
      <c r="F32" s="36">
        <f>TableIncome[[#This Row],[SalaryP2]]*$I$7</f>
        <v>166632.37508718763</v>
      </c>
      <c r="G32" s="16"/>
      <c r="K32" s="57">
        <f>(TableIncome[[#This Row],[SalaryP1]]-TableIncome[[#This Row],[InvestmentP1]])/12</f>
        <v>35702.863711879538</v>
      </c>
      <c r="L32" s="57">
        <f>(TableIncome[[#This Row],[SalaryP2]]-TableIncome[[#This Row],[InvestmentP2]])/12</f>
        <v>55544.125029062539</v>
      </c>
      <c r="M32" s="34">
        <f>'Net Salary P1'!BI31</f>
        <v>44628.579639849428</v>
      </c>
      <c r="N32" s="35">
        <f>'Net Salary P2'!BI31</f>
        <v>69430.156286328172</v>
      </c>
      <c r="O32" s="35">
        <f>IF(_xlfn.XLOOKUP(TableIncome[[#This Row],[Year]],Loop!C:C,Loop!D:D)&lt;75,(O31*(1+$I$4))+IF(TableIncomeCalculations[[#This Row],[SwitchP1]]="Y",O31*$I$6,0),0)</f>
        <v>87175.37040559735</v>
      </c>
      <c r="P32" s="35">
        <f>IF(_xlfn.XLOOKUP(TableIncome[[#This Row],[Year]],Loop!C:C,Loop!E:E)&lt;75,(P31*(1+$I$4))+IF(TableIncomeCalculations[[#This Row],[SwitchP2]]="Y",P31*$I$6,0),0)</f>
        <v>146306.62688513362</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542124.51028592582</v>
      </c>
      <c r="D33" s="37">
        <f>(TableIncomeCalculations[[#This Row],[NetMonthlySalaryP2]]*12)</f>
        <v>844207.71384003712</v>
      </c>
      <c r="E33" s="36">
        <f>TableIncome[[#This Row],[SalaryP1]]*$I$7</f>
        <v>108424.90205718517</v>
      </c>
      <c r="F33" s="36">
        <f>TableIncome[[#This Row],[SalaryP2]]*$I$7</f>
        <v>168841.54276800744</v>
      </c>
      <c r="G33" s="16"/>
      <c r="K33" s="57">
        <f>(TableIncome[[#This Row],[SalaryP1]]-TableIncome[[#This Row],[InvestmentP1]])/12</f>
        <v>36141.634019061719</v>
      </c>
      <c r="L33" s="57">
        <f>(TableIncome[[#This Row],[SalaryP2]]-TableIncome[[#This Row],[InvestmentP2]])/12</f>
        <v>56280.514256002476</v>
      </c>
      <c r="M33" s="34">
        <f>'Net Salary P1'!BI32</f>
        <v>45177.042523827149</v>
      </c>
      <c r="N33" s="35">
        <f>'Net Salary P2'!BI32</f>
        <v>70350.642820003093</v>
      </c>
      <c r="O33" s="35">
        <f>IF(_xlfn.XLOOKUP(TableIncome[[#This Row],[Year]],Loop!C:C,Loop!D:D)&lt;75,(O32*(1+$I$4))+IF(TableIncomeCalculations[[#This Row],[SwitchP1]]="Y",O32*$I$6,0),0)</f>
        <v>88483.000961681304</v>
      </c>
      <c r="P33" s="35">
        <f>IF(_xlfn.XLOOKUP(TableIncome[[#This Row],[Year]],Loop!C:C,Loop!E:E)&lt;75,(P32*(1+$I$4))+IF(TableIncomeCalculations[[#This Row],[SwitchP2]]="Y",P32*$I$6,0),0)</f>
        <v>148501.2262884106</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548804.78821277479</v>
      </c>
      <c r="D34" s="37">
        <f>(TableIncomeCalculations[[#This Row],[NetMonthlySalaryP2]]*12)</f>
        <v>855419.23982019746</v>
      </c>
      <c r="E34" s="36">
        <f>TableIncome[[#This Row],[SalaryP1]]*$I$7</f>
        <v>109760.95764255496</v>
      </c>
      <c r="F34" s="36">
        <f>TableIncome[[#This Row],[SalaryP2]]*$I$7</f>
        <v>171083.84796403951</v>
      </c>
      <c r="G34" s="16"/>
      <c r="K34" s="57">
        <f>(TableIncome[[#This Row],[SalaryP1]]-TableIncome[[#This Row],[InvestmentP1]])/12</f>
        <v>36586.985880851651</v>
      </c>
      <c r="L34" s="57">
        <f>(TableIncome[[#This Row],[SalaryP2]]-TableIncome[[#This Row],[InvestmentP2]])/12</f>
        <v>57027.949321346496</v>
      </c>
      <c r="M34" s="34">
        <f>'Net Salary P1'!BI33</f>
        <v>45733.732351064566</v>
      </c>
      <c r="N34" s="35">
        <f>'Net Salary P2'!BI33</f>
        <v>71284.936651683121</v>
      </c>
      <c r="O34" s="35">
        <f>IF(_xlfn.XLOOKUP(TableIncome[[#This Row],[Year]],Loop!C:C,Loop!D:D)&lt;75,(O33*(1+$I$4))+IF(TableIncomeCalculations[[#This Row],[SwitchP1]]="Y",O33*$I$6,0),0)</f>
        <v>89810.245976106511</v>
      </c>
      <c r="P34" s="35">
        <f>IF(_xlfn.XLOOKUP(TableIncome[[#This Row],[Year]],Loop!C:C,Loop!E:E)&lt;75,(P33*(1+$I$4))+IF(TableIncomeCalculations[[#This Row],[SwitchP2]]="Y",P33*$I$6,0),0)</f>
        <v>150728.74468273675</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555585.27030852635</v>
      </c>
      <c r="D35" s="37">
        <f>(TableIncomeCalculations[[#This Row],[NetMonthlySalaryP2]]*12)</f>
        <v>866798.93869006028</v>
      </c>
      <c r="E35" s="36">
        <f>TableIncome[[#This Row],[SalaryP1]]*$I$7</f>
        <v>111117.05406170528</v>
      </c>
      <c r="F35" s="36">
        <f>TableIncome[[#This Row],[SalaryP2]]*$I$7</f>
        <v>173359.78773801206</v>
      </c>
      <c r="G35" s="16"/>
      <c r="K35" s="57">
        <f>(TableIncome[[#This Row],[SalaryP1]]-TableIncome[[#This Row],[InvestmentP1]])/12</f>
        <v>37039.018020568423</v>
      </c>
      <c r="L35" s="57">
        <f>(TableIncome[[#This Row],[SalaryP2]]-TableIncome[[#This Row],[InvestmentP2]])/12</f>
        <v>57786.595912670688</v>
      </c>
      <c r="M35" s="34">
        <f>'Net Salary P1'!BI34</f>
        <v>46298.772525710527</v>
      </c>
      <c r="N35" s="35">
        <f>'Net Salary P2'!BI34</f>
        <v>72233.244890838352</v>
      </c>
      <c r="O35" s="35">
        <f>IF(_xlfn.XLOOKUP(TableIncome[[#This Row],[Year]],Loop!C:C,Loop!D:D)&lt;75,(O34*(1+$I$4))+IF(TableIncomeCalculations[[#This Row],[SwitchP1]]="Y",O34*$I$6,0),0)</f>
        <v>91157.399665748104</v>
      </c>
      <c r="P35" s="35">
        <f>IF(_xlfn.XLOOKUP(TableIncome[[#This Row],[Year]],Loop!C:C,Loop!E:E)&lt;75,(P34*(1+$I$4))+IF(TableIncomeCalculations[[#This Row],[SwitchP2]]="Y",P34*$I$6,0),0)</f>
        <v>152989.67585297779</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562467.45963571419</v>
      </c>
      <c r="D36" s="37">
        <f>(TableIncomeCalculations[[#This Row],[NetMonthlySalaryP2]]*12)</f>
        <v>878349.33304297132</v>
      </c>
      <c r="E36" s="36">
        <f>TableIncome[[#This Row],[SalaryP1]]*$I$7</f>
        <v>112493.49192714284</v>
      </c>
      <c r="F36" s="36">
        <f>TableIncome[[#This Row],[SalaryP2]]*$I$7</f>
        <v>175669.86660859428</v>
      </c>
      <c r="G36" s="16"/>
      <c r="K36" s="57">
        <f>(TableIncome[[#This Row],[SalaryP1]]-TableIncome[[#This Row],[InvestmentP1]])/12</f>
        <v>37497.830642380948</v>
      </c>
      <c r="L36" s="57">
        <f>(TableIncome[[#This Row],[SalaryP2]]-TableIncome[[#This Row],[InvestmentP2]])/12</f>
        <v>58556.622202864753</v>
      </c>
      <c r="M36" s="34">
        <f>'Net Salary P1'!BI35</f>
        <v>46872.28830297618</v>
      </c>
      <c r="N36" s="35">
        <f>'Net Salary P2'!BI35</f>
        <v>73195.777753580944</v>
      </c>
      <c r="O36" s="35">
        <f>IF(_xlfn.XLOOKUP(TableIncome[[#This Row],[Year]],Loop!C:C,Loop!D:D)&lt;75,(O35*(1+$I$4))+IF(TableIncomeCalculations[[#This Row],[SwitchP1]]="Y",O35*$I$6,0),0)</f>
        <v>92524.760660734319</v>
      </c>
      <c r="P36" s="35">
        <f>IF(_xlfn.XLOOKUP(TableIncome[[#This Row],[Year]],Loop!C:C,Loop!E:E)&lt;75,(P35*(1+$I$4))+IF(TableIncomeCalculations[[#This Row],[SwitchP2]]="Y",P35*$I$6,0),0)</f>
        <v>155284.52099077243</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569452.88180280989</v>
      </c>
      <c r="D37" s="37">
        <f>(TableIncomeCalculations[[#This Row],[NetMonthlySalaryP2]]*12)</f>
        <v>890072.98331117583</v>
      </c>
      <c r="E37" s="36">
        <f>TableIncome[[#This Row],[SalaryP1]]*$I$7</f>
        <v>113890.57636056199</v>
      </c>
      <c r="F37" s="36">
        <f>TableIncome[[#This Row],[SalaryP2]]*$I$7</f>
        <v>178014.59666223518</v>
      </c>
      <c r="G37" s="16"/>
      <c r="K37" s="57">
        <f>(TableIncome[[#This Row],[SalaryP1]]-TableIncome[[#This Row],[InvestmentP1]])/12</f>
        <v>37963.525453520655</v>
      </c>
      <c r="L37" s="57">
        <f>(TableIncome[[#This Row],[SalaryP2]]-TableIncome[[#This Row],[InvestmentP2]])/12</f>
        <v>59338.198887411716</v>
      </c>
      <c r="M37" s="34">
        <f>'Net Salary P1'!BI36</f>
        <v>47454.406816900824</v>
      </c>
      <c r="N37" s="35">
        <f>'Net Salary P2'!BI36</f>
        <v>74172.748609264658</v>
      </c>
      <c r="O37" s="35">
        <f>IF(_xlfn.XLOOKUP(TableIncome[[#This Row],[Year]],Loop!C:C,Loop!D:D)&lt;75,(O36*(1+$I$4))+IF(TableIncomeCalculations[[#This Row],[SwitchP1]]="Y",O36*$I$6,0),0)</f>
        <v>93912.632070645326</v>
      </c>
      <c r="P37" s="35">
        <f>IF(_xlfn.XLOOKUP(TableIncome[[#This Row],[Year]],Loop!C:C,Loop!E:E)&lt;75,(P36*(1+$I$4))+IF(TableIncomeCalculations[[#This Row],[SwitchP2]]="Y",P36*$I$6,0),0)</f>
        <v>157613.78880563402</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597813.69580121839</v>
      </c>
      <c r="D38" s="37">
        <f>(TableIncomeCalculations[[#This Row],[NetMonthlySalaryP2]]*12)</f>
        <v>0</v>
      </c>
      <c r="E38" s="36">
        <f>TableIncome[[#This Row],[SalaryP1]]*$I$7</f>
        <v>119562.73916024368</v>
      </c>
      <c r="F38" s="36">
        <f>TableIncome[[#This Row],[SalaryP2]]*$I$7</f>
        <v>0</v>
      </c>
      <c r="G38" s="16"/>
      <c r="K38" s="57">
        <f>(TableIncome[[#This Row],[SalaryP1]]-TableIncome[[#This Row],[InvestmentP1]])/12</f>
        <v>39854.246386747895</v>
      </c>
      <c r="L38" s="57">
        <f>(TableIncome[[#This Row],[SalaryP2]]-TableIncome[[#This Row],[InvestmentP2]])/12</f>
        <v>0</v>
      </c>
      <c r="M38" s="34">
        <f>'Net Salary P1'!BI37</f>
        <v>49817.807983434868</v>
      </c>
      <c r="N38" s="35">
        <f>'Net Salary P2'!BI37</f>
        <v>0</v>
      </c>
      <c r="O38" s="35">
        <f>IF(_xlfn.XLOOKUP(TableIncome[[#This Row],[Year]],Loop!C:C,Loop!D:D)&lt;75,(O37*(1+$I$4))+IF(TableIncomeCalculations[[#This Row],[SwitchP1]]="Y",O37*$I$6,0),0)</f>
        <v>99547.389994884041</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605329.31151079678</v>
      </c>
      <c r="D39" s="37">
        <f>(TableIncomeCalculations[[#This Row],[NetMonthlySalaryP2]]*12)</f>
        <v>0</v>
      </c>
      <c r="E39" s="36">
        <f>TableIncome[[#This Row],[SalaryP1]]*$I$7</f>
        <v>121065.86230215937</v>
      </c>
      <c r="F39" s="36">
        <f>TableIncome[[#This Row],[SalaryP2]]*$I$7</f>
        <v>0</v>
      </c>
      <c r="G39" s="16"/>
      <c r="K39" s="57">
        <f>(TableIncome[[#This Row],[SalaryP1]]-TableIncome[[#This Row],[InvestmentP1]])/12</f>
        <v>40355.28743405312</v>
      </c>
      <c r="L39" s="57">
        <f>(TableIncome[[#This Row],[SalaryP2]]-TableIncome[[#This Row],[InvestmentP2]])/12</f>
        <v>0</v>
      </c>
      <c r="M39" s="34">
        <f>'Net Salary P1'!BI38</f>
        <v>50444.109292566398</v>
      </c>
      <c r="N39" s="35">
        <f>'Net Salary P2'!BI38</f>
        <v>0</v>
      </c>
      <c r="O39" s="35">
        <f>IF(_xlfn.XLOOKUP(TableIncome[[#This Row],[Year]],Loop!C:C,Loop!D:D)&lt;75,(O38*(1+$I$4))+IF(TableIncomeCalculations[[#This Row],[SwitchP1]]="Y",O38*$I$6,0),0)</f>
        <v>101040.6008448073</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612957.66145601857</v>
      </c>
      <c r="D40" s="37">
        <f>(TableIncomeCalculations[[#This Row],[NetMonthlySalaryP2]]*12)</f>
        <v>0</v>
      </c>
      <c r="E40" s="36">
        <f>TableIncome[[#This Row],[SalaryP1]]*$I$7</f>
        <v>122591.53229120372</v>
      </c>
      <c r="F40" s="36">
        <f>TableIncome[[#This Row],[SalaryP2]]*$I$7</f>
        <v>0</v>
      </c>
      <c r="G40" s="16"/>
      <c r="K40" s="57">
        <f>(TableIncome[[#This Row],[SalaryP1]]-TableIncome[[#This Row],[InvestmentP1]])/12</f>
        <v>40863.8440970679</v>
      </c>
      <c r="L40" s="57">
        <f>(TableIncome[[#This Row],[SalaryP2]]-TableIncome[[#This Row],[InvestmentP2]])/12</f>
        <v>0</v>
      </c>
      <c r="M40" s="34">
        <f>'Net Salary P1'!BI39</f>
        <v>51079.805121334881</v>
      </c>
      <c r="N40" s="35">
        <f>'Net Salary P2'!BI39</f>
        <v>0</v>
      </c>
      <c r="O40" s="35">
        <f>IF(_xlfn.XLOOKUP(TableIncome[[#This Row],[Year]],Loop!C:C,Loop!D:D)&lt;75,(O39*(1+$I$4))+IF(TableIncomeCalculations[[#This Row],[SwitchP1]]="Y",O39*$I$6,0),0)</f>
        <v>102556.20985747939</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620700.43665041879</v>
      </c>
      <c r="D41" s="37">
        <f>(TableIncomeCalculations[[#This Row],[NetMonthlySalaryP2]]*12)</f>
        <v>0</v>
      </c>
      <c r="E41" s="36">
        <f>TableIncome[[#This Row],[SalaryP1]]*$I$7</f>
        <v>124140.08733008377</v>
      </c>
      <c r="F41" s="36">
        <f>TableIncome[[#This Row],[SalaryP2]]*$I$7</f>
        <v>0</v>
      </c>
      <c r="G41" s="16"/>
      <c r="K41" s="57">
        <f>(TableIncome[[#This Row],[SalaryP1]]-TableIncome[[#This Row],[InvestmentP1]])/12</f>
        <v>41380.029110027921</v>
      </c>
      <c r="L41" s="57">
        <f>(TableIncome[[#This Row],[SalaryP2]]-TableIncome[[#This Row],[InvestmentP2]])/12</f>
        <v>0</v>
      </c>
      <c r="M41" s="34">
        <f>'Net Salary P1'!BI40</f>
        <v>51725.036387534899</v>
      </c>
      <c r="N41" s="35">
        <f>'Net Salary P2'!BI40</f>
        <v>0</v>
      </c>
      <c r="O41" s="35">
        <f>IF(_xlfn.XLOOKUP(TableIncome[[#This Row],[Year]],Loop!C:C,Loop!D:D)&lt;75,(O40*(1+$I$4))+IF(TableIncomeCalculations[[#This Row],[SwitchP1]]="Y",O40*$I$6,0),0)</f>
        <v>104094.55300534157</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628559.35347273503</v>
      </c>
      <c r="D42" s="37">
        <f>(TableIncomeCalculations[[#This Row],[NetMonthlySalaryP2]]*12)</f>
        <v>0</v>
      </c>
      <c r="E42" s="36">
        <f>TableIncome[[#This Row],[SalaryP1]]*$I$7</f>
        <v>125711.87069454702</v>
      </c>
      <c r="F42" s="36">
        <f>TableIncome[[#This Row],[SalaryP2]]*$I$7</f>
        <v>0</v>
      </c>
      <c r="G42" s="16"/>
      <c r="K42" s="57">
        <f>(TableIncome[[#This Row],[SalaryP1]]-TableIncome[[#This Row],[InvestmentP1]])/12</f>
        <v>41903.956898182332</v>
      </c>
      <c r="L42" s="57">
        <f>(TableIncome[[#This Row],[SalaryP2]]-TableIncome[[#This Row],[InvestmentP2]])/12</f>
        <v>0</v>
      </c>
      <c r="M42" s="34">
        <f>'Net Salary P1'!BI41</f>
        <v>52379.946122727917</v>
      </c>
      <c r="N42" s="35">
        <f>'Net Salary P2'!BI41</f>
        <v>0</v>
      </c>
      <c r="O42" s="35">
        <f>IF(_xlfn.XLOOKUP(TableIncome[[#This Row],[Year]],Loop!C:C,Loop!D:D)&lt;75,(O41*(1+$I$4))+IF(TableIncomeCalculations[[#This Row],[SwitchP1]]="Y",O41*$I$6,0),0)</f>
        <v>105655.97130042169</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636536.15404738602</v>
      </c>
      <c r="D43" s="37">
        <f>(TableIncomeCalculations[[#This Row],[NetMonthlySalaryP2]]*12)</f>
        <v>0</v>
      </c>
      <c r="E43" s="36">
        <f>TableIncome[[#This Row],[SalaryP1]]*$I$7</f>
        <v>127307.23080947722</v>
      </c>
      <c r="F43" s="36">
        <f>TableIncome[[#This Row],[SalaryP2]]*$I$7</f>
        <v>0</v>
      </c>
      <c r="G43" s="16"/>
      <c r="K43" s="57">
        <f>(TableIncome[[#This Row],[SalaryP1]]-TableIncome[[#This Row],[InvestmentP1]])/12</f>
        <v>42435.74360315907</v>
      </c>
      <c r="L43" s="57">
        <f>(TableIncome[[#This Row],[SalaryP2]]-TableIncome[[#This Row],[InvestmentP2]])/12</f>
        <v>0</v>
      </c>
      <c r="M43" s="34">
        <f>'Net Salary P1'!BI42</f>
        <v>53044.679503948835</v>
      </c>
      <c r="N43" s="35">
        <f>'Net Salary P2'!BI42</f>
        <v>0</v>
      </c>
      <c r="O43" s="35">
        <f>IF(_xlfn.XLOOKUP(TableIncome[[#This Row],[Year]],Loop!C:C,Loop!D:D)&lt;75,(O42*(1+$I$4))+IF(TableIncomeCalculations[[#This Row],[SwitchP1]]="Y",O42*$I$6,0),0)</f>
        <v>107240.810869928</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644632.60663065664</v>
      </c>
      <c r="D44" s="37">
        <f>(TableIncomeCalculations[[#This Row],[NetMonthlySalaryP2]]*12)</f>
        <v>0</v>
      </c>
      <c r="E44" s="36">
        <f>TableIncome[[#This Row],[SalaryP1]]*$I$7</f>
        <v>128926.52132613133</v>
      </c>
      <c r="F44" s="36">
        <f>TableIncome[[#This Row],[SalaryP2]]*$I$7</f>
        <v>0</v>
      </c>
      <c r="G44" s="16"/>
      <c r="K44" s="57">
        <f>(TableIncome[[#This Row],[SalaryP1]]-TableIncome[[#This Row],[InvestmentP1]])/12</f>
        <v>42975.507108710444</v>
      </c>
      <c r="L44" s="57">
        <f>(TableIncome[[#This Row],[SalaryP2]]-TableIncome[[#This Row],[InvestmentP2]])/12</f>
        <v>0</v>
      </c>
      <c r="M44" s="34">
        <f>'Net Salary P1'!BI43</f>
        <v>53719.383885888055</v>
      </c>
      <c r="N44" s="35">
        <f>'Net Salary P2'!BI43</f>
        <v>0</v>
      </c>
      <c r="O44" s="35">
        <f>IF(_xlfn.XLOOKUP(TableIncome[[#This Row],[Year]],Loop!C:C,Loop!D:D)&lt;75,(O43*(1+$I$4))+IF(TableIncomeCalculations[[#This Row],[SwitchP1]]="Y",O43*$I$6,0),0)</f>
        <v>108849.42303297691</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652850.50600267644</v>
      </c>
      <c r="D45" s="37">
        <f>(TableIncomeCalculations[[#This Row],[NetMonthlySalaryP2]]*12)</f>
        <v>0</v>
      </c>
      <c r="E45" s="36">
        <f>TableIncome[[#This Row],[SalaryP1]]*$I$7</f>
        <v>130570.1012005353</v>
      </c>
      <c r="F45" s="36">
        <f>TableIncome[[#This Row],[SalaryP2]]*$I$7</f>
        <v>0</v>
      </c>
      <c r="G45" s="16"/>
      <c r="K45" s="57">
        <f>(TableIncome[[#This Row],[SalaryP1]]-TableIncome[[#This Row],[InvestmentP1]])/12</f>
        <v>43523.367066845094</v>
      </c>
      <c r="L45" s="57">
        <f>(TableIncome[[#This Row],[SalaryP2]]-TableIncome[[#This Row],[InvestmentP2]])/12</f>
        <v>0</v>
      </c>
      <c r="M45" s="34">
        <f>'Net Salary P1'!BI44</f>
        <v>54404.208833556368</v>
      </c>
      <c r="N45" s="35">
        <f>'Net Salary P2'!BI44</f>
        <v>0</v>
      </c>
      <c r="O45" s="35">
        <f>IF(_xlfn.XLOOKUP(TableIncome[[#This Row],[Year]],Loop!C:C,Loop!D:D)&lt;75,(O44*(1+$I$4))+IF(TableIncomeCalculations[[#This Row],[SwitchP1]]="Y",O44*$I$6,0),0)</f>
        <v>110482.16437847154</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661191.67386527662</v>
      </c>
      <c r="D46" s="37">
        <f>(TableIncomeCalculations[[#This Row],[NetMonthlySalaryP2]]*12)</f>
        <v>0</v>
      </c>
      <c r="E46" s="36">
        <f>TableIncome[[#This Row],[SalaryP1]]*$I$7</f>
        <v>132238.33477305534</v>
      </c>
      <c r="F46" s="36">
        <f>TableIncome[[#This Row],[SalaryP2]]*$I$7</f>
        <v>0</v>
      </c>
      <c r="G46" s="16"/>
      <c r="K46" s="57">
        <f>(TableIncome[[#This Row],[SalaryP1]]-TableIncome[[#This Row],[InvestmentP1]])/12</f>
        <v>44079.444924351781</v>
      </c>
      <c r="L46" s="57">
        <f>(TableIncome[[#This Row],[SalaryP2]]-TableIncome[[#This Row],[InvestmentP2]])/12</f>
        <v>0</v>
      </c>
      <c r="M46" s="34">
        <f>'Net Salary P1'!BI45</f>
        <v>55099.306155439721</v>
      </c>
      <c r="N46" s="35">
        <f>'Net Salary P2'!BI45</f>
        <v>0</v>
      </c>
      <c r="O46" s="35">
        <f>IF(_xlfn.XLOOKUP(TableIncome[[#This Row],[Year]],Loop!C:C,Loop!D:D)&lt;75,(O45*(1+$I$4))+IF(TableIncomeCalculations[[#This Row],[SwitchP1]]="Y",O45*$I$6,0),0)</f>
        <v>112139.39684414861</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669657.95924581564</v>
      </c>
      <c r="D47" s="37">
        <f>(TableIncomeCalculations[[#This Row],[NetMonthlySalaryP2]]*12)</f>
        <v>0</v>
      </c>
      <c r="E47" s="36">
        <f>TableIncome[[#This Row],[SalaryP1]]*$I$7</f>
        <v>133931.59184916315</v>
      </c>
      <c r="F47" s="36">
        <f>TableIncome[[#This Row],[SalaryP2]]*$I$7</f>
        <v>0</v>
      </c>
      <c r="G47" s="16"/>
      <c r="K47" s="57">
        <f>(TableIncome[[#This Row],[SalaryP1]]-TableIncome[[#This Row],[InvestmentP1]])/12</f>
        <v>44643.863949721039</v>
      </c>
      <c r="L47" s="57">
        <f>(TableIncome[[#This Row],[SalaryP2]]-TableIncome[[#This Row],[InvestmentP2]])/12</f>
        <v>0</v>
      </c>
      <c r="M47" s="34">
        <f>'Net Salary P1'!BI46</f>
        <v>55804.829937151306</v>
      </c>
      <c r="N47" s="35">
        <f>'Net Salary P2'!BI46</f>
        <v>0</v>
      </c>
      <c r="O47" s="35">
        <f>IF(_xlfn.XLOOKUP(TableIncome[[#This Row],[Year]],Loop!C:C,Loop!D:D)&lt;75,(O46*(1+$I$4))+IF(TableIncomeCalculations[[#This Row],[SwitchP1]]="Y",O46*$I$6,0),0)</f>
        <v>113821.48779681082</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678251.2389070628</v>
      </c>
      <c r="D48" s="37">
        <f>(TableIncomeCalculations[[#This Row],[NetMonthlySalaryP2]]*12)</f>
        <v>0</v>
      </c>
      <c r="E48" s="36">
        <f>TableIncome[[#This Row],[SalaryP1]]*$I$7</f>
        <v>135650.24778141256</v>
      </c>
      <c r="F48" s="36">
        <f>TableIncome[[#This Row],[SalaryP2]]*$I$7</f>
        <v>0</v>
      </c>
      <c r="G48" s="16"/>
      <c r="K48" s="57">
        <f>(TableIncome[[#This Row],[SalaryP1]]-TableIncome[[#This Row],[InvestmentP1]])/12</f>
        <v>45216.749260470853</v>
      </c>
      <c r="L48" s="57">
        <f>(TableIncome[[#This Row],[SalaryP2]]-TableIncome[[#This Row],[InvestmentP2]])/12</f>
        <v>0</v>
      </c>
      <c r="M48" s="34">
        <f>'Net Salary P1'!BI47</f>
        <v>56520.936575588566</v>
      </c>
      <c r="N48" s="35">
        <f>'Net Salary P2'!BI47</f>
        <v>0</v>
      </c>
      <c r="O48" s="35">
        <f>IF(_xlfn.XLOOKUP(TableIncome[[#This Row],[Year]],Loop!C:C,Loop!D:D)&lt;75,(O47*(1+$I$4))+IF(TableIncomeCalculations[[#This Row],[SwitchP1]]="Y",O47*$I$6,0),0)</f>
        <v>115528.81011376297</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686973.41776322876</v>
      </c>
      <c r="D49" s="37">
        <f>(TableIncomeCalculations[[#This Row],[NetMonthlySalaryP2]]*12)</f>
        <v>0</v>
      </c>
      <c r="E49" s="36">
        <f>TableIncome[[#This Row],[SalaryP1]]*$I$7</f>
        <v>137394.68355264576</v>
      </c>
      <c r="F49" s="36">
        <f>TableIncome[[#This Row],[SalaryP2]]*$I$7</f>
        <v>0</v>
      </c>
      <c r="K49" s="57">
        <f>(TableIncome[[#This Row],[SalaryP1]]-TableIncome[[#This Row],[InvestmentP1]])/12</f>
        <v>45798.227850881922</v>
      </c>
      <c r="L49" s="57">
        <f>(TableIncome[[#This Row],[SalaryP2]]-TableIncome[[#This Row],[InvestmentP2]])/12</f>
        <v>0</v>
      </c>
      <c r="M49" s="34">
        <f>'Net Salary P1'!BI48</f>
        <v>57247.784813602397</v>
      </c>
      <c r="N49" s="34">
        <f>'Net Salary P2'!BI48</f>
        <v>0</v>
      </c>
      <c r="O49" s="35">
        <f>IF(_xlfn.XLOOKUP(TableIncome[[#This Row],[Year]],Loop!C:C,Loop!D:D)&lt;75,(O48*(1+$I$4))+IF(TableIncomeCalculations[[#This Row],[SwitchP1]]="Y",O48*$I$6,0),0)</f>
        <v>117261.74226546941</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695826.42930223711</v>
      </c>
      <c r="D50" s="37">
        <f>(TableIncomeCalculations[[#This Row],[NetMonthlySalaryP2]]*12)</f>
        <v>0</v>
      </c>
      <c r="E50" s="36">
        <f>TableIncome[[#This Row],[SalaryP1]]*$I$7</f>
        <v>139165.28586044742</v>
      </c>
      <c r="F50" s="36">
        <f>TableIncome[[#This Row],[SalaryP2]]*$I$7</f>
        <v>0</v>
      </c>
      <c r="K50" s="57">
        <f>(TableIncome[[#This Row],[SalaryP1]]-TableIncome[[#This Row],[InvestmentP1]])/12</f>
        <v>46388.428620149141</v>
      </c>
      <c r="L50" s="57">
        <f>(TableIncome[[#This Row],[SalaryP2]]-TableIncome[[#This Row],[InvestmentP2]])/12</f>
        <v>0</v>
      </c>
      <c r="M50" s="34">
        <f>'Net Salary P1'!BI49</f>
        <v>57985.535775186429</v>
      </c>
      <c r="N50" s="34">
        <f>'Net Salary P2'!BI49</f>
        <v>0</v>
      </c>
      <c r="O50" s="35">
        <f>IF(_xlfn.XLOOKUP(TableIncome[[#This Row],[Year]],Loop!C:C,Loop!D:D)&lt;75,(O49*(1+$I$4))+IF(TableIncomeCalculations[[#This Row],[SwitchP1]]="Y",O49*$I$6,0),0)</f>
        <v>119020.66839945145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704812.23601433064</v>
      </c>
      <c r="D51" s="37">
        <f>(TableIncomeCalculations[[#This Row],[NetMonthlySalaryP2]]*12)</f>
        <v>0</v>
      </c>
      <c r="E51" s="36">
        <f>TableIncome[[#This Row],[SalaryP1]]*$I$7</f>
        <v>140962.44720286614</v>
      </c>
      <c r="F51" s="36">
        <f>TableIncome[[#This Row],[SalaryP2]]*$I$7</f>
        <v>0</v>
      </c>
      <c r="K51" s="57">
        <f>(TableIncome[[#This Row],[SalaryP1]]-TableIncome[[#This Row],[InvestmentP1]])/12</f>
        <v>46987.482400955378</v>
      </c>
      <c r="L51" s="57">
        <f>(TableIncome[[#This Row],[SalaryP2]]-TableIncome[[#This Row],[InvestmentP2]])/12</f>
        <v>0</v>
      </c>
      <c r="M51" s="34">
        <f>'Net Salary P1'!BI50</f>
        <v>58734.35300119422</v>
      </c>
      <c r="N51" s="34">
        <f>'Net Salary P2'!BI50</f>
        <v>0</v>
      </c>
      <c r="O51" s="35">
        <f>IF(_xlfn.XLOOKUP(TableIncome[[#This Row],[Year]],Loop!C:C,Loop!D:D)&lt;75,(O50*(1+$I$4))+IF(TableIncomeCalculations[[#This Row],[SwitchP1]]="Y",O50*$I$6,0),0)</f>
        <v>120805.9784254432</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713932.82982710551</v>
      </c>
      <c r="D52" s="37">
        <f>(TableIncomeCalculations[[#This Row],[NetMonthlySalaryP2]]*12)</f>
        <v>0</v>
      </c>
      <c r="E52" s="36">
        <f>TableIncome[[#This Row],[SalaryP1]]*$I$7</f>
        <v>142786.56596542112</v>
      </c>
      <c r="F52" s="36">
        <f>TableIncome[[#This Row],[SalaryP2]]*$I$7</f>
        <v>0</v>
      </c>
      <c r="K52" s="57">
        <f>(TableIncome[[#This Row],[SalaryP1]]-TableIncome[[#This Row],[InvestmentP1]])/12</f>
        <v>47595.521988473694</v>
      </c>
      <c r="L52" s="57">
        <f>(TableIncome[[#This Row],[SalaryP2]]-TableIncome[[#This Row],[InvestmentP2]])/12</f>
        <v>0</v>
      </c>
      <c r="M52" s="34">
        <f>'Net Salary P1'!BI51</f>
        <v>59494.402485592123</v>
      </c>
      <c r="N52" s="34">
        <f>'Net Salary P2'!BI51</f>
        <v>0</v>
      </c>
      <c r="O52" s="35">
        <f>IF(_xlfn.XLOOKUP(TableIncome[[#This Row],[Year]],Loop!C:C,Loop!D:D)&lt;75,(O51*(1+$I$4))+IF(TableIncomeCalculations[[#This Row],[SwitchP1]]="Y",O51*$I$6,0),0)</f>
        <v>122618.06810182484</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43635.467980295572</v>
      </c>
      <c r="C2" s="28">
        <v>44290</v>
      </c>
      <c r="D2" s="28">
        <v>46947.4</v>
      </c>
      <c r="E2" s="28">
        <v>47651.610999999997</v>
      </c>
      <c r="F2" s="28">
        <v>48366.385164999992</v>
      </c>
      <c r="G2" s="28">
        <v>49091.880942474985</v>
      </c>
      <c r="H2" s="28">
        <v>52037.393799023477</v>
      </c>
      <c r="I2" s="28">
        <v>52817.954706008823</v>
      </c>
      <c r="J2" s="28">
        <v>53610.224026598953</v>
      </c>
      <c r="K2" s="28">
        <v>54414.377386997934</v>
      </c>
      <c r="L2" s="28">
        <v>57679.240030217807</v>
      </c>
      <c r="M2" s="28">
        <v>58544.428630671071</v>
      </c>
      <c r="N2" s="28">
        <v>59422.595060131134</v>
      </c>
      <c r="O2" s="28">
        <v>62987.950763738998</v>
      </c>
      <c r="P2" s="28">
        <v>63932.770025195074</v>
      </c>
      <c r="Q2" s="28">
        <v>64891.761575572993</v>
      </c>
      <c r="R2" s="28">
        <v>65865.137999206578</v>
      </c>
      <c r="S2" s="28">
        <v>66853.115069194668</v>
      </c>
      <c r="T2" s="28">
        <v>70864.30197334633</v>
      </c>
      <c r="U2" s="28">
        <v>71927.266502946513</v>
      </c>
      <c r="V2" s="28">
        <v>73006.175500490703</v>
      </c>
      <c r="W2" s="28">
        <v>74101.268132998055</v>
      </c>
      <c r="X2" s="28">
        <v>78547.344220977931</v>
      </c>
      <c r="Y2" s="28">
        <v>79725.554384292598</v>
      </c>
      <c r="Z2" s="28">
        <v>80921.43770005698</v>
      </c>
      <c r="AA2" s="28">
        <v>82135.259265557834</v>
      </c>
      <c r="AB2" s="28">
        <v>83367.288154541195</v>
      </c>
      <c r="AC2" s="28">
        <v>84617.797476859298</v>
      </c>
      <c r="AD2" s="28">
        <v>85887.064439012174</v>
      </c>
      <c r="AE2" s="28">
        <v>87175.37040559735</v>
      </c>
      <c r="AF2" s="28">
        <v>88483.000961681304</v>
      </c>
      <c r="AG2" s="28">
        <v>89810.245976106511</v>
      </c>
      <c r="AH2" s="28">
        <v>91157.399665748104</v>
      </c>
      <c r="AI2" s="28">
        <v>92524.760660734319</v>
      </c>
      <c r="AJ2" s="28">
        <v>93912.632070645326</v>
      </c>
      <c r="AK2" s="28">
        <v>99547.389994884041</v>
      </c>
      <c r="AL2" s="28">
        <v>101040.6008448073</v>
      </c>
      <c r="AM2" s="28">
        <v>102556.20985747939</v>
      </c>
      <c r="AN2" s="28">
        <v>104094.55300534157</v>
      </c>
      <c r="AO2" s="28">
        <v>105655.97130042169</v>
      </c>
      <c r="AP2" s="28">
        <v>107240.810869928</v>
      </c>
      <c r="AQ2" s="28">
        <v>108849.42303297691</v>
      </c>
      <c r="AR2" s="28">
        <v>110482.16437847154</v>
      </c>
      <c r="AS2" s="28">
        <v>112139.39684414861</v>
      </c>
      <c r="AT2" s="28">
        <v>113821.48779681082</v>
      </c>
      <c r="AU2" s="2">
        <v>115528.81011376297</v>
      </c>
      <c r="AV2" s="2">
        <v>117261.74226546941</v>
      </c>
      <c r="AW2" s="2">
        <v>119020.66839945145</v>
      </c>
      <c r="AX2" s="2">
        <v>120805.9784254432</v>
      </c>
      <c r="AY2" s="2">
        <v>122618.06810182484</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2181.7733990147785</v>
      </c>
      <c r="C4" s="28">
        <f t="shared" ref="C4:AT4" si="0">C3*C2</f>
        <v>2214.5</v>
      </c>
      <c r="D4" s="28">
        <f t="shared" si="0"/>
        <v>2347.3700000000003</v>
      </c>
      <c r="E4" s="28">
        <f t="shared" si="0"/>
        <v>2382.5805500000001</v>
      </c>
      <c r="F4" s="28">
        <f t="shared" si="0"/>
        <v>2418.3192582499996</v>
      </c>
      <c r="G4" s="28">
        <f t="shared" si="0"/>
        <v>2454.5940471237495</v>
      </c>
      <c r="H4" s="28">
        <f t="shared" si="0"/>
        <v>2601.8696899511742</v>
      </c>
      <c r="I4" s="28">
        <f t="shared" si="0"/>
        <v>2640.8977353004411</v>
      </c>
      <c r="J4" s="28">
        <f t="shared" si="0"/>
        <v>2680.5112013299477</v>
      </c>
      <c r="K4" s="28">
        <f t="shared" si="0"/>
        <v>2720.718869349897</v>
      </c>
      <c r="L4" s="28">
        <f t="shared" si="0"/>
        <v>2883.9620015108903</v>
      </c>
      <c r="M4" s="28">
        <f t="shared" si="0"/>
        <v>2927.2214315335536</v>
      </c>
      <c r="N4" s="28">
        <f t="shared" si="0"/>
        <v>2971.1297530065567</v>
      </c>
      <c r="O4" s="28">
        <f t="shared" si="0"/>
        <v>3149.39753818695</v>
      </c>
      <c r="P4" s="28">
        <f t="shared" si="0"/>
        <v>3196.6385012597539</v>
      </c>
      <c r="Q4" s="28">
        <f t="shared" si="0"/>
        <v>3244.58807877865</v>
      </c>
      <c r="R4" s="28">
        <f t="shared" si="0"/>
        <v>3293.2568999603291</v>
      </c>
      <c r="S4" s="28">
        <f t="shared" si="0"/>
        <v>3342.6557534597337</v>
      </c>
      <c r="T4" s="28">
        <f t="shared" si="0"/>
        <v>3543.2150986673169</v>
      </c>
      <c r="U4" s="28">
        <f t="shared" si="0"/>
        <v>3596.3633251473257</v>
      </c>
      <c r="V4" s="28">
        <f t="shared" si="0"/>
        <v>3650.3087750245354</v>
      </c>
      <c r="W4" s="28">
        <f t="shared" si="0"/>
        <v>3705.0634066499028</v>
      </c>
      <c r="X4" s="28">
        <f t="shared" si="0"/>
        <v>3927.3672110488969</v>
      </c>
      <c r="Y4" s="28">
        <f t="shared" si="0"/>
        <v>3986.27771921463</v>
      </c>
      <c r="Z4" s="28">
        <f t="shared" si="0"/>
        <v>4046.0718850028493</v>
      </c>
      <c r="AA4" s="28">
        <f t="shared" si="0"/>
        <v>4106.7629632778917</v>
      </c>
      <c r="AB4" s="28">
        <f t="shared" si="0"/>
        <v>4168.3644077270601</v>
      </c>
      <c r="AC4" s="28">
        <f t="shared" si="0"/>
        <v>4230.8898738429652</v>
      </c>
      <c r="AD4" s="28">
        <f t="shared" si="0"/>
        <v>4294.3532219506087</v>
      </c>
      <c r="AE4" s="28">
        <f t="shared" si="0"/>
        <v>4358.7685202798675</v>
      </c>
      <c r="AF4" s="28">
        <f t="shared" si="0"/>
        <v>4424.150048084065</v>
      </c>
      <c r="AG4" s="28">
        <f t="shared" si="0"/>
        <v>4490.5122988053254</v>
      </c>
      <c r="AH4" s="28">
        <f t="shared" si="0"/>
        <v>4557.8699832874054</v>
      </c>
      <c r="AI4" s="28">
        <f t="shared" si="0"/>
        <v>4626.2380330367159</v>
      </c>
      <c r="AJ4" s="28">
        <f t="shared" si="0"/>
        <v>4695.6316035322661</v>
      </c>
      <c r="AK4" s="28">
        <f t="shared" si="0"/>
        <v>4977.3694997442026</v>
      </c>
      <c r="AL4" s="28">
        <f t="shared" si="0"/>
        <v>5052.0300422403652</v>
      </c>
      <c r="AM4" s="28">
        <f t="shared" si="0"/>
        <v>5127.8104928739704</v>
      </c>
      <c r="AN4" s="28">
        <f t="shared" si="0"/>
        <v>5204.7276502670793</v>
      </c>
      <c r="AO4" s="28">
        <f t="shared" si="0"/>
        <v>5282.7985650210849</v>
      </c>
      <c r="AP4" s="28">
        <f t="shared" si="0"/>
        <v>5362.0405434964005</v>
      </c>
      <c r="AQ4" s="28">
        <f t="shared" si="0"/>
        <v>5442.471151648846</v>
      </c>
      <c r="AR4" s="28">
        <f t="shared" si="0"/>
        <v>5524.1082189235776</v>
      </c>
      <c r="AS4" s="28">
        <f t="shared" si="0"/>
        <v>5606.9698422074307</v>
      </c>
      <c r="AT4" s="28">
        <f t="shared" si="0"/>
        <v>5691.0743898405417</v>
      </c>
      <c r="AU4" s="28">
        <f t="shared" ref="AU4:AY4" si="1">AU3*AU2</f>
        <v>5776.4405056881487</v>
      </c>
      <c r="AV4" s="28">
        <f t="shared" si="1"/>
        <v>5863.087113273471</v>
      </c>
      <c r="AW4" s="28">
        <f t="shared" si="1"/>
        <v>5951.033419972573</v>
      </c>
      <c r="AX4" s="28">
        <f t="shared" si="1"/>
        <v>6040.2989212721604</v>
      </c>
      <c r="AY4" s="28">
        <f t="shared" si="1"/>
        <v>6130.9034050912423</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4363.5467980295571</v>
      </c>
      <c r="C6" s="28">
        <f t="shared" ref="C6:AT6" si="2">C4*2</f>
        <v>4429</v>
      </c>
      <c r="D6" s="28">
        <f t="shared" si="2"/>
        <v>4694.7400000000007</v>
      </c>
      <c r="E6" s="28">
        <f t="shared" si="2"/>
        <v>4765.1611000000003</v>
      </c>
      <c r="F6" s="28">
        <f t="shared" si="2"/>
        <v>4836.6385164999992</v>
      </c>
      <c r="G6" s="28">
        <f t="shared" si="2"/>
        <v>4909.1880942474991</v>
      </c>
      <c r="H6" s="28">
        <f t="shared" si="2"/>
        <v>5203.7393799023484</v>
      </c>
      <c r="I6" s="28">
        <f t="shared" si="2"/>
        <v>5281.7954706008823</v>
      </c>
      <c r="J6" s="28">
        <f t="shared" si="2"/>
        <v>5361.0224026598953</v>
      </c>
      <c r="K6" s="28">
        <f t="shared" si="2"/>
        <v>5441.437738699794</v>
      </c>
      <c r="L6" s="28">
        <f t="shared" si="2"/>
        <v>5767.9240030217807</v>
      </c>
      <c r="M6" s="28">
        <f t="shared" si="2"/>
        <v>5854.4428630671073</v>
      </c>
      <c r="N6" s="28">
        <f t="shared" si="2"/>
        <v>5942.2595060131134</v>
      </c>
      <c r="O6" s="28">
        <f t="shared" si="2"/>
        <v>6298.7950763739</v>
      </c>
      <c r="P6" s="28">
        <f t="shared" si="2"/>
        <v>6393.2770025195077</v>
      </c>
      <c r="Q6" s="28">
        <f t="shared" si="2"/>
        <v>6489.1761575573</v>
      </c>
      <c r="R6" s="28">
        <f t="shared" si="2"/>
        <v>6586.5137999206581</v>
      </c>
      <c r="S6" s="28">
        <f t="shared" si="2"/>
        <v>6685.3115069194673</v>
      </c>
      <c r="T6" s="28">
        <f t="shared" si="2"/>
        <v>7086.4301973346337</v>
      </c>
      <c r="U6" s="28">
        <f t="shared" si="2"/>
        <v>7192.7266502946513</v>
      </c>
      <c r="V6" s="28">
        <f t="shared" si="2"/>
        <v>7300.6175500490708</v>
      </c>
      <c r="W6" s="28">
        <f t="shared" si="2"/>
        <v>7410.1268132998057</v>
      </c>
      <c r="X6" s="28">
        <f t="shared" si="2"/>
        <v>7854.7344220977939</v>
      </c>
      <c r="Y6" s="28">
        <f t="shared" si="2"/>
        <v>7972.55543842926</v>
      </c>
      <c r="Z6" s="28">
        <f t="shared" si="2"/>
        <v>8092.1437700056986</v>
      </c>
      <c r="AA6" s="28">
        <f t="shared" si="2"/>
        <v>8213.5259265557834</v>
      </c>
      <c r="AB6" s="28">
        <f t="shared" si="2"/>
        <v>8336.7288154541202</v>
      </c>
      <c r="AC6" s="28">
        <f t="shared" si="2"/>
        <v>8461.7797476859305</v>
      </c>
      <c r="AD6" s="28">
        <f t="shared" si="2"/>
        <v>8588.7064439012174</v>
      </c>
      <c r="AE6" s="28">
        <f t="shared" si="2"/>
        <v>8717.537040559735</v>
      </c>
      <c r="AF6" s="28">
        <f t="shared" si="2"/>
        <v>8848.30009616813</v>
      </c>
      <c r="AG6" s="28">
        <f t="shared" si="2"/>
        <v>8981.0245976106507</v>
      </c>
      <c r="AH6" s="28">
        <f t="shared" si="2"/>
        <v>9115.7399665748108</v>
      </c>
      <c r="AI6" s="28">
        <f t="shared" si="2"/>
        <v>9252.4760660734319</v>
      </c>
      <c r="AJ6" s="28">
        <f t="shared" si="2"/>
        <v>9391.2632070645323</v>
      </c>
      <c r="AK6" s="28">
        <f t="shared" si="2"/>
        <v>9954.7389994884052</v>
      </c>
      <c r="AL6" s="28">
        <f t="shared" si="2"/>
        <v>10104.06008448073</v>
      </c>
      <c r="AM6" s="28">
        <f t="shared" si="2"/>
        <v>10255.620985747941</v>
      </c>
      <c r="AN6" s="28">
        <f t="shared" si="2"/>
        <v>10409.455300534159</v>
      </c>
      <c r="AO6" s="28">
        <f t="shared" si="2"/>
        <v>10565.59713004217</v>
      </c>
      <c r="AP6" s="28">
        <f t="shared" si="2"/>
        <v>10724.081086992801</v>
      </c>
      <c r="AQ6" s="28">
        <f t="shared" si="2"/>
        <v>10884.942303297692</v>
      </c>
      <c r="AR6" s="28">
        <f t="shared" si="2"/>
        <v>11048.216437847155</v>
      </c>
      <c r="AS6" s="28">
        <f t="shared" si="2"/>
        <v>11213.939684414861</v>
      </c>
      <c r="AT6" s="28">
        <f t="shared" si="2"/>
        <v>11382.148779681083</v>
      </c>
      <c r="AU6" s="28">
        <f t="shared" ref="AU6:AY6" si="3">AU4*2</f>
        <v>11552.881011376297</v>
      </c>
      <c r="AV6" s="28">
        <f t="shared" si="3"/>
        <v>11726.174226546942</v>
      </c>
      <c r="AW6" s="28">
        <f t="shared" si="3"/>
        <v>11902.066839945146</v>
      </c>
      <c r="AX6" s="28">
        <f t="shared" si="3"/>
        <v>12080.597842544321</v>
      </c>
      <c r="AY6" s="28">
        <f t="shared" si="3"/>
        <v>12261.806810182485</v>
      </c>
    </row>
    <row r="7" spans="1:51" x14ac:dyDescent="0.2">
      <c r="A7" s="2" t="s">
        <v>180</v>
      </c>
      <c r="B7" s="29">
        <f>SUM(B6,B4)</f>
        <v>6545.3201970443351</v>
      </c>
      <c r="C7" s="29">
        <f t="shared" ref="C7:AT7" si="4">SUM(C6,C4)</f>
        <v>6643.5</v>
      </c>
      <c r="D7" s="29">
        <f t="shared" si="4"/>
        <v>7042.1100000000006</v>
      </c>
      <c r="E7" s="29">
        <f t="shared" si="4"/>
        <v>7147.7416499999999</v>
      </c>
      <c r="F7" s="29">
        <f t="shared" si="4"/>
        <v>7254.9577747499989</v>
      </c>
      <c r="G7" s="29">
        <f t="shared" si="4"/>
        <v>7363.7821413712481</v>
      </c>
      <c r="H7" s="29">
        <f t="shared" si="4"/>
        <v>7805.6090698535227</v>
      </c>
      <c r="I7" s="29">
        <f t="shared" si="4"/>
        <v>7922.6932059013234</v>
      </c>
      <c r="J7" s="29">
        <f t="shared" si="4"/>
        <v>8041.533603989843</v>
      </c>
      <c r="K7" s="29">
        <f t="shared" si="4"/>
        <v>8162.1566080496905</v>
      </c>
      <c r="L7" s="29">
        <f t="shared" si="4"/>
        <v>8651.886004532671</v>
      </c>
      <c r="M7" s="29">
        <f t="shared" si="4"/>
        <v>8781.6642946006614</v>
      </c>
      <c r="N7" s="29">
        <f t="shared" si="4"/>
        <v>8913.3892590196701</v>
      </c>
      <c r="O7" s="29">
        <f t="shared" si="4"/>
        <v>9448.1926145608504</v>
      </c>
      <c r="P7" s="29">
        <f t="shared" si="4"/>
        <v>9589.9155037792625</v>
      </c>
      <c r="Q7" s="29">
        <f t="shared" si="4"/>
        <v>9733.76423633595</v>
      </c>
      <c r="R7" s="29">
        <f t="shared" si="4"/>
        <v>9879.7706998809881</v>
      </c>
      <c r="S7" s="29">
        <f t="shared" si="4"/>
        <v>10027.967260379201</v>
      </c>
      <c r="T7" s="29">
        <f t="shared" si="4"/>
        <v>10629.645296001951</v>
      </c>
      <c r="U7" s="29">
        <f t="shared" si="4"/>
        <v>10789.089975441977</v>
      </c>
      <c r="V7" s="29">
        <f t="shared" si="4"/>
        <v>10950.926325073606</v>
      </c>
      <c r="W7" s="29">
        <f t="shared" si="4"/>
        <v>11115.190219949709</v>
      </c>
      <c r="X7" s="29">
        <f t="shared" si="4"/>
        <v>11782.101633146691</v>
      </c>
      <c r="Y7" s="29">
        <f t="shared" si="4"/>
        <v>11958.83315764389</v>
      </c>
      <c r="Z7" s="29">
        <f t="shared" si="4"/>
        <v>12138.215655008547</v>
      </c>
      <c r="AA7" s="29">
        <f t="shared" si="4"/>
        <v>12320.288889833675</v>
      </c>
      <c r="AB7" s="29">
        <f t="shared" si="4"/>
        <v>12505.09322318118</v>
      </c>
      <c r="AC7" s="29">
        <f t="shared" si="4"/>
        <v>12692.669621528896</v>
      </c>
      <c r="AD7" s="29">
        <f t="shared" si="4"/>
        <v>12883.059665851826</v>
      </c>
      <c r="AE7" s="29">
        <f t="shared" si="4"/>
        <v>13076.305560839603</v>
      </c>
      <c r="AF7" s="29">
        <f t="shared" si="4"/>
        <v>13272.450144252194</v>
      </c>
      <c r="AG7" s="29">
        <f t="shared" si="4"/>
        <v>13471.536896415975</v>
      </c>
      <c r="AH7" s="29">
        <f t="shared" si="4"/>
        <v>13673.609949862217</v>
      </c>
      <c r="AI7" s="29">
        <f t="shared" si="4"/>
        <v>13878.714099110148</v>
      </c>
      <c r="AJ7" s="29">
        <f t="shared" si="4"/>
        <v>14086.894810596797</v>
      </c>
      <c r="AK7" s="29">
        <f t="shared" si="4"/>
        <v>14932.108499232607</v>
      </c>
      <c r="AL7" s="29">
        <f t="shared" si="4"/>
        <v>15156.090126721096</v>
      </c>
      <c r="AM7" s="29">
        <f t="shared" si="4"/>
        <v>15383.431478621911</v>
      </c>
      <c r="AN7" s="29">
        <f t="shared" si="4"/>
        <v>15614.182950801238</v>
      </c>
      <c r="AO7" s="29">
        <f t="shared" si="4"/>
        <v>15848.395695063255</v>
      </c>
      <c r="AP7" s="29">
        <f t="shared" si="4"/>
        <v>16086.1216304892</v>
      </c>
      <c r="AQ7" s="29">
        <f t="shared" si="4"/>
        <v>16327.413454946538</v>
      </c>
      <c r="AR7" s="29">
        <f t="shared" si="4"/>
        <v>16572.324656770732</v>
      </c>
      <c r="AS7" s="29">
        <f t="shared" si="4"/>
        <v>16820.909526622294</v>
      </c>
      <c r="AT7" s="29">
        <f t="shared" si="4"/>
        <v>17073.223169521625</v>
      </c>
      <c r="AU7" s="29">
        <f t="shared" ref="AU7:AY7" si="5">SUM(AU6,AU4)</f>
        <v>17329.321517064447</v>
      </c>
      <c r="AV7" s="29">
        <f t="shared" si="5"/>
        <v>17589.261339820412</v>
      </c>
      <c r="AW7" s="29">
        <f t="shared" si="5"/>
        <v>17853.100259917719</v>
      </c>
      <c r="AX7" s="29">
        <f t="shared" si="5"/>
        <v>18120.896763816483</v>
      </c>
      <c r="AY7" s="29">
        <f t="shared" si="5"/>
        <v>18392.710215273728</v>
      </c>
    </row>
    <row r="8" spans="1:51" x14ac:dyDescent="0.2">
      <c r="A8" s="2" t="s">
        <v>181</v>
      </c>
      <c r="B8" s="28">
        <f>B7*12</f>
        <v>78543.842364532029</v>
      </c>
      <c r="C8" s="28">
        <f t="shared" ref="C8:AT8" si="6">C7*12</f>
        <v>79722</v>
      </c>
      <c r="D8" s="28">
        <f t="shared" si="6"/>
        <v>84505.32</v>
      </c>
      <c r="E8" s="28">
        <f t="shared" si="6"/>
        <v>85772.899799999999</v>
      </c>
      <c r="F8" s="28">
        <f t="shared" si="6"/>
        <v>87059.493296999979</v>
      </c>
      <c r="G8" s="28">
        <f t="shared" si="6"/>
        <v>88365.385696454978</v>
      </c>
      <c r="H8" s="28">
        <f t="shared" si="6"/>
        <v>93667.308838242272</v>
      </c>
      <c r="I8" s="28">
        <f t="shared" si="6"/>
        <v>95072.318470815881</v>
      </c>
      <c r="J8" s="28">
        <f t="shared" si="6"/>
        <v>96498.403247878116</v>
      </c>
      <c r="K8" s="28">
        <f t="shared" si="6"/>
        <v>97945.879296596278</v>
      </c>
      <c r="L8" s="28">
        <f t="shared" si="6"/>
        <v>103822.63205439204</v>
      </c>
      <c r="M8" s="28">
        <f t="shared" si="6"/>
        <v>105379.97153520794</v>
      </c>
      <c r="N8" s="28">
        <f t="shared" si="6"/>
        <v>106960.67110823604</v>
      </c>
      <c r="O8" s="28">
        <f t="shared" si="6"/>
        <v>113378.3113747302</v>
      </c>
      <c r="P8" s="28">
        <f t="shared" si="6"/>
        <v>115078.98604535115</v>
      </c>
      <c r="Q8" s="28">
        <f t="shared" si="6"/>
        <v>116805.17083603141</v>
      </c>
      <c r="R8" s="28">
        <f t="shared" si="6"/>
        <v>118557.24839857186</v>
      </c>
      <c r="S8" s="28">
        <f t="shared" si="6"/>
        <v>120335.60712455041</v>
      </c>
      <c r="T8" s="28">
        <f t="shared" si="6"/>
        <v>127555.7435520234</v>
      </c>
      <c r="U8" s="28">
        <f t="shared" si="6"/>
        <v>129469.07970530372</v>
      </c>
      <c r="V8" s="28">
        <f t="shared" si="6"/>
        <v>131411.11590088328</v>
      </c>
      <c r="W8" s="28">
        <f t="shared" si="6"/>
        <v>133382.28263939649</v>
      </c>
      <c r="X8" s="28">
        <f t="shared" si="6"/>
        <v>141385.2195977603</v>
      </c>
      <c r="Y8" s="28">
        <f t="shared" si="6"/>
        <v>143505.99789172667</v>
      </c>
      <c r="Z8" s="28">
        <f t="shared" si="6"/>
        <v>145658.58786010256</v>
      </c>
      <c r="AA8" s="28">
        <f t="shared" si="6"/>
        <v>147843.4666780041</v>
      </c>
      <c r="AB8" s="28">
        <f t="shared" si="6"/>
        <v>150061.11867817416</v>
      </c>
      <c r="AC8" s="28">
        <f t="shared" si="6"/>
        <v>152312.03545834674</v>
      </c>
      <c r="AD8" s="28">
        <f t="shared" si="6"/>
        <v>154596.71599022191</v>
      </c>
      <c r="AE8" s="28">
        <f t="shared" si="6"/>
        <v>156915.66673007523</v>
      </c>
      <c r="AF8" s="28">
        <f t="shared" si="6"/>
        <v>159269.40173102633</v>
      </c>
      <c r="AG8" s="28">
        <f t="shared" si="6"/>
        <v>161658.44275699172</v>
      </c>
      <c r="AH8" s="28">
        <f t="shared" si="6"/>
        <v>164083.31939834659</v>
      </c>
      <c r="AI8" s="28">
        <f t="shared" si="6"/>
        <v>166544.56918932177</v>
      </c>
      <c r="AJ8" s="28">
        <f t="shared" si="6"/>
        <v>169042.73772716156</v>
      </c>
      <c r="AK8" s="28">
        <f t="shared" si="6"/>
        <v>179185.30199079128</v>
      </c>
      <c r="AL8" s="28">
        <f t="shared" si="6"/>
        <v>181873.08152065316</v>
      </c>
      <c r="AM8" s="28">
        <f t="shared" si="6"/>
        <v>184601.17774346293</v>
      </c>
      <c r="AN8" s="28">
        <f t="shared" si="6"/>
        <v>187370.19540961485</v>
      </c>
      <c r="AO8" s="28">
        <f t="shared" si="6"/>
        <v>190180.74834075905</v>
      </c>
      <c r="AP8" s="28">
        <f t="shared" si="6"/>
        <v>193033.45956587041</v>
      </c>
      <c r="AQ8" s="28">
        <f t="shared" si="6"/>
        <v>195928.96145935846</v>
      </c>
      <c r="AR8" s="28">
        <f t="shared" si="6"/>
        <v>198867.89588124878</v>
      </c>
      <c r="AS8" s="28">
        <f t="shared" si="6"/>
        <v>201850.91431946753</v>
      </c>
      <c r="AT8" s="28">
        <f t="shared" si="6"/>
        <v>204878.6780342595</v>
      </c>
      <c r="AU8" s="28">
        <f t="shared" ref="AU8:AY8" si="7">AU7*12</f>
        <v>207951.85820477337</v>
      </c>
      <c r="AV8" s="28">
        <f t="shared" si="7"/>
        <v>211071.13607784495</v>
      </c>
      <c r="AW8" s="28">
        <f t="shared" si="7"/>
        <v>214237.20311901264</v>
      </c>
      <c r="AX8" s="28">
        <f t="shared" si="7"/>
        <v>217450.7611657978</v>
      </c>
      <c r="AY8" s="28">
        <f t="shared" si="7"/>
        <v>220712.52258328474</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13282647.961817473</v>
      </c>
    </row>
    <row r="17" spans="1:4" x14ac:dyDescent="0.2">
      <c r="A17" s="2" t="s">
        <v>184</v>
      </c>
      <c r="B17" s="28">
        <f>B16/25</f>
        <v>531305.91847269889</v>
      </c>
      <c r="C17" s="2" t="s">
        <v>182</v>
      </c>
    </row>
    <row r="18" spans="1:4" x14ac:dyDescent="0.2">
      <c r="A18" s="2" t="s">
        <v>183</v>
      </c>
      <c r="B18" s="30">
        <f>B17/12</f>
        <v>44275.493206058243</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1.4999999999999999E-2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78543.842364532029</v>
      </c>
      <c r="C34" s="26">
        <f t="shared" ref="C34:AT34" si="8">B38+C8</f>
        <v>160261.6413990148</v>
      </c>
      <c r="D34" s="26">
        <f t="shared" si="8"/>
        <v>248839.20970696377</v>
      </c>
      <c r="E34" s="26">
        <f t="shared" si="8"/>
        <v>340935.11382561771</v>
      </c>
      <c r="F34" s="26">
        <f t="shared" si="8"/>
        <v>436657.76836492668</v>
      </c>
      <c r="G34" s="26">
        <f t="shared" si="8"/>
        <v>536118.6279555345</v>
      </c>
      <c r="H34" s="26">
        <f t="shared" si="8"/>
        <v>643408.71113012696</v>
      </c>
      <c r="I34" s="26">
        <f t="shared" si="8"/>
        <v>754830.04495075939</v>
      </c>
      <c r="J34" s="26">
        <f t="shared" si="8"/>
        <v>870508.6796408362</v>
      </c>
      <c r="K34" s="26">
        <f t="shared" si="8"/>
        <v>990574.18448710616</v>
      </c>
      <c r="L34" s="26">
        <f t="shared" si="8"/>
        <v>1119567.3065693155</v>
      </c>
      <c r="M34" s="26">
        <f t="shared" si="8"/>
        <v>1253395.4833644498</v>
      </c>
      <c r="N34" s="26">
        <f t="shared" si="8"/>
        <v>1392204.9337049765</v>
      </c>
      <c r="O34" s="26">
        <f t="shared" si="8"/>
        <v>1540959.1724451501</v>
      </c>
      <c r="P34" s="26">
        <f t="shared" si="8"/>
        <v>1695193.9310623326</v>
      </c>
      <c r="Q34" s="26">
        <f t="shared" si="8"/>
        <v>1855073.9796866579</v>
      </c>
      <c r="R34" s="26">
        <f t="shared" si="8"/>
        <v>2020768.6579090678</v>
      </c>
      <c r="S34" s="26">
        <f t="shared" si="8"/>
        <v>2192451.9966310877</v>
      </c>
      <c r="T34" s="26">
        <f t="shared" si="8"/>
        <v>2375717.9454175071</v>
      </c>
      <c r="U34" s="26">
        <f t="shared" si="8"/>
        <v>2565554.0181158693</v>
      </c>
      <c r="V34" s="26">
        <f t="shared" si="8"/>
        <v>2762155.8616170771</v>
      </c>
      <c r="W34" s="26">
        <f t="shared" si="8"/>
        <v>2965724.5247001634</v>
      </c>
      <c r="X34" s="26">
        <f t="shared" si="8"/>
        <v>3182468.8044705545</v>
      </c>
      <c r="Y34" s="26">
        <f t="shared" si="8"/>
        <v>3406841.3346838783</v>
      </c>
      <c r="Z34" s="26">
        <f t="shared" si="8"/>
        <v>3639067.7608582983</v>
      </c>
      <c r="AA34" s="26">
        <f t="shared" si="8"/>
        <v>3879379.9393397118</v>
      </c>
      <c r="AB34" s="26">
        <f t="shared" si="8"/>
        <v>4128016.1022765078</v>
      </c>
      <c r="AC34" s="26">
        <f t="shared" si="8"/>
        <v>4385221.0268937005</v>
      </c>
      <c r="AD34" s="26">
        <f t="shared" si="8"/>
        <v>4651246.209177291</v>
      </c>
      <c r="AE34" s="26">
        <f t="shared" si="8"/>
        <v>4926350.0420825612</v>
      </c>
      <c r="AF34" s="26">
        <f t="shared" si="8"/>
        <v>5210797.9983829055</v>
      </c>
      <c r="AG34" s="26">
        <f t="shared" si="8"/>
        <v>5504862.8182788072</v>
      </c>
      <c r="AH34" s="26">
        <f t="shared" si="8"/>
        <v>5808824.7018896183</v>
      </c>
      <c r="AI34" s="26">
        <f t="shared" si="8"/>
        <v>6122971.506753956</v>
      </c>
      <c r="AJ34" s="26">
        <f t="shared" si="8"/>
        <v>6447598.9504677355</v>
      </c>
      <c r="AK34" s="26">
        <f t="shared" si="8"/>
        <v>6790617.7417899119</v>
      </c>
      <c r="AL34" s="26">
        <f t="shared" si="8"/>
        <v>7145040.4201294472</v>
      </c>
      <c r="AM34" s="26">
        <f t="shared" si="8"/>
        <v>7511197.0749483993</v>
      </c>
      <c r="AN34" s="26">
        <f t="shared" si="8"/>
        <v>7889426.7880324526</v>
      </c>
      <c r="AO34" s="26">
        <f t="shared" si="8"/>
        <v>8280077.8710571164</v>
      </c>
      <c r="AP34" s="26">
        <f t="shared" si="8"/>
        <v>8683508.1093265489</v>
      </c>
      <c r="AQ34" s="26">
        <f t="shared" si="8"/>
        <v>9100085.0118438955</v>
      </c>
      <c r="AR34" s="26">
        <f t="shared" si="8"/>
        <v>9530186.0678760968</v>
      </c>
      <c r="AS34" s="26">
        <f t="shared" si="8"/>
        <v>9974199.0101802945</v>
      </c>
      <c r="AT34" s="26">
        <f t="shared" si="8"/>
        <v>10432522.085063234</v>
      </c>
      <c r="AU34" s="26">
        <f t="shared" ref="AU34" si="9">AT38+AU8</f>
        <v>10905564.329449464</v>
      </c>
      <c r="AV34" s="26">
        <f t="shared" ref="AV34" si="10">AU38+AV8</f>
        <v>11393745.85513862</v>
      </c>
      <c r="AW34" s="26">
        <f t="shared" ref="AW34" si="11">AV38+AW8</f>
        <v>11897498.140436705</v>
      </c>
      <c r="AX34" s="26">
        <f t="shared" ref="AX34" si="12">AW38+AX8</f>
        <v>12417264.329351</v>
      </c>
      <c r="AY34" s="26">
        <f t="shared" ref="AY34" si="13">AX38+AY8</f>
        <v>12953499.538543094</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2356.3152709359606</v>
      </c>
      <c r="C36" s="26">
        <f>C35*C34</f>
        <v>4807.8492419704435</v>
      </c>
      <c r="D36" s="26">
        <f>D35*D34</f>
        <v>7465.1762912089125</v>
      </c>
      <c r="E36" s="26">
        <f t="shared" ref="E36:AT36" si="15">E35*E34</f>
        <v>10228.05341476853</v>
      </c>
      <c r="F36" s="26">
        <f t="shared" si="15"/>
        <v>13099.7330509478</v>
      </c>
      <c r="G36" s="26">
        <f t="shared" si="15"/>
        <v>16083.558838666035</v>
      </c>
      <c r="H36" s="26">
        <f t="shared" si="15"/>
        <v>19302.261333903807</v>
      </c>
      <c r="I36" s="26">
        <f t="shared" si="15"/>
        <v>22644.901348522781</v>
      </c>
      <c r="J36" s="26">
        <f t="shared" si="15"/>
        <v>26115.260389225085</v>
      </c>
      <c r="K36" s="26">
        <f t="shared" si="15"/>
        <v>29717.225534613182</v>
      </c>
      <c r="L36" s="26">
        <f t="shared" si="15"/>
        <v>33587.019197079462</v>
      </c>
      <c r="M36" s="26">
        <f t="shared" si="15"/>
        <v>37601.864500933494</v>
      </c>
      <c r="N36" s="26">
        <f t="shared" si="15"/>
        <v>41766.148011149293</v>
      </c>
      <c r="O36" s="26">
        <f t="shared" si="15"/>
        <v>46228.775173354501</v>
      </c>
      <c r="P36" s="26">
        <f t="shared" si="15"/>
        <v>50855.817931869977</v>
      </c>
      <c r="Q36" s="26">
        <f t="shared" si="15"/>
        <v>55652.219390599734</v>
      </c>
      <c r="R36" s="26">
        <f t="shared" si="15"/>
        <v>60623.059737272029</v>
      </c>
      <c r="S36" s="26">
        <f t="shared" si="15"/>
        <v>65773.559898932624</v>
      </c>
      <c r="T36" s="26">
        <f t="shared" si="15"/>
        <v>71271.538362525214</v>
      </c>
      <c r="U36" s="26">
        <f t="shared" si="15"/>
        <v>76966.620543476078</v>
      </c>
      <c r="V36" s="26">
        <f t="shared" si="15"/>
        <v>82864.675848512314</v>
      </c>
      <c r="W36" s="26">
        <f t="shared" si="15"/>
        <v>88971.735741004901</v>
      </c>
      <c r="X36" s="26">
        <f t="shared" si="15"/>
        <v>95474.064134116634</v>
      </c>
      <c r="Y36" s="26">
        <f t="shared" si="15"/>
        <v>102205.24004051635</v>
      </c>
      <c r="Z36" s="26">
        <f t="shared" si="15"/>
        <v>109172.03282574895</v>
      </c>
      <c r="AA36" s="26">
        <f t="shared" si="15"/>
        <v>116381.39818019135</v>
      </c>
      <c r="AB36" s="26">
        <f t="shared" si="15"/>
        <v>123840.48306829523</v>
      </c>
      <c r="AC36" s="26">
        <f t="shared" si="15"/>
        <v>131556.63080681101</v>
      </c>
      <c r="AD36" s="26">
        <f t="shared" si="15"/>
        <v>139537.38627531871</v>
      </c>
      <c r="AE36" s="26">
        <f t="shared" si="15"/>
        <v>147790.50126247684</v>
      </c>
      <c r="AF36" s="26">
        <f t="shared" si="15"/>
        <v>156323.93995148715</v>
      </c>
      <c r="AG36" s="26">
        <f t="shared" si="15"/>
        <v>165145.88454836421</v>
      </c>
      <c r="AH36" s="26">
        <f t="shared" si="15"/>
        <v>174264.74105668854</v>
      </c>
      <c r="AI36" s="26">
        <f t="shared" si="15"/>
        <v>183689.14520261867</v>
      </c>
      <c r="AJ36" s="26">
        <f t="shared" si="15"/>
        <v>193427.96851403205</v>
      </c>
      <c r="AK36" s="26">
        <f t="shared" si="15"/>
        <v>203718.53225369734</v>
      </c>
      <c r="AL36" s="26">
        <f t="shared" si="15"/>
        <v>214351.21260388341</v>
      </c>
      <c r="AM36" s="26">
        <f t="shared" si="15"/>
        <v>225335.91224845196</v>
      </c>
      <c r="AN36" s="26">
        <f t="shared" si="15"/>
        <v>236682.80364097358</v>
      </c>
      <c r="AO36" s="26">
        <f t="shared" si="15"/>
        <v>248402.33613171347</v>
      </c>
      <c r="AP36" s="26">
        <f t="shared" si="15"/>
        <v>260505.24327979644</v>
      </c>
      <c r="AQ36" s="26">
        <f t="shared" si="15"/>
        <v>273002.55035531684</v>
      </c>
      <c r="AR36" s="26">
        <f t="shared" si="15"/>
        <v>285905.58203628287</v>
      </c>
      <c r="AS36" s="26">
        <f t="shared" si="15"/>
        <v>299225.97030540882</v>
      </c>
      <c r="AT36" s="26">
        <f t="shared" si="15"/>
        <v>312975.662551897</v>
      </c>
      <c r="AU36" s="26">
        <f t="shared" ref="AU36:AY36" si="16">AU35*AU34</f>
        <v>327166.92988348391</v>
      </c>
      <c r="AV36" s="26">
        <f t="shared" si="16"/>
        <v>341812.37565415859</v>
      </c>
      <c r="AW36" s="26">
        <f t="shared" si="16"/>
        <v>356924.94421310112</v>
      </c>
      <c r="AX36" s="26">
        <f t="shared" si="16"/>
        <v>372517.92988052999</v>
      </c>
      <c r="AY36" s="26">
        <f t="shared" si="16"/>
        <v>388604.98615629278</v>
      </c>
    </row>
    <row r="37" spans="1:51" x14ac:dyDescent="0.2">
      <c r="A37" s="2" t="s">
        <v>215</v>
      </c>
      <c r="B37" s="26">
        <f>B36*$B$27</f>
        <v>360.51623645320194</v>
      </c>
      <c r="C37" s="26">
        <f>C36*$B$27</f>
        <v>735.60093402147788</v>
      </c>
      <c r="D37" s="26">
        <f t="shared" ref="D37:AT37" si="17">D36*$B$27</f>
        <v>1142.1719725549635</v>
      </c>
      <c r="E37" s="26">
        <f t="shared" si="17"/>
        <v>1564.892172459585</v>
      </c>
      <c r="F37" s="26">
        <f t="shared" si="17"/>
        <v>2004.2591567950133</v>
      </c>
      <c r="G37" s="26">
        <f t="shared" si="17"/>
        <v>2460.7845023159034</v>
      </c>
      <c r="H37" s="26">
        <f t="shared" si="17"/>
        <v>2953.2459840872825</v>
      </c>
      <c r="I37" s="26">
        <f t="shared" si="17"/>
        <v>3464.6699063239853</v>
      </c>
      <c r="J37" s="26">
        <f t="shared" si="17"/>
        <v>3995.6348395514378</v>
      </c>
      <c r="K37" s="26">
        <f t="shared" si="17"/>
        <v>4546.7355067958169</v>
      </c>
      <c r="L37" s="26">
        <f t="shared" si="17"/>
        <v>5138.8139371531579</v>
      </c>
      <c r="M37" s="26">
        <f t="shared" si="17"/>
        <v>5753.0852686428243</v>
      </c>
      <c r="N37" s="26">
        <f t="shared" si="17"/>
        <v>6390.2206457058419</v>
      </c>
      <c r="O37" s="26">
        <f t="shared" si="17"/>
        <v>7073.0026015232388</v>
      </c>
      <c r="P37" s="26">
        <f t="shared" si="17"/>
        <v>7780.9401435761065</v>
      </c>
      <c r="Q37" s="26">
        <f t="shared" si="17"/>
        <v>8514.7895667617595</v>
      </c>
      <c r="R37" s="26">
        <f t="shared" si="17"/>
        <v>9275.3281398026211</v>
      </c>
      <c r="S37" s="26">
        <f t="shared" si="17"/>
        <v>10063.354664536691</v>
      </c>
      <c r="T37" s="26">
        <f t="shared" si="17"/>
        <v>10904.545369466357</v>
      </c>
      <c r="U37" s="26">
        <f t="shared" si="17"/>
        <v>11775.892943151839</v>
      </c>
      <c r="V37" s="26">
        <f t="shared" si="17"/>
        <v>12678.295404822384</v>
      </c>
      <c r="W37" s="26">
        <f t="shared" si="17"/>
        <v>13612.67556837375</v>
      </c>
      <c r="X37" s="26">
        <f t="shared" si="17"/>
        <v>14607.531812519845</v>
      </c>
      <c r="Y37" s="26">
        <f t="shared" si="17"/>
        <v>15637.401726199001</v>
      </c>
      <c r="Z37" s="26">
        <f t="shared" si="17"/>
        <v>16703.321022339587</v>
      </c>
      <c r="AA37" s="26">
        <f t="shared" si="17"/>
        <v>17806.353921569276</v>
      </c>
      <c r="AB37" s="26">
        <f t="shared" si="17"/>
        <v>18947.59390944917</v>
      </c>
      <c r="AC37" s="26">
        <f t="shared" si="17"/>
        <v>20128.164513442083</v>
      </c>
      <c r="AD37" s="26">
        <f t="shared" si="17"/>
        <v>21349.220100123763</v>
      </c>
      <c r="AE37" s="26">
        <f t="shared" si="17"/>
        <v>22611.946693158956</v>
      </c>
      <c r="AF37" s="26">
        <f t="shared" si="17"/>
        <v>23917.562812577533</v>
      </c>
      <c r="AG37" s="26">
        <f t="shared" si="17"/>
        <v>25267.320335899723</v>
      </c>
      <c r="AH37" s="26">
        <f t="shared" si="17"/>
        <v>26662.505381673345</v>
      </c>
      <c r="AI37" s="26">
        <f t="shared" si="17"/>
        <v>28104.439216000657</v>
      </c>
      <c r="AJ37" s="26">
        <f t="shared" si="17"/>
        <v>29594.479182646905</v>
      </c>
      <c r="AK37" s="26">
        <f t="shared" si="17"/>
        <v>31168.935434815692</v>
      </c>
      <c r="AL37" s="26">
        <f t="shared" si="17"/>
        <v>32795.735528394158</v>
      </c>
      <c r="AM37" s="26">
        <f t="shared" si="17"/>
        <v>34476.394574013153</v>
      </c>
      <c r="AN37" s="26">
        <f t="shared" si="17"/>
        <v>36212.468957068959</v>
      </c>
      <c r="AO37" s="26">
        <f t="shared" si="17"/>
        <v>38005.557428152162</v>
      </c>
      <c r="AP37" s="26">
        <f t="shared" si="17"/>
        <v>39857.302221808852</v>
      </c>
      <c r="AQ37" s="26">
        <f t="shared" si="17"/>
        <v>41769.390204363473</v>
      </c>
      <c r="AR37" s="26">
        <f t="shared" si="17"/>
        <v>43743.554051551277</v>
      </c>
      <c r="AS37" s="26">
        <f t="shared" si="17"/>
        <v>45781.57345672755</v>
      </c>
      <c r="AT37" s="26">
        <f t="shared" si="17"/>
        <v>47885.276370440239</v>
      </c>
      <c r="AU37" s="26">
        <f t="shared" ref="AU37:AY37" si="18">AU36*$B$27</f>
        <v>50056.540272173035</v>
      </c>
      <c r="AV37" s="26">
        <f t="shared" si="18"/>
        <v>52297.293475086262</v>
      </c>
      <c r="AW37" s="26">
        <f t="shared" si="18"/>
        <v>54609.516464604472</v>
      </c>
      <c r="AX37" s="26">
        <f t="shared" si="18"/>
        <v>56995.24327172109</v>
      </c>
      <c r="AY37" s="26">
        <f t="shared" si="18"/>
        <v>59456.562881912796</v>
      </c>
    </row>
    <row r="38" spans="1:51" s="18" customFormat="1" x14ac:dyDescent="0.2">
      <c r="A38" s="18" t="s">
        <v>248</v>
      </c>
      <c r="B38" s="27">
        <f>B34+(B36-B37)</f>
        <v>80539.641399014785</v>
      </c>
      <c r="C38" s="27">
        <f>C34+(C36-C37)</f>
        <v>164333.88970696376</v>
      </c>
      <c r="D38" s="27">
        <f t="shared" ref="D38:AS38" si="19">D34+(D36-D37)</f>
        <v>255162.21402561772</v>
      </c>
      <c r="E38" s="27">
        <f t="shared" si="19"/>
        <v>349598.27506792668</v>
      </c>
      <c r="F38" s="27">
        <f t="shared" si="19"/>
        <v>447753.24225907947</v>
      </c>
      <c r="G38" s="27">
        <f t="shared" si="19"/>
        <v>549741.40229188465</v>
      </c>
      <c r="H38" s="27">
        <f t="shared" si="19"/>
        <v>659757.72647994349</v>
      </c>
      <c r="I38" s="27">
        <f t="shared" si="19"/>
        <v>774010.27639295813</v>
      </c>
      <c r="J38" s="27">
        <f t="shared" si="19"/>
        <v>892628.30519050988</v>
      </c>
      <c r="K38" s="27">
        <f t="shared" si="19"/>
        <v>1015744.6745149235</v>
      </c>
      <c r="L38" s="27">
        <f t="shared" si="19"/>
        <v>1148015.5118292419</v>
      </c>
      <c r="M38" s="27">
        <f t="shared" si="19"/>
        <v>1285244.2625967404</v>
      </c>
      <c r="N38" s="27">
        <f t="shared" si="19"/>
        <v>1427580.8610704199</v>
      </c>
      <c r="O38" s="27">
        <f t="shared" si="19"/>
        <v>1580114.9450169813</v>
      </c>
      <c r="P38" s="27">
        <f t="shared" si="19"/>
        <v>1738268.8088506265</v>
      </c>
      <c r="Q38" s="27">
        <f t="shared" si="19"/>
        <v>1902211.4095104958</v>
      </c>
      <c r="R38" s="27">
        <f t="shared" si="19"/>
        <v>2072116.3895065372</v>
      </c>
      <c r="S38" s="27">
        <f t="shared" si="19"/>
        <v>2248162.2018654835</v>
      </c>
      <c r="T38" s="27">
        <f t="shared" si="19"/>
        <v>2436084.9384105657</v>
      </c>
      <c r="U38" s="27">
        <f t="shared" si="19"/>
        <v>2630744.7457161937</v>
      </c>
      <c r="V38" s="27">
        <f t="shared" si="19"/>
        <v>2832342.242060767</v>
      </c>
      <c r="W38" s="27">
        <f t="shared" si="19"/>
        <v>3041083.5848727943</v>
      </c>
      <c r="X38" s="27">
        <f t="shared" si="19"/>
        <v>3263335.3367921514</v>
      </c>
      <c r="Y38" s="27">
        <f t="shared" si="19"/>
        <v>3493409.1729981955</v>
      </c>
      <c r="Z38" s="27">
        <f t="shared" si="19"/>
        <v>3731536.4726617076</v>
      </c>
      <c r="AA38" s="27">
        <f t="shared" si="19"/>
        <v>3977954.9835983338</v>
      </c>
      <c r="AB38" s="27">
        <f t="shared" si="19"/>
        <v>4232908.9914353536</v>
      </c>
      <c r="AC38" s="27">
        <f t="shared" si="19"/>
        <v>4496649.493187069</v>
      </c>
      <c r="AD38" s="27">
        <f t="shared" si="19"/>
        <v>4769434.375352486</v>
      </c>
      <c r="AE38" s="27">
        <f t="shared" si="19"/>
        <v>5051528.5966518791</v>
      </c>
      <c r="AF38" s="27">
        <f t="shared" si="19"/>
        <v>5343204.3755218154</v>
      </c>
      <c r="AG38" s="27">
        <f t="shared" si="19"/>
        <v>5644741.3824912719</v>
      </c>
      <c r="AH38" s="27">
        <f t="shared" si="19"/>
        <v>5956426.9375646338</v>
      </c>
      <c r="AI38" s="27">
        <f t="shared" si="19"/>
        <v>6278556.212740574</v>
      </c>
      <c r="AJ38" s="27">
        <f t="shared" si="19"/>
        <v>6611432.4397991206</v>
      </c>
      <c r="AK38" s="27">
        <f t="shared" si="19"/>
        <v>6963167.3386087939</v>
      </c>
      <c r="AL38" s="27">
        <f t="shared" si="19"/>
        <v>7326595.8972049365</v>
      </c>
      <c r="AM38" s="27">
        <f t="shared" si="19"/>
        <v>7702056.592622838</v>
      </c>
      <c r="AN38" s="27">
        <f t="shared" si="19"/>
        <v>8089897.122716357</v>
      </c>
      <c r="AO38" s="27">
        <f t="shared" si="19"/>
        <v>8490474.6497606784</v>
      </c>
      <c r="AP38" s="27">
        <f t="shared" si="19"/>
        <v>8904156.0503845364</v>
      </c>
      <c r="AQ38" s="27">
        <f t="shared" si="19"/>
        <v>9331318.1719948482</v>
      </c>
      <c r="AR38" s="27">
        <f t="shared" si="19"/>
        <v>9772348.0958608277</v>
      </c>
      <c r="AS38" s="27">
        <f t="shared" si="19"/>
        <v>10227643.407028975</v>
      </c>
      <c r="AT38" s="27">
        <f>AT34+(AT36-AT37)</f>
        <v>10697612.471244691</v>
      </c>
      <c r="AU38" s="27">
        <f t="shared" ref="AU38:AY38" si="20">AU34+(AU36-AU37)</f>
        <v>11182674.719060775</v>
      </c>
      <c r="AV38" s="27">
        <f t="shared" si="20"/>
        <v>11683260.937317692</v>
      </c>
      <c r="AW38" s="27">
        <f t="shared" si="20"/>
        <v>12199813.568185203</v>
      </c>
      <c r="AX38" s="27">
        <f t="shared" si="20"/>
        <v>12732787.015959809</v>
      </c>
      <c r="AY38" s="27">
        <f t="shared" si="20"/>
        <v>13282647.961817473</v>
      </c>
    </row>
    <row r="40" spans="1:51" x14ac:dyDescent="0.2">
      <c r="A40" s="2" t="s">
        <v>250</v>
      </c>
      <c r="B40" s="26">
        <f>AT38</f>
        <v>10697612.471244691</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48585.245840417425</v>
      </c>
      <c r="C2" s="28">
        <v>49314.024528023685</v>
      </c>
      <c r="D2" s="28">
        <v>50053.734895944035</v>
      </c>
      <c r="E2" s="28">
        <v>53236.099776683193</v>
      </c>
      <c r="F2" s="28">
        <v>54034.641273333436</v>
      </c>
      <c r="G2" s="28">
        <v>54845.160892433436</v>
      </c>
      <c r="H2" s="28">
        <v>55667.838305819932</v>
      </c>
      <c r="I2" s="28">
        <v>59207.142095624899</v>
      </c>
      <c r="J2" s="28">
        <v>60095.249227059263</v>
      </c>
      <c r="K2" s="28">
        <v>60996.677965465147</v>
      </c>
      <c r="L2" s="28">
        <v>61911.628134947117</v>
      </c>
      <c r="M2" s="28">
        <v>65847.905647417094</v>
      </c>
      <c r="N2" s="28">
        <v>66835.62423212835</v>
      </c>
      <c r="O2" s="28">
        <v>67838.158595610264</v>
      </c>
      <c r="P2" s="28">
        <v>72151.238807056725</v>
      </c>
      <c r="Q2" s="28" cm="1">
        <f t="array" ref="Q2:AY2">TRANSPOSE(Income!P3:P37)</f>
        <v>73233.507389162565</v>
      </c>
      <c r="R2" s="28">
        <v>74332.009999999995</v>
      </c>
      <c r="S2" s="28">
        <v>78791.930599999978</v>
      </c>
      <c r="T2" s="28">
        <v>79973.809558999972</v>
      </c>
      <c r="U2" s="28">
        <v>81173.416702384959</v>
      </c>
      <c r="V2" s="28">
        <v>82391.017952920723</v>
      </c>
      <c r="W2" s="28">
        <v>87334.479030095958</v>
      </c>
      <c r="X2" s="28">
        <v>88644.496215547391</v>
      </c>
      <c r="Y2" s="28">
        <v>89974.163658780599</v>
      </c>
      <c r="Z2" s="28">
        <v>91323.776113662301</v>
      </c>
      <c r="AA2" s="28">
        <v>96803.202680482034</v>
      </c>
      <c r="AB2" s="28">
        <v>98255.250720689262</v>
      </c>
      <c r="AC2" s="28">
        <v>99729.07948149959</v>
      </c>
      <c r="AD2" s="28">
        <v>105712.82425038955</v>
      </c>
      <c r="AE2" s="28">
        <v>107298.51661414538</v>
      </c>
      <c r="AF2" s="28">
        <v>108907.99436335755</v>
      </c>
      <c r="AG2" s="28">
        <v>110541.6142788079</v>
      </c>
      <c r="AH2" s="28">
        <v>112199.73849299001</v>
      </c>
      <c r="AI2" s="28">
        <v>118931.72280256941</v>
      </c>
      <c r="AJ2" s="28">
        <v>120715.69864460794</v>
      </c>
      <c r="AK2" s="28">
        <v>122526.43412427705</v>
      </c>
      <c r="AL2" s="28">
        <v>124364.3306361412</v>
      </c>
      <c r="AM2" s="28">
        <v>131826.19047430967</v>
      </c>
      <c r="AN2" s="28">
        <v>133803.58333142431</v>
      </c>
      <c r="AO2" s="28">
        <v>135810.63708139566</v>
      </c>
      <c r="AP2" s="28">
        <v>137847.79663761659</v>
      </c>
      <c r="AQ2" s="28">
        <v>139915.51358718082</v>
      </c>
      <c r="AR2" s="28">
        <v>142014.24629098852</v>
      </c>
      <c r="AS2" s="28">
        <v>144144.45998535334</v>
      </c>
      <c r="AT2" s="28">
        <v>146306.62688513362</v>
      </c>
      <c r="AU2" s="2">
        <v>148501.2262884106</v>
      </c>
      <c r="AV2" s="2">
        <v>150728.74468273675</v>
      </c>
      <c r="AW2" s="2">
        <v>152989.67585297779</v>
      </c>
      <c r="AX2" s="2">
        <v>155284.52099077243</v>
      </c>
      <c r="AY2" s="2">
        <v>157613.78880563402</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2429.2622920208714</v>
      </c>
      <c r="C4" s="28">
        <f t="shared" ref="C4:AY4" si="0">C3*C2</f>
        <v>2465.7012264011846</v>
      </c>
      <c r="D4" s="28">
        <f t="shared" si="0"/>
        <v>2502.6867447972018</v>
      </c>
      <c r="E4" s="28">
        <f t="shared" si="0"/>
        <v>2661.8049888341598</v>
      </c>
      <c r="F4" s="28">
        <f t="shared" si="0"/>
        <v>2701.7320636666718</v>
      </c>
      <c r="G4" s="28">
        <f t="shared" si="0"/>
        <v>2742.2580446216721</v>
      </c>
      <c r="H4" s="28">
        <f t="shared" si="0"/>
        <v>2783.3919152909966</v>
      </c>
      <c r="I4" s="28">
        <f t="shared" si="0"/>
        <v>2960.3571047812452</v>
      </c>
      <c r="J4" s="28">
        <f t="shared" si="0"/>
        <v>3004.7624613529633</v>
      </c>
      <c r="K4" s="28">
        <f t="shared" si="0"/>
        <v>3049.8338982732575</v>
      </c>
      <c r="L4" s="28">
        <f t="shared" si="0"/>
        <v>3095.5814067473561</v>
      </c>
      <c r="M4" s="28">
        <f t="shared" si="0"/>
        <v>3292.3952823708551</v>
      </c>
      <c r="N4" s="28">
        <f t="shared" si="0"/>
        <v>3341.7812116064179</v>
      </c>
      <c r="O4" s="28">
        <f t="shared" si="0"/>
        <v>3391.9079297805133</v>
      </c>
      <c r="P4" s="28">
        <f t="shared" si="0"/>
        <v>3607.5619403528362</v>
      </c>
      <c r="Q4" s="28">
        <f t="shared" si="0"/>
        <v>3661.6753694581284</v>
      </c>
      <c r="R4" s="28">
        <f t="shared" si="0"/>
        <v>3716.6005</v>
      </c>
      <c r="S4" s="28">
        <f t="shared" si="0"/>
        <v>3939.5965299999989</v>
      </c>
      <c r="T4" s="28">
        <f t="shared" si="0"/>
        <v>3998.6904779499987</v>
      </c>
      <c r="U4" s="28">
        <f t="shared" si="0"/>
        <v>4058.6708351192483</v>
      </c>
      <c r="V4" s="28">
        <f t="shared" si="0"/>
        <v>4119.550897646036</v>
      </c>
      <c r="W4" s="28">
        <f t="shared" si="0"/>
        <v>4366.7239515047977</v>
      </c>
      <c r="X4" s="28">
        <f t="shared" si="0"/>
        <v>4432.2248107773694</v>
      </c>
      <c r="Y4" s="28">
        <f t="shared" si="0"/>
        <v>4498.7081829390299</v>
      </c>
      <c r="Z4" s="28">
        <f t="shared" si="0"/>
        <v>4566.1888056831149</v>
      </c>
      <c r="AA4" s="28">
        <f t="shared" si="0"/>
        <v>4840.1601340241023</v>
      </c>
      <c r="AB4" s="28">
        <f t="shared" si="0"/>
        <v>4912.7625360344637</v>
      </c>
      <c r="AC4" s="28">
        <f t="shared" si="0"/>
        <v>4986.4539740749797</v>
      </c>
      <c r="AD4" s="28">
        <f t="shared" si="0"/>
        <v>5285.6412125194774</v>
      </c>
      <c r="AE4" s="28">
        <f t="shared" si="0"/>
        <v>5364.9258307072696</v>
      </c>
      <c r="AF4" s="28">
        <f t="shared" si="0"/>
        <v>5445.3997181678778</v>
      </c>
      <c r="AG4" s="28">
        <f t="shared" si="0"/>
        <v>5527.0807139403951</v>
      </c>
      <c r="AH4" s="28">
        <f t="shared" si="0"/>
        <v>5609.9869246495009</v>
      </c>
      <c r="AI4" s="28">
        <f t="shared" si="0"/>
        <v>5946.586140128471</v>
      </c>
      <c r="AJ4" s="28">
        <f t="shared" si="0"/>
        <v>6035.7849322303973</v>
      </c>
      <c r="AK4" s="28">
        <f t="shared" si="0"/>
        <v>6126.3217062138528</v>
      </c>
      <c r="AL4" s="28">
        <f t="shared" si="0"/>
        <v>6218.2165318070602</v>
      </c>
      <c r="AM4" s="28">
        <f t="shared" si="0"/>
        <v>6591.3095237154839</v>
      </c>
      <c r="AN4" s="28">
        <f t="shared" si="0"/>
        <v>6690.1791665712153</v>
      </c>
      <c r="AO4" s="28">
        <f t="shared" si="0"/>
        <v>6790.5318540697835</v>
      </c>
      <c r="AP4" s="28">
        <f t="shared" si="0"/>
        <v>6892.3898318808297</v>
      </c>
      <c r="AQ4" s="28">
        <f t="shared" si="0"/>
        <v>6995.7756793590415</v>
      </c>
      <c r="AR4" s="28">
        <f t="shared" si="0"/>
        <v>7100.7123145494261</v>
      </c>
      <c r="AS4" s="28">
        <f t="shared" si="0"/>
        <v>7207.2229992676675</v>
      </c>
      <c r="AT4" s="28">
        <f t="shared" si="0"/>
        <v>7315.3313442566814</v>
      </c>
      <c r="AU4" s="28">
        <f t="shared" si="0"/>
        <v>7425.0613144205308</v>
      </c>
      <c r="AV4" s="28">
        <f t="shared" si="0"/>
        <v>7536.437234136838</v>
      </c>
      <c r="AW4" s="28">
        <f t="shared" si="0"/>
        <v>7649.4837926488899</v>
      </c>
      <c r="AX4" s="28">
        <f t="shared" si="0"/>
        <v>7764.2260495386217</v>
      </c>
      <c r="AY4" s="28">
        <f t="shared" si="0"/>
        <v>7880.6894402817015</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4858.5245840417429</v>
      </c>
      <c r="C6" s="28">
        <f t="shared" ref="C6:AY6" si="1">C4*2</f>
        <v>4931.4024528023692</v>
      </c>
      <c r="D6" s="28">
        <f t="shared" si="1"/>
        <v>5005.3734895944035</v>
      </c>
      <c r="E6" s="28">
        <f t="shared" si="1"/>
        <v>5323.6099776683195</v>
      </c>
      <c r="F6" s="28">
        <f t="shared" si="1"/>
        <v>5403.4641273333436</v>
      </c>
      <c r="G6" s="28">
        <f t="shared" si="1"/>
        <v>5484.5160892433441</v>
      </c>
      <c r="H6" s="28">
        <f t="shared" si="1"/>
        <v>5566.7838305819932</v>
      </c>
      <c r="I6" s="28">
        <f t="shared" si="1"/>
        <v>5920.7142095624904</v>
      </c>
      <c r="J6" s="28">
        <f t="shared" si="1"/>
        <v>6009.5249227059267</v>
      </c>
      <c r="K6" s="28">
        <f t="shared" si="1"/>
        <v>6099.6677965465151</v>
      </c>
      <c r="L6" s="28">
        <f t="shared" si="1"/>
        <v>6191.1628134947123</v>
      </c>
      <c r="M6" s="28">
        <f t="shared" si="1"/>
        <v>6584.7905647417101</v>
      </c>
      <c r="N6" s="28">
        <f t="shared" si="1"/>
        <v>6683.5624232128357</v>
      </c>
      <c r="O6" s="28">
        <f t="shared" si="1"/>
        <v>6783.8158595610266</v>
      </c>
      <c r="P6" s="28">
        <f t="shared" si="1"/>
        <v>7215.1238807056725</v>
      </c>
      <c r="Q6" s="28">
        <f t="shared" si="1"/>
        <v>7323.3507389162569</v>
      </c>
      <c r="R6" s="28">
        <f t="shared" si="1"/>
        <v>7433.201</v>
      </c>
      <c r="S6" s="28">
        <f t="shared" si="1"/>
        <v>7879.1930599999978</v>
      </c>
      <c r="T6" s="28">
        <f t="shared" si="1"/>
        <v>7997.3809558999974</v>
      </c>
      <c r="U6" s="28">
        <f t="shared" si="1"/>
        <v>8117.3416702384966</v>
      </c>
      <c r="V6" s="28">
        <f t="shared" si="1"/>
        <v>8239.101795292072</v>
      </c>
      <c r="W6" s="28">
        <f t="shared" si="1"/>
        <v>8733.4479030095954</v>
      </c>
      <c r="X6" s="28">
        <f t="shared" si="1"/>
        <v>8864.4496215547388</v>
      </c>
      <c r="Y6" s="28">
        <f t="shared" si="1"/>
        <v>8997.4163658780599</v>
      </c>
      <c r="Z6" s="28">
        <f t="shared" si="1"/>
        <v>9132.3776113662298</v>
      </c>
      <c r="AA6" s="28">
        <f t="shared" si="1"/>
        <v>9680.3202680482045</v>
      </c>
      <c r="AB6" s="28">
        <f t="shared" si="1"/>
        <v>9825.5250720689273</v>
      </c>
      <c r="AC6" s="28">
        <f t="shared" si="1"/>
        <v>9972.9079481499593</v>
      </c>
      <c r="AD6" s="28">
        <f t="shared" si="1"/>
        <v>10571.282425038955</v>
      </c>
      <c r="AE6" s="28">
        <f t="shared" si="1"/>
        <v>10729.851661414539</v>
      </c>
      <c r="AF6" s="28">
        <f t="shared" si="1"/>
        <v>10890.799436335756</v>
      </c>
      <c r="AG6" s="28">
        <f t="shared" si="1"/>
        <v>11054.16142788079</v>
      </c>
      <c r="AH6" s="28">
        <f t="shared" si="1"/>
        <v>11219.973849299002</v>
      </c>
      <c r="AI6" s="28">
        <f t="shared" si="1"/>
        <v>11893.172280256942</v>
      </c>
      <c r="AJ6" s="28">
        <f t="shared" si="1"/>
        <v>12071.569864460795</v>
      </c>
      <c r="AK6" s="28">
        <f t="shared" si="1"/>
        <v>12252.643412427706</v>
      </c>
      <c r="AL6" s="28">
        <f t="shared" si="1"/>
        <v>12436.43306361412</v>
      </c>
      <c r="AM6" s="28">
        <f t="shared" si="1"/>
        <v>13182.619047430968</v>
      </c>
      <c r="AN6" s="28">
        <f t="shared" si="1"/>
        <v>13380.358333142431</v>
      </c>
      <c r="AO6" s="28">
        <f t="shared" si="1"/>
        <v>13581.063708139567</v>
      </c>
      <c r="AP6" s="28">
        <f t="shared" si="1"/>
        <v>13784.779663761659</v>
      </c>
      <c r="AQ6" s="28">
        <f t="shared" si="1"/>
        <v>13991.551358718083</v>
      </c>
      <c r="AR6" s="28">
        <f t="shared" si="1"/>
        <v>14201.424629098852</v>
      </c>
      <c r="AS6" s="28">
        <f t="shared" si="1"/>
        <v>14414.445998535335</v>
      </c>
      <c r="AT6" s="28">
        <f t="shared" si="1"/>
        <v>14630.662688513363</v>
      </c>
      <c r="AU6" s="28">
        <f t="shared" si="1"/>
        <v>14850.122628841062</v>
      </c>
      <c r="AV6" s="28">
        <f t="shared" si="1"/>
        <v>15072.874468273676</v>
      </c>
      <c r="AW6" s="28">
        <f t="shared" si="1"/>
        <v>15298.96758529778</v>
      </c>
      <c r="AX6" s="28">
        <f t="shared" si="1"/>
        <v>15528.452099077243</v>
      </c>
      <c r="AY6" s="28">
        <f t="shared" si="1"/>
        <v>15761.378880563403</v>
      </c>
    </row>
    <row r="7" spans="1:51" x14ac:dyDescent="0.2">
      <c r="A7" s="2" t="s">
        <v>180</v>
      </c>
      <c r="B7" s="29">
        <f>SUM(B6,B4)</f>
        <v>7287.7868760626143</v>
      </c>
      <c r="C7" s="29">
        <f t="shared" ref="C7:AY7" si="2">SUM(C6,C4)</f>
        <v>7397.1036792035538</v>
      </c>
      <c r="D7" s="29">
        <f t="shared" si="2"/>
        <v>7508.0602343916053</v>
      </c>
      <c r="E7" s="29">
        <f t="shared" si="2"/>
        <v>7985.4149665024797</v>
      </c>
      <c r="F7" s="29">
        <f t="shared" si="2"/>
        <v>8105.1961910000155</v>
      </c>
      <c r="G7" s="29">
        <f t="shared" si="2"/>
        <v>8226.7741338650158</v>
      </c>
      <c r="H7" s="29">
        <f t="shared" si="2"/>
        <v>8350.1757458729899</v>
      </c>
      <c r="I7" s="29">
        <f t="shared" si="2"/>
        <v>8881.0713143437351</v>
      </c>
      <c r="J7" s="29">
        <f t="shared" si="2"/>
        <v>9014.2873840588909</v>
      </c>
      <c r="K7" s="29">
        <f t="shared" si="2"/>
        <v>9149.5016948197735</v>
      </c>
      <c r="L7" s="29">
        <f t="shared" si="2"/>
        <v>9286.744220242068</v>
      </c>
      <c r="M7" s="29">
        <f t="shared" si="2"/>
        <v>9877.1858471125652</v>
      </c>
      <c r="N7" s="29">
        <f t="shared" si="2"/>
        <v>10025.343634819254</v>
      </c>
      <c r="O7" s="29">
        <f t="shared" si="2"/>
        <v>10175.72378934154</v>
      </c>
      <c r="P7" s="29">
        <f t="shared" si="2"/>
        <v>10822.685821058509</v>
      </c>
      <c r="Q7" s="29">
        <f t="shared" si="2"/>
        <v>10985.026108374386</v>
      </c>
      <c r="R7" s="29">
        <f t="shared" si="2"/>
        <v>11149.8015</v>
      </c>
      <c r="S7" s="29">
        <f t="shared" si="2"/>
        <v>11818.789589999997</v>
      </c>
      <c r="T7" s="29">
        <f t="shared" si="2"/>
        <v>11996.071433849997</v>
      </c>
      <c r="U7" s="29">
        <f t="shared" si="2"/>
        <v>12176.012505357745</v>
      </c>
      <c r="V7" s="29">
        <f t="shared" si="2"/>
        <v>12358.652692938107</v>
      </c>
      <c r="W7" s="29">
        <f t="shared" si="2"/>
        <v>13100.171854514392</v>
      </c>
      <c r="X7" s="29">
        <f t="shared" si="2"/>
        <v>13296.674432332107</v>
      </c>
      <c r="Y7" s="29">
        <f t="shared" si="2"/>
        <v>13496.12454881709</v>
      </c>
      <c r="Z7" s="29">
        <f t="shared" si="2"/>
        <v>13698.566417049344</v>
      </c>
      <c r="AA7" s="29">
        <f t="shared" si="2"/>
        <v>14520.480402072306</v>
      </c>
      <c r="AB7" s="29">
        <f t="shared" si="2"/>
        <v>14738.28760810339</v>
      </c>
      <c r="AC7" s="29">
        <f t="shared" si="2"/>
        <v>14959.36192222494</v>
      </c>
      <c r="AD7" s="29">
        <f t="shared" si="2"/>
        <v>15856.923637558433</v>
      </c>
      <c r="AE7" s="29">
        <f t="shared" si="2"/>
        <v>16094.777492121808</v>
      </c>
      <c r="AF7" s="29">
        <f t="shared" si="2"/>
        <v>16336.199154503633</v>
      </c>
      <c r="AG7" s="29">
        <f t="shared" si="2"/>
        <v>16581.242141821185</v>
      </c>
      <c r="AH7" s="29">
        <f t="shared" si="2"/>
        <v>16829.960773948504</v>
      </c>
      <c r="AI7" s="29">
        <f t="shared" si="2"/>
        <v>17839.758420385413</v>
      </c>
      <c r="AJ7" s="29">
        <f t="shared" si="2"/>
        <v>18107.354796691194</v>
      </c>
      <c r="AK7" s="29">
        <f t="shared" si="2"/>
        <v>18378.965118641558</v>
      </c>
      <c r="AL7" s="29">
        <f t="shared" si="2"/>
        <v>18654.649595421179</v>
      </c>
      <c r="AM7" s="29">
        <f t="shared" si="2"/>
        <v>19773.928571146451</v>
      </c>
      <c r="AN7" s="29">
        <f t="shared" si="2"/>
        <v>20070.537499713646</v>
      </c>
      <c r="AO7" s="29">
        <f t="shared" si="2"/>
        <v>20371.59556220935</v>
      </c>
      <c r="AP7" s="29">
        <f t="shared" si="2"/>
        <v>20677.169495642491</v>
      </c>
      <c r="AQ7" s="29">
        <f t="shared" si="2"/>
        <v>20987.327038077125</v>
      </c>
      <c r="AR7" s="29">
        <f t="shared" si="2"/>
        <v>21302.136943648278</v>
      </c>
      <c r="AS7" s="29">
        <f t="shared" si="2"/>
        <v>21621.668997803004</v>
      </c>
      <c r="AT7" s="29">
        <f t="shared" si="2"/>
        <v>21945.994032770046</v>
      </c>
      <c r="AU7" s="29">
        <f t="shared" si="2"/>
        <v>22275.183943261593</v>
      </c>
      <c r="AV7" s="29">
        <f t="shared" si="2"/>
        <v>22609.311702410516</v>
      </c>
      <c r="AW7" s="29">
        <f t="shared" si="2"/>
        <v>22948.451377946669</v>
      </c>
      <c r="AX7" s="29">
        <f t="shared" si="2"/>
        <v>23292.678148615865</v>
      </c>
      <c r="AY7" s="29">
        <f t="shared" si="2"/>
        <v>23642.068320845105</v>
      </c>
    </row>
    <row r="8" spans="1:51" x14ac:dyDescent="0.2">
      <c r="A8" s="2" t="s">
        <v>181</v>
      </c>
      <c r="B8" s="28">
        <f>B7*12</f>
        <v>87453.442512751368</v>
      </c>
      <c r="C8" s="28">
        <f t="shared" ref="C8:AY8" si="3">C7*12</f>
        <v>88765.244150442653</v>
      </c>
      <c r="D8" s="28">
        <f t="shared" si="3"/>
        <v>90096.72281269927</v>
      </c>
      <c r="E8" s="28">
        <f t="shared" si="3"/>
        <v>95824.979598029749</v>
      </c>
      <c r="F8" s="28">
        <f t="shared" si="3"/>
        <v>97262.354292000178</v>
      </c>
      <c r="G8" s="28">
        <f t="shared" si="3"/>
        <v>98721.289606380189</v>
      </c>
      <c r="H8" s="28">
        <f t="shared" si="3"/>
        <v>100202.10895047587</v>
      </c>
      <c r="I8" s="28">
        <f t="shared" si="3"/>
        <v>106572.85577212482</v>
      </c>
      <c r="J8" s="28">
        <f t="shared" si="3"/>
        <v>108171.44860870669</v>
      </c>
      <c r="K8" s="28">
        <f t="shared" si="3"/>
        <v>109794.02033783728</v>
      </c>
      <c r="L8" s="28">
        <f t="shared" si="3"/>
        <v>111440.93064290482</v>
      </c>
      <c r="M8" s="28">
        <f t="shared" si="3"/>
        <v>118526.23016535077</v>
      </c>
      <c r="N8" s="28">
        <f t="shared" si="3"/>
        <v>120304.12361783104</v>
      </c>
      <c r="O8" s="28">
        <f t="shared" si="3"/>
        <v>122108.68547209848</v>
      </c>
      <c r="P8" s="28">
        <f t="shared" si="3"/>
        <v>129872.2298527021</v>
      </c>
      <c r="Q8" s="28">
        <f t="shared" si="3"/>
        <v>131820.31330049265</v>
      </c>
      <c r="R8" s="28">
        <f t="shared" si="3"/>
        <v>133797.61799999999</v>
      </c>
      <c r="S8" s="28">
        <f t="shared" si="3"/>
        <v>141825.47507999995</v>
      </c>
      <c r="T8" s="28">
        <f t="shared" si="3"/>
        <v>143952.85720619996</v>
      </c>
      <c r="U8" s="28">
        <f t="shared" si="3"/>
        <v>146112.15006429295</v>
      </c>
      <c r="V8" s="28">
        <f t="shared" si="3"/>
        <v>148303.83231525728</v>
      </c>
      <c r="W8" s="28">
        <f t="shared" si="3"/>
        <v>157202.06225417269</v>
      </c>
      <c r="X8" s="28">
        <f t="shared" si="3"/>
        <v>159560.0931879853</v>
      </c>
      <c r="Y8" s="28">
        <f t="shared" si="3"/>
        <v>161953.49458580508</v>
      </c>
      <c r="Z8" s="28">
        <f t="shared" si="3"/>
        <v>164382.79700459214</v>
      </c>
      <c r="AA8" s="28">
        <f t="shared" si="3"/>
        <v>174245.76482486766</v>
      </c>
      <c r="AB8" s="28">
        <f t="shared" si="3"/>
        <v>176859.45129724068</v>
      </c>
      <c r="AC8" s="28">
        <f t="shared" si="3"/>
        <v>179512.34306669928</v>
      </c>
      <c r="AD8" s="28">
        <f t="shared" si="3"/>
        <v>190283.08365070121</v>
      </c>
      <c r="AE8" s="28">
        <f t="shared" si="3"/>
        <v>193137.32990546169</v>
      </c>
      <c r="AF8" s="28">
        <f t="shared" si="3"/>
        <v>196034.38985404361</v>
      </c>
      <c r="AG8" s="28">
        <f t="shared" si="3"/>
        <v>198974.90570185421</v>
      </c>
      <c r="AH8" s="28">
        <f t="shared" si="3"/>
        <v>201959.52928738203</v>
      </c>
      <c r="AI8" s="28">
        <f t="shared" si="3"/>
        <v>214077.10104462496</v>
      </c>
      <c r="AJ8" s="28">
        <f t="shared" si="3"/>
        <v>217288.25756029433</v>
      </c>
      <c r="AK8" s="28">
        <f t="shared" si="3"/>
        <v>220547.58142369869</v>
      </c>
      <c r="AL8" s="28">
        <f t="shared" si="3"/>
        <v>223855.79514505414</v>
      </c>
      <c r="AM8" s="28">
        <f t="shared" si="3"/>
        <v>237287.14285375742</v>
      </c>
      <c r="AN8" s="28">
        <f t="shared" si="3"/>
        <v>240846.44999656375</v>
      </c>
      <c r="AO8" s="28">
        <f t="shared" si="3"/>
        <v>244459.14674651221</v>
      </c>
      <c r="AP8" s="28">
        <f t="shared" si="3"/>
        <v>248126.03394770989</v>
      </c>
      <c r="AQ8" s="28">
        <f t="shared" si="3"/>
        <v>251847.92445692548</v>
      </c>
      <c r="AR8" s="28">
        <f t="shared" si="3"/>
        <v>255625.64332377934</v>
      </c>
      <c r="AS8" s="28">
        <f t="shared" si="3"/>
        <v>259460.02797363605</v>
      </c>
      <c r="AT8" s="28">
        <f t="shared" si="3"/>
        <v>263351.92839324055</v>
      </c>
      <c r="AU8" s="28">
        <f t="shared" si="3"/>
        <v>267302.2073191391</v>
      </c>
      <c r="AV8" s="28">
        <f t="shared" si="3"/>
        <v>271311.74042892619</v>
      </c>
      <c r="AW8" s="28">
        <f t="shared" si="3"/>
        <v>275381.41653536004</v>
      </c>
      <c r="AX8" s="28">
        <f t="shared" si="3"/>
        <v>279512.13778339035</v>
      </c>
      <c r="AY8" s="28">
        <f t="shared" si="3"/>
        <v>283704.81985014124</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15726460.717501564</v>
      </c>
    </row>
    <row r="17" spans="1:4" x14ac:dyDescent="0.2">
      <c r="A17" s="2" t="s">
        <v>184</v>
      </c>
      <c r="B17" s="28">
        <f>B16/25</f>
        <v>629058.42870006256</v>
      </c>
      <c r="C17" s="2" t="s">
        <v>182</v>
      </c>
    </row>
    <row r="18" spans="1:4" x14ac:dyDescent="0.2">
      <c r="A18" s="2" t="s">
        <v>183</v>
      </c>
      <c r="B18" s="30">
        <f>B17/12</f>
        <v>52421.535725005211</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1.4999999999999999E-2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87453.442512751368</v>
      </c>
      <c r="C34" s="26">
        <f t="shared" ref="C34:AY34" si="4">B38+C8</f>
        <v>178440.87863744303</v>
      </c>
      <c r="D34" s="26">
        <f t="shared" si="4"/>
        <v>273071.78417631972</v>
      </c>
      <c r="E34" s="26">
        <f t="shared" si="4"/>
        <v>375835.51781026978</v>
      </c>
      <c r="F34" s="26">
        <f t="shared" si="4"/>
        <v>482647.85260982893</v>
      </c>
      <c r="G34" s="26">
        <f t="shared" si="4"/>
        <v>593633.22415102483</v>
      </c>
      <c r="H34" s="26">
        <f t="shared" si="4"/>
        <v>708919.55332717835</v>
      </c>
      <c r="I34" s="26">
        <f t="shared" si="4"/>
        <v>833506.05494934681</v>
      </c>
      <c r="J34" s="26">
        <f t="shared" si="4"/>
        <v>962856.89241431642</v>
      </c>
      <c r="K34" s="26">
        <f t="shared" si="4"/>
        <v>1097117.1063884015</v>
      </c>
      <c r="L34" s="26">
        <f t="shared" si="4"/>
        <v>1236435.7827046355</v>
      </c>
      <c r="M34" s="26">
        <f t="shared" si="4"/>
        <v>1386379.8461085111</v>
      </c>
      <c r="N34" s="26">
        <f t="shared" si="4"/>
        <v>1541911.8816159596</v>
      </c>
      <c r="O34" s="26">
        <f t="shared" si="4"/>
        <v>1703200.5479999196</v>
      </c>
      <c r="P34" s="26">
        <f t="shared" si="4"/>
        <v>1876351.1037772996</v>
      </c>
      <c r="Q34" s="26">
        <f t="shared" si="4"/>
        <v>2055849.4986247735</v>
      </c>
      <c r="R34" s="26">
        <f t="shared" si="4"/>
        <v>2241886.2523848289</v>
      </c>
      <c r="S34" s="26">
        <f t="shared" si="4"/>
        <v>2440678.057137927</v>
      </c>
      <c r="T34" s="26">
        <f t="shared" si="4"/>
        <v>2646648.5437760013</v>
      </c>
      <c r="U34" s="26">
        <f t="shared" si="4"/>
        <v>2860012.0333376424</v>
      </c>
      <c r="V34" s="26">
        <f t="shared" si="4"/>
        <v>3080988.7714200094</v>
      </c>
      <c r="W34" s="26">
        <f t="shared" si="4"/>
        <v>3316478.7583559644</v>
      </c>
      <c r="X34" s="26">
        <f t="shared" si="4"/>
        <v>3560310.576793775</v>
      </c>
      <c r="Y34" s="26">
        <f t="shared" si="4"/>
        <v>3812731.5631359098</v>
      </c>
      <c r="Z34" s="26">
        <f t="shared" si="4"/>
        <v>4073995.8691597856</v>
      </c>
      <c r="AA34" s="26">
        <f t="shared" si="4"/>
        <v>4351761.8690200029</v>
      </c>
      <c r="AB34" s="26">
        <f t="shared" si="4"/>
        <v>4639199.5894090412</v>
      </c>
      <c r="AC34" s="26">
        <f t="shared" si="4"/>
        <v>4936593.9940426238</v>
      </c>
      <c r="AD34" s="26">
        <f t="shared" si="4"/>
        <v>5252315.9310819488</v>
      </c>
      <c r="AE34" s="26">
        <f t="shared" si="4"/>
        <v>5578914.6087962026</v>
      </c>
      <c r="AF34" s="26">
        <f t="shared" si="4"/>
        <v>5916709.2188597582</v>
      </c>
      <c r="AG34" s="26">
        <f t="shared" si="4"/>
        <v>6266027.7058128389</v>
      </c>
      <c r="AH34" s="26">
        <f t="shared" si="4"/>
        <v>6627206.9991049254</v>
      </c>
      <c r="AI34" s="26">
        <f t="shared" si="4"/>
        <v>7009681.4299968062</v>
      </c>
      <c r="AJ34" s="26">
        <f t="shared" si="4"/>
        <v>7405085.6926933192</v>
      </c>
      <c r="AK34" s="26">
        <f t="shared" si="4"/>
        <v>7813796.5015683556</v>
      </c>
      <c r="AL34" s="26">
        <f t="shared" si="4"/>
        <v>8236200.8658182621</v>
      </c>
      <c r="AM34" s="26">
        <f t="shared" si="4"/>
        <v>8682769.872672461</v>
      </c>
      <c r="AN34" s="26">
        <f t="shared" si="4"/>
        <v>9144245.5051336326</v>
      </c>
      <c r="AO34" s="26">
        <f t="shared" si="4"/>
        <v>9621059.9301655907</v>
      </c>
      <c r="AP34" s="26">
        <f t="shared" si="4"/>
        <v>10113657.096938808</v>
      </c>
      <c r="AQ34" s="26">
        <f t="shared" si="4"/>
        <v>10622493.048228949</v>
      </c>
      <c r="AR34" s="26">
        <f t="shared" si="4"/>
        <v>11148036.239908226</v>
      </c>
      <c r="AS34" s="26">
        <f t="shared" si="4"/>
        <v>11690767.868737929</v>
      </c>
      <c r="AT34" s="26">
        <f t="shared" si="4"/>
        <v>12251182.2086758</v>
      </c>
      <c r="AU34" s="26">
        <f t="shared" si="4"/>
        <v>12829786.95591739</v>
      </c>
      <c r="AV34" s="26">
        <f t="shared" si="4"/>
        <v>13427103.582896177</v>
      </c>
      <c r="AW34" s="26">
        <f t="shared" si="4"/>
        <v>14043667.701472929</v>
      </c>
      <c r="AX34" s="26">
        <f t="shared" si="4"/>
        <v>14680029.435550746</v>
      </c>
      <c r="AY34" s="26">
        <f t="shared" si="4"/>
        <v>15336753.803358231</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2623.6032753825411</v>
      </c>
      <c r="C36" s="26">
        <f>C35*C34</f>
        <v>5353.2263591232904</v>
      </c>
      <c r="D36" s="26">
        <f>D35*D34</f>
        <v>8192.1535252895919</v>
      </c>
      <c r="E36" s="26">
        <f t="shared" ref="E36:AY36" si="6">E35*E34</f>
        <v>11275.065534308093</v>
      </c>
      <c r="F36" s="26">
        <f t="shared" si="6"/>
        <v>14479.435578294868</v>
      </c>
      <c r="G36" s="26">
        <f t="shared" si="6"/>
        <v>17808.996724530745</v>
      </c>
      <c r="H36" s="26">
        <f t="shared" si="6"/>
        <v>21267.586599815349</v>
      </c>
      <c r="I36" s="26">
        <f t="shared" si="6"/>
        <v>25005.181648480404</v>
      </c>
      <c r="J36" s="26">
        <f t="shared" si="6"/>
        <v>28885.70677242949</v>
      </c>
      <c r="K36" s="26">
        <f t="shared" si="6"/>
        <v>32913.51319165204</v>
      </c>
      <c r="L36" s="26">
        <f t="shared" si="6"/>
        <v>37093.073481139065</v>
      </c>
      <c r="M36" s="26">
        <f t="shared" si="6"/>
        <v>41591.395383255331</v>
      </c>
      <c r="N36" s="26">
        <f t="shared" si="6"/>
        <v>46257.356448478786</v>
      </c>
      <c r="O36" s="26">
        <f t="shared" si="6"/>
        <v>51096.016439997584</v>
      </c>
      <c r="P36" s="26">
        <f t="shared" si="6"/>
        <v>56290.53311331899</v>
      </c>
      <c r="Q36" s="26">
        <f t="shared" si="6"/>
        <v>61675.484958743204</v>
      </c>
      <c r="R36" s="26">
        <f t="shared" si="6"/>
        <v>67256.587571544864</v>
      </c>
      <c r="S36" s="26">
        <f t="shared" si="6"/>
        <v>73220.341714137801</v>
      </c>
      <c r="T36" s="26">
        <f t="shared" si="6"/>
        <v>79399.456313280039</v>
      </c>
      <c r="U36" s="26">
        <f t="shared" si="6"/>
        <v>85800.361000129269</v>
      </c>
      <c r="V36" s="26">
        <f t="shared" si="6"/>
        <v>92429.663142600286</v>
      </c>
      <c r="W36" s="26">
        <f t="shared" si="6"/>
        <v>99494.362750678934</v>
      </c>
      <c r="X36" s="26">
        <f t="shared" si="6"/>
        <v>106809.31730381325</v>
      </c>
      <c r="Y36" s="26">
        <f t="shared" si="6"/>
        <v>114381.94689407729</v>
      </c>
      <c r="Z36" s="26">
        <f t="shared" si="6"/>
        <v>122219.87607479356</v>
      </c>
      <c r="AA36" s="26">
        <f t="shared" si="6"/>
        <v>130552.85607060009</v>
      </c>
      <c r="AB36" s="26">
        <f t="shared" si="6"/>
        <v>139175.98768227122</v>
      </c>
      <c r="AC36" s="26">
        <f t="shared" si="6"/>
        <v>148097.81982127871</v>
      </c>
      <c r="AD36" s="26">
        <f t="shared" si="6"/>
        <v>157569.47793245845</v>
      </c>
      <c r="AE36" s="26">
        <f t="shared" si="6"/>
        <v>167367.43826388608</v>
      </c>
      <c r="AF36" s="26">
        <f t="shared" si="6"/>
        <v>177501.27656579274</v>
      </c>
      <c r="AG36" s="26">
        <f t="shared" si="6"/>
        <v>187980.83117438515</v>
      </c>
      <c r="AH36" s="26">
        <f t="shared" si="6"/>
        <v>198816.20997314775</v>
      </c>
      <c r="AI36" s="26">
        <f t="shared" si="6"/>
        <v>210290.44289990418</v>
      </c>
      <c r="AJ36" s="26">
        <f t="shared" si="6"/>
        <v>222152.57078079958</v>
      </c>
      <c r="AK36" s="26">
        <f t="shared" si="6"/>
        <v>234413.89504705067</v>
      </c>
      <c r="AL36" s="26">
        <f t="shared" si="6"/>
        <v>247086.02597454784</v>
      </c>
      <c r="AM36" s="26">
        <f t="shared" si="6"/>
        <v>260483.09618017383</v>
      </c>
      <c r="AN36" s="26">
        <f t="shared" si="6"/>
        <v>274327.36515400896</v>
      </c>
      <c r="AO36" s="26">
        <f t="shared" si="6"/>
        <v>288631.79790496774</v>
      </c>
      <c r="AP36" s="26">
        <f t="shared" si="6"/>
        <v>303409.71290816419</v>
      </c>
      <c r="AQ36" s="26">
        <f t="shared" si="6"/>
        <v>318674.79144686845</v>
      </c>
      <c r="AR36" s="26">
        <f t="shared" si="6"/>
        <v>334441.08719724679</v>
      </c>
      <c r="AS36" s="26">
        <f t="shared" si="6"/>
        <v>350723.03606213786</v>
      </c>
      <c r="AT36" s="26">
        <f t="shared" si="6"/>
        <v>367535.466260274</v>
      </c>
      <c r="AU36" s="26">
        <f t="shared" si="6"/>
        <v>384893.6086775217</v>
      </c>
      <c r="AV36" s="26">
        <f t="shared" si="6"/>
        <v>402813.10748688527</v>
      </c>
      <c r="AW36" s="26">
        <f t="shared" si="6"/>
        <v>421310.03104418784</v>
      </c>
      <c r="AX36" s="26">
        <f t="shared" si="6"/>
        <v>440400.88306652236</v>
      </c>
      <c r="AY36" s="26">
        <f t="shared" si="6"/>
        <v>460102.61410074693</v>
      </c>
    </row>
    <row r="37" spans="1:51" x14ac:dyDescent="0.2">
      <c r="A37" s="2" t="s">
        <v>215</v>
      </c>
      <c r="B37" s="26">
        <f>B36*$B$27</f>
        <v>401.41130113352881</v>
      </c>
      <c r="C37" s="26">
        <f>C36*$B$27</f>
        <v>819.04363294586346</v>
      </c>
      <c r="D37" s="26">
        <f t="shared" ref="D37:AY37" si="7">D36*$B$27</f>
        <v>1253.3994893693075</v>
      </c>
      <c r="E37" s="26">
        <f t="shared" si="7"/>
        <v>1725.085026749138</v>
      </c>
      <c r="F37" s="26">
        <f t="shared" si="7"/>
        <v>2215.3536434791149</v>
      </c>
      <c r="G37" s="26">
        <f t="shared" si="7"/>
        <v>2724.776498853204</v>
      </c>
      <c r="H37" s="26">
        <f t="shared" si="7"/>
        <v>3253.9407497717484</v>
      </c>
      <c r="I37" s="26">
        <f t="shared" si="7"/>
        <v>3825.7927922175018</v>
      </c>
      <c r="J37" s="26">
        <f t="shared" si="7"/>
        <v>4419.5131361817121</v>
      </c>
      <c r="K37" s="26">
        <f t="shared" si="7"/>
        <v>5035.767518322762</v>
      </c>
      <c r="L37" s="26">
        <f t="shared" si="7"/>
        <v>5675.2402426142771</v>
      </c>
      <c r="M37" s="26">
        <f t="shared" si="7"/>
        <v>6363.4834936380657</v>
      </c>
      <c r="N37" s="26">
        <f t="shared" si="7"/>
        <v>7077.3755366172545</v>
      </c>
      <c r="O37" s="26">
        <f t="shared" si="7"/>
        <v>7817.6905153196303</v>
      </c>
      <c r="P37" s="26">
        <f t="shared" si="7"/>
        <v>8612.4515663378061</v>
      </c>
      <c r="Q37" s="26">
        <f t="shared" si="7"/>
        <v>9436.3491986877107</v>
      </c>
      <c r="R37" s="26">
        <f t="shared" si="7"/>
        <v>10290.257898446363</v>
      </c>
      <c r="S37" s="26">
        <f t="shared" si="7"/>
        <v>11202.712282263083</v>
      </c>
      <c r="T37" s="26">
        <f t="shared" si="7"/>
        <v>12148.116815931846</v>
      </c>
      <c r="U37" s="26">
        <f t="shared" si="7"/>
        <v>13127.455233019778</v>
      </c>
      <c r="V37" s="26">
        <f t="shared" si="7"/>
        <v>14141.738460817844</v>
      </c>
      <c r="W37" s="26">
        <f t="shared" si="7"/>
        <v>15222.637500853876</v>
      </c>
      <c r="X37" s="26">
        <f t="shared" si="7"/>
        <v>16341.825547483428</v>
      </c>
      <c r="Y37" s="26">
        <f t="shared" si="7"/>
        <v>17500.437874793824</v>
      </c>
      <c r="Z37" s="26">
        <f t="shared" si="7"/>
        <v>18699.641039443413</v>
      </c>
      <c r="AA37" s="26">
        <f t="shared" si="7"/>
        <v>19974.586978801814</v>
      </c>
      <c r="AB37" s="26">
        <f t="shared" si="7"/>
        <v>21293.926115387498</v>
      </c>
      <c r="AC37" s="26">
        <f t="shared" si="7"/>
        <v>22658.966432655641</v>
      </c>
      <c r="AD37" s="26">
        <f t="shared" si="7"/>
        <v>24108.130123666142</v>
      </c>
      <c r="AE37" s="26">
        <f t="shared" si="7"/>
        <v>25607.218054374571</v>
      </c>
      <c r="AF37" s="26">
        <f t="shared" si="7"/>
        <v>27157.695314566288</v>
      </c>
      <c r="AG37" s="26">
        <f t="shared" si="7"/>
        <v>28761.067169680926</v>
      </c>
      <c r="AH37" s="26">
        <f t="shared" si="7"/>
        <v>30418.880125891606</v>
      </c>
      <c r="AI37" s="26">
        <f t="shared" si="7"/>
        <v>32174.437763685339</v>
      </c>
      <c r="AJ37" s="26">
        <f t="shared" si="7"/>
        <v>33989.343329462332</v>
      </c>
      <c r="AK37" s="26">
        <f t="shared" si="7"/>
        <v>35865.325942198753</v>
      </c>
      <c r="AL37" s="26">
        <f t="shared" si="7"/>
        <v>37804.161974105817</v>
      </c>
      <c r="AM37" s="26">
        <f t="shared" si="7"/>
        <v>39853.913715566596</v>
      </c>
      <c r="AN37" s="26">
        <f t="shared" si="7"/>
        <v>41972.086868563369</v>
      </c>
      <c r="AO37" s="26">
        <f t="shared" si="7"/>
        <v>44160.665079460065</v>
      </c>
      <c r="AP37" s="26">
        <f t="shared" si="7"/>
        <v>46421.686074949117</v>
      </c>
      <c r="AQ37" s="26">
        <f t="shared" si="7"/>
        <v>48757.243091370874</v>
      </c>
      <c r="AR37" s="26">
        <f t="shared" si="7"/>
        <v>51169.486341178759</v>
      </c>
      <c r="AS37" s="26">
        <f t="shared" si="7"/>
        <v>53660.624517507094</v>
      </c>
      <c r="AT37" s="26">
        <f t="shared" si="7"/>
        <v>56232.926337821918</v>
      </c>
      <c r="AU37" s="26">
        <f t="shared" si="7"/>
        <v>58888.722127660818</v>
      </c>
      <c r="AV37" s="26">
        <f t="shared" si="7"/>
        <v>61630.405445493445</v>
      </c>
      <c r="AW37" s="26">
        <f t="shared" si="7"/>
        <v>64460.434749760738</v>
      </c>
      <c r="AX37" s="26">
        <f t="shared" si="7"/>
        <v>67381.335109177919</v>
      </c>
      <c r="AY37" s="26">
        <f t="shared" si="7"/>
        <v>70395.699957414283</v>
      </c>
    </row>
    <row r="38" spans="1:51" s="18" customFormat="1" x14ac:dyDescent="0.2">
      <c r="A38" s="18" t="s">
        <v>248</v>
      </c>
      <c r="B38" s="27">
        <f>B34+(B36-B37)</f>
        <v>89675.634487000381</v>
      </c>
      <c r="C38" s="27">
        <f>C34+(C36-C37)</f>
        <v>182975.06136362045</v>
      </c>
      <c r="D38" s="27">
        <f t="shared" ref="D38:AS38" si="8">D34+(D36-D37)</f>
        <v>280010.53821224003</v>
      </c>
      <c r="E38" s="27">
        <f t="shared" si="8"/>
        <v>385385.49831782875</v>
      </c>
      <c r="F38" s="27">
        <f t="shared" si="8"/>
        <v>494911.93454464467</v>
      </c>
      <c r="G38" s="27">
        <f t="shared" si="8"/>
        <v>608717.44437670242</v>
      </c>
      <c r="H38" s="27">
        <f t="shared" si="8"/>
        <v>726933.19917722198</v>
      </c>
      <c r="I38" s="27">
        <f t="shared" si="8"/>
        <v>854685.44380560971</v>
      </c>
      <c r="J38" s="27">
        <f t="shared" si="8"/>
        <v>987323.08605056419</v>
      </c>
      <c r="K38" s="27">
        <f t="shared" si="8"/>
        <v>1124994.8520617308</v>
      </c>
      <c r="L38" s="27">
        <f t="shared" si="8"/>
        <v>1267853.6159431604</v>
      </c>
      <c r="M38" s="27">
        <f t="shared" si="8"/>
        <v>1421607.7579981284</v>
      </c>
      <c r="N38" s="27">
        <f t="shared" si="8"/>
        <v>1581091.8625278212</v>
      </c>
      <c r="O38" s="27">
        <f t="shared" si="8"/>
        <v>1746478.8739245976</v>
      </c>
      <c r="P38" s="27">
        <f t="shared" si="8"/>
        <v>1924029.1853242808</v>
      </c>
      <c r="Q38" s="27">
        <f t="shared" si="8"/>
        <v>2108088.6343848291</v>
      </c>
      <c r="R38" s="27">
        <f t="shared" si="8"/>
        <v>2298852.5820579273</v>
      </c>
      <c r="S38" s="27">
        <f t="shared" si="8"/>
        <v>2502695.6865698015</v>
      </c>
      <c r="T38" s="27">
        <f t="shared" si="8"/>
        <v>2713899.8832733496</v>
      </c>
      <c r="U38" s="27">
        <f t="shared" si="8"/>
        <v>2932684.9391047521</v>
      </c>
      <c r="V38" s="27">
        <f t="shared" si="8"/>
        <v>3159276.6961017917</v>
      </c>
      <c r="W38" s="27">
        <f t="shared" si="8"/>
        <v>3400750.4836057895</v>
      </c>
      <c r="X38" s="27">
        <f t="shared" si="8"/>
        <v>3650778.0685501047</v>
      </c>
      <c r="Y38" s="27">
        <f t="shared" si="8"/>
        <v>3909613.0721551934</v>
      </c>
      <c r="Z38" s="27">
        <f t="shared" si="8"/>
        <v>4177516.1041951356</v>
      </c>
      <c r="AA38" s="27">
        <f t="shared" si="8"/>
        <v>4462340.1381118009</v>
      </c>
      <c r="AB38" s="27">
        <f t="shared" si="8"/>
        <v>4757081.6509759249</v>
      </c>
      <c r="AC38" s="27">
        <f t="shared" si="8"/>
        <v>5062032.8474312471</v>
      </c>
      <c r="AD38" s="27">
        <f t="shared" si="8"/>
        <v>5385777.2788907411</v>
      </c>
      <c r="AE38" s="27">
        <f t="shared" si="8"/>
        <v>5720674.8290057145</v>
      </c>
      <c r="AF38" s="27">
        <f t="shared" si="8"/>
        <v>6067052.8001109846</v>
      </c>
      <c r="AG38" s="27">
        <f t="shared" si="8"/>
        <v>6425247.4698175434</v>
      </c>
      <c r="AH38" s="27">
        <f t="shared" si="8"/>
        <v>6795604.3289521812</v>
      </c>
      <c r="AI38" s="27">
        <f t="shared" si="8"/>
        <v>7187797.4351330251</v>
      </c>
      <c r="AJ38" s="27">
        <f t="shared" si="8"/>
        <v>7593248.9201446567</v>
      </c>
      <c r="AK38" s="27">
        <f t="shared" si="8"/>
        <v>8012345.0706732078</v>
      </c>
      <c r="AL38" s="27">
        <f t="shared" si="8"/>
        <v>8445482.7298187036</v>
      </c>
      <c r="AM38" s="27">
        <f t="shared" si="8"/>
        <v>8903399.055137068</v>
      </c>
      <c r="AN38" s="27">
        <f t="shared" si="8"/>
        <v>9376600.7834190782</v>
      </c>
      <c r="AO38" s="27">
        <f t="shared" si="8"/>
        <v>9865531.0629910976</v>
      </c>
      <c r="AP38" s="27">
        <f t="shared" si="8"/>
        <v>10370645.123772023</v>
      </c>
      <c r="AQ38" s="27">
        <f t="shared" si="8"/>
        <v>10892410.596584447</v>
      </c>
      <c r="AR38" s="27">
        <f t="shared" si="8"/>
        <v>11431307.840764293</v>
      </c>
      <c r="AS38" s="27">
        <f t="shared" si="8"/>
        <v>11987830.280282559</v>
      </c>
      <c r="AT38" s="27">
        <f>AT34+(AT36-AT37)</f>
        <v>12562484.748598251</v>
      </c>
      <c r="AU38" s="27">
        <f t="shared" ref="AU38:AY38" si="9">AU34+(AU36-AU37)</f>
        <v>13155791.84246725</v>
      </c>
      <c r="AV38" s="27">
        <f t="shared" si="9"/>
        <v>13768286.284937568</v>
      </c>
      <c r="AW38" s="27">
        <f t="shared" si="9"/>
        <v>14400517.297767356</v>
      </c>
      <c r="AX38" s="27">
        <f t="shared" si="9"/>
        <v>15053048.98350809</v>
      </c>
      <c r="AY38" s="27">
        <f t="shared" si="9"/>
        <v>15726460.717501564</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1.4999999999999999E-2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48585.245840417425</v>
      </c>
      <c r="F2" s="29">
        <v>49314.024528023685</v>
      </c>
      <c r="G2" s="29">
        <v>50053.734895944035</v>
      </c>
      <c r="H2" s="29">
        <v>53236.099776683193</v>
      </c>
      <c r="I2" s="29">
        <v>54034.641273333436</v>
      </c>
      <c r="J2" s="29">
        <v>54845.160892433436</v>
      </c>
      <c r="K2" s="29">
        <v>55667.838305819932</v>
      </c>
      <c r="L2" s="29">
        <v>59207.142095624899</v>
      </c>
      <c r="M2" s="29">
        <v>60095.249227059263</v>
      </c>
      <c r="N2" s="29">
        <v>60996.677965465147</v>
      </c>
      <c r="O2" s="29">
        <v>61911.628134947117</v>
      </c>
      <c r="P2" s="29">
        <v>65847.905647417094</v>
      </c>
      <c r="Q2" s="29">
        <v>66835.62423212835</v>
      </c>
      <c r="R2" s="29">
        <v>67838.158595610264</v>
      </c>
      <c r="S2" s="29">
        <v>72151.238807056725</v>
      </c>
      <c r="T2" s="29" cm="1">
        <f t="array" ref="T2:BB2">TRANSPOSE(Income!P3:P37)</f>
        <v>73233.507389162565</v>
      </c>
      <c r="U2" s="29">
        <v>74332.009999999995</v>
      </c>
      <c r="V2" s="29">
        <v>78791.930599999978</v>
      </c>
      <c r="W2" s="29">
        <v>79973.809558999972</v>
      </c>
      <c r="X2" s="29">
        <v>81173.416702384959</v>
      </c>
      <c r="Y2" s="29">
        <v>82391.017952920723</v>
      </c>
      <c r="Z2" s="29">
        <v>87334.479030095958</v>
      </c>
      <c r="AA2" s="29">
        <v>88644.496215547391</v>
      </c>
      <c r="AB2" s="29">
        <v>89974.163658780599</v>
      </c>
      <c r="AC2" s="29">
        <v>91323.776113662301</v>
      </c>
      <c r="AD2" s="29">
        <v>96803.202680482034</v>
      </c>
      <c r="AE2" s="29">
        <v>98255.250720689262</v>
      </c>
      <c r="AF2" s="29">
        <v>99729.07948149959</v>
      </c>
      <c r="AG2" s="29">
        <v>105712.82425038955</v>
      </c>
      <c r="AH2" s="29">
        <v>107298.51661414538</v>
      </c>
      <c r="AI2" s="29">
        <v>108907.99436335755</v>
      </c>
      <c r="AJ2" s="29">
        <v>110541.6142788079</v>
      </c>
      <c r="AK2" s="29">
        <v>112199.73849299001</v>
      </c>
      <c r="AL2" s="29">
        <v>118931.72280256941</v>
      </c>
      <c r="AM2" s="29">
        <v>120715.69864460794</v>
      </c>
      <c r="AN2" s="29">
        <v>122526.43412427705</v>
      </c>
      <c r="AO2" s="29">
        <v>124364.3306361412</v>
      </c>
      <c r="AP2" s="29">
        <v>131826.19047430967</v>
      </c>
      <c r="AQ2" s="29">
        <v>133803.58333142431</v>
      </c>
      <c r="AR2" s="29">
        <v>135810.63708139566</v>
      </c>
      <c r="AS2" s="29">
        <v>137847.79663761659</v>
      </c>
      <c r="AT2" s="29">
        <v>139915.51358718082</v>
      </c>
      <c r="AU2" s="29">
        <v>142014.24629098852</v>
      </c>
      <c r="AV2" s="29">
        <v>144144.45998535334</v>
      </c>
      <c r="AW2" s="29">
        <v>146306.62688513362</v>
      </c>
      <c r="AX2" s="2">
        <v>148501.2262884106</v>
      </c>
      <c r="AY2" s="2">
        <v>150728.74468273675</v>
      </c>
      <c r="AZ2" s="2">
        <v>152989.67585297779</v>
      </c>
      <c r="BA2" s="2">
        <v>155284.52099077243</v>
      </c>
      <c r="BB2" s="2">
        <v>157613.78880563402</v>
      </c>
      <c r="BH2" s="2" t="s">
        <v>206</v>
      </c>
      <c r="BI2" s="2" cm="1">
        <f t="array" ref="BI2:BI37">TRANSPOSE(T17:BC17)</f>
        <v>38780.907786022341</v>
      </c>
    </row>
    <row r="3" spans="1:61" x14ac:dyDescent="0.2">
      <c r="D3" s="2" t="s">
        <v>186</v>
      </c>
      <c r="E3" s="29">
        <f>E2*12</f>
        <v>583022.9500850091</v>
      </c>
      <c r="F3" s="29">
        <f t="shared" ref="F3:AW3" si="0">F2*12</f>
        <v>591768.29433628428</v>
      </c>
      <c r="G3" s="29">
        <f t="shared" si="0"/>
        <v>600644.81875132839</v>
      </c>
      <c r="H3" s="29">
        <f t="shared" si="0"/>
        <v>638833.19732019829</v>
      </c>
      <c r="I3" s="29">
        <f t="shared" si="0"/>
        <v>648415.69528000127</v>
      </c>
      <c r="J3" s="29">
        <f t="shared" si="0"/>
        <v>658141.93070920126</v>
      </c>
      <c r="K3" s="29">
        <f t="shared" si="0"/>
        <v>668014.05966983922</v>
      </c>
      <c r="L3" s="29">
        <f t="shared" si="0"/>
        <v>710485.70514749875</v>
      </c>
      <c r="M3" s="29">
        <f t="shared" si="0"/>
        <v>721142.99072471121</v>
      </c>
      <c r="N3" s="29">
        <f t="shared" si="0"/>
        <v>731960.13558558177</v>
      </c>
      <c r="O3" s="29">
        <f t="shared" si="0"/>
        <v>742939.53761936538</v>
      </c>
      <c r="P3" s="29">
        <f t="shared" si="0"/>
        <v>790174.86776900513</v>
      </c>
      <c r="Q3" s="29">
        <f t="shared" si="0"/>
        <v>802027.4907855402</v>
      </c>
      <c r="R3" s="29">
        <f t="shared" si="0"/>
        <v>814057.90314732317</v>
      </c>
      <c r="S3" s="29">
        <f t="shared" si="0"/>
        <v>865814.86568468064</v>
      </c>
      <c r="T3" s="29">
        <f t="shared" si="0"/>
        <v>878802.08866995084</v>
      </c>
      <c r="U3" s="29">
        <f t="shared" si="0"/>
        <v>891984.11999999988</v>
      </c>
      <c r="V3" s="29">
        <f t="shared" si="0"/>
        <v>945503.16719999979</v>
      </c>
      <c r="W3" s="29">
        <f t="shared" si="0"/>
        <v>959685.71470799972</v>
      </c>
      <c r="X3" s="29">
        <f t="shared" si="0"/>
        <v>974081.00042861956</v>
      </c>
      <c r="Y3" s="29">
        <f t="shared" si="0"/>
        <v>988692.21543504868</v>
      </c>
      <c r="Z3" s="29">
        <f t="shared" si="0"/>
        <v>1048013.7483611514</v>
      </c>
      <c r="AA3" s="29">
        <f t="shared" si="0"/>
        <v>1063733.9545865688</v>
      </c>
      <c r="AB3" s="29">
        <f t="shared" si="0"/>
        <v>1079689.9639053671</v>
      </c>
      <c r="AC3" s="29">
        <f t="shared" si="0"/>
        <v>1095885.3133639477</v>
      </c>
      <c r="AD3" s="29">
        <f t="shared" si="0"/>
        <v>1161638.4321657843</v>
      </c>
      <c r="AE3" s="29">
        <f t="shared" si="0"/>
        <v>1179063.0086482712</v>
      </c>
      <c r="AF3" s="29">
        <f t="shared" si="0"/>
        <v>1196748.953777995</v>
      </c>
      <c r="AG3" s="29">
        <f t="shared" si="0"/>
        <v>1268553.8910046746</v>
      </c>
      <c r="AH3" s="29">
        <f t="shared" si="0"/>
        <v>1287582.1993697446</v>
      </c>
      <c r="AI3" s="29">
        <f t="shared" si="0"/>
        <v>1306895.9323602905</v>
      </c>
      <c r="AJ3" s="29">
        <f t="shared" si="0"/>
        <v>1326499.3713456949</v>
      </c>
      <c r="AK3" s="29">
        <f t="shared" si="0"/>
        <v>1346396.8619158801</v>
      </c>
      <c r="AL3" s="29">
        <f t="shared" si="0"/>
        <v>1427180.6736308329</v>
      </c>
      <c r="AM3" s="29">
        <f t="shared" si="0"/>
        <v>1448588.3837352954</v>
      </c>
      <c r="AN3" s="29">
        <f t="shared" si="0"/>
        <v>1470317.2094913246</v>
      </c>
      <c r="AO3" s="29">
        <f t="shared" si="0"/>
        <v>1492371.9676336944</v>
      </c>
      <c r="AP3" s="29">
        <f t="shared" si="0"/>
        <v>1581914.285691716</v>
      </c>
      <c r="AQ3" s="29">
        <f t="shared" si="0"/>
        <v>1605642.9999770918</v>
      </c>
      <c r="AR3" s="29">
        <f t="shared" si="0"/>
        <v>1629727.6449767479</v>
      </c>
      <c r="AS3" s="29">
        <f t="shared" si="0"/>
        <v>1654173.559651399</v>
      </c>
      <c r="AT3" s="29">
        <f t="shared" si="0"/>
        <v>1678986.1630461698</v>
      </c>
      <c r="AU3" s="29">
        <f t="shared" si="0"/>
        <v>1704170.9554918623</v>
      </c>
      <c r="AV3" s="29">
        <f t="shared" si="0"/>
        <v>1729733.5198242401</v>
      </c>
      <c r="AW3" s="29">
        <f t="shared" si="0"/>
        <v>1755679.5226216034</v>
      </c>
      <c r="AX3" s="29">
        <f t="shared" ref="AX3:BB3" si="1">AX2*12</f>
        <v>1782014.7154609272</v>
      </c>
      <c r="AY3" s="29">
        <f t="shared" si="1"/>
        <v>1808744.936192841</v>
      </c>
      <c r="AZ3" s="29">
        <f t="shared" si="1"/>
        <v>1835876.1102357334</v>
      </c>
      <c r="BA3" s="29">
        <f t="shared" si="1"/>
        <v>1863414.2518892693</v>
      </c>
      <c r="BB3" s="29">
        <f t="shared" si="1"/>
        <v>1891365.4656676082</v>
      </c>
      <c r="BI3" s="2">
        <v>39241.655592192663</v>
      </c>
    </row>
    <row r="4" spans="1:61" x14ac:dyDescent="0.2">
      <c r="A4" s="2" t="str" cm="1">
        <f t="array" ref="A4:B12">'Salary Variables'!$B$16:$C$24</f>
        <v>AM (%)</v>
      </c>
      <c r="B4" s="25">
        <v>0.08</v>
      </c>
      <c r="D4" s="2" t="s">
        <v>277</v>
      </c>
      <c r="E4" s="29">
        <f>'Pensions P2'!B4*12</f>
        <v>29151.147504250457</v>
      </c>
      <c r="F4" s="29">
        <f>'Pensions P2'!C4*12</f>
        <v>29588.414716814215</v>
      </c>
      <c r="G4" s="29">
        <f>'Pensions P2'!D4*12</f>
        <v>30032.240937566421</v>
      </c>
      <c r="H4" s="29">
        <f>'Pensions P2'!E4*12</f>
        <v>31941.659866009919</v>
      </c>
      <c r="I4" s="29">
        <f>'Pensions P2'!F4*12</f>
        <v>32420.784764000062</v>
      </c>
      <c r="J4" s="29">
        <f>'Pensions P2'!G4*12</f>
        <v>32907.096535460063</v>
      </c>
      <c r="K4" s="29">
        <f>'Pensions P2'!H4*12</f>
        <v>33400.702983491959</v>
      </c>
      <c r="L4" s="29">
        <f>'Pensions P2'!I4*12</f>
        <v>35524.285257374941</v>
      </c>
      <c r="M4" s="29">
        <f>'Pensions P2'!J4*12</f>
        <v>36057.149536235564</v>
      </c>
      <c r="N4" s="29">
        <f>'Pensions P2'!K4*12</f>
        <v>36598.006779279094</v>
      </c>
      <c r="O4" s="29">
        <f>'Pensions P2'!L4*12</f>
        <v>37146.976880968272</v>
      </c>
      <c r="P4" s="29">
        <f>'Pensions P2'!M4*12</f>
        <v>39508.743388450261</v>
      </c>
      <c r="Q4" s="29">
        <f>'Pensions P2'!N4*12</f>
        <v>40101.374539277014</v>
      </c>
      <c r="R4" s="29">
        <f>'Pensions P2'!O4*12</f>
        <v>40702.895157366162</v>
      </c>
      <c r="S4" s="29">
        <f>'Pensions P2'!P4*12</f>
        <v>43290.743284234035</v>
      </c>
      <c r="T4" s="29">
        <f>'Pensions P2'!Q4*12</f>
        <v>43940.104433497545</v>
      </c>
      <c r="U4" s="29">
        <f>'Pensions P2'!R4*12</f>
        <v>44599.205999999998</v>
      </c>
      <c r="V4" s="29">
        <f>'Pensions P2'!S4*12</f>
        <v>47275.158359999987</v>
      </c>
      <c r="W4" s="29">
        <f>'Pensions P2'!T4*12</f>
        <v>47984.285735399986</v>
      </c>
      <c r="X4" s="29">
        <f>'Pensions P2'!U4*12</f>
        <v>48704.05002143098</v>
      </c>
      <c r="Y4" s="29">
        <f>'Pensions P2'!V4*12</f>
        <v>49434.610771752428</v>
      </c>
      <c r="Z4" s="29">
        <f>'Pensions P2'!W4*12</f>
        <v>52400.687418057569</v>
      </c>
      <c r="AA4" s="29">
        <f>'Pensions P2'!X4*12</f>
        <v>53186.697729328429</v>
      </c>
      <c r="AB4" s="29">
        <f>'Pensions P2'!Y4*12</f>
        <v>53984.498195268359</v>
      </c>
      <c r="AC4" s="29">
        <f>'Pensions P2'!Z4*12</f>
        <v>54794.265668197375</v>
      </c>
      <c r="AD4" s="29">
        <f>'Pensions P2'!AA4*12</f>
        <v>58081.921608289224</v>
      </c>
      <c r="AE4" s="29">
        <f>'Pensions P2'!AB4*12</f>
        <v>58953.15043241356</v>
      </c>
      <c r="AF4" s="29">
        <f>'Pensions P2'!AC4*12</f>
        <v>59837.44768889976</v>
      </c>
      <c r="AG4" s="29">
        <f>'Pensions P2'!AD4*12</f>
        <v>63427.694550233733</v>
      </c>
      <c r="AH4" s="29">
        <f>'Pensions P2'!AE4*12</f>
        <v>64379.109968487232</v>
      </c>
      <c r="AI4" s="29">
        <f>'Pensions P2'!AF4*12</f>
        <v>65344.79661801453</v>
      </c>
      <c r="AJ4" s="29">
        <f>'Pensions P2'!AG4*12</f>
        <v>66324.968567284741</v>
      </c>
      <c r="AK4" s="29">
        <f>'Pensions P2'!AH4*12</f>
        <v>67319.843095794015</v>
      </c>
      <c r="AL4" s="29">
        <f>'Pensions P2'!AI4*12</f>
        <v>71359.033681541652</v>
      </c>
      <c r="AM4" s="29">
        <f>'Pensions P2'!AJ4*12</f>
        <v>72429.419186764775</v>
      </c>
      <c r="AN4" s="29">
        <f>'Pensions P2'!AK4*12</f>
        <v>73515.860474566231</v>
      </c>
      <c r="AO4" s="29">
        <f>'Pensions P2'!AL4*12</f>
        <v>74618.598381684715</v>
      </c>
      <c r="AP4" s="29">
        <f>'Pensions P2'!AM4*12</f>
        <v>79095.714284585803</v>
      </c>
      <c r="AQ4" s="29">
        <f>'Pensions P2'!AN4*12</f>
        <v>80282.149998854584</v>
      </c>
      <c r="AR4" s="29">
        <f>'Pensions P2'!AO4*12</f>
        <v>81486.382248837399</v>
      </c>
      <c r="AS4" s="29">
        <f>'Pensions P2'!AP4*12</f>
        <v>82708.677982569963</v>
      </c>
      <c r="AT4" s="29">
        <f>'Pensions P2'!AQ4*12</f>
        <v>83949.308152308498</v>
      </c>
      <c r="AU4" s="29">
        <f>'Pensions P2'!AR4*12</f>
        <v>85208.547774593113</v>
      </c>
      <c r="AV4" s="29">
        <f>'Pensions P2'!AS4*12</f>
        <v>86486.675991212018</v>
      </c>
      <c r="AW4" s="29">
        <f>'Pensions P2'!AT4*12</f>
        <v>87783.976131080184</v>
      </c>
      <c r="AX4" s="29">
        <f>'Pensions P2'!AU4*12</f>
        <v>89100.73577304637</v>
      </c>
      <c r="AY4" s="29">
        <f>'Pensions P2'!AV4*12</f>
        <v>90437.246809642063</v>
      </c>
      <c r="AZ4" s="29">
        <f>'Pensions P2'!AW4*12</f>
        <v>91793.805511786675</v>
      </c>
      <c r="BA4" s="29">
        <f>'Pensions P2'!AX4*12</f>
        <v>93170.712594463461</v>
      </c>
      <c r="BB4" s="29">
        <f>'Pensions P2'!AY4*12</f>
        <v>94568.273283380418</v>
      </c>
      <c r="BI4" s="2">
        <v>41112.291685244221</v>
      </c>
    </row>
    <row r="5" spans="1:61" x14ac:dyDescent="0.2">
      <c r="A5" s="2" t="str">
        <v>Personal Allowance</v>
      </c>
      <c r="B5" s="28">
        <v>51600</v>
      </c>
      <c r="D5" s="2" t="s">
        <v>187</v>
      </c>
      <c r="E5" s="29">
        <f t="shared" ref="E5:AW5" si="2">E3-E4</f>
        <v>553871.8025807587</v>
      </c>
      <c r="F5" s="29">
        <f t="shared" si="2"/>
        <v>562179.8796194701</v>
      </c>
      <c r="G5" s="29">
        <f t="shared" si="2"/>
        <v>570612.57781376201</v>
      </c>
      <c r="H5" s="29">
        <f t="shared" si="2"/>
        <v>606891.53745418834</v>
      </c>
      <c r="I5" s="29">
        <f t="shared" si="2"/>
        <v>615994.91051600117</v>
      </c>
      <c r="J5" s="29">
        <f t="shared" si="2"/>
        <v>625234.83417374117</v>
      </c>
      <c r="K5" s="29">
        <f t="shared" si="2"/>
        <v>634613.35668634728</v>
      </c>
      <c r="L5" s="29">
        <f t="shared" si="2"/>
        <v>674961.41989012377</v>
      </c>
      <c r="M5" s="29">
        <f t="shared" si="2"/>
        <v>685085.84118847561</v>
      </c>
      <c r="N5" s="29">
        <f t="shared" si="2"/>
        <v>695362.12880630267</v>
      </c>
      <c r="O5" s="29">
        <f t="shared" si="2"/>
        <v>705792.56073839706</v>
      </c>
      <c r="P5" s="29">
        <f t="shared" si="2"/>
        <v>750666.12438055489</v>
      </c>
      <c r="Q5" s="29">
        <f t="shared" si="2"/>
        <v>761926.11624626315</v>
      </c>
      <c r="R5" s="29">
        <f t="shared" si="2"/>
        <v>773355.007989957</v>
      </c>
      <c r="S5" s="29">
        <f t="shared" si="2"/>
        <v>822524.12240044656</v>
      </c>
      <c r="T5" s="29">
        <f t="shared" si="2"/>
        <v>834861.98423645331</v>
      </c>
      <c r="U5" s="29">
        <f t="shared" si="2"/>
        <v>847384.91399999987</v>
      </c>
      <c r="V5" s="29">
        <f t="shared" si="2"/>
        <v>898228.00883999979</v>
      </c>
      <c r="W5" s="29">
        <f t="shared" si="2"/>
        <v>911701.4289725998</v>
      </c>
      <c r="X5" s="29">
        <f t="shared" si="2"/>
        <v>925376.95040718862</v>
      </c>
      <c r="Y5" s="29">
        <f t="shared" si="2"/>
        <v>939257.60466329625</v>
      </c>
      <c r="Z5" s="29">
        <f t="shared" si="2"/>
        <v>995613.06094309385</v>
      </c>
      <c r="AA5" s="29">
        <f t="shared" si="2"/>
        <v>1010547.2568572403</v>
      </c>
      <c r="AB5" s="29">
        <f t="shared" si="2"/>
        <v>1025705.4657100987</v>
      </c>
      <c r="AC5" s="29">
        <f t="shared" si="2"/>
        <v>1041091.0476957503</v>
      </c>
      <c r="AD5" s="29">
        <f t="shared" si="2"/>
        <v>1103556.5105574951</v>
      </c>
      <c r="AE5" s="29">
        <f t="shared" si="2"/>
        <v>1120109.8582158578</v>
      </c>
      <c r="AF5" s="29">
        <f t="shared" si="2"/>
        <v>1136911.5060890953</v>
      </c>
      <c r="AG5" s="29">
        <f t="shared" si="2"/>
        <v>1205126.1964544409</v>
      </c>
      <c r="AH5" s="29">
        <f t="shared" si="2"/>
        <v>1223203.0894012575</v>
      </c>
      <c r="AI5" s="29">
        <f t="shared" si="2"/>
        <v>1241551.135742276</v>
      </c>
      <c r="AJ5" s="29">
        <f t="shared" si="2"/>
        <v>1260174.4027784101</v>
      </c>
      <c r="AK5" s="29">
        <f t="shared" si="2"/>
        <v>1279077.018820086</v>
      </c>
      <c r="AL5" s="29">
        <f t="shared" si="2"/>
        <v>1355821.6399492912</v>
      </c>
      <c r="AM5" s="29">
        <f t="shared" si="2"/>
        <v>1376158.9645485305</v>
      </c>
      <c r="AN5" s="29">
        <f t="shared" si="2"/>
        <v>1396801.3490167584</v>
      </c>
      <c r="AO5" s="29">
        <f t="shared" si="2"/>
        <v>1417753.3692520098</v>
      </c>
      <c r="AP5" s="29">
        <f t="shared" si="2"/>
        <v>1502818.5714071302</v>
      </c>
      <c r="AQ5" s="29">
        <f t="shared" si="2"/>
        <v>1525360.8499782372</v>
      </c>
      <c r="AR5" s="29">
        <f t="shared" si="2"/>
        <v>1548241.2627279104</v>
      </c>
      <c r="AS5" s="29">
        <f t="shared" si="2"/>
        <v>1571464.8816688291</v>
      </c>
      <c r="AT5" s="29">
        <f t="shared" si="2"/>
        <v>1595036.8548938613</v>
      </c>
      <c r="AU5" s="29">
        <f t="shared" si="2"/>
        <v>1618962.4077172691</v>
      </c>
      <c r="AV5" s="29">
        <f t="shared" si="2"/>
        <v>1643246.8438330281</v>
      </c>
      <c r="AW5" s="29">
        <f t="shared" si="2"/>
        <v>1667895.5464905233</v>
      </c>
      <c r="AX5" s="29">
        <f t="shared" ref="AX5:BB5" si="3">AX3-AX4</f>
        <v>1692913.979687881</v>
      </c>
      <c r="AY5" s="29">
        <f t="shared" si="3"/>
        <v>1718307.689383199</v>
      </c>
      <c r="AZ5" s="29">
        <f t="shared" si="3"/>
        <v>1744082.3047239468</v>
      </c>
      <c r="BA5" s="29">
        <f t="shared" si="3"/>
        <v>1770243.5392948058</v>
      </c>
      <c r="BB5" s="29">
        <f t="shared" si="3"/>
        <v>1796797.1923842279</v>
      </c>
      <c r="BI5" s="2">
        <v>41608.010249902887</v>
      </c>
    </row>
    <row r="6" spans="1:61" x14ac:dyDescent="0.2">
      <c r="A6" s="2" t="str">
        <v>Bottom-Bracket State Tax rate (%)</v>
      </c>
      <c r="B6" s="25">
        <v>0.1201</v>
      </c>
      <c r="D6" s="2" t="s">
        <v>256</v>
      </c>
      <c r="E6" s="28">
        <f>E5-$B$14</f>
        <v>552683.8025807587</v>
      </c>
      <c r="F6" s="28">
        <f t="shared" ref="F6:AW6" si="4">F5-$B$14</f>
        <v>560991.8796194701</v>
      </c>
      <c r="G6" s="28">
        <f t="shared" si="4"/>
        <v>569424.57781376201</v>
      </c>
      <c r="H6" s="28">
        <f t="shared" si="4"/>
        <v>605703.53745418834</v>
      </c>
      <c r="I6" s="28">
        <f t="shared" si="4"/>
        <v>614806.91051600117</v>
      </c>
      <c r="J6" s="28">
        <f t="shared" si="4"/>
        <v>624046.83417374117</v>
      </c>
      <c r="K6" s="28">
        <f t="shared" si="4"/>
        <v>633425.35668634728</v>
      </c>
      <c r="L6" s="28">
        <f t="shared" si="4"/>
        <v>673773.41989012377</v>
      </c>
      <c r="M6" s="28">
        <f t="shared" si="4"/>
        <v>683897.84118847561</v>
      </c>
      <c r="N6" s="28">
        <f t="shared" si="4"/>
        <v>694174.12880630267</v>
      </c>
      <c r="O6" s="28">
        <f t="shared" si="4"/>
        <v>704604.56073839706</v>
      </c>
      <c r="P6" s="28">
        <f t="shared" si="4"/>
        <v>749478.12438055489</v>
      </c>
      <c r="Q6" s="28">
        <f t="shared" si="4"/>
        <v>760738.11624626315</v>
      </c>
      <c r="R6" s="28">
        <f t="shared" si="4"/>
        <v>772167.007989957</v>
      </c>
      <c r="S6" s="28">
        <f t="shared" si="4"/>
        <v>821336.12240044656</v>
      </c>
      <c r="T6" s="28">
        <f t="shared" si="4"/>
        <v>833673.98423645331</v>
      </c>
      <c r="U6" s="28">
        <f t="shared" si="4"/>
        <v>846196.91399999987</v>
      </c>
      <c r="V6" s="28">
        <f t="shared" si="4"/>
        <v>897040.00883999979</v>
      </c>
      <c r="W6" s="28">
        <f t="shared" si="4"/>
        <v>910513.4289725998</v>
      </c>
      <c r="X6" s="28">
        <f t="shared" si="4"/>
        <v>924188.95040718862</v>
      </c>
      <c r="Y6" s="28">
        <f t="shared" si="4"/>
        <v>938069.60466329625</v>
      </c>
      <c r="Z6" s="28">
        <f t="shared" si="4"/>
        <v>994425.06094309385</v>
      </c>
      <c r="AA6" s="28">
        <f t="shared" si="4"/>
        <v>1009359.2568572403</v>
      </c>
      <c r="AB6" s="28">
        <f t="shared" si="4"/>
        <v>1024517.4657100987</v>
      </c>
      <c r="AC6" s="28">
        <f t="shared" si="4"/>
        <v>1039903.0476957503</v>
      </c>
      <c r="AD6" s="28">
        <f t="shared" si="4"/>
        <v>1102368.5105574951</v>
      </c>
      <c r="AE6" s="28">
        <f t="shared" si="4"/>
        <v>1118921.8582158578</v>
      </c>
      <c r="AF6" s="28">
        <f t="shared" si="4"/>
        <v>1135723.5060890953</v>
      </c>
      <c r="AG6" s="28">
        <f t="shared" si="4"/>
        <v>1203938.1964544409</v>
      </c>
      <c r="AH6" s="28">
        <f t="shared" si="4"/>
        <v>1222015.0894012575</v>
      </c>
      <c r="AI6" s="28">
        <f t="shared" si="4"/>
        <v>1240363.135742276</v>
      </c>
      <c r="AJ6" s="28">
        <f t="shared" si="4"/>
        <v>1258986.4027784101</v>
      </c>
      <c r="AK6" s="28">
        <f t="shared" si="4"/>
        <v>1277889.018820086</v>
      </c>
      <c r="AL6" s="28">
        <f t="shared" si="4"/>
        <v>1354633.6399492912</v>
      </c>
      <c r="AM6" s="28">
        <f t="shared" si="4"/>
        <v>1374970.9645485305</v>
      </c>
      <c r="AN6" s="28">
        <f t="shared" si="4"/>
        <v>1395613.3490167584</v>
      </c>
      <c r="AO6" s="28">
        <f t="shared" si="4"/>
        <v>1416565.3692520098</v>
      </c>
      <c r="AP6" s="28">
        <f t="shared" si="4"/>
        <v>1501630.5714071302</v>
      </c>
      <c r="AQ6" s="28">
        <f t="shared" si="4"/>
        <v>1524172.8499782372</v>
      </c>
      <c r="AR6" s="28">
        <f t="shared" si="4"/>
        <v>1547053.2627279104</v>
      </c>
      <c r="AS6" s="28">
        <f t="shared" si="4"/>
        <v>1570276.8816688291</v>
      </c>
      <c r="AT6" s="28">
        <f t="shared" si="4"/>
        <v>1593848.8548938613</v>
      </c>
      <c r="AU6" s="28">
        <f t="shared" si="4"/>
        <v>1617774.4077172691</v>
      </c>
      <c r="AV6" s="28">
        <f t="shared" si="4"/>
        <v>1642058.8438330281</v>
      </c>
      <c r="AW6" s="28">
        <f t="shared" si="4"/>
        <v>1666707.5464905233</v>
      </c>
      <c r="AX6" s="28">
        <f t="shared" ref="AX6:BB6" si="5">AX5-$B$14</f>
        <v>1691725.979687881</v>
      </c>
      <c r="AY6" s="28">
        <f t="shared" si="5"/>
        <v>1717119.689383199</v>
      </c>
      <c r="AZ6" s="28">
        <f t="shared" si="5"/>
        <v>1742894.3047239468</v>
      </c>
      <c r="BA6" s="28">
        <f t="shared" si="5"/>
        <v>1769055.5392948058</v>
      </c>
      <c r="BB6" s="28">
        <f t="shared" si="5"/>
        <v>1795609.1923842279</v>
      </c>
      <c r="BI6" s="2">
        <v>42111.164593031419</v>
      </c>
    </row>
    <row r="7" spans="1:61" x14ac:dyDescent="0.2">
      <c r="A7" s="2" t="str">
        <v>Top-bracket State Tax rate (%)</v>
      </c>
      <c r="B7" s="25">
        <v>0.15</v>
      </c>
      <c r="D7" s="2" t="s">
        <v>234</v>
      </c>
      <c r="E7" s="28">
        <f>E6*(1-$B$4)</f>
        <v>508469.09837429802</v>
      </c>
      <c r="F7" s="28">
        <f t="shared" ref="F7:AW7" si="6">F6*(1-$B$4)</f>
        <v>516112.52924991254</v>
      </c>
      <c r="G7" s="28">
        <f t="shared" si="6"/>
        <v>523870.61158866109</v>
      </c>
      <c r="H7" s="28">
        <f t="shared" si="6"/>
        <v>557247.25445785327</v>
      </c>
      <c r="I7" s="28">
        <f t="shared" si="6"/>
        <v>565622.35767472105</v>
      </c>
      <c r="J7" s="28">
        <f t="shared" si="6"/>
        <v>574123.08743984194</v>
      </c>
      <c r="K7" s="28">
        <f t="shared" si="6"/>
        <v>582751.32815143955</v>
      </c>
      <c r="L7" s="28">
        <f t="shared" si="6"/>
        <v>619871.54629891389</v>
      </c>
      <c r="M7" s="28">
        <f t="shared" si="6"/>
        <v>629186.01389339764</v>
      </c>
      <c r="N7" s="28">
        <f t="shared" si="6"/>
        <v>638640.19850179844</v>
      </c>
      <c r="O7" s="28">
        <f t="shared" si="6"/>
        <v>648236.19587932527</v>
      </c>
      <c r="P7" s="28">
        <f t="shared" si="6"/>
        <v>689519.87443011056</v>
      </c>
      <c r="Q7" s="28">
        <f t="shared" si="6"/>
        <v>699879.06694656215</v>
      </c>
      <c r="R7" s="28">
        <f t="shared" si="6"/>
        <v>710393.64735076053</v>
      </c>
      <c r="S7" s="28">
        <f t="shared" si="6"/>
        <v>755629.23260841088</v>
      </c>
      <c r="T7" s="28">
        <f t="shared" si="6"/>
        <v>766980.06549753703</v>
      </c>
      <c r="U7" s="28">
        <f t="shared" si="6"/>
        <v>778501.16087999986</v>
      </c>
      <c r="V7" s="28">
        <f t="shared" si="6"/>
        <v>825276.80813279981</v>
      </c>
      <c r="W7" s="28">
        <f t="shared" si="6"/>
        <v>837672.35465479188</v>
      </c>
      <c r="X7" s="28">
        <f t="shared" si="6"/>
        <v>850253.83437461359</v>
      </c>
      <c r="Y7" s="28">
        <f t="shared" si="6"/>
        <v>863024.03629023256</v>
      </c>
      <c r="Z7" s="28">
        <f t="shared" si="6"/>
        <v>914871.05606764636</v>
      </c>
      <c r="AA7" s="28">
        <f t="shared" si="6"/>
        <v>928610.5163086612</v>
      </c>
      <c r="AB7" s="28">
        <f t="shared" si="6"/>
        <v>942556.06845329085</v>
      </c>
      <c r="AC7" s="28">
        <f t="shared" si="6"/>
        <v>956710.80388009024</v>
      </c>
      <c r="AD7" s="28">
        <f t="shared" si="6"/>
        <v>1014179.0297128955</v>
      </c>
      <c r="AE7" s="28">
        <f t="shared" si="6"/>
        <v>1029408.1095585892</v>
      </c>
      <c r="AF7" s="28">
        <f t="shared" si="6"/>
        <v>1044865.6256019677</v>
      </c>
      <c r="AG7" s="28">
        <f t="shared" si="6"/>
        <v>1107623.1407380856</v>
      </c>
      <c r="AH7" s="28">
        <f t="shared" si="6"/>
        <v>1124253.8822491569</v>
      </c>
      <c r="AI7" s="28">
        <f t="shared" si="6"/>
        <v>1141134.0848828938</v>
      </c>
      <c r="AJ7" s="28">
        <f t="shared" si="6"/>
        <v>1158267.4905561374</v>
      </c>
      <c r="AK7" s="28">
        <f t="shared" si="6"/>
        <v>1175657.8973144791</v>
      </c>
      <c r="AL7" s="28">
        <f t="shared" si="6"/>
        <v>1246262.9487533481</v>
      </c>
      <c r="AM7" s="28">
        <f t="shared" si="6"/>
        <v>1264973.2873846481</v>
      </c>
      <c r="AN7" s="28">
        <f t="shared" si="6"/>
        <v>1283964.2810954177</v>
      </c>
      <c r="AO7" s="28">
        <f t="shared" si="6"/>
        <v>1303240.1397118492</v>
      </c>
      <c r="AP7" s="28">
        <f t="shared" si="6"/>
        <v>1381500.1256945599</v>
      </c>
      <c r="AQ7" s="28">
        <f t="shared" si="6"/>
        <v>1402239.0219799783</v>
      </c>
      <c r="AR7" s="28">
        <f t="shared" si="6"/>
        <v>1423289.0017096777</v>
      </c>
      <c r="AS7" s="28">
        <f t="shared" si="6"/>
        <v>1444654.7311353229</v>
      </c>
      <c r="AT7" s="28">
        <f t="shared" si="6"/>
        <v>1466340.9465023526</v>
      </c>
      <c r="AU7" s="28">
        <f t="shared" si="6"/>
        <v>1488352.4550998877</v>
      </c>
      <c r="AV7" s="28">
        <f t="shared" si="6"/>
        <v>1510694.1363263859</v>
      </c>
      <c r="AW7" s="28">
        <f t="shared" si="6"/>
        <v>1533370.9427712816</v>
      </c>
      <c r="AX7" s="28">
        <f t="shared" ref="AX7:BB7" si="7">AX6*(1-$B$4)</f>
        <v>1556387.9013128506</v>
      </c>
      <c r="AY7" s="28">
        <f t="shared" si="7"/>
        <v>1579750.1142325432</v>
      </c>
      <c r="AZ7" s="28">
        <f t="shared" si="7"/>
        <v>1603462.760346031</v>
      </c>
      <c r="BA7" s="28">
        <f t="shared" si="7"/>
        <v>1627531.0961512215</v>
      </c>
      <c r="BB7" s="28">
        <f t="shared" si="7"/>
        <v>1651960.4569934898</v>
      </c>
      <c r="BI7" s="2">
        <v>42621.866251306885</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44695.314983905293</v>
      </c>
    </row>
    <row r="9" spans="1:61" x14ac:dyDescent="0.2">
      <c r="A9" s="2" t="str">
        <v>Municipal Tax (%)</v>
      </c>
      <c r="B9" s="25">
        <v>0.25</v>
      </c>
      <c r="D9" s="2" t="s">
        <v>235</v>
      </c>
      <c r="E9" s="28">
        <f t="shared" ref="E9:AW9" si="9">E7-E8</f>
        <v>456869.09837429802</v>
      </c>
      <c r="F9" s="28">
        <f t="shared" si="9"/>
        <v>464512.52924991254</v>
      </c>
      <c r="G9" s="28">
        <f t="shared" si="9"/>
        <v>472270.61158866109</v>
      </c>
      <c r="H9" s="28">
        <f t="shared" si="9"/>
        <v>505647.25445785327</v>
      </c>
      <c r="I9" s="28">
        <f t="shared" si="9"/>
        <v>514022.35767472105</v>
      </c>
      <c r="J9" s="28">
        <f t="shared" si="9"/>
        <v>522523.08743984194</v>
      </c>
      <c r="K9" s="28">
        <f t="shared" si="9"/>
        <v>531151.32815143955</v>
      </c>
      <c r="L9" s="28">
        <f t="shared" si="9"/>
        <v>568271.54629891389</v>
      </c>
      <c r="M9" s="28">
        <f t="shared" si="9"/>
        <v>577586.01389339764</v>
      </c>
      <c r="N9" s="28">
        <f t="shared" si="9"/>
        <v>587040.19850179844</v>
      </c>
      <c r="O9" s="28">
        <f t="shared" si="9"/>
        <v>596636.19587932527</v>
      </c>
      <c r="P9" s="28">
        <f t="shared" si="9"/>
        <v>637919.87443011056</v>
      </c>
      <c r="Q9" s="28">
        <f t="shared" si="9"/>
        <v>648279.06694656215</v>
      </c>
      <c r="R9" s="28">
        <f t="shared" si="9"/>
        <v>658793.64735076053</v>
      </c>
      <c r="S9" s="28">
        <f t="shared" si="9"/>
        <v>704029.23260841088</v>
      </c>
      <c r="T9" s="28">
        <f t="shared" si="9"/>
        <v>715380.06549753703</v>
      </c>
      <c r="U9" s="28">
        <f t="shared" si="9"/>
        <v>726901.16087999986</v>
      </c>
      <c r="V9" s="28">
        <f t="shared" si="9"/>
        <v>773676.80813279981</v>
      </c>
      <c r="W9" s="28">
        <f t="shared" si="9"/>
        <v>786072.35465479188</v>
      </c>
      <c r="X9" s="28">
        <f t="shared" si="9"/>
        <v>798653.83437461359</v>
      </c>
      <c r="Y9" s="28">
        <f t="shared" si="9"/>
        <v>811424.03629023256</v>
      </c>
      <c r="Z9" s="28">
        <f t="shared" si="9"/>
        <v>863271.05606764636</v>
      </c>
      <c r="AA9" s="28">
        <f t="shared" si="9"/>
        <v>877010.5163086612</v>
      </c>
      <c r="AB9" s="28">
        <f t="shared" si="9"/>
        <v>890956.06845329085</v>
      </c>
      <c r="AC9" s="28">
        <f t="shared" si="9"/>
        <v>905110.80388009024</v>
      </c>
      <c r="AD9" s="28">
        <f t="shared" si="9"/>
        <v>962579.02971289551</v>
      </c>
      <c r="AE9" s="28">
        <f t="shared" si="9"/>
        <v>977808.10955858917</v>
      </c>
      <c r="AF9" s="28">
        <f t="shared" si="9"/>
        <v>993265.62560196768</v>
      </c>
      <c r="AG9" s="28">
        <f t="shared" si="9"/>
        <v>1056023.1407380856</v>
      </c>
      <c r="AH9" s="28">
        <f t="shared" si="9"/>
        <v>1072653.8822491569</v>
      </c>
      <c r="AI9" s="28">
        <f t="shared" si="9"/>
        <v>1089534.0848828938</v>
      </c>
      <c r="AJ9" s="28">
        <f t="shared" si="9"/>
        <v>1106667.4905561374</v>
      </c>
      <c r="AK9" s="28">
        <f t="shared" si="9"/>
        <v>1124057.8973144791</v>
      </c>
      <c r="AL9" s="28">
        <f t="shared" si="9"/>
        <v>1194662.9487533481</v>
      </c>
      <c r="AM9" s="28">
        <f t="shared" si="9"/>
        <v>1213373.2873846481</v>
      </c>
      <c r="AN9" s="28">
        <f t="shared" si="9"/>
        <v>1232364.2810954177</v>
      </c>
      <c r="AO9" s="28">
        <f t="shared" si="9"/>
        <v>1251640.1397118492</v>
      </c>
      <c r="AP9" s="28">
        <f t="shared" si="9"/>
        <v>1329900.1256945599</v>
      </c>
      <c r="AQ9" s="28">
        <f t="shared" si="9"/>
        <v>1350639.0219799783</v>
      </c>
      <c r="AR9" s="28">
        <f t="shared" si="9"/>
        <v>1371689.0017096777</v>
      </c>
      <c r="AS9" s="28">
        <f t="shared" si="9"/>
        <v>1393054.7311353229</v>
      </c>
      <c r="AT9" s="28">
        <f t="shared" si="9"/>
        <v>1414740.9465023526</v>
      </c>
      <c r="AU9" s="28">
        <f t="shared" si="9"/>
        <v>1436752.4550998877</v>
      </c>
      <c r="AV9" s="28">
        <f t="shared" si="9"/>
        <v>1459094.1363263859</v>
      </c>
      <c r="AW9" s="28">
        <f t="shared" si="9"/>
        <v>1481770.9427712816</v>
      </c>
      <c r="AX9" s="28">
        <f t="shared" ref="AX9:BB9" si="10">AX7-AX8</f>
        <v>1504787.9013128506</v>
      </c>
      <c r="AY9" s="28">
        <f t="shared" si="10"/>
        <v>1528150.1142325432</v>
      </c>
      <c r="AZ9" s="28">
        <f t="shared" si="10"/>
        <v>1551862.760346031</v>
      </c>
      <c r="BA9" s="28">
        <f t="shared" si="10"/>
        <v>1575931.0961512215</v>
      </c>
      <c r="BB9" s="28">
        <f t="shared" si="10"/>
        <v>1600360.4569934898</v>
      </c>
      <c r="BI9" s="2">
        <v>45244.778898043878</v>
      </c>
    </row>
    <row r="10" spans="1:61" x14ac:dyDescent="0.2">
      <c r="A10" s="2" t="str">
        <v>Capital Gains &lt; 67,500DKK</v>
      </c>
      <c r="B10" s="28">
        <v>0.27</v>
      </c>
      <c r="D10" s="2" t="s">
        <v>189</v>
      </c>
      <c r="E10" s="28">
        <f t="shared" ref="E10:AW10" si="11">E7*$B$9</f>
        <v>127117.2745935745</v>
      </c>
      <c r="F10" s="28">
        <f t="shared" si="11"/>
        <v>129028.13231247813</v>
      </c>
      <c r="G10" s="28">
        <f t="shared" si="11"/>
        <v>130967.65289716527</v>
      </c>
      <c r="H10" s="28">
        <f t="shared" si="11"/>
        <v>139311.81361446332</v>
      </c>
      <c r="I10" s="28">
        <f t="shared" si="11"/>
        <v>141405.58941868026</v>
      </c>
      <c r="J10" s="28">
        <f t="shared" si="11"/>
        <v>143530.77185996049</v>
      </c>
      <c r="K10" s="28">
        <f t="shared" si="11"/>
        <v>145687.83203785989</v>
      </c>
      <c r="L10" s="28">
        <f t="shared" si="11"/>
        <v>154967.88657472847</v>
      </c>
      <c r="M10" s="28">
        <f t="shared" si="11"/>
        <v>157296.50347334941</v>
      </c>
      <c r="N10" s="28">
        <f t="shared" si="11"/>
        <v>159660.04962544961</v>
      </c>
      <c r="O10" s="28">
        <f t="shared" si="11"/>
        <v>162059.04896983132</v>
      </c>
      <c r="P10" s="28">
        <f t="shared" si="11"/>
        <v>172379.96860752764</v>
      </c>
      <c r="Q10" s="28">
        <f t="shared" si="11"/>
        <v>174969.76673664054</v>
      </c>
      <c r="R10" s="28">
        <f t="shared" si="11"/>
        <v>177598.41183769013</v>
      </c>
      <c r="S10" s="28">
        <f t="shared" si="11"/>
        <v>188907.30815210272</v>
      </c>
      <c r="T10" s="28">
        <f t="shared" si="11"/>
        <v>191745.01637438426</v>
      </c>
      <c r="U10" s="28">
        <f t="shared" si="11"/>
        <v>194625.29021999997</v>
      </c>
      <c r="V10" s="28">
        <f t="shared" si="11"/>
        <v>206319.20203319995</v>
      </c>
      <c r="W10" s="28">
        <f t="shared" si="11"/>
        <v>209418.08866369797</v>
      </c>
      <c r="X10" s="28">
        <f t="shared" si="11"/>
        <v>212563.4585936534</v>
      </c>
      <c r="Y10" s="28">
        <f t="shared" si="11"/>
        <v>215756.00907255814</v>
      </c>
      <c r="Z10" s="28">
        <f t="shared" si="11"/>
        <v>228717.76401691159</v>
      </c>
      <c r="AA10" s="28">
        <f t="shared" si="11"/>
        <v>232152.6290771653</v>
      </c>
      <c r="AB10" s="28">
        <f t="shared" si="11"/>
        <v>235639.01711332271</v>
      </c>
      <c r="AC10" s="28">
        <f t="shared" si="11"/>
        <v>239177.70097002256</v>
      </c>
      <c r="AD10" s="28">
        <f t="shared" si="11"/>
        <v>253544.75742822388</v>
      </c>
      <c r="AE10" s="28">
        <f t="shared" si="11"/>
        <v>257352.02738964729</v>
      </c>
      <c r="AF10" s="28">
        <f t="shared" si="11"/>
        <v>261216.40640049192</v>
      </c>
      <c r="AG10" s="28">
        <f t="shared" si="11"/>
        <v>276905.7851845214</v>
      </c>
      <c r="AH10" s="28">
        <f t="shared" si="11"/>
        <v>281063.47056228924</v>
      </c>
      <c r="AI10" s="28">
        <f t="shared" si="11"/>
        <v>285283.52122072346</v>
      </c>
      <c r="AJ10" s="28">
        <f t="shared" si="11"/>
        <v>289566.87263903435</v>
      </c>
      <c r="AK10" s="28">
        <f t="shared" si="11"/>
        <v>293914.47432861978</v>
      </c>
      <c r="AL10" s="28">
        <f t="shared" si="11"/>
        <v>311565.73718833702</v>
      </c>
      <c r="AM10" s="28">
        <f t="shared" si="11"/>
        <v>316243.32184616203</v>
      </c>
      <c r="AN10" s="28">
        <f t="shared" si="11"/>
        <v>320991.07027385442</v>
      </c>
      <c r="AO10" s="28">
        <f t="shared" si="11"/>
        <v>325810.03492796229</v>
      </c>
      <c r="AP10" s="28">
        <f t="shared" si="11"/>
        <v>345375.03142363997</v>
      </c>
      <c r="AQ10" s="28">
        <f t="shared" si="11"/>
        <v>350559.75549499458</v>
      </c>
      <c r="AR10" s="28">
        <f t="shared" si="11"/>
        <v>355822.25042741944</v>
      </c>
      <c r="AS10" s="28">
        <f t="shared" si="11"/>
        <v>361163.68278383074</v>
      </c>
      <c r="AT10" s="28">
        <f t="shared" si="11"/>
        <v>366585.23662558815</v>
      </c>
      <c r="AU10" s="28">
        <f t="shared" si="11"/>
        <v>372088.11377497192</v>
      </c>
      <c r="AV10" s="28">
        <f t="shared" si="11"/>
        <v>377673.53408159647</v>
      </c>
      <c r="AW10" s="28">
        <f t="shared" si="11"/>
        <v>383342.7356928204</v>
      </c>
      <c r="AX10" s="28">
        <f t="shared" ref="AX10:BB10" si="12">AX7*$B$9</f>
        <v>389096.97532821266</v>
      </c>
      <c r="AY10" s="28">
        <f t="shared" si="12"/>
        <v>394937.52855813579</v>
      </c>
      <c r="AZ10" s="28">
        <f t="shared" si="12"/>
        <v>400865.69008650776</v>
      </c>
      <c r="BA10" s="28">
        <f t="shared" si="12"/>
        <v>406882.77403780539</v>
      </c>
      <c r="BB10" s="28">
        <f t="shared" si="12"/>
        <v>412990.11424837244</v>
      </c>
      <c r="BI10" s="2">
        <v>45802.484770894524</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2927.9811645165842</v>
      </c>
      <c r="Q11" s="28">
        <f t="shared" si="13"/>
        <v>4481.8600419843215</v>
      </c>
      <c r="R11" s="28">
        <f t="shared" si="13"/>
        <v>6059.0471026140785</v>
      </c>
      <c r="S11" s="28">
        <f t="shared" si="13"/>
        <v>12844.384891261632</v>
      </c>
      <c r="T11" s="28">
        <f t="shared" si="13"/>
        <v>14547.009824630553</v>
      </c>
      <c r="U11" s="28">
        <f t="shared" si="13"/>
        <v>16275.174131999978</v>
      </c>
      <c r="V11" s="28">
        <f t="shared" si="13"/>
        <v>23291.52121991997</v>
      </c>
      <c r="W11" s="28">
        <f t="shared" si="13"/>
        <v>25150.853198218781</v>
      </c>
      <c r="X11" s="28">
        <f t="shared" si="13"/>
        <v>27038.075156192037</v>
      </c>
      <c r="Y11" s="28">
        <f t="shared" si="13"/>
        <v>28953.605443534881</v>
      </c>
      <c r="Z11" s="28">
        <f t="shared" si="13"/>
        <v>36730.658410146956</v>
      </c>
      <c r="AA11" s="28">
        <f t="shared" si="13"/>
        <v>38791.577446299176</v>
      </c>
      <c r="AB11" s="28">
        <f t="shared" si="13"/>
        <v>40883.410267993626</v>
      </c>
      <c r="AC11" s="28">
        <f t="shared" si="13"/>
        <v>43006.620582013536</v>
      </c>
      <c r="AD11" s="28">
        <f t="shared" si="13"/>
        <v>51626.854456934328</v>
      </c>
      <c r="AE11" s="28">
        <f t="shared" si="13"/>
        <v>53911.216433788373</v>
      </c>
      <c r="AF11" s="28">
        <f t="shared" si="13"/>
        <v>56229.843840295151</v>
      </c>
      <c r="AG11" s="28">
        <f t="shared" si="13"/>
        <v>65643.471110712839</v>
      </c>
      <c r="AH11" s="28">
        <f t="shared" si="13"/>
        <v>68138.082337373533</v>
      </c>
      <c r="AI11" s="28">
        <f t="shared" si="13"/>
        <v>70670.112732434078</v>
      </c>
      <c r="AJ11" s="28">
        <f t="shared" si="13"/>
        <v>73240.123583420602</v>
      </c>
      <c r="AK11" s="28">
        <f t="shared" si="13"/>
        <v>75848.684597171858</v>
      </c>
      <c r="AL11" s="28">
        <f t="shared" si="13"/>
        <v>86439.442313002204</v>
      </c>
      <c r="AM11" s="28">
        <f t="shared" si="13"/>
        <v>89245.993107697213</v>
      </c>
      <c r="AN11" s="28">
        <f t="shared" si="13"/>
        <v>92094.642164312652</v>
      </c>
      <c r="AO11" s="28">
        <f t="shared" si="13"/>
        <v>94986.020956777371</v>
      </c>
      <c r="AP11" s="28">
        <f t="shared" si="13"/>
        <v>106725.01885418397</v>
      </c>
      <c r="AQ11" s="28">
        <f t="shared" si="13"/>
        <v>109835.85329699675</v>
      </c>
      <c r="AR11" s="28">
        <f t="shared" si="13"/>
        <v>112993.35025645165</v>
      </c>
      <c r="AS11" s="28">
        <f t="shared" si="13"/>
        <v>116198.20967029844</v>
      </c>
      <c r="AT11" s="28">
        <f t="shared" si="13"/>
        <v>119451.14197535289</v>
      </c>
      <c r="AU11" s="28">
        <f t="shared" si="13"/>
        <v>122752.86826498315</v>
      </c>
      <c r="AV11" s="28">
        <f t="shared" si="13"/>
        <v>126104.12044895788</v>
      </c>
      <c r="AW11" s="28">
        <f t="shared" si="13"/>
        <v>129505.64141569223</v>
      </c>
      <c r="AX11" s="28">
        <f t="shared" ref="AX11:BB11" si="14">MAX(AX9-$B$8,0)*$B$7</f>
        <v>132958.1851969276</v>
      </c>
      <c r="AY11" s="28">
        <f t="shared" si="14"/>
        <v>136462.51713488146</v>
      </c>
      <c r="AZ11" s="28">
        <f t="shared" si="14"/>
        <v>140019.41405190466</v>
      </c>
      <c r="BA11" s="28">
        <f t="shared" si="14"/>
        <v>143629.66442268321</v>
      </c>
      <c r="BB11" s="28">
        <f t="shared" si="14"/>
        <v>147294.06854902345</v>
      </c>
      <c r="BI11" s="2">
        <v>46368.556231837945</v>
      </c>
    </row>
    <row r="12" spans="1:61" x14ac:dyDescent="0.2">
      <c r="A12" s="2" t="str">
        <v>Capital Gains Threshold</v>
      </c>
      <c r="B12" s="53">
        <v>67500</v>
      </c>
      <c r="D12" s="2" t="s">
        <v>191</v>
      </c>
      <c r="E12" s="28">
        <f t="shared" ref="E12:AW12" si="15">E9*$B$6</f>
        <v>54869.97871475319</v>
      </c>
      <c r="F12" s="28">
        <f t="shared" si="15"/>
        <v>55787.954762914494</v>
      </c>
      <c r="G12" s="28">
        <f t="shared" si="15"/>
        <v>56719.700451798199</v>
      </c>
      <c r="H12" s="28">
        <f t="shared" si="15"/>
        <v>60728.235260388174</v>
      </c>
      <c r="I12" s="28">
        <f t="shared" si="15"/>
        <v>61734.085156734</v>
      </c>
      <c r="J12" s="28">
        <f t="shared" si="15"/>
        <v>62755.022801525018</v>
      </c>
      <c r="K12" s="28">
        <f t="shared" si="15"/>
        <v>63791.274510987889</v>
      </c>
      <c r="L12" s="28">
        <f t="shared" si="15"/>
        <v>68249.412710499557</v>
      </c>
      <c r="M12" s="28">
        <f t="shared" si="15"/>
        <v>69368.080268597056</v>
      </c>
      <c r="N12" s="28">
        <f t="shared" si="15"/>
        <v>70503.527840065988</v>
      </c>
      <c r="O12" s="28">
        <f t="shared" si="15"/>
        <v>71656.00712510696</v>
      </c>
      <c r="P12" s="28">
        <f t="shared" si="15"/>
        <v>76614.176919056277</v>
      </c>
      <c r="Q12" s="28">
        <f t="shared" si="15"/>
        <v>77858.315940282118</v>
      </c>
      <c r="R12" s="28">
        <f t="shared" si="15"/>
        <v>79121.117046826344</v>
      </c>
      <c r="S12" s="28">
        <f t="shared" si="15"/>
        <v>84553.910836270152</v>
      </c>
      <c r="T12" s="28">
        <f t="shared" si="15"/>
        <v>85917.145866254199</v>
      </c>
      <c r="U12" s="28">
        <f t="shared" si="15"/>
        <v>87300.829421687988</v>
      </c>
      <c r="V12" s="28">
        <f t="shared" si="15"/>
        <v>92918.584656749255</v>
      </c>
      <c r="W12" s="28">
        <f t="shared" si="15"/>
        <v>94407.289794040509</v>
      </c>
      <c r="X12" s="28">
        <f t="shared" si="15"/>
        <v>95918.325508391092</v>
      </c>
      <c r="Y12" s="28">
        <f t="shared" si="15"/>
        <v>97452.026758456923</v>
      </c>
      <c r="Z12" s="28">
        <f t="shared" si="15"/>
        <v>103678.85383372432</v>
      </c>
      <c r="AA12" s="28">
        <f t="shared" si="15"/>
        <v>105328.96300867021</v>
      </c>
      <c r="AB12" s="28">
        <f t="shared" si="15"/>
        <v>107003.82382124024</v>
      </c>
      <c r="AC12" s="28">
        <f t="shared" si="15"/>
        <v>108703.80754599883</v>
      </c>
      <c r="AD12" s="28">
        <f t="shared" si="15"/>
        <v>115605.74146851875</v>
      </c>
      <c r="AE12" s="28">
        <f t="shared" si="15"/>
        <v>117434.75395798656</v>
      </c>
      <c r="AF12" s="28">
        <f t="shared" si="15"/>
        <v>119291.20163479632</v>
      </c>
      <c r="AG12" s="28">
        <f t="shared" si="15"/>
        <v>126828.37920264408</v>
      </c>
      <c r="AH12" s="28">
        <f t="shared" si="15"/>
        <v>128825.73125812375</v>
      </c>
      <c r="AI12" s="28">
        <f t="shared" si="15"/>
        <v>130853.04359443554</v>
      </c>
      <c r="AJ12" s="28">
        <f t="shared" si="15"/>
        <v>132910.7656157921</v>
      </c>
      <c r="AK12" s="28">
        <f t="shared" si="15"/>
        <v>134999.35346746893</v>
      </c>
      <c r="AL12" s="28">
        <f t="shared" si="15"/>
        <v>143479.02014527711</v>
      </c>
      <c r="AM12" s="28">
        <f t="shared" si="15"/>
        <v>145726.13181489625</v>
      </c>
      <c r="AN12" s="28">
        <f t="shared" si="15"/>
        <v>148006.95015955967</v>
      </c>
      <c r="AO12" s="28">
        <f t="shared" si="15"/>
        <v>150321.98077939308</v>
      </c>
      <c r="AP12" s="28">
        <f t="shared" si="15"/>
        <v>159721.00509591665</v>
      </c>
      <c r="AQ12" s="28">
        <f t="shared" si="15"/>
        <v>162211.74653979539</v>
      </c>
      <c r="AR12" s="28">
        <f t="shared" si="15"/>
        <v>164739.84910533231</v>
      </c>
      <c r="AS12" s="28">
        <f t="shared" si="15"/>
        <v>167305.87320935228</v>
      </c>
      <c r="AT12" s="28">
        <f t="shared" si="15"/>
        <v>169910.38767493254</v>
      </c>
      <c r="AU12" s="28">
        <f t="shared" si="15"/>
        <v>172553.9698574965</v>
      </c>
      <c r="AV12" s="28">
        <f t="shared" si="15"/>
        <v>175237.20577279894</v>
      </c>
      <c r="AW12" s="28">
        <f t="shared" si="15"/>
        <v>177960.69022683092</v>
      </c>
      <c r="AX12" s="28">
        <f t="shared" ref="AX12:BB12" si="16">AX9*$B$6</f>
        <v>180725.02694767335</v>
      </c>
      <c r="AY12" s="28">
        <f t="shared" si="16"/>
        <v>183530.82871932842</v>
      </c>
      <c r="AZ12" s="28">
        <f t="shared" si="16"/>
        <v>186378.71751755834</v>
      </c>
      <c r="BA12" s="28">
        <f t="shared" si="16"/>
        <v>189269.32464776171</v>
      </c>
      <c r="BB12" s="28">
        <f t="shared" si="16"/>
        <v>192203.29088491813</v>
      </c>
      <c r="BI12" s="2">
        <v>48666.80636326821</v>
      </c>
    </row>
    <row r="13" spans="1:61" x14ac:dyDescent="0.2">
      <c r="A13" s="2" t="s">
        <v>254</v>
      </c>
      <c r="B13" s="58">
        <v>99</v>
      </c>
      <c r="D13" s="2" t="s">
        <v>192</v>
      </c>
      <c r="E13" s="28">
        <f t="shared" ref="E13:AW13" si="17">SUM(E10:E12)</f>
        <v>181987.25330832769</v>
      </c>
      <c r="F13" s="28">
        <f t="shared" si="17"/>
        <v>184816.08707539263</v>
      </c>
      <c r="G13" s="28">
        <f t="shared" si="17"/>
        <v>187687.35334896349</v>
      </c>
      <c r="H13" s="28">
        <f t="shared" si="17"/>
        <v>200040.04887485149</v>
      </c>
      <c r="I13" s="28">
        <f t="shared" si="17"/>
        <v>203139.67457541428</v>
      </c>
      <c r="J13" s="28">
        <f t="shared" si="17"/>
        <v>206285.7946614855</v>
      </c>
      <c r="K13" s="28">
        <f t="shared" si="17"/>
        <v>209479.10654884778</v>
      </c>
      <c r="L13" s="28">
        <f t="shared" si="17"/>
        <v>223217.29928522801</v>
      </c>
      <c r="M13" s="28">
        <f t="shared" si="17"/>
        <v>226664.58374194647</v>
      </c>
      <c r="N13" s="28">
        <f t="shared" si="17"/>
        <v>230163.57746551558</v>
      </c>
      <c r="O13" s="28">
        <f t="shared" si="17"/>
        <v>233715.05609493828</v>
      </c>
      <c r="P13" s="28">
        <f t="shared" si="17"/>
        <v>251922.12669110051</v>
      </c>
      <c r="Q13" s="28">
        <f t="shared" si="17"/>
        <v>257309.94271890697</v>
      </c>
      <c r="R13" s="28">
        <f t="shared" si="17"/>
        <v>262778.57598713052</v>
      </c>
      <c r="S13" s="28">
        <f t="shared" si="17"/>
        <v>286305.60387963452</v>
      </c>
      <c r="T13" s="28">
        <f t="shared" si="17"/>
        <v>292209.17206526897</v>
      </c>
      <c r="U13" s="28">
        <f t="shared" si="17"/>
        <v>298201.29377368791</v>
      </c>
      <c r="V13" s="28">
        <f t="shared" si="17"/>
        <v>322529.30790986918</v>
      </c>
      <c r="W13" s="28">
        <f t="shared" si="17"/>
        <v>328976.23165595724</v>
      </c>
      <c r="X13" s="28">
        <f t="shared" si="17"/>
        <v>335519.85925823654</v>
      </c>
      <c r="Y13" s="28">
        <f t="shared" si="17"/>
        <v>342161.64127454994</v>
      </c>
      <c r="Z13" s="28">
        <f t="shared" si="17"/>
        <v>369127.27626078291</v>
      </c>
      <c r="AA13" s="28">
        <f t="shared" si="17"/>
        <v>376273.16953213466</v>
      </c>
      <c r="AB13" s="28">
        <f t="shared" si="17"/>
        <v>383526.25120255654</v>
      </c>
      <c r="AC13" s="28">
        <f t="shared" si="17"/>
        <v>390888.12909803493</v>
      </c>
      <c r="AD13" s="28">
        <f t="shared" si="17"/>
        <v>420777.35335367697</v>
      </c>
      <c r="AE13" s="28">
        <f t="shared" si="17"/>
        <v>428697.99778142222</v>
      </c>
      <c r="AF13" s="28">
        <f t="shared" si="17"/>
        <v>436737.45187558339</v>
      </c>
      <c r="AG13" s="28">
        <f t="shared" si="17"/>
        <v>469377.63549787831</v>
      </c>
      <c r="AH13" s="28">
        <f t="shared" si="17"/>
        <v>478027.28415778652</v>
      </c>
      <c r="AI13" s="28">
        <f t="shared" si="17"/>
        <v>486806.67754759308</v>
      </c>
      <c r="AJ13" s="28">
        <f t="shared" si="17"/>
        <v>495717.76183824707</v>
      </c>
      <c r="AK13" s="28">
        <f t="shared" si="17"/>
        <v>504762.51239326055</v>
      </c>
      <c r="AL13" s="28">
        <f t="shared" si="17"/>
        <v>541484.19964661635</v>
      </c>
      <c r="AM13" s="28">
        <f t="shared" si="17"/>
        <v>551215.44676875556</v>
      </c>
      <c r="AN13" s="28">
        <f t="shared" si="17"/>
        <v>561092.6625977268</v>
      </c>
      <c r="AO13" s="28">
        <f t="shared" si="17"/>
        <v>571118.03666413273</v>
      </c>
      <c r="AP13" s="28">
        <f t="shared" si="17"/>
        <v>611821.05537374062</v>
      </c>
      <c r="AQ13" s="28">
        <f t="shared" si="17"/>
        <v>622607.35533178668</v>
      </c>
      <c r="AR13" s="28">
        <f t="shared" si="17"/>
        <v>633555.44978920335</v>
      </c>
      <c r="AS13" s="28">
        <f t="shared" si="17"/>
        <v>644667.76566348143</v>
      </c>
      <c r="AT13" s="28">
        <f t="shared" si="17"/>
        <v>655946.76627587364</v>
      </c>
      <c r="AU13" s="28">
        <f t="shared" si="17"/>
        <v>667394.95189745165</v>
      </c>
      <c r="AV13" s="28">
        <f t="shared" si="17"/>
        <v>679014.86030335329</v>
      </c>
      <c r="AW13" s="28">
        <f t="shared" si="17"/>
        <v>690809.06733534357</v>
      </c>
      <c r="AX13" s="28">
        <f t="shared" ref="AX13:BB13" si="18">SUM(AX10:AX12)</f>
        <v>702780.18747281353</v>
      </c>
      <c r="AY13" s="28">
        <f t="shared" si="18"/>
        <v>714930.8744123457</v>
      </c>
      <c r="AZ13" s="28">
        <f t="shared" si="18"/>
        <v>727263.82165597077</v>
      </c>
      <c r="BA13" s="28">
        <f t="shared" si="18"/>
        <v>739781.76310825022</v>
      </c>
      <c r="BB13" s="28">
        <f t="shared" si="18"/>
        <v>752487.47368231392</v>
      </c>
      <c r="BI13" s="2">
        <v>49275.842648097248</v>
      </c>
    </row>
    <row r="14" spans="1:61" x14ac:dyDescent="0.2">
      <c r="A14" s="2" t="s">
        <v>255</v>
      </c>
      <c r="B14" s="28">
        <f>B13*12</f>
        <v>1188</v>
      </c>
      <c r="D14" s="2" t="s">
        <v>193</v>
      </c>
      <c r="E14" s="28">
        <f>E7-E13</f>
        <v>326481.84506597032</v>
      </c>
      <c r="F14" s="28">
        <f t="shared" ref="F14:AW14" si="19">F7-F13</f>
        <v>331296.44217451988</v>
      </c>
      <c r="G14" s="28">
        <f t="shared" si="19"/>
        <v>336183.25823969761</v>
      </c>
      <c r="H14" s="28">
        <f t="shared" si="19"/>
        <v>357207.20558300178</v>
      </c>
      <c r="I14" s="28">
        <f t="shared" si="19"/>
        <v>362482.68309930677</v>
      </c>
      <c r="J14" s="28">
        <f t="shared" si="19"/>
        <v>367837.29277835647</v>
      </c>
      <c r="K14" s="28">
        <f t="shared" si="19"/>
        <v>373272.2216025918</v>
      </c>
      <c r="L14" s="28">
        <f t="shared" si="19"/>
        <v>396654.24701368588</v>
      </c>
      <c r="M14" s="28">
        <f t="shared" si="19"/>
        <v>402521.43015145115</v>
      </c>
      <c r="N14" s="28">
        <f t="shared" si="19"/>
        <v>408476.62103628286</v>
      </c>
      <c r="O14" s="28">
        <f t="shared" si="19"/>
        <v>414521.13978438696</v>
      </c>
      <c r="P14" s="28">
        <f t="shared" si="19"/>
        <v>437597.74773901002</v>
      </c>
      <c r="Q14" s="28">
        <f t="shared" si="19"/>
        <v>442569.12422765518</v>
      </c>
      <c r="R14" s="28">
        <f t="shared" si="19"/>
        <v>447615.07136363001</v>
      </c>
      <c r="S14" s="28">
        <f t="shared" si="19"/>
        <v>469323.62872877636</v>
      </c>
      <c r="T14" s="28">
        <f t="shared" si="19"/>
        <v>474770.89343226806</v>
      </c>
      <c r="U14" s="28">
        <f t="shared" si="19"/>
        <v>480299.86710631195</v>
      </c>
      <c r="V14" s="28">
        <f t="shared" si="19"/>
        <v>502747.50022293063</v>
      </c>
      <c r="W14" s="28">
        <f t="shared" si="19"/>
        <v>508696.12299883465</v>
      </c>
      <c r="X14" s="28">
        <f t="shared" si="19"/>
        <v>514733.97511637706</v>
      </c>
      <c r="Y14" s="28">
        <f t="shared" si="19"/>
        <v>520862.39501568262</v>
      </c>
      <c r="Z14" s="28">
        <f t="shared" si="19"/>
        <v>545743.77980686352</v>
      </c>
      <c r="AA14" s="28">
        <f t="shared" si="19"/>
        <v>552337.34677652654</v>
      </c>
      <c r="AB14" s="28">
        <f t="shared" si="19"/>
        <v>559029.81725073431</v>
      </c>
      <c r="AC14" s="28">
        <f t="shared" si="19"/>
        <v>565822.67478205531</v>
      </c>
      <c r="AD14" s="28">
        <f t="shared" si="19"/>
        <v>593401.67635921855</v>
      </c>
      <c r="AE14" s="28">
        <f t="shared" si="19"/>
        <v>600710.11177716695</v>
      </c>
      <c r="AF14" s="28">
        <f t="shared" si="19"/>
        <v>608128.1737263843</v>
      </c>
      <c r="AG14" s="28">
        <f t="shared" si="19"/>
        <v>638245.50524020731</v>
      </c>
      <c r="AH14" s="28">
        <f t="shared" si="19"/>
        <v>646226.59809137043</v>
      </c>
      <c r="AI14" s="28">
        <f t="shared" si="19"/>
        <v>654327.4073353007</v>
      </c>
      <c r="AJ14" s="28">
        <f t="shared" si="19"/>
        <v>662549.72871789034</v>
      </c>
      <c r="AK14" s="28">
        <f t="shared" si="19"/>
        <v>670895.3849212185</v>
      </c>
      <c r="AL14" s="28">
        <f t="shared" si="19"/>
        <v>704778.74910673173</v>
      </c>
      <c r="AM14" s="28">
        <f t="shared" si="19"/>
        <v>713757.84061589255</v>
      </c>
      <c r="AN14" s="28">
        <f t="shared" si="19"/>
        <v>722871.61849769088</v>
      </c>
      <c r="AO14" s="28">
        <f t="shared" si="19"/>
        <v>732122.10304771643</v>
      </c>
      <c r="AP14" s="28">
        <f t="shared" si="19"/>
        <v>769679.07032081927</v>
      </c>
      <c r="AQ14" s="28">
        <f t="shared" si="19"/>
        <v>779631.66664819163</v>
      </c>
      <c r="AR14" s="28">
        <f t="shared" si="19"/>
        <v>789733.55192047439</v>
      </c>
      <c r="AS14" s="28">
        <f t="shared" si="19"/>
        <v>799986.96547184151</v>
      </c>
      <c r="AT14" s="28">
        <f t="shared" si="19"/>
        <v>810394.18022647896</v>
      </c>
      <c r="AU14" s="28">
        <f t="shared" si="19"/>
        <v>820957.50320243603</v>
      </c>
      <c r="AV14" s="28">
        <f t="shared" si="19"/>
        <v>831679.27602303261</v>
      </c>
      <c r="AW14" s="28">
        <f t="shared" si="19"/>
        <v>842561.87543593801</v>
      </c>
      <c r="AX14" s="28">
        <f t="shared" ref="AX14:BB14" si="20">AX7-AX13</f>
        <v>853607.71384003712</v>
      </c>
      <c r="AY14" s="28">
        <f t="shared" si="20"/>
        <v>864819.23982019746</v>
      </c>
      <c r="AZ14" s="28">
        <f t="shared" si="20"/>
        <v>876198.93869006028</v>
      </c>
      <c r="BA14" s="28">
        <f t="shared" si="20"/>
        <v>887749.33304297132</v>
      </c>
      <c r="BB14" s="28">
        <f t="shared" si="20"/>
        <v>899472.98331117583</v>
      </c>
      <c r="BI14" s="2">
        <v>49894.014477198689</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52403.792103350606</v>
      </c>
    </row>
    <row r="16" spans="1:61" x14ac:dyDescent="0.2">
      <c r="D16" s="2" t="s">
        <v>267</v>
      </c>
      <c r="E16" s="28">
        <f>E14-E15</f>
        <v>317081.84506597032</v>
      </c>
      <c r="F16" s="28">
        <f t="shared" ref="F16:AW16" si="22">F14-F15</f>
        <v>321896.44217451988</v>
      </c>
      <c r="G16" s="28">
        <f t="shared" si="22"/>
        <v>326783.25823969761</v>
      </c>
      <c r="H16" s="28">
        <f t="shared" si="22"/>
        <v>347807.20558300178</v>
      </c>
      <c r="I16" s="28">
        <f t="shared" si="22"/>
        <v>353082.68309930677</v>
      </c>
      <c r="J16" s="28">
        <f t="shared" si="22"/>
        <v>358437.29277835647</v>
      </c>
      <c r="K16" s="28">
        <f t="shared" si="22"/>
        <v>363872.2216025918</v>
      </c>
      <c r="L16" s="28">
        <f t="shared" si="22"/>
        <v>387254.24701368588</v>
      </c>
      <c r="M16" s="28">
        <f t="shared" si="22"/>
        <v>393121.43015145115</v>
      </c>
      <c r="N16" s="28">
        <f t="shared" si="22"/>
        <v>399076.62103628286</v>
      </c>
      <c r="O16" s="28">
        <f t="shared" si="22"/>
        <v>405121.13978438696</v>
      </c>
      <c r="P16" s="28">
        <f t="shared" si="22"/>
        <v>428197.74773901002</v>
      </c>
      <c r="Q16" s="28">
        <f t="shared" si="22"/>
        <v>433169.12422765518</v>
      </c>
      <c r="R16" s="28">
        <f t="shared" si="22"/>
        <v>438215.07136363001</v>
      </c>
      <c r="S16" s="28">
        <f t="shared" si="22"/>
        <v>459923.62872877636</v>
      </c>
      <c r="T16" s="28">
        <f t="shared" si="22"/>
        <v>465370.89343226806</v>
      </c>
      <c r="U16" s="28">
        <f t="shared" si="22"/>
        <v>470899.86710631195</v>
      </c>
      <c r="V16" s="28">
        <f t="shared" si="22"/>
        <v>493347.50022293063</v>
      </c>
      <c r="W16" s="28">
        <f t="shared" si="22"/>
        <v>499296.12299883465</v>
      </c>
      <c r="X16" s="28">
        <f t="shared" si="22"/>
        <v>505333.97511637706</v>
      </c>
      <c r="Y16" s="28">
        <f t="shared" si="22"/>
        <v>511462.39501568262</v>
      </c>
      <c r="Z16" s="28">
        <f t="shared" si="22"/>
        <v>536343.77980686352</v>
      </c>
      <c r="AA16" s="28">
        <f t="shared" si="22"/>
        <v>542937.34677652654</v>
      </c>
      <c r="AB16" s="28">
        <f t="shared" si="22"/>
        <v>549629.81725073431</v>
      </c>
      <c r="AC16" s="28">
        <f t="shared" si="22"/>
        <v>556422.67478205531</v>
      </c>
      <c r="AD16" s="28">
        <f t="shared" si="22"/>
        <v>584001.67635921855</v>
      </c>
      <c r="AE16" s="28">
        <f t="shared" si="22"/>
        <v>591310.11177716695</v>
      </c>
      <c r="AF16" s="28">
        <f t="shared" si="22"/>
        <v>598728.1737263843</v>
      </c>
      <c r="AG16" s="28">
        <f t="shared" si="22"/>
        <v>628845.50524020731</v>
      </c>
      <c r="AH16" s="28">
        <f t="shared" si="22"/>
        <v>636826.59809137043</v>
      </c>
      <c r="AI16" s="28">
        <f t="shared" si="22"/>
        <v>644927.4073353007</v>
      </c>
      <c r="AJ16" s="28">
        <f t="shared" si="22"/>
        <v>653149.72871789034</v>
      </c>
      <c r="AK16" s="28">
        <f t="shared" si="22"/>
        <v>661495.3849212185</v>
      </c>
      <c r="AL16" s="28">
        <f t="shared" si="22"/>
        <v>695378.74910673173</v>
      </c>
      <c r="AM16" s="28">
        <f t="shared" si="22"/>
        <v>704357.84061589255</v>
      </c>
      <c r="AN16" s="28">
        <f t="shared" si="22"/>
        <v>713471.61849769088</v>
      </c>
      <c r="AO16" s="28">
        <f t="shared" si="22"/>
        <v>722722.10304771643</v>
      </c>
      <c r="AP16" s="28">
        <f t="shared" si="22"/>
        <v>760279.07032081927</v>
      </c>
      <c r="AQ16" s="28">
        <f t="shared" si="22"/>
        <v>770231.66664819163</v>
      </c>
      <c r="AR16" s="28">
        <f t="shared" si="22"/>
        <v>780333.55192047439</v>
      </c>
      <c r="AS16" s="28">
        <f t="shared" si="22"/>
        <v>790586.96547184151</v>
      </c>
      <c r="AT16" s="28">
        <f t="shared" si="22"/>
        <v>800994.18022647896</v>
      </c>
      <c r="AU16" s="28">
        <f t="shared" si="22"/>
        <v>811557.50320243603</v>
      </c>
      <c r="AV16" s="28">
        <f t="shared" si="22"/>
        <v>822279.27602303261</v>
      </c>
      <c r="AW16" s="28">
        <f t="shared" si="22"/>
        <v>833161.87543593801</v>
      </c>
      <c r="AX16" s="28">
        <f t="shared" ref="AX16:BB16" si="23">AX14-AX15</f>
        <v>844207.71384003712</v>
      </c>
      <c r="AY16" s="28">
        <f t="shared" si="23"/>
        <v>855419.23982019746</v>
      </c>
      <c r="AZ16" s="28">
        <f t="shared" si="23"/>
        <v>866798.93869006028</v>
      </c>
      <c r="BA16" s="28">
        <f t="shared" si="23"/>
        <v>878349.33304297132</v>
      </c>
      <c r="BB16" s="28">
        <f t="shared" si="23"/>
        <v>890072.98331117583</v>
      </c>
      <c r="BI16" s="2">
        <v>53068.883174280869</v>
      </c>
    </row>
    <row r="17" spans="4:61" x14ac:dyDescent="0.2">
      <c r="D17" s="2" t="s">
        <v>196</v>
      </c>
      <c r="E17" s="28">
        <f>E16/12</f>
        <v>26423.487088830861</v>
      </c>
      <c r="F17" s="28">
        <f t="shared" ref="F17:AW17" si="24">F16/12</f>
        <v>26824.703514543322</v>
      </c>
      <c r="G17" s="28">
        <f t="shared" si="24"/>
        <v>27231.938186641466</v>
      </c>
      <c r="H17" s="28">
        <f t="shared" si="24"/>
        <v>28983.933798583483</v>
      </c>
      <c r="I17" s="28">
        <f t="shared" si="24"/>
        <v>29423.55692494223</v>
      </c>
      <c r="J17" s="28">
        <f t="shared" si="24"/>
        <v>29869.774398196372</v>
      </c>
      <c r="K17" s="28">
        <f t="shared" si="24"/>
        <v>30322.685133549316</v>
      </c>
      <c r="L17" s="28">
        <f t="shared" si="24"/>
        <v>32271.187251140491</v>
      </c>
      <c r="M17" s="28">
        <f t="shared" si="24"/>
        <v>32760.119179287594</v>
      </c>
      <c r="N17" s="28">
        <f t="shared" si="24"/>
        <v>33256.385086356902</v>
      </c>
      <c r="O17" s="28">
        <f t="shared" si="24"/>
        <v>33760.094982032249</v>
      </c>
      <c r="P17" s="28">
        <f t="shared" si="24"/>
        <v>35683.145644917502</v>
      </c>
      <c r="Q17" s="28">
        <f t="shared" si="24"/>
        <v>36097.427018971262</v>
      </c>
      <c r="R17" s="28">
        <f t="shared" si="24"/>
        <v>36517.922613635834</v>
      </c>
      <c r="S17" s="28">
        <f t="shared" si="24"/>
        <v>38326.969060731361</v>
      </c>
      <c r="T17" s="28">
        <f t="shared" si="24"/>
        <v>38780.907786022341</v>
      </c>
      <c r="U17" s="28">
        <f t="shared" si="24"/>
        <v>39241.655592192663</v>
      </c>
      <c r="V17" s="28">
        <f t="shared" si="24"/>
        <v>41112.291685244221</v>
      </c>
      <c r="W17" s="28">
        <f t="shared" si="24"/>
        <v>41608.010249902887</v>
      </c>
      <c r="X17" s="28">
        <f t="shared" si="24"/>
        <v>42111.164593031419</v>
      </c>
      <c r="Y17" s="28">
        <f t="shared" si="24"/>
        <v>42621.866251306885</v>
      </c>
      <c r="Z17" s="28">
        <f t="shared" si="24"/>
        <v>44695.314983905293</v>
      </c>
      <c r="AA17" s="28">
        <f t="shared" si="24"/>
        <v>45244.778898043878</v>
      </c>
      <c r="AB17" s="28">
        <f t="shared" si="24"/>
        <v>45802.484770894524</v>
      </c>
      <c r="AC17" s="28">
        <f t="shared" si="24"/>
        <v>46368.556231837945</v>
      </c>
      <c r="AD17" s="28">
        <f t="shared" si="24"/>
        <v>48666.80636326821</v>
      </c>
      <c r="AE17" s="28">
        <f t="shared" si="24"/>
        <v>49275.842648097248</v>
      </c>
      <c r="AF17" s="28">
        <f t="shared" si="24"/>
        <v>49894.014477198689</v>
      </c>
      <c r="AG17" s="28">
        <f t="shared" si="24"/>
        <v>52403.792103350606</v>
      </c>
      <c r="AH17" s="28">
        <f t="shared" si="24"/>
        <v>53068.883174280869</v>
      </c>
      <c r="AI17" s="28">
        <f t="shared" si="24"/>
        <v>53743.950611275061</v>
      </c>
      <c r="AJ17" s="28">
        <f t="shared" si="24"/>
        <v>54429.144059824197</v>
      </c>
      <c r="AK17" s="28">
        <f t="shared" si="24"/>
        <v>55124.615410101542</v>
      </c>
      <c r="AL17" s="28">
        <f t="shared" si="24"/>
        <v>57948.229092227644</v>
      </c>
      <c r="AM17" s="28">
        <f t="shared" si="24"/>
        <v>58696.486717991043</v>
      </c>
      <c r="AN17" s="28">
        <f t="shared" si="24"/>
        <v>59455.968208140905</v>
      </c>
      <c r="AO17" s="28">
        <f t="shared" si="24"/>
        <v>60226.841920643034</v>
      </c>
      <c r="AP17" s="28">
        <f t="shared" si="24"/>
        <v>63356.589193401604</v>
      </c>
      <c r="AQ17" s="28">
        <f t="shared" si="24"/>
        <v>64185.972220682634</v>
      </c>
      <c r="AR17" s="28">
        <f t="shared" si="24"/>
        <v>65027.795993372863</v>
      </c>
      <c r="AS17" s="28">
        <f t="shared" si="24"/>
        <v>65882.247122653454</v>
      </c>
      <c r="AT17" s="28">
        <f t="shared" si="24"/>
        <v>66749.515018873251</v>
      </c>
      <c r="AU17" s="28">
        <f t="shared" si="24"/>
        <v>67629.79193353634</v>
      </c>
      <c r="AV17" s="28">
        <f t="shared" si="24"/>
        <v>68523.273001919384</v>
      </c>
      <c r="AW17" s="28">
        <f t="shared" si="24"/>
        <v>69430.156286328172</v>
      </c>
      <c r="AX17" s="28">
        <f t="shared" ref="AX17:BB17" si="25">AX16/12</f>
        <v>70350.642820003093</v>
      </c>
      <c r="AY17" s="28">
        <f t="shared" si="25"/>
        <v>71284.936651683121</v>
      </c>
      <c r="AZ17" s="28">
        <f t="shared" si="25"/>
        <v>72233.244890838352</v>
      </c>
      <c r="BA17" s="28">
        <f t="shared" si="25"/>
        <v>73195.777753580944</v>
      </c>
      <c r="BB17" s="28">
        <f t="shared" si="25"/>
        <v>74172.748609264658</v>
      </c>
      <c r="BI17" s="2">
        <v>53743.950611275061</v>
      </c>
    </row>
    <row r="18" spans="4:61" x14ac:dyDescent="0.2">
      <c r="BI18" s="2">
        <v>54429.144059824197</v>
      </c>
    </row>
    <row r="19" spans="4:61" x14ac:dyDescent="0.2">
      <c r="BI19" s="2">
        <v>55124.615410101542</v>
      </c>
    </row>
    <row r="20" spans="4:61" x14ac:dyDescent="0.2">
      <c r="D20" s="26"/>
      <c r="BI20" s="2">
        <v>57948.229092227644</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58696.486717991043</v>
      </c>
    </row>
    <row r="22" spans="4:61" x14ac:dyDescent="0.2">
      <c r="D22" s="2" t="s">
        <v>202</v>
      </c>
      <c r="E22" s="26">
        <f>'Pensions P2'!$B$18+'Pensions P2'!$B$22+'Pensions P2'!$B$31</f>
        <v>60821.196929538368</v>
      </c>
      <c r="F22" s="26">
        <f>'Pensions P2'!$B$18+'Pensions P2'!$B$22+'Pensions P2'!$B$31</f>
        <v>60821.196929538368</v>
      </c>
      <c r="G22" s="26">
        <f>'Pensions P2'!$B$18+'Pensions P2'!$B$22+'Pensions P2'!$B$31</f>
        <v>60821.196929538368</v>
      </c>
      <c r="H22" s="26">
        <f>'Pensions P2'!$B$18+'Pensions P2'!$B$22+'Pensions P2'!$B$31</f>
        <v>60821.196929538368</v>
      </c>
      <c r="I22" s="26">
        <f>'Pensions P2'!$B$18+'Pensions P2'!$B$22+'Pensions P2'!$B$31</f>
        <v>60821.196929538368</v>
      </c>
      <c r="J22" s="26">
        <f>'Pensions P2'!$B$18+'Pensions P2'!$B$22+'Pensions P2'!$B$31</f>
        <v>60821.196929538368</v>
      </c>
      <c r="K22" s="26">
        <f>'Pensions P2'!$B$18+'Pensions P2'!$B$22+'Pensions P2'!$B$31</f>
        <v>60821.196929538368</v>
      </c>
      <c r="L22" s="26">
        <f>'Pensions P2'!$B$18+'Pensions P2'!$B$22+'Pensions P2'!$B$31</f>
        <v>60821.196929538368</v>
      </c>
      <c r="M22" s="26">
        <f>'Pensions P2'!$B$18+'Pensions P2'!$B$22+'Pensions P2'!$B$31</f>
        <v>60821.196929538368</v>
      </c>
      <c r="N22" s="26">
        <f>'Pensions P2'!$B$18+'Pensions P2'!$B$22+'Pensions P2'!$B$31</f>
        <v>60821.196929538368</v>
      </c>
      <c r="O22" s="26">
        <f>'Pensions P2'!$B$18+'Pensions P2'!$B$22+'Pensions P2'!$B$31</f>
        <v>60821.196929538368</v>
      </c>
      <c r="P22" s="26">
        <f>'Pensions P2'!$B$18+'Pensions P2'!$B$22+'Pensions P2'!$B$31</f>
        <v>60821.196929538368</v>
      </c>
      <c r="Q22" s="26">
        <f>'Pensions P2'!$B$18+'Pensions P2'!$B$22+'Pensions P2'!$B$31</f>
        <v>60821.196929538368</v>
      </c>
      <c r="R22" s="26">
        <f>'Pensions P2'!$B$18+'Pensions P2'!$B$22+'Pensions P2'!$B$31</f>
        <v>60821.196929538368</v>
      </c>
      <c r="S22" s="26">
        <f>'Pensions P2'!$B$18+'Pensions P2'!$B$22+'Pensions P2'!$B$31</f>
        <v>60821.196929538368</v>
      </c>
      <c r="T22" s="26">
        <f>'Pensions P2'!$B$18+'Pensions P2'!$B$22+'Pensions P2'!$B$31</f>
        <v>60821.196929538368</v>
      </c>
      <c r="U22" s="26">
        <f>'Pensions P2'!$B$18+'Pensions P2'!$B$22+'Pensions P2'!$B$31</f>
        <v>60821.196929538368</v>
      </c>
      <c r="V22" s="26">
        <f>'Pensions P2'!$B$18+'Pensions P2'!$B$22+'Pensions P2'!$B$31</f>
        <v>60821.196929538368</v>
      </c>
      <c r="W22" s="26">
        <f>'Pensions P2'!$B$18+'Pensions P2'!$B$22+'Pensions P2'!$B$31</f>
        <v>60821.196929538368</v>
      </c>
      <c r="X22" s="26">
        <f>'Pensions P2'!$B$18+'Pensions P2'!$B$22+'Pensions P2'!$B$31</f>
        <v>60821.196929538368</v>
      </c>
      <c r="Y22" s="26">
        <f>'Pensions P2'!$B$18+'Pensions P2'!$B$22+'Pensions P2'!$B$31</f>
        <v>60821.196929538368</v>
      </c>
      <c r="Z22" s="26">
        <f>'Pensions P2'!$B$18+'Pensions P2'!$B$22+'Pensions P2'!$B$31</f>
        <v>60821.196929538368</v>
      </c>
      <c r="AA22" s="26">
        <f>'Pensions P2'!$B$18+'Pensions P2'!$B$22+'Pensions P2'!$B$31</f>
        <v>60821.196929538368</v>
      </c>
      <c r="AB22" s="26">
        <f>'Pensions P2'!$B$18+'Pensions P2'!$B$22+'Pensions P2'!$B$31</f>
        <v>60821.196929538368</v>
      </c>
      <c r="AC22" s="26">
        <f>'Pensions P2'!$B$18+'Pensions P2'!$B$22+'Pensions P2'!$B$31</f>
        <v>60821.196929538368</v>
      </c>
      <c r="BI22" s="2">
        <v>59455.968208140905</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60226.841920643034</v>
      </c>
    </row>
    <row r="24" spans="4:61" x14ac:dyDescent="0.2">
      <c r="D24" s="2" t="s">
        <v>203</v>
      </c>
      <c r="E24" s="26">
        <f>E22*12</f>
        <v>729854.36315446044</v>
      </c>
      <c r="F24" s="26">
        <f t="shared" ref="F24:AC24" si="26">F22*12</f>
        <v>729854.36315446044</v>
      </c>
      <c r="G24" s="26">
        <f t="shared" si="26"/>
        <v>729854.36315446044</v>
      </c>
      <c r="H24" s="26">
        <f t="shared" si="26"/>
        <v>729854.36315446044</v>
      </c>
      <c r="I24" s="26">
        <f t="shared" si="26"/>
        <v>729854.36315446044</v>
      </c>
      <c r="J24" s="26">
        <f t="shared" si="26"/>
        <v>729854.36315446044</v>
      </c>
      <c r="K24" s="26">
        <f t="shared" si="26"/>
        <v>729854.36315446044</v>
      </c>
      <c r="L24" s="26">
        <f t="shared" si="26"/>
        <v>729854.36315446044</v>
      </c>
      <c r="M24" s="26">
        <f t="shared" si="26"/>
        <v>729854.36315446044</v>
      </c>
      <c r="N24" s="26">
        <f t="shared" si="26"/>
        <v>729854.36315446044</v>
      </c>
      <c r="O24" s="26">
        <f t="shared" si="26"/>
        <v>729854.36315446044</v>
      </c>
      <c r="P24" s="26">
        <f t="shared" si="26"/>
        <v>729854.36315446044</v>
      </c>
      <c r="Q24" s="26">
        <f t="shared" si="26"/>
        <v>729854.36315446044</v>
      </c>
      <c r="R24" s="26">
        <f t="shared" si="26"/>
        <v>729854.36315446044</v>
      </c>
      <c r="S24" s="26">
        <f t="shared" si="26"/>
        <v>729854.36315446044</v>
      </c>
      <c r="T24" s="26">
        <f t="shared" si="26"/>
        <v>729854.36315446044</v>
      </c>
      <c r="U24" s="26">
        <f t="shared" si="26"/>
        <v>729854.36315446044</v>
      </c>
      <c r="V24" s="26">
        <f t="shared" si="26"/>
        <v>729854.36315446044</v>
      </c>
      <c r="W24" s="26">
        <f t="shared" si="26"/>
        <v>729854.36315446044</v>
      </c>
      <c r="X24" s="26">
        <f t="shared" si="26"/>
        <v>729854.36315446044</v>
      </c>
      <c r="Y24" s="26">
        <f t="shared" si="26"/>
        <v>729854.36315446044</v>
      </c>
      <c r="Z24" s="26">
        <f t="shared" si="26"/>
        <v>729854.36315446044</v>
      </c>
      <c r="AA24" s="26">
        <f t="shared" si="26"/>
        <v>729854.36315446044</v>
      </c>
      <c r="AB24" s="26">
        <f t="shared" si="26"/>
        <v>729854.36315446044</v>
      </c>
      <c r="AC24" s="26">
        <f t="shared" si="26"/>
        <v>729854.36315446044</v>
      </c>
      <c r="BI24" s="2">
        <v>63356.589193401604</v>
      </c>
    </row>
    <row r="25" spans="4:61" x14ac:dyDescent="0.2">
      <c r="D25" s="2" t="s">
        <v>189</v>
      </c>
      <c r="E25" s="26">
        <f>E24*$B$9</f>
        <v>182463.59078861511</v>
      </c>
      <c r="F25" s="26">
        <f t="shared" ref="F25:AC25" si="27">F24*$B$9</f>
        <v>182463.59078861511</v>
      </c>
      <c r="G25" s="26">
        <f t="shared" si="27"/>
        <v>182463.59078861511</v>
      </c>
      <c r="H25" s="26">
        <f t="shared" si="27"/>
        <v>182463.59078861511</v>
      </c>
      <c r="I25" s="26">
        <f t="shared" si="27"/>
        <v>182463.59078861511</v>
      </c>
      <c r="J25" s="26">
        <f t="shared" si="27"/>
        <v>182463.59078861511</v>
      </c>
      <c r="K25" s="26">
        <f t="shared" si="27"/>
        <v>182463.59078861511</v>
      </c>
      <c r="L25" s="26">
        <f t="shared" si="27"/>
        <v>182463.59078861511</v>
      </c>
      <c r="M25" s="26">
        <f t="shared" si="27"/>
        <v>182463.59078861511</v>
      </c>
      <c r="N25" s="26">
        <f t="shared" si="27"/>
        <v>182463.59078861511</v>
      </c>
      <c r="O25" s="26">
        <f t="shared" si="27"/>
        <v>182463.59078861511</v>
      </c>
      <c r="P25" s="26">
        <f t="shared" si="27"/>
        <v>182463.59078861511</v>
      </c>
      <c r="Q25" s="26">
        <f t="shared" si="27"/>
        <v>182463.59078861511</v>
      </c>
      <c r="R25" s="26">
        <f t="shared" si="27"/>
        <v>182463.59078861511</v>
      </c>
      <c r="S25" s="26">
        <f t="shared" si="27"/>
        <v>182463.59078861511</v>
      </c>
      <c r="T25" s="26">
        <f t="shared" si="27"/>
        <v>182463.59078861511</v>
      </c>
      <c r="U25" s="26">
        <f t="shared" si="27"/>
        <v>182463.59078861511</v>
      </c>
      <c r="V25" s="26">
        <f t="shared" si="27"/>
        <v>182463.59078861511</v>
      </c>
      <c r="W25" s="26">
        <f t="shared" si="27"/>
        <v>182463.59078861511</v>
      </c>
      <c r="X25" s="26">
        <f t="shared" si="27"/>
        <v>182463.59078861511</v>
      </c>
      <c r="Y25" s="26">
        <f t="shared" si="27"/>
        <v>182463.59078861511</v>
      </c>
      <c r="Z25" s="26">
        <f t="shared" si="27"/>
        <v>182463.59078861511</v>
      </c>
      <c r="AA25" s="26">
        <f t="shared" si="27"/>
        <v>182463.59078861511</v>
      </c>
      <c r="AB25" s="26">
        <f t="shared" si="27"/>
        <v>182463.59078861511</v>
      </c>
      <c r="AC25" s="26">
        <f t="shared" si="27"/>
        <v>182463.59078861511</v>
      </c>
      <c r="BI25" s="2">
        <v>64185.972220682634</v>
      </c>
    </row>
    <row r="26" spans="4:61" x14ac:dyDescent="0.2">
      <c r="D26" s="2" t="s">
        <v>190</v>
      </c>
      <c r="E26" s="26">
        <f>MAX(E24-$B$8,0)*$B$7</f>
        <v>16718.154473169066</v>
      </c>
      <c r="F26" s="26">
        <f t="shared" ref="F26:AC26" si="28">MAX(F24-$B$8,0)*$B$7</f>
        <v>16718.154473169066</v>
      </c>
      <c r="G26" s="26">
        <f t="shared" si="28"/>
        <v>16718.154473169066</v>
      </c>
      <c r="H26" s="26">
        <f t="shared" si="28"/>
        <v>16718.154473169066</v>
      </c>
      <c r="I26" s="26">
        <f t="shared" si="28"/>
        <v>16718.154473169066</v>
      </c>
      <c r="J26" s="26">
        <f t="shared" si="28"/>
        <v>16718.154473169066</v>
      </c>
      <c r="K26" s="26">
        <f t="shared" si="28"/>
        <v>16718.154473169066</v>
      </c>
      <c r="L26" s="26">
        <f t="shared" si="28"/>
        <v>16718.154473169066</v>
      </c>
      <c r="M26" s="26">
        <f t="shared" si="28"/>
        <v>16718.154473169066</v>
      </c>
      <c r="N26" s="26">
        <f t="shared" si="28"/>
        <v>16718.154473169066</v>
      </c>
      <c r="O26" s="26">
        <f t="shared" si="28"/>
        <v>16718.154473169066</v>
      </c>
      <c r="P26" s="26">
        <f t="shared" si="28"/>
        <v>16718.154473169066</v>
      </c>
      <c r="Q26" s="26">
        <f t="shared" si="28"/>
        <v>16718.154473169066</v>
      </c>
      <c r="R26" s="26">
        <f t="shared" si="28"/>
        <v>16718.154473169066</v>
      </c>
      <c r="S26" s="26">
        <f t="shared" si="28"/>
        <v>16718.154473169066</v>
      </c>
      <c r="T26" s="26">
        <f t="shared" si="28"/>
        <v>16718.154473169066</v>
      </c>
      <c r="U26" s="26">
        <f t="shared" si="28"/>
        <v>16718.154473169066</v>
      </c>
      <c r="V26" s="26">
        <f t="shared" si="28"/>
        <v>16718.154473169066</v>
      </c>
      <c r="W26" s="26">
        <f t="shared" si="28"/>
        <v>16718.154473169066</v>
      </c>
      <c r="X26" s="26">
        <f t="shared" si="28"/>
        <v>16718.154473169066</v>
      </c>
      <c r="Y26" s="26">
        <f t="shared" si="28"/>
        <v>16718.154473169066</v>
      </c>
      <c r="Z26" s="26">
        <f t="shared" si="28"/>
        <v>16718.154473169066</v>
      </c>
      <c r="AA26" s="26">
        <f t="shared" si="28"/>
        <v>16718.154473169066</v>
      </c>
      <c r="AB26" s="26">
        <f t="shared" si="28"/>
        <v>16718.154473169066</v>
      </c>
      <c r="AC26" s="26">
        <f t="shared" si="28"/>
        <v>16718.154473169066</v>
      </c>
      <c r="BI26" s="2">
        <v>65027.795993372863</v>
      </c>
    </row>
    <row r="27" spans="4:61" x14ac:dyDescent="0.2">
      <c r="D27" s="2" t="s">
        <v>191</v>
      </c>
      <c r="E27" s="26">
        <f>E24*$B$6</f>
        <v>87655.509014850701</v>
      </c>
      <c r="F27" s="26">
        <f t="shared" ref="F27:AC27" si="29">F24*$B$6</f>
        <v>87655.509014850701</v>
      </c>
      <c r="G27" s="26">
        <f t="shared" si="29"/>
        <v>87655.509014850701</v>
      </c>
      <c r="H27" s="26">
        <f t="shared" si="29"/>
        <v>87655.509014850701</v>
      </c>
      <c r="I27" s="26">
        <f t="shared" si="29"/>
        <v>87655.509014850701</v>
      </c>
      <c r="J27" s="26">
        <f t="shared" si="29"/>
        <v>87655.509014850701</v>
      </c>
      <c r="K27" s="26">
        <f t="shared" si="29"/>
        <v>87655.509014850701</v>
      </c>
      <c r="L27" s="26">
        <f t="shared" si="29"/>
        <v>87655.509014850701</v>
      </c>
      <c r="M27" s="26">
        <f t="shared" si="29"/>
        <v>87655.509014850701</v>
      </c>
      <c r="N27" s="26">
        <f t="shared" si="29"/>
        <v>87655.509014850701</v>
      </c>
      <c r="O27" s="26">
        <f t="shared" si="29"/>
        <v>87655.509014850701</v>
      </c>
      <c r="P27" s="26">
        <f t="shared" si="29"/>
        <v>87655.509014850701</v>
      </c>
      <c r="Q27" s="26">
        <f t="shared" si="29"/>
        <v>87655.509014850701</v>
      </c>
      <c r="R27" s="26">
        <f t="shared" si="29"/>
        <v>87655.509014850701</v>
      </c>
      <c r="S27" s="26">
        <f t="shared" si="29"/>
        <v>87655.509014850701</v>
      </c>
      <c r="T27" s="26">
        <f t="shared" si="29"/>
        <v>87655.509014850701</v>
      </c>
      <c r="U27" s="26">
        <f t="shared" si="29"/>
        <v>87655.509014850701</v>
      </c>
      <c r="V27" s="26">
        <f t="shared" si="29"/>
        <v>87655.509014850701</v>
      </c>
      <c r="W27" s="26">
        <f t="shared" si="29"/>
        <v>87655.509014850701</v>
      </c>
      <c r="X27" s="26">
        <f t="shared" si="29"/>
        <v>87655.509014850701</v>
      </c>
      <c r="Y27" s="26">
        <f t="shared" si="29"/>
        <v>87655.509014850701</v>
      </c>
      <c r="Z27" s="26">
        <f t="shared" si="29"/>
        <v>87655.509014850701</v>
      </c>
      <c r="AA27" s="26">
        <f t="shared" si="29"/>
        <v>87655.509014850701</v>
      </c>
      <c r="AB27" s="26">
        <f t="shared" si="29"/>
        <v>87655.509014850701</v>
      </c>
      <c r="AC27" s="26">
        <f t="shared" si="29"/>
        <v>87655.509014850701</v>
      </c>
      <c r="BI27" s="2">
        <v>65882.247122653454</v>
      </c>
    </row>
    <row r="28" spans="4:61" x14ac:dyDescent="0.2">
      <c r="D28" s="2" t="s">
        <v>192</v>
      </c>
      <c r="E28" s="26">
        <f>SUM(E25:E27)</f>
        <v>286837.25427663489</v>
      </c>
      <c r="F28" s="26">
        <f>SUM(F25:F27)</f>
        <v>286837.25427663489</v>
      </c>
      <c r="G28" s="26">
        <f t="shared" ref="G28:AC28" si="30">SUM(G25:G27)</f>
        <v>286837.25427663489</v>
      </c>
      <c r="H28" s="26">
        <f t="shared" si="30"/>
        <v>286837.25427663489</v>
      </c>
      <c r="I28" s="26">
        <f t="shared" si="30"/>
        <v>286837.25427663489</v>
      </c>
      <c r="J28" s="26">
        <f t="shared" si="30"/>
        <v>286837.25427663489</v>
      </c>
      <c r="K28" s="26">
        <f t="shared" si="30"/>
        <v>286837.25427663489</v>
      </c>
      <c r="L28" s="26">
        <f t="shared" si="30"/>
        <v>286837.25427663489</v>
      </c>
      <c r="M28" s="26">
        <f t="shared" si="30"/>
        <v>286837.25427663489</v>
      </c>
      <c r="N28" s="26">
        <f t="shared" si="30"/>
        <v>286837.25427663489</v>
      </c>
      <c r="O28" s="26">
        <f t="shared" si="30"/>
        <v>286837.25427663489</v>
      </c>
      <c r="P28" s="26">
        <f t="shared" si="30"/>
        <v>286837.25427663489</v>
      </c>
      <c r="Q28" s="26">
        <f t="shared" si="30"/>
        <v>286837.25427663489</v>
      </c>
      <c r="R28" s="26">
        <f t="shared" si="30"/>
        <v>286837.25427663489</v>
      </c>
      <c r="S28" s="26">
        <f t="shared" si="30"/>
        <v>286837.25427663489</v>
      </c>
      <c r="T28" s="26">
        <f t="shared" si="30"/>
        <v>286837.25427663489</v>
      </c>
      <c r="U28" s="26">
        <f t="shared" si="30"/>
        <v>286837.25427663489</v>
      </c>
      <c r="V28" s="26">
        <f t="shared" si="30"/>
        <v>286837.25427663489</v>
      </c>
      <c r="W28" s="26">
        <f t="shared" si="30"/>
        <v>286837.25427663489</v>
      </c>
      <c r="X28" s="26">
        <f t="shared" si="30"/>
        <v>286837.25427663489</v>
      </c>
      <c r="Y28" s="26">
        <f t="shared" si="30"/>
        <v>286837.25427663489</v>
      </c>
      <c r="Z28" s="26">
        <f t="shared" si="30"/>
        <v>286837.25427663489</v>
      </c>
      <c r="AA28" s="26">
        <f t="shared" si="30"/>
        <v>286837.25427663489</v>
      </c>
      <c r="AB28" s="26">
        <f t="shared" si="30"/>
        <v>286837.25427663489</v>
      </c>
      <c r="AC28" s="26">
        <f t="shared" si="30"/>
        <v>286837.25427663489</v>
      </c>
      <c r="BI28" s="2">
        <v>66749.515018873251</v>
      </c>
    </row>
    <row r="29" spans="4:61" x14ac:dyDescent="0.2">
      <c r="D29" s="2" t="s">
        <v>193</v>
      </c>
      <c r="E29" s="26">
        <f>E24-E28</f>
        <v>443017.10887782555</v>
      </c>
      <c r="F29" s="26">
        <f t="shared" ref="F29:AC29" si="31">F24-F28</f>
        <v>443017.10887782555</v>
      </c>
      <c r="G29" s="26">
        <f t="shared" si="31"/>
        <v>443017.10887782555</v>
      </c>
      <c r="H29" s="26">
        <f t="shared" si="31"/>
        <v>443017.10887782555</v>
      </c>
      <c r="I29" s="26">
        <f t="shared" si="31"/>
        <v>443017.10887782555</v>
      </c>
      <c r="J29" s="26">
        <f t="shared" si="31"/>
        <v>443017.10887782555</v>
      </c>
      <c r="K29" s="26">
        <f t="shared" si="31"/>
        <v>443017.10887782555</v>
      </c>
      <c r="L29" s="26">
        <f t="shared" si="31"/>
        <v>443017.10887782555</v>
      </c>
      <c r="M29" s="26">
        <f t="shared" si="31"/>
        <v>443017.10887782555</v>
      </c>
      <c r="N29" s="26">
        <f t="shared" si="31"/>
        <v>443017.10887782555</v>
      </c>
      <c r="O29" s="26">
        <f t="shared" si="31"/>
        <v>443017.10887782555</v>
      </c>
      <c r="P29" s="26">
        <f t="shared" si="31"/>
        <v>443017.10887782555</v>
      </c>
      <c r="Q29" s="26">
        <f t="shared" si="31"/>
        <v>443017.10887782555</v>
      </c>
      <c r="R29" s="26">
        <f t="shared" si="31"/>
        <v>443017.10887782555</v>
      </c>
      <c r="S29" s="26">
        <f t="shared" si="31"/>
        <v>443017.10887782555</v>
      </c>
      <c r="T29" s="26">
        <f t="shared" si="31"/>
        <v>443017.10887782555</v>
      </c>
      <c r="U29" s="26">
        <f t="shared" si="31"/>
        <v>443017.10887782555</v>
      </c>
      <c r="V29" s="26">
        <f t="shared" si="31"/>
        <v>443017.10887782555</v>
      </c>
      <c r="W29" s="26">
        <f t="shared" si="31"/>
        <v>443017.10887782555</v>
      </c>
      <c r="X29" s="26">
        <f t="shared" si="31"/>
        <v>443017.10887782555</v>
      </c>
      <c r="Y29" s="26">
        <f t="shared" si="31"/>
        <v>443017.10887782555</v>
      </c>
      <c r="Z29" s="26">
        <f t="shared" si="31"/>
        <v>443017.10887782555</v>
      </c>
      <c r="AA29" s="26">
        <f t="shared" si="31"/>
        <v>443017.10887782555</v>
      </c>
      <c r="AB29" s="26">
        <f t="shared" si="31"/>
        <v>443017.10887782555</v>
      </c>
      <c r="AC29" s="26">
        <f t="shared" si="31"/>
        <v>443017.10887782555</v>
      </c>
      <c r="BI29" s="2">
        <v>67629.79193353634</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68523.273001919384</v>
      </c>
    </row>
    <row r="31" spans="4:61" x14ac:dyDescent="0.2">
      <c r="D31" s="2" t="s">
        <v>196</v>
      </c>
      <c r="E31" s="26">
        <f>(E29/12)+E30</f>
        <v>40087.456975119501</v>
      </c>
      <c r="F31" s="26">
        <f t="shared" ref="F31:AC31" si="32">(F29/12)+F30</f>
        <v>40087.456975119501</v>
      </c>
      <c r="G31" s="26">
        <f t="shared" si="32"/>
        <v>40087.456975119501</v>
      </c>
      <c r="H31" s="26">
        <f t="shared" si="32"/>
        <v>40087.456975119501</v>
      </c>
      <c r="I31" s="26">
        <f t="shared" si="32"/>
        <v>40087.456975119501</v>
      </c>
      <c r="J31" s="26">
        <f t="shared" si="32"/>
        <v>40087.456975119501</v>
      </c>
      <c r="K31" s="26">
        <f t="shared" si="32"/>
        <v>40087.456975119501</v>
      </c>
      <c r="L31" s="26">
        <f t="shared" si="32"/>
        <v>40087.456975119501</v>
      </c>
      <c r="M31" s="26">
        <f t="shared" si="32"/>
        <v>40087.456975119501</v>
      </c>
      <c r="N31" s="26">
        <f t="shared" si="32"/>
        <v>40087.456975119501</v>
      </c>
      <c r="O31" s="26">
        <f t="shared" si="32"/>
        <v>40087.456975119501</v>
      </c>
      <c r="P31" s="26">
        <f t="shared" si="32"/>
        <v>40087.456975119501</v>
      </c>
      <c r="Q31" s="26">
        <f t="shared" si="32"/>
        <v>40087.456975119501</v>
      </c>
      <c r="R31" s="26">
        <f t="shared" si="32"/>
        <v>40087.456975119501</v>
      </c>
      <c r="S31" s="26">
        <f t="shared" si="32"/>
        <v>40087.456975119501</v>
      </c>
      <c r="T31" s="26">
        <f t="shared" si="32"/>
        <v>40087.456975119501</v>
      </c>
      <c r="U31" s="26">
        <f t="shared" si="32"/>
        <v>40087.456975119501</v>
      </c>
      <c r="V31" s="26">
        <f t="shared" si="32"/>
        <v>40087.456975119501</v>
      </c>
      <c r="W31" s="26">
        <f t="shared" si="32"/>
        <v>40087.456975119501</v>
      </c>
      <c r="X31" s="26">
        <f t="shared" si="32"/>
        <v>40087.456975119501</v>
      </c>
      <c r="Y31" s="26">
        <f t="shared" si="32"/>
        <v>40087.456975119501</v>
      </c>
      <c r="Z31" s="26">
        <f t="shared" si="32"/>
        <v>40087.456975119501</v>
      </c>
      <c r="AA31" s="26">
        <f t="shared" si="32"/>
        <v>40087.456975119501</v>
      </c>
      <c r="AB31" s="26">
        <f t="shared" si="32"/>
        <v>40087.456975119501</v>
      </c>
      <c r="AC31" s="26">
        <f t="shared" si="32"/>
        <v>40087.456975119501</v>
      </c>
      <c r="BI31" s="2">
        <v>69430.156286328172</v>
      </c>
    </row>
    <row r="32" spans="4:61" x14ac:dyDescent="0.2">
      <c r="D32" s="2" t="s">
        <v>274</v>
      </c>
      <c r="E32" s="26">
        <f>Income!$L$37</f>
        <v>59338.198887411716</v>
      </c>
      <c r="F32" s="26">
        <f>Income!$L$37</f>
        <v>59338.198887411716</v>
      </c>
      <c r="G32" s="26">
        <f>Income!$L$37</f>
        <v>59338.198887411716</v>
      </c>
      <c r="H32" s="26">
        <f>Income!$L$37</f>
        <v>59338.198887411716</v>
      </c>
      <c r="I32" s="26">
        <f>Income!$L$37</f>
        <v>59338.198887411716</v>
      </c>
      <c r="J32" s="26">
        <f>Income!$L$37</f>
        <v>59338.198887411716</v>
      </c>
      <c r="K32" s="26">
        <f>Income!$L$37</f>
        <v>59338.198887411716</v>
      </c>
      <c r="L32" s="26">
        <f>Income!$L$37</f>
        <v>59338.198887411716</v>
      </c>
      <c r="M32" s="26">
        <f>Income!$L$37</f>
        <v>59338.198887411716</v>
      </c>
      <c r="N32" s="26">
        <f>Income!$L$37</f>
        <v>59338.198887411716</v>
      </c>
      <c r="O32" s="26">
        <f>Income!$L$37</f>
        <v>59338.198887411716</v>
      </c>
      <c r="P32" s="26">
        <f>Income!$L$37</f>
        <v>59338.198887411716</v>
      </c>
      <c r="Q32" s="26">
        <f>Income!$L$37</f>
        <v>59338.198887411716</v>
      </c>
      <c r="R32" s="26">
        <f>Income!$L$37</f>
        <v>59338.198887411716</v>
      </c>
      <c r="S32" s="26">
        <f>Income!$L$37</f>
        <v>59338.198887411716</v>
      </c>
      <c r="T32" s="26">
        <f>Income!$L$37</f>
        <v>59338.198887411716</v>
      </c>
      <c r="U32" s="26">
        <f>Income!$L$37</f>
        <v>59338.198887411716</v>
      </c>
      <c r="V32" s="26">
        <f>Income!$L$37</f>
        <v>59338.198887411716</v>
      </c>
      <c r="W32" s="26">
        <f>Income!$L$37</f>
        <v>59338.198887411716</v>
      </c>
      <c r="X32" s="26">
        <f>Income!$L$37</f>
        <v>59338.198887411716</v>
      </c>
      <c r="Y32" s="26">
        <f>Income!$L$37</f>
        <v>59338.198887411716</v>
      </c>
      <c r="Z32" s="26">
        <f>Income!$L$37</f>
        <v>59338.198887411716</v>
      </c>
      <c r="AA32" s="26">
        <f>Income!$L$37</f>
        <v>59338.198887411716</v>
      </c>
      <c r="AB32" s="26">
        <f>Income!$L$37</f>
        <v>59338.198887411716</v>
      </c>
      <c r="AC32" s="26">
        <f>Income!$L$37</f>
        <v>59338.198887411716</v>
      </c>
      <c r="BI32" s="2">
        <v>70350.642820003093</v>
      </c>
    </row>
    <row r="33" spans="4:61" x14ac:dyDescent="0.2">
      <c r="D33" s="2" t="s">
        <v>204</v>
      </c>
      <c r="E33" s="26">
        <f>E32-E31</f>
        <v>19250.741912292215</v>
      </c>
      <c r="F33" s="26">
        <f t="shared" ref="F33:AC33" si="33">F32-F31</f>
        <v>19250.741912292215</v>
      </c>
      <c r="G33" s="26">
        <f t="shared" si="33"/>
        <v>19250.741912292215</v>
      </c>
      <c r="H33" s="26">
        <f t="shared" si="33"/>
        <v>19250.741912292215</v>
      </c>
      <c r="I33" s="26">
        <f t="shared" si="33"/>
        <v>19250.741912292215</v>
      </c>
      <c r="J33" s="26">
        <f t="shared" si="33"/>
        <v>19250.741912292215</v>
      </c>
      <c r="K33" s="26">
        <f t="shared" si="33"/>
        <v>19250.741912292215</v>
      </c>
      <c r="L33" s="26">
        <f t="shared" si="33"/>
        <v>19250.741912292215</v>
      </c>
      <c r="M33" s="26">
        <f t="shared" si="33"/>
        <v>19250.741912292215</v>
      </c>
      <c r="N33" s="26">
        <f t="shared" si="33"/>
        <v>19250.741912292215</v>
      </c>
      <c r="O33" s="26">
        <f t="shared" si="33"/>
        <v>19250.741912292215</v>
      </c>
      <c r="P33" s="26">
        <f t="shared" si="33"/>
        <v>19250.741912292215</v>
      </c>
      <c r="Q33" s="26">
        <f t="shared" si="33"/>
        <v>19250.741912292215</v>
      </c>
      <c r="R33" s="26">
        <f t="shared" si="33"/>
        <v>19250.741912292215</v>
      </c>
      <c r="S33" s="26">
        <f t="shared" si="33"/>
        <v>19250.741912292215</v>
      </c>
      <c r="T33" s="26">
        <f t="shared" si="33"/>
        <v>19250.741912292215</v>
      </c>
      <c r="U33" s="26">
        <f t="shared" si="33"/>
        <v>19250.741912292215</v>
      </c>
      <c r="V33" s="26">
        <f t="shared" si="33"/>
        <v>19250.741912292215</v>
      </c>
      <c r="W33" s="26">
        <f t="shared" si="33"/>
        <v>19250.741912292215</v>
      </c>
      <c r="X33" s="26">
        <f t="shared" si="33"/>
        <v>19250.741912292215</v>
      </c>
      <c r="Y33" s="26">
        <f t="shared" si="33"/>
        <v>19250.741912292215</v>
      </c>
      <c r="Z33" s="26">
        <f t="shared" si="33"/>
        <v>19250.741912292215</v>
      </c>
      <c r="AA33" s="26">
        <f t="shared" si="33"/>
        <v>19250.741912292215</v>
      </c>
      <c r="AB33" s="26">
        <f t="shared" si="33"/>
        <v>19250.741912292215</v>
      </c>
      <c r="AC33" s="26">
        <f t="shared" si="33"/>
        <v>19250.741912292215</v>
      </c>
      <c r="BI33" s="2">
        <v>71284.936651683121</v>
      </c>
    </row>
    <row r="34" spans="4:61" x14ac:dyDescent="0.2">
      <c r="D34" s="2" t="s">
        <v>264</v>
      </c>
      <c r="E34" s="26">
        <f>E33*(1+$B$10)</f>
        <v>24448.442228611111</v>
      </c>
      <c r="F34" s="26">
        <f t="shared" ref="F34:AC34" si="34">F33*(1+$B$10)</f>
        <v>24448.442228611111</v>
      </c>
      <c r="G34" s="26">
        <f t="shared" si="34"/>
        <v>24448.442228611111</v>
      </c>
      <c r="H34" s="26">
        <f t="shared" si="34"/>
        <v>24448.442228611111</v>
      </c>
      <c r="I34" s="26">
        <f t="shared" si="34"/>
        <v>24448.442228611111</v>
      </c>
      <c r="J34" s="26">
        <f t="shared" si="34"/>
        <v>24448.442228611111</v>
      </c>
      <c r="K34" s="26">
        <f t="shared" si="34"/>
        <v>24448.442228611111</v>
      </c>
      <c r="L34" s="26">
        <f t="shared" si="34"/>
        <v>24448.442228611111</v>
      </c>
      <c r="M34" s="26">
        <f t="shared" si="34"/>
        <v>24448.442228611111</v>
      </c>
      <c r="N34" s="26">
        <f t="shared" si="34"/>
        <v>24448.442228611111</v>
      </c>
      <c r="O34" s="26">
        <f t="shared" si="34"/>
        <v>24448.442228611111</v>
      </c>
      <c r="P34" s="26">
        <f t="shared" si="34"/>
        <v>24448.442228611111</v>
      </c>
      <c r="Q34" s="26">
        <f t="shared" si="34"/>
        <v>24448.442228611111</v>
      </c>
      <c r="R34" s="26">
        <f t="shared" si="34"/>
        <v>24448.442228611111</v>
      </c>
      <c r="S34" s="26">
        <f t="shared" si="34"/>
        <v>24448.442228611111</v>
      </c>
      <c r="T34" s="26">
        <f t="shared" si="34"/>
        <v>24448.442228611111</v>
      </c>
      <c r="U34" s="26">
        <f t="shared" si="34"/>
        <v>24448.442228611111</v>
      </c>
      <c r="V34" s="26">
        <f t="shared" si="34"/>
        <v>24448.442228611111</v>
      </c>
      <c r="W34" s="26">
        <f t="shared" si="34"/>
        <v>24448.442228611111</v>
      </c>
      <c r="X34" s="26">
        <f t="shared" si="34"/>
        <v>24448.442228611111</v>
      </c>
      <c r="Y34" s="26">
        <f t="shared" si="34"/>
        <v>24448.442228611111</v>
      </c>
      <c r="Z34" s="26">
        <f t="shared" si="34"/>
        <v>24448.442228611111</v>
      </c>
      <c r="AA34" s="26">
        <f t="shared" si="34"/>
        <v>24448.442228611111</v>
      </c>
      <c r="AB34" s="26">
        <f t="shared" si="34"/>
        <v>24448.442228611111</v>
      </c>
      <c r="AC34" s="26">
        <f t="shared" si="34"/>
        <v>24448.442228611111</v>
      </c>
      <c r="BI34" s="2">
        <v>72233.244890838352</v>
      </c>
    </row>
    <row r="35" spans="4:61" x14ac:dyDescent="0.2">
      <c r="D35" s="2" t="s">
        <v>265</v>
      </c>
      <c r="E35" s="26">
        <f>E34*12</f>
        <v>293381.30674333335</v>
      </c>
      <c r="F35" s="26">
        <f t="shared" ref="F35:AC35" si="35">F34*12</f>
        <v>293381.30674333335</v>
      </c>
      <c r="G35" s="26">
        <f t="shared" si="35"/>
        <v>293381.30674333335</v>
      </c>
      <c r="H35" s="26">
        <f t="shared" si="35"/>
        <v>293381.30674333335</v>
      </c>
      <c r="I35" s="26">
        <f t="shared" si="35"/>
        <v>293381.30674333335</v>
      </c>
      <c r="J35" s="26">
        <f t="shared" si="35"/>
        <v>293381.30674333335</v>
      </c>
      <c r="K35" s="26">
        <f t="shared" si="35"/>
        <v>293381.30674333335</v>
      </c>
      <c r="L35" s="26">
        <f t="shared" si="35"/>
        <v>293381.30674333335</v>
      </c>
      <c r="M35" s="26">
        <f t="shared" si="35"/>
        <v>293381.30674333335</v>
      </c>
      <c r="N35" s="26">
        <f t="shared" si="35"/>
        <v>293381.30674333335</v>
      </c>
      <c r="O35" s="26">
        <f t="shared" si="35"/>
        <v>293381.30674333335</v>
      </c>
      <c r="P35" s="26">
        <f t="shared" si="35"/>
        <v>293381.30674333335</v>
      </c>
      <c r="Q35" s="26">
        <f t="shared" si="35"/>
        <v>293381.30674333335</v>
      </c>
      <c r="R35" s="26">
        <f t="shared" si="35"/>
        <v>293381.30674333335</v>
      </c>
      <c r="S35" s="26">
        <f t="shared" si="35"/>
        <v>293381.30674333335</v>
      </c>
      <c r="T35" s="26">
        <f t="shared" si="35"/>
        <v>293381.30674333335</v>
      </c>
      <c r="U35" s="26">
        <f t="shared" si="35"/>
        <v>293381.30674333335</v>
      </c>
      <c r="V35" s="26">
        <f t="shared" si="35"/>
        <v>293381.30674333335</v>
      </c>
      <c r="W35" s="26">
        <f t="shared" si="35"/>
        <v>293381.30674333335</v>
      </c>
      <c r="X35" s="26">
        <f t="shared" si="35"/>
        <v>293381.30674333335</v>
      </c>
      <c r="Y35" s="26">
        <f t="shared" si="35"/>
        <v>293381.30674333335</v>
      </c>
      <c r="Z35" s="26">
        <f t="shared" si="35"/>
        <v>293381.30674333335</v>
      </c>
      <c r="AA35" s="26">
        <f t="shared" si="35"/>
        <v>293381.30674333335</v>
      </c>
      <c r="AB35" s="26">
        <f t="shared" si="35"/>
        <v>293381.30674333335</v>
      </c>
      <c r="AC35" s="26">
        <f t="shared" si="35"/>
        <v>293381.30674333335</v>
      </c>
      <c r="BI35" s="2">
        <v>73195.777753580944</v>
      </c>
    </row>
    <row r="36" spans="4:61" x14ac:dyDescent="0.2">
      <c r="BI36" s="2">
        <v>74172.748609264658</v>
      </c>
    </row>
    <row r="37" spans="4:61" x14ac:dyDescent="0.2">
      <c r="D37" s="2" t="s">
        <v>205</v>
      </c>
      <c r="E37" s="27">
        <f>SUM(E35:AC35)</f>
        <v>7334532.6685833298</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1.4999999999999999E-2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43635.467980295572</v>
      </c>
      <c r="F2" s="29">
        <v>44290</v>
      </c>
      <c r="G2" s="29">
        <v>46947.4</v>
      </c>
      <c r="H2" s="29">
        <v>47651.610999999997</v>
      </c>
      <c r="I2" s="29">
        <v>48366.385164999992</v>
      </c>
      <c r="J2" s="29">
        <v>49091.880942474985</v>
      </c>
      <c r="K2" s="29">
        <v>52037.393799023477</v>
      </c>
      <c r="L2" s="29">
        <v>52817.954706008823</v>
      </c>
      <c r="M2" s="29">
        <v>53610.224026598953</v>
      </c>
      <c r="N2" s="29">
        <v>54414.377386997934</v>
      </c>
      <c r="O2" s="29">
        <v>57679.240030217807</v>
      </c>
      <c r="P2" s="29">
        <v>58544.428630671071</v>
      </c>
      <c r="Q2" s="29">
        <v>59422.595060131134</v>
      </c>
      <c r="R2" s="29">
        <v>62987.950763738998</v>
      </c>
      <c r="S2" s="29">
        <v>63932.770025195074</v>
      </c>
      <c r="T2" s="29">
        <v>64891.761575572993</v>
      </c>
      <c r="U2" s="29">
        <v>65865.137999206578</v>
      </c>
      <c r="V2" s="29">
        <v>66853.115069194668</v>
      </c>
      <c r="W2" s="29">
        <v>70864.30197334633</v>
      </c>
      <c r="X2" s="29">
        <v>71927.266502946513</v>
      </c>
      <c r="Y2" s="29">
        <v>73006.175500490703</v>
      </c>
      <c r="Z2" s="29">
        <v>74101.268132998055</v>
      </c>
      <c r="AA2" s="29">
        <v>78547.344220977931</v>
      </c>
      <c r="AB2" s="29">
        <v>79725.554384292598</v>
      </c>
      <c r="AC2" s="29">
        <v>80921.43770005698</v>
      </c>
      <c r="AD2" s="29">
        <v>82135.259265557834</v>
      </c>
      <c r="AE2" s="29">
        <v>83367.288154541195</v>
      </c>
      <c r="AF2" s="29">
        <v>84617.797476859298</v>
      </c>
      <c r="AG2" s="29">
        <v>85887.064439012174</v>
      </c>
      <c r="AH2" s="29">
        <v>87175.37040559735</v>
      </c>
      <c r="AI2" s="29">
        <v>88483.000961681304</v>
      </c>
      <c r="AJ2" s="29">
        <v>89810.245976106511</v>
      </c>
      <c r="AK2" s="29">
        <v>91157.399665748104</v>
      </c>
      <c r="AL2" s="29">
        <v>92524.760660734319</v>
      </c>
      <c r="AM2" s="29">
        <v>93912.632070645326</v>
      </c>
      <c r="AN2" s="29">
        <v>99547.389994884041</v>
      </c>
      <c r="AO2" s="29">
        <v>101040.6008448073</v>
      </c>
      <c r="AP2" s="29">
        <v>102556.20985747939</v>
      </c>
      <c r="AQ2" s="29">
        <v>104094.55300534157</v>
      </c>
      <c r="AR2" s="29">
        <v>105655.97130042169</v>
      </c>
      <c r="AS2" s="29">
        <v>107240.810869928</v>
      </c>
      <c r="AT2" s="29">
        <v>108849.42303297691</v>
      </c>
      <c r="AU2" s="29">
        <v>110482.16437847154</v>
      </c>
      <c r="AV2" s="29">
        <v>112139.39684414861</v>
      </c>
      <c r="AW2" s="29">
        <v>113821.48779681082</v>
      </c>
      <c r="AX2" s="2">
        <v>115528.81011376297</v>
      </c>
      <c r="AY2" s="2">
        <v>117261.74226546941</v>
      </c>
      <c r="AZ2" s="2">
        <v>119020.66839945145</v>
      </c>
      <c r="BA2" s="2">
        <v>120805.9784254432</v>
      </c>
      <c r="BB2" s="2">
        <v>122618.06810182484</v>
      </c>
      <c r="BH2" s="2" t="s">
        <v>206</v>
      </c>
      <c r="BI2" s="2" cm="1">
        <f t="array" ref="BI2:BI52">TRANSPOSE(E17:BC17)</f>
        <v>23698.473014075542</v>
      </c>
    </row>
    <row r="3" spans="1:61" x14ac:dyDescent="0.2">
      <c r="D3" s="2" t="s">
        <v>186</v>
      </c>
      <c r="E3" s="29">
        <f>E2*12</f>
        <v>523625.6157635469</v>
      </c>
      <c r="F3" s="29">
        <f t="shared" ref="F3:AV3" si="0">F2*12</f>
        <v>531480</v>
      </c>
      <c r="G3" s="29">
        <f t="shared" si="0"/>
        <v>563368.80000000005</v>
      </c>
      <c r="H3" s="29">
        <f t="shared" si="0"/>
        <v>571819.33199999994</v>
      </c>
      <c r="I3" s="29">
        <f t="shared" si="0"/>
        <v>580396.62197999994</v>
      </c>
      <c r="J3" s="29">
        <f t="shared" si="0"/>
        <v>589102.57130969979</v>
      </c>
      <c r="K3" s="29">
        <f t="shared" si="0"/>
        <v>624448.72558828176</v>
      </c>
      <c r="L3" s="29">
        <f t="shared" si="0"/>
        <v>633815.45647210581</v>
      </c>
      <c r="M3" s="29">
        <f t="shared" si="0"/>
        <v>643322.68831918738</v>
      </c>
      <c r="N3" s="29">
        <f t="shared" si="0"/>
        <v>652972.52864397527</v>
      </c>
      <c r="O3" s="29">
        <f t="shared" si="0"/>
        <v>692150.88036261371</v>
      </c>
      <c r="P3" s="29">
        <f t="shared" si="0"/>
        <v>702533.14356805291</v>
      </c>
      <c r="Q3" s="29">
        <f t="shared" si="0"/>
        <v>713071.14072157361</v>
      </c>
      <c r="R3" s="29">
        <f t="shared" si="0"/>
        <v>755855.40916486795</v>
      </c>
      <c r="S3" s="29">
        <f t="shared" si="0"/>
        <v>767193.24030234083</v>
      </c>
      <c r="T3" s="29">
        <f t="shared" si="0"/>
        <v>778701.13890687586</v>
      </c>
      <c r="U3" s="29">
        <f t="shared" si="0"/>
        <v>790381.65599047893</v>
      </c>
      <c r="V3" s="29">
        <f t="shared" si="0"/>
        <v>802237.38083033601</v>
      </c>
      <c r="W3" s="29">
        <f t="shared" si="0"/>
        <v>850371.62368015596</v>
      </c>
      <c r="X3" s="29">
        <f t="shared" si="0"/>
        <v>863127.19803535822</v>
      </c>
      <c r="Y3" s="29">
        <f t="shared" si="0"/>
        <v>876074.10600588843</v>
      </c>
      <c r="Z3" s="29">
        <f t="shared" si="0"/>
        <v>889215.21759597666</v>
      </c>
      <c r="AA3" s="29">
        <f t="shared" si="0"/>
        <v>942568.13065173524</v>
      </c>
      <c r="AB3" s="29">
        <f t="shared" si="0"/>
        <v>956706.65261151118</v>
      </c>
      <c r="AC3" s="29">
        <f t="shared" si="0"/>
        <v>971057.2524006837</v>
      </c>
      <c r="AD3" s="29">
        <f t="shared" si="0"/>
        <v>985623.111186694</v>
      </c>
      <c r="AE3" s="29">
        <f t="shared" si="0"/>
        <v>1000407.4578544943</v>
      </c>
      <c r="AF3" s="29">
        <f t="shared" si="0"/>
        <v>1015413.5697223116</v>
      </c>
      <c r="AG3" s="29">
        <f t="shared" si="0"/>
        <v>1030644.7732681461</v>
      </c>
      <c r="AH3" s="29">
        <f t="shared" si="0"/>
        <v>1046104.4448671682</v>
      </c>
      <c r="AI3" s="29">
        <f t="shared" si="0"/>
        <v>1061796.0115401756</v>
      </c>
      <c r="AJ3" s="29">
        <f t="shared" si="0"/>
        <v>1077722.9517132782</v>
      </c>
      <c r="AK3" s="29">
        <f t="shared" si="0"/>
        <v>1093888.7959889772</v>
      </c>
      <c r="AL3" s="29">
        <f t="shared" si="0"/>
        <v>1110297.1279288118</v>
      </c>
      <c r="AM3" s="29">
        <f t="shared" si="0"/>
        <v>1126951.5848477439</v>
      </c>
      <c r="AN3" s="29">
        <f t="shared" si="0"/>
        <v>1194568.6799386085</v>
      </c>
      <c r="AO3" s="29">
        <f t="shared" si="0"/>
        <v>1212487.2101376876</v>
      </c>
      <c r="AP3" s="29">
        <f t="shared" si="0"/>
        <v>1230674.5182897528</v>
      </c>
      <c r="AQ3" s="29">
        <f t="shared" si="0"/>
        <v>1249134.6360640989</v>
      </c>
      <c r="AR3" s="29">
        <f t="shared" si="0"/>
        <v>1267871.6556050603</v>
      </c>
      <c r="AS3" s="29">
        <f t="shared" si="0"/>
        <v>1286889.730439136</v>
      </c>
      <c r="AT3" s="29">
        <f t="shared" si="0"/>
        <v>1306193.0763957228</v>
      </c>
      <c r="AU3" s="29">
        <f t="shared" si="0"/>
        <v>1325785.9725416584</v>
      </c>
      <c r="AV3" s="29">
        <f t="shared" si="0"/>
        <v>1345672.7621297832</v>
      </c>
      <c r="AW3" s="29">
        <f t="shared" ref="AW3:BB3" si="1">AW2*12</f>
        <v>1365857.8535617299</v>
      </c>
      <c r="AX3" s="29">
        <f t="shared" si="1"/>
        <v>1386345.7213651557</v>
      </c>
      <c r="AY3" s="29">
        <f t="shared" si="1"/>
        <v>1407140.907185633</v>
      </c>
      <c r="AZ3" s="29">
        <f t="shared" si="1"/>
        <v>1428248.0207934175</v>
      </c>
      <c r="BA3" s="29">
        <f t="shared" si="1"/>
        <v>1449671.7411053185</v>
      </c>
      <c r="BB3" s="29">
        <f t="shared" si="1"/>
        <v>1471416.8172218981</v>
      </c>
      <c r="BI3" s="2">
        <v>24058.814228666666</v>
      </c>
    </row>
    <row r="4" spans="1:61" x14ac:dyDescent="0.2">
      <c r="A4" s="2" t="str" cm="1">
        <f t="array" ref="A4:B12">'Salary Variables'!$B$16:$C$24</f>
        <v>AM (%)</v>
      </c>
      <c r="B4" s="25">
        <v>0.08</v>
      </c>
      <c r="D4" s="2" t="s">
        <v>277</v>
      </c>
      <c r="E4" s="29">
        <f>'Pensions P1'!B4*12</f>
        <v>26181.280788177341</v>
      </c>
      <c r="F4" s="29">
        <f>'Pensions P1'!C4*12</f>
        <v>26574</v>
      </c>
      <c r="G4" s="29">
        <f>'Pensions P1'!D4*12</f>
        <v>28168.440000000002</v>
      </c>
      <c r="H4" s="29">
        <f>'Pensions P1'!E4*12</f>
        <v>28590.9666</v>
      </c>
      <c r="I4" s="29">
        <f>'Pensions P1'!F4*12</f>
        <v>29019.831098999995</v>
      </c>
      <c r="J4" s="29">
        <f>'Pensions P1'!G4*12</f>
        <v>29455.128565484993</v>
      </c>
      <c r="K4" s="29">
        <f>'Pensions P1'!H4*12</f>
        <v>31222.436279414091</v>
      </c>
      <c r="L4" s="29">
        <f>'Pensions P1'!I4*12</f>
        <v>31690.772823605294</v>
      </c>
      <c r="M4" s="29">
        <f>'Pensions P1'!J4*12</f>
        <v>32166.134415959372</v>
      </c>
      <c r="N4" s="29">
        <f>'Pensions P1'!K4*12</f>
        <v>32648.626432198762</v>
      </c>
      <c r="O4" s="29">
        <f>'Pensions P1'!L4*12</f>
        <v>34607.544018130684</v>
      </c>
      <c r="P4" s="29">
        <f>'Pensions P1'!M4*12</f>
        <v>35126.657178402646</v>
      </c>
      <c r="Q4" s="29">
        <f>'Pensions P1'!N4*12</f>
        <v>35653.557036078681</v>
      </c>
      <c r="R4" s="29">
        <f>'Pensions P1'!O4*12</f>
        <v>37792.770458243402</v>
      </c>
      <c r="S4" s="29">
        <f>'Pensions P1'!P4*12</f>
        <v>38359.66201511705</v>
      </c>
      <c r="T4" s="29">
        <f>'Pensions P1'!Q4*12</f>
        <v>38935.0569453438</v>
      </c>
      <c r="U4" s="29">
        <f>'Pensions P1'!R4*12</f>
        <v>39519.082799523952</v>
      </c>
      <c r="V4" s="29">
        <f>'Pensions P1'!S4*12</f>
        <v>40111.869041516802</v>
      </c>
      <c r="W4" s="29">
        <f>'Pensions P1'!T4*12</f>
        <v>42518.581184007802</v>
      </c>
      <c r="X4" s="29">
        <f>'Pensions P1'!U4*12</f>
        <v>43156.359901767908</v>
      </c>
      <c r="Y4" s="29">
        <f>'Pensions P1'!V4*12</f>
        <v>43803.705300294423</v>
      </c>
      <c r="Z4" s="29">
        <f>'Pensions P1'!W4*12</f>
        <v>44460.760879798836</v>
      </c>
      <c r="AA4" s="29">
        <f>'Pensions P1'!X4*12</f>
        <v>47128.406532586763</v>
      </c>
      <c r="AB4" s="29">
        <f>'Pensions P1'!Y4*12</f>
        <v>47835.332630575562</v>
      </c>
      <c r="AC4" s="29">
        <f>'Pensions P1'!Z4*12</f>
        <v>48552.86262003419</v>
      </c>
      <c r="AD4" s="29">
        <f>'Pensions P1'!AA4*12</f>
        <v>49281.1555593347</v>
      </c>
      <c r="AE4" s="29">
        <f>'Pensions P1'!AB4*12</f>
        <v>50020.372892724721</v>
      </c>
      <c r="AF4" s="29">
        <f>'Pensions P1'!AC4*12</f>
        <v>50770.678486115583</v>
      </c>
      <c r="AG4" s="29">
        <f>'Pensions P1'!AD4*12</f>
        <v>51532.238663407305</v>
      </c>
      <c r="AH4" s="29">
        <f>'Pensions P1'!AE4*12</f>
        <v>52305.22224335841</v>
      </c>
      <c r="AI4" s="29">
        <f>'Pensions P1'!AF4*12</f>
        <v>53089.800577008777</v>
      </c>
      <c r="AJ4" s="29">
        <f>'Pensions P1'!AG4*12</f>
        <v>53886.147585663901</v>
      </c>
      <c r="AK4" s="29">
        <f>'Pensions P1'!AH4*12</f>
        <v>54694.439799448868</v>
      </c>
      <c r="AL4" s="29">
        <f>'Pensions P1'!AI4*12</f>
        <v>55514.856396440591</v>
      </c>
      <c r="AM4" s="29">
        <f>'Pensions P1'!AJ4*12</f>
        <v>56347.57924238719</v>
      </c>
      <c r="AN4" s="29">
        <f>'Pensions P1'!AK4*12</f>
        <v>59728.433996930427</v>
      </c>
      <c r="AO4" s="29">
        <f>'Pensions P1'!AL4*12</f>
        <v>60624.360506884383</v>
      </c>
      <c r="AP4" s="29">
        <f>'Pensions P1'!AM4*12</f>
        <v>61533.725914487644</v>
      </c>
      <c r="AQ4" s="29">
        <f>'Pensions P1'!AN4*12</f>
        <v>62456.731803204952</v>
      </c>
      <c r="AR4" s="29">
        <f>'Pensions P1'!AO4*12</f>
        <v>63393.582780253018</v>
      </c>
      <c r="AS4" s="29">
        <f>'Pensions P1'!AP4*12</f>
        <v>64344.486521956802</v>
      </c>
      <c r="AT4" s="29">
        <f>'Pensions P1'!AQ4*12</f>
        <v>65309.653819786152</v>
      </c>
      <c r="AU4" s="29">
        <f>'Pensions P1'!AR4*12</f>
        <v>66289.298627082928</v>
      </c>
      <c r="AV4" s="29">
        <f>'Pensions P1'!AS4*12</f>
        <v>67283.638106489176</v>
      </c>
      <c r="AW4" s="29">
        <f>'Pensions P1'!AT4*12</f>
        <v>68292.8926780865</v>
      </c>
      <c r="AX4" s="29">
        <f>'Pensions P1'!AU4*12</f>
        <v>69317.286068257788</v>
      </c>
      <c r="AY4" s="29">
        <f>'Pensions P1'!AV4*12</f>
        <v>70357.045359281648</v>
      </c>
      <c r="AZ4" s="29">
        <f>'Pensions P1'!AW4*12</f>
        <v>71412.401039670876</v>
      </c>
      <c r="BA4" s="29">
        <f>'Pensions P1'!AX4*12</f>
        <v>72483.587055265933</v>
      </c>
      <c r="BB4" s="29">
        <f>'Pensions P1'!AY4*12</f>
        <v>73570.840861094912</v>
      </c>
      <c r="BI4" s="2">
        <v>25521.799559906674</v>
      </c>
    </row>
    <row r="5" spans="1:61" x14ac:dyDescent="0.2">
      <c r="A5" s="2" t="str">
        <v>Personal Allowance</v>
      </c>
      <c r="B5" s="28">
        <v>51600</v>
      </c>
      <c r="D5" s="2" t="s">
        <v>187</v>
      </c>
      <c r="E5" s="29">
        <f>E3-E4</f>
        <v>497444.33497536957</v>
      </c>
      <c r="F5" s="29">
        <f t="shared" ref="F5:AW5" si="2">F3-F4</f>
        <v>504906</v>
      </c>
      <c r="G5" s="29">
        <f t="shared" si="2"/>
        <v>535200.3600000001</v>
      </c>
      <c r="H5" s="29">
        <f t="shared" si="2"/>
        <v>543228.36539999989</v>
      </c>
      <c r="I5" s="29">
        <f t="shared" si="2"/>
        <v>551376.79088099999</v>
      </c>
      <c r="J5" s="29">
        <f t="shared" si="2"/>
        <v>559647.44274421479</v>
      </c>
      <c r="K5" s="29">
        <f t="shared" si="2"/>
        <v>593226.28930886765</v>
      </c>
      <c r="L5" s="29">
        <f t="shared" si="2"/>
        <v>602124.68364850048</v>
      </c>
      <c r="M5" s="29">
        <f t="shared" si="2"/>
        <v>611156.55390322802</v>
      </c>
      <c r="N5" s="29">
        <f t="shared" si="2"/>
        <v>620323.90221177647</v>
      </c>
      <c r="O5" s="29">
        <f t="shared" si="2"/>
        <v>657543.33634448308</v>
      </c>
      <c r="P5" s="29">
        <f t="shared" si="2"/>
        <v>667406.48638965026</v>
      </c>
      <c r="Q5" s="29">
        <f t="shared" si="2"/>
        <v>677417.58368549496</v>
      </c>
      <c r="R5" s="29">
        <f t="shared" si="2"/>
        <v>718062.63870662451</v>
      </c>
      <c r="S5" s="29">
        <f t="shared" si="2"/>
        <v>728833.57828722382</v>
      </c>
      <c r="T5" s="29">
        <f t="shared" si="2"/>
        <v>739766.08196153201</v>
      </c>
      <c r="U5" s="29">
        <f t="shared" si="2"/>
        <v>750862.57319095498</v>
      </c>
      <c r="V5" s="29">
        <f t="shared" si="2"/>
        <v>762125.51178881922</v>
      </c>
      <c r="W5" s="29">
        <f t="shared" si="2"/>
        <v>807853.04249614815</v>
      </c>
      <c r="X5" s="29">
        <f t="shared" si="2"/>
        <v>819970.8381335903</v>
      </c>
      <c r="Y5" s="29">
        <f t="shared" si="2"/>
        <v>832270.40070559399</v>
      </c>
      <c r="Z5" s="29">
        <f t="shared" si="2"/>
        <v>844754.45671617787</v>
      </c>
      <c r="AA5" s="29">
        <f t="shared" si="2"/>
        <v>895439.72411914845</v>
      </c>
      <c r="AB5" s="29">
        <f t="shared" si="2"/>
        <v>908871.31998093566</v>
      </c>
      <c r="AC5" s="29">
        <f t="shared" si="2"/>
        <v>922504.38978064957</v>
      </c>
      <c r="AD5" s="29">
        <f t="shared" si="2"/>
        <v>936341.95562735933</v>
      </c>
      <c r="AE5" s="29">
        <f t="shared" si="2"/>
        <v>950387.08496176964</v>
      </c>
      <c r="AF5" s="29">
        <f t="shared" si="2"/>
        <v>964642.89123619604</v>
      </c>
      <c r="AG5" s="29">
        <f t="shared" si="2"/>
        <v>979112.53460473882</v>
      </c>
      <c r="AH5" s="29">
        <f t="shared" si="2"/>
        <v>993799.22262380982</v>
      </c>
      <c r="AI5" s="29">
        <f t="shared" si="2"/>
        <v>1008706.2109631669</v>
      </c>
      <c r="AJ5" s="29">
        <f t="shared" si="2"/>
        <v>1023836.8041276142</v>
      </c>
      <c r="AK5" s="29">
        <f t="shared" si="2"/>
        <v>1039194.3561895284</v>
      </c>
      <c r="AL5" s="29">
        <f t="shared" si="2"/>
        <v>1054782.2715323712</v>
      </c>
      <c r="AM5" s="29">
        <f t="shared" si="2"/>
        <v>1070604.0056053568</v>
      </c>
      <c r="AN5" s="29">
        <f t="shared" si="2"/>
        <v>1134840.2459416781</v>
      </c>
      <c r="AO5" s="29">
        <f t="shared" si="2"/>
        <v>1151862.8496308033</v>
      </c>
      <c r="AP5" s="29">
        <f t="shared" si="2"/>
        <v>1169140.7923752652</v>
      </c>
      <c r="AQ5" s="29">
        <f t="shared" si="2"/>
        <v>1186677.9042608941</v>
      </c>
      <c r="AR5" s="29">
        <f t="shared" si="2"/>
        <v>1204478.0728248074</v>
      </c>
      <c r="AS5" s="29">
        <f t="shared" si="2"/>
        <v>1222545.2439171793</v>
      </c>
      <c r="AT5" s="29">
        <f t="shared" si="2"/>
        <v>1240883.4225759367</v>
      </c>
      <c r="AU5" s="29">
        <f t="shared" si="2"/>
        <v>1259496.6739145755</v>
      </c>
      <c r="AV5" s="29">
        <f t="shared" si="2"/>
        <v>1278389.1240232941</v>
      </c>
      <c r="AW5" s="29">
        <f t="shared" si="2"/>
        <v>1297564.9608836435</v>
      </c>
      <c r="AX5" s="29">
        <f t="shared" ref="AX5:BB5" si="3">AX3-AX4</f>
        <v>1317028.4352968978</v>
      </c>
      <c r="AY5" s="29">
        <f t="shared" si="3"/>
        <v>1336783.8618263514</v>
      </c>
      <c r="AZ5" s="29">
        <f t="shared" si="3"/>
        <v>1356835.6197537465</v>
      </c>
      <c r="BA5" s="29">
        <f t="shared" si="3"/>
        <v>1377188.1540500526</v>
      </c>
      <c r="BB5" s="29">
        <f t="shared" si="3"/>
        <v>1397845.9763608032</v>
      </c>
      <c r="BI5" s="2">
        <v>25909.490672685264</v>
      </c>
    </row>
    <row r="6" spans="1:61" x14ac:dyDescent="0.2">
      <c r="A6" s="2" t="str">
        <v>Bottom-Bracket State Tax rate (%)</v>
      </c>
      <c r="B6" s="25">
        <v>0.1201</v>
      </c>
      <c r="D6" s="2" t="s">
        <v>256</v>
      </c>
      <c r="E6" s="28">
        <f>E5-$B$14</f>
        <v>496256.33497536957</v>
      </c>
      <c r="F6" s="28">
        <f t="shared" ref="F6:AW6" si="4">F5-$B$14</f>
        <v>503718</v>
      </c>
      <c r="G6" s="28">
        <f t="shared" si="4"/>
        <v>534012.3600000001</v>
      </c>
      <c r="H6" s="28">
        <f t="shared" si="4"/>
        <v>542040.36539999989</v>
      </c>
      <c r="I6" s="28">
        <f t="shared" si="4"/>
        <v>550188.79088099999</v>
      </c>
      <c r="J6" s="28">
        <f t="shared" si="4"/>
        <v>558459.44274421479</v>
      </c>
      <c r="K6" s="28">
        <f t="shared" si="4"/>
        <v>592038.28930886765</v>
      </c>
      <c r="L6" s="28">
        <f t="shared" si="4"/>
        <v>600936.68364850048</v>
      </c>
      <c r="M6" s="28">
        <f t="shared" si="4"/>
        <v>609968.55390322802</v>
      </c>
      <c r="N6" s="28">
        <f t="shared" si="4"/>
        <v>619135.90221177647</v>
      </c>
      <c r="O6" s="28">
        <f t="shared" si="4"/>
        <v>656355.33634448308</v>
      </c>
      <c r="P6" s="28">
        <f t="shared" si="4"/>
        <v>666218.48638965026</v>
      </c>
      <c r="Q6" s="28">
        <f t="shared" si="4"/>
        <v>676229.58368549496</v>
      </c>
      <c r="R6" s="28">
        <f t="shared" si="4"/>
        <v>716874.63870662451</v>
      </c>
      <c r="S6" s="28">
        <f t="shared" si="4"/>
        <v>727645.57828722382</v>
      </c>
      <c r="T6" s="28">
        <f t="shared" si="4"/>
        <v>738578.08196153201</v>
      </c>
      <c r="U6" s="28">
        <f t="shared" si="4"/>
        <v>749674.57319095498</v>
      </c>
      <c r="V6" s="28">
        <f t="shared" si="4"/>
        <v>760937.51178881922</v>
      </c>
      <c r="W6" s="28">
        <f t="shared" si="4"/>
        <v>806665.04249614815</v>
      </c>
      <c r="X6" s="28">
        <f t="shared" si="4"/>
        <v>818782.8381335903</v>
      </c>
      <c r="Y6" s="28">
        <f t="shared" si="4"/>
        <v>831082.40070559399</v>
      </c>
      <c r="Z6" s="28">
        <f t="shared" si="4"/>
        <v>843566.45671617787</v>
      </c>
      <c r="AA6" s="28">
        <f t="shared" si="4"/>
        <v>894251.72411914845</v>
      </c>
      <c r="AB6" s="28">
        <f t="shared" si="4"/>
        <v>907683.31998093566</v>
      </c>
      <c r="AC6" s="28">
        <f t="shared" si="4"/>
        <v>921316.38978064957</v>
      </c>
      <c r="AD6" s="28">
        <f t="shared" si="4"/>
        <v>935153.95562735933</v>
      </c>
      <c r="AE6" s="28">
        <f t="shared" si="4"/>
        <v>949199.08496176964</v>
      </c>
      <c r="AF6" s="28">
        <f t="shared" si="4"/>
        <v>963454.89123619604</v>
      </c>
      <c r="AG6" s="28">
        <f t="shared" si="4"/>
        <v>977924.53460473882</v>
      </c>
      <c r="AH6" s="28">
        <f t="shared" si="4"/>
        <v>992611.22262380982</v>
      </c>
      <c r="AI6" s="28">
        <f t="shared" si="4"/>
        <v>1007518.2109631669</v>
      </c>
      <c r="AJ6" s="28">
        <f t="shared" si="4"/>
        <v>1022648.8041276142</v>
      </c>
      <c r="AK6" s="28">
        <f t="shared" si="4"/>
        <v>1038006.3561895284</v>
      </c>
      <c r="AL6" s="28">
        <f t="shared" si="4"/>
        <v>1053594.2715323712</v>
      </c>
      <c r="AM6" s="28">
        <f t="shared" si="4"/>
        <v>1069416.0056053568</v>
      </c>
      <c r="AN6" s="28">
        <f t="shared" si="4"/>
        <v>1133652.2459416781</v>
      </c>
      <c r="AO6" s="28">
        <f t="shared" si="4"/>
        <v>1150674.8496308033</v>
      </c>
      <c r="AP6" s="28">
        <f t="shared" si="4"/>
        <v>1167952.7923752652</v>
      </c>
      <c r="AQ6" s="28">
        <f t="shared" si="4"/>
        <v>1185489.9042608941</v>
      </c>
      <c r="AR6" s="28">
        <f t="shared" si="4"/>
        <v>1203290.0728248074</v>
      </c>
      <c r="AS6" s="28">
        <f t="shared" si="4"/>
        <v>1221357.2439171793</v>
      </c>
      <c r="AT6" s="28">
        <f t="shared" si="4"/>
        <v>1239695.4225759367</v>
      </c>
      <c r="AU6" s="28">
        <f t="shared" si="4"/>
        <v>1258308.6739145755</v>
      </c>
      <c r="AV6" s="28">
        <f t="shared" si="4"/>
        <v>1277201.1240232941</v>
      </c>
      <c r="AW6" s="28">
        <f t="shared" si="4"/>
        <v>1296376.9608836435</v>
      </c>
      <c r="AX6" s="28">
        <f t="shared" ref="AX6:BB6" si="5">AX5-$B$14</f>
        <v>1315840.4352968978</v>
      </c>
      <c r="AY6" s="28">
        <f t="shared" si="5"/>
        <v>1335595.8618263514</v>
      </c>
      <c r="AZ6" s="28">
        <f t="shared" si="5"/>
        <v>1355647.6197537465</v>
      </c>
      <c r="BA6" s="28">
        <f t="shared" si="5"/>
        <v>1376000.1540500526</v>
      </c>
      <c r="BB6" s="28">
        <f t="shared" si="5"/>
        <v>1396657.9763608032</v>
      </c>
      <c r="BI6" s="2">
        <v>26302.997152155545</v>
      </c>
    </row>
    <row r="7" spans="1:61" x14ac:dyDescent="0.2">
      <c r="A7" s="2" t="str">
        <v>Top-bracket State Tax rate (%)</v>
      </c>
      <c r="B7" s="25">
        <v>0.15</v>
      </c>
      <c r="D7" s="2" t="s">
        <v>234</v>
      </c>
      <c r="E7" s="28">
        <f>E6*(1-$B$4)</f>
        <v>456555.82817734004</v>
      </c>
      <c r="F7" s="28">
        <f t="shared" ref="F7:AW7" si="6">F6*(1-$B$4)</f>
        <v>463420.56</v>
      </c>
      <c r="G7" s="28">
        <f t="shared" si="6"/>
        <v>491291.37120000011</v>
      </c>
      <c r="H7" s="28">
        <f t="shared" si="6"/>
        <v>498677.13616799994</v>
      </c>
      <c r="I7" s="28">
        <f t="shared" si="6"/>
        <v>506173.68761051999</v>
      </c>
      <c r="J7" s="28">
        <f t="shared" si="6"/>
        <v>513782.68732467765</v>
      </c>
      <c r="K7" s="28">
        <f t="shared" si="6"/>
        <v>544675.22616415832</v>
      </c>
      <c r="L7" s="28">
        <f t="shared" si="6"/>
        <v>552861.74895662046</v>
      </c>
      <c r="M7" s="28">
        <f t="shared" si="6"/>
        <v>561171.06959096983</v>
      </c>
      <c r="N7" s="28">
        <f t="shared" si="6"/>
        <v>569605.0300348344</v>
      </c>
      <c r="O7" s="28">
        <f t="shared" si="6"/>
        <v>603846.9094369245</v>
      </c>
      <c r="P7" s="28">
        <f t="shared" si="6"/>
        <v>612921.00747847825</v>
      </c>
      <c r="Q7" s="28">
        <f t="shared" si="6"/>
        <v>622131.2169906554</v>
      </c>
      <c r="R7" s="28">
        <f t="shared" si="6"/>
        <v>659524.66761009453</v>
      </c>
      <c r="S7" s="28">
        <f t="shared" si="6"/>
        <v>669433.93202424597</v>
      </c>
      <c r="T7" s="28">
        <f t="shared" si="6"/>
        <v>679491.83540460945</v>
      </c>
      <c r="U7" s="28">
        <f t="shared" si="6"/>
        <v>689700.60733567865</v>
      </c>
      <c r="V7" s="28">
        <f t="shared" si="6"/>
        <v>700062.51084571367</v>
      </c>
      <c r="W7" s="28">
        <f t="shared" si="6"/>
        <v>742131.8390964563</v>
      </c>
      <c r="X7" s="28">
        <f t="shared" si="6"/>
        <v>753280.21108290309</v>
      </c>
      <c r="Y7" s="28">
        <f t="shared" si="6"/>
        <v>764595.80864914646</v>
      </c>
      <c r="Z7" s="28">
        <f t="shared" si="6"/>
        <v>776081.14017888368</v>
      </c>
      <c r="AA7" s="28">
        <f t="shared" si="6"/>
        <v>822711.58618961659</v>
      </c>
      <c r="AB7" s="28">
        <f t="shared" si="6"/>
        <v>835068.65438246087</v>
      </c>
      <c r="AC7" s="28">
        <f t="shared" si="6"/>
        <v>847611.07859819767</v>
      </c>
      <c r="AD7" s="28">
        <f t="shared" si="6"/>
        <v>860341.63917717058</v>
      </c>
      <c r="AE7" s="28">
        <f t="shared" si="6"/>
        <v>873263.15816482808</v>
      </c>
      <c r="AF7" s="28">
        <f t="shared" si="6"/>
        <v>886378.49993730034</v>
      </c>
      <c r="AG7" s="28">
        <f t="shared" si="6"/>
        <v>899690.5718363598</v>
      </c>
      <c r="AH7" s="28">
        <f t="shared" si="6"/>
        <v>913202.32481390506</v>
      </c>
      <c r="AI7" s="28">
        <f t="shared" si="6"/>
        <v>926916.75408611353</v>
      </c>
      <c r="AJ7" s="28">
        <f t="shared" si="6"/>
        <v>940836.89979740512</v>
      </c>
      <c r="AK7" s="28">
        <f t="shared" si="6"/>
        <v>954965.84769436612</v>
      </c>
      <c r="AL7" s="28">
        <f t="shared" si="6"/>
        <v>969306.72980978154</v>
      </c>
      <c r="AM7" s="28">
        <f t="shared" si="6"/>
        <v>983862.7251569283</v>
      </c>
      <c r="AN7" s="28">
        <f t="shared" si="6"/>
        <v>1042960.0662663438</v>
      </c>
      <c r="AO7" s="28">
        <f t="shared" si="6"/>
        <v>1058620.8616603392</v>
      </c>
      <c r="AP7" s="28">
        <f t="shared" si="6"/>
        <v>1074516.568985244</v>
      </c>
      <c r="AQ7" s="28">
        <f t="shared" si="6"/>
        <v>1090650.7119200225</v>
      </c>
      <c r="AR7" s="28">
        <f t="shared" si="6"/>
        <v>1107026.8669988229</v>
      </c>
      <c r="AS7" s="28">
        <f t="shared" si="6"/>
        <v>1123648.664403805</v>
      </c>
      <c r="AT7" s="28">
        <f t="shared" si="6"/>
        <v>1140519.7887698617</v>
      </c>
      <c r="AU7" s="28">
        <f t="shared" si="6"/>
        <v>1157643.9800014095</v>
      </c>
      <c r="AV7" s="28">
        <f t="shared" si="6"/>
        <v>1175025.0341014306</v>
      </c>
      <c r="AW7" s="28">
        <f t="shared" si="6"/>
        <v>1192666.8040129521</v>
      </c>
      <c r="AX7" s="28">
        <f t="shared" ref="AX7:BB7" si="7">AX6*(1-$B$4)</f>
        <v>1210573.200473146</v>
      </c>
      <c r="AY7" s="28">
        <f t="shared" si="7"/>
        <v>1228748.1928802433</v>
      </c>
      <c r="AZ7" s="28">
        <f t="shared" si="7"/>
        <v>1247195.8101734468</v>
      </c>
      <c r="BA7" s="28">
        <f t="shared" si="7"/>
        <v>1265920.1417260484</v>
      </c>
      <c r="BB7" s="28">
        <f t="shared" si="7"/>
        <v>1284925.338251939</v>
      </c>
      <c r="BI7" s="2">
        <v>26702.406228817872</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28324.007080066945</v>
      </c>
    </row>
    <row r="9" spans="1:61" x14ac:dyDescent="0.2">
      <c r="A9" s="2" t="str">
        <v>Municipal Tax (%)</v>
      </c>
      <c r="B9" s="25">
        <v>0.25</v>
      </c>
      <c r="D9" s="2" t="s">
        <v>235</v>
      </c>
      <c r="E9" s="28">
        <f>E7-E8</f>
        <v>404955.82817734004</v>
      </c>
      <c r="F9" s="28">
        <f t="shared" ref="F9:AW9" si="9">F7-F8</f>
        <v>411820.56</v>
      </c>
      <c r="G9" s="28">
        <f t="shared" si="9"/>
        <v>439691.37120000011</v>
      </c>
      <c r="H9" s="28">
        <f t="shared" si="9"/>
        <v>447077.13616799994</v>
      </c>
      <c r="I9" s="28">
        <f t="shared" si="9"/>
        <v>454573.68761051999</v>
      </c>
      <c r="J9" s="28">
        <f t="shared" si="9"/>
        <v>462182.68732467765</v>
      </c>
      <c r="K9" s="28">
        <f t="shared" si="9"/>
        <v>493075.22616415832</v>
      </c>
      <c r="L9" s="28">
        <f t="shared" si="9"/>
        <v>501261.74895662046</v>
      </c>
      <c r="M9" s="28">
        <f t="shared" si="9"/>
        <v>509571.06959096983</v>
      </c>
      <c r="N9" s="28">
        <f t="shared" si="9"/>
        <v>518005.0300348344</v>
      </c>
      <c r="O9" s="28">
        <f t="shared" si="9"/>
        <v>552246.9094369245</v>
      </c>
      <c r="P9" s="28">
        <f t="shared" si="9"/>
        <v>561321.00747847825</v>
      </c>
      <c r="Q9" s="28">
        <f t="shared" si="9"/>
        <v>570531.2169906554</v>
      </c>
      <c r="R9" s="28">
        <f t="shared" si="9"/>
        <v>607924.66761009453</v>
      </c>
      <c r="S9" s="28">
        <f t="shared" si="9"/>
        <v>617833.93202424597</v>
      </c>
      <c r="T9" s="28">
        <f t="shared" si="9"/>
        <v>627891.83540460945</v>
      </c>
      <c r="U9" s="28">
        <f t="shared" si="9"/>
        <v>638100.60733567865</v>
      </c>
      <c r="V9" s="28">
        <f t="shared" si="9"/>
        <v>648462.51084571367</v>
      </c>
      <c r="W9" s="28">
        <f t="shared" si="9"/>
        <v>690531.8390964563</v>
      </c>
      <c r="X9" s="28">
        <f t="shared" si="9"/>
        <v>701680.21108290309</v>
      </c>
      <c r="Y9" s="28">
        <f t="shared" si="9"/>
        <v>712995.80864914646</v>
      </c>
      <c r="Z9" s="28">
        <f t="shared" si="9"/>
        <v>724481.14017888368</v>
      </c>
      <c r="AA9" s="28">
        <f t="shared" si="9"/>
        <v>771111.58618961659</v>
      </c>
      <c r="AB9" s="28">
        <f t="shared" si="9"/>
        <v>783468.65438246087</v>
      </c>
      <c r="AC9" s="28">
        <f t="shared" si="9"/>
        <v>796011.07859819767</v>
      </c>
      <c r="AD9" s="28">
        <f t="shared" si="9"/>
        <v>808741.63917717058</v>
      </c>
      <c r="AE9" s="28">
        <f t="shared" si="9"/>
        <v>821663.15816482808</v>
      </c>
      <c r="AF9" s="28">
        <f t="shared" si="9"/>
        <v>834778.49993730034</v>
      </c>
      <c r="AG9" s="28">
        <f t="shared" si="9"/>
        <v>848090.5718363598</v>
      </c>
      <c r="AH9" s="28">
        <f t="shared" si="9"/>
        <v>861602.32481390506</v>
      </c>
      <c r="AI9" s="28">
        <f t="shared" si="9"/>
        <v>875316.75408611353</v>
      </c>
      <c r="AJ9" s="28">
        <f t="shared" si="9"/>
        <v>889236.89979740512</v>
      </c>
      <c r="AK9" s="28">
        <f t="shared" si="9"/>
        <v>903365.84769436612</v>
      </c>
      <c r="AL9" s="28">
        <f t="shared" si="9"/>
        <v>917706.72980978154</v>
      </c>
      <c r="AM9" s="28">
        <f t="shared" si="9"/>
        <v>932262.7251569283</v>
      </c>
      <c r="AN9" s="28">
        <f t="shared" si="9"/>
        <v>991360.06626634381</v>
      </c>
      <c r="AO9" s="28">
        <f t="shared" si="9"/>
        <v>1007020.8616603392</v>
      </c>
      <c r="AP9" s="28">
        <f t="shared" si="9"/>
        <v>1022916.568985244</v>
      </c>
      <c r="AQ9" s="28">
        <f t="shared" si="9"/>
        <v>1039050.7119200225</v>
      </c>
      <c r="AR9" s="28">
        <f t="shared" si="9"/>
        <v>1055426.8669988229</v>
      </c>
      <c r="AS9" s="28">
        <f t="shared" si="9"/>
        <v>1072048.664403805</v>
      </c>
      <c r="AT9" s="28">
        <f t="shared" si="9"/>
        <v>1088919.7887698617</v>
      </c>
      <c r="AU9" s="28">
        <f t="shared" si="9"/>
        <v>1106043.9800014095</v>
      </c>
      <c r="AV9" s="28">
        <f t="shared" si="9"/>
        <v>1123425.0341014306</v>
      </c>
      <c r="AW9" s="28">
        <f t="shared" si="9"/>
        <v>1141066.8040129521</v>
      </c>
      <c r="AX9" s="28">
        <f t="shared" ref="AX9:BB9" si="10">AX7-AX8</f>
        <v>1158973.200473146</v>
      </c>
      <c r="AY9" s="28">
        <f t="shared" si="10"/>
        <v>1177148.1928802433</v>
      </c>
      <c r="AZ9" s="28">
        <f t="shared" si="10"/>
        <v>1195595.8101734468</v>
      </c>
      <c r="BA9" s="28">
        <f t="shared" si="10"/>
        <v>1214320.1417260484</v>
      </c>
      <c r="BB9" s="28">
        <f t="shared" si="10"/>
        <v>1233325.338251939</v>
      </c>
      <c r="BI9" s="2">
        <v>28753.731305647932</v>
      </c>
    </row>
    <row r="10" spans="1:61" x14ac:dyDescent="0.2">
      <c r="A10" s="2" t="str">
        <v>Capital Gains &lt; 67,500DKK</v>
      </c>
      <c r="B10" s="28">
        <v>0.27</v>
      </c>
      <c r="D10" s="2" t="s">
        <v>189</v>
      </c>
      <c r="E10" s="28">
        <f>E7*$B$9</f>
        <v>114138.95704433501</v>
      </c>
      <c r="F10" s="28">
        <f t="shared" ref="F10:AW10" si="11">F7*$B$9</f>
        <v>115855.14</v>
      </c>
      <c r="G10" s="28">
        <f t="shared" si="11"/>
        <v>122822.84280000003</v>
      </c>
      <c r="H10" s="28">
        <f t="shared" si="11"/>
        <v>124669.28404199998</v>
      </c>
      <c r="I10" s="28">
        <f t="shared" si="11"/>
        <v>126543.42190263</v>
      </c>
      <c r="J10" s="28">
        <f t="shared" si="11"/>
        <v>128445.67183116941</v>
      </c>
      <c r="K10" s="28">
        <f t="shared" si="11"/>
        <v>136168.80654103958</v>
      </c>
      <c r="L10" s="28">
        <f t="shared" si="11"/>
        <v>138215.43723915512</v>
      </c>
      <c r="M10" s="28">
        <f t="shared" si="11"/>
        <v>140292.76739774246</v>
      </c>
      <c r="N10" s="28">
        <f t="shared" si="11"/>
        <v>142401.2575087086</v>
      </c>
      <c r="O10" s="28">
        <f t="shared" si="11"/>
        <v>150961.72735923112</v>
      </c>
      <c r="P10" s="28">
        <f t="shared" si="11"/>
        <v>153230.25186961956</v>
      </c>
      <c r="Q10" s="28">
        <f t="shared" si="11"/>
        <v>155532.80424766385</v>
      </c>
      <c r="R10" s="28">
        <f t="shared" si="11"/>
        <v>164881.16690252363</v>
      </c>
      <c r="S10" s="28">
        <f t="shared" si="11"/>
        <v>167358.48300606149</v>
      </c>
      <c r="T10" s="28">
        <f t="shared" si="11"/>
        <v>169872.95885115236</v>
      </c>
      <c r="U10" s="28">
        <f t="shared" si="11"/>
        <v>172425.15183391966</v>
      </c>
      <c r="V10" s="28">
        <f t="shared" si="11"/>
        <v>175015.62771142842</v>
      </c>
      <c r="W10" s="28">
        <f t="shared" si="11"/>
        <v>185532.95977411408</v>
      </c>
      <c r="X10" s="28">
        <f t="shared" si="11"/>
        <v>188320.05277072577</v>
      </c>
      <c r="Y10" s="28">
        <f t="shared" si="11"/>
        <v>191148.95216228662</v>
      </c>
      <c r="Z10" s="28">
        <f t="shared" si="11"/>
        <v>194020.28504472092</v>
      </c>
      <c r="AA10" s="28">
        <f t="shared" si="11"/>
        <v>205677.89654740415</v>
      </c>
      <c r="AB10" s="28">
        <f t="shared" si="11"/>
        <v>208767.16359561522</v>
      </c>
      <c r="AC10" s="28">
        <f t="shared" si="11"/>
        <v>211902.76964954942</v>
      </c>
      <c r="AD10" s="28">
        <f t="shared" si="11"/>
        <v>215085.40979429265</v>
      </c>
      <c r="AE10" s="28">
        <f t="shared" si="11"/>
        <v>218315.78954120702</v>
      </c>
      <c r="AF10" s="28">
        <f t="shared" si="11"/>
        <v>221594.62498432508</v>
      </c>
      <c r="AG10" s="28">
        <f t="shared" si="11"/>
        <v>224922.64295908995</v>
      </c>
      <c r="AH10" s="28">
        <f t="shared" si="11"/>
        <v>228300.58120347626</v>
      </c>
      <c r="AI10" s="28">
        <f t="shared" si="11"/>
        <v>231729.18852152838</v>
      </c>
      <c r="AJ10" s="28">
        <f t="shared" si="11"/>
        <v>235209.22494935128</v>
      </c>
      <c r="AK10" s="28">
        <f t="shared" si="11"/>
        <v>238741.46192359153</v>
      </c>
      <c r="AL10" s="28">
        <f t="shared" si="11"/>
        <v>242326.68245244538</v>
      </c>
      <c r="AM10" s="28">
        <f t="shared" si="11"/>
        <v>245965.68128923207</v>
      </c>
      <c r="AN10" s="28">
        <f t="shared" si="11"/>
        <v>260740.01656658595</v>
      </c>
      <c r="AO10" s="28">
        <f t="shared" si="11"/>
        <v>264655.21541508479</v>
      </c>
      <c r="AP10" s="28">
        <f t="shared" si="11"/>
        <v>268629.14224631101</v>
      </c>
      <c r="AQ10" s="28">
        <f t="shared" si="11"/>
        <v>272662.67798000562</v>
      </c>
      <c r="AR10" s="28">
        <f t="shared" si="11"/>
        <v>276756.71674970572</v>
      </c>
      <c r="AS10" s="28">
        <f t="shared" si="11"/>
        <v>280912.16610095126</v>
      </c>
      <c r="AT10" s="28">
        <f t="shared" si="11"/>
        <v>285129.94719246542</v>
      </c>
      <c r="AU10" s="28">
        <f t="shared" si="11"/>
        <v>289410.99500035238</v>
      </c>
      <c r="AV10" s="28">
        <f t="shared" si="11"/>
        <v>293756.25852535764</v>
      </c>
      <c r="AW10" s="28">
        <f t="shared" si="11"/>
        <v>298166.70100323803</v>
      </c>
      <c r="AX10" s="28">
        <f t="shared" ref="AX10:BB10" si="12">AX7*$B$9</f>
        <v>302643.30011828651</v>
      </c>
      <c r="AY10" s="28">
        <f t="shared" si="12"/>
        <v>307187.04822006082</v>
      </c>
      <c r="AZ10" s="28">
        <f t="shared" si="12"/>
        <v>311798.95254336169</v>
      </c>
      <c r="BA10" s="28">
        <f t="shared" si="12"/>
        <v>316480.03543151211</v>
      </c>
      <c r="BB10" s="28">
        <f t="shared" si="12"/>
        <v>321231.33456298476</v>
      </c>
      <c r="BI10" s="2">
        <v>29189.901394612662</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1423.775310691417</v>
      </c>
      <c r="U11" s="28">
        <f t="shared" si="13"/>
        <v>2955.0911003517976</v>
      </c>
      <c r="V11" s="28">
        <f t="shared" si="13"/>
        <v>4509.3766268570498</v>
      </c>
      <c r="W11" s="28">
        <f t="shared" si="13"/>
        <v>10819.775864468445</v>
      </c>
      <c r="X11" s="28">
        <f t="shared" si="13"/>
        <v>12492.031662435462</v>
      </c>
      <c r="Y11" s="28">
        <f t="shared" si="13"/>
        <v>14189.371297371968</v>
      </c>
      <c r="Z11" s="28">
        <f t="shared" si="13"/>
        <v>15912.171026832551</v>
      </c>
      <c r="AA11" s="28">
        <f t="shared" si="13"/>
        <v>22906.737928442486</v>
      </c>
      <c r="AB11" s="28">
        <f t="shared" si="13"/>
        <v>24760.298157369129</v>
      </c>
      <c r="AC11" s="28">
        <f t="shared" si="13"/>
        <v>26641.661789729649</v>
      </c>
      <c r="AD11" s="28">
        <f t="shared" si="13"/>
        <v>28551.245876575587</v>
      </c>
      <c r="AE11" s="28">
        <f t="shared" si="13"/>
        <v>30489.473724724212</v>
      </c>
      <c r="AF11" s="28">
        <f t="shared" si="13"/>
        <v>32456.774990595048</v>
      </c>
      <c r="AG11" s="28">
        <f t="shared" si="13"/>
        <v>34453.585775453968</v>
      </c>
      <c r="AH11" s="28">
        <f t="shared" si="13"/>
        <v>36480.348722085757</v>
      </c>
      <c r="AI11" s="28">
        <f t="shared" si="13"/>
        <v>38537.513112917026</v>
      </c>
      <c r="AJ11" s="28">
        <f t="shared" si="13"/>
        <v>40625.534969610766</v>
      </c>
      <c r="AK11" s="28">
        <f t="shared" si="13"/>
        <v>42744.877154154914</v>
      </c>
      <c r="AL11" s="28">
        <f t="shared" si="13"/>
        <v>44896.00947146723</v>
      </c>
      <c r="AM11" s="28">
        <f t="shared" si="13"/>
        <v>47079.408773539246</v>
      </c>
      <c r="AN11" s="28">
        <f t="shared" si="13"/>
        <v>55944.009939951568</v>
      </c>
      <c r="AO11" s="28">
        <f t="shared" si="13"/>
        <v>58293.129249050871</v>
      </c>
      <c r="AP11" s="28">
        <f t="shared" si="13"/>
        <v>60677.485347786598</v>
      </c>
      <c r="AQ11" s="28">
        <f t="shared" si="13"/>
        <v>63097.606788003373</v>
      </c>
      <c r="AR11" s="28">
        <f t="shared" si="13"/>
        <v>65554.030049823428</v>
      </c>
      <c r="AS11" s="28">
        <f t="shared" si="13"/>
        <v>68047.299660570759</v>
      </c>
      <c r="AT11" s="28">
        <f t="shared" si="13"/>
        <v>70577.968315479244</v>
      </c>
      <c r="AU11" s="28">
        <f t="shared" si="13"/>
        <v>73146.597000211434</v>
      </c>
      <c r="AV11" s="28">
        <f t="shared" si="13"/>
        <v>75753.755115214575</v>
      </c>
      <c r="AW11" s="28">
        <f t="shared" si="13"/>
        <v>78400.020601942815</v>
      </c>
      <c r="AX11" s="28">
        <f t="shared" ref="AX11:BB11" si="14">MAX(AX9-$B$8,0)*$B$7</f>
        <v>81085.980070971898</v>
      </c>
      <c r="AY11" s="28">
        <f t="shared" si="14"/>
        <v>83812.228932036494</v>
      </c>
      <c r="AZ11" s="28">
        <f t="shared" si="14"/>
        <v>86579.371526017014</v>
      </c>
      <c r="BA11" s="28">
        <f t="shared" si="14"/>
        <v>89388.021258907262</v>
      </c>
      <c r="BB11" s="28">
        <f t="shared" si="14"/>
        <v>92238.800737790851</v>
      </c>
      <c r="BI11" s="2">
        <v>29632.61403491185</v>
      </c>
    </row>
    <row r="12" spans="1:61" x14ac:dyDescent="0.2">
      <c r="A12" s="2" t="str">
        <v>Capital Gains Threshold</v>
      </c>
      <c r="B12" s="53">
        <v>67500</v>
      </c>
      <c r="D12" s="2" t="s">
        <v>191</v>
      </c>
      <c r="E12" s="28">
        <f>E9*$B$6</f>
        <v>48635.19496409854</v>
      </c>
      <c r="F12" s="28">
        <f t="shared" ref="F12:AW12" si="15">F9*$B$6</f>
        <v>49459.649255999997</v>
      </c>
      <c r="G12" s="28">
        <f t="shared" si="15"/>
        <v>52806.933681120012</v>
      </c>
      <c r="H12" s="28">
        <f t="shared" si="15"/>
        <v>53693.964053776792</v>
      </c>
      <c r="I12" s="28">
        <f t="shared" si="15"/>
        <v>54594.29988202345</v>
      </c>
      <c r="J12" s="28">
        <f t="shared" si="15"/>
        <v>55508.140747693782</v>
      </c>
      <c r="K12" s="28">
        <f t="shared" si="15"/>
        <v>59218.334662315414</v>
      </c>
      <c r="L12" s="28">
        <f t="shared" si="15"/>
        <v>60201.536049690119</v>
      </c>
      <c r="M12" s="28">
        <f t="shared" si="15"/>
        <v>61199.485457875475</v>
      </c>
      <c r="N12" s="28">
        <f t="shared" si="15"/>
        <v>62212.404107183611</v>
      </c>
      <c r="O12" s="28">
        <f t="shared" si="15"/>
        <v>66324.853823374637</v>
      </c>
      <c r="P12" s="28">
        <f t="shared" si="15"/>
        <v>67414.652998165242</v>
      </c>
      <c r="Q12" s="28">
        <f t="shared" si="15"/>
        <v>68520.799160577706</v>
      </c>
      <c r="R12" s="28">
        <f t="shared" si="15"/>
        <v>73011.752579972352</v>
      </c>
      <c r="S12" s="28">
        <f t="shared" si="15"/>
        <v>74201.855236111936</v>
      </c>
      <c r="T12" s="28">
        <f t="shared" si="15"/>
        <v>75409.809432093592</v>
      </c>
      <c r="U12" s="28">
        <f t="shared" si="15"/>
        <v>76635.882941015007</v>
      </c>
      <c r="V12" s="28">
        <f t="shared" si="15"/>
        <v>77880.347552570209</v>
      </c>
      <c r="W12" s="28">
        <f t="shared" si="15"/>
        <v>82932.873875484394</v>
      </c>
      <c r="X12" s="28">
        <f t="shared" si="15"/>
        <v>84271.793351056665</v>
      </c>
      <c r="Y12" s="28">
        <f t="shared" si="15"/>
        <v>85630.796618762484</v>
      </c>
      <c r="Z12" s="28">
        <f t="shared" si="15"/>
        <v>87010.184935483936</v>
      </c>
      <c r="AA12" s="28">
        <f t="shared" si="15"/>
        <v>92610.501501372957</v>
      </c>
      <c r="AB12" s="28">
        <f t="shared" si="15"/>
        <v>94094.585391333545</v>
      </c>
      <c r="AC12" s="28">
        <f t="shared" si="15"/>
        <v>95600.930539643537</v>
      </c>
      <c r="AD12" s="28">
        <f t="shared" si="15"/>
        <v>97129.870865178193</v>
      </c>
      <c r="AE12" s="28">
        <f t="shared" si="15"/>
        <v>98681.745295595858</v>
      </c>
      <c r="AF12" s="28">
        <f t="shared" si="15"/>
        <v>100256.89784246977</v>
      </c>
      <c r="AG12" s="28">
        <f t="shared" si="15"/>
        <v>101855.67767754682</v>
      </c>
      <c r="AH12" s="28">
        <f t="shared" si="15"/>
        <v>103478.43921015</v>
      </c>
      <c r="AI12" s="28">
        <f t="shared" si="15"/>
        <v>105125.54216574224</v>
      </c>
      <c r="AJ12" s="28">
        <f t="shared" si="15"/>
        <v>106797.35166566835</v>
      </c>
      <c r="AK12" s="28">
        <f t="shared" si="15"/>
        <v>108494.23830809337</v>
      </c>
      <c r="AL12" s="28">
        <f t="shared" si="15"/>
        <v>110216.57825015477</v>
      </c>
      <c r="AM12" s="28">
        <f t="shared" si="15"/>
        <v>111964.75329134709</v>
      </c>
      <c r="AN12" s="28">
        <f t="shared" si="15"/>
        <v>119062.3439585879</v>
      </c>
      <c r="AO12" s="28">
        <f t="shared" si="15"/>
        <v>120943.20548540674</v>
      </c>
      <c r="AP12" s="28">
        <f t="shared" si="15"/>
        <v>122852.27993512781</v>
      </c>
      <c r="AQ12" s="28">
        <f t="shared" si="15"/>
        <v>124789.9905015947</v>
      </c>
      <c r="AR12" s="28">
        <f t="shared" si="15"/>
        <v>126756.76672655864</v>
      </c>
      <c r="AS12" s="28">
        <f t="shared" si="15"/>
        <v>128753.04459489699</v>
      </c>
      <c r="AT12" s="28">
        <f t="shared" si="15"/>
        <v>130779.26663126038</v>
      </c>
      <c r="AU12" s="28">
        <f t="shared" si="15"/>
        <v>132835.88199816929</v>
      </c>
      <c r="AV12" s="28">
        <f t="shared" si="15"/>
        <v>134923.3465955818</v>
      </c>
      <c r="AW12" s="28">
        <f t="shared" si="15"/>
        <v>137042.12316195556</v>
      </c>
      <c r="AX12" s="28">
        <f t="shared" ref="AX12:BB12" si="16">AX9*$B$6</f>
        <v>139192.68137682482</v>
      </c>
      <c r="AY12" s="28">
        <f t="shared" si="16"/>
        <v>141375.49796491722</v>
      </c>
      <c r="AZ12" s="28">
        <f t="shared" si="16"/>
        <v>143591.05680183094</v>
      </c>
      <c r="BA12" s="28">
        <f t="shared" si="16"/>
        <v>145839.8490212984</v>
      </c>
      <c r="BB12" s="28">
        <f t="shared" si="16"/>
        <v>148122.37312405786</v>
      </c>
      <c r="BI12" s="2">
        <v>31430.027354526563</v>
      </c>
    </row>
    <row r="13" spans="1:61" x14ac:dyDescent="0.2">
      <c r="A13" s="2" t="s">
        <v>254</v>
      </c>
      <c r="B13" s="58">
        <v>99</v>
      </c>
      <c r="D13" s="2" t="s">
        <v>192</v>
      </c>
      <c r="E13" s="28">
        <f>SUM(E10:E12)</f>
        <v>162774.15200843354</v>
      </c>
      <c r="F13" s="28">
        <f t="shared" ref="F13:AW13" si="17">SUM(F10:F12)</f>
        <v>165314.78925599999</v>
      </c>
      <c r="G13" s="28">
        <f t="shared" si="17"/>
        <v>175629.77648112003</v>
      </c>
      <c r="H13" s="28">
        <f t="shared" si="17"/>
        <v>178363.24809577677</v>
      </c>
      <c r="I13" s="28">
        <f t="shared" si="17"/>
        <v>181137.72178465343</v>
      </c>
      <c r="J13" s="28">
        <f t="shared" si="17"/>
        <v>183953.8125788632</v>
      </c>
      <c r="K13" s="28">
        <f t="shared" si="17"/>
        <v>195387.14120335499</v>
      </c>
      <c r="L13" s="28">
        <f t="shared" si="17"/>
        <v>198416.97328884524</v>
      </c>
      <c r="M13" s="28">
        <f t="shared" si="17"/>
        <v>201492.25285561793</v>
      </c>
      <c r="N13" s="28">
        <f t="shared" si="17"/>
        <v>204613.6616158922</v>
      </c>
      <c r="O13" s="28">
        <f t="shared" si="17"/>
        <v>217286.58118260576</v>
      </c>
      <c r="P13" s="28">
        <f t="shared" si="17"/>
        <v>220644.90486778482</v>
      </c>
      <c r="Q13" s="28">
        <f t="shared" si="17"/>
        <v>224053.60340824156</v>
      </c>
      <c r="R13" s="28">
        <f t="shared" si="17"/>
        <v>237892.91948249598</v>
      </c>
      <c r="S13" s="28">
        <f t="shared" si="17"/>
        <v>241560.33824217343</v>
      </c>
      <c r="T13" s="28">
        <f t="shared" si="17"/>
        <v>246706.54359393736</v>
      </c>
      <c r="U13" s="28">
        <f t="shared" si="17"/>
        <v>252016.12587528647</v>
      </c>
      <c r="V13" s="28">
        <f t="shared" si="17"/>
        <v>257405.3518908557</v>
      </c>
      <c r="W13" s="28">
        <f t="shared" si="17"/>
        <v>279285.60951406695</v>
      </c>
      <c r="X13" s="28">
        <f t="shared" si="17"/>
        <v>285083.87778421794</v>
      </c>
      <c r="Y13" s="28">
        <f t="shared" si="17"/>
        <v>290969.12007842108</v>
      </c>
      <c r="Z13" s="28">
        <f t="shared" si="17"/>
        <v>296942.64100703737</v>
      </c>
      <c r="AA13" s="28">
        <f t="shared" si="17"/>
        <v>321195.13597721956</v>
      </c>
      <c r="AB13" s="28">
        <f t="shared" si="17"/>
        <v>327622.04714431788</v>
      </c>
      <c r="AC13" s="28">
        <f t="shared" si="17"/>
        <v>334145.36197892262</v>
      </c>
      <c r="AD13" s="28">
        <f t="shared" si="17"/>
        <v>340766.52653604641</v>
      </c>
      <c r="AE13" s="28">
        <f t="shared" si="17"/>
        <v>347487.00856152707</v>
      </c>
      <c r="AF13" s="28">
        <f t="shared" si="17"/>
        <v>354308.29781738995</v>
      </c>
      <c r="AG13" s="28">
        <f t="shared" si="17"/>
        <v>361231.90641209076</v>
      </c>
      <c r="AH13" s="28">
        <f t="shared" si="17"/>
        <v>368259.36913571198</v>
      </c>
      <c r="AI13" s="28">
        <f t="shared" si="17"/>
        <v>375392.24380018766</v>
      </c>
      <c r="AJ13" s="28">
        <f t="shared" si="17"/>
        <v>382632.11158463039</v>
      </c>
      <c r="AK13" s="28">
        <f t="shared" si="17"/>
        <v>389980.57738583977</v>
      </c>
      <c r="AL13" s="28">
        <f t="shared" si="17"/>
        <v>397439.27017406735</v>
      </c>
      <c r="AM13" s="28">
        <f t="shared" si="17"/>
        <v>405009.84335411841</v>
      </c>
      <c r="AN13" s="28">
        <f t="shared" si="17"/>
        <v>435746.37046512542</v>
      </c>
      <c r="AO13" s="28">
        <f t="shared" si="17"/>
        <v>443891.5501495424</v>
      </c>
      <c r="AP13" s="28">
        <f t="shared" si="17"/>
        <v>452158.90752922546</v>
      </c>
      <c r="AQ13" s="28">
        <f t="shared" si="17"/>
        <v>460550.27526960371</v>
      </c>
      <c r="AR13" s="28">
        <f t="shared" si="17"/>
        <v>469067.5135260878</v>
      </c>
      <c r="AS13" s="28">
        <f t="shared" si="17"/>
        <v>477712.51035641902</v>
      </c>
      <c r="AT13" s="28">
        <f t="shared" si="17"/>
        <v>486487.18213920505</v>
      </c>
      <c r="AU13" s="28">
        <f t="shared" si="17"/>
        <v>495393.4739987331</v>
      </c>
      <c r="AV13" s="28">
        <f t="shared" si="17"/>
        <v>504433.360236154</v>
      </c>
      <c r="AW13" s="28">
        <f t="shared" si="17"/>
        <v>513608.84476713644</v>
      </c>
      <c r="AX13" s="28">
        <f t="shared" ref="AX13:BB13" si="18">SUM(AX10:AX12)</f>
        <v>522921.96156608325</v>
      </c>
      <c r="AY13" s="28">
        <f t="shared" si="18"/>
        <v>532374.77511701453</v>
      </c>
      <c r="AZ13" s="28">
        <f t="shared" si="18"/>
        <v>541969.38087120967</v>
      </c>
      <c r="BA13" s="28">
        <f t="shared" si="18"/>
        <v>551707.90571171779</v>
      </c>
      <c r="BB13" s="28">
        <f t="shared" si="18"/>
        <v>561592.50842483353</v>
      </c>
      <c r="BI13" s="2">
        <v>31906.341884224454</v>
      </c>
    </row>
    <row r="14" spans="1:61" x14ac:dyDescent="0.2">
      <c r="A14" s="2" t="s">
        <v>255</v>
      </c>
      <c r="B14" s="28">
        <f>B13*12</f>
        <v>1188</v>
      </c>
      <c r="D14" s="2" t="s">
        <v>193</v>
      </c>
      <c r="E14" s="28">
        <f>E7-E13</f>
        <v>293781.6761689065</v>
      </c>
      <c r="F14" s="28">
        <f t="shared" ref="F14:AW14" si="19">F7-F13</f>
        <v>298105.77074399998</v>
      </c>
      <c r="G14" s="28">
        <f t="shared" si="19"/>
        <v>315661.59471888008</v>
      </c>
      <c r="H14" s="28">
        <f t="shared" si="19"/>
        <v>320313.88807222317</v>
      </c>
      <c r="I14" s="28">
        <f t="shared" si="19"/>
        <v>325035.96582586656</v>
      </c>
      <c r="J14" s="28">
        <f t="shared" si="19"/>
        <v>329828.87474581448</v>
      </c>
      <c r="K14" s="28">
        <f t="shared" si="19"/>
        <v>349288.08496080333</v>
      </c>
      <c r="L14" s="28">
        <f t="shared" si="19"/>
        <v>354444.77566777519</v>
      </c>
      <c r="M14" s="28">
        <f t="shared" si="19"/>
        <v>359678.81673535192</v>
      </c>
      <c r="N14" s="28">
        <f t="shared" si="19"/>
        <v>364991.36841894221</v>
      </c>
      <c r="O14" s="28">
        <f t="shared" si="19"/>
        <v>386560.32825431874</v>
      </c>
      <c r="P14" s="28">
        <f t="shared" si="19"/>
        <v>392276.10261069343</v>
      </c>
      <c r="Q14" s="28">
        <f t="shared" si="19"/>
        <v>398077.61358241388</v>
      </c>
      <c r="R14" s="28">
        <f t="shared" si="19"/>
        <v>421631.74812759855</v>
      </c>
      <c r="S14" s="28">
        <f t="shared" si="19"/>
        <v>427873.59378207254</v>
      </c>
      <c r="T14" s="28">
        <f t="shared" si="19"/>
        <v>432785.29181067209</v>
      </c>
      <c r="U14" s="28">
        <f t="shared" si="19"/>
        <v>437684.48146039218</v>
      </c>
      <c r="V14" s="28">
        <f t="shared" si="19"/>
        <v>442657.15895485796</v>
      </c>
      <c r="W14" s="28">
        <f t="shared" si="19"/>
        <v>462846.22958238935</v>
      </c>
      <c r="X14" s="28">
        <f t="shared" si="19"/>
        <v>468196.33329868515</v>
      </c>
      <c r="Y14" s="28">
        <f t="shared" si="19"/>
        <v>473626.68857072538</v>
      </c>
      <c r="Z14" s="28">
        <f t="shared" si="19"/>
        <v>479138.49917184631</v>
      </c>
      <c r="AA14" s="28">
        <f t="shared" si="19"/>
        <v>501516.45021239703</v>
      </c>
      <c r="AB14" s="28">
        <f t="shared" si="19"/>
        <v>507446.60723814298</v>
      </c>
      <c r="AC14" s="28">
        <f t="shared" si="19"/>
        <v>513465.71661927504</v>
      </c>
      <c r="AD14" s="28">
        <f t="shared" si="19"/>
        <v>519575.11264112417</v>
      </c>
      <c r="AE14" s="28">
        <f t="shared" si="19"/>
        <v>525776.14960330096</v>
      </c>
      <c r="AF14" s="28">
        <f t="shared" si="19"/>
        <v>532070.20211991039</v>
      </c>
      <c r="AG14" s="28">
        <f t="shared" si="19"/>
        <v>538458.66542426904</v>
      </c>
      <c r="AH14" s="28">
        <f t="shared" si="19"/>
        <v>544942.95567819313</v>
      </c>
      <c r="AI14" s="28">
        <f t="shared" si="19"/>
        <v>551524.51028592582</v>
      </c>
      <c r="AJ14" s="28">
        <f t="shared" si="19"/>
        <v>558204.78821277479</v>
      </c>
      <c r="AK14" s="28">
        <f t="shared" si="19"/>
        <v>564985.27030852635</v>
      </c>
      <c r="AL14" s="28">
        <f t="shared" si="19"/>
        <v>571867.45963571419</v>
      </c>
      <c r="AM14" s="28">
        <f t="shared" si="19"/>
        <v>578852.88180280989</v>
      </c>
      <c r="AN14" s="28">
        <f t="shared" si="19"/>
        <v>607213.69580121839</v>
      </c>
      <c r="AO14" s="28">
        <f t="shared" si="19"/>
        <v>614729.31151079678</v>
      </c>
      <c r="AP14" s="28">
        <f t="shared" si="19"/>
        <v>622357.66145601857</v>
      </c>
      <c r="AQ14" s="28">
        <f t="shared" si="19"/>
        <v>630100.43665041879</v>
      </c>
      <c r="AR14" s="28">
        <f t="shared" si="19"/>
        <v>637959.35347273503</v>
      </c>
      <c r="AS14" s="28">
        <f t="shared" si="19"/>
        <v>645936.15404738602</v>
      </c>
      <c r="AT14" s="28">
        <f t="shared" si="19"/>
        <v>654032.60663065664</v>
      </c>
      <c r="AU14" s="28">
        <f t="shared" si="19"/>
        <v>662250.50600267644</v>
      </c>
      <c r="AV14" s="28">
        <f t="shared" si="19"/>
        <v>670591.67386527662</v>
      </c>
      <c r="AW14" s="28">
        <f t="shared" si="19"/>
        <v>679057.95924581564</v>
      </c>
      <c r="AX14" s="28">
        <f t="shared" ref="AX14:BB14" si="20">AX7-AX13</f>
        <v>687651.2389070628</v>
      </c>
      <c r="AY14" s="28">
        <f t="shared" si="20"/>
        <v>696373.41776322876</v>
      </c>
      <c r="AZ14" s="28">
        <f t="shared" si="20"/>
        <v>705226.42930223711</v>
      </c>
      <c r="BA14" s="28">
        <f t="shared" si="20"/>
        <v>714212.23601433064</v>
      </c>
      <c r="BB14" s="28">
        <f t="shared" si="20"/>
        <v>723332.82982710551</v>
      </c>
      <c r="BI14" s="2">
        <v>32389.801131867822</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34352.645677299879</v>
      </c>
    </row>
    <row r="16" spans="1:61" x14ac:dyDescent="0.2">
      <c r="D16" s="2" t="s">
        <v>267</v>
      </c>
      <c r="E16" s="28">
        <f>E14-E15</f>
        <v>284381.6761689065</v>
      </c>
      <c r="F16" s="28">
        <f t="shared" ref="F16:AW16" si="22">F14-F15</f>
        <v>288705.77074399998</v>
      </c>
      <c r="G16" s="28">
        <f t="shared" si="22"/>
        <v>306261.59471888008</v>
      </c>
      <c r="H16" s="28">
        <f t="shared" si="22"/>
        <v>310913.88807222317</v>
      </c>
      <c r="I16" s="28">
        <f t="shared" si="22"/>
        <v>315635.96582586656</v>
      </c>
      <c r="J16" s="28">
        <f t="shared" si="22"/>
        <v>320428.87474581448</v>
      </c>
      <c r="K16" s="28">
        <f t="shared" si="22"/>
        <v>339888.08496080333</v>
      </c>
      <c r="L16" s="28">
        <f t="shared" si="22"/>
        <v>345044.77566777519</v>
      </c>
      <c r="M16" s="28">
        <f t="shared" si="22"/>
        <v>350278.81673535192</v>
      </c>
      <c r="N16" s="28">
        <f t="shared" si="22"/>
        <v>355591.36841894221</v>
      </c>
      <c r="O16" s="28">
        <f t="shared" si="22"/>
        <v>377160.32825431874</v>
      </c>
      <c r="P16" s="28">
        <f t="shared" si="22"/>
        <v>382876.10261069343</v>
      </c>
      <c r="Q16" s="28">
        <f t="shared" si="22"/>
        <v>388677.61358241388</v>
      </c>
      <c r="R16" s="28">
        <f t="shared" si="22"/>
        <v>412231.74812759855</v>
      </c>
      <c r="S16" s="28">
        <f t="shared" si="22"/>
        <v>418473.59378207254</v>
      </c>
      <c r="T16" s="28">
        <f t="shared" si="22"/>
        <v>423385.29181067209</v>
      </c>
      <c r="U16" s="28">
        <f t="shared" si="22"/>
        <v>428284.48146039218</v>
      </c>
      <c r="V16" s="28">
        <f t="shared" si="22"/>
        <v>433257.15895485796</v>
      </c>
      <c r="W16" s="28">
        <f t="shared" si="22"/>
        <v>453446.22958238935</v>
      </c>
      <c r="X16" s="28">
        <f t="shared" si="22"/>
        <v>458796.33329868515</v>
      </c>
      <c r="Y16" s="28">
        <f t="shared" si="22"/>
        <v>464226.68857072538</v>
      </c>
      <c r="Z16" s="28">
        <f t="shared" si="22"/>
        <v>469738.49917184631</v>
      </c>
      <c r="AA16" s="28">
        <f t="shared" si="22"/>
        <v>492116.45021239703</v>
      </c>
      <c r="AB16" s="28">
        <f t="shared" si="22"/>
        <v>498046.60723814298</v>
      </c>
      <c r="AC16" s="28">
        <f t="shared" si="22"/>
        <v>504065.71661927504</v>
      </c>
      <c r="AD16" s="28">
        <f t="shared" si="22"/>
        <v>510175.11264112417</v>
      </c>
      <c r="AE16" s="28">
        <f t="shared" si="22"/>
        <v>516376.14960330096</v>
      </c>
      <c r="AF16" s="28">
        <f t="shared" si="22"/>
        <v>522670.20211991039</v>
      </c>
      <c r="AG16" s="28">
        <f t="shared" si="22"/>
        <v>529058.66542426904</v>
      </c>
      <c r="AH16" s="28">
        <f t="shared" si="22"/>
        <v>535542.95567819313</v>
      </c>
      <c r="AI16" s="28">
        <f t="shared" si="22"/>
        <v>542124.51028592582</v>
      </c>
      <c r="AJ16" s="28">
        <f t="shared" si="22"/>
        <v>548804.78821277479</v>
      </c>
      <c r="AK16" s="28">
        <f t="shared" si="22"/>
        <v>555585.27030852635</v>
      </c>
      <c r="AL16" s="28">
        <f t="shared" si="22"/>
        <v>562467.45963571419</v>
      </c>
      <c r="AM16" s="28">
        <f t="shared" si="22"/>
        <v>569452.88180280989</v>
      </c>
      <c r="AN16" s="28">
        <f t="shared" si="22"/>
        <v>597813.69580121839</v>
      </c>
      <c r="AO16" s="28">
        <f t="shared" si="22"/>
        <v>605329.31151079678</v>
      </c>
      <c r="AP16" s="28">
        <f t="shared" si="22"/>
        <v>612957.66145601857</v>
      </c>
      <c r="AQ16" s="28">
        <f t="shared" si="22"/>
        <v>620700.43665041879</v>
      </c>
      <c r="AR16" s="28">
        <f t="shared" si="22"/>
        <v>628559.35347273503</v>
      </c>
      <c r="AS16" s="28">
        <f t="shared" si="22"/>
        <v>636536.15404738602</v>
      </c>
      <c r="AT16" s="28">
        <f t="shared" si="22"/>
        <v>644632.60663065664</v>
      </c>
      <c r="AU16" s="28">
        <f t="shared" si="22"/>
        <v>652850.50600267644</v>
      </c>
      <c r="AV16" s="28">
        <f t="shared" si="22"/>
        <v>661191.67386527662</v>
      </c>
      <c r="AW16" s="28">
        <f t="shared" si="22"/>
        <v>669657.95924581564</v>
      </c>
      <c r="AX16" s="28">
        <f t="shared" ref="AX16:BB16" si="23">AX14-AX15</f>
        <v>678251.2389070628</v>
      </c>
      <c r="AY16" s="28">
        <f t="shared" si="23"/>
        <v>686973.41776322876</v>
      </c>
      <c r="AZ16" s="28">
        <f t="shared" si="23"/>
        <v>695826.42930223711</v>
      </c>
      <c r="BA16" s="28">
        <f t="shared" si="23"/>
        <v>704812.23601433064</v>
      </c>
      <c r="BB16" s="28">
        <f t="shared" si="23"/>
        <v>713932.82982710551</v>
      </c>
      <c r="BI16" s="2">
        <v>34872.799481839378</v>
      </c>
    </row>
    <row r="17" spans="4:61" x14ac:dyDescent="0.2">
      <c r="D17" s="2" t="s">
        <v>196</v>
      </c>
      <c r="E17" s="28">
        <f>E16/12</f>
        <v>23698.473014075542</v>
      </c>
      <c r="F17" s="28">
        <f t="shared" ref="F17:AW17" si="24">F16/12</f>
        <v>24058.814228666666</v>
      </c>
      <c r="G17" s="28">
        <f t="shared" si="24"/>
        <v>25521.799559906674</v>
      </c>
      <c r="H17" s="28">
        <f t="shared" si="24"/>
        <v>25909.490672685264</v>
      </c>
      <c r="I17" s="28">
        <f t="shared" si="24"/>
        <v>26302.997152155545</v>
      </c>
      <c r="J17" s="28">
        <f t="shared" si="24"/>
        <v>26702.406228817872</v>
      </c>
      <c r="K17" s="28">
        <f t="shared" si="24"/>
        <v>28324.007080066945</v>
      </c>
      <c r="L17" s="28">
        <f t="shared" si="24"/>
        <v>28753.731305647932</v>
      </c>
      <c r="M17" s="28">
        <f t="shared" si="24"/>
        <v>29189.901394612662</v>
      </c>
      <c r="N17" s="28">
        <f t="shared" si="24"/>
        <v>29632.61403491185</v>
      </c>
      <c r="O17" s="28">
        <f t="shared" si="24"/>
        <v>31430.027354526563</v>
      </c>
      <c r="P17" s="28">
        <f t="shared" si="24"/>
        <v>31906.341884224454</v>
      </c>
      <c r="Q17" s="28">
        <f t="shared" si="24"/>
        <v>32389.801131867822</v>
      </c>
      <c r="R17" s="28">
        <f t="shared" si="24"/>
        <v>34352.645677299879</v>
      </c>
      <c r="S17" s="28">
        <f t="shared" si="24"/>
        <v>34872.799481839378</v>
      </c>
      <c r="T17" s="28">
        <f t="shared" si="24"/>
        <v>35282.107650889338</v>
      </c>
      <c r="U17" s="28">
        <f t="shared" si="24"/>
        <v>35690.373455032684</v>
      </c>
      <c r="V17" s="28">
        <f t="shared" si="24"/>
        <v>36104.763246238166</v>
      </c>
      <c r="W17" s="28">
        <f t="shared" si="24"/>
        <v>37787.185798532446</v>
      </c>
      <c r="X17" s="28">
        <f t="shared" si="24"/>
        <v>38233.027774890426</v>
      </c>
      <c r="Y17" s="28">
        <f t="shared" si="24"/>
        <v>38685.557380893784</v>
      </c>
      <c r="Z17" s="28">
        <f t="shared" si="24"/>
        <v>39144.874930987193</v>
      </c>
      <c r="AA17" s="28">
        <f t="shared" si="24"/>
        <v>41009.704184366419</v>
      </c>
      <c r="AB17" s="28">
        <f t="shared" si="24"/>
        <v>41503.883936511913</v>
      </c>
      <c r="AC17" s="28">
        <f t="shared" si="24"/>
        <v>42005.476384939589</v>
      </c>
      <c r="AD17" s="28">
        <f t="shared" si="24"/>
        <v>42514.592720093679</v>
      </c>
      <c r="AE17" s="28">
        <f t="shared" si="24"/>
        <v>43031.345800275078</v>
      </c>
      <c r="AF17" s="28">
        <f t="shared" si="24"/>
        <v>43555.850176659202</v>
      </c>
      <c r="AG17" s="28">
        <f t="shared" si="24"/>
        <v>44088.222118689089</v>
      </c>
      <c r="AH17" s="28">
        <f t="shared" si="24"/>
        <v>44628.579639849428</v>
      </c>
      <c r="AI17" s="28">
        <f t="shared" si="24"/>
        <v>45177.042523827149</v>
      </c>
      <c r="AJ17" s="28">
        <f t="shared" si="24"/>
        <v>45733.732351064566</v>
      </c>
      <c r="AK17" s="28">
        <f t="shared" si="24"/>
        <v>46298.772525710527</v>
      </c>
      <c r="AL17" s="28">
        <f t="shared" si="24"/>
        <v>46872.28830297618</v>
      </c>
      <c r="AM17" s="28">
        <f t="shared" si="24"/>
        <v>47454.406816900824</v>
      </c>
      <c r="AN17" s="28">
        <f t="shared" si="24"/>
        <v>49817.807983434868</v>
      </c>
      <c r="AO17" s="28">
        <f t="shared" si="24"/>
        <v>50444.109292566398</v>
      </c>
      <c r="AP17" s="28">
        <f t="shared" si="24"/>
        <v>51079.805121334881</v>
      </c>
      <c r="AQ17" s="28">
        <f t="shared" si="24"/>
        <v>51725.036387534899</v>
      </c>
      <c r="AR17" s="28">
        <f t="shared" si="24"/>
        <v>52379.946122727917</v>
      </c>
      <c r="AS17" s="28">
        <f t="shared" si="24"/>
        <v>53044.679503948835</v>
      </c>
      <c r="AT17" s="28">
        <f t="shared" si="24"/>
        <v>53719.383885888055</v>
      </c>
      <c r="AU17" s="28">
        <f t="shared" si="24"/>
        <v>54404.208833556368</v>
      </c>
      <c r="AV17" s="28">
        <f t="shared" si="24"/>
        <v>55099.306155439721</v>
      </c>
      <c r="AW17" s="28">
        <f t="shared" si="24"/>
        <v>55804.829937151306</v>
      </c>
      <c r="AX17" s="28">
        <f t="shared" ref="AX17:BB17" si="25">AX16/12</f>
        <v>56520.936575588566</v>
      </c>
      <c r="AY17" s="28">
        <f t="shared" si="25"/>
        <v>57247.784813602397</v>
      </c>
      <c r="AZ17" s="28">
        <f t="shared" si="25"/>
        <v>57985.535775186429</v>
      </c>
      <c r="BA17" s="28">
        <f t="shared" si="25"/>
        <v>58734.35300119422</v>
      </c>
      <c r="BB17" s="28">
        <f t="shared" si="25"/>
        <v>59494.402485592123</v>
      </c>
      <c r="BI17" s="2">
        <v>35282.107650889338</v>
      </c>
    </row>
    <row r="18" spans="4:61" x14ac:dyDescent="0.2">
      <c r="BI18" s="2">
        <v>35690.373455032684</v>
      </c>
    </row>
    <row r="19" spans="4:61" x14ac:dyDescent="0.2">
      <c r="BI19" s="2">
        <v>36104.763246238166</v>
      </c>
    </row>
    <row r="20" spans="4:61" x14ac:dyDescent="0.2">
      <c r="D20" s="26"/>
      <c r="BI20" s="2">
        <v>37787.185798532446</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38233.027774890426</v>
      </c>
    </row>
    <row r="22" spans="4:61" x14ac:dyDescent="0.2">
      <c r="D22" s="2" t="s">
        <v>202</v>
      </c>
      <c r="E22" s="26">
        <f>'Pensions P1'!$B$18+'Pensions P1'!$B$22+'Pensions P1'!$B$31</f>
        <v>52675.1544105914</v>
      </c>
      <c r="F22" s="26">
        <f>'Pensions P1'!$B$18+'Pensions P1'!$B$22+'Pensions P1'!$B$31</f>
        <v>52675.1544105914</v>
      </c>
      <c r="G22" s="26">
        <f>'Pensions P1'!$B$18+'Pensions P1'!$B$22+'Pensions P1'!$B$31</f>
        <v>52675.1544105914</v>
      </c>
      <c r="H22" s="26">
        <f>'Pensions P1'!$B$18+'Pensions P1'!$B$22+'Pensions P1'!$B$31</f>
        <v>52675.1544105914</v>
      </c>
      <c r="I22" s="26">
        <f>'Pensions P1'!$B$18+'Pensions P1'!$B$22+'Pensions P1'!$B$31</f>
        <v>52675.1544105914</v>
      </c>
      <c r="J22" s="26">
        <f>'Pensions P1'!$B$18+'Pensions P1'!$B$22+'Pensions P1'!$B$31</f>
        <v>52675.1544105914</v>
      </c>
      <c r="K22" s="26">
        <f>'Pensions P1'!$B$18+'Pensions P1'!$B$22+'Pensions P1'!$B$31</f>
        <v>52675.1544105914</v>
      </c>
      <c r="L22" s="26">
        <f>'Pensions P1'!$B$18+'Pensions P1'!$B$22+'Pensions P1'!$B$31</f>
        <v>52675.1544105914</v>
      </c>
      <c r="M22" s="26">
        <f>'Pensions P1'!$B$18+'Pensions P1'!$B$22+'Pensions P1'!$B$31</f>
        <v>52675.1544105914</v>
      </c>
      <c r="N22" s="26">
        <f>'Pensions P1'!$B$18+'Pensions P1'!$B$22+'Pensions P1'!$B$31</f>
        <v>52675.1544105914</v>
      </c>
      <c r="O22" s="26">
        <f>'Pensions P1'!$B$18+'Pensions P1'!$B$22+'Pensions P1'!$B$31</f>
        <v>52675.1544105914</v>
      </c>
      <c r="P22" s="26">
        <f>'Pensions P1'!$B$18+'Pensions P1'!$B$22+'Pensions P1'!$B$31</f>
        <v>52675.1544105914</v>
      </c>
      <c r="Q22" s="26">
        <f>'Pensions P1'!$B$18+'Pensions P1'!$B$22+'Pensions P1'!$B$31</f>
        <v>52675.1544105914</v>
      </c>
      <c r="R22" s="26">
        <f>'Pensions P1'!$B$18+'Pensions P1'!$B$22+'Pensions P1'!$B$31</f>
        <v>52675.1544105914</v>
      </c>
      <c r="S22" s="26">
        <f>'Pensions P1'!$B$18+'Pensions P1'!$B$22+'Pensions P1'!$B$31</f>
        <v>52675.1544105914</v>
      </c>
      <c r="T22" s="26">
        <f>'Pensions P1'!$B$18+'Pensions P1'!$B$22+'Pensions P1'!$B$31</f>
        <v>52675.1544105914</v>
      </c>
      <c r="U22" s="26">
        <f>'Pensions P1'!$B$18+'Pensions P1'!$B$22+'Pensions P1'!$B$31</f>
        <v>52675.1544105914</v>
      </c>
      <c r="V22" s="26">
        <f>'Pensions P1'!$B$18+'Pensions P1'!$B$22+'Pensions P1'!$B$31</f>
        <v>52675.1544105914</v>
      </c>
      <c r="W22" s="26">
        <f>'Pensions P1'!$B$18+'Pensions P1'!$B$22+'Pensions P1'!$B$31</f>
        <v>52675.1544105914</v>
      </c>
      <c r="X22" s="26">
        <f>'Pensions P1'!$B$18+'Pensions P1'!$B$22+'Pensions P1'!$B$31</f>
        <v>52675.1544105914</v>
      </c>
      <c r="Y22" s="26">
        <f>'Pensions P1'!$B$18+'Pensions P1'!$B$22+'Pensions P1'!$B$31</f>
        <v>52675.1544105914</v>
      </c>
      <c r="Z22" s="26">
        <f>'Pensions P1'!$B$18+'Pensions P1'!$B$22+'Pensions P1'!$B$31</f>
        <v>52675.1544105914</v>
      </c>
      <c r="AA22" s="26">
        <f>'Pensions P1'!$B$18+'Pensions P1'!$B$22+'Pensions P1'!$B$31</f>
        <v>52675.1544105914</v>
      </c>
      <c r="AB22" s="26">
        <f>'Pensions P1'!$B$18+'Pensions P1'!$B$22+'Pensions P1'!$B$31</f>
        <v>52675.1544105914</v>
      </c>
      <c r="AC22" s="26">
        <f>'Pensions P1'!$B$18+'Pensions P1'!$B$22+'Pensions P1'!$B$31</f>
        <v>52675.1544105914</v>
      </c>
      <c r="BI22" s="2">
        <v>38685.557380893784</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39144.874930987193</v>
      </c>
    </row>
    <row r="24" spans="4:61" x14ac:dyDescent="0.2">
      <c r="D24" s="2" t="s">
        <v>203</v>
      </c>
      <c r="E24" s="26">
        <f>E22*12</f>
        <v>632101.85292709677</v>
      </c>
      <c r="F24" s="26">
        <f t="shared" ref="F24:AC24" si="26">F22*12</f>
        <v>632101.85292709677</v>
      </c>
      <c r="G24" s="26">
        <f t="shared" si="26"/>
        <v>632101.85292709677</v>
      </c>
      <c r="H24" s="26">
        <f t="shared" si="26"/>
        <v>632101.85292709677</v>
      </c>
      <c r="I24" s="26">
        <f t="shared" si="26"/>
        <v>632101.85292709677</v>
      </c>
      <c r="J24" s="26">
        <f t="shared" si="26"/>
        <v>632101.85292709677</v>
      </c>
      <c r="K24" s="26">
        <f t="shared" si="26"/>
        <v>632101.85292709677</v>
      </c>
      <c r="L24" s="26">
        <f t="shared" si="26"/>
        <v>632101.85292709677</v>
      </c>
      <c r="M24" s="26">
        <f t="shared" si="26"/>
        <v>632101.85292709677</v>
      </c>
      <c r="N24" s="26">
        <f t="shared" si="26"/>
        <v>632101.85292709677</v>
      </c>
      <c r="O24" s="26">
        <f t="shared" si="26"/>
        <v>632101.85292709677</v>
      </c>
      <c r="P24" s="26">
        <f t="shared" si="26"/>
        <v>632101.85292709677</v>
      </c>
      <c r="Q24" s="26">
        <f t="shared" si="26"/>
        <v>632101.85292709677</v>
      </c>
      <c r="R24" s="26">
        <f t="shared" si="26"/>
        <v>632101.85292709677</v>
      </c>
      <c r="S24" s="26">
        <f t="shared" si="26"/>
        <v>632101.85292709677</v>
      </c>
      <c r="T24" s="26">
        <f t="shared" si="26"/>
        <v>632101.85292709677</v>
      </c>
      <c r="U24" s="26">
        <f t="shared" si="26"/>
        <v>632101.85292709677</v>
      </c>
      <c r="V24" s="26">
        <f t="shared" si="26"/>
        <v>632101.85292709677</v>
      </c>
      <c r="W24" s="26">
        <f t="shared" si="26"/>
        <v>632101.85292709677</v>
      </c>
      <c r="X24" s="26">
        <f t="shared" si="26"/>
        <v>632101.85292709677</v>
      </c>
      <c r="Y24" s="26">
        <f t="shared" si="26"/>
        <v>632101.85292709677</v>
      </c>
      <c r="Z24" s="26">
        <f t="shared" si="26"/>
        <v>632101.85292709677</v>
      </c>
      <c r="AA24" s="26">
        <f t="shared" si="26"/>
        <v>632101.85292709677</v>
      </c>
      <c r="AB24" s="26">
        <f t="shared" si="26"/>
        <v>632101.85292709677</v>
      </c>
      <c r="AC24" s="26">
        <f t="shared" si="26"/>
        <v>632101.85292709677</v>
      </c>
      <c r="BI24" s="2">
        <v>41009.704184366419</v>
      </c>
    </row>
    <row r="25" spans="4:61" x14ac:dyDescent="0.2">
      <c r="D25" s="2" t="s">
        <v>189</v>
      </c>
      <c r="E25" s="26">
        <f>E24*$B$9</f>
        <v>158025.46323177419</v>
      </c>
      <c r="F25" s="26">
        <f t="shared" ref="F25:AC25" si="27">F24*$B$9</f>
        <v>158025.46323177419</v>
      </c>
      <c r="G25" s="26">
        <f t="shared" si="27"/>
        <v>158025.46323177419</v>
      </c>
      <c r="H25" s="26">
        <f t="shared" si="27"/>
        <v>158025.46323177419</v>
      </c>
      <c r="I25" s="26">
        <f t="shared" si="27"/>
        <v>158025.46323177419</v>
      </c>
      <c r="J25" s="26">
        <f t="shared" si="27"/>
        <v>158025.46323177419</v>
      </c>
      <c r="K25" s="26">
        <f t="shared" si="27"/>
        <v>158025.46323177419</v>
      </c>
      <c r="L25" s="26">
        <f t="shared" si="27"/>
        <v>158025.46323177419</v>
      </c>
      <c r="M25" s="26">
        <f t="shared" si="27"/>
        <v>158025.46323177419</v>
      </c>
      <c r="N25" s="26">
        <f t="shared" si="27"/>
        <v>158025.46323177419</v>
      </c>
      <c r="O25" s="26">
        <f t="shared" si="27"/>
        <v>158025.46323177419</v>
      </c>
      <c r="P25" s="26">
        <f t="shared" si="27"/>
        <v>158025.46323177419</v>
      </c>
      <c r="Q25" s="26">
        <f t="shared" si="27"/>
        <v>158025.46323177419</v>
      </c>
      <c r="R25" s="26">
        <f t="shared" si="27"/>
        <v>158025.46323177419</v>
      </c>
      <c r="S25" s="26">
        <f t="shared" si="27"/>
        <v>158025.46323177419</v>
      </c>
      <c r="T25" s="26">
        <f t="shared" si="27"/>
        <v>158025.46323177419</v>
      </c>
      <c r="U25" s="26">
        <f t="shared" si="27"/>
        <v>158025.46323177419</v>
      </c>
      <c r="V25" s="26">
        <f t="shared" si="27"/>
        <v>158025.46323177419</v>
      </c>
      <c r="W25" s="26">
        <f t="shared" si="27"/>
        <v>158025.46323177419</v>
      </c>
      <c r="X25" s="26">
        <f t="shared" si="27"/>
        <v>158025.46323177419</v>
      </c>
      <c r="Y25" s="26">
        <f t="shared" si="27"/>
        <v>158025.46323177419</v>
      </c>
      <c r="Z25" s="26">
        <f t="shared" si="27"/>
        <v>158025.46323177419</v>
      </c>
      <c r="AA25" s="26">
        <f t="shared" si="27"/>
        <v>158025.46323177419</v>
      </c>
      <c r="AB25" s="26">
        <f t="shared" si="27"/>
        <v>158025.46323177419</v>
      </c>
      <c r="AC25" s="26">
        <f t="shared" si="27"/>
        <v>158025.46323177419</v>
      </c>
      <c r="BI25" s="2">
        <v>41503.883936511913</v>
      </c>
    </row>
    <row r="26" spans="4:61" x14ac:dyDescent="0.2">
      <c r="D26" s="2" t="s">
        <v>190</v>
      </c>
      <c r="E26" s="26">
        <f>MAX(E24-$B$8,0)*$B$7</f>
        <v>2055.2779390645155</v>
      </c>
      <c r="F26" s="26">
        <f t="shared" ref="F26:AC26" si="28">MAX(F24-$B$8,0)*$B$7</f>
        <v>2055.2779390645155</v>
      </c>
      <c r="G26" s="26">
        <f t="shared" si="28"/>
        <v>2055.2779390645155</v>
      </c>
      <c r="H26" s="26">
        <f t="shared" si="28"/>
        <v>2055.2779390645155</v>
      </c>
      <c r="I26" s="26">
        <f t="shared" si="28"/>
        <v>2055.2779390645155</v>
      </c>
      <c r="J26" s="26">
        <f t="shared" si="28"/>
        <v>2055.2779390645155</v>
      </c>
      <c r="K26" s="26">
        <f t="shared" si="28"/>
        <v>2055.2779390645155</v>
      </c>
      <c r="L26" s="26">
        <f t="shared" si="28"/>
        <v>2055.2779390645155</v>
      </c>
      <c r="M26" s="26">
        <f t="shared" si="28"/>
        <v>2055.2779390645155</v>
      </c>
      <c r="N26" s="26">
        <f t="shared" si="28"/>
        <v>2055.2779390645155</v>
      </c>
      <c r="O26" s="26">
        <f t="shared" si="28"/>
        <v>2055.2779390645155</v>
      </c>
      <c r="P26" s="26">
        <f t="shared" si="28"/>
        <v>2055.2779390645155</v>
      </c>
      <c r="Q26" s="26">
        <f t="shared" si="28"/>
        <v>2055.2779390645155</v>
      </c>
      <c r="R26" s="26">
        <f t="shared" si="28"/>
        <v>2055.2779390645155</v>
      </c>
      <c r="S26" s="26">
        <f t="shared" si="28"/>
        <v>2055.2779390645155</v>
      </c>
      <c r="T26" s="26">
        <f t="shared" si="28"/>
        <v>2055.2779390645155</v>
      </c>
      <c r="U26" s="26">
        <f t="shared" si="28"/>
        <v>2055.2779390645155</v>
      </c>
      <c r="V26" s="26">
        <f t="shared" si="28"/>
        <v>2055.2779390645155</v>
      </c>
      <c r="W26" s="26">
        <f t="shared" si="28"/>
        <v>2055.2779390645155</v>
      </c>
      <c r="X26" s="26">
        <f t="shared" si="28"/>
        <v>2055.2779390645155</v>
      </c>
      <c r="Y26" s="26">
        <f t="shared" si="28"/>
        <v>2055.2779390645155</v>
      </c>
      <c r="Z26" s="26">
        <f t="shared" si="28"/>
        <v>2055.2779390645155</v>
      </c>
      <c r="AA26" s="26">
        <f t="shared" si="28"/>
        <v>2055.2779390645155</v>
      </c>
      <c r="AB26" s="26">
        <f t="shared" si="28"/>
        <v>2055.2779390645155</v>
      </c>
      <c r="AC26" s="26">
        <f t="shared" si="28"/>
        <v>2055.2779390645155</v>
      </c>
      <c r="BI26" s="2">
        <v>42005.476384939589</v>
      </c>
    </row>
    <row r="27" spans="4:61" x14ac:dyDescent="0.2">
      <c r="D27" s="2" t="s">
        <v>191</v>
      </c>
      <c r="E27" s="26">
        <f>E24*$B$6</f>
        <v>75915.432536544322</v>
      </c>
      <c r="F27" s="26">
        <f t="shared" ref="F27:AC27" si="29">F24*$B$6</f>
        <v>75915.432536544322</v>
      </c>
      <c r="G27" s="26">
        <f t="shared" si="29"/>
        <v>75915.432536544322</v>
      </c>
      <c r="H27" s="26">
        <f t="shared" si="29"/>
        <v>75915.432536544322</v>
      </c>
      <c r="I27" s="26">
        <f t="shared" si="29"/>
        <v>75915.432536544322</v>
      </c>
      <c r="J27" s="26">
        <f t="shared" si="29"/>
        <v>75915.432536544322</v>
      </c>
      <c r="K27" s="26">
        <f t="shared" si="29"/>
        <v>75915.432536544322</v>
      </c>
      <c r="L27" s="26">
        <f t="shared" si="29"/>
        <v>75915.432536544322</v>
      </c>
      <c r="M27" s="26">
        <f t="shared" si="29"/>
        <v>75915.432536544322</v>
      </c>
      <c r="N27" s="26">
        <f t="shared" si="29"/>
        <v>75915.432536544322</v>
      </c>
      <c r="O27" s="26">
        <f t="shared" si="29"/>
        <v>75915.432536544322</v>
      </c>
      <c r="P27" s="26">
        <f t="shared" si="29"/>
        <v>75915.432536544322</v>
      </c>
      <c r="Q27" s="26">
        <f t="shared" si="29"/>
        <v>75915.432536544322</v>
      </c>
      <c r="R27" s="26">
        <f t="shared" si="29"/>
        <v>75915.432536544322</v>
      </c>
      <c r="S27" s="26">
        <f t="shared" si="29"/>
        <v>75915.432536544322</v>
      </c>
      <c r="T27" s="26">
        <f t="shared" si="29"/>
        <v>75915.432536544322</v>
      </c>
      <c r="U27" s="26">
        <f t="shared" si="29"/>
        <v>75915.432536544322</v>
      </c>
      <c r="V27" s="26">
        <f t="shared" si="29"/>
        <v>75915.432536544322</v>
      </c>
      <c r="W27" s="26">
        <f t="shared" si="29"/>
        <v>75915.432536544322</v>
      </c>
      <c r="X27" s="26">
        <f t="shared" si="29"/>
        <v>75915.432536544322</v>
      </c>
      <c r="Y27" s="26">
        <f t="shared" si="29"/>
        <v>75915.432536544322</v>
      </c>
      <c r="Z27" s="26">
        <f t="shared" si="29"/>
        <v>75915.432536544322</v>
      </c>
      <c r="AA27" s="26">
        <f t="shared" si="29"/>
        <v>75915.432536544322</v>
      </c>
      <c r="AB27" s="26">
        <f t="shared" si="29"/>
        <v>75915.432536544322</v>
      </c>
      <c r="AC27" s="26">
        <f t="shared" si="29"/>
        <v>75915.432536544322</v>
      </c>
      <c r="BI27" s="2">
        <v>42514.592720093679</v>
      </c>
    </row>
    <row r="28" spans="4:61" x14ac:dyDescent="0.2">
      <c r="D28" s="2" t="s">
        <v>192</v>
      </c>
      <c r="E28" s="26">
        <f>SUM(E25:E27)</f>
        <v>235996.17370738304</v>
      </c>
      <c r="F28" s="26">
        <f>SUM(F25:F27)</f>
        <v>235996.17370738304</v>
      </c>
      <c r="G28" s="26">
        <f t="shared" ref="G28:AC28" si="30">SUM(G25:G27)</f>
        <v>235996.17370738304</v>
      </c>
      <c r="H28" s="26">
        <f t="shared" si="30"/>
        <v>235996.17370738304</v>
      </c>
      <c r="I28" s="26">
        <f t="shared" si="30"/>
        <v>235996.17370738304</v>
      </c>
      <c r="J28" s="26">
        <f t="shared" si="30"/>
        <v>235996.17370738304</v>
      </c>
      <c r="K28" s="26">
        <f t="shared" si="30"/>
        <v>235996.17370738304</v>
      </c>
      <c r="L28" s="26">
        <f t="shared" si="30"/>
        <v>235996.17370738304</v>
      </c>
      <c r="M28" s="26">
        <f t="shared" si="30"/>
        <v>235996.17370738304</v>
      </c>
      <c r="N28" s="26">
        <f t="shared" si="30"/>
        <v>235996.17370738304</v>
      </c>
      <c r="O28" s="26">
        <f t="shared" si="30"/>
        <v>235996.17370738304</v>
      </c>
      <c r="P28" s="26">
        <f t="shared" si="30"/>
        <v>235996.17370738304</v>
      </c>
      <c r="Q28" s="26">
        <f t="shared" si="30"/>
        <v>235996.17370738304</v>
      </c>
      <c r="R28" s="26">
        <f t="shared" si="30"/>
        <v>235996.17370738304</v>
      </c>
      <c r="S28" s="26">
        <f t="shared" si="30"/>
        <v>235996.17370738304</v>
      </c>
      <c r="T28" s="26">
        <f t="shared" si="30"/>
        <v>235996.17370738304</v>
      </c>
      <c r="U28" s="26">
        <f t="shared" si="30"/>
        <v>235996.17370738304</v>
      </c>
      <c r="V28" s="26">
        <f t="shared" si="30"/>
        <v>235996.17370738304</v>
      </c>
      <c r="W28" s="26">
        <f t="shared" si="30"/>
        <v>235996.17370738304</v>
      </c>
      <c r="X28" s="26">
        <f t="shared" si="30"/>
        <v>235996.17370738304</v>
      </c>
      <c r="Y28" s="26">
        <f t="shared" si="30"/>
        <v>235996.17370738304</v>
      </c>
      <c r="Z28" s="26">
        <f t="shared" si="30"/>
        <v>235996.17370738304</v>
      </c>
      <c r="AA28" s="26">
        <f t="shared" si="30"/>
        <v>235996.17370738304</v>
      </c>
      <c r="AB28" s="26">
        <f t="shared" si="30"/>
        <v>235996.17370738304</v>
      </c>
      <c r="AC28" s="26">
        <f t="shared" si="30"/>
        <v>235996.17370738304</v>
      </c>
      <c r="BI28" s="2">
        <v>43031.345800275078</v>
      </c>
    </row>
    <row r="29" spans="4:61" x14ac:dyDescent="0.2">
      <c r="D29" s="2" t="s">
        <v>193</v>
      </c>
      <c r="E29" s="26">
        <f>E24-E28</f>
        <v>396105.67921971373</v>
      </c>
      <c r="F29" s="26">
        <f t="shared" ref="F29:AC29" si="31">F24-F28</f>
        <v>396105.67921971373</v>
      </c>
      <c r="G29" s="26">
        <f t="shared" si="31"/>
        <v>396105.67921971373</v>
      </c>
      <c r="H29" s="26">
        <f t="shared" si="31"/>
        <v>396105.67921971373</v>
      </c>
      <c r="I29" s="26">
        <f t="shared" si="31"/>
        <v>396105.67921971373</v>
      </c>
      <c r="J29" s="26">
        <f t="shared" si="31"/>
        <v>396105.67921971373</v>
      </c>
      <c r="K29" s="26">
        <f t="shared" si="31"/>
        <v>396105.67921971373</v>
      </c>
      <c r="L29" s="26">
        <f t="shared" si="31"/>
        <v>396105.67921971373</v>
      </c>
      <c r="M29" s="26">
        <f t="shared" si="31"/>
        <v>396105.67921971373</v>
      </c>
      <c r="N29" s="26">
        <f t="shared" si="31"/>
        <v>396105.67921971373</v>
      </c>
      <c r="O29" s="26">
        <f t="shared" si="31"/>
        <v>396105.67921971373</v>
      </c>
      <c r="P29" s="26">
        <f t="shared" si="31"/>
        <v>396105.67921971373</v>
      </c>
      <c r="Q29" s="26">
        <f t="shared" si="31"/>
        <v>396105.67921971373</v>
      </c>
      <c r="R29" s="26">
        <f t="shared" si="31"/>
        <v>396105.67921971373</v>
      </c>
      <c r="S29" s="26">
        <f t="shared" si="31"/>
        <v>396105.67921971373</v>
      </c>
      <c r="T29" s="26">
        <f t="shared" si="31"/>
        <v>396105.67921971373</v>
      </c>
      <c r="U29" s="26">
        <f t="shared" si="31"/>
        <v>396105.67921971373</v>
      </c>
      <c r="V29" s="26">
        <f t="shared" si="31"/>
        <v>396105.67921971373</v>
      </c>
      <c r="W29" s="26">
        <f t="shared" si="31"/>
        <v>396105.67921971373</v>
      </c>
      <c r="X29" s="26">
        <f t="shared" si="31"/>
        <v>396105.67921971373</v>
      </c>
      <c r="Y29" s="26">
        <f t="shared" si="31"/>
        <v>396105.67921971373</v>
      </c>
      <c r="Z29" s="26">
        <f t="shared" si="31"/>
        <v>396105.67921971373</v>
      </c>
      <c r="AA29" s="26">
        <f t="shared" si="31"/>
        <v>396105.67921971373</v>
      </c>
      <c r="AB29" s="26">
        <f t="shared" si="31"/>
        <v>396105.67921971373</v>
      </c>
      <c r="AC29" s="26">
        <f t="shared" si="31"/>
        <v>396105.67921971373</v>
      </c>
      <c r="BI29" s="2">
        <v>43555.850176659202</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44088.222118689089</v>
      </c>
    </row>
    <row r="31" spans="4:61" x14ac:dyDescent="0.2">
      <c r="D31" s="2" t="s">
        <v>196</v>
      </c>
      <c r="E31" s="26">
        <f>(E29/12)+E30</f>
        <v>36178.171170276852</v>
      </c>
      <c r="F31" s="26">
        <f t="shared" ref="F31:AC31" si="32">(F29/12)+F30</f>
        <v>36178.171170276852</v>
      </c>
      <c r="G31" s="26">
        <f t="shared" si="32"/>
        <v>36178.171170276852</v>
      </c>
      <c r="H31" s="26">
        <f t="shared" si="32"/>
        <v>36178.171170276852</v>
      </c>
      <c r="I31" s="26">
        <f t="shared" si="32"/>
        <v>36178.171170276852</v>
      </c>
      <c r="J31" s="26">
        <f t="shared" si="32"/>
        <v>36178.171170276852</v>
      </c>
      <c r="K31" s="26">
        <f t="shared" si="32"/>
        <v>36178.171170276852</v>
      </c>
      <c r="L31" s="26">
        <f t="shared" si="32"/>
        <v>36178.171170276852</v>
      </c>
      <c r="M31" s="26">
        <f t="shared" si="32"/>
        <v>36178.171170276852</v>
      </c>
      <c r="N31" s="26">
        <f t="shared" si="32"/>
        <v>36178.171170276852</v>
      </c>
      <c r="O31" s="26">
        <f t="shared" si="32"/>
        <v>36178.171170276852</v>
      </c>
      <c r="P31" s="26">
        <f t="shared" si="32"/>
        <v>36178.171170276852</v>
      </c>
      <c r="Q31" s="26">
        <f t="shared" si="32"/>
        <v>36178.171170276852</v>
      </c>
      <c r="R31" s="26">
        <f t="shared" si="32"/>
        <v>36178.171170276852</v>
      </c>
      <c r="S31" s="26">
        <f t="shared" si="32"/>
        <v>36178.171170276852</v>
      </c>
      <c r="T31" s="26">
        <f t="shared" si="32"/>
        <v>36178.171170276852</v>
      </c>
      <c r="U31" s="26">
        <f t="shared" si="32"/>
        <v>36178.171170276852</v>
      </c>
      <c r="V31" s="26">
        <f t="shared" si="32"/>
        <v>36178.171170276852</v>
      </c>
      <c r="W31" s="26">
        <f t="shared" si="32"/>
        <v>36178.171170276852</v>
      </c>
      <c r="X31" s="26">
        <f t="shared" si="32"/>
        <v>36178.171170276852</v>
      </c>
      <c r="Y31" s="26">
        <f t="shared" si="32"/>
        <v>36178.171170276852</v>
      </c>
      <c r="Z31" s="26">
        <f t="shared" si="32"/>
        <v>36178.171170276852</v>
      </c>
      <c r="AA31" s="26">
        <f t="shared" si="32"/>
        <v>36178.171170276852</v>
      </c>
      <c r="AB31" s="26">
        <f t="shared" si="32"/>
        <v>36178.171170276852</v>
      </c>
      <c r="AC31" s="26">
        <f t="shared" si="32"/>
        <v>36178.171170276852</v>
      </c>
      <c r="BI31" s="2">
        <v>44628.579639849428</v>
      </c>
    </row>
    <row r="32" spans="4:61" x14ac:dyDescent="0.2">
      <c r="D32" s="2" t="s">
        <v>274</v>
      </c>
      <c r="E32" s="26">
        <f>Income!$K$52</f>
        <v>47595.521988473694</v>
      </c>
      <c r="F32" s="26">
        <f>Income!$K$52</f>
        <v>47595.521988473694</v>
      </c>
      <c r="G32" s="26">
        <f>Income!$K$52</f>
        <v>47595.521988473694</v>
      </c>
      <c r="H32" s="26">
        <f>Income!$K$52</f>
        <v>47595.521988473694</v>
      </c>
      <c r="I32" s="26">
        <f>Income!$K$52</f>
        <v>47595.521988473694</v>
      </c>
      <c r="J32" s="26">
        <f>Income!$K$52</f>
        <v>47595.521988473694</v>
      </c>
      <c r="K32" s="26">
        <f>Income!$K$52</f>
        <v>47595.521988473694</v>
      </c>
      <c r="L32" s="26">
        <f>Income!$K$52</f>
        <v>47595.521988473694</v>
      </c>
      <c r="M32" s="26">
        <f>Income!$K$52</f>
        <v>47595.521988473694</v>
      </c>
      <c r="N32" s="26">
        <f>Income!$K$52</f>
        <v>47595.521988473694</v>
      </c>
      <c r="O32" s="26">
        <f>Income!$K$52</f>
        <v>47595.521988473694</v>
      </c>
      <c r="P32" s="26">
        <f>Income!$K$52</f>
        <v>47595.521988473694</v>
      </c>
      <c r="Q32" s="26">
        <f>Income!$K$52</f>
        <v>47595.521988473694</v>
      </c>
      <c r="R32" s="26">
        <f>Income!$K$52</f>
        <v>47595.521988473694</v>
      </c>
      <c r="S32" s="26">
        <f>Income!$K$52</f>
        <v>47595.521988473694</v>
      </c>
      <c r="T32" s="26">
        <f>Income!$K$52</f>
        <v>47595.521988473694</v>
      </c>
      <c r="U32" s="26">
        <f>Income!$K$52</f>
        <v>47595.521988473694</v>
      </c>
      <c r="V32" s="26">
        <f>Income!$K$52</f>
        <v>47595.521988473694</v>
      </c>
      <c r="W32" s="26">
        <f>Income!$K$52</f>
        <v>47595.521988473694</v>
      </c>
      <c r="X32" s="26">
        <f>Income!$K$52</f>
        <v>47595.521988473694</v>
      </c>
      <c r="Y32" s="26">
        <f>Income!$K$52</f>
        <v>47595.521988473694</v>
      </c>
      <c r="Z32" s="26">
        <f>Income!$K$52</f>
        <v>47595.521988473694</v>
      </c>
      <c r="AA32" s="26">
        <f>Income!$K$52</f>
        <v>47595.521988473694</v>
      </c>
      <c r="AB32" s="26">
        <f>Income!$K$52</f>
        <v>47595.521988473694</v>
      </c>
      <c r="AC32" s="26">
        <f>Income!$K$52</f>
        <v>47595.521988473694</v>
      </c>
      <c r="BI32" s="2">
        <v>45177.042523827149</v>
      </c>
    </row>
    <row r="33" spans="4:61" x14ac:dyDescent="0.2">
      <c r="D33" s="2" t="s">
        <v>204</v>
      </c>
      <c r="E33" s="26">
        <f>E32-E31</f>
        <v>11417.350818196843</v>
      </c>
      <c r="F33" s="26">
        <f t="shared" ref="F33:AC33" si="33">F32-F31</f>
        <v>11417.350818196843</v>
      </c>
      <c r="G33" s="26">
        <f t="shared" si="33"/>
        <v>11417.350818196843</v>
      </c>
      <c r="H33" s="26">
        <f t="shared" si="33"/>
        <v>11417.350818196843</v>
      </c>
      <c r="I33" s="26">
        <f t="shared" si="33"/>
        <v>11417.350818196843</v>
      </c>
      <c r="J33" s="26">
        <f t="shared" si="33"/>
        <v>11417.350818196843</v>
      </c>
      <c r="K33" s="26">
        <f t="shared" si="33"/>
        <v>11417.350818196843</v>
      </c>
      <c r="L33" s="26">
        <f t="shared" si="33"/>
        <v>11417.350818196843</v>
      </c>
      <c r="M33" s="26">
        <f t="shared" si="33"/>
        <v>11417.350818196843</v>
      </c>
      <c r="N33" s="26">
        <f t="shared" si="33"/>
        <v>11417.350818196843</v>
      </c>
      <c r="O33" s="26">
        <f t="shared" si="33"/>
        <v>11417.350818196843</v>
      </c>
      <c r="P33" s="26">
        <f t="shared" si="33"/>
        <v>11417.350818196843</v>
      </c>
      <c r="Q33" s="26">
        <f t="shared" si="33"/>
        <v>11417.350818196843</v>
      </c>
      <c r="R33" s="26">
        <f t="shared" si="33"/>
        <v>11417.350818196843</v>
      </c>
      <c r="S33" s="26">
        <f t="shared" si="33"/>
        <v>11417.350818196843</v>
      </c>
      <c r="T33" s="26">
        <f t="shared" si="33"/>
        <v>11417.350818196843</v>
      </c>
      <c r="U33" s="26">
        <f t="shared" si="33"/>
        <v>11417.350818196843</v>
      </c>
      <c r="V33" s="26">
        <f t="shared" si="33"/>
        <v>11417.350818196843</v>
      </c>
      <c r="W33" s="26">
        <f t="shared" si="33"/>
        <v>11417.350818196843</v>
      </c>
      <c r="X33" s="26">
        <f t="shared" si="33"/>
        <v>11417.350818196843</v>
      </c>
      <c r="Y33" s="26">
        <f t="shared" si="33"/>
        <v>11417.350818196843</v>
      </c>
      <c r="Z33" s="26">
        <f t="shared" si="33"/>
        <v>11417.350818196843</v>
      </c>
      <c r="AA33" s="26">
        <f t="shared" si="33"/>
        <v>11417.350818196843</v>
      </c>
      <c r="AB33" s="26">
        <f t="shared" si="33"/>
        <v>11417.350818196843</v>
      </c>
      <c r="AC33" s="26">
        <f t="shared" si="33"/>
        <v>11417.350818196843</v>
      </c>
      <c r="BI33" s="2">
        <v>45733.732351064566</v>
      </c>
    </row>
    <row r="34" spans="4:61" x14ac:dyDescent="0.2">
      <c r="D34" s="2" t="s">
        <v>264</v>
      </c>
      <c r="E34" s="26">
        <f>E33*(1+$B$10)</f>
        <v>14500.035539109991</v>
      </c>
      <c r="F34" s="26">
        <f t="shared" ref="F34:AC34" si="34">F33*(1+$B$10)</f>
        <v>14500.035539109991</v>
      </c>
      <c r="G34" s="26">
        <f t="shared" si="34"/>
        <v>14500.035539109991</v>
      </c>
      <c r="H34" s="26">
        <f t="shared" si="34"/>
        <v>14500.035539109991</v>
      </c>
      <c r="I34" s="26">
        <f t="shared" si="34"/>
        <v>14500.035539109991</v>
      </c>
      <c r="J34" s="26">
        <f t="shared" si="34"/>
        <v>14500.035539109991</v>
      </c>
      <c r="K34" s="26">
        <f t="shared" si="34"/>
        <v>14500.035539109991</v>
      </c>
      <c r="L34" s="26">
        <f t="shared" si="34"/>
        <v>14500.035539109991</v>
      </c>
      <c r="M34" s="26">
        <f t="shared" si="34"/>
        <v>14500.035539109991</v>
      </c>
      <c r="N34" s="26">
        <f t="shared" si="34"/>
        <v>14500.035539109991</v>
      </c>
      <c r="O34" s="26">
        <f t="shared" si="34"/>
        <v>14500.035539109991</v>
      </c>
      <c r="P34" s="26">
        <f t="shared" si="34"/>
        <v>14500.035539109991</v>
      </c>
      <c r="Q34" s="26">
        <f t="shared" si="34"/>
        <v>14500.035539109991</v>
      </c>
      <c r="R34" s="26">
        <f t="shared" si="34"/>
        <v>14500.035539109991</v>
      </c>
      <c r="S34" s="26">
        <f t="shared" si="34"/>
        <v>14500.035539109991</v>
      </c>
      <c r="T34" s="26">
        <f t="shared" si="34"/>
        <v>14500.035539109991</v>
      </c>
      <c r="U34" s="26">
        <f t="shared" si="34"/>
        <v>14500.035539109991</v>
      </c>
      <c r="V34" s="26">
        <f t="shared" si="34"/>
        <v>14500.035539109991</v>
      </c>
      <c r="W34" s="26">
        <f t="shared" si="34"/>
        <v>14500.035539109991</v>
      </c>
      <c r="X34" s="26">
        <f t="shared" si="34"/>
        <v>14500.035539109991</v>
      </c>
      <c r="Y34" s="26">
        <f t="shared" si="34"/>
        <v>14500.035539109991</v>
      </c>
      <c r="Z34" s="26">
        <f t="shared" si="34"/>
        <v>14500.035539109991</v>
      </c>
      <c r="AA34" s="26">
        <f t="shared" si="34"/>
        <v>14500.035539109991</v>
      </c>
      <c r="AB34" s="26">
        <f t="shared" si="34"/>
        <v>14500.035539109991</v>
      </c>
      <c r="AC34" s="26">
        <f t="shared" si="34"/>
        <v>14500.035539109991</v>
      </c>
      <c r="BI34" s="2">
        <v>46298.772525710527</v>
      </c>
    </row>
    <row r="35" spans="4:61" x14ac:dyDescent="0.2">
      <c r="D35" s="2" t="s">
        <v>265</v>
      </c>
      <c r="E35" s="26">
        <f>E34*12</f>
        <v>174000.42646931991</v>
      </c>
      <c r="F35" s="26">
        <f t="shared" ref="F35:AC35" si="35">F34*12</f>
        <v>174000.42646931991</v>
      </c>
      <c r="G35" s="26">
        <f t="shared" si="35"/>
        <v>174000.42646931991</v>
      </c>
      <c r="H35" s="26">
        <f t="shared" si="35"/>
        <v>174000.42646931991</v>
      </c>
      <c r="I35" s="26">
        <f t="shared" si="35"/>
        <v>174000.42646931991</v>
      </c>
      <c r="J35" s="26">
        <f t="shared" si="35"/>
        <v>174000.42646931991</v>
      </c>
      <c r="K35" s="26">
        <f t="shared" si="35"/>
        <v>174000.42646931991</v>
      </c>
      <c r="L35" s="26">
        <f t="shared" si="35"/>
        <v>174000.42646931991</v>
      </c>
      <c r="M35" s="26">
        <f t="shared" si="35"/>
        <v>174000.42646931991</v>
      </c>
      <c r="N35" s="26">
        <f t="shared" si="35"/>
        <v>174000.42646931991</v>
      </c>
      <c r="O35" s="26">
        <f t="shared" si="35"/>
        <v>174000.42646931991</v>
      </c>
      <c r="P35" s="26">
        <f t="shared" si="35"/>
        <v>174000.42646931991</v>
      </c>
      <c r="Q35" s="26">
        <f t="shared" si="35"/>
        <v>174000.42646931991</v>
      </c>
      <c r="R35" s="26">
        <f t="shared" si="35"/>
        <v>174000.42646931991</v>
      </c>
      <c r="S35" s="26">
        <f t="shared" si="35"/>
        <v>174000.42646931991</v>
      </c>
      <c r="T35" s="26">
        <f t="shared" si="35"/>
        <v>174000.42646931991</v>
      </c>
      <c r="U35" s="26">
        <f t="shared" si="35"/>
        <v>174000.42646931991</v>
      </c>
      <c r="V35" s="26">
        <f t="shared" si="35"/>
        <v>174000.42646931991</v>
      </c>
      <c r="W35" s="26">
        <f t="shared" si="35"/>
        <v>174000.42646931991</v>
      </c>
      <c r="X35" s="26">
        <f t="shared" si="35"/>
        <v>174000.42646931991</v>
      </c>
      <c r="Y35" s="26">
        <f t="shared" si="35"/>
        <v>174000.42646931991</v>
      </c>
      <c r="Z35" s="26">
        <f t="shared" si="35"/>
        <v>174000.42646931991</v>
      </c>
      <c r="AA35" s="26">
        <f t="shared" si="35"/>
        <v>174000.42646931991</v>
      </c>
      <c r="AB35" s="26">
        <f t="shared" si="35"/>
        <v>174000.42646931991</v>
      </c>
      <c r="AC35" s="26">
        <f t="shared" si="35"/>
        <v>174000.42646931991</v>
      </c>
      <c r="BI35" s="2">
        <v>46872.28830297618</v>
      </c>
    </row>
    <row r="36" spans="4:61" x14ac:dyDescent="0.2">
      <c r="BI36" s="2">
        <v>47454.406816900824</v>
      </c>
    </row>
    <row r="37" spans="4:61" x14ac:dyDescent="0.2">
      <c r="D37" s="2" t="s">
        <v>205</v>
      </c>
      <c r="E37" s="27">
        <f>SUM(E35:AC35)</f>
        <v>4350010.6617329987</v>
      </c>
      <c r="BI37" s="2">
        <v>49817.807983434868</v>
      </c>
    </row>
    <row r="38" spans="4:61" x14ac:dyDescent="0.2">
      <c r="E38" s="26"/>
      <c r="BI38" s="2">
        <v>50444.109292566398</v>
      </c>
    </row>
    <row r="39" spans="4:61" x14ac:dyDescent="0.2">
      <c r="E39" s="57">
        <f>1500000</f>
        <v>1500000</v>
      </c>
      <c r="F39" s="57">
        <f>E39/25</f>
        <v>60000</v>
      </c>
      <c r="BI39" s="2">
        <v>51079.805121334881</v>
      </c>
    </row>
    <row r="40" spans="4:61" x14ac:dyDescent="0.2">
      <c r="BI40" s="2">
        <v>51725.036387534899</v>
      </c>
    </row>
    <row r="41" spans="4:61" x14ac:dyDescent="0.2">
      <c r="BI41" s="2">
        <v>52379.946122727917</v>
      </c>
    </row>
    <row r="42" spans="4:61" x14ac:dyDescent="0.2">
      <c r="BI42" s="2">
        <v>53044.679503948835</v>
      </c>
    </row>
    <row r="43" spans="4:61" x14ac:dyDescent="0.2">
      <c r="E43" s="28"/>
      <c r="BI43" s="2">
        <v>53719.383885888055</v>
      </c>
    </row>
    <row r="44" spans="4:61" x14ac:dyDescent="0.2">
      <c r="E44" s="28"/>
      <c r="BI44" s="2">
        <v>54404.208833556368</v>
      </c>
    </row>
    <row r="45" spans="4:61" x14ac:dyDescent="0.2">
      <c r="E45" s="26"/>
      <c r="BI45" s="2">
        <v>55099.306155439721</v>
      </c>
    </row>
    <row r="46" spans="4:61" x14ac:dyDescent="0.2">
      <c r="E46" s="26"/>
      <c r="BI46" s="2">
        <v>55804.829937151306</v>
      </c>
    </row>
    <row r="47" spans="4:61" x14ac:dyDescent="0.2">
      <c r="E47" s="26"/>
      <c r="BI47" s="2">
        <v>56520.936575588566</v>
      </c>
    </row>
    <row r="48" spans="4:61" x14ac:dyDescent="0.2">
      <c r="E48" s="26"/>
      <c r="BI48" s="2">
        <v>57247.784813602397</v>
      </c>
    </row>
    <row r="49" spans="5:61" x14ac:dyDescent="0.2">
      <c r="E49" s="26"/>
      <c r="BI49" s="2">
        <v>57985.535775186429</v>
      </c>
    </row>
    <row r="50" spans="5:61" x14ac:dyDescent="0.2">
      <c r="E50" s="26"/>
      <c r="BI50" s="2">
        <v>58734.35300119422</v>
      </c>
    </row>
    <row r="51" spans="5:61" x14ac:dyDescent="0.2">
      <c r="E51" s="26"/>
      <c r="BI51" s="2">
        <v>59494.402485592123</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Y</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Y</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Y</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Y</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Y</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Y</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tabSelected="1" workbookViewId="0">
      <selection activeCell="C9" sqref="C9"/>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4350010.6617329987</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v>4212659.32</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56876.335233781305</v>
      </c>
      <c r="D2" s="67">
        <v>57741.1541488</v>
      </c>
      <c r="E2" s="67">
        <v>61252.318943776016</v>
      </c>
      <c r="F2" s="67">
        <v>62182.77761444464</v>
      </c>
      <c r="G2" s="67">
        <v>63127.193165173318</v>
      </c>
      <c r="H2" s="67">
        <v>64085.7749491629</v>
      </c>
      <c r="I2" s="67">
        <v>67977.616992160663</v>
      </c>
      <c r="J2" s="67">
        <v>69008.955133555035</v>
      </c>
      <c r="K2" s="67">
        <v>70055.763347070388</v>
      </c>
      <c r="L2" s="67">
        <v>71118.273683788444</v>
      </c>
      <c r="M2" s="67">
        <v>75432.065650863748</v>
      </c>
      <c r="N2" s="67">
        <v>76575.220522138683</v>
      </c>
      <c r="O2" s="67">
        <v>77735.522716482781</v>
      </c>
      <c r="P2" s="67">
        <v>82446.34962551971</v>
      </c>
      <c r="Q2" s="67">
        <v>83694.718756414513</v>
      </c>
      <c r="R2" s="67">
        <v>84677.058362134412</v>
      </c>
      <c r="S2" s="67">
        <v>85656.896292078454</v>
      </c>
      <c r="T2" s="67">
        <v>86651.431790971605</v>
      </c>
      <c r="U2" s="67">
        <v>90689.24591647787</v>
      </c>
      <c r="V2" s="67">
        <v>91759.266659737041</v>
      </c>
      <c r="W2" s="67">
        <v>92845.337714145076</v>
      </c>
      <c r="X2" s="67">
        <v>93947.699834369269</v>
      </c>
      <c r="Y2" s="67">
        <v>98423.290042479406</v>
      </c>
      <c r="Z2" s="67">
        <v>99609.321447628608</v>
      </c>
      <c r="AA2" s="67">
        <v>100813.14332385501</v>
      </c>
      <c r="AB2" s="67">
        <v>102035.02252822484</v>
      </c>
      <c r="AC2" s="67">
        <v>103275.2299206602</v>
      </c>
      <c r="AD2" s="67">
        <v>104534.04042398208</v>
      </c>
      <c r="AE2" s="67">
        <v>105811.73308485381</v>
      </c>
      <c r="AF2" s="67">
        <v>107108.59113563864</v>
      </c>
      <c r="AG2" s="67">
        <v>108424.90205718517</v>
      </c>
      <c r="AH2" s="67">
        <v>109760.95764255496</v>
      </c>
      <c r="AI2" s="67">
        <v>111117.05406170528</v>
      </c>
      <c r="AJ2" s="67">
        <v>112493.49192714284</v>
      </c>
      <c r="AK2" s="67">
        <v>113890.57636056199</v>
      </c>
      <c r="AL2" s="67">
        <v>119562.73916024368</v>
      </c>
      <c r="AM2" s="67">
        <v>121065.86230215937</v>
      </c>
      <c r="AN2" s="67">
        <v>122591.53229120372</v>
      </c>
      <c r="AO2" s="67">
        <v>124140.08733008377</v>
      </c>
      <c r="AP2" s="67">
        <v>125711.87069454702</v>
      </c>
      <c r="AQ2" s="67">
        <v>127307.23080947722</v>
      </c>
      <c r="AR2" s="67">
        <v>128926.52132613133</v>
      </c>
      <c r="AS2" s="67">
        <v>130570.1012005353</v>
      </c>
      <c r="AT2" s="67">
        <v>132238.33477305534</v>
      </c>
      <c r="AU2" s="67">
        <v>133931.59184916315</v>
      </c>
      <c r="AV2" s="67">
        <v>135650.24778141256</v>
      </c>
      <c r="AW2" s="67">
        <v>137394.68355264576</v>
      </c>
      <c r="AX2" s="67">
        <v>139165.28586044742</v>
      </c>
      <c r="AY2" s="67">
        <v>140962.44720286614</v>
      </c>
      <c r="AZ2" s="67">
        <v>142786.56596542112</v>
      </c>
      <c r="BA2">
        <v>0</v>
      </c>
    </row>
    <row r="3" spans="1:53" x14ac:dyDescent="0.2">
      <c r="A3" s="67" t="s">
        <v>74</v>
      </c>
      <c r="B3" s="69">
        <v>200000</v>
      </c>
      <c r="C3" s="67" cm="1">
        <f t="array" ref="C3:BA3">TRANSPOSE(TableIncome[InvestmentP2])</f>
        <v>93074.178686453612</v>
      </c>
      <c r="D3" s="67">
        <v>94179.973421262403</v>
      </c>
      <c r="E3" s="67">
        <v>98669.500044586137</v>
      </c>
      <c r="F3" s="67">
        <v>99859.224599766938</v>
      </c>
      <c r="G3" s="67">
        <v>101066.79502327541</v>
      </c>
      <c r="H3" s="67">
        <v>102292.47900313653</v>
      </c>
      <c r="I3" s="67">
        <v>107268.75596137271</v>
      </c>
      <c r="J3" s="67">
        <v>108587.46935530531</v>
      </c>
      <c r="K3" s="67">
        <v>109925.96345014687</v>
      </c>
      <c r="L3" s="67">
        <v>111284.53495641107</v>
      </c>
      <c r="M3" s="67">
        <v>116800.33527184371</v>
      </c>
      <c r="N3" s="67">
        <v>118262.02235543339</v>
      </c>
      <c r="O3" s="67">
        <v>119745.63474527687</v>
      </c>
      <c r="P3" s="67">
        <v>125769.10104804147</v>
      </c>
      <c r="Q3" s="67">
        <v>127365.31961827409</v>
      </c>
      <c r="R3" s="67">
        <v>128985.48146706015</v>
      </c>
      <c r="S3" s="67">
        <v>130629.94574357808</v>
      </c>
      <c r="T3" s="67">
        <v>132299.0769842437</v>
      </c>
      <c r="U3" s="67">
        <v>139075.74982134634</v>
      </c>
      <c r="V3" s="67">
        <v>140871.56812317853</v>
      </c>
      <c r="W3" s="67">
        <v>142694.32369953819</v>
      </c>
      <c r="X3" s="67">
        <v>144544.4206095433</v>
      </c>
      <c r="Y3" s="67">
        <v>152055.81406416386</v>
      </c>
      <c r="Z3" s="67">
        <v>154046.33332963832</v>
      </c>
      <c r="AA3" s="67">
        <v>156066.71038409488</v>
      </c>
      <c r="AB3" s="67">
        <v>158117.39309436828</v>
      </c>
      <c r="AC3" s="67">
        <v>160198.83604529581</v>
      </c>
      <c r="AD3" s="67">
        <v>162311.50064048721</v>
      </c>
      <c r="AE3" s="67">
        <v>164455.85520460655</v>
      </c>
      <c r="AF3" s="67">
        <v>166632.37508718763</v>
      </c>
      <c r="AG3" s="67">
        <v>168841.54276800744</v>
      </c>
      <c r="AH3" s="67">
        <v>171083.84796403951</v>
      </c>
      <c r="AI3" s="67">
        <v>173359.78773801206</v>
      </c>
      <c r="AJ3" s="67">
        <v>175669.86660859428</v>
      </c>
      <c r="AK3" s="67">
        <v>178014.59666223518</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56876.335233781305</v>
      </c>
      <c r="C2" s="71">
        <f>SUMIF(TableIncome[Year], "&lt;=" &amp; C1, TableIncome[InvestmentP1])</f>
        <v>114617.48938258131</v>
      </c>
      <c r="D2" s="71">
        <f>SUMIF(TableIncome[Year], "&lt;=" &amp; D1, TableIncome[InvestmentP1])</f>
        <v>175869.80832635734</v>
      </c>
      <c r="E2" s="71">
        <f>SUMIF(TableIncome[Year], "&lt;=" &amp; E1, TableIncome[InvestmentP1])</f>
        <v>238052.58594080198</v>
      </c>
      <c r="F2" s="71">
        <f>SUMIF(TableIncome[Year], "&lt;=" &amp; F1, TableIncome[InvestmentP1])</f>
        <v>301179.77910597529</v>
      </c>
      <c r="G2" s="71">
        <f>SUMIF(TableIncome[Year], "&lt;=" &amp; G1, TableIncome[InvestmentP1])</f>
        <v>365265.5540551382</v>
      </c>
      <c r="H2" s="71">
        <f>SUMIF(TableIncome[Year], "&lt;=" &amp; H1, TableIncome[InvestmentP1])</f>
        <v>433243.17104729888</v>
      </c>
      <c r="I2" s="71">
        <f>SUMIF(TableIncome[Year], "&lt;=" &amp; I1, TableIncome[InvestmentP1])</f>
        <v>502252.12618085393</v>
      </c>
      <c r="J2" s="71">
        <f>SUMIF(TableIncome[Year], "&lt;=" &amp; J1, TableIncome[InvestmentP1])</f>
        <v>572307.88952792436</v>
      </c>
      <c r="K2" s="71">
        <f>SUMIF(TableIncome[Year], "&lt;=" &amp; K1, TableIncome[InvestmentP1])</f>
        <v>643426.16321171285</v>
      </c>
      <c r="L2" s="71">
        <f>SUMIF(TableIncome[Year], "&lt;=" &amp; L1, TableIncome[InvestmentP1])</f>
        <v>718858.22886257665</v>
      </c>
      <c r="M2" s="71">
        <f>SUMIF(TableIncome[Year], "&lt;=" &amp; M1, TableIncome[InvestmentP1])</f>
        <v>795433.44938471529</v>
      </c>
      <c r="N2" s="71">
        <f>SUMIF(TableIncome[Year], "&lt;=" &amp; N1, TableIncome[InvestmentP1])</f>
        <v>873168.97210119804</v>
      </c>
      <c r="O2" s="71">
        <f>SUMIF(TableIncome[Year], "&lt;=" &amp; O1, TableIncome[InvestmentP1])</f>
        <v>955615.32172671775</v>
      </c>
      <c r="P2" s="71">
        <f>SUMIF(TableIncome[Year], "&lt;=" &amp; P1, TableIncome[InvestmentP1])</f>
        <v>1039310.0404831322</v>
      </c>
      <c r="Q2" s="71">
        <f>SUMIF(TableIncome[Year], "&lt;=" &amp; Q1, TableIncome[InvestmentP1])</f>
        <v>1123987.0988452667</v>
      </c>
      <c r="R2" s="71">
        <f>SUMIF(TableIncome[Year], "&lt;=" &amp; R1, TableIncome[InvestmentP1])</f>
        <v>1209643.9951373453</v>
      </c>
      <c r="S2" s="71">
        <f>SUMIF(TableIncome[Year], "&lt;=" &amp; S1, TableIncome[InvestmentP1])</f>
        <v>1296295.4269283169</v>
      </c>
      <c r="T2" s="71">
        <f>SUMIF(TableIncome[Year], "&lt;=" &amp; T1, TableIncome[InvestmentP1])</f>
        <v>1386984.6728447948</v>
      </c>
      <c r="U2" s="71">
        <f>SUMIF(TableIncome[Year], "&lt;=" &amp; U1, TableIncome[InvestmentP1])</f>
        <v>1478743.9395045319</v>
      </c>
      <c r="V2" s="71">
        <f>SUMIF(TableIncome[Year], "&lt;=" &amp; V1, TableIncome[InvestmentP1])</f>
        <v>1571589.2772186771</v>
      </c>
      <c r="W2" s="71">
        <f>SUMIF(TableIncome[Year], "&lt;=" &amp; W1, TableIncome[InvestmentP1])</f>
        <v>1665536.9770530465</v>
      </c>
      <c r="X2" s="71">
        <f>SUMIF(TableIncome[Year], "&lt;=" &amp; X1, TableIncome[InvestmentP1])</f>
        <v>1763960.2670955257</v>
      </c>
      <c r="Y2" s="71">
        <f>SUMIF(TableIncome[Year], "&lt;=" &amp; Y1, TableIncome[InvestmentP1])</f>
        <v>1863569.5885431543</v>
      </c>
      <c r="Z2" s="71">
        <f>SUMIF(TableIncome[Year], "&lt;=" &amp; Z1, TableIncome[InvestmentP1])</f>
        <v>1964382.7318670093</v>
      </c>
      <c r="AA2" s="71">
        <f>SUMIF(TableIncome[Year], "&lt;=" &amp; AA1, TableIncome[InvestmentP1])</f>
        <v>2066417.7543952342</v>
      </c>
      <c r="AB2" s="71">
        <f>SUMIF(TableIncome[Year], "&lt;=" &amp; AB1, TableIncome[InvestmentP1])</f>
        <v>2169692.9843158945</v>
      </c>
      <c r="AC2" s="71">
        <f>SUMIF(TableIncome[Year], "&lt;=" &amp; AC1, TableIncome[InvestmentP1])</f>
        <v>2274227.0247398764</v>
      </c>
      <c r="AD2" s="71">
        <f>SUMIF(TableIncome[Year], "&lt;=" &amp; AD1, TableIncome[InvestmentP1])</f>
        <v>2380038.7578247301</v>
      </c>
      <c r="AE2" s="71">
        <f>SUMIF(TableIncome[Year], "&lt;=" &amp; AE1, TableIncome[InvestmentP1])</f>
        <v>2487147.3489603689</v>
      </c>
      <c r="AF2" s="71">
        <f>SUMIF(TableIncome[Year], "&lt;=" &amp; AF1, TableIncome[InvestmentP1])</f>
        <v>2595572.2510175542</v>
      </c>
      <c r="AG2" s="71">
        <f>SUMIF(TableIncome[Year], "&lt;=" &amp; AG1, TableIncome[InvestmentP1])</f>
        <v>2705333.208660109</v>
      </c>
      <c r="AH2" s="71">
        <f>SUMIF(TableIncome[Year], "&lt;=" &amp; AH1, TableIncome[InvestmentP1])</f>
        <v>2816450.2627218142</v>
      </c>
      <c r="AI2" s="71">
        <f>SUMIF(TableIncome[Year], "&lt;=" &amp; AI1, TableIncome[InvestmentP1])</f>
        <v>2928943.7546489569</v>
      </c>
      <c r="AJ2" s="71">
        <f>SUMIF(TableIncome[Year], "&lt;=" &amp; AJ1, TableIncome[InvestmentP1])</f>
        <v>3042834.3310095188</v>
      </c>
      <c r="AK2" s="71">
        <f>SUMIF(TableIncome[Year], "&lt;=" &amp; AK1, TableIncome[InvestmentP1])</f>
        <v>3162397.0701697627</v>
      </c>
      <c r="AL2" s="71">
        <f>SUMIF(TableIncome[Year], "&lt;=" &amp; AL1, TableIncome[InvestmentP1])</f>
        <v>3283462.9324719221</v>
      </c>
      <c r="AM2" s="71">
        <f>SUMIF(TableIncome[Year], "&lt;=" &amp; AM1, TableIncome[InvestmentP1])</f>
        <v>3406054.4647631259</v>
      </c>
      <c r="AN2" s="71">
        <f>SUMIF(TableIncome[Year], "&lt;=" &amp; AN1, TableIncome[InvestmentP1])</f>
        <v>3530194.5520932097</v>
      </c>
      <c r="AO2" s="71">
        <f>SUMIF(TableIncome[Year], "&lt;=" &amp; AO1, TableIncome[InvestmentP1])</f>
        <v>3655906.4227877567</v>
      </c>
      <c r="AP2" s="71">
        <f>SUMIF(TableIncome[Year], "&lt;=" &amp; AP1, TableIncome[InvestmentP1])</f>
        <v>3783213.6535972338</v>
      </c>
      <c r="AQ2" s="71">
        <f>SUMIF(TableIncome[Year], "&lt;=" &amp; AQ1, TableIncome[InvestmentP1])</f>
        <v>3912140.174923365</v>
      </c>
      <c r="AR2" s="71">
        <f>SUMIF(TableIncome[Year], "&lt;=" &amp; AR1, TableIncome[InvestmentP1])</f>
        <v>4042710.2761239004</v>
      </c>
      <c r="AS2" s="71">
        <f>SUMIF(TableIncome[Year], "&lt;=" &amp; AS1, TableIncome[InvestmentP1])</f>
        <v>4174948.6108969557</v>
      </c>
      <c r="AT2" s="71">
        <f>SUMIF(TableIncome[Year], "&lt;=" &amp; AT1, TableIncome[InvestmentP1])</f>
        <v>4308880.2027461184</v>
      </c>
      <c r="AU2" s="71">
        <f>SUMIF(TableIncome[Year], "&lt;=" &amp; AU1, TableIncome[InvestmentP1])</f>
        <v>4444530.4505275311</v>
      </c>
      <c r="AV2" s="71">
        <f>SUMIF(TableIncome[Year], "&lt;=" &amp; AV1, TableIncome[InvestmentP1])</f>
        <v>4581925.1340801772</v>
      </c>
      <c r="AW2" s="71">
        <f>SUMIF(TableIncome[Year], "&lt;=" &amp; AW1, TableIncome[InvestmentP1])</f>
        <v>4721090.4199406244</v>
      </c>
      <c r="AX2" s="71">
        <f>SUMIF(TableIncome[Year], "&lt;=" &amp; AX1, TableIncome[InvestmentP1])</f>
        <v>4862052.8671434904</v>
      </c>
      <c r="AY2" s="71">
        <f>SUMIF(TableIncome[Year], "&lt;=" &amp; AY1, TableIncome[InvestmentP1])</f>
        <v>5004839.4331089118</v>
      </c>
      <c r="AZ2" s="71">
        <f>SUMIF(TableIncome[Year], "&lt;=" &amp; AZ1, TableIncome[InvestmentP1])</f>
        <v>5004839.4331089118</v>
      </c>
    </row>
    <row r="3" spans="1:52" x14ac:dyDescent="0.2">
      <c r="A3" s="67" t="s">
        <v>74</v>
      </c>
      <c r="B3" s="71">
        <f>SUMIF(TableIncome[Year], "&lt;=" &amp; B1, TableIncome[InvestmentP2])</f>
        <v>93074.178686453612</v>
      </c>
      <c r="C3" s="71">
        <f>SUMIF(TableIncome[Year], "&lt;=" &amp; C1, TableIncome[InvestmentP2])</f>
        <v>187254.15210771601</v>
      </c>
      <c r="D3" s="71">
        <f>SUMIF(TableIncome[Year], "&lt;=" &amp; D1, TableIncome[InvestmentP2])</f>
        <v>285923.65215230215</v>
      </c>
      <c r="E3" s="71">
        <f>SUMIF(TableIncome[Year], "&lt;=" &amp; E1, TableIncome[InvestmentP2])</f>
        <v>385782.8767520691</v>
      </c>
      <c r="F3" s="71">
        <f>SUMIF(TableIncome[Year], "&lt;=" &amp; F1, TableIncome[InvestmentP2])</f>
        <v>486849.67177534453</v>
      </c>
      <c r="G3" s="71">
        <f>SUMIF(TableIncome[Year], "&lt;=" &amp; G1, TableIncome[InvestmentP2])</f>
        <v>589142.15077848104</v>
      </c>
      <c r="H3" s="71">
        <f>SUMIF(TableIncome[Year], "&lt;=" &amp; H1, TableIncome[InvestmentP2])</f>
        <v>696410.90673985379</v>
      </c>
      <c r="I3" s="71">
        <f>SUMIF(TableIncome[Year], "&lt;=" &amp; I1, TableIncome[InvestmentP2])</f>
        <v>804998.3760951591</v>
      </c>
      <c r="J3" s="71">
        <f>SUMIF(TableIncome[Year], "&lt;=" &amp; J1, TableIncome[InvestmentP2])</f>
        <v>914924.33954530593</v>
      </c>
      <c r="K3" s="71">
        <f>SUMIF(TableIncome[Year], "&lt;=" &amp; K1, TableIncome[InvestmentP2])</f>
        <v>1026208.874501717</v>
      </c>
      <c r="L3" s="71">
        <f>SUMIF(TableIncome[Year], "&lt;=" &amp; L1, TableIncome[InvestmentP2])</f>
        <v>1143009.2097735608</v>
      </c>
      <c r="M3" s="71">
        <f>SUMIF(TableIncome[Year], "&lt;=" &amp; M1, TableIncome[InvestmentP2])</f>
        <v>1261271.2321289941</v>
      </c>
      <c r="N3" s="71">
        <f>SUMIF(TableIncome[Year], "&lt;=" &amp; N1, TableIncome[InvestmentP2])</f>
        <v>1381016.8668742708</v>
      </c>
      <c r="O3" s="71">
        <f>SUMIF(TableIncome[Year], "&lt;=" &amp; O1, TableIncome[InvestmentP2])</f>
        <v>1506785.9679223122</v>
      </c>
      <c r="P3" s="71">
        <f>SUMIF(TableIncome[Year], "&lt;=" &amp; P1, TableIncome[InvestmentP2])</f>
        <v>1634151.2875405862</v>
      </c>
      <c r="Q3" s="71">
        <f>SUMIF(TableIncome[Year], "&lt;=" &amp; Q1, TableIncome[InvestmentP2])</f>
        <v>1763136.7690076462</v>
      </c>
      <c r="R3" s="71">
        <f>SUMIF(TableIncome[Year], "&lt;=" &amp; R1, TableIncome[InvestmentP2])</f>
        <v>1893766.7147512243</v>
      </c>
      <c r="S3" s="71">
        <f>SUMIF(TableIncome[Year], "&lt;=" &amp; S1, TableIncome[InvestmentP2])</f>
        <v>2026065.791735468</v>
      </c>
      <c r="T3" s="71">
        <f>SUMIF(TableIncome[Year], "&lt;=" &amp; T1, TableIncome[InvestmentP2])</f>
        <v>2165141.5415568142</v>
      </c>
      <c r="U3" s="71">
        <f>SUMIF(TableIncome[Year], "&lt;=" &amp; U1, TableIncome[InvestmentP2])</f>
        <v>2306013.1096799928</v>
      </c>
      <c r="V3" s="71">
        <f>SUMIF(TableIncome[Year], "&lt;=" &amp; V1, TableIncome[InvestmentP2])</f>
        <v>2448707.4333795309</v>
      </c>
      <c r="W3" s="71">
        <f>SUMIF(TableIncome[Year], "&lt;=" &amp; W1, TableIncome[InvestmentP2])</f>
        <v>2593251.853989074</v>
      </c>
      <c r="X3" s="71">
        <f>SUMIF(TableIncome[Year], "&lt;=" &amp; X1, TableIncome[InvestmentP2])</f>
        <v>2745307.6680532377</v>
      </c>
      <c r="Y3" s="71">
        <f>SUMIF(TableIncome[Year], "&lt;=" &amp; Y1, TableIncome[InvestmentP2])</f>
        <v>2899354.0013828762</v>
      </c>
      <c r="Z3" s="71">
        <f>SUMIF(TableIncome[Year], "&lt;=" &amp; Z1, TableIncome[InvestmentP2])</f>
        <v>3055420.7117669713</v>
      </c>
      <c r="AA3" s="71">
        <f>SUMIF(TableIncome[Year], "&lt;=" &amp; AA1, TableIncome[InvestmentP2])</f>
        <v>3213538.1048613396</v>
      </c>
      <c r="AB3" s="71">
        <f>SUMIF(TableIncome[Year], "&lt;=" &amp; AB1, TableIncome[InvestmentP2])</f>
        <v>3373736.9409066355</v>
      </c>
      <c r="AC3" s="71">
        <f>SUMIF(TableIncome[Year], "&lt;=" &amp; AC1, TableIncome[InvestmentP2])</f>
        <v>3536048.4415471228</v>
      </c>
      <c r="AD3" s="71">
        <f>SUMIF(TableIncome[Year], "&lt;=" &amp; AD1, TableIncome[InvestmentP2])</f>
        <v>3700504.2967517292</v>
      </c>
      <c r="AE3" s="71">
        <f>SUMIF(TableIncome[Year], "&lt;=" &amp; AE1, TableIncome[InvestmentP2])</f>
        <v>3867136.6718389168</v>
      </c>
      <c r="AF3" s="71">
        <f>SUMIF(TableIncome[Year], "&lt;=" &amp; AF1, TableIncome[InvestmentP2])</f>
        <v>4035978.2146069244</v>
      </c>
      <c r="AG3" s="71">
        <f>SUMIF(TableIncome[Year], "&lt;=" &amp; AG1, TableIncome[InvestmentP2])</f>
        <v>4207062.062570964</v>
      </c>
      <c r="AH3" s="71">
        <f>SUMIF(TableIncome[Year], "&lt;=" &amp; AH1, TableIncome[InvestmentP2])</f>
        <v>4380421.8503089761</v>
      </c>
      <c r="AI3" s="71">
        <f>SUMIF(TableIncome[Year], "&lt;=" &amp; AI1, TableIncome[InvestmentP2])</f>
        <v>4556091.7169175707</v>
      </c>
      <c r="AJ3" s="71">
        <f>SUMIF(TableIncome[Year], "&lt;=" &amp; AJ1, TableIncome[InvestmentP2])</f>
        <v>4734106.3135798061</v>
      </c>
      <c r="AK3" s="71">
        <f>SUMIF(TableIncome[Year], "&lt;=" &amp; AK1, TableIncome[InvestmentP2])</f>
        <v>4734106.3135798061</v>
      </c>
      <c r="AL3" s="71">
        <f>SUMIF(TableIncome[Year], "&lt;=" &amp; AL1, TableIncome[InvestmentP2])</f>
        <v>4734106.3135798061</v>
      </c>
      <c r="AM3" s="71">
        <f>SUMIF(TableIncome[Year], "&lt;=" &amp; AM1, TableIncome[InvestmentP2])</f>
        <v>4734106.3135798061</v>
      </c>
      <c r="AN3" s="71">
        <f>SUMIF(TableIncome[Year], "&lt;=" &amp; AN1, TableIncome[InvestmentP2])</f>
        <v>4734106.3135798061</v>
      </c>
      <c r="AO3" s="71">
        <f>SUMIF(TableIncome[Year], "&lt;=" &amp; AO1, TableIncome[InvestmentP2])</f>
        <v>4734106.3135798061</v>
      </c>
      <c r="AP3" s="71">
        <f>SUMIF(TableIncome[Year], "&lt;=" &amp; AP1, TableIncome[InvestmentP2])</f>
        <v>4734106.3135798061</v>
      </c>
      <c r="AQ3" s="71">
        <f>SUMIF(TableIncome[Year], "&lt;=" &amp; AQ1, TableIncome[InvestmentP2])</f>
        <v>4734106.3135798061</v>
      </c>
      <c r="AR3" s="71">
        <f>SUMIF(TableIncome[Year], "&lt;=" &amp; AR1, TableIncome[InvestmentP2])</f>
        <v>4734106.3135798061</v>
      </c>
      <c r="AS3" s="71">
        <f>SUMIF(TableIncome[Year], "&lt;=" &amp; AS1, TableIncome[InvestmentP2])</f>
        <v>4734106.3135798061</v>
      </c>
      <c r="AT3" s="71">
        <f>SUMIF(TableIncome[Year], "&lt;=" &amp; AT1, TableIncome[InvestmentP2])</f>
        <v>4734106.3135798061</v>
      </c>
      <c r="AU3" s="71">
        <f>SUMIF(TableIncome[Year], "&lt;=" &amp; AU1, TableIncome[InvestmentP2])</f>
        <v>4734106.3135798061</v>
      </c>
      <c r="AV3" s="71">
        <f>SUMIF(TableIncome[Year], "&lt;=" &amp; AV1, TableIncome[InvestmentP2])</f>
        <v>4734106.3135798061</v>
      </c>
      <c r="AW3" s="71">
        <f>SUMIF(TableIncome[Year], "&lt;=" &amp; AW1, TableIncome[InvestmentP2])</f>
        <v>4734106.3135798061</v>
      </c>
      <c r="AX3" s="71">
        <f>SUMIF(TableIncome[Year], "&lt;=" &amp; AX1, TableIncome[InvestmentP2])</f>
        <v>4734106.3135798061</v>
      </c>
      <c r="AY3" s="71">
        <f>SUMIF(TableIncome[Year], "&lt;=" &amp; AY1, TableIncome[InvestmentP2])</f>
        <v>4734106.3135798061</v>
      </c>
      <c r="AZ3" s="71">
        <f>SUMIF(TableIncome[Year], "&lt;=" &amp; AZ1, TableIncome[InvestmentP2])</f>
        <v>4734106.3135798061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2025-05-08T12:20:49Z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