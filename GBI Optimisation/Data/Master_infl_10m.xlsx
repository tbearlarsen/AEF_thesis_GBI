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hidePivotFieldList="1" defaultThemeVersion="202300"/>
  <mc:AlternateContent xmlns:mc="http://schemas.openxmlformats.org/markup-compatibility/2006">
    <mc:Choice Requires="x15">
      <x15ac:absPath xmlns:x15ac="http://schemas.microsoft.com/office/spreadsheetml/2010/11/ac" url="/Users/osito/Repositories/AEF_thesis_GBI/GBI Optimisation/Data/"/>
    </mc:Choice>
  </mc:AlternateContent>
  <xr:revisionPtr revIDLastSave="0" documentId="13_ncr:1_{7621ABC0-26E2-A84B-84C0-F33E5B33E9C9}" xr6:coauthVersionLast="47" xr6:coauthVersionMax="47" xr10:uidLastSave="{00000000-0000-0000-0000-000000000000}"/>
  <bookViews>
    <workbookView xWindow="0" yWindow="760" windowWidth="19420" windowHeight="10300" tabRatio="972" firstSheet="9" activeTab="11"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_INC">#REF!</definedName>
    <definedName name="_DLX10.INC">'[3]US&amp;Europe'!#REF!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_INC">#REF!</definedName>
    <definedName name="_DLX5.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1" l="1"/>
  <c r="C7" i="51" s="1"/>
  <c r="B22" i="55"/>
  <c r="B23" i="55" s="1"/>
  <c r="B5" i="55"/>
  <c r="B3" i="55"/>
  <c r="N39" i="2"/>
  <c r="N40" i="2"/>
  <c r="N41" i="2"/>
  <c r="N42" i="2"/>
  <c r="N43" i="2"/>
  <c r="N44" i="2"/>
  <c r="N45" i="2"/>
  <c r="N46" i="2"/>
  <c r="N47" i="2"/>
  <c r="N48" i="2"/>
  <c r="N49" i="2"/>
  <c r="D49" i="2" s="1"/>
  <c r="N50" i="2"/>
  <c r="D50" i="2" s="1"/>
  <c r="N51" i="2"/>
  <c r="D51" i="2" s="1"/>
  <c r="N52" i="2"/>
  <c r="D52" i="2" s="1"/>
  <c r="N53" i="2"/>
  <c r="E39" i="56"/>
  <c r="F39" i="56" s="1"/>
  <c r="B14" i="56"/>
  <c r="B43" i="55" s="1"/>
  <c r="B45" i="55" s="1"/>
  <c r="A4" i="56" a="1"/>
  <c r="AY8" i="56" s="1"/>
  <c r="B2" i="56"/>
  <c r="BB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Q8" i="56" l="1"/>
  <c r="R8" i="56"/>
  <c r="Z8" i="56"/>
  <c r="AX8" i="56"/>
  <c r="AE8" i="56"/>
  <c r="BA8" i="56"/>
  <c r="AH8" i="56"/>
  <c r="BB8" i="56"/>
  <c r="G8" i="56"/>
  <c r="AM8" i="56"/>
  <c r="I8" i="56"/>
  <c r="AO8" i="56"/>
  <c r="O8" i="56"/>
  <c r="AW8" i="56"/>
  <c r="A4" i="56"/>
  <c r="Y8" i="56"/>
  <c r="AU8" i="56"/>
  <c r="AZ8" i="56"/>
  <c r="J8" i="56"/>
  <c r="AG8" i="56"/>
  <c r="AC15" i="56"/>
  <c r="AX15" i="56"/>
  <c r="AY15" i="56"/>
  <c r="AZ15" i="56"/>
  <c r="B50" i="55"/>
  <c r="B52" i="55" s="1"/>
  <c r="B53" i="55" s="1"/>
  <c r="BA15" i="56"/>
  <c r="W8" i="56"/>
  <c r="AP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46" i="55" l="1"/>
  <c r="C47" i="55"/>
  <c r="D43" i="55" s="1"/>
  <c r="D45" i="55" s="1"/>
  <c r="D46" i="55" s="1"/>
  <c r="B46" i="46"/>
  <c r="B47" i="46" s="1"/>
  <c r="C43" i="46" s="1"/>
  <c r="C45" i="46" s="1"/>
  <c r="C46" i="46" s="1"/>
  <c r="C47" i="46" s="1"/>
  <c r="D43" i="46"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2" i="46" l="1"/>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s="1"/>
  <c r="F53" i="46" s="1"/>
  <c r="P9" i="2"/>
  <c r="H52" i="55"/>
  <c r="H53" i="55" s="1"/>
  <c r="G45" i="55"/>
  <c r="G46" i="55" s="1"/>
  <c r="R9" i="2"/>
  <c r="O9" i="2"/>
  <c r="Q9" i="2"/>
  <c r="H6" i="53"/>
  <c r="O16" i="53" a="1"/>
  <c r="O16" i="53" s="1"/>
  <c r="G5" i="53"/>
  <c r="N17" i="53" a="1"/>
  <c r="N17" i="53" s="1"/>
  <c r="Q17" i="53" s="1"/>
  <c r="G47" i="46"/>
  <c r="H43" i="46" s="1"/>
  <c r="E10" i="45"/>
  <c r="D10" i="45"/>
  <c r="E6" i="8"/>
  <c r="E7" i="8" s="1"/>
  <c r="F54" i="46" l="1"/>
  <c r="G50" i="46" s="1"/>
  <c r="G52" i="46" s="1"/>
  <c r="G53" i="46" s="1"/>
  <c r="P10" i="2"/>
  <c r="G47" i="55"/>
  <c r="H43" i="55" s="1"/>
  <c r="H54" i="55"/>
  <c r="I50" i="55" s="1"/>
  <c r="Q10" i="2"/>
  <c r="O10" i="2"/>
  <c r="R10" i="2"/>
  <c r="H7" i="53"/>
  <c r="O15" i="53" a="1"/>
  <c r="O15" i="53" s="1"/>
  <c r="G6" i="53"/>
  <c r="N16" i="53" a="1"/>
  <c r="N16" i="53" s="1"/>
  <c r="Q16" i="53" s="1"/>
  <c r="H45" i="46"/>
  <c r="H46" i="46" s="1"/>
  <c r="D11" i="45"/>
  <c r="E11" i="45"/>
  <c r="E8" i="8"/>
  <c r="E9" i="8" s="1"/>
  <c r="G54" i="46" l="1"/>
  <c r="H50" i="46" s="1"/>
  <c r="P11" i="2"/>
  <c r="I52" i="55"/>
  <c r="I53" i="55" s="1"/>
  <c r="H45" i="55"/>
  <c r="H46" i="55" s="1"/>
  <c r="Q11" i="2"/>
  <c r="R11" i="2"/>
  <c r="O11" i="2"/>
  <c r="H8" i="53"/>
  <c r="O14" i="53" a="1"/>
  <c r="O14" i="53" s="1"/>
  <c r="G7" i="53"/>
  <c r="N15" i="53" a="1"/>
  <c r="N15" i="53" s="1"/>
  <c r="Q15" i="53" s="1"/>
  <c r="H47" i="46"/>
  <c r="I43" i="46" s="1"/>
  <c r="E12" i="45"/>
  <c r="D12" i="45"/>
  <c r="E10" i="8"/>
  <c r="E11" i="8" s="1"/>
  <c r="H52" i="46" l="1"/>
  <c r="H53" i="46" s="1"/>
  <c r="P12" i="2"/>
  <c r="H47" i="55"/>
  <c r="I43" i="55" s="1"/>
  <c r="I54" i="55"/>
  <c r="J50" i="55" s="1"/>
  <c r="Q12" i="2"/>
  <c r="O12" i="2"/>
  <c r="R12" i="2"/>
  <c r="H9" i="53"/>
  <c r="O13" i="53" a="1"/>
  <c r="O13" i="53" s="1"/>
  <c r="G8" i="53"/>
  <c r="N14" i="53" a="1"/>
  <c r="N14" i="53" s="1"/>
  <c r="Q14" i="53" s="1"/>
  <c r="I45" i="46"/>
  <c r="I46" i="46" s="1"/>
  <c r="D13" i="45"/>
  <c r="E13" i="45"/>
  <c r="E12" i="8"/>
  <c r="H54" i="46" l="1"/>
  <c r="I50" i="46" s="1"/>
  <c r="I52" i="46" s="1"/>
  <c r="I53" i="46" s="1"/>
  <c r="P13" i="2"/>
  <c r="J52" i="55"/>
  <c r="J53" i="55" s="1"/>
  <c r="I45" i="55"/>
  <c r="I46" i="55" s="1"/>
  <c r="Q13" i="2"/>
  <c r="R13" i="2"/>
  <c r="O13" i="2"/>
  <c r="H10" i="53"/>
  <c r="O12" i="53" a="1"/>
  <c r="O12" i="53" s="1"/>
  <c r="G9" i="53"/>
  <c r="N13" i="53" a="1"/>
  <c r="N13" i="53" s="1"/>
  <c r="Q13" i="53" s="1"/>
  <c r="I47" i="46"/>
  <c r="J43" i="46" s="1"/>
  <c r="E14" i="45"/>
  <c r="D14" i="45"/>
  <c r="E13" i="8"/>
  <c r="I54" i="46" l="1"/>
  <c r="J50" i="46" s="1"/>
  <c r="J52" i="46"/>
  <c r="J53" i="46" s="1"/>
  <c r="P14" i="2"/>
  <c r="I47" i="55"/>
  <c r="J43" i="55" s="1"/>
  <c r="J54" i="55"/>
  <c r="K50" i="55" s="1"/>
  <c r="Q14" i="2"/>
  <c r="O14" i="2"/>
  <c r="R14" i="2"/>
  <c r="H11" i="53"/>
  <c r="O11" i="53" a="1"/>
  <c r="O11" i="53" s="1"/>
  <c r="G10" i="53"/>
  <c r="N12" i="53" a="1"/>
  <c r="N12" i="53" s="1"/>
  <c r="Q12" i="53" s="1"/>
  <c r="J45" i="46"/>
  <c r="J46" i="46" s="1"/>
  <c r="E15" i="45"/>
  <c r="D15" i="45"/>
  <c r="E14" i="8"/>
  <c r="J54" i="46" l="1"/>
  <c r="K50" i="46" s="1"/>
  <c r="P15" i="2"/>
  <c r="Q15" i="2"/>
  <c r="K52" i="55"/>
  <c r="K53" i="55" s="1"/>
  <c r="J45" i="55"/>
  <c r="J46" i="55" s="1"/>
  <c r="R15" i="2"/>
  <c r="O15" i="2"/>
  <c r="H12" i="53"/>
  <c r="O10" i="53" a="1"/>
  <c r="O10" i="53" s="1"/>
  <c r="G11" i="53"/>
  <c r="N11" i="53" a="1"/>
  <c r="N11" i="53" s="1"/>
  <c r="Q11" i="53" s="1"/>
  <c r="J47" i="46"/>
  <c r="K43" i="46" s="1"/>
  <c r="K45" i="46" s="1"/>
  <c r="E16" i="45"/>
  <c r="D16" i="45"/>
  <c r="E15" i="8"/>
  <c r="E16" i="8" s="1"/>
  <c r="K52" i="46" l="1"/>
  <c r="K53" i="46" s="1"/>
  <c r="K54" i="46"/>
  <c r="L50" i="46" s="1"/>
  <c r="P16" i="2"/>
  <c r="Q16" i="2"/>
  <c r="J47" i="55"/>
  <c r="K43" i="55" s="1"/>
  <c r="K54" i="55"/>
  <c r="L50" i="55" s="1"/>
  <c r="O16" i="2"/>
  <c r="R16" i="2"/>
  <c r="H13" i="53"/>
  <c r="O9" i="53" a="1"/>
  <c r="O9" i="53" s="1"/>
  <c r="G12" i="53"/>
  <c r="N10" i="53" a="1"/>
  <c r="N10" i="53" s="1"/>
  <c r="Q10" i="53" s="1"/>
  <c r="K46" i="46"/>
  <c r="K47" i="46" s="1"/>
  <c r="L43" i="46" s="1"/>
  <c r="L45" i="46" s="1"/>
  <c r="L46" i="46" s="1"/>
  <c r="D17" i="45"/>
  <c r="E17" i="45"/>
  <c r="E17" i="8"/>
  <c r="L52" i="46" l="1"/>
  <c r="L53" i="46" s="1"/>
  <c r="L54" i="46"/>
  <c r="M50" i="46" s="1"/>
  <c r="P17" i="2"/>
  <c r="Q17" i="2"/>
  <c r="L52" i="55"/>
  <c r="L53" i="55" s="1"/>
  <c r="K45" i="55"/>
  <c r="K46" i="55" s="1"/>
  <c r="O17" i="2"/>
  <c r="R17" i="2"/>
  <c r="H14" i="53"/>
  <c r="O8" i="53" a="1"/>
  <c r="O8" i="53" s="1"/>
  <c r="G13" i="53"/>
  <c r="N9" i="53" a="1"/>
  <c r="N9" i="53" s="1"/>
  <c r="Q9" i="53" s="1"/>
  <c r="E18" i="8"/>
  <c r="E19" i="8" s="1"/>
  <c r="L47" i="46"/>
  <c r="M43" i="46" s="1"/>
  <c r="D18" i="45"/>
  <c r="E18" i="45"/>
  <c r="M52" i="46" l="1"/>
  <c r="M53" i="46" s="1"/>
  <c r="P18" i="2"/>
  <c r="Q18" i="2"/>
  <c r="K47" i="55"/>
  <c r="L43" i="55" s="1"/>
  <c r="L54" i="55"/>
  <c r="M50" i="55" s="1"/>
  <c r="R18" i="2"/>
  <c r="O18" i="2"/>
  <c r="H15" i="53"/>
  <c r="O7" i="53" a="1"/>
  <c r="O7" i="53" s="1"/>
  <c r="G14" i="53"/>
  <c r="N8" i="53" a="1"/>
  <c r="N8" i="53" s="1"/>
  <c r="Q8" i="53" s="1"/>
  <c r="M45" i="46"/>
  <c r="M46" i="46" s="1"/>
  <c r="E19" i="45"/>
  <c r="D19" i="45"/>
  <c r="E20" i="8"/>
  <c r="M54" i="46" l="1"/>
  <c r="N50" i="46" s="1"/>
  <c r="N52" i="46"/>
  <c r="N53" i="46" s="1"/>
  <c r="P19" i="2"/>
  <c r="Q19" i="2"/>
  <c r="M52" i="55"/>
  <c r="M53" i="55" s="1"/>
  <c r="L45" i="55"/>
  <c r="L46" i="55" s="1"/>
  <c r="O19" i="2"/>
  <c r="R19" i="2"/>
  <c r="G15" i="53"/>
  <c r="N7" i="53" a="1"/>
  <c r="N7" i="53" s="1"/>
  <c r="Q7" i="53" s="1"/>
  <c r="H16" i="53"/>
  <c r="O6" i="53" a="1"/>
  <c r="O6" i="53" s="1"/>
  <c r="M47" i="46"/>
  <c r="N43" i="46" s="1"/>
  <c r="D20" i="45"/>
  <c r="E20" i="45"/>
  <c r="E21" i="8"/>
  <c r="E22" i="8" s="1"/>
  <c r="N54" i="46" l="1"/>
  <c r="O50" i="46" s="1"/>
  <c r="O52" i="46" s="1"/>
  <c r="O53" i="46" s="1"/>
  <c r="O54" i="46"/>
  <c r="P50" i="46" s="1"/>
  <c r="P52" i="46" s="1"/>
  <c r="P53" i="46" s="1"/>
  <c r="P20" i="2"/>
  <c r="Q20" i="2"/>
  <c r="L47" i="55"/>
  <c r="M43" i="55" s="1"/>
  <c r="M54" i="55"/>
  <c r="N50" i="55" s="1"/>
  <c r="R20" i="2"/>
  <c r="O20" i="2"/>
  <c r="H17" i="53"/>
  <c r="O5" i="53" a="1"/>
  <c r="O5" i="53" s="1"/>
  <c r="G16" i="53"/>
  <c r="N6" i="53" a="1"/>
  <c r="N6" i="53" s="1"/>
  <c r="Q6" i="53" s="1"/>
  <c r="N45" i="46"/>
  <c r="N46" i="46" s="1"/>
  <c r="E21" i="45"/>
  <c r="D21" i="45"/>
  <c r="E23" i="8"/>
  <c r="E24" i="8" s="1"/>
  <c r="P21" i="2" l="1"/>
  <c r="Q21" i="2"/>
  <c r="N52" i="55"/>
  <c r="N53" i="55" s="1"/>
  <c r="M45" i="55"/>
  <c r="M46" i="55" s="1"/>
  <c r="M47" i="55"/>
  <c r="N43"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P22" i="2" l="1"/>
  <c r="N45" i="55"/>
  <c r="N46" i="55" s="1"/>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H11" i="56"/>
  <c r="H12" i="56"/>
  <c r="N11" i="56"/>
  <c r="N12" i="56"/>
  <c r="O11" i="56"/>
  <c r="O12" i="56"/>
  <c r="B38" i="55"/>
  <c r="C34" i="55" s="1"/>
  <c r="F12" i="56"/>
  <c r="F11" i="56"/>
  <c r="F13" i="56" s="1"/>
  <c r="F14" i="56" s="1"/>
  <c r="F16" i="56" s="1"/>
  <c r="F17" i="56" s="1"/>
  <c r="I12" i="56"/>
  <c r="I11" i="56"/>
  <c r="K11" i="56"/>
  <c r="K12" i="56"/>
  <c r="S12" i="56"/>
  <c r="S11" i="56"/>
  <c r="R11" i="56"/>
  <c r="R12" i="56"/>
  <c r="R13" i="56" s="1"/>
  <c r="R14" i="56" s="1"/>
  <c r="R16" i="56" s="1"/>
  <c r="R17" i="56" s="1"/>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E13" i="56" l="1"/>
  <c r="E14" i="56" s="1"/>
  <c r="E16" i="56" s="1"/>
  <c r="E17" i="56" s="1"/>
  <c r="G13" i="56"/>
  <c r="G14" i="56" s="1"/>
  <c r="G16" i="56" s="1"/>
  <c r="G17" i="56" s="1"/>
  <c r="N13" i="56"/>
  <c r="N14" i="56" s="1"/>
  <c r="N16" i="56" s="1"/>
  <c r="N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U54" i="55"/>
  <c r="V50" i="55" s="1"/>
  <c r="R35" i="2"/>
  <c r="Q35" i="2"/>
  <c r="AA52" i="46"/>
  <c r="AA53" i="46" s="1"/>
  <c r="X47" i="46"/>
  <c r="Y43" i="46" s="1"/>
  <c r="E36" i="45"/>
  <c r="P36" i="2" s="1"/>
  <c r="D36" i="45"/>
  <c r="O36" i="2" s="1"/>
  <c r="E44" i="8"/>
  <c r="J36" i="55" l="1"/>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U5" i="56" s="1"/>
  <c r="AU6" i="56" s="1"/>
  <c r="AU7" i="56" s="1"/>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M36" i="55" s="1"/>
  <c r="M37"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W11" i="56"/>
  <c r="AW12" i="56"/>
  <c r="V12" i="56"/>
  <c r="V11" i="56"/>
  <c r="M38" i="55"/>
  <c r="N34" i="55" s="1"/>
  <c r="Y12" i="56"/>
  <c r="Y11" i="56"/>
  <c r="W12" i="56"/>
  <c r="W11" i="56"/>
  <c r="AY11" i="56"/>
  <c r="AY12" i="56"/>
  <c r="AC12" i="56"/>
  <c r="AC11" i="56"/>
  <c r="AR11" i="56"/>
  <c r="AR12" i="56"/>
  <c r="AF12" i="56"/>
  <c r="AF11" i="56"/>
  <c r="AP12" i="56"/>
  <c r="AP11" i="56"/>
  <c r="AE12" i="56"/>
  <c r="AE11" i="56"/>
  <c r="AE13" i="56" s="1"/>
  <c r="AE14" i="56" s="1"/>
  <c r="AE16" i="56" s="1"/>
  <c r="AE17" i="56" s="1"/>
  <c r="AK12" i="56"/>
  <c r="AK11" i="56"/>
  <c r="AD12" i="56"/>
  <c r="AD11" i="56"/>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R13" i="56" l="1"/>
  <c r="AR14" i="56" s="1"/>
  <c r="AR16" i="56" s="1"/>
  <c r="AR17" i="56" s="1"/>
  <c r="AA13" i="56"/>
  <c r="AA14" i="56" s="1"/>
  <c r="AA16" i="56" s="1"/>
  <c r="AA17" i="56" s="1"/>
  <c r="AC13" i="56"/>
  <c r="AC14" i="56" s="1"/>
  <c r="AC16" i="56" s="1"/>
  <c r="AC17" i="56" s="1"/>
  <c r="AM13" i="56"/>
  <c r="AM14" i="56" s="1"/>
  <c r="AM16" i="56" s="1"/>
  <c r="AM17" i="56" s="1"/>
  <c r="AO13" i="56"/>
  <c r="AO14" i="56" s="1"/>
  <c r="AO16" i="56" s="1"/>
  <c r="AO17" i="56" s="1"/>
  <c r="AD13" i="56"/>
  <c r="AD14" i="56" s="1"/>
  <c r="AD16" i="56" s="1"/>
  <c r="AD17" i="56" s="1"/>
  <c r="AF13" i="56"/>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7" i="2"/>
  <c r="N4" i="2"/>
  <c r="N29" i="2"/>
  <c r="N15" i="2"/>
  <c r="N25" i="2"/>
  <c r="N14" i="2"/>
  <c r="N23" i="2"/>
  <c r="N20" i="2"/>
  <c r="N6" i="2"/>
  <c r="N31" i="2"/>
  <c r="N28" i="2"/>
  <c r="N10" i="2"/>
  <c r="BI2" i="56"/>
  <c r="N3" i="2" s="1"/>
  <c r="N36" i="2"/>
  <c r="D36" i="2" s="1"/>
  <c r="F36" i="2" s="1"/>
  <c r="L36" i="2" s="1"/>
  <c r="N16" i="2"/>
  <c r="N18" i="2"/>
  <c r="N11" i="2"/>
  <c r="N5" i="2"/>
  <c r="N13" i="2"/>
  <c r="N32" i="2"/>
  <c r="N34" i="2"/>
  <c r="D34" i="2" s="1"/>
  <c r="F34" i="2" s="1"/>
  <c r="L34" i="2" s="1"/>
  <c r="N26" i="2"/>
  <c r="N38" i="55"/>
  <c r="O34" i="55" s="1"/>
  <c r="Z52" i="55"/>
  <c r="Z53" i="55" s="1"/>
  <c r="Y47" i="55"/>
  <c r="Z43" i="55" s="1"/>
  <c r="Q43" i="2"/>
  <c r="P43" i="2"/>
  <c r="R43" i="2"/>
  <c r="AE54" i="46"/>
  <c r="AF50" i="46" s="1"/>
  <c r="AC47" i="46"/>
  <c r="AD43" i="46" s="1"/>
  <c r="E44" i="45"/>
  <c r="D44" i="45"/>
  <c r="N19" i="2" l="1"/>
  <c r="N8" i="2"/>
  <c r="N37" i="2"/>
  <c r="D37" i="2" s="1"/>
  <c r="F37" i="2" s="1"/>
  <c r="L37" i="2" s="1"/>
  <c r="L32" i="56" s="1"/>
  <c r="N35" i="2"/>
  <c r="D35" i="2" s="1"/>
  <c r="F35" i="2" s="1"/>
  <c r="L35" i="2" s="1"/>
  <c r="N30" i="2"/>
  <c r="N24" i="2"/>
  <c r="N12" i="2"/>
  <c r="N9" i="2"/>
  <c r="N33" i="2"/>
  <c r="D33" i="2" s="1"/>
  <c r="F33" i="2" s="1"/>
  <c r="L33" i="2" s="1"/>
  <c r="N21" i="2"/>
  <c r="N38" i="2"/>
  <c r="D38" i="2" s="1"/>
  <c r="F38" i="2" s="1"/>
  <c r="L38" i="2" s="1"/>
  <c r="N22" i="2"/>
  <c r="N17" i="2"/>
  <c r="O32" i="56"/>
  <c r="J32" i="56"/>
  <c r="K32" i="56"/>
  <c r="O36" i="55"/>
  <c r="O37" i="55" s="1"/>
  <c r="Z45" i="55"/>
  <c r="Z46" i="55" s="1"/>
  <c r="Z54" i="55"/>
  <c r="AA50" i="55" s="1"/>
  <c r="Q44" i="2"/>
  <c r="O44" i="2"/>
  <c r="P44" i="2"/>
  <c r="R44" i="2"/>
  <c r="AF52" i="46"/>
  <c r="AF53" i="46" s="1"/>
  <c r="AD45" i="46"/>
  <c r="AD46" i="46" s="1"/>
  <c r="D45" i="45"/>
  <c r="E45" i="45"/>
  <c r="Z32" i="56" l="1"/>
  <c r="I32" i="56"/>
  <c r="U32" i="56"/>
  <c r="R32" i="56"/>
  <c r="Y32" i="56"/>
  <c r="M32" i="56"/>
  <c r="W32" i="56"/>
  <c r="P32" i="56"/>
  <c r="E32" i="56"/>
  <c r="X32" i="56"/>
  <c r="T32" i="56"/>
  <c r="S32" i="56"/>
  <c r="F32" i="56"/>
  <c r="AB32" i="56"/>
  <c r="G32" i="56"/>
  <c r="H32" i="56"/>
  <c r="N32" i="56"/>
  <c r="AA32" i="56"/>
  <c r="AC32" i="56"/>
  <c r="Q32" i="56"/>
  <c r="V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AV4" i="47" s="1"/>
  <c r="AV5" i="47" s="1"/>
  <c r="AV6" i="47" s="1"/>
  <c r="AV7" i="47" s="1"/>
  <c r="G3" i="47"/>
  <c r="AN3" i="47"/>
  <c r="R3" i="47"/>
  <c r="AQ3" i="47"/>
  <c r="L4" i="46"/>
  <c r="O4" i="47" s="1"/>
  <c r="I3" i="47"/>
  <c r="AH3" i="47"/>
  <c r="AK3" i="47"/>
  <c r="U3" i="47"/>
  <c r="AZ3" i="47"/>
  <c r="P4" i="46"/>
  <c r="P6" i="46"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P4" i="47"/>
  <c r="AS6" i="46"/>
  <c r="D6" i="46"/>
  <c r="J6" i="46"/>
  <c r="S38" i="55" l="1"/>
  <c r="T34" i="55" s="1"/>
  <c r="I4" i="47"/>
  <c r="I5" i="47" s="1"/>
  <c r="I6" i="47" s="1"/>
  <c r="I7" i="47" s="1"/>
  <c r="I10" i="47" s="1"/>
  <c r="AM4" i="47"/>
  <c r="AM5" i="47" s="1"/>
  <c r="AM6" i="47" s="1"/>
  <c r="AM7" i="47" s="1"/>
  <c r="AM10" i="47" s="1"/>
  <c r="E10" i="47"/>
  <c r="E9" i="47"/>
  <c r="K6" i="46"/>
  <c r="S4" i="47"/>
  <c r="S5" i="47" s="1"/>
  <c r="S6" i="47" s="1"/>
  <c r="S7" i="47" s="1"/>
  <c r="AN5" i="47"/>
  <c r="AN6" i="47" s="1"/>
  <c r="AN7" i="47" s="1"/>
  <c r="AN10" i="47" s="1"/>
  <c r="T4" i="47"/>
  <c r="T5" i="47" s="1"/>
  <c r="T6" i="47" s="1"/>
  <c r="T7" i="47" s="1"/>
  <c r="T10" i="47" s="1"/>
  <c r="AU6" i="46"/>
  <c r="AU7" i="46" s="1"/>
  <c r="AU8" i="46" s="1"/>
  <c r="F5" i="47"/>
  <c r="F6" i="47" s="1"/>
  <c r="F7" i="47" s="1"/>
  <c r="AK5" i="47"/>
  <c r="AK6" i="47" s="1"/>
  <c r="AK7" i="47" s="1"/>
  <c r="AK10" i="47" s="1"/>
  <c r="T6" i="46"/>
  <c r="AB6" i="46"/>
  <c r="AB7" i="46" s="1"/>
  <c r="AB8" i="46" s="1"/>
  <c r="G5" i="47"/>
  <c r="G6" i="47" s="1"/>
  <c r="G7" i="47" s="1"/>
  <c r="G9" i="47" s="1"/>
  <c r="T36" i="55"/>
  <c r="T37" i="55" s="1"/>
  <c r="L6" i="46"/>
  <c r="L7" i="46" s="1"/>
  <c r="L8" i="46" s="1"/>
  <c r="AI5" i="47"/>
  <c r="AI6" i="47" s="1"/>
  <c r="AI7" i="47" s="1"/>
  <c r="AI10" i="47" s="1"/>
  <c r="AH5" i="47"/>
  <c r="AH6" i="47" s="1"/>
  <c r="AH7" i="47" s="1"/>
  <c r="AH10" i="47" s="1"/>
  <c r="AQ6" i="46"/>
  <c r="Y6" i="46"/>
  <c r="Y7" i="46" s="1"/>
  <c r="Y8" i="46" s="1"/>
  <c r="G6" i="46"/>
  <c r="G7" i="46" s="1"/>
  <c r="G8" i="46" s="1"/>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M6" i="46"/>
  <c r="M7" i="46" s="1"/>
  <c r="M8" i="46"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O10" i="47"/>
  <c r="AO9" i="47"/>
  <c r="AJ10" i="47"/>
  <c r="AJ9" i="47"/>
  <c r="AB9" i="47"/>
  <c r="AB10" i="47"/>
  <c r="AV10" i="47"/>
  <c r="AV9" i="47"/>
  <c r="V10" i="47"/>
  <c r="V9" i="47"/>
  <c r="F10" i="47"/>
  <c r="F9" i="47"/>
  <c r="D7" i="46"/>
  <c r="D8" i="46" s="1"/>
  <c r="AJ7" i="46"/>
  <c r="AJ8" i="46" s="1"/>
  <c r="Z7" i="46"/>
  <c r="Z8" i="46" s="1"/>
  <c r="U7" i="46"/>
  <c r="U8" i="46" s="1"/>
  <c r="AA7" i="46"/>
  <c r="AA8" i="46" s="1"/>
  <c r="AC7" i="46"/>
  <c r="AC8" i="46" s="1"/>
  <c r="O7" i="46"/>
  <c r="O8" i="46" s="1"/>
  <c r="AS7" i="46"/>
  <c r="AS8" i="46" s="1"/>
  <c r="AQ7" i="46"/>
  <c r="AQ8" i="46" s="1"/>
  <c r="F7" i="46"/>
  <c r="F8" i="46" s="1"/>
  <c r="AL7" i="46"/>
  <c r="AL8" i="46" s="1"/>
  <c r="J7" i="46"/>
  <c r="J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G10" i="47" l="1"/>
  <c r="AI9" i="47"/>
  <c r="AI11" i="47" s="1"/>
  <c r="T9" i="47"/>
  <c r="T12" i="47" s="1"/>
  <c r="AN9" i="47"/>
  <c r="AM9" i="47"/>
  <c r="AM12" i="47" s="1"/>
  <c r="S9" i="47"/>
  <c r="S12" i="47" s="1"/>
  <c r="S10" i="47"/>
  <c r="AK9" i="47"/>
  <c r="AK12" i="47" s="1"/>
  <c r="E12" i="47"/>
  <c r="E11" i="47"/>
  <c r="E13" i="47" s="1"/>
  <c r="E14" i="47" s="1"/>
  <c r="E16" i="47" s="1"/>
  <c r="E17" i="47" s="1"/>
  <c r="AF10" i="47"/>
  <c r="Z10" i="47"/>
  <c r="X10" i="47"/>
  <c r="L9" i="47"/>
  <c r="L12" i="47" s="1"/>
  <c r="AH9" i="47"/>
  <c r="AH11" i="47" s="1"/>
  <c r="P10" i="47"/>
  <c r="H10" i="47"/>
  <c r="AA10" i="47"/>
  <c r="AY9" i="47"/>
  <c r="AY12" i="47" s="1"/>
  <c r="T38" i="55"/>
  <c r="U34" i="55" s="1"/>
  <c r="AS9" i="47"/>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Y11" i="47"/>
  <c r="AZ12" i="47"/>
  <c r="AZ11" i="47"/>
  <c r="BA12" i="47"/>
  <c r="BA11" i="47"/>
  <c r="AK54" i="46"/>
  <c r="AL50" i="46" s="1"/>
  <c r="B34" i="46"/>
  <c r="B36" i="46" s="1"/>
  <c r="AI47" i="46"/>
  <c r="AJ43" i="46" s="1"/>
  <c r="AM11" i="47"/>
  <c r="O11" i="47"/>
  <c r="O12" i="47"/>
  <c r="P11" i="47"/>
  <c r="P12" i="47"/>
  <c r="W12" i="47"/>
  <c r="W11" i="47"/>
  <c r="N12" i="47"/>
  <c r="N11" i="47"/>
  <c r="AB11" i="47"/>
  <c r="AB12" i="47"/>
  <c r="AD11" i="47"/>
  <c r="AD12" i="47"/>
  <c r="AU12" i="47"/>
  <c r="AV11" i="47"/>
  <c r="AV12" i="47"/>
  <c r="X12" i="47"/>
  <c r="X11" i="47"/>
  <c r="AW12" i="47"/>
  <c r="AW11" i="47"/>
  <c r="AJ11" i="47"/>
  <c r="AJ12" i="47"/>
  <c r="AN11" i="47"/>
  <c r="AN12" i="47"/>
  <c r="AI12" i="47"/>
  <c r="F11" i="47"/>
  <c r="F12" i="47"/>
  <c r="V12" i="47"/>
  <c r="V11" i="47"/>
  <c r="G11" i="47"/>
  <c r="G12" i="47"/>
  <c r="M12" i="47"/>
  <c r="M11" i="47"/>
  <c r="S11" i="47"/>
  <c r="AF11" i="47"/>
  <c r="AF12" i="47"/>
  <c r="AS11" i="47"/>
  <c r="AS12" i="47"/>
  <c r="H12" i="47"/>
  <c r="H11" i="47"/>
  <c r="AO11" i="47"/>
  <c r="AO12" i="47"/>
  <c r="T11" i="47"/>
  <c r="R11" i="47"/>
  <c r="R12" i="47"/>
  <c r="AA12" i="47"/>
  <c r="AA11" i="47"/>
  <c r="Z12" i="47"/>
  <c r="Z11" i="47"/>
  <c r="AH12" i="47" l="1"/>
  <c r="AK11" i="47"/>
  <c r="AK13" i="47" s="1"/>
  <c r="AK14" i="47" s="1"/>
  <c r="AK16" i="47" s="1"/>
  <c r="AK17" i="47" s="1"/>
  <c r="AE12" i="47"/>
  <c r="AE13" i="47" s="1"/>
  <c r="AE14" i="47" s="1"/>
  <c r="AE16" i="47" s="1"/>
  <c r="AE17" i="47" s="1"/>
  <c r="AX12" i="47"/>
  <c r="AX13" i="47" s="1"/>
  <c r="AX14" i="47" s="1"/>
  <c r="AX16" i="47" s="1"/>
  <c r="AX17" i="47" s="1"/>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L13" i="47" s="1"/>
  <c r="L14" i="47" s="1"/>
  <c r="L16" i="47" s="1"/>
  <c r="L17" i="47" s="1"/>
  <c r="AL12" i="47"/>
  <c r="AL13" i="47" s="1"/>
  <c r="AL14" i="47" s="1"/>
  <c r="AL16" i="47" s="1"/>
  <c r="AL17" i="47" s="1"/>
  <c r="BB12" i="47"/>
  <c r="BB13" i="47" s="1"/>
  <c r="BB14" i="47" s="1"/>
  <c r="BB16" i="47" s="1"/>
  <c r="BB17" i="47" s="1"/>
  <c r="U36" i="55"/>
  <c r="U37" i="55" s="1"/>
  <c r="AP12" i="47"/>
  <c r="AP13" i="47" s="1"/>
  <c r="AP14" i="47" s="1"/>
  <c r="AP16" i="47" s="1"/>
  <c r="AP17" i="47" s="1"/>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AC13" i="47" s="1"/>
  <c r="AC14" i="47" s="1"/>
  <c r="AC16" i="47" s="1"/>
  <c r="AC17" i="47" s="1"/>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BA13" i="47"/>
  <c r="BA14" i="47" s="1"/>
  <c r="BA16" i="47" s="1"/>
  <c r="BA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P13" i="47"/>
  <c r="P14" i="47" s="1"/>
  <c r="P16" i="47" s="1"/>
  <c r="P17" i="47" s="1"/>
  <c r="AA13" i="47"/>
  <c r="AA14" i="47" s="1"/>
  <c r="AA16" i="47" s="1"/>
  <c r="AA17" i="47" s="1"/>
  <c r="T13" i="47"/>
  <c r="T14" i="47" s="1"/>
  <c r="T16" i="47" s="1"/>
  <c r="T17" i="47" s="1"/>
  <c r="AD13" i="47"/>
  <c r="AD14" i="47" s="1"/>
  <c r="AD16" i="47" s="1"/>
  <c r="AD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E9" i="2" s="1"/>
  <c r="K9" i="2" s="1"/>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29" i="2"/>
  <c r="K29" i="2" s="1"/>
  <c r="F30" i="2"/>
  <c r="L30" i="2" s="1"/>
  <c r="F25" i="2"/>
  <c r="L25" i="2" s="1"/>
  <c r="F12" i="2"/>
  <c r="L12" i="2" s="1"/>
  <c r="AN52" i="46"/>
  <c r="AN53" i="46" s="1"/>
  <c r="D3" i="2"/>
  <c r="G38" i="46"/>
  <c r="H34" i="46" s="1"/>
  <c r="H36" i="46" s="1"/>
  <c r="H37" i="46" s="1"/>
  <c r="AL45" i="46"/>
  <c r="AL46" i="46" s="1"/>
  <c r="C20" i="2"/>
  <c r="C2" i="33" l="1"/>
  <c r="X38" i="55"/>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L52" i="55" s="1"/>
  <c r="AL53" i="55" s="1"/>
  <c r="AA38" i="55"/>
  <c r="AB34"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c r="AE37" i="55" s="1"/>
  <c r="AM47" i="55"/>
  <c r="AN43" i="55" s="1"/>
  <c r="AN45" i="55"/>
  <c r="AN46" i="55" s="1"/>
  <c r="AO52" i="55"/>
  <c r="AO53" i="55" s="1"/>
  <c r="P36" i="46"/>
  <c r="P37" i="46" s="1"/>
  <c r="P38" i="46" s="1"/>
  <c r="Q34" i="46" s="1"/>
  <c r="AR47" i="46"/>
  <c r="AS43" i="46" s="1"/>
  <c r="E30" i="47" l="1"/>
  <c r="W30" i="47"/>
  <c r="M30" i="47"/>
  <c r="R30" i="47"/>
  <c r="AB30" i="47"/>
  <c r="G30" i="47"/>
  <c r="Y30" i="47"/>
  <c r="N30" i="47"/>
  <c r="AA30" i="47"/>
  <c r="AC30" i="47"/>
  <c r="O30" i="47"/>
  <c r="J30" i="47"/>
  <c r="T30" i="47"/>
  <c r="V30" i="47"/>
  <c r="L30" i="47"/>
  <c r="Q30" i="47"/>
  <c r="I30" i="47"/>
  <c r="F30" i="47"/>
  <c r="S30" i="47"/>
  <c r="X30" i="47"/>
  <c r="K30" i="47"/>
  <c r="P30" i="47"/>
  <c r="U30" i="47"/>
  <c r="Z30" i="47"/>
  <c r="H30" i="47"/>
  <c r="AE38" i="55"/>
  <c r="AF34" i="55" s="1"/>
  <c r="AF36" i="55" s="1"/>
  <c r="AF37" i="55" s="1"/>
  <c r="AF38" i="55" s="1"/>
  <c r="AG34" i="55" s="1"/>
  <c r="AN47" i="55"/>
  <c r="AO43" i="55" s="1"/>
  <c r="AO54" i="55"/>
  <c r="AP50" i="55" s="1"/>
  <c r="AO45" i="55"/>
  <c r="AO46"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I36" i="55" s="1"/>
  <c r="AI37" i="55" s="1"/>
  <c r="AI38" i="55" s="1"/>
  <c r="AJ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S52" i="55" s="1"/>
  <c r="AS53" i="55" s="1"/>
  <c r="AK36" i="55"/>
  <c r="AK37" i="55" s="1"/>
  <c r="AR45" i="55"/>
  <c r="AR46"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T52" i="55"/>
  <c r="AT53" i="55" s="1"/>
  <c r="U36" i="46"/>
  <c r="U37" i="46" s="1"/>
  <c r="AS47" i="55" l="1"/>
  <c r="AT43" i="55" s="1"/>
  <c r="AT45" i="55" s="1"/>
  <c r="AT46" i="55" s="1"/>
  <c r="AN36" i="55"/>
  <c r="AN37" i="55" s="1"/>
  <c r="AN38" i="55" s="1"/>
  <c r="AO34" i="55" s="1"/>
  <c r="AT54" i="55"/>
  <c r="AU50" i="55" s="1"/>
  <c r="AU52" i="55" s="1"/>
  <c r="AU53" i="55" s="1"/>
  <c r="AU54" i="55" s="1"/>
  <c r="AV50" i="55" s="1"/>
  <c r="U38" i="46"/>
  <c r="V34" i="46" s="1"/>
  <c r="AV52" i="55" l="1"/>
  <c r="AV53" i="55" s="1"/>
  <c r="AO36" i="55"/>
  <c r="AO37" i="55" s="1"/>
  <c r="AO38" i="55" s="1"/>
  <c r="AP34" i="55" s="1"/>
  <c r="AT47" i="55"/>
  <c r="AU43" i="55" s="1"/>
  <c r="V36" i="46"/>
  <c r="V37" i="46" s="1"/>
  <c r="AV54" i="55" l="1"/>
  <c r="AW50" i="55" s="1"/>
  <c r="AW52" i="55" s="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s="1"/>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6"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AA26" i="47"/>
  <c r="U27" i="47" l="1"/>
  <c r="X26" i="47"/>
  <c r="U25" i="47"/>
  <c r="U28" i="47" s="1"/>
  <c r="U29" i="47" s="1"/>
  <c r="U31" i="47" s="1"/>
  <c r="U33" i="47" s="1"/>
  <c r="U34" i="47" s="1"/>
  <c r="U35" i="47" s="1"/>
  <c r="X27" i="47"/>
  <c r="J25" i="47"/>
  <c r="E27" i="47"/>
  <c r="E25" i="47"/>
  <c r="E26" i="47"/>
  <c r="W26" i="47"/>
  <c r="I27" i="47"/>
  <c r="W27" i="47"/>
  <c r="H27" i="47"/>
  <c r="AA25" i="47"/>
  <c r="AA28" i="47" s="1"/>
  <c r="AA29" i="47" s="1"/>
  <c r="AA31" i="47" s="1"/>
  <c r="AA33" i="47" s="1"/>
  <c r="AA34" i="47" s="1"/>
  <c r="AA35" i="47" s="1"/>
  <c r="I25" i="47"/>
  <c r="I28" i="47" s="1"/>
  <c r="I29" i="47" s="1"/>
  <c r="I31" i="47" s="1"/>
  <c r="I33" i="47" s="1"/>
  <c r="I34" i="47" s="1"/>
  <c r="I35" i="47" s="1"/>
  <c r="F25" i="47"/>
  <c r="G27" i="47"/>
  <c r="R27" i="47"/>
  <c r="H25" i="47"/>
  <c r="L25" i="47"/>
  <c r="N25" i="47"/>
  <c r="N26" i="47"/>
  <c r="L27" i="47"/>
  <c r="AB25" i="47"/>
  <c r="F26" i="47"/>
  <c r="F28" i="47" s="1"/>
  <c r="F29" i="47" s="1"/>
  <c r="F31" i="47" s="1"/>
  <c r="F33" i="47" s="1"/>
  <c r="F34" i="47" s="1"/>
  <c r="F35" i="47" s="1"/>
  <c r="J27" i="47"/>
  <c r="AB26" i="47"/>
  <c r="P25" i="47"/>
  <c r="T26" i="47"/>
  <c r="Z26" i="47"/>
  <c r="Z25" i="47"/>
  <c r="Z28" i="47" s="1"/>
  <c r="Z29" i="47" s="1"/>
  <c r="Z31" i="47" s="1"/>
  <c r="Z33" i="47" s="1"/>
  <c r="Z34" i="47" s="1"/>
  <c r="Z35" i="47" s="1"/>
  <c r="AC25" i="47"/>
  <c r="K25" i="47"/>
  <c r="P26" i="47"/>
  <c r="G26" i="47"/>
  <c r="AC27" i="47"/>
  <c r="M26" i="47"/>
  <c r="M28" i="47" s="1"/>
  <c r="M29" i="47" s="1"/>
  <c r="M31" i="47" s="1"/>
  <c r="M33" i="47" s="1"/>
  <c r="M34" i="47" s="1"/>
  <c r="M35" i="47" s="1"/>
  <c r="Y26" i="47"/>
  <c r="Y27" i="47"/>
  <c r="V26" i="47"/>
  <c r="V25" i="47"/>
  <c r="V28" i="47" s="1"/>
  <c r="V29" i="47" s="1"/>
  <c r="V31" i="47" s="1"/>
  <c r="V33" i="47" s="1"/>
  <c r="V34" i="47" s="1"/>
  <c r="V35" i="47" s="1"/>
  <c r="K26" i="47"/>
  <c r="S25" i="47"/>
  <c r="O25" i="47"/>
  <c r="Q27" i="47"/>
  <c r="S27" i="47"/>
  <c r="O27" i="47"/>
  <c r="T25" i="47"/>
  <c r="Q26" i="47"/>
  <c r="R25" i="47"/>
  <c r="R28" i="47" s="1"/>
  <c r="R29" i="47" s="1"/>
  <c r="R31" i="47" s="1"/>
  <c r="R33" i="47" s="1"/>
  <c r="R34" i="47" s="1"/>
  <c r="R35" i="47" s="1"/>
  <c r="X28" i="47"/>
  <c r="X29" i="47" s="1"/>
  <c r="X31" i="47" s="1"/>
  <c r="X33" i="47" s="1"/>
  <c r="X34" i="47" s="1"/>
  <c r="X35" i="47" s="1"/>
  <c r="L28" i="47" l="1"/>
  <c r="L29" i="47" s="1"/>
  <c r="L31" i="47" s="1"/>
  <c r="L33" i="47" s="1"/>
  <c r="L34" i="47" s="1"/>
  <c r="L35" i="47" s="1"/>
  <c r="G28" i="47"/>
  <c r="G29" i="47" s="1"/>
  <c r="G31" i="47" s="1"/>
  <c r="G33" i="47" s="1"/>
  <c r="G34" i="47" s="1"/>
  <c r="G35" i="47" s="1"/>
  <c r="H28" i="47"/>
  <c r="H29" i="47" s="1"/>
  <c r="H31" i="47" s="1"/>
  <c r="H33" i="47" s="1"/>
  <c r="H34" i="47" s="1"/>
  <c r="H35" i="47" s="1"/>
  <c r="AB28" i="47"/>
  <c r="AB29" i="47" s="1"/>
  <c r="AB31" i="47" s="1"/>
  <c r="AB33" i="47" s="1"/>
  <c r="AB34" i="47" s="1"/>
  <c r="AB35" i="47" s="1"/>
  <c r="J28" i="47"/>
  <c r="J29" i="47" s="1"/>
  <c r="J31" i="47" s="1"/>
  <c r="J33" i="47" s="1"/>
  <c r="J34" i="47" s="1"/>
  <c r="J35" i="47" s="1"/>
  <c r="W28" i="47"/>
  <c r="W29" i="47" s="1"/>
  <c r="W31" i="47" s="1"/>
  <c r="W33" i="47" s="1"/>
  <c r="W34" i="47" s="1"/>
  <c r="W35" i="47" s="1"/>
  <c r="N28" i="47"/>
  <c r="N29" i="47" s="1"/>
  <c r="N31" i="47" s="1"/>
  <c r="N33" i="47" s="1"/>
  <c r="N34" i="47" s="1"/>
  <c r="N35" i="47" s="1"/>
  <c r="P28" i="47"/>
  <c r="P29" i="47" s="1"/>
  <c r="P31" i="47" s="1"/>
  <c r="P33" i="47" s="1"/>
  <c r="P34" i="47" s="1"/>
  <c r="P35" i="47" s="1"/>
  <c r="Q28" i="47"/>
  <c r="Q29" i="47" s="1"/>
  <c r="Q31" i="47" s="1"/>
  <c r="Q33" i="47" s="1"/>
  <c r="Q34" i="47" s="1"/>
  <c r="Q35" i="47" s="1"/>
  <c r="K28" i="47"/>
  <c r="K29" i="47" s="1"/>
  <c r="K31" i="47" s="1"/>
  <c r="K33" i="47" s="1"/>
  <c r="K34" i="47" s="1"/>
  <c r="K35" i="47" s="1"/>
  <c r="T28" i="47"/>
  <c r="T29" i="47" s="1"/>
  <c r="T31" i="47" s="1"/>
  <c r="T33" i="47" s="1"/>
  <c r="T34" i="47" s="1"/>
  <c r="T35" i="47" s="1"/>
  <c r="E28" i="47"/>
  <c r="E29" i="47" s="1"/>
  <c r="E31" i="47" s="1"/>
  <c r="E33" i="47" s="1"/>
  <c r="E34" i="47" s="1"/>
  <c r="E35" i="47" s="1"/>
  <c r="Y28" i="47"/>
  <c r="Y29" i="47" s="1"/>
  <c r="Y31" i="47" s="1"/>
  <c r="Y33" i="47" s="1"/>
  <c r="Y34" i="47" s="1"/>
  <c r="Y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rgb="FF000000"/>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<sst xmlns="http://schemas.openxmlformats.org/spreadsheetml/2006/main" count="1524" uniqueCount="278">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</sst>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7"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
      <sz val="9"/>
      <color rgb="FF000000"/>
      <name val="Tahoma"/>
      <family val="2"/>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 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baseColWidth="10" defaultColWidth="8.6640625" defaultRowHeight="15" x14ac:dyDescent="0.2"/>
  <cols>
    <col min="1" max="1" width="3.33203125" style="2" customWidth="1"/>
    <col min="2" max="2" width="49.1640625" style="2" customWidth="1"/>
    <col min="3" max="3" width="9.5" style="2" customWidth="1"/>
    <col min="4" max="16384" width="8.6640625" style="2"/>
  </cols>
  <sheetData>
    <row r="1" spans="2:2" ht="24" x14ac:dyDescent="0.3">
      <c r="B1" s="10" t="s">
        <v>208</v>
      </c>
    </row>
    <row r="5" spans="2:2" ht="24" x14ac:dyDescent="0.3">
      <c r="B5" s="10" t="s">
        <v>237</v>
      </c>
    </row>
    <row r="6" spans="2:2" x14ac:dyDescent="0.2">
      <c r="B6" s="64" t="s">
        <v>242</v>
      </c>
    </row>
    <row r="7" spans="2:2" x14ac:dyDescent="0.2">
      <c r="B7" s="65" t="s">
        <v>47</v>
      </c>
    </row>
    <row r="8" spans="2:2" x14ac:dyDescent="0.2">
      <c r="B8" s="74" t="s">
        <v>46</v>
      </c>
    </row>
    <row r="9" spans="2:2" x14ac:dyDescent="0.2">
      <c r="B9" s="66" t="s">
        <v>55</v>
      </c>
    </row>
    <row r="11" spans="2:2" ht="24" x14ac:dyDescent="0.3">
      <c r="B11" s="10" t="s">
        <v>44</v>
      </c>
    </row>
    <row r="12" spans="2:2" x14ac:dyDescent="0.2">
      <c r="B12" s="11" t="s">
        <v>45</v>
      </c>
    </row>
    <row r="13" spans="2:2" x14ac:dyDescent="0.2">
      <c r="B13" s="12" t="s">
        <v>48</v>
      </c>
    </row>
    <row r="16" spans="2:2" ht="27" customHeight="1" x14ac:dyDescent="0.2">
      <c r="B16" s="55" t="s">
        <v>209</v>
      </c>
    </row>
    <row r="17" spans="2:2" ht="16" x14ac:dyDescent="0.2">
      <c r="B17" s="75" t="s">
        <v>210</v>
      </c>
    </row>
    <row r="18" spans="2:2" x14ac:dyDescent="0.2">
      <c r="B18" s="77" t="s">
        <v>228</v>
      </c>
    </row>
    <row r="19" spans="2:2" x14ac:dyDescent="0.2">
      <c r="B19" s="78" t="s">
        <v>227</v>
      </c>
    </row>
    <row r="20" spans="2:2" x14ac:dyDescent="0.2">
      <c r="B20" s="78" t="s">
        <v>225</v>
      </c>
    </row>
    <row r="21" spans="2:2" x14ac:dyDescent="0.2">
      <c r="B21" s="78" t="s">
        <v>226</v>
      </c>
    </row>
    <row r="22" spans="2:2" x14ac:dyDescent="0.2">
      <c r="B22" s="78" t="s">
        <v>223</v>
      </c>
    </row>
    <row r="23" spans="2:2" x14ac:dyDescent="0.2">
      <c r="B23" s="78" t="s">
        <v>224</v>
      </c>
    </row>
    <row r="24" spans="2:2" x14ac:dyDescent="0.2">
      <c r="B24" s="78" t="s">
        <v>239</v>
      </c>
    </row>
    <row r="25" spans="2:2" x14ac:dyDescent="0.2">
      <c r="B25" s="79" t="s">
        <v>240</v>
      </c>
    </row>
    <row r="26" spans="2:2" x14ac:dyDescent="0.2">
      <c r="B26" s="80" t="s">
        <v>241</v>
      </c>
    </row>
    <row r="27" spans="2:2" ht="16" x14ac:dyDescent="0.2">
      <c r="B27" s="76" t="s">
        <v>211</v>
      </c>
    </row>
    <row r="28" spans="2:2" x14ac:dyDescent="0.2">
      <c r="B28" s="77" t="s">
        <v>276</v>
      </c>
    </row>
    <row r="29" spans="2:2" x14ac:dyDescent="0.2">
      <c r="B29" s="78" t="s">
        <v>238</v>
      </c>
    </row>
    <row r="30" spans="2:2" x14ac:dyDescent="0.2">
      <c r="B30" s="81"/>
    </row>
    <row r="31" spans="2:2" x14ac:dyDescent="0.2">
      <c r="B31" s="81"/>
    </row>
    <row r="32" spans="2:2" x14ac:dyDescent="0.2">
      <c r="B32" s="82"/>
    </row>
    <row r="33" spans="2:2" x14ac:dyDescent="0.2">
      <c r="B33" s="82"/>
    </row>
    <row r="34" spans="2:2" x14ac:dyDescent="0.2">
      <c r="B34" s="82"/>
    </row>
    <row r="35" spans="2:2" x14ac:dyDescent="0.2">
      <c r="B35" s="82"/>
    </row>
    <row r="36" spans="2:2" x14ac:dyDescent="0.2">
      <c r="B36" s="82"/>
    </row>
    <row r="37" spans="2:2" x14ac:dyDescent="0.2">
      <c r="B37" s="82"/>
    </row>
    <row r="38" spans="2:2" x14ac:dyDescent="0.2">
      <c r="B38" s="82"/>
    </row>
    <row r="39" spans="2:2" x14ac:dyDescent="0.2">
      <c r="B39" s="82"/>
    </row>
    <row r="40" spans="2:2" x14ac:dyDescent="0.2">
      <c r="B40" s="82"/>
    </row>
    <row r="41" spans="2:2" x14ac:dyDescent="0.2">
      <c r="B41" s="82"/>
    </row>
    <row r="42" spans="2:2" x14ac:dyDescent="0.2">
      <c r="B42" s="82"/>
    </row>
    <row r="43" spans="2:2" x14ac:dyDescent="0.2">
      <c r="B43" s="82"/>
    </row>
    <row r="44" spans="2:2" x14ac:dyDescent="0.2">
      <c r="B44" s="82"/>
    </row>
    <row r="45" spans="2:2" x14ac:dyDescent="0.2">
      <c r="B45" s="82"/>
    </row>
    <row r="46" spans="2:2" x14ac:dyDescent="0.2">
      <c r="B46" s="82"/>
    </row>
    <row r="47" spans="2:2" x14ac:dyDescent="0.2">
      <c r="B47" s="82"/>
    </row>
    <row r="48" spans="2:2" x14ac:dyDescent="0.2">
      <c r="B48" s="82"/>
    </row>
    <row r="49" spans="2:2" x14ac:dyDescent="0.2">
      <c r="B49" s="82"/>
    </row>
    <row r="50" spans="2:2" x14ac:dyDescent="0.2">
      <c r="B50" s="82"/>
    </row>
    <row r="51" spans="2:2" x14ac:dyDescent="0.2">
      <c r="B51" s="82"/>
    </row>
    <row r="52" spans="2:2" x14ac:dyDescent="0.2">
      <c r="B52" s="82"/>
    </row>
    <row r="53" spans="2:2" x14ac:dyDescent="0.2">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2" sqref="C2"/>
    </sheetView>
  </sheetViews>
  <sheetFormatPr baseColWidth="10" defaultColWidth="8.83203125" defaultRowHeight="15" x14ac:dyDescent="0.2"/>
  <cols>
    <col min="1" max="1" width="3.1640625" customWidth="1"/>
    <col min="2" max="2" width="38.5" bestFit="1" customWidth="1"/>
    <col min="3" max="3" width="12.1640625" style="32" bestFit="1" customWidth="1"/>
  </cols>
  <sheetData>
    <row r="2" spans="2:3" x14ac:dyDescent="0.2">
      <c r="B2" s="39" t="s">
        <v>62</v>
      </c>
      <c r="C2" s="42">
        <f>2%*(1-10%)</f>
        <v>1.8000000000000002E-2</v>
      </c>
    </row>
    <row r="3" spans="2:3" x14ac:dyDescent="0.2">
      <c r="B3" s="40" t="s">
        <v>217</v>
      </c>
      <c r="C3" s="43"/>
    </row>
    <row r="4" spans="2:3" x14ac:dyDescent="0.2">
      <c r="B4" s="45" t="s">
        <v>63</v>
      </c>
      <c r="C4" s="46">
        <v>0.03</v>
      </c>
    </row>
    <row r="5" spans="2:3" x14ac:dyDescent="0.2">
      <c r="B5" s="47" t="s">
        <v>65</v>
      </c>
      <c r="C5" s="48">
        <f>C4-C2</f>
        <v>1.1999999999999997E-2</v>
      </c>
    </row>
    <row r="6" spans="2:3" x14ac:dyDescent="0.2">
      <c r="B6" s="47" t="s">
        <v>64</v>
      </c>
      <c r="C6" s="48">
        <v>0.06</v>
      </c>
    </row>
    <row r="7" spans="2:3" x14ac:dyDescent="0.2">
      <c r="B7" s="47" t="s">
        <v>175</v>
      </c>
      <c r="C7" s="48">
        <f>C6-C2</f>
        <v>4.1999999999999996E-2</v>
      </c>
    </row>
    <row r="8" spans="2:3" x14ac:dyDescent="0.2">
      <c r="B8" s="47" t="s">
        <v>76</v>
      </c>
      <c r="C8" s="48">
        <v>0.2</v>
      </c>
    </row>
    <row r="9" spans="2:3" x14ac:dyDescent="0.2">
      <c r="B9" s="47" t="s">
        <v>221</v>
      </c>
      <c r="C9" s="49">
        <v>43871</v>
      </c>
    </row>
    <row r="10" spans="2:3" x14ac:dyDescent="0.2">
      <c r="B10" s="41" t="s">
        <v>222</v>
      </c>
      <c r="C10" s="44">
        <v>72000</v>
      </c>
    </row>
    <row r="11" spans="2:3" x14ac:dyDescent="0.2">
      <c r="B11" s="40" t="s">
        <v>212</v>
      </c>
      <c r="C11" s="43"/>
    </row>
    <row r="12" spans="2:3" x14ac:dyDescent="0.2">
      <c r="B12" s="45" t="s">
        <v>213</v>
      </c>
      <c r="C12" s="46">
        <v>0.05</v>
      </c>
    </row>
    <row r="13" spans="2:3" x14ac:dyDescent="0.2">
      <c r="B13" s="47" t="s">
        <v>214</v>
      </c>
      <c r="C13" s="48">
        <v>0.1</v>
      </c>
    </row>
    <row r="14" spans="2:3" x14ac:dyDescent="0.2">
      <c r="B14" s="41" t="s">
        <v>216</v>
      </c>
      <c r="C14" s="44">
        <v>9400</v>
      </c>
    </row>
    <row r="15" spans="2:3" x14ac:dyDescent="0.2">
      <c r="B15" s="40" t="s">
        <v>215</v>
      </c>
      <c r="C15" s="43"/>
    </row>
    <row r="16" spans="2:3" x14ac:dyDescent="0.2">
      <c r="B16" s="45" t="s">
        <v>188</v>
      </c>
      <c r="C16" s="46">
        <v>0.08</v>
      </c>
    </row>
    <row r="17" spans="2:3" x14ac:dyDescent="0.2">
      <c r="B17" s="45" t="s">
        <v>229</v>
      </c>
      <c r="C17" s="52">
        <v>51600</v>
      </c>
    </row>
    <row r="18" spans="2:3" x14ac:dyDescent="0.2">
      <c r="B18" s="47" t="s">
        <v>230</v>
      </c>
      <c r="C18" s="48">
        <v>0.1201</v>
      </c>
    </row>
    <row r="19" spans="2:3" x14ac:dyDescent="0.2">
      <c r="B19" s="47" t="s">
        <v>231</v>
      </c>
      <c r="C19" s="48">
        <v>0.15</v>
      </c>
    </row>
    <row r="20" spans="2:3" x14ac:dyDescent="0.2">
      <c r="B20" s="47" t="s">
        <v>232</v>
      </c>
      <c r="C20" s="50">
        <v>618400</v>
      </c>
    </row>
    <row r="21" spans="2:3" x14ac:dyDescent="0.2">
      <c r="B21" s="47" t="s">
        <v>233</v>
      </c>
      <c r="C21" s="48">
        <v>0.25</v>
      </c>
    </row>
    <row r="22" spans="2:3" x14ac:dyDescent="0.2">
      <c r="B22" s="47" t="s">
        <v>218</v>
      </c>
      <c r="C22" s="51">
        <v>0.27</v>
      </c>
    </row>
    <row r="23" spans="2:3" x14ac:dyDescent="0.2">
      <c r="B23" s="47" t="s">
        <v>219</v>
      </c>
      <c r="C23" s="51">
        <v>0.42</v>
      </c>
    </row>
    <row r="24" spans="2:3" x14ac:dyDescent="0.2">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baseColWidth="10" defaultColWidth="15.33203125" defaultRowHeight="15" x14ac:dyDescent="0.2"/>
  <cols>
    <col min="1" max="1" width="4.5" style="2" customWidth="1"/>
    <col min="2" max="2" width="34.83203125" style="2" bestFit="1" customWidth="1"/>
    <col min="3" max="6" width="15.33203125" style="2"/>
    <col min="7" max="7" width="50.5" style="2" bestFit="1" customWidth="1"/>
    <col min="8" max="8" width="27.6640625" style="2" bestFit="1" customWidth="1"/>
    <col min="9" max="9" width="15.5" style="2" bestFit="1" customWidth="1"/>
    <col min="10" max="13" width="15.33203125" style="2"/>
    <col min="14" max="14" width="44" style="2" customWidth="1"/>
    <col min="15" max="15" width="31" style="2" customWidth="1"/>
    <col min="16" max="16384" width="15.33203125" style="2"/>
  </cols>
  <sheetData>
    <row r="2" spans="1:17" x14ac:dyDescent="0.2">
      <c r="A2" s="16"/>
      <c r="B2" s="14" t="s">
        <v>62</v>
      </c>
      <c r="C2" s="15">
        <f>Income!I2</f>
        <v>1.8000000000000002E-2</v>
      </c>
      <c r="G2" s="4" t="s">
        <v>173</v>
      </c>
      <c r="H2" s="4" t="s">
        <v>5</v>
      </c>
      <c r="I2" s="4" t="s">
        <v>57</v>
      </c>
      <c r="J2" s="59" t="s">
        <v>263</v>
      </c>
      <c r="K2" s="4" t="s">
        <v>1</v>
      </c>
      <c r="M2" s="60" t="s">
        <v>1</v>
      </c>
      <c r="N2" s="60" t="s">
        <v>173</v>
      </c>
      <c r="O2" s="60" t="s">
        <v>5</v>
      </c>
    </row>
    <row r="3" spans="1:17" x14ac:dyDescent="0.2">
      <c r="A3" s="16"/>
      <c r="B3" s="14" t="s">
        <v>63</v>
      </c>
      <c r="C3" s="15">
        <f>Income!I3</f>
        <v>0.03</v>
      </c>
      <c r="G3" s="31">
        <f>TableIncomeCalculations11[[#This Row],[GrossMonthlySalaryP2]]/(1+C2)</f>
        <v>73017.691552062868</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51317.830090581258</v>
      </c>
      <c r="O3" s="60" cm="1">
        <f t="array" ref="O3">INDEX($H$3:$H$18,ROWS($H$3:$H$18)+ROW($H$3)-ROW())</f>
        <v>36965.72433477857</v>
      </c>
      <c r="Q3" s="63">
        <f>Table11[[#This Row],[GrossMonthlyInflationAdjustedP2]]*0.2</f>
        <v>10263.566018116253</v>
      </c>
    </row>
    <row r="4" spans="1:17" x14ac:dyDescent="0.2">
      <c r="A4" s="16"/>
      <c r="B4" s="14" t="s">
        <v>65</v>
      </c>
      <c r="C4" s="15">
        <f>Income!I4</f>
        <v>1.1999999999999997E-2</v>
      </c>
      <c r="G4" s="35">
        <f>(G3/(1+$C$4))-IF(TableIncomeCalculations11[[#This Row],[Inverse]]="Y",G3*$C$6,0)</f>
        <v>72151.869122591772</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51933.644051668234</v>
      </c>
      <c r="O4" s="60" cm="1">
        <f t="array" ref="O4">INDEX($H$3:$H$18,ROWS($H$3:$H$18)+ROW($H$3)-ROW())</f>
        <v>38074.696064821925</v>
      </c>
      <c r="Q4" s="63">
        <f>Table11[[#This Row],[GrossMonthlyInflationAdjustedP2]]*0.2</f>
        <v>10386.728810333647</v>
      </c>
    </row>
    <row r="5" spans="1:17" x14ac:dyDescent="0.2">
      <c r="A5" s="16"/>
      <c r="B5" s="14" t="s">
        <v>64</v>
      </c>
      <c r="C5" s="15">
        <f>Income!I5</f>
        <v>0.06</v>
      </c>
      <c r="G5" s="35">
        <f>(G4/(1+$C$4))-IF(TableIncomeCalculations11[[#This Row],[Inverse]]="Y",G4*$C$6,0)</f>
        <v>68265.934859095985</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52556.847780288255</v>
      </c>
      <c r="O5" s="60" cm="1">
        <f t="array" ref="O5">INDEX($H$3:$H$18,ROWS($H$3:$H$18)+ROW($H$3)-ROW())</f>
        <v>39216.936946766582</v>
      </c>
      <c r="Q5" s="63">
        <f>Table11[[#This Row],[GrossMonthlyInflationAdjustedP2]]*0.2</f>
        <v>10511.369556057653</v>
      </c>
    </row>
    <row r="6" spans="1:17" x14ac:dyDescent="0.2">
      <c r="A6" s="16"/>
      <c r="B6" s="14" t="s">
        <v>175</v>
      </c>
      <c r="C6" s="15">
        <f>Income!I6</f>
        <v>4.1999999999999996E-2</v>
      </c>
      <c r="G6" s="35">
        <f>(G5/(1+$C$4))-IF(TableIncomeCalculations11[[#This Row],[Inverse]]="Y",G5*$C$6,0)</f>
        <v>67456.457370648204</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55548.566211923302</v>
      </c>
      <c r="O6" s="60" cm="1">
        <f t="array" ref="O6">INDEX($H$3:$H$18,ROWS($H$3:$H$18)+ROW($H$3)-ROW())</f>
        <v>43054.194260466407</v>
      </c>
      <c r="Q6" s="63">
        <f>Table11[[#This Row],[GrossMonthlyInflationAdjustedP2]]*0.2</f>
        <v>11109.713242384661</v>
      </c>
    </row>
    <row r="7" spans="1:17" x14ac:dyDescent="0.2">
      <c r="A7" s="16"/>
      <c r="B7" s="14" t="s">
        <v>76</v>
      </c>
      <c r="C7" s="15">
        <f>Income!I7</f>
        <v>0.2</v>
      </c>
      <c r="G7" s="35">
        <f>(G6/(1+$C$4))-IF(TableIncomeCalculations11[[#This Row],[Inverse]]="Y",G6*$C$6,0)</f>
        <v>66656.578429494271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56215.149006466381</v>
      </c>
      <c r="O7" s="60" cm="1">
        <f t="array" ref="O7">INDEX($H$3:$H$18,ROWS($H$3:$H$18)+ROW($H$3)-ROW())</f>
        <v>44345.820088280401</v>
      </c>
      <c r="Q7" s="63">
        <f>Table11[[#This Row],[GrossMonthlyInflationAdjustedP2]]*0.2</f>
        <v>11243.029801293276</v>
      </c>
    </row>
    <row r="8" spans="1:17" x14ac:dyDescent="0.2">
      <c r="A8" s="16"/>
      <c r="C8" s="17"/>
      <c r="G8" s="35">
        <f>(G7/(1+$C$4))-IF(TableIncomeCalculations11[[#This Row],[Inverse]]="Y",G7*$C$6,0)</f>
        <v>63066.607924829099</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56889.730794543975</v>
      </c>
      <c r="O8" s="60" cm="1">
        <f t="array" ref="O8">INDEX($H$3:$H$18,ROWS($H$3:$H$18)+ROW($H$3)-ROW())</f>
        <v>45676.194690928816</v>
      </c>
      <c r="Q8" s="63">
        <f>Table11[[#This Row],[GrossMonthlyInflationAdjustedP2]]*0.2</f>
        <v>11377.946158908795</v>
      </c>
    </row>
    <row r="9" spans="1:17" x14ac:dyDescent="0.2">
      <c r="A9" s="16"/>
      <c r="G9" s="35">
        <f>(G8/(1+$C$4))-IF(TableIncomeCalculations11[[#This Row],[Inverse]]="Y",G8*$C$6,0)</f>
        <v>62318.782534416103</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57572.407564078501</v>
      </c>
      <c r="O9" s="60" cm="1">
        <f t="array" ref="O9">INDEX($H$3:$H$18,ROWS($H$3:$H$18)+ROW($H$3)-ROW())</f>
        <v>47046.480531656685</v>
      </c>
      <c r="Q9" s="63">
        <f>Table11[[#This Row],[GrossMonthlyInflationAdjustedP2]]*0.2</f>
        <v>11514.481512815701</v>
      </c>
    </row>
    <row r="10" spans="1:17" x14ac:dyDescent="0.2">
      <c r="A10" s="16"/>
      <c r="G10" s="35">
        <f>(G9/(1+$C$4))-IF(TableIncomeCalculations11[[#This Row],[Inverse]]="Y",G9*$C$6,0)</f>
        <v>61579.824638751088</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60849.629089674985</v>
      </c>
      <c r="O10" s="60" cm="1">
        <f t="array" ref="O10">INDEX($H$3:$H$18,ROWS($H$3:$H$18)+ROW($H$3)-ROW())</f>
        <v>51649.834734178628</v>
      </c>
      <c r="Q10" s="63">
        <f>Table11[[#This Row],[GrossMonthlyInflationAdjustedP2]]*0.2</f>
        <v>12169.925817934998</v>
      </c>
    </row>
    <row r="11" spans="1:17" x14ac:dyDescent="0.2">
      <c r="A11" s="16"/>
      <c r="G11" s="35">
        <f>(G10/(1+$C$4))-IF(TableIncomeCalculations11[[#This Row],[Inverse]]="Y",G10*$C$6,0)</f>
        <v>60849.629089674985</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61579.824638751088</v>
      </c>
      <c r="O11" s="60" cm="1">
        <f t="array" ref="O11">INDEX($H$3:$H$18,ROWS($H$3:$H$18)+ROW($H$3)-ROW())</f>
        <v>53199.329776203987</v>
      </c>
      <c r="Q11" s="63">
        <f>Table11[[#This Row],[GrossMonthlyInflationAdjustedP2]]*0.2</f>
        <v>12315.964927750218</v>
      </c>
    </row>
    <row r="12" spans="1:17" x14ac:dyDescent="0.2">
      <c r="A12" s="16"/>
      <c r="G12" s="35">
        <f>(G11/(1+$C$4))-IF(TableIncomeCalculations11[[#This Row],[Inverse]]="Y",G11*$C$6,0)</f>
        <v>57572.407564078501</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62318.782534416103</v>
      </c>
      <c r="O12" s="60" cm="1">
        <f t="array" ref="O12">INDEX($H$3:$H$18,ROWS($H$3:$H$18)+ROW($H$3)-ROW())</f>
        <v>54795.309669490111</v>
      </c>
      <c r="Q12" s="63">
        <f>Table11[[#This Row],[GrossMonthlyInflationAdjustedP2]]*0.2</f>
        <v>12463.756506883221</v>
      </c>
    </row>
    <row r="13" spans="1:17" x14ac:dyDescent="0.2">
      <c r="A13" s="16"/>
      <c r="G13" s="35">
        <f>(G12/(1+$C$4))-IF(TableIncomeCalculations11[[#This Row],[Inverse]]="Y",G12*$C$6,0)</f>
        <v>56889.730794543975</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63066.607924829099</v>
      </c>
      <c r="O13" s="60" cm="1">
        <f t="array" ref="O13">INDEX($H$3:$H$18,ROWS($H$3:$H$18)+ROW($H$3)-ROW())</f>
        <v>56439.168959574818</v>
      </c>
      <c r="Q13" s="63">
        <f>Table11[[#This Row],[GrossMonthlyInflationAdjustedP2]]*0.2</f>
        <v>12613.321584965821</v>
      </c>
    </row>
    <row r="14" spans="1:17" x14ac:dyDescent="0.2">
      <c r="A14" s="16"/>
      <c r="G14" s="35">
        <f>(G13/(1+$C$4))-IF(TableIncomeCalculations11[[#This Row],[Inverse]]="Y",G13*$C$6,0)</f>
        <v>56215.149006466381</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66656.578429494271</v>
      </c>
      <c r="O14" s="60" cm="1">
        <f t="array" ref="O14">INDEX($H$3:$H$18,ROWS($H$3:$H$18)+ROW($H$3)-ROW())</f>
        <v>61961.56899207212</v>
      </c>
      <c r="Q14" s="63">
        <f>Table11[[#This Row],[GrossMonthlyInflationAdjustedP2]]*0.2</f>
        <v>13331.315685898855</v>
      </c>
    </row>
    <row r="15" spans="1:17" x14ac:dyDescent="0.2">
      <c r="A15" s="16"/>
      <c r="G15" s="35">
        <f>(G14/(1+$C$4))-IF(TableIncomeCalculations11[[#This Row],[Inverse]]="Y",G14*$C$6,0)</f>
        <v>55548.566211923302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67456.457370648204</v>
      </c>
      <c r="O15" s="60" cm="1">
        <f t="array" ref="O15">INDEX($H$3:$H$18,ROWS($H$3:$H$18)+ROW($H$3)-ROW())</f>
        <v>63820.416061834287</v>
      </c>
      <c r="Q15" s="63">
        <f>Table11[[#This Row],[GrossMonthlyInflationAdjustedP2]]*0.2</f>
        <v>13491.291474129641</v>
      </c>
    </row>
    <row r="16" spans="1:17" x14ac:dyDescent="0.2">
      <c r="A16" s="16"/>
      <c r="G16" s="35">
        <f>(G15/(1+$C$4))-IF(TableIncomeCalculations11[[#This Row],[Inverse]]="Y",G15*$C$6,0)</f>
        <v>52556.847780288255</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68265.934859095985</v>
      </c>
      <c r="O16" s="60" cm="1">
        <f t="array" ref="O16">INDEX($H$3:$H$18,ROWS($H$3:$H$18)+ROW($H$3)-ROW())</f>
        <v>65735.028543689317</v>
      </c>
      <c r="Q16" s="63">
        <f>Table11[[#This Row],[GrossMonthlyInflationAdjustedP2]]*0.2</f>
        <v>13653.186971819197</v>
      </c>
    </row>
    <row r="17" spans="1:17" x14ac:dyDescent="0.2">
      <c r="A17" s="16"/>
      <c r="G17" s="35">
        <f>(G16/(1+$C$4))-IF(TableIncomeCalculations11[[#This Row],[Inverse]]="Y",G16*$C$6,0)</f>
        <v>51933.644051668234</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72151.869122591772</v>
      </c>
      <c r="O17" s="60" cm="1">
        <f t="array" ref="O17">INDEX($H$3:$H$18,ROWS($H$3:$H$18)+ROW($H$3)-ROW())</f>
        <v>72167</v>
      </c>
      <c r="Q17" s="63">
        <f>Table11[[#This Row],[GrossMonthlyInflationAdjustedP2]]*0.2</f>
        <v>14430.373824518356</v>
      </c>
    </row>
    <row r="18" spans="1:17" x14ac:dyDescent="0.2">
      <c r="A18" s="16"/>
      <c r="G18" s="35">
        <f>(G17/(1+$C$4))-IF(TableIncomeCalculations11[[#This Row],[Inverse]]="Y",G17*$C$6,0)</f>
        <v>51317.830090581258</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73017.691552062868</v>
      </c>
      <c r="O18" s="60" cm="1">
        <f t="array" ref="O18">INDEX($H$3:$H$18,ROWS($H$3:$H$18)+ROW($H$3)-ROW())</f>
        <v>74332.009999999995</v>
      </c>
      <c r="Q18" s="63">
        <f>Table11[[#This Row],[GrossMonthlyInflationAdjustedP2]]*0.2</f>
        <v>14603.538310412574</v>
      </c>
    </row>
    <row r="19" spans="1:17" x14ac:dyDescent="0.2">
      <c r="A19" s="16"/>
      <c r="M19" s="62"/>
    </row>
    <row r="20" spans="1:17" x14ac:dyDescent="0.2">
      <c r="A20" s="16"/>
    </row>
    <row r="21" spans="1:17" x14ac:dyDescent="0.2">
      <c r="A21" s="16"/>
      <c r="Q21" s="63">
        <f>SUM(Q3:Q18)</f>
        <v>195479.5102042229</v>
      </c>
    </row>
    <row r="22" spans="1:17" x14ac:dyDescent="0.2">
      <c r="A22" s="16"/>
    </row>
    <row r="23" spans="1:17" x14ac:dyDescent="0.2">
      <c r="A23" s="16"/>
    </row>
    <row r="24" spans="1:17" x14ac:dyDescent="0.2">
      <c r="A24" s="16"/>
    </row>
    <row r="25" spans="1:17" x14ac:dyDescent="0.2">
      <c r="A25" s="16"/>
    </row>
    <row r="26" spans="1:17" x14ac:dyDescent="0.2">
      <c r="A26" s="16"/>
    </row>
    <row r="27" spans="1:17" x14ac:dyDescent="0.2">
      <c r="A27" s="16"/>
    </row>
    <row r="28" spans="1:17" x14ac:dyDescent="0.2">
      <c r="A28" s="16"/>
    </row>
    <row r="29" spans="1:17" x14ac:dyDescent="0.2">
      <c r="A29" s="16"/>
    </row>
    <row r="30" spans="1:17" x14ac:dyDescent="0.2">
      <c r="A30" s="16"/>
    </row>
    <row r="31" spans="1:17" x14ac:dyDescent="0.2">
      <c r="A31" s="16"/>
    </row>
    <row r="32" spans="1:17" x14ac:dyDescent="0.2">
      <c r="A32" s="16"/>
    </row>
    <row r="33" spans="1:1" x14ac:dyDescent="0.2">
      <c r="A33" s="16"/>
    </row>
    <row r="34" spans="1:1" x14ac:dyDescent="0.2">
      <c r="A34" s="16"/>
    </row>
    <row r="35" spans="1:1" x14ac:dyDescent="0.2">
      <c r="A35" s="16"/>
    </row>
    <row r="36" spans="1:1" x14ac:dyDescent="0.2">
      <c r="A36" s="16"/>
    </row>
    <row r="37" spans="1:1" x14ac:dyDescent="0.2">
      <c r="A37" s="16"/>
    </row>
    <row r="38" spans="1:1" x14ac:dyDescent="0.2">
      <c r="A38" s="16"/>
    </row>
    <row r="39" spans="1:1" x14ac:dyDescent="0.2">
      <c r="A39" s="16"/>
    </row>
    <row r="40" spans="1:1" x14ac:dyDescent="0.2">
      <c r="A40" s="16"/>
    </row>
    <row r="41" spans="1:1" x14ac:dyDescent="0.2">
      <c r="A41" s="16"/>
    </row>
    <row r="42" spans="1:1" x14ac:dyDescent="0.2">
      <c r="A42" s="16"/>
    </row>
    <row r="43" spans="1:1" x14ac:dyDescent="0.2">
      <c r="A43" s="16"/>
    </row>
    <row r="44" spans="1:1" x14ac:dyDescent="0.2">
      <c r="A44" s="16"/>
    </row>
    <row r="45" spans="1:1" x14ac:dyDescent="0.2">
      <c r="A45" s="16"/>
    </row>
    <row r="46" spans="1:1" x14ac:dyDescent="0.2">
      <c r="A46" s="16"/>
    </row>
    <row r="47" spans="1:1" x14ac:dyDescent="0.2">
      <c r="A47" s="16"/>
    </row>
    <row r="48" spans="1:1" x14ac:dyDescent="0.2">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baseColWidth="10" defaultColWidth="15.33203125" defaultRowHeight="15" x14ac:dyDescent="0.2"/>
  <cols>
    <col min="1" max="1" width="3.83203125" style="2" customWidth="1"/>
    <col min="2" max="2" width="11.5" style="2" bestFit="1" customWidth="1"/>
    <col min="3" max="3" width="19.5" style="2" bestFit="1" customWidth="1"/>
    <col min="4" max="4" width="19.83203125" style="2" bestFit="1" customWidth="1"/>
    <col min="5" max="6" width="20" style="2" bestFit="1" customWidth="1"/>
    <col min="7" max="7" width="4.5" style="2" customWidth="1"/>
    <col min="8" max="8" width="34.83203125" style="2" bestFit="1" customWidth="1"/>
    <col min="9" max="12" width="15.33203125" style="2"/>
    <col min="13" max="14" width="25.6640625" style="2" bestFit="1" customWidth="1"/>
    <col min="15" max="16" width="38.33203125" style="2" bestFit="1" customWidth="1"/>
    <col min="17" max="18" width="27.6640625" style="2" bestFit="1" customWidth="1"/>
    <col min="19" max="20" width="15.5" style="2" bestFit="1" customWidth="1"/>
    <col min="21" max="16384" width="15.33203125" style="2"/>
  </cols>
  <sheetData>
    <row r="1" spans="1:20" x14ac:dyDescent="0.2">
      <c r="A1" s="54" t="s">
        <v>236</v>
      </c>
    </row>
    <row r="2" spans="1:20" x14ac:dyDescent="0.2">
      <c r="B2" s="3" t="s">
        <v>1</v>
      </c>
      <c r="C2" s="3" t="s">
        <v>2</v>
      </c>
      <c r="D2" s="3" t="s">
        <v>3</v>
      </c>
      <c r="E2" s="3" t="s">
        <v>77</v>
      </c>
      <c r="F2" s="3" t="s">
        <v>78</v>
      </c>
      <c r="G2" s="16"/>
      <c r="H2" s="14" t="s">
        <v>62</v>
      </c>
      <c r="I2" s="15">
        <f>'Salary Variables'!$C$2</f>
        <v>1.8000000000000002E-2</v>
      </c>
      <c r="K2" s="2" t="s">
        <v>275</v>
      </c>
      <c r="L2" s="2" t="s">
        <v>275</v>
      </c>
      <c r="M2" s="4" t="s">
        <v>171</v>
      </c>
      <c r="N2" s="4" t="s">
        <v>172</v>
      </c>
      <c r="O2" s="4" t="s">
        <v>174</v>
      </c>
      <c r="P2" s="4" t="s">
        <v>173</v>
      </c>
      <c r="Q2" s="4" t="s">
        <v>4</v>
      </c>
      <c r="R2" s="4" t="s">
        <v>5</v>
      </c>
      <c r="S2" s="4" t="s">
        <v>56</v>
      </c>
      <c r="T2" s="4" t="s">
        <v>57</v>
      </c>
    </row>
    <row r="3" spans="1:20" x14ac:dyDescent="0.2">
      <c r="B3" s="3">
        <v>2025</v>
      </c>
      <c r="C3" s="36">
        <f>(TableIncomeCalculations[[#This Row],[NetMonthlySalaryP1]]*12)</f>
        <v>283532.14874747349</v>
      </c>
      <c r="D3" s="37">
        <f>(TableIncomeCalculations[[#This Row],[NetMonthlySalaryP2]]*12)</f>
        <v>464284.65106015711</v>
      </c>
      <c r="E3" s="36">
        <f>TableIncome[[#This Row],[SalaryP1]]*$I$7</f>
        <v>56706.429749494702</v>
      </c>
      <c r="F3" s="36">
        <f>TableIncome[[#This Row],[SalaryP2]]*$I$7</f>
        <v>92856.930212031424</v>
      </c>
      <c r="G3" s="16"/>
      <c r="H3" s="14" t="s">
        <v>63</v>
      </c>
      <c r="I3" s="15" cm="1">
        <f t="array" ref="I3:I7">'Salary Variables'!$C$4:$C$8</f>
        <v>0.03</v>
      </c>
      <c r="K3" s="57">
        <f>(TableIncome[[#This Row],[SalaryP1]]-TableIncome[[#This Row],[InvestmentP1]])/12</f>
        <v>18902.143249831566</v>
      </c>
      <c r="L3" s="57">
        <f>(TableIncome[[#This Row],[SalaryP2]]-TableIncome[[#This Row],[InvestmentP2]])/12</f>
        <v>30952.31007067714</v>
      </c>
      <c r="M3" s="34">
        <f>'Net Salary P1'!BI2</f>
        <v>23627.679062289459</v>
      </c>
      <c r="N3" s="35">
        <f>'Net Salary P2'!BI2</f>
        <v>38690.387588346428</v>
      </c>
      <c r="O3" s="35">
        <f>TableIncomeCalculations[[#This Row],[GrossMonthlySalaryP1]]/(1+I2)</f>
        <v>43506.876227897839</v>
      </c>
      <c r="P3" s="31">
        <f>TableIncomeCalculations[[#This Row],[GrossMonthlySalaryP2]]/(1+I2)</f>
        <v>73017.691552062868</v>
      </c>
      <c r="Q3" s="35">
        <f>43000*(1+I3)</f>
        <v>44290</v>
      </c>
      <c r="R3" s="31">
        <f>72167*(1+I3)</f>
        <v>74332.009999999995</v>
      </c>
      <c r="S3" t="str">
        <f>JobHopping[[#This Row],[SwitchP1Static]]</f>
        <v>N</v>
      </c>
      <c r="T3" t="str">
        <f>JobHopping[[#This Row],[SwitchP2Static]]</f>
        <v>N</v>
      </c>
    </row>
    <row r="4" spans="1:20" x14ac:dyDescent="0.2">
      <c r="B4" s="3">
        <v>2026</v>
      </c>
      <c r="C4" s="38">
        <f>(TableIncomeCalculations[[#This Row],[NetMonthlySalaryP1]]*12)</f>
        <v>286981.23007849115</v>
      </c>
      <c r="D4" s="37">
        <f>(TableIncomeCalculations[[#This Row],[NetMonthlySalaryP2]]*12)</f>
        <v>468694.79509092716</v>
      </c>
      <c r="E4" s="36">
        <f>TableIncome[[#This Row],[SalaryP1]]*$I$7</f>
        <v>57396.246015698234</v>
      </c>
      <c r="F4" s="36">
        <f>TableIncome[[#This Row],[SalaryP2]]*$I$7</f>
        <v>93738.959018185444</v>
      </c>
      <c r="G4" s="16"/>
      <c r="H4" s="14" t="s">
        <v>65</v>
      </c>
      <c r="I4" s="15">
        <v>1.1999999999999997E-2</v>
      </c>
      <c r="K4" s="57">
        <f>(TableIncome[[#This Row],[SalaryP1]]-TableIncome[[#This Row],[InvestmentP1]])/12</f>
        <v>19132.082005232744</v>
      </c>
      <c r="L4" s="57">
        <f>(TableIncome[[#This Row],[SalaryP2]]-TableIncome[[#This Row],[InvestmentP2]])/12</f>
        <v>31246.319672728478</v>
      </c>
      <c r="M4" s="34">
        <f>'Net Salary P1'!BI3</f>
        <v>23915.10250654093</v>
      </c>
      <c r="N4" s="35">
        <f>'Net Salary P2'!BI3</f>
        <v>39057.899590910594</v>
      </c>
      <c r="O4" s="35">
        <f>IF(_xlfn.XLOOKUP(TableIncome[[#This Row],[Year]],Loop!C:C,Loop!D:D)&lt;75,(O3*(1+$I$4))+IF(TableIncomeCalculations[[#This Row],[SwitchP1]]="Y",O3*$I$6,0),0)</f>
        <v>44028.958742632611</v>
      </c>
      <c r="P4" s="35">
        <f>IF(_xlfn.XLOOKUP(TableIncome[[#This Row],[Year]],Loop!C:C,Loop!E:E)&lt;75,(P3*(1+$I$4))+IF(TableIncomeCalculations[[#This Row],[SwitchP2]]="Y",P3*$I$6,0),0)</f>
        <v>73893.903850687624</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
      <c r="B5" s="3">
        <v>2027</v>
      </c>
      <c r="C5" s="38">
        <f>(TableIncomeCalculations[[#This Row],[NetMonthlySalaryP1]]*12)</f>
        <v>302688.34645994572</v>
      </c>
      <c r="D5" s="37">
        <f>(TableIncomeCalculations[[#This Row],[NetMonthlySalaryP2]]*12)</f>
        <v>488778.59100705315</v>
      </c>
      <c r="E5" s="36">
        <f>TableIncome[[#This Row],[SalaryP1]]*$I$7</f>
        <v>60537.66929198915</v>
      </c>
      <c r="F5" s="36">
        <f>TableIncome[[#This Row],[SalaryP2]]*$I$7</f>
        <v>97755.718201410637</v>
      </c>
      <c r="G5" s="16"/>
      <c r="H5" s="14" t="s">
        <v>64</v>
      </c>
      <c r="I5" s="15">
        <v>0.06</v>
      </c>
      <c r="K5" s="57">
        <f>(TableIncome[[#This Row],[SalaryP1]]-TableIncome[[#This Row],[InvestmentP1]])/12</f>
        <v>20179.223097329716</v>
      </c>
      <c r="L5" s="57">
        <f>(TableIncome[[#This Row],[SalaryP2]]-TableIncome[[#This Row],[InvestmentP2]])/12</f>
        <v>32585.239400470211</v>
      </c>
      <c r="M5" s="34">
        <f>'Net Salary P1'!BI4</f>
        <v>25224.028871662144</v>
      </c>
      <c r="N5" s="35">
        <f>'Net Salary P2'!BI4</f>
        <v>40731.549250587763</v>
      </c>
      <c r="O5" s="35">
        <f>IF(_xlfn.XLOOKUP(TableIncome[[#This Row],[Year]],Loop!C:C,Loop!D:D)&lt;75,(O4*(1+$I$4))+IF(TableIncomeCalculations[[#This Row],[SwitchP1]]="Y",O4*$I$6,0),0)</f>
        <v>46406.522514734774</v>
      </c>
      <c r="P5" s="35">
        <f>IF(_xlfn.XLOOKUP(TableIncome[[#This Row],[Year]],Loop!C:C,Loop!E:E)&lt;75,(P4*(1+$I$4))+IF(TableIncomeCalculations[[#This Row],[SwitchP2]]="Y",P4*$I$6,0),0)</f>
        <v>77884.174658624761</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
      <c r="B6" s="3">
        <v>2028</v>
      </c>
      <c r="C6" s="38">
        <f>(TableIncomeCalculations[[#This Row],[NetMonthlySalaryP1]]*12)</f>
        <v>306367.30216351309</v>
      </c>
      <c r="D6" s="37">
        <f>(TableIncomeCalculations[[#This Row],[NetMonthlySalaryP2]]*12)</f>
        <v>493482.66231718578</v>
      </c>
      <c r="E6" s="36">
        <f>TableIncome[[#This Row],[SalaryP1]]*$I$7</f>
        <v>61273.460432702617</v>
      </c>
      <c r="F6" s="36">
        <f>TableIncome[[#This Row],[SalaryP2]]*$I$7</f>
        <v>98696.532463437165</v>
      </c>
      <c r="G6" s="16"/>
      <c r="H6" s="14" t="s">
        <v>175</v>
      </c>
      <c r="I6" s="15">
        <v>4.1999999999999996E-2</v>
      </c>
      <c r="K6" s="57">
        <f>(TableIncome[[#This Row],[SalaryP1]]-TableIncome[[#This Row],[InvestmentP1]])/12</f>
        <v>20424.486810900871</v>
      </c>
      <c r="L6" s="57">
        <f>(TableIncome[[#This Row],[SalaryP2]]-TableIncome[[#This Row],[InvestmentP2]])/12</f>
        <v>32898.844154479048</v>
      </c>
      <c r="M6" s="34">
        <f>'Net Salary P1'!BI5</f>
        <v>25530.608513626092</v>
      </c>
      <c r="N6" s="35">
        <f>'Net Salary P2'!BI5</f>
        <v>41123.555193098815</v>
      </c>
      <c r="O6" s="35">
        <f>IF(_xlfn.XLOOKUP(TableIncome[[#This Row],[Year]],Loop!C:C,Loop!D:D)&lt;75,(O5*(1+$I$4))+IF(TableIncomeCalculations[[#This Row],[SwitchP1]]="Y",O5*$I$6,0),0)</f>
        <v>46963.400784911595</v>
      </c>
      <c r="P6" s="35">
        <f>IF(_xlfn.XLOOKUP(TableIncome[[#This Row],[Year]],Loop!C:C,Loop!E:E)&lt;75,(P5*(1+$I$4))+IF(TableIncomeCalculations[[#This Row],[SwitchP2]]="Y",P5*$I$6,0),0)</f>
        <v>78818.784754528257</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
      <c r="B7" s="3">
        <v>2029</v>
      </c>
      <c r="C7" s="38">
        <f>(TableIncomeCalculations[[#This Row],[NetMonthlySalaryP1]]*12)</f>
        <v>310090.40533552325</v>
      </c>
      <c r="D7" s="37">
        <f>(TableIncomeCalculations[[#This Row],[NetMonthlySalaryP2]]*12)</f>
        <v>498243.18248304003</v>
      </c>
      <c r="E7" s="36">
        <f>TableIncome[[#This Row],[SalaryP1]]*$I$7</f>
        <v>62018.081067104649</v>
      </c>
      <c r="F7" s="36">
        <f>TableIncome[[#This Row],[SalaryP2]]*$I$7</f>
        <v>99648.636496608015</v>
      </c>
      <c r="G7" s="16"/>
      <c r="H7" s="14" t="s">
        <v>76</v>
      </c>
      <c r="I7" s="15">
        <v>0.2</v>
      </c>
      <c r="K7" s="57">
        <f>(TableIncome[[#This Row],[SalaryP1]]-TableIncome[[#This Row],[InvestmentP1]])/12</f>
        <v>20672.693689034884</v>
      </c>
      <c r="L7" s="57">
        <f>(TableIncome[[#This Row],[SalaryP2]]-TableIncome[[#This Row],[InvestmentP2]])/12</f>
        <v>33216.212165536002</v>
      </c>
      <c r="M7" s="34">
        <f>'Net Salary P1'!BI6</f>
        <v>25840.867111293603</v>
      </c>
      <c r="N7" s="35">
        <f>'Net Salary P2'!BI6</f>
        <v>41520.265206920005</v>
      </c>
      <c r="O7" s="35">
        <f>IF(_xlfn.XLOOKUP(TableIncome[[#This Row],[Year]],Loop!C:C,Loop!D:D)&lt;75,(O6*(1+$I$4))+IF(TableIncomeCalculations[[#This Row],[SwitchP1]]="Y",O6*$I$6,0),0)</f>
        <v>47526.961594330533</v>
      </c>
      <c r="P7" s="35">
        <f>IF(_xlfn.XLOOKUP(TableIncome[[#This Row],[Year]],Loop!C:C,Loop!E:E)&lt;75,(P6*(1+$I$4))+IF(TableIncomeCalculations[[#This Row],[SwitchP2]]="Y",P6*$I$6,0),0)</f>
        <v>79764.610171582593</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
      <c r="B8" s="3">
        <v>2030</v>
      </c>
      <c r="C8" s="38">
        <f>(TableIncomeCalculations[[#This Row],[NetMonthlySalaryP1]]*12)</f>
        <v>313858.18574559747</v>
      </c>
      <c r="D8" s="37">
        <f>(TableIncomeCalculations[[#This Row],[NetMonthlySalaryP2]]*12)</f>
        <v>503060.82889088453</v>
      </c>
      <c r="E8" s="36">
        <f>TableIncome[[#This Row],[SalaryP1]]*$I$7</f>
        <v>62771.637149119495</v>
      </c>
      <c r="F8" s="36">
        <f>TableIncome[[#This Row],[SalaryP2]]*$I$7</f>
        <v>100612.16577817692</v>
      </c>
      <c r="G8" s="16"/>
      <c r="I8" s="17"/>
      <c r="K8" s="57">
        <f>(TableIncome[[#This Row],[SalaryP1]]-TableIncome[[#This Row],[InvestmentP1]])/12</f>
        <v>20923.879049706498</v>
      </c>
      <c r="L8" s="57">
        <f>(TableIncome[[#This Row],[SalaryP2]]-TableIncome[[#This Row],[InvestmentP2]])/12</f>
        <v>33537.388592725634</v>
      </c>
      <c r="M8" s="34">
        <f>'Net Salary P1'!BI7</f>
        <v>26154.848812133121</v>
      </c>
      <c r="N8" s="35">
        <f>'Net Salary P2'!BI7</f>
        <v>41921.735740907046</v>
      </c>
      <c r="O8" s="35">
        <f>IF(_xlfn.XLOOKUP(TableIncome[[#This Row],[Year]],Loop!C:C,Loop!D:D)&lt;75,(O7*(1+$I$4))+IF(TableIncomeCalculations[[#This Row],[SwitchP1]]="Y",O7*$I$6,0),0)</f>
        <v>48097.285133462501</v>
      </c>
      <c r="P8" s="35">
        <f>IF(_xlfn.XLOOKUP(TableIncome[[#This Row],[Year]],Loop!C:C,Loop!E:E)&lt;75,(P7*(1+$I$4))+IF(TableIncomeCalculations[[#This Row],[SwitchP2]]="Y",P7*$I$6,0),0)</f>
        <v>80721.785493641582</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
      <c r="B9" s="3">
        <v>2031</v>
      </c>
      <c r="C9" s="38">
        <f>(TableIncomeCalculations[[#This Row],[NetMonthlySalaryP1]]*12)</f>
        <v>331016.65773307584</v>
      </c>
      <c r="D9" s="37">
        <f>(TableIncomeCalculations[[#This Row],[NetMonthlySalaryP2]]*12)</f>
        <v>525000.3906322082</v>
      </c>
      <c r="E9" s="36">
        <f>TableIncome[[#This Row],[SalaryP1]]*$I$7</f>
        <v>66203.331546615169</v>
      </c>
      <c r="F9" s="36">
        <f>TableIncome[[#This Row],[SalaryP2]]*$I$7</f>
        <v>105000.07812644164</v>
      </c>
      <c r="G9" s="16"/>
      <c r="K9" s="57">
        <f>(TableIncome[[#This Row],[SalaryP1]]-TableIncome[[#This Row],[InvestmentP1]])/12</f>
        <v>22067.777182205056</v>
      </c>
      <c r="L9" s="57">
        <f>(TableIncome[[#This Row],[SalaryP2]]-TableIncome[[#This Row],[InvestmentP2]])/12</f>
        <v>35000.026042147212</v>
      </c>
      <c r="M9" s="34">
        <f>'Net Salary P1'!BI8</f>
        <v>27584.72147775632</v>
      </c>
      <c r="N9" s="35">
        <f>'Net Salary P2'!BI8</f>
        <v>43750.032552684017</v>
      </c>
      <c r="O9" s="35">
        <f>IF(_xlfn.XLOOKUP(TableIncome[[#This Row],[Year]],Loop!C:C,Loop!D:D)&lt;75,(O8*(1+$I$4))+IF(TableIncomeCalculations[[#This Row],[SwitchP1]]="Y",O8*$I$6,0),0)</f>
        <v>50694.538530669481</v>
      </c>
      <c r="P9" s="35">
        <f>IF(_xlfn.XLOOKUP(TableIncome[[#This Row],[Year]],Loop!C:C,Loop!E:E)&lt;75,(P8*(1+$I$4))+IF(TableIncomeCalculations[[#This Row],[SwitchP2]]="Y",P8*$I$6,0),0)</f>
        <v>85080.761910298228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
      <c r="B10" s="3">
        <v>2032</v>
      </c>
      <c r="C10" s="38">
        <f>(TableIncomeCalculations[[#This Row],[NetMonthlySalaryP1]]*12)</f>
        <v>335035.55317192071</v>
      </c>
      <c r="D10" s="37">
        <f>(TableIncomeCalculations[[#This Row],[NetMonthlySalaryP2]]*12)</f>
        <v>530139.12353784288</v>
      </c>
      <c r="E10" s="36">
        <f>TableIncome[[#This Row],[SalaryP1]]*$I$7</f>
        <v>67007.110634384138</v>
      </c>
      <c r="F10" s="36">
        <f>TableIncome[[#This Row],[SalaryP2]]*$I$7</f>
        <v>106027.82470756858</v>
      </c>
      <c r="G10" s="16"/>
      <c r="H10" s="28"/>
      <c r="K10" s="57">
        <f>(TableIncome[[#This Row],[SalaryP1]]-TableIncome[[#This Row],[InvestmentP1]])/12</f>
        <v>22335.703544794713</v>
      </c>
      <c r="L10" s="57">
        <f>(TableIncome[[#This Row],[SalaryP2]]-TableIncome[[#This Row],[InvestmentP2]])/12</f>
        <v>35342.608235856191</v>
      </c>
      <c r="M10" s="34">
        <f>'Net Salary P1'!BI9</f>
        <v>27919.629430993391</v>
      </c>
      <c r="N10" s="35">
        <f>'Net Salary P2'!BI9</f>
        <v>44178.26029482024</v>
      </c>
      <c r="O10" s="35">
        <f>IF(_xlfn.XLOOKUP(TableIncome[[#This Row],[Year]],Loop!C:C,Loop!D:D)&lt;75,(O9*(1+$I$4))+IF(TableIncomeCalculations[[#This Row],[SwitchP1]]="Y",O9*$I$6,0),0)</f>
        <v>51302.872993037512</v>
      </c>
      <c r="P10" s="35">
        <f>IF(_xlfn.XLOOKUP(TableIncome[[#This Row],[Year]],Loop!C:C,Loop!E:E)&lt;75,(P9*(1+$I$4))+IF(TableIncomeCalculations[[#This Row],[SwitchP2]]="Y",P9*$I$6,0),0)</f>
        <v>86101.731053221811</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
      <c r="B11" s="3">
        <v>2033</v>
      </c>
      <c r="C11" s="38">
        <f>(TableIncomeCalculations[[#This Row],[NetMonthlySalaryP1]]*12)</f>
        <v>339102.67535603174</v>
      </c>
      <c r="D11" s="37">
        <f>(TableIncomeCalculations[[#This Row],[NetMonthlySalaryP2]]*12)</f>
        <v>535339.52123834495</v>
      </c>
      <c r="E11" s="36">
        <f>TableIncome[[#This Row],[SalaryP1]]*$I$7</f>
        <v>67820.535071206352</v>
      </c>
      <c r="F11" s="36">
        <f>TableIncome[[#This Row],[SalaryP2]]*$I$7</f>
        <v>107067.90424766899</v>
      </c>
      <c r="G11" s="16"/>
      <c r="K11" s="57">
        <f>(TableIncome[[#This Row],[SalaryP1]]-TableIncome[[#This Row],[InvestmentP1]])/12</f>
        <v>22606.845023735452</v>
      </c>
      <c r="L11" s="57">
        <f>(TableIncome[[#This Row],[SalaryP2]]-TableIncome[[#This Row],[InvestmentP2]])/12</f>
        <v>35689.301415889662</v>
      </c>
      <c r="M11" s="34">
        <f>'Net Salary P1'!BI10</f>
        <v>28258.556279669312</v>
      </c>
      <c r="N11" s="35">
        <f>'Net Salary P2'!BI10</f>
        <v>44611.62676986208</v>
      </c>
      <c r="O11" s="35">
        <f>IF(_xlfn.XLOOKUP(TableIncome[[#This Row],[Year]],Loop!C:C,Loop!D:D)&lt;75,(O10*(1+$I$4))+IF(TableIncomeCalculations[[#This Row],[SwitchP1]]="Y",O10*$I$6,0),0)</f>
        <v>51918.507468953962</v>
      </c>
      <c r="P11" s="35">
        <f>IF(_xlfn.XLOOKUP(TableIncome[[#This Row],[Year]],Loop!C:C,Loop!E:E)&lt;75,(P10*(1+$I$4))+IF(TableIncomeCalculations[[#This Row],[SwitchP2]]="Y",P10*$I$6,0),0)</f>
        <v>87134.95182586048</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
      <c r="B12" s="3">
        <v>2034</v>
      </c>
      <c r="C12" s="38">
        <f>(TableIncomeCalculations[[#This Row],[NetMonthlySalaryP1]]*12)</f>
        <v>343218.60300635215</v>
      </c>
      <c r="D12" s="37">
        <f>(TableIncomeCalculations[[#This Row],[NetMonthlySalaryP2]]*12)</f>
        <v>540602.323711253</v>
      </c>
      <c r="E12" s="36">
        <f>TableIncome[[#This Row],[SalaryP1]]*$I$7</f>
        <v>68643.720601270426</v>
      </c>
      <c r="F12" s="36">
        <f>TableIncome[[#This Row],[SalaryP2]]*$I$7</f>
        <v>108120.46474225061</v>
      </c>
      <c r="G12" s="16"/>
      <c r="K12" s="57">
        <f>(TableIncome[[#This Row],[SalaryP1]]-TableIncome[[#This Row],[InvestmentP1]])/12</f>
        <v>22881.240200423475</v>
      </c>
      <c r="L12" s="57">
        <f>(TableIncome[[#This Row],[SalaryP2]]-TableIncome[[#This Row],[InvestmentP2]])/12</f>
        <v>36040.154914083534</v>
      </c>
      <c r="M12" s="34">
        <f>'Net Salary P1'!BI11</f>
        <v>28601.550250529344</v>
      </c>
      <c r="N12" s="35">
        <f>'Net Salary P2'!BI11</f>
        <v>45050.193642604419</v>
      </c>
      <c r="O12" s="35">
        <f>IF(_xlfn.XLOOKUP(TableIncome[[#This Row],[Year]],Loop!C:C,Loop!D:D)&lt;75,(O11*(1+$I$4))+IF(TableIncomeCalculations[[#This Row],[SwitchP1]]="Y",O11*$I$6,0),0)</f>
        <v>52541.529558581409</v>
      </c>
      <c r="P12" s="35">
        <f>IF(_xlfn.XLOOKUP(TableIncome[[#This Row],[Year]],Loop!C:C,Loop!E:E)&lt;75,(P11*(1+$I$4))+IF(TableIncomeCalculations[[#This Row],[SwitchP2]]="Y",P11*$I$6,0),0)</f>
        <v>88180.5712477708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
      <c r="B13" s="3">
        <v>2035</v>
      </c>
      <c r="C13" s="38">
        <f>(TableIncomeCalculations[[#This Row],[NetMonthlySalaryP1]]*12)</f>
        <v>361962.53752591112</v>
      </c>
      <c r="D13" s="37">
        <f>(TableIncomeCalculations[[#This Row],[NetMonthlySalaryP2]]*12)</f>
        <v>564569.12617287668</v>
      </c>
      <c r="E13" s="36">
        <f>TableIncome[[#This Row],[SalaryP1]]*$I$7</f>
        <v>72392.50750518222</v>
      </c>
      <c r="F13" s="36">
        <f>TableIncome[[#This Row],[SalaryP2]]*$I$7</f>
        <v>112913.82523457534</v>
      </c>
      <c r="G13" s="16"/>
      <c r="K13" s="57">
        <f>(TableIncome[[#This Row],[SalaryP1]]-TableIncome[[#This Row],[InvestmentP1]])/12</f>
        <v>24130.835835060741</v>
      </c>
      <c r="L13" s="57">
        <f>(TableIncome[[#This Row],[SalaryP2]]-TableIncome[[#This Row],[InvestmentP2]])/12</f>
        <v>37637.94174485845</v>
      </c>
      <c r="M13" s="34">
        <f>'Net Salary P1'!BI12</f>
        <v>30163.544793825928</v>
      </c>
      <c r="N13" s="35">
        <f>'Net Salary P2'!BI12</f>
        <v>47047.427181073057</v>
      </c>
      <c r="O13" s="35">
        <f>IF(_xlfn.XLOOKUP(TableIncome[[#This Row],[Year]],Loop!C:C,Loop!D:D)&lt;75,(O12*(1+$I$4))+IF(TableIncomeCalculations[[#This Row],[SwitchP1]]="Y",O12*$I$6,0),0)</f>
        <v>55378.772154744802</v>
      </c>
      <c r="P13" s="35">
        <f>IF(_xlfn.XLOOKUP(TableIncome[[#This Row],[Year]],Loop!C:C,Loop!E:E)&lt;75,(P12*(1+$I$4))+IF(TableIncomeCalculations[[#This Row],[SwitchP2]]="Y",P12*$I$6,0),0)</f>
        <v>92942.322095150434</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
      <c r="B14" s="3">
        <v>2036</v>
      </c>
      <c r="C14" s="38">
        <f>(TableIncomeCalculations[[#This Row],[NetMonthlySalaryP1]]*12)</f>
        <v>366352.7835222701</v>
      </c>
      <c r="D14" s="37">
        <f>(TableIncomeCalculations[[#This Row],[NetMonthlySalaryP2]]*12)</f>
        <v>570182.68390499917</v>
      </c>
      <c r="E14" s="36">
        <f>TableIncome[[#This Row],[SalaryP1]]*$I$7</f>
        <v>73270.556704454022</v>
      </c>
      <c r="F14" s="36">
        <f>TableIncome[[#This Row],[SalaryP2]]*$I$7</f>
        <v>114036.53678099984</v>
      </c>
      <c r="G14" s="16"/>
      <c r="K14" s="57">
        <f>(TableIncome[[#This Row],[SalaryP1]]-TableIncome[[#This Row],[InvestmentP1]])/12</f>
        <v>24423.518901484673</v>
      </c>
      <c r="L14" s="57">
        <f>(TableIncome[[#This Row],[SalaryP2]]-TableIncome[[#This Row],[InvestmentP2]])/12</f>
        <v>38012.178926999943</v>
      </c>
      <c r="M14" s="34">
        <f>'Net Salary P1'!BI13</f>
        <v>30529.39862685584</v>
      </c>
      <c r="N14" s="35">
        <f>'Net Salary P2'!BI13</f>
        <v>47515.223658749928</v>
      </c>
      <c r="O14" s="35">
        <f>IF(_xlfn.XLOOKUP(TableIncome[[#This Row],[Year]],Loop!C:C,Loop!D:D)&lt;75,(O13*(1+$I$4))+IF(TableIncomeCalculations[[#This Row],[SwitchP1]]="Y",O13*$I$6,0),0)</f>
        <v>56043.317420601743</v>
      </c>
      <c r="P14" s="35">
        <f>IF(_xlfn.XLOOKUP(TableIncome[[#This Row],[Year]],Loop!C:C,Loop!E:E)&lt;75,(P13*(1+$I$4))+IF(TableIncomeCalculations[[#This Row],[SwitchP2]]="Y",P13*$I$6,0),0)</f>
        <v>94057.629960292237</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
      <c r="B15" s="3">
        <v>2037</v>
      </c>
      <c r="C15" s="38">
        <f>(TableIncomeCalculations[[#This Row],[NetMonthlySalaryP1]]*12)</f>
        <v>370795.71247058531</v>
      </c>
      <c r="D15" s="37">
        <f>(TableIncomeCalculations[[#This Row],[NetMonthlySalaryP2]]*12)</f>
        <v>575863.60432990722</v>
      </c>
      <c r="E15" s="36">
        <f>TableIncome[[#This Row],[SalaryP1]]*$I$7</f>
        <v>74159.14249411707</v>
      </c>
      <c r="F15" s="36">
        <f>TableIncome[[#This Row],[SalaryP2]]*$I$7</f>
        <v>115172.72086598145</v>
      </c>
      <c r="G15" s="16"/>
      <c r="K15" s="57">
        <f>(TableIncome[[#This Row],[SalaryP1]]-TableIncome[[#This Row],[InvestmentP1]])/12</f>
        <v>24719.714164705685</v>
      </c>
      <c r="L15" s="57">
        <f>(TableIncome[[#This Row],[SalaryP2]]-TableIncome[[#This Row],[InvestmentP2]])/12</f>
        <v>38390.906955327147</v>
      </c>
      <c r="M15" s="34">
        <f>'Net Salary P1'!BI14</f>
        <v>30899.64270588211</v>
      </c>
      <c r="N15" s="35">
        <f>'Net Salary P2'!BI14</f>
        <v>47988.633694158932</v>
      </c>
      <c r="O15" s="35">
        <f>IF(_xlfn.XLOOKUP(TableIncome[[#This Row],[Year]],Loop!C:C,Loop!D:D)&lt;75,(O14*(1+$I$4))+IF(TableIncomeCalculations[[#This Row],[SwitchP1]]="Y",O14*$I$6,0),0)</f>
        <v>56715.837229648962</v>
      </c>
      <c r="P15" s="35">
        <f>IF(_xlfn.XLOOKUP(TableIncome[[#This Row],[Year]],Loop!C:C,Loop!E:E)&lt;75,(P14*(1+$I$4))+IF(TableIncomeCalculations[[#This Row],[SwitchP2]]="Y",P14*$I$6,0),0)</f>
        <v>95186.321519815741</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
      <c r="B16" s="3">
        <v>2038</v>
      </c>
      <c r="C16" s="38">
        <f>(TableIncomeCalculations[[#This Row],[NetMonthlySalaryP1]]*12)</f>
        <v>391028.81090121286</v>
      </c>
      <c r="D16" s="37">
        <f>(TableIncomeCalculations[[#This Row],[NetMonthlySalaryP2]]*12)</f>
        <v>601734.51594493841</v>
      </c>
      <c r="E16" s="36">
        <f>TableIncome[[#This Row],[SalaryP1]]*$I$7</f>
        <v>78205.762180242571</v>
      </c>
      <c r="F16" s="36">
        <f>TableIncome[[#This Row],[SalaryP2]]*$I$7</f>
        <v>120346.90318898769</v>
      </c>
      <c r="G16" s="16"/>
      <c r="K16" s="57">
        <f>(TableIncome[[#This Row],[SalaryP1]]-TableIncome[[#This Row],[InvestmentP1]])/12</f>
        <v>26068.587393414189</v>
      </c>
      <c r="L16" s="57">
        <f>(TableIncome[[#This Row],[SalaryP2]]-TableIncome[[#This Row],[InvestmentP2]])/12</f>
        <v>40115.634396329224</v>
      </c>
      <c r="M16" s="34">
        <f>'Net Salary P1'!BI15</f>
        <v>32585.734241767739</v>
      </c>
      <c r="N16" s="35">
        <f>'Net Salary P2'!BI15</f>
        <v>50144.542995411532</v>
      </c>
      <c r="O16" s="35">
        <f>IF(_xlfn.XLOOKUP(TableIncome[[#This Row],[Year]],Loop!C:C,Loop!D:D)&lt;75,(O15*(1+$I$4))+IF(TableIncomeCalculations[[#This Row],[SwitchP1]]="Y",O15*$I$6,0),0)</f>
        <v>59778.492440050002</v>
      </c>
      <c r="P16" s="35">
        <f>IF(_xlfn.XLOOKUP(TableIncome[[#This Row],[Year]],Loop!C:C,Loop!E:E)&lt;75,(P15*(1+$I$4))+IF(TableIncomeCalculations[[#This Row],[SwitchP2]]="Y",P15*$I$6,0),0)</f>
        <v>100326.3828818858</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
      <c r="B17" s="3">
        <v>2039</v>
      </c>
      <c r="C17" s="38">
        <f>(TableIncomeCalculations[[#This Row],[NetMonthlySalaryP1]]*12)</f>
        <v>395767.85217807547</v>
      </c>
      <c r="D17" s="37">
        <f>(TableIncomeCalculations[[#This Row],[NetMonthlySalaryP2]]*12)</f>
        <v>607794.05835432559</v>
      </c>
      <c r="E17" s="36">
        <f>TableIncome[[#This Row],[SalaryP1]]*$I$7</f>
        <v>79153.570435615096</v>
      </c>
      <c r="F17" s="36">
        <f>TableIncome[[#This Row],[SalaryP2]]*$I$7</f>
        <v>121558.81167086512</v>
      </c>
      <c r="G17" s="16"/>
      <c r="K17" s="57">
        <f>(TableIncome[[#This Row],[SalaryP1]]-TableIncome[[#This Row],[InvestmentP1]])/12</f>
        <v>26384.523478538365</v>
      </c>
      <c r="L17" s="57">
        <f>(TableIncome[[#This Row],[SalaryP2]]-TableIncome[[#This Row],[InvestmentP2]])/12</f>
        <v>40519.603890288374</v>
      </c>
      <c r="M17" s="34">
        <f>'Net Salary P1'!BI16</f>
        <v>32980.654348172953</v>
      </c>
      <c r="N17" s="35">
        <f>'Net Salary P2'!BI16</f>
        <v>50649.504862860464</v>
      </c>
      <c r="O17" s="35">
        <f>IF(_xlfn.XLOOKUP(TableIncome[[#This Row],[Year]],Loop!C:C,Loop!D:D)&lt;75,(O16*(1+$I$4))+IF(TableIncomeCalculations[[#This Row],[SwitchP1]]="Y",O16*$I$6,0),0)</f>
        <v>60495.834349330602</v>
      </c>
      <c r="P17" s="35">
        <f>IF(_xlfn.XLOOKUP(TableIncome[[#This Row],[Year]],Loop!C:C,Loop!E:E)&lt;75,(P16*(1+$I$4))+IF(TableIncomeCalculations[[#This Row],[SwitchP2]]="Y",P16*$I$6,0),0)</f>
        <v>101530.29947646843</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
      <c r="B18" s="3">
        <v>2040</v>
      </c>
      <c r="C18" s="38">
        <f>(TableIncomeCalculations[[#This Row],[NetMonthlySalaryP1]]*12)</f>
        <v>400563.76195026038</v>
      </c>
      <c r="D18" s="37">
        <f>(TableIncomeCalculations[[#This Row],[NetMonthlySalaryP2]]*12)</f>
        <v>613926.31527262542</v>
      </c>
      <c r="E18" s="36">
        <f>TableIncome[[#This Row],[SalaryP1]]*$I$7</f>
        <v>80112.752390052075</v>
      </c>
      <c r="F18" s="36">
        <f>TableIncome[[#This Row],[SalaryP2]]*$I$7</f>
        <v>122785.26305452509</v>
      </c>
      <c r="G18" s="16"/>
      <c r="K18" s="57">
        <f>(TableIncome[[#This Row],[SalaryP1]]-TableIncome[[#This Row],[InvestmentP1]])/12</f>
        <v>26704.250796684024</v>
      </c>
      <c r="L18" s="57">
        <f>(TableIncome[[#This Row],[SalaryP2]]-TableIncome[[#This Row],[InvestmentP2]])/12</f>
        <v>40928.421018175031</v>
      </c>
      <c r="M18" s="34">
        <f>'Net Salary P1'!BI17</f>
        <v>33380.313495855029</v>
      </c>
      <c r="N18" s="35">
        <f>'Net Salary P2'!BI17</f>
        <v>51160.526272718787</v>
      </c>
      <c r="O18" s="35">
        <f>IF(_xlfn.XLOOKUP(TableIncome[[#This Row],[Year]],Loop!C:C,Loop!D:D)&lt;75,(O17*(1+$I$4))+IF(TableIncomeCalculations[[#This Row],[SwitchP1]]="Y",O17*$I$6,0),0)</f>
        <v>61221.784361522572</v>
      </c>
      <c r="P18" s="35">
        <f>IF(_xlfn.XLOOKUP(TableIncome[[#This Row],[Year]],Loop!C:C,Loop!E:E)&lt;75,(P17*(1+$I$4))+IF(TableIncomeCalculations[[#This Row],[SwitchP2]]="Y",P17*$I$6,0),0)</f>
        <v>102748.66307018604</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
      <c r="B19" s="3">
        <v>2041</v>
      </c>
      <c r="C19" s="38">
        <f>(TableIncomeCalculations[[#This Row],[NetMonthlySalaryP1]]*12)</f>
        <v>405417.22263971146</v>
      </c>
      <c r="D19" s="37">
        <f>(TableIncomeCalculations[[#This Row],[NetMonthlySalaryP2]]*12)</f>
        <v>620132.15927394503</v>
      </c>
      <c r="E19" s="36">
        <f>TableIncome[[#This Row],[SalaryP1]]*$I$7</f>
        <v>81083.444527942294</v>
      </c>
      <c r="F19" s="36">
        <f>TableIncome[[#This Row],[SalaryP2]]*$I$7</f>
        <v>124026.43185478901</v>
      </c>
      <c r="G19" s="16"/>
      <c r="K19" s="57">
        <f>(TableIncome[[#This Row],[SalaryP1]]-TableIncome[[#This Row],[InvestmentP1]])/12</f>
        <v>27027.814842647433</v>
      </c>
      <c r="L19" s="57">
        <f>(TableIncome[[#This Row],[SalaryP2]]-TableIncome[[#This Row],[InvestmentP2]])/12</f>
        <v>41342.143951596336</v>
      </c>
      <c r="M19" s="34">
        <f>'Net Salary P1'!BI18</f>
        <v>33784.768553309288</v>
      </c>
      <c r="N19" s="35">
        <f>'Net Salary P2'!BI18</f>
        <v>51677.679939495421</v>
      </c>
      <c r="O19" s="35">
        <f>IF(_xlfn.XLOOKUP(TableIncome[[#This Row],[Year]],Loop!C:C,Loop!D:D)&lt;75,(O18*(1+$I$4))+IF(TableIncomeCalculations[[#This Row],[SwitchP1]]="Y",O18*$I$6,0),0)</f>
        <v>61956.445773860847</v>
      </c>
      <c r="P19" s="35">
        <f>IF(_xlfn.XLOOKUP(TableIncome[[#This Row],[Year]],Loop!C:C,Loop!E:E)&lt;75,(P18*(1+$I$4))+IF(TableIncomeCalculations[[#This Row],[SwitchP2]]="Y",P18*$I$6,0),0)</f>
        <v>103981.64702702827</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
      <c r="B20" s="3">
        <v>2042</v>
      </c>
      <c r="C20" s="38">
        <f>(TableIncomeCalculations[[#This Row],[NetMonthlySalaryP1]]*12)</f>
        <v>410328.92485743598</v>
      </c>
      <c r="D20" s="37">
        <f>(TableIncomeCalculations[[#This Row],[NetMonthlySalaryP2]]*12)</f>
        <v>626412.47340328025</v>
      </c>
      <c r="E20" s="36">
        <f>TableIncome[[#This Row],[SalaryP1]]*$I$7</f>
        <v>82065.784971487199</v>
      </c>
      <c r="F20" s="36">
        <f>TableIncome[[#This Row],[SalaryP2]]*$I$7</f>
        <v>125282.49468065606</v>
      </c>
      <c r="G20" s="16"/>
      <c r="K20" s="57">
        <f>(TableIncome[[#This Row],[SalaryP1]]-TableIncome[[#This Row],[InvestmentP1]])/12</f>
        <v>27355.261657162398</v>
      </c>
      <c r="L20" s="57">
        <f>(TableIncome[[#This Row],[SalaryP2]]-TableIncome[[#This Row],[InvestmentP2]])/12</f>
        <v>41760.831560218685</v>
      </c>
      <c r="M20" s="34">
        <f>'Net Salary P1'!BI19</f>
        <v>34194.077071453001</v>
      </c>
      <c r="N20" s="35">
        <f>'Net Salary P2'!BI19</f>
        <v>52201.039450273354</v>
      </c>
      <c r="O20" s="35">
        <f>IF(_xlfn.XLOOKUP(TableIncome[[#This Row],[Year]],Loop!C:C,Loop!D:D)&lt;75,(O19*(1+$I$4))+IF(TableIncomeCalculations[[#This Row],[SwitchP1]]="Y",O19*$I$6,0),0)</f>
        <v>62699.923123147179</v>
      </c>
      <c r="P20" s="35">
        <f>IF(_xlfn.XLOOKUP(TableIncome[[#This Row],[Year]],Loop!C:C,Loop!E:E)&lt;75,(P19*(1+$I$4))+IF(TableIncomeCalculations[[#This Row],[SwitchP2]]="Y",P19*$I$6,0),0)</f>
        <v>105229.42679135261</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
      <c r="B21" s="3">
        <v>2043</v>
      </c>
      <c r="C21" s="38">
        <f>(TableIncomeCalculations[[#This Row],[NetMonthlySalaryP1]]*12)</f>
        <v>429394.70767052239</v>
      </c>
      <c r="D21" s="37">
        <f>(TableIncomeCalculations[[#This Row],[NetMonthlySalaryP2]]*12)</f>
        <v>655013.02394827339</v>
      </c>
      <c r="E21" s="36">
        <f>TableIncome[[#This Row],[SalaryP1]]*$I$7</f>
        <v>85878.941534104481</v>
      </c>
      <c r="F21" s="36">
        <f>TableIncome[[#This Row],[SalaryP2]]*$I$7</f>
        <v>131002.60478965468</v>
      </c>
      <c r="G21" s="16"/>
      <c r="K21" s="57">
        <f>(TableIncome[[#This Row],[SalaryP1]]-TableIncome[[#This Row],[InvestmentP1]])/12</f>
        <v>28626.313844701494</v>
      </c>
      <c r="L21" s="57">
        <f>(TableIncome[[#This Row],[SalaryP2]]-TableIncome[[#This Row],[InvestmentP2]])/12</f>
        <v>43667.534929884896</v>
      </c>
      <c r="M21" s="34">
        <f>'Net Salary P1'!BI20</f>
        <v>35782.892305876863</v>
      </c>
      <c r="N21" s="35">
        <f>'Net Salary P2'!BI20</f>
        <v>54584.418662356118</v>
      </c>
      <c r="O21" s="35">
        <f>IF(_xlfn.XLOOKUP(TableIncome[[#This Row],[Year]],Loop!C:C,Loop!D:D)&lt;75,(O20*(1+$I$4))+IF(TableIncomeCalculations[[#This Row],[SwitchP1]]="Y",O20*$I$6,0),0)</f>
        <v>66085.718971797134</v>
      </c>
      <c r="P21" s="35">
        <f>IF(_xlfn.XLOOKUP(TableIncome[[#This Row],[Year]],Loop!C:C,Loop!E:E)&lt;75,(P20*(1+$I$4))+IF(TableIncomeCalculations[[#This Row],[SwitchP2]]="Y",P20*$I$6,0),0)</f>
        <v>110911.81583808566</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
      <c r="B22" s="3">
        <v>2044</v>
      </c>
      <c r="C22" s="38">
        <f>(TableIncomeCalculations[[#This Row],[NetMonthlySalaryP1]]*12)</f>
        <v>433386.17238061671</v>
      </c>
      <c r="D22" s="37">
        <f>(TableIncomeCalculations[[#This Row],[NetMonthlySalaryP2]]*12)</f>
        <v>661711.90845370071</v>
      </c>
      <c r="E22" s="36">
        <f>TableIncome[[#This Row],[SalaryP1]]*$I$7</f>
        <v>86677.234476123354</v>
      </c>
      <c r="F22" s="36">
        <f>TableIncome[[#This Row],[SalaryP2]]*$I$7</f>
        <v>132342.38169074015</v>
      </c>
      <c r="G22" s="16"/>
      <c r="K22" s="57">
        <f>(TableIncome[[#This Row],[SalaryP1]]-TableIncome[[#This Row],[InvestmentP1]])/12</f>
        <v>28892.411492041112</v>
      </c>
      <c r="L22" s="57">
        <f>(TableIncome[[#This Row],[SalaryP2]]-TableIncome[[#This Row],[InvestmentP2]])/12</f>
        <v>44114.127230246719</v>
      </c>
      <c r="M22" s="34">
        <f>'Net Salary P1'!BI21</f>
        <v>36115.514365051393</v>
      </c>
      <c r="N22" s="35">
        <f>'Net Salary P2'!BI21</f>
        <v>55142.659037808393</v>
      </c>
      <c r="O22" s="35">
        <f>IF(_xlfn.XLOOKUP(TableIncome[[#This Row],[Year]],Loop!C:C,Loop!D:D)&lt;75,(O21*(1+$I$4))+IF(TableIncomeCalculations[[#This Row],[SwitchP1]]="Y",O21*$I$6,0),0)</f>
        <v>66878.7475994587</v>
      </c>
      <c r="P22" s="35">
        <f>IF(_xlfn.XLOOKUP(TableIncome[[#This Row],[Year]],Loop!C:C,Loop!E:E)&lt;75,(P21*(1+$I$4))+IF(TableIncomeCalculations[[#This Row],[SwitchP2]]="Y",P21*$I$6,0),0)</f>
        <v>112242.75762814269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
      <c r="B23" s="3">
        <v>2045</v>
      </c>
      <c r="C23" s="38">
        <f>(TableIncomeCalculations[[#This Row],[NetMonthlySalaryP1]]*12)</f>
        <v>437425.53466723207</v>
      </c>
      <c r="D23" s="37">
        <f>(TableIncomeCalculations[[#This Row],[NetMonthlySalaryP2]]*12)</f>
        <v>668491.17957319308</v>
      </c>
      <c r="E23" s="36">
        <f>TableIncome[[#This Row],[SalaryP1]]*$I$7</f>
        <v>87485.106933446426</v>
      </c>
      <c r="F23" s="36">
        <f>TableIncome[[#This Row],[SalaryP2]]*$I$7</f>
        <v>133698.23591463862</v>
      </c>
      <c r="G23" s="16"/>
      <c r="K23" s="57">
        <f>(TableIncome[[#This Row],[SalaryP1]]-TableIncome[[#This Row],[InvestmentP1]])/12</f>
        <v>29161.702311148805</v>
      </c>
      <c r="L23" s="57">
        <f>(TableIncome[[#This Row],[SalaryP2]]-TableIncome[[#This Row],[InvestmentP2]])/12</f>
        <v>44566.078638212872</v>
      </c>
      <c r="M23" s="34">
        <f>'Net Salary P1'!BI22</f>
        <v>36452.127888936004</v>
      </c>
      <c r="N23" s="35">
        <f>'Net Salary P2'!BI22</f>
        <v>55707.59829776609</v>
      </c>
      <c r="O23" s="35">
        <f>IF(_xlfn.XLOOKUP(TableIncome[[#This Row],[Year]],Loop!C:C,Loop!D:D)&lt;75,(O22*(1+$I$4))+IF(TableIncomeCalculations[[#This Row],[SwitchP1]]="Y",O22*$I$6,0),0)</f>
        <v>67681.292570652207</v>
      </c>
      <c r="P23" s="35">
        <f>IF(_xlfn.XLOOKUP(TableIncome[[#This Row],[Year]],Loop!C:C,Loop!E:E)&lt;75,(P22*(1+$I$4))+IF(TableIncomeCalculations[[#This Row],[SwitchP2]]="Y",P22*$I$6,0),0)</f>
        <v>113589.67071968041</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
      <c r="B24" s="3">
        <v>2046</v>
      </c>
      <c r="C24" s="38">
        <f>(TableIncomeCalculations[[#This Row],[NetMonthlySalaryP1]]*12)</f>
        <v>441513.36930128688</v>
      </c>
      <c r="D24" s="37">
        <f>(TableIncomeCalculations[[#This Row],[NetMonthlySalaryP2]]*12)</f>
        <v>675351.80194611929</v>
      </c>
      <c r="E24" s="36">
        <f>TableIncome[[#This Row],[SalaryP1]]*$I$7</f>
        <v>88302.673860257375</v>
      </c>
      <c r="F24" s="36">
        <f>TableIncome[[#This Row],[SalaryP2]]*$I$7</f>
        <v>135070.36038922388</v>
      </c>
      <c r="G24" s="16"/>
      <c r="K24" s="57">
        <f>(TableIncome[[#This Row],[SalaryP1]]-TableIncome[[#This Row],[InvestmentP1]])/12</f>
        <v>29434.224620085792</v>
      </c>
      <c r="L24" s="57">
        <f>(TableIncome[[#This Row],[SalaryP2]]-TableIncome[[#This Row],[InvestmentP2]])/12</f>
        <v>45023.453463074613</v>
      </c>
      <c r="M24" s="34">
        <f>'Net Salary P1'!BI23</f>
        <v>36792.78077510724</v>
      </c>
      <c r="N24" s="35">
        <f>'Net Salary P2'!BI23</f>
        <v>56279.316828843272</v>
      </c>
      <c r="O24" s="35">
        <f>IF(_xlfn.XLOOKUP(TableIncome[[#This Row],[Year]],Loop!C:C,Loop!D:D)&lt;75,(O23*(1+$I$4))+IF(TableIncomeCalculations[[#This Row],[SwitchP1]]="Y",O23*$I$6,0),0)</f>
        <v>68493.468081500032</v>
      </c>
      <c r="P24" s="35">
        <f>IF(_xlfn.XLOOKUP(TableIncome[[#This Row],[Year]],Loop!C:C,Loop!E:E)&lt;75,(P23*(1+$I$4))+IF(TableIncomeCalculations[[#This Row],[SwitchP2]]="Y",P23*$I$6,0),0)</f>
        <v>114952.74676831657</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
      <c r="B25" s="3">
        <v>2047</v>
      </c>
      <c r="C25" s="38">
        <f>(TableIncomeCalculations[[#This Row],[NetMonthlySalaryP1]]*12)</f>
        <v>460129.36822477228</v>
      </c>
      <c r="D25" s="37">
        <f>(TableIncomeCalculations[[#This Row],[NetMonthlySalaryP2]]*12)</f>
        <v>706595.07623242587</v>
      </c>
      <c r="E25" s="36">
        <f>TableIncome[[#This Row],[SalaryP1]]*$I$7</f>
        <v>92025.873644954467</v>
      </c>
      <c r="F25" s="36">
        <f>TableIncome[[#This Row],[SalaryP2]]*$I$7</f>
        <v>141319.01524648519</v>
      </c>
      <c r="G25" s="16"/>
      <c r="K25" s="57">
        <f>(TableIncome[[#This Row],[SalaryP1]]-TableIncome[[#This Row],[InvestmentP1]])/12</f>
        <v>30675.291214984816</v>
      </c>
      <c r="L25" s="57">
        <f>(TableIncome[[#This Row],[SalaryP2]]-TableIncome[[#This Row],[InvestmentP2]])/12</f>
        <v>47106.338415495062</v>
      </c>
      <c r="M25" s="34">
        <f>'Net Salary P1'!BI24</f>
        <v>38344.114018731023</v>
      </c>
      <c r="N25" s="35">
        <f>'Net Salary P2'!BI24</f>
        <v>58882.92301936882</v>
      </c>
      <c r="O25" s="35">
        <f>IF(_xlfn.XLOOKUP(TableIncome[[#This Row],[Year]],Loop!C:C,Loop!D:D)&lt;75,(O24*(1+$I$4))+IF(TableIncomeCalculations[[#This Row],[SwitchP1]]="Y",O24*$I$6,0),0)</f>
        <v>72192.115357901028</v>
      </c>
      <c r="P25" s="35">
        <f>IF(_xlfn.XLOOKUP(TableIncome[[#This Row],[Year]],Loop!C:C,Loop!E:E)&lt;75,(P24*(1+$I$4))+IF(TableIncomeCalculations[[#This Row],[SwitchP2]]="Y",P24*$I$6,0),0)</f>
        <v>121160.19509380567</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
      <c r="B26" s="3">
        <v>2048</v>
      </c>
      <c r="C26" s="38">
        <f>(TableIncomeCalculations[[#This Row],[NetMonthlySalaryP1]]*12)</f>
        <v>464489.64886151755</v>
      </c>
      <c r="D26" s="37">
        <f>(TableIncomeCalculations[[#This Row],[NetMonthlySalaryP2]]*12)</f>
        <v>713912.94536526303</v>
      </c>
      <c r="E26" s="36">
        <f>TableIncome[[#This Row],[SalaryP1]]*$I$7</f>
        <v>92897.929772303512</v>
      </c>
      <c r="F26" s="36">
        <f>TableIncome[[#This Row],[SalaryP2]]*$I$7</f>
        <v>142782.5890730526</v>
      </c>
      <c r="G26" s="16"/>
      <c r="K26" s="57">
        <f>(TableIncome[[#This Row],[SalaryP1]]-TableIncome[[#This Row],[InvestmentP1]])/12</f>
        <v>30965.976590767837</v>
      </c>
      <c r="L26" s="57">
        <f>(TableIncome[[#This Row],[SalaryP2]]-TableIncome[[#This Row],[InvestmentP2]])/12</f>
        <v>47594.196357684203</v>
      </c>
      <c r="M26" s="34">
        <f>'Net Salary P1'!BI25</f>
        <v>38707.470738459793</v>
      </c>
      <c r="N26" s="35">
        <f>'Net Salary P2'!BI25</f>
        <v>59492.745447105255</v>
      </c>
      <c r="O26" s="35">
        <f>IF(_xlfn.XLOOKUP(TableIncome[[#This Row],[Year]],Loop!C:C,Loop!D:D)&lt;75,(O25*(1+$I$4))+IF(TableIncomeCalculations[[#This Row],[SwitchP1]]="Y",O25*$I$6,0),0)</f>
        <v>73058.420742195842</v>
      </c>
      <c r="P26" s="35">
        <f>IF(_xlfn.XLOOKUP(TableIncome[[#This Row],[Year]],Loop!C:C,Loop!E:E)&lt;75,(P25*(1+$I$4))+IF(TableIncomeCalculations[[#This Row],[SwitchP2]]="Y",P25*$I$6,0),0)</f>
        <v>122614.11743493134</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
      <c r="B27" s="3">
        <v>2049</v>
      </c>
      <c r="C27" s="38">
        <f>(TableIncomeCalculations[[#This Row],[NetMonthlySalaryP1]]*12)</f>
        <v>468902.25286590384</v>
      </c>
      <c r="D27" s="37">
        <f>(TableIncomeCalculations[[#This Row],[NetMonthlySalaryP2]]*12)</f>
        <v>721318.62892769417</v>
      </c>
      <c r="E27" s="36">
        <f>TableIncome[[#This Row],[SalaryP1]]*$I$7</f>
        <v>93780.450573180773</v>
      </c>
      <c r="F27" s="36">
        <f>TableIncome[[#This Row],[SalaryP2]]*$I$7</f>
        <v>144263.72578553885</v>
      </c>
      <c r="G27" s="16"/>
      <c r="K27" s="57">
        <f>(TableIncome[[#This Row],[SalaryP1]]-TableIncome[[#This Row],[InvestmentP1]])/12</f>
        <v>31260.150191060256</v>
      </c>
      <c r="L27" s="57">
        <f>(TableIncome[[#This Row],[SalaryP2]]-TableIncome[[#This Row],[InvestmentP2]])/12</f>
        <v>48087.908595179615</v>
      </c>
      <c r="M27" s="34">
        <f>'Net Salary P1'!BI26</f>
        <v>39075.18773882532</v>
      </c>
      <c r="N27" s="35">
        <f>'Net Salary P2'!BI26</f>
        <v>60109.885743974512</v>
      </c>
      <c r="O27" s="35">
        <f>IF(_xlfn.XLOOKUP(TableIncome[[#This Row],[Year]],Loop!C:C,Loop!D:D)&lt;75,(O26*(1+$I$4))+IF(TableIncomeCalculations[[#This Row],[SwitchP1]]="Y",O26*$I$6,0),0)</f>
        <v>73935.121791102196</v>
      </c>
      <c r="P27" s="35">
        <f>IF(_xlfn.XLOOKUP(TableIncome[[#This Row],[Year]],Loop!C:C,Loop!E:E)&lt;75,(P26*(1+$I$4))+IF(TableIncomeCalculations[[#This Row],[SwitchP2]]="Y",P26*$I$6,0),0)</f>
        <v>124085.48684415051</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
      <c r="B28" s="3">
        <v>2050</v>
      </c>
      <c r="C28" s="38">
        <f>(TableIncomeCalculations[[#This Row],[NetMonthlySalaryP1]]*12)</f>
        <v>473367.80811834265</v>
      </c>
      <c r="D28" s="37">
        <f>(TableIncomeCalculations[[#This Row],[NetMonthlySalaryP2]]*12)</f>
        <v>728813.18069287448</v>
      </c>
      <c r="E28" s="36">
        <f>TableIncome[[#This Row],[SalaryP1]]*$I$7</f>
        <v>94673.561623668531</v>
      </c>
      <c r="F28" s="36">
        <f>TableIncome[[#This Row],[SalaryP2]]*$I$7</f>
        <v>145762.63613857489</v>
      </c>
      <c r="G28" s="16"/>
      <c r="K28" s="57">
        <f>(TableIncome[[#This Row],[SalaryP1]]-TableIncome[[#This Row],[InvestmentP1]])/12</f>
        <v>31557.853874556178</v>
      </c>
      <c r="L28" s="57">
        <f>(TableIncome[[#This Row],[SalaryP2]]-TableIncome[[#This Row],[InvestmentP2]])/12</f>
        <v>48587.545379524963</v>
      </c>
      <c r="M28" s="34">
        <f>'Net Salary P1'!BI27</f>
        <v>39447.317343195224</v>
      </c>
      <c r="N28" s="35">
        <f>'Net Salary P2'!BI27</f>
        <v>60734.431724406204</v>
      </c>
      <c r="O28" s="35">
        <f>IF(_xlfn.XLOOKUP(TableIncome[[#This Row],[Year]],Loop!C:C,Loop!D:D)&lt;75,(O27*(1+$I$4))+IF(TableIncomeCalculations[[#This Row],[SwitchP1]]="Y",O27*$I$6,0),0)</f>
        <v>74822.343252595427</v>
      </c>
      <c r="P28" s="35">
        <f>IF(_xlfn.XLOOKUP(TableIncome[[#This Row],[Year]],Loop!C:C,Loop!E:E)&lt;75,(P27*(1+$I$4))+IF(TableIncomeCalculations[[#This Row],[SwitchP2]]="Y",P27*$I$6,0),0)</f>
        <v>125574.51268628032</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
      <c r="B29" s="3">
        <v>2051</v>
      </c>
      <c r="C29" s="38">
        <f>(TableIncomeCalculations[[#This Row],[NetMonthlySalaryP1]]*12)</f>
        <v>477886.9500338108</v>
      </c>
      <c r="D29" s="37">
        <f>(TableIncomeCalculations[[#This Row],[NetMonthlySalaryP2]]*12)</f>
        <v>736397.66707923706</v>
      </c>
      <c r="E29" s="36">
        <f>TableIncome[[#This Row],[SalaryP1]]*$I$7</f>
        <v>95577.390006762173</v>
      </c>
      <c r="F29" s="36">
        <f>TableIncome[[#This Row],[SalaryP2]]*$I$7</f>
        <v>147279.53341584743</v>
      </c>
      <c r="G29" s="16"/>
      <c r="K29" s="57">
        <f>(TableIncome[[#This Row],[SalaryP1]]-TableIncome[[#This Row],[InvestmentP1]])/12</f>
        <v>31859.130002254053</v>
      </c>
      <c r="L29" s="57">
        <f>(TableIncome[[#This Row],[SalaryP2]]-TableIncome[[#This Row],[InvestmentP2]])/12</f>
        <v>49093.177805282467</v>
      </c>
      <c r="M29" s="34">
        <f>'Net Salary P1'!BI28</f>
        <v>39823.912502817569</v>
      </c>
      <c r="N29" s="35">
        <f>'Net Salary P2'!BI28</f>
        <v>61366.47225660309</v>
      </c>
      <c r="O29" s="35">
        <f>IF(_xlfn.XLOOKUP(TableIncome[[#This Row],[Year]],Loop!C:C,Loop!D:D)&lt;75,(O28*(1+$I$4))+IF(TableIncomeCalculations[[#This Row],[SwitchP1]]="Y",O28*$I$6,0),0)</f>
        <v>75720.211371626574</v>
      </c>
      <c r="P29" s="35">
        <f>IF(_xlfn.XLOOKUP(TableIncome[[#This Row],[Year]],Loop!C:C,Loop!E:E)&lt;75,(P28*(1+$I$4))+IF(TableIncomeCalculations[[#This Row],[SwitchP2]]="Y",P28*$I$6,0),0)</f>
        <v>127081.40683851569</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
      <c r="B30" s="3">
        <v>2052</v>
      </c>
      <c r="C30" s="38">
        <f>(TableIncomeCalculations[[#This Row],[NetMonthlySalaryP1]]*12)</f>
        <v>482460.32165226468</v>
      </c>
      <c r="D30" s="37">
        <f>(TableIncomeCalculations[[#This Row],[NetMonthlySalaryP2]]*12)</f>
        <v>744073.16730223584</v>
      </c>
      <c r="E30" s="36">
        <f>TableIncome[[#This Row],[SalaryP1]]*$I$7</f>
        <v>96492.064330452937</v>
      </c>
      <c r="F30" s="36">
        <f>TableIncome[[#This Row],[SalaryP2]]*$I$7</f>
        <v>148814.63346044716</v>
      </c>
      <c r="G30" s="16"/>
      <c r="K30" s="57">
        <f>(TableIncome[[#This Row],[SalaryP1]]-TableIncome[[#This Row],[InvestmentP1]])/12</f>
        <v>32164.021443484311</v>
      </c>
      <c r="L30" s="57">
        <f>(TableIncome[[#This Row],[SalaryP2]]-TableIncome[[#This Row],[InvestmentP2]])/12</f>
        <v>49604.877820149057</v>
      </c>
      <c r="M30" s="34">
        <f>'Net Salary P1'!BI29</f>
        <v>40205.026804355388</v>
      </c>
      <c r="N30" s="35">
        <f>'Net Salary P2'!BI29</f>
        <v>62006.097275186323</v>
      </c>
      <c r="O30" s="35">
        <f>IF(_xlfn.XLOOKUP(TableIncome[[#This Row],[Year]],Loop!C:C,Loop!D:D)&lt;75,(O29*(1+$I$4))+IF(TableIncomeCalculations[[#This Row],[SwitchP1]]="Y",O29*$I$6,0),0)</f>
        <v>76628.853908086094</v>
      </c>
      <c r="P30" s="35">
        <f>IF(_xlfn.XLOOKUP(TableIncome[[#This Row],[Year]],Loop!C:C,Loop!E:E)&lt;75,(P29*(1+$I$4))+IF(TableIncomeCalculations[[#This Row],[SwitchP2]]="Y",P29*$I$6,0),0)</f>
        <v>128606.38372057787</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
      <c r="B31" s="3">
        <v>2053</v>
      </c>
      <c r="C31" s="38">
        <f>(TableIncomeCalculations[[#This Row],[NetMonthlySalaryP1]]*12)</f>
        <v>487088.57373013964</v>
      </c>
      <c r="D31" s="37">
        <f>(TableIncomeCalculations[[#This Row],[NetMonthlySalaryP2]]*12)</f>
        <v>751840.7735279107</v>
      </c>
      <c r="E31" s="36">
        <f>TableIncome[[#This Row],[SalaryP1]]*$I$7</f>
        <v>97417.714746027938</v>
      </c>
      <c r="F31" s="36">
        <f>TableIncome[[#This Row],[SalaryP2]]*$I$7</f>
        <v>150368.15470558216</v>
      </c>
      <c r="G31" s="16"/>
      <c r="K31" s="57">
        <f>(TableIncome[[#This Row],[SalaryP1]]-TableIncome[[#This Row],[InvestmentP1]])/12</f>
        <v>32472.571582009306</v>
      </c>
      <c r="L31" s="57">
        <f>(TableIncome[[#This Row],[SalaryP2]]-TableIncome[[#This Row],[InvestmentP2]])/12</f>
        <v>50122.718235194043</v>
      </c>
      <c r="M31" s="34">
        <f>'Net Salary P1'!BI30</f>
        <v>40590.714477511639</v>
      </c>
      <c r="N31" s="35">
        <f>'Net Salary P2'!BI30</f>
        <v>62653.397793992561</v>
      </c>
      <c r="O31" s="35">
        <f>IF(_xlfn.XLOOKUP(TableIncome[[#This Row],[Year]],Loop!C:C,Loop!D:D)&lt;75,(O30*(1+$I$4))+IF(TableIncomeCalculations[[#This Row],[SwitchP1]]="Y",O30*$I$6,0),0)</f>
        <v>77548.40015498313</v>
      </c>
      <c r="P31" s="35">
        <f>IF(_xlfn.XLOOKUP(TableIncome[[#This Row],[Year]],Loop!C:C,Loop!E:E)&lt;75,(P30*(1+$I$4))+IF(TableIncomeCalculations[[#This Row],[SwitchP2]]="Y",P30*$I$6,0),0)</f>
        <v>130149.6603252248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
      <c r="B32" s="3">
        <v>2054</v>
      </c>
      <c r="C32" s="38">
        <f>(TableIncomeCalculations[[#This Row],[NetMonthlySalaryP1]]*12)</f>
        <v>491772.36483294936</v>
      </c>
      <c r="D32" s="37">
        <f>(TableIncomeCalculations[[#This Row],[NetMonthlySalaryP2]]*12)</f>
        <v>759701.59102829371</v>
      </c>
      <c r="E32" s="36">
        <f>TableIncome[[#This Row],[SalaryP1]]*$I$7</f>
        <v>98354.472966589878</v>
      </c>
      <c r="F32" s="36">
        <f>TableIncome[[#This Row],[SalaryP2]]*$I$7</f>
        <v>151940.31820565875</v>
      </c>
      <c r="G32" s="16"/>
      <c r="K32" s="57">
        <f>(TableIncome[[#This Row],[SalaryP1]]-TableIncome[[#This Row],[InvestmentP1]])/12</f>
        <v>32784.824322196626</v>
      </c>
      <c r="L32" s="57">
        <f>(TableIncome[[#This Row],[SalaryP2]]-TableIncome[[#This Row],[InvestmentP2]])/12</f>
        <v>50646.772735219587</v>
      </c>
      <c r="M32" s="34">
        <f>'Net Salary P1'!BI31</f>
        <v>40981.030402745782</v>
      </c>
      <c r="N32" s="35">
        <f>'Net Salary P2'!BI31</f>
        <v>63308.465919024478</v>
      </c>
      <c r="O32" s="35">
        <f>IF(_xlfn.XLOOKUP(TableIncome[[#This Row],[Year]],Loop!C:C,Loop!D:D)&lt;75,(O31*(1+$I$4))+IF(TableIncomeCalculations[[#This Row],[SwitchP1]]="Y",O31*$I$6,0),0)</f>
        <v>78478.980956842934</v>
      </c>
      <c r="P32" s="35">
        <f>IF(_xlfn.XLOOKUP(TableIncome[[#This Row],[Year]],Loop!C:C,Loop!E:E)&lt;75,(P31*(1+$I$4))+IF(TableIncomeCalculations[[#This Row],[SwitchP2]]="Y",P31*$I$6,0),0)</f>
        <v>131711.45624912751</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
      <c r="B33" s="3">
        <v>2055</v>
      </c>
      <c r="C33" s="38">
        <f>(TableIncomeCalculations[[#This Row],[NetMonthlySalaryP1]]*12)</f>
        <v>496512.36142899282</v>
      </c>
      <c r="D33" s="37">
        <f>(TableIncomeCalculations[[#This Row],[NetMonthlySalaryP2]]*12)</f>
        <v>767656.73833868117</v>
      </c>
      <c r="E33" s="36">
        <f>TableIncome[[#This Row],[SalaryP1]]*$I$7</f>
        <v>99302.472285798576</v>
      </c>
      <c r="F33" s="36">
        <f>TableIncome[[#This Row],[SalaryP2]]*$I$7</f>
        <v>153531.34766773623</v>
      </c>
      <c r="G33" s="16"/>
      <c r="K33" s="57">
        <f>(TableIncome[[#This Row],[SalaryP1]]-TableIncome[[#This Row],[InvestmentP1]])/12</f>
        <v>33100.824095266187</v>
      </c>
      <c r="L33" s="57">
        <f>(TableIncome[[#This Row],[SalaryP2]]-TableIncome[[#This Row],[InvestmentP2]])/12</f>
        <v>51177.115889245411</v>
      </c>
      <c r="M33" s="34">
        <f>'Net Salary P1'!BI32</f>
        <v>41376.030119082738</v>
      </c>
      <c r="N33" s="35">
        <f>'Net Salary P2'!BI32</f>
        <v>63971.394861556764</v>
      </c>
      <c r="O33" s="35">
        <f>IF(_xlfn.XLOOKUP(TableIncome[[#This Row],[Year]],Loop!C:C,Loop!D:D)&lt;75,(O32*(1+$I$4))+IF(TableIncomeCalculations[[#This Row],[SwitchP1]]="Y",O32*$I$6,0),0)</f>
        <v>79420.728728325048</v>
      </c>
      <c r="P33" s="35">
        <f>IF(_xlfn.XLOOKUP(TableIncome[[#This Row],[Year]],Loop!C:C,Loop!E:E)&lt;75,(P32*(1+$I$4))+IF(TableIncomeCalculations[[#This Row],[SwitchP2]]="Y",P32*$I$6,0),0)</f>
        <v>133291.99372411706</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
      <c r="B34" s="3">
        <v>2056</v>
      </c>
      <c r="C34" s="38">
        <f>(TableIncomeCalculations[[#This Row],[NetMonthlySalaryP1]]*12)</f>
        <v>501309.23798418872</v>
      </c>
      <c r="D34" s="37">
        <f>(TableIncomeCalculations[[#This Row],[NetMonthlySalaryP2]]*12)</f>
        <v>775707.34741679346</v>
      </c>
      <c r="E34" s="36">
        <f>TableIncome[[#This Row],[SalaryP1]]*$I$7</f>
        <v>100261.84759683775</v>
      </c>
      <c r="F34" s="36">
        <f>TableIncome[[#This Row],[SalaryP2]]*$I$7</f>
        <v>155141.4694833587</v>
      </c>
      <c r="G34" s="16"/>
      <c r="K34" s="57">
        <f>(TableIncome[[#This Row],[SalaryP1]]-TableIncome[[#This Row],[InvestmentP1]])/12</f>
        <v>33420.615865612584</v>
      </c>
      <c r="L34" s="57">
        <f>(TableIncome[[#This Row],[SalaryP2]]-TableIncome[[#This Row],[InvestmentP2]])/12</f>
        <v>51713.823161119566</v>
      </c>
      <c r="M34" s="34">
        <f>'Net Salary P1'!BI33</f>
        <v>41775.769832015729</v>
      </c>
      <c r="N34" s="35">
        <f>'Net Salary P2'!BI33</f>
        <v>64642.278951399458</v>
      </c>
      <c r="O34" s="35">
        <f>IF(_xlfn.XLOOKUP(TableIncome[[#This Row],[Year]],Loop!C:C,Loop!D:D)&lt;75,(O33*(1+$I$4))+IF(TableIncomeCalculations[[#This Row],[SwitchP1]]="Y",O33*$I$6,0),0)</f>
        <v>80373.777473064954</v>
      </c>
      <c r="P34" s="35">
        <f>IF(_xlfn.XLOOKUP(TableIncome[[#This Row],[Year]],Loop!C:C,Loop!E:E)&lt;75,(P33*(1+$I$4))+IF(TableIncomeCalculations[[#This Row],[SwitchP2]]="Y",P33*$I$6,0),0)</f>
        <v>134891.49764880646</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
      <c r="B35" s="3">
        <v>2057</v>
      </c>
      <c r="C35" s="38">
        <f>(TableIncomeCalculations[[#This Row],[NetMonthlySalaryP1]]*12)</f>
        <v>506163.67705804715</v>
      </c>
      <c r="D35" s="37">
        <f>(TableIncomeCalculations[[#This Row],[NetMonthlySalaryP2]]*12)</f>
        <v>783854.56380384299</v>
      </c>
      <c r="E35" s="36">
        <f>TableIncome[[#This Row],[SalaryP1]]*$I$7</f>
        <v>101232.73541160944</v>
      </c>
      <c r="F35" s="36">
        <f>TableIncome[[#This Row],[SalaryP2]]*$I$7</f>
        <v>156770.91276076861</v>
      </c>
      <c r="G35" s="16"/>
      <c r="K35" s="57">
        <f>(TableIncome[[#This Row],[SalaryP1]]-TableIncome[[#This Row],[InvestmentP1]])/12</f>
        <v>33744.245137203143</v>
      </c>
      <c r="L35" s="57">
        <f>(TableIncome[[#This Row],[SalaryP2]]-TableIncome[[#This Row],[InvestmentP2]])/12</f>
        <v>52256.970920256201</v>
      </c>
      <c r="M35" s="34">
        <f>'Net Salary P1'!BI34</f>
        <v>42180.306421503927</v>
      </c>
      <c r="N35" s="35">
        <f>'Net Salary P2'!BI34</f>
        <v>65321.213650320249</v>
      </c>
      <c r="O35" s="35">
        <f>IF(_xlfn.XLOOKUP(TableIncome[[#This Row],[Year]],Loop!C:C,Loop!D:D)&lt;75,(O34*(1+$I$4))+IF(TableIncomeCalculations[[#This Row],[SwitchP1]]="Y",O34*$I$6,0),0)</f>
        <v>81338.262802741738</v>
      </c>
      <c r="P35" s="35">
        <f>IF(_xlfn.XLOOKUP(TableIncome[[#This Row],[Year]],Loop!C:C,Loop!E:E)&lt;75,(P34*(1+$I$4))+IF(TableIncomeCalculations[[#This Row],[SwitchP2]]="Y",P34*$I$6,0),0)</f>
        <v>136510.19562059213</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
      <c r="B36" s="3">
        <v>2058</v>
      </c>
      <c r="C36" s="38">
        <f>(TableIncomeCalculations[[#This Row],[NetMonthlySalaryP1]]*12)</f>
        <v>511076.36940079165</v>
      </c>
      <c r="D36" s="37">
        <f>(TableIncomeCalculations[[#This Row],[NetMonthlySalaryP2]]*12)</f>
        <v>792099.54678753717</v>
      </c>
      <c r="E36" s="36">
        <f>TableIncome[[#This Row],[SalaryP1]]*$I$7</f>
        <v>102215.27388015833</v>
      </c>
      <c r="F36" s="36">
        <f>TableIncome[[#This Row],[SalaryP2]]*$I$7</f>
        <v>158419.90935750745</v>
      </c>
      <c r="G36" s="16"/>
      <c r="K36" s="57">
        <f>(TableIncome[[#This Row],[SalaryP1]]-TableIncome[[#This Row],[InvestmentP1]])/12</f>
        <v>34071.757960052775</v>
      </c>
      <c r="L36" s="57">
        <f>(TableIncome[[#This Row],[SalaryP2]]-TableIncome[[#This Row],[InvestmentP2]])/12</f>
        <v>52806.636452502476</v>
      </c>
      <c r="M36" s="34">
        <f>'Net Salary P1'!BI35</f>
        <v>42589.697450065971</v>
      </c>
      <c r="N36" s="35">
        <f>'Net Salary P2'!BI35</f>
        <v>66008.295565628097</v>
      </c>
      <c r="O36" s="35">
        <f>IF(_xlfn.XLOOKUP(TableIncome[[#This Row],[Year]],Loop!C:C,Loop!D:D)&lt;75,(O35*(1+$I$4))+IF(TableIncomeCalculations[[#This Row],[SwitchP1]]="Y",O35*$I$6,0),0)</f>
        <v>82314.321956374639</v>
      </c>
      <c r="P36" s="35">
        <f>IF(_xlfn.XLOOKUP(TableIncome[[#This Row],[Year]],Loop!C:C,Loop!E:E)&lt;75,(P35*(1+$I$4))+IF(TableIncomeCalculations[[#This Row],[SwitchP2]]="Y",P35*$I$6,0),0)</f>
        <v>138148.31796803925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
      <c r="B37" s="3">
        <v>2059</v>
      </c>
      <c r="C37" s="38">
        <f>(TableIncomeCalculations[[#This Row],[NetMonthlySalaryP1]]*12)</f>
        <v>516048.01405164914</v>
      </c>
      <c r="D37" s="37">
        <f>(TableIncomeCalculations[[#This Row],[NetMonthlySalaryP2]]*12)</f>
        <v>800443.46956703532</v>
      </c>
      <c r="E37" s="36">
        <f>TableIncome[[#This Row],[SalaryP1]]*$I$7</f>
        <v>103209.60281032983</v>
      </c>
      <c r="F37" s="36">
        <f>TableIncome[[#This Row],[SalaryP2]]*$I$7</f>
        <v>160088.69391340707</v>
      </c>
      <c r="G37" s="16"/>
      <c r="K37" s="57">
        <f>(TableIncome[[#This Row],[SalaryP1]]-TableIncome[[#This Row],[InvestmentP1]])/12</f>
        <v>34403.200936776608</v>
      </c>
      <c r="L37" s="57">
        <f>(TableIncome[[#This Row],[SalaryP2]]-TableIncome[[#This Row],[InvestmentP2]])/12</f>
        <v>53362.897971135688</v>
      </c>
      <c r="M37" s="34">
        <f>'Net Salary P1'!BI36</f>
        <v>43004.001170970761</v>
      </c>
      <c r="N37" s="35">
        <f>'Net Salary P2'!BI36</f>
        <v>66703.622463919615</v>
      </c>
      <c r="O37" s="35">
        <f>IF(_xlfn.XLOOKUP(TableIncome[[#This Row],[Year]],Loop!C:C,Loop!D:D)&lt;75,(O36*(1+$I$4))+IF(TableIncomeCalculations[[#This Row],[SwitchP1]]="Y",O36*$I$6,0),0)</f>
        <v>83302.093819851129</v>
      </c>
      <c r="P37" s="35">
        <f>IF(_xlfn.XLOOKUP(TableIncome[[#This Row],[Year]],Loop!C:C,Loop!E:E)&lt;75,(P36*(1+$I$4))+IF(TableIncomeCalculations[[#This Row],[SwitchP2]]="Y",P36*$I$6,0),0)</f>
        <v>139806.09778365571</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
      <c r="B38" s="3">
        <v>2060</v>
      </c>
      <c r="C38" s="38">
        <f>(TableIncomeCalculations[[#This Row],[NetMonthlySalaryP1]]*12)</f>
        <v>538688.88379165414</v>
      </c>
      <c r="D38" s="37">
        <f>(TableIncomeCalculations[[#This Row],[NetMonthlySalaryP2]]*12)</f>
        <v>0</v>
      </c>
      <c r="E38" s="36">
        <f>TableIncome[[#This Row],[SalaryP1]]*$I$7</f>
        <v>107737.77675833083</v>
      </c>
      <c r="F38" s="36">
        <f>TableIncome[[#This Row],[SalaryP2]]*$I$7</f>
        <v>0</v>
      </c>
      <c r="G38" s="16"/>
      <c r="K38" s="57">
        <f>(TableIncome[[#This Row],[SalaryP1]]-TableIncome[[#This Row],[InvestmentP1]])/12</f>
        <v>35912.592252776943</v>
      </c>
      <c r="L38" s="57">
        <f>(TableIncome[[#This Row],[SalaryP2]]-TableIncome[[#This Row],[InvestmentP2]])/12</f>
        <v>0</v>
      </c>
      <c r="M38" s="34">
        <f>'Net Salary P1'!BI37</f>
        <v>44890.740315971176</v>
      </c>
      <c r="N38" s="35">
        <f>'Net Salary P2'!BI37</f>
        <v>0</v>
      </c>
      <c r="O38" s="35">
        <f>IF(_xlfn.XLOOKUP(TableIncome[[#This Row],[Year]],Loop!C:C,Loop!D:D)&lt;75,(O37*(1+$I$4))+IF(TableIncomeCalculations[[#This Row],[SwitchP1]]="Y",O37*$I$6,0),0)</f>
        <v>87800.406886123092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
      <c r="B39" s="3">
        <v>2061</v>
      </c>
      <c r="C39" s="38">
        <f>(TableIncomeCalculations[[#This Row],[NetMonthlySalaryP1]]*12)</f>
        <v>543991.87861520215</v>
      </c>
      <c r="D39" s="37">
        <f>(TableIncomeCalculations[[#This Row],[NetMonthlySalaryP2]]*12)</f>
        <v>0</v>
      </c>
      <c r="E39" s="36">
        <f>TableIncome[[#This Row],[SalaryP1]]*$I$7</f>
        <v>108798.37572304043</v>
      </c>
      <c r="F39" s="36">
        <f>TableIncome[[#This Row],[SalaryP2]]*$I$7</f>
        <v>0</v>
      </c>
      <c r="G39" s="16"/>
      <c r="K39" s="57">
        <f>(TableIncome[[#This Row],[SalaryP1]]-TableIncome[[#This Row],[InvestmentP1]])/12</f>
        <v>36266.125241013477</v>
      </c>
      <c r="L39" s="57">
        <f>(TableIncome[[#This Row],[SalaryP2]]-TableIncome[[#This Row],[InvestmentP2]])/12</f>
        <v>0</v>
      </c>
      <c r="M39" s="34">
        <f>'Net Salary P1'!BI38</f>
        <v>45332.656551266846</v>
      </c>
      <c r="N39" s="35">
        <f>'Net Salary P2'!BI38</f>
        <v>0</v>
      </c>
      <c r="O39" s="35">
        <f>IF(_xlfn.XLOOKUP(TableIncome[[#This Row],[Year]],Loop!C:C,Loop!D:D)&lt;75,(O38*(1+$I$4))+IF(TableIncomeCalculations[[#This Row],[SwitchP1]]="Y",O38*$I$6,0),0)</f>
        <v>88854.011768756565</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
      <c r="B40" s="3">
        <v>2062</v>
      </c>
      <c r="C40" s="38">
        <f>(TableIncomeCalculations[[#This Row],[NetMonthlySalaryP1]]*12)</f>
        <v>549358.5093766324</v>
      </c>
      <c r="D40" s="37">
        <f>(TableIncomeCalculations[[#This Row],[NetMonthlySalaryP2]]*12)</f>
        <v>0</v>
      </c>
      <c r="E40" s="36">
        <f>TableIncome[[#This Row],[SalaryP1]]*$I$7</f>
        <v>109871.70187532649</v>
      </c>
      <c r="F40" s="36">
        <f>TableIncome[[#This Row],[SalaryP2]]*$I$7</f>
        <v>0</v>
      </c>
      <c r="G40" s="16"/>
      <c r="K40" s="57">
        <f>(TableIncome[[#This Row],[SalaryP1]]-TableIncome[[#This Row],[InvestmentP1]])/12</f>
        <v>36623.900625108829</v>
      </c>
      <c r="L40" s="57">
        <f>(TableIncome[[#This Row],[SalaryP2]]-TableIncome[[#This Row],[InvestmentP2]])/12</f>
        <v>0</v>
      </c>
      <c r="M40" s="34">
        <f>'Net Salary P1'!BI39</f>
        <v>45779.875781386036</v>
      </c>
      <c r="N40" s="35">
        <f>'Net Salary P2'!BI39</f>
        <v>0</v>
      </c>
      <c r="O40" s="35">
        <f>IF(_xlfn.XLOOKUP(TableIncome[[#This Row],[Year]],Loop!C:C,Loop!D:D)&lt;75,(O39*(1+$I$4))+IF(TableIncomeCalculations[[#This Row],[SwitchP1]]="Y",O39*$I$6,0),0)</f>
        <v>89920.259909981643</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
      <c r="B41" s="3">
        <v>2063</v>
      </c>
      <c r="C41" s="38">
        <f>(TableIncomeCalculations[[#This Row],[NetMonthlySalaryP1]]*12)</f>
        <v>554789.53970720002</v>
      </c>
      <c r="D41" s="37">
        <f>(TableIncomeCalculations[[#This Row],[NetMonthlySalaryP2]]*12)</f>
        <v>0</v>
      </c>
      <c r="E41" s="36">
        <f>TableIncome[[#This Row],[SalaryP1]]*$I$7</f>
        <v>110957.90794144</v>
      </c>
      <c r="F41" s="36">
        <f>TableIncome[[#This Row],[SalaryP2]]*$I$7</f>
        <v>0</v>
      </c>
      <c r="G41" s="16"/>
      <c r="K41" s="57">
        <f>(TableIncome[[#This Row],[SalaryP1]]-TableIncome[[#This Row],[InvestmentP1]])/12</f>
        <v>36985.969313813337</v>
      </c>
      <c r="L41" s="57">
        <f>(TableIncome[[#This Row],[SalaryP2]]-TableIncome[[#This Row],[InvestmentP2]])/12</f>
        <v>0</v>
      </c>
      <c r="M41" s="34">
        <f>'Net Salary P1'!BI40</f>
        <v>46232.461642266666</v>
      </c>
      <c r="N41" s="35">
        <f>'Net Salary P2'!BI40</f>
        <v>0</v>
      </c>
      <c r="O41" s="35">
        <f>IF(_xlfn.XLOOKUP(TableIncome[[#This Row],[Year]],Loop!C:C,Loop!D:D)&lt;75,(O40*(1+$I$4))+IF(TableIncomeCalculations[[#This Row],[SwitchP1]]="Y",O40*$I$6,0),0)</f>
        <v>90999.303028901428</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
      <c r="B42" s="3">
        <v>2064</v>
      </c>
      <c r="C42" s="38">
        <f>(TableIncomeCalculations[[#This Row],[NetMonthlySalaryP1]]*12)</f>
        <v>560285.74240173446</v>
      </c>
      <c r="D42" s="37">
        <f>(TableIncomeCalculations[[#This Row],[NetMonthlySalaryP2]]*12)</f>
        <v>0</v>
      </c>
      <c r="E42" s="36">
        <f>TableIncome[[#This Row],[SalaryP1]]*$I$7</f>
        <v>112057.14848034689</v>
      </c>
      <c r="F42" s="36">
        <f>TableIncome[[#This Row],[SalaryP2]]*$I$7</f>
        <v>0</v>
      </c>
      <c r="G42" s="16"/>
      <c r="K42" s="57">
        <f>(TableIncome[[#This Row],[SalaryP1]]-TableIncome[[#This Row],[InvestmentP1]])/12</f>
        <v>37352.382826782297</v>
      </c>
      <c r="L42" s="57">
        <f>(TableIncome[[#This Row],[SalaryP2]]-TableIncome[[#This Row],[InvestmentP2]])/12</f>
        <v>0</v>
      </c>
      <c r="M42" s="34">
        <f>'Net Salary P1'!BI41</f>
        <v>46690.478533477872</v>
      </c>
      <c r="N42" s="35">
        <f>'Net Salary P2'!BI41</f>
        <v>0</v>
      </c>
      <c r="O42" s="35">
        <f>IF(_xlfn.XLOOKUP(TableIncome[[#This Row],[Year]],Loop!C:C,Loop!D:D)&lt;75,(O41*(1+$I$4))+IF(TableIncomeCalculations[[#This Row],[SwitchP1]]="Y",O41*$I$6,0),0)</f>
        <v>92091.29466524825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
      <c r="B43" s="3">
        <v>2065</v>
      </c>
      <c r="C43" s="38">
        <f>(TableIncomeCalculations[[#This Row],[NetMonthlySalaryP1]]*12)</f>
        <v>565847.8995286033</v>
      </c>
      <c r="D43" s="37">
        <f>(TableIncomeCalculations[[#This Row],[NetMonthlySalaryP2]]*12)</f>
        <v>0</v>
      </c>
      <c r="E43" s="36">
        <f>TableIncome[[#This Row],[SalaryP1]]*$I$7</f>
        <v>113169.57990572066</v>
      </c>
      <c r="F43" s="36">
        <f>TableIncome[[#This Row],[SalaryP2]]*$I$7</f>
        <v>0</v>
      </c>
      <c r="G43" s="16"/>
      <c r="K43" s="57">
        <f>(TableIncome[[#This Row],[SalaryP1]]-TableIncome[[#This Row],[InvestmentP1]])/12</f>
        <v>37723.193301906889</v>
      </c>
      <c r="L43" s="57">
        <f>(TableIncome[[#This Row],[SalaryP2]]-TableIncome[[#This Row],[InvestmentP2]])/12</f>
        <v>0</v>
      </c>
      <c r="M43" s="34">
        <f>'Net Salary P1'!BI42</f>
        <v>47153.991627383606</v>
      </c>
      <c r="N43" s="35">
        <f>'Net Salary P2'!BI42</f>
        <v>0</v>
      </c>
      <c r="O43" s="35">
        <f>IF(_xlfn.XLOOKUP(TableIncome[[#This Row],[Year]],Loop!C:C,Loop!D:D)&lt;75,(O42*(1+$I$4))+IF(TableIncomeCalculations[[#This Row],[SwitchP1]]="Y",O42*$I$6,0),0)</f>
        <v>93196.390201231232</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
      <c r="B44" s="3">
        <v>2066</v>
      </c>
      <c r="C44" s="38">
        <f>(TableIncomeCalculations[[#This Row],[NetMonthlySalaryP1]]*12)</f>
        <v>571476.8025409946</v>
      </c>
      <c r="D44" s="37">
        <f>(TableIncomeCalculations[[#This Row],[NetMonthlySalaryP2]]*12)</f>
        <v>0</v>
      </c>
      <c r="E44" s="36">
        <f>TableIncome[[#This Row],[SalaryP1]]*$I$7</f>
        <v>114295.36050819892</v>
      </c>
      <c r="F44" s="36">
        <f>TableIncome[[#This Row],[SalaryP2]]*$I$7</f>
        <v>0</v>
      </c>
      <c r="G44" s="16"/>
      <c r="K44" s="57">
        <f>(TableIncome[[#This Row],[SalaryP1]]-TableIncome[[#This Row],[InvestmentP1]])/12</f>
        <v>38098.453502732977</v>
      </c>
      <c r="L44" s="57">
        <f>(TableIncome[[#This Row],[SalaryP2]]-TableIncome[[#This Row],[InvestmentP2]])/12</f>
        <v>0</v>
      </c>
      <c r="M44" s="34">
        <f>'Net Salary P1'!BI43</f>
        <v>47623.066878416219</v>
      </c>
      <c r="N44" s="35">
        <f>'Net Salary P2'!BI43</f>
        <v>0</v>
      </c>
      <c r="O44" s="35">
        <f>IF(_xlfn.XLOOKUP(TableIncome[[#This Row],[Year]],Loop!C:C,Loop!D:D)&lt;75,(O43*(1+$I$4))+IF(TableIncomeCalculations[[#This Row],[SwitchP1]]="Y",O43*$I$6,0),0)</f>
        <v>94314.746883646003</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
      <c r="B45" s="3">
        <v>2067</v>
      </c>
      <c r="C45" s="38">
        <f>(TableIncomeCalculations[[#This Row],[NetMonthlySalaryP1]]*12)</f>
        <v>577173.25238953438</v>
      </c>
      <c r="D45" s="37">
        <f>(TableIncomeCalculations[[#This Row],[NetMonthlySalaryP2]]*12)</f>
        <v>0</v>
      </c>
      <c r="E45" s="36">
        <f>TableIncome[[#This Row],[SalaryP1]]*$I$7</f>
        <v>115434.65047790688</v>
      </c>
      <c r="F45" s="36">
        <f>TableIncome[[#This Row],[SalaryP2]]*$I$7</f>
        <v>0</v>
      </c>
      <c r="G45" s="16"/>
      <c r="K45" s="57">
        <f>(TableIncome[[#This Row],[SalaryP1]]-TableIncome[[#This Row],[InvestmentP1]])/12</f>
        <v>38478.216825968957</v>
      </c>
      <c r="L45" s="57">
        <f>(TableIncome[[#This Row],[SalaryP2]]-TableIncome[[#This Row],[InvestmentP2]])/12</f>
        <v>0</v>
      </c>
      <c r="M45" s="34">
        <f>'Net Salary P1'!BI44</f>
        <v>48097.771032461198</v>
      </c>
      <c r="N45" s="35">
        <f>'Net Salary P2'!BI44</f>
        <v>0</v>
      </c>
      <c r="O45" s="35">
        <f>IF(_xlfn.XLOOKUP(TableIncome[[#This Row],[Year]],Loop!C:C,Loop!D:D)&lt;75,(O44*(1+$I$4))+IF(TableIncomeCalculations[[#This Row],[SwitchP1]]="Y",O44*$I$6,0),0)</f>
        <v>95446.523846249751</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
      <c r="B46" s="3">
        <v>2068</v>
      </c>
      <c r="C46" s="38">
        <f>(TableIncomeCalculations[[#This Row],[NetMonthlySalaryP1]]*12)</f>
        <v>582938.05963625689</v>
      </c>
      <c r="D46" s="37">
        <f>(TableIncomeCalculations[[#This Row],[NetMonthlySalaryP2]]*12)</f>
        <v>0</v>
      </c>
      <c r="E46" s="36">
        <f>TableIncome[[#This Row],[SalaryP1]]*$I$7</f>
        <v>116587.61192725139</v>
      </c>
      <c r="F46" s="36">
        <f>TableIncome[[#This Row],[SalaryP2]]*$I$7</f>
        <v>0</v>
      </c>
      <c r="G46" s="16"/>
      <c r="K46" s="57">
        <f>(TableIncome[[#This Row],[SalaryP1]]-TableIncome[[#This Row],[InvestmentP1]])/12</f>
        <v>38862.537309083789</v>
      </c>
      <c r="L46" s="57">
        <f>(TableIncome[[#This Row],[SalaryP2]]-TableIncome[[#This Row],[InvestmentP2]])/12</f>
        <v>0</v>
      </c>
      <c r="M46" s="34">
        <f>'Net Salary P1'!BI45</f>
        <v>48578.171636354738</v>
      </c>
      <c r="N46" s="35">
        <f>'Net Salary P2'!BI45</f>
        <v>0</v>
      </c>
      <c r="O46" s="35">
        <f>IF(_xlfn.XLOOKUP(TableIncome[[#This Row],[Year]],Loop!C:C,Loop!D:D)&lt;75,(O45*(1+$I$4))+IF(TableIncomeCalculations[[#This Row],[SwitchP1]]="Y",O45*$I$6,0),0)</f>
        <v>96591.882132404746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
      <c r="B47" s="3">
        <v>2069</v>
      </c>
      <c r="C47" s="38">
        <f>(TableIncomeCalculations[[#This Row],[NetMonthlySalaryP1]]*12)</f>
        <v>588772.04456993996</v>
      </c>
      <c r="D47" s="37">
        <f>(TableIncomeCalculations[[#This Row],[NetMonthlySalaryP2]]*12)</f>
        <v>0</v>
      </c>
      <c r="E47" s="36">
        <f>TableIncome[[#This Row],[SalaryP1]]*$I$7</f>
        <v>117754.40891398799</v>
      </c>
      <c r="F47" s="36">
        <f>TableIncome[[#This Row],[SalaryP2]]*$I$7</f>
        <v>0</v>
      </c>
      <c r="G47" s="16"/>
      <c r="K47" s="57">
        <f>(TableIncome[[#This Row],[SalaryP1]]-TableIncome[[#This Row],[InvestmentP1]])/12</f>
        <v>39251.469637996001</v>
      </c>
      <c r="L47" s="57">
        <f>(TableIncome[[#This Row],[SalaryP2]]-TableIncome[[#This Row],[InvestmentP2]])/12</f>
        <v>0</v>
      </c>
      <c r="M47" s="34">
        <f>'Net Salary P1'!BI46</f>
        <v>49064.337047494999</v>
      </c>
      <c r="N47" s="35">
        <f>'Net Salary P2'!BI46</f>
        <v>0</v>
      </c>
      <c r="O47" s="35">
        <f>IF(_xlfn.XLOOKUP(TableIncome[[#This Row],[Year]],Loop!C:C,Loop!D:D)&lt;75,(O46*(1+$I$4))+IF(TableIncomeCalculations[[#This Row],[SwitchP1]]="Y",O46*$I$6,0),0)</f>
        <v>97750.984717993604</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
      <c r="B48" s="3">
        <v>2070</v>
      </c>
      <c r="C48" s="38">
        <f>(TableIncomeCalculations[[#This Row],[NetMonthlySalaryP1]]*12)</f>
        <v>594676.03732282715</v>
      </c>
      <c r="D48" s="37">
        <f>(TableIncomeCalculations[[#This Row],[NetMonthlySalaryP2]]*12)</f>
        <v>0</v>
      </c>
      <c r="E48" s="36">
        <f>TableIncome[[#This Row],[SalaryP1]]*$I$7</f>
        <v>118935.20746456544</v>
      </c>
      <c r="F48" s="36">
        <f>TableIncome[[#This Row],[SalaryP2]]*$I$7</f>
        <v>0</v>
      </c>
      <c r="G48" s="16"/>
      <c r="K48" s="57">
        <f>(TableIncome[[#This Row],[SalaryP1]]-TableIncome[[#This Row],[InvestmentP1]])/12</f>
        <v>39645.069154855148</v>
      </c>
      <c r="L48" s="57">
        <f>(TableIncome[[#This Row],[SalaryP2]]-TableIncome[[#This Row],[InvestmentP2]])/12</f>
        <v>0</v>
      </c>
      <c r="M48" s="34">
        <f>'Net Salary P1'!BI47</f>
        <v>49556.336443568929</v>
      </c>
      <c r="N48" s="35">
        <f>'Net Salary P2'!BI47</f>
        <v>0</v>
      </c>
      <c r="O48" s="35">
        <f>IF(_xlfn.XLOOKUP(TableIncome[[#This Row],[Year]],Loop!C:C,Loop!D:D)&lt;75,(O47*(1+$I$4))+IF(TableIncomeCalculations[[#This Row],[SwitchP1]]="Y",O47*$I$6,0),0)</f>
        <v>98923.996534609527</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
      <c r="B49" s="3">
        <v>2071</v>
      </c>
      <c r="C49" s="38">
        <f>(TableIncomeCalculations[[#This Row],[NetMonthlySalaryP1]]*12)</f>
        <v>600650.87798874895</v>
      </c>
      <c r="D49" s="37">
        <f>(TableIncomeCalculations[[#This Row],[NetMonthlySalaryP2]]*12)</f>
        <v>0</v>
      </c>
      <c r="E49" s="36">
        <f>TableIncome[[#This Row],[SalaryP1]]*$I$7</f>
        <v>120130.1755977498</v>
      </c>
      <c r="F49" s="36">
        <f>TableIncome[[#This Row],[SalaryP2]]*$I$7</f>
        <v>0</v>
      </c>
      <c r="K49" s="57">
        <f>(TableIncome[[#This Row],[SalaryP1]]-TableIncome[[#This Row],[InvestmentP1]])/12</f>
        <v>40043.391865916601</v>
      </c>
      <c r="L49" s="57">
        <f>(TableIncome[[#This Row],[SalaryP2]]-TableIncome[[#This Row],[InvestmentP2]])/12</f>
        <v>0</v>
      </c>
      <c r="M49" s="34">
        <f>'Net Salary P1'!BI48</f>
        <v>50054.239832395746</v>
      </c>
      <c r="N49" s="34">
        <f>'Net Salary P2'!BI48</f>
        <v>0</v>
      </c>
      <c r="O49" s="35">
        <f>IF(_xlfn.XLOOKUP(TableIncome[[#This Row],[Year]],Loop!C:C,Loop!D:D)&lt;75,(O48*(1+$I$4))+IF(TableIncomeCalculations[[#This Row],[SwitchP1]]="Y",O48*$I$6,0),0)</f>
        <v>100111.08449302484</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
      <c r="B50" s="3">
        <v>2072</v>
      </c>
      <c r="C50" s="38">
        <f>(TableIncomeCalculations[[#This Row],[NetMonthlySalaryP1]]*12)</f>
        <v>606697.4167426622</v>
      </c>
      <c r="D50" s="37">
        <f>(TableIncomeCalculations[[#This Row],[NetMonthlySalaryP2]]*12)</f>
        <v>0</v>
      </c>
      <c r="E50" s="36">
        <f>TableIncome[[#This Row],[SalaryP1]]*$I$7</f>
        <v>121339.48334853245</v>
      </c>
      <c r="F50" s="36">
        <f>TableIncome[[#This Row],[SalaryP2]]*$I$7</f>
        <v>0</v>
      </c>
      <c r="K50" s="57">
        <f>(TableIncome[[#This Row],[SalaryP1]]-TableIncome[[#This Row],[InvestmentP1]])/12</f>
        <v>40446.494449510814</v>
      </c>
      <c r="L50" s="57">
        <f>(TableIncome[[#This Row],[SalaryP2]]-TableIncome[[#This Row],[InvestmentP2]])/12</f>
        <v>0</v>
      </c>
      <c r="M50" s="34">
        <f>'Net Salary P1'!BI49</f>
        <v>50558.118061888519</v>
      </c>
      <c r="N50" s="34">
        <f>'Net Salary P2'!BI49</f>
        <v>0</v>
      </c>
      <c r="O50" s="35">
        <f>IF(_xlfn.XLOOKUP(TableIncome[[#This Row],[Year]],Loop!C:C,Loop!D:D)&lt;75,(O49*(1+$I$4))+IF(TableIncomeCalculations[[#This Row],[SwitchP1]]="Y",O49*$I$6,0),0)</f>
        <v>101312.41750694114</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
      <c r="B51" s="3">
        <v>2073</v>
      </c>
      <c r="C51" s="38">
        <f>(TableIncomeCalculations[[#This Row],[NetMonthlySalaryP1]]*12)</f>
        <v>612816.51396162214</v>
      </c>
      <c r="D51" s="37">
        <f>(TableIncomeCalculations[[#This Row],[NetMonthlySalaryP2]]*12)</f>
        <v>0</v>
      </c>
      <c r="E51" s="36">
        <f>TableIncome[[#This Row],[SalaryP1]]*$I$7</f>
        <v>122563.30279232444</v>
      </c>
      <c r="F51" s="36">
        <f>TableIncome[[#This Row],[SalaryP2]]*$I$7</f>
        <v>0</v>
      </c>
      <c r="K51" s="57">
        <f>(TableIncome[[#This Row],[SalaryP1]]-TableIncome[[#This Row],[InvestmentP1]])/12</f>
        <v>40854.434264108138</v>
      </c>
      <c r="L51" s="57">
        <f>(TableIncome[[#This Row],[SalaryP2]]-TableIncome[[#This Row],[InvestmentP2]])/12</f>
        <v>0</v>
      </c>
      <c r="M51" s="34">
        <f>'Net Salary P1'!BI50</f>
        <v>51068.042830135179</v>
      </c>
      <c r="N51" s="34">
        <f>'Net Salary P2'!BI50</f>
        <v>0</v>
      </c>
      <c r="O51" s="35">
        <f>IF(_xlfn.XLOOKUP(TableIncome[[#This Row],[Year]],Loop!C:C,Loop!D:D)&lt;75,(O50*(1+$I$4))+IF(TableIncomeCalculations[[#This Row],[SwitchP1]]="Y",O50*$I$6,0),0)</f>
        <v>102528.16651702444</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
      <c r="B52" s="3">
        <v>2074</v>
      </c>
      <c r="C52" s="38">
        <f>(TableIncomeCalculations[[#This Row],[NetMonthlySalaryP1]]*12)</f>
        <v>619009.04034720967</v>
      </c>
      <c r="D52" s="37">
        <f>(TableIncomeCalculations[[#This Row],[NetMonthlySalaryP2]]*12)</f>
        <v>0</v>
      </c>
      <c r="E52" s="36">
        <f>TableIncome[[#This Row],[SalaryP1]]*$I$7</f>
        <v>123801.80806944193</v>
      </c>
      <c r="F52" s="36">
        <f>TableIncome[[#This Row],[SalaryP2]]*$I$7</f>
        <v>0</v>
      </c>
      <c r="K52" s="57">
        <f>(TableIncome[[#This Row],[SalaryP1]]-TableIncome[[#This Row],[InvestmentP1]])/12</f>
        <v>41267.269356480647</v>
      </c>
      <c r="L52" s="57">
        <f>(TableIncome[[#This Row],[SalaryP2]]-TableIncome[[#This Row],[InvestmentP2]])/12</f>
        <v>0</v>
      </c>
      <c r="M52" s="34">
        <f>'Net Salary P1'!BI51</f>
        <v>51584.086695600803</v>
      </c>
      <c r="N52" s="34">
        <f>'Net Salary P2'!BI51</f>
        <v>0</v>
      </c>
      <c r="O52" s="35">
        <f>IF(_xlfn.XLOOKUP(TableIncome[[#This Row],[Year]],Loop!C:C,Loop!D:D)&lt;75,(O51*(1+$I$4))+IF(TableIncomeCalculations[[#This Row],[SwitchP1]]="Y",O51*$I$6,0),0)</f>
        <v>103758.50451522873</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13" style="2" bestFit="1" customWidth="1"/>
    <col min="48" max="48" width="11.6640625" style="2" bestFit="1" customWidth="1"/>
    <col min="49" max="49" width="13.33203125" style="2" bestFit="1" customWidth="1"/>
    <col min="50" max="51" width="14.1640625" style="2" bestFit="1" customWidth="1"/>
    <col min="52" max="16384" width="9.1640625" style="2"/>
  </cols>
  <sheetData>
    <row r="1" spans="1:51" x14ac:dyDescent="0.2">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
      <c r="A2" s="2" t="s">
        <v>176</v>
      </c>
      <c r="B2" s="28" cm="1">
        <f t="array" ref="B2:AY2">TRANSPOSE(Income!O3:O52)</f>
        <v>43506.876227897839</v>
      </c>
      <c r="C2" s="28">
        <v>44028.958742632611</v>
      </c>
      <c r="D2" s="28">
        <v>46406.522514734774</v>
      </c>
      <c r="E2" s="28">
        <v>46963.400784911595</v>
      </c>
      <c r="F2" s="28">
        <v>47526.961594330533</v>
      </c>
      <c r="G2" s="28">
        <v>48097.285133462501</v>
      </c>
      <c r="H2" s="28">
        <v>50694.538530669481</v>
      </c>
      <c r="I2" s="28">
        <v>51302.872993037512</v>
      </c>
      <c r="J2" s="28">
        <v>51918.507468953962</v>
      </c>
      <c r="K2" s="28">
        <v>52541.529558581409</v>
      </c>
      <c r="L2" s="28">
        <v>55378.772154744802</v>
      </c>
      <c r="M2" s="28">
        <v>56043.317420601743</v>
      </c>
      <c r="N2" s="28">
        <v>56715.837229648962</v>
      </c>
      <c r="O2" s="28">
        <v>59778.492440050002</v>
      </c>
      <c r="P2" s="28">
        <v>60495.834349330602</v>
      </c>
      <c r="Q2" s="28">
        <v>61221.784361522572</v>
      </c>
      <c r="R2" s="28">
        <v>61956.445773860847</v>
      </c>
      <c r="S2" s="28">
        <v>62699.923123147179</v>
      </c>
      <c r="T2" s="28">
        <v>66085.718971797134</v>
      </c>
      <c r="U2" s="28">
        <v>66878.7475994587</v>
      </c>
      <c r="V2" s="28">
        <v>67681.292570652207</v>
      </c>
      <c r="W2" s="28">
        <v>68493.468081500032</v>
      </c>
      <c r="X2" s="28">
        <v>72192.115357901028</v>
      </c>
      <c r="Y2" s="28">
        <v>73058.420742195842</v>
      </c>
      <c r="Z2" s="28">
        <v>73935.121791102196</v>
      </c>
      <c r="AA2" s="28">
        <v>74822.343252595427</v>
      </c>
      <c r="AB2" s="28">
        <v>75720.211371626574</v>
      </c>
      <c r="AC2" s="28">
        <v>76628.853908086094</v>
      </c>
      <c r="AD2" s="28">
        <v>77548.40015498313</v>
      </c>
      <c r="AE2" s="28">
        <v>78478.980956842934</v>
      </c>
      <c r="AF2" s="28">
        <v>79420.728728325048</v>
      </c>
      <c r="AG2" s="28">
        <v>80373.777473064954</v>
      </c>
      <c r="AH2" s="28">
        <v>81338.262802741738</v>
      </c>
      <c r="AI2" s="28">
        <v>82314.321956374639</v>
      </c>
      <c r="AJ2" s="28">
        <v>83302.093819851129</v>
      </c>
      <c r="AK2" s="28">
        <v>87800.406886123092</v>
      </c>
      <c r="AL2" s="28">
        <v>88854.011768756565</v>
      </c>
      <c r="AM2" s="28">
        <v>89920.259909981643</v>
      </c>
      <c r="AN2" s="28">
        <v>90999.303028901428</v>
      </c>
      <c r="AO2" s="28">
        <v>92091.29466524825</v>
      </c>
      <c r="AP2" s="28">
        <v>93196.390201231232</v>
      </c>
      <c r="AQ2" s="28">
        <v>94314.746883646003</v>
      </c>
      <c r="AR2" s="28">
        <v>95446.523846249751</v>
      </c>
      <c r="AS2" s="28">
        <v>96591.882132404746</v>
      </c>
      <c r="AT2" s="28">
        <v>97750.984717993604</v>
      </c>
      <c r="AU2" s="2">
        <v>98923.996534609527</v>
      </c>
      <c r="AV2" s="2">
        <v>100111.08449302484</v>
      </c>
      <c r="AW2" s="2">
        <v>101312.41750694114</v>
      </c>
      <c r="AX2" s="2">
        <v>102528.16651702444</v>
      </c>
      <c r="AY2" s="2">
        <v>103758.50451522873</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2175.3438113948919</v>
      </c>
      <c r="C4" s="28">
        <f t="shared" ref="C4:AT4" si="0">C3*C2</f>
        <v>2201.4479371316306</v>
      </c>
      <c r="D4" s="28">
        <f t="shared" si="0"/>
        <v>2320.326125736739</v>
      </c>
      <c r="E4" s="28">
        <f t="shared" si="0"/>
        <v>2348.17003924558</v>
      </c>
      <c r="F4" s="28">
        <f t="shared" si="0"/>
        <v>2376.3480797165266</v>
      </c>
      <c r="G4" s="28">
        <f t="shared" si="0"/>
        <v>2404.8642566731251</v>
      </c>
      <c r="H4" s="28">
        <f t="shared" si="0"/>
        <v>2534.7269265334744</v>
      </c>
      <c r="I4" s="28">
        <f t="shared" si="0"/>
        <v>2565.1436496518759</v>
      </c>
      <c r="J4" s="28">
        <f t="shared" si="0"/>
        <v>2595.9253734476983</v>
      </c>
      <c r="K4" s="28">
        <f t="shared" si="0"/>
        <v>2627.0764779290707</v>
      </c>
      <c r="L4" s="28">
        <f t="shared" si="0"/>
        <v>2768.9386077372401</v>
      </c>
      <c r="M4" s="28">
        <f t="shared" si="0"/>
        <v>2802.1658710300871</v>
      </c>
      <c r="N4" s="28">
        <f t="shared" si="0"/>
        <v>2835.7918614824484</v>
      </c>
      <c r="O4" s="28">
        <f t="shared" si="0"/>
        <v>2988.9246220025002</v>
      </c>
      <c r="P4" s="28">
        <f t="shared" si="0"/>
        <v>3024.7917174665304</v>
      </c>
      <c r="Q4" s="28">
        <f t="shared" si="0"/>
        <v>3061.0892180761289</v>
      </c>
      <c r="R4" s="28">
        <f t="shared" si="0"/>
        <v>3097.8222886930425</v>
      </c>
      <c r="S4" s="28">
        <f t="shared" si="0"/>
        <v>3134.9961561573591</v>
      </c>
      <c r="T4" s="28">
        <f t="shared" si="0"/>
        <v>3304.2859485898571</v>
      </c>
      <c r="U4" s="28">
        <f t="shared" si="0"/>
        <v>3343.9373799729351</v>
      </c>
      <c r="V4" s="28">
        <f t="shared" si="0"/>
        <v>3384.0646285326106</v>
      </c>
      <c r="W4" s="28">
        <f t="shared" si="0"/>
        <v>3424.6734040750016</v>
      </c>
      <c r="X4" s="28">
        <f t="shared" si="0"/>
        <v>3609.6057678950515</v>
      </c>
      <c r="Y4" s="28">
        <f t="shared" si="0"/>
        <v>3652.9210371097925</v>
      </c>
      <c r="Z4" s="28">
        <f t="shared" si="0"/>
        <v>3696.7560895551101</v>
      </c>
      <c r="AA4" s="28">
        <f t="shared" si="0"/>
        <v>3741.1171626297714</v>
      </c>
      <c r="AB4" s="28">
        <f t="shared" si="0"/>
        <v>3786.0105685813287</v>
      </c>
      <c r="AC4" s="28">
        <f t="shared" si="0"/>
        <v>3831.4426954043047</v>
      </c>
      <c r="AD4" s="28">
        <f t="shared" si="0"/>
        <v>3877.4200077491569</v>
      </c>
      <c r="AE4" s="28">
        <f t="shared" si="0"/>
        <v>3923.9490478421467</v>
      </c>
      <c r="AF4" s="28">
        <f t="shared" si="0"/>
        <v>3971.0364364162524</v>
      </c>
      <c r="AG4" s="28">
        <f t="shared" si="0"/>
        <v>4018.6888736532478</v>
      </c>
      <c r="AH4" s="28">
        <f t="shared" si="0"/>
        <v>4066.9131401370869</v>
      </c>
      <c r="AI4" s="28">
        <f t="shared" si="0"/>
        <v>4115.7160978187321</v>
      </c>
      <c r="AJ4" s="28">
        <f t="shared" si="0"/>
        <v>4165.1046909925562</v>
      </c>
      <c r="AK4" s="28">
        <f t="shared" si="0"/>
        <v>4390.0203443061546</v>
      </c>
      <c r="AL4" s="28">
        <f t="shared" si="0"/>
        <v>4442.7005884378286</v>
      </c>
      <c r="AM4" s="28">
        <f t="shared" si="0"/>
        <v>4496.0129954990825</v>
      </c>
      <c r="AN4" s="28">
        <f t="shared" si="0"/>
        <v>4549.9651514450716</v>
      </c>
      <c r="AO4" s="28">
        <f t="shared" si="0"/>
        <v>4604.564733262413</v>
      </c>
      <c r="AP4" s="28">
        <f t="shared" si="0"/>
        <v>4659.8195100615621</v>
      </c>
      <c r="AQ4" s="28">
        <f t="shared" si="0"/>
        <v>4715.7373441823001</v>
      </c>
      <c r="AR4" s="28">
        <f t="shared" si="0"/>
        <v>4772.3261923124874</v>
      </c>
      <c r="AS4" s="28">
        <f t="shared" si="0"/>
        <v>4829.5941066202377</v>
      </c>
      <c r="AT4" s="28">
        <f t="shared" si="0"/>
        <v>4887.5492358996808</v>
      </c>
      <c r="AU4" s="28">
        <f t="shared" ref="AU4:AY4" si="1">AU3*AU2</f>
        <v>4946.1998267304771</v>
      </c>
      <c r="AV4" s="28">
        <f t="shared" si="1"/>
        <v>5005.5542246512423</v>
      </c>
      <c r="AW4" s="28">
        <f t="shared" si="1"/>
        <v>5065.6208753470573</v>
      </c>
      <c r="AX4" s="28">
        <f t="shared" si="1"/>
        <v>5126.4083258512219</v>
      </c>
      <c r="AY4" s="28">
        <f t="shared" si="1"/>
        <v>5187.9252257614371</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4350.6876227897837</v>
      </c>
      <c r="C6" s="28">
        <f t="shared" ref="C6:AT6" si="2">C4*2</f>
        <v>4402.8958742632612</v>
      </c>
      <c r="D6" s="28">
        <f t="shared" si="2"/>
        <v>4640.6522514734779</v>
      </c>
      <c r="E6" s="28">
        <f t="shared" si="2"/>
        <v>4696.3400784911601</v>
      </c>
      <c r="F6" s="28">
        <f t="shared" si="2"/>
        <v>4752.6961594330533</v>
      </c>
      <c r="G6" s="28">
        <f t="shared" si="2"/>
        <v>4809.7285133462501</v>
      </c>
      <c r="H6" s="28">
        <f t="shared" si="2"/>
        <v>5069.4538530669488</v>
      </c>
      <c r="I6" s="28">
        <f t="shared" si="2"/>
        <v>5130.2872993037518</v>
      </c>
      <c r="J6" s="28">
        <f t="shared" si="2"/>
        <v>5191.8507468953967</v>
      </c>
      <c r="K6" s="28">
        <f t="shared" si="2"/>
        <v>5254.1529558581415</v>
      </c>
      <c r="L6" s="28">
        <f t="shared" si="2"/>
        <v>5537.8772154744802</v>
      </c>
      <c r="M6" s="28">
        <f t="shared" si="2"/>
        <v>5604.3317420601743</v>
      </c>
      <c r="N6" s="28">
        <f t="shared" si="2"/>
        <v>5671.5837229648969</v>
      </c>
      <c r="O6" s="28">
        <f t="shared" si="2"/>
        <v>5977.8492440050004</v>
      </c>
      <c r="P6" s="28">
        <f t="shared" si="2"/>
        <v>6049.5834349330607</v>
      </c>
      <c r="Q6" s="28">
        <f t="shared" si="2"/>
        <v>6122.1784361522577</v>
      </c>
      <c r="R6" s="28">
        <f t="shared" si="2"/>
        <v>6195.6445773860851</v>
      </c>
      <c r="S6" s="28">
        <f t="shared" si="2"/>
        <v>6269.9923123147182</v>
      </c>
      <c r="T6" s="28">
        <f t="shared" si="2"/>
        <v>6608.5718971797141</v>
      </c>
      <c r="U6" s="28">
        <f t="shared" si="2"/>
        <v>6687.8747599458702</v>
      </c>
      <c r="V6" s="28">
        <f t="shared" si="2"/>
        <v>6768.1292570652213</v>
      </c>
      <c r="W6" s="28">
        <f t="shared" si="2"/>
        <v>6849.3468081500032</v>
      </c>
      <c r="X6" s="28">
        <f t="shared" si="2"/>
        <v>7219.211535790103</v>
      </c>
      <c r="Y6" s="28">
        <f t="shared" si="2"/>
        <v>7305.8420742195849</v>
      </c>
      <c r="Z6" s="28">
        <f t="shared" si="2"/>
        <v>7393.5121791102201</v>
      </c>
      <c r="AA6" s="28">
        <f t="shared" si="2"/>
        <v>7482.2343252595429</v>
      </c>
      <c r="AB6" s="28">
        <f t="shared" si="2"/>
        <v>7572.0211371626574</v>
      </c>
      <c r="AC6" s="28">
        <f t="shared" si="2"/>
        <v>7662.8853908086094</v>
      </c>
      <c r="AD6" s="28">
        <f t="shared" si="2"/>
        <v>7754.8400154983137</v>
      </c>
      <c r="AE6" s="28">
        <f t="shared" si="2"/>
        <v>7847.8980956842934</v>
      </c>
      <c r="AF6" s="28">
        <f t="shared" si="2"/>
        <v>7942.0728728325048</v>
      </c>
      <c r="AG6" s="28">
        <f t="shared" si="2"/>
        <v>8037.3777473064956</v>
      </c>
      <c r="AH6" s="28">
        <f t="shared" si="2"/>
        <v>8133.8262802741738</v>
      </c>
      <c r="AI6" s="28">
        <f t="shared" si="2"/>
        <v>8231.4321956374642</v>
      </c>
      <c r="AJ6" s="28">
        <f t="shared" si="2"/>
        <v>8330.2093819851125</v>
      </c>
      <c r="AK6" s="28">
        <f t="shared" si="2"/>
        <v>8780.0406886123092</v>
      </c>
      <c r="AL6" s="28">
        <f t="shared" si="2"/>
        <v>8885.4011768756573</v>
      </c>
      <c r="AM6" s="28">
        <f t="shared" si="2"/>
        <v>8992.0259909981651</v>
      </c>
      <c r="AN6" s="28">
        <f t="shared" si="2"/>
        <v>9099.9303028901431</v>
      </c>
      <c r="AO6" s="28">
        <f t="shared" si="2"/>
        <v>9209.1294665248261</v>
      </c>
      <c r="AP6" s="28">
        <f t="shared" si="2"/>
        <v>9319.6390201231243</v>
      </c>
      <c r="AQ6" s="28">
        <f t="shared" si="2"/>
        <v>9431.4746883646003</v>
      </c>
      <c r="AR6" s="28">
        <f t="shared" si="2"/>
        <v>9544.6523846249747</v>
      </c>
      <c r="AS6" s="28">
        <f t="shared" si="2"/>
        <v>9659.1882132404753</v>
      </c>
      <c r="AT6" s="28">
        <f t="shared" si="2"/>
        <v>9775.0984717993615</v>
      </c>
      <c r="AU6" s="28">
        <f t="shared" ref="AU6:AY6" si="3">AU4*2</f>
        <v>9892.3996534609541</v>
      </c>
      <c r="AV6" s="28">
        <f t="shared" si="3"/>
        <v>10011.108449302485</v>
      </c>
      <c r="AW6" s="28">
        <f t="shared" si="3"/>
        <v>10131.241750694115</v>
      </c>
      <c r="AX6" s="28">
        <f t="shared" si="3"/>
        <v>10252.816651702444</v>
      </c>
      <c r="AY6" s="28">
        <f t="shared" si="3"/>
        <v>10375.850451522874</v>
      </c>
    </row>
    <row r="7" spans="1:51" x14ac:dyDescent="0.2">
      <c r="A7" s="2" t="s">
        <v>180</v>
      </c>
      <c r="B7" s="29">
        <f>SUM(B6,B4)</f>
        <v>6526.0314341846752</v>
      </c>
      <c r="C7" s="29">
        <f t="shared" ref="C7:AT7" si="4">SUM(C6,C4)</f>
        <v>6604.3438113948923</v>
      </c>
      <c r="D7" s="29">
        <f t="shared" si="4"/>
        <v>6960.9783772102164</v>
      </c>
      <c r="E7" s="29">
        <f t="shared" si="4"/>
        <v>7044.5101177367396</v>
      </c>
      <c r="F7" s="29">
        <f t="shared" si="4"/>
        <v>7129.0442391495799</v>
      </c>
      <c r="G7" s="29">
        <f t="shared" si="4"/>
        <v>7214.5927700193752</v>
      </c>
      <c r="H7" s="29">
        <f t="shared" si="4"/>
        <v>7604.1807796004232</v>
      </c>
      <c r="I7" s="29">
        <f t="shared" si="4"/>
        <v>7695.4309489556272</v>
      </c>
      <c r="J7" s="29">
        <f t="shared" si="4"/>
        <v>7787.7761203430946</v>
      </c>
      <c r="K7" s="29">
        <f t="shared" si="4"/>
        <v>7881.2294337872117</v>
      </c>
      <c r="L7" s="29">
        <f t="shared" si="4"/>
        <v>8306.8158232117203</v>
      </c>
      <c r="M7" s="29">
        <f t="shared" si="4"/>
        <v>8406.4976130902614</v>
      </c>
      <c r="N7" s="29">
        <f t="shared" si="4"/>
        <v>8507.3755844473453</v>
      </c>
      <c r="O7" s="29">
        <f t="shared" si="4"/>
        <v>8966.7738660075011</v>
      </c>
      <c r="P7" s="29">
        <f t="shared" si="4"/>
        <v>9074.3751523995907</v>
      </c>
      <c r="Q7" s="29">
        <f t="shared" si="4"/>
        <v>9183.2676542283862</v>
      </c>
      <c r="R7" s="29">
        <f t="shared" si="4"/>
        <v>9293.4668660791285</v>
      </c>
      <c r="S7" s="29">
        <f t="shared" si="4"/>
        <v>9404.9884684720782</v>
      </c>
      <c r="T7" s="29">
        <f t="shared" si="4"/>
        <v>9912.8578457695712</v>
      </c>
      <c r="U7" s="29">
        <f t="shared" si="4"/>
        <v>10031.812139918806</v>
      </c>
      <c r="V7" s="29">
        <f t="shared" si="4"/>
        <v>10152.193885597831</v>
      </c>
      <c r="W7" s="29">
        <f t="shared" si="4"/>
        <v>10274.020212225005</v>
      </c>
      <c r="X7" s="29">
        <f t="shared" si="4"/>
        <v>10828.817303685155</v>
      </c>
      <c r="Y7" s="29">
        <f t="shared" si="4"/>
        <v>10958.763111329377</v>
      </c>
      <c r="Z7" s="29">
        <f t="shared" si="4"/>
        <v>11090.26826866533</v>
      </c>
      <c r="AA7" s="29">
        <f t="shared" si="4"/>
        <v>11223.351487889315</v>
      </c>
      <c r="AB7" s="29">
        <f t="shared" si="4"/>
        <v>11358.031705743986</v>
      </c>
      <c r="AC7" s="29">
        <f t="shared" si="4"/>
        <v>11494.328086212914</v>
      </c>
      <c r="AD7" s="29">
        <f t="shared" si="4"/>
        <v>11632.260023247471</v>
      </c>
      <c r="AE7" s="29">
        <f t="shared" si="4"/>
        <v>11771.84714352644</v>
      </c>
      <c r="AF7" s="29">
        <f t="shared" si="4"/>
        <v>11913.109309248757</v>
      </c>
      <c r="AG7" s="29">
        <f t="shared" si="4"/>
        <v>12056.066620959744</v>
      </c>
      <c r="AH7" s="29">
        <f t="shared" si="4"/>
        <v>12200.739420411261</v>
      </c>
      <c r="AI7" s="29">
        <f t="shared" si="4"/>
        <v>12347.148293456197</v>
      </c>
      <c r="AJ7" s="29">
        <f t="shared" si="4"/>
        <v>12495.314072977668</v>
      </c>
      <c r="AK7" s="29">
        <f t="shared" si="4"/>
        <v>13170.061032918464</v>
      </c>
      <c r="AL7" s="29">
        <f t="shared" si="4"/>
        <v>13328.101765313486</v>
      </c>
      <c r="AM7" s="29">
        <f t="shared" si="4"/>
        <v>13488.038986497248</v>
      </c>
      <c r="AN7" s="29">
        <f t="shared" si="4"/>
        <v>13649.895454335216</v>
      </c>
      <c r="AO7" s="29">
        <f t="shared" si="4"/>
        <v>13813.694199787238</v>
      </c>
      <c r="AP7" s="29">
        <f t="shared" si="4"/>
        <v>13979.458530184686</v>
      </c>
      <c r="AQ7" s="29">
        <f t="shared" si="4"/>
        <v>14147.2120325469</v>
      </c>
      <c r="AR7" s="29">
        <f t="shared" si="4"/>
        <v>14316.978576937461</v>
      </c>
      <c r="AS7" s="29">
        <f t="shared" si="4"/>
        <v>14488.782319860713</v>
      </c>
      <c r="AT7" s="29">
        <f t="shared" si="4"/>
        <v>14662.647707699041</v>
      </c>
      <c r="AU7" s="29">
        <f t="shared" ref="AU7:AY7" si="5">SUM(AU6,AU4)</f>
        <v>14838.599480191431</v>
      </c>
      <c r="AV7" s="29">
        <f t="shared" si="5"/>
        <v>15016.662673953728</v>
      </c>
      <c r="AW7" s="29">
        <f t="shared" si="5"/>
        <v>15196.862626041173</v>
      </c>
      <c r="AX7" s="29">
        <f t="shared" si="5"/>
        <v>15379.224977553666</v>
      </c>
      <c r="AY7" s="29">
        <f t="shared" si="5"/>
        <v>15563.775677284311</v>
      </c>
    </row>
    <row r="8" spans="1:51" x14ac:dyDescent="0.2">
      <c r="A8" s="2" t="s">
        <v>181</v>
      </c>
      <c r="B8" s="28">
        <f>B7*12</f>
        <v>78312.377210216102</v>
      </c>
      <c r="C8" s="28">
        <f t="shared" ref="C8:AT8" si="6">C7*12</f>
        <v>79252.125736738701</v>
      </c>
      <c r="D8" s="28">
        <f t="shared" si="6"/>
        <v>83531.740526522597</v>
      </c>
      <c r="E8" s="28">
        <f t="shared" si="6"/>
        <v>84534.121412840876</v>
      </c>
      <c r="F8" s="28">
        <f t="shared" si="6"/>
        <v>85548.530869794951</v>
      </c>
      <c r="G8" s="28">
        <f t="shared" si="6"/>
        <v>86575.113240232502</v>
      </c>
      <c r="H8" s="28">
        <f t="shared" si="6"/>
        <v>91250.169355205086</v>
      </c>
      <c r="I8" s="28">
        <f t="shared" si="6"/>
        <v>92345.171387467533</v>
      </c>
      <c r="J8" s="28">
        <f t="shared" si="6"/>
        <v>93453.313444117142</v>
      </c>
      <c r="K8" s="28">
        <f t="shared" si="6"/>
        <v>94574.753205446541</v>
      </c>
      <c r="L8" s="28">
        <f t="shared" si="6"/>
        <v>99681.789878540643</v>
      </c>
      <c r="M8" s="28">
        <f t="shared" si="6"/>
        <v>100877.97135708314</v>
      </c>
      <c r="N8" s="28">
        <f t="shared" si="6"/>
        <v>102088.50701336814</v>
      </c>
      <c r="O8" s="28">
        <f t="shared" si="6"/>
        <v>107601.28639209001</v>
      </c>
      <c r="P8" s="28">
        <f t="shared" si="6"/>
        <v>108892.5018287951</v>
      </c>
      <c r="Q8" s="28">
        <f t="shared" si="6"/>
        <v>110199.21185074063</v>
      </c>
      <c r="R8" s="28">
        <f t="shared" si="6"/>
        <v>111521.60239294954</v>
      </c>
      <c r="S8" s="28">
        <f t="shared" si="6"/>
        <v>112859.86162166494</v>
      </c>
      <c r="T8" s="28">
        <f t="shared" si="6"/>
        <v>118954.29414923486</v>
      </c>
      <c r="U8" s="28">
        <f t="shared" si="6"/>
        <v>120381.74567902567</v>
      </c>
      <c r="V8" s="28">
        <f t="shared" si="6"/>
        <v>121826.32662717398</v>
      </c>
      <c r="W8" s="28">
        <f t="shared" si="6"/>
        <v>123288.24254670006</v>
      </c>
      <c r="X8" s="28">
        <f t="shared" si="6"/>
        <v>129945.80764422186</v>
      </c>
      <c r="Y8" s="28">
        <f t="shared" si="6"/>
        <v>131505.15733595254</v>
      </c>
      <c r="Z8" s="28">
        <f t="shared" si="6"/>
        <v>133083.21922398396</v>
      </c>
      <c r="AA8" s="28">
        <f t="shared" si="6"/>
        <v>134680.21785467176</v>
      </c>
      <c r="AB8" s="28">
        <f t="shared" si="6"/>
        <v>136296.38046892785</v>
      </c>
      <c r="AC8" s="28">
        <f t="shared" si="6"/>
        <v>137931.93703455495</v>
      </c>
      <c r="AD8" s="28">
        <f t="shared" si="6"/>
        <v>139587.12027896964</v>
      </c>
      <c r="AE8" s="28">
        <f t="shared" si="6"/>
        <v>141262.1657223173</v>
      </c>
      <c r="AF8" s="28">
        <f t="shared" si="6"/>
        <v>142957.31171098509</v>
      </c>
      <c r="AG8" s="28">
        <f t="shared" si="6"/>
        <v>144672.79945151694</v>
      </c>
      <c r="AH8" s="28">
        <f t="shared" si="6"/>
        <v>146408.87304493511</v>
      </c>
      <c r="AI8" s="28">
        <f t="shared" si="6"/>
        <v>148165.77952147438</v>
      </c>
      <c r="AJ8" s="28">
        <f t="shared" si="6"/>
        <v>149943.76887573203</v>
      </c>
      <c r="AK8" s="28">
        <f t="shared" si="6"/>
        <v>158040.73239502157</v>
      </c>
      <c r="AL8" s="28">
        <f t="shared" si="6"/>
        <v>159937.22118376184</v>
      </c>
      <c r="AM8" s="28">
        <f t="shared" si="6"/>
        <v>161856.46783796698</v>
      </c>
      <c r="AN8" s="28">
        <f t="shared" si="6"/>
        <v>163798.74545202259</v>
      </c>
      <c r="AO8" s="28">
        <f t="shared" si="6"/>
        <v>165764.33039744687</v>
      </c>
      <c r="AP8" s="28">
        <f t="shared" si="6"/>
        <v>167753.50236221624</v>
      </c>
      <c r="AQ8" s="28">
        <f t="shared" si="6"/>
        <v>169766.54439056281</v>
      </c>
      <c r="AR8" s="28">
        <f t="shared" si="6"/>
        <v>171803.74292324955</v>
      </c>
      <c r="AS8" s="28">
        <f t="shared" si="6"/>
        <v>173865.38783832855</v>
      </c>
      <c r="AT8" s="28">
        <f t="shared" si="6"/>
        <v>175951.7724923885</v>
      </c>
      <c r="AU8" s="28">
        <f t="shared" ref="AU8:AY8" si="7">AU7*12</f>
        <v>178063.19376229716</v>
      </c>
      <c r="AV8" s="28">
        <f t="shared" si="7"/>
        <v>180199.95208744472</v>
      </c>
      <c r="AW8" s="28">
        <f t="shared" si="7"/>
        <v>182362.35151249409</v>
      </c>
      <c r="AX8" s="28">
        <f t="shared" si="7"/>
        <v>184550.699730644</v>
      </c>
      <c r="AY8" s="28">
        <f t="shared" si="7"/>
        <v>186765.30812741173</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12201323.059139511</v>
      </c>
    </row>
    <row r="17" spans="1:4" x14ac:dyDescent="0.2">
      <c r="A17" s="2" t="s">
        <v>184</v>
      </c>
      <c r="B17" s="28">
        <f>B16/25</f>
        <v>488052.92236558045</v>
      </c>
      <c r="C17" s="2" t="s">
        <v>182</v>
      </c>
    </row>
    <row r="18" spans="1:4" x14ac:dyDescent="0.2">
      <c r="A18" s="2" t="s">
        <v>183</v>
      </c>
      <c r="B18" s="30">
        <f>B17/12</f>
        <v>40671.076863798371</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1.8000000000000002E-2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
      <c r="A34" s="2" t="s">
        <v>249</v>
      </c>
      <c r="B34" s="26">
        <f>B8</f>
        <v>78312.377210216102</v>
      </c>
      <c r="C34" s="26">
        <f t="shared" ref="C34:AT34" si="8">B38+C8</f>
        <v>159554.4204518664</v>
      </c>
      <c r="D34" s="26">
        <f t="shared" si="8"/>
        <v>247140.43880207092</v>
      </c>
      <c r="E34" s="26">
        <f t="shared" si="8"/>
        <v>337954.3987648724</v>
      </c>
      <c r="F34" s="26">
        <f t="shared" si="8"/>
        <v>432090.35090728273</v>
      </c>
      <c r="G34" s="26">
        <f t="shared" si="8"/>
        <v>529644.87996406923</v>
      </c>
      <c r="H34" s="26">
        <f t="shared" si="8"/>
        <v>634353.32571916142</v>
      </c>
      <c r="I34" s="26">
        <f t="shared" si="8"/>
        <v>742817.41511315282</v>
      </c>
      <c r="J34" s="26">
        <f t="shared" si="8"/>
        <v>855145.71907529514</v>
      </c>
      <c r="K34" s="26">
        <f t="shared" si="8"/>
        <v>971449.72500244493</v>
      </c>
      <c r="L34" s="26">
        <f t="shared" si="8"/>
        <v>1095816.0523932977</v>
      </c>
      <c r="M34" s="26">
        <f t="shared" si="8"/>
        <v>1224538.7096416946</v>
      </c>
      <c r="N34" s="26">
        <f t="shared" si="8"/>
        <v>1357742.7452670583</v>
      </c>
      <c r="O34" s="26">
        <f t="shared" si="8"/>
        <v>1499844.2748163841</v>
      </c>
      <c r="P34" s="26">
        <f t="shared" si="8"/>
        <v>1646847.8196682634</v>
      </c>
      <c r="Q34" s="26">
        <f t="shared" si="8"/>
        <v>1798893.4346167748</v>
      </c>
      <c r="R34" s="26">
        <f t="shared" si="8"/>
        <v>1956124.9191833367</v>
      </c>
      <c r="S34" s="26">
        <f t="shared" si="8"/>
        <v>2118689.9150014501</v>
      </c>
      <c r="T34" s="26">
        <f t="shared" si="8"/>
        <v>2291480.1198908719</v>
      </c>
      <c r="U34" s="26">
        <f t="shared" si="8"/>
        <v>2470088.3754163245</v>
      </c>
      <c r="V34" s="26">
        <f t="shared" si="8"/>
        <v>2654679.6476628273</v>
      </c>
      <c r="W34" s="26">
        <f t="shared" si="8"/>
        <v>2845423.3000566396</v>
      </c>
      <c r="X34" s="26">
        <f t="shared" si="8"/>
        <v>3047671.3137553008</v>
      </c>
      <c r="Y34" s="26">
        <f t="shared" si="8"/>
        <v>3256617.7991737756</v>
      </c>
      <c r="Z34" s="26">
        <f t="shared" si="8"/>
        <v>3472451.6766747651</v>
      </c>
      <c r="AA34" s="26">
        <f t="shared" si="8"/>
        <v>3695366.8916337425</v>
      </c>
      <c r="AB34" s="26">
        <f t="shared" si="8"/>
        <v>3925562.5448190835</v>
      </c>
      <c r="AC34" s="26">
        <f t="shared" si="8"/>
        <v>4163243.0261174911</v>
      </c>
      <c r="AD34" s="26">
        <f t="shared" si="8"/>
        <v>4408618.1516901059</v>
      </c>
      <c r="AE34" s="26">
        <f t="shared" si="8"/>
        <v>4661903.3046468683</v>
      </c>
      <c r="AF34" s="26">
        <f t="shared" si="8"/>
        <v>4923319.5793289309</v>
      </c>
      <c r="AG34" s="26">
        <f t="shared" si="8"/>
        <v>5193093.9292911962</v>
      </c>
      <c r="AH34" s="26">
        <f t="shared" si="8"/>
        <v>5471459.3190794205</v>
      </c>
      <c r="AI34" s="26">
        <f t="shared" si="8"/>
        <v>5758654.8798987027</v>
      </c>
      <c r="AJ34" s="26">
        <f t="shared" si="8"/>
        <v>6054926.0692726607</v>
      </c>
      <c r="AK34" s="26">
        <f t="shared" si="8"/>
        <v>6366822.4730879003</v>
      </c>
      <c r="AL34" s="26">
        <f t="shared" si="8"/>
        <v>6688540.6533128256</v>
      </c>
      <c r="AM34" s="26">
        <f t="shared" si="8"/>
        <v>7020352.9391514715</v>
      </c>
      <c r="AN34" s="26">
        <f t="shared" si="8"/>
        <v>7362538.8527873326</v>
      </c>
      <c r="AO34" s="26">
        <f t="shared" si="8"/>
        <v>7715385.2954341052</v>
      </c>
      <c r="AP34" s="26">
        <f t="shared" si="8"/>
        <v>8079186.7381533021</v>
      </c>
      <c r="AQ34" s="26">
        <f t="shared" si="8"/>
        <v>8454245.4175603408</v>
      </c>
      <c r="AR34" s="26">
        <f t="shared" si="8"/>
        <v>8840871.5365437996</v>
      </c>
      <c r="AS34" s="26">
        <f t="shared" si="8"/>
        <v>9239383.470125705</v>
      </c>
      <c r="AT34" s="26">
        <f t="shared" si="8"/>
        <v>9650107.976593988</v>
      </c>
      <c r="AU34" s="26">
        <f t="shared" ref="AU34" si="9">AT38+AU8</f>
        <v>10073380.414041538</v>
      </c>
      <c r="AV34" s="26">
        <f t="shared" ref="AV34" si="10">AU38+AV8</f>
        <v>10509544.962449778</v>
      </c>
      <c r="AW34" s="26">
        <f t="shared" ref="AW34" si="11">AV38+AW8</f>
        <v>10958954.851458121</v>
      </c>
      <c r="AX34" s="26">
        <f t="shared" ref="AX34" si="12">AW38+AX8</f>
        <v>11421972.593964316</v>
      </c>
      <c r="AY34" s="26">
        <f t="shared" ref="AY34" si="13">AX38+AY8</f>
        <v>11898970.225704363</v>
      </c>
    </row>
    <row r="35" spans="1:51" x14ac:dyDescent="0.2">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
      <c r="A36" s="2" t="s">
        <v>247</v>
      </c>
      <c r="B36" s="26">
        <f>B35*B34</f>
        <v>2349.3713163064831</v>
      </c>
      <c r="C36" s="26">
        <f>C35*C34</f>
        <v>4786.6326135559921</v>
      </c>
      <c r="D36" s="26">
        <f>D35*D34</f>
        <v>7414.2131640621274</v>
      </c>
      <c r="E36" s="26">
        <f t="shared" ref="E36:AT36" si="15">E35*E34</f>
        <v>10138.631962946172</v>
      </c>
      <c r="F36" s="26">
        <f t="shared" si="15"/>
        <v>12962.710527218482</v>
      </c>
      <c r="G36" s="26">
        <f t="shared" si="15"/>
        <v>15889.346398922076</v>
      </c>
      <c r="H36" s="26">
        <f t="shared" si="15"/>
        <v>19030.599771574842</v>
      </c>
      <c r="I36" s="26">
        <f t="shared" si="15"/>
        <v>22284.522453394584</v>
      </c>
      <c r="J36" s="26">
        <f t="shared" si="15"/>
        <v>25654.371572258853</v>
      </c>
      <c r="K36" s="26">
        <f t="shared" si="15"/>
        <v>29143.491750073346</v>
      </c>
      <c r="L36" s="26">
        <f t="shared" si="15"/>
        <v>32874.481571798926</v>
      </c>
      <c r="M36" s="26">
        <f t="shared" si="15"/>
        <v>36736.161289250835</v>
      </c>
      <c r="N36" s="26">
        <f t="shared" si="15"/>
        <v>40732.282358011747</v>
      </c>
      <c r="O36" s="26">
        <f t="shared" si="15"/>
        <v>44995.328244491524</v>
      </c>
      <c r="P36" s="26">
        <f t="shared" si="15"/>
        <v>49405.434590047902</v>
      </c>
      <c r="Q36" s="26">
        <f t="shared" si="15"/>
        <v>53966.80303850324</v>
      </c>
      <c r="R36" s="26">
        <f t="shared" si="15"/>
        <v>58683.7475755001</v>
      </c>
      <c r="S36" s="26">
        <f t="shared" si="15"/>
        <v>63560.697450043503</v>
      </c>
      <c r="T36" s="26">
        <f t="shared" si="15"/>
        <v>68744.403596726159</v>
      </c>
      <c r="U36" s="26">
        <f t="shared" si="15"/>
        <v>74102.65126248973</v>
      </c>
      <c r="V36" s="26">
        <f t="shared" si="15"/>
        <v>79640.389429884817</v>
      </c>
      <c r="W36" s="26">
        <f t="shared" si="15"/>
        <v>85362.699001699191</v>
      </c>
      <c r="X36" s="26">
        <f t="shared" si="15"/>
        <v>91430.139412659017</v>
      </c>
      <c r="Y36" s="26">
        <f t="shared" si="15"/>
        <v>97698.533975213271</v>
      </c>
      <c r="Z36" s="26">
        <f t="shared" si="15"/>
        <v>104173.55030024295</v>
      </c>
      <c r="AA36" s="26">
        <f t="shared" si="15"/>
        <v>110861.00674901227</v>
      </c>
      <c r="AB36" s="26">
        <f t="shared" si="15"/>
        <v>117766.87634457251</v>
      </c>
      <c r="AC36" s="26">
        <f t="shared" si="15"/>
        <v>124897.29078352473</v>
      </c>
      <c r="AD36" s="26">
        <f t="shared" si="15"/>
        <v>132258.54455070317</v>
      </c>
      <c r="AE36" s="26">
        <f t="shared" si="15"/>
        <v>139857.09913940605</v>
      </c>
      <c r="AF36" s="26">
        <f t="shared" si="15"/>
        <v>147699.58737986791</v>
      </c>
      <c r="AG36" s="26">
        <f t="shared" si="15"/>
        <v>155792.81787873589</v>
      </c>
      <c r="AH36" s="26">
        <f t="shared" si="15"/>
        <v>164143.7795723826</v>
      </c>
      <c r="AI36" s="26">
        <f t="shared" si="15"/>
        <v>172759.64639696106</v>
      </c>
      <c r="AJ36" s="26">
        <f t="shared" si="15"/>
        <v>181647.78207817982</v>
      </c>
      <c r="AK36" s="26">
        <f t="shared" si="15"/>
        <v>191004.674192637</v>
      </c>
      <c r="AL36" s="26">
        <f t="shared" si="15"/>
        <v>200656.21959938476</v>
      </c>
      <c r="AM36" s="26">
        <f t="shared" si="15"/>
        <v>210610.58817454413</v>
      </c>
      <c r="AN36" s="26">
        <f t="shared" si="15"/>
        <v>220876.16558361996</v>
      </c>
      <c r="AO36" s="26">
        <f t="shared" si="15"/>
        <v>231461.55886302315</v>
      </c>
      <c r="AP36" s="26">
        <f t="shared" si="15"/>
        <v>242375.60214459905</v>
      </c>
      <c r="AQ36" s="26">
        <f t="shared" si="15"/>
        <v>253627.3625268102</v>
      </c>
      <c r="AR36" s="26">
        <f t="shared" si="15"/>
        <v>265226.14609631395</v>
      </c>
      <c r="AS36" s="26">
        <f t="shared" si="15"/>
        <v>277181.50410377112</v>
      </c>
      <c r="AT36" s="26">
        <f t="shared" si="15"/>
        <v>289503.23929781961</v>
      </c>
      <c r="AU36" s="26">
        <f t="shared" ref="AU36:AY36" si="16">AU35*AU34</f>
        <v>302201.41242124612</v>
      </c>
      <c r="AV36" s="26">
        <f t="shared" si="16"/>
        <v>315286.34887349332</v>
      </c>
      <c r="AW36" s="26">
        <f t="shared" si="16"/>
        <v>328768.64554374362</v>
      </c>
      <c r="AX36" s="26">
        <f t="shared" si="16"/>
        <v>342659.17781892949</v>
      </c>
      <c r="AY36" s="26">
        <f t="shared" si="16"/>
        <v>356969.10677113087</v>
      </c>
    </row>
    <row r="37" spans="1:51" x14ac:dyDescent="0.2">
      <c r="A37" s="2" t="s">
        <v>215</v>
      </c>
      <c r="B37" s="26">
        <f>B36*$B$27</f>
        <v>359.45381139489189</v>
      </c>
      <c r="C37" s="26">
        <f>C36*$B$27</f>
        <v>732.3547898740668</v>
      </c>
      <c r="D37" s="26">
        <f t="shared" ref="D37:AT37" si="17">D36*$B$27</f>
        <v>1134.3746141015054</v>
      </c>
      <c r="E37" s="26">
        <f t="shared" si="17"/>
        <v>1551.2106903307642</v>
      </c>
      <c r="F37" s="26">
        <f t="shared" si="17"/>
        <v>1983.2947106644276</v>
      </c>
      <c r="G37" s="26">
        <f t="shared" si="17"/>
        <v>2431.0699990350777</v>
      </c>
      <c r="H37" s="26">
        <f t="shared" si="17"/>
        <v>2911.6817650509506</v>
      </c>
      <c r="I37" s="26">
        <f t="shared" si="17"/>
        <v>3409.5319353693712</v>
      </c>
      <c r="J37" s="26">
        <f t="shared" si="17"/>
        <v>3925.1188505556042</v>
      </c>
      <c r="K37" s="26">
        <f t="shared" si="17"/>
        <v>4458.9542377612215</v>
      </c>
      <c r="L37" s="26">
        <f t="shared" si="17"/>
        <v>5029.7956804852356</v>
      </c>
      <c r="M37" s="26">
        <f t="shared" si="17"/>
        <v>5620.6326772553775</v>
      </c>
      <c r="N37" s="26">
        <f t="shared" si="17"/>
        <v>6232.0392007757973</v>
      </c>
      <c r="O37" s="26">
        <f t="shared" si="17"/>
        <v>6884.2852214072027</v>
      </c>
      <c r="P37" s="26">
        <f t="shared" si="17"/>
        <v>7559.0314922773287</v>
      </c>
      <c r="Q37" s="26">
        <f t="shared" si="17"/>
        <v>8256.9208648909953</v>
      </c>
      <c r="R37" s="26">
        <f t="shared" si="17"/>
        <v>8978.6133790515159</v>
      </c>
      <c r="S37" s="26">
        <f t="shared" si="17"/>
        <v>9724.7867098566549</v>
      </c>
      <c r="T37" s="26">
        <f t="shared" si="17"/>
        <v>10517.893750299103</v>
      </c>
      <c r="U37" s="26">
        <f t="shared" si="17"/>
        <v>11337.705643160929</v>
      </c>
      <c r="V37" s="26">
        <f t="shared" si="17"/>
        <v>12184.979582772377</v>
      </c>
      <c r="W37" s="26">
        <f t="shared" si="17"/>
        <v>13060.492947259976</v>
      </c>
      <c r="X37" s="26">
        <f t="shared" si="17"/>
        <v>13988.811330136828</v>
      </c>
      <c r="Y37" s="26">
        <f t="shared" si="17"/>
        <v>14947.87569820763</v>
      </c>
      <c r="Z37" s="26">
        <f t="shared" si="17"/>
        <v>15938.553195937171</v>
      </c>
      <c r="AA37" s="26">
        <f t="shared" si="17"/>
        <v>16961.734032598877</v>
      </c>
      <c r="AB37" s="26">
        <f t="shared" si="17"/>
        <v>18018.332080719592</v>
      </c>
      <c r="AC37" s="26">
        <f t="shared" si="17"/>
        <v>19109.285489879283</v>
      </c>
      <c r="AD37" s="26">
        <f t="shared" si="17"/>
        <v>20235.557316257586</v>
      </c>
      <c r="AE37" s="26">
        <f t="shared" si="17"/>
        <v>21398.136168329125</v>
      </c>
      <c r="AF37" s="26">
        <f t="shared" si="17"/>
        <v>22598.036869119791</v>
      </c>
      <c r="AG37" s="26">
        <f t="shared" si="17"/>
        <v>23836.301135446593</v>
      </c>
      <c r="AH37" s="26">
        <f t="shared" si="17"/>
        <v>25113.998274574536</v>
      </c>
      <c r="AI37" s="26">
        <f t="shared" si="17"/>
        <v>26432.225898735043</v>
      </c>
      <c r="AJ37" s="26">
        <f t="shared" si="17"/>
        <v>27792.110657961512</v>
      </c>
      <c r="AK37" s="26">
        <f t="shared" si="17"/>
        <v>29223.715151473461</v>
      </c>
      <c r="AL37" s="26">
        <f t="shared" si="17"/>
        <v>30700.401598705866</v>
      </c>
      <c r="AM37" s="26">
        <f t="shared" si="17"/>
        <v>32223.41999070525</v>
      </c>
      <c r="AN37" s="26">
        <f t="shared" si="17"/>
        <v>33794.053334293851</v>
      </c>
      <c r="AO37" s="26">
        <f t="shared" si="17"/>
        <v>35413.618506042541</v>
      </c>
      <c r="AP37" s="26">
        <f t="shared" si="17"/>
        <v>37083.467128123651</v>
      </c>
      <c r="AQ37" s="26">
        <f t="shared" si="17"/>
        <v>38804.986466601964</v>
      </c>
      <c r="AR37" s="26">
        <f t="shared" si="17"/>
        <v>40579.600352736037</v>
      </c>
      <c r="AS37" s="26">
        <f t="shared" si="17"/>
        <v>42408.770127876982</v>
      </c>
      <c r="AT37" s="26">
        <f t="shared" si="17"/>
        <v>44293.995612566403</v>
      </c>
      <c r="AU37" s="26">
        <f t="shared" ref="AU37:AY37" si="18">AU36*$B$27</f>
        <v>46236.816100450655</v>
      </c>
      <c r="AV37" s="26">
        <f t="shared" si="18"/>
        <v>48238.811377644473</v>
      </c>
      <c r="AW37" s="26">
        <f t="shared" si="18"/>
        <v>50301.602768192774</v>
      </c>
      <c r="AX37" s="26">
        <f t="shared" si="18"/>
        <v>52426.854206296208</v>
      </c>
      <c r="AY37" s="26">
        <f t="shared" si="18"/>
        <v>54616.273335983024</v>
      </c>
    </row>
    <row r="38" spans="1:51" s="18" customFormat="1" x14ac:dyDescent="0.2">
      <c r="A38" s="18" t="s">
        <v>248</v>
      </c>
      <c r="B38" s="27">
        <f>B34+(B36-B37)</f>
        <v>80302.294715127689</v>
      </c>
      <c r="C38" s="27">
        <f>C34+(C36-C37)</f>
        <v>163608.69827554832</v>
      </c>
      <c r="D38" s="27">
        <f t="shared" ref="D38:AS38" si="19">D34+(D36-D37)</f>
        <v>253420.27735203152</v>
      </c>
      <c r="E38" s="27">
        <f t="shared" si="19"/>
        <v>346541.82003748778</v>
      </c>
      <c r="F38" s="27">
        <f t="shared" si="19"/>
        <v>443069.76672383677</v>
      </c>
      <c r="G38" s="27">
        <f t="shared" si="19"/>
        <v>543103.15636395628</v>
      </c>
      <c r="H38" s="27">
        <f t="shared" si="19"/>
        <v>650472.24372568529</v>
      </c>
      <c r="I38" s="27">
        <f t="shared" si="19"/>
        <v>761692.40563117806</v>
      </c>
      <c r="J38" s="27">
        <f t="shared" si="19"/>
        <v>876874.9717969984</v>
      </c>
      <c r="K38" s="27">
        <f t="shared" si="19"/>
        <v>996134.26251475711</v>
      </c>
      <c r="L38" s="27">
        <f t="shared" si="19"/>
        <v>1123660.7382846114</v>
      </c>
      <c r="M38" s="27">
        <f t="shared" si="19"/>
        <v>1255654.2382536901</v>
      </c>
      <c r="N38" s="27">
        <f t="shared" si="19"/>
        <v>1392242.9884242942</v>
      </c>
      <c r="O38" s="27">
        <f t="shared" si="19"/>
        <v>1537955.3178394684</v>
      </c>
      <c r="P38" s="27">
        <f t="shared" si="19"/>
        <v>1688694.2227660341</v>
      </c>
      <c r="Q38" s="27">
        <f t="shared" si="19"/>
        <v>1844603.316790387</v>
      </c>
      <c r="R38" s="27">
        <f t="shared" si="19"/>
        <v>2005830.0533797853</v>
      </c>
      <c r="S38" s="27">
        <f t="shared" si="19"/>
        <v>2172525.825741637</v>
      </c>
      <c r="T38" s="27">
        <f t="shared" si="19"/>
        <v>2349706.6297372989</v>
      </c>
      <c r="U38" s="27">
        <f t="shared" si="19"/>
        <v>2532853.3210356534</v>
      </c>
      <c r="V38" s="27">
        <f t="shared" si="19"/>
        <v>2722135.0575099397</v>
      </c>
      <c r="W38" s="27">
        <f t="shared" si="19"/>
        <v>2917725.5061110789</v>
      </c>
      <c r="X38" s="27">
        <f t="shared" si="19"/>
        <v>3125112.6418378232</v>
      </c>
      <c r="Y38" s="27">
        <f t="shared" si="19"/>
        <v>3339368.457450781</v>
      </c>
      <c r="Z38" s="27">
        <f t="shared" si="19"/>
        <v>3560686.6737790708</v>
      </c>
      <c r="AA38" s="27">
        <f t="shared" si="19"/>
        <v>3789266.1643501557</v>
      </c>
      <c r="AB38" s="27">
        <f t="shared" si="19"/>
        <v>4025311.0890829363</v>
      </c>
      <c r="AC38" s="27">
        <f t="shared" si="19"/>
        <v>4269031.0314111365</v>
      </c>
      <c r="AD38" s="27">
        <f t="shared" si="19"/>
        <v>4520641.1389245512</v>
      </c>
      <c r="AE38" s="27">
        <f t="shared" si="19"/>
        <v>4780362.2676179456</v>
      </c>
      <c r="AF38" s="27">
        <f t="shared" si="19"/>
        <v>5048421.1298396792</v>
      </c>
      <c r="AG38" s="27">
        <f t="shared" si="19"/>
        <v>5325050.4460344855</v>
      </c>
      <c r="AH38" s="27">
        <f t="shared" si="19"/>
        <v>5610489.1003772281</v>
      </c>
      <c r="AI38" s="27">
        <f t="shared" si="19"/>
        <v>5904982.3003969286</v>
      </c>
      <c r="AJ38" s="27">
        <f t="shared" si="19"/>
        <v>6208781.7406928791</v>
      </c>
      <c r="AK38" s="27">
        <f t="shared" si="19"/>
        <v>6528603.4321290636</v>
      </c>
      <c r="AL38" s="27">
        <f t="shared" si="19"/>
        <v>6858496.4713135045</v>
      </c>
      <c r="AM38" s="27">
        <f t="shared" si="19"/>
        <v>7198740.1073353104</v>
      </c>
      <c r="AN38" s="27">
        <f t="shared" si="19"/>
        <v>7549620.9650366586</v>
      </c>
      <c r="AO38" s="27">
        <f t="shared" si="19"/>
        <v>7911433.2357910862</v>
      </c>
      <c r="AP38" s="27">
        <f t="shared" si="19"/>
        <v>8284478.8731697779</v>
      </c>
      <c r="AQ38" s="27">
        <f t="shared" si="19"/>
        <v>8669067.7936205491</v>
      </c>
      <c r="AR38" s="27">
        <f t="shared" si="19"/>
        <v>9065518.0822873767</v>
      </c>
      <c r="AS38" s="27">
        <f t="shared" si="19"/>
        <v>9474156.2041015998</v>
      </c>
      <c r="AT38" s="27">
        <f>AT34+(AT36-AT37)</f>
        <v>9895317.220279241</v>
      </c>
      <c r="AU38" s="27">
        <f t="shared" ref="AU38:AY38" si="20">AU34+(AU36-AU37)</f>
        <v>10329345.010362333</v>
      </c>
      <c r="AV38" s="27">
        <f t="shared" si="20"/>
        <v>10776592.499945628</v>
      </c>
      <c r="AW38" s="27">
        <f t="shared" si="20"/>
        <v>11237421.894233672</v>
      </c>
      <c r="AX38" s="27">
        <f t="shared" si="20"/>
        <v>11712204.91757695</v>
      </c>
      <c r="AY38" s="27">
        <f t="shared" si="20"/>
        <v>12201323.059139511</v>
      </c>
    </row>
    <row r="40" spans="1:51" x14ac:dyDescent="0.2">
      <c r="A40" s="2" t="s">
        <v>250</v>
      </c>
      <c r="B40" s="26">
        <f>AT38</f>
        <v>9895317.220279241</v>
      </c>
    </row>
    <row r="42" spans="1:51" x14ac:dyDescent="0.2">
      <c r="A42" s="2" t="s">
        <v>251</v>
      </c>
      <c r="B42" s="54" t="s">
        <v>252</v>
      </c>
    </row>
    <row r="43" spans="1:51" x14ac:dyDescent="0.2">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
      <c r="A49" s="2" t="s">
        <v>268</v>
      </c>
    </row>
    <row r="50" spans="1:51" x14ac:dyDescent="0.2">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baseColWidth="10" defaultColWidth="9.1640625" defaultRowHeight="15" x14ac:dyDescent="0.2"/>
  <cols>
    <col min="1" max="1" width="30" style="2" bestFit="1" customWidth="1"/>
    <col min="2" max="2" width="25.6640625" style="2" customWidth="1"/>
    <col min="3" max="3" width="19.33203125" style="2" customWidth="1"/>
    <col min="4" max="11" width="12.6640625" style="2" bestFit="1" customWidth="1"/>
    <col min="12" max="46" width="14.5" style="2" bestFit="1" customWidth="1"/>
    <col min="47" max="47" width="9.1640625" style="2"/>
    <col min="48" max="48" width="11.6640625" style="2" bestFit="1" customWidth="1"/>
    <col min="49" max="49" width="13.33203125" style="2" bestFit="1" customWidth="1"/>
    <col min="50" max="51" width="13.83203125" style="2" bestFit="1" customWidth="1"/>
    <col min="52" max="16384" width="9.1640625" style="2"/>
  </cols>
  <sheetData>
    <row r="1" spans="1:51" x14ac:dyDescent="0.2">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
      <c r="A2" s="2" t="s">
        <v>176</v>
      </c>
      <c r="B2" s="28" cm="1">
        <f t="array" ref="B2:P2">TRANSPOSE('Income - P2 Helper'!N3:N17)</f>
        <v>51317.830090581258</v>
      </c>
      <c r="C2" s="28">
        <v>51933.644051668234</v>
      </c>
      <c r="D2" s="28">
        <v>52556.847780288255</v>
      </c>
      <c r="E2" s="28">
        <v>55548.566211923302</v>
      </c>
      <c r="F2" s="28">
        <v>56215.149006466381</v>
      </c>
      <c r="G2" s="28">
        <v>56889.730794543975</v>
      </c>
      <c r="H2" s="28">
        <v>57572.407564078501</v>
      </c>
      <c r="I2" s="28">
        <v>60849.629089674985</v>
      </c>
      <c r="J2" s="28">
        <v>61579.824638751088</v>
      </c>
      <c r="K2" s="28">
        <v>62318.782534416103</v>
      </c>
      <c r="L2" s="28">
        <v>63066.607924829099</v>
      </c>
      <c r="M2" s="28">
        <v>66656.578429494271</v>
      </c>
      <c r="N2" s="28">
        <v>67456.457370648204</v>
      </c>
      <c r="O2" s="28">
        <v>68265.934859095985</v>
      </c>
      <c r="P2" s="28">
        <v>72151.869122591772</v>
      </c>
      <c r="Q2" s="28" cm="1">
        <f t="array" ref="Q2:AY2">TRANSPOSE(Income!P3:P37)</f>
        <v>73017.691552062868</v>
      </c>
      <c r="R2" s="28">
        <v>73893.903850687624</v>
      </c>
      <c r="S2" s="28">
        <v>77884.174658624761</v>
      </c>
      <c r="T2" s="28">
        <v>78818.784754528257</v>
      </c>
      <c r="U2" s="28">
        <v>79764.610171582593</v>
      </c>
      <c r="V2" s="28">
        <v>80721.785493641582</v>
      </c>
      <c r="W2" s="28">
        <v>85080.761910298228</v>
      </c>
      <c r="X2" s="28">
        <v>86101.731053221811</v>
      </c>
      <c r="Y2" s="28">
        <v>87134.95182586048</v>
      </c>
      <c r="Z2" s="28">
        <v>88180.5712477708</v>
      </c>
      <c r="AA2" s="28">
        <v>92942.322095150434</v>
      </c>
      <c r="AB2" s="28">
        <v>94057.629960292237</v>
      </c>
      <c r="AC2" s="28">
        <v>95186.321519815741</v>
      </c>
      <c r="AD2" s="28">
        <v>100326.3828818858</v>
      </c>
      <c r="AE2" s="28">
        <v>101530.29947646843</v>
      </c>
      <c r="AF2" s="28">
        <v>102748.66307018604</v>
      </c>
      <c r="AG2" s="28">
        <v>103981.64702702827</v>
      </c>
      <c r="AH2" s="28">
        <v>105229.42679135261</v>
      </c>
      <c r="AI2" s="28">
        <v>110911.81583808566</v>
      </c>
      <c r="AJ2" s="28">
        <v>112242.75762814269</v>
      </c>
      <c r="AK2" s="28">
        <v>113589.67071968041</v>
      </c>
      <c r="AL2" s="28">
        <v>114952.74676831657</v>
      </c>
      <c r="AM2" s="28">
        <v>121160.19509380567</v>
      </c>
      <c r="AN2" s="28">
        <v>122614.11743493134</v>
      </c>
      <c r="AO2" s="28">
        <v>124085.48684415051</v>
      </c>
      <c r="AP2" s="28">
        <v>125574.51268628032</v>
      </c>
      <c r="AQ2" s="28">
        <v>127081.40683851569</v>
      </c>
      <c r="AR2" s="28">
        <v>128606.38372057787</v>
      </c>
      <c r="AS2" s="28">
        <v>130149.6603252248</v>
      </c>
      <c r="AT2" s="28">
        <v>131711.45624912751</v>
      </c>
      <c r="AU2" s="2">
        <v>133291.99372411706</v>
      </c>
      <c r="AV2" s="2">
        <v>134891.49764880646</v>
      </c>
      <c r="AW2" s="2">
        <v>136510.19562059213</v>
      </c>
      <c r="AX2" s="2">
        <v>138148.31796803925</v>
      </c>
      <c r="AY2" s="2">
        <v>139806.09778365571</v>
      </c>
    </row>
    <row r="3" spans="1:51" x14ac:dyDescent="0.2">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
      <c r="A4" s="2" t="s">
        <v>177</v>
      </c>
      <c r="B4" s="28">
        <f>B3*B2</f>
        <v>2565.8915045290632</v>
      </c>
      <c r="C4" s="28">
        <f t="shared" ref="C4:AY4" si="0">C3*C2</f>
        <v>2596.6822025834117</v>
      </c>
      <c r="D4" s="28">
        <f t="shared" si="0"/>
        <v>2627.8423890144131</v>
      </c>
      <c r="E4" s="28">
        <f t="shared" si="0"/>
        <v>2777.4283105961654</v>
      </c>
      <c r="F4" s="28">
        <f t="shared" si="0"/>
        <v>2810.7574503233191</v>
      </c>
      <c r="G4" s="28">
        <f t="shared" si="0"/>
        <v>2844.4865397271988</v>
      </c>
      <c r="H4" s="28">
        <f t="shared" si="0"/>
        <v>2878.6203782039252</v>
      </c>
      <c r="I4" s="28">
        <f t="shared" si="0"/>
        <v>3042.4814544837495</v>
      </c>
      <c r="J4" s="28">
        <f t="shared" si="0"/>
        <v>3078.9912319375544</v>
      </c>
      <c r="K4" s="28">
        <f t="shared" si="0"/>
        <v>3115.9391267208052</v>
      </c>
      <c r="L4" s="28">
        <f t="shared" si="0"/>
        <v>3153.3303962414552</v>
      </c>
      <c r="M4" s="28">
        <f t="shared" si="0"/>
        <v>3332.8289214747138</v>
      </c>
      <c r="N4" s="28">
        <f t="shared" si="0"/>
        <v>3372.8228685324102</v>
      </c>
      <c r="O4" s="28">
        <f t="shared" si="0"/>
        <v>3413.2967429547994</v>
      </c>
      <c r="P4" s="28">
        <f t="shared" si="0"/>
        <v>3607.593456129589</v>
      </c>
      <c r="Q4" s="28">
        <f t="shared" si="0"/>
        <v>3650.8845776031435</v>
      </c>
      <c r="R4" s="28">
        <f t="shared" si="0"/>
        <v>3694.6951925343815</v>
      </c>
      <c r="S4" s="28">
        <f t="shared" si="0"/>
        <v>3894.208732931238</v>
      </c>
      <c r="T4" s="28">
        <f t="shared" si="0"/>
        <v>3940.939237726413</v>
      </c>
      <c r="U4" s="28">
        <f t="shared" si="0"/>
        <v>3988.2305085791299</v>
      </c>
      <c r="V4" s="28">
        <f t="shared" si="0"/>
        <v>4036.0892746820791</v>
      </c>
      <c r="W4" s="28">
        <f t="shared" si="0"/>
        <v>4254.0380955149112</v>
      </c>
      <c r="X4" s="28">
        <f t="shared" si="0"/>
        <v>4305.0865526610905</v>
      </c>
      <c r="Y4" s="28">
        <f t="shared" si="0"/>
        <v>4356.747591293024</v>
      </c>
      <c r="Z4" s="28">
        <f t="shared" si="0"/>
        <v>4409.0285623885402</v>
      </c>
      <c r="AA4" s="28">
        <f t="shared" si="0"/>
        <v>4647.1161047575215</v>
      </c>
      <c r="AB4" s="28">
        <f t="shared" si="0"/>
        <v>4702.8814980146117</v>
      </c>
      <c r="AC4" s="28">
        <f t="shared" si="0"/>
        <v>4759.3160759907869</v>
      </c>
      <c r="AD4" s="28">
        <f t="shared" si="0"/>
        <v>5016.3191440942901</v>
      </c>
      <c r="AE4" s="28">
        <f t="shared" si="0"/>
        <v>5076.5149738234213</v>
      </c>
      <c r="AF4" s="28">
        <f t="shared" si="0"/>
        <v>5137.4331535093024</v>
      </c>
      <c r="AG4" s="28">
        <f t="shared" si="0"/>
        <v>5199.0823513514142</v>
      </c>
      <c r="AH4" s="28">
        <f t="shared" si="0"/>
        <v>5261.4713395676308</v>
      </c>
      <c r="AI4" s="28">
        <f t="shared" si="0"/>
        <v>5545.5907919042838</v>
      </c>
      <c r="AJ4" s="28">
        <f t="shared" si="0"/>
        <v>5612.137881407135</v>
      </c>
      <c r="AK4" s="28">
        <f t="shared" si="0"/>
        <v>5679.4835359840208</v>
      </c>
      <c r="AL4" s="28">
        <f t="shared" si="0"/>
        <v>5747.6373384158287</v>
      </c>
      <c r="AM4" s="28">
        <f t="shared" si="0"/>
        <v>6058.0097546902834</v>
      </c>
      <c r="AN4" s="28">
        <f t="shared" si="0"/>
        <v>6130.705871746567</v>
      </c>
      <c r="AO4" s="28">
        <f t="shared" si="0"/>
        <v>6204.2743422075255</v>
      </c>
      <c r="AP4" s="28">
        <f t="shared" si="0"/>
        <v>6278.7256343140161</v>
      </c>
      <c r="AQ4" s="28">
        <f t="shared" si="0"/>
        <v>6354.0703419257843</v>
      </c>
      <c r="AR4" s="28">
        <f t="shared" si="0"/>
        <v>6430.3191860288935</v>
      </c>
      <c r="AS4" s="28">
        <f t="shared" si="0"/>
        <v>6507.4830162612407</v>
      </c>
      <c r="AT4" s="28">
        <f t="shared" si="0"/>
        <v>6585.5728124563757</v>
      </c>
      <c r="AU4" s="28">
        <f t="shared" si="0"/>
        <v>6664.5996862058528</v>
      </c>
      <c r="AV4" s="28">
        <f t="shared" si="0"/>
        <v>6744.5748824403236</v>
      </c>
      <c r="AW4" s="28">
        <f t="shared" si="0"/>
        <v>6825.5097810296065</v>
      </c>
      <c r="AX4" s="28">
        <f t="shared" si="0"/>
        <v>6907.4158984019632</v>
      </c>
      <c r="AY4" s="28">
        <f t="shared" si="0"/>
        <v>6990.3048891827857</v>
      </c>
    </row>
    <row r="5" spans="1:51" x14ac:dyDescent="0.2">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
      <c r="A6" s="2" t="s">
        <v>179</v>
      </c>
      <c r="B6" s="28">
        <f>B2*B5</f>
        <v>5131.7830090581265</v>
      </c>
      <c r="C6" s="28">
        <f t="shared" ref="C6:AY6" si="1">C4*2</f>
        <v>5193.3644051668234</v>
      </c>
      <c r="D6" s="28">
        <f t="shared" si="1"/>
        <v>5255.6847780288263</v>
      </c>
      <c r="E6" s="28">
        <f t="shared" si="1"/>
        <v>5554.8566211923307</v>
      </c>
      <c r="F6" s="28">
        <f t="shared" si="1"/>
        <v>5621.5149006466381</v>
      </c>
      <c r="G6" s="28">
        <f t="shared" si="1"/>
        <v>5688.9730794543975</v>
      </c>
      <c r="H6" s="28">
        <f t="shared" si="1"/>
        <v>5757.2407564078503</v>
      </c>
      <c r="I6" s="28">
        <f t="shared" si="1"/>
        <v>6084.9629089674991</v>
      </c>
      <c r="J6" s="28">
        <f t="shared" si="1"/>
        <v>6157.9824638751088</v>
      </c>
      <c r="K6" s="28">
        <f t="shared" si="1"/>
        <v>6231.8782534416105</v>
      </c>
      <c r="L6" s="28">
        <f t="shared" si="1"/>
        <v>6306.6607924829104</v>
      </c>
      <c r="M6" s="28">
        <f t="shared" si="1"/>
        <v>6665.6578429494275</v>
      </c>
      <c r="N6" s="28">
        <f t="shared" si="1"/>
        <v>6745.6457370648204</v>
      </c>
      <c r="O6" s="28">
        <f t="shared" si="1"/>
        <v>6826.5934859095987</v>
      </c>
      <c r="P6" s="28">
        <f t="shared" si="1"/>
        <v>7215.1869122591779</v>
      </c>
      <c r="Q6" s="28">
        <f t="shared" si="1"/>
        <v>7301.769155206287</v>
      </c>
      <c r="R6" s="28">
        <f t="shared" si="1"/>
        <v>7389.390385068763</v>
      </c>
      <c r="S6" s="28">
        <f t="shared" si="1"/>
        <v>7788.4174658624761</v>
      </c>
      <c r="T6" s="28">
        <f t="shared" si="1"/>
        <v>7881.878475452826</v>
      </c>
      <c r="U6" s="28">
        <f t="shared" si="1"/>
        <v>7976.4610171582599</v>
      </c>
      <c r="V6" s="28">
        <f t="shared" si="1"/>
        <v>8072.1785493641582</v>
      </c>
      <c r="W6" s="28">
        <f t="shared" si="1"/>
        <v>8508.0761910298224</v>
      </c>
      <c r="X6" s="28">
        <f t="shared" si="1"/>
        <v>8610.1731053221811</v>
      </c>
      <c r="Y6" s="28">
        <f t="shared" si="1"/>
        <v>8713.495182586048</v>
      </c>
      <c r="Z6" s="28">
        <f t="shared" si="1"/>
        <v>8818.0571247770804</v>
      </c>
      <c r="AA6" s="28">
        <f t="shared" si="1"/>
        <v>9294.232209515043</v>
      </c>
      <c r="AB6" s="28">
        <f t="shared" si="1"/>
        <v>9405.7629960292234</v>
      </c>
      <c r="AC6" s="28">
        <f t="shared" si="1"/>
        <v>9518.6321519815738</v>
      </c>
      <c r="AD6" s="28">
        <f t="shared" si="1"/>
        <v>10032.63828818858</v>
      </c>
      <c r="AE6" s="28">
        <f t="shared" si="1"/>
        <v>10153.029947646843</v>
      </c>
      <c r="AF6" s="28">
        <f t="shared" si="1"/>
        <v>10274.866307018605</v>
      </c>
      <c r="AG6" s="28">
        <f t="shared" si="1"/>
        <v>10398.164702702828</v>
      </c>
      <c r="AH6" s="28">
        <f t="shared" si="1"/>
        <v>10522.942679135262</v>
      </c>
      <c r="AI6" s="28">
        <f t="shared" si="1"/>
        <v>11091.181583808568</v>
      </c>
      <c r="AJ6" s="28">
        <f t="shared" si="1"/>
        <v>11224.27576281427</v>
      </c>
      <c r="AK6" s="28">
        <f t="shared" si="1"/>
        <v>11358.967071968042</v>
      </c>
      <c r="AL6" s="28">
        <f t="shared" si="1"/>
        <v>11495.274676831657</v>
      </c>
      <c r="AM6" s="28">
        <f t="shared" si="1"/>
        <v>12116.019509380567</v>
      </c>
      <c r="AN6" s="28">
        <f t="shared" si="1"/>
        <v>12261.411743493134</v>
      </c>
      <c r="AO6" s="28">
        <f t="shared" si="1"/>
        <v>12408.548684415051</v>
      </c>
      <c r="AP6" s="28">
        <f t="shared" si="1"/>
        <v>12557.451268628032</v>
      </c>
      <c r="AQ6" s="28">
        <f t="shared" si="1"/>
        <v>12708.140683851569</v>
      </c>
      <c r="AR6" s="28">
        <f t="shared" si="1"/>
        <v>12860.638372057787</v>
      </c>
      <c r="AS6" s="28">
        <f t="shared" si="1"/>
        <v>13014.966032522481</v>
      </c>
      <c r="AT6" s="28">
        <f t="shared" si="1"/>
        <v>13171.145624912751</v>
      </c>
      <c r="AU6" s="28">
        <f t="shared" si="1"/>
        <v>13329.199372411706</v>
      </c>
      <c r="AV6" s="28">
        <f t="shared" si="1"/>
        <v>13489.149764880647</v>
      </c>
      <c r="AW6" s="28">
        <f t="shared" si="1"/>
        <v>13651.019562059213</v>
      </c>
      <c r="AX6" s="28">
        <f t="shared" si="1"/>
        <v>13814.831796803926</v>
      </c>
      <c r="AY6" s="28">
        <f t="shared" si="1"/>
        <v>13980.609778365571</v>
      </c>
    </row>
    <row r="7" spans="1:51" x14ac:dyDescent="0.2">
      <c r="A7" s="2" t="s">
        <v>180</v>
      </c>
      <c r="B7" s="29">
        <f>SUM(B6,B4)</f>
        <v>7697.6745135871897</v>
      </c>
      <c r="C7" s="29">
        <f t="shared" ref="C7:AY7" si="2">SUM(C6,C4)</f>
        <v>7790.0466077502351</v>
      </c>
      <c r="D7" s="29">
        <f t="shared" si="2"/>
        <v>7883.5271670432394</v>
      </c>
      <c r="E7" s="29">
        <f t="shared" si="2"/>
        <v>8332.2849317884957</v>
      </c>
      <c r="F7" s="29">
        <f t="shared" si="2"/>
        <v>8432.2723509699572</v>
      </c>
      <c r="G7" s="29">
        <f t="shared" si="2"/>
        <v>8533.4596191815963</v>
      </c>
      <c r="H7" s="29">
        <f t="shared" si="2"/>
        <v>8635.8611346117759</v>
      </c>
      <c r="I7" s="29">
        <f t="shared" si="2"/>
        <v>9127.4443634512481</v>
      </c>
      <c r="J7" s="29">
        <f t="shared" si="2"/>
        <v>9236.9736958126632</v>
      </c>
      <c r="K7" s="29">
        <f t="shared" si="2"/>
        <v>9347.8173801624162</v>
      </c>
      <c r="L7" s="29">
        <f t="shared" si="2"/>
        <v>9459.9911887243652</v>
      </c>
      <c r="M7" s="29">
        <f t="shared" si="2"/>
        <v>9998.4867644241422</v>
      </c>
      <c r="N7" s="29">
        <f t="shared" si="2"/>
        <v>10118.468605597231</v>
      </c>
      <c r="O7" s="29">
        <f t="shared" si="2"/>
        <v>10239.890228864399</v>
      </c>
      <c r="P7" s="29">
        <f t="shared" si="2"/>
        <v>10822.780368388767</v>
      </c>
      <c r="Q7" s="29">
        <f t="shared" si="2"/>
        <v>10952.653732809431</v>
      </c>
      <c r="R7" s="29">
        <f t="shared" si="2"/>
        <v>11084.085577603144</v>
      </c>
      <c r="S7" s="29">
        <f t="shared" si="2"/>
        <v>11682.626198793714</v>
      </c>
      <c r="T7" s="29">
        <f t="shared" si="2"/>
        <v>11822.81771317924</v>
      </c>
      <c r="U7" s="29">
        <f t="shared" si="2"/>
        <v>11964.691525737389</v>
      </c>
      <c r="V7" s="29">
        <f t="shared" si="2"/>
        <v>12108.267824046237</v>
      </c>
      <c r="W7" s="29">
        <f t="shared" si="2"/>
        <v>12762.114286544733</v>
      </c>
      <c r="X7" s="29">
        <f t="shared" si="2"/>
        <v>12915.259657983272</v>
      </c>
      <c r="Y7" s="29">
        <f t="shared" si="2"/>
        <v>13070.242773879072</v>
      </c>
      <c r="Z7" s="29">
        <f t="shared" si="2"/>
        <v>13227.085687165621</v>
      </c>
      <c r="AA7" s="29">
        <f t="shared" si="2"/>
        <v>13941.348314272564</v>
      </c>
      <c r="AB7" s="29">
        <f t="shared" si="2"/>
        <v>14108.644494043834</v>
      </c>
      <c r="AC7" s="29">
        <f t="shared" si="2"/>
        <v>14277.94822797236</v>
      </c>
      <c r="AD7" s="29">
        <f t="shared" si="2"/>
        <v>15048.95743228287</v>
      </c>
      <c r="AE7" s="29">
        <f t="shared" si="2"/>
        <v>15229.544921470264</v>
      </c>
      <c r="AF7" s="29">
        <f t="shared" si="2"/>
        <v>15412.299460527907</v>
      </c>
      <c r="AG7" s="29">
        <f t="shared" si="2"/>
        <v>15597.247054054242</v>
      </c>
      <c r="AH7" s="29">
        <f t="shared" si="2"/>
        <v>15784.414018702893</v>
      </c>
      <c r="AI7" s="29">
        <f t="shared" si="2"/>
        <v>16636.772375712851</v>
      </c>
      <c r="AJ7" s="29">
        <f t="shared" si="2"/>
        <v>16836.413644221404</v>
      </c>
      <c r="AK7" s="29">
        <f t="shared" si="2"/>
        <v>17038.450607952062</v>
      </c>
      <c r="AL7" s="29">
        <f t="shared" si="2"/>
        <v>17242.912015247486</v>
      </c>
      <c r="AM7" s="29">
        <f t="shared" si="2"/>
        <v>18174.02926407085</v>
      </c>
      <c r="AN7" s="29">
        <f t="shared" si="2"/>
        <v>18392.117615239702</v>
      </c>
      <c r="AO7" s="29">
        <f t="shared" si="2"/>
        <v>18612.823026622576</v>
      </c>
      <c r="AP7" s="29">
        <f t="shared" si="2"/>
        <v>18836.176902942047</v>
      </c>
      <c r="AQ7" s="29">
        <f t="shared" si="2"/>
        <v>19062.211025777353</v>
      </c>
      <c r="AR7" s="29">
        <f t="shared" si="2"/>
        <v>19290.95755808668</v>
      </c>
      <c r="AS7" s="29">
        <f t="shared" si="2"/>
        <v>19522.449048783721</v>
      </c>
      <c r="AT7" s="29">
        <f t="shared" si="2"/>
        <v>19756.718437369127</v>
      </c>
      <c r="AU7" s="29">
        <f t="shared" si="2"/>
        <v>19993.799058617558</v>
      </c>
      <c r="AV7" s="29">
        <f t="shared" si="2"/>
        <v>20233.724647320971</v>
      </c>
      <c r="AW7" s="29">
        <f t="shared" si="2"/>
        <v>20476.52934308882</v>
      </c>
      <c r="AX7" s="29">
        <f t="shared" si="2"/>
        <v>20722.24769520589</v>
      </c>
      <c r="AY7" s="29">
        <f t="shared" si="2"/>
        <v>20970.914667548357</v>
      </c>
    </row>
    <row r="8" spans="1:51" x14ac:dyDescent="0.2">
      <c r="A8" s="2" t="s">
        <v>181</v>
      </c>
      <c r="B8" s="28">
        <f>B7*12</f>
        <v>92372.094163046277</v>
      </c>
      <c r="C8" s="28">
        <f t="shared" ref="C8:AY8" si="3">C7*12</f>
        <v>93480.559293002822</v>
      </c>
      <c r="D8" s="28">
        <f t="shared" si="3"/>
        <v>94602.326004518865</v>
      </c>
      <c r="E8" s="28">
        <f t="shared" si="3"/>
        <v>99987.419181461941</v>
      </c>
      <c r="F8" s="28">
        <f t="shared" si="3"/>
        <v>101187.26821163949</v>
      </c>
      <c r="G8" s="28">
        <f t="shared" si="3"/>
        <v>102401.51543017916</v>
      </c>
      <c r="H8" s="28">
        <f t="shared" si="3"/>
        <v>103630.33361534131</v>
      </c>
      <c r="I8" s="28">
        <f t="shared" si="3"/>
        <v>109529.33236141497</v>
      </c>
      <c r="J8" s="28">
        <f t="shared" si="3"/>
        <v>110843.68434975196</v>
      </c>
      <c r="K8" s="28">
        <f t="shared" si="3"/>
        <v>112173.808561949</v>
      </c>
      <c r="L8" s="28">
        <f t="shared" si="3"/>
        <v>113519.89426469238</v>
      </c>
      <c r="M8" s="28">
        <f t="shared" si="3"/>
        <v>119981.84117308971</v>
      </c>
      <c r="N8" s="28">
        <f t="shared" si="3"/>
        <v>121421.62326716677</v>
      </c>
      <c r="O8" s="28">
        <f t="shared" si="3"/>
        <v>122878.68274637278</v>
      </c>
      <c r="P8" s="28">
        <f t="shared" si="3"/>
        <v>129873.3644206652</v>
      </c>
      <c r="Q8" s="28">
        <f t="shared" si="3"/>
        <v>131431.84479371319</v>
      </c>
      <c r="R8" s="28">
        <f t="shared" si="3"/>
        <v>133009.02693123772</v>
      </c>
      <c r="S8" s="28">
        <f t="shared" si="3"/>
        <v>140191.51438552456</v>
      </c>
      <c r="T8" s="28">
        <f t="shared" si="3"/>
        <v>141873.81255815088</v>
      </c>
      <c r="U8" s="28">
        <f t="shared" si="3"/>
        <v>143576.29830884867</v>
      </c>
      <c r="V8" s="28">
        <f t="shared" si="3"/>
        <v>145299.21388855483</v>
      </c>
      <c r="W8" s="28">
        <f t="shared" si="3"/>
        <v>153145.37143853679</v>
      </c>
      <c r="X8" s="28">
        <f t="shared" si="3"/>
        <v>154983.11589579924</v>
      </c>
      <c r="Y8" s="28">
        <f t="shared" si="3"/>
        <v>156842.91328654886</v>
      </c>
      <c r="Z8" s="28">
        <f t="shared" si="3"/>
        <v>158725.02824598746</v>
      </c>
      <c r="AA8" s="28">
        <f t="shared" si="3"/>
        <v>167296.17977127078</v>
      </c>
      <c r="AB8" s="28">
        <f t="shared" si="3"/>
        <v>169303.73392852599</v>
      </c>
      <c r="AC8" s="28">
        <f t="shared" si="3"/>
        <v>171335.37873566832</v>
      </c>
      <c r="AD8" s="28">
        <f t="shared" si="3"/>
        <v>180587.48918739444</v>
      </c>
      <c r="AE8" s="28">
        <f t="shared" si="3"/>
        <v>182754.53905764315</v>
      </c>
      <c r="AF8" s="28">
        <f t="shared" si="3"/>
        <v>184947.59352633488</v>
      </c>
      <c r="AG8" s="28">
        <f t="shared" si="3"/>
        <v>187166.9646486509</v>
      </c>
      <c r="AH8" s="28">
        <f t="shared" si="3"/>
        <v>189412.96822443471</v>
      </c>
      <c r="AI8" s="28">
        <f t="shared" si="3"/>
        <v>199641.2685085542</v>
      </c>
      <c r="AJ8" s="28">
        <f t="shared" si="3"/>
        <v>202036.96373065683</v>
      </c>
      <c r="AK8" s="28">
        <f t="shared" si="3"/>
        <v>204461.40729542472</v>
      </c>
      <c r="AL8" s="28">
        <f t="shared" si="3"/>
        <v>206914.94418296983</v>
      </c>
      <c r="AM8" s="28">
        <f t="shared" si="3"/>
        <v>218088.3511688502</v>
      </c>
      <c r="AN8" s="28">
        <f t="shared" si="3"/>
        <v>220705.41138287642</v>
      </c>
      <c r="AO8" s="28">
        <f t="shared" si="3"/>
        <v>223353.87631947093</v>
      </c>
      <c r="AP8" s="28">
        <f t="shared" si="3"/>
        <v>226034.12283530456</v>
      </c>
      <c r="AQ8" s="28">
        <f t="shared" si="3"/>
        <v>228746.53230932823</v>
      </c>
      <c r="AR8" s="28">
        <f t="shared" si="3"/>
        <v>231491.49069704016</v>
      </c>
      <c r="AS8" s="28">
        <f t="shared" si="3"/>
        <v>234269.38858540467</v>
      </c>
      <c r="AT8" s="28">
        <f t="shared" si="3"/>
        <v>237080.62124842952</v>
      </c>
      <c r="AU8" s="28">
        <f t="shared" si="3"/>
        <v>239925.5887034107</v>
      </c>
      <c r="AV8" s="28">
        <f t="shared" si="3"/>
        <v>242804.69576785166</v>
      </c>
      <c r="AW8" s="28">
        <f t="shared" si="3"/>
        <v>245718.35211706584</v>
      </c>
      <c r="AX8" s="28">
        <f t="shared" si="3"/>
        <v>248666.97234247066</v>
      </c>
      <c r="AY8" s="28">
        <f t="shared" si="3"/>
        <v>251650.97601058029</v>
      </c>
    </row>
    <row r="11" spans="1:51" x14ac:dyDescent="0.2">
      <c r="A11" s="2" t="s">
        <v>270</v>
      </c>
      <c r="B11" s="26">
        <f>AY54</f>
        <v>950809.37059021078</v>
      </c>
    </row>
    <row r="12" spans="1:51" x14ac:dyDescent="0.2">
      <c r="A12" s="2" t="s">
        <v>271</v>
      </c>
      <c r="B12" s="26">
        <f>B11/25</f>
        <v>38032.374823608428</v>
      </c>
    </row>
    <row r="13" spans="1:51" x14ac:dyDescent="0.2">
      <c r="A13" s="2" t="s">
        <v>183</v>
      </c>
      <c r="B13" s="26">
        <f>B12/12</f>
        <v>3169.3645686340355</v>
      </c>
    </row>
    <row r="14" spans="1:51" x14ac:dyDescent="0.2">
      <c r="A14" s="2" t="s">
        <v>272</v>
      </c>
      <c r="B14" s="2" t="s">
        <v>273</v>
      </c>
    </row>
    <row r="16" spans="1:51" x14ac:dyDescent="0.2">
      <c r="A16" s="2" t="s">
        <v>261</v>
      </c>
      <c r="B16" s="28">
        <f>AY38</f>
        <v>15184216.020704115</v>
      </c>
    </row>
    <row r="17" spans="1:4" x14ac:dyDescent="0.2">
      <c r="A17" s="2" t="s">
        <v>184</v>
      </c>
      <c r="B17" s="28">
        <f>B16/25</f>
        <v>607368.64082816464</v>
      </c>
      <c r="C17" s="2" t="s">
        <v>182</v>
      </c>
    </row>
    <row r="18" spans="1:4" x14ac:dyDescent="0.2">
      <c r="A18" s="2" t="s">
        <v>183</v>
      </c>
      <c r="B18" s="30">
        <f>B17/12</f>
        <v>50614.053402347054</v>
      </c>
      <c r="C18" s="2" t="s">
        <v>185</v>
      </c>
    </row>
    <row r="19" spans="1:4" x14ac:dyDescent="0.2">
      <c r="A19" s="2" t="s">
        <v>198</v>
      </c>
      <c r="B19" s="2" t="s">
        <v>199</v>
      </c>
      <c r="C19" s="2" t="s">
        <v>200</v>
      </c>
    </row>
    <row r="21" spans="1:4" x14ac:dyDescent="0.2">
      <c r="C21" s="16" t="s">
        <v>243</v>
      </c>
      <c r="D21" s="16" t="s">
        <v>262</v>
      </c>
    </row>
    <row r="22" spans="1:4" x14ac:dyDescent="0.2">
      <c r="A22" s="2" t="s">
        <v>197</v>
      </c>
      <c r="B22" s="30">
        <f>C22</f>
        <v>7198</v>
      </c>
      <c r="C22" s="56">
        <v>7198</v>
      </c>
      <c r="D22" s="2">
        <f>8329*(1-30.9%)</f>
        <v>5755.3390000000009</v>
      </c>
    </row>
    <row r="23" spans="1:4" x14ac:dyDescent="0.2">
      <c r="A23" s="2" t="s">
        <v>201</v>
      </c>
      <c r="B23" s="28">
        <f>B22*12</f>
        <v>86376</v>
      </c>
    </row>
    <row r="24" spans="1:4" x14ac:dyDescent="0.2">
      <c r="A24" s="2" t="s">
        <v>198</v>
      </c>
      <c r="B24" s="2" t="s">
        <v>199</v>
      </c>
    </row>
    <row r="25" spans="1:4" x14ac:dyDescent="0.2">
      <c r="A25" s="2" t="s">
        <v>62</v>
      </c>
      <c r="B25" s="17">
        <f>'Salary Variables'!C2</f>
        <v>1.8000000000000002E-2</v>
      </c>
    </row>
    <row r="26" spans="1:4" x14ac:dyDescent="0.2">
      <c r="A26" s="2" t="s">
        <v>244</v>
      </c>
      <c r="B26" s="17">
        <v>0.03</v>
      </c>
    </row>
    <row r="27" spans="1:4" x14ac:dyDescent="0.2">
      <c r="A27" s="2" t="s">
        <v>246</v>
      </c>
      <c r="B27" s="25">
        <v>0.153</v>
      </c>
    </row>
    <row r="29" spans="1:4" x14ac:dyDescent="0.2">
      <c r="A29" s="2" t="s">
        <v>251</v>
      </c>
      <c r="B29" s="26">
        <f>AY47</f>
        <v>360498.361359948</v>
      </c>
    </row>
    <row r="30" spans="1:4" x14ac:dyDescent="0.2">
      <c r="A30" s="2" t="s">
        <v>259</v>
      </c>
      <c r="B30" s="26">
        <f>B29/25</f>
        <v>14419.93445439792</v>
      </c>
    </row>
    <row r="31" spans="1:4" x14ac:dyDescent="0.2">
      <c r="A31" s="2" t="s">
        <v>260</v>
      </c>
      <c r="B31" s="26">
        <f>B30/12</f>
        <v>1201.6612045331601</v>
      </c>
    </row>
    <row r="33" spans="1:51" x14ac:dyDescent="0.2">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
      <c r="A34" s="2" t="s">
        <v>249</v>
      </c>
      <c r="B34" s="26">
        <f>B8</f>
        <v>92372.094163046277</v>
      </c>
      <c r="C34" s="26">
        <f t="shared" ref="C34:AY34" si="4">B38+C8</f>
        <v>188199.82836873212</v>
      </c>
      <c r="D34" s="26">
        <f t="shared" si="4"/>
        <v>287584.31201210048</v>
      </c>
      <c r="E34" s="26">
        <f t="shared" si="4"/>
        <v>394879.24856178986</v>
      </c>
      <c r="F34" s="26">
        <f t="shared" si="4"/>
        <v>506100.39847938443</v>
      </c>
      <c r="G34" s="26">
        <f t="shared" si="4"/>
        <v>621361.92503492476</v>
      </c>
      <c r="H34" s="26">
        <f t="shared" si="4"/>
        <v>740781.06516540353</v>
      </c>
      <c r="I34" s="26">
        <f t="shared" si="4"/>
        <v>869133.6443926713</v>
      </c>
      <c r="J34" s="26">
        <f t="shared" si="4"/>
        <v>1002062.014646441</v>
      </c>
      <c r="K34" s="26">
        <f t="shared" si="4"/>
        <v>1139698.219000556</v>
      </c>
      <c r="L34" s="26">
        <f t="shared" si="4"/>
        <v>1282177.8450100527</v>
      </c>
      <c r="M34" s="26">
        <f t="shared" si="4"/>
        <v>1434739.825224848</v>
      </c>
      <c r="N34" s="26">
        <f t="shared" si="4"/>
        <v>1592618.1874509782</v>
      </c>
      <c r="O34" s="26">
        <f t="shared" si="4"/>
        <v>1755965.2983404805</v>
      </c>
      <c r="P34" s="26">
        <f t="shared" si="4"/>
        <v>1930457.7409919773</v>
      </c>
      <c r="Q34" s="26">
        <f t="shared" si="4"/>
        <v>2110942.5169842965</v>
      </c>
      <c r="R34" s="26">
        <f t="shared" si="4"/>
        <v>2297590.5932721053</v>
      </c>
      <c r="S34" s="26">
        <f t="shared" si="4"/>
        <v>2496163.884632674</v>
      </c>
      <c r="T34" s="26">
        <f t="shared" si="4"/>
        <v>2701465.2214993411</v>
      </c>
      <c r="U34" s="26">
        <f t="shared" si="4"/>
        <v>2913685.7510864884</v>
      </c>
      <c r="V34" s="26">
        <f t="shared" si="4"/>
        <v>3133021.7199101509</v>
      </c>
      <c r="W34" s="26">
        <f t="shared" si="4"/>
        <v>3365777.1732516047</v>
      </c>
      <c r="X34" s="26">
        <f t="shared" si="4"/>
        <v>3606284.6871197275</v>
      </c>
      <c r="Y34" s="26">
        <f t="shared" si="4"/>
        <v>3854763.2943059886</v>
      </c>
      <c r="Z34" s="26">
        <f t="shared" si="4"/>
        <v>4111437.8578602909</v>
      </c>
      <c r="AA34" s="26">
        <f t="shared" si="4"/>
        <v>4383205.6735997917</v>
      </c>
      <c r="AB34" s="26">
        <f t="shared" si="4"/>
        <v>4663886.6636944879</v>
      </c>
      <c r="AC34" s="26">
        <f t="shared" si="4"/>
        <v>4953731.4025546331</v>
      </c>
      <c r="AD34" s="26">
        <f t="shared" si="4"/>
        <v>5260193.2066809405</v>
      </c>
      <c r="AE34" s="26">
        <f t="shared" si="4"/>
        <v>5576609.2551203463</v>
      </c>
      <c r="AF34" s="26">
        <f t="shared" si="4"/>
        <v>5903258.4898192892</v>
      </c>
      <c r="AG34" s="26">
        <f t="shared" si="4"/>
        <v>6240427.2526942482</v>
      </c>
      <c r="AH34" s="26">
        <f t="shared" si="4"/>
        <v>6588409.4774096441</v>
      </c>
      <c r="AI34" s="26">
        <f t="shared" si="4"/>
        <v>6955462.2307391772</v>
      </c>
      <c r="AJ34" s="26">
        <f t="shared" si="4"/>
        <v>7334237.4897529166</v>
      </c>
      <c r="AK34" s="26">
        <f t="shared" si="4"/>
        <v>7725061.8716629632</v>
      </c>
      <c r="AL34" s="26">
        <f t="shared" si="4"/>
        <v>8128270.6380048888</v>
      </c>
      <c r="AM34" s="26">
        <f t="shared" si="4"/>
        <v>8552898.3460854422</v>
      </c>
      <c r="AN34" s="26">
        <f t="shared" si="4"/>
        <v>8990932.9044423494</v>
      </c>
      <c r="AO34" s="26">
        <f t="shared" si="4"/>
        <v>9442746.3858637009</v>
      </c>
      <c r="AP34" s="26">
        <f t="shared" si="4"/>
        <v>9908720.6943638027</v>
      </c>
      <c r="AQ34" s="26">
        <f t="shared" si="4"/>
        <v>10389247.819516916</v>
      </c>
      <c r="AR34" s="26">
        <f t="shared" si="4"/>
        <v>10884730.097307879</v>
      </c>
      <c r="AS34" s="26">
        <f t="shared" si="4"/>
        <v>11395580.477665879</v>
      </c>
      <c r="AT34" s="26">
        <f t="shared" si="4"/>
        <v>11922222.798851799</v>
      </c>
      <c r="AU34" s="26">
        <f t="shared" si="4"/>
        <v>12465092.068874033</v>
      </c>
      <c r="AV34" s="26">
        <f t="shared" si="4"/>
        <v>13024634.754111974</v>
      </c>
      <c r="AW34" s="26">
        <f t="shared" si="4"/>
        <v>13601309.075331025</v>
      </c>
      <c r="AX34" s="26">
        <f t="shared" si="4"/>
        <v>14195585.311277656</v>
      </c>
      <c r="AY34" s="26">
        <f t="shared" si="4"/>
        <v>14807946.1100478</v>
      </c>
    </row>
    <row r="35" spans="1:51" x14ac:dyDescent="0.2">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
      <c r="A36" s="2" t="s">
        <v>247</v>
      </c>
      <c r="B36" s="26">
        <f>B35*B34</f>
        <v>2771.162824891388</v>
      </c>
      <c r="C36" s="26">
        <f>C35*C34</f>
        <v>5645.9948510619633</v>
      </c>
      <c r="D36" s="26">
        <f>D35*D34</f>
        <v>8627.5293603630143</v>
      </c>
      <c r="E36" s="26">
        <f t="shared" ref="E36:AY36" si="6">E35*E34</f>
        <v>11846.377456853696</v>
      </c>
      <c r="F36" s="26">
        <f t="shared" si="6"/>
        <v>15183.011954381533</v>
      </c>
      <c r="G36" s="26">
        <f t="shared" si="6"/>
        <v>18640.857751047741</v>
      </c>
      <c r="H36" s="26">
        <f t="shared" si="6"/>
        <v>22223.431954962107</v>
      </c>
      <c r="I36" s="26">
        <f t="shared" si="6"/>
        <v>26074.009331780137</v>
      </c>
      <c r="J36" s="26">
        <f t="shared" si="6"/>
        <v>30061.860439393229</v>
      </c>
      <c r="K36" s="26">
        <f t="shared" si="6"/>
        <v>34190.946570016677</v>
      </c>
      <c r="L36" s="26">
        <f t="shared" si="6"/>
        <v>38465.335350301575</v>
      </c>
      <c r="M36" s="26">
        <f t="shared" si="6"/>
        <v>43042.194756745441</v>
      </c>
      <c r="N36" s="26">
        <f t="shared" si="6"/>
        <v>47778.545623529346</v>
      </c>
      <c r="O36" s="26">
        <f t="shared" si="6"/>
        <v>52678.958950214415</v>
      </c>
      <c r="P36" s="26">
        <f t="shared" si="6"/>
        <v>57913.732229759313</v>
      </c>
      <c r="Q36" s="26">
        <f t="shared" si="6"/>
        <v>63328.275509528896</v>
      </c>
      <c r="R36" s="26">
        <f t="shared" si="6"/>
        <v>68927.717798163154</v>
      </c>
      <c r="S36" s="26">
        <f t="shared" si="6"/>
        <v>74884.916538980222</v>
      </c>
      <c r="T36" s="26">
        <f t="shared" si="6"/>
        <v>81043.956644980222</v>
      </c>
      <c r="U36" s="26">
        <f t="shared" si="6"/>
        <v>87410.572532594641</v>
      </c>
      <c r="V36" s="26">
        <f t="shared" si="6"/>
        <v>93990.651597304517</v>
      </c>
      <c r="W36" s="26">
        <f t="shared" si="6"/>
        <v>100973.31519754813</v>
      </c>
      <c r="X36" s="26">
        <f t="shared" si="6"/>
        <v>108188.54061359182</v>
      </c>
      <c r="Y36" s="26">
        <f t="shared" si="6"/>
        <v>115642.89882917966</v>
      </c>
      <c r="Z36" s="26">
        <f t="shared" si="6"/>
        <v>123343.13573580873</v>
      </c>
      <c r="AA36" s="26">
        <f t="shared" si="6"/>
        <v>131496.17020799374</v>
      </c>
      <c r="AB36" s="26">
        <f t="shared" si="6"/>
        <v>139916.59991083463</v>
      </c>
      <c r="AC36" s="26">
        <f t="shared" si="6"/>
        <v>148611.94207663898</v>
      </c>
      <c r="AD36" s="26">
        <f t="shared" si="6"/>
        <v>157805.79620042822</v>
      </c>
      <c r="AE36" s="26">
        <f t="shared" si="6"/>
        <v>167298.27765361039</v>
      </c>
      <c r="AF36" s="26">
        <f t="shared" si="6"/>
        <v>177097.75469457867</v>
      </c>
      <c r="AG36" s="26">
        <f t="shared" si="6"/>
        <v>187212.81758082745</v>
      </c>
      <c r="AH36" s="26">
        <f t="shared" si="6"/>
        <v>197652.28432228931</v>
      </c>
      <c r="AI36" s="26">
        <f t="shared" si="6"/>
        <v>208663.86692217531</v>
      </c>
      <c r="AJ36" s="26">
        <f t="shared" si="6"/>
        <v>220027.1246925875</v>
      </c>
      <c r="AK36" s="26">
        <f t="shared" si="6"/>
        <v>231751.85614988889</v>
      </c>
      <c r="AL36" s="26">
        <f t="shared" si="6"/>
        <v>243848.11914014665</v>
      </c>
      <c r="AM36" s="26">
        <f t="shared" si="6"/>
        <v>256586.95038256326</v>
      </c>
      <c r="AN36" s="26">
        <f t="shared" si="6"/>
        <v>269727.98713327048</v>
      </c>
      <c r="AO36" s="26">
        <f t="shared" si="6"/>
        <v>283282.39157591102</v>
      </c>
      <c r="AP36" s="26">
        <f t="shared" si="6"/>
        <v>297261.62083091406</v>
      </c>
      <c r="AQ36" s="26">
        <f t="shared" si="6"/>
        <v>311677.43458550744</v>
      </c>
      <c r="AR36" s="26">
        <f t="shared" si="6"/>
        <v>326541.9029192364</v>
      </c>
      <c r="AS36" s="26">
        <f t="shared" si="6"/>
        <v>341867.41432997637</v>
      </c>
      <c r="AT36" s="26">
        <f t="shared" si="6"/>
        <v>357666.68396555394</v>
      </c>
      <c r="AU36" s="26">
        <f t="shared" si="6"/>
        <v>373952.76206622098</v>
      </c>
      <c r="AV36" s="26">
        <f t="shared" si="6"/>
        <v>390739.04262335919</v>
      </c>
      <c r="AW36" s="26">
        <f t="shared" si="6"/>
        <v>408039.27225993073</v>
      </c>
      <c r="AX36" s="26">
        <f t="shared" si="6"/>
        <v>425867.55933832965</v>
      </c>
      <c r="AY36" s="26">
        <f t="shared" si="6"/>
        <v>444238.38330143399</v>
      </c>
    </row>
    <row r="37" spans="1:51" x14ac:dyDescent="0.2">
      <c r="A37" s="2" t="s">
        <v>215</v>
      </c>
      <c r="B37" s="26">
        <f>B36*$B$27</f>
        <v>423.98791220838234</v>
      </c>
      <c r="C37" s="26">
        <f>C36*$B$27</f>
        <v>863.83721221248038</v>
      </c>
      <c r="D37" s="26">
        <f t="shared" ref="D37:AY37" si="7">D36*$B$27</f>
        <v>1320.0119921355413</v>
      </c>
      <c r="E37" s="26">
        <f t="shared" si="7"/>
        <v>1812.4957508986154</v>
      </c>
      <c r="F37" s="26">
        <f t="shared" si="7"/>
        <v>2323.0008290203746</v>
      </c>
      <c r="G37" s="26">
        <f t="shared" si="7"/>
        <v>2852.0512359103041</v>
      </c>
      <c r="H37" s="26">
        <f t="shared" si="7"/>
        <v>3400.1850891092022</v>
      </c>
      <c r="I37" s="26">
        <f t="shared" si="7"/>
        <v>3989.323427762361</v>
      </c>
      <c r="J37" s="26">
        <f t="shared" si="7"/>
        <v>4599.4646472271643</v>
      </c>
      <c r="K37" s="26">
        <f t="shared" si="7"/>
        <v>5231.2148252125517</v>
      </c>
      <c r="L37" s="26">
        <f t="shared" si="7"/>
        <v>5885.1963085961406</v>
      </c>
      <c r="M37" s="26">
        <f t="shared" si="7"/>
        <v>6585.4557977820523</v>
      </c>
      <c r="N37" s="26">
        <f t="shared" si="7"/>
        <v>7310.1174803999902</v>
      </c>
      <c r="O37" s="26">
        <f t="shared" si="7"/>
        <v>8059.8807193828052</v>
      </c>
      <c r="P37" s="26">
        <f t="shared" si="7"/>
        <v>8860.8010311531743</v>
      </c>
      <c r="Q37" s="26">
        <f t="shared" si="7"/>
        <v>9689.2261529579209</v>
      </c>
      <c r="R37" s="26">
        <f t="shared" si="7"/>
        <v>10545.940823118963</v>
      </c>
      <c r="S37" s="26">
        <f t="shared" si="7"/>
        <v>11457.392230463975</v>
      </c>
      <c r="T37" s="26">
        <f t="shared" si="7"/>
        <v>12399.725366681974</v>
      </c>
      <c r="U37" s="26">
        <f t="shared" si="7"/>
        <v>13373.817597486979</v>
      </c>
      <c r="V37" s="26">
        <f t="shared" si="7"/>
        <v>14380.56969438759</v>
      </c>
      <c r="W37" s="26">
        <f t="shared" si="7"/>
        <v>15448.917225224865</v>
      </c>
      <c r="X37" s="26">
        <f t="shared" si="7"/>
        <v>16552.846713879546</v>
      </c>
      <c r="Y37" s="26">
        <f t="shared" si="7"/>
        <v>17693.363520864488</v>
      </c>
      <c r="Z37" s="26">
        <f t="shared" si="7"/>
        <v>18871.499767578734</v>
      </c>
      <c r="AA37" s="26">
        <f t="shared" si="7"/>
        <v>20118.914041823042</v>
      </c>
      <c r="AB37" s="26">
        <f t="shared" si="7"/>
        <v>21407.239786357699</v>
      </c>
      <c r="AC37" s="26">
        <f t="shared" si="7"/>
        <v>22737.627137725765</v>
      </c>
      <c r="AD37" s="26">
        <f t="shared" si="7"/>
        <v>24144.286818665518</v>
      </c>
      <c r="AE37" s="26">
        <f t="shared" si="7"/>
        <v>25596.636481002388</v>
      </c>
      <c r="AF37" s="26">
        <f t="shared" si="7"/>
        <v>27095.956468270535</v>
      </c>
      <c r="AG37" s="26">
        <f t="shared" si="7"/>
        <v>28643.561089866598</v>
      </c>
      <c r="AH37" s="26">
        <f t="shared" si="7"/>
        <v>30240.799501310263</v>
      </c>
      <c r="AI37" s="26">
        <f t="shared" si="7"/>
        <v>31925.571639092821</v>
      </c>
      <c r="AJ37" s="26">
        <f t="shared" si="7"/>
        <v>33664.150077965889</v>
      </c>
      <c r="AK37" s="26">
        <f t="shared" si="7"/>
        <v>35458.033990933</v>
      </c>
      <c r="AL37" s="26">
        <f t="shared" si="7"/>
        <v>37308.762228442436</v>
      </c>
      <c r="AM37" s="26">
        <f t="shared" si="7"/>
        <v>39257.803408532178</v>
      </c>
      <c r="AN37" s="26">
        <f t="shared" si="7"/>
        <v>41268.382031390385</v>
      </c>
      <c r="AO37" s="26">
        <f t="shared" si="7"/>
        <v>43342.205911114383</v>
      </c>
      <c r="AP37" s="26">
        <f t="shared" si="7"/>
        <v>45481.027987129848</v>
      </c>
      <c r="AQ37" s="26">
        <f t="shared" si="7"/>
        <v>47686.64749158264</v>
      </c>
      <c r="AR37" s="26">
        <f t="shared" si="7"/>
        <v>49960.911146643164</v>
      </c>
      <c r="AS37" s="26">
        <f t="shared" si="7"/>
        <v>52305.714392486385</v>
      </c>
      <c r="AT37" s="26">
        <f t="shared" si="7"/>
        <v>54723.00264672975</v>
      </c>
      <c r="AU37" s="26">
        <f t="shared" si="7"/>
        <v>57214.772596131806</v>
      </c>
      <c r="AV37" s="26">
        <f t="shared" si="7"/>
        <v>59783.073521373954</v>
      </c>
      <c r="AW37" s="26">
        <f t="shared" si="7"/>
        <v>62430.008655769401</v>
      </c>
      <c r="AX37" s="26">
        <f t="shared" si="7"/>
        <v>65157.736578764438</v>
      </c>
      <c r="AY37" s="26">
        <f t="shared" si="7"/>
        <v>67968.4726451194</v>
      </c>
    </row>
    <row r="38" spans="1:51" s="18" customFormat="1" x14ac:dyDescent="0.2">
      <c r="A38" s="18" t="s">
        <v>248</v>
      </c>
      <c r="B38" s="27">
        <f>B34+(B36-B37)</f>
        <v>94719.269075729288</v>
      </c>
      <c r="C38" s="27">
        <f>C34+(C36-C37)</f>
        <v>192981.98600758161</v>
      </c>
      <c r="D38" s="27">
        <f t="shared" ref="D38:AS38" si="8">D34+(D36-D37)</f>
        <v>294891.82938032795</v>
      </c>
      <c r="E38" s="27">
        <f t="shared" si="8"/>
        <v>404913.13026774494</v>
      </c>
      <c r="F38" s="27">
        <f t="shared" si="8"/>
        <v>518960.40960474557</v>
      </c>
      <c r="G38" s="27">
        <f t="shared" si="8"/>
        <v>637150.73155006219</v>
      </c>
      <c r="H38" s="27">
        <f t="shared" si="8"/>
        <v>759604.31203125638</v>
      </c>
      <c r="I38" s="27">
        <f t="shared" si="8"/>
        <v>891218.33029668906</v>
      </c>
      <c r="J38" s="27">
        <f t="shared" si="8"/>
        <v>1027524.4104386071</v>
      </c>
      <c r="K38" s="27">
        <f t="shared" si="8"/>
        <v>1168657.9507453602</v>
      </c>
      <c r="L38" s="27">
        <f t="shared" si="8"/>
        <v>1314757.9840517582</v>
      </c>
      <c r="M38" s="27">
        <f t="shared" si="8"/>
        <v>1471196.5641838114</v>
      </c>
      <c r="N38" s="27">
        <f t="shared" si="8"/>
        <v>1633086.6155941077</v>
      </c>
      <c r="O38" s="27">
        <f t="shared" si="8"/>
        <v>1800584.3765713121</v>
      </c>
      <c r="P38" s="27">
        <f t="shared" si="8"/>
        <v>1979510.6721905833</v>
      </c>
      <c r="Q38" s="27">
        <f t="shared" si="8"/>
        <v>2164581.5663408674</v>
      </c>
      <c r="R38" s="27">
        <f t="shared" si="8"/>
        <v>2355972.3702471494</v>
      </c>
      <c r="S38" s="27">
        <f t="shared" si="8"/>
        <v>2559591.4089411902</v>
      </c>
      <c r="T38" s="27">
        <f t="shared" si="8"/>
        <v>2770109.4527776395</v>
      </c>
      <c r="U38" s="27">
        <f t="shared" si="8"/>
        <v>2987722.506021596</v>
      </c>
      <c r="V38" s="27">
        <f t="shared" si="8"/>
        <v>3212631.8018130679</v>
      </c>
      <c r="W38" s="27">
        <f t="shared" si="8"/>
        <v>3451301.5712239281</v>
      </c>
      <c r="X38" s="27">
        <f t="shared" si="8"/>
        <v>3697920.3810194395</v>
      </c>
      <c r="Y38" s="27">
        <f t="shared" si="8"/>
        <v>3952712.8296143035</v>
      </c>
      <c r="Z38" s="27">
        <f t="shared" si="8"/>
        <v>4215909.4938285211</v>
      </c>
      <c r="AA38" s="27">
        <f t="shared" si="8"/>
        <v>4494582.9297659621</v>
      </c>
      <c r="AB38" s="27">
        <f t="shared" si="8"/>
        <v>4782396.0238189651</v>
      </c>
      <c r="AC38" s="27">
        <f t="shared" si="8"/>
        <v>5079605.7174935462</v>
      </c>
      <c r="AD38" s="27">
        <f t="shared" si="8"/>
        <v>5393854.7160627032</v>
      </c>
      <c r="AE38" s="27">
        <f t="shared" si="8"/>
        <v>5718310.8962929547</v>
      </c>
      <c r="AF38" s="27">
        <f t="shared" si="8"/>
        <v>6053260.2880455973</v>
      </c>
      <c r="AG38" s="27">
        <f t="shared" si="8"/>
        <v>6398996.5091852089</v>
      </c>
      <c r="AH38" s="27">
        <f t="shared" si="8"/>
        <v>6755820.9622306228</v>
      </c>
      <c r="AI38" s="27">
        <f t="shared" si="8"/>
        <v>7132200.5260222601</v>
      </c>
      <c r="AJ38" s="27">
        <f t="shared" si="8"/>
        <v>7520600.4643675387</v>
      </c>
      <c r="AK38" s="27">
        <f t="shared" si="8"/>
        <v>7921355.6938219192</v>
      </c>
      <c r="AL38" s="27">
        <f t="shared" si="8"/>
        <v>8334809.9949165927</v>
      </c>
      <c r="AM38" s="27">
        <f t="shared" si="8"/>
        <v>8770227.4930594731</v>
      </c>
      <c r="AN38" s="27">
        <f t="shared" si="8"/>
        <v>9219392.5095442291</v>
      </c>
      <c r="AO38" s="27">
        <f t="shared" si="8"/>
        <v>9682686.5715284981</v>
      </c>
      <c r="AP38" s="27">
        <f t="shared" si="8"/>
        <v>10160501.287207587</v>
      </c>
      <c r="AQ38" s="27">
        <f t="shared" si="8"/>
        <v>10653238.60661084</v>
      </c>
      <c r="AR38" s="27">
        <f t="shared" si="8"/>
        <v>11161311.089080473</v>
      </c>
      <c r="AS38" s="27">
        <f t="shared" si="8"/>
        <v>11685142.17760337</v>
      </c>
      <c r="AT38" s="27">
        <f>AT34+(AT36-AT37)</f>
        <v>12225166.480170622</v>
      </c>
      <c r="AU38" s="27">
        <f t="shared" ref="AU38:AY38" si="9">AU34+(AU36-AU37)</f>
        <v>12781830.058344122</v>
      </c>
      <c r="AV38" s="27">
        <f t="shared" si="9"/>
        <v>13355590.723213959</v>
      </c>
      <c r="AW38" s="27">
        <f t="shared" si="9"/>
        <v>13946918.338935185</v>
      </c>
      <c r="AX38" s="27">
        <f t="shared" si="9"/>
        <v>14556295.134037221</v>
      </c>
      <c r="AY38" s="27">
        <f t="shared" si="9"/>
        <v>15184216.020704115</v>
      </c>
    </row>
    <row r="40" spans="1:51" x14ac:dyDescent="0.2">
      <c r="B40" s="26"/>
    </row>
    <row r="42" spans="1:51" x14ac:dyDescent="0.2">
      <c r="A42" s="2" t="s">
        <v>251</v>
      </c>
      <c r="B42" s="54" t="s">
        <v>252</v>
      </c>
    </row>
    <row r="43" spans="1:51" x14ac:dyDescent="0.2">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
      <c r="A49" s="2" t="s">
        <v>268</v>
      </c>
    </row>
    <row r="50" spans="1:51" x14ac:dyDescent="0.2">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1.8000000000000002E-2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
      <c r="A2" s="2" t="s">
        <v>194</v>
      </c>
      <c r="B2" s="28">
        <f>'Salary Variables'!$C$14</f>
        <v>9400</v>
      </c>
      <c r="D2" s="2" t="s">
        <v>195</v>
      </c>
      <c r="E2" s="29" cm="1">
        <f t="array" ref="E2:S2">TRANSPOSE('Income - P2 Helper'!N3:N17)</f>
        <v>51317.830090581258</v>
      </c>
      <c r="F2" s="29">
        <v>51933.644051668234</v>
      </c>
      <c r="G2" s="29">
        <v>52556.847780288255</v>
      </c>
      <c r="H2" s="29">
        <v>55548.566211923302</v>
      </c>
      <c r="I2" s="29">
        <v>56215.149006466381</v>
      </c>
      <c r="J2" s="29">
        <v>56889.730794543975</v>
      </c>
      <c r="K2" s="29">
        <v>57572.407564078501</v>
      </c>
      <c r="L2" s="29">
        <v>60849.629089674985</v>
      </c>
      <c r="M2" s="29">
        <v>61579.824638751088</v>
      </c>
      <c r="N2" s="29">
        <v>62318.782534416103</v>
      </c>
      <c r="O2" s="29">
        <v>63066.607924829099</v>
      </c>
      <c r="P2" s="29">
        <v>66656.578429494271</v>
      </c>
      <c r="Q2" s="29">
        <v>67456.457370648204</v>
      </c>
      <c r="R2" s="29">
        <v>68265.934859095985</v>
      </c>
      <c r="S2" s="29">
        <v>72151.869122591772</v>
      </c>
      <c r="T2" s="29" cm="1">
        <f t="array" ref="T2:BB2">TRANSPOSE(Income!P3:P37)</f>
        <v>73017.691552062868</v>
      </c>
      <c r="U2" s="29">
        <v>73893.903850687624</v>
      </c>
      <c r="V2" s="29">
        <v>77884.174658624761</v>
      </c>
      <c r="W2" s="29">
        <v>78818.784754528257</v>
      </c>
      <c r="X2" s="29">
        <v>79764.610171582593</v>
      </c>
      <c r="Y2" s="29">
        <v>80721.785493641582</v>
      </c>
      <c r="Z2" s="29">
        <v>85080.761910298228</v>
      </c>
      <c r="AA2" s="29">
        <v>86101.731053221811</v>
      </c>
      <c r="AB2" s="29">
        <v>87134.95182586048</v>
      </c>
      <c r="AC2" s="29">
        <v>88180.5712477708</v>
      </c>
      <c r="AD2" s="29">
        <v>92942.322095150434</v>
      </c>
      <c r="AE2" s="29">
        <v>94057.629960292237</v>
      </c>
      <c r="AF2" s="29">
        <v>95186.321519815741</v>
      </c>
      <c r="AG2" s="29">
        <v>100326.3828818858</v>
      </c>
      <c r="AH2" s="29">
        <v>101530.29947646843</v>
      </c>
      <c r="AI2" s="29">
        <v>102748.66307018604</v>
      </c>
      <c r="AJ2" s="29">
        <v>103981.64702702827</v>
      </c>
      <c r="AK2" s="29">
        <v>105229.42679135261</v>
      </c>
      <c r="AL2" s="29">
        <v>110911.81583808566</v>
      </c>
      <c r="AM2" s="29">
        <v>112242.75762814269</v>
      </c>
      <c r="AN2" s="29">
        <v>113589.67071968041</v>
      </c>
      <c r="AO2" s="29">
        <v>114952.74676831657</v>
      </c>
      <c r="AP2" s="29">
        <v>121160.19509380567</v>
      </c>
      <c r="AQ2" s="29">
        <v>122614.11743493134</v>
      </c>
      <c r="AR2" s="29">
        <v>124085.48684415051</v>
      </c>
      <c r="AS2" s="29">
        <v>125574.51268628032</v>
      </c>
      <c r="AT2" s="29">
        <v>127081.40683851569</v>
      </c>
      <c r="AU2" s="29">
        <v>128606.38372057787</v>
      </c>
      <c r="AV2" s="29">
        <v>130149.6603252248</v>
      </c>
      <c r="AW2" s="29">
        <v>131711.45624912751</v>
      </c>
      <c r="AX2" s="2">
        <v>133291.99372411706</v>
      </c>
      <c r="AY2" s="2">
        <v>134891.49764880646</v>
      </c>
      <c r="AZ2" s="2">
        <v>136510.19562059213</v>
      </c>
      <c r="BA2" s="2">
        <v>138148.31796803925</v>
      </c>
      <c r="BB2" s="2">
        <v>139806.09778365571</v>
      </c>
      <c r="BH2" s="2" t="s">
        <v>206</v>
      </c>
      <c r="BI2" s="2" cm="1">
        <f t="array" ref="BI2:BI37">TRANSPOSE(T17:BC17)</f>
        <v>38690.387588346428</v>
      </c>
    </row>
    <row r="3" spans="1:61" x14ac:dyDescent="0.2">
      <c r="D3" s="2" t="s">
        <v>186</v>
      </c>
      <c r="E3" s="29">
        <f>E2*12</f>
        <v>615813.96108697506</v>
      </c>
      <c r="F3" s="29">
        <f t="shared" ref="F3:AW3" si="0">F2*12</f>
        <v>623203.72862001881</v>
      </c>
      <c r="G3" s="29">
        <f t="shared" si="0"/>
        <v>630682.17336345906</v>
      </c>
      <c r="H3" s="29">
        <f t="shared" si="0"/>
        <v>666582.79454307957</v>
      </c>
      <c r="I3" s="29">
        <f t="shared" si="0"/>
        <v>674581.78807759658</v>
      </c>
      <c r="J3" s="29">
        <f t="shared" si="0"/>
        <v>682676.76953452767</v>
      </c>
      <c r="K3" s="29">
        <f t="shared" si="0"/>
        <v>690868.89076894196</v>
      </c>
      <c r="L3" s="29">
        <f t="shared" si="0"/>
        <v>730195.54907609988</v>
      </c>
      <c r="M3" s="29">
        <f t="shared" si="0"/>
        <v>738957.895665013</v>
      </c>
      <c r="N3" s="29">
        <f t="shared" si="0"/>
        <v>747825.39041299326</v>
      </c>
      <c r="O3" s="29">
        <f t="shared" si="0"/>
        <v>756799.29509794922</v>
      </c>
      <c r="P3" s="29">
        <f t="shared" si="0"/>
        <v>799878.9411539312</v>
      </c>
      <c r="Q3" s="29">
        <f t="shared" si="0"/>
        <v>809477.48844777839</v>
      </c>
      <c r="R3" s="29">
        <f t="shared" si="0"/>
        <v>819191.21830915182</v>
      </c>
      <c r="S3" s="29">
        <f t="shared" si="0"/>
        <v>865822.42947110126</v>
      </c>
      <c r="T3" s="29">
        <f t="shared" si="0"/>
        <v>876212.29862475442</v>
      </c>
      <c r="U3" s="29">
        <f t="shared" si="0"/>
        <v>886726.84620825155</v>
      </c>
      <c r="V3" s="29">
        <f t="shared" si="0"/>
        <v>934610.09590349719</v>
      </c>
      <c r="W3" s="29">
        <f t="shared" si="0"/>
        <v>945825.41705433908</v>
      </c>
      <c r="X3" s="29">
        <f t="shared" si="0"/>
        <v>957175.32205899106</v>
      </c>
      <c r="Y3" s="29">
        <f t="shared" si="0"/>
        <v>968661.42592369905</v>
      </c>
      <c r="Z3" s="29">
        <f t="shared" si="0"/>
        <v>1020969.1429235787</v>
      </c>
      <c r="AA3" s="29">
        <f t="shared" si="0"/>
        <v>1033220.7726386618</v>
      </c>
      <c r="AB3" s="29">
        <f t="shared" si="0"/>
        <v>1045619.4219103258</v>
      </c>
      <c r="AC3" s="29">
        <f t="shared" si="0"/>
        <v>1058166.8549732496</v>
      </c>
      <c r="AD3" s="29">
        <f t="shared" si="0"/>
        <v>1115307.8651418053</v>
      </c>
      <c r="AE3" s="29">
        <f t="shared" si="0"/>
        <v>1128691.5595235068</v>
      </c>
      <c r="AF3" s="29">
        <f t="shared" si="0"/>
        <v>1142235.858237789</v>
      </c>
      <c r="AG3" s="29">
        <f t="shared" si="0"/>
        <v>1203916.5945826296</v>
      </c>
      <c r="AH3" s="29">
        <f t="shared" si="0"/>
        <v>1218363.5937176212</v>
      </c>
      <c r="AI3" s="29">
        <f t="shared" si="0"/>
        <v>1232983.9568422325</v>
      </c>
      <c r="AJ3" s="29">
        <f t="shared" si="0"/>
        <v>1247779.7643243393</v>
      </c>
      <c r="AK3" s="29">
        <f t="shared" si="0"/>
        <v>1262753.1214962313</v>
      </c>
      <c r="AL3" s="29">
        <f t="shared" si="0"/>
        <v>1330941.7900570279</v>
      </c>
      <c r="AM3" s="29">
        <f t="shared" si="0"/>
        <v>1346913.0915377121</v>
      </c>
      <c r="AN3" s="29">
        <f t="shared" si="0"/>
        <v>1363076.048636165</v>
      </c>
      <c r="AO3" s="29">
        <f t="shared" si="0"/>
        <v>1379432.9612197988</v>
      </c>
      <c r="AP3" s="29">
        <f t="shared" si="0"/>
        <v>1453922.341125668</v>
      </c>
      <c r="AQ3" s="29">
        <f t="shared" si="0"/>
        <v>1471369.409219176</v>
      </c>
      <c r="AR3" s="29">
        <f t="shared" si="0"/>
        <v>1489025.8421298061</v>
      </c>
      <c r="AS3" s="29">
        <f t="shared" si="0"/>
        <v>1506894.1522353638</v>
      </c>
      <c r="AT3" s="29">
        <f t="shared" si="0"/>
        <v>1524976.8820621883</v>
      </c>
      <c r="AU3" s="29">
        <f t="shared" si="0"/>
        <v>1543276.6046469344</v>
      </c>
      <c r="AV3" s="29">
        <f t="shared" si="0"/>
        <v>1561795.9239026976</v>
      </c>
      <c r="AW3" s="29">
        <f t="shared" si="0"/>
        <v>1580537.4749895302</v>
      </c>
      <c r="AX3" s="29">
        <f t="shared" ref="AX3:BB3" si="1">AX2*12</f>
        <v>1599503.9246894047</v>
      </c>
      <c r="AY3" s="29">
        <f t="shared" si="1"/>
        <v>1618697.9717856776</v>
      </c>
      <c r="AZ3" s="29">
        <f t="shared" si="1"/>
        <v>1638122.3474471057</v>
      </c>
      <c r="BA3" s="29">
        <f t="shared" si="1"/>
        <v>1657779.815616471</v>
      </c>
      <c r="BB3" s="29">
        <f t="shared" si="1"/>
        <v>1677673.1734038685</v>
      </c>
      <c r="BI3" s="2">
        <v>39057.899590910594</v>
      </c>
    </row>
    <row r="4" spans="1:61" x14ac:dyDescent="0.2">
      <c r="A4" s="2" t="str" cm="1">
        <f t="array" ref="A4:B12">'Salary Variables'!$B$16:$C$24</f>
        <v>AM (%)</v>
      </c>
      <c r="B4" s="25">
        <v>0.08</v>
      </c>
      <c r="D4" s="2" t="s">
        <v>277</v>
      </c>
      <c r="E4" s="29">
        <f>'Pensions P2'!B4*12</f>
        <v>30790.698054348759</v>
      </c>
      <c r="F4" s="29">
        <f>'Pensions P2'!C4*12</f>
        <v>31160.186431000941</v>
      </c>
      <c r="G4" s="29">
        <f>'Pensions P2'!D4*12</f>
        <v>31534.108668172958</v>
      </c>
      <c r="H4" s="29">
        <f>'Pensions P2'!E4*12</f>
        <v>33329.139727153983</v>
      </c>
      <c r="I4" s="29">
        <f>'Pensions P2'!F4*12</f>
        <v>33729.089403879829</v>
      </c>
      <c r="J4" s="29">
        <f>'Pensions P2'!G4*12</f>
        <v>34133.838476726385</v>
      </c>
      <c r="K4" s="29">
        <f>'Pensions P2'!H4*12</f>
        <v>34543.444538447104</v>
      </c>
      <c r="L4" s="29">
        <f>'Pensions P2'!I4*12</f>
        <v>36509.777453804993</v>
      </c>
      <c r="M4" s="29">
        <f>'Pensions P2'!J4*12</f>
        <v>36947.894783250653</v>
      </c>
      <c r="N4" s="29">
        <f>'Pensions P2'!K4*12</f>
        <v>37391.269520649665</v>
      </c>
      <c r="O4" s="29">
        <f>'Pensions P2'!L4*12</f>
        <v>37839.964754897461</v>
      </c>
      <c r="P4" s="29">
        <f>'Pensions P2'!M4*12</f>
        <v>39993.947057696569</v>
      </c>
      <c r="Q4" s="29">
        <f>'Pensions P2'!N4*12</f>
        <v>40473.874422388923</v>
      </c>
      <c r="R4" s="29">
        <f>'Pensions P2'!O4*12</f>
        <v>40959.560915457594</v>
      </c>
      <c r="S4" s="29">
        <f>'Pensions P2'!P4*12</f>
        <v>43291.121473555067</v>
      </c>
      <c r="T4" s="29">
        <f>'Pensions P2'!Q4*12</f>
        <v>43810.614931237724</v>
      </c>
      <c r="U4" s="29">
        <f>'Pensions P2'!R4*12</f>
        <v>44336.342310412576</v>
      </c>
      <c r="V4" s="29">
        <f>'Pensions P2'!S4*12</f>
        <v>46730.504795174857</v>
      </c>
      <c r="W4" s="29">
        <f>'Pensions P2'!T4*12</f>
        <v>47291.27085271696</v>
      </c>
      <c r="X4" s="29">
        <f>'Pensions P2'!U4*12</f>
        <v>47858.766102949558</v>
      </c>
      <c r="Y4" s="29">
        <f>'Pensions P2'!V4*12</f>
        <v>48433.071296184949</v>
      </c>
      <c r="Z4" s="29">
        <f>'Pensions P2'!W4*12</f>
        <v>51048.457146178931</v>
      </c>
      <c r="AA4" s="29">
        <f>'Pensions P2'!X4*12</f>
        <v>51661.038631933086</v>
      </c>
      <c r="AB4" s="29">
        <f>'Pensions P2'!Y4*12</f>
        <v>52280.971095516288</v>
      </c>
      <c r="AC4" s="29">
        <f>'Pensions P2'!Z4*12</f>
        <v>52908.342748662486</v>
      </c>
      <c r="AD4" s="29">
        <f>'Pensions P2'!AA4*12</f>
        <v>55765.393257090254</v>
      </c>
      <c r="AE4" s="29">
        <f>'Pensions P2'!AB4*12</f>
        <v>56434.577976175337</v>
      </c>
      <c r="AF4" s="29">
        <f>'Pensions P2'!AC4*12</f>
        <v>57111.792911889439</v>
      </c>
      <c r="AG4" s="29">
        <f>'Pensions P2'!AD4*12</f>
        <v>60195.829729131481</v>
      </c>
      <c r="AH4" s="29">
        <f>'Pensions P2'!AE4*12</f>
        <v>60918.179685881056</v>
      </c>
      <c r="AI4" s="29">
        <f>'Pensions P2'!AF4*12</f>
        <v>61649.197842111629</v>
      </c>
      <c r="AJ4" s="29">
        <f>'Pensions P2'!AG4*12</f>
        <v>62388.988216216967</v>
      </c>
      <c r="AK4" s="29">
        <f>'Pensions P2'!AH4*12</f>
        <v>63137.656074811573</v>
      </c>
      <c r="AL4" s="29">
        <f>'Pensions P2'!AI4*12</f>
        <v>66547.089502851406</v>
      </c>
      <c r="AM4" s="29">
        <f>'Pensions P2'!AJ4*12</f>
        <v>67345.654576885616</v>
      </c>
      <c r="AN4" s="29">
        <f>'Pensions P2'!AK4*12</f>
        <v>68153.802431808246</v>
      </c>
      <c r="AO4" s="29">
        <f>'Pensions P2'!AL4*12</f>
        <v>68971.648060989944</v>
      </c>
      <c r="AP4" s="29">
        <f>'Pensions P2'!AM4*12</f>
        <v>72696.117056283401</v>
      </c>
      <c r="AQ4" s="29">
        <f>'Pensions P2'!AN4*12</f>
        <v>73568.470460958808</v>
      </c>
      <c r="AR4" s="29">
        <f>'Pensions P2'!AO4*12</f>
        <v>74451.292106490306</v>
      </c>
      <c r="AS4" s="29">
        <f>'Pensions P2'!AP4*12</f>
        <v>75344.707611768186</v>
      </c>
      <c r="AT4" s="29">
        <f>'Pensions P2'!AQ4*12</f>
        <v>76248.844103109412</v>
      </c>
      <c r="AU4" s="29">
        <f>'Pensions P2'!AR4*12</f>
        <v>77163.830232346721</v>
      </c>
      <c r="AV4" s="29">
        <f>'Pensions P2'!AS4*12</f>
        <v>78089.796195134884</v>
      </c>
      <c r="AW4" s="29">
        <f>'Pensions P2'!AT4*12</f>
        <v>79026.873749476508</v>
      </c>
      <c r="AX4" s="29">
        <f>'Pensions P2'!AU4*12</f>
        <v>79975.196234470233</v>
      </c>
      <c r="AY4" s="29">
        <f>'Pensions P2'!AV4*12</f>
        <v>80934.898589283883</v>
      </c>
      <c r="AZ4" s="29">
        <f>'Pensions P2'!AW4*12</f>
        <v>81906.117372355278</v>
      </c>
      <c r="BA4" s="29">
        <f>'Pensions P2'!AX4*12</f>
        <v>82888.990780823558</v>
      </c>
      <c r="BB4" s="29">
        <f>'Pensions P2'!AY4*12</f>
        <v>83883.658670193428</v>
      </c>
      <c r="BI4" s="2">
        <v>40731.549250587763</v>
      </c>
    </row>
    <row r="5" spans="1:61" x14ac:dyDescent="0.2">
      <c r="A5" s="2" t="str">
        <v>Personal Allowance</v>
      </c>
      <c r="B5" s="28">
        <v>51600</v>
      </c>
      <c r="D5" s="2" t="s">
        <v>187</v>
      </c>
      <c r="E5" s="29">
        <f t="shared" ref="E5:AW5" si="2">E3-E4</f>
        <v>585023.26303262636</v>
      </c>
      <c r="F5" s="29">
        <f t="shared" si="2"/>
        <v>592043.54218901787</v>
      </c>
      <c r="G5" s="29">
        <f t="shared" si="2"/>
        <v>599148.0646952861</v>
      </c>
      <c r="H5" s="29">
        <f t="shared" si="2"/>
        <v>633253.65481592563</v>
      </c>
      <c r="I5" s="29">
        <f t="shared" si="2"/>
        <v>640852.69867371675</v>
      </c>
      <c r="J5" s="29">
        <f t="shared" si="2"/>
        <v>648542.93105780124</v>
      </c>
      <c r="K5" s="29">
        <f t="shared" si="2"/>
        <v>656325.44623049488</v>
      </c>
      <c r="L5" s="29">
        <f t="shared" si="2"/>
        <v>693685.77162229491</v>
      </c>
      <c r="M5" s="29">
        <f t="shared" si="2"/>
        <v>702010.00088176236</v>
      </c>
      <c r="N5" s="29">
        <f t="shared" si="2"/>
        <v>710434.12089234358</v>
      </c>
      <c r="O5" s="29">
        <f t="shared" si="2"/>
        <v>718959.33034305181</v>
      </c>
      <c r="P5" s="29">
        <f t="shared" si="2"/>
        <v>759884.99409623467</v>
      </c>
      <c r="Q5" s="29">
        <f t="shared" si="2"/>
        <v>769003.61402538943</v>
      </c>
      <c r="R5" s="29">
        <f t="shared" si="2"/>
        <v>778231.65739369427</v>
      </c>
      <c r="S5" s="29">
        <f t="shared" si="2"/>
        <v>822531.30799754616</v>
      </c>
      <c r="T5" s="29">
        <f t="shared" si="2"/>
        <v>832401.68369351665</v>
      </c>
      <c r="U5" s="29">
        <f t="shared" si="2"/>
        <v>842390.50389783899</v>
      </c>
      <c r="V5" s="29">
        <f t="shared" si="2"/>
        <v>887879.59110832238</v>
      </c>
      <c r="W5" s="29">
        <f t="shared" si="2"/>
        <v>898534.14620162209</v>
      </c>
      <c r="X5" s="29">
        <f t="shared" si="2"/>
        <v>909316.55595604156</v>
      </c>
      <c r="Y5" s="29">
        <f t="shared" si="2"/>
        <v>920228.35462751414</v>
      </c>
      <c r="Z5" s="29">
        <f t="shared" si="2"/>
        <v>969920.68577739981</v>
      </c>
      <c r="AA5" s="29">
        <f t="shared" si="2"/>
        <v>981559.73400672874</v>
      </c>
      <c r="AB5" s="29">
        <f t="shared" si="2"/>
        <v>993338.45081480942</v>
      </c>
      <c r="AC5" s="29">
        <f t="shared" si="2"/>
        <v>1005258.5122245871</v>
      </c>
      <c r="AD5" s="29">
        <f t="shared" si="2"/>
        <v>1059542.4718847149</v>
      </c>
      <c r="AE5" s="29">
        <f t="shared" si="2"/>
        <v>1072256.9815473314</v>
      </c>
      <c r="AF5" s="29">
        <f t="shared" si="2"/>
        <v>1085124.0653258995</v>
      </c>
      <c r="AG5" s="29">
        <f t="shared" si="2"/>
        <v>1143720.7648534982</v>
      </c>
      <c r="AH5" s="29">
        <f t="shared" si="2"/>
        <v>1157445.41403174</v>
      </c>
      <c r="AI5" s="29">
        <f t="shared" si="2"/>
        <v>1171334.7590001209</v>
      </c>
      <c r="AJ5" s="29">
        <f t="shared" si="2"/>
        <v>1185390.7761081224</v>
      </c>
      <c r="AK5" s="29">
        <f t="shared" si="2"/>
        <v>1199615.4654214198</v>
      </c>
      <c r="AL5" s="29">
        <f t="shared" si="2"/>
        <v>1264394.7005541765</v>
      </c>
      <c r="AM5" s="29">
        <f t="shared" si="2"/>
        <v>1279567.4369608266</v>
      </c>
      <c r="AN5" s="29">
        <f t="shared" si="2"/>
        <v>1294922.2462043567</v>
      </c>
      <c r="AO5" s="29">
        <f t="shared" si="2"/>
        <v>1310461.3131588087</v>
      </c>
      <c r="AP5" s="29">
        <f t="shared" si="2"/>
        <v>1381226.2240693846</v>
      </c>
      <c r="AQ5" s="29">
        <f t="shared" si="2"/>
        <v>1397800.9387582173</v>
      </c>
      <c r="AR5" s="29">
        <f t="shared" si="2"/>
        <v>1414574.5500233157</v>
      </c>
      <c r="AS5" s="29">
        <f t="shared" si="2"/>
        <v>1431549.4446235956</v>
      </c>
      <c r="AT5" s="29">
        <f t="shared" si="2"/>
        <v>1448728.037959079</v>
      </c>
      <c r="AU5" s="29">
        <f t="shared" si="2"/>
        <v>1466112.7744145878</v>
      </c>
      <c r="AV5" s="29">
        <f t="shared" si="2"/>
        <v>1483706.1277075626</v>
      </c>
      <c r="AW5" s="29">
        <f t="shared" si="2"/>
        <v>1501510.6012400538</v>
      </c>
      <c r="AX5" s="29">
        <f t="shared" ref="AX5:BB5" si="3">AX3-AX4</f>
        <v>1519528.7284549344</v>
      </c>
      <c r="AY5" s="29">
        <f t="shared" si="3"/>
        <v>1537763.0731963937</v>
      </c>
      <c r="AZ5" s="29">
        <f t="shared" si="3"/>
        <v>1556216.2300747505</v>
      </c>
      <c r="BA5" s="29">
        <f t="shared" si="3"/>
        <v>1574890.8248356474</v>
      </c>
      <c r="BB5" s="29">
        <f t="shared" si="3"/>
        <v>1593789.5147336749</v>
      </c>
      <c r="BI5" s="2">
        <v>41123.555193098815</v>
      </c>
    </row>
    <row r="6" spans="1:61" x14ac:dyDescent="0.2">
      <c r="A6" s="2" t="str">
        <v>Bottom-Bracket State Tax rate (%)</v>
      </c>
      <c r="B6" s="25">
        <v>0.1201</v>
      </c>
      <c r="D6" s="2" t="s">
        <v>256</v>
      </c>
      <c r="E6" s="28">
        <f>E5-$B$14</f>
        <v>583835.26303262636</v>
      </c>
      <c r="F6" s="28">
        <f t="shared" ref="F6:AW6" si="4">F5-$B$14</f>
        <v>590855.54218901787</v>
      </c>
      <c r="G6" s="28">
        <f t="shared" si="4"/>
        <v>597960.0646952861</v>
      </c>
      <c r="H6" s="28">
        <f t="shared" si="4"/>
        <v>632065.65481592563</v>
      </c>
      <c r="I6" s="28">
        <f t="shared" si="4"/>
        <v>639664.69867371675</v>
      </c>
      <c r="J6" s="28">
        <f t="shared" si="4"/>
        <v>647354.93105780124</v>
      </c>
      <c r="K6" s="28">
        <f t="shared" si="4"/>
        <v>655137.44623049488</v>
      </c>
      <c r="L6" s="28">
        <f t="shared" si="4"/>
        <v>692497.77162229491</v>
      </c>
      <c r="M6" s="28">
        <f t="shared" si="4"/>
        <v>700822.00088176236</v>
      </c>
      <c r="N6" s="28">
        <f t="shared" si="4"/>
        <v>709246.12089234358</v>
      </c>
      <c r="O6" s="28">
        <f t="shared" si="4"/>
        <v>717771.33034305181</v>
      </c>
      <c r="P6" s="28">
        <f t="shared" si="4"/>
        <v>758696.99409623467</v>
      </c>
      <c r="Q6" s="28">
        <f t="shared" si="4"/>
        <v>767815.61402538943</v>
      </c>
      <c r="R6" s="28">
        <f t="shared" si="4"/>
        <v>777043.65739369427</v>
      </c>
      <c r="S6" s="28">
        <f t="shared" si="4"/>
        <v>821343.30799754616</v>
      </c>
      <c r="T6" s="28">
        <f t="shared" si="4"/>
        <v>831213.68369351665</v>
      </c>
      <c r="U6" s="28">
        <f t="shared" si="4"/>
        <v>841202.50389783899</v>
      </c>
      <c r="V6" s="28">
        <f t="shared" si="4"/>
        <v>886691.59110832238</v>
      </c>
      <c r="W6" s="28">
        <f t="shared" si="4"/>
        <v>897346.14620162209</v>
      </c>
      <c r="X6" s="28">
        <f t="shared" si="4"/>
        <v>908128.55595604156</v>
      </c>
      <c r="Y6" s="28">
        <f t="shared" si="4"/>
        <v>919040.35462751414</v>
      </c>
      <c r="Z6" s="28">
        <f t="shared" si="4"/>
        <v>968732.68577739981</v>
      </c>
      <c r="AA6" s="28">
        <f t="shared" si="4"/>
        <v>980371.73400672874</v>
      </c>
      <c r="AB6" s="28">
        <f t="shared" si="4"/>
        <v>992150.45081480942</v>
      </c>
      <c r="AC6" s="28">
        <f t="shared" si="4"/>
        <v>1004070.5122245871</v>
      </c>
      <c r="AD6" s="28">
        <f t="shared" si="4"/>
        <v>1058354.4718847149</v>
      </c>
      <c r="AE6" s="28">
        <f t="shared" si="4"/>
        <v>1071068.9815473314</v>
      </c>
      <c r="AF6" s="28">
        <f t="shared" si="4"/>
        <v>1083936.0653258995</v>
      </c>
      <c r="AG6" s="28">
        <f t="shared" si="4"/>
        <v>1142532.7648534982</v>
      </c>
      <c r="AH6" s="28">
        <f t="shared" si="4"/>
        <v>1156257.41403174</v>
      </c>
      <c r="AI6" s="28">
        <f t="shared" si="4"/>
        <v>1170146.7590001209</v>
      </c>
      <c r="AJ6" s="28">
        <f t="shared" si="4"/>
        <v>1184202.7761081224</v>
      </c>
      <c r="AK6" s="28">
        <f t="shared" si="4"/>
        <v>1198427.4654214198</v>
      </c>
      <c r="AL6" s="28">
        <f t="shared" si="4"/>
        <v>1263206.7005541765</v>
      </c>
      <c r="AM6" s="28">
        <f t="shared" si="4"/>
        <v>1278379.4369608266</v>
      </c>
      <c r="AN6" s="28">
        <f t="shared" si="4"/>
        <v>1293734.2462043567</v>
      </c>
      <c r="AO6" s="28">
        <f t="shared" si="4"/>
        <v>1309273.3131588087</v>
      </c>
      <c r="AP6" s="28">
        <f t="shared" si="4"/>
        <v>1380038.2240693846</v>
      </c>
      <c r="AQ6" s="28">
        <f t="shared" si="4"/>
        <v>1396612.9387582173</v>
      </c>
      <c r="AR6" s="28">
        <f t="shared" si="4"/>
        <v>1413386.5500233157</v>
      </c>
      <c r="AS6" s="28">
        <f t="shared" si="4"/>
        <v>1430361.4446235956</v>
      </c>
      <c r="AT6" s="28">
        <f t="shared" si="4"/>
        <v>1447540.037959079</v>
      </c>
      <c r="AU6" s="28">
        <f t="shared" si="4"/>
        <v>1464924.7744145878</v>
      </c>
      <c r="AV6" s="28">
        <f t="shared" si="4"/>
        <v>1482518.1277075626</v>
      </c>
      <c r="AW6" s="28">
        <f t="shared" si="4"/>
        <v>1500322.6012400538</v>
      </c>
      <c r="AX6" s="28">
        <f t="shared" ref="AX6:BB6" si="5">AX5-$B$14</f>
        <v>1518340.7284549344</v>
      </c>
      <c r="AY6" s="28">
        <f t="shared" si="5"/>
        <v>1536575.0731963937</v>
      </c>
      <c r="AZ6" s="28">
        <f t="shared" si="5"/>
        <v>1555028.2300747505</v>
      </c>
      <c r="BA6" s="28">
        <f t="shared" si="5"/>
        <v>1573702.8248356474</v>
      </c>
      <c r="BB6" s="28">
        <f t="shared" si="5"/>
        <v>1592601.5147336749</v>
      </c>
      <c r="BI6" s="2">
        <v>41520.265206920005</v>
      </c>
    </row>
    <row r="7" spans="1:61" x14ac:dyDescent="0.2">
      <c r="A7" s="2" t="str">
        <v>Top-bracket State Tax rate (%)</v>
      </c>
      <c r="B7" s="25">
        <v>0.15</v>
      </c>
      <c r="D7" s="2" t="s">
        <v>234</v>
      </c>
      <c r="E7" s="28">
        <f>E6*(1-$B$4)</f>
        <v>537128.44199001626</v>
      </c>
      <c r="F7" s="28">
        <f t="shared" ref="F7:AW7" si="6">F6*(1-$B$4)</f>
        <v>543587.09881389642</v>
      </c>
      <c r="G7" s="28">
        <f t="shared" si="6"/>
        <v>550123.25951966329</v>
      </c>
      <c r="H7" s="28">
        <f t="shared" si="6"/>
        <v>581500.40243065159</v>
      </c>
      <c r="I7" s="28">
        <f t="shared" si="6"/>
        <v>588491.52277981944</v>
      </c>
      <c r="J7" s="28">
        <f t="shared" si="6"/>
        <v>595566.5365731772</v>
      </c>
      <c r="K7" s="28">
        <f t="shared" si="6"/>
        <v>602726.45053205534</v>
      </c>
      <c r="L7" s="28">
        <f t="shared" si="6"/>
        <v>637097.94989251136</v>
      </c>
      <c r="M7" s="28">
        <f t="shared" si="6"/>
        <v>644756.24081122142</v>
      </c>
      <c r="N7" s="28">
        <f t="shared" si="6"/>
        <v>652506.43122095615</v>
      </c>
      <c r="O7" s="28">
        <f t="shared" si="6"/>
        <v>660349.62391560769</v>
      </c>
      <c r="P7" s="28">
        <f t="shared" si="6"/>
        <v>698001.23456853593</v>
      </c>
      <c r="Q7" s="28">
        <f t="shared" si="6"/>
        <v>706390.36490335828</v>
      </c>
      <c r="R7" s="28">
        <f t="shared" si="6"/>
        <v>714880.16480219876</v>
      </c>
      <c r="S7" s="28">
        <f t="shared" si="6"/>
        <v>755635.84335774253</v>
      </c>
      <c r="T7" s="28">
        <f t="shared" si="6"/>
        <v>764716.58899803529</v>
      </c>
      <c r="U7" s="28">
        <f t="shared" si="6"/>
        <v>773906.30358601187</v>
      </c>
      <c r="V7" s="28">
        <f t="shared" si="6"/>
        <v>815756.26381965657</v>
      </c>
      <c r="W7" s="28">
        <f t="shared" si="6"/>
        <v>825558.45450549235</v>
      </c>
      <c r="X7" s="28">
        <f t="shared" si="6"/>
        <v>835478.27147955832</v>
      </c>
      <c r="Y7" s="28">
        <f t="shared" si="6"/>
        <v>845517.12625731307</v>
      </c>
      <c r="Z7" s="28">
        <f t="shared" si="6"/>
        <v>891234.07091520785</v>
      </c>
      <c r="AA7" s="28">
        <f t="shared" si="6"/>
        <v>901941.99528619053</v>
      </c>
      <c r="AB7" s="28">
        <f t="shared" si="6"/>
        <v>912778.41474962467</v>
      </c>
      <c r="AC7" s="28">
        <f t="shared" si="6"/>
        <v>923744.8712466202</v>
      </c>
      <c r="AD7" s="28">
        <f t="shared" si="6"/>
        <v>973686.11413393775</v>
      </c>
      <c r="AE7" s="28">
        <f t="shared" si="6"/>
        <v>985383.46302354499</v>
      </c>
      <c r="AF7" s="28">
        <f t="shared" si="6"/>
        <v>997221.18009982759</v>
      </c>
      <c r="AG7" s="28">
        <f t="shared" si="6"/>
        <v>1051130.1436652185</v>
      </c>
      <c r="AH7" s="28">
        <f t="shared" si="6"/>
        <v>1063756.8209092009</v>
      </c>
      <c r="AI7" s="28">
        <f t="shared" si="6"/>
        <v>1076535.0182801113</v>
      </c>
      <c r="AJ7" s="28">
        <f t="shared" si="6"/>
        <v>1089466.5540194728</v>
      </c>
      <c r="AK7" s="28">
        <f t="shared" si="6"/>
        <v>1102553.2681877064</v>
      </c>
      <c r="AL7" s="28">
        <f t="shared" si="6"/>
        <v>1162150.1645098424</v>
      </c>
      <c r="AM7" s="28">
        <f t="shared" si="6"/>
        <v>1176109.0820039606</v>
      </c>
      <c r="AN7" s="28">
        <f t="shared" si="6"/>
        <v>1190235.5065080081</v>
      </c>
      <c r="AO7" s="28">
        <f t="shared" si="6"/>
        <v>1204531.448106104</v>
      </c>
      <c r="AP7" s="28">
        <f t="shared" si="6"/>
        <v>1269635.1661438339</v>
      </c>
      <c r="AQ7" s="28">
        <f t="shared" si="6"/>
        <v>1284883.90365756</v>
      </c>
      <c r="AR7" s="28">
        <f t="shared" si="6"/>
        <v>1300315.6260214506</v>
      </c>
      <c r="AS7" s="28">
        <f t="shared" si="6"/>
        <v>1315932.5290537081</v>
      </c>
      <c r="AT7" s="28">
        <f t="shared" si="6"/>
        <v>1331736.8349223528</v>
      </c>
      <c r="AU7" s="28">
        <f t="shared" si="6"/>
        <v>1347730.7924614209</v>
      </c>
      <c r="AV7" s="28">
        <f t="shared" si="6"/>
        <v>1363916.6774909578</v>
      </c>
      <c r="AW7" s="28">
        <f t="shared" si="6"/>
        <v>1380296.7931408496</v>
      </c>
      <c r="AX7" s="28">
        <f t="shared" ref="AX7:BB7" si="7">AX6*(1-$B$4)</f>
        <v>1396873.4701785396</v>
      </c>
      <c r="AY7" s="28">
        <f t="shared" si="7"/>
        <v>1413649.0673406823</v>
      </c>
      <c r="AZ7" s="28">
        <f t="shared" si="7"/>
        <v>1430625.9716687705</v>
      </c>
      <c r="BA7" s="28">
        <f t="shared" si="7"/>
        <v>1447806.5988487958</v>
      </c>
      <c r="BB7" s="28">
        <f t="shared" si="7"/>
        <v>1465193.3935549811</v>
      </c>
      <c r="BI7" s="2">
        <v>41921.735740907046</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43750.032552684017</v>
      </c>
    </row>
    <row r="9" spans="1:61" x14ac:dyDescent="0.2">
      <c r="A9" s="2" t="str">
        <v>Municipal Tax (%)</v>
      </c>
      <c r="B9" s="25">
        <v>0.25</v>
      </c>
      <c r="D9" s="2" t="s">
        <v>235</v>
      </c>
      <c r="E9" s="28">
        <f t="shared" ref="E9:AW9" si="9">E7-E8</f>
        <v>485528.44199001626</v>
      </c>
      <c r="F9" s="28">
        <f t="shared" si="9"/>
        <v>491987.09881389642</v>
      </c>
      <c r="G9" s="28">
        <f t="shared" si="9"/>
        <v>498523.25951966329</v>
      </c>
      <c r="H9" s="28">
        <f t="shared" si="9"/>
        <v>529900.40243065159</v>
      </c>
      <c r="I9" s="28">
        <f t="shared" si="9"/>
        <v>536891.52277981944</v>
      </c>
      <c r="J9" s="28">
        <f t="shared" si="9"/>
        <v>543966.5365731772</v>
      </c>
      <c r="K9" s="28">
        <f t="shared" si="9"/>
        <v>551126.45053205534</v>
      </c>
      <c r="L9" s="28">
        <f t="shared" si="9"/>
        <v>585497.94989251136</v>
      </c>
      <c r="M9" s="28">
        <f t="shared" si="9"/>
        <v>593156.24081122142</v>
      </c>
      <c r="N9" s="28">
        <f t="shared" si="9"/>
        <v>600906.43122095615</v>
      </c>
      <c r="O9" s="28">
        <f t="shared" si="9"/>
        <v>608749.62391560769</v>
      </c>
      <c r="P9" s="28">
        <f t="shared" si="9"/>
        <v>646401.23456853593</v>
      </c>
      <c r="Q9" s="28">
        <f t="shared" si="9"/>
        <v>654790.36490335828</v>
      </c>
      <c r="R9" s="28">
        <f t="shared" si="9"/>
        <v>663280.16480219876</v>
      </c>
      <c r="S9" s="28">
        <f t="shared" si="9"/>
        <v>704035.84335774253</v>
      </c>
      <c r="T9" s="28">
        <f t="shared" si="9"/>
        <v>713116.58899803529</v>
      </c>
      <c r="U9" s="28">
        <f t="shared" si="9"/>
        <v>722306.30358601187</v>
      </c>
      <c r="V9" s="28">
        <f t="shared" si="9"/>
        <v>764156.26381965657</v>
      </c>
      <c r="W9" s="28">
        <f t="shared" si="9"/>
        <v>773958.45450549235</v>
      </c>
      <c r="X9" s="28">
        <f t="shared" si="9"/>
        <v>783878.27147955832</v>
      </c>
      <c r="Y9" s="28">
        <f t="shared" si="9"/>
        <v>793917.12625731307</v>
      </c>
      <c r="Z9" s="28">
        <f t="shared" si="9"/>
        <v>839634.07091520785</v>
      </c>
      <c r="AA9" s="28">
        <f t="shared" si="9"/>
        <v>850341.99528619053</v>
      </c>
      <c r="AB9" s="28">
        <f t="shared" si="9"/>
        <v>861178.41474962467</v>
      </c>
      <c r="AC9" s="28">
        <f t="shared" si="9"/>
        <v>872144.8712466202</v>
      </c>
      <c r="AD9" s="28">
        <f t="shared" si="9"/>
        <v>922086.11413393775</v>
      </c>
      <c r="AE9" s="28">
        <f t="shared" si="9"/>
        <v>933783.46302354499</v>
      </c>
      <c r="AF9" s="28">
        <f t="shared" si="9"/>
        <v>945621.18009982759</v>
      </c>
      <c r="AG9" s="28">
        <f t="shared" si="9"/>
        <v>999530.14366521849</v>
      </c>
      <c r="AH9" s="28">
        <f t="shared" si="9"/>
        <v>1012156.8209092009</v>
      </c>
      <c r="AI9" s="28">
        <f t="shared" si="9"/>
        <v>1024935.0182801113</v>
      </c>
      <c r="AJ9" s="28">
        <f t="shared" si="9"/>
        <v>1037866.5540194728</v>
      </c>
      <c r="AK9" s="28">
        <f t="shared" si="9"/>
        <v>1050953.2681877064</v>
      </c>
      <c r="AL9" s="28">
        <f t="shared" si="9"/>
        <v>1110550.1645098424</v>
      </c>
      <c r="AM9" s="28">
        <f t="shared" si="9"/>
        <v>1124509.0820039606</v>
      </c>
      <c r="AN9" s="28">
        <f t="shared" si="9"/>
        <v>1138635.5065080081</v>
      </c>
      <c r="AO9" s="28">
        <f t="shared" si="9"/>
        <v>1152931.448106104</v>
      </c>
      <c r="AP9" s="28">
        <f t="shared" si="9"/>
        <v>1218035.1661438339</v>
      </c>
      <c r="AQ9" s="28">
        <f t="shared" si="9"/>
        <v>1233283.90365756</v>
      </c>
      <c r="AR9" s="28">
        <f t="shared" si="9"/>
        <v>1248715.6260214506</v>
      </c>
      <c r="AS9" s="28">
        <f t="shared" si="9"/>
        <v>1264332.5290537081</v>
      </c>
      <c r="AT9" s="28">
        <f t="shared" si="9"/>
        <v>1280136.8349223528</v>
      </c>
      <c r="AU9" s="28">
        <f t="shared" si="9"/>
        <v>1296130.7924614209</v>
      </c>
      <c r="AV9" s="28">
        <f t="shared" si="9"/>
        <v>1312316.6774909578</v>
      </c>
      <c r="AW9" s="28">
        <f t="shared" si="9"/>
        <v>1328696.7931408496</v>
      </c>
      <c r="AX9" s="28">
        <f t="shared" ref="AX9:BB9" si="10">AX7-AX8</f>
        <v>1345273.4701785396</v>
      </c>
      <c r="AY9" s="28">
        <f t="shared" si="10"/>
        <v>1362049.0673406823</v>
      </c>
      <c r="AZ9" s="28">
        <f t="shared" si="10"/>
        <v>1379025.9716687705</v>
      </c>
      <c r="BA9" s="28">
        <f t="shared" si="10"/>
        <v>1396206.5988487958</v>
      </c>
      <c r="BB9" s="28">
        <f t="shared" si="10"/>
        <v>1413593.3935549811</v>
      </c>
      <c r="BI9" s="2">
        <v>44178.26029482024</v>
      </c>
    </row>
    <row r="10" spans="1:61" x14ac:dyDescent="0.2">
      <c r="A10" s="2" t="str">
        <v>Capital Gains &lt; 67,500DKK</v>
      </c>
      <c r="B10" s="28">
        <v>0.27</v>
      </c>
      <c r="D10" s="2" t="s">
        <v>189</v>
      </c>
      <c r="E10" s="28">
        <f t="shared" ref="E10:AW10" si="11">E7*$B$9</f>
        <v>134282.11049750407</v>
      </c>
      <c r="F10" s="28">
        <f t="shared" si="11"/>
        <v>135896.7747034741</v>
      </c>
      <c r="G10" s="28">
        <f t="shared" si="11"/>
        <v>137530.81487991582</v>
      </c>
      <c r="H10" s="28">
        <f t="shared" si="11"/>
        <v>145375.1006076629</v>
      </c>
      <c r="I10" s="28">
        <f t="shared" si="11"/>
        <v>147122.88069495486</v>
      </c>
      <c r="J10" s="28">
        <f t="shared" si="11"/>
        <v>148891.6341432943</v>
      </c>
      <c r="K10" s="28">
        <f t="shared" si="11"/>
        <v>150681.61263301384</v>
      </c>
      <c r="L10" s="28">
        <f t="shared" si="11"/>
        <v>159274.48747312784</v>
      </c>
      <c r="M10" s="28">
        <f t="shared" si="11"/>
        <v>161189.06020280535</v>
      </c>
      <c r="N10" s="28">
        <f t="shared" si="11"/>
        <v>163126.60780523904</v>
      </c>
      <c r="O10" s="28">
        <f t="shared" si="11"/>
        <v>165087.40597890192</v>
      </c>
      <c r="P10" s="28">
        <f t="shared" si="11"/>
        <v>174500.30864213398</v>
      </c>
      <c r="Q10" s="28">
        <f t="shared" si="11"/>
        <v>176597.59122583957</v>
      </c>
      <c r="R10" s="28">
        <f t="shared" si="11"/>
        <v>178720.04120054969</v>
      </c>
      <c r="S10" s="28">
        <f t="shared" si="11"/>
        <v>188908.96083943563</v>
      </c>
      <c r="T10" s="28">
        <f t="shared" si="11"/>
        <v>191179.14724950882</v>
      </c>
      <c r="U10" s="28">
        <f t="shared" si="11"/>
        <v>193476.57589650297</v>
      </c>
      <c r="V10" s="28">
        <f t="shared" si="11"/>
        <v>203939.06595491414</v>
      </c>
      <c r="W10" s="28">
        <f t="shared" si="11"/>
        <v>206389.61362637309</v>
      </c>
      <c r="X10" s="28">
        <f t="shared" si="11"/>
        <v>208869.56786988958</v>
      </c>
      <c r="Y10" s="28">
        <f t="shared" si="11"/>
        <v>211379.28156432827</v>
      </c>
      <c r="Z10" s="28">
        <f t="shared" si="11"/>
        <v>222808.51772880196</v>
      </c>
      <c r="AA10" s="28">
        <f t="shared" si="11"/>
        <v>225485.49882154763</v>
      </c>
      <c r="AB10" s="28">
        <f t="shared" si="11"/>
        <v>228194.60368740617</v>
      </c>
      <c r="AC10" s="28">
        <f t="shared" si="11"/>
        <v>230936.21781165505</v>
      </c>
      <c r="AD10" s="28">
        <f t="shared" si="11"/>
        <v>243421.52853348444</v>
      </c>
      <c r="AE10" s="28">
        <f t="shared" si="11"/>
        <v>246345.86575588625</v>
      </c>
      <c r="AF10" s="28">
        <f t="shared" si="11"/>
        <v>249305.2950249569</v>
      </c>
      <c r="AG10" s="28">
        <f t="shared" si="11"/>
        <v>262782.53591630462</v>
      </c>
      <c r="AH10" s="28">
        <f t="shared" si="11"/>
        <v>265939.20522730023</v>
      </c>
      <c r="AI10" s="28">
        <f t="shared" si="11"/>
        <v>269133.75457002781</v>
      </c>
      <c r="AJ10" s="28">
        <f t="shared" si="11"/>
        <v>272366.6385048682</v>
      </c>
      <c r="AK10" s="28">
        <f t="shared" si="11"/>
        <v>275638.31704692659</v>
      </c>
      <c r="AL10" s="28">
        <f t="shared" si="11"/>
        <v>290537.5411274606</v>
      </c>
      <c r="AM10" s="28">
        <f t="shared" si="11"/>
        <v>294027.27050099015</v>
      </c>
      <c r="AN10" s="28">
        <f t="shared" si="11"/>
        <v>297558.87662700203</v>
      </c>
      <c r="AO10" s="28">
        <f t="shared" si="11"/>
        <v>301132.86202652601</v>
      </c>
      <c r="AP10" s="28">
        <f t="shared" si="11"/>
        <v>317408.79153595847</v>
      </c>
      <c r="AQ10" s="28">
        <f t="shared" si="11"/>
        <v>321220.97591439</v>
      </c>
      <c r="AR10" s="28">
        <f t="shared" si="11"/>
        <v>325078.90650536265</v>
      </c>
      <c r="AS10" s="28">
        <f t="shared" si="11"/>
        <v>328983.13226342702</v>
      </c>
      <c r="AT10" s="28">
        <f t="shared" si="11"/>
        <v>332934.2087305882</v>
      </c>
      <c r="AU10" s="28">
        <f t="shared" si="11"/>
        <v>336932.69811535522</v>
      </c>
      <c r="AV10" s="28">
        <f t="shared" si="11"/>
        <v>340979.16937273944</v>
      </c>
      <c r="AW10" s="28">
        <f t="shared" si="11"/>
        <v>345074.19828521239</v>
      </c>
      <c r="AX10" s="28">
        <f t="shared" ref="AX10:BB10" si="12">AX7*$B$9</f>
        <v>349218.36754463491</v>
      </c>
      <c r="AY10" s="28">
        <f t="shared" si="12"/>
        <v>353412.26683517057</v>
      </c>
      <c r="AZ10" s="28">
        <f t="shared" si="12"/>
        <v>357656.49291719263</v>
      </c>
      <c r="BA10" s="28">
        <f t="shared" si="12"/>
        <v>361951.64971219894</v>
      </c>
      <c r="BB10" s="28">
        <f t="shared" si="12"/>
        <v>366298.34838874527</v>
      </c>
      <c r="BI10" s="2">
        <v>44611.62676986208</v>
      </c>
    </row>
    <row r="11" spans="1:61" x14ac:dyDescent="0.2">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4200.1851852803893</v>
      </c>
      <c r="Q11" s="28">
        <f t="shared" si="13"/>
        <v>5458.5547355037415</v>
      </c>
      <c r="R11" s="28">
        <f t="shared" si="13"/>
        <v>6732.024720329814</v>
      </c>
      <c r="S11" s="28">
        <f t="shared" si="13"/>
        <v>12845.376503661379</v>
      </c>
      <c r="T11" s="28">
        <f t="shared" si="13"/>
        <v>14207.488349705294</v>
      </c>
      <c r="U11" s="28">
        <f t="shared" si="13"/>
        <v>15585.94553790178</v>
      </c>
      <c r="V11" s="28">
        <f t="shared" si="13"/>
        <v>21863.439572948486</v>
      </c>
      <c r="W11" s="28">
        <f t="shared" si="13"/>
        <v>23333.76817582385</v>
      </c>
      <c r="X11" s="28">
        <f t="shared" si="13"/>
        <v>24821.740721933747</v>
      </c>
      <c r="Y11" s="28">
        <f t="shared" si="13"/>
        <v>26327.56893859696</v>
      </c>
      <c r="Z11" s="28">
        <f t="shared" si="13"/>
        <v>33185.110637281177</v>
      </c>
      <c r="AA11" s="28">
        <f t="shared" si="13"/>
        <v>34791.299292928576</v>
      </c>
      <c r="AB11" s="28">
        <f t="shared" si="13"/>
        <v>36416.762212443697</v>
      </c>
      <c r="AC11" s="28">
        <f t="shared" si="13"/>
        <v>38061.730686993025</v>
      </c>
      <c r="AD11" s="28">
        <f t="shared" si="13"/>
        <v>45552.917120090664</v>
      </c>
      <c r="AE11" s="28">
        <f t="shared" si="13"/>
        <v>47307.51945353175</v>
      </c>
      <c r="AF11" s="28">
        <f t="shared" si="13"/>
        <v>49083.177014974135</v>
      </c>
      <c r="AG11" s="28">
        <f t="shared" si="13"/>
        <v>57169.521549782774</v>
      </c>
      <c r="AH11" s="28">
        <f t="shared" si="13"/>
        <v>59063.523136380136</v>
      </c>
      <c r="AI11" s="28">
        <f t="shared" si="13"/>
        <v>60980.252742016688</v>
      </c>
      <c r="AJ11" s="28">
        <f t="shared" si="13"/>
        <v>62919.983102920916</v>
      </c>
      <c r="AK11" s="28">
        <f t="shared" si="13"/>
        <v>64882.990228155948</v>
      </c>
      <c r="AL11" s="28">
        <f t="shared" si="13"/>
        <v>73822.524676476358</v>
      </c>
      <c r="AM11" s="28">
        <f t="shared" si="13"/>
        <v>75916.36230059409</v>
      </c>
      <c r="AN11" s="28">
        <f t="shared" si="13"/>
        <v>78035.325976201217</v>
      </c>
      <c r="AO11" s="28">
        <f t="shared" si="13"/>
        <v>80179.717215915603</v>
      </c>
      <c r="AP11" s="28">
        <f t="shared" si="13"/>
        <v>89945.274921575081</v>
      </c>
      <c r="AQ11" s="28">
        <f t="shared" si="13"/>
        <v>92232.585548634001</v>
      </c>
      <c r="AR11" s="28">
        <f t="shared" si="13"/>
        <v>94547.343903217596</v>
      </c>
      <c r="AS11" s="28">
        <f t="shared" si="13"/>
        <v>96889.879358056205</v>
      </c>
      <c r="AT11" s="28">
        <f t="shared" si="13"/>
        <v>99260.525238352915</v>
      </c>
      <c r="AU11" s="28">
        <f t="shared" si="13"/>
        <v>101659.61886921313</v>
      </c>
      <c r="AV11" s="28">
        <f t="shared" si="13"/>
        <v>104087.50162364366</v>
      </c>
      <c r="AW11" s="28">
        <f t="shared" si="13"/>
        <v>106544.51897112743</v>
      </c>
      <c r="AX11" s="28">
        <f t="shared" ref="AX11:BB11" si="14">MAX(AX9-$B$8,0)*$B$7</f>
        <v>109031.02052678094</v>
      </c>
      <c r="AY11" s="28">
        <f t="shared" si="14"/>
        <v>111547.36010110234</v>
      </c>
      <c r="AZ11" s="28">
        <f t="shared" si="14"/>
        <v>114093.89575031558</v>
      </c>
      <c r="BA11" s="28">
        <f t="shared" si="14"/>
        <v>116670.98982731935</v>
      </c>
      <c r="BB11" s="28">
        <f t="shared" si="14"/>
        <v>119279.00903324716</v>
      </c>
      <c r="BI11" s="2">
        <v>45050.193642604419</v>
      </c>
    </row>
    <row r="12" spans="1:61" x14ac:dyDescent="0.2">
      <c r="A12" s="2" t="str">
        <v>Capital Gains Threshold</v>
      </c>
      <c r="B12" s="53">
        <v>67500</v>
      </c>
      <c r="D12" s="2" t="s">
        <v>191</v>
      </c>
      <c r="E12" s="28">
        <f t="shared" ref="E12:AW12" si="15">E9*$B$6</f>
        <v>58311.96588300095</v>
      </c>
      <c r="F12" s="28">
        <f t="shared" si="15"/>
        <v>59087.650567548961</v>
      </c>
      <c r="G12" s="28">
        <f t="shared" si="15"/>
        <v>59872.643468311559</v>
      </c>
      <c r="H12" s="28">
        <f t="shared" si="15"/>
        <v>63641.038331921256</v>
      </c>
      <c r="I12" s="28">
        <f t="shared" si="15"/>
        <v>64480.671885856311</v>
      </c>
      <c r="J12" s="28">
        <f t="shared" si="15"/>
        <v>65330.381042438581</v>
      </c>
      <c r="K12" s="28">
        <f t="shared" si="15"/>
        <v>66190.286708899846</v>
      </c>
      <c r="L12" s="28">
        <f t="shared" si="15"/>
        <v>70318.303782090617</v>
      </c>
      <c r="M12" s="28">
        <f t="shared" si="15"/>
        <v>71238.064521427688</v>
      </c>
      <c r="N12" s="28">
        <f t="shared" si="15"/>
        <v>72168.862389636837</v>
      </c>
      <c r="O12" s="28">
        <f t="shared" si="15"/>
        <v>73110.829832264484</v>
      </c>
      <c r="P12" s="28">
        <f t="shared" si="15"/>
        <v>77632.788271681158</v>
      </c>
      <c r="Q12" s="28">
        <f t="shared" si="15"/>
        <v>78640.32282489333</v>
      </c>
      <c r="R12" s="28">
        <f t="shared" si="15"/>
        <v>79659.947792744075</v>
      </c>
      <c r="S12" s="28">
        <f t="shared" si="15"/>
        <v>84554.704787264884</v>
      </c>
      <c r="T12" s="28">
        <f t="shared" si="15"/>
        <v>85645.302338664042</v>
      </c>
      <c r="U12" s="28">
        <f t="shared" si="15"/>
        <v>86748.987060680025</v>
      </c>
      <c r="V12" s="28">
        <f t="shared" si="15"/>
        <v>91775.167284740746</v>
      </c>
      <c r="W12" s="28">
        <f t="shared" si="15"/>
        <v>92952.410386109637</v>
      </c>
      <c r="X12" s="28">
        <f t="shared" si="15"/>
        <v>94143.780404694946</v>
      </c>
      <c r="Y12" s="28">
        <f t="shared" si="15"/>
        <v>95349.446863503297</v>
      </c>
      <c r="Z12" s="28">
        <f t="shared" si="15"/>
        <v>100840.05191691646</v>
      </c>
      <c r="AA12" s="28">
        <f t="shared" si="15"/>
        <v>102126.07363387148</v>
      </c>
      <c r="AB12" s="28">
        <f t="shared" si="15"/>
        <v>103427.52761142992</v>
      </c>
      <c r="AC12" s="28">
        <f t="shared" si="15"/>
        <v>104744.59903671908</v>
      </c>
      <c r="AD12" s="28">
        <f t="shared" si="15"/>
        <v>110742.54230748593</v>
      </c>
      <c r="AE12" s="28">
        <f t="shared" si="15"/>
        <v>112147.39390912776</v>
      </c>
      <c r="AF12" s="28">
        <f t="shared" si="15"/>
        <v>113569.10372998929</v>
      </c>
      <c r="AG12" s="28">
        <f t="shared" si="15"/>
        <v>120043.57025419275</v>
      </c>
      <c r="AH12" s="28">
        <f t="shared" si="15"/>
        <v>121560.03419119502</v>
      </c>
      <c r="AI12" s="28">
        <f t="shared" si="15"/>
        <v>123094.69569544136</v>
      </c>
      <c r="AJ12" s="28">
        <f t="shared" si="15"/>
        <v>124647.77313773868</v>
      </c>
      <c r="AK12" s="28">
        <f t="shared" si="15"/>
        <v>126219.48750934353</v>
      </c>
      <c r="AL12" s="28">
        <f t="shared" si="15"/>
        <v>133377.07475763207</v>
      </c>
      <c r="AM12" s="28">
        <f t="shared" si="15"/>
        <v>135053.54074867567</v>
      </c>
      <c r="AN12" s="28">
        <f t="shared" si="15"/>
        <v>136750.12433161176</v>
      </c>
      <c r="AO12" s="28">
        <f t="shared" si="15"/>
        <v>138467.0669175431</v>
      </c>
      <c r="AP12" s="28">
        <f t="shared" si="15"/>
        <v>146286.02345387446</v>
      </c>
      <c r="AQ12" s="28">
        <f t="shared" si="15"/>
        <v>148117.39682927294</v>
      </c>
      <c r="AR12" s="28">
        <f t="shared" si="15"/>
        <v>149970.74668517621</v>
      </c>
      <c r="AS12" s="28">
        <f t="shared" si="15"/>
        <v>151846.33673935034</v>
      </c>
      <c r="AT12" s="28">
        <f t="shared" si="15"/>
        <v>153744.43387417457</v>
      </c>
      <c r="AU12" s="28">
        <f t="shared" si="15"/>
        <v>155665.30817461666</v>
      </c>
      <c r="AV12" s="28">
        <f t="shared" si="15"/>
        <v>157609.23296666401</v>
      </c>
      <c r="AW12" s="28">
        <f t="shared" si="15"/>
        <v>159576.48485621603</v>
      </c>
      <c r="AX12" s="28">
        <f t="shared" ref="AX12:BB12" si="16">AX9*$B$6</f>
        <v>161567.3437684426</v>
      </c>
      <c r="AY12" s="28">
        <f t="shared" si="16"/>
        <v>163582.09298761594</v>
      </c>
      <c r="AZ12" s="28">
        <f t="shared" si="16"/>
        <v>165621.01919741934</v>
      </c>
      <c r="BA12" s="28">
        <f t="shared" si="16"/>
        <v>167684.41252174036</v>
      </c>
      <c r="BB12" s="28">
        <f t="shared" si="16"/>
        <v>169772.56656595322</v>
      </c>
      <c r="BI12" s="2">
        <v>47047.427181073057</v>
      </c>
    </row>
    <row r="13" spans="1:61" x14ac:dyDescent="0.2">
      <c r="A13" s="2" t="s">
        <v>254</v>
      </c>
      <c r="B13" s="58">
        <v>99</v>
      </c>
      <c r="D13" s="2" t="s">
        <v>192</v>
      </c>
      <c r="E13" s="28">
        <f t="shared" ref="E13:AW13" si="17">SUM(E10:E12)</f>
        <v>192594.07638050502</v>
      </c>
      <c r="F13" s="28">
        <f t="shared" si="17"/>
        <v>194984.42527102306</v>
      </c>
      <c r="G13" s="28">
        <f t="shared" si="17"/>
        <v>197403.45834822737</v>
      </c>
      <c r="H13" s="28">
        <f t="shared" si="17"/>
        <v>209016.13893958414</v>
      </c>
      <c r="I13" s="28">
        <f t="shared" si="17"/>
        <v>211603.55258081117</v>
      </c>
      <c r="J13" s="28">
        <f t="shared" si="17"/>
        <v>214222.01518573289</v>
      </c>
      <c r="K13" s="28">
        <f t="shared" si="17"/>
        <v>216871.8993419137</v>
      </c>
      <c r="L13" s="28">
        <f t="shared" si="17"/>
        <v>229592.79125521844</v>
      </c>
      <c r="M13" s="28">
        <f t="shared" si="17"/>
        <v>232427.12472423306</v>
      </c>
      <c r="N13" s="28">
        <f t="shared" si="17"/>
        <v>235295.47019487587</v>
      </c>
      <c r="O13" s="28">
        <f t="shared" si="17"/>
        <v>238198.23581116641</v>
      </c>
      <c r="P13" s="28">
        <f t="shared" si="17"/>
        <v>256333.28209909552</v>
      </c>
      <c r="Q13" s="28">
        <f t="shared" si="17"/>
        <v>260696.46878623666</v>
      </c>
      <c r="R13" s="28">
        <f t="shared" si="17"/>
        <v>265112.01371362357</v>
      </c>
      <c r="S13" s="28">
        <f t="shared" si="17"/>
        <v>286309.04213036189</v>
      </c>
      <c r="T13" s="28">
        <f t="shared" si="17"/>
        <v>291031.93793787819</v>
      </c>
      <c r="U13" s="28">
        <f t="shared" si="17"/>
        <v>295811.50849508477</v>
      </c>
      <c r="V13" s="28">
        <f t="shared" si="17"/>
        <v>317577.67281260341</v>
      </c>
      <c r="W13" s="28">
        <f t="shared" si="17"/>
        <v>322675.79218830657</v>
      </c>
      <c r="X13" s="28">
        <f t="shared" si="17"/>
        <v>327835.08899651829</v>
      </c>
      <c r="Y13" s="28">
        <f t="shared" si="17"/>
        <v>333056.29736642854</v>
      </c>
      <c r="Z13" s="28">
        <f t="shared" si="17"/>
        <v>356833.68028299959</v>
      </c>
      <c r="AA13" s="28">
        <f t="shared" si="17"/>
        <v>362402.87174834765</v>
      </c>
      <c r="AB13" s="28">
        <f t="shared" si="17"/>
        <v>368038.89351127978</v>
      </c>
      <c r="AC13" s="28">
        <f t="shared" si="17"/>
        <v>373742.54753536714</v>
      </c>
      <c r="AD13" s="28">
        <f t="shared" si="17"/>
        <v>399716.98796106107</v>
      </c>
      <c r="AE13" s="28">
        <f t="shared" si="17"/>
        <v>405800.77911854576</v>
      </c>
      <c r="AF13" s="28">
        <f t="shared" si="17"/>
        <v>411957.57576992037</v>
      </c>
      <c r="AG13" s="28">
        <f t="shared" si="17"/>
        <v>439995.62772028014</v>
      </c>
      <c r="AH13" s="28">
        <f t="shared" si="17"/>
        <v>446562.7625548754</v>
      </c>
      <c r="AI13" s="28">
        <f t="shared" si="17"/>
        <v>453208.70300748583</v>
      </c>
      <c r="AJ13" s="28">
        <f t="shared" si="17"/>
        <v>459934.39474552782</v>
      </c>
      <c r="AK13" s="28">
        <f t="shared" si="17"/>
        <v>466740.79478442611</v>
      </c>
      <c r="AL13" s="28">
        <f t="shared" si="17"/>
        <v>497737.14056156902</v>
      </c>
      <c r="AM13" s="28">
        <f t="shared" si="17"/>
        <v>504997.1735502599</v>
      </c>
      <c r="AN13" s="28">
        <f t="shared" si="17"/>
        <v>512344.32693481504</v>
      </c>
      <c r="AO13" s="28">
        <f t="shared" si="17"/>
        <v>519779.64615998475</v>
      </c>
      <c r="AP13" s="28">
        <f t="shared" si="17"/>
        <v>553640.08991140802</v>
      </c>
      <c r="AQ13" s="28">
        <f t="shared" si="17"/>
        <v>561570.95829229697</v>
      </c>
      <c r="AR13" s="28">
        <f t="shared" si="17"/>
        <v>569596.99709375645</v>
      </c>
      <c r="AS13" s="28">
        <f t="shared" si="17"/>
        <v>577719.3483608336</v>
      </c>
      <c r="AT13" s="28">
        <f t="shared" si="17"/>
        <v>585939.16784311575</v>
      </c>
      <c r="AU13" s="28">
        <f t="shared" si="17"/>
        <v>594257.62515918503</v>
      </c>
      <c r="AV13" s="28">
        <f t="shared" si="17"/>
        <v>602675.90396304708</v>
      </c>
      <c r="AW13" s="28">
        <f t="shared" si="17"/>
        <v>611195.20211255585</v>
      </c>
      <c r="AX13" s="28">
        <f t="shared" ref="AX13:BB13" si="18">SUM(AX10:AX12)</f>
        <v>619816.73183985846</v>
      </c>
      <c r="AY13" s="28">
        <f t="shared" si="18"/>
        <v>628541.7199238888</v>
      </c>
      <c r="AZ13" s="28">
        <f t="shared" si="18"/>
        <v>637371.40786492755</v>
      </c>
      <c r="BA13" s="28">
        <f t="shared" si="18"/>
        <v>646307.05206125858</v>
      </c>
      <c r="BB13" s="28">
        <f t="shared" si="18"/>
        <v>655349.92398794566</v>
      </c>
      <c r="BI13" s="2">
        <v>47515.223658749928</v>
      </c>
    </row>
    <row r="14" spans="1:61" x14ac:dyDescent="0.2">
      <c r="A14" s="2" t="s">
        <v>255</v>
      </c>
      <c r="B14" s="28">
        <f>B13*12</f>
        <v>1188</v>
      </c>
      <c r="D14" s="2" t="s">
        <v>193</v>
      </c>
      <c r="E14" s="28">
        <f>E7-E13</f>
        <v>344534.36560951127</v>
      </c>
      <c r="F14" s="28">
        <f t="shared" ref="F14:AW14" si="19">F7-F13</f>
        <v>348602.67354287335</v>
      </c>
      <c r="G14" s="28">
        <f t="shared" si="19"/>
        <v>352719.80117143592</v>
      </c>
      <c r="H14" s="28">
        <f t="shared" si="19"/>
        <v>372484.26349106745</v>
      </c>
      <c r="I14" s="28">
        <f t="shared" si="19"/>
        <v>376887.97019900824</v>
      </c>
      <c r="J14" s="28">
        <f t="shared" si="19"/>
        <v>381344.52138744434</v>
      </c>
      <c r="K14" s="28">
        <f t="shared" si="19"/>
        <v>385854.55119014165</v>
      </c>
      <c r="L14" s="28">
        <f t="shared" si="19"/>
        <v>407505.15863729292</v>
      </c>
      <c r="M14" s="28">
        <f t="shared" si="19"/>
        <v>412329.11608698836</v>
      </c>
      <c r="N14" s="28">
        <f t="shared" si="19"/>
        <v>417210.9610260803</v>
      </c>
      <c r="O14" s="28">
        <f t="shared" si="19"/>
        <v>422151.38810444128</v>
      </c>
      <c r="P14" s="28">
        <f t="shared" si="19"/>
        <v>441667.95246944041</v>
      </c>
      <c r="Q14" s="28">
        <f t="shared" si="19"/>
        <v>445693.89611712162</v>
      </c>
      <c r="R14" s="28">
        <f t="shared" si="19"/>
        <v>449768.15108857519</v>
      </c>
      <c r="S14" s="28">
        <f t="shared" si="19"/>
        <v>469326.80122738064</v>
      </c>
      <c r="T14" s="28">
        <f t="shared" si="19"/>
        <v>473684.65106015711</v>
      </c>
      <c r="U14" s="28">
        <f t="shared" si="19"/>
        <v>478094.7950909271</v>
      </c>
      <c r="V14" s="28">
        <f t="shared" si="19"/>
        <v>498178.59100705315</v>
      </c>
      <c r="W14" s="28">
        <f t="shared" si="19"/>
        <v>502882.66231718578</v>
      </c>
      <c r="X14" s="28">
        <f t="shared" si="19"/>
        <v>507643.18248304003</v>
      </c>
      <c r="Y14" s="28">
        <f t="shared" si="19"/>
        <v>512460.82889088453</v>
      </c>
      <c r="Z14" s="28">
        <f t="shared" si="19"/>
        <v>534400.3906322082</v>
      </c>
      <c r="AA14" s="28">
        <f t="shared" si="19"/>
        <v>539539.12353784288</v>
      </c>
      <c r="AB14" s="28">
        <f t="shared" si="19"/>
        <v>544739.52123834495</v>
      </c>
      <c r="AC14" s="28">
        <f t="shared" si="19"/>
        <v>550002.323711253</v>
      </c>
      <c r="AD14" s="28">
        <f t="shared" si="19"/>
        <v>573969.12617287668</v>
      </c>
      <c r="AE14" s="28">
        <f t="shared" si="19"/>
        <v>579582.68390499917</v>
      </c>
      <c r="AF14" s="28">
        <f t="shared" si="19"/>
        <v>585263.60432990722</v>
      </c>
      <c r="AG14" s="28">
        <f t="shared" si="19"/>
        <v>611134.51594493841</v>
      </c>
      <c r="AH14" s="28">
        <f t="shared" si="19"/>
        <v>617194.05835432559</v>
      </c>
      <c r="AI14" s="28">
        <f t="shared" si="19"/>
        <v>623326.31527262542</v>
      </c>
      <c r="AJ14" s="28">
        <f t="shared" si="19"/>
        <v>629532.15927394503</v>
      </c>
      <c r="AK14" s="28">
        <f t="shared" si="19"/>
        <v>635812.47340328025</v>
      </c>
      <c r="AL14" s="28">
        <f t="shared" si="19"/>
        <v>664413.02394827339</v>
      </c>
      <c r="AM14" s="28">
        <f t="shared" si="19"/>
        <v>671111.90845370071</v>
      </c>
      <c r="AN14" s="28">
        <f t="shared" si="19"/>
        <v>677891.17957319308</v>
      </c>
      <c r="AO14" s="28">
        <f t="shared" si="19"/>
        <v>684751.80194611929</v>
      </c>
      <c r="AP14" s="28">
        <f t="shared" si="19"/>
        <v>715995.07623242587</v>
      </c>
      <c r="AQ14" s="28">
        <f t="shared" si="19"/>
        <v>723312.94536526303</v>
      </c>
      <c r="AR14" s="28">
        <f t="shared" si="19"/>
        <v>730718.62892769417</v>
      </c>
      <c r="AS14" s="28">
        <f t="shared" si="19"/>
        <v>738213.18069287448</v>
      </c>
      <c r="AT14" s="28">
        <f t="shared" si="19"/>
        <v>745797.66707923706</v>
      </c>
      <c r="AU14" s="28">
        <f t="shared" si="19"/>
        <v>753473.16730223584</v>
      </c>
      <c r="AV14" s="28">
        <f t="shared" si="19"/>
        <v>761240.7735279107</v>
      </c>
      <c r="AW14" s="28">
        <f t="shared" si="19"/>
        <v>769101.59102829371</v>
      </c>
      <c r="AX14" s="28">
        <f t="shared" ref="AX14:BB14" si="20">AX7-AX13</f>
        <v>777056.73833868117</v>
      </c>
      <c r="AY14" s="28">
        <f t="shared" si="20"/>
        <v>785107.34741679346</v>
      </c>
      <c r="AZ14" s="28">
        <f t="shared" si="20"/>
        <v>793254.56380384299</v>
      </c>
      <c r="BA14" s="28">
        <f t="shared" si="20"/>
        <v>801499.54678753717</v>
      </c>
      <c r="BB14" s="28">
        <f t="shared" si="20"/>
        <v>809843.46956703544</v>
      </c>
      <c r="BI14" s="2">
        <v>47988.633694158932</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50144.542995411532</v>
      </c>
    </row>
    <row r="16" spans="1:61" x14ac:dyDescent="0.2">
      <c r="D16" s="2" t="s">
        <v>267</v>
      </c>
      <c r="E16" s="28">
        <f>E14-E15</f>
        <v>335134.36560951127</v>
      </c>
      <c r="F16" s="28">
        <f t="shared" ref="F16:AW16" si="22">F14-F15</f>
        <v>339202.67354287335</v>
      </c>
      <c r="G16" s="28">
        <f t="shared" si="22"/>
        <v>343319.80117143592</v>
      </c>
      <c r="H16" s="28">
        <f t="shared" si="22"/>
        <v>363084.26349106745</v>
      </c>
      <c r="I16" s="28">
        <f t="shared" si="22"/>
        <v>367487.97019900824</v>
      </c>
      <c r="J16" s="28">
        <f t="shared" si="22"/>
        <v>371944.52138744434</v>
      </c>
      <c r="K16" s="28">
        <f t="shared" si="22"/>
        <v>376454.55119014165</v>
      </c>
      <c r="L16" s="28">
        <f t="shared" si="22"/>
        <v>398105.15863729292</v>
      </c>
      <c r="M16" s="28">
        <f t="shared" si="22"/>
        <v>402929.11608698836</v>
      </c>
      <c r="N16" s="28">
        <f t="shared" si="22"/>
        <v>407810.9610260803</v>
      </c>
      <c r="O16" s="28">
        <f t="shared" si="22"/>
        <v>412751.38810444128</v>
      </c>
      <c r="P16" s="28">
        <f t="shared" si="22"/>
        <v>432267.95246944041</v>
      </c>
      <c r="Q16" s="28">
        <f t="shared" si="22"/>
        <v>436293.89611712162</v>
      </c>
      <c r="R16" s="28">
        <f t="shared" si="22"/>
        <v>440368.15108857519</v>
      </c>
      <c r="S16" s="28">
        <f t="shared" si="22"/>
        <v>459926.80122738064</v>
      </c>
      <c r="T16" s="28">
        <f t="shared" si="22"/>
        <v>464284.65106015711</v>
      </c>
      <c r="U16" s="28">
        <f t="shared" si="22"/>
        <v>468694.7950909271</v>
      </c>
      <c r="V16" s="28">
        <f t="shared" si="22"/>
        <v>488778.59100705315</v>
      </c>
      <c r="W16" s="28">
        <f t="shared" si="22"/>
        <v>493482.66231718578</v>
      </c>
      <c r="X16" s="28">
        <f t="shared" si="22"/>
        <v>498243.18248304003</v>
      </c>
      <c r="Y16" s="28">
        <f t="shared" si="22"/>
        <v>503060.82889088453</v>
      </c>
      <c r="Z16" s="28">
        <f t="shared" si="22"/>
        <v>525000.3906322082</v>
      </c>
      <c r="AA16" s="28">
        <f t="shared" si="22"/>
        <v>530139.12353784288</v>
      </c>
      <c r="AB16" s="28">
        <f t="shared" si="22"/>
        <v>535339.52123834495</v>
      </c>
      <c r="AC16" s="28">
        <f t="shared" si="22"/>
        <v>540602.323711253</v>
      </c>
      <c r="AD16" s="28">
        <f t="shared" si="22"/>
        <v>564569.12617287668</v>
      </c>
      <c r="AE16" s="28">
        <f t="shared" si="22"/>
        <v>570182.68390499917</v>
      </c>
      <c r="AF16" s="28">
        <f t="shared" si="22"/>
        <v>575863.60432990722</v>
      </c>
      <c r="AG16" s="28">
        <f t="shared" si="22"/>
        <v>601734.51594493841</v>
      </c>
      <c r="AH16" s="28">
        <f t="shared" si="22"/>
        <v>607794.05835432559</v>
      </c>
      <c r="AI16" s="28">
        <f t="shared" si="22"/>
        <v>613926.31527262542</v>
      </c>
      <c r="AJ16" s="28">
        <f t="shared" si="22"/>
        <v>620132.15927394503</v>
      </c>
      <c r="AK16" s="28">
        <f t="shared" si="22"/>
        <v>626412.47340328025</v>
      </c>
      <c r="AL16" s="28">
        <f t="shared" si="22"/>
        <v>655013.02394827339</v>
      </c>
      <c r="AM16" s="28">
        <f t="shared" si="22"/>
        <v>661711.90845370071</v>
      </c>
      <c r="AN16" s="28">
        <f t="shared" si="22"/>
        <v>668491.17957319308</v>
      </c>
      <c r="AO16" s="28">
        <f t="shared" si="22"/>
        <v>675351.80194611929</v>
      </c>
      <c r="AP16" s="28">
        <f t="shared" si="22"/>
        <v>706595.07623242587</v>
      </c>
      <c r="AQ16" s="28">
        <f t="shared" si="22"/>
        <v>713912.94536526303</v>
      </c>
      <c r="AR16" s="28">
        <f t="shared" si="22"/>
        <v>721318.62892769417</v>
      </c>
      <c r="AS16" s="28">
        <f t="shared" si="22"/>
        <v>728813.18069287448</v>
      </c>
      <c r="AT16" s="28">
        <f t="shared" si="22"/>
        <v>736397.66707923706</v>
      </c>
      <c r="AU16" s="28">
        <f t="shared" si="22"/>
        <v>744073.16730223584</v>
      </c>
      <c r="AV16" s="28">
        <f t="shared" si="22"/>
        <v>751840.7735279107</v>
      </c>
      <c r="AW16" s="28">
        <f t="shared" si="22"/>
        <v>759701.59102829371</v>
      </c>
      <c r="AX16" s="28">
        <f t="shared" ref="AX16:BB16" si="23">AX14-AX15</f>
        <v>767656.73833868117</v>
      </c>
      <c r="AY16" s="28">
        <f t="shared" si="23"/>
        <v>775707.34741679346</v>
      </c>
      <c r="AZ16" s="28">
        <f t="shared" si="23"/>
        <v>783854.56380384299</v>
      </c>
      <c r="BA16" s="28">
        <f t="shared" si="23"/>
        <v>792099.54678753717</v>
      </c>
      <c r="BB16" s="28">
        <f t="shared" si="23"/>
        <v>800443.46956703544</v>
      </c>
      <c r="BI16" s="2">
        <v>50649.504862860464</v>
      </c>
    </row>
    <row r="17" spans="4:61" x14ac:dyDescent="0.2">
      <c r="D17" s="2" t="s">
        <v>196</v>
      </c>
      <c r="E17" s="28">
        <f>E16/12</f>
        <v>27927.863800792606</v>
      </c>
      <c r="F17" s="28">
        <f t="shared" ref="F17:AW17" si="24">F16/12</f>
        <v>28266.889461906114</v>
      </c>
      <c r="G17" s="28">
        <f t="shared" si="24"/>
        <v>28609.983430952994</v>
      </c>
      <c r="H17" s="28">
        <f t="shared" si="24"/>
        <v>30257.021957588953</v>
      </c>
      <c r="I17" s="28">
        <f t="shared" si="24"/>
        <v>30623.997516584019</v>
      </c>
      <c r="J17" s="28">
        <f t="shared" si="24"/>
        <v>30995.376782287029</v>
      </c>
      <c r="K17" s="28">
        <f t="shared" si="24"/>
        <v>31371.212599178471</v>
      </c>
      <c r="L17" s="28">
        <f t="shared" si="24"/>
        <v>33175.429886441074</v>
      </c>
      <c r="M17" s="28">
        <f t="shared" si="24"/>
        <v>33577.426340582366</v>
      </c>
      <c r="N17" s="28">
        <f t="shared" si="24"/>
        <v>33984.246752173356</v>
      </c>
      <c r="O17" s="28">
        <f t="shared" si="24"/>
        <v>34395.949008703443</v>
      </c>
      <c r="P17" s="28">
        <f t="shared" si="24"/>
        <v>36022.329372453365</v>
      </c>
      <c r="Q17" s="28">
        <f t="shared" si="24"/>
        <v>36357.824676426804</v>
      </c>
      <c r="R17" s="28">
        <f t="shared" si="24"/>
        <v>36697.345924047935</v>
      </c>
      <c r="S17" s="28">
        <f t="shared" si="24"/>
        <v>38327.233435615053</v>
      </c>
      <c r="T17" s="28">
        <f t="shared" si="24"/>
        <v>38690.387588346428</v>
      </c>
      <c r="U17" s="28">
        <f t="shared" si="24"/>
        <v>39057.899590910594</v>
      </c>
      <c r="V17" s="28">
        <f t="shared" si="24"/>
        <v>40731.549250587763</v>
      </c>
      <c r="W17" s="28">
        <f t="shared" si="24"/>
        <v>41123.555193098815</v>
      </c>
      <c r="X17" s="28">
        <f t="shared" si="24"/>
        <v>41520.265206920005</v>
      </c>
      <c r="Y17" s="28">
        <f t="shared" si="24"/>
        <v>41921.735740907046</v>
      </c>
      <c r="Z17" s="28">
        <f t="shared" si="24"/>
        <v>43750.032552684017</v>
      </c>
      <c r="AA17" s="28">
        <f t="shared" si="24"/>
        <v>44178.26029482024</v>
      </c>
      <c r="AB17" s="28">
        <f t="shared" si="24"/>
        <v>44611.62676986208</v>
      </c>
      <c r="AC17" s="28">
        <f t="shared" si="24"/>
        <v>45050.193642604419</v>
      </c>
      <c r="AD17" s="28">
        <f t="shared" si="24"/>
        <v>47047.427181073057</v>
      </c>
      <c r="AE17" s="28">
        <f t="shared" si="24"/>
        <v>47515.223658749928</v>
      </c>
      <c r="AF17" s="28">
        <f t="shared" si="24"/>
        <v>47988.633694158932</v>
      </c>
      <c r="AG17" s="28">
        <f t="shared" si="24"/>
        <v>50144.542995411532</v>
      </c>
      <c r="AH17" s="28">
        <f t="shared" si="24"/>
        <v>50649.504862860464</v>
      </c>
      <c r="AI17" s="28">
        <f t="shared" si="24"/>
        <v>51160.526272718787</v>
      </c>
      <c r="AJ17" s="28">
        <f t="shared" si="24"/>
        <v>51677.679939495421</v>
      </c>
      <c r="AK17" s="28">
        <f t="shared" si="24"/>
        <v>52201.039450273354</v>
      </c>
      <c r="AL17" s="28">
        <f t="shared" si="24"/>
        <v>54584.418662356118</v>
      </c>
      <c r="AM17" s="28">
        <f t="shared" si="24"/>
        <v>55142.659037808393</v>
      </c>
      <c r="AN17" s="28">
        <f t="shared" si="24"/>
        <v>55707.59829776609</v>
      </c>
      <c r="AO17" s="28">
        <f t="shared" si="24"/>
        <v>56279.316828843272</v>
      </c>
      <c r="AP17" s="28">
        <f t="shared" si="24"/>
        <v>58882.92301936882</v>
      </c>
      <c r="AQ17" s="28">
        <f t="shared" si="24"/>
        <v>59492.745447105255</v>
      </c>
      <c r="AR17" s="28">
        <f t="shared" si="24"/>
        <v>60109.885743974512</v>
      </c>
      <c r="AS17" s="28">
        <f t="shared" si="24"/>
        <v>60734.431724406204</v>
      </c>
      <c r="AT17" s="28">
        <f t="shared" si="24"/>
        <v>61366.47225660309</v>
      </c>
      <c r="AU17" s="28">
        <f t="shared" si="24"/>
        <v>62006.097275186323</v>
      </c>
      <c r="AV17" s="28">
        <f t="shared" si="24"/>
        <v>62653.397793992561</v>
      </c>
      <c r="AW17" s="28">
        <f t="shared" si="24"/>
        <v>63308.465919024478</v>
      </c>
      <c r="AX17" s="28">
        <f t="shared" ref="AX17:BB17" si="25">AX16/12</f>
        <v>63971.394861556764</v>
      </c>
      <c r="AY17" s="28">
        <f t="shared" si="25"/>
        <v>64642.278951399458</v>
      </c>
      <c r="AZ17" s="28">
        <f t="shared" si="25"/>
        <v>65321.213650320249</v>
      </c>
      <c r="BA17" s="28">
        <f t="shared" si="25"/>
        <v>66008.295565628097</v>
      </c>
      <c r="BB17" s="28">
        <f t="shared" si="25"/>
        <v>66703.622463919615</v>
      </c>
      <c r="BI17" s="2">
        <v>51160.526272718787</v>
      </c>
    </row>
    <row r="18" spans="4:61" x14ac:dyDescent="0.2">
      <c r="BI18" s="2">
        <v>51677.679939495421</v>
      </c>
    </row>
    <row r="19" spans="4:61" x14ac:dyDescent="0.2">
      <c r="BI19" s="2">
        <v>52201.039450273354</v>
      </c>
    </row>
    <row r="20" spans="4:61" x14ac:dyDescent="0.2">
      <c r="D20" s="26"/>
      <c r="BI20" s="2">
        <v>54584.418662356118</v>
      </c>
    </row>
    <row r="21" spans="4:61" x14ac:dyDescent="0.2">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55142.659037808393</v>
      </c>
    </row>
    <row r="22" spans="4:61" x14ac:dyDescent="0.2">
      <c r="D22" s="2" t="s">
        <v>202</v>
      </c>
      <c r="E22" s="26">
        <f>'Pensions P2'!$B$18+'Pensions P2'!$B$22+'Pensions P2'!$B$31</f>
        <v>59013.71460688021</v>
      </c>
      <c r="F22" s="26">
        <f>'Pensions P2'!$B$18+'Pensions P2'!$B$22+'Pensions P2'!$B$31</f>
        <v>59013.71460688021</v>
      </c>
      <c r="G22" s="26">
        <f>'Pensions P2'!$B$18+'Pensions P2'!$B$22+'Pensions P2'!$B$31</f>
        <v>59013.71460688021</v>
      </c>
      <c r="H22" s="26">
        <f>'Pensions P2'!$B$18+'Pensions P2'!$B$22+'Pensions P2'!$B$31</f>
        <v>59013.71460688021</v>
      </c>
      <c r="I22" s="26">
        <f>'Pensions P2'!$B$18+'Pensions P2'!$B$22+'Pensions P2'!$B$31</f>
        <v>59013.71460688021</v>
      </c>
      <c r="J22" s="26">
        <f>'Pensions P2'!$B$18+'Pensions P2'!$B$22+'Pensions P2'!$B$31</f>
        <v>59013.71460688021</v>
      </c>
      <c r="K22" s="26">
        <f>'Pensions P2'!$B$18+'Pensions P2'!$B$22+'Pensions P2'!$B$31</f>
        <v>59013.71460688021</v>
      </c>
      <c r="L22" s="26">
        <f>'Pensions P2'!$B$18+'Pensions P2'!$B$22+'Pensions P2'!$B$31</f>
        <v>59013.71460688021</v>
      </c>
      <c r="M22" s="26">
        <f>'Pensions P2'!$B$18+'Pensions P2'!$B$22+'Pensions P2'!$B$31</f>
        <v>59013.71460688021</v>
      </c>
      <c r="N22" s="26">
        <f>'Pensions P2'!$B$18+'Pensions P2'!$B$22+'Pensions P2'!$B$31</f>
        <v>59013.71460688021</v>
      </c>
      <c r="O22" s="26">
        <f>'Pensions P2'!$B$18+'Pensions P2'!$B$22+'Pensions P2'!$B$31</f>
        <v>59013.71460688021</v>
      </c>
      <c r="P22" s="26">
        <f>'Pensions P2'!$B$18+'Pensions P2'!$B$22+'Pensions P2'!$B$31</f>
        <v>59013.71460688021</v>
      </c>
      <c r="Q22" s="26">
        <f>'Pensions P2'!$B$18+'Pensions P2'!$B$22+'Pensions P2'!$B$31</f>
        <v>59013.71460688021</v>
      </c>
      <c r="R22" s="26">
        <f>'Pensions P2'!$B$18+'Pensions P2'!$B$22+'Pensions P2'!$B$31</f>
        <v>59013.71460688021</v>
      </c>
      <c r="S22" s="26">
        <f>'Pensions P2'!$B$18+'Pensions P2'!$B$22+'Pensions P2'!$B$31</f>
        <v>59013.71460688021</v>
      </c>
      <c r="T22" s="26">
        <f>'Pensions P2'!$B$18+'Pensions P2'!$B$22+'Pensions P2'!$B$31</f>
        <v>59013.71460688021</v>
      </c>
      <c r="U22" s="26">
        <f>'Pensions P2'!$B$18+'Pensions P2'!$B$22+'Pensions P2'!$B$31</f>
        <v>59013.71460688021</v>
      </c>
      <c r="V22" s="26">
        <f>'Pensions P2'!$B$18+'Pensions P2'!$B$22+'Pensions P2'!$B$31</f>
        <v>59013.71460688021</v>
      </c>
      <c r="W22" s="26">
        <f>'Pensions P2'!$B$18+'Pensions P2'!$B$22+'Pensions P2'!$B$31</f>
        <v>59013.71460688021</v>
      </c>
      <c r="X22" s="26">
        <f>'Pensions P2'!$B$18+'Pensions P2'!$B$22+'Pensions P2'!$B$31</f>
        <v>59013.71460688021</v>
      </c>
      <c r="Y22" s="26">
        <f>'Pensions P2'!$B$18+'Pensions P2'!$B$22+'Pensions P2'!$B$31</f>
        <v>59013.71460688021</v>
      </c>
      <c r="Z22" s="26">
        <f>'Pensions P2'!$B$18+'Pensions P2'!$B$22+'Pensions P2'!$B$31</f>
        <v>59013.71460688021</v>
      </c>
      <c r="AA22" s="26">
        <f>'Pensions P2'!$B$18+'Pensions P2'!$B$22+'Pensions P2'!$B$31</f>
        <v>59013.71460688021</v>
      </c>
      <c r="AB22" s="26">
        <f>'Pensions P2'!$B$18+'Pensions P2'!$B$22+'Pensions P2'!$B$31</f>
        <v>59013.71460688021</v>
      </c>
      <c r="AC22" s="26">
        <f>'Pensions P2'!$B$18+'Pensions P2'!$B$22+'Pensions P2'!$B$31</f>
        <v>59013.71460688021</v>
      </c>
      <c r="BI22" s="2">
        <v>55707.59829776609</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56279.316828843272</v>
      </c>
    </row>
    <row r="24" spans="4:61" x14ac:dyDescent="0.2">
      <c r="D24" s="2" t="s">
        <v>203</v>
      </c>
      <c r="E24" s="26">
        <f>E22*12</f>
        <v>708164.57528256252</v>
      </c>
      <c r="F24" s="26">
        <f t="shared" ref="F24:AC24" si="26">F22*12</f>
        <v>708164.57528256252</v>
      </c>
      <c r="G24" s="26">
        <f t="shared" si="26"/>
        <v>708164.57528256252</v>
      </c>
      <c r="H24" s="26">
        <f t="shared" si="26"/>
        <v>708164.57528256252</v>
      </c>
      <c r="I24" s="26">
        <f t="shared" si="26"/>
        <v>708164.57528256252</v>
      </c>
      <c r="J24" s="26">
        <f t="shared" si="26"/>
        <v>708164.57528256252</v>
      </c>
      <c r="K24" s="26">
        <f t="shared" si="26"/>
        <v>708164.57528256252</v>
      </c>
      <c r="L24" s="26">
        <f t="shared" si="26"/>
        <v>708164.57528256252</v>
      </c>
      <c r="M24" s="26">
        <f t="shared" si="26"/>
        <v>708164.57528256252</v>
      </c>
      <c r="N24" s="26">
        <f t="shared" si="26"/>
        <v>708164.57528256252</v>
      </c>
      <c r="O24" s="26">
        <f t="shared" si="26"/>
        <v>708164.57528256252</v>
      </c>
      <c r="P24" s="26">
        <f t="shared" si="26"/>
        <v>708164.57528256252</v>
      </c>
      <c r="Q24" s="26">
        <f t="shared" si="26"/>
        <v>708164.57528256252</v>
      </c>
      <c r="R24" s="26">
        <f t="shared" si="26"/>
        <v>708164.57528256252</v>
      </c>
      <c r="S24" s="26">
        <f t="shared" si="26"/>
        <v>708164.57528256252</v>
      </c>
      <c r="T24" s="26">
        <f t="shared" si="26"/>
        <v>708164.57528256252</v>
      </c>
      <c r="U24" s="26">
        <f t="shared" si="26"/>
        <v>708164.57528256252</v>
      </c>
      <c r="V24" s="26">
        <f t="shared" si="26"/>
        <v>708164.57528256252</v>
      </c>
      <c r="W24" s="26">
        <f t="shared" si="26"/>
        <v>708164.57528256252</v>
      </c>
      <c r="X24" s="26">
        <f t="shared" si="26"/>
        <v>708164.57528256252</v>
      </c>
      <c r="Y24" s="26">
        <f t="shared" si="26"/>
        <v>708164.57528256252</v>
      </c>
      <c r="Z24" s="26">
        <f t="shared" si="26"/>
        <v>708164.57528256252</v>
      </c>
      <c r="AA24" s="26">
        <f t="shared" si="26"/>
        <v>708164.57528256252</v>
      </c>
      <c r="AB24" s="26">
        <f t="shared" si="26"/>
        <v>708164.57528256252</v>
      </c>
      <c r="AC24" s="26">
        <f t="shared" si="26"/>
        <v>708164.57528256252</v>
      </c>
      <c r="BI24" s="2">
        <v>58882.92301936882</v>
      </c>
    </row>
    <row r="25" spans="4:61" x14ac:dyDescent="0.2">
      <c r="D25" s="2" t="s">
        <v>189</v>
      </c>
      <c r="E25" s="26">
        <f>E24*$B$9</f>
        <v>177041.14382064063</v>
      </c>
      <c r="F25" s="26">
        <f t="shared" ref="F25:AC25" si="27">F24*$B$9</f>
        <v>177041.14382064063</v>
      </c>
      <c r="G25" s="26">
        <f t="shared" si="27"/>
        <v>177041.14382064063</v>
      </c>
      <c r="H25" s="26">
        <f t="shared" si="27"/>
        <v>177041.14382064063</v>
      </c>
      <c r="I25" s="26">
        <f t="shared" si="27"/>
        <v>177041.14382064063</v>
      </c>
      <c r="J25" s="26">
        <f t="shared" si="27"/>
        <v>177041.14382064063</v>
      </c>
      <c r="K25" s="26">
        <f t="shared" si="27"/>
        <v>177041.14382064063</v>
      </c>
      <c r="L25" s="26">
        <f t="shared" si="27"/>
        <v>177041.14382064063</v>
      </c>
      <c r="M25" s="26">
        <f t="shared" si="27"/>
        <v>177041.14382064063</v>
      </c>
      <c r="N25" s="26">
        <f t="shared" si="27"/>
        <v>177041.14382064063</v>
      </c>
      <c r="O25" s="26">
        <f t="shared" si="27"/>
        <v>177041.14382064063</v>
      </c>
      <c r="P25" s="26">
        <f t="shared" si="27"/>
        <v>177041.14382064063</v>
      </c>
      <c r="Q25" s="26">
        <f t="shared" si="27"/>
        <v>177041.14382064063</v>
      </c>
      <c r="R25" s="26">
        <f t="shared" si="27"/>
        <v>177041.14382064063</v>
      </c>
      <c r="S25" s="26">
        <f t="shared" si="27"/>
        <v>177041.14382064063</v>
      </c>
      <c r="T25" s="26">
        <f t="shared" si="27"/>
        <v>177041.14382064063</v>
      </c>
      <c r="U25" s="26">
        <f t="shared" si="27"/>
        <v>177041.14382064063</v>
      </c>
      <c r="V25" s="26">
        <f t="shared" si="27"/>
        <v>177041.14382064063</v>
      </c>
      <c r="W25" s="26">
        <f t="shared" si="27"/>
        <v>177041.14382064063</v>
      </c>
      <c r="X25" s="26">
        <f t="shared" si="27"/>
        <v>177041.14382064063</v>
      </c>
      <c r="Y25" s="26">
        <f t="shared" si="27"/>
        <v>177041.14382064063</v>
      </c>
      <c r="Z25" s="26">
        <f t="shared" si="27"/>
        <v>177041.14382064063</v>
      </c>
      <c r="AA25" s="26">
        <f t="shared" si="27"/>
        <v>177041.14382064063</v>
      </c>
      <c r="AB25" s="26">
        <f t="shared" si="27"/>
        <v>177041.14382064063</v>
      </c>
      <c r="AC25" s="26">
        <f t="shared" si="27"/>
        <v>177041.14382064063</v>
      </c>
      <c r="BI25" s="2">
        <v>59492.745447105255</v>
      </c>
    </row>
    <row r="26" spans="4:61" x14ac:dyDescent="0.2">
      <c r="D26" s="2" t="s">
        <v>190</v>
      </c>
      <c r="E26" s="26">
        <f>MAX(E24-$B$8,0)*$B$7</f>
        <v>13464.686292384378</v>
      </c>
      <c r="F26" s="26">
        <f t="shared" ref="F26:AC26" si="28">MAX(F24-$B$8,0)*$B$7</f>
        <v>13464.686292384378</v>
      </c>
      <c r="G26" s="26">
        <f t="shared" si="28"/>
        <v>13464.686292384378</v>
      </c>
      <c r="H26" s="26">
        <f t="shared" si="28"/>
        <v>13464.686292384378</v>
      </c>
      <c r="I26" s="26">
        <f t="shared" si="28"/>
        <v>13464.686292384378</v>
      </c>
      <c r="J26" s="26">
        <f t="shared" si="28"/>
        <v>13464.686292384378</v>
      </c>
      <c r="K26" s="26">
        <f t="shared" si="28"/>
        <v>13464.686292384378</v>
      </c>
      <c r="L26" s="26">
        <f t="shared" si="28"/>
        <v>13464.686292384378</v>
      </c>
      <c r="M26" s="26">
        <f t="shared" si="28"/>
        <v>13464.686292384378</v>
      </c>
      <c r="N26" s="26">
        <f t="shared" si="28"/>
        <v>13464.686292384378</v>
      </c>
      <c r="O26" s="26">
        <f t="shared" si="28"/>
        <v>13464.686292384378</v>
      </c>
      <c r="P26" s="26">
        <f t="shared" si="28"/>
        <v>13464.686292384378</v>
      </c>
      <c r="Q26" s="26">
        <f t="shared" si="28"/>
        <v>13464.686292384378</v>
      </c>
      <c r="R26" s="26">
        <f t="shared" si="28"/>
        <v>13464.686292384378</v>
      </c>
      <c r="S26" s="26">
        <f t="shared" si="28"/>
        <v>13464.686292384378</v>
      </c>
      <c r="T26" s="26">
        <f t="shared" si="28"/>
        <v>13464.686292384378</v>
      </c>
      <c r="U26" s="26">
        <f t="shared" si="28"/>
        <v>13464.686292384378</v>
      </c>
      <c r="V26" s="26">
        <f t="shared" si="28"/>
        <v>13464.686292384378</v>
      </c>
      <c r="W26" s="26">
        <f t="shared" si="28"/>
        <v>13464.686292384378</v>
      </c>
      <c r="X26" s="26">
        <f t="shared" si="28"/>
        <v>13464.686292384378</v>
      </c>
      <c r="Y26" s="26">
        <f t="shared" si="28"/>
        <v>13464.686292384378</v>
      </c>
      <c r="Z26" s="26">
        <f t="shared" si="28"/>
        <v>13464.686292384378</v>
      </c>
      <c r="AA26" s="26">
        <f t="shared" si="28"/>
        <v>13464.686292384378</v>
      </c>
      <c r="AB26" s="26">
        <f t="shared" si="28"/>
        <v>13464.686292384378</v>
      </c>
      <c r="AC26" s="26">
        <f t="shared" si="28"/>
        <v>13464.686292384378</v>
      </c>
      <c r="BI26" s="2">
        <v>60109.885743974512</v>
      </c>
    </row>
    <row r="27" spans="4:61" x14ac:dyDescent="0.2">
      <c r="D27" s="2" t="s">
        <v>191</v>
      </c>
      <c r="E27" s="26">
        <f>E24*$B$6</f>
        <v>85050.565491435758</v>
      </c>
      <c r="F27" s="26">
        <f t="shared" ref="F27:AC27" si="29">F24*$B$6</f>
        <v>85050.565491435758</v>
      </c>
      <c r="G27" s="26">
        <f t="shared" si="29"/>
        <v>85050.565491435758</v>
      </c>
      <c r="H27" s="26">
        <f t="shared" si="29"/>
        <v>85050.565491435758</v>
      </c>
      <c r="I27" s="26">
        <f t="shared" si="29"/>
        <v>85050.565491435758</v>
      </c>
      <c r="J27" s="26">
        <f t="shared" si="29"/>
        <v>85050.565491435758</v>
      </c>
      <c r="K27" s="26">
        <f t="shared" si="29"/>
        <v>85050.565491435758</v>
      </c>
      <c r="L27" s="26">
        <f t="shared" si="29"/>
        <v>85050.565491435758</v>
      </c>
      <c r="M27" s="26">
        <f t="shared" si="29"/>
        <v>85050.565491435758</v>
      </c>
      <c r="N27" s="26">
        <f t="shared" si="29"/>
        <v>85050.565491435758</v>
      </c>
      <c r="O27" s="26">
        <f t="shared" si="29"/>
        <v>85050.565491435758</v>
      </c>
      <c r="P27" s="26">
        <f t="shared" si="29"/>
        <v>85050.565491435758</v>
      </c>
      <c r="Q27" s="26">
        <f t="shared" si="29"/>
        <v>85050.565491435758</v>
      </c>
      <c r="R27" s="26">
        <f t="shared" si="29"/>
        <v>85050.565491435758</v>
      </c>
      <c r="S27" s="26">
        <f t="shared" si="29"/>
        <v>85050.565491435758</v>
      </c>
      <c r="T27" s="26">
        <f t="shared" si="29"/>
        <v>85050.565491435758</v>
      </c>
      <c r="U27" s="26">
        <f t="shared" si="29"/>
        <v>85050.565491435758</v>
      </c>
      <c r="V27" s="26">
        <f t="shared" si="29"/>
        <v>85050.565491435758</v>
      </c>
      <c r="W27" s="26">
        <f t="shared" si="29"/>
        <v>85050.565491435758</v>
      </c>
      <c r="X27" s="26">
        <f t="shared" si="29"/>
        <v>85050.565491435758</v>
      </c>
      <c r="Y27" s="26">
        <f t="shared" si="29"/>
        <v>85050.565491435758</v>
      </c>
      <c r="Z27" s="26">
        <f t="shared" si="29"/>
        <v>85050.565491435758</v>
      </c>
      <c r="AA27" s="26">
        <f t="shared" si="29"/>
        <v>85050.565491435758</v>
      </c>
      <c r="AB27" s="26">
        <f t="shared" si="29"/>
        <v>85050.565491435758</v>
      </c>
      <c r="AC27" s="26">
        <f t="shared" si="29"/>
        <v>85050.565491435758</v>
      </c>
      <c r="BI27" s="2">
        <v>60734.431724406204</v>
      </c>
    </row>
    <row r="28" spans="4:61" x14ac:dyDescent="0.2">
      <c r="D28" s="2" t="s">
        <v>192</v>
      </c>
      <c r="E28" s="26">
        <f>SUM(E25:E27)</f>
        <v>275556.39560446073</v>
      </c>
      <c r="F28" s="26">
        <f>SUM(F25:F27)</f>
        <v>275556.39560446073</v>
      </c>
      <c r="G28" s="26">
        <f t="shared" ref="G28:AC28" si="30">SUM(G25:G27)</f>
        <v>275556.39560446073</v>
      </c>
      <c r="H28" s="26">
        <f t="shared" si="30"/>
        <v>275556.39560446073</v>
      </c>
      <c r="I28" s="26">
        <f t="shared" si="30"/>
        <v>275556.39560446073</v>
      </c>
      <c r="J28" s="26">
        <f t="shared" si="30"/>
        <v>275556.39560446073</v>
      </c>
      <c r="K28" s="26">
        <f t="shared" si="30"/>
        <v>275556.39560446073</v>
      </c>
      <c r="L28" s="26">
        <f t="shared" si="30"/>
        <v>275556.39560446073</v>
      </c>
      <c r="M28" s="26">
        <f t="shared" si="30"/>
        <v>275556.39560446073</v>
      </c>
      <c r="N28" s="26">
        <f t="shared" si="30"/>
        <v>275556.39560446073</v>
      </c>
      <c r="O28" s="26">
        <f t="shared" si="30"/>
        <v>275556.39560446073</v>
      </c>
      <c r="P28" s="26">
        <f t="shared" si="30"/>
        <v>275556.39560446073</v>
      </c>
      <c r="Q28" s="26">
        <f t="shared" si="30"/>
        <v>275556.39560446073</v>
      </c>
      <c r="R28" s="26">
        <f t="shared" si="30"/>
        <v>275556.39560446073</v>
      </c>
      <c r="S28" s="26">
        <f t="shared" si="30"/>
        <v>275556.39560446073</v>
      </c>
      <c r="T28" s="26">
        <f t="shared" si="30"/>
        <v>275556.39560446073</v>
      </c>
      <c r="U28" s="26">
        <f t="shared" si="30"/>
        <v>275556.39560446073</v>
      </c>
      <c r="V28" s="26">
        <f t="shared" si="30"/>
        <v>275556.39560446073</v>
      </c>
      <c r="W28" s="26">
        <f t="shared" si="30"/>
        <v>275556.39560446073</v>
      </c>
      <c r="X28" s="26">
        <f t="shared" si="30"/>
        <v>275556.39560446073</v>
      </c>
      <c r="Y28" s="26">
        <f t="shared" si="30"/>
        <v>275556.39560446073</v>
      </c>
      <c r="Z28" s="26">
        <f t="shared" si="30"/>
        <v>275556.39560446073</v>
      </c>
      <c r="AA28" s="26">
        <f t="shared" si="30"/>
        <v>275556.39560446073</v>
      </c>
      <c r="AB28" s="26">
        <f t="shared" si="30"/>
        <v>275556.39560446073</v>
      </c>
      <c r="AC28" s="26">
        <f t="shared" si="30"/>
        <v>275556.39560446073</v>
      </c>
      <c r="BI28" s="2">
        <v>61366.47225660309</v>
      </c>
    </row>
    <row r="29" spans="4:61" x14ac:dyDescent="0.2">
      <c r="D29" s="2" t="s">
        <v>193</v>
      </c>
      <c r="E29" s="26">
        <f>E24-E28</f>
        <v>432608.17967810179</v>
      </c>
      <c r="F29" s="26">
        <f t="shared" ref="F29:AC29" si="31">F24-F28</f>
        <v>432608.17967810179</v>
      </c>
      <c r="G29" s="26">
        <f t="shared" si="31"/>
        <v>432608.17967810179</v>
      </c>
      <c r="H29" s="26">
        <f t="shared" si="31"/>
        <v>432608.17967810179</v>
      </c>
      <c r="I29" s="26">
        <f t="shared" si="31"/>
        <v>432608.17967810179</v>
      </c>
      <c r="J29" s="26">
        <f t="shared" si="31"/>
        <v>432608.17967810179</v>
      </c>
      <c r="K29" s="26">
        <f t="shared" si="31"/>
        <v>432608.17967810179</v>
      </c>
      <c r="L29" s="26">
        <f t="shared" si="31"/>
        <v>432608.17967810179</v>
      </c>
      <c r="M29" s="26">
        <f t="shared" si="31"/>
        <v>432608.17967810179</v>
      </c>
      <c r="N29" s="26">
        <f t="shared" si="31"/>
        <v>432608.17967810179</v>
      </c>
      <c r="O29" s="26">
        <f t="shared" si="31"/>
        <v>432608.17967810179</v>
      </c>
      <c r="P29" s="26">
        <f t="shared" si="31"/>
        <v>432608.17967810179</v>
      </c>
      <c r="Q29" s="26">
        <f t="shared" si="31"/>
        <v>432608.17967810179</v>
      </c>
      <c r="R29" s="26">
        <f t="shared" si="31"/>
        <v>432608.17967810179</v>
      </c>
      <c r="S29" s="26">
        <f t="shared" si="31"/>
        <v>432608.17967810179</v>
      </c>
      <c r="T29" s="26">
        <f t="shared" si="31"/>
        <v>432608.17967810179</v>
      </c>
      <c r="U29" s="26">
        <f t="shared" si="31"/>
        <v>432608.17967810179</v>
      </c>
      <c r="V29" s="26">
        <f t="shared" si="31"/>
        <v>432608.17967810179</v>
      </c>
      <c r="W29" s="26">
        <f t="shared" si="31"/>
        <v>432608.17967810179</v>
      </c>
      <c r="X29" s="26">
        <f t="shared" si="31"/>
        <v>432608.17967810179</v>
      </c>
      <c r="Y29" s="26">
        <f t="shared" si="31"/>
        <v>432608.17967810179</v>
      </c>
      <c r="Z29" s="26">
        <f t="shared" si="31"/>
        <v>432608.17967810179</v>
      </c>
      <c r="AA29" s="26">
        <f t="shared" si="31"/>
        <v>432608.17967810179</v>
      </c>
      <c r="AB29" s="26">
        <f t="shared" si="31"/>
        <v>432608.17967810179</v>
      </c>
      <c r="AC29" s="26">
        <f t="shared" si="31"/>
        <v>432608.17967810179</v>
      </c>
      <c r="BI29" s="2">
        <v>62006.097275186323</v>
      </c>
    </row>
    <row r="30" spans="4:61" x14ac:dyDescent="0.2">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62653.397793992561</v>
      </c>
    </row>
    <row r="31" spans="4:61" x14ac:dyDescent="0.2">
      <c r="D31" s="2" t="s">
        <v>196</v>
      </c>
      <c r="E31" s="26">
        <f>(E29/12)+E30</f>
        <v>39220.046208475855</v>
      </c>
      <c r="F31" s="26">
        <f t="shared" ref="F31:AC31" si="32">(F29/12)+F30</f>
        <v>39220.046208475855</v>
      </c>
      <c r="G31" s="26">
        <f t="shared" si="32"/>
        <v>39220.046208475855</v>
      </c>
      <c r="H31" s="26">
        <f t="shared" si="32"/>
        <v>39220.046208475855</v>
      </c>
      <c r="I31" s="26">
        <f t="shared" si="32"/>
        <v>39220.046208475855</v>
      </c>
      <c r="J31" s="26">
        <f t="shared" si="32"/>
        <v>39220.046208475855</v>
      </c>
      <c r="K31" s="26">
        <f t="shared" si="32"/>
        <v>39220.046208475855</v>
      </c>
      <c r="L31" s="26">
        <f t="shared" si="32"/>
        <v>39220.046208475855</v>
      </c>
      <c r="M31" s="26">
        <f t="shared" si="32"/>
        <v>39220.046208475855</v>
      </c>
      <c r="N31" s="26">
        <f t="shared" si="32"/>
        <v>39220.046208475855</v>
      </c>
      <c r="O31" s="26">
        <f t="shared" si="32"/>
        <v>39220.046208475855</v>
      </c>
      <c r="P31" s="26">
        <f t="shared" si="32"/>
        <v>39220.046208475855</v>
      </c>
      <c r="Q31" s="26">
        <f t="shared" si="32"/>
        <v>39220.046208475855</v>
      </c>
      <c r="R31" s="26">
        <f t="shared" si="32"/>
        <v>39220.046208475855</v>
      </c>
      <c r="S31" s="26">
        <f t="shared" si="32"/>
        <v>39220.046208475855</v>
      </c>
      <c r="T31" s="26">
        <f t="shared" si="32"/>
        <v>39220.046208475855</v>
      </c>
      <c r="U31" s="26">
        <f t="shared" si="32"/>
        <v>39220.046208475855</v>
      </c>
      <c r="V31" s="26">
        <f t="shared" si="32"/>
        <v>39220.046208475855</v>
      </c>
      <c r="W31" s="26">
        <f t="shared" si="32"/>
        <v>39220.046208475855</v>
      </c>
      <c r="X31" s="26">
        <f t="shared" si="32"/>
        <v>39220.046208475855</v>
      </c>
      <c r="Y31" s="26">
        <f t="shared" si="32"/>
        <v>39220.046208475855</v>
      </c>
      <c r="Z31" s="26">
        <f t="shared" si="32"/>
        <v>39220.046208475855</v>
      </c>
      <c r="AA31" s="26">
        <f t="shared" si="32"/>
        <v>39220.046208475855</v>
      </c>
      <c r="AB31" s="26">
        <f t="shared" si="32"/>
        <v>39220.046208475855</v>
      </c>
      <c r="AC31" s="26">
        <f t="shared" si="32"/>
        <v>39220.046208475855</v>
      </c>
      <c r="BI31" s="2">
        <v>63308.465919024478</v>
      </c>
    </row>
    <row r="32" spans="4:61" x14ac:dyDescent="0.2">
      <c r="D32" s="2" t="s">
        <v>274</v>
      </c>
      <c r="E32" s="26">
        <f>Income!$L$37</f>
        <v>53362.897971135688</v>
      </c>
      <c r="F32" s="26">
        <f>Income!$L$37</f>
        <v>53362.897971135688</v>
      </c>
      <c r="G32" s="26">
        <f>Income!$L$37</f>
        <v>53362.897971135688</v>
      </c>
      <c r="H32" s="26">
        <f>Income!$L$37</f>
        <v>53362.897971135688</v>
      </c>
      <c r="I32" s="26">
        <f>Income!$L$37</f>
        <v>53362.897971135688</v>
      </c>
      <c r="J32" s="26">
        <f>Income!$L$37</f>
        <v>53362.897971135688</v>
      </c>
      <c r="K32" s="26">
        <f>Income!$L$37</f>
        <v>53362.897971135688</v>
      </c>
      <c r="L32" s="26">
        <f>Income!$L$37</f>
        <v>53362.897971135688</v>
      </c>
      <c r="M32" s="26">
        <f>Income!$L$37</f>
        <v>53362.897971135688</v>
      </c>
      <c r="N32" s="26">
        <f>Income!$L$37</f>
        <v>53362.897971135688</v>
      </c>
      <c r="O32" s="26">
        <f>Income!$L$37</f>
        <v>53362.897971135688</v>
      </c>
      <c r="P32" s="26">
        <f>Income!$L$37</f>
        <v>53362.897971135688</v>
      </c>
      <c r="Q32" s="26">
        <f>Income!$L$37</f>
        <v>53362.897971135688</v>
      </c>
      <c r="R32" s="26">
        <f>Income!$L$37</f>
        <v>53362.897971135688</v>
      </c>
      <c r="S32" s="26">
        <f>Income!$L$37</f>
        <v>53362.897971135688</v>
      </c>
      <c r="T32" s="26">
        <f>Income!$L$37</f>
        <v>53362.897971135688</v>
      </c>
      <c r="U32" s="26">
        <f>Income!$L$37</f>
        <v>53362.897971135688</v>
      </c>
      <c r="V32" s="26">
        <f>Income!$L$37</f>
        <v>53362.897971135688</v>
      </c>
      <c r="W32" s="26">
        <f>Income!$L$37</f>
        <v>53362.897971135688</v>
      </c>
      <c r="X32" s="26">
        <f>Income!$L$37</f>
        <v>53362.897971135688</v>
      </c>
      <c r="Y32" s="26">
        <f>Income!$L$37</f>
        <v>53362.897971135688</v>
      </c>
      <c r="Z32" s="26">
        <f>Income!$L$37</f>
        <v>53362.897971135688</v>
      </c>
      <c r="AA32" s="26">
        <f>Income!$L$37</f>
        <v>53362.897971135688</v>
      </c>
      <c r="AB32" s="26">
        <f>Income!$L$37</f>
        <v>53362.897971135688</v>
      </c>
      <c r="AC32" s="26">
        <f>Income!$L$37</f>
        <v>53362.897971135688</v>
      </c>
      <c r="BI32" s="2">
        <v>63971.394861556764</v>
      </c>
    </row>
    <row r="33" spans="4:61" x14ac:dyDescent="0.2">
      <c r="D33" s="2" t="s">
        <v>204</v>
      </c>
      <c r="E33" s="26">
        <f>E32-E31</f>
        <v>14142.851762659833</v>
      </c>
      <c r="F33" s="26">
        <f t="shared" ref="F33:AC33" si="33">F32-F31</f>
        <v>14142.851762659833</v>
      </c>
      <c r="G33" s="26">
        <f t="shared" si="33"/>
        <v>14142.851762659833</v>
      </c>
      <c r="H33" s="26">
        <f t="shared" si="33"/>
        <v>14142.851762659833</v>
      </c>
      <c r="I33" s="26">
        <f t="shared" si="33"/>
        <v>14142.851762659833</v>
      </c>
      <c r="J33" s="26">
        <f t="shared" si="33"/>
        <v>14142.851762659833</v>
      </c>
      <c r="K33" s="26">
        <f t="shared" si="33"/>
        <v>14142.851762659833</v>
      </c>
      <c r="L33" s="26">
        <f t="shared" si="33"/>
        <v>14142.851762659833</v>
      </c>
      <c r="M33" s="26">
        <f t="shared" si="33"/>
        <v>14142.851762659833</v>
      </c>
      <c r="N33" s="26">
        <f t="shared" si="33"/>
        <v>14142.851762659833</v>
      </c>
      <c r="O33" s="26">
        <f t="shared" si="33"/>
        <v>14142.851762659833</v>
      </c>
      <c r="P33" s="26">
        <f t="shared" si="33"/>
        <v>14142.851762659833</v>
      </c>
      <c r="Q33" s="26">
        <f t="shared" si="33"/>
        <v>14142.851762659833</v>
      </c>
      <c r="R33" s="26">
        <f t="shared" si="33"/>
        <v>14142.851762659833</v>
      </c>
      <c r="S33" s="26">
        <f t="shared" si="33"/>
        <v>14142.851762659833</v>
      </c>
      <c r="T33" s="26">
        <f t="shared" si="33"/>
        <v>14142.851762659833</v>
      </c>
      <c r="U33" s="26">
        <f t="shared" si="33"/>
        <v>14142.851762659833</v>
      </c>
      <c r="V33" s="26">
        <f t="shared" si="33"/>
        <v>14142.851762659833</v>
      </c>
      <c r="W33" s="26">
        <f t="shared" si="33"/>
        <v>14142.851762659833</v>
      </c>
      <c r="X33" s="26">
        <f t="shared" si="33"/>
        <v>14142.851762659833</v>
      </c>
      <c r="Y33" s="26">
        <f t="shared" si="33"/>
        <v>14142.851762659833</v>
      </c>
      <c r="Z33" s="26">
        <f t="shared" si="33"/>
        <v>14142.851762659833</v>
      </c>
      <c r="AA33" s="26">
        <f t="shared" si="33"/>
        <v>14142.851762659833</v>
      </c>
      <c r="AB33" s="26">
        <f t="shared" si="33"/>
        <v>14142.851762659833</v>
      </c>
      <c r="AC33" s="26">
        <f t="shared" si="33"/>
        <v>14142.851762659833</v>
      </c>
      <c r="BI33" s="2">
        <v>64642.278951399458</v>
      </c>
    </row>
    <row r="34" spans="4:61" x14ac:dyDescent="0.2">
      <c r="D34" s="2" t="s">
        <v>264</v>
      </c>
      <c r="E34" s="26">
        <f>E33*(1+$B$10)</f>
        <v>17961.421738577988</v>
      </c>
      <c r="F34" s="26">
        <f t="shared" ref="F34:AC34" si="34">F33*(1+$B$10)</f>
        <v>17961.421738577988</v>
      </c>
      <c r="G34" s="26">
        <f t="shared" si="34"/>
        <v>17961.421738577988</v>
      </c>
      <c r="H34" s="26">
        <f t="shared" si="34"/>
        <v>17961.421738577988</v>
      </c>
      <c r="I34" s="26">
        <f t="shared" si="34"/>
        <v>17961.421738577988</v>
      </c>
      <c r="J34" s="26">
        <f t="shared" si="34"/>
        <v>17961.421738577988</v>
      </c>
      <c r="K34" s="26">
        <f t="shared" si="34"/>
        <v>17961.421738577988</v>
      </c>
      <c r="L34" s="26">
        <f t="shared" si="34"/>
        <v>17961.421738577988</v>
      </c>
      <c r="M34" s="26">
        <f t="shared" si="34"/>
        <v>17961.421738577988</v>
      </c>
      <c r="N34" s="26">
        <f t="shared" si="34"/>
        <v>17961.421738577988</v>
      </c>
      <c r="O34" s="26">
        <f t="shared" si="34"/>
        <v>17961.421738577988</v>
      </c>
      <c r="P34" s="26">
        <f t="shared" si="34"/>
        <v>17961.421738577988</v>
      </c>
      <c r="Q34" s="26">
        <f t="shared" si="34"/>
        <v>17961.421738577988</v>
      </c>
      <c r="R34" s="26">
        <f t="shared" si="34"/>
        <v>17961.421738577988</v>
      </c>
      <c r="S34" s="26">
        <f t="shared" si="34"/>
        <v>17961.421738577988</v>
      </c>
      <c r="T34" s="26">
        <f t="shared" si="34"/>
        <v>17961.421738577988</v>
      </c>
      <c r="U34" s="26">
        <f t="shared" si="34"/>
        <v>17961.421738577988</v>
      </c>
      <c r="V34" s="26">
        <f t="shared" si="34"/>
        <v>17961.421738577988</v>
      </c>
      <c r="W34" s="26">
        <f t="shared" si="34"/>
        <v>17961.421738577988</v>
      </c>
      <c r="X34" s="26">
        <f t="shared" si="34"/>
        <v>17961.421738577988</v>
      </c>
      <c r="Y34" s="26">
        <f t="shared" si="34"/>
        <v>17961.421738577988</v>
      </c>
      <c r="Z34" s="26">
        <f t="shared" si="34"/>
        <v>17961.421738577988</v>
      </c>
      <c r="AA34" s="26">
        <f t="shared" si="34"/>
        <v>17961.421738577988</v>
      </c>
      <c r="AB34" s="26">
        <f t="shared" si="34"/>
        <v>17961.421738577988</v>
      </c>
      <c r="AC34" s="26">
        <f t="shared" si="34"/>
        <v>17961.421738577988</v>
      </c>
      <c r="BI34" s="2">
        <v>65321.213650320249</v>
      </c>
    </row>
    <row r="35" spans="4:61" x14ac:dyDescent="0.2">
      <c r="D35" s="2" t="s">
        <v>265</v>
      </c>
      <c r="E35" s="26">
        <f>E34*12</f>
        <v>215537.06086293585</v>
      </c>
      <c r="F35" s="26">
        <f t="shared" ref="F35:AC35" si="35">F34*12</f>
        <v>215537.06086293585</v>
      </c>
      <c r="G35" s="26">
        <f t="shared" si="35"/>
        <v>215537.06086293585</v>
      </c>
      <c r="H35" s="26">
        <f t="shared" si="35"/>
        <v>215537.06086293585</v>
      </c>
      <c r="I35" s="26">
        <f t="shared" si="35"/>
        <v>215537.06086293585</v>
      </c>
      <c r="J35" s="26">
        <f t="shared" si="35"/>
        <v>215537.06086293585</v>
      </c>
      <c r="K35" s="26">
        <f t="shared" si="35"/>
        <v>215537.06086293585</v>
      </c>
      <c r="L35" s="26">
        <f t="shared" si="35"/>
        <v>215537.06086293585</v>
      </c>
      <c r="M35" s="26">
        <f t="shared" si="35"/>
        <v>215537.06086293585</v>
      </c>
      <c r="N35" s="26">
        <f t="shared" si="35"/>
        <v>215537.06086293585</v>
      </c>
      <c r="O35" s="26">
        <f t="shared" si="35"/>
        <v>215537.06086293585</v>
      </c>
      <c r="P35" s="26">
        <f t="shared" si="35"/>
        <v>215537.06086293585</v>
      </c>
      <c r="Q35" s="26">
        <f t="shared" si="35"/>
        <v>215537.06086293585</v>
      </c>
      <c r="R35" s="26">
        <f t="shared" si="35"/>
        <v>215537.06086293585</v>
      </c>
      <c r="S35" s="26">
        <f t="shared" si="35"/>
        <v>215537.06086293585</v>
      </c>
      <c r="T35" s="26">
        <f t="shared" si="35"/>
        <v>215537.06086293585</v>
      </c>
      <c r="U35" s="26">
        <f t="shared" si="35"/>
        <v>215537.06086293585</v>
      </c>
      <c r="V35" s="26">
        <f t="shared" si="35"/>
        <v>215537.06086293585</v>
      </c>
      <c r="W35" s="26">
        <f t="shared" si="35"/>
        <v>215537.06086293585</v>
      </c>
      <c r="X35" s="26">
        <f t="shared" si="35"/>
        <v>215537.06086293585</v>
      </c>
      <c r="Y35" s="26">
        <f t="shared" si="35"/>
        <v>215537.06086293585</v>
      </c>
      <c r="Z35" s="26">
        <f t="shared" si="35"/>
        <v>215537.06086293585</v>
      </c>
      <c r="AA35" s="26">
        <f t="shared" si="35"/>
        <v>215537.06086293585</v>
      </c>
      <c r="AB35" s="26">
        <f t="shared" si="35"/>
        <v>215537.06086293585</v>
      </c>
      <c r="AC35" s="26">
        <f t="shared" si="35"/>
        <v>215537.06086293585</v>
      </c>
      <c r="BI35" s="2">
        <v>66008.295565628097</v>
      </c>
    </row>
    <row r="36" spans="4:61" x14ac:dyDescent="0.2">
      <c r="BI36" s="2">
        <v>66703.622463919615</v>
      </c>
    </row>
    <row r="37" spans="4:61" x14ac:dyDescent="0.2">
      <c r="D37" s="2" t="s">
        <v>205</v>
      </c>
      <c r="E37" s="27">
        <f>SUM(E35:AC35)</f>
        <v>5388426.5215733992</v>
      </c>
      <c r="BI37" s="2">
        <v>0</v>
      </c>
    </row>
    <row r="38" spans="4:61" x14ac:dyDescent="0.2">
      <c r="E38" s="26"/>
    </row>
    <row r="39" spans="4:61" x14ac:dyDescent="0.2">
      <c r="E39" s="57">
        <f>1500000</f>
        <v>1500000</v>
      </c>
      <c r="F39" s="57">
        <f>E39/25</f>
        <v>60000</v>
      </c>
    </row>
    <row r="43" spans="4:61" x14ac:dyDescent="0.2">
      <c r="E43" s="28"/>
    </row>
    <row r="44" spans="4:61" x14ac:dyDescent="0.2">
      <c r="E44" s="28"/>
    </row>
    <row r="45" spans="4:61" x14ac:dyDescent="0.2">
      <c r="E45" s="26"/>
    </row>
    <row r="46" spans="4:61" x14ac:dyDescent="0.2">
      <c r="E46" s="26"/>
    </row>
    <row r="47" spans="4:61" x14ac:dyDescent="0.2">
      <c r="E47" s="26"/>
    </row>
    <row r="48" spans="4:61" x14ac:dyDescent="0.2">
      <c r="E48" s="26"/>
    </row>
    <row r="49" spans="5:5" x14ac:dyDescent="0.2">
      <c r="E49" s="26"/>
    </row>
    <row r="50" spans="5:5" x14ac:dyDescent="0.2">
      <c r="E50" s="26"/>
    </row>
    <row r="51" spans="5:5" x14ac:dyDescent="0.2">
      <c r="E51" s="26"/>
    </row>
    <row r="52" spans="5:5" x14ac:dyDescent="0.2">
      <c r="E52" s="26"/>
    </row>
    <row r="53" spans="5:5" x14ac:dyDescent="0.2">
      <c r="E53" s="26"/>
    </row>
    <row r="54" spans="5:5" x14ac:dyDescent="0.2">
      <c r="E54" s="26"/>
    </row>
    <row r="55" spans="5:5" x14ac:dyDescent="0.2">
      <c r="E55" s="26"/>
    </row>
    <row r="56" spans="5:5" x14ac:dyDescent="0.2">
      <c r="E56" s="26"/>
    </row>
    <row r="57" spans="5:5" x14ac:dyDescent="0.2">
      <c r="E57" s="26"/>
    </row>
    <row r="58" spans="5:5" x14ac:dyDescent="0.2">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baseColWidth="10" defaultColWidth="9.1640625" defaultRowHeight="15" x14ac:dyDescent="0.2"/>
  <cols>
    <col min="1" max="1" width="30.6640625" style="2" bestFit="1" customWidth="1"/>
    <col min="2" max="2" width="13.33203125" style="2" bestFit="1" customWidth="1"/>
    <col min="3" max="3" width="9.1640625" style="2"/>
    <col min="4" max="4" width="43.5" style="2" bestFit="1" customWidth="1"/>
    <col min="5" max="5" width="21" style="2" bestFit="1" customWidth="1"/>
    <col min="6" max="7" width="14.5" style="2" customWidth="1"/>
    <col min="8" max="49" width="19" style="2" bestFit="1" customWidth="1"/>
    <col min="50" max="55" width="15" style="2" bestFit="1" customWidth="1"/>
    <col min="56" max="59" width="9.1640625" style="2"/>
    <col min="60" max="60" width="38.83203125" style="2" bestFit="1" customWidth="1"/>
    <col min="61" max="16384" width="9.1640625" style="2"/>
  </cols>
  <sheetData>
    <row r="1" spans="1:61" x14ac:dyDescent="0.2">
      <c r="A1" s="2" t="s">
        <v>62</v>
      </c>
      <c r="B1" s="17">
        <f>'Salary Variables'!$C$2</f>
        <v>1.8000000000000002E-2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
      <c r="A2" s="2" t="s">
        <v>194</v>
      </c>
      <c r="B2" s="28">
        <f>'Salary Variables'!$C$14</f>
        <v>9400</v>
      </c>
      <c r="D2" s="2" t="s">
        <v>195</v>
      </c>
      <c r="E2" s="29" cm="1">
        <f t="array" ref="E2:BB2">TRANSPOSE(Income!O3:O52)</f>
        <v>43506.876227897839</v>
      </c>
      <c r="F2" s="29">
        <v>44028.958742632611</v>
      </c>
      <c r="G2" s="29">
        <v>46406.522514734774</v>
      </c>
      <c r="H2" s="29">
        <v>46963.400784911595</v>
      </c>
      <c r="I2" s="29">
        <v>47526.961594330533</v>
      </c>
      <c r="J2" s="29">
        <v>48097.285133462501</v>
      </c>
      <c r="K2" s="29">
        <v>50694.538530669481</v>
      </c>
      <c r="L2" s="29">
        <v>51302.872993037512</v>
      </c>
      <c r="M2" s="29">
        <v>51918.507468953962</v>
      </c>
      <c r="N2" s="29">
        <v>52541.529558581409</v>
      </c>
      <c r="O2" s="29">
        <v>55378.772154744802</v>
      </c>
      <c r="P2" s="29">
        <v>56043.317420601743</v>
      </c>
      <c r="Q2" s="29">
        <v>56715.837229648962</v>
      </c>
      <c r="R2" s="29">
        <v>59778.492440050002</v>
      </c>
      <c r="S2" s="29">
        <v>60495.834349330602</v>
      </c>
      <c r="T2" s="29">
        <v>61221.784361522572</v>
      </c>
      <c r="U2" s="29">
        <v>61956.445773860847</v>
      </c>
      <c r="V2" s="29">
        <v>62699.923123147179</v>
      </c>
      <c r="W2" s="29">
        <v>66085.718971797134</v>
      </c>
      <c r="X2" s="29">
        <v>66878.7475994587</v>
      </c>
      <c r="Y2" s="29">
        <v>67681.292570652207</v>
      </c>
      <c r="Z2" s="29">
        <v>68493.468081500032</v>
      </c>
      <c r="AA2" s="29">
        <v>72192.115357901028</v>
      </c>
      <c r="AB2" s="29">
        <v>73058.420742195842</v>
      </c>
      <c r="AC2" s="29">
        <v>73935.121791102196</v>
      </c>
      <c r="AD2" s="29">
        <v>74822.343252595427</v>
      </c>
      <c r="AE2" s="29">
        <v>75720.211371626574</v>
      </c>
      <c r="AF2" s="29">
        <v>76628.853908086094</v>
      </c>
      <c r="AG2" s="29">
        <v>77548.40015498313</v>
      </c>
      <c r="AH2" s="29">
        <v>78478.980956842934</v>
      </c>
      <c r="AI2" s="29">
        <v>79420.728728325048</v>
      </c>
      <c r="AJ2" s="29">
        <v>80373.777473064954</v>
      </c>
      <c r="AK2" s="29">
        <v>81338.262802741738</v>
      </c>
      <c r="AL2" s="29">
        <v>82314.321956374639</v>
      </c>
      <c r="AM2" s="29">
        <v>83302.093819851129</v>
      </c>
      <c r="AN2" s="29">
        <v>87800.406886123092</v>
      </c>
      <c r="AO2" s="29">
        <v>88854.011768756565</v>
      </c>
      <c r="AP2" s="29">
        <v>89920.259909981643</v>
      </c>
      <c r="AQ2" s="29">
        <v>90999.303028901428</v>
      </c>
      <c r="AR2" s="29">
        <v>92091.29466524825</v>
      </c>
      <c r="AS2" s="29">
        <v>93196.390201231232</v>
      </c>
      <c r="AT2" s="29">
        <v>94314.746883646003</v>
      </c>
      <c r="AU2" s="29">
        <v>95446.523846249751</v>
      </c>
      <c r="AV2" s="29">
        <v>96591.882132404746</v>
      </c>
      <c r="AW2" s="29">
        <v>97750.984717993604</v>
      </c>
      <c r="AX2" s="2">
        <v>98923.996534609527</v>
      </c>
      <c r="AY2" s="2">
        <v>100111.08449302484</v>
      </c>
      <c r="AZ2" s="2">
        <v>101312.41750694114</v>
      </c>
      <c r="BA2" s="2">
        <v>102528.16651702444</v>
      </c>
      <c r="BB2" s="2">
        <v>103758.50451522873</v>
      </c>
      <c r="BH2" s="2" t="s">
        <v>206</v>
      </c>
      <c r="BI2" s="2" cm="1">
        <f t="array" ref="BI2:BI52">TRANSPOSE(E17:BC17)</f>
        <v>23627.679062289459</v>
      </c>
    </row>
    <row r="3" spans="1:61" x14ac:dyDescent="0.2">
      <c r="D3" s="2" t="s">
        <v>186</v>
      </c>
      <c r="E3" s="29">
        <f>E2*12</f>
        <v>522082.51473477407</v>
      </c>
      <c r="F3" s="29">
        <f t="shared" ref="F3:AV3" si="0">F2*12</f>
        <v>528347.5049115913</v>
      </c>
      <c r="G3" s="29">
        <f t="shared" si="0"/>
        <v>556878.27017681731</v>
      </c>
      <c r="H3" s="29">
        <f t="shared" si="0"/>
        <v>563560.80941893917</v>
      </c>
      <c r="I3" s="29">
        <f t="shared" si="0"/>
        <v>570323.53913196642</v>
      </c>
      <c r="J3" s="29">
        <f t="shared" si="0"/>
        <v>577167.42160154996</v>
      </c>
      <c r="K3" s="29">
        <f t="shared" si="0"/>
        <v>608334.46236803383</v>
      </c>
      <c r="L3" s="29">
        <f t="shared" si="0"/>
        <v>615634.47591645014</v>
      </c>
      <c r="M3" s="29">
        <f t="shared" si="0"/>
        <v>623022.08962744754</v>
      </c>
      <c r="N3" s="29">
        <f t="shared" si="0"/>
        <v>630498.35470297688</v>
      </c>
      <c r="O3" s="29">
        <f t="shared" si="0"/>
        <v>664545.26585693762</v>
      </c>
      <c r="P3" s="29">
        <f t="shared" si="0"/>
        <v>672519.80904722097</v>
      </c>
      <c r="Q3" s="29">
        <f t="shared" si="0"/>
        <v>680590.04675578757</v>
      </c>
      <c r="R3" s="29">
        <f t="shared" si="0"/>
        <v>717341.90928060003</v>
      </c>
      <c r="S3" s="29">
        <f t="shared" si="0"/>
        <v>725950.01219196722</v>
      </c>
      <c r="T3" s="29">
        <f t="shared" si="0"/>
        <v>734661.41233827081</v>
      </c>
      <c r="U3" s="29">
        <f t="shared" si="0"/>
        <v>743477.34928633017</v>
      </c>
      <c r="V3" s="29">
        <f t="shared" si="0"/>
        <v>752399.0774777662</v>
      </c>
      <c r="W3" s="29">
        <f t="shared" si="0"/>
        <v>793028.62766156555</v>
      </c>
      <c r="X3" s="29">
        <f t="shared" si="0"/>
        <v>802544.9711935044</v>
      </c>
      <c r="Y3" s="29">
        <f t="shared" si="0"/>
        <v>812175.51084782649</v>
      </c>
      <c r="Z3" s="29">
        <f t="shared" si="0"/>
        <v>821921.61697800038</v>
      </c>
      <c r="AA3" s="29">
        <f t="shared" si="0"/>
        <v>866305.38429481233</v>
      </c>
      <c r="AB3" s="29">
        <f t="shared" si="0"/>
        <v>876701.04890635004</v>
      </c>
      <c r="AC3" s="29">
        <f t="shared" si="0"/>
        <v>887221.46149322635</v>
      </c>
      <c r="AD3" s="29">
        <f t="shared" si="0"/>
        <v>897868.11903114512</v>
      </c>
      <c r="AE3" s="29">
        <f t="shared" si="0"/>
        <v>908642.53645951883</v>
      </c>
      <c r="AF3" s="29">
        <f t="shared" si="0"/>
        <v>919546.24689703318</v>
      </c>
      <c r="AG3" s="29">
        <f t="shared" si="0"/>
        <v>930580.80185979756</v>
      </c>
      <c r="AH3" s="29">
        <f t="shared" si="0"/>
        <v>941747.77148211515</v>
      </c>
      <c r="AI3" s="29">
        <f t="shared" si="0"/>
        <v>953048.74473990058</v>
      </c>
      <c r="AJ3" s="29">
        <f t="shared" si="0"/>
        <v>964485.32967677945</v>
      </c>
      <c r="AK3" s="29">
        <f t="shared" si="0"/>
        <v>976059.15363290091</v>
      </c>
      <c r="AL3" s="29">
        <f t="shared" si="0"/>
        <v>987771.86347649572</v>
      </c>
      <c r="AM3" s="29">
        <f t="shared" si="0"/>
        <v>999625.1258382136</v>
      </c>
      <c r="AN3" s="29">
        <f t="shared" si="0"/>
        <v>1053604.882633477</v>
      </c>
      <c r="AO3" s="29">
        <f t="shared" si="0"/>
        <v>1066248.1412250788</v>
      </c>
      <c r="AP3" s="29">
        <f t="shared" si="0"/>
        <v>1079043.1189197798</v>
      </c>
      <c r="AQ3" s="29">
        <f t="shared" si="0"/>
        <v>1091991.636346817</v>
      </c>
      <c r="AR3" s="29">
        <f t="shared" si="0"/>
        <v>1105095.535982979</v>
      </c>
      <c r="AS3" s="29">
        <f t="shared" si="0"/>
        <v>1118356.6824147748</v>
      </c>
      <c r="AT3" s="29">
        <f t="shared" si="0"/>
        <v>1131776.962603752</v>
      </c>
      <c r="AU3" s="29">
        <f t="shared" si="0"/>
        <v>1145358.2861549971</v>
      </c>
      <c r="AV3" s="29">
        <f t="shared" si="0"/>
        <v>1159102.5855888571</v>
      </c>
      <c r="AW3" s="29">
        <f t="shared" ref="AW3:BB3" si="1">AW2*12</f>
        <v>1173011.8166159233</v>
      </c>
      <c r="AX3" s="29">
        <f t="shared" si="1"/>
        <v>1187087.9584153143</v>
      </c>
      <c r="AY3" s="29">
        <f t="shared" si="1"/>
        <v>1201333.013916298</v>
      </c>
      <c r="AZ3" s="29">
        <f t="shared" si="1"/>
        <v>1215749.0100832938</v>
      </c>
      <c r="BA3" s="29">
        <f t="shared" si="1"/>
        <v>1230337.9982042932</v>
      </c>
      <c r="BB3" s="29">
        <f t="shared" si="1"/>
        <v>1245102.0541827448</v>
      </c>
      <c r="BI3" s="2">
        <v>23915.10250654093</v>
      </c>
    </row>
    <row r="4" spans="1:61" x14ac:dyDescent="0.2">
      <c r="A4" s="2" t="str" cm="1">
        <f t="array" ref="A4:B12">'Salary Variables'!$B$16:$C$24</f>
        <v>AM (%)</v>
      </c>
      <c r="B4" s="25">
        <v>0.08</v>
      </c>
      <c r="D4" s="2" t="s">
        <v>277</v>
      </c>
      <c r="E4" s="29">
        <f>'Pensions P1'!B4*12</f>
        <v>26104.125736738701</v>
      </c>
      <c r="F4" s="29">
        <f>'Pensions P1'!C4*12</f>
        <v>26417.375245579569</v>
      </c>
      <c r="G4" s="29">
        <f>'Pensions P1'!D4*12</f>
        <v>27843.913508840866</v>
      </c>
      <c r="H4" s="29">
        <f>'Pensions P1'!E4*12</f>
        <v>28178.040470946959</v>
      </c>
      <c r="I4" s="29">
        <f>'Pensions P1'!F4*12</f>
        <v>28516.17695659832</v>
      </c>
      <c r="J4" s="29">
        <f>'Pensions P1'!G4*12</f>
        <v>28858.371080077501</v>
      </c>
      <c r="K4" s="29">
        <f>'Pensions P1'!H4*12</f>
        <v>30416.723118401693</v>
      </c>
      <c r="L4" s="29">
        <f>'Pensions P1'!I4*12</f>
        <v>30781.723795822509</v>
      </c>
      <c r="M4" s="29">
        <f>'Pensions P1'!J4*12</f>
        <v>31151.104481372378</v>
      </c>
      <c r="N4" s="29">
        <f>'Pensions P1'!K4*12</f>
        <v>31524.917735148847</v>
      </c>
      <c r="O4" s="29">
        <f>'Pensions P1'!L4*12</f>
        <v>33227.263292846881</v>
      </c>
      <c r="P4" s="29">
        <f>'Pensions P1'!M4*12</f>
        <v>33625.990452361046</v>
      </c>
      <c r="Q4" s="29">
        <f>'Pensions P1'!N4*12</f>
        <v>34029.502337789381</v>
      </c>
      <c r="R4" s="29">
        <f>'Pensions P1'!O4*12</f>
        <v>35867.095464030004</v>
      </c>
      <c r="S4" s="29">
        <f>'Pensions P1'!P4*12</f>
        <v>36297.500609598363</v>
      </c>
      <c r="T4" s="29">
        <f>'Pensions P1'!Q4*12</f>
        <v>36733.070616913545</v>
      </c>
      <c r="U4" s="29">
        <f>'Pensions P1'!R4*12</f>
        <v>37173.867464316514</v>
      </c>
      <c r="V4" s="29">
        <f>'Pensions P1'!S4*12</f>
        <v>37619.953873888313</v>
      </c>
      <c r="W4" s="29">
        <f>'Pensions P1'!T4*12</f>
        <v>39651.431383078285</v>
      </c>
      <c r="X4" s="29">
        <f>'Pensions P1'!U4*12</f>
        <v>40127.248559675223</v>
      </c>
      <c r="Y4" s="29">
        <f>'Pensions P1'!V4*12</f>
        <v>40608.775542391326</v>
      </c>
      <c r="Z4" s="29">
        <f>'Pensions P1'!W4*12</f>
        <v>41096.080848900019</v>
      </c>
      <c r="AA4" s="29">
        <f>'Pensions P1'!X4*12</f>
        <v>43315.26921474062</v>
      </c>
      <c r="AB4" s="29">
        <f>'Pensions P1'!Y4*12</f>
        <v>43835.052445317509</v>
      </c>
      <c r="AC4" s="29">
        <f>'Pensions P1'!Z4*12</f>
        <v>44361.073074661319</v>
      </c>
      <c r="AD4" s="29">
        <f>'Pensions P1'!AA4*12</f>
        <v>44893.405951557259</v>
      </c>
      <c r="AE4" s="29">
        <f>'Pensions P1'!AB4*12</f>
        <v>45432.126822975944</v>
      </c>
      <c r="AF4" s="29">
        <f>'Pensions P1'!AC4*12</f>
        <v>45977.312344851656</v>
      </c>
      <c r="AG4" s="29">
        <f>'Pensions P1'!AD4*12</f>
        <v>46529.040092989882</v>
      </c>
      <c r="AH4" s="29">
        <f>'Pensions P1'!AE4*12</f>
        <v>47087.38857410576</v>
      </c>
      <c r="AI4" s="29">
        <f>'Pensions P1'!AF4*12</f>
        <v>47652.437236995029</v>
      </c>
      <c r="AJ4" s="29">
        <f>'Pensions P1'!AG4*12</f>
        <v>48224.266483838976</v>
      </c>
      <c r="AK4" s="29">
        <f>'Pensions P1'!AH4*12</f>
        <v>48802.957681645043</v>
      </c>
      <c r="AL4" s="29">
        <f>'Pensions P1'!AI4*12</f>
        <v>49388.593173824789</v>
      </c>
      <c r="AM4" s="29">
        <f>'Pensions P1'!AJ4*12</f>
        <v>49981.256291910671</v>
      </c>
      <c r="AN4" s="29">
        <f>'Pensions P1'!AK4*12</f>
        <v>52680.244131673855</v>
      </c>
      <c r="AO4" s="29">
        <f>'Pensions P1'!AL4*12</f>
        <v>53312.407061253944</v>
      </c>
      <c r="AP4" s="29">
        <f>'Pensions P1'!AM4*12</f>
        <v>53952.15594598899</v>
      </c>
      <c r="AQ4" s="29">
        <f>'Pensions P1'!AN4*12</f>
        <v>54599.581817340862</v>
      </c>
      <c r="AR4" s="29">
        <f>'Pensions P1'!AO4*12</f>
        <v>55254.776799148953</v>
      </c>
      <c r="AS4" s="29">
        <f>'Pensions P1'!AP4*12</f>
        <v>55917.834120738742</v>
      </c>
      <c r="AT4" s="29">
        <f>'Pensions P1'!AQ4*12</f>
        <v>56588.848130187602</v>
      </c>
      <c r="AU4" s="29">
        <f>'Pensions P1'!AR4*12</f>
        <v>57267.914307749845</v>
      </c>
      <c r="AV4" s="29">
        <f>'Pensions P1'!AS4*12</f>
        <v>57955.129279442852</v>
      </c>
      <c r="AW4" s="29">
        <f>'Pensions P1'!AT4*12</f>
        <v>58650.590830796165</v>
      </c>
      <c r="AX4" s="29">
        <f>'Pensions P1'!AU4*12</f>
        <v>59354.397920765725</v>
      </c>
      <c r="AY4" s="29">
        <f>'Pensions P1'!AV4*12</f>
        <v>60066.650695814911</v>
      </c>
      <c r="AZ4" s="29">
        <f>'Pensions P1'!AW4*12</f>
        <v>60787.450504164692</v>
      </c>
      <c r="BA4" s="29">
        <f>'Pensions P1'!AX4*12</f>
        <v>61516.899910214663</v>
      </c>
      <c r="BB4" s="29">
        <f>'Pensions P1'!AY4*12</f>
        <v>62255.102709137245</v>
      </c>
      <c r="BI4" s="2">
        <v>25224.028871662144</v>
      </c>
    </row>
    <row r="5" spans="1:61" x14ac:dyDescent="0.2">
      <c r="A5" s="2" t="str">
        <v>Personal Allowance</v>
      </c>
      <c r="B5" s="28">
        <v>51600</v>
      </c>
      <c r="D5" s="2" t="s">
        <v>187</v>
      </c>
      <c r="E5" s="29">
        <f>E3-E4</f>
        <v>495978.38899803534</v>
      </c>
      <c r="F5" s="29">
        <f t="shared" ref="F5:AW5" si="2">F3-F4</f>
        <v>501930.12966601172</v>
      </c>
      <c r="G5" s="29">
        <f t="shared" si="2"/>
        <v>529034.35666797648</v>
      </c>
      <c r="H5" s="29">
        <f t="shared" si="2"/>
        <v>535382.76894799224</v>
      </c>
      <c r="I5" s="29">
        <f t="shared" si="2"/>
        <v>541807.36217536812</v>
      </c>
      <c r="J5" s="29">
        <f t="shared" si="2"/>
        <v>548309.05052147247</v>
      </c>
      <c r="K5" s="29">
        <f t="shared" si="2"/>
        <v>577917.73924963211</v>
      </c>
      <c r="L5" s="29">
        <f t="shared" si="2"/>
        <v>584852.75212062767</v>
      </c>
      <c r="M5" s="29">
        <f t="shared" si="2"/>
        <v>591870.98514607514</v>
      </c>
      <c r="N5" s="29">
        <f t="shared" si="2"/>
        <v>598973.43696782808</v>
      </c>
      <c r="O5" s="29">
        <f t="shared" si="2"/>
        <v>631318.00256409077</v>
      </c>
      <c r="P5" s="29">
        <f t="shared" si="2"/>
        <v>638893.81859485991</v>
      </c>
      <c r="Q5" s="29">
        <f t="shared" si="2"/>
        <v>646560.54441799817</v>
      </c>
      <c r="R5" s="29">
        <f t="shared" si="2"/>
        <v>681474.81381656998</v>
      </c>
      <c r="S5" s="29">
        <f t="shared" si="2"/>
        <v>689652.51158236887</v>
      </c>
      <c r="T5" s="29">
        <f t="shared" si="2"/>
        <v>697928.34172135731</v>
      </c>
      <c r="U5" s="29">
        <f t="shared" si="2"/>
        <v>706303.48182201362</v>
      </c>
      <c r="V5" s="29">
        <f t="shared" si="2"/>
        <v>714779.12360387784</v>
      </c>
      <c r="W5" s="29">
        <f t="shared" si="2"/>
        <v>753377.19627848722</v>
      </c>
      <c r="X5" s="29">
        <f t="shared" si="2"/>
        <v>762417.72263382922</v>
      </c>
      <c r="Y5" s="29">
        <f t="shared" si="2"/>
        <v>771566.73530543514</v>
      </c>
      <c r="Z5" s="29">
        <f t="shared" si="2"/>
        <v>780825.53612910036</v>
      </c>
      <c r="AA5" s="29">
        <f t="shared" si="2"/>
        <v>822990.11508007173</v>
      </c>
      <c r="AB5" s="29">
        <f t="shared" si="2"/>
        <v>832865.99646103254</v>
      </c>
      <c r="AC5" s="29">
        <f t="shared" si="2"/>
        <v>842860.38841856504</v>
      </c>
      <c r="AD5" s="29">
        <f t="shared" si="2"/>
        <v>852974.71307958791</v>
      </c>
      <c r="AE5" s="29">
        <f t="shared" si="2"/>
        <v>863210.4096365429</v>
      </c>
      <c r="AF5" s="29">
        <f t="shared" si="2"/>
        <v>873568.93455218151</v>
      </c>
      <c r="AG5" s="29">
        <f t="shared" si="2"/>
        <v>884051.76176680764</v>
      </c>
      <c r="AH5" s="29">
        <f t="shared" si="2"/>
        <v>894660.38290800934</v>
      </c>
      <c r="AI5" s="29">
        <f t="shared" si="2"/>
        <v>905396.30750290561</v>
      </c>
      <c r="AJ5" s="29">
        <f t="shared" si="2"/>
        <v>916261.06319294043</v>
      </c>
      <c r="AK5" s="29">
        <f t="shared" si="2"/>
        <v>927256.19595125585</v>
      </c>
      <c r="AL5" s="29">
        <f t="shared" si="2"/>
        <v>938383.27030267089</v>
      </c>
      <c r="AM5" s="29">
        <f t="shared" si="2"/>
        <v>949643.86954630294</v>
      </c>
      <c r="AN5" s="29">
        <f t="shared" si="2"/>
        <v>1000924.6385018032</v>
      </c>
      <c r="AO5" s="29">
        <f t="shared" si="2"/>
        <v>1012935.7341638249</v>
      </c>
      <c r="AP5" s="29">
        <f t="shared" si="2"/>
        <v>1025090.9629737908</v>
      </c>
      <c r="AQ5" s="29">
        <f t="shared" si="2"/>
        <v>1037392.0545294762</v>
      </c>
      <c r="AR5" s="29">
        <f t="shared" si="2"/>
        <v>1049840.7591838301</v>
      </c>
      <c r="AS5" s="29">
        <f t="shared" si="2"/>
        <v>1062438.848294036</v>
      </c>
      <c r="AT5" s="29">
        <f t="shared" si="2"/>
        <v>1075188.1144735646</v>
      </c>
      <c r="AU5" s="29">
        <f t="shared" si="2"/>
        <v>1088090.3718472472</v>
      </c>
      <c r="AV5" s="29">
        <f t="shared" si="2"/>
        <v>1101147.4563094142</v>
      </c>
      <c r="AW5" s="29">
        <f t="shared" si="2"/>
        <v>1114361.2257851271</v>
      </c>
      <c r="AX5" s="29">
        <f t="shared" ref="AX5:BB5" si="3">AX3-AX4</f>
        <v>1127733.5604945486</v>
      </c>
      <c r="AY5" s="29">
        <f t="shared" si="3"/>
        <v>1141266.3632204831</v>
      </c>
      <c r="AZ5" s="29">
        <f t="shared" si="3"/>
        <v>1154961.5595791291</v>
      </c>
      <c r="BA5" s="29">
        <f t="shared" si="3"/>
        <v>1168821.0982940786</v>
      </c>
      <c r="BB5" s="29">
        <f t="shared" si="3"/>
        <v>1182846.9514736077</v>
      </c>
      <c r="BI5" s="2">
        <v>25530.608513626092</v>
      </c>
    </row>
    <row r="6" spans="1:61" x14ac:dyDescent="0.2">
      <c r="A6" s="2" t="str">
        <v>Bottom-Bracket State Tax rate (%)</v>
      </c>
      <c r="B6" s="25">
        <v>0.1201</v>
      </c>
      <c r="D6" s="2" t="s">
        <v>256</v>
      </c>
      <c r="E6" s="28">
        <f>E5-$B$14</f>
        <v>494790.38899803534</v>
      </c>
      <c r="F6" s="28">
        <f t="shared" ref="F6:AW6" si="4">F5-$B$14</f>
        <v>500742.12966601172</v>
      </c>
      <c r="G6" s="28">
        <f t="shared" si="4"/>
        <v>527846.35666797648</v>
      </c>
      <c r="H6" s="28">
        <f t="shared" si="4"/>
        <v>534194.76894799224</v>
      </c>
      <c r="I6" s="28">
        <f t="shared" si="4"/>
        <v>540619.36217536812</v>
      </c>
      <c r="J6" s="28">
        <f t="shared" si="4"/>
        <v>547121.05052147247</v>
      </c>
      <c r="K6" s="28">
        <f t="shared" si="4"/>
        <v>576729.73924963211</v>
      </c>
      <c r="L6" s="28">
        <f t="shared" si="4"/>
        <v>583664.75212062767</v>
      </c>
      <c r="M6" s="28">
        <f t="shared" si="4"/>
        <v>590682.98514607514</v>
      </c>
      <c r="N6" s="28">
        <f t="shared" si="4"/>
        <v>597785.43696782808</v>
      </c>
      <c r="O6" s="28">
        <f t="shared" si="4"/>
        <v>630130.00256409077</v>
      </c>
      <c r="P6" s="28">
        <f t="shared" si="4"/>
        <v>637705.81859485991</v>
      </c>
      <c r="Q6" s="28">
        <f t="shared" si="4"/>
        <v>645372.54441799817</v>
      </c>
      <c r="R6" s="28">
        <f t="shared" si="4"/>
        <v>680286.81381656998</v>
      </c>
      <c r="S6" s="28">
        <f t="shared" si="4"/>
        <v>688464.51158236887</v>
      </c>
      <c r="T6" s="28">
        <f t="shared" si="4"/>
        <v>696740.34172135731</v>
      </c>
      <c r="U6" s="28">
        <f t="shared" si="4"/>
        <v>705115.48182201362</v>
      </c>
      <c r="V6" s="28">
        <f t="shared" si="4"/>
        <v>713591.12360387784</v>
      </c>
      <c r="W6" s="28">
        <f t="shared" si="4"/>
        <v>752189.19627848722</v>
      </c>
      <c r="X6" s="28">
        <f t="shared" si="4"/>
        <v>761229.72263382922</v>
      </c>
      <c r="Y6" s="28">
        <f t="shared" si="4"/>
        <v>770378.73530543514</v>
      </c>
      <c r="Z6" s="28">
        <f t="shared" si="4"/>
        <v>779637.53612910036</v>
      </c>
      <c r="AA6" s="28">
        <f t="shared" si="4"/>
        <v>821802.11508007173</v>
      </c>
      <c r="AB6" s="28">
        <f t="shared" si="4"/>
        <v>831677.99646103254</v>
      </c>
      <c r="AC6" s="28">
        <f t="shared" si="4"/>
        <v>841672.38841856504</v>
      </c>
      <c r="AD6" s="28">
        <f t="shared" si="4"/>
        <v>851786.71307958791</v>
      </c>
      <c r="AE6" s="28">
        <f t="shared" si="4"/>
        <v>862022.4096365429</v>
      </c>
      <c r="AF6" s="28">
        <f t="shared" si="4"/>
        <v>872380.93455218151</v>
      </c>
      <c r="AG6" s="28">
        <f t="shared" si="4"/>
        <v>882863.76176680764</v>
      </c>
      <c r="AH6" s="28">
        <f t="shared" si="4"/>
        <v>893472.38290800934</v>
      </c>
      <c r="AI6" s="28">
        <f t="shared" si="4"/>
        <v>904208.30750290561</v>
      </c>
      <c r="AJ6" s="28">
        <f t="shared" si="4"/>
        <v>915073.06319294043</v>
      </c>
      <c r="AK6" s="28">
        <f t="shared" si="4"/>
        <v>926068.19595125585</v>
      </c>
      <c r="AL6" s="28">
        <f t="shared" si="4"/>
        <v>937195.27030267089</v>
      </c>
      <c r="AM6" s="28">
        <f t="shared" si="4"/>
        <v>948455.86954630294</v>
      </c>
      <c r="AN6" s="28">
        <f t="shared" si="4"/>
        <v>999736.63850180316</v>
      </c>
      <c r="AO6" s="28">
        <f t="shared" si="4"/>
        <v>1011747.7341638249</v>
      </c>
      <c r="AP6" s="28">
        <f t="shared" si="4"/>
        <v>1023902.9629737908</v>
      </c>
      <c r="AQ6" s="28">
        <f t="shared" si="4"/>
        <v>1036204.0545294762</v>
      </c>
      <c r="AR6" s="28">
        <f t="shared" si="4"/>
        <v>1048652.7591838301</v>
      </c>
      <c r="AS6" s="28">
        <f t="shared" si="4"/>
        <v>1061250.848294036</v>
      </c>
      <c r="AT6" s="28">
        <f t="shared" si="4"/>
        <v>1074000.1144735646</v>
      </c>
      <c r="AU6" s="28">
        <f t="shared" si="4"/>
        <v>1086902.3718472472</v>
      </c>
      <c r="AV6" s="28">
        <f t="shared" si="4"/>
        <v>1099959.4563094142</v>
      </c>
      <c r="AW6" s="28">
        <f t="shared" si="4"/>
        <v>1113173.2257851271</v>
      </c>
      <c r="AX6" s="28">
        <f t="shared" ref="AX6:BB6" si="5">AX5-$B$14</f>
        <v>1126545.5604945486</v>
      </c>
      <c r="AY6" s="28">
        <f t="shared" si="5"/>
        <v>1140078.3632204831</v>
      </c>
      <c r="AZ6" s="28">
        <f t="shared" si="5"/>
        <v>1153773.5595791291</v>
      </c>
      <c r="BA6" s="28">
        <f t="shared" si="5"/>
        <v>1167633.0982940786</v>
      </c>
      <c r="BB6" s="28">
        <f t="shared" si="5"/>
        <v>1181658.9514736077</v>
      </c>
      <c r="BI6" s="2">
        <v>25840.867111293603</v>
      </c>
    </row>
    <row r="7" spans="1:61" x14ac:dyDescent="0.2">
      <c r="A7" s="2" t="str">
        <v>Top-bracket State Tax rate (%)</v>
      </c>
      <c r="B7" s="25">
        <v>0.15</v>
      </c>
      <c r="D7" s="2" t="s">
        <v>234</v>
      </c>
      <c r="E7" s="28">
        <f>E6*(1-$B$4)</f>
        <v>455207.15787819255</v>
      </c>
      <c r="F7" s="28">
        <f t="shared" ref="F7:AW7" si="6">F6*(1-$B$4)</f>
        <v>460682.75929273083</v>
      </c>
      <c r="G7" s="28">
        <f t="shared" si="6"/>
        <v>485618.64813453838</v>
      </c>
      <c r="H7" s="28">
        <f t="shared" si="6"/>
        <v>491459.18743215286</v>
      </c>
      <c r="I7" s="28">
        <f t="shared" si="6"/>
        <v>497369.81320133869</v>
      </c>
      <c r="J7" s="28">
        <f t="shared" si="6"/>
        <v>503351.36647975468</v>
      </c>
      <c r="K7" s="28">
        <f t="shared" si="6"/>
        <v>530591.36010966159</v>
      </c>
      <c r="L7" s="28">
        <f t="shared" si="6"/>
        <v>536971.57195097744</v>
      </c>
      <c r="M7" s="28">
        <f t="shared" si="6"/>
        <v>543428.34633438918</v>
      </c>
      <c r="N7" s="28">
        <f t="shared" si="6"/>
        <v>549962.6020104019</v>
      </c>
      <c r="O7" s="28">
        <f t="shared" si="6"/>
        <v>579719.60235896357</v>
      </c>
      <c r="P7" s="28">
        <f t="shared" si="6"/>
        <v>586689.35310727113</v>
      </c>
      <c r="Q7" s="28">
        <f t="shared" si="6"/>
        <v>593742.74086455838</v>
      </c>
      <c r="R7" s="28">
        <f t="shared" si="6"/>
        <v>625863.86871124443</v>
      </c>
      <c r="S7" s="28">
        <f t="shared" si="6"/>
        <v>633387.35065577936</v>
      </c>
      <c r="T7" s="28">
        <f t="shared" si="6"/>
        <v>641001.11438364873</v>
      </c>
      <c r="U7" s="28">
        <f t="shared" si="6"/>
        <v>648706.24327625253</v>
      </c>
      <c r="V7" s="28">
        <f t="shared" si="6"/>
        <v>656503.8337155676</v>
      </c>
      <c r="W7" s="28">
        <f t="shared" si="6"/>
        <v>692014.06057620829</v>
      </c>
      <c r="X7" s="28">
        <f t="shared" si="6"/>
        <v>700331.34482312296</v>
      </c>
      <c r="Y7" s="28">
        <f t="shared" si="6"/>
        <v>708748.43648100039</v>
      </c>
      <c r="Z7" s="28">
        <f t="shared" si="6"/>
        <v>717266.53323877242</v>
      </c>
      <c r="AA7" s="28">
        <f t="shared" si="6"/>
        <v>756057.94587366597</v>
      </c>
      <c r="AB7" s="28">
        <f t="shared" si="6"/>
        <v>765143.75674414996</v>
      </c>
      <c r="AC7" s="28">
        <f t="shared" si="6"/>
        <v>774338.59734507988</v>
      </c>
      <c r="AD7" s="28">
        <f t="shared" si="6"/>
        <v>783643.77603322093</v>
      </c>
      <c r="AE7" s="28">
        <f t="shared" si="6"/>
        <v>793060.61686561955</v>
      </c>
      <c r="AF7" s="28">
        <f t="shared" si="6"/>
        <v>802590.45978800708</v>
      </c>
      <c r="AG7" s="28">
        <f t="shared" si="6"/>
        <v>812234.66082546301</v>
      </c>
      <c r="AH7" s="28">
        <f t="shared" si="6"/>
        <v>821994.59227536863</v>
      </c>
      <c r="AI7" s="28">
        <f t="shared" si="6"/>
        <v>831871.64290267322</v>
      </c>
      <c r="AJ7" s="28">
        <f t="shared" si="6"/>
        <v>841867.21813750523</v>
      </c>
      <c r="AK7" s="28">
        <f t="shared" si="6"/>
        <v>851982.7402751554</v>
      </c>
      <c r="AL7" s="28">
        <f t="shared" si="6"/>
        <v>862219.64867845725</v>
      </c>
      <c r="AM7" s="28">
        <f t="shared" si="6"/>
        <v>872579.39998259873</v>
      </c>
      <c r="AN7" s="28">
        <f t="shared" si="6"/>
        <v>919757.70742165891</v>
      </c>
      <c r="AO7" s="28">
        <f t="shared" si="6"/>
        <v>930807.91543071903</v>
      </c>
      <c r="AP7" s="28">
        <f t="shared" si="6"/>
        <v>941990.72593588755</v>
      </c>
      <c r="AQ7" s="28">
        <f t="shared" si="6"/>
        <v>953307.73016711813</v>
      </c>
      <c r="AR7" s="28">
        <f t="shared" si="6"/>
        <v>964760.53844912373</v>
      </c>
      <c r="AS7" s="28">
        <f t="shared" si="6"/>
        <v>976350.7804305132</v>
      </c>
      <c r="AT7" s="28">
        <f t="shared" si="6"/>
        <v>988080.10531567945</v>
      </c>
      <c r="AU7" s="28">
        <f t="shared" si="6"/>
        <v>999950.18209946749</v>
      </c>
      <c r="AV7" s="28">
        <f t="shared" si="6"/>
        <v>1011962.6998046611</v>
      </c>
      <c r="AW7" s="28">
        <f t="shared" si="6"/>
        <v>1024119.367722317</v>
      </c>
      <c r="AX7" s="28">
        <f t="shared" ref="AX7:BB7" si="7">AX6*(1-$B$4)</f>
        <v>1036421.9156549848</v>
      </c>
      <c r="AY7" s="28">
        <f t="shared" si="7"/>
        <v>1048872.0941628444</v>
      </c>
      <c r="AZ7" s="28">
        <f t="shared" si="7"/>
        <v>1061471.6748127989</v>
      </c>
      <c r="BA7" s="28">
        <f t="shared" si="7"/>
        <v>1074222.4504305525</v>
      </c>
      <c r="BB7" s="28">
        <f t="shared" si="7"/>
        <v>1087126.2353557192</v>
      </c>
      <c r="BI7" s="2">
        <v>26154.848812133121</v>
      </c>
    </row>
    <row r="8" spans="1:61" x14ac:dyDescent="0.2">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27584.72147775632</v>
      </c>
    </row>
    <row r="9" spans="1:61" x14ac:dyDescent="0.2">
      <c r="A9" s="2" t="str">
        <v>Municipal Tax (%)</v>
      </c>
      <c r="B9" s="25">
        <v>0.25</v>
      </c>
      <c r="D9" s="2" t="s">
        <v>235</v>
      </c>
      <c r="E9" s="28">
        <f>E7-E8</f>
        <v>403607.15787819255</v>
      </c>
      <c r="F9" s="28">
        <f t="shared" ref="F9:AW9" si="9">F7-F8</f>
        <v>409082.75929273083</v>
      </c>
      <c r="G9" s="28">
        <f t="shared" si="9"/>
        <v>434018.64813453838</v>
      </c>
      <c r="H9" s="28">
        <f t="shared" si="9"/>
        <v>439859.18743215286</v>
      </c>
      <c r="I9" s="28">
        <f t="shared" si="9"/>
        <v>445769.81320133869</v>
      </c>
      <c r="J9" s="28">
        <f t="shared" si="9"/>
        <v>451751.36647975468</v>
      </c>
      <c r="K9" s="28">
        <f t="shared" si="9"/>
        <v>478991.36010966159</v>
      </c>
      <c r="L9" s="28">
        <f t="shared" si="9"/>
        <v>485371.57195097744</v>
      </c>
      <c r="M9" s="28">
        <f t="shared" si="9"/>
        <v>491828.34633438918</v>
      </c>
      <c r="N9" s="28">
        <f t="shared" si="9"/>
        <v>498362.6020104019</v>
      </c>
      <c r="O9" s="28">
        <f t="shared" si="9"/>
        <v>528119.60235896357</v>
      </c>
      <c r="P9" s="28">
        <f t="shared" si="9"/>
        <v>535089.35310727113</v>
      </c>
      <c r="Q9" s="28">
        <f t="shared" si="9"/>
        <v>542142.74086455838</v>
      </c>
      <c r="R9" s="28">
        <f t="shared" si="9"/>
        <v>574263.86871124443</v>
      </c>
      <c r="S9" s="28">
        <f t="shared" si="9"/>
        <v>581787.35065577936</v>
      </c>
      <c r="T9" s="28">
        <f t="shared" si="9"/>
        <v>589401.11438364873</v>
      </c>
      <c r="U9" s="28">
        <f t="shared" si="9"/>
        <v>597106.24327625253</v>
      </c>
      <c r="V9" s="28">
        <f t="shared" si="9"/>
        <v>604903.8337155676</v>
      </c>
      <c r="W9" s="28">
        <f t="shared" si="9"/>
        <v>640414.06057620829</v>
      </c>
      <c r="X9" s="28">
        <f t="shared" si="9"/>
        <v>648731.34482312296</v>
      </c>
      <c r="Y9" s="28">
        <f t="shared" si="9"/>
        <v>657148.43648100039</v>
      </c>
      <c r="Z9" s="28">
        <f t="shared" si="9"/>
        <v>665666.53323877242</v>
      </c>
      <c r="AA9" s="28">
        <f t="shared" si="9"/>
        <v>704457.94587366597</v>
      </c>
      <c r="AB9" s="28">
        <f t="shared" si="9"/>
        <v>713543.75674414996</v>
      </c>
      <c r="AC9" s="28">
        <f t="shared" si="9"/>
        <v>722738.59734507988</v>
      </c>
      <c r="AD9" s="28">
        <f t="shared" si="9"/>
        <v>732043.77603322093</v>
      </c>
      <c r="AE9" s="28">
        <f t="shared" si="9"/>
        <v>741460.61686561955</v>
      </c>
      <c r="AF9" s="28">
        <f t="shared" si="9"/>
        <v>750990.45978800708</v>
      </c>
      <c r="AG9" s="28">
        <f t="shared" si="9"/>
        <v>760634.66082546301</v>
      </c>
      <c r="AH9" s="28">
        <f t="shared" si="9"/>
        <v>770394.59227536863</v>
      </c>
      <c r="AI9" s="28">
        <f t="shared" si="9"/>
        <v>780271.64290267322</v>
      </c>
      <c r="AJ9" s="28">
        <f t="shared" si="9"/>
        <v>790267.21813750523</v>
      </c>
      <c r="AK9" s="28">
        <f t="shared" si="9"/>
        <v>800382.7402751554</v>
      </c>
      <c r="AL9" s="28">
        <f t="shared" si="9"/>
        <v>810619.64867845725</v>
      </c>
      <c r="AM9" s="28">
        <f t="shared" si="9"/>
        <v>820979.39998259873</v>
      </c>
      <c r="AN9" s="28">
        <f t="shared" si="9"/>
        <v>868157.70742165891</v>
      </c>
      <c r="AO9" s="28">
        <f t="shared" si="9"/>
        <v>879207.91543071903</v>
      </c>
      <c r="AP9" s="28">
        <f t="shared" si="9"/>
        <v>890390.72593588755</v>
      </c>
      <c r="AQ9" s="28">
        <f t="shared" si="9"/>
        <v>901707.73016711813</v>
      </c>
      <c r="AR9" s="28">
        <f t="shared" si="9"/>
        <v>913160.53844912373</v>
      </c>
      <c r="AS9" s="28">
        <f t="shared" si="9"/>
        <v>924750.7804305132</v>
      </c>
      <c r="AT9" s="28">
        <f t="shared" si="9"/>
        <v>936480.10531567945</v>
      </c>
      <c r="AU9" s="28">
        <f t="shared" si="9"/>
        <v>948350.18209946749</v>
      </c>
      <c r="AV9" s="28">
        <f t="shared" si="9"/>
        <v>960362.6998046611</v>
      </c>
      <c r="AW9" s="28">
        <f t="shared" si="9"/>
        <v>972519.36772231699</v>
      </c>
      <c r="AX9" s="28">
        <f t="shared" ref="AX9:BB9" si="10">AX7-AX8</f>
        <v>984821.91565498477</v>
      </c>
      <c r="AY9" s="28">
        <f t="shared" si="10"/>
        <v>997272.09416284435</v>
      </c>
      <c r="AZ9" s="28">
        <f t="shared" si="10"/>
        <v>1009871.6748127989</v>
      </c>
      <c r="BA9" s="28">
        <f t="shared" si="10"/>
        <v>1022622.4504305525</v>
      </c>
      <c r="BB9" s="28">
        <f t="shared" si="10"/>
        <v>1035526.2353557192</v>
      </c>
      <c r="BI9" s="2">
        <v>27919.629430993391</v>
      </c>
    </row>
    <row r="10" spans="1:61" x14ac:dyDescent="0.2">
      <c r="A10" s="2" t="str">
        <v>Capital Gains &lt; 67,500DKK</v>
      </c>
      <c r="B10" s="28">
        <v>0.27</v>
      </c>
      <c r="D10" s="2" t="s">
        <v>189</v>
      </c>
      <c r="E10" s="28">
        <f>E7*$B$9</f>
        <v>113801.78946954814</v>
      </c>
      <c r="F10" s="28">
        <f t="shared" ref="F10:AW10" si="11">F7*$B$9</f>
        <v>115170.68982318271</v>
      </c>
      <c r="G10" s="28">
        <f t="shared" si="11"/>
        <v>121404.66203363459</v>
      </c>
      <c r="H10" s="28">
        <f t="shared" si="11"/>
        <v>122864.79685803821</v>
      </c>
      <c r="I10" s="28">
        <f t="shared" si="11"/>
        <v>124342.45330033467</v>
      </c>
      <c r="J10" s="28">
        <f t="shared" si="11"/>
        <v>125837.84161993867</v>
      </c>
      <c r="K10" s="28">
        <f t="shared" si="11"/>
        <v>132647.8400274154</v>
      </c>
      <c r="L10" s="28">
        <f t="shared" si="11"/>
        <v>134242.89298774436</v>
      </c>
      <c r="M10" s="28">
        <f t="shared" si="11"/>
        <v>135857.08658359729</v>
      </c>
      <c r="N10" s="28">
        <f t="shared" si="11"/>
        <v>137490.65050260047</v>
      </c>
      <c r="O10" s="28">
        <f t="shared" si="11"/>
        <v>144929.90058974089</v>
      </c>
      <c r="P10" s="28">
        <f t="shared" si="11"/>
        <v>146672.33827681778</v>
      </c>
      <c r="Q10" s="28">
        <f t="shared" si="11"/>
        <v>148435.68521613959</v>
      </c>
      <c r="R10" s="28">
        <f t="shared" si="11"/>
        <v>156465.96717781111</v>
      </c>
      <c r="S10" s="28">
        <f t="shared" si="11"/>
        <v>158346.83766394484</v>
      </c>
      <c r="T10" s="28">
        <f t="shared" si="11"/>
        <v>160250.27859591218</v>
      </c>
      <c r="U10" s="28">
        <f t="shared" si="11"/>
        <v>162176.56081906313</v>
      </c>
      <c r="V10" s="28">
        <f t="shared" si="11"/>
        <v>164125.9584288919</v>
      </c>
      <c r="W10" s="28">
        <f t="shared" si="11"/>
        <v>173003.51514405207</v>
      </c>
      <c r="X10" s="28">
        <f t="shared" si="11"/>
        <v>175082.83620578074</v>
      </c>
      <c r="Y10" s="28">
        <f t="shared" si="11"/>
        <v>177187.1091202501</v>
      </c>
      <c r="Z10" s="28">
        <f t="shared" si="11"/>
        <v>179316.6333096931</v>
      </c>
      <c r="AA10" s="28">
        <f t="shared" si="11"/>
        <v>189014.48646841649</v>
      </c>
      <c r="AB10" s="28">
        <f t="shared" si="11"/>
        <v>191285.93918603749</v>
      </c>
      <c r="AC10" s="28">
        <f t="shared" si="11"/>
        <v>193584.64933626997</v>
      </c>
      <c r="AD10" s="28">
        <f t="shared" si="11"/>
        <v>195910.94400830523</v>
      </c>
      <c r="AE10" s="28">
        <f t="shared" si="11"/>
        <v>198265.15421640489</v>
      </c>
      <c r="AF10" s="28">
        <f t="shared" si="11"/>
        <v>200647.61494700177</v>
      </c>
      <c r="AG10" s="28">
        <f t="shared" si="11"/>
        <v>203058.66520636575</v>
      </c>
      <c r="AH10" s="28">
        <f t="shared" si="11"/>
        <v>205498.64806884216</v>
      </c>
      <c r="AI10" s="28">
        <f t="shared" si="11"/>
        <v>207967.91072566831</v>
      </c>
      <c r="AJ10" s="28">
        <f t="shared" si="11"/>
        <v>210466.80453437631</v>
      </c>
      <c r="AK10" s="28">
        <f t="shared" si="11"/>
        <v>212995.68506878885</v>
      </c>
      <c r="AL10" s="28">
        <f t="shared" si="11"/>
        <v>215554.91216961431</v>
      </c>
      <c r="AM10" s="28">
        <f t="shared" si="11"/>
        <v>218144.84999564968</v>
      </c>
      <c r="AN10" s="28">
        <f t="shared" si="11"/>
        <v>229939.42685541473</v>
      </c>
      <c r="AO10" s="28">
        <f t="shared" si="11"/>
        <v>232701.97885767976</v>
      </c>
      <c r="AP10" s="28">
        <f t="shared" si="11"/>
        <v>235497.68148397189</v>
      </c>
      <c r="AQ10" s="28">
        <f t="shared" si="11"/>
        <v>238326.93254177953</v>
      </c>
      <c r="AR10" s="28">
        <f t="shared" si="11"/>
        <v>241190.13461228093</v>
      </c>
      <c r="AS10" s="28">
        <f t="shared" si="11"/>
        <v>244087.6951076283</v>
      </c>
      <c r="AT10" s="28">
        <f t="shared" si="11"/>
        <v>247020.02632891986</v>
      </c>
      <c r="AU10" s="28">
        <f t="shared" si="11"/>
        <v>249987.54552486687</v>
      </c>
      <c r="AV10" s="28">
        <f t="shared" si="11"/>
        <v>252990.67495116527</v>
      </c>
      <c r="AW10" s="28">
        <f t="shared" si="11"/>
        <v>256029.84193057925</v>
      </c>
      <c r="AX10" s="28">
        <f t="shared" ref="AX10:BB10" si="12">AX7*$B$9</f>
        <v>259105.47891374619</v>
      </c>
      <c r="AY10" s="28">
        <f t="shared" si="12"/>
        <v>262218.02354071109</v>
      </c>
      <c r="AZ10" s="28">
        <f t="shared" si="12"/>
        <v>265367.91870319971</v>
      </c>
      <c r="BA10" s="28">
        <f t="shared" si="12"/>
        <v>268555.61260763812</v>
      </c>
      <c r="BB10" s="28">
        <f t="shared" si="12"/>
        <v>271781.55883892981</v>
      </c>
      <c r="BI10" s="2">
        <v>28258.556279669312</v>
      </c>
    </row>
    <row r="11" spans="1:61" x14ac:dyDescent="0.2">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3302.1090864312428</v>
      </c>
      <c r="X11" s="28">
        <f t="shared" si="13"/>
        <v>4549.7017234684436</v>
      </c>
      <c r="Y11" s="28">
        <f t="shared" si="13"/>
        <v>5812.2654721500585</v>
      </c>
      <c r="Z11" s="28">
        <f t="shared" si="13"/>
        <v>7089.9799858158631</v>
      </c>
      <c r="AA11" s="28">
        <f t="shared" si="13"/>
        <v>12908.691881049896</v>
      </c>
      <c r="AB11" s="28">
        <f t="shared" si="13"/>
        <v>14271.563511622493</v>
      </c>
      <c r="AC11" s="28">
        <f t="shared" si="13"/>
        <v>15650.789601761981</v>
      </c>
      <c r="AD11" s="28">
        <f t="shared" si="13"/>
        <v>17046.566404983139</v>
      </c>
      <c r="AE11" s="28">
        <f t="shared" si="13"/>
        <v>18459.092529842932</v>
      </c>
      <c r="AF11" s="28">
        <f t="shared" si="13"/>
        <v>19888.56896820106</v>
      </c>
      <c r="AG11" s="28">
        <f t="shared" si="13"/>
        <v>21335.19912381945</v>
      </c>
      <c r="AH11" s="28">
        <f t="shared" si="13"/>
        <v>22799.188841305295</v>
      </c>
      <c r="AI11" s="28">
        <f t="shared" si="13"/>
        <v>24280.746435400983</v>
      </c>
      <c r="AJ11" s="28">
        <f t="shared" si="13"/>
        <v>25780.082720625785</v>
      </c>
      <c r="AK11" s="28">
        <f t="shared" si="13"/>
        <v>27297.41104127331</v>
      </c>
      <c r="AL11" s="28">
        <f t="shared" si="13"/>
        <v>28832.947301768585</v>
      </c>
      <c r="AM11" s="28">
        <f t="shared" si="13"/>
        <v>30386.909997389808</v>
      </c>
      <c r="AN11" s="28">
        <f t="shared" si="13"/>
        <v>37463.656113248835</v>
      </c>
      <c r="AO11" s="28">
        <f t="shared" si="13"/>
        <v>39121.187314607851</v>
      </c>
      <c r="AP11" s="28">
        <f t="shared" si="13"/>
        <v>40798.608890383133</v>
      </c>
      <c r="AQ11" s="28">
        <f t="shared" si="13"/>
        <v>42496.15952506772</v>
      </c>
      <c r="AR11" s="28">
        <f t="shared" si="13"/>
        <v>44214.080767368556</v>
      </c>
      <c r="AS11" s="28">
        <f t="shared" si="13"/>
        <v>45952.617064576982</v>
      </c>
      <c r="AT11" s="28">
        <f t="shared" si="13"/>
        <v>47712.015797351916</v>
      </c>
      <c r="AU11" s="28">
        <f t="shared" si="13"/>
        <v>49492.527314920124</v>
      </c>
      <c r="AV11" s="28">
        <f t="shared" si="13"/>
        <v>51294.404970699165</v>
      </c>
      <c r="AW11" s="28">
        <f t="shared" si="13"/>
        <v>53117.905158347545</v>
      </c>
      <c r="AX11" s="28">
        <f t="shared" ref="AX11:BB11" si="14">MAX(AX9-$B$8,0)*$B$7</f>
        <v>54963.287348247715</v>
      </c>
      <c r="AY11" s="28">
        <f t="shared" si="14"/>
        <v>56830.814124426652</v>
      </c>
      <c r="AZ11" s="28">
        <f t="shared" si="14"/>
        <v>58720.751221919825</v>
      </c>
      <c r="BA11" s="28">
        <f t="shared" si="14"/>
        <v>60633.36756458287</v>
      </c>
      <c r="BB11" s="28">
        <f t="shared" si="14"/>
        <v>62568.935303357881</v>
      </c>
      <c r="BI11" s="2">
        <v>28601.550250529344</v>
      </c>
    </row>
    <row r="12" spans="1:61" x14ac:dyDescent="0.2">
      <c r="A12" s="2" t="str">
        <v>Capital Gains Threshold</v>
      </c>
      <c r="B12" s="53">
        <v>67500</v>
      </c>
      <c r="D12" s="2" t="s">
        <v>191</v>
      </c>
      <c r="E12" s="28">
        <f>E9*$B$6</f>
        <v>48473.219661170922</v>
      </c>
      <c r="F12" s="28">
        <f t="shared" ref="F12:AW12" si="15">F9*$B$6</f>
        <v>49130.839391056972</v>
      </c>
      <c r="G12" s="28">
        <f t="shared" si="15"/>
        <v>52125.639640958056</v>
      </c>
      <c r="H12" s="28">
        <f t="shared" si="15"/>
        <v>52827.088410601558</v>
      </c>
      <c r="I12" s="28">
        <f t="shared" si="15"/>
        <v>53536.954565480773</v>
      </c>
      <c r="J12" s="28">
        <f t="shared" si="15"/>
        <v>54255.339114218536</v>
      </c>
      <c r="K12" s="28">
        <f t="shared" si="15"/>
        <v>57526.862349170355</v>
      </c>
      <c r="L12" s="28">
        <f t="shared" si="15"/>
        <v>58293.125791312392</v>
      </c>
      <c r="M12" s="28">
        <f t="shared" si="15"/>
        <v>59068.584394760139</v>
      </c>
      <c r="N12" s="28">
        <f t="shared" si="15"/>
        <v>59853.348501449269</v>
      </c>
      <c r="O12" s="28">
        <f t="shared" si="15"/>
        <v>63427.164243311527</v>
      </c>
      <c r="P12" s="28">
        <f t="shared" si="15"/>
        <v>64264.231308183262</v>
      </c>
      <c r="Q12" s="28">
        <f t="shared" si="15"/>
        <v>65111.343177833463</v>
      </c>
      <c r="R12" s="28">
        <f t="shared" si="15"/>
        <v>68969.090632220454</v>
      </c>
      <c r="S12" s="28">
        <f t="shared" si="15"/>
        <v>69872.660813759096</v>
      </c>
      <c r="T12" s="28">
        <f t="shared" si="15"/>
        <v>70787.073837476215</v>
      </c>
      <c r="U12" s="28">
        <f t="shared" si="15"/>
        <v>71712.459817477924</v>
      </c>
      <c r="V12" s="28">
        <f t="shared" si="15"/>
        <v>72648.950429239674</v>
      </c>
      <c r="W12" s="28">
        <f t="shared" si="15"/>
        <v>76913.728675202612</v>
      </c>
      <c r="X12" s="28">
        <f t="shared" si="15"/>
        <v>77912.634513257071</v>
      </c>
      <c r="Y12" s="28">
        <f t="shared" si="15"/>
        <v>78923.527221368146</v>
      </c>
      <c r="Z12" s="28">
        <f t="shared" si="15"/>
        <v>79946.550641976573</v>
      </c>
      <c r="AA12" s="28">
        <f t="shared" si="15"/>
        <v>84605.399299427285</v>
      </c>
      <c r="AB12" s="28">
        <f t="shared" si="15"/>
        <v>85696.605184972403</v>
      </c>
      <c r="AC12" s="28">
        <f t="shared" si="15"/>
        <v>86800.905541144093</v>
      </c>
      <c r="AD12" s="28">
        <f t="shared" si="15"/>
        <v>87918.45750158983</v>
      </c>
      <c r="AE12" s="28">
        <f t="shared" si="15"/>
        <v>89049.420085560909</v>
      </c>
      <c r="AF12" s="28">
        <f t="shared" si="15"/>
        <v>90193.954220539643</v>
      </c>
      <c r="AG12" s="28">
        <f t="shared" si="15"/>
        <v>91352.222765138111</v>
      </c>
      <c r="AH12" s="28">
        <f t="shared" si="15"/>
        <v>92524.390532271776</v>
      </c>
      <c r="AI12" s="28">
        <f t="shared" si="15"/>
        <v>93710.624312611049</v>
      </c>
      <c r="AJ12" s="28">
        <f t="shared" si="15"/>
        <v>94911.092898314382</v>
      </c>
      <c r="AK12" s="28">
        <f t="shared" si="15"/>
        <v>96125.967107046163</v>
      </c>
      <c r="AL12" s="28">
        <f t="shared" si="15"/>
        <v>97355.41980628272</v>
      </c>
      <c r="AM12" s="28">
        <f t="shared" si="15"/>
        <v>98599.62593791011</v>
      </c>
      <c r="AN12" s="28">
        <f t="shared" si="15"/>
        <v>104265.74066134123</v>
      </c>
      <c r="AO12" s="28">
        <f t="shared" si="15"/>
        <v>105592.87064322935</v>
      </c>
      <c r="AP12" s="28">
        <f t="shared" si="15"/>
        <v>106935.92618490009</v>
      </c>
      <c r="AQ12" s="28">
        <f t="shared" si="15"/>
        <v>108295.09839307089</v>
      </c>
      <c r="AR12" s="28">
        <f t="shared" si="15"/>
        <v>109670.58066773976</v>
      </c>
      <c r="AS12" s="28">
        <f t="shared" si="15"/>
        <v>111062.56872970464</v>
      </c>
      <c r="AT12" s="28">
        <f t="shared" si="15"/>
        <v>112471.2606484131</v>
      </c>
      <c r="AU12" s="28">
        <f t="shared" si="15"/>
        <v>113896.85687014605</v>
      </c>
      <c r="AV12" s="28">
        <f t="shared" si="15"/>
        <v>115339.5602465398</v>
      </c>
      <c r="AW12" s="28">
        <f t="shared" si="15"/>
        <v>116799.57606345027</v>
      </c>
      <c r="AX12" s="28">
        <f t="shared" ref="AX12:BB12" si="16">AX9*$B$6</f>
        <v>118277.11207016367</v>
      </c>
      <c r="AY12" s="28">
        <f t="shared" si="16"/>
        <v>119772.37850895761</v>
      </c>
      <c r="AZ12" s="28">
        <f t="shared" si="16"/>
        <v>121285.58814501714</v>
      </c>
      <c r="BA12" s="28">
        <f t="shared" si="16"/>
        <v>122816.95629670935</v>
      </c>
      <c r="BB12" s="28">
        <f t="shared" si="16"/>
        <v>124366.70086622187</v>
      </c>
      <c r="BI12" s="2">
        <v>30163.544793825928</v>
      </c>
    </row>
    <row r="13" spans="1:61" x14ac:dyDescent="0.2">
      <c r="A13" s="2" t="s">
        <v>254</v>
      </c>
      <c r="B13" s="58">
        <v>99</v>
      </c>
      <c r="D13" s="2" t="s">
        <v>192</v>
      </c>
      <c r="E13" s="28">
        <f>SUM(E10:E12)</f>
        <v>162275.00913071906</v>
      </c>
      <c r="F13" s="28">
        <f t="shared" ref="F13:AW13" si="17">SUM(F10:F12)</f>
        <v>164301.52921423968</v>
      </c>
      <c r="G13" s="28">
        <f t="shared" si="17"/>
        <v>173530.30167459266</v>
      </c>
      <c r="H13" s="28">
        <f t="shared" si="17"/>
        <v>175691.88526863977</v>
      </c>
      <c r="I13" s="28">
        <f t="shared" si="17"/>
        <v>177879.40786581545</v>
      </c>
      <c r="J13" s="28">
        <f t="shared" si="17"/>
        <v>180093.18073415721</v>
      </c>
      <c r="K13" s="28">
        <f t="shared" si="17"/>
        <v>190174.70237658574</v>
      </c>
      <c r="L13" s="28">
        <f t="shared" si="17"/>
        <v>192536.01877905676</v>
      </c>
      <c r="M13" s="28">
        <f t="shared" si="17"/>
        <v>194925.67097835743</v>
      </c>
      <c r="N13" s="28">
        <f t="shared" si="17"/>
        <v>197343.99900404975</v>
      </c>
      <c r="O13" s="28">
        <f t="shared" si="17"/>
        <v>208357.06483305243</v>
      </c>
      <c r="P13" s="28">
        <f t="shared" si="17"/>
        <v>210936.56958500104</v>
      </c>
      <c r="Q13" s="28">
        <f t="shared" si="17"/>
        <v>213547.02839397307</v>
      </c>
      <c r="R13" s="28">
        <f t="shared" si="17"/>
        <v>225435.05781003158</v>
      </c>
      <c r="S13" s="28">
        <f t="shared" si="17"/>
        <v>228219.49847770395</v>
      </c>
      <c r="T13" s="28">
        <f t="shared" si="17"/>
        <v>231037.35243338841</v>
      </c>
      <c r="U13" s="28">
        <f t="shared" si="17"/>
        <v>233889.02063654107</v>
      </c>
      <c r="V13" s="28">
        <f t="shared" si="17"/>
        <v>236774.90885813156</v>
      </c>
      <c r="W13" s="28">
        <f t="shared" si="17"/>
        <v>253219.35290568593</v>
      </c>
      <c r="X13" s="28">
        <f t="shared" si="17"/>
        <v>257545.17244250624</v>
      </c>
      <c r="Y13" s="28">
        <f t="shared" si="17"/>
        <v>261922.90181376832</v>
      </c>
      <c r="Z13" s="28">
        <f t="shared" si="17"/>
        <v>266353.16393748554</v>
      </c>
      <c r="AA13" s="28">
        <f t="shared" si="17"/>
        <v>286528.5776488937</v>
      </c>
      <c r="AB13" s="28">
        <f t="shared" si="17"/>
        <v>291254.10788263241</v>
      </c>
      <c r="AC13" s="28">
        <f t="shared" si="17"/>
        <v>296036.34447917604</v>
      </c>
      <c r="AD13" s="28">
        <f t="shared" si="17"/>
        <v>300875.96791487822</v>
      </c>
      <c r="AE13" s="28">
        <f t="shared" si="17"/>
        <v>305773.66683180875</v>
      </c>
      <c r="AF13" s="28">
        <f t="shared" si="17"/>
        <v>310730.13813574245</v>
      </c>
      <c r="AG13" s="28">
        <f t="shared" si="17"/>
        <v>315746.08709532331</v>
      </c>
      <c r="AH13" s="28">
        <f t="shared" si="17"/>
        <v>320822.22744241921</v>
      </c>
      <c r="AI13" s="28">
        <f t="shared" si="17"/>
        <v>325959.28147368034</v>
      </c>
      <c r="AJ13" s="28">
        <f t="shared" si="17"/>
        <v>331157.98015331652</v>
      </c>
      <c r="AK13" s="28">
        <f t="shared" si="17"/>
        <v>336419.06321710831</v>
      </c>
      <c r="AL13" s="28">
        <f t="shared" si="17"/>
        <v>341743.2792776656</v>
      </c>
      <c r="AM13" s="28">
        <f t="shared" si="17"/>
        <v>347131.38593094959</v>
      </c>
      <c r="AN13" s="28">
        <f t="shared" si="17"/>
        <v>371668.82363000477</v>
      </c>
      <c r="AO13" s="28">
        <f t="shared" si="17"/>
        <v>377416.03681551694</v>
      </c>
      <c r="AP13" s="28">
        <f t="shared" si="17"/>
        <v>383232.21655925515</v>
      </c>
      <c r="AQ13" s="28">
        <f t="shared" si="17"/>
        <v>389118.19045991811</v>
      </c>
      <c r="AR13" s="28">
        <f t="shared" si="17"/>
        <v>395074.79604738927</v>
      </c>
      <c r="AS13" s="28">
        <f t="shared" si="17"/>
        <v>401102.88090190996</v>
      </c>
      <c r="AT13" s="28">
        <f t="shared" si="17"/>
        <v>407203.30277468485</v>
      </c>
      <c r="AU13" s="28">
        <f t="shared" si="17"/>
        <v>413376.92970993306</v>
      </c>
      <c r="AV13" s="28">
        <f t="shared" si="17"/>
        <v>419624.64016840421</v>
      </c>
      <c r="AW13" s="28">
        <f t="shared" si="17"/>
        <v>425947.32315237704</v>
      </c>
      <c r="AX13" s="28">
        <f t="shared" ref="AX13:BB13" si="18">SUM(AX10:AX12)</f>
        <v>432345.87833215756</v>
      </c>
      <c r="AY13" s="28">
        <f t="shared" si="18"/>
        <v>438821.21617409535</v>
      </c>
      <c r="AZ13" s="28">
        <f t="shared" si="18"/>
        <v>445374.25807013671</v>
      </c>
      <c r="BA13" s="28">
        <f t="shared" si="18"/>
        <v>452005.93646893033</v>
      </c>
      <c r="BB13" s="28">
        <f t="shared" si="18"/>
        <v>458717.19500850956</v>
      </c>
      <c r="BI13" s="2">
        <v>30529.39862685584</v>
      </c>
    </row>
    <row r="14" spans="1:61" x14ac:dyDescent="0.2">
      <c r="A14" s="2" t="s">
        <v>255</v>
      </c>
      <c r="B14" s="28">
        <f>B13*12</f>
        <v>1188</v>
      </c>
      <c r="D14" s="2" t="s">
        <v>193</v>
      </c>
      <c r="E14" s="28">
        <f>E7-E13</f>
        <v>292932.14874747349</v>
      </c>
      <c r="F14" s="28">
        <f t="shared" ref="F14:AW14" si="19">F7-F13</f>
        <v>296381.23007849115</v>
      </c>
      <c r="G14" s="28">
        <f t="shared" si="19"/>
        <v>312088.34645994572</v>
      </c>
      <c r="H14" s="28">
        <f t="shared" si="19"/>
        <v>315767.30216351309</v>
      </c>
      <c r="I14" s="28">
        <f t="shared" si="19"/>
        <v>319490.40533552325</v>
      </c>
      <c r="J14" s="28">
        <f t="shared" si="19"/>
        <v>323258.18574559747</v>
      </c>
      <c r="K14" s="28">
        <f t="shared" si="19"/>
        <v>340416.65773307584</v>
      </c>
      <c r="L14" s="28">
        <f t="shared" si="19"/>
        <v>344435.55317192071</v>
      </c>
      <c r="M14" s="28">
        <f t="shared" si="19"/>
        <v>348502.67535603174</v>
      </c>
      <c r="N14" s="28">
        <f t="shared" si="19"/>
        <v>352618.60300635215</v>
      </c>
      <c r="O14" s="28">
        <f t="shared" si="19"/>
        <v>371362.53752591112</v>
      </c>
      <c r="P14" s="28">
        <f t="shared" si="19"/>
        <v>375752.7835222701</v>
      </c>
      <c r="Q14" s="28">
        <f t="shared" si="19"/>
        <v>380195.71247058531</v>
      </c>
      <c r="R14" s="28">
        <f t="shared" si="19"/>
        <v>400428.81090121286</v>
      </c>
      <c r="S14" s="28">
        <f t="shared" si="19"/>
        <v>405167.85217807541</v>
      </c>
      <c r="T14" s="28">
        <f t="shared" si="19"/>
        <v>409963.76195026032</v>
      </c>
      <c r="U14" s="28">
        <f t="shared" si="19"/>
        <v>414817.22263971146</v>
      </c>
      <c r="V14" s="28">
        <f t="shared" si="19"/>
        <v>419728.92485743604</v>
      </c>
      <c r="W14" s="28">
        <f t="shared" si="19"/>
        <v>438794.70767052239</v>
      </c>
      <c r="X14" s="28">
        <f t="shared" si="19"/>
        <v>442786.17238061671</v>
      </c>
      <c r="Y14" s="28">
        <f t="shared" si="19"/>
        <v>446825.53466723207</v>
      </c>
      <c r="Z14" s="28">
        <f t="shared" si="19"/>
        <v>450913.36930128688</v>
      </c>
      <c r="AA14" s="28">
        <f t="shared" si="19"/>
        <v>469529.36822477228</v>
      </c>
      <c r="AB14" s="28">
        <f t="shared" si="19"/>
        <v>473889.64886151755</v>
      </c>
      <c r="AC14" s="28">
        <f t="shared" si="19"/>
        <v>478302.25286590384</v>
      </c>
      <c r="AD14" s="28">
        <f t="shared" si="19"/>
        <v>482767.80811834271</v>
      </c>
      <c r="AE14" s="28">
        <f t="shared" si="19"/>
        <v>487286.9500338108</v>
      </c>
      <c r="AF14" s="28">
        <f t="shared" si="19"/>
        <v>491860.32165226463</v>
      </c>
      <c r="AG14" s="28">
        <f t="shared" si="19"/>
        <v>496488.5737301397</v>
      </c>
      <c r="AH14" s="28">
        <f t="shared" si="19"/>
        <v>501172.36483294942</v>
      </c>
      <c r="AI14" s="28">
        <f t="shared" si="19"/>
        <v>505912.36142899288</v>
      </c>
      <c r="AJ14" s="28">
        <f t="shared" si="19"/>
        <v>510709.23798418872</v>
      </c>
      <c r="AK14" s="28">
        <f t="shared" si="19"/>
        <v>515563.67705804709</v>
      </c>
      <c r="AL14" s="28">
        <f t="shared" si="19"/>
        <v>520476.36940079165</v>
      </c>
      <c r="AM14" s="28">
        <f t="shared" si="19"/>
        <v>525448.01405164914</v>
      </c>
      <c r="AN14" s="28">
        <f t="shared" si="19"/>
        <v>548088.88379165414</v>
      </c>
      <c r="AO14" s="28">
        <f t="shared" si="19"/>
        <v>553391.87861520215</v>
      </c>
      <c r="AP14" s="28">
        <f t="shared" si="19"/>
        <v>558758.5093766324</v>
      </c>
      <c r="AQ14" s="28">
        <f t="shared" si="19"/>
        <v>564189.53970720002</v>
      </c>
      <c r="AR14" s="28">
        <f t="shared" si="19"/>
        <v>569685.74240173446</v>
      </c>
      <c r="AS14" s="28">
        <f t="shared" si="19"/>
        <v>575247.8995286033</v>
      </c>
      <c r="AT14" s="28">
        <f t="shared" si="19"/>
        <v>580876.8025409946</v>
      </c>
      <c r="AU14" s="28">
        <f t="shared" si="19"/>
        <v>586573.25238953438</v>
      </c>
      <c r="AV14" s="28">
        <f t="shared" si="19"/>
        <v>592338.05963625689</v>
      </c>
      <c r="AW14" s="28">
        <f t="shared" si="19"/>
        <v>598172.04456993996</v>
      </c>
      <c r="AX14" s="28">
        <f t="shared" ref="AX14:BB14" si="20">AX7-AX13</f>
        <v>604076.03732282715</v>
      </c>
      <c r="AY14" s="28">
        <f t="shared" si="20"/>
        <v>610050.87798874895</v>
      </c>
      <c r="AZ14" s="28">
        <f t="shared" si="20"/>
        <v>616097.4167426622</v>
      </c>
      <c r="BA14" s="28">
        <f t="shared" si="20"/>
        <v>622216.51396162214</v>
      </c>
      <c r="BB14" s="28">
        <f t="shared" si="20"/>
        <v>628409.04034720967</v>
      </c>
      <c r="BI14" s="2">
        <v>30899.64270588211</v>
      </c>
    </row>
    <row r="15" spans="1:61" x14ac:dyDescent="0.2">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32585.734241767739</v>
      </c>
    </row>
    <row r="16" spans="1:61" x14ac:dyDescent="0.2">
      <c r="D16" s="2" t="s">
        <v>267</v>
      </c>
      <c r="E16" s="28">
        <f>E14-E15</f>
        <v>283532.14874747349</v>
      </c>
      <c r="F16" s="28">
        <f t="shared" ref="F16:AW16" si="22">F14-F15</f>
        <v>286981.23007849115</v>
      </c>
      <c r="G16" s="28">
        <f t="shared" si="22"/>
        <v>302688.34645994572</v>
      </c>
      <c r="H16" s="28">
        <f t="shared" si="22"/>
        <v>306367.30216351309</v>
      </c>
      <c r="I16" s="28">
        <f t="shared" si="22"/>
        <v>310090.40533552325</v>
      </c>
      <c r="J16" s="28">
        <f t="shared" si="22"/>
        <v>313858.18574559747</v>
      </c>
      <c r="K16" s="28">
        <f t="shared" si="22"/>
        <v>331016.65773307584</v>
      </c>
      <c r="L16" s="28">
        <f t="shared" si="22"/>
        <v>335035.55317192071</v>
      </c>
      <c r="M16" s="28">
        <f t="shared" si="22"/>
        <v>339102.67535603174</v>
      </c>
      <c r="N16" s="28">
        <f t="shared" si="22"/>
        <v>343218.60300635215</v>
      </c>
      <c r="O16" s="28">
        <f t="shared" si="22"/>
        <v>361962.53752591112</v>
      </c>
      <c r="P16" s="28">
        <f t="shared" si="22"/>
        <v>366352.7835222701</v>
      </c>
      <c r="Q16" s="28">
        <f t="shared" si="22"/>
        <v>370795.71247058531</v>
      </c>
      <c r="R16" s="28">
        <f t="shared" si="22"/>
        <v>391028.81090121286</v>
      </c>
      <c r="S16" s="28">
        <f t="shared" si="22"/>
        <v>395767.85217807541</v>
      </c>
      <c r="T16" s="28">
        <f t="shared" si="22"/>
        <v>400563.76195026032</v>
      </c>
      <c r="U16" s="28">
        <f t="shared" si="22"/>
        <v>405417.22263971146</v>
      </c>
      <c r="V16" s="28">
        <f t="shared" si="22"/>
        <v>410328.92485743604</v>
      </c>
      <c r="W16" s="28">
        <f t="shared" si="22"/>
        <v>429394.70767052239</v>
      </c>
      <c r="X16" s="28">
        <f t="shared" si="22"/>
        <v>433386.17238061671</v>
      </c>
      <c r="Y16" s="28">
        <f t="shared" si="22"/>
        <v>437425.53466723207</v>
      </c>
      <c r="Z16" s="28">
        <f t="shared" si="22"/>
        <v>441513.36930128688</v>
      </c>
      <c r="AA16" s="28">
        <f t="shared" si="22"/>
        <v>460129.36822477228</v>
      </c>
      <c r="AB16" s="28">
        <f t="shared" si="22"/>
        <v>464489.64886151755</v>
      </c>
      <c r="AC16" s="28">
        <f t="shared" si="22"/>
        <v>468902.25286590384</v>
      </c>
      <c r="AD16" s="28">
        <f t="shared" si="22"/>
        <v>473367.80811834271</v>
      </c>
      <c r="AE16" s="28">
        <f t="shared" si="22"/>
        <v>477886.9500338108</v>
      </c>
      <c r="AF16" s="28">
        <f t="shared" si="22"/>
        <v>482460.32165226463</v>
      </c>
      <c r="AG16" s="28">
        <f t="shared" si="22"/>
        <v>487088.5737301397</v>
      </c>
      <c r="AH16" s="28">
        <f t="shared" si="22"/>
        <v>491772.36483294942</v>
      </c>
      <c r="AI16" s="28">
        <f t="shared" si="22"/>
        <v>496512.36142899288</v>
      </c>
      <c r="AJ16" s="28">
        <f t="shared" si="22"/>
        <v>501309.23798418872</v>
      </c>
      <c r="AK16" s="28">
        <f t="shared" si="22"/>
        <v>506163.67705804709</v>
      </c>
      <c r="AL16" s="28">
        <f t="shared" si="22"/>
        <v>511076.36940079165</v>
      </c>
      <c r="AM16" s="28">
        <f t="shared" si="22"/>
        <v>516048.01405164914</v>
      </c>
      <c r="AN16" s="28">
        <f t="shared" si="22"/>
        <v>538688.88379165414</v>
      </c>
      <c r="AO16" s="28">
        <f t="shared" si="22"/>
        <v>543991.87861520215</v>
      </c>
      <c r="AP16" s="28">
        <f t="shared" si="22"/>
        <v>549358.5093766324</v>
      </c>
      <c r="AQ16" s="28">
        <f t="shared" si="22"/>
        <v>554789.53970720002</v>
      </c>
      <c r="AR16" s="28">
        <f t="shared" si="22"/>
        <v>560285.74240173446</v>
      </c>
      <c r="AS16" s="28">
        <f t="shared" si="22"/>
        <v>565847.8995286033</v>
      </c>
      <c r="AT16" s="28">
        <f t="shared" si="22"/>
        <v>571476.8025409946</v>
      </c>
      <c r="AU16" s="28">
        <f t="shared" si="22"/>
        <v>577173.25238953438</v>
      </c>
      <c r="AV16" s="28">
        <f t="shared" si="22"/>
        <v>582938.05963625689</v>
      </c>
      <c r="AW16" s="28">
        <f t="shared" si="22"/>
        <v>588772.04456993996</v>
      </c>
      <c r="AX16" s="28">
        <f t="shared" ref="AX16:BB16" si="23">AX14-AX15</f>
        <v>594676.03732282715</v>
      </c>
      <c r="AY16" s="28">
        <f t="shared" si="23"/>
        <v>600650.87798874895</v>
      </c>
      <c r="AZ16" s="28">
        <f t="shared" si="23"/>
        <v>606697.4167426622</v>
      </c>
      <c r="BA16" s="28">
        <f t="shared" si="23"/>
        <v>612816.51396162214</v>
      </c>
      <c r="BB16" s="28">
        <f t="shared" si="23"/>
        <v>619009.04034720967</v>
      </c>
      <c r="BI16" s="2">
        <v>32980.654348172953</v>
      </c>
    </row>
    <row r="17" spans="4:61" x14ac:dyDescent="0.2">
      <c r="D17" s="2" t="s">
        <v>196</v>
      </c>
      <c r="E17" s="28">
        <f>E16/12</f>
        <v>23627.679062289459</v>
      </c>
      <c r="F17" s="28">
        <f t="shared" ref="F17:AW17" si="24">F16/12</f>
        <v>23915.10250654093</v>
      </c>
      <c r="G17" s="28">
        <f t="shared" si="24"/>
        <v>25224.028871662144</v>
      </c>
      <c r="H17" s="28">
        <f t="shared" si="24"/>
        <v>25530.608513626092</v>
      </c>
      <c r="I17" s="28">
        <f t="shared" si="24"/>
        <v>25840.867111293603</v>
      </c>
      <c r="J17" s="28">
        <f t="shared" si="24"/>
        <v>26154.848812133121</v>
      </c>
      <c r="K17" s="28">
        <f t="shared" si="24"/>
        <v>27584.72147775632</v>
      </c>
      <c r="L17" s="28">
        <f t="shared" si="24"/>
        <v>27919.629430993391</v>
      </c>
      <c r="M17" s="28">
        <f t="shared" si="24"/>
        <v>28258.556279669312</v>
      </c>
      <c r="N17" s="28">
        <f t="shared" si="24"/>
        <v>28601.550250529344</v>
      </c>
      <c r="O17" s="28">
        <f t="shared" si="24"/>
        <v>30163.544793825928</v>
      </c>
      <c r="P17" s="28">
        <f t="shared" si="24"/>
        <v>30529.39862685584</v>
      </c>
      <c r="Q17" s="28">
        <f t="shared" si="24"/>
        <v>30899.64270588211</v>
      </c>
      <c r="R17" s="28">
        <f t="shared" si="24"/>
        <v>32585.734241767739</v>
      </c>
      <c r="S17" s="28">
        <f t="shared" si="24"/>
        <v>32980.654348172953</v>
      </c>
      <c r="T17" s="28">
        <f t="shared" si="24"/>
        <v>33380.313495855029</v>
      </c>
      <c r="U17" s="28">
        <f t="shared" si="24"/>
        <v>33784.768553309288</v>
      </c>
      <c r="V17" s="28">
        <f t="shared" si="24"/>
        <v>34194.077071453001</v>
      </c>
      <c r="W17" s="28">
        <f t="shared" si="24"/>
        <v>35782.892305876863</v>
      </c>
      <c r="X17" s="28">
        <f t="shared" si="24"/>
        <v>36115.514365051393</v>
      </c>
      <c r="Y17" s="28">
        <f t="shared" si="24"/>
        <v>36452.127888936004</v>
      </c>
      <c r="Z17" s="28">
        <f t="shared" si="24"/>
        <v>36792.78077510724</v>
      </c>
      <c r="AA17" s="28">
        <f t="shared" si="24"/>
        <v>38344.114018731023</v>
      </c>
      <c r="AB17" s="28">
        <f t="shared" si="24"/>
        <v>38707.470738459793</v>
      </c>
      <c r="AC17" s="28">
        <f t="shared" si="24"/>
        <v>39075.18773882532</v>
      </c>
      <c r="AD17" s="28">
        <f t="shared" si="24"/>
        <v>39447.317343195224</v>
      </c>
      <c r="AE17" s="28">
        <f t="shared" si="24"/>
        <v>39823.912502817569</v>
      </c>
      <c r="AF17" s="28">
        <f t="shared" si="24"/>
        <v>40205.026804355388</v>
      </c>
      <c r="AG17" s="28">
        <f t="shared" si="24"/>
        <v>40590.714477511639</v>
      </c>
      <c r="AH17" s="28">
        <f t="shared" si="24"/>
        <v>40981.030402745782</v>
      </c>
      <c r="AI17" s="28">
        <f t="shared" si="24"/>
        <v>41376.030119082738</v>
      </c>
      <c r="AJ17" s="28">
        <f t="shared" si="24"/>
        <v>41775.769832015729</v>
      </c>
      <c r="AK17" s="28">
        <f t="shared" si="24"/>
        <v>42180.306421503927</v>
      </c>
      <c r="AL17" s="28">
        <f t="shared" si="24"/>
        <v>42589.697450065971</v>
      </c>
      <c r="AM17" s="28">
        <f t="shared" si="24"/>
        <v>43004.001170970761</v>
      </c>
      <c r="AN17" s="28">
        <f t="shared" si="24"/>
        <v>44890.740315971176</v>
      </c>
      <c r="AO17" s="28">
        <f t="shared" si="24"/>
        <v>45332.656551266846</v>
      </c>
      <c r="AP17" s="28">
        <f t="shared" si="24"/>
        <v>45779.875781386036</v>
      </c>
      <c r="AQ17" s="28">
        <f t="shared" si="24"/>
        <v>46232.461642266666</v>
      </c>
      <c r="AR17" s="28">
        <f t="shared" si="24"/>
        <v>46690.478533477872</v>
      </c>
      <c r="AS17" s="28">
        <f t="shared" si="24"/>
        <v>47153.991627383606</v>
      </c>
      <c r="AT17" s="28">
        <f t="shared" si="24"/>
        <v>47623.066878416219</v>
      </c>
      <c r="AU17" s="28">
        <f t="shared" si="24"/>
        <v>48097.771032461198</v>
      </c>
      <c r="AV17" s="28">
        <f t="shared" si="24"/>
        <v>48578.171636354738</v>
      </c>
      <c r="AW17" s="28">
        <f t="shared" si="24"/>
        <v>49064.337047494999</v>
      </c>
      <c r="AX17" s="28">
        <f t="shared" ref="AX17:BB17" si="25">AX16/12</f>
        <v>49556.336443568929</v>
      </c>
      <c r="AY17" s="28">
        <f t="shared" si="25"/>
        <v>50054.239832395746</v>
      </c>
      <c r="AZ17" s="28">
        <f t="shared" si="25"/>
        <v>50558.118061888519</v>
      </c>
      <c r="BA17" s="28">
        <f t="shared" si="25"/>
        <v>51068.042830135179</v>
      </c>
      <c r="BB17" s="28">
        <f t="shared" si="25"/>
        <v>51584.086695600803</v>
      </c>
      <c r="BI17" s="2">
        <v>33380.313495855029</v>
      </c>
    </row>
    <row r="18" spans="4:61" x14ac:dyDescent="0.2">
      <c r="BI18" s="2">
        <v>33784.768553309288</v>
      </c>
    </row>
    <row r="19" spans="4:61" x14ac:dyDescent="0.2">
      <c r="BI19" s="2">
        <v>34194.077071453001</v>
      </c>
    </row>
    <row r="20" spans="4:61" x14ac:dyDescent="0.2">
      <c r="D20" s="26"/>
      <c r="BI20" s="2">
        <v>35782.892305876863</v>
      </c>
    </row>
    <row r="21" spans="4:61" x14ac:dyDescent="0.2">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36115.514365051393</v>
      </c>
    </row>
    <row r="22" spans="4:61" x14ac:dyDescent="0.2">
      <c r="D22" s="2" t="s">
        <v>202</v>
      </c>
      <c r="E22" s="26">
        <f>'Pensions P1'!$B$18+'Pensions P1'!$B$22+'Pensions P1'!$B$31</f>
        <v>49070.738068331528</v>
      </c>
      <c r="F22" s="26">
        <f>'Pensions P1'!$B$18+'Pensions P1'!$B$22+'Pensions P1'!$B$31</f>
        <v>49070.738068331528</v>
      </c>
      <c r="G22" s="26">
        <f>'Pensions P1'!$B$18+'Pensions P1'!$B$22+'Pensions P1'!$B$31</f>
        <v>49070.738068331528</v>
      </c>
      <c r="H22" s="26">
        <f>'Pensions P1'!$B$18+'Pensions P1'!$B$22+'Pensions P1'!$B$31</f>
        <v>49070.738068331528</v>
      </c>
      <c r="I22" s="26">
        <f>'Pensions P1'!$B$18+'Pensions P1'!$B$22+'Pensions P1'!$B$31</f>
        <v>49070.738068331528</v>
      </c>
      <c r="J22" s="26">
        <f>'Pensions P1'!$B$18+'Pensions P1'!$B$22+'Pensions P1'!$B$31</f>
        <v>49070.738068331528</v>
      </c>
      <c r="K22" s="26">
        <f>'Pensions P1'!$B$18+'Pensions P1'!$B$22+'Pensions P1'!$B$31</f>
        <v>49070.738068331528</v>
      </c>
      <c r="L22" s="26">
        <f>'Pensions P1'!$B$18+'Pensions P1'!$B$22+'Pensions P1'!$B$31</f>
        <v>49070.738068331528</v>
      </c>
      <c r="M22" s="26">
        <f>'Pensions P1'!$B$18+'Pensions P1'!$B$22+'Pensions P1'!$B$31</f>
        <v>49070.738068331528</v>
      </c>
      <c r="N22" s="26">
        <f>'Pensions P1'!$B$18+'Pensions P1'!$B$22+'Pensions P1'!$B$31</f>
        <v>49070.738068331528</v>
      </c>
      <c r="O22" s="26">
        <f>'Pensions P1'!$B$18+'Pensions P1'!$B$22+'Pensions P1'!$B$31</f>
        <v>49070.738068331528</v>
      </c>
      <c r="P22" s="26">
        <f>'Pensions P1'!$B$18+'Pensions P1'!$B$22+'Pensions P1'!$B$31</f>
        <v>49070.738068331528</v>
      </c>
      <c r="Q22" s="26">
        <f>'Pensions P1'!$B$18+'Pensions P1'!$B$22+'Pensions P1'!$B$31</f>
        <v>49070.738068331528</v>
      </c>
      <c r="R22" s="26">
        <f>'Pensions P1'!$B$18+'Pensions P1'!$B$22+'Pensions P1'!$B$31</f>
        <v>49070.738068331528</v>
      </c>
      <c r="S22" s="26">
        <f>'Pensions P1'!$B$18+'Pensions P1'!$B$22+'Pensions P1'!$B$31</f>
        <v>49070.738068331528</v>
      </c>
      <c r="T22" s="26">
        <f>'Pensions P1'!$B$18+'Pensions P1'!$B$22+'Pensions P1'!$B$31</f>
        <v>49070.738068331528</v>
      </c>
      <c r="U22" s="26">
        <f>'Pensions P1'!$B$18+'Pensions P1'!$B$22+'Pensions P1'!$B$31</f>
        <v>49070.738068331528</v>
      </c>
      <c r="V22" s="26">
        <f>'Pensions P1'!$B$18+'Pensions P1'!$B$22+'Pensions P1'!$B$31</f>
        <v>49070.738068331528</v>
      </c>
      <c r="W22" s="26">
        <f>'Pensions P1'!$B$18+'Pensions P1'!$B$22+'Pensions P1'!$B$31</f>
        <v>49070.738068331528</v>
      </c>
      <c r="X22" s="26">
        <f>'Pensions P1'!$B$18+'Pensions P1'!$B$22+'Pensions P1'!$B$31</f>
        <v>49070.738068331528</v>
      </c>
      <c r="Y22" s="26">
        <f>'Pensions P1'!$B$18+'Pensions P1'!$B$22+'Pensions P1'!$B$31</f>
        <v>49070.738068331528</v>
      </c>
      <c r="Z22" s="26">
        <f>'Pensions P1'!$B$18+'Pensions P1'!$B$22+'Pensions P1'!$B$31</f>
        <v>49070.738068331528</v>
      </c>
      <c r="AA22" s="26">
        <f>'Pensions P1'!$B$18+'Pensions P1'!$B$22+'Pensions P1'!$B$31</f>
        <v>49070.738068331528</v>
      </c>
      <c r="AB22" s="26">
        <f>'Pensions P1'!$B$18+'Pensions P1'!$B$22+'Pensions P1'!$B$31</f>
        <v>49070.738068331528</v>
      </c>
      <c r="AC22" s="26">
        <f>'Pensions P1'!$B$18+'Pensions P1'!$B$22+'Pensions P1'!$B$31</f>
        <v>49070.738068331528</v>
      </c>
      <c r="BI22" s="2">
        <v>36452.127888936004</v>
      </c>
    </row>
    <row r="23" spans="4:61" x14ac:dyDescent="0.2">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36792.78077510724</v>
      </c>
    </row>
    <row r="24" spans="4:61" x14ac:dyDescent="0.2">
      <c r="D24" s="2" t="s">
        <v>203</v>
      </c>
      <c r="E24" s="26">
        <f>E22*12</f>
        <v>588848.85681997833</v>
      </c>
      <c r="F24" s="26">
        <f t="shared" ref="F24:AC24" si="26">F22*12</f>
        <v>588848.85681997833</v>
      </c>
      <c r="G24" s="26">
        <f t="shared" si="26"/>
        <v>588848.85681997833</v>
      </c>
      <c r="H24" s="26">
        <f t="shared" si="26"/>
        <v>588848.85681997833</v>
      </c>
      <c r="I24" s="26">
        <f t="shared" si="26"/>
        <v>588848.85681997833</v>
      </c>
      <c r="J24" s="26">
        <f t="shared" si="26"/>
        <v>588848.85681997833</v>
      </c>
      <c r="K24" s="26">
        <f t="shared" si="26"/>
        <v>588848.85681997833</v>
      </c>
      <c r="L24" s="26">
        <f t="shared" si="26"/>
        <v>588848.85681997833</v>
      </c>
      <c r="M24" s="26">
        <f t="shared" si="26"/>
        <v>588848.85681997833</v>
      </c>
      <c r="N24" s="26">
        <f t="shared" si="26"/>
        <v>588848.85681997833</v>
      </c>
      <c r="O24" s="26">
        <f t="shared" si="26"/>
        <v>588848.85681997833</v>
      </c>
      <c r="P24" s="26">
        <f t="shared" si="26"/>
        <v>588848.85681997833</v>
      </c>
      <c r="Q24" s="26">
        <f t="shared" si="26"/>
        <v>588848.85681997833</v>
      </c>
      <c r="R24" s="26">
        <f t="shared" si="26"/>
        <v>588848.85681997833</v>
      </c>
      <c r="S24" s="26">
        <f t="shared" si="26"/>
        <v>588848.85681997833</v>
      </c>
      <c r="T24" s="26">
        <f t="shared" si="26"/>
        <v>588848.85681997833</v>
      </c>
      <c r="U24" s="26">
        <f t="shared" si="26"/>
        <v>588848.85681997833</v>
      </c>
      <c r="V24" s="26">
        <f t="shared" si="26"/>
        <v>588848.85681997833</v>
      </c>
      <c r="W24" s="26">
        <f t="shared" si="26"/>
        <v>588848.85681997833</v>
      </c>
      <c r="X24" s="26">
        <f t="shared" si="26"/>
        <v>588848.85681997833</v>
      </c>
      <c r="Y24" s="26">
        <f t="shared" si="26"/>
        <v>588848.85681997833</v>
      </c>
      <c r="Z24" s="26">
        <f t="shared" si="26"/>
        <v>588848.85681997833</v>
      </c>
      <c r="AA24" s="26">
        <f t="shared" si="26"/>
        <v>588848.85681997833</v>
      </c>
      <c r="AB24" s="26">
        <f t="shared" si="26"/>
        <v>588848.85681997833</v>
      </c>
      <c r="AC24" s="26">
        <f t="shared" si="26"/>
        <v>588848.85681997833</v>
      </c>
      <c r="BI24" s="2">
        <v>38344.114018731023</v>
      </c>
    </row>
    <row r="25" spans="4:61" x14ac:dyDescent="0.2">
      <c r="D25" s="2" t="s">
        <v>189</v>
      </c>
      <c r="E25" s="26">
        <f>E24*$B$9</f>
        <v>147212.21420499458</v>
      </c>
      <c r="F25" s="26">
        <f t="shared" ref="F25:AC25" si="27">F24*$B$9</f>
        <v>147212.21420499458</v>
      </c>
      <c r="G25" s="26">
        <f t="shared" si="27"/>
        <v>147212.21420499458</v>
      </c>
      <c r="H25" s="26">
        <f t="shared" si="27"/>
        <v>147212.21420499458</v>
      </c>
      <c r="I25" s="26">
        <f t="shared" si="27"/>
        <v>147212.21420499458</v>
      </c>
      <c r="J25" s="26">
        <f t="shared" si="27"/>
        <v>147212.21420499458</v>
      </c>
      <c r="K25" s="26">
        <f t="shared" si="27"/>
        <v>147212.21420499458</v>
      </c>
      <c r="L25" s="26">
        <f t="shared" si="27"/>
        <v>147212.21420499458</v>
      </c>
      <c r="M25" s="26">
        <f t="shared" si="27"/>
        <v>147212.21420499458</v>
      </c>
      <c r="N25" s="26">
        <f t="shared" si="27"/>
        <v>147212.21420499458</v>
      </c>
      <c r="O25" s="26">
        <f t="shared" si="27"/>
        <v>147212.21420499458</v>
      </c>
      <c r="P25" s="26">
        <f t="shared" si="27"/>
        <v>147212.21420499458</v>
      </c>
      <c r="Q25" s="26">
        <f t="shared" si="27"/>
        <v>147212.21420499458</v>
      </c>
      <c r="R25" s="26">
        <f t="shared" si="27"/>
        <v>147212.21420499458</v>
      </c>
      <c r="S25" s="26">
        <f t="shared" si="27"/>
        <v>147212.21420499458</v>
      </c>
      <c r="T25" s="26">
        <f t="shared" si="27"/>
        <v>147212.21420499458</v>
      </c>
      <c r="U25" s="26">
        <f t="shared" si="27"/>
        <v>147212.21420499458</v>
      </c>
      <c r="V25" s="26">
        <f t="shared" si="27"/>
        <v>147212.21420499458</v>
      </c>
      <c r="W25" s="26">
        <f t="shared" si="27"/>
        <v>147212.21420499458</v>
      </c>
      <c r="X25" s="26">
        <f t="shared" si="27"/>
        <v>147212.21420499458</v>
      </c>
      <c r="Y25" s="26">
        <f t="shared" si="27"/>
        <v>147212.21420499458</v>
      </c>
      <c r="Z25" s="26">
        <f t="shared" si="27"/>
        <v>147212.21420499458</v>
      </c>
      <c r="AA25" s="26">
        <f t="shared" si="27"/>
        <v>147212.21420499458</v>
      </c>
      <c r="AB25" s="26">
        <f t="shared" si="27"/>
        <v>147212.21420499458</v>
      </c>
      <c r="AC25" s="26">
        <f t="shared" si="27"/>
        <v>147212.21420499458</v>
      </c>
      <c r="BI25" s="2">
        <v>38707.470738459793</v>
      </c>
    </row>
    <row r="26" spans="4:61" x14ac:dyDescent="0.2">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39075.18773882532</v>
      </c>
    </row>
    <row r="27" spans="4:61" x14ac:dyDescent="0.2">
      <c r="D27" s="2" t="s">
        <v>191</v>
      </c>
      <c r="E27" s="26">
        <f>E24*$B$6</f>
        <v>70720.747704079404</v>
      </c>
      <c r="F27" s="26">
        <f t="shared" ref="F27:AC27" si="29">F24*$B$6</f>
        <v>70720.747704079404</v>
      </c>
      <c r="G27" s="26">
        <f t="shared" si="29"/>
        <v>70720.747704079404</v>
      </c>
      <c r="H27" s="26">
        <f t="shared" si="29"/>
        <v>70720.747704079404</v>
      </c>
      <c r="I27" s="26">
        <f t="shared" si="29"/>
        <v>70720.747704079404</v>
      </c>
      <c r="J27" s="26">
        <f t="shared" si="29"/>
        <v>70720.747704079404</v>
      </c>
      <c r="K27" s="26">
        <f t="shared" si="29"/>
        <v>70720.747704079404</v>
      </c>
      <c r="L27" s="26">
        <f t="shared" si="29"/>
        <v>70720.747704079404</v>
      </c>
      <c r="M27" s="26">
        <f t="shared" si="29"/>
        <v>70720.747704079404</v>
      </c>
      <c r="N27" s="26">
        <f t="shared" si="29"/>
        <v>70720.747704079404</v>
      </c>
      <c r="O27" s="26">
        <f t="shared" si="29"/>
        <v>70720.747704079404</v>
      </c>
      <c r="P27" s="26">
        <f t="shared" si="29"/>
        <v>70720.747704079404</v>
      </c>
      <c r="Q27" s="26">
        <f t="shared" si="29"/>
        <v>70720.747704079404</v>
      </c>
      <c r="R27" s="26">
        <f t="shared" si="29"/>
        <v>70720.747704079404</v>
      </c>
      <c r="S27" s="26">
        <f t="shared" si="29"/>
        <v>70720.747704079404</v>
      </c>
      <c r="T27" s="26">
        <f t="shared" si="29"/>
        <v>70720.747704079404</v>
      </c>
      <c r="U27" s="26">
        <f t="shared" si="29"/>
        <v>70720.747704079404</v>
      </c>
      <c r="V27" s="26">
        <f t="shared" si="29"/>
        <v>70720.747704079404</v>
      </c>
      <c r="W27" s="26">
        <f t="shared" si="29"/>
        <v>70720.747704079404</v>
      </c>
      <c r="X27" s="26">
        <f t="shared" si="29"/>
        <v>70720.747704079404</v>
      </c>
      <c r="Y27" s="26">
        <f t="shared" si="29"/>
        <v>70720.747704079404</v>
      </c>
      <c r="Z27" s="26">
        <f t="shared" si="29"/>
        <v>70720.747704079404</v>
      </c>
      <c r="AA27" s="26">
        <f t="shared" si="29"/>
        <v>70720.747704079404</v>
      </c>
      <c r="AB27" s="26">
        <f t="shared" si="29"/>
        <v>70720.747704079404</v>
      </c>
      <c r="AC27" s="26">
        <f t="shared" si="29"/>
        <v>70720.747704079404</v>
      </c>
      <c r="BI27" s="2">
        <v>39447.317343195224</v>
      </c>
    </row>
    <row r="28" spans="4:61" x14ac:dyDescent="0.2">
      <c r="D28" s="2" t="s">
        <v>192</v>
      </c>
      <c r="E28" s="26">
        <f>SUM(E25:E27)</f>
        <v>217932.96190907399</v>
      </c>
      <c r="F28" s="26">
        <f>SUM(F25:F27)</f>
        <v>217932.96190907399</v>
      </c>
      <c r="G28" s="26">
        <f t="shared" ref="G28:AC28" si="30">SUM(G25:G27)</f>
        <v>217932.96190907399</v>
      </c>
      <c r="H28" s="26">
        <f t="shared" si="30"/>
        <v>217932.96190907399</v>
      </c>
      <c r="I28" s="26">
        <f t="shared" si="30"/>
        <v>217932.96190907399</v>
      </c>
      <c r="J28" s="26">
        <f t="shared" si="30"/>
        <v>217932.96190907399</v>
      </c>
      <c r="K28" s="26">
        <f t="shared" si="30"/>
        <v>217932.96190907399</v>
      </c>
      <c r="L28" s="26">
        <f t="shared" si="30"/>
        <v>217932.96190907399</v>
      </c>
      <c r="M28" s="26">
        <f t="shared" si="30"/>
        <v>217932.96190907399</v>
      </c>
      <c r="N28" s="26">
        <f t="shared" si="30"/>
        <v>217932.96190907399</v>
      </c>
      <c r="O28" s="26">
        <f t="shared" si="30"/>
        <v>217932.96190907399</v>
      </c>
      <c r="P28" s="26">
        <f t="shared" si="30"/>
        <v>217932.96190907399</v>
      </c>
      <c r="Q28" s="26">
        <f t="shared" si="30"/>
        <v>217932.96190907399</v>
      </c>
      <c r="R28" s="26">
        <f t="shared" si="30"/>
        <v>217932.96190907399</v>
      </c>
      <c r="S28" s="26">
        <f t="shared" si="30"/>
        <v>217932.96190907399</v>
      </c>
      <c r="T28" s="26">
        <f t="shared" si="30"/>
        <v>217932.96190907399</v>
      </c>
      <c r="U28" s="26">
        <f t="shared" si="30"/>
        <v>217932.96190907399</v>
      </c>
      <c r="V28" s="26">
        <f t="shared" si="30"/>
        <v>217932.96190907399</v>
      </c>
      <c r="W28" s="26">
        <f t="shared" si="30"/>
        <v>217932.96190907399</v>
      </c>
      <c r="X28" s="26">
        <f t="shared" si="30"/>
        <v>217932.96190907399</v>
      </c>
      <c r="Y28" s="26">
        <f t="shared" si="30"/>
        <v>217932.96190907399</v>
      </c>
      <c r="Z28" s="26">
        <f t="shared" si="30"/>
        <v>217932.96190907399</v>
      </c>
      <c r="AA28" s="26">
        <f t="shared" si="30"/>
        <v>217932.96190907399</v>
      </c>
      <c r="AB28" s="26">
        <f t="shared" si="30"/>
        <v>217932.96190907399</v>
      </c>
      <c r="AC28" s="26">
        <f t="shared" si="30"/>
        <v>217932.96190907399</v>
      </c>
      <c r="BI28" s="2">
        <v>39823.912502817569</v>
      </c>
    </row>
    <row r="29" spans="4:61" x14ac:dyDescent="0.2">
      <c r="D29" s="2" t="s">
        <v>193</v>
      </c>
      <c r="E29" s="26">
        <f>E24-E28</f>
        <v>370915.89491090435</v>
      </c>
      <c r="F29" s="26">
        <f t="shared" ref="F29:AC29" si="31">F24-F28</f>
        <v>370915.89491090435</v>
      </c>
      <c r="G29" s="26">
        <f t="shared" si="31"/>
        <v>370915.89491090435</v>
      </c>
      <c r="H29" s="26">
        <f t="shared" si="31"/>
        <v>370915.89491090435</v>
      </c>
      <c r="I29" s="26">
        <f t="shared" si="31"/>
        <v>370915.89491090435</v>
      </c>
      <c r="J29" s="26">
        <f t="shared" si="31"/>
        <v>370915.89491090435</v>
      </c>
      <c r="K29" s="26">
        <f t="shared" si="31"/>
        <v>370915.89491090435</v>
      </c>
      <c r="L29" s="26">
        <f t="shared" si="31"/>
        <v>370915.89491090435</v>
      </c>
      <c r="M29" s="26">
        <f t="shared" si="31"/>
        <v>370915.89491090435</v>
      </c>
      <c r="N29" s="26">
        <f t="shared" si="31"/>
        <v>370915.89491090435</v>
      </c>
      <c r="O29" s="26">
        <f t="shared" si="31"/>
        <v>370915.89491090435</v>
      </c>
      <c r="P29" s="26">
        <f t="shared" si="31"/>
        <v>370915.89491090435</v>
      </c>
      <c r="Q29" s="26">
        <f t="shared" si="31"/>
        <v>370915.89491090435</v>
      </c>
      <c r="R29" s="26">
        <f t="shared" si="31"/>
        <v>370915.89491090435</v>
      </c>
      <c r="S29" s="26">
        <f t="shared" si="31"/>
        <v>370915.89491090435</v>
      </c>
      <c r="T29" s="26">
        <f t="shared" si="31"/>
        <v>370915.89491090435</v>
      </c>
      <c r="U29" s="26">
        <f t="shared" si="31"/>
        <v>370915.89491090435</v>
      </c>
      <c r="V29" s="26">
        <f t="shared" si="31"/>
        <v>370915.89491090435</v>
      </c>
      <c r="W29" s="26">
        <f t="shared" si="31"/>
        <v>370915.89491090435</v>
      </c>
      <c r="X29" s="26">
        <f t="shared" si="31"/>
        <v>370915.89491090435</v>
      </c>
      <c r="Y29" s="26">
        <f t="shared" si="31"/>
        <v>370915.89491090435</v>
      </c>
      <c r="Z29" s="26">
        <f t="shared" si="31"/>
        <v>370915.89491090435</v>
      </c>
      <c r="AA29" s="26">
        <f t="shared" si="31"/>
        <v>370915.89491090435</v>
      </c>
      <c r="AB29" s="26">
        <f t="shared" si="31"/>
        <v>370915.89491090435</v>
      </c>
      <c r="AC29" s="26">
        <f t="shared" si="31"/>
        <v>370915.89491090435</v>
      </c>
      <c r="BI29" s="2">
        <v>40205.026804355388</v>
      </c>
    </row>
    <row r="30" spans="4:61" x14ac:dyDescent="0.2">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40590.714477511639</v>
      </c>
    </row>
    <row r="31" spans="4:61" x14ac:dyDescent="0.2">
      <c r="D31" s="2" t="s">
        <v>196</v>
      </c>
      <c r="E31" s="26">
        <f>(E29/12)+E30</f>
        <v>34079.022477876068</v>
      </c>
      <c r="F31" s="26">
        <f t="shared" ref="F31:AC31" si="32">(F29/12)+F30</f>
        <v>34079.022477876068</v>
      </c>
      <c r="G31" s="26">
        <f t="shared" si="32"/>
        <v>34079.022477876068</v>
      </c>
      <c r="H31" s="26">
        <f t="shared" si="32"/>
        <v>34079.022477876068</v>
      </c>
      <c r="I31" s="26">
        <f t="shared" si="32"/>
        <v>34079.022477876068</v>
      </c>
      <c r="J31" s="26">
        <f t="shared" si="32"/>
        <v>34079.022477876068</v>
      </c>
      <c r="K31" s="26">
        <f t="shared" si="32"/>
        <v>34079.022477876068</v>
      </c>
      <c r="L31" s="26">
        <f t="shared" si="32"/>
        <v>34079.022477876068</v>
      </c>
      <c r="M31" s="26">
        <f t="shared" si="32"/>
        <v>34079.022477876068</v>
      </c>
      <c r="N31" s="26">
        <f t="shared" si="32"/>
        <v>34079.022477876068</v>
      </c>
      <c r="O31" s="26">
        <f t="shared" si="32"/>
        <v>34079.022477876068</v>
      </c>
      <c r="P31" s="26">
        <f t="shared" si="32"/>
        <v>34079.022477876068</v>
      </c>
      <c r="Q31" s="26">
        <f t="shared" si="32"/>
        <v>34079.022477876068</v>
      </c>
      <c r="R31" s="26">
        <f t="shared" si="32"/>
        <v>34079.022477876068</v>
      </c>
      <c r="S31" s="26">
        <f t="shared" si="32"/>
        <v>34079.022477876068</v>
      </c>
      <c r="T31" s="26">
        <f t="shared" si="32"/>
        <v>34079.022477876068</v>
      </c>
      <c r="U31" s="26">
        <f t="shared" si="32"/>
        <v>34079.022477876068</v>
      </c>
      <c r="V31" s="26">
        <f t="shared" si="32"/>
        <v>34079.022477876068</v>
      </c>
      <c r="W31" s="26">
        <f t="shared" si="32"/>
        <v>34079.022477876068</v>
      </c>
      <c r="X31" s="26">
        <f t="shared" si="32"/>
        <v>34079.022477876068</v>
      </c>
      <c r="Y31" s="26">
        <f t="shared" si="32"/>
        <v>34079.022477876068</v>
      </c>
      <c r="Z31" s="26">
        <f t="shared" si="32"/>
        <v>34079.022477876068</v>
      </c>
      <c r="AA31" s="26">
        <f t="shared" si="32"/>
        <v>34079.022477876068</v>
      </c>
      <c r="AB31" s="26">
        <f t="shared" si="32"/>
        <v>34079.022477876068</v>
      </c>
      <c r="AC31" s="26">
        <f t="shared" si="32"/>
        <v>34079.022477876068</v>
      </c>
      <c r="BI31" s="2">
        <v>40981.030402745782</v>
      </c>
    </row>
    <row r="32" spans="4:61" x14ac:dyDescent="0.2">
      <c r="D32" s="2" t="s">
        <v>274</v>
      </c>
      <c r="E32" s="26">
        <f>Income!$K$52</f>
        <v>41267.269356480647</v>
      </c>
      <c r="F32" s="26">
        <f>Income!$K$52</f>
        <v>41267.269356480647</v>
      </c>
      <c r="G32" s="26">
        <f>Income!$K$52</f>
        <v>41267.269356480647</v>
      </c>
      <c r="H32" s="26">
        <f>Income!$K$52</f>
        <v>41267.269356480647</v>
      </c>
      <c r="I32" s="26">
        <f>Income!$K$52</f>
        <v>41267.269356480647</v>
      </c>
      <c r="J32" s="26">
        <f>Income!$K$52</f>
        <v>41267.269356480647</v>
      </c>
      <c r="K32" s="26">
        <f>Income!$K$52</f>
        <v>41267.269356480647</v>
      </c>
      <c r="L32" s="26">
        <f>Income!$K$52</f>
        <v>41267.269356480647</v>
      </c>
      <c r="M32" s="26">
        <f>Income!$K$52</f>
        <v>41267.269356480647</v>
      </c>
      <c r="N32" s="26">
        <f>Income!$K$52</f>
        <v>41267.269356480647</v>
      </c>
      <c r="O32" s="26">
        <f>Income!$K$52</f>
        <v>41267.269356480647</v>
      </c>
      <c r="P32" s="26">
        <f>Income!$K$52</f>
        <v>41267.269356480647</v>
      </c>
      <c r="Q32" s="26">
        <f>Income!$K$52</f>
        <v>41267.269356480647</v>
      </c>
      <c r="R32" s="26">
        <f>Income!$K$52</f>
        <v>41267.269356480647</v>
      </c>
      <c r="S32" s="26">
        <f>Income!$K$52</f>
        <v>41267.269356480647</v>
      </c>
      <c r="T32" s="26">
        <f>Income!$K$52</f>
        <v>41267.269356480647</v>
      </c>
      <c r="U32" s="26">
        <f>Income!$K$52</f>
        <v>41267.269356480647</v>
      </c>
      <c r="V32" s="26">
        <f>Income!$K$52</f>
        <v>41267.269356480647</v>
      </c>
      <c r="W32" s="26">
        <f>Income!$K$52</f>
        <v>41267.269356480647</v>
      </c>
      <c r="X32" s="26">
        <f>Income!$K$52</f>
        <v>41267.269356480647</v>
      </c>
      <c r="Y32" s="26">
        <f>Income!$K$52</f>
        <v>41267.269356480647</v>
      </c>
      <c r="Z32" s="26">
        <f>Income!$K$52</f>
        <v>41267.269356480647</v>
      </c>
      <c r="AA32" s="26">
        <f>Income!$K$52</f>
        <v>41267.269356480647</v>
      </c>
      <c r="AB32" s="26">
        <f>Income!$K$52</f>
        <v>41267.269356480647</v>
      </c>
      <c r="AC32" s="26">
        <f>Income!$K$52</f>
        <v>41267.269356480647</v>
      </c>
      <c r="BI32" s="2">
        <v>41376.030119082738</v>
      </c>
    </row>
    <row r="33" spans="4:61" x14ac:dyDescent="0.2">
      <c r="D33" s="2" t="s">
        <v>204</v>
      </c>
      <c r="E33" s="26">
        <f>E32-E31</f>
        <v>7188.2468786045793</v>
      </c>
      <c r="F33" s="26">
        <f t="shared" ref="F33:AC33" si="33">F32-F31</f>
        <v>7188.2468786045793</v>
      </c>
      <c r="G33" s="26">
        <f t="shared" si="33"/>
        <v>7188.2468786045793</v>
      </c>
      <c r="H33" s="26">
        <f t="shared" si="33"/>
        <v>7188.2468786045793</v>
      </c>
      <c r="I33" s="26">
        <f t="shared" si="33"/>
        <v>7188.2468786045793</v>
      </c>
      <c r="J33" s="26">
        <f t="shared" si="33"/>
        <v>7188.2468786045793</v>
      </c>
      <c r="K33" s="26">
        <f t="shared" si="33"/>
        <v>7188.2468786045793</v>
      </c>
      <c r="L33" s="26">
        <f t="shared" si="33"/>
        <v>7188.2468786045793</v>
      </c>
      <c r="M33" s="26">
        <f t="shared" si="33"/>
        <v>7188.2468786045793</v>
      </c>
      <c r="N33" s="26">
        <f t="shared" si="33"/>
        <v>7188.2468786045793</v>
      </c>
      <c r="O33" s="26">
        <f t="shared" si="33"/>
        <v>7188.2468786045793</v>
      </c>
      <c r="P33" s="26">
        <f t="shared" si="33"/>
        <v>7188.2468786045793</v>
      </c>
      <c r="Q33" s="26">
        <f t="shared" si="33"/>
        <v>7188.2468786045793</v>
      </c>
      <c r="R33" s="26">
        <f t="shared" si="33"/>
        <v>7188.2468786045793</v>
      </c>
      <c r="S33" s="26">
        <f t="shared" si="33"/>
        <v>7188.2468786045793</v>
      </c>
      <c r="T33" s="26">
        <f t="shared" si="33"/>
        <v>7188.2468786045793</v>
      </c>
      <c r="U33" s="26">
        <f t="shared" si="33"/>
        <v>7188.2468786045793</v>
      </c>
      <c r="V33" s="26">
        <f t="shared" si="33"/>
        <v>7188.2468786045793</v>
      </c>
      <c r="W33" s="26">
        <f t="shared" si="33"/>
        <v>7188.2468786045793</v>
      </c>
      <c r="X33" s="26">
        <f t="shared" si="33"/>
        <v>7188.2468786045793</v>
      </c>
      <c r="Y33" s="26">
        <f t="shared" si="33"/>
        <v>7188.2468786045793</v>
      </c>
      <c r="Z33" s="26">
        <f t="shared" si="33"/>
        <v>7188.2468786045793</v>
      </c>
      <c r="AA33" s="26">
        <f t="shared" si="33"/>
        <v>7188.2468786045793</v>
      </c>
      <c r="AB33" s="26">
        <f t="shared" si="33"/>
        <v>7188.2468786045793</v>
      </c>
      <c r="AC33" s="26">
        <f t="shared" si="33"/>
        <v>7188.2468786045793</v>
      </c>
      <c r="BI33" s="2">
        <v>41775.769832015729</v>
      </c>
    </row>
    <row r="34" spans="4:61" x14ac:dyDescent="0.2">
      <c r="D34" s="2" t="s">
        <v>264</v>
      </c>
      <c r="E34" s="26">
        <f>E33*(1+$B$10)</f>
        <v>9129.0735358278162</v>
      </c>
      <c r="F34" s="26">
        <f t="shared" ref="F34:AC34" si="34">F33*(1+$B$10)</f>
        <v>9129.0735358278162</v>
      </c>
      <c r="G34" s="26">
        <f t="shared" si="34"/>
        <v>9129.0735358278162</v>
      </c>
      <c r="H34" s="26">
        <f t="shared" si="34"/>
        <v>9129.0735358278162</v>
      </c>
      <c r="I34" s="26">
        <f t="shared" si="34"/>
        <v>9129.0735358278162</v>
      </c>
      <c r="J34" s="26">
        <f t="shared" si="34"/>
        <v>9129.0735358278162</v>
      </c>
      <c r="K34" s="26">
        <f t="shared" si="34"/>
        <v>9129.0735358278162</v>
      </c>
      <c r="L34" s="26">
        <f t="shared" si="34"/>
        <v>9129.0735358278162</v>
      </c>
      <c r="M34" s="26">
        <f t="shared" si="34"/>
        <v>9129.0735358278162</v>
      </c>
      <c r="N34" s="26">
        <f t="shared" si="34"/>
        <v>9129.0735358278162</v>
      </c>
      <c r="O34" s="26">
        <f t="shared" si="34"/>
        <v>9129.0735358278162</v>
      </c>
      <c r="P34" s="26">
        <f t="shared" si="34"/>
        <v>9129.0735358278162</v>
      </c>
      <c r="Q34" s="26">
        <f t="shared" si="34"/>
        <v>9129.0735358278162</v>
      </c>
      <c r="R34" s="26">
        <f t="shared" si="34"/>
        <v>9129.0735358278162</v>
      </c>
      <c r="S34" s="26">
        <f t="shared" si="34"/>
        <v>9129.0735358278162</v>
      </c>
      <c r="T34" s="26">
        <f t="shared" si="34"/>
        <v>9129.0735358278162</v>
      </c>
      <c r="U34" s="26">
        <f t="shared" si="34"/>
        <v>9129.0735358278162</v>
      </c>
      <c r="V34" s="26">
        <f t="shared" si="34"/>
        <v>9129.0735358278162</v>
      </c>
      <c r="W34" s="26">
        <f t="shared" si="34"/>
        <v>9129.0735358278162</v>
      </c>
      <c r="X34" s="26">
        <f t="shared" si="34"/>
        <v>9129.0735358278162</v>
      </c>
      <c r="Y34" s="26">
        <f t="shared" si="34"/>
        <v>9129.0735358278162</v>
      </c>
      <c r="Z34" s="26">
        <f t="shared" si="34"/>
        <v>9129.0735358278162</v>
      </c>
      <c r="AA34" s="26">
        <f t="shared" si="34"/>
        <v>9129.0735358278162</v>
      </c>
      <c r="AB34" s="26">
        <f t="shared" si="34"/>
        <v>9129.0735358278162</v>
      </c>
      <c r="AC34" s="26">
        <f t="shared" si="34"/>
        <v>9129.0735358278162</v>
      </c>
      <c r="BI34" s="2">
        <v>42180.306421503927</v>
      </c>
    </row>
    <row r="35" spans="4:61" x14ac:dyDescent="0.2">
      <c r="D35" s="2" t="s">
        <v>265</v>
      </c>
      <c r="E35" s="26">
        <f>E34*12</f>
        <v>109548.88242993379</v>
      </c>
      <c r="F35" s="26">
        <f t="shared" ref="F35:AC35" si="35">F34*12</f>
        <v>109548.88242993379</v>
      </c>
      <c r="G35" s="26">
        <f t="shared" si="35"/>
        <v>109548.88242993379</v>
      </c>
      <c r="H35" s="26">
        <f t="shared" si="35"/>
        <v>109548.88242993379</v>
      </c>
      <c r="I35" s="26">
        <f t="shared" si="35"/>
        <v>109548.88242993379</v>
      </c>
      <c r="J35" s="26">
        <f t="shared" si="35"/>
        <v>109548.88242993379</v>
      </c>
      <c r="K35" s="26">
        <f t="shared" si="35"/>
        <v>109548.88242993379</v>
      </c>
      <c r="L35" s="26">
        <f t="shared" si="35"/>
        <v>109548.88242993379</v>
      </c>
      <c r="M35" s="26">
        <f t="shared" si="35"/>
        <v>109548.88242993379</v>
      </c>
      <c r="N35" s="26">
        <f t="shared" si="35"/>
        <v>109548.88242993379</v>
      </c>
      <c r="O35" s="26">
        <f t="shared" si="35"/>
        <v>109548.88242993379</v>
      </c>
      <c r="P35" s="26">
        <f t="shared" si="35"/>
        <v>109548.88242993379</v>
      </c>
      <c r="Q35" s="26">
        <f t="shared" si="35"/>
        <v>109548.88242993379</v>
      </c>
      <c r="R35" s="26">
        <f t="shared" si="35"/>
        <v>109548.88242993379</v>
      </c>
      <c r="S35" s="26">
        <f t="shared" si="35"/>
        <v>109548.88242993379</v>
      </c>
      <c r="T35" s="26">
        <f t="shared" si="35"/>
        <v>109548.88242993379</v>
      </c>
      <c r="U35" s="26">
        <f t="shared" si="35"/>
        <v>109548.88242993379</v>
      </c>
      <c r="V35" s="26">
        <f t="shared" si="35"/>
        <v>109548.88242993379</v>
      </c>
      <c r="W35" s="26">
        <f t="shared" si="35"/>
        <v>109548.88242993379</v>
      </c>
      <c r="X35" s="26">
        <f t="shared" si="35"/>
        <v>109548.88242993379</v>
      </c>
      <c r="Y35" s="26">
        <f t="shared" si="35"/>
        <v>109548.88242993379</v>
      </c>
      <c r="Z35" s="26">
        <f t="shared" si="35"/>
        <v>109548.88242993379</v>
      </c>
      <c r="AA35" s="26">
        <f t="shared" si="35"/>
        <v>109548.88242993379</v>
      </c>
      <c r="AB35" s="26">
        <f t="shared" si="35"/>
        <v>109548.88242993379</v>
      </c>
      <c r="AC35" s="26">
        <f t="shared" si="35"/>
        <v>109548.88242993379</v>
      </c>
      <c r="BI35" s="2">
        <v>42589.697450065971</v>
      </c>
    </row>
    <row r="36" spans="4:61" x14ac:dyDescent="0.2">
      <c r="BI36" s="2">
        <v>43004.001170970761</v>
      </c>
    </row>
    <row r="37" spans="4:61" x14ac:dyDescent="0.2">
      <c r="D37" s="2" t="s">
        <v>205</v>
      </c>
      <c r="E37" s="27">
        <f>SUM(E35:AC35)</f>
        <v>2738722.0607483448</v>
      </c>
      <c r="BI37" s="2">
        <v>44890.740315971176</v>
      </c>
    </row>
    <row r="38" spans="4:61" x14ac:dyDescent="0.2">
      <c r="E38" s="26"/>
      <c r="BI38" s="2">
        <v>45332.656551266846</v>
      </c>
    </row>
    <row r="39" spans="4:61" x14ac:dyDescent="0.2">
      <c r="E39" s="57">
        <f>1500000</f>
        <v>1500000</v>
      </c>
      <c r="F39" s="57">
        <f>E39/25</f>
        <v>60000</v>
      </c>
      <c r="BI39" s="2">
        <v>45779.875781386036</v>
      </c>
    </row>
    <row r="40" spans="4:61" x14ac:dyDescent="0.2">
      <c r="BI40" s="2">
        <v>46232.461642266666</v>
      </c>
    </row>
    <row r="41" spans="4:61" x14ac:dyDescent="0.2">
      <c r="BI41" s="2">
        <v>46690.478533477872</v>
      </c>
    </row>
    <row r="42" spans="4:61" x14ac:dyDescent="0.2">
      <c r="BI42" s="2">
        <v>47153.991627383606</v>
      </c>
    </row>
    <row r="43" spans="4:61" x14ac:dyDescent="0.2">
      <c r="E43" s="28"/>
      <c r="BI43" s="2">
        <v>47623.066878416219</v>
      </c>
    </row>
    <row r="44" spans="4:61" x14ac:dyDescent="0.2">
      <c r="E44" s="28"/>
      <c r="BI44" s="2">
        <v>48097.771032461198</v>
      </c>
    </row>
    <row r="45" spans="4:61" x14ac:dyDescent="0.2">
      <c r="E45" s="26"/>
      <c r="BI45" s="2">
        <v>48578.171636354738</v>
      </c>
    </row>
    <row r="46" spans="4:61" x14ac:dyDescent="0.2">
      <c r="E46" s="26"/>
      <c r="BI46" s="2">
        <v>49064.337047494999</v>
      </c>
    </row>
    <row r="47" spans="4:61" x14ac:dyDescent="0.2">
      <c r="E47" s="26"/>
      <c r="BI47" s="2">
        <v>49556.336443568929</v>
      </c>
    </row>
    <row r="48" spans="4:61" x14ac:dyDescent="0.2">
      <c r="E48" s="26"/>
      <c r="BI48" s="2">
        <v>50054.239832395746</v>
      </c>
    </row>
    <row r="49" spans="5:61" x14ac:dyDescent="0.2">
      <c r="E49" s="26"/>
      <c r="BI49" s="2">
        <v>50558.118061888519</v>
      </c>
    </row>
    <row r="50" spans="5:61" x14ac:dyDescent="0.2">
      <c r="E50" s="26"/>
      <c r="BI50" s="2">
        <v>51068.042830135179</v>
      </c>
    </row>
    <row r="51" spans="5:61" x14ac:dyDescent="0.2">
      <c r="E51" s="26"/>
      <c r="BI51" s="2">
        <v>51584.086695600803</v>
      </c>
    </row>
    <row r="52" spans="5:61" x14ac:dyDescent="0.2">
      <c r="E52" s="26"/>
      <c r="BI52" s="2">
        <v>0</v>
      </c>
    </row>
    <row r="53" spans="5:61" x14ac:dyDescent="0.2">
      <c r="E53" s="26"/>
    </row>
    <row r="54" spans="5:61" x14ac:dyDescent="0.2">
      <c r="E54" s="26"/>
    </row>
    <row r="55" spans="5:61" x14ac:dyDescent="0.2">
      <c r="E55" s="26"/>
    </row>
    <row r="56" spans="5:61" x14ac:dyDescent="0.2">
      <c r="E56" s="26"/>
    </row>
    <row r="57" spans="5:61" x14ac:dyDescent="0.2">
      <c r="E57" s="26"/>
    </row>
    <row r="58" spans="5:61" x14ac:dyDescent="0.2">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baseColWidth="10" defaultColWidth="8.6640625" defaultRowHeight="15" x14ac:dyDescent="0.2"/>
  <cols>
    <col min="1" max="2" width="8.6640625" style="2"/>
    <col min="3" max="3" width="11.33203125" style="2" customWidth="1"/>
    <col min="4" max="4" width="15.1640625" style="2" customWidth="1"/>
    <col min="5" max="5" width="12.5" style="2" customWidth="1"/>
    <col min="6" max="7" width="20.6640625" style="2" bestFit="1" customWidth="1"/>
    <col min="8" max="13" width="8.6640625" style="2"/>
    <col min="14" max="14" width="11.33203125" style="2" customWidth="1"/>
    <col min="15" max="15" width="16.6640625" style="2" customWidth="1"/>
    <col min="16" max="16" width="16.83203125" style="2" customWidth="1"/>
    <col min="17" max="18" width="8.6640625" style="2"/>
    <col min="19" max="19" width="11.33203125" style="2" customWidth="1"/>
    <col min="20" max="16384" width="8.6640625" style="2"/>
  </cols>
  <sheetData>
    <row r="2" spans="2:20" x14ac:dyDescent="0.2">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Y</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2521</v>
      </c>
      <c r="Q11" s="13">
        <f t="shared" si="1"/>
        <v>1.6380766731643925</v>
      </c>
      <c r="S11" s="4" t="s">
        <v>21</v>
      </c>
      <c r="T11" s="4">
        <f t="shared" si="2"/>
        <v>1.6692163718551367</v>
      </c>
    </row>
    <row r="12" spans="2:20" x14ac:dyDescent="0.2">
      <c r="B12" s="4">
        <v>34</v>
      </c>
      <c r="C12" s="4" t="str">
        <f t="shared" si="3"/>
        <v>30-34 år</v>
      </c>
      <c r="D12" s="13">
        <f t="shared" si="0"/>
        <v>0.33908020385851029</v>
      </c>
      <c r="E12" s="4" t="str">
        <f ca="1">IF(OR(JobHopping[[#This Row],[Age]]=25,JobHopping[[#This Row],[Age]]&gt;69),"N",IF(AND(E10="N",E11="N", RAND()&lt;=D12), "Y", "N"))</f>
        <v>Y</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
      <c r="B15" s="4">
        <v>37</v>
      </c>
      <c r="C15" s="4" t="str">
        <f t="shared" si="3"/>
        <v>35-39 år</v>
      </c>
      <c r="D15" s="13">
        <f t="shared" si="0"/>
        <v>0.2624026948424838</v>
      </c>
      <c r="E15" s="4" t="str">
        <f ca="1">IF(OR(JobHopping[[#This Row],[Age]]=25,JobHopping[[#This Row],[Age]]&gt;69),"N",IF(AND(E13="N",E14="N", RAND()&lt;=D15), "Y", "N"))</f>
        <v>Y</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
      <c r="B18" s="4">
        <v>40</v>
      </c>
      <c r="C18" s="4" t="str">
        <f t="shared" si="3"/>
        <v>40-44 år</v>
      </c>
      <c r="D18" s="13">
        <f t="shared" si="0"/>
        <v>0.2213187304833609</v>
      </c>
      <c r="E18" s="4" t="str">
        <f ca="1">IF(OR(JobHopping[[#This Row],[Age]]=25,JobHopping[[#This Row],[Age]]&gt;69),"N",IF(AND(E16="N",E17="N", RAND()&lt;=D18), "Y", "N"))</f>
        <v>N</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
      <c r="B19" s="4">
        <v>41</v>
      </c>
      <c r="C19" s="4" t="str">
        <f t="shared" si="3"/>
        <v>40-44 år</v>
      </c>
      <c r="D19" s="13">
        <f t="shared" si="0"/>
        <v>0.2213187304833609</v>
      </c>
      <c r="E19" s="4" t="str">
        <f ca="1">IF(OR(JobHopping[[#This Row],[Age]]=25,JobHopping[[#This Row],[Age]]&gt;69),"N",IF(AND(E17="N",E18="N", RAND()&lt;=D19), "Y", "N"))</f>
        <v>Y</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2715</v>
      </c>
      <c r="Q20" s="13">
        <f t="shared" si="1"/>
        <v>1.6968749999999999</v>
      </c>
    </row>
    <row r="21" spans="2:17" x14ac:dyDescent="0.2">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
      <c r="B28" s="4">
        <v>50</v>
      </c>
      <c r="C28" s="4" t="str">
        <f t="shared" si="3"/>
        <v>50-54 år</v>
      </c>
      <c r="D28" s="13">
        <f t="shared" si="0"/>
        <v>0.17668929185764676</v>
      </c>
      <c r="E28" s="4" t="str">
        <f ca="1">IF(OR(JobHopping[[#This Row],[Age]]=25,JobHopping[[#This Row],[Age]]&gt;69),"N",IF(AND(E26="N",E27="N", RAND()&lt;=D28), "Y", "N"))</f>
        <v>Y</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3005</v>
      </c>
      <c r="Q29" s="13">
        <f t="shared" si="1"/>
        <v>1.8300852618757613</v>
      </c>
    </row>
    <row r="30" spans="2:17" x14ac:dyDescent="0.2">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3106</v>
      </c>
      <c r="Q38" s="13">
        <f t="shared" si="1"/>
        <v>1.8488095238095239</v>
      </c>
    </row>
    <row r="39" spans="2:17" x14ac:dyDescent="0.2">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
      <c r="B42" s="4">
        <v>64</v>
      </c>
      <c r="C42" s="4" t="str">
        <f t="shared" si="3"/>
        <v>60-64 år</v>
      </c>
      <c r="D42" s="13">
        <f t="shared" si="4"/>
        <v>0.13997311637990331</v>
      </c>
      <c r="E42" s="4" t="str">
        <f ca="1">IF(OR(JobHopping[[#This Row],[Age]]=25,JobHopping[[#This Row],[Age]]&gt;69),"N",IF(AND(E40="N",E41="N", RAND()&lt;=D42), "Y", "N"))</f>
        <v>N</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
      <c r="B43" s="4">
        <v>65</v>
      </c>
      <c r="C43" s="4" t="str">
        <f t="shared" si="3"/>
        <v>65+ år</v>
      </c>
      <c r="D43" s="13">
        <f t="shared" si="4"/>
        <v>1.6692163718551367</v>
      </c>
      <c r="E43" s="4" t="str">
        <f ca="1">IF(OR(JobHopping[[#This Row],[Age]]=25,JobHopping[[#This Row],[Age]]&gt;69),"N",IF(AND(E41="N",E42="N", RAND()&lt;=D43), "Y", "N"))</f>
        <v>Y</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
      <c r="B44" s="4">
        <v>66</v>
      </c>
      <c r="C44" s="4" t="str">
        <f t="shared" si="3"/>
        <v>65+ år</v>
      </c>
      <c r="D44" s="13">
        <f t="shared" si="4"/>
        <v>1.6692163718551367</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
      <c r="B45" s="4">
        <v>67</v>
      </c>
      <c r="C45" s="4" t="str">
        <f t="shared" si="3"/>
        <v>65+ år</v>
      </c>
      <c r="D45" s="13">
        <f t="shared" si="4"/>
        <v>1.6692163718551367</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
      <c r="B46" s="4">
        <v>68</v>
      </c>
      <c r="C46" s="4" t="str">
        <f t="shared" si="3"/>
        <v>65+ år</v>
      </c>
      <c r="D46" s="13">
        <f t="shared" si="4"/>
        <v>1.6692163718551367</v>
      </c>
      <c r="E46" s="4" t="str">
        <f ca="1">IF(OR(JobHopping[[#This Row],[Age]]=25,JobHopping[[#This Row],[Age]]&gt;69),"N",IF(AND(E44="N",E45="N", RAND()&lt;=D46), "Y", "N"))</f>
        <v>Y</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
      <c r="B47" s="4">
        <v>69</v>
      </c>
      <c r="C47" s="4" t="str">
        <f t="shared" si="3"/>
        <v>65+ år</v>
      </c>
      <c r="D47" s="13">
        <f t="shared" si="4"/>
        <v>1.6692163718551367</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3149</v>
      </c>
      <c r="Q47" s="13">
        <f t="shared" si="1"/>
        <v>1.7740845070422535</v>
      </c>
    </row>
    <row r="48" spans="2:17" x14ac:dyDescent="0.2">
      <c r="B48" s="4">
        <v>70</v>
      </c>
      <c r="C48" s="4" t="str">
        <f t="shared" si="3"/>
        <v>65+ år</v>
      </c>
      <c r="D48" s="13">
        <f t="shared" si="4"/>
        <v>1.6692163718551367</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
      <c r="B49" s="4">
        <v>71</v>
      </c>
      <c r="C49" s="4" t="str">
        <f t="shared" ref="C49:C54" si="5">IF(B49&lt;30, "25-29 år", IF(B49&lt;35, "30-34 år", IF(B49&lt;40, "35-39 år", IF(B49&lt;45, "40-44 år", IF(B49&lt;50, "45-49 år", IF(B49&lt;55, "50-54 år", IF(B49&lt;60, "55-59 år", IF(B49&lt;65, "60-64 år", "65+ år"))))))))</f>
        <v>65+ år</v>
      </c>
      <c r="D49" s="13">
        <f t="shared" si="4"/>
        <v>1.6692163718551367</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
      <c r="B50" s="4">
        <v>72</v>
      </c>
      <c r="C50" s="4" t="str">
        <f t="shared" si="5"/>
        <v>65+ år</v>
      </c>
      <c r="D50" s="13">
        <f t="shared" si="4"/>
        <v>1.6692163718551367</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
      <c r="B51" s="4">
        <v>73</v>
      </c>
      <c r="C51" s="4" t="str">
        <f t="shared" si="5"/>
        <v>65+ år</v>
      </c>
      <c r="D51" s="13">
        <f t="shared" si="4"/>
        <v>1.6692163718551367</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
      <c r="B52" s="4">
        <v>74</v>
      </c>
      <c r="C52" s="4" t="str">
        <f t="shared" si="5"/>
        <v>65+ år</v>
      </c>
      <c r="D52" s="13">
        <f t="shared" si="4"/>
        <v>1.6692163718551367</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
      <c r="B53" s="4">
        <v>75</v>
      </c>
      <c r="C53" s="4" t="str">
        <f t="shared" si="5"/>
        <v>65+ år</v>
      </c>
      <c r="D53" s="13">
        <f t="shared" si="4"/>
        <v>1.6692163718551367</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
      <c r="B54" s="4">
        <v>76</v>
      </c>
      <c r="C54" s="4" t="str">
        <f t="shared" si="5"/>
        <v>65+ år</v>
      </c>
      <c r="D54" s="13">
        <f t="shared" si="4"/>
        <v>1.6692163718551367</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
      <c r="B55" s="4">
        <v>77</v>
      </c>
      <c r="C55" s="4" t="str">
        <f t="shared" ref="C55:C69" si="6">IF(B55&lt;30, "25-29 år", IF(B55&lt;35, "30-34 år", IF(B55&lt;40, "35-39 år", IF(B55&lt;45, "40-44 år", IF(B55&lt;50, "45-49 år", IF(B55&lt;55, "50-54 år", IF(B55&lt;60, "55-59 år", IF(B55&lt;65, "60-64 år", "65+ år"))))))))</f>
        <v>65+ år</v>
      </c>
      <c r="D55" s="13">
        <f t="shared" si="4"/>
        <v>1.6692163718551367</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
      <c r="B56" s="4">
        <v>78</v>
      </c>
      <c r="C56" s="4" t="str">
        <f t="shared" si="6"/>
        <v>65+ år</v>
      </c>
      <c r="D56" s="13">
        <f t="shared" si="4"/>
        <v>1.6692163718551367</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3477</v>
      </c>
      <c r="Q56" s="13">
        <f t="shared" si="1"/>
        <v>1.8328940432261465</v>
      </c>
    </row>
    <row r="57" spans="2:17" x14ac:dyDescent="0.2">
      <c r="B57" s="4">
        <v>79</v>
      </c>
      <c r="C57" s="4" t="str">
        <f t="shared" si="6"/>
        <v>65+ år</v>
      </c>
      <c r="D57" s="13">
        <f t="shared" si="4"/>
        <v>1.6692163718551367</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
      <c r="B58" s="4">
        <v>80</v>
      </c>
      <c r="C58" s="4" t="str">
        <f t="shared" si="6"/>
        <v>65+ år</v>
      </c>
      <c r="D58" s="13">
        <f t="shared" si="4"/>
        <v>1.6692163718551367</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
      <c r="B59" s="4">
        <v>81</v>
      </c>
      <c r="C59" s="4" t="str">
        <f t="shared" si="6"/>
        <v>65+ år</v>
      </c>
      <c r="D59" s="13">
        <f t="shared" si="4"/>
        <v>1.6692163718551367</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
      <c r="B60" s="4">
        <v>82</v>
      </c>
      <c r="C60" s="4" t="str">
        <f t="shared" si="6"/>
        <v>65+ år</v>
      </c>
      <c r="D60" s="13">
        <f t="shared" si="4"/>
        <v>1.6692163718551367</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
      <c r="B61" s="4">
        <v>83</v>
      </c>
      <c r="C61" s="4" t="str">
        <f t="shared" si="6"/>
        <v>65+ år</v>
      </c>
      <c r="D61" s="13">
        <f t="shared" si="4"/>
        <v>1.6692163718551367</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
      <c r="B62" s="4">
        <v>84</v>
      </c>
      <c r="C62" s="4" t="str">
        <f t="shared" si="6"/>
        <v>65+ år</v>
      </c>
      <c r="D62" s="13">
        <f t="shared" si="4"/>
        <v>1.6692163718551367</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
      <c r="B63" s="4">
        <v>85</v>
      </c>
      <c r="C63" s="4" t="str">
        <f t="shared" si="6"/>
        <v>65+ år</v>
      </c>
      <c r="D63" s="13">
        <f t="shared" si="4"/>
        <v>1.6692163718551367</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
      <c r="B64" s="4">
        <v>86</v>
      </c>
      <c r="C64" s="4" t="str">
        <f t="shared" si="6"/>
        <v>65+ år</v>
      </c>
      <c r="D64" s="13">
        <f t="shared" si="4"/>
        <v>1.6692163718551367</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
      <c r="B65" s="4">
        <v>87</v>
      </c>
      <c r="C65" s="4" t="str">
        <f t="shared" si="6"/>
        <v>65+ år</v>
      </c>
      <c r="D65" s="13">
        <f t="shared" si="4"/>
        <v>1.6692163718551367</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3028</v>
      </c>
      <c r="Q65" s="13">
        <f t="shared" si="1"/>
        <v>1.4916256157635468</v>
      </c>
    </row>
    <row r="66" spans="2:17" x14ac:dyDescent="0.2">
      <c r="B66" s="4">
        <v>88</v>
      </c>
      <c r="C66" s="4" t="str">
        <f t="shared" si="6"/>
        <v>65+ år</v>
      </c>
      <c r="D66" s="13">
        <f t="shared" si="4"/>
        <v>1.6692163718551367</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
      <c r="B67" s="4">
        <v>89</v>
      </c>
      <c r="C67" s="4" t="str">
        <f t="shared" si="6"/>
        <v>65+ år</v>
      </c>
      <c r="D67" s="13">
        <f t="shared" ref="D67:D78" si="7">_xlfn.XLOOKUP(C67,S:S,T:T)</f>
        <v>1.6692163718551367</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
      <c r="B68" s="4">
        <v>90</v>
      </c>
      <c r="C68" s="4" t="str">
        <f t="shared" si="6"/>
        <v>65+ år</v>
      </c>
      <c r="D68" s="13">
        <f t="shared" si="7"/>
        <v>1.6692163718551367</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
      <c r="B69" s="4">
        <v>91</v>
      </c>
      <c r="C69" s="4" t="str">
        <f t="shared" si="6"/>
        <v>65+ år</v>
      </c>
      <c r="D69" s="13">
        <f t="shared" si="7"/>
        <v>1.6692163718551367</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
      <c r="B70" s="4">
        <v>92</v>
      </c>
      <c r="C70" s="4" t="str">
        <f t="shared" ref="C70:C78" si="9">IF(B70&lt;30, "25-29 år", IF(B70&lt;35, "30-34 år", IF(B70&lt;40, "35-39 år", IF(B70&lt;45, "40-44 år", IF(B70&lt;50, "45-49 år", IF(B70&lt;55, "50-54 år", IF(B70&lt;60, "55-59 år", IF(B70&lt;65, "60-64 år", "65+ år"))))))))</f>
        <v>65+ år</v>
      </c>
      <c r="D70" s="13">
        <f t="shared" si="7"/>
        <v>1.6692163718551367</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
      <c r="B71" s="4">
        <v>93</v>
      </c>
      <c r="C71" s="4" t="str">
        <f t="shared" si="9"/>
        <v>65+ år</v>
      </c>
      <c r="D71" s="13">
        <f t="shared" si="7"/>
        <v>1.6692163718551367</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
      <c r="B72" s="4">
        <v>94</v>
      </c>
      <c r="C72" s="4" t="str">
        <f t="shared" si="9"/>
        <v>65+ år</v>
      </c>
      <c r="D72" s="13">
        <f t="shared" si="7"/>
        <v>1.6692163718551367</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
      <c r="B73" s="4">
        <v>95</v>
      </c>
      <c r="C73" s="4" t="str">
        <f t="shared" si="9"/>
        <v>65+ år</v>
      </c>
      <c r="D73" s="13">
        <f t="shared" si="7"/>
        <v>1.6692163718551367</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
      <c r="B74" s="4">
        <v>96</v>
      </c>
      <c r="C74" s="4" t="str">
        <f t="shared" si="9"/>
        <v>65+ år</v>
      </c>
      <c r="D74" s="13">
        <f t="shared" si="7"/>
        <v>1.6692163718551367</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3854</v>
      </c>
      <c r="Q74" s="13">
        <f t="shared" si="8"/>
        <v>1.7274764679515913</v>
      </c>
    </row>
    <row r="75" spans="2:17" x14ac:dyDescent="0.2">
      <c r="B75" s="4">
        <v>97</v>
      </c>
      <c r="C75" s="4" t="str">
        <f t="shared" si="9"/>
        <v>65+ år</v>
      </c>
      <c r="D75" s="13">
        <f t="shared" si="7"/>
        <v>1.6692163718551367</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
      <c r="B76" s="4">
        <v>98</v>
      </c>
      <c r="C76" s="4" t="str">
        <f t="shared" si="9"/>
        <v>65+ år</v>
      </c>
      <c r="D76" s="13">
        <f t="shared" si="7"/>
        <v>1.6692163718551367</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
      <c r="B77" s="4">
        <v>99</v>
      </c>
      <c r="C77" s="4" t="str">
        <f t="shared" si="9"/>
        <v>65+ år</v>
      </c>
      <c r="D77" s="13">
        <f t="shared" si="7"/>
        <v>1.6692163718551367</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
      <c r="B78" s="4">
        <v>100</v>
      </c>
      <c r="C78" s="4" t="str">
        <f t="shared" si="9"/>
        <v>65+ år</v>
      </c>
      <c r="D78" s="13">
        <f t="shared" si="7"/>
        <v>1.6692163718551367</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
      <c r="M83" s="4">
        <v>2021</v>
      </c>
      <c r="N83" s="4" t="s">
        <v>21</v>
      </c>
      <c r="O83" s="4">
        <f>_xlfn.XLOOKUP(M83&amp;"-"&amp;N83,'Djøf Finance Workers'!D:D,'Djøf Finance Workers'!C:C,0,1)</f>
        <v>2522</v>
      </c>
      <c r="P83" s="4">
        <f>_xlfn.XLOOKUP(M83&amp;"-"&amp;N83,'Djøf Finance Hoppers'!D:D,'Djøf Finance Hoppers'!C:C,0,1)</f>
        <v>3870</v>
      </c>
      <c r="Q83" s="13">
        <f t="shared" si="8"/>
        <v>1.534496431403648</v>
      </c>
    </row>
    <row r="84" spans="13:17" x14ac:dyDescent="0.2">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
      <c r="M92" s="4">
        <v>2022</v>
      </c>
      <c r="N92" s="4" t="s">
        <v>21</v>
      </c>
      <c r="O92" s="4">
        <f>_xlfn.XLOOKUP(M92&amp;"-"&amp;N92,'Djøf Finance Workers'!D:D,'Djøf Finance Workers'!C:C,0,1)</f>
        <v>2779</v>
      </c>
      <c r="P92" s="4">
        <f>_xlfn.XLOOKUP(M92&amp;"-"&amp;N92,'Djøf Finance Hoppers'!D:D,'Djøf Finance Hoppers'!C:C,0,1)</f>
        <v>3662</v>
      </c>
      <c r="Q92" s="13">
        <f t="shared" si="8"/>
        <v>1.3177401943145015</v>
      </c>
    </row>
    <row r="93" spans="13:17" x14ac:dyDescent="0.2">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
      <c r="M101" s="4">
        <v>2023</v>
      </c>
      <c r="N101" s="4" t="s">
        <v>21</v>
      </c>
      <c r="O101" s="4">
        <f>_xlfn.XLOOKUP(M101&amp;"-"&amp;N101,'Djøf Finance Workers'!D:D,'Djøf Finance Workers'!C:C,0,1)</f>
        <v>3139</v>
      </c>
      <c r="P101" s="4">
        <f>_xlfn.XLOOKUP(M101&amp;"-"&amp;N101,'Djøf Finance Hoppers'!D:D,'Djøf Finance Hoppers'!C:C,0,1)</f>
        <v>0</v>
      </c>
      <c r="Q101" s="13">
        <f>IF(O101&gt;0, P101/O101, 0)</f>
        <v>0</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baseColWidth="10" defaultColWidth="8.83203125" defaultRowHeight="15" x14ac:dyDescent="0.2"/>
  <cols>
    <col min="2" max="2" width="13" customWidth="1"/>
    <col min="3" max="3" width="31" customWidth="1"/>
  </cols>
  <sheetData>
    <row r="1" spans="1:4" ht="25" thickBot="1" x14ac:dyDescent="0.35">
      <c r="A1" s="5" t="s">
        <v>40</v>
      </c>
      <c r="B1" s="6"/>
      <c r="C1" s="6"/>
    </row>
    <row r="2" spans="1:4" ht="16" thickTop="1" x14ac:dyDescent="0.2">
      <c r="C2" s="7" t="s">
        <v>7</v>
      </c>
    </row>
    <row r="3" spans="1:4" x14ac:dyDescent="0.2">
      <c r="C3" s="7" t="s">
        <v>41</v>
      </c>
    </row>
    <row r="4" spans="1:4" x14ac:dyDescent="0.2">
      <c r="C4" s="7" t="s">
        <v>8</v>
      </c>
    </row>
    <row r="5" spans="1:4" x14ac:dyDescent="0.2">
      <c r="C5" s="7" t="s">
        <v>9</v>
      </c>
    </row>
    <row r="6" spans="1:4" x14ac:dyDescent="0.2">
      <c r="C6" s="7" t="s">
        <v>10</v>
      </c>
    </row>
    <row r="7" spans="1:4" x14ac:dyDescent="0.2">
      <c r="C7" s="7" t="s">
        <v>42</v>
      </c>
    </row>
    <row r="8" spans="1:4" x14ac:dyDescent="0.2">
      <c r="A8" s="7" t="s">
        <v>22</v>
      </c>
      <c r="B8" s="7" t="s">
        <v>13</v>
      </c>
      <c r="C8" s="8">
        <v>3410</v>
      </c>
      <c r="D8" t="str">
        <f t="shared" ref="D8:D71" si="0">A8&amp;"-"&amp;B8</f>
        <v>2009-25-29 år</v>
      </c>
    </row>
    <row r="9" spans="1:4" x14ac:dyDescent="0.2">
      <c r="A9" s="7" t="s">
        <v>22</v>
      </c>
      <c r="B9" s="7" t="s">
        <v>14</v>
      </c>
      <c r="C9" s="8">
        <v>3525</v>
      </c>
      <c r="D9" t="str">
        <f t="shared" si="0"/>
        <v>2009-30-34 år</v>
      </c>
    </row>
    <row r="10" spans="1:4" x14ac:dyDescent="0.2">
      <c r="A10" s="7" t="s">
        <v>22</v>
      </c>
      <c r="B10" s="7" t="s">
        <v>15</v>
      </c>
      <c r="C10" s="8">
        <v>3090</v>
      </c>
      <c r="D10" t="str">
        <f t="shared" si="0"/>
        <v>2009-35-39 år</v>
      </c>
    </row>
    <row r="11" spans="1:4" x14ac:dyDescent="0.2">
      <c r="A11" s="7" t="s">
        <v>22</v>
      </c>
      <c r="B11" s="7" t="s">
        <v>16</v>
      </c>
      <c r="C11" s="8">
        <v>4180</v>
      </c>
      <c r="D11" t="str">
        <f t="shared" si="0"/>
        <v>2009-40-44 år</v>
      </c>
    </row>
    <row r="12" spans="1:4" x14ac:dyDescent="0.2">
      <c r="A12" s="7" t="s">
        <v>22</v>
      </c>
      <c r="B12" s="7" t="s">
        <v>17</v>
      </c>
      <c r="C12" s="8">
        <v>3533</v>
      </c>
      <c r="D12" t="str">
        <f t="shared" si="0"/>
        <v>2009-45-49 år</v>
      </c>
    </row>
    <row r="13" spans="1:4" x14ac:dyDescent="0.2">
      <c r="A13" s="7" t="s">
        <v>22</v>
      </c>
      <c r="B13" s="7" t="s">
        <v>18</v>
      </c>
      <c r="C13" s="8">
        <v>2940</v>
      </c>
      <c r="D13" t="str">
        <f t="shared" si="0"/>
        <v>2009-50-54 år</v>
      </c>
    </row>
    <row r="14" spans="1:4" x14ac:dyDescent="0.2">
      <c r="A14" s="7" t="s">
        <v>22</v>
      </c>
      <c r="B14" s="7" t="s">
        <v>19</v>
      </c>
      <c r="C14" s="8">
        <v>2419</v>
      </c>
      <c r="D14" t="str">
        <f t="shared" si="0"/>
        <v>2009-55-59 år</v>
      </c>
    </row>
    <row r="15" spans="1:4" x14ac:dyDescent="0.2">
      <c r="A15" s="7" t="s">
        <v>22</v>
      </c>
      <c r="B15" s="7" t="s">
        <v>20</v>
      </c>
      <c r="C15" s="8">
        <v>1263</v>
      </c>
      <c r="D15" t="str">
        <f t="shared" si="0"/>
        <v>2009-60-64 år</v>
      </c>
    </row>
    <row r="16" spans="1:4" x14ac:dyDescent="0.2">
      <c r="A16" s="7" t="s">
        <v>22</v>
      </c>
      <c r="B16" s="7" t="s">
        <v>43</v>
      </c>
      <c r="C16" s="8">
        <v>196</v>
      </c>
      <c r="D16" t="str">
        <f t="shared" si="0"/>
        <v>2009-65-69 år</v>
      </c>
    </row>
    <row r="17" spans="1:4" x14ac:dyDescent="0.2">
      <c r="A17" s="7" t="s">
        <v>23</v>
      </c>
      <c r="B17" s="7" t="s">
        <v>13</v>
      </c>
      <c r="C17" s="8">
        <v>2457</v>
      </c>
      <c r="D17" t="str">
        <f t="shared" si="0"/>
        <v>2010-25-29 år</v>
      </c>
    </row>
    <row r="18" spans="1:4" x14ac:dyDescent="0.2">
      <c r="A18" s="7" t="s">
        <v>23</v>
      </c>
      <c r="B18" s="7" t="s">
        <v>14</v>
      </c>
      <c r="C18" s="8">
        <v>2382</v>
      </c>
      <c r="D18" t="str">
        <f t="shared" si="0"/>
        <v>2010-30-34 år</v>
      </c>
    </row>
    <row r="19" spans="1:4" x14ac:dyDescent="0.2">
      <c r="A19" s="7" t="s">
        <v>23</v>
      </c>
      <c r="B19" s="7" t="s">
        <v>15</v>
      </c>
      <c r="C19" s="8">
        <v>1880</v>
      </c>
      <c r="D19" t="str">
        <f t="shared" si="0"/>
        <v>2010-35-39 år</v>
      </c>
    </row>
    <row r="20" spans="1:4" x14ac:dyDescent="0.2">
      <c r="A20" s="7" t="s">
        <v>23</v>
      </c>
      <c r="B20" s="7" t="s">
        <v>16</v>
      </c>
      <c r="C20" s="8">
        <v>2045</v>
      </c>
      <c r="D20" t="str">
        <f t="shared" si="0"/>
        <v>2010-40-44 år</v>
      </c>
    </row>
    <row r="21" spans="1:4" x14ac:dyDescent="0.2">
      <c r="A21" s="7" t="s">
        <v>23</v>
      </c>
      <c r="B21" s="7" t="s">
        <v>17</v>
      </c>
      <c r="C21" s="8">
        <v>1826</v>
      </c>
      <c r="D21" t="str">
        <f t="shared" si="0"/>
        <v>2010-45-49 år</v>
      </c>
    </row>
    <row r="22" spans="1:4" x14ac:dyDescent="0.2">
      <c r="A22" s="7" t="s">
        <v>23</v>
      </c>
      <c r="B22" s="7" t="s">
        <v>18</v>
      </c>
      <c r="C22" s="8">
        <v>1417</v>
      </c>
      <c r="D22" t="str">
        <f t="shared" si="0"/>
        <v>2010-50-54 år</v>
      </c>
    </row>
    <row r="23" spans="1:4" x14ac:dyDescent="0.2">
      <c r="A23" s="7" t="s">
        <v>23</v>
      </c>
      <c r="B23" s="7" t="s">
        <v>19</v>
      </c>
      <c r="C23" s="8">
        <v>1229</v>
      </c>
      <c r="D23" t="str">
        <f t="shared" si="0"/>
        <v>2010-55-59 år</v>
      </c>
    </row>
    <row r="24" spans="1:4" x14ac:dyDescent="0.2">
      <c r="A24" s="7" t="s">
        <v>23</v>
      </c>
      <c r="B24" s="7" t="s">
        <v>20</v>
      </c>
      <c r="C24" s="8">
        <v>712</v>
      </c>
      <c r="D24" t="str">
        <f t="shared" si="0"/>
        <v>2010-60-64 år</v>
      </c>
    </row>
    <row r="25" spans="1:4" x14ac:dyDescent="0.2">
      <c r="A25" s="7" t="s">
        <v>23</v>
      </c>
      <c r="B25" s="7" t="s">
        <v>43</v>
      </c>
      <c r="C25" s="8">
        <v>220</v>
      </c>
      <c r="D25" t="str">
        <f t="shared" si="0"/>
        <v>2010-65-69 år</v>
      </c>
    </row>
    <row r="26" spans="1:4" x14ac:dyDescent="0.2">
      <c r="A26" s="7" t="s">
        <v>24</v>
      </c>
      <c r="B26" s="7" t="s">
        <v>13</v>
      </c>
      <c r="C26" s="8">
        <v>2791</v>
      </c>
      <c r="D26" t="str">
        <f t="shared" si="0"/>
        <v>2011-25-29 år</v>
      </c>
    </row>
    <row r="27" spans="1:4" x14ac:dyDescent="0.2">
      <c r="A27" s="7" t="s">
        <v>24</v>
      </c>
      <c r="B27" s="7" t="s">
        <v>14</v>
      </c>
      <c r="C27" s="8">
        <v>2600</v>
      </c>
      <c r="D27" t="str">
        <f t="shared" si="0"/>
        <v>2011-30-34 år</v>
      </c>
    </row>
    <row r="28" spans="1:4" x14ac:dyDescent="0.2">
      <c r="A28" s="7" t="s">
        <v>24</v>
      </c>
      <c r="B28" s="7" t="s">
        <v>15</v>
      </c>
      <c r="C28" s="8">
        <v>2164</v>
      </c>
      <c r="D28" t="str">
        <f t="shared" si="0"/>
        <v>2011-35-39 år</v>
      </c>
    </row>
    <row r="29" spans="1:4" x14ac:dyDescent="0.2">
      <c r="A29" s="7" t="s">
        <v>24</v>
      </c>
      <c r="B29" s="7" t="s">
        <v>16</v>
      </c>
      <c r="C29" s="8">
        <v>2134</v>
      </c>
      <c r="D29" t="str">
        <f t="shared" si="0"/>
        <v>2011-40-44 år</v>
      </c>
    </row>
    <row r="30" spans="1:4" x14ac:dyDescent="0.2">
      <c r="A30" s="7" t="s">
        <v>24</v>
      </c>
      <c r="B30" s="7" t="s">
        <v>17</v>
      </c>
      <c r="C30" s="8">
        <v>2030</v>
      </c>
      <c r="D30" t="str">
        <f t="shared" si="0"/>
        <v>2011-45-49 år</v>
      </c>
    </row>
    <row r="31" spans="1:4" x14ac:dyDescent="0.2">
      <c r="A31" s="7" t="s">
        <v>24</v>
      </c>
      <c r="B31" s="7" t="s">
        <v>18</v>
      </c>
      <c r="C31" s="8">
        <v>1660</v>
      </c>
      <c r="D31" t="str">
        <f t="shared" si="0"/>
        <v>2011-50-54 år</v>
      </c>
    </row>
    <row r="32" spans="1:4" x14ac:dyDescent="0.2">
      <c r="A32" s="7" t="s">
        <v>24</v>
      </c>
      <c r="B32" s="7" t="s">
        <v>19</v>
      </c>
      <c r="C32" s="8">
        <v>1415</v>
      </c>
      <c r="D32" t="str">
        <f t="shared" si="0"/>
        <v>2011-55-59 år</v>
      </c>
    </row>
    <row r="33" spans="1:4" x14ac:dyDescent="0.2">
      <c r="A33" s="7" t="s">
        <v>24</v>
      </c>
      <c r="B33" s="7" t="s">
        <v>20</v>
      </c>
      <c r="C33" s="8">
        <v>726</v>
      </c>
      <c r="D33" t="str">
        <f t="shared" si="0"/>
        <v>2011-60-64 år</v>
      </c>
    </row>
    <row r="34" spans="1:4" x14ac:dyDescent="0.2">
      <c r="A34" s="7" t="s">
        <v>24</v>
      </c>
      <c r="B34" s="7" t="s">
        <v>43</v>
      </c>
      <c r="C34" s="8">
        <v>197</v>
      </c>
      <c r="D34" t="str">
        <f t="shared" si="0"/>
        <v>2011-65-69 år</v>
      </c>
    </row>
    <row r="35" spans="1:4" x14ac:dyDescent="0.2">
      <c r="A35" s="7" t="s">
        <v>25</v>
      </c>
      <c r="B35" s="7" t="s">
        <v>13</v>
      </c>
      <c r="C35" s="8">
        <v>2457</v>
      </c>
      <c r="D35" t="str">
        <f t="shared" si="0"/>
        <v>2012-25-29 år</v>
      </c>
    </row>
    <row r="36" spans="1:4" x14ac:dyDescent="0.2">
      <c r="A36" s="7" t="s">
        <v>25</v>
      </c>
      <c r="B36" s="7" t="s">
        <v>14</v>
      </c>
      <c r="C36" s="8">
        <v>2116</v>
      </c>
      <c r="D36" t="str">
        <f t="shared" si="0"/>
        <v>2012-30-34 år</v>
      </c>
    </row>
    <row r="37" spans="1:4" x14ac:dyDescent="0.2">
      <c r="A37" s="7" t="s">
        <v>25</v>
      </c>
      <c r="B37" s="7" t="s">
        <v>15</v>
      </c>
      <c r="C37" s="8">
        <v>1935</v>
      </c>
      <c r="D37" t="str">
        <f t="shared" si="0"/>
        <v>2012-35-39 år</v>
      </c>
    </row>
    <row r="38" spans="1:4" x14ac:dyDescent="0.2">
      <c r="A38" s="7" t="s">
        <v>25</v>
      </c>
      <c r="B38" s="7" t="s">
        <v>16</v>
      </c>
      <c r="C38" s="8">
        <v>1734</v>
      </c>
      <c r="D38" t="str">
        <f t="shared" si="0"/>
        <v>2012-40-44 år</v>
      </c>
    </row>
    <row r="39" spans="1:4" x14ac:dyDescent="0.2">
      <c r="A39" s="7" t="s">
        <v>25</v>
      </c>
      <c r="B39" s="7" t="s">
        <v>17</v>
      </c>
      <c r="C39" s="8">
        <v>1913</v>
      </c>
      <c r="D39" t="str">
        <f t="shared" si="0"/>
        <v>2012-45-49 år</v>
      </c>
    </row>
    <row r="40" spans="1:4" x14ac:dyDescent="0.2">
      <c r="A40" s="7" t="s">
        <v>25</v>
      </c>
      <c r="B40" s="7" t="s">
        <v>18</v>
      </c>
      <c r="C40" s="8">
        <v>1465</v>
      </c>
      <c r="D40" t="str">
        <f t="shared" si="0"/>
        <v>2012-50-54 år</v>
      </c>
    </row>
    <row r="41" spans="1:4" x14ac:dyDescent="0.2">
      <c r="A41" s="7" t="s">
        <v>25</v>
      </c>
      <c r="B41" s="7" t="s">
        <v>19</v>
      </c>
      <c r="C41" s="8">
        <v>1254</v>
      </c>
      <c r="D41" t="str">
        <f t="shared" si="0"/>
        <v>2012-55-59 år</v>
      </c>
    </row>
    <row r="42" spans="1:4" x14ac:dyDescent="0.2">
      <c r="A42" s="7" t="s">
        <v>25</v>
      </c>
      <c r="B42" s="7" t="s">
        <v>20</v>
      </c>
      <c r="C42" s="8">
        <v>718</v>
      </c>
      <c r="D42" t="str">
        <f t="shared" si="0"/>
        <v>2012-60-64 år</v>
      </c>
    </row>
    <row r="43" spans="1:4" x14ac:dyDescent="0.2">
      <c r="A43" s="7" t="s">
        <v>25</v>
      </c>
      <c r="B43" s="7" t="s">
        <v>43</v>
      </c>
      <c r="C43" s="8">
        <v>208</v>
      </c>
      <c r="D43" t="str">
        <f t="shared" si="0"/>
        <v>2012-65-69 år</v>
      </c>
    </row>
    <row r="44" spans="1:4" x14ac:dyDescent="0.2">
      <c r="A44" s="7" t="s">
        <v>26</v>
      </c>
      <c r="B44" s="7" t="s">
        <v>13</v>
      </c>
      <c r="C44" s="8">
        <v>2524</v>
      </c>
      <c r="D44" t="str">
        <f t="shared" si="0"/>
        <v>2013-25-29 år</v>
      </c>
    </row>
    <row r="45" spans="1:4" x14ac:dyDescent="0.2">
      <c r="A45" s="7" t="s">
        <v>26</v>
      </c>
      <c r="B45" s="7" t="s">
        <v>14</v>
      </c>
      <c r="C45" s="8">
        <v>2176</v>
      </c>
      <c r="D45" t="str">
        <f t="shared" si="0"/>
        <v>2013-30-34 år</v>
      </c>
    </row>
    <row r="46" spans="1:4" x14ac:dyDescent="0.2">
      <c r="A46" s="7" t="s">
        <v>26</v>
      </c>
      <c r="B46" s="7" t="s">
        <v>15</v>
      </c>
      <c r="C46" s="8">
        <v>1896</v>
      </c>
      <c r="D46" t="str">
        <f t="shared" si="0"/>
        <v>2013-35-39 år</v>
      </c>
    </row>
    <row r="47" spans="1:4" x14ac:dyDescent="0.2">
      <c r="A47" s="7" t="s">
        <v>26</v>
      </c>
      <c r="B47" s="7" t="s">
        <v>16</v>
      </c>
      <c r="C47" s="8">
        <v>1579</v>
      </c>
      <c r="D47" t="str">
        <f t="shared" si="0"/>
        <v>2013-40-44 år</v>
      </c>
    </row>
    <row r="48" spans="1:4" x14ac:dyDescent="0.2">
      <c r="A48" s="7" t="s">
        <v>26</v>
      </c>
      <c r="B48" s="7" t="s">
        <v>17</v>
      </c>
      <c r="C48" s="8">
        <v>1915</v>
      </c>
      <c r="D48" t="str">
        <f t="shared" si="0"/>
        <v>2013-45-49 år</v>
      </c>
    </row>
    <row r="49" spans="1:4" x14ac:dyDescent="0.2">
      <c r="A49" s="7" t="s">
        <v>26</v>
      </c>
      <c r="B49" s="7" t="s">
        <v>18</v>
      </c>
      <c r="C49" s="8">
        <v>1462</v>
      </c>
      <c r="D49" t="str">
        <f t="shared" si="0"/>
        <v>2013-50-54 år</v>
      </c>
    </row>
    <row r="50" spans="1:4" x14ac:dyDescent="0.2">
      <c r="A50" s="7" t="s">
        <v>26</v>
      </c>
      <c r="B50" s="7" t="s">
        <v>19</v>
      </c>
      <c r="C50" s="8">
        <v>1227</v>
      </c>
      <c r="D50" t="str">
        <f t="shared" si="0"/>
        <v>2013-55-59 år</v>
      </c>
    </row>
    <row r="51" spans="1:4" x14ac:dyDescent="0.2">
      <c r="A51" s="7" t="s">
        <v>26</v>
      </c>
      <c r="B51" s="7" t="s">
        <v>20</v>
      </c>
      <c r="C51" s="8">
        <v>667</v>
      </c>
      <c r="D51" t="str">
        <f t="shared" si="0"/>
        <v>2013-60-64 år</v>
      </c>
    </row>
    <row r="52" spans="1:4" x14ac:dyDescent="0.2">
      <c r="A52" s="7" t="s">
        <v>26</v>
      </c>
      <c r="B52" s="7" t="s">
        <v>43</v>
      </c>
      <c r="C52" s="8">
        <v>224</v>
      </c>
      <c r="D52" t="str">
        <f t="shared" si="0"/>
        <v>2013-65-69 år</v>
      </c>
    </row>
    <row r="53" spans="1:4" x14ac:dyDescent="0.2">
      <c r="A53" s="7" t="s">
        <v>27</v>
      </c>
      <c r="B53" s="7" t="s">
        <v>13</v>
      </c>
      <c r="C53" s="8">
        <v>2521</v>
      </c>
      <c r="D53" t="str">
        <f t="shared" si="0"/>
        <v>2014-25-29 år</v>
      </c>
    </row>
    <row r="54" spans="1:4" x14ac:dyDescent="0.2">
      <c r="A54" s="7" t="s">
        <v>27</v>
      </c>
      <c r="B54" s="7" t="s">
        <v>14</v>
      </c>
      <c r="C54" s="8">
        <v>2178</v>
      </c>
      <c r="D54" t="str">
        <f t="shared" si="0"/>
        <v>2014-30-34 år</v>
      </c>
    </row>
    <row r="55" spans="1:4" x14ac:dyDescent="0.2">
      <c r="A55" s="7" t="s">
        <v>27</v>
      </c>
      <c r="B55" s="7" t="s">
        <v>15</v>
      </c>
      <c r="C55" s="8">
        <v>2066</v>
      </c>
      <c r="D55" t="str">
        <f t="shared" si="0"/>
        <v>2014-35-39 år</v>
      </c>
    </row>
    <row r="56" spans="1:4" x14ac:dyDescent="0.2">
      <c r="A56" s="7" t="s">
        <v>27</v>
      </c>
      <c r="B56" s="7" t="s">
        <v>16</v>
      </c>
      <c r="C56" s="8">
        <v>1647</v>
      </c>
      <c r="D56" t="str">
        <f t="shared" si="0"/>
        <v>2014-40-44 år</v>
      </c>
    </row>
    <row r="57" spans="1:4" x14ac:dyDescent="0.2">
      <c r="A57" s="7" t="s">
        <v>27</v>
      </c>
      <c r="B57" s="7" t="s">
        <v>17</v>
      </c>
      <c r="C57" s="8">
        <v>1953</v>
      </c>
      <c r="D57" t="str">
        <f t="shared" si="0"/>
        <v>2014-45-49 år</v>
      </c>
    </row>
    <row r="58" spans="1:4" x14ac:dyDescent="0.2">
      <c r="A58" s="7" t="s">
        <v>27</v>
      </c>
      <c r="B58" s="7" t="s">
        <v>18</v>
      </c>
      <c r="C58" s="8">
        <v>1636</v>
      </c>
      <c r="D58" t="str">
        <f t="shared" si="0"/>
        <v>2014-50-54 år</v>
      </c>
    </row>
    <row r="59" spans="1:4" x14ac:dyDescent="0.2">
      <c r="A59" s="7" t="s">
        <v>27</v>
      </c>
      <c r="B59" s="7" t="s">
        <v>19</v>
      </c>
      <c r="C59" s="8">
        <v>1231</v>
      </c>
      <c r="D59" t="str">
        <f t="shared" si="0"/>
        <v>2014-55-59 år</v>
      </c>
    </row>
    <row r="60" spans="1:4" x14ac:dyDescent="0.2">
      <c r="A60" s="7" t="s">
        <v>27</v>
      </c>
      <c r="B60" s="7" t="s">
        <v>20</v>
      </c>
      <c r="C60" s="8">
        <v>706</v>
      </c>
      <c r="D60" t="str">
        <f t="shared" si="0"/>
        <v>2014-60-64 år</v>
      </c>
    </row>
    <row r="61" spans="1:4" x14ac:dyDescent="0.2">
      <c r="A61" s="7" t="s">
        <v>27</v>
      </c>
      <c r="B61" s="7" t="s">
        <v>43</v>
      </c>
      <c r="C61" s="8">
        <v>204</v>
      </c>
      <c r="D61" t="str">
        <f t="shared" si="0"/>
        <v>2014-65-69 år</v>
      </c>
    </row>
    <row r="62" spans="1:4" x14ac:dyDescent="0.2">
      <c r="A62" s="7" t="s">
        <v>28</v>
      </c>
      <c r="B62" s="7" t="s">
        <v>13</v>
      </c>
      <c r="C62" s="8">
        <v>2715</v>
      </c>
      <c r="D62" t="str">
        <f t="shared" si="0"/>
        <v>2015-25-29 år</v>
      </c>
    </row>
    <row r="63" spans="1:4" x14ac:dyDescent="0.2">
      <c r="A63" s="7" t="s">
        <v>28</v>
      </c>
      <c r="B63" s="7" t="s">
        <v>14</v>
      </c>
      <c r="C63" s="8">
        <v>2473</v>
      </c>
      <c r="D63" t="str">
        <f t="shared" si="0"/>
        <v>2015-30-34 år</v>
      </c>
    </row>
    <row r="64" spans="1:4" x14ac:dyDescent="0.2">
      <c r="A64" s="7" t="s">
        <v>28</v>
      </c>
      <c r="B64" s="7" t="s">
        <v>15</v>
      </c>
      <c r="C64" s="8">
        <v>2378</v>
      </c>
      <c r="D64" t="str">
        <f t="shared" si="0"/>
        <v>2015-35-39 år</v>
      </c>
    </row>
    <row r="65" spans="1:4" x14ac:dyDescent="0.2">
      <c r="A65" s="7" t="s">
        <v>28</v>
      </c>
      <c r="B65" s="7" t="s">
        <v>16</v>
      </c>
      <c r="C65" s="8">
        <v>1902</v>
      </c>
      <c r="D65" t="str">
        <f t="shared" si="0"/>
        <v>2015-40-44 år</v>
      </c>
    </row>
    <row r="66" spans="1:4" x14ac:dyDescent="0.2">
      <c r="A66" s="7" t="s">
        <v>28</v>
      </c>
      <c r="B66" s="7" t="s">
        <v>17</v>
      </c>
      <c r="C66" s="8">
        <v>2085</v>
      </c>
      <c r="D66" t="str">
        <f t="shared" si="0"/>
        <v>2015-45-49 år</v>
      </c>
    </row>
    <row r="67" spans="1:4" x14ac:dyDescent="0.2">
      <c r="A67" s="7" t="s">
        <v>28</v>
      </c>
      <c r="B67" s="7" t="s">
        <v>18</v>
      </c>
      <c r="C67" s="8">
        <v>1717</v>
      </c>
      <c r="D67" t="str">
        <f t="shared" si="0"/>
        <v>2015-50-54 år</v>
      </c>
    </row>
    <row r="68" spans="1:4" x14ac:dyDescent="0.2">
      <c r="A68" s="7" t="s">
        <v>28</v>
      </c>
      <c r="B68" s="7" t="s">
        <v>19</v>
      </c>
      <c r="C68" s="8">
        <v>1226</v>
      </c>
      <c r="D68" t="str">
        <f t="shared" si="0"/>
        <v>2015-55-59 år</v>
      </c>
    </row>
    <row r="69" spans="1:4" x14ac:dyDescent="0.2">
      <c r="A69" s="7" t="s">
        <v>28</v>
      </c>
      <c r="B69" s="7" t="s">
        <v>20</v>
      </c>
      <c r="C69" s="8">
        <v>583</v>
      </c>
      <c r="D69" t="str">
        <f t="shared" si="0"/>
        <v>2015-60-64 år</v>
      </c>
    </row>
    <row r="70" spans="1:4" x14ac:dyDescent="0.2">
      <c r="A70" s="7" t="s">
        <v>28</v>
      </c>
      <c r="B70" s="7" t="s">
        <v>43</v>
      </c>
      <c r="C70" s="8">
        <v>211</v>
      </c>
      <c r="D70" t="str">
        <f t="shared" si="0"/>
        <v>2015-65-69 år</v>
      </c>
    </row>
    <row r="71" spans="1:4" x14ac:dyDescent="0.2">
      <c r="A71" s="7" t="s">
        <v>29</v>
      </c>
      <c r="B71" s="7" t="s">
        <v>13</v>
      </c>
      <c r="C71" s="8">
        <v>3005</v>
      </c>
      <c r="D71" t="str">
        <f t="shared" si="0"/>
        <v>2016-25-29 år</v>
      </c>
    </row>
    <row r="72" spans="1:4" x14ac:dyDescent="0.2">
      <c r="A72" s="7" t="s">
        <v>29</v>
      </c>
      <c r="B72" s="7" t="s">
        <v>14</v>
      </c>
      <c r="C72" s="8">
        <v>2584</v>
      </c>
      <c r="D72" t="str">
        <f t="shared" ref="D72:D135" si="1">A72&amp;"-"&amp;B72</f>
        <v>2016-30-34 år</v>
      </c>
    </row>
    <row r="73" spans="1:4" x14ac:dyDescent="0.2">
      <c r="A73" s="7" t="s">
        <v>29</v>
      </c>
      <c r="B73" s="7" t="s">
        <v>15</v>
      </c>
      <c r="C73" s="8">
        <v>2311</v>
      </c>
      <c r="D73" t="str">
        <f t="shared" si="1"/>
        <v>2016-35-39 år</v>
      </c>
    </row>
    <row r="74" spans="1:4" x14ac:dyDescent="0.2">
      <c r="A74" s="7" t="s">
        <v>29</v>
      </c>
      <c r="B74" s="7" t="s">
        <v>16</v>
      </c>
      <c r="C74" s="8">
        <v>2111</v>
      </c>
      <c r="D74" t="str">
        <f t="shared" si="1"/>
        <v>2016-40-44 år</v>
      </c>
    </row>
    <row r="75" spans="1:4" x14ac:dyDescent="0.2">
      <c r="A75" s="7" t="s">
        <v>29</v>
      </c>
      <c r="B75" s="7" t="s">
        <v>17</v>
      </c>
      <c r="C75" s="8">
        <v>2000</v>
      </c>
      <c r="D75" t="str">
        <f t="shared" si="1"/>
        <v>2016-45-49 år</v>
      </c>
    </row>
    <row r="76" spans="1:4" x14ac:dyDescent="0.2">
      <c r="A76" s="7" t="s">
        <v>29</v>
      </c>
      <c r="B76" s="7" t="s">
        <v>18</v>
      </c>
      <c r="C76" s="8">
        <v>1808</v>
      </c>
      <c r="D76" t="str">
        <f t="shared" si="1"/>
        <v>2016-50-54 år</v>
      </c>
    </row>
    <row r="77" spans="1:4" x14ac:dyDescent="0.2">
      <c r="A77" s="7" t="s">
        <v>29</v>
      </c>
      <c r="B77" s="7" t="s">
        <v>19</v>
      </c>
      <c r="C77" s="8">
        <v>1301</v>
      </c>
      <c r="D77" t="str">
        <f t="shared" si="1"/>
        <v>2016-55-59 år</v>
      </c>
    </row>
    <row r="78" spans="1:4" x14ac:dyDescent="0.2">
      <c r="A78" s="7" t="s">
        <v>29</v>
      </c>
      <c r="B78" s="7" t="s">
        <v>20</v>
      </c>
      <c r="C78" s="8">
        <v>708</v>
      </c>
      <c r="D78" t="str">
        <f t="shared" si="1"/>
        <v>2016-60-64 år</v>
      </c>
    </row>
    <row r="79" spans="1:4" x14ac:dyDescent="0.2">
      <c r="A79" s="7" t="s">
        <v>29</v>
      </c>
      <c r="B79" s="7" t="s">
        <v>43</v>
      </c>
      <c r="C79" s="8">
        <v>183</v>
      </c>
      <c r="D79" t="str">
        <f t="shared" si="1"/>
        <v>2016-65-69 år</v>
      </c>
    </row>
    <row r="80" spans="1:4" x14ac:dyDescent="0.2">
      <c r="A80" s="7" t="s">
        <v>30</v>
      </c>
      <c r="B80" s="7" t="s">
        <v>13</v>
      </c>
      <c r="C80" s="8">
        <v>3106</v>
      </c>
      <c r="D80" t="str">
        <f t="shared" si="1"/>
        <v>2017-25-29 år</v>
      </c>
    </row>
    <row r="81" spans="1:4" x14ac:dyDescent="0.2">
      <c r="A81" s="7" t="s">
        <v>30</v>
      </c>
      <c r="B81" s="7" t="s">
        <v>14</v>
      </c>
      <c r="C81" s="8">
        <v>2692</v>
      </c>
      <c r="D81" t="str">
        <f t="shared" si="1"/>
        <v>2017-30-34 år</v>
      </c>
    </row>
    <row r="82" spans="1:4" x14ac:dyDescent="0.2">
      <c r="A82" s="7" t="s">
        <v>30</v>
      </c>
      <c r="B82" s="7" t="s">
        <v>15</v>
      </c>
      <c r="C82" s="8">
        <v>2452</v>
      </c>
      <c r="D82" t="str">
        <f t="shared" si="1"/>
        <v>2017-35-39 år</v>
      </c>
    </row>
    <row r="83" spans="1:4" x14ac:dyDescent="0.2">
      <c r="A83" s="7" t="s">
        <v>30</v>
      </c>
      <c r="B83" s="7" t="s">
        <v>16</v>
      </c>
      <c r="C83" s="8">
        <v>2105</v>
      </c>
      <c r="D83" t="str">
        <f t="shared" si="1"/>
        <v>2017-40-44 år</v>
      </c>
    </row>
    <row r="84" spans="1:4" x14ac:dyDescent="0.2">
      <c r="A84" s="7" t="s">
        <v>30</v>
      </c>
      <c r="B84" s="7" t="s">
        <v>17</v>
      </c>
      <c r="C84" s="8">
        <v>1892</v>
      </c>
      <c r="D84" t="str">
        <f t="shared" si="1"/>
        <v>2017-45-49 år</v>
      </c>
    </row>
    <row r="85" spans="1:4" x14ac:dyDescent="0.2">
      <c r="A85" s="7" t="s">
        <v>30</v>
      </c>
      <c r="B85" s="7" t="s">
        <v>18</v>
      </c>
      <c r="C85" s="8">
        <v>2042</v>
      </c>
      <c r="D85" t="str">
        <f t="shared" si="1"/>
        <v>2017-50-54 år</v>
      </c>
    </row>
    <row r="86" spans="1:4" x14ac:dyDescent="0.2">
      <c r="A86" s="7" t="s">
        <v>30</v>
      </c>
      <c r="B86" s="7" t="s">
        <v>19</v>
      </c>
      <c r="C86" s="8">
        <v>1410</v>
      </c>
      <c r="D86" t="str">
        <f t="shared" si="1"/>
        <v>2017-55-59 år</v>
      </c>
    </row>
    <row r="87" spans="1:4" x14ac:dyDescent="0.2">
      <c r="A87" s="7" t="s">
        <v>30</v>
      </c>
      <c r="B87" s="7" t="s">
        <v>20</v>
      </c>
      <c r="C87" s="8">
        <v>757</v>
      </c>
      <c r="D87" t="str">
        <f t="shared" si="1"/>
        <v>2017-60-64 år</v>
      </c>
    </row>
    <row r="88" spans="1:4" x14ac:dyDescent="0.2">
      <c r="A88" s="7" t="s">
        <v>30</v>
      </c>
      <c r="B88" s="7" t="s">
        <v>43</v>
      </c>
      <c r="C88" s="8">
        <v>194</v>
      </c>
      <c r="D88" t="str">
        <f t="shared" si="1"/>
        <v>2017-65-69 år</v>
      </c>
    </row>
    <row r="89" spans="1:4" x14ac:dyDescent="0.2">
      <c r="A89" s="7" t="s">
        <v>31</v>
      </c>
      <c r="B89" s="7" t="s">
        <v>13</v>
      </c>
      <c r="C89" s="8">
        <v>3149</v>
      </c>
      <c r="D89" t="str">
        <f t="shared" si="1"/>
        <v>2018-25-29 år</v>
      </c>
    </row>
    <row r="90" spans="1:4" x14ac:dyDescent="0.2">
      <c r="A90" s="7" t="s">
        <v>31</v>
      </c>
      <c r="B90" s="7" t="s">
        <v>14</v>
      </c>
      <c r="C90" s="8">
        <v>2658</v>
      </c>
      <c r="D90" t="str">
        <f t="shared" si="1"/>
        <v>2018-30-34 år</v>
      </c>
    </row>
    <row r="91" spans="1:4" x14ac:dyDescent="0.2">
      <c r="A91" s="7" t="s">
        <v>31</v>
      </c>
      <c r="B91" s="7" t="s">
        <v>15</v>
      </c>
      <c r="C91" s="8">
        <v>2333</v>
      </c>
      <c r="D91" t="str">
        <f t="shared" si="1"/>
        <v>2018-35-39 år</v>
      </c>
    </row>
    <row r="92" spans="1:4" x14ac:dyDescent="0.2">
      <c r="A92" s="7" t="s">
        <v>31</v>
      </c>
      <c r="B92" s="7" t="s">
        <v>16</v>
      </c>
      <c r="C92" s="8">
        <v>2068</v>
      </c>
      <c r="D92" t="str">
        <f t="shared" si="1"/>
        <v>2018-40-44 år</v>
      </c>
    </row>
    <row r="93" spans="1:4" x14ac:dyDescent="0.2">
      <c r="A93" s="7" t="s">
        <v>31</v>
      </c>
      <c r="B93" s="7" t="s">
        <v>17</v>
      </c>
      <c r="C93" s="8">
        <v>1770</v>
      </c>
      <c r="D93" t="str">
        <f t="shared" si="1"/>
        <v>2018-45-49 år</v>
      </c>
    </row>
    <row r="94" spans="1:4" x14ac:dyDescent="0.2">
      <c r="A94" s="7" t="s">
        <v>31</v>
      </c>
      <c r="B94" s="7" t="s">
        <v>18</v>
      </c>
      <c r="C94" s="8">
        <v>2055</v>
      </c>
      <c r="D94" t="str">
        <f t="shared" si="1"/>
        <v>2018-50-54 år</v>
      </c>
    </row>
    <row r="95" spans="1:4" x14ac:dyDescent="0.2">
      <c r="A95" s="7" t="s">
        <v>31</v>
      </c>
      <c r="B95" s="7" t="s">
        <v>19</v>
      </c>
      <c r="C95" s="8">
        <v>1415</v>
      </c>
      <c r="D95" t="str">
        <f t="shared" si="1"/>
        <v>2018-55-59 år</v>
      </c>
    </row>
    <row r="96" spans="1:4" x14ac:dyDescent="0.2">
      <c r="A96" s="7" t="s">
        <v>31</v>
      </c>
      <c r="B96" s="7" t="s">
        <v>20</v>
      </c>
      <c r="C96" s="8">
        <v>681</v>
      </c>
      <c r="D96" t="str">
        <f t="shared" si="1"/>
        <v>2018-60-64 år</v>
      </c>
    </row>
    <row r="97" spans="1:4" x14ac:dyDescent="0.2">
      <c r="A97" s="7" t="s">
        <v>31</v>
      </c>
      <c r="B97" s="7" t="s">
        <v>43</v>
      </c>
      <c r="C97" s="8">
        <v>174</v>
      </c>
      <c r="D97" t="str">
        <f t="shared" si="1"/>
        <v>2018-65-69 år</v>
      </c>
    </row>
    <row r="98" spans="1:4" x14ac:dyDescent="0.2">
      <c r="A98" s="7" t="s">
        <v>32</v>
      </c>
      <c r="B98" s="7" t="s">
        <v>13</v>
      </c>
      <c r="C98" s="8">
        <v>3477</v>
      </c>
      <c r="D98" t="str">
        <f t="shared" si="1"/>
        <v>2019-25-29 år</v>
      </c>
    </row>
    <row r="99" spans="1:4" x14ac:dyDescent="0.2">
      <c r="A99" s="7" t="s">
        <v>32</v>
      </c>
      <c r="B99" s="7" t="s">
        <v>14</v>
      </c>
      <c r="C99" s="8">
        <v>2839</v>
      </c>
      <c r="D99" t="str">
        <f t="shared" si="1"/>
        <v>2019-30-34 år</v>
      </c>
    </row>
    <row r="100" spans="1:4" x14ac:dyDescent="0.2">
      <c r="A100" s="7" t="s">
        <v>32</v>
      </c>
      <c r="B100" s="7" t="s">
        <v>15</v>
      </c>
      <c r="C100" s="8">
        <v>2298</v>
      </c>
      <c r="D100" t="str">
        <f t="shared" si="1"/>
        <v>2019-35-39 år</v>
      </c>
    </row>
    <row r="101" spans="1:4" x14ac:dyDescent="0.2">
      <c r="A101" s="7" t="s">
        <v>32</v>
      </c>
      <c r="B101" s="7" t="s">
        <v>16</v>
      </c>
      <c r="C101" s="8">
        <v>2100</v>
      </c>
      <c r="D101" t="str">
        <f t="shared" si="1"/>
        <v>2019-40-44 år</v>
      </c>
    </row>
    <row r="102" spans="1:4" x14ac:dyDescent="0.2">
      <c r="A102" s="7" t="s">
        <v>32</v>
      </c>
      <c r="B102" s="7" t="s">
        <v>17</v>
      </c>
      <c r="C102" s="8">
        <v>1802</v>
      </c>
      <c r="D102" t="str">
        <f t="shared" si="1"/>
        <v>2019-45-49 år</v>
      </c>
    </row>
    <row r="103" spans="1:4" x14ac:dyDescent="0.2">
      <c r="A103" s="7" t="s">
        <v>32</v>
      </c>
      <c r="B103" s="7" t="s">
        <v>18</v>
      </c>
      <c r="C103" s="8">
        <v>2054</v>
      </c>
      <c r="D103" t="str">
        <f t="shared" si="1"/>
        <v>2019-50-54 år</v>
      </c>
    </row>
    <row r="104" spans="1:4" x14ac:dyDescent="0.2">
      <c r="A104" s="7" t="s">
        <v>32</v>
      </c>
      <c r="B104" s="7" t="s">
        <v>19</v>
      </c>
      <c r="C104" s="8">
        <v>1383</v>
      </c>
      <c r="D104" t="str">
        <f t="shared" si="1"/>
        <v>2019-55-59 år</v>
      </c>
    </row>
    <row r="105" spans="1:4" x14ac:dyDescent="0.2">
      <c r="A105" s="7" t="s">
        <v>32</v>
      </c>
      <c r="B105" s="7" t="s">
        <v>20</v>
      </c>
      <c r="C105" s="8">
        <v>791</v>
      </c>
      <c r="D105" t="str">
        <f t="shared" si="1"/>
        <v>2019-60-64 år</v>
      </c>
    </row>
    <row r="106" spans="1:4" x14ac:dyDescent="0.2">
      <c r="A106" s="7" t="s">
        <v>32</v>
      </c>
      <c r="B106" s="7" t="s">
        <v>43</v>
      </c>
      <c r="C106" s="8">
        <v>188</v>
      </c>
      <c r="D106" t="str">
        <f t="shared" si="1"/>
        <v>2019-65-69 år</v>
      </c>
    </row>
    <row r="107" spans="1:4" x14ac:dyDescent="0.2">
      <c r="A107" s="7" t="s">
        <v>33</v>
      </c>
      <c r="B107" s="7" t="s">
        <v>13</v>
      </c>
      <c r="C107" s="8">
        <v>3028</v>
      </c>
      <c r="D107" t="str">
        <f t="shared" si="1"/>
        <v>2020-25-29 år</v>
      </c>
    </row>
    <row r="108" spans="1:4" x14ac:dyDescent="0.2">
      <c r="A108" s="7" t="s">
        <v>33</v>
      </c>
      <c r="B108" s="7" t="s">
        <v>14</v>
      </c>
      <c r="C108" s="8">
        <v>2339</v>
      </c>
      <c r="D108" t="str">
        <f t="shared" si="1"/>
        <v>2020-30-34 år</v>
      </c>
    </row>
    <row r="109" spans="1:4" x14ac:dyDescent="0.2">
      <c r="A109" s="7" t="s">
        <v>33</v>
      </c>
      <c r="B109" s="7" t="s">
        <v>15</v>
      </c>
      <c r="C109" s="8">
        <v>1929</v>
      </c>
      <c r="D109" t="str">
        <f t="shared" si="1"/>
        <v>2020-35-39 år</v>
      </c>
    </row>
    <row r="110" spans="1:4" x14ac:dyDescent="0.2">
      <c r="A110" s="7" t="s">
        <v>33</v>
      </c>
      <c r="B110" s="7" t="s">
        <v>16</v>
      </c>
      <c r="C110" s="8">
        <v>1758</v>
      </c>
      <c r="D110" t="str">
        <f t="shared" si="1"/>
        <v>2020-40-44 år</v>
      </c>
    </row>
    <row r="111" spans="1:4" x14ac:dyDescent="0.2">
      <c r="A111" s="7" t="s">
        <v>33</v>
      </c>
      <c r="B111" s="7" t="s">
        <v>17</v>
      </c>
      <c r="C111" s="8">
        <v>1654</v>
      </c>
      <c r="D111" t="str">
        <f t="shared" si="1"/>
        <v>2020-45-49 år</v>
      </c>
    </row>
    <row r="112" spans="1:4" x14ac:dyDescent="0.2">
      <c r="A112" s="7" t="s">
        <v>33</v>
      </c>
      <c r="B112" s="7" t="s">
        <v>18</v>
      </c>
      <c r="C112" s="8">
        <v>1616</v>
      </c>
      <c r="D112" t="str">
        <f t="shared" si="1"/>
        <v>2020-50-54 år</v>
      </c>
    </row>
    <row r="113" spans="1:4" x14ac:dyDescent="0.2">
      <c r="A113" s="7" t="s">
        <v>33</v>
      </c>
      <c r="B113" s="7" t="s">
        <v>19</v>
      </c>
      <c r="C113" s="8">
        <v>1279</v>
      </c>
      <c r="D113" t="str">
        <f t="shared" si="1"/>
        <v>2020-55-59 år</v>
      </c>
    </row>
    <row r="114" spans="1:4" x14ac:dyDescent="0.2">
      <c r="A114" s="7" t="s">
        <v>33</v>
      </c>
      <c r="B114" s="7" t="s">
        <v>20</v>
      </c>
      <c r="C114" s="8">
        <v>623</v>
      </c>
      <c r="D114" t="str">
        <f t="shared" si="1"/>
        <v>2020-60-64 år</v>
      </c>
    </row>
    <row r="115" spans="1:4" x14ac:dyDescent="0.2">
      <c r="A115" s="7" t="s">
        <v>33</v>
      </c>
      <c r="B115" s="7" t="s">
        <v>43</v>
      </c>
      <c r="C115" s="8">
        <v>201</v>
      </c>
      <c r="D115" t="str">
        <f t="shared" si="1"/>
        <v>2020-65-69 år</v>
      </c>
    </row>
    <row r="116" spans="1:4" x14ac:dyDescent="0.2">
      <c r="A116" s="7" t="s">
        <v>34</v>
      </c>
      <c r="B116" s="7" t="s">
        <v>13</v>
      </c>
      <c r="C116" s="8">
        <v>3854</v>
      </c>
      <c r="D116" t="str">
        <f t="shared" si="1"/>
        <v>2021-25-29 år</v>
      </c>
    </row>
    <row r="117" spans="1:4" x14ac:dyDescent="0.2">
      <c r="A117" s="7" t="s">
        <v>34</v>
      </c>
      <c r="B117" s="7" t="s">
        <v>14</v>
      </c>
      <c r="C117" s="8">
        <v>3059</v>
      </c>
      <c r="D117" t="str">
        <f t="shared" si="1"/>
        <v>2021-30-34 år</v>
      </c>
    </row>
    <row r="118" spans="1:4" x14ac:dyDescent="0.2">
      <c r="A118" s="7" t="s">
        <v>34</v>
      </c>
      <c r="B118" s="7" t="s">
        <v>15</v>
      </c>
      <c r="C118" s="8">
        <v>2330</v>
      </c>
      <c r="D118" t="str">
        <f t="shared" si="1"/>
        <v>2021-35-39 år</v>
      </c>
    </row>
    <row r="119" spans="1:4" x14ac:dyDescent="0.2">
      <c r="A119" s="7" t="s">
        <v>34</v>
      </c>
      <c r="B119" s="7" t="s">
        <v>16</v>
      </c>
      <c r="C119" s="8">
        <v>2220</v>
      </c>
      <c r="D119" t="str">
        <f t="shared" si="1"/>
        <v>2021-40-44 år</v>
      </c>
    </row>
    <row r="120" spans="1:4" x14ac:dyDescent="0.2">
      <c r="A120" s="7" t="s">
        <v>34</v>
      </c>
      <c r="B120" s="7" t="s">
        <v>17</v>
      </c>
      <c r="C120" s="8">
        <v>1980</v>
      </c>
      <c r="D120" t="str">
        <f t="shared" si="1"/>
        <v>2021-45-49 år</v>
      </c>
    </row>
    <row r="121" spans="1:4" x14ac:dyDescent="0.2">
      <c r="A121" s="7" t="s">
        <v>34</v>
      </c>
      <c r="B121" s="7" t="s">
        <v>18</v>
      </c>
      <c r="C121" s="8">
        <v>1810</v>
      </c>
      <c r="D121" t="str">
        <f t="shared" si="1"/>
        <v>2021-50-54 år</v>
      </c>
    </row>
    <row r="122" spans="1:4" x14ac:dyDescent="0.2">
      <c r="A122" s="7" t="s">
        <v>34</v>
      </c>
      <c r="B122" s="7" t="s">
        <v>19</v>
      </c>
      <c r="C122" s="8">
        <v>1631</v>
      </c>
      <c r="D122" t="str">
        <f t="shared" si="1"/>
        <v>2021-55-59 år</v>
      </c>
    </row>
    <row r="123" spans="1:4" x14ac:dyDescent="0.2">
      <c r="A123" s="7" t="s">
        <v>34</v>
      </c>
      <c r="B123" s="7" t="s">
        <v>20</v>
      </c>
      <c r="C123" s="8">
        <v>962</v>
      </c>
      <c r="D123" t="str">
        <f t="shared" si="1"/>
        <v>2021-60-64 år</v>
      </c>
    </row>
    <row r="124" spans="1:4" x14ac:dyDescent="0.2">
      <c r="A124" s="7" t="s">
        <v>34</v>
      </c>
      <c r="B124" s="7" t="s">
        <v>43</v>
      </c>
      <c r="C124" s="8">
        <v>216</v>
      </c>
      <c r="D124" t="str">
        <f t="shared" si="1"/>
        <v>2021-65-69 år</v>
      </c>
    </row>
    <row r="125" spans="1:4" x14ac:dyDescent="0.2">
      <c r="A125" s="7" t="s">
        <v>35</v>
      </c>
      <c r="B125" s="7" t="s">
        <v>13</v>
      </c>
      <c r="C125" s="8">
        <v>3870</v>
      </c>
      <c r="D125" t="str">
        <f t="shared" si="1"/>
        <v>2022-25-29 år</v>
      </c>
    </row>
    <row r="126" spans="1:4" x14ac:dyDescent="0.2">
      <c r="A126" s="7" t="s">
        <v>35</v>
      </c>
      <c r="B126" s="7" t="s">
        <v>14</v>
      </c>
      <c r="C126" s="8">
        <v>3004</v>
      </c>
      <c r="D126" t="str">
        <f t="shared" si="1"/>
        <v>2022-30-34 år</v>
      </c>
    </row>
    <row r="127" spans="1:4" x14ac:dyDescent="0.2">
      <c r="A127" s="7" t="s">
        <v>35</v>
      </c>
      <c r="B127" s="7" t="s">
        <v>15</v>
      </c>
      <c r="C127" s="8">
        <v>2511</v>
      </c>
      <c r="D127" t="str">
        <f t="shared" si="1"/>
        <v>2022-35-39 år</v>
      </c>
    </row>
    <row r="128" spans="1:4" x14ac:dyDescent="0.2">
      <c r="A128" s="7" t="s">
        <v>35</v>
      </c>
      <c r="B128" s="7" t="s">
        <v>16</v>
      </c>
      <c r="C128" s="8">
        <v>2191</v>
      </c>
      <c r="D128" t="str">
        <f t="shared" si="1"/>
        <v>2022-40-44 år</v>
      </c>
    </row>
    <row r="129" spans="1:4" x14ac:dyDescent="0.2">
      <c r="A129" s="7" t="s">
        <v>35</v>
      </c>
      <c r="B129" s="7" t="s">
        <v>17</v>
      </c>
      <c r="C129" s="8">
        <v>2044</v>
      </c>
      <c r="D129" t="str">
        <f t="shared" si="1"/>
        <v>2022-45-49 år</v>
      </c>
    </row>
    <row r="130" spans="1:4" x14ac:dyDescent="0.2">
      <c r="A130" s="7" t="s">
        <v>35</v>
      </c>
      <c r="B130" s="7" t="s">
        <v>18</v>
      </c>
      <c r="C130" s="8">
        <v>1683</v>
      </c>
      <c r="D130" t="str">
        <f t="shared" si="1"/>
        <v>2022-50-54 år</v>
      </c>
    </row>
    <row r="131" spans="1:4" x14ac:dyDescent="0.2">
      <c r="A131" s="7" t="s">
        <v>35</v>
      </c>
      <c r="B131" s="7" t="s">
        <v>19</v>
      </c>
      <c r="C131" s="8">
        <v>1578</v>
      </c>
      <c r="D131" t="str">
        <f t="shared" si="1"/>
        <v>2022-55-59 år</v>
      </c>
    </row>
    <row r="132" spans="1:4" x14ac:dyDescent="0.2">
      <c r="A132" s="7" t="s">
        <v>35</v>
      </c>
      <c r="B132" s="7" t="s">
        <v>20</v>
      </c>
      <c r="C132" s="8">
        <v>880</v>
      </c>
      <c r="D132" t="str">
        <f t="shared" si="1"/>
        <v>2022-60-64 år</v>
      </c>
    </row>
    <row r="133" spans="1:4" x14ac:dyDescent="0.2">
      <c r="A133" s="7" t="s">
        <v>35</v>
      </c>
      <c r="B133" s="7" t="s">
        <v>43</v>
      </c>
      <c r="C133" s="8">
        <v>265</v>
      </c>
      <c r="D133" t="str">
        <f t="shared" si="1"/>
        <v>2022-65-69 år</v>
      </c>
    </row>
    <row r="134" spans="1:4" x14ac:dyDescent="0.2">
      <c r="A134" s="7" t="s">
        <v>36</v>
      </c>
      <c r="B134" s="7" t="s">
        <v>13</v>
      </c>
      <c r="C134" s="8">
        <v>3662</v>
      </c>
      <c r="D134" t="str">
        <f t="shared" si="1"/>
        <v>2023-25-29 år</v>
      </c>
    </row>
    <row r="135" spans="1:4" x14ac:dyDescent="0.2">
      <c r="A135" s="7" t="s">
        <v>36</v>
      </c>
      <c r="B135" s="7" t="s">
        <v>14</v>
      </c>
      <c r="C135" s="8">
        <v>2878</v>
      </c>
      <c r="D135" t="str">
        <f t="shared" si="1"/>
        <v>2023-30-34 år</v>
      </c>
    </row>
    <row r="136" spans="1:4" x14ac:dyDescent="0.2">
      <c r="A136" s="7" t="s">
        <v>36</v>
      </c>
      <c r="B136" s="7" t="s">
        <v>15</v>
      </c>
      <c r="C136" s="8">
        <v>2160</v>
      </c>
      <c r="D136" t="str">
        <f t="shared" ref="D136:D141" si="2">A136&amp;"-"&amp;B136</f>
        <v>2023-35-39 år</v>
      </c>
    </row>
    <row r="137" spans="1:4" x14ac:dyDescent="0.2">
      <c r="A137" s="7" t="s">
        <v>36</v>
      </c>
      <c r="B137" s="7" t="s">
        <v>16</v>
      </c>
      <c r="C137" s="8">
        <v>1983</v>
      </c>
      <c r="D137" t="str">
        <f t="shared" si="2"/>
        <v>2023-40-44 år</v>
      </c>
    </row>
    <row r="138" spans="1:4" x14ac:dyDescent="0.2">
      <c r="A138" s="7" t="s">
        <v>36</v>
      </c>
      <c r="B138" s="7" t="s">
        <v>17</v>
      </c>
      <c r="C138" s="8">
        <v>1798</v>
      </c>
      <c r="D138" t="str">
        <f t="shared" si="2"/>
        <v>2023-45-49 år</v>
      </c>
    </row>
    <row r="139" spans="1:4" x14ac:dyDescent="0.2">
      <c r="A139" s="7" t="s">
        <v>36</v>
      </c>
      <c r="B139" s="7" t="s">
        <v>18</v>
      </c>
      <c r="C139" s="8">
        <v>1564</v>
      </c>
      <c r="D139" t="str">
        <f t="shared" si="2"/>
        <v>2023-50-54 år</v>
      </c>
    </row>
    <row r="140" spans="1:4" x14ac:dyDescent="0.2">
      <c r="A140" s="7" t="s">
        <v>36</v>
      </c>
      <c r="B140" s="7" t="s">
        <v>19</v>
      </c>
      <c r="C140" s="8">
        <v>1583</v>
      </c>
      <c r="D140" t="str">
        <f t="shared" si="2"/>
        <v>2023-55-59 år</v>
      </c>
    </row>
    <row r="141" spans="1:4" x14ac:dyDescent="0.2">
      <c r="A141" s="7" t="s">
        <v>36</v>
      </c>
      <c r="B141" s="7" t="s">
        <v>20</v>
      </c>
      <c r="C141" s="8">
        <v>896</v>
      </c>
      <c r="D141" t="str">
        <f t="shared" si="2"/>
        <v>2023-60-64 år</v>
      </c>
    </row>
    <row r="142" spans="1:4" ht="16" thickBot="1" x14ac:dyDescent="0.25">
      <c r="A142" s="7" t="s">
        <v>36</v>
      </c>
      <c r="B142" s="7" t="s">
        <v>43</v>
      </c>
      <c r="C142" s="8">
        <v>295</v>
      </c>
      <c r="D142" t="str">
        <f t="shared" ref="D142" si="3">A142&amp;"-"&amp;B142</f>
        <v>2023-65-69 år</v>
      </c>
    </row>
    <row r="143" spans="1:4" ht="16" thickTop="1" x14ac:dyDescent="0.2">
      <c r="A143" s="9"/>
      <c r="B143" s="9"/>
      <c r="C143" s="9"/>
    </row>
    <row r="145" spans="1:1" x14ac:dyDescent="0.2">
      <c r="A145" t="s">
        <v>38</v>
      </c>
    </row>
    <row r="146" spans="1:1" x14ac:dyDescent="0.2">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baseColWidth="10" defaultColWidth="8.83203125" defaultRowHeight="15" x14ac:dyDescent="0.2"/>
  <cols>
    <col min="2" max="2" width="13" customWidth="1"/>
    <col min="3" max="3" width="56" customWidth="1"/>
  </cols>
  <sheetData>
    <row r="1" spans="1:4" ht="25" thickBot="1" x14ac:dyDescent="0.35">
      <c r="A1" s="5" t="s">
        <v>6</v>
      </c>
      <c r="B1" s="6"/>
      <c r="C1" s="6"/>
    </row>
    <row r="2" spans="1:4" ht="16" thickTop="1" x14ac:dyDescent="0.2">
      <c r="C2" s="7" t="s">
        <v>7</v>
      </c>
    </row>
    <row r="3" spans="1:4" x14ac:dyDescent="0.2">
      <c r="C3" s="7" t="s">
        <v>8</v>
      </c>
    </row>
    <row r="4" spans="1:4" x14ac:dyDescent="0.2">
      <c r="C4" s="7" t="s">
        <v>9</v>
      </c>
    </row>
    <row r="5" spans="1:4" x14ac:dyDescent="0.2">
      <c r="C5" s="7" t="s">
        <v>10</v>
      </c>
    </row>
    <row r="6" spans="1:4" x14ac:dyDescent="0.2">
      <c r="C6" s="7" t="s">
        <v>11</v>
      </c>
    </row>
    <row r="7" spans="1:4" x14ac:dyDescent="0.2">
      <c r="A7" s="7" t="s">
        <v>12</v>
      </c>
      <c r="B7" s="7" t="s">
        <v>13</v>
      </c>
      <c r="C7" s="8">
        <v>6876</v>
      </c>
      <c r="D7" t="str">
        <f t="shared" ref="D7:D70" si="0">A7&amp;"-"&amp;B7</f>
        <v>2008-25-29 år</v>
      </c>
    </row>
    <row r="8" spans="1:4" x14ac:dyDescent="0.2">
      <c r="A8" s="7" t="s">
        <v>12</v>
      </c>
      <c r="B8" s="7" t="s">
        <v>14</v>
      </c>
      <c r="C8" s="8">
        <v>8541</v>
      </c>
      <c r="D8" t="str">
        <f t="shared" si="0"/>
        <v>2008-30-34 år</v>
      </c>
    </row>
    <row r="9" spans="1:4" x14ac:dyDescent="0.2">
      <c r="A9" s="7" t="s">
        <v>12</v>
      </c>
      <c r="B9" s="7" t="s">
        <v>15</v>
      </c>
      <c r="C9" s="8">
        <v>8222</v>
      </c>
      <c r="D9" t="str">
        <f t="shared" si="0"/>
        <v>2008-35-39 år</v>
      </c>
    </row>
    <row r="10" spans="1:4" x14ac:dyDescent="0.2">
      <c r="A10" s="7" t="s">
        <v>12</v>
      </c>
      <c r="B10" s="7" t="s">
        <v>16</v>
      </c>
      <c r="C10" s="8">
        <v>11172</v>
      </c>
      <c r="D10" t="str">
        <f t="shared" si="0"/>
        <v>2008-40-44 år</v>
      </c>
    </row>
    <row r="11" spans="1:4" x14ac:dyDescent="0.2">
      <c r="A11" s="7" t="s">
        <v>12</v>
      </c>
      <c r="B11" s="7" t="s">
        <v>17</v>
      </c>
      <c r="C11" s="8">
        <v>9399</v>
      </c>
      <c r="D11" t="str">
        <f t="shared" si="0"/>
        <v>2008-45-49 år</v>
      </c>
    </row>
    <row r="12" spans="1:4" x14ac:dyDescent="0.2">
      <c r="A12" s="7" t="s">
        <v>12</v>
      </c>
      <c r="B12" s="7" t="s">
        <v>18</v>
      </c>
      <c r="C12" s="8">
        <v>8459</v>
      </c>
      <c r="D12" t="str">
        <f t="shared" si="0"/>
        <v>2008-50-54 år</v>
      </c>
    </row>
    <row r="13" spans="1:4" x14ac:dyDescent="0.2">
      <c r="A13" s="7" t="s">
        <v>12</v>
      </c>
      <c r="B13" s="7" t="s">
        <v>19</v>
      </c>
      <c r="C13" s="8">
        <v>7916</v>
      </c>
      <c r="D13" t="str">
        <f t="shared" si="0"/>
        <v>2008-55-59 år</v>
      </c>
    </row>
    <row r="14" spans="1:4" x14ac:dyDescent="0.2">
      <c r="A14" s="7" t="s">
        <v>12</v>
      </c>
      <c r="B14" s="7" t="s">
        <v>20</v>
      </c>
      <c r="C14" s="8">
        <v>4371</v>
      </c>
      <c r="D14" t="str">
        <f t="shared" si="0"/>
        <v>2008-60-64 år</v>
      </c>
    </row>
    <row r="15" spans="1:4" x14ac:dyDescent="0.2">
      <c r="A15" s="7" t="s">
        <v>12</v>
      </c>
      <c r="B15" s="7" t="s">
        <v>21</v>
      </c>
      <c r="C15" s="8">
        <v>857</v>
      </c>
      <c r="D15" t="str">
        <f t="shared" si="0"/>
        <v>2008-65+ år</v>
      </c>
    </row>
    <row r="16" spans="1:4" x14ac:dyDescent="0.2">
      <c r="A16" s="7" t="s">
        <v>22</v>
      </c>
      <c r="B16" s="7" t="s">
        <v>13</v>
      </c>
      <c r="C16" s="8">
        <v>7284</v>
      </c>
      <c r="D16" t="str">
        <f t="shared" si="0"/>
        <v>2009-25-29 år</v>
      </c>
    </row>
    <row r="17" spans="1:4" x14ac:dyDescent="0.2">
      <c r="A17" s="7" t="s">
        <v>22</v>
      </c>
      <c r="B17" s="7" t="s">
        <v>14</v>
      </c>
      <c r="C17" s="8">
        <v>9750</v>
      </c>
      <c r="D17" t="str">
        <f t="shared" si="0"/>
        <v>2009-30-34 år</v>
      </c>
    </row>
    <row r="18" spans="1:4" x14ac:dyDescent="0.2">
      <c r="A18" s="7" t="s">
        <v>22</v>
      </c>
      <c r="B18" s="7" t="s">
        <v>15</v>
      </c>
      <c r="C18" s="8">
        <v>9328</v>
      </c>
      <c r="D18" t="str">
        <f t="shared" si="0"/>
        <v>2009-35-39 år</v>
      </c>
    </row>
    <row r="19" spans="1:4" x14ac:dyDescent="0.2">
      <c r="A19" s="7" t="s">
        <v>22</v>
      </c>
      <c r="B19" s="7" t="s">
        <v>16</v>
      </c>
      <c r="C19" s="8">
        <v>12571</v>
      </c>
      <c r="D19" t="str">
        <f t="shared" si="0"/>
        <v>2009-40-44 år</v>
      </c>
    </row>
    <row r="20" spans="1:4" x14ac:dyDescent="0.2">
      <c r="A20" s="7" t="s">
        <v>22</v>
      </c>
      <c r="B20" s="7" t="s">
        <v>17</v>
      </c>
      <c r="C20" s="8">
        <v>11248</v>
      </c>
      <c r="D20" t="str">
        <f t="shared" si="0"/>
        <v>2009-45-49 år</v>
      </c>
    </row>
    <row r="21" spans="1:4" x14ac:dyDescent="0.2">
      <c r="A21" s="7" t="s">
        <v>22</v>
      </c>
      <c r="B21" s="7" t="s">
        <v>18</v>
      </c>
      <c r="C21" s="8">
        <v>9862</v>
      </c>
      <c r="D21" t="str">
        <f t="shared" si="0"/>
        <v>2009-50-54 år</v>
      </c>
    </row>
    <row r="22" spans="1:4" x14ac:dyDescent="0.2">
      <c r="A22" s="7" t="s">
        <v>22</v>
      </c>
      <c r="B22" s="7" t="s">
        <v>19</v>
      </c>
      <c r="C22" s="8">
        <v>9081</v>
      </c>
      <c r="D22" t="str">
        <f t="shared" si="0"/>
        <v>2009-55-59 år</v>
      </c>
    </row>
    <row r="23" spans="1:4" x14ac:dyDescent="0.2">
      <c r="A23" s="7" t="s">
        <v>22</v>
      </c>
      <c r="B23" s="7" t="s">
        <v>20</v>
      </c>
      <c r="C23" s="8">
        <v>5056</v>
      </c>
      <c r="D23" t="str">
        <f t="shared" si="0"/>
        <v>2009-60-64 år</v>
      </c>
    </row>
    <row r="24" spans="1:4" x14ac:dyDescent="0.2">
      <c r="A24" s="7" t="s">
        <v>22</v>
      </c>
      <c r="B24" s="7" t="s">
        <v>21</v>
      </c>
      <c r="C24" s="8">
        <v>984</v>
      </c>
      <c r="D24" t="str">
        <f t="shared" si="0"/>
        <v>2009-65+ år</v>
      </c>
    </row>
    <row r="25" spans="1:4" x14ac:dyDescent="0.2">
      <c r="A25" s="7" t="s">
        <v>23</v>
      </c>
      <c r="B25" s="7" t="s">
        <v>13</v>
      </c>
      <c r="C25" s="8">
        <v>6802</v>
      </c>
      <c r="D25" t="str">
        <f t="shared" si="0"/>
        <v>2010-25-29 år</v>
      </c>
    </row>
    <row r="26" spans="1:4" x14ac:dyDescent="0.2">
      <c r="A26" s="7" t="s">
        <v>23</v>
      </c>
      <c r="B26" s="7" t="s">
        <v>14</v>
      </c>
      <c r="C26" s="8">
        <v>9673</v>
      </c>
      <c r="D26" t="str">
        <f t="shared" si="0"/>
        <v>2010-30-34 år</v>
      </c>
    </row>
    <row r="27" spans="1:4" x14ac:dyDescent="0.2">
      <c r="A27" s="7" t="s">
        <v>23</v>
      </c>
      <c r="B27" s="7" t="s">
        <v>15</v>
      </c>
      <c r="C27" s="8">
        <v>9565</v>
      </c>
      <c r="D27" t="str">
        <f t="shared" si="0"/>
        <v>2010-35-39 år</v>
      </c>
    </row>
    <row r="28" spans="1:4" x14ac:dyDescent="0.2">
      <c r="A28" s="7" t="s">
        <v>23</v>
      </c>
      <c r="B28" s="7" t="s">
        <v>16</v>
      </c>
      <c r="C28" s="8">
        <v>11893</v>
      </c>
      <c r="D28" t="str">
        <f t="shared" si="0"/>
        <v>2010-40-44 år</v>
      </c>
    </row>
    <row r="29" spans="1:4" x14ac:dyDescent="0.2">
      <c r="A29" s="7" t="s">
        <v>23</v>
      </c>
      <c r="B29" s="7" t="s">
        <v>17</v>
      </c>
      <c r="C29" s="8">
        <v>11808</v>
      </c>
      <c r="D29" t="str">
        <f t="shared" si="0"/>
        <v>2010-45-49 år</v>
      </c>
    </row>
    <row r="30" spans="1:4" x14ac:dyDescent="0.2">
      <c r="A30" s="7" t="s">
        <v>23</v>
      </c>
      <c r="B30" s="7" t="s">
        <v>18</v>
      </c>
      <c r="C30" s="8">
        <v>10091</v>
      </c>
      <c r="D30" t="str">
        <f t="shared" si="0"/>
        <v>2010-50-54 år</v>
      </c>
    </row>
    <row r="31" spans="1:4" x14ac:dyDescent="0.2">
      <c r="A31" s="7" t="s">
        <v>23</v>
      </c>
      <c r="B31" s="7" t="s">
        <v>19</v>
      </c>
      <c r="C31" s="8">
        <v>9186</v>
      </c>
      <c r="D31" t="str">
        <f t="shared" si="0"/>
        <v>2010-55-59 år</v>
      </c>
    </row>
    <row r="32" spans="1:4" x14ac:dyDescent="0.2">
      <c r="A32" s="7" t="s">
        <v>23</v>
      </c>
      <c r="B32" s="7" t="s">
        <v>20</v>
      </c>
      <c r="C32" s="8">
        <v>5175</v>
      </c>
      <c r="D32" t="str">
        <f t="shared" si="0"/>
        <v>2010-60-64 år</v>
      </c>
    </row>
    <row r="33" spans="1:4" x14ac:dyDescent="0.2">
      <c r="A33" s="7" t="s">
        <v>23</v>
      </c>
      <c r="B33" s="7" t="s">
        <v>21</v>
      </c>
      <c r="C33" s="8">
        <v>1161</v>
      </c>
      <c r="D33" t="str">
        <f t="shared" si="0"/>
        <v>2010-65+ år</v>
      </c>
    </row>
    <row r="34" spans="1:4" x14ac:dyDescent="0.2">
      <c r="A34" s="7" t="s">
        <v>24</v>
      </c>
      <c r="B34" s="7" t="s">
        <v>13</v>
      </c>
      <c r="C34" s="8">
        <v>6619</v>
      </c>
      <c r="D34" t="str">
        <f t="shared" si="0"/>
        <v>2011-25-29 år</v>
      </c>
    </row>
    <row r="35" spans="1:4" x14ac:dyDescent="0.2">
      <c r="A35" s="7" t="s">
        <v>24</v>
      </c>
      <c r="B35" s="7" t="s">
        <v>14</v>
      </c>
      <c r="C35" s="8">
        <v>9409</v>
      </c>
      <c r="D35" t="str">
        <f t="shared" si="0"/>
        <v>2011-30-34 år</v>
      </c>
    </row>
    <row r="36" spans="1:4" x14ac:dyDescent="0.2">
      <c r="A36" s="7" t="s">
        <v>24</v>
      </c>
      <c r="B36" s="7" t="s">
        <v>15</v>
      </c>
      <c r="C36" s="8">
        <v>9809</v>
      </c>
      <c r="D36" t="str">
        <f t="shared" si="0"/>
        <v>2011-35-39 år</v>
      </c>
    </row>
    <row r="37" spans="1:4" x14ac:dyDescent="0.2">
      <c r="A37" s="7" t="s">
        <v>24</v>
      </c>
      <c r="B37" s="7" t="s">
        <v>16</v>
      </c>
      <c r="C37" s="8">
        <v>10924</v>
      </c>
      <c r="D37" t="str">
        <f t="shared" si="0"/>
        <v>2011-40-44 år</v>
      </c>
    </row>
    <row r="38" spans="1:4" x14ac:dyDescent="0.2">
      <c r="A38" s="7" t="s">
        <v>24</v>
      </c>
      <c r="B38" s="7" t="s">
        <v>17</v>
      </c>
      <c r="C38" s="8">
        <v>12323</v>
      </c>
      <c r="D38" t="str">
        <f t="shared" si="0"/>
        <v>2011-45-49 år</v>
      </c>
    </row>
    <row r="39" spans="1:4" x14ac:dyDescent="0.2">
      <c r="A39" s="7" t="s">
        <v>24</v>
      </c>
      <c r="B39" s="7" t="s">
        <v>18</v>
      </c>
      <c r="C39" s="8">
        <v>10305</v>
      </c>
      <c r="D39" t="str">
        <f t="shared" si="0"/>
        <v>2011-50-54 år</v>
      </c>
    </row>
    <row r="40" spans="1:4" x14ac:dyDescent="0.2">
      <c r="A40" s="7" t="s">
        <v>24</v>
      </c>
      <c r="B40" s="7" t="s">
        <v>19</v>
      </c>
      <c r="C40" s="8">
        <v>9210</v>
      </c>
      <c r="D40" t="str">
        <f t="shared" si="0"/>
        <v>2011-55-59 år</v>
      </c>
    </row>
    <row r="41" spans="1:4" x14ac:dyDescent="0.2">
      <c r="A41" s="7" t="s">
        <v>24</v>
      </c>
      <c r="B41" s="7" t="s">
        <v>20</v>
      </c>
      <c r="C41" s="8">
        <v>5200</v>
      </c>
      <c r="D41" t="str">
        <f t="shared" si="0"/>
        <v>2011-60-64 år</v>
      </c>
    </row>
    <row r="42" spans="1:4" x14ac:dyDescent="0.2">
      <c r="A42" s="7" t="s">
        <v>24</v>
      </c>
      <c r="B42" s="7" t="s">
        <v>21</v>
      </c>
      <c r="C42" s="8">
        <v>1320</v>
      </c>
      <c r="D42" t="str">
        <f t="shared" si="0"/>
        <v>2011-65+ år</v>
      </c>
    </row>
    <row r="43" spans="1:4" x14ac:dyDescent="0.2">
      <c r="A43" s="7" t="s">
        <v>25</v>
      </c>
      <c r="B43" s="7" t="s">
        <v>13</v>
      </c>
      <c r="C43" s="8">
        <v>6332</v>
      </c>
      <c r="D43" t="str">
        <f t="shared" si="0"/>
        <v>2012-25-29 år</v>
      </c>
    </row>
    <row r="44" spans="1:4" x14ac:dyDescent="0.2">
      <c r="A44" s="7" t="s">
        <v>25</v>
      </c>
      <c r="B44" s="7" t="s">
        <v>14</v>
      </c>
      <c r="C44" s="8">
        <v>8887</v>
      </c>
      <c r="D44" t="str">
        <f t="shared" si="0"/>
        <v>2012-30-34 år</v>
      </c>
    </row>
    <row r="45" spans="1:4" x14ac:dyDescent="0.2">
      <c r="A45" s="7" t="s">
        <v>25</v>
      </c>
      <c r="B45" s="7" t="s">
        <v>15</v>
      </c>
      <c r="C45" s="8">
        <v>9638</v>
      </c>
      <c r="D45" t="str">
        <f t="shared" si="0"/>
        <v>2012-35-39 år</v>
      </c>
    </row>
    <row r="46" spans="1:4" x14ac:dyDescent="0.2">
      <c r="A46" s="7" t="s">
        <v>25</v>
      </c>
      <c r="B46" s="7" t="s">
        <v>16</v>
      </c>
      <c r="C46" s="8">
        <v>9823</v>
      </c>
      <c r="D46" t="str">
        <f t="shared" si="0"/>
        <v>2012-40-44 år</v>
      </c>
    </row>
    <row r="47" spans="1:4" x14ac:dyDescent="0.2">
      <c r="A47" s="7" t="s">
        <v>25</v>
      </c>
      <c r="B47" s="7" t="s">
        <v>17</v>
      </c>
      <c r="C47" s="8">
        <v>12680</v>
      </c>
      <c r="D47" t="str">
        <f t="shared" si="0"/>
        <v>2012-45-49 år</v>
      </c>
    </row>
    <row r="48" spans="1:4" x14ac:dyDescent="0.2">
      <c r="A48" s="7" t="s">
        <v>25</v>
      </c>
      <c r="B48" s="7" t="s">
        <v>18</v>
      </c>
      <c r="C48" s="8">
        <v>10381</v>
      </c>
      <c r="D48" t="str">
        <f t="shared" si="0"/>
        <v>2012-50-54 år</v>
      </c>
    </row>
    <row r="49" spans="1:4" x14ac:dyDescent="0.2">
      <c r="A49" s="7" t="s">
        <v>25</v>
      </c>
      <c r="B49" s="7" t="s">
        <v>19</v>
      </c>
      <c r="C49" s="8">
        <v>9032</v>
      </c>
      <c r="D49" t="str">
        <f t="shared" si="0"/>
        <v>2012-55-59 år</v>
      </c>
    </row>
    <row r="50" spans="1:4" x14ac:dyDescent="0.2">
      <c r="A50" s="7" t="s">
        <v>25</v>
      </c>
      <c r="B50" s="7" t="s">
        <v>20</v>
      </c>
      <c r="C50" s="8">
        <v>5237</v>
      </c>
      <c r="D50" t="str">
        <f t="shared" si="0"/>
        <v>2012-60-64 år</v>
      </c>
    </row>
    <row r="51" spans="1:4" x14ac:dyDescent="0.2">
      <c r="A51" s="7" t="s">
        <v>25</v>
      </c>
      <c r="B51" s="7" t="s">
        <v>21</v>
      </c>
      <c r="C51" s="8">
        <v>1446</v>
      </c>
      <c r="D51" t="str">
        <f t="shared" si="0"/>
        <v>2012-65+ år</v>
      </c>
    </row>
    <row r="52" spans="1:4" x14ac:dyDescent="0.2">
      <c r="A52" s="7" t="s">
        <v>26</v>
      </c>
      <c r="B52" s="7" t="s">
        <v>13</v>
      </c>
      <c r="C52" s="8">
        <v>6202</v>
      </c>
      <c r="D52" t="str">
        <f t="shared" si="0"/>
        <v>2013-25-29 år</v>
      </c>
    </row>
    <row r="53" spans="1:4" x14ac:dyDescent="0.2">
      <c r="A53" s="7" t="s">
        <v>26</v>
      </c>
      <c r="B53" s="7" t="s">
        <v>14</v>
      </c>
      <c r="C53" s="8">
        <v>8560</v>
      </c>
      <c r="D53" t="str">
        <f t="shared" si="0"/>
        <v>2013-30-34 år</v>
      </c>
    </row>
    <row r="54" spans="1:4" x14ac:dyDescent="0.2">
      <c r="A54" s="7" t="s">
        <v>26</v>
      </c>
      <c r="B54" s="7" t="s">
        <v>15</v>
      </c>
      <c r="C54" s="8">
        <v>9790</v>
      </c>
      <c r="D54" t="str">
        <f t="shared" si="0"/>
        <v>2013-35-39 år</v>
      </c>
    </row>
    <row r="55" spans="1:4" x14ac:dyDescent="0.2">
      <c r="A55" s="7" t="s">
        <v>26</v>
      </c>
      <c r="B55" s="7" t="s">
        <v>16</v>
      </c>
      <c r="C55" s="8">
        <v>9383</v>
      </c>
      <c r="D55" t="str">
        <f t="shared" si="0"/>
        <v>2013-40-44 år</v>
      </c>
    </row>
    <row r="56" spans="1:4" x14ac:dyDescent="0.2">
      <c r="A56" s="7" t="s">
        <v>26</v>
      </c>
      <c r="B56" s="7" t="s">
        <v>17</v>
      </c>
      <c r="C56" s="8">
        <v>12762</v>
      </c>
      <c r="D56" t="str">
        <f t="shared" si="0"/>
        <v>2013-45-49 år</v>
      </c>
    </row>
    <row r="57" spans="1:4" x14ac:dyDescent="0.2">
      <c r="A57" s="7" t="s">
        <v>26</v>
      </c>
      <c r="B57" s="7" t="s">
        <v>18</v>
      </c>
      <c r="C57" s="8">
        <v>10587</v>
      </c>
      <c r="D57" t="str">
        <f t="shared" si="0"/>
        <v>2013-50-54 år</v>
      </c>
    </row>
    <row r="58" spans="1:4" x14ac:dyDescent="0.2">
      <c r="A58" s="7" t="s">
        <v>26</v>
      </c>
      <c r="B58" s="7" t="s">
        <v>19</v>
      </c>
      <c r="C58" s="8">
        <v>8811</v>
      </c>
      <c r="D58" t="str">
        <f t="shared" si="0"/>
        <v>2013-55-59 år</v>
      </c>
    </row>
    <row r="59" spans="1:4" x14ac:dyDescent="0.2">
      <c r="A59" s="7" t="s">
        <v>26</v>
      </c>
      <c r="B59" s="7" t="s">
        <v>20</v>
      </c>
      <c r="C59" s="8">
        <v>5072</v>
      </c>
      <c r="D59" t="str">
        <f t="shared" si="0"/>
        <v>2013-60-64 år</v>
      </c>
    </row>
    <row r="60" spans="1:4" x14ac:dyDescent="0.2">
      <c r="A60" s="7" t="s">
        <v>26</v>
      </c>
      <c r="B60" s="7" t="s">
        <v>21</v>
      </c>
      <c r="C60" s="8">
        <v>1539</v>
      </c>
      <c r="D60" t="str">
        <f t="shared" si="0"/>
        <v>2013-65+ år</v>
      </c>
    </row>
    <row r="61" spans="1:4" x14ac:dyDescent="0.2">
      <c r="A61" s="7" t="s">
        <v>27</v>
      </c>
      <c r="B61" s="7" t="s">
        <v>13</v>
      </c>
      <c r="C61" s="8">
        <v>6041</v>
      </c>
      <c r="D61" t="str">
        <f t="shared" si="0"/>
        <v>2014-25-29 år</v>
      </c>
    </row>
    <row r="62" spans="1:4" x14ac:dyDescent="0.2">
      <c r="A62" s="7" t="s">
        <v>27</v>
      </c>
      <c r="B62" s="7" t="s">
        <v>14</v>
      </c>
      <c r="C62" s="8">
        <v>8203</v>
      </c>
      <c r="D62" t="str">
        <f t="shared" si="0"/>
        <v>2014-30-34 år</v>
      </c>
    </row>
    <row r="63" spans="1:4" x14ac:dyDescent="0.2">
      <c r="A63" s="7" t="s">
        <v>27</v>
      </c>
      <c r="B63" s="7" t="s">
        <v>15</v>
      </c>
      <c r="C63" s="8">
        <v>9972</v>
      </c>
      <c r="D63" t="str">
        <f t="shared" si="0"/>
        <v>2014-35-39 år</v>
      </c>
    </row>
    <row r="64" spans="1:4" x14ac:dyDescent="0.2">
      <c r="A64" s="7" t="s">
        <v>27</v>
      </c>
      <c r="B64" s="7" t="s">
        <v>16</v>
      </c>
      <c r="C64" s="8">
        <v>9409</v>
      </c>
      <c r="D64" t="str">
        <f t="shared" si="0"/>
        <v>2014-40-44 år</v>
      </c>
    </row>
    <row r="65" spans="1:4" x14ac:dyDescent="0.2">
      <c r="A65" s="7" t="s">
        <v>27</v>
      </c>
      <c r="B65" s="7" t="s">
        <v>17</v>
      </c>
      <c r="C65" s="8">
        <v>12377</v>
      </c>
      <c r="D65" t="str">
        <f t="shared" si="0"/>
        <v>2014-45-49 år</v>
      </c>
    </row>
    <row r="66" spans="1:4" x14ac:dyDescent="0.2">
      <c r="A66" s="7" t="s">
        <v>27</v>
      </c>
      <c r="B66" s="7" t="s">
        <v>18</v>
      </c>
      <c r="C66" s="8">
        <v>10828</v>
      </c>
      <c r="D66" t="str">
        <f t="shared" si="0"/>
        <v>2014-50-54 år</v>
      </c>
    </row>
    <row r="67" spans="1:4" x14ac:dyDescent="0.2">
      <c r="A67" s="7" t="s">
        <v>27</v>
      </c>
      <c r="B67" s="7" t="s">
        <v>19</v>
      </c>
      <c r="C67" s="8">
        <v>8888</v>
      </c>
      <c r="D67" t="str">
        <f t="shared" si="0"/>
        <v>2014-55-59 år</v>
      </c>
    </row>
    <row r="68" spans="1:4" x14ac:dyDescent="0.2">
      <c r="A68" s="7" t="s">
        <v>27</v>
      </c>
      <c r="B68" s="7" t="s">
        <v>20</v>
      </c>
      <c r="C68" s="8">
        <v>5141</v>
      </c>
      <c r="D68" t="str">
        <f t="shared" si="0"/>
        <v>2014-60-64 år</v>
      </c>
    </row>
    <row r="69" spans="1:4" x14ac:dyDescent="0.2">
      <c r="A69" s="7" t="s">
        <v>27</v>
      </c>
      <c r="B69" s="7" t="s">
        <v>21</v>
      </c>
      <c r="C69" s="8">
        <v>1600</v>
      </c>
      <c r="D69" t="str">
        <f t="shared" si="0"/>
        <v>2014-65+ år</v>
      </c>
    </row>
    <row r="70" spans="1:4" x14ac:dyDescent="0.2">
      <c r="A70" s="7" t="s">
        <v>28</v>
      </c>
      <c r="B70" s="7" t="s">
        <v>13</v>
      </c>
      <c r="C70" s="8">
        <v>5834</v>
      </c>
      <c r="D70" t="str">
        <f t="shared" si="0"/>
        <v>2015-25-29 år</v>
      </c>
    </row>
    <row r="71" spans="1:4" x14ac:dyDescent="0.2">
      <c r="A71" s="7" t="s">
        <v>28</v>
      </c>
      <c r="B71" s="7" t="s">
        <v>14</v>
      </c>
      <c r="C71" s="8">
        <v>7834</v>
      </c>
      <c r="D71" t="str">
        <f t="shared" ref="D71:D134" si="1">A71&amp;"-"&amp;B71</f>
        <v>2015-30-34 år</v>
      </c>
    </row>
    <row r="72" spans="1:4" x14ac:dyDescent="0.2">
      <c r="A72" s="7" t="s">
        <v>28</v>
      </c>
      <c r="B72" s="7" t="s">
        <v>15</v>
      </c>
      <c r="C72" s="8">
        <v>9897</v>
      </c>
      <c r="D72" t="str">
        <f t="shared" si="1"/>
        <v>2015-35-39 år</v>
      </c>
    </row>
    <row r="73" spans="1:4" x14ac:dyDescent="0.2">
      <c r="A73" s="7" t="s">
        <v>28</v>
      </c>
      <c r="B73" s="7" t="s">
        <v>16</v>
      </c>
      <c r="C73" s="8">
        <v>9571</v>
      </c>
      <c r="D73" t="str">
        <f t="shared" si="1"/>
        <v>2015-40-44 år</v>
      </c>
    </row>
    <row r="74" spans="1:4" x14ac:dyDescent="0.2">
      <c r="A74" s="7" t="s">
        <v>28</v>
      </c>
      <c r="B74" s="7" t="s">
        <v>17</v>
      </c>
      <c r="C74" s="8">
        <v>11603</v>
      </c>
      <c r="D74" t="str">
        <f t="shared" si="1"/>
        <v>2015-45-49 år</v>
      </c>
    </row>
    <row r="75" spans="1:4" x14ac:dyDescent="0.2">
      <c r="A75" s="7" t="s">
        <v>28</v>
      </c>
      <c r="B75" s="7" t="s">
        <v>18</v>
      </c>
      <c r="C75" s="8">
        <v>11160</v>
      </c>
      <c r="D75" t="str">
        <f t="shared" si="1"/>
        <v>2015-50-54 år</v>
      </c>
    </row>
    <row r="76" spans="1:4" x14ac:dyDescent="0.2">
      <c r="A76" s="7" t="s">
        <v>28</v>
      </c>
      <c r="B76" s="7" t="s">
        <v>19</v>
      </c>
      <c r="C76" s="8">
        <v>8969</v>
      </c>
      <c r="D76" t="str">
        <f t="shared" si="1"/>
        <v>2015-55-59 år</v>
      </c>
    </row>
    <row r="77" spans="1:4" x14ac:dyDescent="0.2">
      <c r="A77" s="7" t="s">
        <v>28</v>
      </c>
      <c r="B77" s="7" t="s">
        <v>20</v>
      </c>
      <c r="C77" s="8">
        <v>5167</v>
      </c>
      <c r="D77" t="str">
        <f t="shared" si="1"/>
        <v>2015-60-64 år</v>
      </c>
    </row>
    <row r="78" spans="1:4" x14ac:dyDescent="0.2">
      <c r="A78" s="7" t="s">
        <v>28</v>
      </c>
      <c r="B78" s="7" t="s">
        <v>21</v>
      </c>
      <c r="C78" s="8">
        <v>1642</v>
      </c>
      <c r="D78" t="str">
        <f t="shared" si="1"/>
        <v>2015-65+ år</v>
      </c>
    </row>
    <row r="79" spans="1:4" x14ac:dyDescent="0.2">
      <c r="A79" s="7" t="s">
        <v>29</v>
      </c>
      <c r="B79" s="7" t="s">
        <v>13</v>
      </c>
      <c r="C79" s="8">
        <v>5701</v>
      </c>
      <c r="D79" t="str">
        <f t="shared" si="1"/>
        <v>2016-25-29 år</v>
      </c>
    </row>
    <row r="80" spans="1:4" x14ac:dyDescent="0.2">
      <c r="A80" s="7" t="s">
        <v>29</v>
      </c>
      <c r="B80" s="7" t="s">
        <v>14</v>
      </c>
      <c r="C80" s="8">
        <v>7831</v>
      </c>
      <c r="D80" t="str">
        <f t="shared" si="1"/>
        <v>2016-30-34 år</v>
      </c>
    </row>
    <row r="81" spans="1:4" x14ac:dyDescent="0.2">
      <c r="A81" s="7" t="s">
        <v>29</v>
      </c>
      <c r="B81" s="7" t="s">
        <v>15</v>
      </c>
      <c r="C81" s="8">
        <v>9564</v>
      </c>
      <c r="D81" t="str">
        <f t="shared" si="1"/>
        <v>2016-35-39 år</v>
      </c>
    </row>
    <row r="82" spans="1:4" x14ac:dyDescent="0.2">
      <c r="A82" s="7" t="s">
        <v>29</v>
      </c>
      <c r="B82" s="7" t="s">
        <v>16</v>
      </c>
      <c r="C82" s="8">
        <v>9711</v>
      </c>
      <c r="D82" t="str">
        <f t="shared" si="1"/>
        <v>2016-40-44 år</v>
      </c>
    </row>
    <row r="83" spans="1:4" x14ac:dyDescent="0.2">
      <c r="A83" s="7" t="s">
        <v>29</v>
      </c>
      <c r="B83" s="7" t="s">
        <v>17</v>
      </c>
      <c r="C83" s="8">
        <v>10533</v>
      </c>
      <c r="D83" t="str">
        <f t="shared" si="1"/>
        <v>2016-45-49 år</v>
      </c>
    </row>
    <row r="84" spans="1:4" x14ac:dyDescent="0.2">
      <c r="A84" s="7" t="s">
        <v>29</v>
      </c>
      <c r="B84" s="7" t="s">
        <v>18</v>
      </c>
      <c r="C84" s="8">
        <v>11490</v>
      </c>
      <c r="D84" t="str">
        <f t="shared" si="1"/>
        <v>2016-50-54 år</v>
      </c>
    </row>
    <row r="85" spans="1:4" x14ac:dyDescent="0.2">
      <c r="A85" s="7" t="s">
        <v>29</v>
      </c>
      <c r="B85" s="7" t="s">
        <v>19</v>
      </c>
      <c r="C85" s="8">
        <v>9121</v>
      </c>
      <c r="D85" t="str">
        <f t="shared" si="1"/>
        <v>2016-55-59 år</v>
      </c>
    </row>
    <row r="86" spans="1:4" x14ac:dyDescent="0.2">
      <c r="A86" s="7" t="s">
        <v>29</v>
      </c>
      <c r="B86" s="7" t="s">
        <v>20</v>
      </c>
      <c r="C86" s="8">
        <v>5304</v>
      </c>
      <c r="D86" t="str">
        <f t="shared" si="1"/>
        <v>2016-60-64 år</v>
      </c>
    </row>
    <row r="87" spans="1:4" x14ac:dyDescent="0.2">
      <c r="A87" s="7" t="s">
        <v>29</v>
      </c>
      <c r="B87" s="7" t="s">
        <v>21</v>
      </c>
      <c r="C87" s="8">
        <v>1680</v>
      </c>
      <c r="D87" t="str">
        <f t="shared" si="1"/>
        <v>2016-65+ år</v>
      </c>
    </row>
    <row r="88" spans="1:4" x14ac:dyDescent="0.2">
      <c r="A88" s="7" t="s">
        <v>30</v>
      </c>
      <c r="B88" s="7" t="s">
        <v>13</v>
      </c>
      <c r="C88" s="8">
        <v>5951</v>
      </c>
      <c r="D88" t="str">
        <f t="shared" si="1"/>
        <v>2017-25-29 år</v>
      </c>
    </row>
    <row r="89" spans="1:4" x14ac:dyDescent="0.2">
      <c r="A89" s="7" t="s">
        <v>30</v>
      </c>
      <c r="B89" s="7" t="s">
        <v>14</v>
      </c>
      <c r="C89" s="8">
        <v>8016</v>
      </c>
      <c r="D89" t="str">
        <f t="shared" si="1"/>
        <v>2017-30-34 år</v>
      </c>
    </row>
    <row r="90" spans="1:4" x14ac:dyDescent="0.2">
      <c r="A90" s="7" t="s">
        <v>30</v>
      </c>
      <c r="B90" s="7" t="s">
        <v>15</v>
      </c>
      <c r="C90" s="8">
        <v>9344</v>
      </c>
      <c r="D90" t="str">
        <f t="shared" si="1"/>
        <v>2017-35-39 år</v>
      </c>
    </row>
    <row r="91" spans="1:4" x14ac:dyDescent="0.2">
      <c r="A91" s="7" t="s">
        <v>30</v>
      </c>
      <c r="B91" s="7" t="s">
        <v>16</v>
      </c>
      <c r="C91" s="8">
        <v>9699</v>
      </c>
      <c r="D91" t="str">
        <f t="shared" si="1"/>
        <v>2017-40-44 år</v>
      </c>
    </row>
    <row r="92" spans="1:4" x14ac:dyDescent="0.2">
      <c r="A92" s="7" t="s">
        <v>30</v>
      </c>
      <c r="B92" s="7" t="s">
        <v>17</v>
      </c>
      <c r="C92" s="8">
        <v>9778</v>
      </c>
      <c r="D92" t="str">
        <f t="shared" si="1"/>
        <v>2017-45-49 år</v>
      </c>
    </row>
    <row r="93" spans="1:4" x14ac:dyDescent="0.2">
      <c r="A93" s="7" t="s">
        <v>30</v>
      </c>
      <c r="B93" s="7" t="s">
        <v>18</v>
      </c>
      <c r="C93" s="8">
        <v>11940</v>
      </c>
      <c r="D93" t="str">
        <f t="shared" si="1"/>
        <v>2017-50-54 år</v>
      </c>
    </row>
    <row r="94" spans="1:4" x14ac:dyDescent="0.2">
      <c r="A94" s="7" t="s">
        <v>30</v>
      </c>
      <c r="B94" s="7" t="s">
        <v>19</v>
      </c>
      <c r="C94" s="8">
        <v>9231</v>
      </c>
      <c r="D94" t="str">
        <f t="shared" si="1"/>
        <v>2017-55-59 år</v>
      </c>
    </row>
    <row r="95" spans="1:4" x14ac:dyDescent="0.2">
      <c r="A95" s="7" t="s">
        <v>30</v>
      </c>
      <c r="B95" s="7" t="s">
        <v>20</v>
      </c>
      <c r="C95" s="8">
        <v>5403</v>
      </c>
      <c r="D95" t="str">
        <f t="shared" si="1"/>
        <v>2017-60-64 år</v>
      </c>
    </row>
    <row r="96" spans="1:4" x14ac:dyDescent="0.2">
      <c r="A96" s="7" t="s">
        <v>30</v>
      </c>
      <c r="B96" s="7" t="s">
        <v>21</v>
      </c>
      <c r="C96" s="8">
        <v>1775</v>
      </c>
      <c r="D96" t="str">
        <f t="shared" si="1"/>
        <v>2017-65+ år</v>
      </c>
    </row>
    <row r="97" spans="1:4" x14ac:dyDescent="0.2">
      <c r="A97" s="7" t="s">
        <v>31</v>
      </c>
      <c r="B97" s="7" t="s">
        <v>13</v>
      </c>
      <c r="C97" s="8">
        <v>6353</v>
      </c>
      <c r="D97" t="str">
        <f t="shared" si="1"/>
        <v>2018-25-29 år</v>
      </c>
    </row>
    <row r="98" spans="1:4" x14ac:dyDescent="0.2">
      <c r="A98" s="7" t="s">
        <v>31</v>
      </c>
      <c r="B98" s="7" t="s">
        <v>14</v>
      </c>
      <c r="C98" s="8">
        <v>8276</v>
      </c>
      <c r="D98" t="str">
        <f t="shared" si="1"/>
        <v>2018-30-34 år</v>
      </c>
    </row>
    <row r="99" spans="1:4" x14ac:dyDescent="0.2">
      <c r="A99" s="7" t="s">
        <v>31</v>
      </c>
      <c r="B99" s="7" t="s">
        <v>15</v>
      </c>
      <c r="C99" s="8">
        <v>9245</v>
      </c>
      <c r="D99" t="str">
        <f t="shared" si="1"/>
        <v>2018-35-39 år</v>
      </c>
    </row>
    <row r="100" spans="1:4" x14ac:dyDescent="0.2">
      <c r="A100" s="7" t="s">
        <v>31</v>
      </c>
      <c r="B100" s="7" t="s">
        <v>16</v>
      </c>
      <c r="C100" s="8">
        <v>9937</v>
      </c>
      <c r="D100" t="str">
        <f t="shared" si="1"/>
        <v>2018-40-44 år</v>
      </c>
    </row>
    <row r="101" spans="1:4" x14ac:dyDescent="0.2">
      <c r="A101" s="7" t="s">
        <v>31</v>
      </c>
      <c r="B101" s="7" t="s">
        <v>17</v>
      </c>
      <c r="C101" s="8">
        <v>9488</v>
      </c>
      <c r="D101" t="str">
        <f t="shared" si="1"/>
        <v>2018-45-49 år</v>
      </c>
    </row>
    <row r="102" spans="1:4" x14ac:dyDescent="0.2">
      <c r="A102" s="7" t="s">
        <v>31</v>
      </c>
      <c r="B102" s="7" t="s">
        <v>18</v>
      </c>
      <c r="C102" s="8">
        <v>12171</v>
      </c>
      <c r="D102" t="str">
        <f t="shared" si="1"/>
        <v>2018-50-54 år</v>
      </c>
    </row>
    <row r="103" spans="1:4" x14ac:dyDescent="0.2">
      <c r="A103" s="7" t="s">
        <v>31</v>
      </c>
      <c r="B103" s="7" t="s">
        <v>19</v>
      </c>
      <c r="C103" s="8">
        <v>9537</v>
      </c>
      <c r="D103" t="str">
        <f t="shared" si="1"/>
        <v>2018-55-59 år</v>
      </c>
    </row>
    <row r="104" spans="1:4" x14ac:dyDescent="0.2">
      <c r="A104" s="7" t="s">
        <v>31</v>
      </c>
      <c r="B104" s="7" t="s">
        <v>20</v>
      </c>
      <c r="C104" s="8">
        <v>5638</v>
      </c>
      <c r="D104" t="str">
        <f t="shared" si="1"/>
        <v>2018-60-64 år</v>
      </c>
    </row>
    <row r="105" spans="1:4" x14ac:dyDescent="0.2">
      <c r="A105" s="7" t="s">
        <v>31</v>
      </c>
      <c r="B105" s="7" t="s">
        <v>21</v>
      </c>
      <c r="C105" s="8">
        <v>1897</v>
      </c>
      <c r="D105" t="str">
        <f t="shared" si="1"/>
        <v>2018-65+ år</v>
      </c>
    </row>
    <row r="106" spans="1:4" x14ac:dyDescent="0.2">
      <c r="A106" s="7" t="s">
        <v>32</v>
      </c>
      <c r="B106" s="7" t="s">
        <v>13</v>
      </c>
      <c r="C106" s="8">
        <v>6883</v>
      </c>
      <c r="D106" t="str">
        <f t="shared" si="1"/>
        <v>2019-25-29 år</v>
      </c>
    </row>
    <row r="107" spans="1:4" x14ac:dyDescent="0.2">
      <c r="A107" s="7" t="s">
        <v>32</v>
      </c>
      <c r="B107" s="7" t="s">
        <v>14</v>
      </c>
      <c r="C107" s="8">
        <v>8461</v>
      </c>
      <c r="D107" t="str">
        <f t="shared" si="1"/>
        <v>2019-30-34 år</v>
      </c>
    </row>
    <row r="108" spans="1:4" x14ac:dyDescent="0.2">
      <c r="A108" s="7" t="s">
        <v>32</v>
      </c>
      <c r="B108" s="7" t="s">
        <v>15</v>
      </c>
      <c r="C108" s="8">
        <v>9057</v>
      </c>
      <c r="D108" t="str">
        <f t="shared" si="1"/>
        <v>2019-35-39 år</v>
      </c>
    </row>
    <row r="109" spans="1:4" x14ac:dyDescent="0.2">
      <c r="A109" s="7" t="s">
        <v>32</v>
      </c>
      <c r="B109" s="7" t="s">
        <v>16</v>
      </c>
      <c r="C109" s="8">
        <v>10158</v>
      </c>
      <c r="D109" t="str">
        <f t="shared" si="1"/>
        <v>2019-40-44 år</v>
      </c>
    </row>
    <row r="110" spans="1:4" x14ac:dyDescent="0.2">
      <c r="A110" s="7" t="s">
        <v>32</v>
      </c>
      <c r="B110" s="7" t="s">
        <v>17</v>
      </c>
      <c r="C110" s="8">
        <v>9482</v>
      </c>
      <c r="D110" t="str">
        <f t="shared" si="1"/>
        <v>2019-45-49 år</v>
      </c>
    </row>
    <row r="111" spans="1:4" x14ac:dyDescent="0.2">
      <c r="A111" s="7" t="s">
        <v>32</v>
      </c>
      <c r="B111" s="7" t="s">
        <v>18</v>
      </c>
      <c r="C111" s="8">
        <v>11866</v>
      </c>
      <c r="D111" t="str">
        <f t="shared" si="1"/>
        <v>2019-50-54 år</v>
      </c>
    </row>
    <row r="112" spans="1:4" x14ac:dyDescent="0.2">
      <c r="A112" s="7" t="s">
        <v>32</v>
      </c>
      <c r="B112" s="7" t="s">
        <v>19</v>
      </c>
      <c r="C112" s="8">
        <v>9811</v>
      </c>
      <c r="D112" t="str">
        <f t="shared" si="1"/>
        <v>2019-55-59 år</v>
      </c>
    </row>
    <row r="113" spans="1:4" x14ac:dyDescent="0.2">
      <c r="A113" s="7" t="s">
        <v>32</v>
      </c>
      <c r="B113" s="7" t="s">
        <v>20</v>
      </c>
      <c r="C113" s="8">
        <v>5907</v>
      </c>
      <c r="D113" t="str">
        <f t="shared" si="1"/>
        <v>2019-60-64 år</v>
      </c>
    </row>
    <row r="114" spans="1:4" x14ac:dyDescent="0.2">
      <c r="A114" s="7" t="s">
        <v>32</v>
      </c>
      <c r="B114" s="7" t="s">
        <v>21</v>
      </c>
      <c r="C114" s="8">
        <v>2030</v>
      </c>
      <c r="D114" t="str">
        <f t="shared" si="1"/>
        <v>2019-65+ år</v>
      </c>
    </row>
    <row r="115" spans="1:4" x14ac:dyDescent="0.2">
      <c r="A115" s="7" t="s">
        <v>33</v>
      </c>
      <c r="B115" s="7" t="s">
        <v>13</v>
      </c>
      <c r="C115" s="8">
        <v>7337</v>
      </c>
      <c r="D115" t="str">
        <f t="shared" si="1"/>
        <v>2020-25-29 år</v>
      </c>
    </row>
    <row r="116" spans="1:4" x14ac:dyDescent="0.2">
      <c r="A116" s="7" t="s">
        <v>33</v>
      </c>
      <c r="B116" s="7" t="s">
        <v>14</v>
      </c>
      <c r="C116" s="8">
        <v>8658</v>
      </c>
      <c r="D116" t="str">
        <f t="shared" si="1"/>
        <v>2020-30-34 år</v>
      </c>
    </row>
    <row r="117" spans="1:4" x14ac:dyDescent="0.2">
      <c r="A117" s="7" t="s">
        <v>33</v>
      </c>
      <c r="B117" s="7" t="s">
        <v>15</v>
      </c>
      <c r="C117" s="8">
        <v>8798</v>
      </c>
      <c r="D117" t="str">
        <f t="shared" si="1"/>
        <v>2020-35-39 år</v>
      </c>
    </row>
    <row r="118" spans="1:4" x14ac:dyDescent="0.2">
      <c r="A118" s="7" t="s">
        <v>33</v>
      </c>
      <c r="B118" s="7" t="s">
        <v>16</v>
      </c>
      <c r="C118" s="8">
        <v>10129</v>
      </c>
      <c r="D118" t="str">
        <f t="shared" si="1"/>
        <v>2020-40-44 år</v>
      </c>
    </row>
    <row r="119" spans="1:4" x14ac:dyDescent="0.2">
      <c r="A119" s="7" t="s">
        <v>33</v>
      </c>
      <c r="B119" s="7" t="s">
        <v>17</v>
      </c>
      <c r="C119" s="8">
        <v>9740</v>
      </c>
      <c r="D119" t="str">
        <f t="shared" si="1"/>
        <v>2020-45-49 år</v>
      </c>
    </row>
    <row r="120" spans="1:4" x14ac:dyDescent="0.2">
      <c r="A120" s="7" t="s">
        <v>33</v>
      </c>
      <c r="B120" s="7" t="s">
        <v>18</v>
      </c>
      <c r="C120" s="8">
        <v>11187</v>
      </c>
      <c r="D120" t="str">
        <f t="shared" si="1"/>
        <v>2020-50-54 år</v>
      </c>
    </row>
    <row r="121" spans="1:4" x14ac:dyDescent="0.2">
      <c r="A121" s="7" t="s">
        <v>33</v>
      </c>
      <c r="B121" s="7" t="s">
        <v>19</v>
      </c>
      <c r="C121" s="8">
        <v>10215</v>
      </c>
      <c r="D121" t="str">
        <f t="shared" si="1"/>
        <v>2020-55-59 år</v>
      </c>
    </row>
    <row r="122" spans="1:4" x14ac:dyDescent="0.2">
      <c r="A122" s="7" t="s">
        <v>33</v>
      </c>
      <c r="B122" s="7" t="s">
        <v>20</v>
      </c>
      <c r="C122" s="8">
        <v>6305</v>
      </c>
      <c r="D122" t="str">
        <f t="shared" si="1"/>
        <v>2020-60-64 år</v>
      </c>
    </row>
    <row r="123" spans="1:4" x14ac:dyDescent="0.2">
      <c r="A123" s="7" t="s">
        <v>33</v>
      </c>
      <c r="B123" s="7" t="s">
        <v>21</v>
      </c>
      <c r="C123" s="8">
        <v>2231</v>
      </c>
      <c r="D123" t="str">
        <f t="shared" si="1"/>
        <v>2020-65+ år</v>
      </c>
    </row>
    <row r="124" spans="1:4" x14ac:dyDescent="0.2">
      <c r="A124" s="7" t="s">
        <v>34</v>
      </c>
      <c r="B124" s="7" t="s">
        <v>13</v>
      </c>
      <c r="C124" s="8">
        <v>7687</v>
      </c>
      <c r="D124" t="str">
        <f t="shared" si="1"/>
        <v>2021-25-29 år</v>
      </c>
    </row>
    <row r="125" spans="1:4" x14ac:dyDescent="0.2">
      <c r="A125" s="7" t="s">
        <v>34</v>
      </c>
      <c r="B125" s="7" t="s">
        <v>14</v>
      </c>
      <c r="C125" s="8">
        <v>8844</v>
      </c>
      <c r="D125" t="str">
        <f t="shared" si="1"/>
        <v>2021-30-34 år</v>
      </c>
    </row>
    <row r="126" spans="1:4" x14ac:dyDescent="0.2">
      <c r="A126" s="7" t="s">
        <v>34</v>
      </c>
      <c r="B126" s="7" t="s">
        <v>15</v>
      </c>
      <c r="C126" s="8">
        <v>8987</v>
      </c>
      <c r="D126" t="str">
        <f t="shared" si="1"/>
        <v>2021-35-39 år</v>
      </c>
    </row>
    <row r="127" spans="1:4" x14ac:dyDescent="0.2">
      <c r="A127" s="7" t="s">
        <v>34</v>
      </c>
      <c r="B127" s="7" t="s">
        <v>16</v>
      </c>
      <c r="C127" s="8">
        <v>10002</v>
      </c>
      <c r="D127" t="str">
        <f t="shared" si="1"/>
        <v>2021-40-44 år</v>
      </c>
    </row>
    <row r="128" spans="1:4" x14ac:dyDescent="0.2">
      <c r="A128" s="7" t="s">
        <v>34</v>
      </c>
      <c r="B128" s="7" t="s">
        <v>17</v>
      </c>
      <c r="C128" s="8">
        <v>10036</v>
      </c>
      <c r="D128" t="str">
        <f t="shared" si="1"/>
        <v>2021-45-49 år</v>
      </c>
    </row>
    <row r="129" spans="1:4" x14ac:dyDescent="0.2">
      <c r="A129" s="7" t="s">
        <v>34</v>
      </c>
      <c r="B129" s="7" t="s">
        <v>18</v>
      </c>
      <c r="C129" s="8">
        <v>10467</v>
      </c>
      <c r="D129" t="str">
        <f t="shared" si="1"/>
        <v>2021-50-54 år</v>
      </c>
    </row>
    <row r="130" spans="1:4" x14ac:dyDescent="0.2">
      <c r="A130" s="7" t="s">
        <v>34</v>
      </c>
      <c r="B130" s="7" t="s">
        <v>19</v>
      </c>
      <c r="C130" s="8">
        <v>10749</v>
      </c>
      <c r="D130" t="str">
        <f t="shared" si="1"/>
        <v>2021-55-59 år</v>
      </c>
    </row>
    <row r="131" spans="1:4" x14ac:dyDescent="0.2">
      <c r="A131" s="7" t="s">
        <v>34</v>
      </c>
      <c r="B131" s="7" t="s">
        <v>20</v>
      </c>
      <c r="C131" s="8">
        <v>6688</v>
      </c>
      <c r="D131" t="str">
        <f t="shared" si="1"/>
        <v>2021-60-64 år</v>
      </c>
    </row>
    <row r="132" spans="1:4" x14ac:dyDescent="0.2">
      <c r="A132" s="7" t="s">
        <v>34</v>
      </c>
      <c r="B132" s="7" t="s">
        <v>21</v>
      </c>
      <c r="C132" s="8">
        <v>2522</v>
      </c>
      <c r="D132" t="str">
        <f t="shared" si="1"/>
        <v>2021-65+ år</v>
      </c>
    </row>
    <row r="133" spans="1:4" x14ac:dyDescent="0.2">
      <c r="A133" s="7" t="s">
        <v>35</v>
      </c>
      <c r="B133" s="7" t="s">
        <v>13</v>
      </c>
      <c r="C133" s="8">
        <v>8107</v>
      </c>
      <c r="D133" t="str">
        <f t="shared" si="1"/>
        <v>2022-25-29 år</v>
      </c>
    </row>
    <row r="134" spans="1:4" x14ac:dyDescent="0.2">
      <c r="A134" s="7" t="s">
        <v>35</v>
      </c>
      <c r="B134" s="7" t="s">
        <v>14</v>
      </c>
      <c r="C134" s="8">
        <v>9307</v>
      </c>
      <c r="D134" t="str">
        <f t="shared" si="1"/>
        <v>2022-30-34 år</v>
      </c>
    </row>
    <row r="135" spans="1:4" x14ac:dyDescent="0.2">
      <c r="A135" s="7" t="s">
        <v>35</v>
      </c>
      <c r="B135" s="7" t="s">
        <v>15</v>
      </c>
      <c r="C135" s="8">
        <v>9287</v>
      </c>
      <c r="D135" t="str">
        <f t="shared" ref="D135:D158" si="2">A135&amp;"-"&amp;B135</f>
        <v>2022-35-39 år</v>
      </c>
    </row>
    <row r="136" spans="1:4" x14ac:dyDescent="0.2">
      <c r="A136" s="7" t="s">
        <v>35</v>
      </c>
      <c r="B136" s="7" t="s">
        <v>16</v>
      </c>
      <c r="C136" s="8">
        <v>9808</v>
      </c>
      <c r="D136" t="str">
        <f t="shared" si="2"/>
        <v>2022-40-44 år</v>
      </c>
    </row>
    <row r="137" spans="1:4" x14ac:dyDescent="0.2">
      <c r="A137" s="7" t="s">
        <v>35</v>
      </c>
      <c r="B137" s="7" t="s">
        <v>17</v>
      </c>
      <c r="C137" s="8">
        <v>10063</v>
      </c>
      <c r="D137" t="str">
        <f t="shared" si="2"/>
        <v>2022-45-49 år</v>
      </c>
    </row>
    <row r="138" spans="1:4" x14ac:dyDescent="0.2">
      <c r="A138" s="7" t="s">
        <v>35</v>
      </c>
      <c r="B138" s="7" t="s">
        <v>18</v>
      </c>
      <c r="C138" s="8">
        <v>9799</v>
      </c>
      <c r="D138" t="str">
        <f t="shared" si="2"/>
        <v>2022-50-54 år</v>
      </c>
    </row>
    <row r="139" spans="1:4" x14ac:dyDescent="0.2">
      <c r="A139" s="7" t="s">
        <v>35</v>
      </c>
      <c r="B139" s="7" t="s">
        <v>19</v>
      </c>
      <c r="C139" s="8">
        <v>11340</v>
      </c>
      <c r="D139" t="str">
        <f t="shared" si="2"/>
        <v>2022-55-59 år</v>
      </c>
    </row>
    <row r="140" spans="1:4" x14ac:dyDescent="0.2">
      <c r="A140" s="7" t="s">
        <v>35</v>
      </c>
      <c r="B140" s="7" t="s">
        <v>20</v>
      </c>
      <c r="C140" s="8">
        <v>6943</v>
      </c>
      <c r="D140" t="str">
        <f t="shared" si="2"/>
        <v>2022-60-64 år</v>
      </c>
    </row>
    <row r="141" spans="1:4" x14ac:dyDescent="0.2">
      <c r="A141" s="7" t="s">
        <v>35</v>
      </c>
      <c r="B141" s="7" t="s">
        <v>21</v>
      </c>
      <c r="C141" s="8">
        <v>2779</v>
      </c>
      <c r="D141" t="str">
        <f t="shared" si="2"/>
        <v>2022-65+ år</v>
      </c>
    </row>
    <row r="142" spans="1:4" x14ac:dyDescent="0.2">
      <c r="A142" s="7" t="s">
        <v>36</v>
      </c>
      <c r="B142" s="7" t="s">
        <v>13</v>
      </c>
      <c r="C142" s="8">
        <v>8433</v>
      </c>
      <c r="D142" t="str">
        <f t="shared" si="2"/>
        <v>2023-25-29 år</v>
      </c>
    </row>
    <row r="143" spans="1:4" x14ac:dyDescent="0.2">
      <c r="A143" s="7" t="s">
        <v>36</v>
      </c>
      <c r="B143" s="7" t="s">
        <v>14</v>
      </c>
      <c r="C143" s="8">
        <v>9786</v>
      </c>
      <c r="D143" t="str">
        <f t="shared" si="2"/>
        <v>2023-30-34 år</v>
      </c>
    </row>
    <row r="144" spans="1:4" x14ac:dyDescent="0.2">
      <c r="A144" s="7" t="s">
        <v>36</v>
      </c>
      <c r="B144" s="7" t="s">
        <v>15</v>
      </c>
      <c r="C144" s="8">
        <v>9648</v>
      </c>
      <c r="D144" t="str">
        <f t="shared" si="2"/>
        <v>2023-35-39 år</v>
      </c>
    </row>
    <row r="145" spans="1:4" x14ac:dyDescent="0.2">
      <c r="A145" s="7" t="s">
        <v>36</v>
      </c>
      <c r="B145" s="7" t="s">
        <v>16</v>
      </c>
      <c r="C145" s="8">
        <v>9770</v>
      </c>
      <c r="D145" t="str">
        <f t="shared" si="2"/>
        <v>2023-40-44 år</v>
      </c>
    </row>
    <row r="146" spans="1:4" x14ac:dyDescent="0.2">
      <c r="A146" s="7" t="s">
        <v>36</v>
      </c>
      <c r="B146" s="7" t="s">
        <v>17</v>
      </c>
      <c r="C146" s="8">
        <v>10262</v>
      </c>
      <c r="D146" t="str">
        <f t="shared" si="2"/>
        <v>2023-45-49 år</v>
      </c>
    </row>
    <row r="147" spans="1:4" x14ac:dyDescent="0.2">
      <c r="A147" s="7" t="s">
        <v>36</v>
      </c>
      <c r="B147" s="7" t="s">
        <v>18</v>
      </c>
      <c r="C147" s="8">
        <v>9513</v>
      </c>
      <c r="D147" t="str">
        <f t="shared" si="2"/>
        <v>2023-50-54 år</v>
      </c>
    </row>
    <row r="148" spans="1:4" x14ac:dyDescent="0.2">
      <c r="A148" s="7" t="s">
        <v>36</v>
      </c>
      <c r="B148" s="7" t="s">
        <v>19</v>
      </c>
      <c r="C148" s="8">
        <v>11614</v>
      </c>
      <c r="D148" t="str">
        <f t="shared" si="2"/>
        <v>2023-55-59 år</v>
      </c>
    </row>
    <row r="149" spans="1:4" x14ac:dyDescent="0.2">
      <c r="A149" s="7" t="s">
        <v>36</v>
      </c>
      <c r="B149" s="7" t="s">
        <v>20</v>
      </c>
      <c r="C149" s="8">
        <v>7443</v>
      </c>
      <c r="D149" t="str">
        <f t="shared" si="2"/>
        <v>2023-60-64 år</v>
      </c>
    </row>
    <row r="150" spans="1:4" x14ac:dyDescent="0.2">
      <c r="A150" s="7" t="s">
        <v>36</v>
      </c>
      <c r="B150" s="7" t="s">
        <v>21</v>
      </c>
      <c r="C150" s="8">
        <v>3139</v>
      </c>
      <c r="D150" t="str">
        <f t="shared" si="2"/>
        <v>2023-65+ år</v>
      </c>
    </row>
    <row r="151" spans="1:4" x14ac:dyDescent="0.2">
      <c r="A151" s="7" t="s">
        <v>37</v>
      </c>
      <c r="B151" s="7" t="s">
        <v>13</v>
      </c>
      <c r="C151" s="8">
        <v>8560</v>
      </c>
      <c r="D151" t="str">
        <f t="shared" si="2"/>
        <v>2024-25-29 år</v>
      </c>
    </row>
    <row r="152" spans="1:4" x14ac:dyDescent="0.2">
      <c r="A152" s="7" t="s">
        <v>37</v>
      </c>
      <c r="B152" s="7" t="s">
        <v>14</v>
      </c>
      <c r="C152" s="8">
        <v>10150</v>
      </c>
      <c r="D152" t="str">
        <f t="shared" si="2"/>
        <v>2024-30-34 år</v>
      </c>
    </row>
    <row r="153" spans="1:4" x14ac:dyDescent="0.2">
      <c r="A153" s="7" t="s">
        <v>37</v>
      </c>
      <c r="B153" s="7" t="s">
        <v>15</v>
      </c>
      <c r="C153" s="8">
        <v>9885</v>
      </c>
      <c r="D153" t="str">
        <f t="shared" si="2"/>
        <v>2024-35-39 år</v>
      </c>
    </row>
    <row r="154" spans="1:4" x14ac:dyDescent="0.2">
      <c r="A154" s="7" t="s">
        <v>37</v>
      </c>
      <c r="B154" s="7" t="s">
        <v>16</v>
      </c>
      <c r="C154" s="8">
        <v>9594</v>
      </c>
      <c r="D154" t="str">
        <f t="shared" si="2"/>
        <v>2024-40-44 år</v>
      </c>
    </row>
    <row r="155" spans="1:4" x14ac:dyDescent="0.2">
      <c r="A155" s="7" t="s">
        <v>37</v>
      </c>
      <c r="B155" s="7" t="s">
        <v>17</v>
      </c>
      <c r="C155" s="8">
        <v>10483</v>
      </c>
      <c r="D155" t="str">
        <f t="shared" si="2"/>
        <v>2024-45-49 år</v>
      </c>
    </row>
    <row r="156" spans="1:4" x14ac:dyDescent="0.2">
      <c r="A156" s="7" t="s">
        <v>37</v>
      </c>
      <c r="B156" s="7" t="s">
        <v>18</v>
      </c>
      <c r="C156" s="8">
        <v>9604</v>
      </c>
      <c r="D156" t="str">
        <f t="shared" si="2"/>
        <v>2024-50-54 år</v>
      </c>
    </row>
    <row r="157" spans="1:4" x14ac:dyDescent="0.2">
      <c r="A157" s="7" t="s">
        <v>37</v>
      </c>
      <c r="B157" s="7" t="s">
        <v>19</v>
      </c>
      <c r="C157" s="8">
        <v>11402</v>
      </c>
      <c r="D157" t="str">
        <f t="shared" si="2"/>
        <v>2024-55-59 år</v>
      </c>
    </row>
    <row r="158" spans="1:4" x14ac:dyDescent="0.2">
      <c r="A158" s="7" t="s">
        <v>37</v>
      </c>
      <c r="B158" s="7" t="s">
        <v>20</v>
      </c>
      <c r="C158" s="8">
        <v>7871</v>
      </c>
      <c r="D158" t="str">
        <f t="shared" si="2"/>
        <v>2024-60-64 år</v>
      </c>
    </row>
    <row r="159" spans="1:4" ht="16" thickBot="1" x14ac:dyDescent="0.25">
      <c r="A159" s="7" t="s">
        <v>37</v>
      </c>
      <c r="B159" s="7" t="s">
        <v>21</v>
      </c>
      <c r="C159" s="8">
        <v>3573</v>
      </c>
      <c r="D159" t="str">
        <f>A159&amp;"-"&amp;B159</f>
        <v>2024-65+ år</v>
      </c>
    </row>
    <row r="160" spans="1:4" ht="16" thickTop="1" x14ac:dyDescent="0.2">
      <c r="A160" s="9"/>
      <c r="B160" s="9"/>
      <c r="C160" s="9"/>
    </row>
    <row r="162" spans="1:1" x14ac:dyDescent="0.2">
      <c r="A162" t="s">
        <v>38</v>
      </c>
    </row>
    <row r="163" spans="1:1" x14ac:dyDescent="0.2">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tabSelected="1" workbookViewId="0">
      <selection activeCell="C9" sqref="C9"/>
    </sheetView>
  </sheetViews>
  <sheetFormatPr baseColWidth="10" defaultColWidth="8.6640625" defaultRowHeight="15" x14ac:dyDescent="0.2"/>
  <cols>
    <col min="1" max="1" width="3.1640625" style="2" customWidth="1"/>
    <col min="2" max="2" width="20" style="2" bestFit="1" customWidth="1"/>
    <col min="3" max="6" width="13.83203125" style="2" bestFit="1" customWidth="1"/>
    <col min="7" max="16384" width="8.6640625" style="2"/>
  </cols>
  <sheetData>
    <row r="2" spans="2:7" x14ac:dyDescent="0.2">
      <c r="B2" t="s">
        <v>73</v>
      </c>
      <c r="C2" t="s">
        <v>69</v>
      </c>
      <c r="D2" t="s">
        <v>70</v>
      </c>
      <c r="E2" t="s">
        <v>71</v>
      </c>
      <c r="F2" t="s">
        <v>72</v>
      </c>
      <c r="G2" s="84" t="s">
        <v>75</v>
      </c>
    </row>
    <row r="3" spans="2:7" x14ac:dyDescent="0.2">
      <c r="B3" t="s">
        <v>66</v>
      </c>
      <c r="C3">
        <v>1</v>
      </c>
      <c r="D3">
        <v>0.75</v>
      </c>
      <c r="E3">
        <v>0.5</v>
      </c>
      <c r="F3">
        <v>0.25</v>
      </c>
      <c r="G3" s="84"/>
    </row>
    <row r="4" spans="2:7" x14ac:dyDescent="0.2">
      <c r="B4" t="s">
        <v>67</v>
      </c>
      <c r="C4" s="34">
        <f>'Net Salary P1'!E37</f>
        <v>2738722.0607483448</v>
      </c>
      <c r="D4" s="34">
        <f>3500000*0.2</f>
        <v>700000</v>
      </c>
      <c r="E4" s="34">
        <v>72530</v>
      </c>
      <c r="F4" s="34">
        <f>2500000*0.3</f>
        <v>750000</v>
      </c>
      <c r="G4" s="84"/>
    </row>
    <row r="5" spans="2:7" x14ac:dyDescent="0.2">
      <c r="B5" t="s">
        <v>68</v>
      </c>
      <c r="C5">
        <v>50</v>
      </c>
      <c r="D5">
        <v>10</v>
      </c>
      <c r="E5">
        <v>20</v>
      </c>
      <c r="F5">
        <v>30</v>
      </c>
      <c r="G5" s="84"/>
    </row>
    <row r="7" spans="2:7" x14ac:dyDescent="0.2">
      <c r="B7" t="s">
        <v>73</v>
      </c>
      <c r="C7" t="s">
        <v>69</v>
      </c>
      <c r="D7" t="s">
        <v>70</v>
      </c>
      <c r="E7" t="s">
        <v>71</v>
      </c>
      <c r="F7" t="s">
        <v>72</v>
      </c>
      <c r="G7" s="84" t="s">
        <v>74</v>
      </c>
    </row>
    <row r="8" spans="2:7" x14ac:dyDescent="0.2">
      <c r="B8" t="s">
        <v>66</v>
      </c>
      <c r="C8">
        <v>1</v>
      </c>
      <c r="D8">
        <v>0.75</v>
      </c>
      <c r="E8">
        <v>0.5</v>
      </c>
      <c r="F8">
        <v>0.25</v>
      </c>
      <c r="G8" s="84"/>
    </row>
    <row r="9" spans="2:7" x14ac:dyDescent="0.2">
      <c r="B9" t="s">
        <v>67</v>
      </c>
      <c r="C9" s="34">
        <v>4212659.32</v>
      </c>
      <c r="D9" s="34">
        <f>3500000*0.2</f>
        <v>700000</v>
      </c>
      <c r="E9" s="34">
        <v>75176</v>
      </c>
      <c r="F9" s="34">
        <f>2500000*0.3</f>
        <v>750000</v>
      </c>
      <c r="G9" s="84"/>
    </row>
    <row r="10" spans="2:7" x14ac:dyDescent="0.2">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baseColWidth="10" defaultColWidth="8.6640625" defaultRowHeight="15" x14ac:dyDescent="0.2"/>
  <cols>
    <col min="1" max="1" width="3.5" style="2" customWidth="1"/>
    <col min="2" max="2" width="8.6640625" style="2"/>
    <col min="3" max="3" width="13.1640625" style="2" customWidth="1"/>
    <col min="4" max="4" width="11.5" style="2" customWidth="1"/>
    <col min="5" max="5" width="11.33203125" style="2" customWidth="1"/>
    <col min="6" max="6" width="16.33203125" style="2" customWidth="1"/>
    <col min="7" max="16384" width="8.6640625" style="2"/>
  </cols>
  <sheetData>
    <row r="2" spans="2:6" x14ac:dyDescent="0.2">
      <c r="B2" s="3" t="s">
        <v>0</v>
      </c>
      <c r="C2" s="3" t="s">
        <v>1</v>
      </c>
      <c r="D2" s="3" t="s">
        <v>168</v>
      </c>
      <c r="E2" s="3" t="s">
        <v>169</v>
      </c>
      <c r="F2" s="3" t="s">
        <v>170</v>
      </c>
    </row>
    <row r="3" spans="2:6" x14ac:dyDescent="0.2">
      <c r="B3" s="3">
        <v>1</v>
      </c>
      <c r="C3" s="3">
        <v>2025</v>
      </c>
      <c r="D3" s="3">
        <v>25</v>
      </c>
      <c r="E3" s="3">
        <v>40</v>
      </c>
      <c r="F3" s="3" t="s">
        <v>0</v>
      </c>
    </row>
    <row r="4" spans="2:6" x14ac:dyDescent="0.2">
      <c r="B4" s="3">
        <v>2</v>
      </c>
      <c r="C4" s="3">
        <v>2026</v>
      </c>
      <c r="D4" s="3">
        <f>D3+1</f>
        <v>26</v>
      </c>
      <c r="E4" s="3">
        <f>E3+1</f>
        <v>41</v>
      </c>
      <c r="F4" s="3" t="s">
        <v>0</v>
      </c>
    </row>
    <row r="5" spans="2:6" x14ac:dyDescent="0.2">
      <c r="B5" s="3">
        <v>3</v>
      </c>
      <c r="C5" s="3">
        <v>2027</v>
      </c>
      <c r="D5" s="3">
        <f t="shared" ref="D5:E16" si="0">D4+1</f>
        <v>27</v>
      </c>
      <c r="E5" s="3">
        <f t="shared" si="0"/>
        <v>42</v>
      </c>
      <c r="F5" s="3" t="s">
        <v>0</v>
      </c>
    </row>
    <row r="6" spans="2:6" x14ac:dyDescent="0.2">
      <c r="B6" s="3">
        <v>4</v>
      </c>
      <c r="C6" s="3">
        <v>2028</v>
      </c>
      <c r="D6" s="3">
        <f t="shared" si="0"/>
        <v>28</v>
      </c>
      <c r="E6" s="3">
        <f t="shared" si="0"/>
        <v>43</v>
      </c>
      <c r="F6" s="3" t="s">
        <v>0</v>
      </c>
    </row>
    <row r="7" spans="2:6" x14ac:dyDescent="0.2">
      <c r="B7" s="3">
        <v>5</v>
      </c>
      <c r="C7" s="3">
        <v>2029</v>
      </c>
      <c r="D7" s="3">
        <f t="shared" si="0"/>
        <v>29</v>
      </c>
      <c r="E7" s="3">
        <f t="shared" si="0"/>
        <v>44</v>
      </c>
      <c r="F7" s="3" t="s">
        <v>0</v>
      </c>
    </row>
    <row r="8" spans="2:6" x14ac:dyDescent="0.2">
      <c r="B8" s="3">
        <v>6</v>
      </c>
      <c r="C8" s="3">
        <v>2030</v>
      </c>
      <c r="D8" s="3">
        <f t="shared" si="0"/>
        <v>30</v>
      </c>
      <c r="E8" s="3">
        <f t="shared" si="0"/>
        <v>45</v>
      </c>
      <c r="F8" s="3" t="s">
        <v>0</v>
      </c>
    </row>
    <row r="9" spans="2:6" x14ac:dyDescent="0.2">
      <c r="B9" s="3">
        <v>7</v>
      </c>
      <c r="C9" s="3">
        <v>2031</v>
      </c>
      <c r="D9" s="3">
        <f t="shared" si="0"/>
        <v>31</v>
      </c>
      <c r="E9" s="3">
        <f t="shared" si="0"/>
        <v>46</v>
      </c>
      <c r="F9" s="3" t="s">
        <v>0</v>
      </c>
    </row>
    <row r="10" spans="2:6" x14ac:dyDescent="0.2">
      <c r="B10" s="3">
        <v>8</v>
      </c>
      <c r="C10" s="3">
        <v>2032</v>
      </c>
      <c r="D10" s="3">
        <f t="shared" si="0"/>
        <v>32</v>
      </c>
      <c r="E10" s="3">
        <f t="shared" si="0"/>
        <v>47</v>
      </c>
      <c r="F10" s="3" t="s">
        <v>0</v>
      </c>
    </row>
    <row r="11" spans="2:6" x14ac:dyDescent="0.2">
      <c r="B11" s="3">
        <v>9</v>
      </c>
      <c r="C11" s="3">
        <v>2033</v>
      </c>
      <c r="D11" s="3">
        <f t="shared" si="0"/>
        <v>33</v>
      </c>
      <c r="E11" s="3">
        <f t="shared" si="0"/>
        <v>48</v>
      </c>
      <c r="F11" s="3" t="s">
        <v>0</v>
      </c>
    </row>
    <row r="12" spans="2:6" x14ac:dyDescent="0.2">
      <c r="B12" s="3">
        <v>10</v>
      </c>
      <c r="C12" s="3">
        <v>2034</v>
      </c>
      <c r="D12" s="3">
        <f t="shared" si="0"/>
        <v>34</v>
      </c>
      <c r="E12" s="3">
        <f t="shared" si="0"/>
        <v>49</v>
      </c>
      <c r="F12" s="3" t="s">
        <v>0</v>
      </c>
    </row>
    <row r="13" spans="2:6" x14ac:dyDescent="0.2">
      <c r="B13" s="3">
        <v>11</v>
      </c>
      <c r="C13" s="3">
        <v>2035</v>
      </c>
      <c r="D13" s="3">
        <f t="shared" si="0"/>
        <v>35</v>
      </c>
      <c r="E13" s="3">
        <f t="shared" si="0"/>
        <v>50</v>
      </c>
      <c r="F13" s="3" t="s">
        <v>0</v>
      </c>
    </row>
    <row r="14" spans="2:6" x14ac:dyDescent="0.2">
      <c r="B14" s="3">
        <v>12</v>
      </c>
      <c r="C14" s="3">
        <v>2036</v>
      </c>
      <c r="D14" s="3">
        <f t="shared" si="0"/>
        <v>36</v>
      </c>
      <c r="E14" s="3">
        <f t="shared" si="0"/>
        <v>51</v>
      </c>
      <c r="F14" s="3" t="s">
        <v>0</v>
      </c>
    </row>
    <row r="15" spans="2:6" x14ac:dyDescent="0.2">
      <c r="B15" s="3">
        <v>13</v>
      </c>
      <c r="C15" s="3">
        <v>2037</v>
      </c>
      <c r="D15" s="3">
        <f t="shared" si="0"/>
        <v>37</v>
      </c>
      <c r="E15" s="3">
        <f t="shared" si="0"/>
        <v>52</v>
      </c>
      <c r="F15" s="3" t="s">
        <v>0</v>
      </c>
    </row>
    <row r="16" spans="2:6" x14ac:dyDescent="0.2">
      <c r="B16" s="3">
        <v>14</v>
      </c>
      <c r="C16" s="3">
        <v>2038</v>
      </c>
      <c r="D16" s="3">
        <f t="shared" si="0"/>
        <v>38</v>
      </c>
      <c r="E16" s="3">
        <f t="shared" si="0"/>
        <v>53</v>
      </c>
      <c r="F16" s="3" t="s">
        <v>0</v>
      </c>
    </row>
    <row r="17" spans="2:6" x14ac:dyDescent="0.2">
      <c r="B17" s="3">
        <v>15</v>
      </c>
      <c r="C17" s="3">
        <v>2039</v>
      </c>
      <c r="D17" s="3">
        <f>D16+1</f>
        <v>39</v>
      </c>
      <c r="E17" s="3">
        <f>E16+1</f>
        <v>54</v>
      </c>
      <c r="F17" s="3" t="s">
        <v>0</v>
      </c>
    </row>
    <row r="18" spans="2:6" x14ac:dyDescent="0.2">
      <c r="B18" s="3">
        <v>16</v>
      </c>
      <c r="C18" s="3">
        <v>2040</v>
      </c>
      <c r="D18" s="3">
        <f t="shared" ref="D18:E33" si="1">D17+1</f>
        <v>40</v>
      </c>
      <c r="E18" s="3">
        <f t="shared" si="1"/>
        <v>55</v>
      </c>
      <c r="F18" s="3" t="s">
        <v>0</v>
      </c>
    </row>
    <row r="19" spans="2:6" x14ac:dyDescent="0.2">
      <c r="B19" s="3">
        <v>17</v>
      </c>
      <c r="C19" s="3">
        <v>2041</v>
      </c>
      <c r="D19" s="3">
        <f t="shared" si="1"/>
        <v>41</v>
      </c>
      <c r="E19" s="3">
        <f t="shared" si="1"/>
        <v>56</v>
      </c>
      <c r="F19" s="3" t="s">
        <v>0</v>
      </c>
    </row>
    <row r="20" spans="2:6" x14ac:dyDescent="0.2">
      <c r="B20" s="3">
        <v>18</v>
      </c>
      <c r="C20" s="3">
        <v>2042</v>
      </c>
      <c r="D20" s="3">
        <f t="shared" si="1"/>
        <v>42</v>
      </c>
      <c r="E20" s="3">
        <f t="shared" si="1"/>
        <v>57</v>
      </c>
      <c r="F20" s="3" t="s">
        <v>0</v>
      </c>
    </row>
    <row r="21" spans="2:6" x14ac:dyDescent="0.2">
      <c r="B21" s="3">
        <v>19</v>
      </c>
      <c r="C21" s="3">
        <v>2043</v>
      </c>
      <c r="D21" s="3">
        <f t="shared" si="1"/>
        <v>43</v>
      </c>
      <c r="E21" s="3">
        <f t="shared" si="1"/>
        <v>58</v>
      </c>
      <c r="F21" s="3" t="s">
        <v>0</v>
      </c>
    </row>
    <row r="22" spans="2:6" x14ac:dyDescent="0.2">
      <c r="B22" s="3">
        <v>20</v>
      </c>
      <c r="C22" s="3">
        <v>2044</v>
      </c>
      <c r="D22" s="3">
        <f t="shared" si="1"/>
        <v>44</v>
      </c>
      <c r="E22" s="3">
        <f t="shared" si="1"/>
        <v>59</v>
      </c>
      <c r="F22" s="3" t="s">
        <v>0</v>
      </c>
    </row>
    <row r="23" spans="2:6" x14ac:dyDescent="0.2">
      <c r="B23" s="3">
        <v>21</v>
      </c>
      <c r="C23" s="3">
        <v>2045</v>
      </c>
      <c r="D23" s="3">
        <f t="shared" si="1"/>
        <v>45</v>
      </c>
      <c r="E23" s="3">
        <f t="shared" si="1"/>
        <v>60</v>
      </c>
      <c r="F23" s="3" t="s">
        <v>0</v>
      </c>
    </row>
    <row r="24" spans="2:6" x14ac:dyDescent="0.2">
      <c r="B24" s="3">
        <v>22</v>
      </c>
      <c r="C24" s="3">
        <v>2046</v>
      </c>
      <c r="D24" s="3">
        <f t="shared" si="1"/>
        <v>46</v>
      </c>
      <c r="E24" s="3">
        <f t="shared" si="1"/>
        <v>61</v>
      </c>
      <c r="F24" s="3" t="s">
        <v>0</v>
      </c>
    </row>
    <row r="25" spans="2:6" x14ac:dyDescent="0.2">
      <c r="B25" s="3">
        <v>23</v>
      </c>
      <c r="C25" s="3">
        <v>2047</v>
      </c>
      <c r="D25" s="3">
        <f t="shared" si="1"/>
        <v>47</v>
      </c>
      <c r="E25" s="3">
        <f t="shared" si="1"/>
        <v>62</v>
      </c>
      <c r="F25" s="3" t="s">
        <v>0</v>
      </c>
    </row>
    <row r="26" spans="2:6" x14ac:dyDescent="0.2">
      <c r="B26" s="3">
        <v>24</v>
      </c>
      <c r="C26" s="3">
        <v>2048</v>
      </c>
      <c r="D26" s="3">
        <f t="shared" si="1"/>
        <v>48</v>
      </c>
      <c r="E26" s="3">
        <f t="shared" si="1"/>
        <v>63</v>
      </c>
      <c r="F26" s="3" t="s">
        <v>0</v>
      </c>
    </row>
    <row r="27" spans="2:6" x14ac:dyDescent="0.2">
      <c r="B27" s="3">
        <v>25</v>
      </c>
      <c r="C27" s="3">
        <v>2049</v>
      </c>
      <c r="D27" s="3">
        <f t="shared" si="1"/>
        <v>49</v>
      </c>
      <c r="E27" s="3">
        <f t="shared" si="1"/>
        <v>64</v>
      </c>
      <c r="F27" s="3" t="s">
        <v>0</v>
      </c>
    </row>
    <row r="28" spans="2:6" x14ac:dyDescent="0.2">
      <c r="B28" s="3">
        <v>26</v>
      </c>
      <c r="C28" s="3">
        <v>2050</v>
      </c>
      <c r="D28" s="3">
        <f t="shared" si="1"/>
        <v>50</v>
      </c>
      <c r="E28" s="3">
        <f t="shared" si="1"/>
        <v>65</v>
      </c>
      <c r="F28" s="3" t="s">
        <v>0</v>
      </c>
    </row>
    <row r="29" spans="2:6" x14ac:dyDescent="0.2">
      <c r="B29" s="3">
        <v>27</v>
      </c>
      <c r="C29" s="3">
        <v>2051</v>
      </c>
      <c r="D29" s="3">
        <f t="shared" si="1"/>
        <v>51</v>
      </c>
      <c r="E29" s="3">
        <f t="shared" si="1"/>
        <v>66</v>
      </c>
      <c r="F29" s="3" t="s">
        <v>0</v>
      </c>
    </row>
    <row r="30" spans="2:6" x14ac:dyDescent="0.2">
      <c r="B30" s="3">
        <v>28</v>
      </c>
      <c r="C30" s="3">
        <v>2052</v>
      </c>
      <c r="D30" s="3">
        <f t="shared" si="1"/>
        <v>52</v>
      </c>
      <c r="E30" s="3">
        <f t="shared" si="1"/>
        <v>67</v>
      </c>
      <c r="F30" s="3" t="s">
        <v>0</v>
      </c>
    </row>
    <row r="31" spans="2:6" x14ac:dyDescent="0.2">
      <c r="B31" s="3">
        <v>29</v>
      </c>
      <c r="C31" s="3">
        <v>2053</v>
      </c>
      <c r="D31" s="3">
        <f t="shared" si="1"/>
        <v>53</v>
      </c>
      <c r="E31" s="3">
        <f t="shared" si="1"/>
        <v>68</v>
      </c>
      <c r="F31" s="3" t="s">
        <v>0</v>
      </c>
    </row>
    <row r="32" spans="2:6" x14ac:dyDescent="0.2">
      <c r="B32" s="3">
        <v>30</v>
      </c>
      <c r="C32" s="3">
        <v>2054</v>
      </c>
      <c r="D32" s="3">
        <f t="shared" si="1"/>
        <v>54</v>
      </c>
      <c r="E32" s="3">
        <f t="shared" si="1"/>
        <v>69</v>
      </c>
      <c r="F32" s="3" t="s">
        <v>0</v>
      </c>
    </row>
    <row r="33" spans="2:6" x14ac:dyDescent="0.2">
      <c r="B33" s="3">
        <v>31</v>
      </c>
      <c r="C33" s="3">
        <v>2055</v>
      </c>
      <c r="D33" s="3">
        <f t="shared" si="1"/>
        <v>55</v>
      </c>
      <c r="E33" s="3">
        <f t="shared" si="1"/>
        <v>70</v>
      </c>
      <c r="F33" s="3" t="s">
        <v>0</v>
      </c>
    </row>
    <row r="34" spans="2:6" x14ac:dyDescent="0.2">
      <c r="B34" s="3">
        <v>32</v>
      </c>
      <c r="C34" s="3">
        <v>2056</v>
      </c>
      <c r="D34" s="3">
        <f t="shared" ref="D34:E49" si="2">D33+1</f>
        <v>56</v>
      </c>
      <c r="E34" s="3">
        <f t="shared" si="2"/>
        <v>71</v>
      </c>
      <c r="F34" s="3" t="s">
        <v>0</v>
      </c>
    </row>
    <row r="35" spans="2:6" x14ac:dyDescent="0.2">
      <c r="B35" s="3">
        <v>33</v>
      </c>
      <c r="C35" s="3">
        <v>2057</v>
      </c>
      <c r="D35" s="3">
        <f t="shared" si="2"/>
        <v>57</v>
      </c>
      <c r="E35" s="3">
        <f t="shared" si="2"/>
        <v>72</v>
      </c>
      <c r="F35" s="3" t="s">
        <v>0</v>
      </c>
    </row>
    <row r="36" spans="2:6" x14ac:dyDescent="0.2">
      <c r="B36" s="3">
        <v>34</v>
      </c>
      <c r="C36" s="3">
        <v>2058</v>
      </c>
      <c r="D36" s="3">
        <f t="shared" si="2"/>
        <v>58</v>
      </c>
      <c r="E36" s="3">
        <f t="shared" si="2"/>
        <v>73</v>
      </c>
      <c r="F36" s="3" t="s">
        <v>0</v>
      </c>
    </row>
    <row r="37" spans="2:6" x14ac:dyDescent="0.2">
      <c r="B37" s="3">
        <v>35</v>
      </c>
      <c r="C37" s="3">
        <v>2059</v>
      </c>
      <c r="D37" s="3">
        <f t="shared" si="2"/>
        <v>59</v>
      </c>
      <c r="E37" s="3">
        <f t="shared" si="2"/>
        <v>74</v>
      </c>
      <c r="F37" s="3" t="s">
        <v>0</v>
      </c>
    </row>
    <row r="38" spans="2:6" x14ac:dyDescent="0.2">
      <c r="B38" s="3">
        <v>36</v>
      </c>
      <c r="C38" s="3">
        <v>2060</v>
      </c>
      <c r="D38" s="3">
        <f t="shared" si="2"/>
        <v>60</v>
      </c>
      <c r="E38" s="3">
        <f t="shared" si="2"/>
        <v>75</v>
      </c>
      <c r="F38" s="3" t="s">
        <v>0</v>
      </c>
    </row>
    <row r="39" spans="2:6" x14ac:dyDescent="0.2">
      <c r="B39" s="3">
        <v>37</v>
      </c>
      <c r="C39" s="3">
        <v>2061</v>
      </c>
      <c r="D39" s="3">
        <f t="shared" si="2"/>
        <v>61</v>
      </c>
      <c r="E39" s="3">
        <f t="shared" si="2"/>
        <v>76</v>
      </c>
      <c r="F39" s="3" t="s">
        <v>0</v>
      </c>
    </row>
    <row r="40" spans="2:6" x14ac:dyDescent="0.2">
      <c r="B40" s="3">
        <v>38</v>
      </c>
      <c r="C40" s="3">
        <v>2062</v>
      </c>
      <c r="D40" s="3">
        <f t="shared" si="2"/>
        <v>62</v>
      </c>
      <c r="E40" s="3">
        <f t="shared" si="2"/>
        <v>77</v>
      </c>
      <c r="F40" s="3" t="s">
        <v>0</v>
      </c>
    </row>
    <row r="41" spans="2:6" x14ac:dyDescent="0.2">
      <c r="B41" s="3">
        <v>39</v>
      </c>
      <c r="C41" s="3">
        <v>2063</v>
      </c>
      <c r="D41" s="3">
        <f t="shared" si="2"/>
        <v>63</v>
      </c>
      <c r="E41" s="3">
        <f t="shared" si="2"/>
        <v>78</v>
      </c>
      <c r="F41" s="3" t="s">
        <v>0</v>
      </c>
    </row>
    <row r="42" spans="2:6" x14ac:dyDescent="0.2">
      <c r="B42" s="3">
        <v>40</v>
      </c>
      <c r="C42" s="3">
        <v>2064</v>
      </c>
      <c r="D42" s="3">
        <f t="shared" si="2"/>
        <v>64</v>
      </c>
      <c r="E42" s="3">
        <f t="shared" si="2"/>
        <v>79</v>
      </c>
      <c r="F42" s="3" t="s">
        <v>0</v>
      </c>
    </row>
    <row r="43" spans="2:6" x14ac:dyDescent="0.2">
      <c r="B43" s="3">
        <v>41</v>
      </c>
      <c r="C43" s="3">
        <v>2065</v>
      </c>
      <c r="D43" s="3">
        <f t="shared" si="2"/>
        <v>65</v>
      </c>
      <c r="E43" s="3">
        <f t="shared" si="2"/>
        <v>80</v>
      </c>
      <c r="F43" s="3" t="s">
        <v>0</v>
      </c>
    </row>
    <row r="44" spans="2:6" x14ac:dyDescent="0.2">
      <c r="B44" s="3">
        <v>42</v>
      </c>
      <c r="C44" s="3">
        <v>2066</v>
      </c>
      <c r="D44" s="3">
        <f t="shared" si="2"/>
        <v>66</v>
      </c>
      <c r="E44" s="3">
        <f t="shared" si="2"/>
        <v>81</v>
      </c>
      <c r="F44" s="3" t="s">
        <v>0</v>
      </c>
    </row>
    <row r="45" spans="2:6" x14ac:dyDescent="0.2">
      <c r="B45" s="3">
        <v>43</v>
      </c>
      <c r="C45" s="3">
        <v>2067</v>
      </c>
      <c r="D45" s="3">
        <f t="shared" si="2"/>
        <v>67</v>
      </c>
      <c r="E45" s="3">
        <f t="shared" si="2"/>
        <v>82</v>
      </c>
      <c r="F45" s="3" t="s">
        <v>0</v>
      </c>
    </row>
    <row r="46" spans="2:6" x14ac:dyDescent="0.2">
      <c r="B46" s="3">
        <v>44</v>
      </c>
      <c r="C46" s="3">
        <v>2068</v>
      </c>
      <c r="D46" s="3">
        <f t="shared" si="2"/>
        <v>68</v>
      </c>
      <c r="E46" s="3">
        <f t="shared" si="2"/>
        <v>83</v>
      </c>
      <c r="F46" s="3" t="s">
        <v>0</v>
      </c>
    </row>
    <row r="47" spans="2:6" x14ac:dyDescent="0.2">
      <c r="B47" s="3">
        <v>45</v>
      </c>
      <c r="C47" s="3">
        <v>2069</v>
      </c>
      <c r="D47" s="3">
        <f t="shared" si="2"/>
        <v>69</v>
      </c>
      <c r="E47" s="3">
        <f t="shared" si="2"/>
        <v>84</v>
      </c>
      <c r="F47" s="3" t="s">
        <v>0</v>
      </c>
    </row>
    <row r="48" spans="2:6" x14ac:dyDescent="0.2">
      <c r="B48" s="3">
        <v>46</v>
      </c>
      <c r="C48" s="3">
        <v>2070</v>
      </c>
      <c r="D48" s="3">
        <f t="shared" si="2"/>
        <v>70</v>
      </c>
      <c r="E48" s="3">
        <f t="shared" si="2"/>
        <v>85</v>
      </c>
      <c r="F48" s="3" t="s">
        <v>0</v>
      </c>
    </row>
    <row r="49" spans="2:6" x14ac:dyDescent="0.2">
      <c r="B49" s="3">
        <v>47</v>
      </c>
      <c r="C49" s="3">
        <v>2071</v>
      </c>
      <c r="D49" s="3">
        <f t="shared" si="2"/>
        <v>71</v>
      </c>
      <c r="E49" s="3">
        <f t="shared" si="2"/>
        <v>86</v>
      </c>
      <c r="F49" s="3" t="s">
        <v>0</v>
      </c>
    </row>
    <row r="50" spans="2:6" x14ac:dyDescent="0.2">
      <c r="B50" s="3">
        <v>48</v>
      </c>
      <c r="C50" s="3">
        <v>2072</v>
      </c>
      <c r="D50" s="3">
        <f t="shared" ref="D50:E53" si="3">D49+1</f>
        <v>72</v>
      </c>
      <c r="E50" s="3">
        <f t="shared" si="3"/>
        <v>87</v>
      </c>
      <c r="F50" s="3" t="s">
        <v>0</v>
      </c>
    </row>
    <row r="51" spans="2:6" x14ac:dyDescent="0.2">
      <c r="B51" s="3">
        <v>49</v>
      </c>
      <c r="C51" s="3">
        <v>2073</v>
      </c>
      <c r="D51" s="3">
        <f t="shared" si="3"/>
        <v>73</v>
      </c>
      <c r="E51" s="3">
        <f t="shared" si="3"/>
        <v>88</v>
      </c>
      <c r="F51" s="3" t="s">
        <v>0</v>
      </c>
    </row>
    <row r="52" spans="2:6" x14ac:dyDescent="0.2">
      <c r="B52" s="3">
        <v>50</v>
      </c>
      <c r="C52" s="3">
        <v>2074</v>
      </c>
      <c r="D52" s="3">
        <f t="shared" si="3"/>
        <v>74</v>
      </c>
      <c r="E52" s="3">
        <f t="shared" si="3"/>
        <v>89</v>
      </c>
      <c r="F52" s="3" t="s">
        <v>0</v>
      </c>
    </row>
    <row r="53" spans="2:6" x14ac:dyDescent="0.2">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baseColWidth="10" defaultColWidth="8.6640625" defaultRowHeight="15" x14ac:dyDescent="0.2"/>
  <cols>
    <col min="1" max="2" width="8.6640625" style="2"/>
    <col min="3" max="3" width="10.1640625" style="2" bestFit="1" customWidth="1"/>
    <col min="4" max="16384" width="8.6640625" style="2"/>
  </cols>
  <sheetData>
    <row r="1" spans="1:6" x14ac:dyDescent="0.2">
      <c r="A1" s="2" t="s">
        <v>163</v>
      </c>
    </row>
    <row r="2" spans="1:6" x14ac:dyDescent="0.2">
      <c r="A2" s="2" t="s">
        <v>1</v>
      </c>
      <c r="B2" s="2" t="s">
        <v>165</v>
      </c>
      <c r="C2" s="2" t="s">
        <v>166</v>
      </c>
    </row>
    <row r="3" spans="1:6" x14ac:dyDescent="0.2">
      <c r="A3" s="2">
        <v>2019</v>
      </c>
      <c r="B3" s="2">
        <v>50000</v>
      </c>
    </row>
    <row r="4" spans="1:6" x14ac:dyDescent="0.2">
      <c r="A4" s="2">
        <v>2020</v>
      </c>
      <c r="B4" s="2">
        <f>100000</f>
        <v>100000</v>
      </c>
      <c r="C4" s="23">
        <f t="shared" ref="C4:C9" si="0">(B4-B3)/B3</f>
        <v>1</v>
      </c>
    </row>
    <row r="5" spans="1:6" x14ac:dyDescent="0.2">
      <c r="A5" s="2">
        <v>2021</v>
      </c>
      <c r="B5" s="2">
        <v>102300</v>
      </c>
      <c r="C5" s="23">
        <f t="shared" si="0"/>
        <v>2.3E-2</v>
      </c>
    </row>
    <row r="6" spans="1:6" x14ac:dyDescent="0.2">
      <c r="A6" s="2">
        <v>2022</v>
      </c>
      <c r="B6" s="2">
        <v>103500</v>
      </c>
      <c r="C6" s="23">
        <f t="shared" si="0"/>
        <v>1.1730205278592375E-2</v>
      </c>
      <c r="E6" s="2" t="s">
        <v>164</v>
      </c>
      <c r="F6" s="2" t="s">
        <v>167</v>
      </c>
    </row>
    <row r="7" spans="1:6" x14ac:dyDescent="0.2">
      <c r="A7" s="2">
        <v>2023</v>
      </c>
      <c r="B7" s="2">
        <v>106600</v>
      </c>
      <c r="C7" s="23">
        <f t="shared" si="0"/>
        <v>2.9951690821256038E-2</v>
      </c>
      <c r="E7" s="24">
        <f>MEDIAN(C4:C9)</f>
        <v>0.12645487410819978</v>
      </c>
      <c r="F7" s="25">
        <f>MEDIAN(C5:C9)</f>
        <v>2.9951690821256038E-2</v>
      </c>
    </row>
    <row r="8" spans="1:6" x14ac:dyDescent="0.2">
      <c r="A8" s="2">
        <v>2024</v>
      </c>
      <c r="B8" s="2">
        <v>135900</v>
      </c>
      <c r="C8" s="23">
        <f t="shared" si="0"/>
        <v>0.27485928705440899</v>
      </c>
    </row>
    <row r="9" spans="1:6" x14ac:dyDescent="0.2">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baseColWidth="10" defaultColWidth="8.83203125" defaultRowHeight="15" x14ac:dyDescent="0.2"/>
  <cols>
    <col min="1" max="1" width="3.1640625" bestFit="1" customWidth="1"/>
    <col min="2" max="2" width="10.16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
      <c r="A2" s="67" t="s">
        <v>75</v>
      </c>
      <c r="B2" s="67">
        <v>0</v>
      </c>
      <c r="C2" s="67" cm="1">
        <f t="array" ref="C2:BA2">TRANSPOSE(TableIncome[InvestmentP1])</f>
        <v>56706.429749494702</v>
      </c>
      <c r="D2" s="67">
        <v>57396.246015698234</v>
      </c>
      <c r="E2" s="67">
        <v>60537.66929198915</v>
      </c>
      <c r="F2" s="67">
        <v>61273.460432702617</v>
      </c>
      <c r="G2" s="67">
        <v>62018.081067104649</v>
      </c>
      <c r="H2" s="67">
        <v>62771.637149119495</v>
      </c>
      <c r="I2" s="67">
        <v>66203.331546615169</v>
      </c>
      <c r="J2" s="67">
        <v>67007.110634384138</v>
      </c>
      <c r="K2" s="67">
        <v>67820.535071206352</v>
      </c>
      <c r="L2" s="67">
        <v>68643.720601270426</v>
      </c>
      <c r="M2" s="67">
        <v>72392.50750518222</v>
      </c>
      <c r="N2" s="67">
        <v>73270.556704454022</v>
      </c>
      <c r="O2" s="67">
        <v>74159.14249411707</v>
      </c>
      <c r="P2" s="67">
        <v>78205.762180242571</v>
      </c>
      <c r="Q2" s="67">
        <v>79153.570435615096</v>
      </c>
      <c r="R2" s="67">
        <v>80112.752390052075</v>
      </c>
      <c r="S2" s="67">
        <v>81083.444527942294</v>
      </c>
      <c r="T2" s="67">
        <v>82065.784971487199</v>
      </c>
      <c r="U2" s="67">
        <v>85878.941534104481</v>
      </c>
      <c r="V2" s="67">
        <v>86677.234476123354</v>
      </c>
      <c r="W2" s="67">
        <v>87485.106933446426</v>
      </c>
      <c r="X2" s="67">
        <v>88302.673860257375</v>
      </c>
      <c r="Y2" s="67">
        <v>92025.873644954467</v>
      </c>
      <c r="Z2" s="67">
        <v>92897.929772303512</v>
      </c>
      <c r="AA2" s="67">
        <v>93780.450573180773</v>
      </c>
      <c r="AB2" s="67">
        <v>94673.561623668531</v>
      </c>
      <c r="AC2" s="67">
        <v>95577.390006762173</v>
      </c>
      <c r="AD2" s="67">
        <v>96492.064330452937</v>
      </c>
      <c r="AE2" s="67">
        <v>97417.714746027938</v>
      </c>
      <c r="AF2" s="67">
        <v>98354.472966589878</v>
      </c>
      <c r="AG2" s="67">
        <v>99302.472285798576</v>
      </c>
      <c r="AH2" s="67">
        <v>100261.84759683775</v>
      </c>
      <c r="AI2" s="67">
        <v>101232.73541160944</v>
      </c>
      <c r="AJ2" s="67">
        <v>102215.27388015833</v>
      </c>
      <c r="AK2" s="67">
        <v>103209.60281032983</v>
      </c>
      <c r="AL2" s="67">
        <v>107737.77675833083</v>
      </c>
      <c r="AM2" s="67">
        <v>108798.37572304043</v>
      </c>
      <c r="AN2" s="67">
        <v>109871.70187532649</v>
      </c>
      <c r="AO2" s="67">
        <v>110957.90794144</v>
      </c>
      <c r="AP2" s="67">
        <v>112057.14848034689</v>
      </c>
      <c r="AQ2" s="67">
        <v>113169.57990572066</v>
      </c>
      <c r="AR2" s="67">
        <v>114295.36050819892</v>
      </c>
      <c r="AS2" s="67">
        <v>115434.65047790688</v>
      </c>
      <c r="AT2" s="67">
        <v>116587.61192725139</v>
      </c>
      <c r="AU2" s="67">
        <v>117754.40891398799</v>
      </c>
      <c r="AV2" s="67">
        <v>118935.20746456544</v>
      </c>
      <c r="AW2" s="67">
        <v>120130.1755977498</v>
      </c>
      <c r="AX2" s="67">
        <v>121339.48334853245</v>
      </c>
      <c r="AY2" s="67">
        <v>122563.30279232444</v>
      </c>
      <c r="AZ2" s="67">
        <v>123801.80806944193</v>
      </c>
      <c r="BA2">
        <v>0</v>
      </c>
    </row>
    <row r="3" spans="1:53" x14ac:dyDescent="0.2">
      <c r="A3" s="67" t="s">
        <v>74</v>
      </c>
      <c r="B3" s="69">
        <v>200000</v>
      </c>
      <c r="C3" s="67" cm="1">
        <f t="array" ref="C3:BA3">TRANSPOSE(TableIncome[InvestmentP2])</f>
        <v>92856.930212031424</v>
      </c>
      <c r="D3" s="67">
        <v>93738.959018185444</v>
      </c>
      <c r="E3" s="67">
        <v>97755.718201410637</v>
      </c>
      <c r="F3" s="67">
        <v>98696.532463437165</v>
      </c>
      <c r="G3" s="67">
        <v>99648.636496608015</v>
      </c>
      <c r="H3" s="67">
        <v>100612.16577817692</v>
      </c>
      <c r="I3" s="67">
        <v>105000.07812644164</v>
      </c>
      <c r="J3" s="67">
        <v>106027.82470756858</v>
      </c>
      <c r="K3" s="67">
        <v>107067.90424766899</v>
      </c>
      <c r="L3" s="67">
        <v>108120.46474225061</v>
      </c>
      <c r="M3" s="67">
        <v>112913.82523457534</v>
      </c>
      <c r="N3" s="67">
        <v>114036.53678099984</v>
      </c>
      <c r="O3" s="67">
        <v>115172.72086598145</v>
      </c>
      <c r="P3" s="67">
        <v>120346.90318898769</v>
      </c>
      <c r="Q3" s="67">
        <v>121558.81167086512</v>
      </c>
      <c r="R3" s="67">
        <v>122785.26305452509</v>
      </c>
      <c r="S3" s="67">
        <v>124026.43185478901</v>
      </c>
      <c r="T3" s="67">
        <v>125282.49468065606</v>
      </c>
      <c r="U3" s="67">
        <v>131002.60478965468</v>
      </c>
      <c r="V3" s="67">
        <v>132342.38169074015</v>
      </c>
      <c r="W3" s="67">
        <v>133698.23591463862</v>
      </c>
      <c r="X3" s="67">
        <v>135070.36038922388</v>
      </c>
      <c r="Y3" s="67">
        <v>141319.01524648519</v>
      </c>
      <c r="Z3" s="67">
        <v>142782.5890730526</v>
      </c>
      <c r="AA3" s="67">
        <v>144263.72578553885</v>
      </c>
      <c r="AB3" s="67">
        <v>145762.63613857489</v>
      </c>
      <c r="AC3" s="67">
        <v>147279.53341584743</v>
      </c>
      <c r="AD3" s="67">
        <v>148814.63346044716</v>
      </c>
      <c r="AE3" s="67">
        <v>150368.15470558216</v>
      </c>
      <c r="AF3" s="67">
        <v>151940.31820565875</v>
      </c>
      <c r="AG3" s="67">
        <v>153531.34766773623</v>
      </c>
      <c r="AH3" s="67">
        <v>155141.4694833587</v>
      </c>
      <c r="AI3" s="67">
        <v>156770.91276076861</v>
      </c>
      <c r="AJ3" s="67">
        <v>158419.90935750745</v>
      </c>
      <c r="AK3" s="67">
        <v>160088.69391340707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baseColWidth="10" defaultColWidth="8.83203125" defaultRowHeight="15" x14ac:dyDescent="0.2"/>
  <cols>
    <col min="1" max="1" width="3.1640625" bestFit="1" customWidth="1"/>
    <col min="2" max="2" width="10.5" bestFit="1" customWidth="1"/>
    <col min="3" max="10" width="11.5" bestFit="1" customWidth="1"/>
    <col min="11" max="52" width="13.3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
      <c r="A2" s="67" t="s">
        <v>75</v>
      </c>
      <c r="B2" s="71">
        <f>SUMIF(TableIncome[Year], "&lt;=" &amp; B1, TableIncome[InvestmentP1])</f>
        <v>56706.429749494702</v>
      </c>
      <c r="C2" s="71">
        <f>SUMIF(TableIncome[Year], "&lt;=" &amp; C1, TableIncome[InvestmentP1])</f>
        <v>114102.67576519294</v>
      </c>
      <c r="D2" s="71">
        <f>SUMIF(TableIncome[Year], "&lt;=" &amp; D1, TableIncome[InvestmentP1])</f>
        <v>174640.34505718207</v>
      </c>
      <c r="E2" s="71">
        <f>SUMIF(TableIncome[Year], "&lt;=" &amp; E1, TableIncome[InvestmentP1])</f>
        <v>235913.80548988469</v>
      </c>
      <c r="F2" s="71">
        <f>SUMIF(TableIncome[Year], "&lt;=" &amp; F1, TableIncome[InvestmentP1])</f>
        <v>297931.88655698934</v>
      </c>
      <c r="G2" s="71">
        <f>SUMIF(TableIncome[Year], "&lt;=" &amp; G1, TableIncome[InvestmentP1])</f>
        <v>360703.52370610886</v>
      </c>
      <c r="H2" s="71">
        <f>SUMIF(TableIncome[Year], "&lt;=" &amp; H1, TableIncome[InvestmentP1])</f>
        <v>426906.85525272402</v>
      </c>
      <c r="I2" s="71">
        <f>SUMIF(TableIncome[Year], "&lt;=" &amp; I1, TableIncome[InvestmentP1])</f>
        <v>493913.96588710818</v>
      </c>
      <c r="J2" s="71">
        <f>SUMIF(TableIncome[Year], "&lt;=" &amp; J1, TableIncome[InvestmentP1])</f>
        <v>561734.50095831451</v>
      </c>
      <c r="K2" s="71">
        <f>SUMIF(TableIncome[Year], "&lt;=" &amp; K1, TableIncome[InvestmentP1])</f>
        <v>630378.22155958496</v>
      </c>
      <c r="L2" s="71">
        <f>SUMIF(TableIncome[Year], "&lt;=" &amp; L1, TableIncome[InvestmentP1])</f>
        <v>702770.72906476713</v>
      </c>
      <c r="M2" s="71">
        <f>SUMIF(TableIncome[Year], "&lt;=" &amp; M1, TableIncome[InvestmentP1])</f>
        <v>776041.28576922114</v>
      </c>
      <c r="N2" s="71">
        <f>SUMIF(TableIncome[Year], "&lt;=" &amp; N1, TableIncome[InvestmentP1])</f>
        <v>850200.42826333817</v>
      </c>
      <c r="O2" s="71">
        <f>SUMIF(TableIncome[Year], "&lt;=" &amp; O1, TableIncome[InvestmentP1])</f>
        <v>928406.19044358074</v>
      </c>
      <c r="P2" s="71">
        <f>SUMIF(TableIncome[Year], "&lt;=" &amp; P1, TableIncome[InvestmentP1])</f>
        <v>1007559.7608791959</v>
      </c>
      <c r="Q2" s="71">
        <f>SUMIF(TableIncome[Year], "&lt;=" &amp; Q1, TableIncome[InvestmentP1])</f>
        <v>1087672.513269248</v>
      </c>
      <c r="R2" s="71">
        <f>SUMIF(TableIncome[Year], "&lt;=" &amp; R1, TableIncome[InvestmentP1])</f>
        <v>1168755.9577971902</v>
      </c>
      <c r="S2" s="71">
        <f>SUMIF(TableIncome[Year], "&lt;=" &amp; S1, TableIncome[InvestmentP1])</f>
        <v>1250821.7427686774</v>
      </c>
      <c r="T2" s="71">
        <f>SUMIF(TableIncome[Year], "&lt;=" &amp; T1, TableIncome[InvestmentP1])</f>
        <v>1336700.6843027819</v>
      </c>
      <c r="U2" s="71">
        <f>SUMIF(TableIncome[Year], "&lt;=" &amp; U1, TableIncome[InvestmentP1])</f>
        <v>1423377.9187789052</v>
      </c>
      <c r="V2" s="71">
        <f>SUMIF(TableIncome[Year], "&lt;=" &amp; V1, TableIncome[InvestmentP1])</f>
        <v>1510863.0257123515</v>
      </c>
      <c r="W2" s="71">
        <f>SUMIF(TableIncome[Year], "&lt;=" &amp; W1, TableIncome[InvestmentP1])</f>
        <v>1599165.6995726088</v>
      </c>
      <c r="X2" s="71">
        <f>SUMIF(TableIncome[Year], "&lt;=" &amp; X1, TableIncome[InvestmentP1])</f>
        <v>1691191.5732175633</v>
      </c>
      <c r="Y2" s="71">
        <f>SUMIF(TableIncome[Year], "&lt;=" &amp; Y1, TableIncome[InvestmentP1])</f>
        <v>1784089.5029898668</v>
      </c>
      <c r="Z2" s="71">
        <f>SUMIF(TableIncome[Year], "&lt;=" &amp; Z1, TableIncome[InvestmentP1])</f>
        <v>1877869.9535630476</v>
      </c>
      <c r="AA2" s="71">
        <f>SUMIF(TableIncome[Year], "&lt;=" &amp; AA1, TableIncome[InvestmentP1])</f>
        <v>1972543.5151867161</v>
      </c>
      <c r="AB2" s="71">
        <f>SUMIF(TableIncome[Year], "&lt;=" &amp; AB1, TableIncome[InvestmentP1])</f>
        <v>2068120.9051934783</v>
      </c>
      <c r="AC2" s="71">
        <f>SUMIF(TableIncome[Year], "&lt;=" &amp; AC1, TableIncome[InvestmentP1])</f>
        <v>2164612.9695239314</v>
      </c>
      <c r="AD2" s="71">
        <f>SUMIF(TableIncome[Year], "&lt;=" &amp; AD1, TableIncome[InvestmentP1])</f>
        <v>2262030.6842699591</v>
      </c>
      <c r="AE2" s="71">
        <f>SUMIF(TableIncome[Year], "&lt;=" &amp; AE1, TableIncome[InvestmentP1])</f>
        <v>2360385.1572365491</v>
      </c>
      <c r="AF2" s="71">
        <f>SUMIF(TableIncome[Year], "&lt;=" &amp; AF1, TableIncome[InvestmentP1])</f>
        <v>2459687.6295223478</v>
      </c>
      <c r="AG2" s="71">
        <f>SUMIF(TableIncome[Year], "&lt;=" &amp; AG1, TableIncome[InvestmentP1])</f>
        <v>2559949.4771191855</v>
      </c>
      <c r="AH2" s="71">
        <f>SUMIF(TableIncome[Year], "&lt;=" &amp; AH1, TableIncome[InvestmentP1])</f>
        <v>2661182.212530795</v>
      </c>
      <c r="AI2" s="71">
        <f>SUMIF(TableIncome[Year], "&lt;=" &amp; AI1, TableIncome[InvestmentP1])</f>
        <v>2763397.4864109536</v>
      </c>
      <c r="AJ2" s="71">
        <f>SUMIF(TableIncome[Year], "&lt;=" &amp; AJ1, TableIncome[InvestmentP1])</f>
        <v>2866607.0892212833</v>
      </c>
      <c r="AK2" s="71">
        <f>SUMIF(TableIncome[Year], "&lt;=" &amp; AK1, TableIncome[InvestmentP1])</f>
        <v>2974344.8659796142</v>
      </c>
      <c r="AL2" s="71">
        <f>SUMIF(TableIncome[Year], "&lt;=" &amp; AL1, TableIncome[InvestmentP1])</f>
        <v>3083143.2417026544</v>
      </c>
      <c r="AM2" s="71">
        <f>SUMIF(TableIncome[Year], "&lt;=" &amp; AM1, TableIncome[InvestmentP1])</f>
        <v>3193014.9435779811</v>
      </c>
      <c r="AN2" s="71">
        <f>SUMIF(TableIncome[Year], "&lt;=" &amp; AN1, TableIncome[InvestmentP1])</f>
        <v>3303972.8515194212</v>
      </c>
      <c r="AO2" s="71">
        <f>SUMIF(TableIncome[Year], "&lt;=" &amp; AO1, TableIncome[InvestmentP1])</f>
        <v>3416029.9999997681</v>
      </c>
      <c r="AP2" s="71">
        <f>SUMIF(TableIncome[Year], "&lt;=" &amp; AP1, TableIncome[InvestmentP1])</f>
        <v>3529199.5799054885</v>
      </c>
      <c r="AQ2" s="71">
        <f>SUMIF(TableIncome[Year], "&lt;=" &amp; AQ1, TableIncome[InvestmentP1])</f>
        <v>3643494.9404136874</v>
      </c>
      <c r="AR2" s="71">
        <f>SUMIF(TableIncome[Year], "&lt;=" &amp; AR1, TableIncome[InvestmentP1])</f>
        <v>3758929.5908915941</v>
      </c>
      <c r="AS2" s="71">
        <f>SUMIF(TableIncome[Year], "&lt;=" &amp; AS1, TableIncome[InvestmentP1])</f>
        <v>3875517.2028188454</v>
      </c>
      <c r="AT2" s="71">
        <f>SUMIF(TableIncome[Year], "&lt;=" &amp; AT1, TableIncome[InvestmentP1])</f>
        <v>3993271.6117328336</v>
      </c>
      <c r="AU2" s="71">
        <f>SUMIF(TableIncome[Year], "&lt;=" &amp; AU1, TableIncome[InvestmentP1])</f>
        <v>4112206.8191973991</v>
      </c>
      <c r="AV2" s="71">
        <f>SUMIF(TableIncome[Year], "&lt;=" &amp; AV1, TableIncome[InvestmentP1])</f>
        <v>4232336.9947951492</v>
      </c>
      <c r="AW2" s="71">
        <f>SUMIF(TableIncome[Year], "&lt;=" &amp; AW1, TableIncome[InvestmentP1])</f>
        <v>4353676.4781436818</v>
      </c>
      <c r="AX2" s="71">
        <f>SUMIF(TableIncome[Year], "&lt;=" &amp; AX1, TableIncome[InvestmentP1])</f>
        <v>4476239.7809360065</v>
      </c>
      <c r="AY2" s="71">
        <f>SUMIF(TableIncome[Year], "&lt;=" &amp; AY1, TableIncome[InvestmentP1])</f>
        <v>4600041.5890054479</v>
      </c>
      <c r="AZ2" s="71">
        <f>SUMIF(TableIncome[Year], "&lt;=" &amp; AZ1, TableIncome[InvestmentP1])</f>
        <v>4600041.5890054479</v>
      </c>
    </row>
    <row r="3" spans="1:52" x14ac:dyDescent="0.2">
      <c r="A3" s="67" t="s">
        <v>74</v>
      </c>
      <c r="B3" s="71">
        <f>SUMIF(TableIncome[Year], "&lt;=" &amp; B1, TableIncome[InvestmentP2])</f>
        <v>92856.930212031424</v>
      </c>
      <c r="C3" s="71">
        <f>SUMIF(TableIncome[Year], "&lt;=" &amp; C1, TableIncome[InvestmentP2])</f>
        <v>186595.88923021685</v>
      </c>
      <c r="D3" s="71">
        <f>SUMIF(TableIncome[Year], "&lt;=" &amp; D1, TableIncome[InvestmentP2])</f>
        <v>284351.60743162746</v>
      </c>
      <c r="E3" s="71">
        <f>SUMIF(TableIncome[Year], "&lt;=" &amp; E1, TableIncome[InvestmentP2])</f>
        <v>383048.13989506464</v>
      </c>
      <c r="F3" s="71">
        <f>SUMIF(TableIncome[Year], "&lt;=" &amp; F1, TableIncome[InvestmentP2])</f>
        <v>482696.77639167267</v>
      </c>
      <c r="G3" s="71">
        <f>SUMIF(TableIncome[Year], "&lt;=" &amp; G1, TableIncome[InvestmentP2])</f>
        <v>583308.94216984953</v>
      </c>
      <c r="H3" s="71">
        <f>SUMIF(TableIncome[Year], "&lt;=" &amp; H1, TableIncome[InvestmentP2])</f>
        <v>688309.02029629122</v>
      </c>
      <c r="I3" s="71">
        <f>SUMIF(TableIncome[Year], "&lt;=" &amp; I1, TableIncome[InvestmentP2])</f>
        <v>794336.84500385984</v>
      </c>
      <c r="J3" s="71">
        <f>SUMIF(TableIncome[Year], "&lt;=" &amp; J1, TableIncome[InvestmentP2])</f>
        <v>901404.74925152888</v>
      </c>
      <c r="K3" s="71">
        <f>SUMIF(TableIncome[Year], "&lt;=" &amp; K1, TableIncome[InvestmentP2])</f>
        <v>1009525.2139937795</v>
      </c>
      <c r="L3" s="71">
        <f>SUMIF(TableIncome[Year], "&lt;=" &amp; L1, TableIncome[InvestmentP2])</f>
        <v>1122439.0392283548</v>
      </c>
      <c r="M3" s="71">
        <f>SUMIF(TableIncome[Year], "&lt;=" &amp; M1, TableIncome[InvestmentP2])</f>
        <v>1236475.5760093546</v>
      </c>
      <c r="N3" s="71">
        <f>SUMIF(TableIncome[Year], "&lt;=" &amp; N1, TableIncome[InvestmentP2])</f>
        <v>1351648.296875336</v>
      </c>
      <c r="O3" s="71">
        <f>SUMIF(TableIncome[Year], "&lt;=" &amp; O1, TableIncome[InvestmentP2])</f>
        <v>1471995.2000643236</v>
      </c>
      <c r="P3" s="71">
        <f>SUMIF(TableIncome[Year], "&lt;=" &amp; P1, TableIncome[InvestmentP2])</f>
        <v>1593554.0117351888</v>
      </c>
      <c r="Q3" s="71">
        <f>SUMIF(TableIncome[Year], "&lt;=" &amp; Q1, TableIncome[InvestmentP2])</f>
        <v>1716339.2747897138</v>
      </c>
      <c r="R3" s="71">
        <f>SUMIF(TableIncome[Year], "&lt;=" &amp; R1, TableIncome[InvestmentP2])</f>
        <v>1840365.7066445027</v>
      </c>
      <c r="S3" s="71">
        <f>SUMIF(TableIncome[Year], "&lt;=" &amp; S1, TableIncome[InvestmentP2])</f>
        <v>1965648.2013251588</v>
      </c>
      <c r="T3" s="71">
        <f>SUMIF(TableIncome[Year], "&lt;=" &amp; T1, TableIncome[InvestmentP2])</f>
        <v>2096650.8061148135</v>
      </c>
      <c r="U3" s="71">
        <f>SUMIF(TableIncome[Year], "&lt;=" &amp; U1, TableIncome[InvestmentP2])</f>
        <v>2228993.1878055539</v>
      </c>
      <c r="V3" s="71">
        <f>SUMIF(TableIncome[Year], "&lt;=" &amp; V1, TableIncome[InvestmentP2])</f>
        <v>2362691.4237201926</v>
      </c>
      <c r="W3" s="71">
        <f>SUMIF(TableIncome[Year], "&lt;=" &amp; W1, TableIncome[InvestmentP2])</f>
        <v>2497761.7841094164</v>
      </c>
      <c r="X3" s="71">
        <f>SUMIF(TableIncome[Year], "&lt;=" &amp; X1, TableIncome[InvestmentP2])</f>
        <v>2639080.7993559018</v>
      </c>
      <c r="Y3" s="71">
        <f>SUMIF(TableIncome[Year], "&lt;=" &amp; Y1, TableIncome[InvestmentP2])</f>
        <v>2781863.3884289544</v>
      </c>
      <c r="Z3" s="71">
        <f>SUMIF(TableIncome[Year], "&lt;=" &amp; Z1, TableIncome[InvestmentP2])</f>
        <v>2926127.1142144934</v>
      </c>
      <c r="AA3" s="71">
        <f>SUMIF(TableIncome[Year], "&lt;=" &amp; AA1, TableIncome[InvestmentP2])</f>
        <v>3071889.7503530681</v>
      </c>
      <c r="AB3" s="71">
        <f>SUMIF(TableIncome[Year], "&lt;=" &amp; AB1, TableIncome[InvestmentP2])</f>
        <v>3219169.2837689156</v>
      </c>
      <c r="AC3" s="71">
        <f>SUMIF(TableIncome[Year], "&lt;=" &amp; AC1, TableIncome[InvestmentP2])</f>
        <v>3367983.9172293628</v>
      </c>
      <c r="AD3" s="71">
        <f>SUMIF(TableIncome[Year], "&lt;=" &amp; AD1, TableIncome[InvestmentP2])</f>
        <v>3518352.071934945</v>
      </c>
      <c r="AE3" s="71">
        <f>SUMIF(TableIncome[Year], "&lt;=" &amp; AE1, TableIncome[InvestmentP2])</f>
        <v>3670292.3901406038</v>
      </c>
      <c r="AF3" s="71">
        <f>SUMIF(TableIncome[Year], "&lt;=" &amp; AF1, TableIncome[InvestmentP2])</f>
        <v>3823823.7378083402</v>
      </c>
      <c r="AG3" s="71">
        <f>SUMIF(TableIncome[Year], "&lt;=" &amp; AG1, TableIncome[InvestmentP2])</f>
        <v>3978965.207291699</v>
      </c>
      <c r="AH3" s="71">
        <f>SUMIF(TableIncome[Year], "&lt;=" &amp; AH1, TableIncome[InvestmentP2])</f>
        <v>4135736.1200524676</v>
      </c>
      <c r="AI3" s="71">
        <f>SUMIF(TableIncome[Year], "&lt;=" &amp; AI1, TableIncome[InvestmentP2])</f>
        <v>4294156.0294099748</v>
      </c>
      <c r="AJ3" s="71">
        <f>SUMIF(TableIncome[Year], "&lt;=" &amp; AJ1, TableIncome[InvestmentP2])</f>
        <v>4454244.7233233815</v>
      </c>
      <c r="AK3" s="71">
        <f>SUMIF(TableIncome[Year], "&lt;=" &amp; AK1, TableIncome[InvestmentP2])</f>
        <v>4454244.7233233815</v>
      </c>
      <c r="AL3" s="71">
        <f>SUMIF(TableIncome[Year], "&lt;=" &amp; AL1, TableIncome[InvestmentP2])</f>
        <v>4454244.7233233815</v>
      </c>
      <c r="AM3" s="71">
        <f>SUMIF(TableIncome[Year], "&lt;=" &amp; AM1, TableIncome[InvestmentP2])</f>
        <v>4454244.7233233815</v>
      </c>
      <c r="AN3" s="71">
        <f>SUMIF(TableIncome[Year], "&lt;=" &amp; AN1, TableIncome[InvestmentP2])</f>
        <v>4454244.7233233815</v>
      </c>
      <c r="AO3" s="71">
        <f>SUMIF(TableIncome[Year], "&lt;=" &amp; AO1, TableIncome[InvestmentP2])</f>
        <v>4454244.7233233815</v>
      </c>
      <c r="AP3" s="71">
        <f>SUMIF(TableIncome[Year], "&lt;=" &amp; AP1, TableIncome[InvestmentP2])</f>
        <v>4454244.7233233815</v>
      </c>
      <c r="AQ3" s="71">
        <f>SUMIF(TableIncome[Year], "&lt;=" &amp; AQ1, TableIncome[InvestmentP2])</f>
        <v>4454244.7233233815</v>
      </c>
      <c r="AR3" s="71">
        <f>SUMIF(TableIncome[Year], "&lt;=" &amp; AR1, TableIncome[InvestmentP2])</f>
        <v>4454244.7233233815</v>
      </c>
      <c r="AS3" s="71">
        <f>SUMIF(TableIncome[Year], "&lt;=" &amp; AS1, TableIncome[InvestmentP2])</f>
        <v>4454244.7233233815</v>
      </c>
      <c r="AT3" s="71">
        <f>SUMIF(TableIncome[Year], "&lt;=" &amp; AT1, TableIncome[InvestmentP2])</f>
        <v>4454244.7233233815</v>
      </c>
      <c r="AU3" s="71">
        <f>SUMIF(TableIncome[Year], "&lt;=" &amp; AU1, TableIncome[InvestmentP2])</f>
        <v>4454244.7233233815</v>
      </c>
      <c r="AV3" s="71">
        <f>SUMIF(TableIncome[Year], "&lt;=" &amp; AV1, TableIncome[InvestmentP2])</f>
        <v>4454244.7233233815</v>
      </c>
      <c r="AW3" s="71">
        <f>SUMIF(TableIncome[Year], "&lt;=" &amp; AW1, TableIncome[InvestmentP2])</f>
        <v>4454244.7233233815</v>
      </c>
      <c r="AX3" s="71">
        <f>SUMIF(TableIncome[Year], "&lt;=" &amp; AX1, TableIncome[InvestmentP2])</f>
        <v>4454244.7233233815</v>
      </c>
      <c r="AY3" s="71">
        <f>SUMIF(TableIncome[Year], "&lt;=" &amp; AY1, TableIncome[InvestmentP2])</f>
        <v>4454244.7233233815</v>
      </c>
      <c r="AZ3" s="71">
        <f>SUMIF(TableIncome[Year], "&lt;=" &amp; AZ1, TableIncome[InvestmentP2])</f>
        <v>4454244.7233233815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baseColWidth="10" defaultColWidth="9.1640625" defaultRowHeight="15" x14ac:dyDescent="0.2"/>
  <cols>
    <col min="1" max="1" width="9.1640625" style="2"/>
    <col min="2" max="2" width="134.6640625" style="2" customWidth="1"/>
    <col min="3" max="12" width="9.1640625" style="2"/>
    <col min="13" max="13" width="18.6640625" style="2" customWidth="1"/>
    <col min="14" max="14" width="15.5" style="2" customWidth="1"/>
    <col min="15" max="16384" width="9.1640625" style="2"/>
  </cols>
  <sheetData>
    <row r="3" spans="2:2" x14ac:dyDescent="0.2">
      <c r="B3" s="2" t="s">
        <v>79</v>
      </c>
    </row>
    <row r="4" spans="2:2" x14ac:dyDescent="0.2">
      <c r="B4" s="2" t="s">
        <v>80</v>
      </c>
    </row>
    <row r="5" spans="2:2" x14ac:dyDescent="0.2">
      <c r="B5" s="2" t="s">
        <v>81</v>
      </c>
    </row>
    <row r="6" spans="2:2" x14ac:dyDescent="0.2">
      <c r="B6" s="2" t="s">
        <v>86</v>
      </c>
    </row>
    <row r="7" spans="2:2" x14ac:dyDescent="0.2">
      <c r="B7" s="2" t="s">
        <v>82</v>
      </c>
    </row>
    <row r="9" spans="2:2" x14ac:dyDescent="0.2">
      <c r="B9" s="2" t="s">
        <v>83</v>
      </c>
    </row>
    <row r="13" spans="2:2" x14ac:dyDescent="0.2">
      <c r="B13" s="2" t="s">
        <v>84</v>
      </c>
    </row>
    <row r="14" spans="2:2" x14ac:dyDescent="0.2">
      <c r="B14" s="2" t="s">
        <v>85</v>
      </c>
    </row>
    <row r="18" spans="2:2" x14ac:dyDescent="0.2">
      <c r="B18" s="2" t="s">
        <v>87</v>
      </c>
    </row>
    <row r="37" spans="2:14" x14ac:dyDescent="0.2">
      <c r="B37" s="2" t="s">
        <v>88</v>
      </c>
    </row>
    <row r="41" spans="2:14" x14ac:dyDescent="0.2">
      <c r="C41" s="2" t="s">
        <v>89</v>
      </c>
    </row>
    <row r="42" spans="2:14" x14ac:dyDescent="0.2">
      <c r="D42" s="2" t="s">
        <v>92</v>
      </c>
      <c r="E42" s="2" t="s">
        <v>93</v>
      </c>
    </row>
    <row r="43" spans="2:14" x14ac:dyDescent="0.2">
      <c r="C43" s="2" t="s">
        <v>90</v>
      </c>
      <c r="D43" s="17">
        <v>0.03</v>
      </c>
      <c r="E43" s="17">
        <v>0.01</v>
      </c>
      <c r="H43" s="2">
        <v>2025</v>
      </c>
      <c r="I43" s="2">
        <v>2026</v>
      </c>
      <c r="J43" s="2">
        <v>2027</v>
      </c>
      <c r="M43" s="85" t="s">
        <v>94</v>
      </c>
      <c r="N43" s="86" t="s">
        <v>95</v>
      </c>
    </row>
    <row r="44" spans="2:14" x14ac:dyDescent="0.2">
      <c r="C44" s="2" t="s">
        <v>91</v>
      </c>
      <c r="D44" s="17">
        <v>0.1</v>
      </c>
      <c r="E44" s="17">
        <v>0.03</v>
      </c>
      <c r="H44" s="17">
        <v>0.03</v>
      </c>
      <c r="I44" s="17">
        <v>0.04</v>
      </c>
      <c r="J44" s="17">
        <v>0.06</v>
      </c>
      <c r="K44" s="17">
        <v>7.0000000000000007E-2</v>
      </c>
      <c r="L44" s="17">
        <v>0.1</v>
      </c>
      <c r="M44" s="85"/>
      <c r="N44" s="86"/>
    </row>
    <row r="45" spans="2:14" x14ac:dyDescent="0.2">
      <c r="M45" s="85"/>
      <c r="N45" s="86"/>
    </row>
    <row r="46" spans="2:14" x14ac:dyDescent="0.2">
      <c r="H46" s="17">
        <f>AVERAGE(H44:L44)</f>
        <v>6.0000000000000012E-2</v>
      </c>
      <c r="I46" s="17">
        <f>AVERAGE(I44:L44)</f>
        <v>6.7500000000000004E-2</v>
      </c>
      <c r="M46" s="85"/>
      <c r="N46" s="86"/>
    </row>
    <row r="51" spans="2:21" x14ac:dyDescent="0.2">
      <c r="J51" s="2" t="s">
        <v>96</v>
      </c>
      <c r="L51" s="2" t="s">
        <v>97</v>
      </c>
    </row>
    <row r="53" spans="2:21" x14ac:dyDescent="0.2">
      <c r="J53" s="2">
        <v>2025</v>
      </c>
      <c r="K53" s="2">
        <v>2026</v>
      </c>
      <c r="L53" s="2">
        <v>2027</v>
      </c>
      <c r="M53" s="2">
        <v>2028</v>
      </c>
      <c r="N53" s="2">
        <v>2029</v>
      </c>
      <c r="O53" s="2">
        <v>2030</v>
      </c>
      <c r="P53" s="2">
        <v>2031</v>
      </c>
      <c r="Q53" s="2">
        <v>2032</v>
      </c>
      <c r="R53" s="2">
        <v>2033</v>
      </c>
      <c r="S53" s="2">
        <v>2034</v>
      </c>
      <c r="U53" s="2" t="s">
        <v>98</v>
      </c>
    </row>
    <row r="54" spans="2:21" x14ac:dyDescent="0.2">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52" x14ac:dyDescent="0.2">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2">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2">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2">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2">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2">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baseColWidth="10" defaultColWidth="8.83203125" defaultRowHeight="15" x14ac:dyDescent="0.2"/>
  <cols>
    <col min="1" max="1" width="35" bestFit="1" customWidth="1"/>
    <col min="2" max="2" width="15.33203125" bestFit="1" customWidth="1"/>
  </cols>
  <sheetData>
    <row r="1" spans="1:3" x14ac:dyDescent="0.2">
      <c r="A1" t="s">
        <v>158</v>
      </c>
      <c r="B1" t="s">
        <v>159</v>
      </c>
      <c r="C1" t="s">
        <v>160</v>
      </c>
    </row>
    <row r="2" spans="1:3" x14ac:dyDescent="0.2">
      <c r="A2" t="s">
        <v>100</v>
      </c>
      <c r="B2" s="21">
        <f>0.2%</f>
        <v>2E-3</v>
      </c>
    </row>
    <row r="3" spans="1:3" x14ac:dyDescent="0.2">
      <c r="A3" t="s">
        <v>101</v>
      </c>
      <c r="B3" s="21">
        <f>0.2%</f>
        <v>2E-3</v>
      </c>
    </row>
    <row r="4" spans="1:3" x14ac:dyDescent="0.2">
      <c r="A4" t="s">
        <v>155</v>
      </c>
      <c r="B4" s="21">
        <f>0.07%</f>
        <v>7.000000000000001E-4</v>
      </c>
    </row>
    <row r="5" spans="1:3" x14ac:dyDescent="0.2">
      <c r="A5" t="s">
        <v>154</v>
      </c>
      <c r="B5" s="21">
        <f>0.07%</f>
        <v>7.000000000000001E-4</v>
      </c>
    </row>
    <row r="6" spans="1:3" x14ac:dyDescent="0.2">
      <c r="A6" t="s">
        <v>153</v>
      </c>
      <c r="B6" s="21">
        <f>0.07%</f>
        <v>7.000000000000001E-4</v>
      </c>
    </row>
    <row r="7" spans="1:3" x14ac:dyDescent="0.2">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baseColWidth="10" defaultColWidth="8.83203125" defaultRowHeight="15" x14ac:dyDescent="0.2"/>
  <cols>
    <col min="1" max="1" width="31.5" bestFit="1" customWidth="1"/>
    <col min="2" max="2" width="12.5" bestFit="1" customWidth="1"/>
    <col min="3" max="3" width="11.83203125" bestFit="1" customWidth="1"/>
    <col min="4" max="11" width="12.5" bestFit="1" customWidth="1"/>
    <col min="12" max="12" width="11.83203125" bestFit="1" customWidth="1"/>
    <col min="13" max="20" width="12.5" bestFit="1" customWidth="1"/>
    <col min="21" max="21" width="11.83203125" bestFit="1" customWidth="1"/>
    <col min="22" max="22" width="12.5" bestFit="1" customWidth="1"/>
    <col min="23" max="23" width="11.83203125" bestFit="1" customWidth="1"/>
    <col min="24" max="26" width="12.5" bestFit="1" customWidth="1"/>
    <col min="27" max="27" width="11.83203125" bestFit="1" customWidth="1"/>
    <col min="28" max="31" width="12.5" bestFit="1" customWidth="1"/>
    <col min="32" max="32" width="11.83203125" bestFit="1" customWidth="1"/>
    <col min="33" max="34" width="12.5" bestFit="1" customWidth="1"/>
    <col min="35" max="36" width="11.83203125" bestFit="1" customWidth="1"/>
    <col min="37" max="43" width="12.5" bestFit="1" customWidth="1"/>
    <col min="44" max="46" width="11.83203125" bestFit="1" customWidth="1"/>
    <col min="47" max="47" width="12.5" bestFit="1" customWidth="1"/>
    <col min="48" max="49" width="11.83203125" bestFit="1" customWidth="1"/>
    <col min="50" max="50" width="12.5" bestFit="1" customWidth="1"/>
    <col min="51" max="51" width="11.83203125" bestFit="1" customWidth="1"/>
  </cols>
  <sheetData>
    <row r="1" spans="1:42" x14ac:dyDescent="0.2">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
      <c r="B4" s="20"/>
      <c r="C4" s="20"/>
      <c r="D4" s="20"/>
      <c r="E4" s="20"/>
      <c r="F4" s="20"/>
      <c r="G4" s="20"/>
      <c r="H4" s="20"/>
      <c r="I4" s="20"/>
      <c r="J4" s="20"/>
      <c r="K4" s="20"/>
    </row>
    <row r="5" spans="1:42" x14ac:dyDescent="0.2">
      <c r="B5" s="20"/>
      <c r="C5" s="20"/>
      <c r="D5" s="20"/>
      <c r="E5" s="20"/>
      <c r="F5" s="20"/>
      <c r="G5" s="20"/>
      <c r="H5" s="20"/>
      <c r="I5" s="20"/>
      <c r="J5" s="20"/>
      <c r="K5" s="20"/>
    </row>
    <row r="6" spans="1:42" x14ac:dyDescent="0.2">
      <c r="B6" s="20"/>
      <c r="C6" s="20"/>
      <c r="D6" s="20"/>
      <c r="E6" s="20"/>
      <c r="F6" s="20"/>
      <c r="G6" s="20"/>
      <c r="H6" s="20"/>
      <c r="I6" s="20"/>
      <c r="J6" s="20"/>
      <c r="K6" s="20"/>
    </row>
    <row r="7" spans="1:42" x14ac:dyDescent="0.2">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100</v>
      </c>
      <c r="B2" s="2">
        <v>8.5999999999999993E-2</v>
      </c>
    </row>
    <row r="3" spans="1:2" x14ac:dyDescent="0.2">
      <c r="A3" s="2" t="s">
        <v>101</v>
      </c>
      <c r="B3" s="2">
        <v>7.0000000000000007E-2</v>
      </c>
    </row>
    <row r="4" spans="1:2" x14ac:dyDescent="0.2">
      <c r="A4" s="2" t="s">
        <v>155</v>
      </c>
      <c r="B4" s="2">
        <v>4.9000000000000002E-2</v>
      </c>
    </row>
    <row r="5" spans="1:2" x14ac:dyDescent="0.2">
      <c r="A5" s="2" t="s">
        <v>154</v>
      </c>
      <c r="B5" s="2">
        <v>0.05</v>
      </c>
    </row>
    <row r="6" spans="1:2" x14ac:dyDescent="0.2">
      <c r="A6" s="2" t="s">
        <v>153</v>
      </c>
      <c r="B6" s="2">
        <v>3.6999999999999998E-2</v>
      </c>
    </row>
    <row r="7" spans="1:2" x14ac:dyDescent="0.2">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baseColWidth="10" defaultColWidth="8.6640625" defaultRowHeight="15" x14ac:dyDescent="0.2"/>
  <cols>
    <col min="1" max="1" width="31.5" style="2" bestFit="1" customWidth="1"/>
    <col min="2" max="2" width="29.6640625" style="2" bestFit="1" customWidth="1"/>
    <col min="3" max="16384" width="8.6640625" style="2"/>
  </cols>
  <sheetData>
    <row r="1" spans="1:2" x14ac:dyDescent="0.2">
      <c r="B1" s="2" t="s">
        <v>156</v>
      </c>
    </row>
    <row r="2" spans="1:2" x14ac:dyDescent="0.2">
      <c r="A2" s="2" t="s">
        <v>161</v>
      </c>
      <c r="B2" s="2">
        <v>0.18</v>
      </c>
    </row>
    <row r="3" spans="1:2" x14ac:dyDescent="0.2">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7" x14ac:dyDescent="0.2">
      <c r="B1" t="s">
        <v>152</v>
      </c>
      <c r="C1" t="s">
        <v>153</v>
      </c>
      <c r="D1" t="s">
        <v>154</v>
      </c>
      <c r="E1" t="s">
        <v>155</v>
      </c>
      <c r="F1" t="s">
        <v>101</v>
      </c>
      <c r="G1" t="s">
        <v>100</v>
      </c>
    </row>
    <row r="2" spans="1:7" x14ac:dyDescent="0.2">
      <c r="A2" t="s">
        <v>152</v>
      </c>
      <c r="B2">
        <v>1</v>
      </c>
      <c r="C2">
        <v>0.6</v>
      </c>
      <c r="D2">
        <v>0.2</v>
      </c>
      <c r="E2">
        <v>0.4</v>
      </c>
      <c r="F2">
        <v>0</v>
      </c>
      <c r="G2">
        <v>0</v>
      </c>
    </row>
    <row r="3" spans="1:7" x14ac:dyDescent="0.2">
      <c r="A3" t="s">
        <v>153</v>
      </c>
      <c r="B3">
        <v>0.6</v>
      </c>
      <c r="C3">
        <v>1</v>
      </c>
      <c r="D3">
        <v>0.7</v>
      </c>
      <c r="E3">
        <v>0.6</v>
      </c>
      <c r="F3">
        <v>0.3</v>
      </c>
      <c r="G3">
        <v>0.3</v>
      </c>
    </row>
    <row r="4" spans="1:7" x14ac:dyDescent="0.2">
      <c r="A4" t="s">
        <v>154</v>
      </c>
      <c r="B4">
        <v>0.2</v>
      </c>
      <c r="C4">
        <v>0.7</v>
      </c>
      <c r="D4">
        <v>1</v>
      </c>
      <c r="E4">
        <v>0.7</v>
      </c>
      <c r="F4">
        <v>0.7</v>
      </c>
      <c r="G4">
        <v>0.6</v>
      </c>
    </row>
    <row r="5" spans="1:7" x14ac:dyDescent="0.2">
      <c r="A5" t="s">
        <v>155</v>
      </c>
      <c r="B5">
        <v>0.4</v>
      </c>
      <c r="C5">
        <v>0.6</v>
      </c>
      <c r="D5">
        <v>0.7</v>
      </c>
      <c r="E5">
        <v>1</v>
      </c>
      <c r="F5">
        <v>0.5</v>
      </c>
      <c r="G5">
        <v>0.7</v>
      </c>
    </row>
    <row r="6" spans="1:7" x14ac:dyDescent="0.2">
      <c r="A6" t="s">
        <v>101</v>
      </c>
      <c r="B6">
        <v>0</v>
      </c>
      <c r="C6">
        <v>0.3</v>
      </c>
      <c r="D6">
        <v>0.7</v>
      </c>
      <c r="E6">
        <v>0.5</v>
      </c>
      <c r="F6">
        <v>1</v>
      </c>
      <c r="G6">
        <v>0.7</v>
      </c>
    </row>
    <row r="7" spans="1:7" x14ac:dyDescent="0.2">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baseColWidth="10" defaultColWidth="8.83203125" defaultRowHeight="15" x14ac:dyDescent="0.2"/>
  <cols>
    <col min="1" max="1" width="31.5" bestFit="1" customWidth="1"/>
    <col min="2" max="2" width="29.5" bestFit="1" customWidth="1"/>
    <col min="3" max="3" width="31.5" bestFit="1" customWidth="1"/>
    <col min="4" max="4" width="24.83203125" bestFit="1" customWidth="1"/>
    <col min="5" max="5" width="30.83203125" bestFit="1" customWidth="1"/>
    <col min="6" max="6" width="24.5" bestFit="1" customWidth="1"/>
    <col min="7" max="7" width="23.33203125" bestFit="1" customWidth="1"/>
  </cols>
  <sheetData>
    <row r="1" spans="1:3" x14ac:dyDescent="0.2">
      <c r="B1" t="s">
        <v>162</v>
      </c>
      <c r="C1" t="s">
        <v>161</v>
      </c>
    </row>
    <row r="2" spans="1:3" x14ac:dyDescent="0.2">
      <c r="A2" t="str" cm="1">
        <f t="array" ref="A2:A3">TRANSPOSE(B1:C1)</f>
        <v>Obligations</v>
      </c>
      <c r="B2">
        <v>1</v>
      </c>
      <c r="C2">
        <v>0</v>
      </c>
    </row>
    <row r="3" spans="1:3" x14ac:dyDescent="0.2">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Thorbjørn Larsen</cp:lastModifiedBy>
  <dcterms:created xsi:type="dcterms:W3CDTF">2025-02-13T10:09:46Z</dcterms:created>
  <dcterms:modified xsi:type="dcterms:W3CDTF">2025-05-08T12:21:04Z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