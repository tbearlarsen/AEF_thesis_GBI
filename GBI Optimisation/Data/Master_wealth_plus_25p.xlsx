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25EFE1C6-7E2F-FC47-97F1-72EB39109381}" xr6:coauthVersionLast="47" xr6:coauthVersionMax="47" xr10:uidLastSave="{00000000-0000-0000-0000-000000000000}"/>
  <bookViews>
    <workbookView xWindow="0" yWindow="760" windowWidth="19420" windowHeight="10300" tabRatio="972" firstSheet="11" activeTab="14"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0" l="1"/>
  <c r="C7" i="51"/>
  <c r="B22" i="55"/>
  <c r="B5" i="55"/>
  <c r="B3" i="55"/>
  <c r="N39" i="2"/>
  <c r="N40" i="2"/>
  <c r="N41" i="2"/>
  <c r="N42" i="2"/>
  <c r="N43" i="2"/>
  <c r="N44" i="2"/>
  <c r="N45" i="2"/>
  <c r="N46" i="2"/>
  <c r="N47" i="2"/>
  <c r="N48" i="2"/>
  <c r="N49" i="2"/>
  <c r="D49" i="2" s="1"/>
  <c r="N50" i="2"/>
  <c r="D50" i="2" s="1"/>
  <c r="N51" i="2"/>
  <c r="D51" i="2" s="1"/>
  <c r="N52" i="2"/>
  <c r="N53" i="2"/>
  <c r="BA8" i="56"/>
  <c r="AX8" i="56"/>
  <c r="E39" i="56"/>
  <c r="F39" i="56" s="1"/>
  <c r="B14" i="56"/>
  <c r="B43" i="55" s="1"/>
  <c r="B45" i="55" s="1"/>
  <c r="AW8" i="56"/>
  <c r="AE8" i="56"/>
  <c r="Z8" i="56"/>
  <c r="R8" i="56"/>
  <c r="Q8" i="56"/>
  <c r="O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H8" i="56" l="1"/>
  <c r="BB8" i="56"/>
  <c r="G8" i="56"/>
  <c r="AM8" i="56"/>
  <c r="I8" i="56"/>
  <c r="AO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P9" i="2"/>
  <c r="H52" i="55"/>
  <c r="H53" i="55" s="1"/>
  <c r="G45" i="55"/>
  <c r="G46" i="55" s="1"/>
  <c r="R9" i="2"/>
  <c r="O9" i="2"/>
  <c r="Q9" i="2"/>
  <c r="H6" i="53"/>
  <c r="O16" i="53" a="1"/>
  <c r="O16" i="53" s="1"/>
  <c r="G5" i="53"/>
  <c r="N17" i="53" a="1"/>
  <c r="N17" i="53" s="1"/>
  <c r="Q17" i="53" s="1"/>
  <c r="G47" i="46"/>
  <c r="H43" i="46" s="1"/>
  <c r="E10" i="45"/>
  <c r="D10" i="45"/>
  <c r="E6" i="8"/>
  <c r="E7" i="8" s="1"/>
  <c r="F54" i="46" l="1"/>
  <c r="G50" i="46" s="1"/>
  <c r="G52" i="46"/>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I54" i="46"/>
  <c r="J50" i="46" s="1"/>
  <c r="P13" i="2"/>
  <c r="J52" i="55"/>
  <c r="J53" i="55" s="1"/>
  <c r="I45" i="55"/>
  <c r="I46" i="55" s="1"/>
  <c r="Q13" i="2"/>
  <c r="R13" i="2"/>
  <c r="O13" i="2"/>
  <c r="H10" i="53"/>
  <c r="O12" i="53" a="1"/>
  <c r="O12" i="53" s="1"/>
  <c r="G9" i="53"/>
  <c r="N13" i="53" a="1"/>
  <c r="N13" i="53" s="1"/>
  <c r="Q13" i="53" s="1"/>
  <c r="I47" i="46"/>
  <c r="J43" i="46" s="1"/>
  <c r="E14" i="45"/>
  <c r="D14" i="45"/>
  <c r="E13" i="8"/>
  <c r="J52" i="46" l="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L54" i="46"/>
  <c r="M50" i="46" s="1"/>
  <c r="P17" i="2"/>
  <c r="Q17" i="2"/>
  <c r="L52" i="55"/>
  <c r="L53" i="55" s="1"/>
  <c r="K45" i="55"/>
  <c r="K46" i="55" s="1"/>
  <c r="O17" i="2"/>
  <c r="R17" i="2"/>
  <c r="H14" i="53"/>
  <c r="O8" i="53" a="1"/>
  <c r="O8" i="53" s="1"/>
  <c r="G13" i="53"/>
  <c r="N9" i="53" a="1"/>
  <c r="N9" i="53" s="1"/>
  <c r="Q9" i="53" s="1"/>
  <c r="E18" i="8"/>
  <c r="E19" i="8" s="1"/>
  <c r="L47" i="46"/>
  <c r="M43" i="46" s="1"/>
  <c r="D18" i="45"/>
  <c r="E18" i="45"/>
  <c r="M52" i="46" l="1"/>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N54" i="46"/>
  <c r="O50" i="46" s="1"/>
  <c r="O52" i="46" s="1"/>
  <c r="O53" i="46" s="1"/>
  <c r="P19" i="2"/>
  <c r="Q19" i="2"/>
  <c r="M52" i="55"/>
  <c r="M53" i="55" s="1"/>
  <c r="L45" i="55"/>
  <c r="L46" i="55" s="1"/>
  <c r="O19" i="2"/>
  <c r="R19" i="2"/>
  <c r="G15" i="53"/>
  <c r="N7" i="53" a="1"/>
  <c r="N7" i="53" s="1"/>
  <c r="Q7" i="53" s="1"/>
  <c r="H16" i="53"/>
  <c r="O6" i="53" a="1"/>
  <c r="O6" i="53" s="1"/>
  <c r="M47" i="46"/>
  <c r="N43" i="46" s="1"/>
  <c r="D20" i="45"/>
  <c r="E20" i="45"/>
  <c r="E21" i="8"/>
  <c r="E22" i="8" s="1"/>
  <c r="O54" i="46" l="1"/>
  <c r="P50" i="46" s="1"/>
  <c r="P52" i="46" s="1"/>
  <c r="P53" i="46" s="1"/>
  <c r="P20" i="2"/>
  <c r="Q20" i="2"/>
  <c r="L47" i="55"/>
  <c r="M43" i="55" s="1"/>
  <c r="M54" i="55"/>
  <c r="N50" i="55" s="1"/>
  <c r="R20" i="2"/>
  <c r="O20" i="2"/>
  <c r="H17" i="53"/>
  <c r="O5" i="53" a="1"/>
  <c r="O5" i="53" s="1"/>
  <c r="G16" i="53"/>
  <c r="N6" i="53" a="1"/>
  <c r="N6" i="53" s="1"/>
  <c r="Q6" i="53" s="1"/>
  <c r="N45" i="46"/>
  <c r="N46" i="46" s="1"/>
  <c r="E21" i="45"/>
  <c r="D21" i="45"/>
  <c r="E23" i="8"/>
  <c r="E24" i="8" s="1"/>
  <c r="P21" i="2" l="1"/>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C13" i="56" l="1"/>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21" i="2"/>
  <c r="N7" i="2"/>
  <c r="N9" i="2"/>
  <c r="N35" i="2"/>
  <c r="D35" i="2" s="1"/>
  <c r="F35" i="2" s="1"/>
  <c r="L35" i="2" s="1"/>
  <c r="N4" i="2"/>
  <c r="N29" i="2"/>
  <c r="N15" i="2"/>
  <c r="N25" i="2"/>
  <c r="N33" i="2"/>
  <c r="D33" i="2" s="1"/>
  <c r="F33" i="2" s="1"/>
  <c r="L33" i="2" s="1"/>
  <c r="N14" i="2"/>
  <c r="N12" i="2"/>
  <c r="N37" i="2"/>
  <c r="D37" i="2" s="1"/>
  <c r="F37" i="2" s="1"/>
  <c r="L37" i="2" s="1"/>
  <c r="L32" i="56" s="1"/>
  <c r="N23" i="2"/>
  <c r="N20" i="2"/>
  <c r="N6" i="2"/>
  <c r="N31" i="2"/>
  <c r="N28" i="2"/>
  <c r="N10" i="2"/>
  <c r="N24" i="2"/>
  <c r="N8" i="2"/>
  <c r="BI2" i="56"/>
  <c r="N3" i="2" s="1"/>
  <c r="N36" i="2"/>
  <c r="D36" i="2" s="1"/>
  <c r="F36" i="2" s="1"/>
  <c r="L36" i="2" s="1"/>
  <c r="N16" i="2"/>
  <c r="N18" i="2"/>
  <c r="N11"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AA32" i="56" l="1"/>
  <c r="G32" i="56"/>
  <c r="S32" i="56"/>
  <c r="E32" i="56"/>
  <c r="Y32" i="56"/>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AV4" i="47" s="1"/>
  <c r="AV5" i="47" s="1"/>
  <c r="AV6" i="47" s="1"/>
  <c r="AV7"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P4" i="47"/>
  <c r="AS6" i="46"/>
  <c r="I4" i="47"/>
  <c r="AM4" i="47"/>
  <c r="D6" i="46"/>
  <c r="J6" i="46"/>
  <c r="E10" i="47" l="1"/>
  <c r="E9" i="47"/>
  <c r="K6" i="46"/>
  <c r="S4" i="47"/>
  <c r="S5" i="47" s="1"/>
  <c r="S6" i="47" s="1"/>
  <c r="S7" i="47" s="1"/>
  <c r="AN5" i="47"/>
  <c r="AN6" i="47" s="1"/>
  <c r="AN7" i="47" s="1"/>
  <c r="AN10" i="47" s="1"/>
  <c r="T4" i="47"/>
  <c r="T5" i="47" s="1"/>
  <c r="T6" i="47" s="1"/>
  <c r="T7" i="47" s="1"/>
  <c r="T10" i="47" s="1"/>
  <c r="AU6" i="46"/>
  <c r="AU7" i="46" s="1"/>
  <c r="AU8" i="46" s="1"/>
  <c r="F5" i="47"/>
  <c r="F6" i="47" s="1"/>
  <c r="F7" i="47" s="1"/>
  <c r="F9" i="47" s="1"/>
  <c r="AK5" i="47"/>
  <c r="AK6" i="47" s="1"/>
  <c r="AK7" i="47" s="1"/>
  <c r="AK10" i="47" s="1"/>
  <c r="T6" i="46"/>
  <c r="AB6" i="46"/>
  <c r="AM5" i="47"/>
  <c r="AM6" i="47" s="1"/>
  <c r="AM7" i="47" s="1"/>
  <c r="AM10" i="47" s="1"/>
  <c r="G5" i="47"/>
  <c r="G6" i="47" s="1"/>
  <c r="G7" i="47" s="1"/>
  <c r="T36" i="55"/>
  <c r="T37" i="55" s="1"/>
  <c r="L6" i="46"/>
  <c r="L7" i="46" s="1"/>
  <c r="L8" i="46" s="1"/>
  <c r="AI5" i="47"/>
  <c r="AI6" i="47" s="1"/>
  <c r="AI7" i="47" s="1"/>
  <c r="AI10" i="47" s="1"/>
  <c r="AH5" i="47"/>
  <c r="AH6" i="47" s="1"/>
  <c r="AH7" i="47" s="1"/>
  <c r="AH10" i="47" s="1"/>
  <c r="AQ6" i="46"/>
  <c r="Y6" i="46"/>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J10" i="47"/>
  <c r="AJ9" i="47"/>
  <c r="AB9" i="47"/>
  <c r="AB10" i="47"/>
  <c r="AV10" i="47"/>
  <c r="AV9" i="47"/>
  <c r="G10" i="47"/>
  <c r="G9" i="47"/>
  <c r="AI9" i="47"/>
  <c r="D7" i="46"/>
  <c r="D8" i="46" s="1"/>
  <c r="AJ7" i="46"/>
  <c r="AJ8" i="46" s="1"/>
  <c r="Z7" i="46"/>
  <c r="Z8" i="46" s="1"/>
  <c r="U7" i="46"/>
  <c r="U8" i="46" s="1"/>
  <c r="Y7" i="46"/>
  <c r="Y8" i="46" s="1"/>
  <c r="AA7" i="46"/>
  <c r="AA8" i="46" s="1"/>
  <c r="AC7" i="46"/>
  <c r="AC8" i="46" s="1"/>
  <c r="O7" i="46"/>
  <c r="O8" i="46" s="1"/>
  <c r="AS7" i="46"/>
  <c r="AS8" i="46" s="1"/>
  <c r="AB7" i="46"/>
  <c r="AB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F10" i="47" l="1"/>
  <c r="V9" i="47"/>
  <c r="AO9" i="47"/>
  <c r="AN9" i="47"/>
  <c r="AM9" i="47"/>
  <c r="T9" i="47"/>
  <c r="S9" i="47"/>
  <c r="S11" i="47" s="1"/>
  <c r="S10" i="47"/>
  <c r="AK9" i="47"/>
  <c r="AK12" i="47" s="1"/>
  <c r="E12" i="47"/>
  <c r="E11" i="47"/>
  <c r="E13" i="47"/>
  <c r="E14" i="47" s="1"/>
  <c r="E16" i="47" s="1"/>
  <c r="E17" i="47" s="1"/>
  <c r="AF10" i="47"/>
  <c r="Z10" i="47"/>
  <c r="X10" i="47"/>
  <c r="L9" i="47"/>
  <c r="L12" i="47" s="1"/>
  <c r="AH9" i="47"/>
  <c r="P10" i="47"/>
  <c r="H10" i="47"/>
  <c r="AA10" i="47"/>
  <c r="AY9" i="47"/>
  <c r="AY12" i="47" s="1"/>
  <c r="T38" i="55"/>
  <c r="U34" i="55" s="1"/>
  <c r="AS9" i="47"/>
  <c r="AS12"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Y11"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AH12" i="47"/>
  <c r="AH11" i="47"/>
  <c r="AE12" i="47"/>
  <c r="AF11" i="47"/>
  <c r="AF12" i="47"/>
  <c r="AS11" i="47"/>
  <c r="H12" i="47"/>
  <c r="H11" i="47"/>
  <c r="AO11" i="47"/>
  <c r="AO12" i="47"/>
  <c r="AK11" i="47"/>
  <c r="T12" i="47"/>
  <c r="T11" i="47"/>
  <c r="R11" i="47"/>
  <c r="R12" i="47"/>
  <c r="AA12" i="47"/>
  <c r="AA11" i="47"/>
  <c r="Z12" i="47"/>
  <c r="Z11" i="47"/>
  <c r="AU11" i="47" l="1"/>
  <c r="S12" i="47"/>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V38" i="55"/>
  <c r="W34"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W36" i="55" l="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K54" i="55"/>
  <c r="AL50"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s="1"/>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5" i="47"/>
  <c r="U27" i="47"/>
  <c r="AA26" i="47"/>
  <c r="X26" i="47"/>
  <c r="X27" i="47" l="1"/>
  <c r="J25" i="47"/>
  <c r="E27" i="47"/>
  <c r="E25" i="47"/>
  <c r="E26" i="47"/>
  <c r="W26" i="47"/>
  <c r="I27" i="47"/>
  <c r="W27" i="47"/>
  <c r="H27" i="47"/>
  <c r="AA25" i="47"/>
  <c r="I25" i="47"/>
  <c r="F25" i="47"/>
  <c r="G27" i="47"/>
  <c r="R27" i="47"/>
  <c r="H25" i="47"/>
  <c r="H28" i="47" s="1"/>
  <c r="H29" i="47" s="1"/>
  <c r="H31" i="47" s="1"/>
  <c r="H33" i="47" s="1"/>
  <c r="H34" i="47" s="1"/>
  <c r="H35" i="47" s="1"/>
  <c r="L25" i="47"/>
  <c r="L28" i="47" s="1"/>
  <c r="L29" i="47" s="1"/>
  <c r="L31" i="47" s="1"/>
  <c r="L33" i="47" s="1"/>
  <c r="L34" i="47" s="1"/>
  <c r="L35" i="47" s="1"/>
  <c r="N25" i="47"/>
  <c r="N26" i="47"/>
  <c r="L27" i="47"/>
  <c r="AB25" i="47"/>
  <c r="F26" i="47"/>
  <c r="F28" i="47" s="1"/>
  <c r="F29" i="47" s="1"/>
  <c r="F31" i="47" s="1"/>
  <c r="F33" i="47" s="1"/>
  <c r="F34" i="47" s="1"/>
  <c r="F35" i="47" s="1"/>
  <c r="J27" i="47"/>
  <c r="J28" i="47" s="1"/>
  <c r="J29" i="47" s="1"/>
  <c r="J31" i="47" s="1"/>
  <c r="J33" i="47" s="1"/>
  <c r="J34" i="47" s="1"/>
  <c r="J35" i="47" s="1"/>
  <c r="AB26" i="47"/>
  <c r="AB28" i="47" s="1"/>
  <c r="AB29" i="47" s="1"/>
  <c r="AB31" i="47" s="1"/>
  <c r="AB33" i="47" s="1"/>
  <c r="AB34" i="47" s="1"/>
  <c r="AB35" i="47" s="1"/>
  <c r="P25" i="47"/>
  <c r="T26" i="47"/>
  <c r="Z26" i="47"/>
  <c r="Z25" i="47"/>
  <c r="AC25" i="47"/>
  <c r="K25" i="47"/>
  <c r="P26" i="47"/>
  <c r="G26" i="47"/>
  <c r="G28" i="47" s="1"/>
  <c r="G29" i="47" s="1"/>
  <c r="G31" i="47" s="1"/>
  <c r="G33" i="47" s="1"/>
  <c r="G34" i="47" s="1"/>
  <c r="G35" i="47" s="1"/>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Z28" i="47"/>
  <c r="Z29" i="47" s="1"/>
  <c r="Z31" i="47" s="1"/>
  <c r="Z33" i="47" s="1"/>
  <c r="Z34" i="47" s="1"/>
  <c r="Z35" i="47" s="1"/>
  <c r="W28" i="47" l="1"/>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<sst xmlns="http://schemas.openxmlformats.org/spreadsheetml/2006/main" count="1524" uniqueCount="278">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</sst>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
      <c r="BI36" s="2">
        <v>62186.176871495067</v>
      </c>
    </row>
    <row r="37" spans="4:61" x14ac:dyDescent="0.2">
      <c r="D37" s="2" t="s">
        <v>205</v>
      </c>
      <c r="E37" s="27">
        <f>SUM(E35:AC35)</f>
        <v>4212659.3152651591</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
      <c r="BI36" s="2">
        <v>40312.325467751049</v>
      </c>
    </row>
    <row r="37" spans="4:61" x14ac:dyDescent="0.2">
      <c r="D37" s="2" t="s">
        <v>205</v>
      </c>
      <c r="E37" s="27">
        <f>SUM(E35:AC35)</f>
        <v>1864268.0513442026</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Y</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Y</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Y</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1864268.0513442026</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4212659.3152651591</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tabSelected="1" zoomScaleNormal="100" workbookViewId="0">
      <selection activeCell="B4" sqref="B4"/>
    </sheetView>
  </sheetViews>
  <sheetFormatPr baseColWidth="10" defaultColWidth="8.83203125" defaultRowHeight="15" x14ac:dyDescent="0.2"/>
  <cols>
    <col min="1" max="1" width="3.1640625" bestFit="1" customWidth="1"/>
    <col min="2" max="2" width="10.33203125" bestFit="1" customWidth="1"/>
    <col min="3" max="13" width="12.1640625" bestFit="1" customWidth="1"/>
    <col min="14" max="14" width="11.1640625" bestFit="1" customWidth="1"/>
    <col min="15" max="46" width="12.1640625" bestFit="1" customWidth="1"/>
    <col min="47" max="47" width="11.1640625" bestFit="1" customWidth="1"/>
    <col min="48" max="52" width="12.1640625" bestFit="1" customWidth="1"/>
    <col min="53" max="53" width="4.6640625"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9">
        <v>0</v>
      </c>
      <c r="C2" s="69" cm="1">
        <f t="array" ref="C2:BA2">TRANSPOSE(TableIncome[InvestmentP1])</f>
        <v>56593.714673317649</v>
      </c>
      <c r="D2" s="69">
        <v>57167.434411058835</v>
      </c>
      <c r="E2" s="69">
        <v>60064.719086651763</v>
      </c>
      <c r="F2" s="69">
        <v>60673.148868526288</v>
      </c>
      <c r="G2" s="69">
        <v>61287.662948219528</v>
      </c>
      <c r="H2" s="69">
        <v>61908.322168709739</v>
      </c>
      <c r="I2" s="69">
        <v>65042.651232185242</v>
      </c>
      <c r="J2" s="69">
        <v>65700.860335515099</v>
      </c>
      <c r="K2" s="69">
        <v>66365.651529878247</v>
      </c>
      <c r="L2" s="69">
        <v>67037.090636185021</v>
      </c>
      <c r="M2" s="69">
        <v>70427.858123034268</v>
      </c>
      <c r="N2" s="69">
        <v>71139.91929527263</v>
      </c>
      <c r="O2" s="69">
        <v>71859.10107923334</v>
      </c>
      <c r="P2" s="69">
        <v>75490.969088235011</v>
      </c>
      <c r="Q2" s="69">
        <v>76253.661370125366</v>
      </c>
      <c r="R2" s="69">
        <v>77023.980574834641</v>
      </c>
      <c r="S2" s="69">
        <v>77802.002971590977</v>
      </c>
      <c r="T2" s="69">
        <v>78587.805592314908</v>
      </c>
      <c r="U2" s="69">
        <v>82556.108826970623</v>
      </c>
      <c r="V2" s="69">
        <v>83389.452506248359</v>
      </c>
      <c r="W2" s="69">
        <v>84120.374513019226</v>
      </c>
      <c r="X2" s="69">
        <v>84768.032961157413</v>
      </c>
      <c r="Y2" s="69">
        <v>88038.708124255296</v>
      </c>
      <c r="Z2" s="69">
        <v>88725.549908505855</v>
      </c>
      <c r="AA2" s="69">
        <v>89419.260110598902</v>
      </c>
      <c r="AB2" s="69">
        <v>90119.907414712899</v>
      </c>
      <c r="AC2" s="69">
        <v>90827.561191868037</v>
      </c>
      <c r="AD2" s="69">
        <v>91542.291506794703</v>
      </c>
      <c r="AE2" s="69">
        <v>92264.169124870663</v>
      </c>
      <c r="AF2" s="69">
        <v>92993.265519127366</v>
      </c>
      <c r="AG2" s="69">
        <v>93729.652877326647</v>
      </c>
      <c r="AH2" s="69">
        <v>94473.404109107913</v>
      </c>
      <c r="AI2" s="69">
        <v>95224.592853206981</v>
      </c>
      <c r="AJ2" s="69">
        <v>95983.293484747046</v>
      </c>
      <c r="AK2" s="69">
        <v>96749.581122602525</v>
      </c>
      <c r="AL2" s="69">
        <v>100619.33369377267</v>
      </c>
      <c r="AM2" s="69">
        <v>101431.98173371838</v>
      </c>
      <c r="AN2" s="69">
        <v>102252.75625406356</v>
      </c>
      <c r="AO2" s="69">
        <v>103081.73851961219</v>
      </c>
      <c r="AP2" s="69">
        <v>103919.01060781631</v>
      </c>
      <c r="AQ2" s="69">
        <v>104764.65541690249</v>
      </c>
      <c r="AR2" s="69">
        <v>105618.75667407952</v>
      </c>
      <c r="AS2" s="69">
        <v>106481.3989438283</v>
      </c>
      <c r="AT2" s="69">
        <v>107352.66763627459</v>
      </c>
      <c r="AU2" s="69">
        <v>108232.64901564532</v>
      </c>
      <c r="AV2" s="69">
        <v>109121.43020880978</v>
      </c>
      <c r="AW2" s="69">
        <v>110019.09921390587</v>
      </c>
      <c r="AX2" s="69">
        <v>110925.74490905293</v>
      </c>
      <c r="AY2" s="69">
        <v>111841.45706115146</v>
      </c>
      <c r="AZ2" s="69">
        <v>112766.32633477099</v>
      </c>
      <c r="BA2" s="31">
        <v>0</v>
      </c>
    </row>
    <row r="3" spans="1:53" x14ac:dyDescent="0.2">
      <c r="A3" s="67" t="s">
        <v>74</v>
      </c>
      <c r="B3" s="69">
        <f>200000*(1+25%)</f>
        <v>250000</v>
      </c>
      <c r="C3" s="69" cm="1">
        <f t="array" ref="C3:BA3">TRANSPOSE(TableIncome[InvestmentP2])</f>
        <v>92712.807858084721</v>
      </c>
      <c r="D3" s="69">
        <v>93446.390639673569</v>
      </c>
      <c r="E3" s="69">
        <v>97150.983686697262</v>
      </c>
      <c r="F3" s="69">
        <v>97928.948226572233</v>
      </c>
      <c r="G3" s="69">
        <v>98714.692411845928</v>
      </c>
      <c r="H3" s="69">
        <v>99508.294038972381</v>
      </c>
      <c r="I3" s="69">
        <v>103515.982255961</v>
      </c>
      <c r="J3" s="69">
        <v>104357.59678152861</v>
      </c>
      <c r="K3" s="69">
        <v>105207.62745235191</v>
      </c>
      <c r="L3" s="69">
        <v>106066.15842988342</v>
      </c>
      <c r="M3" s="69">
        <v>110401.7398664176</v>
      </c>
      <c r="N3" s="69">
        <v>111312.21196808979</v>
      </c>
      <c r="O3" s="69">
        <v>112231.78879077868</v>
      </c>
      <c r="P3" s="69">
        <v>116875.65174535762</v>
      </c>
      <c r="Q3" s="69">
        <v>117850.86296581919</v>
      </c>
      <c r="R3" s="69">
        <v>118835.82629848538</v>
      </c>
      <c r="S3" s="69">
        <v>119830.63926447822</v>
      </c>
      <c r="T3" s="69">
        <v>120835.40036013104</v>
      </c>
      <c r="U3" s="69">
        <v>125909.44389317758</v>
      </c>
      <c r="V3" s="69">
        <v>126974.99303511735</v>
      </c>
      <c r="W3" s="69">
        <v>128051.19766847655</v>
      </c>
      <c r="X3" s="69">
        <v>129138.16434816933</v>
      </c>
      <c r="Y3" s="69">
        <v>134627.34608061778</v>
      </c>
      <c r="Z3" s="69">
        <v>135780.07424443195</v>
      </c>
      <c r="AA3" s="69">
        <v>136944.3296898843</v>
      </c>
      <c r="AB3" s="69">
        <v>138120.22768979112</v>
      </c>
      <c r="AC3" s="69">
        <v>139307.88466969706</v>
      </c>
      <c r="AD3" s="69">
        <v>140507.41821940202</v>
      </c>
      <c r="AE3" s="69">
        <v>141718.94710460404</v>
      </c>
      <c r="AF3" s="69">
        <v>142942.5912786581</v>
      </c>
      <c r="AG3" s="69">
        <v>144178.47189445267</v>
      </c>
      <c r="AH3" s="69">
        <v>145426.71131640518</v>
      </c>
      <c r="AI3" s="69">
        <v>146687.43313257728</v>
      </c>
      <c r="AJ3" s="69">
        <v>147960.76216691101</v>
      </c>
      <c r="AK3" s="69">
        <v>149246.82449158817</v>
      </c>
      <c r="AL3" s="69">
        <v>0</v>
      </c>
      <c r="AM3" s="69">
        <v>0</v>
      </c>
      <c r="AN3" s="69">
        <v>0</v>
      </c>
      <c r="AO3" s="69">
        <v>0</v>
      </c>
      <c r="AP3" s="69">
        <v>0</v>
      </c>
      <c r="AQ3" s="69">
        <v>0</v>
      </c>
      <c r="AR3" s="69">
        <v>0</v>
      </c>
      <c r="AS3" s="69">
        <v>0</v>
      </c>
      <c r="AT3" s="69">
        <v>0</v>
      </c>
      <c r="AU3" s="69">
        <v>0</v>
      </c>
      <c r="AV3" s="69">
        <v>0</v>
      </c>
      <c r="AW3" s="69">
        <v>0</v>
      </c>
      <c r="AX3" s="69">
        <v>0</v>
      </c>
      <c r="AY3" s="69">
        <v>0</v>
      </c>
      <c r="AZ3" s="69">
        <v>0</v>
      </c>
      <c r="BA3" s="31">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E06E7C1-9404-4A4A-B964-A85FD9F3B2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2025-05-07T08:10:06Z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