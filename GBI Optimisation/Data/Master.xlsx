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E94CAB1C-D4EB-4C71-92AF-2B1532BE9EA9}" xr6:coauthVersionLast="47" xr6:coauthVersionMax="47" xr10:uidLastSave="{00000000-0000-0000-0000-000000000000}"/>
  <bookViews>
    <workbookView xWindow="-110" yWindow="-110" windowWidth="19420" windowHeight="10300" firstSheet="2" activeTab="2" xr2:uid="{31CD02D4-91DC-4A3F-AC52-23F22D133229}"/>
  </bookViews>
  <sheets>
    <sheet name="Index" sheetId="7" r:id="rId1"/>
    <sheet name="Loop" sheetId="1" r:id="rId2"/>
    <sheet name="GBI Allocations P1" sheetId="26" r:id="rId3"/>
    <sheet name="GBI Goals P1" sheetId="27" r:id="rId4"/>
    <sheet name="GBI Allocations P2" sheetId="28" r:id="rId5"/>
    <sheet name="notes next time talk" sheetId="18" state="hidden" r:id="rId6"/>
    <sheet name="GBI Goals P2" sheetId="29" r:id="rId7"/>
    <sheet name="Returns2" sheetId="23" r:id="rId8"/>
    <sheet name="Returns" sheetId="21" r:id="rId9"/>
    <sheet name="Volatilities2" sheetId="24" r:id="rId10"/>
    <sheet name="Volatilities" sheetId="20" r:id="rId11"/>
    <sheet name="Correlation" sheetId="22" r:id="rId12"/>
    <sheet name="Correlation2" sheetId="25" r:id="rId13"/>
    <sheet name="Goals" sheetId="10" r:id="rId14"/>
    <sheet name="Income" sheetId="2" r:id="rId15"/>
    <sheet name="Job Hopping" sheetId="8" r:id="rId16"/>
    <sheet name="Djøf Finance Workers" sheetId="5" r:id="rId17"/>
    <sheet name="Djøf Finance Hoppers" sheetId="6" r:id="rId18"/>
  </sheets>
  <externalReferences>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25" l="1" a="1"/>
  <c r="B1" i="25" s="1"/>
  <c r="J54" i="18"/>
  <c r="K54" i="18"/>
  <c r="L54" i="18"/>
  <c r="M54" i="18"/>
  <c r="N54" i="18"/>
  <c r="O54" i="18"/>
  <c r="P54" i="18"/>
  <c r="Q54" i="18"/>
  <c r="R54" i="18"/>
  <c r="S54" i="18"/>
  <c r="I46" i="18"/>
  <c r="H46" i="18"/>
  <c r="D3" i="2"/>
  <c r="F3" i="2" s="1"/>
  <c r="C3" i="2"/>
  <c r="E3" i="2" s="1"/>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P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O3" i="2"/>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O96" i="8" l="1"/>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Q53" i="8" l="1"/>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N7" i="2" l="1"/>
  <c r="D6" i="2"/>
  <c r="F6" i="2" s="1"/>
  <c r="C8" i="2"/>
  <c r="E8" i="2" s="1"/>
  <c r="E5" i="8"/>
  <c r="N8" i="2" l="1"/>
  <c r="D7" i="2"/>
  <c r="F7" i="2" s="1"/>
  <c r="C9" i="2"/>
  <c r="E9" i="2" s="1"/>
  <c r="E6" i="8"/>
  <c r="E7" i="8" s="1"/>
  <c r="N9" i="2" l="1"/>
  <c r="D8" i="2"/>
  <c r="F8" i="2" s="1"/>
  <c r="C10" i="2"/>
  <c r="E10" i="2" s="1"/>
  <c r="E8" i="8"/>
  <c r="E9" i="8" s="1"/>
  <c r="N10" i="2" l="1"/>
  <c r="D9" i="2"/>
  <c r="F9" i="2" s="1"/>
  <c r="C11" i="2"/>
  <c r="E11" i="2" s="1"/>
  <c r="E10" i="8"/>
  <c r="E11" i="8" s="1"/>
  <c r="N11" i="2" l="1"/>
  <c r="D10" i="2"/>
  <c r="F10" i="2"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C34" i="2" l="1"/>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<sst xmlns="http://schemas.openxmlformats.org/spreadsheetml/2006/main" count="1272" uniqueCount="173">
  <si>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</si>
  <si>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</si>
  <si>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</si>
  <si>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</si>
  <si>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</si>
  <si>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</si>
  <si>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</si>
  <si>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</si>
  <si>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</si>
  <si>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</si>
  <si>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</si>
  <si>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</si>
  <si>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</si>
  <si>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</si>
  <si>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</si>
  <si>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</si>
  <si>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</si>
  <si>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</si>
  <si>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</si>
  <si>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</si>
  <si>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</si>
  <si>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</si>
  <si>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</si>
  <si>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</si>
  <si>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</si>
  <si>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</si>
  <si>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</si>
  <si>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</si>
  <si>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</si>
  <si>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</si>
  <si>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</si>
  <si>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</si>
  <si>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</si>
  <si>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</si>
  <si>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</si>
  <si>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</si>
  <si>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</si>
  <si>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</si>
  <si>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</si>
  <si>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</si>
  <si>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</si>
  <si>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</si>
  <si>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</si>
  <si>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</si>
  <si>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</si>
  <si>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</si>
  <si>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</si>
  <si>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</si>
  <si>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</si>
  <si>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</si>
  <si>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</si>
  <si>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</si>
  <si>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</si>
  <si>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</si>
  <si>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</si>
  <si>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</si>
  <si>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</si>
  <si>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</si>
  <si>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</si>
  <si>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</si>
  <si>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</si>
  <si>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</si>
  <si>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</si>
  <si>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</si>
  <si>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</si>
  <si>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</si>
  <si>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</si>
  <si>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</si>
  <si>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</si>
  <si>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</si>
  <si>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</si>
  <si>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</si>
  <si>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</si>
  <si>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</si>
  <si>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</si>
  <si>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</si>
  <si>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</si>
  <si>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</si>
  <si>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</si>
  <si>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</si>
  <si>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</si>
  <si>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</si>
  <si>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</si>
  <si>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</si>
  <si>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</si>
  <si>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</si>
  <si>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</si>
  <si>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</si>
  <si>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</si>
  <si>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</si>
  <si>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</si>
  <si>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</si>
  <si>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</si>
  <si>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</si>
  <si>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</si>
  <si>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</si>
  <si>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</si>
  <si>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</si>
  <si>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</si>
  <si>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</si>
  <si>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</si>
  <si>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</si>
  <si>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</si>
  <si>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</si>
  <si>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</si>
  <si>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</si>
  <si>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</si>
  <si>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</si>
  <si>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</si>
  <si>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</si>
  <si>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</si>
  <si>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</si>
  <si>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</si>
  <si>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</si>
  <si>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</si>
  <si>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</si>
  <si>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</si>
  <si>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</si>
  <si>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</si>
  <si>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</si>
  <si>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</si>
  <si>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</si>
  <si>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</si>
  <si>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</si>
  <si>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</si>
  <si>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</si>
  <si>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</si>
  <si>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</si>
  <si>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</si>
  <si>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</si>
  <si>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</si>
  <si>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</si>
  <si>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</si>
  <si>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</si>
  <si>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</si>
  <si>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</si>
  <si>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</si>
  <si>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</si>
  <si>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</si>
  <si>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</si>
  <si>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</si>
  <si>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</si>
  <si>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</si>
  <si>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</si>
  <si>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</si>
  <si>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</si>
  <si>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</si>
  <si>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</si>
  <si>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</si>
  <si>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</si>
  <si>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</si>
  <si>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</si>
  <si>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</si>
  <si>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</si>
  <si>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</si>
  <si>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</si>
  <si>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</si>
  <si>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</si>
  <si>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</si>
  <si>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</si>
  <si>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</si>
  <si>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</si>
  <si>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</si>
  <si>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Small Cap</t>
  </si>
  <si>
    <t>US Agg Bond</t>
  </si>
  <si>
    <t>Gold</t>
  </si>
  <si>
    <t>Private Equity</t>
  </si>
  <si>
    <t>Venture Capital</t>
  </si>
  <si>
    <t>Angel Venture</t>
  </si>
  <si>
    <t>A</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</si>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</sst>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9">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33">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10" fontId="0" fillId="0" borderId="0" xfId="0" applyNumberFormat="1"/>
    <xf numFmtId="164" fontId="0" fillId="0" borderId="0" xfId="0" applyNumberFormat="1"/>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7" fillId="2" borderId="0" xfId="0" applyFont="1" applyFill="1" applyAlignment="1">
      <alignment horizontal="center" vertical="center"/>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8.xml"/><Relationship Id="rId39" Type="http://schemas.openxmlformats.org/officeDocument/2006/relationships/externalLink" Target="externalLinks/externalLink21.xml"/><Relationship Id="rId21" Type="http://schemas.openxmlformats.org/officeDocument/2006/relationships/externalLink" Target="externalLinks/externalLink3.xml"/><Relationship Id="rId34" Type="http://schemas.openxmlformats.org/officeDocument/2006/relationships/externalLink" Target="externalLinks/externalLink16.xml"/><Relationship Id="rId42" Type="http://schemas.openxmlformats.org/officeDocument/2006/relationships/externalLink" Target="externalLinks/externalLink24.xml"/><Relationship Id="rId47" Type="http://schemas.openxmlformats.org/officeDocument/2006/relationships/externalLink" Target="externalLinks/externalLink29.xml"/><Relationship Id="rId50" Type="http://schemas.openxmlformats.org/officeDocument/2006/relationships/externalLink" Target="externalLinks/externalLink32.xml"/><Relationship Id="rId55" Type="http://schemas.openxmlformats.org/officeDocument/2006/relationships/theme" Target="theme/theme1.xml"/><Relationship Id="rId63"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1.xml"/><Relationship Id="rId11" Type="http://schemas.openxmlformats.org/officeDocument/2006/relationships/worksheet" Target="worksheets/sheet11.xml"/><Relationship Id="rId24" Type="http://schemas.openxmlformats.org/officeDocument/2006/relationships/externalLink" Target="externalLinks/externalLink6.xml"/><Relationship Id="rId32" Type="http://schemas.openxmlformats.org/officeDocument/2006/relationships/externalLink" Target="externalLinks/externalLink14.xml"/><Relationship Id="rId37" Type="http://schemas.openxmlformats.org/officeDocument/2006/relationships/externalLink" Target="externalLinks/externalLink19.xml"/><Relationship Id="rId40" Type="http://schemas.openxmlformats.org/officeDocument/2006/relationships/externalLink" Target="externalLinks/externalLink22.xml"/><Relationship Id="rId45" Type="http://schemas.openxmlformats.org/officeDocument/2006/relationships/externalLink" Target="externalLinks/externalLink27.xml"/><Relationship Id="rId53" Type="http://schemas.openxmlformats.org/officeDocument/2006/relationships/externalLink" Target="externalLinks/externalLink35.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externalLink" Target="externalLinks/externalLink1.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externalLink" Target="externalLinks/externalLink9.xml"/><Relationship Id="rId30" Type="http://schemas.openxmlformats.org/officeDocument/2006/relationships/externalLink" Target="externalLinks/externalLink12.xml"/><Relationship Id="rId35" Type="http://schemas.openxmlformats.org/officeDocument/2006/relationships/externalLink" Target="externalLinks/externalLink17.xml"/><Relationship Id="rId43" Type="http://schemas.openxmlformats.org/officeDocument/2006/relationships/externalLink" Target="externalLinks/externalLink25.xml"/><Relationship Id="rId48" Type="http://schemas.openxmlformats.org/officeDocument/2006/relationships/externalLink" Target="externalLinks/externalLink30.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3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7.xml"/><Relationship Id="rId33" Type="http://schemas.openxmlformats.org/officeDocument/2006/relationships/externalLink" Target="externalLinks/externalLink15.xml"/><Relationship Id="rId38" Type="http://schemas.openxmlformats.org/officeDocument/2006/relationships/externalLink" Target="externalLinks/externalLink20.xml"/><Relationship Id="rId46" Type="http://schemas.openxmlformats.org/officeDocument/2006/relationships/externalLink" Target="externalLinks/externalLink28.xml"/><Relationship Id="rId59" Type="http://schemas.openxmlformats.org/officeDocument/2006/relationships/calcChain" Target="calcChain.xml"/><Relationship Id="rId20" Type="http://schemas.openxmlformats.org/officeDocument/2006/relationships/externalLink" Target="externalLinks/externalLink2.xml"/><Relationship Id="rId41" Type="http://schemas.openxmlformats.org/officeDocument/2006/relationships/externalLink" Target="externalLinks/externalLink23.xml"/><Relationship Id="rId54" Type="http://schemas.openxmlformats.org/officeDocument/2006/relationships/externalLink" Target="externalLinks/externalLink36.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5.xml"/><Relationship Id="rId28" Type="http://schemas.openxmlformats.org/officeDocument/2006/relationships/externalLink" Target="externalLinks/externalLink10.xml"/><Relationship Id="rId36" Type="http://schemas.openxmlformats.org/officeDocument/2006/relationships/externalLink" Target="externalLinks/externalLink18.xml"/><Relationship Id="rId49" Type="http://schemas.openxmlformats.org/officeDocument/2006/relationships/externalLink" Target="externalLinks/externalLink31.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externalLink" Target="externalLinks/externalLink13.xml"/><Relationship Id="rId44" Type="http://schemas.openxmlformats.org/officeDocument/2006/relationships/externalLink" Target="externalLinks/externalLink26.xml"/><Relationship Id="rId52" Type="http://schemas.openxmlformats.org/officeDocument/2006/relationships/externalLink" Target="externalLinks/externalLink34.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381000</xdr:colOff>
      <xdr:row>0</xdr:row>
      <xdr:rowOff>152400</xdr:rowOff>
    </xdr:from>
    <xdr:to>
      <xdr:col>19</xdr:col>
      <xdr:colOff>304800</xdr:colOff>
      <xdr:row>13</xdr:row>
      <xdr:rowOff>161925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5810250" y="152400"/>
          <a:ext cx="6896100" cy="2486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52" dataDxfId="51">
  <autoFilter ref="B2:F53" xr:uid="{FCF7B272-2B0E-4976-9393-E73F3487686E}"/>
  <tableColumns count="5">
    <tableColumn id="1" xr3:uid="{1C47A566-8CA0-498F-9373-FD3CF377EAB3}" name="N" dataDxfId="50"/>
    <tableColumn id="2" xr3:uid="{CDD5D904-D3D0-4E9B-89C8-61F4141B77FC}" name="Year" dataDxfId="49"/>
    <tableColumn id="3" xr3:uid="{3294EF53-9541-4FD2-A3C4-3CCF4CC8E18A}" name="AgeP1" dataDxfId="48">
      <calculatedColumnFormula>D2+1</calculatedColumnFormula>
    </tableColumn>
    <tableColumn id="4" xr3:uid="{27918B9D-DBDA-40FF-A6EC-6456F91F4DED}" name="AgeP2" dataDxfId="47">
      <calculatedColumnFormula>E2+1</calculatedColumnFormula>
    </tableColumn>
    <tableColumn id="5" xr3:uid="{3DF041D1-2FEE-456F-8F08-5A0165B3999F}"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45" dataDxfId="44">
  <autoFilter ref="B2:F5" xr:uid="{E6188FC4-483E-4C27-BFF6-3D5A9BEC7A02}"/>
  <tableColumns count="5">
    <tableColumn id="1" xr3:uid="{B2C6C0FB-6BCC-4A61-B677-3B10161A53EF}" name="Goal Info" dataDxfId="43"/>
    <tableColumn id="2" xr3:uid="{C536957A-8C0E-4218-9336-E98D68589B96}" name="GOAL A" dataDxfId="42"/>
    <tableColumn id="3" xr3:uid="{119B5EE3-3581-4D04-BB55-BCC2E702193C}" name="GOAL B" dataDxfId="41"/>
    <tableColumn id="4" xr3:uid="{6D7BF2C5-D2EB-4CDD-A1E3-639A94B04FB3}" name="GOAL C" dataDxfId="40"/>
    <tableColumn id="5" xr3:uid="{FC141F07-39CA-4E36-BE88-AE8259A28409}" name="GOAL D" dataDxfId="39"/>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8" dataDxfId="37">
  <autoFilter ref="B7:F10" xr:uid="{06296D22-18E1-44D3-A59A-E5E6D672089D}"/>
  <tableColumns count="5">
    <tableColumn id="1" xr3:uid="{B3C79FB9-971E-4621-BADB-62E0B6C842D7}" name="Goal Info" dataDxfId="36"/>
    <tableColumn id="2" xr3:uid="{08F0C2B6-02D7-4431-924D-D9E7C41049B7}" name="GOAL A" dataDxfId="35"/>
    <tableColumn id="3" xr3:uid="{7D5C117D-0D45-489D-81E8-DBEB6FE69CF3}" name="GOAL B" dataDxfId="34"/>
    <tableColumn id="4" xr3:uid="{900DE77F-2D16-4E30-8E7F-638FF98F2CDB}" name="GOAL C" dataDxfId="33"/>
    <tableColumn id="5" xr3:uid="{B0C50B12-C738-4419-9074-3A1A9E37C8AC}" name="GOAL D" dataDxfId="3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workbookViewId="0">
      <selection activeCell="F5" sqref="F5"/>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64</v>
      </c>
    </row>
    <row r="5" spans="2:6" x14ac:dyDescent="0.35">
      <c r="B5" s="2">
        <v>3</v>
      </c>
      <c r="C5" s="2">
        <v>2027</v>
      </c>
      <c r="D5" s="2">
        <f t="shared" ref="D5:D16" si="0">D4+1</f>
        <v>27</v>
      </c>
      <c r="E5" s="2">
        <f t="shared" ref="E5:E16" si="1">E4+1</f>
        <v>42</v>
      </c>
      <c r="F5" s="2" t="s">
        <v>64</v>
      </c>
    </row>
    <row r="6" spans="2:6" x14ac:dyDescent="0.35">
      <c r="B6" s="2">
        <v>4</v>
      </c>
      <c r="C6" s="2">
        <v>2028</v>
      </c>
      <c r="D6" s="2">
        <f t="shared" si="0"/>
        <v>28</v>
      </c>
      <c r="E6" s="2">
        <f t="shared" si="1"/>
        <v>43</v>
      </c>
      <c r="F6" s="2" t="s">
        <v>64</v>
      </c>
    </row>
    <row r="7" spans="2:6" x14ac:dyDescent="0.35">
      <c r="B7" s="2">
        <v>5</v>
      </c>
      <c r="C7" s="2">
        <v>2029</v>
      </c>
      <c r="D7" s="2">
        <f t="shared" si="0"/>
        <v>29</v>
      </c>
      <c r="E7" s="2">
        <f t="shared" si="1"/>
        <v>44</v>
      </c>
      <c r="F7" s="2" t="s">
        <v>64</v>
      </c>
    </row>
    <row r="8" spans="2:6" x14ac:dyDescent="0.35">
      <c r="B8" s="2">
        <v>6</v>
      </c>
      <c r="C8" s="2">
        <v>2030</v>
      </c>
      <c r="D8" s="2">
        <f t="shared" si="0"/>
        <v>30</v>
      </c>
      <c r="E8" s="2">
        <f t="shared" si="1"/>
        <v>45</v>
      </c>
      <c r="F8" s="2" t="s">
        <v>64</v>
      </c>
    </row>
    <row r="9" spans="2:6" x14ac:dyDescent="0.35">
      <c r="B9" s="2">
        <v>7</v>
      </c>
      <c r="C9" s="2">
        <v>2031</v>
      </c>
      <c r="D9" s="2">
        <f t="shared" si="0"/>
        <v>31</v>
      </c>
      <c r="E9" s="2">
        <f t="shared" si="1"/>
        <v>46</v>
      </c>
      <c r="F9" s="2" t="s">
        <v>64</v>
      </c>
    </row>
    <row r="10" spans="2:6" x14ac:dyDescent="0.35">
      <c r="B10" s="2">
        <v>8</v>
      </c>
      <c r="C10" s="2">
        <v>2032</v>
      </c>
      <c r="D10" s="2">
        <f t="shared" si="0"/>
        <v>32</v>
      </c>
      <c r="E10" s="2">
        <f t="shared" si="1"/>
        <v>47</v>
      </c>
      <c r="F10" s="2" t="s">
        <v>64</v>
      </c>
    </row>
    <row r="11" spans="2:6" x14ac:dyDescent="0.35">
      <c r="B11" s="2">
        <v>9</v>
      </c>
      <c r="C11" s="2">
        <v>2033</v>
      </c>
      <c r="D11" s="2">
        <f t="shared" si="0"/>
        <v>33</v>
      </c>
      <c r="E11" s="2">
        <f t="shared" si="1"/>
        <v>48</v>
      </c>
      <c r="F11" s="2" t="s">
        <v>0</v>
      </c>
    </row>
    <row r="12" spans="2:6" x14ac:dyDescent="0.35">
      <c r="B12" s="2">
        <v>10</v>
      </c>
      <c r="C12" s="2">
        <v>2034</v>
      </c>
      <c r="D12" s="2">
        <f t="shared" si="0"/>
        <v>34</v>
      </c>
      <c r="E12" s="2">
        <f t="shared" si="1"/>
        <v>49</v>
      </c>
      <c r="F12" s="2" t="s">
        <v>0</v>
      </c>
    </row>
    <row r="13" spans="2:6" x14ac:dyDescent="0.35">
      <c r="B13" s="2">
        <v>11</v>
      </c>
      <c r="C13" s="2">
        <v>2035</v>
      </c>
      <c r="D13" s="2">
        <f t="shared" si="0"/>
        <v>35</v>
      </c>
      <c r="E13" s="2">
        <f t="shared" si="1"/>
        <v>50</v>
      </c>
      <c r="F13" s="2" t="s">
        <v>0</v>
      </c>
    </row>
    <row r="14" spans="2:6" x14ac:dyDescent="0.35">
      <c r="B14" s="2">
        <v>12</v>
      </c>
      <c r="C14" s="2">
        <v>2036</v>
      </c>
      <c r="D14" s="2">
        <f t="shared" si="0"/>
        <v>36</v>
      </c>
      <c r="E14" s="2">
        <f t="shared" si="1"/>
        <v>51</v>
      </c>
      <c r="F14" s="2" t="s">
        <v>0</v>
      </c>
    </row>
    <row r="15" spans="2:6" x14ac:dyDescent="0.35">
      <c r="B15" s="2">
        <v>13</v>
      </c>
      <c r="C15" s="2">
        <v>2037</v>
      </c>
      <c r="D15" s="2">
        <f t="shared" si="0"/>
        <v>37</v>
      </c>
      <c r="E15" s="2">
        <f t="shared" si="1"/>
        <v>52</v>
      </c>
      <c r="F15" s="2" t="s">
        <v>0</v>
      </c>
    </row>
    <row r="16" spans="2:6" x14ac:dyDescent="0.35">
      <c r="B16" s="2">
        <v>14</v>
      </c>
      <c r="C16" s="2">
        <v>2038</v>
      </c>
      <c r="D16" s="2">
        <f t="shared" si="0"/>
        <v>38</v>
      </c>
      <c r="E16" s="2">
        <f t="shared" si="1"/>
        <v>53</v>
      </c>
      <c r="F16" s="2" t="s">
        <v>0</v>
      </c>
    </row>
    <row r="17" spans="2:6" x14ac:dyDescent="0.35">
      <c r="B17" s="2">
        <v>15</v>
      </c>
      <c r="C17" s="2">
        <v>2039</v>
      </c>
      <c r="D17" s="2">
        <f>D16+1</f>
        <v>39</v>
      </c>
      <c r="E17" s="2">
        <f>E16+1</f>
        <v>54</v>
      </c>
      <c r="F17" s="2" t="s">
        <v>0</v>
      </c>
    </row>
    <row r="18" spans="2:6" x14ac:dyDescent="0.35">
      <c r="B18" s="2">
        <v>16</v>
      </c>
      <c r="C18" s="2">
        <v>2040</v>
      </c>
      <c r="D18" s="2">
        <f t="shared" ref="D18:D28" si="2">D17+1</f>
        <v>40</v>
      </c>
      <c r="E18" s="2">
        <f t="shared" ref="E18:E28" si="3">E17+1</f>
        <v>55</v>
      </c>
      <c r="F18" s="2" t="s">
        <v>0</v>
      </c>
    </row>
    <row r="19" spans="2:6" x14ac:dyDescent="0.35">
      <c r="B19" s="2">
        <v>17</v>
      </c>
      <c r="C19" s="2">
        <v>2041</v>
      </c>
      <c r="D19" s="2">
        <f t="shared" si="2"/>
        <v>41</v>
      </c>
      <c r="E19" s="2">
        <f t="shared" si="3"/>
        <v>56</v>
      </c>
      <c r="F19" s="2" t="s">
        <v>0</v>
      </c>
    </row>
    <row r="20" spans="2:6" x14ac:dyDescent="0.35">
      <c r="B20" s="2">
        <v>18</v>
      </c>
      <c r="C20" s="2">
        <v>2042</v>
      </c>
      <c r="D20" s="2">
        <f t="shared" si="2"/>
        <v>42</v>
      </c>
      <c r="E20" s="2">
        <f t="shared" si="3"/>
        <v>57</v>
      </c>
      <c r="F20" s="2" t="s">
        <v>0</v>
      </c>
    </row>
    <row r="21" spans="2:6" x14ac:dyDescent="0.35">
      <c r="B21" s="2">
        <v>19</v>
      </c>
      <c r="C21" s="2">
        <v>2043</v>
      </c>
      <c r="D21" s="2">
        <f t="shared" si="2"/>
        <v>43</v>
      </c>
      <c r="E21" s="2">
        <f t="shared" si="3"/>
        <v>58</v>
      </c>
      <c r="F21" s="2" t="s">
        <v>0</v>
      </c>
    </row>
    <row r="22" spans="2:6" x14ac:dyDescent="0.35">
      <c r="B22" s="2">
        <v>20</v>
      </c>
      <c r="C22" s="2">
        <v>2044</v>
      </c>
      <c r="D22" s="2">
        <f t="shared" si="2"/>
        <v>44</v>
      </c>
      <c r="E22" s="2">
        <f t="shared" si="3"/>
        <v>59</v>
      </c>
      <c r="F22" s="2" t="s">
        <v>0</v>
      </c>
    </row>
    <row r="23" spans="2:6" x14ac:dyDescent="0.35">
      <c r="B23" s="2">
        <v>21</v>
      </c>
      <c r="C23" s="2">
        <v>2045</v>
      </c>
      <c r="D23" s="2">
        <f t="shared" si="2"/>
        <v>45</v>
      </c>
      <c r="E23" s="2">
        <f t="shared" si="3"/>
        <v>60</v>
      </c>
      <c r="F23" s="2" t="s">
        <v>0</v>
      </c>
    </row>
    <row r="24" spans="2:6" x14ac:dyDescent="0.35">
      <c r="B24" s="2">
        <v>22</v>
      </c>
      <c r="C24" s="2">
        <v>2046</v>
      </c>
      <c r="D24" s="2">
        <f t="shared" si="2"/>
        <v>46</v>
      </c>
      <c r="E24" s="2">
        <f t="shared" si="3"/>
        <v>61</v>
      </c>
      <c r="F24" s="2" t="s">
        <v>0</v>
      </c>
    </row>
    <row r="25" spans="2:6" x14ac:dyDescent="0.35">
      <c r="B25" s="2">
        <v>23</v>
      </c>
      <c r="C25" s="2">
        <v>2047</v>
      </c>
      <c r="D25" s="2">
        <f t="shared" si="2"/>
        <v>47</v>
      </c>
      <c r="E25" s="2">
        <f t="shared" si="3"/>
        <v>62</v>
      </c>
      <c r="F25" s="2" t="s">
        <v>0</v>
      </c>
    </row>
    <row r="26" spans="2:6" x14ac:dyDescent="0.35">
      <c r="B26" s="2">
        <v>24</v>
      </c>
      <c r="C26" s="2">
        <v>2048</v>
      </c>
      <c r="D26" s="2">
        <f t="shared" si="2"/>
        <v>48</v>
      </c>
      <c r="E26" s="2">
        <f t="shared" si="3"/>
        <v>63</v>
      </c>
      <c r="F26" s="2" t="s">
        <v>0</v>
      </c>
    </row>
    <row r="27" spans="2:6" x14ac:dyDescent="0.35">
      <c r="B27" s="2">
        <v>25</v>
      </c>
      <c r="C27" s="2">
        <v>2049</v>
      </c>
      <c r="D27" s="2">
        <f t="shared" si="2"/>
        <v>49</v>
      </c>
      <c r="E27" s="2">
        <f t="shared" si="3"/>
        <v>64</v>
      </c>
      <c r="F27" s="2" t="s">
        <v>0</v>
      </c>
    </row>
    <row r="28" spans="2:6" x14ac:dyDescent="0.35">
      <c r="B28" s="2">
        <v>26</v>
      </c>
      <c r="C28" s="2">
        <v>2050</v>
      </c>
      <c r="D28" s="2">
        <f t="shared" si="2"/>
        <v>50</v>
      </c>
      <c r="E28" s="2">
        <f t="shared" si="3"/>
        <v>65</v>
      </c>
      <c r="F28" s="2" t="s">
        <v>0</v>
      </c>
    </row>
    <row r="29" spans="2:6" x14ac:dyDescent="0.35">
      <c r="B29" s="2">
        <v>27</v>
      </c>
      <c r="C29" s="2">
        <v>2051</v>
      </c>
      <c r="D29" s="2">
        <f t="shared" ref="D29:D32" si="4">D28+1</f>
        <v>51</v>
      </c>
      <c r="E29" s="2">
        <f t="shared" ref="E29:E32" si="5">E28+1</f>
        <v>66</v>
      </c>
      <c r="F29" s="2" t="s">
        <v>0</v>
      </c>
    </row>
    <row r="30" spans="2:6" x14ac:dyDescent="0.35">
      <c r="B30" s="2">
        <v>28</v>
      </c>
      <c r="C30" s="2">
        <v>2052</v>
      </c>
      <c r="D30" s="2">
        <f t="shared" si="4"/>
        <v>52</v>
      </c>
      <c r="E30" s="2">
        <f t="shared" si="5"/>
        <v>67</v>
      </c>
      <c r="F30" s="2" t="s">
        <v>0</v>
      </c>
    </row>
    <row r="31" spans="2:6" x14ac:dyDescent="0.35">
      <c r="B31" s="2">
        <v>29</v>
      </c>
      <c r="C31" s="2">
        <v>2053</v>
      </c>
      <c r="D31" s="2">
        <f t="shared" si="4"/>
        <v>53</v>
      </c>
      <c r="E31" s="2">
        <f t="shared" si="5"/>
        <v>68</v>
      </c>
      <c r="F31" s="2" t="s">
        <v>0</v>
      </c>
    </row>
    <row r="32" spans="2:6" x14ac:dyDescent="0.35">
      <c r="B32" s="2">
        <v>30</v>
      </c>
      <c r="C32" s="2">
        <v>2054</v>
      </c>
      <c r="D32" s="2">
        <f t="shared" si="4"/>
        <v>54</v>
      </c>
      <c r="E32" s="2">
        <f t="shared" si="5"/>
        <v>69</v>
      </c>
      <c r="F32" s="2" t="s">
        <v>0</v>
      </c>
    </row>
    <row r="33" spans="2:6" x14ac:dyDescent="0.35">
      <c r="B33" s="2">
        <v>31</v>
      </c>
      <c r="C33" s="2">
        <v>2055</v>
      </c>
      <c r="D33" s="2">
        <f t="shared" ref="D33:D43" si="6">D32+1</f>
        <v>55</v>
      </c>
      <c r="E33" s="2">
        <f t="shared" ref="E33:E43" si="7">E32+1</f>
        <v>70</v>
      </c>
      <c r="F33" s="2" t="s">
        <v>0</v>
      </c>
    </row>
    <row r="34" spans="2:6" x14ac:dyDescent="0.35">
      <c r="B34" s="2">
        <v>32</v>
      </c>
      <c r="C34" s="2">
        <v>2056</v>
      </c>
      <c r="D34" s="2">
        <f t="shared" si="6"/>
        <v>56</v>
      </c>
      <c r="E34" s="2">
        <f t="shared" si="7"/>
        <v>71</v>
      </c>
      <c r="F34" s="2" t="s">
        <v>0</v>
      </c>
    </row>
    <row r="35" spans="2:6" x14ac:dyDescent="0.35">
      <c r="B35" s="2">
        <v>33</v>
      </c>
      <c r="C35" s="2">
        <v>2057</v>
      </c>
      <c r="D35" s="2">
        <f t="shared" si="6"/>
        <v>57</v>
      </c>
      <c r="E35" s="2">
        <f t="shared" si="7"/>
        <v>72</v>
      </c>
      <c r="F35" s="2" t="s">
        <v>0</v>
      </c>
    </row>
    <row r="36" spans="2:6" x14ac:dyDescent="0.35">
      <c r="B36" s="2">
        <v>34</v>
      </c>
      <c r="C36" s="2">
        <v>2058</v>
      </c>
      <c r="D36" s="2">
        <f t="shared" si="6"/>
        <v>58</v>
      </c>
      <c r="E36" s="2">
        <f t="shared" si="7"/>
        <v>73</v>
      </c>
      <c r="F36" s="2" t="s">
        <v>0</v>
      </c>
    </row>
    <row r="37" spans="2:6" x14ac:dyDescent="0.35">
      <c r="B37" s="2">
        <v>35</v>
      </c>
      <c r="C37" s="2">
        <v>2059</v>
      </c>
      <c r="D37" s="2">
        <f t="shared" si="6"/>
        <v>59</v>
      </c>
      <c r="E37" s="2">
        <f t="shared" si="7"/>
        <v>74</v>
      </c>
      <c r="F37" s="2" t="s">
        <v>0</v>
      </c>
    </row>
    <row r="38" spans="2:6" x14ac:dyDescent="0.35">
      <c r="B38" s="2">
        <v>36</v>
      </c>
      <c r="C38" s="2">
        <v>2060</v>
      </c>
      <c r="D38" s="2">
        <f t="shared" si="6"/>
        <v>60</v>
      </c>
      <c r="E38" s="2">
        <f t="shared" si="7"/>
        <v>75</v>
      </c>
      <c r="F38" s="2" t="s">
        <v>0</v>
      </c>
    </row>
    <row r="39" spans="2:6" x14ac:dyDescent="0.35">
      <c r="B39" s="2">
        <v>37</v>
      </c>
      <c r="C39" s="2">
        <v>2061</v>
      </c>
      <c r="D39" s="2">
        <f t="shared" si="6"/>
        <v>61</v>
      </c>
      <c r="E39" s="2">
        <f t="shared" si="7"/>
        <v>76</v>
      </c>
      <c r="F39" s="2" t="s">
        <v>0</v>
      </c>
    </row>
    <row r="40" spans="2:6" x14ac:dyDescent="0.35">
      <c r="B40" s="2">
        <v>38</v>
      </c>
      <c r="C40" s="2">
        <v>2062</v>
      </c>
      <c r="D40" s="2">
        <f t="shared" si="6"/>
        <v>62</v>
      </c>
      <c r="E40" s="2">
        <f t="shared" si="7"/>
        <v>77</v>
      </c>
      <c r="F40" s="2" t="s">
        <v>0</v>
      </c>
    </row>
    <row r="41" spans="2:6" x14ac:dyDescent="0.35">
      <c r="B41" s="2">
        <v>39</v>
      </c>
      <c r="C41" s="2">
        <v>2063</v>
      </c>
      <c r="D41" s="2">
        <f t="shared" si="6"/>
        <v>63</v>
      </c>
      <c r="E41" s="2">
        <f t="shared" si="7"/>
        <v>78</v>
      </c>
      <c r="F41" s="2" t="s">
        <v>0</v>
      </c>
    </row>
    <row r="42" spans="2:6" x14ac:dyDescent="0.35">
      <c r="B42" s="2">
        <v>40</v>
      </c>
      <c r="C42" s="2">
        <v>2064</v>
      </c>
      <c r="D42" s="2">
        <f t="shared" si="6"/>
        <v>64</v>
      </c>
      <c r="E42" s="2">
        <f t="shared" si="7"/>
        <v>79</v>
      </c>
      <c r="F42" s="2" t="s">
        <v>0</v>
      </c>
    </row>
    <row r="43" spans="2:6" x14ac:dyDescent="0.35">
      <c r="B43" s="2">
        <v>41</v>
      </c>
      <c r="C43" s="2">
        <v>2065</v>
      </c>
      <c r="D43" s="2">
        <f t="shared" si="6"/>
        <v>65</v>
      </c>
      <c r="E43" s="2">
        <f t="shared" si="7"/>
        <v>80</v>
      </c>
      <c r="F43" s="2" t="s">
        <v>0</v>
      </c>
    </row>
    <row r="44" spans="2:6" x14ac:dyDescent="0.35">
      <c r="B44" s="2">
        <v>42</v>
      </c>
      <c r="C44" s="2">
        <v>2066</v>
      </c>
      <c r="D44" s="2">
        <f t="shared" ref="D44:D53" si="8">D43+1</f>
        <v>66</v>
      </c>
      <c r="E44" s="2">
        <f t="shared" ref="E44:E53" si="9">E43+1</f>
        <v>81</v>
      </c>
      <c r="F44" s="2" t="s">
        <v>0</v>
      </c>
    </row>
    <row r="45" spans="2:6" x14ac:dyDescent="0.35">
      <c r="B45" s="2">
        <v>43</v>
      </c>
      <c r="C45" s="2">
        <v>2067</v>
      </c>
      <c r="D45" s="2">
        <f t="shared" si="8"/>
        <v>67</v>
      </c>
      <c r="E45" s="2">
        <f t="shared" si="9"/>
        <v>82</v>
      </c>
      <c r="F45" s="2" t="s">
        <v>0</v>
      </c>
    </row>
    <row r="46" spans="2:6" x14ac:dyDescent="0.35">
      <c r="B46" s="2">
        <v>44</v>
      </c>
      <c r="C46" s="2">
        <v>2068</v>
      </c>
      <c r="D46" s="2">
        <f t="shared" si="8"/>
        <v>68</v>
      </c>
      <c r="E46" s="2">
        <f t="shared" si="9"/>
        <v>83</v>
      </c>
      <c r="F46" s="2" t="s">
        <v>0</v>
      </c>
    </row>
    <row r="47" spans="2:6" x14ac:dyDescent="0.35">
      <c r="B47" s="2">
        <v>45</v>
      </c>
      <c r="C47" s="2">
        <v>2069</v>
      </c>
      <c r="D47" s="2">
        <f t="shared" si="8"/>
        <v>69</v>
      </c>
      <c r="E47" s="2">
        <f t="shared" si="9"/>
        <v>84</v>
      </c>
      <c r="F47" s="2" t="s">
        <v>0</v>
      </c>
    </row>
    <row r="48" spans="2:6" x14ac:dyDescent="0.35">
      <c r="B48" s="2">
        <v>46</v>
      </c>
      <c r="C48" s="2">
        <v>2070</v>
      </c>
      <c r="D48" s="2">
        <f t="shared" si="8"/>
        <v>70</v>
      </c>
      <c r="E48" s="2">
        <f t="shared" si="9"/>
        <v>85</v>
      </c>
      <c r="F48" s="2" t="s">
        <v>0</v>
      </c>
    </row>
    <row r="49" spans="2:6" x14ac:dyDescent="0.35">
      <c r="B49" s="2">
        <v>47</v>
      </c>
      <c r="C49" s="2">
        <v>2071</v>
      </c>
      <c r="D49" s="2">
        <f t="shared" si="8"/>
        <v>71</v>
      </c>
      <c r="E49" s="2">
        <f t="shared" si="9"/>
        <v>86</v>
      </c>
      <c r="F49" s="2" t="s">
        <v>0</v>
      </c>
    </row>
    <row r="50" spans="2:6" x14ac:dyDescent="0.35">
      <c r="B50" s="2">
        <v>48</v>
      </c>
      <c r="C50" s="2">
        <v>2072</v>
      </c>
      <c r="D50" s="2">
        <f t="shared" si="8"/>
        <v>72</v>
      </c>
      <c r="E50" s="2">
        <f t="shared" si="9"/>
        <v>87</v>
      </c>
      <c r="F50" s="2" t="s">
        <v>0</v>
      </c>
    </row>
    <row r="51" spans="2:6" x14ac:dyDescent="0.35">
      <c r="B51" s="2">
        <v>49</v>
      </c>
      <c r="C51" s="2">
        <v>2073</v>
      </c>
      <c r="D51" s="2">
        <f t="shared" si="8"/>
        <v>73</v>
      </c>
      <c r="E51" s="2">
        <f t="shared" si="9"/>
        <v>88</v>
      </c>
      <c r="F51" s="2" t="s">
        <v>0</v>
      </c>
    </row>
    <row r="52" spans="2:6" x14ac:dyDescent="0.35">
      <c r="B52" s="2">
        <v>50</v>
      </c>
      <c r="C52" s="2">
        <v>2074</v>
      </c>
      <c r="D52" s="2">
        <f t="shared" si="8"/>
        <v>74</v>
      </c>
      <c r="E52" s="2">
        <f t="shared" si="9"/>
        <v>89</v>
      </c>
      <c r="F52" s="2" t="s">
        <v>0</v>
      </c>
    </row>
    <row r="53" spans="2:6" x14ac:dyDescent="0.35">
      <c r="B53" s="2">
        <v>51</v>
      </c>
      <c r="C53" s="2">
        <v>2075</v>
      </c>
      <c r="D53" s="2">
        <f t="shared" si="8"/>
        <v>75</v>
      </c>
      <c r="E53" s="2">
        <f t="shared" si="9"/>
        <v>90</v>
      </c>
      <c r="F53" s="2" t="s">
        <v>0</v>
      </c>
    </row>
  </sheetData>
  <pageMargins left="0.7" right="0.7" top="0.75" bottom="0.75" header="0.3" footer="0.3"/>
  <ignoredErrors>
    <ignoredError sqref="D3:E3"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B74A-2ABA-4A7C-A82B-67864F0DEA98}">
  <dimension ref="A1:AY7"/>
  <sheetViews>
    <sheetView tabSelected="1" workbookViewId="0">
      <selection activeCell="D2" sqref="D2"/>
    </sheetView>
  </sheetViews>
  <sheetFormatPr defaultRowHeight="14.5" x14ac:dyDescent="0.35"/>
  <cols>
    <col min="1" max="1" width="13.453125" bestFit="1" customWidth="1"/>
    <col min="3" max="3" width="8.9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c r="C2" s="28">
        <v>0.264486</v>
      </c>
      <c r="D2" s="28">
        <v>1.01</v>
      </c>
      <c r="E2" s="28">
        <v>2.1029999999999998E-3</v>
      </c>
      <c r="F2" s="28">
        <v>0.97786600000000001</v>
      </c>
      <c r="G2" s="28">
        <v>0.705654</v>
      </c>
      <c r="H2" s="28">
        <v>0.20763400000000001</v>
      </c>
      <c r="I2" s="28">
        <v>0.83278200000000002</v>
      </c>
    </row>
    <row r="3" spans="1:51" x14ac:dyDescent="0.35">
      <c r="A3" t="s">
        <v>164</v>
      </c>
      <c r="C3" s="28">
        <v>0</v>
      </c>
      <c r="D3" s="28">
        <v>0</v>
      </c>
      <c r="E3" s="28">
        <v>0.95047599999999999</v>
      </c>
      <c r="F3" s="28">
        <v>0</v>
      </c>
      <c r="G3" s="28">
        <v>0.30434600000000001</v>
      </c>
      <c r="H3" s="28">
        <v>6.5099999999999999E-4</v>
      </c>
      <c r="I3" s="28">
        <v>1.92E-4</v>
      </c>
    </row>
    <row r="4" spans="1:51" x14ac:dyDescent="0.35">
      <c r="A4" t="s">
        <v>165</v>
      </c>
      <c r="C4" s="28">
        <v>0</v>
      </c>
      <c r="D4" s="28">
        <v>0</v>
      </c>
      <c r="E4" s="28">
        <v>1.8649999999999999E-3</v>
      </c>
      <c r="F4" s="28">
        <v>2.2134000000000001E-2</v>
      </c>
      <c r="G4" s="28">
        <v>0</v>
      </c>
      <c r="H4" s="28">
        <v>3.3399999999999999E-4</v>
      </c>
      <c r="I4" s="28">
        <v>2.5379999999999999E-3</v>
      </c>
    </row>
    <row r="5" spans="1:51" x14ac:dyDescent="0.35">
      <c r="A5" t="s">
        <v>166</v>
      </c>
      <c r="C5" s="28">
        <v>0</v>
      </c>
      <c r="D5" s="28">
        <v>0</v>
      </c>
      <c r="E5" s="28">
        <v>1.8680000000000001E-3</v>
      </c>
      <c r="F5" s="28">
        <v>0</v>
      </c>
      <c r="G5" s="28">
        <v>0</v>
      </c>
      <c r="H5" s="28">
        <v>1.279E-3</v>
      </c>
      <c r="I5" s="28">
        <v>2.153E-3</v>
      </c>
    </row>
    <row r="6" spans="1:51" x14ac:dyDescent="0.35">
      <c r="A6" t="s">
        <v>167</v>
      </c>
      <c r="C6" s="28">
        <v>0.74551400000000001</v>
      </c>
      <c r="D6" s="28">
        <v>0</v>
      </c>
      <c r="E6" s="28">
        <v>1.8439999999999999E-3</v>
      </c>
      <c r="F6" s="28">
        <v>0</v>
      </c>
      <c r="G6" s="28">
        <v>0</v>
      </c>
      <c r="H6" s="28">
        <v>2.7169999999999998E-3</v>
      </c>
      <c r="I6" s="28">
        <v>1.836E-3</v>
      </c>
    </row>
    <row r="7" spans="1:51" x14ac:dyDescent="0.35">
      <c r="A7" t="s">
        <v>168</v>
      </c>
      <c r="C7" s="28">
        <v>0</v>
      </c>
      <c r="D7" s="28">
        <v>0</v>
      </c>
      <c r="E7" s="28">
        <v>5.1844000000000001E-2</v>
      </c>
      <c r="F7" s="28">
        <v>0</v>
      </c>
      <c r="G7" s="28">
        <v>0</v>
      </c>
      <c r="H7" s="28">
        <v>0.79738500000000001</v>
      </c>
      <c r="I7" s="28">
        <v>0.160498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B312-685C-41F1-A0B9-5F2CAAFC3BC3}">
  <dimension ref="A1:AY9"/>
  <sheetViews>
    <sheetView workbookViewId="0">
      <selection activeCell="G2" sqref="G2:G5"/>
    </sheetView>
  </sheetViews>
  <sheetFormatPr defaultRowHeight="14.5" x14ac:dyDescent="0.35"/>
  <cols>
    <col min="3" max="3" width="9.9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169</v>
      </c>
      <c r="C2" s="28">
        <v>0.52</v>
      </c>
      <c r="D2" s="28">
        <v>0.57999999999999996</v>
      </c>
      <c r="E2" s="28">
        <v>0.72</v>
      </c>
      <c r="F2" s="28">
        <v>0.54</v>
      </c>
      <c r="G2" s="28">
        <v>0.56999999999999995</v>
      </c>
      <c r="H2" s="28">
        <v>0.56999999999999995</v>
      </c>
      <c r="I2" s="28">
        <v>0.71</v>
      </c>
    </row>
    <row r="3" spans="1:51" x14ac:dyDescent="0.35">
      <c r="A3" t="s">
        <v>170</v>
      </c>
      <c r="C3" s="28">
        <v>0.09</v>
      </c>
      <c r="D3" s="28">
        <v>0.11</v>
      </c>
      <c r="E3" s="28">
        <v>0.13</v>
      </c>
      <c r="F3" s="28">
        <v>0.1</v>
      </c>
      <c r="G3" s="28">
        <v>0.11</v>
      </c>
      <c r="H3" s="28">
        <v>0.11</v>
      </c>
      <c r="I3" s="28">
        <v>0.12</v>
      </c>
    </row>
    <row r="4" spans="1:51" x14ac:dyDescent="0.35">
      <c r="A4" t="s">
        <v>171</v>
      </c>
      <c r="C4" s="28">
        <v>0.12</v>
      </c>
      <c r="D4" s="28">
        <v>0.13</v>
      </c>
      <c r="E4" s="28">
        <v>0.15</v>
      </c>
      <c r="F4" s="28">
        <v>0.12</v>
      </c>
      <c r="G4" s="28">
        <v>0.12</v>
      </c>
      <c r="H4" s="28">
        <v>0.12</v>
      </c>
      <c r="I4" s="28">
        <v>0.16</v>
      </c>
    </row>
    <row r="5" spans="1:51" x14ac:dyDescent="0.35">
      <c r="A5" t="s">
        <v>172</v>
      </c>
      <c r="C5" s="28">
        <v>0.28000000000000003</v>
      </c>
      <c r="D5" s="28">
        <v>0.19</v>
      </c>
      <c r="E5" s="28">
        <v>0.01</v>
      </c>
      <c r="F5" s="28">
        <v>0.24</v>
      </c>
      <c r="G5" s="28">
        <v>0.21</v>
      </c>
      <c r="H5" s="28">
        <v>0.21</v>
      </c>
      <c r="I5" s="28">
        <v>0.01</v>
      </c>
    </row>
    <row r="9" spans="1:51" x14ac:dyDescent="0.35">
      <c r="C9"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133A-777A-45BD-A5DC-28656BDD3694}">
  <dimension ref="A1:AY7"/>
  <sheetViews>
    <sheetView workbookViewId="0">
      <selection activeCell="F18" sqref="F18"/>
    </sheetView>
  </sheetViews>
  <sheetFormatPr defaultRowHeight="14.5" x14ac:dyDescent="0.35"/>
  <cols>
    <col min="1" max="1" width="13.4531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row>
    <row r="3" spans="1:51" x14ac:dyDescent="0.35">
      <c r="A3" t="s">
        <v>164</v>
      </c>
    </row>
    <row r="4" spans="1:51" x14ac:dyDescent="0.35">
      <c r="A4" t="s">
        <v>165</v>
      </c>
    </row>
    <row r="5" spans="1:51" x14ac:dyDescent="0.35">
      <c r="A5" t="s">
        <v>166</v>
      </c>
    </row>
    <row r="6" spans="1:51" x14ac:dyDescent="0.35">
      <c r="A6" t="s">
        <v>167</v>
      </c>
    </row>
    <row r="7" spans="1:51" x14ac:dyDescent="0.35">
      <c r="A7" t="s">
        <v>168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85</v>
      </c>
    </row>
    <row r="4" spans="2:2" x14ac:dyDescent="0.35">
      <c r="B4" s="1" t="s">
        <v>86</v>
      </c>
    </row>
    <row r="5" spans="2:2" x14ac:dyDescent="0.35">
      <c r="B5" s="1" t="s">
        <v>87</v>
      </c>
    </row>
    <row r="6" spans="2:2" x14ac:dyDescent="0.35">
      <c r="B6" s="1" t="s">
        <v>92</v>
      </c>
    </row>
    <row r="7" spans="2:2" x14ac:dyDescent="0.35">
      <c r="B7" s="1" t="s">
        <v>88</v>
      </c>
    </row>
    <row r="9" spans="2:2" x14ac:dyDescent="0.35">
      <c r="B9" s="1" t="s">
        <v>89</v>
      </c>
    </row>
    <row r="13" spans="2:2" x14ac:dyDescent="0.35">
      <c r="B13" s="1" t="s">
        <v>90</v>
      </c>
    </row>
    <row r="14" spans="2:2" x14ac:dyDescent="0.35">
      <c r="B14" s="1" t="s">
        <v>91</v>
      </c>
    </row>
    <row r="18" spans="2:2" x14ac:dyDescent="0.35">
      <c r="B18" s="1" t="s">
        <v>93</v>
      </c>
    </row>
    <row r="37" spans="2:14" x14ac:dyDescent="0.35">
      <c r="B37" s="1" t="s">
        <v>94</v>
      </c>
    </row>
    <row r="41" spans="2:14" x14ac:dyDescent="0.35">
      <c r="C41" s="1" t="s">
        <v>95</v>
      </c>
    </row>
    <row r="42" spans="2:14" x14ac:dyDescent="0.35">
      <c r="D42" s="1" t="s">
        <v>98</v>
      </c>
      <c r="E42" s="1" t="s">
        <v>99</v>
      </c>
    </row>
    <row r="43" spans="2:14" x14ac:dyDescent="0.35">
      <c r="C43" s="1" t="s">
        <v>96</v>
      </c>
      <c r="D43" s="26">
        <v>0.03</v>
      </c>
      <c r="E43" s="26">
        <v>0.01</v>
      </c>
      <c r="H43" s="1">
        <v>2025</v>
      </c>
      <c r="I43" s="1">
        <v>2026</v>
      </c>
      <c r="J43" s="1">
        <v>2027</v>
      </c>
      <c r="M43" s="30" t="s">
        <v>100</v>
      </c>
      <c r="N43" s="31" t="s">
        <v>101</v>
      </c>
    </row>
    <row r="44" spans="2:14" x14ac:dyDescent="0.35">
      <c r="C44" s="1" t="s">
        <v>97</v>
      </c>
      <c r="D44" s="26">
        <v>0.1</v>
      </c>
      <c r="E44" s="26">
        <v>0.03</v>
      </c>
      <c r="H44" s="26">
        <v>0.03</v>
      </c>
      <c r="I44" s="26">
        <v>0.04</v>
      </c>
      <c r="J44" s="26">
        <v>0.06</v>
      </c>
      <c r="K44" s="26">
        <v>7.0000000000000007E-2</v>
      </c>
      <c r="L44" s="26">
        <v>0.1</v>
      </c>
      <c r="M44" s="30"/>
      <c r="N44" s="31"/>
    </row>
    <row r="45" spans="2:14" x14ac:dyDescent="0.35">
      <c r="M45" s="30"/>
      <c r="N45" s="31"/>
    </row>
    <row r="46" spans="2:14" x14ac:dyDescent="0.35">
      <c r="H46" s="26">
        <f>AVERAGE(H44:L44)</f>
        <v>6.0000000000000012E-2</v>
      </c>
      <c r="I46" s="26">
        <f>AVERAGE(I44:L44)</f>
        <v>6.7500000000000004E-2</v>
      </c>
      <c r="M46" s="30"/>
      <c r="N46" s="31"/>
    </row>
    <row r="51" spans="2:21" x14ac:dyDescent="0.35">
      <c r="J51" s="1" t="s">
        <v>102</v>
      </c>
      <c r="L51" s="1" t="s">
        <v>103</v>
      </c>
    </row>
    <row r="53" spans="2:21" x14ac:dyDescent="0.35">
      <c r="J53" s="1">
        <v>2025</v>
      </c>
      <c r="K53" s="1">
        <v>2026</v>
      </c>
      <c r="L53" s="1">
        <v>2027</v>
      </c>
      <c r="M53" s="1">
        <v>2028</v>
      </c>
      <c r="N53" s="1">
        <v>2029</v>
      </c>
      <c r="O53" s="1">
        <v>2030</v>
      </c>
      <c r="P53" s="1">
        <v>2031</v>
      </c>
      <c r="Q53" s="1">
        <v>2032</v>
      </c>
      <c r="R53" s="1">
        <v>2033</v>
      </c>
      <c r="S53" s="1">
        <v>2034</v>
      </c>
      <c r="U53" s="1" t="s">
        <v>104</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105</v>
      </c>
    </row>
  </sheetData>
  <mergeCells count="2">
    <mergeCell ref="M43:M46"/>
    <mergeCell ref="N43:N46"/>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CF605-A567-418D-810B-893BBCEAF35A}">
  <dimension ref="A1:AY5"/>
  <sheetViews>
    <sheetView topLeftCell="B1" workbookViewId="0">
      <selection activeCell="B1" sqref="B1"/>
    </sheetView>
  </sheetViews>
  <sheetFormatPr defaultRowHeight="14.5" x14ac:dyDescent="0.35"/>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169</v>
      </c>
    </row>
    <row r="3" spans="1:51" x14ac:dyDescent="0.35">
      <c r="A3" t="s">
        <v>170</v>
      </c>
    </row>
    <row r="4" spans="1:51" x14ac:dyDescent="0.35">
      <c r="A4" t="s">
        <v>171</v>
      </c>
    </row>
    <row r="5" spans="1:51" x14ac:dyDescent="0.35">
      <c r="A5" t="s">
        <v>172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Y7"/>
  <sheetViews>
    <sheetView workbookViewId="0">
      <selection activeCell="D9" sqref="D9"/>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163</v>
      </c>
    </row>
    <row r="3" spans="1:51" x14ac:dyDescent="0.35">
      <c r="A3" t="s">
        <v>164</v>
      </c>
    </row>
    <row r="4" spans="1:51" x14ac:dyDescent="0.35">
      <c r="A4" t="s">
        <v>165</v>
      </c>
    </row>
    <row r="5" spans="1:51" x14ac:dyDescent="0.35">
      <c r="A5" t="s">
        <v>166</v>
      </c>
    </row>
    <row r="6" spans="1:51" x14ac:dyDescent="0.35">
      <c r="A6" t="s">
        <v>167</v>
      </c>
    </row>
    <row r="7" spans="1:51" x14ac:dyDescent="0.35">
      <c r="A7" t="s">
        <v>168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B4ACF-8769-4D41-B361-0B24E4C47EDE}">
  <dimension ref="A1:AY7"/>
  <sheetViews>
    <sheetView workbookViewId="0">
      <selection activeCell="AS6" sqref="AS6"/>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1"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row>
    <row r="2" spans="1:51" x14ac:dyDescent="0.35">
      <c r="A2" t="s">
        <v>106</v>
      </c>
      <c r="B2">
        <v>-4.6374624539303522E-2</v>
      </c>
      <c r="C2">
        <v>0.25193929244792046</v>
      </c>
      <c r="D2">
        <v>0.25632261453563498</v>
      </c>
      <c r="E2">
        <v>-5.9773063379075286E-2</v>
      </c>
      <c r="F2">
        <v>0.4037825622478608</v>
      </c>
      <c r="G2">
        <v>0.31172393348028482</v>
      </c>
      <c r="H2">
        <v>5.9218288104509353E-2</v>
      </c>
      <c r="I2">
        <v>0.10707307173309566</v>
      </c>
      <c r="J2">
        <v>0.1143557726991431</v>
      </c>
      <c r="K2">
        <v>0.12346019482714743</v>
      </c>
      <c r="L2">
        <v>9.0155243291453413E-2</v>
      </c>
      <c r="M2">
        <v>0.16489957003965827</v>
      </c>
      <c r="N2">
        <v>-3.2891724441363568E-2</v>
      </c>
      <c r="O2">
        <v>-2.8709220895397625E-2</v>
      </c>
      <c r="P2">
        <v>-2.9700592918326052E-2</v>
      </c>
      <c r="Q2">
        <v>5.3046739497358164E-2</v>
      </c>
      <c r="R2">
        <v>4.0017378805269122E-2</v>
      </c>
      <c r="S2">
        <v>0.31809496159743089</v>
      </c>
      <c r="T2">
        <v>-3.0274921180414083E-2</v>
      </c>
      <c r="U2">
        <v>0.42106698481842941</v>
      </c>
      <c r="V2">
        <v>-0.15114640093107001</v>
      </c>
      <c r="W2">
        <v>0.11903432201536934</v>
      </c>
      <c r="X2">
        <v>-0.14501133771544472</v>
      </c>
      <c r="Y2">
        <v>-9.8981450678448213E-2</v>
      </c>
      <c r="Z2">
        <v>-0.28480526143549512</v>
      </c>
      <c r="AA2">
        <v>0.16386844102281728</v>
      </c>
      <c r="AB2">
        <v>-4.9048038763010116E-2</v>
      </c>
      <c r="AC2">
        <v>0.10968519365888074</v>
      </c>
      <c r="AD2">
        <v>-7.9101954782518469E-2</v>
      </c>
      <c r="AE2">
        <v>0.11709658947834378</v>
      </c>
      <c r="AF2">
        <v>0.42713820722628815</v>
      </c>
      <c r="AG2">
        <v>-0.26668674586449892</v>
      </c>
      <c r="AH2">
        <v>-0.1530648452641632</v>
      </c>
      <c r="AI2">
        <v>0.23493864763154781</v>
      </c>
      <c r="AJ2">
        <v>6.041256988737298E-2</v>
      </c>
      <c r="AK2">
        <v>1.4204164172181066E-2</v>
      </c>
      <c r="AL2">
        <v>-6.9574101825511381E-2</v>
      </c>
      <c r="AM2">
        <v>7.3240333938557445E-2</v>
      </c>
      <c r="AN2">
        <v>0.10362599817724494</v>
      </c>
      <c r="AO2">
        <v>5.1557175598106575E-2</v>
      </c>
      <c r="AP2">
        <v>-5.2116699156352086E-2</v>
      </c>
      <c r="AQ2">
        <v>-0.23205744218937063</v>
      </c>
      <c r="AR2">
        <v>0.46613427903603921</v>
      </c>
      <c r="AS2">
        <v>7.4472391324156284E-2</v>
      </c>
      <c r="AT2">
        <v>0.71150702464550397</v>
      </c>
      <c r="AU2">
        <v>2.0245654526625412E-2</v>
      </c>
      <c r="AV2">
        <v>0.27735916529071791</v>
      </c>
      <c r="AW2">
        <v>0.11781713077091949</v>
      </c>
      <c r="AX2">
        <v>-4.1329986166300792E-3</v>
      </c>
      <c r="AY2">
        <v>7.0092809209421958E-2</v>
      </c>
    </row>
    <row r="3" spans="1:51" x14ac:dyDescent="0.35">
      <c r="A3" t="s">
        <v>107</v>
      </c>
      <c r="B3">
        <v>-3.4134004457981759E-2</v>
      </c>
      <c r="C3">
        <v>0.19511077137000687</v>
      </c>
      <c r="D3">
        <v>6.9691772197972179E-2</v>
      </c>
      <c r="E3">
        <v>0.1033057450186734</v>
      </c>
      <c r="F3">
        <v>7.6016162916965113E-2</v>
      </c>
      <c r="G3">
        <v>0.23027144965944113</v>
      </c>
      <c r="H3">
        <v>3.2689217671517445E-2</v>
      </c>
      <c r="I3">
        <v>-8.8332981043660608E-2</v>
      </c>
      <c r="J3">
        <v>-0.10923190033107699</v>
      </c>
      <c r="K3">
        <v>-4.3963023434883675E-2</v>
      </c>
      <c r="L3">
        <v>0.20956142406649048</v>
      </c>
      <c r="M3">
        <v>-1.5205665643450494E-2</v>
      </c>
      <c r="N3">
        <v>-5.9960028782211405E-2</v>
      </c>
      <c r="O3">
        <v>5.7027602095488295E-2</v>
      </c>
      <c r="P3">
        <v>-3.5388428115954884E-2</v>
      </c>
      <c r="Q3">
        <v>-4.1584959494241347E-2</v>
      </c>
      <c r="R3">
        <v>-6.6624170345609413E-3</v>
      </c>
      <c r="S3">
        <v>0.21043093873515328</v>
      </c>
      <c r="T3">
        <v>6.8683867347799188E-2</v>
      </c>
      <c r="U3">
        <v>0.37689316574426335</v>
      </c>
      <c r="V3">
        <v>4.2532040403342908E-2</v>
      </c>
      <c r="W3">
        <v>0.18667478780794977</v>
      </c>
      <c r="X3">
        <v>-2.3315533646275588E-2</v>
      </c>
      <c r="Y3">
        <v>2.0929003130567336E-2</v>
      </c>
      <c r="Z3">
        <v>-3.3223354241563752E-2</v>
      </c>
      <c r="AA3">
        <v>0.14205355388071439</v>
      </c>
      <c r="AB3">
        <v>-3.1351511198571491E-2</v>
      </c>
      <c r="AC3">
        <v>7.7272300158451657E-2</v>
      </c>
      <c r="AD3">
        <v>-7.6933006132187454E-2</v>
      </c>
      <c r="AE3">
        <v>4.2148946498898887E-3</v>
      </c>
      <c r="AF3">
        <v>0.39390059080264517</v>
      </c>
      <c r="AG3">
        <v>-9.848900274038308E-2</v>
      </c>
      <c r="AH3">
        <v>-9.6519892653231909E-2</v>
      </c>
      <c r="AI3">
        <v>0.17365697809383684</v>
      </c>
      <c r="AJ3">
        <v>0.13561299161585239</v>
      </c>
      <c r="AK3">
        <v>6.2760250987418553E-2</v>
      </c>
      <c r="AL3">
        <v>-1.9523505554479681E-2</v>
      </c>
      <c r="AM3">
        <v>0.13169239029263036</v>
      </c>
      <c r="AN3">
        <v>0.16529749354644085</v>
      </c>
      <c r="AO3">
        <v>6.9245797760353556E-2</v>
      </c>
      <c r="AP3">
        <v>-0.13108725517574527</v>
      </c>
      <c r="AQ3">
        <v>-0.12086994313042287</v>
      </c>
      <c r="AR3">
        <v>0.26810918058794209</v>
      </c>
      <c r="AS3">
        <v>2.1392416323751551E-2</v>
      </c>
      <c r="AT3">
        <v>0.29513880715473073</v>
      </c>
      <c r="AU3">
        <v>-1.6946598826961257E-3</v>
      </c>
      <c r="AV3">
        <v>7.6425522373073873E-2</v>
      </c>
      <c r="AW3">
        <v>0.10705452816213645</v>
      </c>
      <c r="AX3">
        <v>-1.1778299652929536E-2</v>
      </c>
      <c r="AY3">
        <v>0.12849202499791512</v>
      </c>
    </row>
    <row r="4" spans="1:51" x14ac:dyDescent="0.35">
      <c r="A4" t="s">
        <v>161</v>
      </c>
      <c r="B4">
        <v>-2.4348050660809251E-2</v>
      </c>
      <c r="C4">
        <v>0.17899997942074442</v>
      </c>
      <c r="D4">
        <v>5.3592043458880134E-2</v>
      </c>
      <c r="E4">
        <v>-9.7456791152005784E-2</v>
      </c>
      <c r="F4">
        <v>9.9075542917716142E-2</v>
      </c>
      <c r="G4">
        <v>-1.2404188671498617E-2</v>
      </c>
      <c r="H4">
        <v>-2.0112401297278204E-2</v>
      </c>
      <c r="I4">
        <v>8.8319812711201706E-4</v>
      </c>
      <c r="J4">
        <v>0.13739337408998864</v>
      </c>
      <c r="K4">
        <v>4.93102042936715E-2</v>
      </c>
      <c r="L4">
        <v>0.16346340391895264</v>
      </c>
      <c r="M4">
        <v>0.15165498697161639</v>
      </c>
      <c r="N4">
        <v>-3.7833919205281896E-2</v>
      </c>
      <c r="O4">
        <v>-3.2854561153112916E-2</v>
      </c>
      <c r="P4">
        <v>8.8478774729274345E-2</v>
      </c>
      <c r="Q4">
        <v>5.2819549037135038E-2</v>
      </c>
      <c r="R4">
        <v>7.9197987324172381E-2</v>
      </c>
      <c r="S4">
        <v>2.0094932630428275E-2</v>
      </c>
      <c r="T4">
        <v>0.1675414410016085</v>
      </c>
      <c r="U4">
        <v>0.1310381975414967</v>
      </c>
      <c r="V4">
        <v>5.2266955821262284E-2</v>
      </c>
      <c r="W4">
        <v>1.4832552895459594E-2</v>
      </c>
      <c r="X4">
        <v>-1.9128735871546287E-2</v>
      </c>
      <c r="Y4">
        <v>-0.10185033256489218</v>
      </c>
      <c r="Z4">
        <v>-0.10937817346668721</v>
      </c>
      <c r="AA4">
        <v>5.4434209891755625E-2</v>
      </c>
      <c r="AB4">
        <v>3.2901852569451107E-2</v>
      </c>
      <c r="AC4">
        <v>0.13941133867926814</v>
      </c>
      <c r="AD4">
        <v>-1.9714931120616841E-3</v>
      </c>
      <c r="AE4">
        <v>9.5073761389524059E-2</v>
      </c>
      <c r="AF4">
        <v>0.23102348181169319</v>
      </c>
      <c r="AG4">
        <v>-5.5404051968755641E-2</v>
      </c>
      <c r="AH4">
        <v>-1.6079316485009265E-2</v>
      </c>
      <c r="AI4">
        <v>0.17435244591535337</v>
      </c>
      <c r="AJ4">
        <v>6.8288645445059748E-2</v>
      </c>
      <c r="AK4">
        <v>-0.10568757583847876</v>
      </c>
      <c r="AL4">
        <v>7.7890760169976314E-3</v>
      </c>
      <c r="AM4">
        <v>-9.7682374094033908E-2</v>
      </c>
      <c r="AN4">
        <v>-4.8483464601972281E-2</v>
      </c>
      <c r="AO4">
        <v>-3.0515458984663457E-3</v>
      </c>
      <c r="AP4">
        <v>2.7520955675692793E-3</v>
      </c>
      <c r="AQ4">
        <v>3.4665731121924281E-2</v>
      </c>
      <c r="AR4">
        <v>0.16682695641162315</v>
      </c>
      <c r="AS4">
        <v>3.9148103395052702E-2</v>
      </c>
      <c r="AT4">
        <v>0.19318839075466232</v>
      </c>
      <c r="AU4">
        <v>-6.6513778884906838E-3</v>
      </c>
      <c r="AV4">
        <v>0.15805628543610295</v>
      </c>
      <c r="AW4">
        <v>6.1989057853666374E-2</v>
      </c>
      <c r="AX4">
        <v>-0.10102989980336718</v>
      </c>
      <c r="AY4">
        <v>4.7570480242633773E-2</v>
      </c>
    </row>
    <row r="5" spans="1:51" x14ac:dyDescent="0.35">
      <c r="A5" t="s">
        <v>160</v>
      </c>
      <c r="B5">
        <v>2.0947373043940232E-3</v>
      </c>
      <c r="C5">
        <v>0.16863527274992385</v>
      </c>
      <c r="D5">
        <v>-4.3988899549594396E-2</v>
      </c>
      <c r="E5">
        <v>9.2439085080484595E-3</v>
      </c>
      <c r="F5">
        <v>-5.8187200655120397E-2</v>
      </c>
      <c r="G5">
        <v>6.393462710665343E-2</v>
      </c>
      <c r="H5">
        <v>3.9390304980641E-2</v>
      </c>
      <c r="I5">
        <v>-4.8821518700243871E-3</v>
      </c>
      <c r="J5">
        <v>-1.0087751091934383E-2</v>
      </c>
      <c r="K5">
        <v>-4.0523476546512227E-2</v>
      </c>
      <c r="L5">
        <v>0.22293804810000961</v>
      </c>
      <c r="M5">
        <v>0.17926818565699532</v>
      </c>
      <c r="N5">
        <v>-1.3958242070529314E-2</v>
      </c>
      <c r="O5">
        <v>6.29207364008606E-2</v>
      </c>
      <c r="P5">
        <v>-5.8488370474529816E-4</v>
      </c>
      <c r="Q5">
        <v>-2.4558541927591326E-2</v>
      </c>
      <c r="R5">
        <v>9.9825643984252199E-2</v>
      </c>
      <c r="S5">
        <v>9.5745177078208954E-2</v>
      </c>
      <c r="T5">
        <v>0.18763394710053749</v>
      </c>
      <c r="U5">
        <v>0.25076435289002275</v>
      </c>
      <c r="V5">
        <v>4.3184299723693531E-2</v>
      </c>
      <c r="W5">
        <v>1.4553844236743441E-2</v>
      </c>
      <c r="X5">
        <v>-6.46543044094261E-2</v>
      </c>
      <c r="Y5">
        <v>-6.8264578060728831E-2</v>
      </c>
      <c r="Z5">
        <v>-6.1684509125154663E-2</v>
      </c>
      <c r="AA5">
        <v>9.5210856186225046E-2</v>
      </c>
      <c r="AB5">
        <v>0.11893617882276653</v>
      </c>
      <c r="AC5">
        <v>-3.1171782286205985E-2</v>
      </c>
      <c r="AD5">
        <v>1.8900135651397809E-2</v>
      </c>
      <c r="AE5">
        <v>1.2824898959576503E-2</v>
      </c>
      <c r="AF5">
        <v>0.21820203216987899</v>
      </c>
      <c r="AG5">
        <v>-2.4014377471840653E-2</v>
      </c>
      <c r="AH5">
        <v>3.8296852003223636E-2</v>
      </c>
      <c r="AI5">
        <v>1.9952541657046741E-2</v>
      </c>
      <c r="AJ5">
        <v>0.15024427853413069</v>
      </c>
      <c r="AK5">
        <v>-9.0532127248145189E-3</v>
      </c>
      <c r="AL5">
        <v>7.8239784778870725E-3</v>
      </c>
      <c r="AM5">
        <v>1.2720264634141998E-2</v>
      </c>
      <c r="AN5">
        <v>0.11698172627821091</v>
      </c>
      <c r="AO5">
        <v>1.3563192783854205E-2</v>
      </c>
      <c r="AP5">
        <v>-3.1307857227137026E-2</v>
      </c>
      <c r="AQ5">
        <v>-1.7042856163464459E-2</v>
      </c>
      <c r="AR5">
        <v>0.20639671534077375</v>
      </c>
      <c r="AS5">
        <v>5.989281647284872E-2</v>
      </c>
      <c r="AT5">
        <v>0.15184773869153112</v>
      </c>
      <c r="AU5">
        <v>5.3546078104615979E-3</v>
      </c>
      <c r="AV5">
        <v>6.5052611824913953E-2</v>
      </c>
      <c r="AW5">
        <v>7.8823819307450416E-2</v>
      </c>
      <c r="AX5">
        <v>-0.14338179349370206</v>
      </c>
      <c r="AY5">
        <v>0.11585202582222953</v>
      </c>
    </row>
    <row r="6" spans="1:51" x14ac:dyDescent="0.35">
      <c r="A6" t="s">
        <v>159</v>
      </c>
      <c r="B6">
        <v>2.030658361074611E-2</v>
      </c>
      <c r="C6">
        <v>0.17407088736482224</v>
      </c>
      <c r="D6">
        <v>-4.6518788571582204E-2</v>
      </c>
      <c r="E6">
        <v>8.6784081187656348E-3</v>
      </c>
      <c r="F6">
        <v>-1.094991646316601E-2</v>
      </c>
      <c r="G6">
        <v>4.2874326827782028E-2</v>
      </c>
      <c r="H6">
        <v>4.2086601997496809E-2</v>
      </c>
      <c r="I6">
        <v>-1.7316859701690612E-2</v>
      </c>
      <c r="J6">
        <v>5.8994448996374516E-3</v>
      </c>
      <c r="K6">
        <v>1.566046272107835E-2</v>
      </c>
      <c r="L6">
        <v>0.13556024037343284</v>
      </c>
      <c r="M6">
        <v>9.9561145246060745E-2</v>
      </c>
      <c r="N6">
        <v>-1.1234137156741375E-2</v>
      </c>
      <c r="O6">
        <v>7.7927824267948642E-2</v>
      </c>
      <c r="P6">
        <v>7.6843927674916657E-2</v>
      </c>
      <c r="Q6">
        <v>-2.3689760318698072E-2</v>
      </c>
      <c r="R6">
        <v>9.5850567757821414E-2</v>
      </c>
      <c r="S6">
        <v>-1.6291818495720589E-3</v>
      </c>
      <c r="T6">
        <v>0.15662866258483188</v>
      </c>
      <c r="U6">
        <v>0.11023687113533853</v>
      </c>
      <c r="V6">
        <v>2.3511467000357333E-2</v>
      </c>
      <c r="W6">
        <v>3.6602317517634653E-2</v>
      </c>
      <c r="X6">
        <v>-4.8538279095632464E-2</v>
      </c>
      <c r="Y6">
        <v>-3.0067359701889673E-2</v>
      </c>
      <c r="Z6">
        <v>-3.4510361971969217E-2</v>
      </c>
      <c r="AA6">
        <v>9.5364119469438791E-2</v>
      </c>
      <c r="AB6">
        <v>1.4863393955985682E-2</v>
      </c>
      <c r="AC6">
        <v>-2.9047233095698566E-2</v>
      </c>
      <c r="AD6">
        <v>-1.5385537587214504E-2</v>
      </c>
      <c r="AE6">
        <v>-7.3986273175308259E-4</v>
      </c>
      <c r="AF6">
        <v>0.11899469604747615</v>
      </c>
      <c r="AG6">
        <v>7.204786691262699E-2</v>
      </c>
      <c r="AH6">
        <v>5.7388718776625325E-3</v>
      </c>
      <c r="AI6">
        <v>0.13027792547223549</v>
      </c>
      <c r="AJ6">
        <v>0.1133545730503398</v>
      </c>
      <c r="AK6">
        <v>6.023182481219802E-3</v>
      </c>
      <c r="AL6">
        <v>2.5378987462348235E-2</v>
      </c>
      <c r="AM6">
        <v>-3.319730127062881E-3</v>
      </c>
      <c r="AN6">
        <v>3.5408805121952325E-2</v>
      </c>
      <c r="AO6">
        <v>-1.1836192945465451E-2</v>
      </c>
      <c r="AP6">
        <v>3.4041737409844508E-3</v>
      </c>
      <c r="AQ6">
        <v>-1.5798285098030274E-2</v>
      </c>
      <c r="AR6">
        <v>0.12280627257731114</v>
      </c>
      <c r="AS6">
        <v>4.3636186103408248E-2</v>
      </c>
      <c r="AT6">
        <v>0.11189226414190867</v>
      </c>
      <c r="AU6">
        <v>4.2019732941085852E-2</v>
      </c>
      <c r="AV6">
        <v>4.830090038191881E-2</v>
      </c>
      <c r="AW6">
        <v>1.195386399278342E-2</v>
      </c>
      <c r="AX6">
        <v>-5.9960932960714364E-2</v>
      </c>
      <c r="AY6">
        <v>3.6272181257773983E-2</v>
      </c>
    </row>
    <row r="7" spans="1:51" x14ac:dyDescent="0.35">
      <c r="A7" t="s">
        <v>158</v>
      </c>
      <c r="B7">
        <v>4.2149821151798994E-2</v>
      </c>
      <c r="C7">
        <v>0.10310123378760072</v>
      </c>
      <c r="D7">
        <v>3.1754403971268275E-2</v>
      </c>
      <c r="E7">
        <v>2.5015652143324685E-2</v>
      </c>
      <c r="F7">
        <v>1.9348110955474951E-2</v>
      </c>
      <c r="G7">
        <v>1.0157775343372144E-2</v>
      </c>
      <c r="H7">
        <v>4.9364963256446348E-2</v>
      </c>
      <c r="I7">
        <v>-1.0190624127589532E-2</v>
      </c>
      <c r="J7">
        <v>3.9711314704807599E-2</v>
      </c>
      <c r="K7">
        <v>1.7363413659658988E-3</v>
      </c>
      <c r="L7">
        <v>5.2922022453726125E-2</v>
      </c>
      <c r="M7">
        <v>7.1070860032021566E-2</v>
      </c>
      <c r="N7">
        <v>-1.7577139890127547E-2</v>
      </c>
      <c r="O7">
        <v>3.0519435576796816E-3</v>
      </c>
      <c r="P7">
        <v>7.7577743992467196E-2</v>
      </c>
      <c r="Q7">
        <v>3.0400247471855657E-3</v>
      </c>
      <c r="R7">
        <v>8.3761181406708518E-2</v>
      </c>
      <c r="S7">
        <v>-2.5010586373327315E-2</v>
      </c>
      <c r="T7">
        <v>0.11157190887237256</v>
      </c>
      <c r="U7">
        <v>3.9371753544031662E-2</v>
      </c>
      <c r="V7">
        <v>2.0310458220712091E-2</v>
      </c>
      <c r="W7">
        <v>5.9640325461275623E-2</v>
      </c>
      <c r="X7">
        <v>5.9617911935997192E-2</v>
      </c>
      <c r="Y7">
        <v>4.2957097710987213E-3</v>
      </c>
      <c r="Z7">
        <v>1.6193350720530519E-2</v>
      </c>
      <c r="AA7">
        <v>5.8660680685023614E-2</v>
      </c>
      <c r="AB7">
        <v>-1.4014379546415157E-2</v>
      </c>
      <c r="AC7">
        <v>3.1370644912172452E-2</v>
      </c>
      <c r="AD7">
        <v>-8.982946330022834E-3</v>
      </c>
      <c r="AE7">
        <v>1.6586273497583459E-2</v>
      </c>
      <c r="AF7">
        <v>6.4740848808989337E-2</v>
      </c>
      <c r="AG7">
        <v>1.0540152102622935E-2</v>
      </c>
      <c r="AH7">
        <v>3.9379022970009503E-2</v>
      </c>
      <c r="AI7">
        <v>6.5580331063234354E-2</v>
      </c>
      <c r="AJ7">
        <v>7.6254379826020013E-2</v>
      </c>
      <c r="AK7">
        <v>-2.4022284728990151E-2</v>
      </c>
      <c r="AL7">
        <v>7.6718608750679707E-2</v>
      </c>
      <c r="AM7">
        <v>-5.1493088273791843E-3</v>
      </c>
      <c r="AN7">
        <v>-1.1449030297456586E-2</v>
      </c>
      <c r="AO7">
        <v>2.57450236135921E-2</v>
      </c>
      <c r="AP7">
        <v>2.0794227346421668E-2</v>
      </c>
      <c r="AQ7">
        <v>7.6564054535642301E-2</v>
      </c>
      <c r="AR7">
        <v>1.2164388978604501E-2</v>
      </c>
      <c r="AS7">
        <v>5.9620057740045418E-2</v>
      </c>
      <c r="AT7">
        <v>2.0534110572525854E-2</v>
      </c>
      <c r="AU7">
        <v>2.6882986772883921E-2</v>
      </c>
      <c r="AV7">
        <v>3.2178990974434107E-2</v>
      </c>
      <c r="AW7">
        <v>3.5080280965447574E-2</v>
      </c>
      <c r="AX7">
        <v>7.7056709367708809E-3</v>
      </c>
      <c r="AY7">
        <v>2.4774392298001047E-2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7"/>
  <sheetViews>
    <sheetView workbookViewId="0">
      <selection activeCell="A2" sqref="A2:A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163</v>
      </c>
      <c r="B2" s="1">
        <v>0.17</v>
      </c>
    </row>
    <row r="3" spans="1:2" x14ac:dyDescent="0.35">
      <c r="A3" s="1" t="s">
        <v>164</v>
      </c>
      <c r="B3" s="1">
        <v>0.05</v>
      </c>
    </row>
    <row r="4" spans="1:2" x14ac:dyDescent="0.35">
      <c r="A4" s="1" t="s">
        <v>165</v>
      </c>
      <c r="B4" s="1">
        <v>0.19</v>
      </c>
    </row>
    <row r="5" spans="1:2" x14ac:dyDescent="0.35">
      <c r="A5" s="1" t="s">
        <v>166</v>
      </c>
      <c r="B5" s="1">
        <v>0.28000000000000003</v>
      </c>
    </row>
    <row r="6" spans="1:2" x14ac:dyDescent="0.35">
      <c r="A6" s="1" t="s">
        <v>167</v>
      </c>
      <c r="B6" s="1">
        <v>0.3</v>
      </c>
    </row>
    <row r="7" spans="1:2" x14ac:dyDescent="0.35">
      <c r="A7" s="1" t="s">
        <v>168</v>
      </c>
      <c r="B7" s="1">
        <v>0.82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B7" sqref="A1:B7"/>
    </sheetView>
  </sheetViews>
  <sheetFormatPr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106</v>
      </c>
      <c r="B2" s="1">
        <v>8.5999999999999993E-2</v>
      </c>
    </row>
    <row r="3" spans="1:2" x14ac:dyDescent="0.35">
      <c r="A3" s="1" t="s">
        <v>107</v>
      </c>
      <c r="B3" s="1">
        <v>7.0000000000000007E-2</v>
      </c>
    </row>
    <row r="4" spans="1:2" x14ac:dyDescent="0.35">
      <c r="A4" s="1" t="s">
        <v>161</v>
      </c>
      <c r="B4" s="1">
        <v>4.9000000000000002E-2</v>
      </c>
    </row>
    <row r="5" spans="1:2" x14ac:dyDescent="0.35">
      <c r="A5" s="1" t="s">
        <v>160</v>
      </c>
      <c r="B5" s="1">
        <v>0.05</v>
      </c>
    </row>
    <row r="6" spans="1:2" x14ac:dyDescent="0.35">
      <c r="A6" s="1" t="s">
        <v>159</v>
      </c>
      <c r="B6" s="1">
        <v>3.6999999999999998E-2</v>
      </c>
    </row>
    <row r="7" spans="1:2" x14ac:dyDescent="0.35">
      <c r="A7" s="1" t="s">
        <v>158</v>
      </c>
      <c r="B7" s="1">
        <v>2.9000000000000001E-2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sqref="A1:G7"/>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
        <v>158</v>
      </c>
      <c r="C1" t="s">
        <v>159</v>
      </c>
      <c r="D1" t="s">
        <v>160</v>
      </c>
      <c r="E1" t="s">
        <v>161</v>
      </c>
      <c r="F1" t="s">
        <v>107</v>
      </c>
      <c r="G1" t="s">
        <v>106</v>
      </c>
    </row>
    <row r="2" spans="1:7" x14ac:dyDescent="0.35">
      <c r="A2" t="s">
        <v>158</v>
      </c>
      <c r="B2">
        <v>1</v>
      </c>
      <c r="C2">
        <v>0.6</v>
      </c>
      <c r="D2">
        <v>0.2</v>
      </c>
      <c r="E2">
        <v>0.4</v>
      </c>
      <c r="F2">
        <v>0</v>
      </c>
      <c r="G2">
        <v>0</v>
      </c>
    </row>
    <row r="3" spans="1:7" x14ac:dyDescent="0.35">
      <c r="A3" t="s">
        <v>159</v>
      </c>
      <c r="B3">
        <v>0.6</v>
      </c>
      <c r="C3">
        <v>1</v>
      </c>
      <c r="D3">
        <v>0.7</v>
      </c>
      <c r="E3">
        <v>0.6</v>
      </c>
      <c r="F3">
        <v>0.3</v>
      </c>
      <c r="G3">
        <v>0.3</v>
      </c>
    </row>
    <row r="4" spans="1:7" x14ac:dyDescent="0.35">
      <c r="A4" t="s">
        <v>160</v>
      </c>
      <c r="B4">
        <v>0.2</v>
      </c>
      <c r="C4">
        <v>0.7</v>
      </c>
      <c r="D4">
        <v>1</v>
      </c>
      <c r="E4">
        <v>0.7</v>
      </c>
      <c r="F4">
        <v>0.7</v>
      </c>
      <c r="G4">
        <v>0.6</v>
      </c>
    </row>
    <row r="5" spans="1:7" x14ac:dyDescent="0.35">
      <c r="A5" t="s">
        <v>161</v>
      </c>
      <c r="B5">
        <v>0.4</v>
      </c>
      <c r="C5">
        <v>0.6</v>
      </c>
      <c r="D5">
        <v>0.7</v>
      </c>
      <c r="E5">
        <v>1</v>
      </c>
      <c r="F5">
        <v>0.5</v>
      </c>
      <c r="G5">
        <v>0.7</v>
      </c>
    </row>
    <row r="6" spans="1:7" x14ac:dyDescent="0.35">
      <c r="A6" t="s">
        <v>107</v>
      </c>
      <c r="B6">
        <v>0</v>
      </c>
      <c r="C6">
        <v>0.3</v>
      </c>
      <c r="D6">
        <v>0.7</v>
      </c>
      <c r="E6">
        <v>0.5</v>
      </c>
      <c r="F6">
        <v>1</v>
      </c>
      <c r="G6">
        <v>0.7</v>
      </c>
    </row>
    <row r="7" spans="1:7" x14ac:dyDescent="0.35">
      <c r="A7" t="s">
        <v>106</v>
      </c>
      <c r="B7">
        <v>0</v>
      </c>
      <c r="C7">
        <v>0.3</v>
      </c>
      <c r="D7">
        <v>0.6</v>
      </c>
      <c r="E7">
        <v>0.7</v>
      </c>
      <c r="F7">
        <v>0.7</v>
      </c>
      <c r="G7">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G7"/>
  <sheetViews>
    <sheetView workbookViewId="0">
      <selection activeCell="B6" sqref="B6"/>
    </sheetView>
  </sheetViews>
  <sheetFormatPr defaultRowHeight="14.5" x14ac:dyDescent="0.35"/>
  <cols>
    <col min="1" max="1" width="31.453125" bestFit="1" customWidth="1"/>
    <col min="2" max="2" width="29.6328125" bestFit="1" customWidth="1"/>
    <col min="3" max="3" width="31.453125" bestFit="1" customWidth="1"/>
    <col min="4" max="4" width="24.90625" bestFit="1" customWidth="1"/>
    <col min="5" max="5" width="30.81640625" bestFit="1" customWidth="1"/>
    <col min="6" max="6" width="24.36328125" bestFit="1" customWidth="1"/>
    <col min="7" max="7" width="23.26953125" bestFit="1" customWidth="1"/>
  </cols>
  <sheetData>
    <row r="1" spans="1:7" x14ac:dyDescent="0.35">
      <c r="B1" t="str" cm="1">
        <f t="array" ref="B1:G1">TRANSPOSE(A2:A7)</f>
        <v>Small Cap</v>
      </c>
      <c r="C1" t="str">
        <v>US Agg Bond</v>
      </c>
      <c r="D1" t="str">
        <v>Gold</v>
      </c>
      <c r="E1" t="str">
        <v>Private Equity</v>
      </c>
      <c r="F1" t="str">
        <v>Venture Capital</v>
      </c>
      <c r="G1" t="str">
        <v>Angel Venture</v>
      </c>
    </row>
    <row r="2" spans="1:7" x14ac:dyDescent="0.35">
      <c r="A2" t="s">
        <v>163</v>
      </c>
      <c r="B2">
        <v>1</v>
      </c>
      <c r="C2">
        <v>-8.6999999999999994E-2</v>
      </c>
      <c r="D2">
        <v>-0.01</v>
      </c>
      <c r="E2">
        <v>0.78600000000000003</v>
      </c>
      <c r="F2">
        <v>0.68700000000000006</v>
      </c>
      <c r="G2">
        <v>0.45800000000000002</v>
      </c>
    </row>
    <row r="3" spans="1:7" x14ac:dyDescent="0.35">
      <c r="A3" t="s">
        <v>164</v>
      </c>
      <c r="B3">
        <v>-8.6999999999999994E-2</v>
      </c>
      <c r="C3">
        <v>1</v>
      </c>
      <c r="D3">
        <v>0.40799999999999997</v>
      </c>
      <c r="E3">
        <v>3.4000000000000002E-2</v>
      </c>
      <c r="F3">
        <v>-0.11</v>
      </c>
      <c r="G3">
        <v>-0.01</v>
      </c>
    </row>
    <row r="4" spans="1:7" x14ac:dyDescent="0.35">
      <c r="A4" t="s">
        <v>165</v>
      </c>
      <c r="B4">
        <v>-0.01</v>
      </c>
      <c r="C4">
        <v>0.40799999999999997</v>
      </c>
      <c r="D4">
        <v>1</v>
      </c>
      <c r="E4">
        <v>0.03</v>
      </c>
      <c r="F4">
        <v>2.5999999999999999E-2</v>
      </c>
      <c r="G4">
        <v>-0.01</v>
      </c>
    </row>
    <row r="5" spans="1:7" x14ac:dyDescent="0.35">
      <c r="A5" t="s">
        <v>166</v>
      </c>
      <c r="B5">
        <v>0.78600000000000003</v>
      </c>
      <c r="C5">
        <v>3.4000000000000002E-2</v>
      </c>
      <c r="D5">
        <v>0.03</v>
      </c>
      <c r="E5">
        <v>1</v>
      </c>
      <c r="F5">
        <v>0.56999999999999995</v>
      </c>
      <c r="G5">
        <v>0.92200000000000004</v>
      </c>
    </row>
    <row r="6" spans="1:7" x14ac:dyDescent="0.35">
      <c r="A6" t="s">
        <v>167</v>
      </c>
      <c r="B6">
        <v>0.68700000000000006</v>
      </c>
      <c r="C6">
        <v>-0.11</v>
      </c>
      <c r="D6">
        <v>2.5999999999999999E-2</v>
      </c>
      <c r="E6">
        <v>0.56999999999999995</v>
      </c>
      <c r="F6">
        <v>1</v>
      </c>
      <c r="G6">
        <v>0.82499999999999996</v>
      </c>
    </row>
    <row r="7" spans="1:7" x14ac:dyDescent="0.35">
      <c r="A7" t="s">
        <v>168</v>
      </c>
      <c r="B7">
        <v>0.45800000000000002</v>
      </c>
      <c r="C7">
        <v>-0.01</v>
      </c>
      <c r="D7">
        <v>-0.01</v>
      </c>
      <c r="E7">
        <v>0.92200000000000004</v>
      </c>
      <c r="F7">
        <v>0.82499999999999996</v>
      </c>
      <c r="G7">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F14" sqref="F14"/>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32" t="s">
        <v>81</v>
      </c>
    </row>
    <row r="3" spans="2:7" x14ac:dyDescent="0.35">
      <c r="B3" t="s">
        <v>72</v>
      </c>
      <c r="C3">
        <v>1</v>
      </c>
      <c r="D3">
        <v>0.45</v>
      </c>
      <c r="E3">
        <v>0.5</v>
      </c>
      <c r="F3">
        <v>0.57999999999999996</v>
      </c>
      <c r="G3" s="32"/>
    </row>
    <row r="4" spans="2:7" x14ac:dyDescent="0.35">
      <c r="B4" t="s">
        <v>73</v>
      </c>
      <c r="C4" s="23">
        <v>5157000</v>
      </c>
      <c r="D4" s="23">
        <v>5000000</v>
      </c>
      <c r="E4" s="23">
        <v>713500</v>
      </c>
      <c r="F4" s="23">
        <v>8812000</v>
      </c>
      <c r="G4" s="32"/>
    </row>
    <row r="5" spans="2:7" x14ac:dyDescent="0.35">
      <c r="B5" t="s">
        <v>74</v>
      </c>
      <c r="C5">
        <v>10</v>
      </c>
      <c r="D5">
        <v>30</v>
      </c>
      <c r="E5">
        <v>4</v>
      </c>
      <c r="F5">
        <v>18</v>
      </c>
      <c r="G5" s="32"/>
    </row>
    <row r="7" spans="2:7" x14ac:dyDescent="0.35">
      <c r="B7" t="s">
        <v>79</v>
      </c>
      <c r="C7" t="s">
        <v>75</v>
      </c>
      <c r="D7" t="s">
        <v>76</v>
      </c>
      <c r="E7" t="s">
        <v>77</v>
      </c>
      <c r="F7" t="s">
        <v>78</v>
      </c>
      <c r="G7" s="32" t="s">
        <v>80</v>
      </c>
    </row>
    <row r="8" spans="2:7" x14ac:dyDescent="0.35">
      <c r="B8" t="s">
        <v>72</v>
      </c>
      <c r="C8">
        <v>1</v>
      </c>
      <c r="D8">
        <v>0.45</v>
      </c>
      <c r="E8">
        <v>0.5</v>
      </c>
      <c r="F8">
        <v>0.57999999999999996</v>
      </c>
      <c r="G8" s="32"/>
    </row>
    <row r="9" spans="2:7" x14ac:dyDescent="0.35">
      <c r="B9" t="s">
        <v>73</v>
      </c>
      <c r="C9" s="23">
        <v>1000000</v>
      </c>
      <c r="D9" s="23">
        <v>2000000</v>
      </c>
      <c r="E9" s="23">
        <v>20000</v>
      </c>
      <c r="F9" s="23">
        <v>100000</v>
      </c>
      <c r="G9" s="32"/>
    </row>
    <row r="10" spans="2:7" x14ac:dyDescent="0.35">
      <c r="B10" t="s">
        <v>74</v>
      </c>
      <c r="C10">
        <v>10</v>
      </c>
      <c r="D10">
        <v>30</v>
      </c>
      <c r="E10">
        <v>4</v>
      </c>
      <c r="F10">
        <v>18</v>
      </c>
      <c r="G10" s="32"/>
    </row>
  </sheetData>
  <mergeCells count="2">
    <mergeCell ref="G7:G10"/>
    <mergeCell ref="G2:G5"/>
  </mergeCells>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zoomScale="115" zoomScaleNormal="115" workbookViewId="0">
      <selection activeCell="G10" sqref="G10"/>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83</v>
      </c>
      <c r="F2" s="2" t="s">
        <v>84</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82</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K7" sqref="K7"/>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N</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Y</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N</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Y</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Y</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N</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5E06E7C1-9404-4A4A-B964-A85FD9F3B2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Index</vt:lpstr>
      <vt:lpstr>Loop</vt:lpstr>
      <vt:lpstr>GBI Allocations P1</vt:lpstr>
      <vt:lpstr>GBI Goals P1</vt:lpstr>
      <vt:lpstr>GBI Allocations P2</vt:lpstr>
      <vt:lpstr>notes next time talk</vt:lpstr>
      <vt:lpstr>GBI Goals P2</vt:lpstr>
      <vt:lpstr>Returns2</vt:lpstr>
      <vt:lpstr>Returns</vt:lpstr>
      <vt:lpstr>Volatilities2</vt:lpstr>
      <vt:lpstr>Volatilities</vt:lpstr>
      <vt:lpstr>Correlation</vt:lpstr>
      <vt:lpstr>Correlation2</vt:lpstr>
      <vt:lpstr>Goals</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2025-04-02T11:41:16Z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