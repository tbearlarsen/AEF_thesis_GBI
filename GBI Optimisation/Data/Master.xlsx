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81087B0B-CC3D-481F-A2AA-C2A958518754}" xr6:coauthVersionLast="47" xr6:coauthVersionMax="47" xr10:uidLastSave="{00000000-0000-0000-0000-000000000000}"/>
  <bookViews>
    <workbookView xWindow="-110" yWindow="-110" windowWidth="19420" windowHeight="10300" firstSheet="1" activeTab="1" xr2:uid="{31CD02D4-91DC-4A3F-AC52-23F22D133229}"/>
  </bookViews>
  <sheets>
    <sheet name="Index" sheetId="7" r:id="rId1"/>
    <sheet name="Loop" sheetId="1" r:id="rId2"/>
    <sheet name="Sheet2" sheetId="42" r:id="rId3"/>
    <sheet name="Sheet1" sheetId="41" r:id="rId4"/>
    <sheet name="Aktiesparekonto Increase" sheetId="43" r:id="rId5"/>
    <sheet name="Goals" sheetId="10" r:id="rId6"/>
    <sheet name="FinalWealth" sheetId="40" r:id="rId7"/>
    <sheet name="Salary" sheetId="30" r:id="rId8"/>
    <sheet name="Wealth" sheetId="33" r:id="rId9"/>
    <sheet name="GBI Allocations P1" sheetId="26" r:id="rId10"/>
    <sheet name="GBI Goals P1" sheetId="27" r:id="rId11"/>
    <sheet name="GBI Allocations P2" sheetId="28" r:id="rId12"/>
    <sheet name="notes next time talk" sheetId="18" state="hidden" r:id="rId13"/>
    <sheet name="GBI Goals P2" sheetId="29" r:id="rId14"/>
    <sheet name="Returns" sheetId="23" r:id="rId15"/>
    <sheet name="BasisPointCost" sheetId="38" r:id="rId16"/>
    <sheet name="Returns2" sheetId="39" r:id="rId17"/>
    <sheet name="Volatilities" sheetId="20" r:id="rId18"/>
    <sheet name="Volatilities2" sheetId="24" r:id="rId19"/>
    <sheet name="Correlation" sheetId="22" r:id="rId20"/>
    <sheet name="Correlation2" sheetId="25" r:id="rId21"/>
    <sheet name="Income" sheetId="2" r:id="rId22"/>
    <sheet name="Job Hopping" sheetId="8" r:id="rId23"/>
    <sheet name="Djøf Finance Workers" sheetId="5" r:id="rId24"/>
    <sheet name="Djøf Finance Hoppers" sheetId="6"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pivotCaches>
    <pivotCache cacheId="0" r:id="rId62"/>
    <pivotCache cacheId="1" r:id="rId6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42" l="1" a="1"/>
  <c r="Y5" i="42" s="1"/>
  <c r="X5" i="42" a="1"/>
  <c r="X5" i="42" s="1"/>
  <c r="W5" i="42" a="1"/>
  <c r="W5" i="42" s="1"/>
  <c r="V5" i="42" a="1"/>
  <c r="V5" i="42" s="1"/>
  <c r="F7" i="43"/>
  <c r="V4" i="42" a="1"/>
  <c r="V4" i="42" s="1"/>
  <c r="E7" i="43"/>
  <c r="C9" i="43"/>
  <c r="C8" i="43"/>
  <c r="C7" i="43"/>
  <c r="C6" i="43"/>
  <c r="C5" i="43"/>
  <c r="C4" i="43"/>
  <c r="B4" i="43"/>
  <c r="F4" i="42" a="1"/>
  <c r="F4" i="42" s="1"/>
  <c r="G4" i="42" s="1"/>
  <c r="H4" i="42" s="1"/>
  <c r="E4" i="42" a="1"/>
  <c r="E4" i="42" s="1"/>
  <c r="G5" i="42" s="1"/>
  <c r="H5" i="42" s="1"/>
  <c r="K3" i="42"/>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O5" i="23"/>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N5" i="23"/>
  <c r="N4" i="23"/>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N3" i="23"/>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N2" i="23"/>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6" i="23"/>
  <c r="M5" i="23"/>
  <c r="M4" i="23"/>
  <c r="M3" i="23"/>
  <c r="M2" i="23"/>
  <c r="M7" i="23"/>
  <c r="L7" i="23"/>
  <c r="L6" i="23"/>
  <c r="L5" i="23"/>
  <c r="L4" i="23"/>
  <c r="L3" i="23"/>
  <c r="L2" i="23"/>
  <c r="B2" i="23"/>
  <c r="C2" i="23" s="1"/>
  <c r="D2" i="23" s="1"/>
  <c r="E2" i="23" s="1"/>
  <c r="F2" i="23" s="1"/>
  <c r="G2" i="23" s="1"/>
  <c r="H2" i="23" s="1"/>
  <c r="I2" i="23" s="1"/>
  <c r="J2" i="23" s="1"/>
  <c r="K2" i="23" s="1"/>
  <c r="B3" i="23"/>
  <c r="C3" i="23" s="1"/>
  <c r="D3" i="23" s="1"/>
  <c r="E3" i="23" s="1"/>
  <c r="F3" i="23" s="1"/>
  <c r="G3" i="23" s="1"/>
  <c r="H3" i="23" s="1"/>
  <c r="I3" i="23" s="1"/>
  <c r="J3" i="23" s="1"/>
  <c r="K3" i="23" s="1"/>
  <c r="B4" i="23"/>
  <c r="C4" i="23" s="1"/>
  <c r="D4" i="23" s="1"/>
  <c r="E4" i="23" s="1"/>
  <c r="F4" i="23" s="1"/>
  <c r="G4" i="23" s="1"/>
  <c r="H4" i="23" s="1"/>
  <c r="I4" i="23" s="1"/>
  <c r="J4" i="23" s="1"/>
  <c r="K4" i="23" s="1"/>
  <c r="B5" i="23"/>
  <c r="C5" i="23" s="1"/>
  <c r="D5" i="23" s="1"/>
  <c r="E5" i="23" s="1"/>
  <c r="F5" i="23" s="1"/>
  <c r="G5" i="23" s="1"/>
  <c r="H5" i="23" s="1"/>
  <c r="I5" i="23" s="1"/>
  <c r="J5" i="23" s="1"/>
  <c r="K5" i="23" s="1"/>
  <c r="B6" i="23"/>
  <c r="C6" i="23" s="1"/>
  <c r="D6" i="23" s="1"/>
  <c r="E6" i="23" s="1"/>
  <c r="F6" i="23" s="1"/>
  <c r="G6" i="23" s="1"/>
  <c r="H6" i="23" s="1"/>
  <c r="I6" i="23" s="1"/>
  <c r="J6" i="23" s="1"/>
  <c r="K6" i="23" s="1"/>
  <c r="B7" i="23"/>
  <c r="C7" i="23" s="1"/>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B3" i="33"/>
  <c r="B2" i="33"/>
  <c r="C3" i="2"/>
  <c r="D3" i="2"/>
  <c r="E3" i="2"/>
  <c r="F3" i="2"/>
  <c r="O3" i="2"/>
  <c r="P3" i="2"/>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V8" i="42" l="1"/>
  <c r="W8" i="42"/>
  <c r="X8" i="42"/>
  <c r="Y8" i="42"/>
  <c r="I38" i="42"/>
  <c r="G42" i="42"/>
  <c r="H42" i="42" s="1"/>
  <c r="G44" i="42"/>
  <c r="H44" i="42" s="1"/>
  <c r="G45" i="42"/>
  <c r="H45" i="42" s="1"/>
  <c r="G31" i="42"/>
  <c r="H31" i="42" s="1"/>
  <c r="I47" i="42"/>
  <c r="G32" i="42"/>
  <c r="H32" i="42" s="1"/>
  <c r="I48" i="42"/>
  <c r="I34" i="42"/>
  <c r="G51" i="42"/>
  <c r="H51" i="42" s="1"/>
  <c r="I37" i="42"/>
  <c r="I51" i="42"/>
  <c r="I31" i="42"/>
  <c r="G35" i="42"/>
  <c r="H35" i="42" s="1"/>
  <c r="G38" i="42"/>
  <c r="H38" i="42" s="1"/>
  <c r="I41" i="42"/>
  <c r="I44" i="42"/>
  <c r="G48" i="42"/>
  <c r="H48" i="42" s="1"/>
  <c r="G29" i="42"/>
  <c r="H29" i="42" s="1"/>
  <c r="I32" i="42"/>
  <c r="I35" i="42"/>
  <c r="G39" i="42"/>
  <c r="H39" i="42" s="1"/>
  <c r="G49" i="42"/>
  <c r="H49" i="42" s="1"/>
  <c r="G52" i="42"/>
  <c r="H52" i="42" s="1"/>
  <c r="G33" i="42"/>
  <c r="H33" i="42" s="1"/>
  <c r="G36" i="42"/>
  <c r="H36" i="42" s="1"/>
  <c r="I39" i="42"/>
  <c r="I42" i="42"/>
  <c r="I45" i="42"/>
  <c r="I52" i="42"/>
  <c r="I29" i="42"/>
  <c r="I36" i="42"/>
  <c r="G40" i="42"/>
  <c r="H40" i="42" s="1"/>
  <c r="G43" i="42"/>
  <c r="H43" i="42" s="1"/>
  <c r="G46" i="42"/>
  <c r="H46" i="42" s="1"/>
  <c r="I49" i="42"/>
  <c r="G53" i="42"/>
  <c r="H53" i="42" s="1"/>
  <c r="G30" i="42"/>
  <c r="H30" i="42" s="1"/>
  <c r="I33" i="42"/>
  <c r="G37" i="42"/>
  <c r="H37" i="42" s="1"/>
  <c r="I40" i="42"/>
  <c r="I46" i="42"/>
  <c r="G50" i="42"/>
  <c r="H50" i="42" s="1"/>
  <c r="I30" i="42"/>
  <c r="G34" i="42"/>
  <c r="H34" i="42" s="1"/>
  <c r="G41" i="42"/>
  <c r="H41" i="42" s="1"/>
  <c r="I43" i="42"/>
  <c r="G47" i="42"/>
  <c r="H47" i="42" s="1"/>
  <c r="I50" i="42"/>
  <c r="I53" i="42"/>
  <c r="G14" i="42"/>
  <c r="H14" i="42" s="1"/>
  <c r="I28" i="42"/>
  <c r="G28" i="42"/>
  <c r="H28" i="42" s="1"/>
  <c r="G6" i="42"/>
  <c r="H6" i="42" s="1"/>
  <c r="I18" i="42"/>
  <c r="I9" i="42"/>
  <c r="G13" i="42"/>
  <c r="H13" i="42" s="1"/>
  <c r="I16" i="42"/>
  <c r="G20" i="42"/>
  <c r="H20" i="42" s="1"/>
  <c r="G24" i="42"/>
  <c r="H24" i="42" s="1"/>
  <c r="G27" i="42"/>
  <c r="H27" i="42" s="1"/>
  <c r="G15" i="42"/>
  <c r="H15" i="42" s="1"/>
  <c r="G22" i="42"/>
  <c r="H22" i="42" s="1"/>
  <c r="G19" i="42"/>
  <c r="H19" i="42" s="1"/>
  <c r="I25" i="42"/>
  <c r="I15" i="42"/>
  <c r="G26" i="42"/>
  <c r="H26" i="42" s="1"/>
  <c r="I23" i="42"/>
  <c r="I13" i="42"/>
  <c r="G17" i="42"/>
  <c r="H17" i="42" s="1"/>
  <c r="I20" i="42"/>
  <c r="I27" i="42"/>
  <c r="I11" i="42"/>
  <c r="I22" i="42"/>
  <c r="G12" i="42"/>
  <c r="H12" i="42" s="1"/>
  <c r="G23" i="42"/>
  <c r="H23" i="42" s="1"/>
  <c r="G9" i="42"/>
  <c r="H9" i="42" s="1"/>
  <c r="I12" i="42"/>
  <c r="G16" i="42"/>
  <c r="H16" i="42" s="1"/>
  <c r="I19" i="42"/>
  <c r="I26" i="42"/>
  <c r="G10" i="42"/>
  <c r="H10" i="42" s="1"/>
  <c r="I10" i="42"/>
  <c r="I17" i="42"/>
  <c r="G21" i="42"/>
  <c r="H21" i="42" s="1"/>
  <c r="I24" i="42"/>
  <c r="G11" i="42"/>
  <c r="H11" i="42" s="1"/>
  <c r="I14" i="42"/>
  <c r="G18" i="42"/>
  <c r="H18" i="42" s="1"/>
  <c r="I21" i="42"/>
  <c r="G25" i="42"/>
  <c r="H25" i="42" s="1"/>
  <c r="I4" i="42"/>
  <c r="K4" i="42" s="1"/>
  <c r="I5" i="42"/>
  <c r="I6" i="42"/>
  <c r="I7" i="42"/>
  <c r="I8" i="42"/>
  <c r="G7" i="42"/>
  <c r="H7" i="42" s="1"/>
  <c r="G8" i="42"/>
  <c r="H8" i="42" s="1"/>
  <c r="O96" i="8"/>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K5" i="42" l="1"/>
  <c r="K17" i="42"/>
  <c r="K27" i="42"/>
  <c r="K21" i="42"/>
  <c r="K24" i="42"/>
  <c r="K25" i="42"/>
  <c r="K13" i="42"/>
  <c r="K28" i="42"/>
  <c r="K16" i="42"/>
  <c r="K23" i="42"/>
  <c r="K20" i="42"/>
  <c r="K19" i="42"/>
  <c r="K22" i="42"/>
  <c r="K15" i="42"/>
  <c r="K18" i="42"/>
  <c r="K14" i="42"/>
  <c r="K7" i="42"/>
  <c r="K6" i="42"/>
  <c r="K11" i="42"/>
  <c r="K12" i="42"/>
  <c r="K8" i="42"/>
  <c r="K10" i="42"/>
  <c r="K26" i="42"/>
  <c r="K9" i="42"/>
  <c r="C3" i="33"/>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3" i="33" l="1"/>
  <c r="D2" i="33"/>
  <c r="F2" i="33"/>
  <c r="E2" i="33"/>
  <c r="N7" i="2"/>
  <c r="D6" i="2"/>
  <c r="F6" i="2" s="1"/>
  <c r="C8" i="2"/>
  <c r="E8" i="2" s="1"/>
  <c r="E5" i="8"/>
  <c r="E3" i="33" l="1"/>
  <c r="G2" i="33"/>
  <c r="N8" i="2"/>
  <c r="D7" i="2"/>
  <c r="F7" i="2" s="1"/>
  <c r="C9" i="2"/>
  <c r="E9" i="2" s="1"/>
  <c r="E6" i="8"/>
  <c r="E7" i="8" s="1"/>
  <c r="H2" i="33" l="1"/>
  <c r="F3" i="33"/>
  <c r="N9" i="2"/>
  <c r="D8" i="2"/>
  <c r="F8" i="2" s="1"/>
  <c r="C10" i="2"/>
  <c r="E10" i="2" s="1"/>
  <c r="E8" i="8"/>
  <c r="E9" i="8" s="1"/>
  <c r="I2" i="33" l="1"/>
  <c r="G3" i="33"/>
  <c r="N10" i="2"/>
  <c r="D9" i="2"/>
  <c r="F9" i="2" s="1"/>
  <c r="C11" i="2"/>
  <c r="E11" i="2" s="1"/>
  <c r="E10" i="8"/>
  <c r="E11" i="8" s="1"/>
  <c r="J2" i="33" l="1"/>
  <c r="H3" i="33"/>
  <c r="N11" i="2"/>
  <c r="D10" i="2"/>
  <c r="F10" i="2" s="1"/>
  <c r="I3" i="33"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C34" i="2"/>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<sst xmlns="http://schemas.openxmlformats.org/spreadsheetml/2006/main" count="2207" uniqueCount="211">
  <si>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</si>
  <si>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</si>
  <si>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</si>
  <si>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</si>
  <si>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</si>
  <si>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</si>
  <si>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</si>
  <si>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</si>
  <si>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</si>
  <si>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</si>
  <si>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</si>
  <si>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</si>
  <si>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</si>
  <si>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</si>
  <si>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</si>
  <si>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</si>
  <si>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</si>
  <si>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</si>
  <si>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</si>
  <si>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</si>
  <si>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</si>
  <si>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</si>
  <si>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</si>
  <si>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</si>
  <si>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</si>
  <si>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</si>
  <si>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</si>
  <si>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</si>
  <si>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</si>
  <si>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</si>
  <si>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</si>
  <si>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</si>
  <si>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</si>
  <si>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</si>
  <si>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</si>
  <si>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</si>
  <si>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</si>
  <si>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</si>
  <si>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</si>
  <si>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</si>
  <si>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</si>
  <si>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</si>
  <si>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</si>
  <si>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</si>
  <si>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</si>
  <si>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</si>
  <si>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</si>
  <si>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</si>
  <si>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</si>
  <si>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</si>
  <si>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</si>
  <si>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</si>
  <si>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</si>
  <si>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</si>
  <si>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</si>
  <si>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</si>
  <si>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</si>
  <si>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</si>
  <si>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</si>
  <si>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</si>
  <si>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</si>
  <si>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</si>
  <si>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</si>
  <si>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</si>
  <si>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</si>
  <si>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</si>
  <si>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</si>
  <si>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</si>
  <si>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</si>
  <si>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</si>
  <si>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</si>
  <si>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</si>
  <si>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</si>
  <si>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</si>
  <si>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</si>
  <si>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</si>
  <si>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</si>
  <si>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</si>
  <si>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</si>
  <si>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</si>
  <si>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</si>
  <si>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</si>
  <si>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</si>
  <si>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</si>
  <si>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</si>
  <si>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</si>
  <si>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</si>
  <si>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</si>
  <si>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</si>
  <si>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</si>
  <si>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</si>
  <si>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</si>
  <si>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</si>
  <si>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</si>
  <si>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</si>
  <si>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</si>
  <si>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</si>
  <si>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</si>
  <si>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</si>
  <si>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</si>
  <si>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</si>
  <si>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</si>
  <si>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</si>
  <si>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</si>
  <si>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</si>
  <si>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</si>
  <si>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</si>
  <si>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</si>
  <si>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</si>
  <si>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</si>
  <si>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</si>
  <si>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</si>
  <si>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</si>
  <si>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</si>
  <si>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</si>
  <si>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</si>
  <si>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</si>
  <si>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</si>
  <si>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</si>
  <si>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</si>
  <si>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</si>
  <si>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</si>
  <si>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</si>
  <si>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</si>
  <si>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</si>
  <si>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</si>
  <si>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</si>
  <si>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</si>
  <si>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</si>
  <si>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</si>
  <si>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</si>
  <si>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</si>
  <si>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</si>
  <si>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</si>
  <si>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</si>
  <si>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</si>
  <si>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</si>
  <si>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</si>
  <si>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</si>
  <si>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</si>
  <si>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</si>
  <si>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</si>
  <si>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</si>
  <si>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</si>
  <si>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</si>
  <si>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</si>
  <si>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</si>
  <si>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</si>
  <si>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</si>
  <si>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</si>
  <si>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</si>
  <si>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</si>
  <si>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</si>
  <si>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</si>
  <si>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</si>
  <si>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</si>
  <si>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</si>
  <si>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</si>
  <si>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</si>
  <si>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</si>
  <si>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</si>
  <si>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</si>
  <si>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</si>
  <si>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A</t>
  </si>
  <si>
    <t>B</t>
  </si>
  <si>
    <t>C</t>
  </si>
  <si>
    <t>D</t>
  </si>
  <si>
    <t>2075</t>
  </si>
  <si>
    <t>Asset</t>
  </si>
  <si>
    <t>Cost (Basis Point)</t>
  </si>
  <si>
    <t>Link</t>
  </si>
  <si>
    <t>Equities</t>
  </si>
  <si>
    <t>Obligations</t>
  </si>
  <si>
    <t>Account</t>
  </si>
  <si>
    <t>Invested</t>
  </si>
  <si>
    <t>Gross Gain</t>
  </si>
  <si>
    <t>Tax</t>
  </si>
  <si>
    <t>Net Gain</t>
  </si>
  <si>
    <t>End Value</t>
  </si>
  <si>
    <t>ASK</t>
  </si>
  <si>
    <t>NORMAL</t>
  </si>
  <si>
    <t>Row Labels</t>
  </si>
  <si>
    <t>Grand Total</t>
  </si>
  <si>
    <t>Weight</t>
  </si>
  <si>
    <t>(blank)</t>
  </si>
  <si>
    <t>FinalWealth</t>
  </si>
  <si>
    <t>Salary</t>
  </si>
  <si>
    <t>Diff End</t>
  </si>
  <si>
    <t>End Values</t>
  </si>
  <si>
    <t>Invested Amt</t>
  </si>
  <si>
    <t>Invested Amt Calculated</t>
  </si>
  <si>
    <t>Invested Amt DIFF</t>
  </si>
  <si>
    <t>Sum of Weight</t>
  </si>
  <si>
    <t>https://skat.dk/borger/aktier-og-andre-vaerdipapirer/aktiesparekonto?</t>
  </si>
  <si>
    <t>median:</t>
  </si>
  <si>
    <t>Max cap</t>
  </si>
  <si>
    <t>Change (%)</t>
  </si>
  <si>
    <t>Sum of Invested</t>
  </si>
  <si>
    <t>Column Labels</t>
  </si>
  <si>
    <t>TOTAL ASK Cap (DKK)</t>
  </si>
  <si>
    <t>Goal A Allocation (%)</t>
  </si>
  <si>
    <t>Goal A Amount Taken (DKK)</t>
  </si>
  <si>
    <t>Goal B Allocation (%)</t>
  </si>
  <si>
    <t>Goal B Amount Taken (DKK)</t>
  </si>
  <si>
    <t>Goal C Allocation (%)</t>
  </si>
  <si>
    <t>Goal C Amount Taken (DKK)</t>
  </si>
  <si>
    <t>Goal D Allocation (%)</t>
  </si>
  <si>
    <t>Goal D Amount Taken (DKK)</t>
  </si>
  <si>
    <t>Goals</t>
  </si>
  <si>
    <t>Amt</t>
  </si>
  <si>
    <t>without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</si>
</sst>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
    <numFmt numFmtId="165" formatCode="0.000"/>
    <numFmt numFmtId="166" formatCode="0.00000"/>
    <numFmt numFmtId="167"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51">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10" fontId="0" fillId="0" borderId="0" xfId="0" applyNumberFormat="1"/>
    <xf numFmtId="164" fontId="0" fillId="0" borderId="0" xfId="0" applyNumberFormat="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5" fontId="0" fillId="0" borderId="0" xfId="0" applyNumberFormat="1"/>
    <xf numFmtId="166" fontId="0" fillId="0" borderId="0" xfId="0" applyNumberFormat="1"/>
    <xf numFmtId="167" fontId="0" fillId="0" borderId="0" xfId="0" applyNumberFormat="1"/>
    <xf numFmtId="166" fontId="7" fillId="0" borderId="0" xfId="0" applyNumberFormat="1" applyFont="1"/>
    <xf numFmtId="0" fontId="0" fillId="0" borderId="0" xfId="0" pivotButton="1"/>
    <xf numFmtId="0" fontId="0" fillId="0" borderId="0" xfId="0" applyAlignment="1">
      <alignment horizontal="left"/>
    </xf>
    <xf numFmtId="43" fontId="0" fillId="0" borderId="0" xfId="0" applyNumberFormat="1"/>
    <xf numFmtId="9" fontId="0" fillId="0" borderId="0" xfId="2" applyFont="1"/>
    <xf numFmtId="11" fontId="0" fillId="0" borderId="0" xfId="0" applyNumberFormat="1"/>
    <xf numFmtId="0" fontId="7" fillId="0" borderId="0" xfId="0" applyFont="1"/>
    <xf numFmtId="2" fontId="0" fillId="0" borderId="0" xfId="1" applyNumberFormat="1" applyFont="1"/>
    <xf numFmtId="10" fontId="0" fillId="2" borderId="0" xfId="2" applyNumberFormat="1" applyFont="1" applyFill="1"/>
    <xf numFmtId="10" fontId="7" fillId="2" borderId="0" xfId="0" applyNumberFormat="1" applyFont="1" applyFill="1"/>
    <xf numFmtId="10"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pivotCacheDefinition" Target="pivotCache/pivotCacheDefinition2.xml"/><Relationship Id="rId68"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theme" Target="theme/theme1.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6.xml"/><Relationship Id="rId72"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pivotCacheDefinition" Target="pivotCache/pivotCacheDefinition1.xml"/><Relationship Id="rId7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767.591621874999" createdVersion="8" refreshedVersion="8" minRefreshableVersion="3" recordCount="329" xr:uid="{76B57F0A-7ACE-4793-B235-FC263496246D}">
  <cacheSource type="worksheet">
    <worksheetSource ref="A1:S330" sheet="Sheet1"/>
  </cacheSource>
  <cacheFields count="19">
    <cacheField name="Year" numFmtId="0">
      <sharedItems containsSemiMixedTypes="0" containsString="0" containsNumber="1" containsInteger="1" minValue="2026" maxValue="2074" count="49">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sharedItems>
    </cacheField>
    <cacheField name="Account" numFmtId="0">
      <sharedItems count="2">
        <s v="ASK"/>
        <s v="NORMAL"/>
      </sharedItems>
    </cacheField>
    <cacheField name="Asset" numFmtId="0">
      <sharedItems/>
    </cacheField>
    <cacheField name="Invested" numFmtId="0">
      <sharedItems containsSemiMixedTypes="0" containsString="0" containsNumber="1" minValue="2.21615845758443E-19" maxValue="8855740.4883264191"/>
    </cacheField>
    <cacheField name="Weight" numFmtId="0">
      <sharedItems containsSemiMixedTypes="0" containsString="0" containsNumber="1" minValue="3.3677754559654802E-26" maxValue="1"/>
    </cacheField>
    <cacheField name="Return" numFmtId="0">
      <sharedItems containsSemiMixedTypes="0" containsString="0" containsNumber="1" minValue="2.8299999999999999E-2" maxValue="8.3999999999999894E-2"/>
    </cacheField>
    <cacheField name="Gross Gain" numFmtId="0">
      <sharedItems containsSemiMixedTypes="0" containsString="0" containsNumber="1" minValue="7.6014235095146097E-21" maxValue="303751.89874959498"/>
    </cacheField>
    <cacheField name="Tax" numFmtId="0">
      <sharedItems containsSemiMixedTypes="0" containsString="0" containsNumber="1" minValue="2.6491604142731601E-21" maxValue="117450.79747483"/>
    </cacheField>
    <cacheField name="Net Gain" numFmtId="0">
      <sharedItems containsSemiMixedTypes="0" containsString="0" containsNumber="1" minValue="4.9522630952414504E-21" maxValue="186301.10127476501"/>
    </cacheField>
    <cacheField name="End Value" numFmtId="0">
      <sharedItems containsSemiMixedTypes="0" containsString="0" containsNumber="1" minValue="2.2656810885368399E-19" maxValue="9042041.5896011796"/>
    </cacheField>
    <cacheField name="TOTAL ASK Cap (DKK)" numFmtId="0">
      <sharedItems containsSemiMixedTypes="0" containsString="0" containsNumber="1" minValue="187224.3" maxValue="56945528.300055303"/>
    </cacheField>
    <cacheField name="Goal A Allocation (%)" numFmtId="0">
      <sharedItems containsString="0" containsBlank="1" containsNumber="1" minValue="62.3762376237623" maxValue="62.3762376237623"/>
    </cacheField>
    <cacheField name="Goal A Amount Taken (DKK)" numFmtId="0">
      <sharedItems containsString="0" containsBlank="1" containsNumber="1" minValue="413089.66259017203" maxValue="413089.66259017203"/>
    </cacheField>
    <cacheField name="Goal B Allocation (%)" numFmtId="0">
      <sharedItems containsString="0" containsBlank="1" containsNumber="1" containsInteger="1" minValue="12" maxValue="12"/>
    </cacheField>
    <cacheField name="Goal B Amount Taken (DKK)" numFmtId="0">
      <sharedItems containsString="0" containsBlank="1" containsNumber="1" minValue="85899.2987181239" maxValue="85899.2987181239"/>
    </cacheField>
    <cacheField name="Goal C Allocation (%)" numFmtId="0">
      <sharedItems containsString="0" containsBlank="1" containsNumber="1" minValue="27.272727272727199" maxValue="27.272727272727199"/>
    </cacheField>
    <cacheField name="Goal C Amount Taken (DKK)" numFmtId="0">
      <sharedItems containsString="0" containsBlank="1" containsNumber="1" minValue="349370.89466904901" maxValue="349370.89466904901"/>
    </cacheField>
    <cacheField name="Goal D Allocation (%)" numFmtId="0">
      <sharedItems containsString="0" containsBlank="1" containsNumber="1" containsInteger="1" minValue="100" maxValue="100"/>
    </cacheField>
    <cacheField name="Goal D Amount Taken (DKK)" numFmtId="0">
      <sharedItems containsString="0" containsBlank="1" containsNumber="1" minValue="9042041.5896011796" maxValue="9042041.589601179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768.423284259261" createdVersion="8" refreshedVersion="8" minRefreshableVersion="3" recordCount="370" xr:uid="{4C5805B8-F52D-4EAA-9296-FE3915EDC45C}">
  <cacheSource type="worksheet">
    <worksheetSource ref="A1:S393" sheet="Sheet1"/>
  </cacheSource>
  <cacheFields count="19">
    <cacheField name="Year" numFmtId="0">
      <sharedItems containsString="0" containsBlank="1" containsNumber="1" containsInteger="1" minValue="2026" maxValue="2075" count="51">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m/>
      </sharedItems>
    </cacheField>
    <cacheField name="Account" numFmtId="0">
      <sharedItems containsBlank="1"/>
    </cacheField>
    <cacheField name="Asset" numFmtId="0">
      <sharedItems containsBlank="1"/>
    </cacheField>
    <cacheField name="Invested" numFmtId="0">
      <sharedItems containsString="0" containsBlank="1" containsNumber="1" minValue="3.2803167449364297E-14" maxValue="6392349.8799999999"/>
    </cacheField>
    <cacheField name="Weight" numFmtId="0">
      <sharedItems containsString="0" containsBlank="1" containsNumber="1" minValue="5.7901758485751499E-21" maxValue="0.98608102018519705"/>
    </cacheField>
    <cacheField name="Return" numFmtId="0">
      <sharedItems containsString="0" containsBlank="1" containsNumber="1" minValue="2.8299999999999999E-2" maxValue="8.3999999999999894E-2"/>
    </cacheField>
    <cacheField name="Gross Gain" numFmtId="0">
      <sharedItems containsString="0" containsBlank="1" containsNumber="1" minValue="1.1251486435131901E-15" maxValue="402718.04243999999"/>
    </cacheField>
    <cacheField name="Tax" numFmtId="0">
      <sharedItems containsString="0" containsBlank="1" containsNumber="1" minValue="4.12829541427553E-16" maxValue="70370.135186423402"/>
    </cacheField>
    <cacheField name="Net Gain" numFmtId="0">
      <sharedItems containsString="0" containsBlank="1" containsNumber="1" minValue="7.1231910208564102E-16" maxValue="334255.9752252"/>
    </cacheField>
    <cacheField name="End Value" numFmtId="0">
      <sharedItems containsString="0" containsBlank="1" containsNumber="1" minValue="3.35154865514499E-14" maxValue="6726605.8552251998"/>
    </cacheField>
    <cacheField name="TOTAL ASK Cap (DKK)" numFmtId="0">
      <sharedItems containsString="0" containsBlank="1" containsNumber="1" minValue="187224.3" maxValue="64149137.630012304"/>
    </cacheField>
    <cacheField name="Goal A Allocation (%)" numFmtId="0">
      <sharedItems containsString="0" containsBlank="1" containsNumber="1" containsInteger="1" minValue="62" maxValue="62"/>
    </cacheField>
    <cacheField name="Goal A Amount Taken (DKK)" numFmtId="0">
      <sharedItems containsString="0" containsBlank="1" containsNumber="1" containsInteger="1" minValue="400000" maxValue="400000"/>
    </cacheField>
    <cacheField name="Goal B Allocation (%)" numFmtId="0">
      <sharedItems containsString="0" containsBlank="1" containsNumber="1" containsInteger="1" minValue="56" maxValue="56"/>
    </cacheField>
    <cacheField name="Goal B Amount Taken (DKK)" numFmtId="0">
      <sharedItems containsString="0" containsBlank="1" containsNumber="1" containsInteger="1" minValue="400000" maxValue="400000"/>
    </cacheField>
    <cacheField name="Goal C Allocation (%)" numFmtId="0">
      <sharedItems containsString="0" containsBlank="1" containsNumber="1" minValue="36.363636363636303" maxValue="36.363636363636303"/>
    </cacheField>
    <cacheField name="Goal C Amount Taken (DKK)" numFmtId="0">
      <sharedItems containsString="0" containsBlank="1" containsNumber="1" containsInteger="1" minValue="300000" maxValue="300000"/>
    </cacheField>
    <cacheField name="Goal D Allocation (%)" numFmtId="0">
      <sharedItems containsString="0" containsBlank="1" containsNumber="1" containsInteger="1" minValue="100" maxValue="100"/>
    </cacheField>
    <cacheField name="Goal D Amount Taken (DKK)" numFmtId="0">
      <sharedItems containsString="0" containsBlank="1" containsNumber="1" containsInteger="1" minValue="9500000" maxValue="95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9">
  <r>
    <x v="0"/>
    <x v="0"/>
    <s v="Emerging Markets - Equities"/>
    <n v="30465.75"/>
    <n v="0.57869948257390902"/>
    <n v="8.3999999999999894E-2"/>
    <n v="2559.12299999999"/>
    <n v="435.05090999999999"/>
    <n v="2124.0720899999901"/>
    <n v="32589.8220899999"/>
    <n v="187224.3"/>
    <m/>
    <m/>
    <m/>
    <m/>
    <m/>
    <m/>
    <m/>
    <m/>
  </r>
  <r>
    <x v="0"/>
    <x v="0"/>
    <s v="Developed Markets - Equities"/>
    <n v="5877.59"/>
    <n v="0.111645316192169"/>
    <n v="6.8000000000000005E-2"/>
    <n v="399.67612000000003"/>
    <n v="67.944940399999993"/>
    <n v="331.73117960000002"/>
    <n v="6209.3211795999996"/>
    <n v="187224.3"/>
    <m/>
    <m/>
    <m/>
    <m/>
    <m/>
    <m/>
    <m/>
    <m/>
  </r>
  <r>
    <x v="0"/>
    <x v="1"/>
    <s v="Emerging Markets State - Obligations"/>
    <n v="14947.023571612501"/>
    <n v="0.28391996937256397"/>
    <n v="4.8300000000000003E-2"/>
    <n v="721.94123850888502"/>
    <n v="194.924134397399"/>
    <n v="527.01710411148599"/>
    <n v="15474.040675724"/>
    <n v="187224.3"/>
    <m/>
    <m/>
    <m/>
    <m/>
    <m/>
    <m/>
    <m/>
    <m/>
  </r>
  <r>
    <x v="0"/>
    <x v="1"/>
    <s v="High Yield Bonds - Obligations"/>
    <n v="471.10100628916803"/>
    <n v="8.9486032209805996E-3"/>
    <n v="4.9299999999999997E-2"/>
    <n v="23.2252796100559"/>
    <n v="6.2708254947151101"/>
    <n v="16.954454115340798"/>
    <n v="488.05546040450901"/>
    <n v="187224.3"/>
    <m/>
    <m/>
    <m/>
    <m/>
    <m/>
    <m/>
    <m/>
    <m/>
  </r>
  <r>
    <x v="0"/>
    <x v="1"/>
    <s v="Investment Grade Bonds - Obligations"/>
    <n v="431.18016708313701"/>
    <n v="8.1903035240275899E-3"/>
    <n v="3.6299999999999999E-2"/>
    <n v="15.651840065117799"/>
    <n v="4.2259968175818203"/>
    <n v="11.425843247535999"/>
    <n v="442.60601033067297"/>
    <n v="187224.3"/>
    <m/>
    <m/>
    <m/>
    <m/>
    <m/>
    <m/>
    <m/>
    <m/>
  </r>
  <r>
    <x v="0"/>
    <x v="1"/>
    <s v="Government ZC Bonds - Obligations"/>
    <n v="452.549309676848"/>
    <n v="8.5962121841468599E-3"/>
    <n v="2.8299999999999999E-2"/>
    <n v="12.807145463854701"/>
    <n v="3.4579292752407902"/>
    <n v="9.3492161886139993"/>
    <n v="461.89852586546198"/>
    <n v="187224.3"/>
    <m/>
    <m/>
    <m/>
    <m/>
    <m/>
    <m/>
    <m/>
    <m/>
  </r>
  <r>
    <x v="1"/>
    <x v="0"/>
    <s v="Emerging Markets - Equities"/>
    <n v="33639.379999999997"/>
    <n v="0.30907924347941801"/>
    <n v="8.3999999999999894E-2"/>
    <n v="2825.7079199999998"/>
    <n v="480.37034640000002"/>
    <n v="2345.3375735999998"/>
    <n v="35984.717573599999"/>
    <n v="210908.17395"/>
    <m/>
    <m/>
    <m/>
    <m/>
    <m/>
    <m/>
    <m/>
    <m/>
  </r>
  <r>
    <x v="1"/>
    <x v="0"/>
    <s v="Developed Markets - Equities"/>
    <n v="18.170000000000002"/>
    <n v="1.66946294908557E-4"/>
    <n v="6.8000000000000005E-2"/>
    <n v="1.23555999999999"/>
    <n v="0.21004519999999899"/>
    <n v="1.0255147999999901"/>
    <n v="19.195514800000002"/>
    <n v="210908.17395"/>
    <m/>
    <m/>
    <m/>
    <m/>
    <m/>
    <m/>
    <m/>
    <m/>
  </r>
  <r>
    <x v="1"/>
    <x v="1"/>
    <s v="Emerging Markets State - Obligations"/>
    <n v="254.810508804515"/>
    <n v="2.3412036515508099E-3"/>
    <n v="4.8300000000000003E-2"/>
    <n v="12.307347575258101"/>
    <n v="3.32298384531969"/>
    <n v="8.9843637299384191"/>
    <n v="263.79487253445399"/>
    <n v="210908.17395"/>
    <m/>
    <m/>
    <m/>
    <m/>
    <m/>
    <m/>
    <m/>
    <m/>
  </r>
  <r>
    <x v="1"/>
    <x v="1"/>
    <s v="High Yield Bonds - Obligations"/>
    <n v="124.66296234199601"/>
    <n v="1.1454055957799299E-3"/>
    <n v="4.9299999999999997E-2"/>
    <n v="6.1458840434604198"/>
    <n v="1.6593886917343099"/>
    <n v="4.4864953517261101"/>
    <n v="129.14945769372301"/>
    <n v="210908.17395"/>
    <m/>
    <m/>
    <m/>
    <m/>
    <m/>
    <m/>
    <m/>
    <m/>
  </r>
  <r>
    <x v="1"/>
    <x v="1"/>
    <s v="Investment Grade Bonds - Obligations"/>
    <n v="276.57606713370501"/>
    <n v="2.54118600266112E-3"/>
    <n v="3.6299999999999999E-2"/>
    <n v="10.039711236953501"/>
    <n v="2.71072203397744"/>
    <n v="7.3289892029760599"/>
    <n v="283.90505633668101"/>
    <n v="210908.17395"/>
    <m/>
    <m/>
    <m/>
    <m/>
    <m/>
    <m/>
    <m/>
    <m/>
  </r>
  <r>
    <x v="1"/>
    <x v="1"/>
    <s v="Government ZC Bonds - Obligations"/>
    <n v="74523.800389362004"/>
    <n v="0.684726051596528"/>
    <n v="2.8299999999999999E-2"/>
    <n v="2109.02355101895"/>
    <n v="569.43635877511701"/>
    <n v="1539.58719224383"/>
    <n v="76063.387581605901"/>
    <n v="210908.17395"/>
    <m/>
    <m/>
    <m/>
    <m/>
    <m/>
    <m/>
    <m/>
    <m/>
  </r>
  <r>
    <x v="2"/>
    <x v="0"/>
    <s v="Emerging Markets - Equities"/>
    <n v="95653.03"/>
    <n v="0.55688415043702499"/>
    <n v="8.3999999999999894E-2"/>
    <n v="8034.8545199999999"/>
    <n v="1365.9252684"/>
    <n v="6668.9292515999996"/>
    <n v="102321.9592516"/>
    <n v="237588.05795467499"/>
    <m/>
    <m/>
    <m/>
    <m/>
    <m/>
    <m/>
    <m/>
    <m/>
  </r>
  <r>
    <x v="2"/>
    <x v="0"/>
    <s v="Developed Markets - Equities"/>
    <n v="341.77"/>
    <n v="1.9897571053929201E-3"/>
    <n v="6.8000000000000005E-2"/>
    <n v="23.240359999999999"/>
    <n v="3.9508611999999999"/>
    <n v="19.289498800000001"/>
    <n v="361.05949879999997"/>
    <n v="237588.05795467499"/>
    <m/>
    <m/>
    <m/>
    <m/>
    <m/>
    <m/>
    <m/>
    <m/>
  </r>
  <r>
    <x v="2"/>
    <x v="1"/>
    <s v="Emerging Markets State - Obligations"/>
    <n v="147.42602179723201"/>
    <n v="8.5830229215804301E-4"/>
    <n v="4.8300000000000003E-2"/>
    <n v="7.1206768528063202"/>
    <n v="1.9225827502577"/>
    <n v="5.1980941025486098"/>
    <n v="152.62411589978001"/>
    <n v="237588.05795467499"/>
    <m/>
    <m/>
    <m/>
    <m/>
    <m/>
    <m/>
    <m/>
    <m/>
  </r>
  <r>
    <x v="2"/>
    <x v="1"/>
    <s v="High Yield Bonds - Obligations"/>
    <n v="297.88633368333899"/>
    <n v="1.73426997409331E-3"/>
    <n v="4.9299999999999997E-2"/>
    <n v="14.6857962505886"/>
    <n v="3.9651649876589201"/>
    <n v="10.720631262929601"/>
    <n v="308.60696494626899"/>
    <n v="237588.05795467499"/>
    <m/>
    <m/>
    <m/>
    <m/>
    <m/>
    <m/>
    <m/>
    <m/>
  </r>
  <r>
    <x v="2"/>
    <x v="1"/>
    <s v="Investment Grade Bonds - Obligations"/>
    <n v="290.22993618974999"/>
    <n v="1.68969505144187E-3"/>
    <n v="3.6299999999999999E-2"/>
    <n v="10.5353466836879"/>
    <n v="2.8445436045957302"/>
    <n v="7.6908030790921798"/>
    <n v="297.920739268842"/>
    <n v="237588.05795467499"/>
    <m/>
    <m/>
    <m/>
    <m/>
    <m/>
    <m/>
    <m/>
    <m/>
  </r>
  <r>
    <x v="2"/>
    <x v="1"/>
    <s v="Government ZC Bonds - Obligations"/>
    <n v="75034.339447303704"/>
    <n v="0.43684381327716598"/>
    <n v="2.8299999999999999E-2"/>
    <n v="2123.4718063586902"/>
    <n v="573.33738771684602"/>
    <n v="1550.1344186418401"/>
    <n v="76584.473865945605"/>
    <n v="237588.05795467499"/>
    <m/>
    <m/>
    <m/>
    <m/>
    <m/>
    <m/>
    <m/>
    <m/>
  </r>
  <r>
    <x v="3"/>
    <x v="0"/>
    <s v="Emerging Markets - Equities"/>
    <n v="100401.47"/>
    <n v="0.41897248474446003"/>
    <n v="8.3999999999999894E-2"/>
    <n v="8433.7234800000006"/>
    <n v="1433.7329916000001"/>
    <n v="6999.9904883999998"/>
    <n v="107401.4604884"/>
    <n v="267642.94728594099"/>
    <m/>
    <m/>
    <m/>
    <m/>
    <m/>
    <m/>
    <m/>
    <m/>
  </r>
  <r>
    <x v="3"/>
    <x v="1"/>
    <s v="Emerging Markets - Equities"/>
    <n v="56764.08"/>
    <n v="0.23687489477826601"/>
    <n v="8.3999999999999894E-2"/>
    <n v="4768.1827199999998"/>
    <n v="1287.4093344"/>
    <n v="3480.7733856"/>
    <n v="60244.853385599999"/>
    <n v="267642.94728594099"/>
    <m/>
    <m/>
    <m/>
    <m/>
    <m/>
    <m/>
    <m/>
    <m/>
  </r>
  <r>
    <x v="3"/>
    <x v="0"/>
    <s v="Developed Markets - Equities"/>
    <n v="1245.78"/>
    <n v="5.1986045826316399E-3"/>
    <n v="6.8000000000000005E-2"/>
    <n v="84.713040000000007"/>
    <n v="14.4012168"/>
    <n v="70.311823200000006"/>
    <n v="1316.0918231999999"/>
    <n v="267642.94728594099"/>
    <m/>
    <m/>
    <m/>
    <m/>
    <m/>
    <m/>
    <m/>
    <m/>
  </r>
  <r>
    <x v="3"/>
    <x v="1"/>
    <s v="Developed Markets - Equities"/>
    <n v="704.33"/>
    <n v="2.93914909990925E-3"/>
    <n v="6.8000000000000005E-2"/>
    <n v="47.894440000000003"/>
    <n v="12.9314988"/>
    <n v="34.962941200000003"/>
    <n v="739.29294119999997"/>
    <n v="267642.94728594099"/>
    <m/>
    <m/>
    <m/>
    <m/>
    <m/>
    <m/>
    <m/>
    <m/>
  </r>
  <r>
    <x v="3"/>
    <x v="1"/>
    <s v="Emerging Markets State - Obligations"/>
    <n v="1387.3539651676399"/>
    <n v="5.7893887211648096E-3"/>
    <n v="4.8300000000000003E-2"/>
    <n v="67.009196517597204"/>
    <n v="18.092483059751199"/>
    <n v="48.916713457846001"/>
    <n v="1436.2706786254901"/>
    <n v="267642.94728594099"/>
    <m/>
    <m/>
    <m/>
    <m/>
    <m/>
    <m/>
    <m/>
    <m/>
  </r>
  <r>
    <x v="3"/>
    <x v="1"/>
    <s v="High Yield Bonds - Obligations"/>
    <n v="1790.7906163524401"/>
    <n v="7.4729184163364196E-3"/>
    <n v="4.9299999999999997E-2"/>
    <n v="88.285977386175503"/>
    <n v="23.8372138942674"/>
    <n v="64.448763491908096"/>
    <n v="1855.23937984435"/>
    <n v="267642.94728594099"/>
    <m/>
    <m/>
    <m/>
    <m/>
    <m/>
    <m/>
    <m/>
    <m/>
  </r>
  <r>
    <x v="3"/>
    <x v="1"/>
    <s v="Investment Grade Bonds - Obligations"/>
    <n v="489.96871351159399"/>
    <n v="2.0446255353332899E-3"/>
    <n v="3.6299999999999999E-2"/>
    <n v="17.785864300470902"/>
    <n v="4.8021833611271401"/>
    <n v="12.983680939343699"/>
    <n v="502.95239445093802"/>
    <n v="267642.94728594099"/>
    <m/>
    <m/>
    <m/>
    <m/>
    <m/>
    <m/>
    <m/>
    <m/>
  </r>
  <r>
    <x v="3"/>
    <x v="1"/>
    <s v="Government ZC Bonds - Obligations"/>
    <n v="76853.608113081995"/>
    <n v="0.32070792541896997"/>
    <n v="2.8299999999999999E-2"/>
    <n v="2174.9571096002101"/>
    <n v="587.23841959205799"/>
    <n v="1587.7186900081499"/>
    <n v="78441.326803090196"/>
    <n v="267642.94728594099"/>
    <m/>
    <m/>
    <m/>
    <m/>
    <m/>
    <m/>
    <m/>
    <m/>
  </r>
  <r>
    <x v="4"/>
    <x v="0"/>
    <s v="Emerging Markets - Equities"/>
    <n v="33841.46"/>
    <n v="0.108416063585834"/>
    <n v="8.3999999999999894E-2"/>
    <n v="2842.68263999999"/>
    <n v="483.25604879999901"/>
    <n v="2359.4265911999901"/>
    <n v="36200.886591199996"/>
    <n v="301499.78011761297"/>
    <m/>
    <m/>
    <m/>
    <m/>
    <m/>
    <m/>
    <m/>
    <m/>
  </r>
  <r>
    <x v="4"/>
    <x v="1"/>
    <s v="Emerging Markets - Equities"/>
    <n v="195619.46"/>
    <n v="0.62669553305284498"/>
    <n v="8.3999999999999894E-2"/>
    <n v="16432.034640000002"/>
    <n v="4436.6493528000001"/>
    <n v="11995.385287200001"/>
    <n v="207614.84528720001"/>
    <n v="301499.78011761297"/>
    <m/>
    <m/>
    <m/>
    <m/>
    <m/>
    <m/>
    <m/>
    <m/>
  </r>
  <r>
    <x v="4"/>
    <x v="0"/>
    <s v="Developed Markets - Equities"/>
    <n v="15.38"/>
    <n v="4.9272078035348601E-5"/>
    <n v="6.8000000000000005E-2"/>
    <n v="1.0458400000000001"/>
    <n v="0.1777928"/>
    <n v="0.86804720000000002"/>
    <n v="16.248047199999998"/>
    <n v="301499.78011761297"/>
    <m/>
    <m/>
    <m/>
    <m/>
    <m/>
    <m/>
    <m/>
    <m/>
  </r>
  <r>
    <x v="4"/>
    <x v="1"/>
    <s v="Developed Markets - Equities"/>
    <n v="88.88"/>
    <n v="2.8474007124719002E-4"/>
    <n v="6.8000000000000005E-2"/>
    <n v="6.0438400000000003"/>
    <n v="1.6318368000000001"/>
    <n v="4.4120032"/>
    <n v="93.292003199999996"/>
    <n v="301499.78011761297"/>
    <m/>
    <m/>
    <m/>
    <m/>
    <m/>
    <m/>
    <m/>
    <m/>
  </r>
  <r>
    <x v="4"/>
    <x v="1"/>
    <s v="Emerging Markets State - Obligations"/>
    <n v="200.13809083508801"/>
    <n v="6.4117162740391198E-4"/>
    <n v="4.8300000000000003E-2"/>
    <n v="9.6666697873347598"/>
    <n v="2.61000084258038"/>
    <n v="7.0566689447543798"/>
    <n v="207.194759779842"/>
    <n v="301499.78011761297"/>
    <m/>
    <m/>
    <m/>
    <m/>
    <m/>
    <m/>
    <m/>
    <m/>
  </r>
  <r>
    <x v="4"/>
    <x v="1"/>
    <s v="High Yield Bonds - Obligations"/>
    <n v="2882.6180405657001"/>
    <n v="9.2348882341259497E-3"/>
    <n v="4.9299999999999997E-2"/>
    <n v="142.11306939988799"/>
    <n v="38.370528737969998"/>
    <n v="103.742540661918"/>
    <n v="2986.3605812276201"/>
    <n v="301499.78011761297"/>
    <m/>
    <m/>
    <m/>
    <m/>
    <m/>
    <m/>
    <m/>
    <m/>
  </r>
  <r>
    <x v="4"/>
    <x v="1"/>
    <s v="Investment Grade Bonds - Obligations"/>
    <n v="1359.2598806922899"/>
    <n v="4.3545877055779702E-3"/>
    <n v="3.6299999999999999E-2"/>
    <n v="49.341133669130102"/>
    <n v="13.3221060906651"/>
    <n v="36.019027578465"/>
    <n v="1395.27890827075"/>
    <n v="301499.78011761297"/>
    <m/>
    <m/>
    <m/>
    <m/>
    <m/>
    <m/>
    <m/>
    <m/>
  </r>
  <r>
    <x v="4"/>
    <x v="1"/>
    <s v="Government ZC Bonds - Obligations"/>
    <n v="78137.146943293003"/>
    <n v="0.25032377123858401"/>
    <n v="2.8299999999999999E-2"/>
    <n v="2211.2812584951898"/>
    <n v="597.045939793701"/>
    <n v="1614.2353187014801"/>
    <n v="79751.382261994499"/>
    <n v="301499.78011761297"/>
    <m/>
    <m/>
    <m/>
    <m/>
    <m/>
    <m/>
    <m/>
    <m/>
  </r>
  <r>
    <x v="5"/>
    <x v="0"/>
    <s v="Emerging Markets - Equities"/>
    <n v="38006.15"/>
    <n v="9.7683501336848097E-2"/>
    <n v="8.3999999999999894E-2"/>
    <n v="3192.5165999999999"/>
    <n v="542.72782199999995"/>
    <n v="2649.7887780000001"/>
    <n v="40655.938778000003"/>
    <n v="339639.50230249099"/>
    <m/>
    <m/>
    <m/>
    <m/>
    <m/>
    <m/>
    <m/>
    <m/>
  </r>
  <r>
    <x v="5"/>
    <x v="1"/>
    <s v="Emerging Markets - Equities"/>
    <n v="297538.63"/>
    <n v="0.76473452747434201"/>
    <n v="8.3999999999999894E-2"/>
    <n v="24993.244920000001"/>
    <n v="6748.1761284000004"/>
    <n v="18245.068791599999"/>
    <n v="315783.69879160001"/>
    <n v="339639.50230249099"/>
    <m/>
    <m/>
    <m/>
    <m/>
    <m/>
    <m/>
    <m/>
    <m/>
  </r>
  <r>
    <x v="5"/>
    <x v="0"/>
    <s v="Developed Markets - Equities"/>
    <n v="133.57"/>
    <n v="3.4330194648926003E-4"/>
    <n v="6.8000000000000005E-2"/>
    <n v="9.0827600000000004"/>
    <n v="1.5440692"/>
    <n v="7.5386908000000004"/>
    <n v="141.10869080000001"/>
    <n v="339639.50230249099"/>
    <m/>
    <m/>
    <m/>
    <m/>
    <m/>
    <m/>
    <m/>
    <m/>
  </r>
  <r>
    <x v="5"/>
    <x v="1"/>
    <s v="Developed Markets - Equities"/>
    <n v="1045.67"/>
    <n v="2.68758363693512E-3"/>
    <n v="6.8000000000000005E-2"/>
    <n v="71.105559999999898"/>
    <n v="19.1985011999999"/>
    <n v="51.907058799999902"/>
    <n v="1097.5770588"/>
    <n v="339639.50230249099"/>
    <m/>
    <m/>
    <m/>
    <m/>
    <m/>
    <m/>
    <m/>
    <m/>
  </r>
  <r>
    <x v="5"/>
    <x v="1"/>
    <s v="Emerging Markets State - Obligations"/>
    <n v="6494.8171957813602"/>
    <n v="1.6692995323827599E-2"/>
    <n v="4.8300000000000003E-2"/>
    <n v="313.69967055623903"/>
    <n v="84.698911050184705"/>
    <n v="229.00075950605401"/>
    <n v="6723.8179552874199"/>
    <n v="339639.50230249099"/>
    <m/>
    <m/>
    <m/>
    <m/>
    <m/>
    <m/>
    <m/>
    <m/>
  </r>
  <r>
    <x v="5"/>
    <x v="1"/>
    <s v="High Yield Bonds - Obligations"/>
    <n v="989.13127147527905"/>
    <n v="2.5422676561418001E-3"/>
    <n v="4.9299999999999997E-2"/>
    <n v="48.764171683731"/>
    <n v="13.1663263546073"/>
    <n v="35.5978453291237"/>
    <n v="1024.7291168044001"/>
    <n v="339639.50230249099"/>
    <m/>
    <m/>
    <m/>
    <m/>
    <m/>
    <m/>
    <m/>
    <m/>
  </r>
  <r>
    <x v="5"/>
    <x v="1"/>
    <s v="Investment Grade Bonds - Obligations"/>
    <n v="24511.898968956699"/>
    <n v="6.3000543746282597E-2"/>
    <n v="3.6299999999999999E-2"/>
    <n v="889.78193257313205"/>
    <n v="240.241121794745"/>
    <n v="649.540810778386"/>
    <n v="25161.439779735101"/>
    <n v="339639.50230249099"/>
    <m/>
    <m/>
    <m/>
    <m/>
    <m/>
    <m/>
    <m/>
    <m/>
  </r>
  <r>
    <x v="5"/>
    <x v="1"/>
    <s v="Government ZC Bonds - Obligations"/>
    <n v="20354.539019845299"/>
    <n v="5.2315286856363698E-2"/>
    <n v="2.8299999999999999E-2"/>
    <n v="576.03345426162196"/>
    <n v="155.52903265063699"/>
    <n v="420.50442161098402"/>
    <n v="20775.043441456201"/>
    <n v="339639.50230249099"/>
    <m/>
    <m/>
    <m/>
    <m/>
    <m/>
    <m/>
    <m/>
    <m/>
  </r>
  <r>
    <x v="6"/>
    <x v="0"/>
    <s v="Emerging Markets - Equities"/>
    <n v="24348.400000000001"/>
    <n v="5.08464613548344E-2"/>
    <n v="8.3999999999999894E-2"/>
    <n v="2045.2655999999999"/>
    <n v="347.69515200000001"/>
    <n v="1697.5704479999999"/>
    <n v="26045.970448"/>
    <n v="382603.89934375603"/>
    <m/>
    <m/>
    <m/>
    <m/>
    <m/>
    <m/>
    <m/>
    <m/>
  </r>
  <r>
    <x v="6"/>
    <x v="0"/>
    <s v="Developed Markets - Equities"/>
    <n v="1683.5"/>
    <n v="3.5156321438313699E-3"/>
    <n v="6.8000000000000005E-2"/>
    <n v="114.47799999999999"/>
    <n v="19.461259999999999"/>
    <n v="95.016739999999999"/>
    <n v="1778.51674"/>
    <n v="382603.89934375603"/>
    <m/>
    <m/>
    <m/>
    <m/>
    <m/>
    <m/>
    <m/>
    <m/>
  </r>
  <r>
    <x v="6"/>
    <x v="1"/>
    <s v="Emerging Markets State - Obligations"/>
    <n v="5290.5638517544003"/>
    <n v="1.10482187919335E-2"/>
    <n v="4.8300000000000003E-2"/>
    <n v="255.53423403973699"/>
    <n v="68.994243190729094"/>
    <n v="186.53999084900801"/>
    <n v="5477.1038426034102"/>
    <n v="382603.89934375603"/>
    <m/>
    <m/>
    <m/>
    <m/>
    <m/>
    <m/>
    <m/>
    <m/>
  </r>
  <r>
    <x v="6"/>
    <x v="1"/>
    <s v="High Yield Bonds - Obligations"/>
    <n v="45.852316317193399"/>
    <n v="9.5752822758448896E-5"/>
    <n v="4.9299999999999997E-2"/>
    <n v="2.2605191944376202"/>
    <n v="0.61034018249815902"/>
    <n v="1.6501790119394599"/>
    <n v="47.502495329132799"/>
    <n v="382603.89934375603"/>
    <m/>
    <m/>
    <m/>
    <m/>
    <m/>
    <m/>
    <m/>
    <m/>
  </r>
  <r>
    <x v="6"/>
    <x v="1"/>
    <s v="Investment Grade Bonds - Obligations"/>
    <n v="25063.332441871698"/>
    <n v="5.2339445894966398E-2"/>
    <n v="3.6299999999999999E-2"/>
    <n v="909.79896763994395"/>
    <n v="245.645721262785"/>
    <n v="664.15324637715901"/>
    <n v="25727.4856882489"/>
    <n v="382603.89934375603"/>
    <m/>
    <m/>
    <m/>
    <m/>
    <m/>
    <m/>
    <m/>
    <m/>
  </r>
  <r>
    <x v="6"/>
    <x v="1"/>
    <s v="Government ZC Bonds - Obligations"/>
    <n v="422429.59278466599"/>
    <n v="0.88215447276469805"/>
    <n v="2.8299999999999999E-2"/>
    <n v="11954.757475806"/>
    <n v="3227.7845184676298"/>
    <n v="8726.9729573384102"/>
    <n v="431156.56574200402"/>
    <n v="382603.89934375603"/>
    <m/>
    <m/>
    <m/>
    <m/>
    <m/>
    <m/>
    <m/>
    <m/>
  </r>
  <r>
    <x v="7"/>
    <x v="0"/>
    <s v="Emerging Markets - Equities"/>
    <n v="65331.88"/>
    <n v="0.116997091225259"/>
    <n v="8.3999999999999894E-2"/>
    <n v="5487.8779199999999"/>
    <n v="932.93924640000102"/>
    <n v="4554.9386735999997"/>
    <n v="69886.818673600006"/>
    <n v="431003.29261074099"/>
    <m/>
    <m/>
    <m/>
    <m/>
    <m/>
    <m/>
    <m/>
    <m/>
  </r>
  <r>
    <x v="7"/>
    <x v="1"/>
    <s v="Emerging Markets - Equities"/>
    <n v="1676.84"/>
    <n v="3.0029045919107802E-3"/>
    <n v="8.3999999999999894E-2"/>
    <n v="140.85455999999999"/>
    <n v="38.030731199999998"/>
    <n v="102.8238288"/>
    <n v="1779.6638287999999"/>
    <n v="431003.29261074099"/>
    <m/>
    <m/>
    <m/>
    <m/>
    <m/>
    <m/>
    <m/>
    <m/>
  </r>
  <r>
    <x v="7"/>
    <x v="1"/>
    <s v="Emerging Markets State - Obligations"/>
    <n v="2.1648255492833199E-11"/>
    <n v="3.8767947941536997E-17"/>
    <n v="4.8300000000000003E-2"/>
    <n v="1.04561074030384E-12"/>
    <n v="2.8231489988203799E-13"/>
    <n v="7.6329584042180802E-13"/>
    <n v="2.2411551333255101E-11"/>
    <n v="431003.29261074099"/>
    <m/>
    <m/>
    <m/>
    <m/>
    <m/>
    <m/>
    <m/>
    <m/>
  </r>
  <r>
    <x v="7"/>
    <x v="1"/>
    <s v="High Yield Bonds - Obligations"/>
    <n v="2.33330498788183E-11"/>
    <n v="4.1785097340466001E-17"/>
    <n v="4.9299999999999997E-2"/>
    <n v="1.15031935902574E-12"/>
    <n v="3.1058622693695002E-13"/>
    <n v="8.3973313208879102E-13"/>
    <n v="2.41727830109071E-11"/>
    <n v="431003.29261074099"/>
    <m/>
    <m/>
    <m/>
    <m/>
    <m/>
    <m/>
    <m/>
    <m/>
  </r>
  <r>
    <x v="7"/>
    <x v="1"/>
    <s v="Investment Grade Bonds - Obligations"/>
    <n v="8.8099982564052897E-12"/>
    <n v="1.5777047433795399E-17"/>
    <n v="3.6299999999999999E-2"/>
    <n v="3.1980293670751199E-13"/>
    <n v="8.63467929110283E-14"/>
    <n v="2.3345614379648402E-13"/>
    <n v="9.0434544002017698E-12"/>
    <n v="431003.29261074099"/>
    <m/>
    <m/>
    <m/>
    <m/>
    <m/>
    <m/>
    <m/>
    <m/>
  </r>
  <r>
    <x v="7"/>
    <x v="1"/>
    <s v="Government ZC Bonds - Obligations"/>
    <n v="491397.29712859198"/>
    <n v="0.88"/>
    <n v="2.8299999999999999E-2"/>
    <n v="13906.5435087391"/>
    <n v="3754.7667473595702"/>
    <n v="10151.7767613795"/>
    <n v="501549.07388997101"/>
    <n v="431003.29261074099"/>
    <m/>
    <m/>
    <m/>
    <m/>
    <m/>
    <m/>
    <m/>
    <m/>
  </r>
  <r>
    <x v="8"/>
    <x v="0"/>
    <s v="Emerging Markets - Equities"/>
    <n v="54521.919999999998"/>
    <n v="8.4915829183054001E-2"/>
    <n v="8.3999999999999894E-2"/>
    <n v="4579.8412799999996"/>
    <n v="778.57301759999996"/>
    <n v="3801.2682623999999"/>
    <n v="58323.188262399999"/>
    <n v="485525.209126"/>
    <n v="62.3762376237623"/>
    <n v="413089.66259017203"/>
    <m/>
    <m/>
    <m/>
    <m/>
    <m/>
    <m/>
  </r>
  <r>
    <x v="8"/>
    <x v="1"/>
    <s v="Emerging Markets - Equities"/>
    <n v="104406.34"/>
    <n v="0.16260892743813599"/>
    <n v="8.3999999999999894E-2"/>
    <n v="8770.1325600000091"/>
    <n v="2367.9357912"/>
    <n v="6402.1967688000004"/>
    <n v="110808.5367688"/>
    <n v="485525.209126"/>
    <n v="62.3762376237623"/>
    <n v="413089.66259017203"/>
    <m/>
    <m/>
    <m/>
    <m/>
    <m/>
    <m/>
  </r>
  <r>
    <x v="8"/>
    <x v="1"/>
    <s v="Emerging Markets State - Obligations"/>
    <n v="1.76445810560213E-12"/>
    <n v="2.7480767936265998E-18"/>
    <n v="4.8300000000000003E-2"/>
    <n v="8.5223326500582904E-14"/>
    <n v="2.3010298155157399E-14"/>
    <n v="6.2213028345425496E-14"/>
    <n v="1.82667113394756E-12"/>
    <n v="485525.209126"/>
    <n v="62.3762376237623"/>
    <n v="413089.66259017203"/>
    <m/>
    <m/>
    <m/>
    <m/>
    <m/>
    <m/>
  </r>
  <r>
    <x v="8"/>
    <x v="1"/>
    <s v="High Yield Bonds - Obligations"/>
    <n v="1.76445810560213E-12"/>
    <n v="2.7480767936265998E-18"/>
    <n v="4.9299999999999997E-2"/>
    <n v="8.6987784606185103E-14"/>
    <n v="2.3486701843669901E-14"/>
    <n v="6.3501082762515098E-14"/>
    <n v="1.8279591883646499E-12"/>
    <n v="485525.209126"/>
    <n v="62.3762376237623"/>
    <n v="413089.66259017203"/>
    <m/>
    <m/>
    <m/>
    <m/>
    <m/>
    <m/>
  </r>
  <r>
    <x v="8"/>
    <x v="1"/>
    <s v="Government ZC Bonds - Obligations"/>
    <n v="483141.90230755799"/>
    <n v="0.75247524752474604"/>
    <n v="2.8299999999999999E-2"/>
    <n v="13672.9158353038"/>
    <n v="3691.6872755320501"/>
    <n v="9981.2285597718401"/>
    <n v="493123.13086733001"/>
    <n v="485525.209126"/>
    <n v="62.3762376237623"/>
    <n v="413089.66259017203"/>
    <m/>
    <m/>
    <m/>
    <m/>
    <m/>
    <m/>
  </r>
  <r>
    <x v="9"/>
    <x v="0"/>
    <s v="Emerging Markets - Equities"/>
    <n v="19799.89"/>
    <n v="6.2125421125913398E-2"/>
    <n v="6.3E-2"/>
    <n v="1247.3930699999901"/>
    <n v="212.05682189999899"/>
    <n v="1035.3362480999899"/>
    <n v="20835.226248099902"/>
    <n v="546944.14808043896"/>
    <m/>
    <m/>
    <m/>
    <m/>
    <m/>
    <m/>
    <m/>
    <m/>
  </r>
  <r>
    <x v="9"/>
    <x v="1"/>
    <s v="Emerging Markets - Equities"/>
    <n v="58285.07"/>
    <n v="0.18287902200988701"/>
    <n v="6.3E-2"/>
    <n v="3671.9594099999899"/>
    <n v="991.42904069999895"/>
    <n v="2680.5303692999901"/>
    <n v="60965.6003692999"/>
    <n v="546944.14808043896"/>
    <m/>
    <m/>
    <m/>
    <m/>
    <m/>
    <m/>
    <m/>
    <m/>
  </r>
  <r>
    <x v="9"/>
    <x v="0"/>
    <s v="Developed Markets - Equities"/>
    <n v="41619.050000000003"/>
    <n v="0.13058663498183301"/>
    <n v="6.3E-2"/>
    <n v="2622.0001499999998"/>
    <n v="445.7400255"/>
    <n v="2176.2601244999901"/>
    <n v="43795.3101245"/>
    <n v="546944.14808043896"/>
    <m/>
    <m/>
    <m/>
    <m/>
    <m/>
    <m/>
    <m/>
    <m/>
  </r>
  <r>
    <x v="9"/>
    <x v="1"/>
    <s v="Developed Markets - Equities"/>
    <n v="122514.33"/>
    <n v="0.38440892071668697"/>
    <n v="6.3E-2"/>
    <n v="7718.4027899999901"/>
    <n v="2083.9687532999901"/>
    <n v="5634.4340366999904"/>
    <n v="128148.7640367"/>
    <n v="546944.14808043896"/>
    <m/>
    <m/>
    <m/>
    <m/>
    <m/>
    <m/>
    <m/>
    <m/>
  </r>
  <r>
    <x v="9"/>
    <x v="1"/>
    <s v="Emerging Markets State - Obligations"/>
    <n v="3.5258383760301503E-11"/>
    <n v="1.10628995379661E-16"/>
    <n v="3.4299999999999997E-2"/>
    <n v="1.2093625629783401E-12"/>
    <n v="3.2652789200415299E-13"/>
    <n v="8.8283467097419098E-13"/>
    <n v="3.6141218431275702E-11"/>
    <n v="546944.14808043896"/>
    <m/>
    <m/>
    <m/>
    <m/>
    <m/>
    <m/>
    <m/>
    <m/>
  </r>
  <r>
    <x v="9"/>
    <x v="1"/>
    <s v="High Yield Bonds - Obligations"/>
    <n v="1.51961686724994E-12"/>
    <n v="4.7680486016813401E-18"/>
    <n v="3.4299999999999997E-2"/>
    <n v="5.2122858546673198E-14"/>
    <n v="1.4073171807601701E-14"/>
    <n v="3.8049686739071399E-14"/>
    <n v="1.5576665539890199E-12"/>
    <n v="546944.14808043896"/>
    <m/>
    <m/>
    <m/>
    <m/>
    <m/>
    <m/>
    <m/>
    <m/>
  </r>
  <r>
    <x v="9"/>
    <x v="1"/>
    <s v="Investment Grade Bonds - Obligations"/>
    <n v="6.71242435250537E-12"/>
    <n v="2.1061338708206599E-17"/>
    <n v="3.4299999999999997E-2"/>
    <n v="2.30236155290934E-13"/>
    <n v="6.21637619285522E-14"/>
    <n v="1.6807239336238099E-13"/>
    <n v="6.8804967458677503E-12"/>
    <n v="546944.14808043896"/>
    <m/>
    <m/>
    <m/>
    <m/>
    <m/>
    <m/>
    <m/>
    <m/>
  </r>
  <r>
    <x v="9"/>
    <x v="1"/>
    <s v="Government ZC Bonds - Obligations"/>
    <n v="76490.002222582596"/>
    <n v="0.23999999999999899"/>
    <n v="3.4299999999999997E-2"/>
    <n v="2623.6070762345698"/>
    <n v="708.37391058333503"/>
    <n v="1915.2331656512399"/>
    <n v="78405.235388233807"/>
    <n v="546944.14808043896"/>
    <m/>
    <m/>
    <m/>
    <m/>
    <m/>
    <m/>
    <m/>
    <m/>
  </r>
  <r>
    <x v="10"/>
    <x v="0"/>
    <s v="Emerging Markets - Equities"/>
    <n v="13052.42"/>
    <n v="3.1886264046672698E-2"/>
    <n v="6.3E-2"/>
    <n v="822.30245999999897"/>
    <n v="139.79141819999899"/>
    <n v="682.51104179999902"/>
    <n v="13734.9310417999"/>
    <n v="616132.58281261497"/>
    <m/>
    <m/>
    <m/>
    <m/>
    <m/>
    <m/>
    <m/>
    <m/>
  </r>
  <r>
    <x v="10"/>
    <x v="0"/>
    <s v="Developed Markets - Equities"/>
    <n v="369.5"/>
    <n v="9.0266590909927696E-4"/>
    <n v="6.3E-2"/>
    <n v="23.278499999999902"/>
    <n v="3.9573449999999899"/>
    <n v="19.321154999999901"/>
    <n v="388.82115499999998"/>
    <n v="616132.58281261497"/>
    <m/>
    <m/>
    <m/>
    <m/>
    <m/>
    <m/>
    <m/>
    <m/>
  </r>
  <r>
    <x v="10"/>
    <x v="1"/>
    <s v="Emerging Markets State - Obligations"/>
    <n v="278.74497187069301"/>
    <n v="6.8095692406092395E-4"/>
    <n v="3.4299999999999997E-2"/>
    <n v="9.5609525351647395"/>
    <n v="2.58145718449448"/>
    <n v="6.9794953506702599"/>
    <n v="285.724467221363"/>
    <n v="616132.58281261497"/>
    <m/>
    <m/>
    <m/>
    <m/>
    <m/>
    <m/>
    <m/>
    <m/>
  </r>
  <r>
    <x v="10"/>
    <x v="1"/>
    <s v="High Yield Bonds - Obligations"/>
    <n v="887.79756455360405"/>
    <n v="2.1688351710525099E-3"/>
    <n v="3.4299999999999997E-2"/>
    <n v="30.451456464188499"/>
    <n v="8.2218932453309197"/>
    <n v="22.229563218857599"/>
    <n v="910.02712777246199"/>
    <n v="616132.58281261497"/>
    <m/>
    <m/>
    <m/>
    <m/>
    <m/>
    <m/>
    <m/>
    <m/>
  </r>
  <r>
    <x v="10"/>
    <x v="1"/>
    <s v="Investment Grade Bonds - Obligations"/>
    <n v="779.48770803567402"/>
    <n v="1.90424081354732E-3"/>
    <n v="3.4299999999999997E-2"/>
    <n v="26.736428385623601"/>
    <n v="7.2188356641183802"/>
    <n v="19.517592721505199"/>
    <n v="799.00530075717995"/>
    <n v="616132.58281261497"/>
    <m/>
    <m/>
    <m/>
    <m/>
    <m/>
    <m/>
    <m/>
    <m/>
  </r>
  <r>
    <x v="10"/>
    <x v="1"/>
    <s v="Government ZC Bonds - Obligations"/>
    <n v="393975.08012054698"/>
    <n v="0.96245703344918598"/>
    <n v="3.4299999999999997E-2"/>
    <n v="13513.345248134699"/>
    <n v="3648.6032169963801"/>
    <n v="9864.7420311383594"/>
    <n v="403839.82215168502"/>
    <n v="616132.58281261497"/>
    <m/>
    <m/>
    <m/>
    <m/>
    <m/>
    <m/>
    <m/>
    <m/>
  </r>
  <r>
    <x v="11"/>
    <x v="0"/>
    <s v="Emerging Markets - Equities"/>
    <n v="109521.03"/>
    <n v="0.21995568733929499"/>
    <n v="6.3E-2"/>
    <n v="6899.8248899999799"/>
    <n v="1172.97023129999"/>
    <n v="5726.8546586999901"/>
    <n v="115247.884658699"/>
    <n v="694073.35453840997"/>
    <m/>
    <m/>
    <m/>
    <m/>
    <m/>
    <m/>
    <m/>
    <m/>
  </r>
  <r>
    <x v="11"/>
    <x v="0"/>
    <s v="Developed Markets - Equities"/>
    <n v="118.46"/>
    <n v="2.37908196464304E-4"/>
    <n v="6.3E-2"/>
    <n v="7.4629799999999804"/>
    <n v="1.26870659999999"/>
    <n v="6.1942733999999797"/>
    <n v="124.654273399999"/>
    <n v="694073.35453840997"/>
    <m/>
    <m/>
    <m/>
    <m/>
    <m/>
    <m/>
    <m/>
    <m/>
  </r>
  <r>
    <x v="11"/>
    <x v="1"/>
    <s v="Emerging Markets State - Obligations"/>
    <n v="734.41968048977401"/>
    <n v="1.4749659094480201E-3"/>
    <n v="3.4299999999999997E-2"/>
    <n v="25.190595040799199"/>
    <n v="6.8014606610157999"/>
    <n v="18.3891343797834"/>
    <n v="752.80881486955798"/>
    <n v="694073.35453840997"/>
    <m/>
    <m/>
    <m/>
    <m/>
    <m/>
    <m/>
    <m/>
    <m/>
  </r>
  <r>
    <x v="11"/>
    <x v="1"/>
    <s v="High Yield Bonds - Obligations"/>
    <n v="757.67821314710204"/>
    <n v="1.52167699805946E-3"/>
    <n v="3.4299999999999997E-2"/>
    <n v="25.988362710945498"/>
    <n v="7.0168579319553004"/>
    <n v="18.971504778990202"/>
    <n v="776.64971792609197"/>
    <n v="694073.35453840997"/>
    <m/>
    <m/>
    <m/>
    <m/>
    <m/>
    <m/>
    <m/>
    <m/>
  </r>
  <r>
    <x v="11"/>
    <x v="1"/>
    <s v="Investment Grade Bonds - Obligations"/>
    <n v="1596.0586005893699"/>
    <n v="3.2054315643893099E-3"/>
    <n v="3.4299999999999997E-2"/>
    <n v="54.744810000215402"/>
    <n v="14.7810987000581"/>
    <n v="39.9637113001572"/>
    <n v="1636.0223118895201"/>
    <n v="694073.35453840997"/>
    <m/>
    <m/>
    <m/>
    <m/>
    <m/>
    <m/>
    <m/>
    <m/>
  </r>
  <r>
    <x v="11"/>
    <x v="1"/>
    <s v="Government ZC Bonds - Obligations"/>
    <n v="385195.51276347"/>
    <n v="0.77360433671872497"/>
    <n v="3.4299999999999997E-2"/>
    <n v="13212.206087787001"/>
    <n v="3567.2956437025"/>
    <n v="9644.9104440845495"/>
    <n v="394840.42320755502"/>
    <n v="694073.35453840997"/>
    <m/>
    <m/>
    <m/>
    <m/>
    <m/>
    <m/>
    <m/>
    <m/>
  </r>
  <r>
    <x v="12"/>
    <x v="0"/>
    <s v="Emerging Markets - Equities"/>
    <n v="111868.08"/>
    <n v="0.18892712475224499"/>
    <n v="6.3E-2"/>
    <n v="7047.6890399999902"/>
    <n v="1198.10713679999"/>
    <n v="5849.5819031999899"/>
    <n v="117717.6619032"/>
    <n v="781873.63388751901"/>
    <m/>
    <m/>
    <m/>
    <m/>
    <m/>
    <m/>
    <m/>
    <m/>
  </r>
  <r>
    <x v="12"/>
    <x v="1"/>
    <s v="Emerging Markets - Equities"/>
    <n v="95374.94"/>
    <n v="0.16107287429638401"/>
    <n v="6.3E-2"/>
    <n v="6008.62122"/>
    <n v="1622.3277294"/>
    <n v="4386.2934906"/>
    <n v="99761.233490600003"/>
    <n v="781873.63388751901"/>
    <m/>
    <m/>
    <m/>
    <m/>
    <m/>
    <m/>
    <m/>
    <m/>
  </r>
  <r>
    <x v="12"/>
    <x v="1"/>
    <s v="Emerging Markets State - Obligations"/>
    <n v="8.8008779981767797E-11"/>
    <n v="1.4863261937550301E-16"/>
    <n v="3.4299999999999997E-2"/>
    <n v="3.0187011533746298E-12"/>
    <n v="8.1504931141115198E-13"/>
    <n v="2.20365184196348E-12"/>
    <n v="9.0212431823731301E-11"/>
    <n v="781873.63388751901"/>
    <m/>
    <m/>
    <m/>
    <m/>
    <m/>
    <m/>
    <m/>
    <m/>
  </r>
  <r>
    <x v="12"/>
    <x v="1"/>
    <s v="Investment Grade Bonds - Obligations"/>
    <n v="1.58950345895858E-10"/>
    <n v="2.6844146988559501E-16"/>
    <n v="3.4299999999999997E-2"/>
    <n v="5.4519968642279399E-12"/>
    <n v="1.47203915334154E-12"/>
    <n v="3.9799577108863999E-12"/>
    <n v="1.6293030360674401E-10"/>
    <n v="781873.63388751901"/>
    <m/>
    <m/>
    <m/>
    <m/>
    <m/>
    <m/>
    <m/>
    <m/>
  </r>
  <r>
    <x v="12"/>
    <x v="1"/>
    <s v="Government ZC Bonds - Obligations"/>
    <n v="384879.89533189399"/>
    <n v="0.64999999999999902"/>
    <n v="3.4299999999999997E-2"/>
    <n v="13201.380409883899"/>
    <n v="3564.3727106686702"/>
    <n v="9637.0076992153008"/>
    <n v="394516.90303110902"/>
    <n v="781873.63388751901"/>
    <m/>
    <m/>
    <m/>
    <m/>
    <m/>
    <m/>
    <m/>
    <m/>
  </r>
  <r>
    <x v="13"/>
    <x v="0"/>
    <s v="Emerging Markets - Equities"/>
    <n v="98409.59"/>
    <n v="0.142307513804355"/>
    <n v="6.3E-2"/>
    <n v="6199.8041699999803"/>
    <n v="1053.96670889999"/>
    <n v="5145.8374610999899"/>
    <n v="103555.427461099"/>
    <n v="880780.64857429103"/>
    <m/>
    <m/>
    <n v="12"/>
    <n v="85899.2987181239"/>
    <m/>
    <m/>
    <m/>
    <m/>
  </r>
  <r>
    <x v="13"/>
    <x v="1"/>
    <s v="Emerging Markets - Equities"/>
    <n v="203700.56"/>
    <n v="0.2945660098183"/>
    <n v="6.3E-2"/>
    <n v="12833.1352799999"/>
    <n v="3464.9465255999899"/>
    <n v="9368.1887543999892"/>
    <n v="213068.7487544"/>
    <n v="880780.64857429103"/>
    <m/>
    <m/>
    <n v="12"/>
    <n v="85899.2987181239"/>
    <m/>
    <m/>
    <m/>
    <m/>
  </r>
  <r>
    <x v="13"/>
    <x v="0"/>
    <s v="Developed Markets - Equities"/>
    <n v="497.42"/>
    <n v="7.19305948907645E-4"/>
    <n v="6.3E-2"/>
    <n v="31.33746"/>
    <n v="5.3273682000000004"/>
    <n v="26.010091800000001"/>
    <n v="523.43009180000001"/>
    <n v="880780.64857429103"/>
    <m/>
    <m/>
    <n v="12"/>
    <n v="85899.2987181239"/>
    <m/>
    <m/>
    <m/>
    <m/>
  </r>
  <r>
    <x v="13"/>
    <x v="1"/>
    <s v="Developed Markets - Equities"/>
    <n v="1029.6300000000001"/>
    <n v="1.48892079967387E-3"/>
    <n v="6.3E-2"/>
    <n v="64.866690000000006"/>
    <n v="17.514006299999998"/>
    <n v="47.3526837"/>
    <n v="1076.9826837000001"/>
    <n v="880780.64857429103"/>
    <m/>
    <m/>
    <n v="12"/>
    <n v="85899.2987181239"/>
    <m/>
    <m/>
    <m/>
    <m/>
  </r>
  <r>
    <x v="13"/>
    <x v="1"/>
    <s v="Emerging Markets State - Obligations"/>
    <n v="910.73068673478997"/>
    <n v="1.3169836372101599E-3"/>
    <n v="3.4299999999999997E-2"/>
    <n v="31.2380625550033"/>
    <n v="8.4342768898508993"/>
    <n v="22.8037856651524"/>
    <n v="933.53447239994296"/>
    <n v="880780.64857429103"/>
    <m/>
    <m/>
    <n v="12"/>
    <n v="85899.2987181239"/>
    <m/>
    <m/>
    <m/>
    <m/>
  </r>
  <r>
    <x v="13"/>
    <x v="1"/>
    <s v="High Yield Bonds - Obligations"/>
    <n v="1760.5701881856801"/>
    <n v="2.5459141366077202E-3"/>
    <n v="3.4299999999999997E-2"/>
    <n v="60.387557454768903"/>
    <n v="16.3046405127876"/>
    <n v="44.082916941981303"/>
    <n v="1804.65310512766"/>
    <n v="880780.64857429103"/>
    <m/>
    <m/>
    <n v="12"/>
    <n v="85899.2987181239"/>
    <m/>
    <m/>
    <m/>
    <m/>
  </r>
  <r>
    <x v="13"/>
    <x v="1"/>
    <s v="Investment Grade Bonds - Obligations"/>
    <n v="379.78360666245197"/>
    <n v="5.4919506165796198E-4"/>
    <n v="3.4299999999999997E-2"/>
    <n v="13.026577708522"/>
    <n v="3.51717598130096"/>
    <n v="9.50940172722113"/>
    <n v="389.29300838967299"/>
    <n v="880780.64857429103"/>
    <m/>
    <m/>
    <n v="12"/>
    <n v="85899.2987181239"/>
    <m/>
    <m/>
    <m/>
    <m/>
  </r>
  <r>
    <x v="13"/>
    <x v="1"/>
    <s v="Government ZC Bonds - Obligations"/>
    <n v="384839.42536896799"/>
    <n v="0.55650614780688101"/>
    <n v="3.4299999999999997E-2"/>
    <n v="13199.9922901556"/>
    <n v="3563.9979183420101"/>
    <n v="9635.9943718135892"/>
    <n v="394475.419740782"/>
    <n v="880780.64857429103"/>
    <m/>
    <m/>
    <n v="12"/>
    <n v="85899.2987181239"/>
    <m/>
    <m/>
    <m/>
    <m/>
  </r>
  <r>
    <x v="14"/>
    <x v="0"/>
    <s v="Emerging Markets - Equities"/>
    <n v="110877.23"/>
    <n v="0.154380255317176"/>
    <n v="6.3E-2"/>
    <n v="6985.2654899999898"/>
    <n v="1187.4951332999899"/>
    <n v="5797.7703566999899"/>
    <n v="116675.00035669999"/>
    <n v="992199.40061893803"/>
    <m/>
    <m/>
    <m/>
    <m/>
    <m/>
    <m/>
    <m/>
    <m/>
  </r>
  <r>
    <x v="14"/>
    <x v="1"/>
    <s v="Emerging Markets - Equities"/>
    <n v="292910.84000000003"/>
    <n v="0.40783531717349603"/>
    <n v="6.3E-2"/>
    <n v="18453.38292"/>
    <n v="4982.4133884000003"/>
    <n v="13470.9695316"/>
    <n v="306381.80953159998"/>
    <n v="992199.40061893803"/>
    <m/>
    <m/>
    <m/>
    <m/>
    <m/>
    <m/>
    <m/>
    <m/>
  </r>
  <r>
    <x v="14"/>
    <x v="0"/>
    <s v="Developed Markets - Equities"/>
    <n v="541.52"/>
    <n v="7.5398705270106E-4"/>
    <n v="6.3E-2"/>
    <n v="34.115760000000002"/>
    <n v="5.7996791999999999"/>
    <n v="28.316080800000002"/>
    <n v="569.83608079999999"/>
    <n v="992199.40061893803"/>
    <m/>
    <m/>
    <m/>
    <m/>
    <m/>
    <m/>
    <m/>
    <m/>
  </r>
  <r>
    <x v="14"/>
    <x v="1"/>
    <s v="Developed Markets - Equities"/>
    <n v="1430.56"/>
    <n v="1.99184465599059E-3"/>
    <n v="6.3E-2"/>
    <n v="90.125279999999904"/>
    <n v="24.333825599999901"/>
    <n v="65.791454399999907"/>
    <n v="1496.3514544"/>
    <n v="992199.40061893803"/>
    <m/>
    <m/>
    <m/>
    <m/>
    <m/>
    <m/>
    <m/>
    <m/>
  </r>
  <r>
    <x v="14"/>
    <x v="1"/>
    <s v="Emerging Markets State - Obligations"/>
    <n v="454.40768075452399"/>
    <n v="6.3269594463145895E-4"/>
    <n v="3.4299999999999997E-2"/>
    <n v="15.5861834498801"/>
    <n v="4.2082695314676499"/>
    <n v="11.377913918412499"/>
    <n v="465.78559467293599"/>
    <n v="992199.40061893803"/>
    <m/>
    <m/>
    <m/>
    <m/>
    <m/>
    <m/>
    <m/>
    <m/>
  </r>
  <r>
    <x v="14"/>
    <x v="1"/>
    <s v="High Yield Bonds - Obligations"/>
    <n v="1789.3317971870899"/>
    <n v="2.4913816813144198E-3"/>
    <n v="3.4299999999999997E-2"/>
    <n v="61.374080643517097"/>
    <n v="16.5710017737496"/>
    <n v="44.803078869767397"/>
    <n v="1834.1348760568501"/>
    <n v="992199.40061893803"/>
    <m/>
    <m/>
    <m/>
    <m/>
    <m/>
    <m/>
    <m/>
    <m/>
  </r>
  <r>
    <x v="14"/>
    <x v="1"/>
    <s v="Investment Grade Bonds - Obligations"/>
    <n v="686.35196543091399"/>
    <n v="9.5564428927986901E-4"/>
    <n v="3.4299999999999997E-2"/>
    <n v="23.541872414280299"/>
    <n v="6.3563055518556801"/>
    <n v="17.185566862424601"/>
    <n v="703.53753229333802"/>
    <n v="992199.40061893803"/>
    <m/>
    <m/>
    <m/>
    <m/>
    <m/>
    <m/>
    <m/>
    <m/>
  </r>
  <r>
    <x v="14"/>
    <x v="1"/>
    <s v="Government ZC Bonds - Obligations"/>
    <n v="309518.37138914003"/>
    <n v="0.43095886504751502"/>
    <n v="3.4299999999999997E-2"/>
    <n v="10616.480138647499"/>
    <n v="2866.44963743483"/>
    <n v="7750.0305012127001"/>
    <n v="317268.40189035301"/>
    <n v="992199.40061893803"/>
    <m/>
    <m/>
    <m/>
    <m/>
    <m/>
    <m/>
    <m/>
    <m/>
  </r>
  <r>
    <x v="15"/>
    <x v="0"/>
    <s v="Emerging Markets - Equities"/>
    <n v="125086.83"/>
    <n v="0.149883910384908"/>
    <n v="6.3E-2"/>
    <n v="7880.4702899999802"/>
    <n v="1339.6799492999901"/>
    <n v="6540.7903406999803"/>
    <n v="131627.6203407"/>
    <n v="1117712.6247972299"/>
    <m/>
    <m/>
    <m/>
    <m/>
    <m/>
    <m/>
    <m/>
    <m/>
  </r>
  <r>
    <x v="15"/>
    <x v="1"/>
    <s v="Emerging Markets - Equities"/>
    <n v="385019.06"/>
    <n v="0.46134482971166402"/>
    <n v="6.3E-2"/>
    <n v="24256.200779999901"/>
    <n v="6549.1742105999801"/>
    <n v="17707.026569399899"/>
    <n v="402726.08656939998"/>
    <n v="1117712.6247972299"/>
    <m/>
    <m/>
    <m/>
    <m/>
    <m/>
    <m/>
    <m/>
    <m/>
  </r>
  <r>
    <x v="15"/>
    <x v="0"/>
    <s v="Developed Markets - Equities"/>
    <n v="426.39"/>
    <n v="5.1091710093717501E-4"/>
    <n v="6.3E-2"/>
    <n v="26.862569999999899"/>
    <n v="4.56663689999999"/>
    <n v="22.2959330999999"/>
    <n v="448.68593309999898"/>
    <n v="1117712.6247972299"/>
    <m/>
    <m/>
    <m/>
    <m/>
    <m/>
    <m/>
    <m/>
    <m/>
  </r>
  <r>
    <x v="15"/>
    <x v="1"/>
    <s v="Developed Markets - Equities"/>
    <n v="1312.43"/>
    <n v="1.57260472990214E-3"/>
    <n v="6.3E-2"/>
    <n v="82.683089999999893"/>
    <n v="22.324434299999901"/>
    <n v="60.3586557"/>
    <n v="1372.7886556999999"/>
    <n v="1117712.6247972299"/>
    <m/>
    <m/>
    <m/>
    <m/>
    <m/>
    <m/>
    <m/>
    <m/>
  </r>
  <r>
    <x v="15"/>
    <x v="1"/>
    <s v="Emerging Markets State - Obligations"/>
    <n v="792.30455614255902"/>
    <n v="9.4937017022836303E-4"/>
    <n v="3.4299999999999997E-2"/>
    <n v="27.176046275689799"/>
    <n v="7.3375324944362497"/>
    <n v="19.8385137812535"/>
    <n v="812.14306992381205"/>
    <n v="1117712.6247972299"/>
    <m/>
    <m/>
    <m/>
    <m/>
    <m/>
    <m/>
    <m/>
    <m/>
  </r>
  <r>
    <x v="15"/>
    <x v="1"/>
    <s v="High Yield Bonds - Obligations"/>
    <n v="1897.8817366314399"/>
    <n v="2.27411579727796E-3"/>
    <n v="3.4299999999999997E-2"/>
    <n v="65.097343566458605"/>
    <n v="17.576282762943801"/>
    <n v="47.5210608035148"/>
    <n v="1945.4027974349599"/>
    <n v="1117712.6247972299"/>
    <m/>
    <m/>
    <m/>
    <m/>
    <m/>
    <m/>
    <m/>
    <m/>
  </r>
  <r>
    <x v="15"/>
    <x v="1"/>
    <s v="Investment Grade Bonds - Obligations"/>
    <n v="1197.3598905559099"/>
    <n v="1.43472324412223E-3"/>
    <n v="3.4299999999999997E-2"/>
    <n v="41.069444246067803"/>
    <n v="11.0887499464383"/>
    <n v="29.980694299629501"/>
    <n v="1227.3405848555401"/>
    <n v="1117712.6247972299"/>
    <m/>
    <m/>
    <m/>
    <m/>
    <m/>
    <m/>
    <m/>
    <m/>
  </r>
  <r>
    <x v="15"/>
    <x v="1"/>
    <s v="Government ZC Bonds - Obligations"/>
    <n v="318825.82318318699"/>
    <n v="0.382029515900144"/>
    <n v="3.4299999999999997E-2"/>
    <n v="10935.7257351833"/>
    <n v="2952.6459484994998"/>
    <n v="7983.0797866838302"/>
    <n v="326808.90296987101"/>
    <n v="1117712.6247972299"/>
    <m/>
    <m/>
    <m/>
    <m/>
    <m/>
    <m/>
    <m/>
    <m/>
  </r>
  <r>
    <x v="16"/>
    <x v="0"/>
    <s v="Emerging Markets - Equities"/>
    <n v="140421.51"/>
    <n v="0.146727285884447"/>
    <n v="6.3E-2"/>
    <n v="8846.5551299999897"/>
    <n v="1503.91437209999"/>
    <n v="7342.6407578999897"/>
    <n v="147764.1507579"/>
    <n v="1259103.2718340801"/>
    <m/>
    <m/>
    <m/>
    <m/>
    <m/>
    <m/>
    <m/>
    <m/>
  </r>
  <r>
    <x v="16"/>
    <x v="1"/>
    <s v="Emerging Markets - Equities"/>
    <n v="478961.69"/>
    <n v="0.50046996942511301"/>
    <n v="6.3E-2"/>
    <n v="30174.5864699999"/>
    <n v="8147.1383468999902"/>
    <n v="22027.448123099901"/>
    <n v="500989.13812309998"/>
    <n v="1259103.2718340801"/>
    <m/>
    <m/>
    <m/>
    <m/>
    <m/>
    <m/>
    <m/>
    <m/>
  </r>
  <r>
    <x v="16"/>
    <x v="0"/>
    <s v="Developed Markets - Equities"/>
    <n v="969.13"/>
    <n v="1.0126498039309999E-3"/>
    <n v="6.3E-2"/>
    <n v="61.055189999999897"/>
    <n v="10.3793822999999"/>
    <n v="50.675807699999901"/>
    <n v="1019.8058076999999"/>
    <n v="1259103.2718340801"/>
    <m/>
    <m/>
    <m/>
    <m/>
    <m/>
    <m/>
    <m/>
    <m/>
  </r>
  <r>
    <x v="16"/>
    <x v="1"/>
    <s v="Developed Markets - Equities"/>
    <n v="3305.61"/>
    <n v="3.4540519005420798E-3"/>
    <n v="6.3E-2"/>
    <n v="208.25342999999901"/>
    <n v="56.228426099999901"/>
    <n v="152.02500389999901"/>
    <n v="3457.6350038999999"/>
    <n v="1259103.2718340801"/>
    <m/>
    <m/>
    <m/>
    <m/>
    <m/>
    <m/>
    <m/>
    <m/>
  </r>
  <r>
    <x v="16"/>
    <x v="1"/>
    <s v="Emerging Markets State - Obligations"/>
    <n v="10756.1279883273"/>
    <n v="1.12391432505818E-2"/>
    <n v="3.4299999999999997E-2"/>
    <n v="368.93518999962703"/>
    <n v="99.612501299899293"/>
    <n v="269.322688699727"/>
    <n v="11025.450677027"/>
    <n v="1259103.2718340801"/>
    <m/>
    <m/>
    <m/>
    <m/>
    <m/>
    <m/>
    <m/>
    <m/>
  </r>
  <r>
    <x v="16"/>
    <x v="1"/>
    <s v="High Yield Bonds - Obligations"/>
    <n v="11334.718632341601"/>
    <n v="1.18437161171915E-2"/>
    <n v="3.4299999999999997E-2"/>
    <n v="388.78084908931999"/>
    <n v="104.970829254116"/>
    <n v="283.81001983520298"/>
    <n v="11618.528652176899"/>
    <n v="1259103.2718340801"/>
    <m/>
    <m/>
    <m/>
    <m/>
    <m/>
    <m/>
    <m/>
    <m/>
  </r>
  <r>
    <x v="16"/>
    <x v="1"/>
    <s v="Investment Grade Bonds - Obligations"/>
    <n v="2241.1080465678301"/>
    <n v="2.3417473651059198E-3"/>
    <n v="3.4299999999999997E-2"/>
    <n v="76.870005997276607"/>
    <n v="20.754901619264601"/>
    <n v="56.1151043780119"/>
    <n v="2297.2231509458402"/>
    <n v="1259103.2718340801"/>
    <m/>
    <m/>
    <m/>
    <m/>
    <m/>
    <m/>
    <m/>
    <m/>
  </r>
  <r>
    <x v="16"/>
    <x v="1"/>
    <s v="Government ZC Bonds - Obligations"/>
    <n v="309033.93246263498"/>
    <n v="0.32291142686359298"/>
    <n v="3.4299999999999997E-2"/>
    <n v="10599.863883468301"/>
    <n v="2861.96324853646"/>
    <n v="7737.9006349319097"/>
    <n v="316771.83309756703"/>
    <n v="1259103.2718340801"/>
    <m/>
    <m/>
    <m/>
    <m/>
    <m/>
    <m/>
    <m/>
    <m/>
  </r>
  <r>
    <x v="17"/>
    <x v="0"/>
    <s v="Emerging Markets - Equities"/>
    <n v="158949.82999999999"/>
    <n v="0.146376231842474"/>
    <n v="6.3E-2"/>
    <n v="10013.83929"/>
    <n v="1702.3526793000001"/>
    <n v="8311.4866106999998"/>
    <n v="167261.316610699"/>
    <n v="1418379.83572109"/>
    <m/>
    <m/>
    <m/>
    <m/>
    <m/>
    <m/>
    <m/>
    <m/>
  </r>
  <r>
    <x v="17"/>
    <x v="1"/>
    <s v="Emerging Markets - Equities"/>
    <n v="574151.81000000006"/>
    <n v="0.52873399394850595"/>
    <n v="6.3E-2"/>
    <n v="36171.564030000001"/>
    <n v="9766.3222881000002"/>
    <n v="26405.241741900001"/>
    <n v="600557.05174190004"/>
    <n v="1418379.83572109"/>
    <m/>
    <m/>
    <m/>
    <m/>
    <m/>
    <m/>
    <m/>
    <m/>
  </r>
  <r>
    <x v="17"/>
    <x v="0"/>
    <s v="Developed Markets - Equities"/>
    <n v="326.73"/>
    <n v="3.0088428675822699E-4"/>
    <n v="6.3E-2"/>
    <n v="20.583989999999901"/>
    <n v="3.4992782999999901"/>
    <n v="17.0847116999999"/>
    <n v="343.81471169999998"/>
    <n v="1418379.83572109"/>
    <m/>
    <m/>
    <m/>
    <m/>
    <m/>
    <m/>
    <m/>
    <m/>
  </r>
  <r>
    <x v="17"/>
    <x v="1"/>
    <s v="Developed Markets - Equities"/>
    <n v="1180.22"/>
    <n v="1.08685964838795E-3"/>
    <n v="6.3E-2"/>
    <n v="74.353859999999898"/>
    <n v="20.075542199999902"/>
    <n v="54.278317799999897"/>
    <n v="1234.4983178"/>
    <n v="1418379.83572109"/>
    <m/>
    <m/>
    <m/>
    <m/>
    <m/>
    <m/>
    <m/>
    <m/>
  </r>
  <r>
    <x v="17"/>
    <x v="1"/>
    <s v="Emerging Markets State - Obligations"/>
    <n v="4453.0917720355801"/>
    <n v="4.1008335374708698E-3"/>
    <n v="3.4299999999999997E-2"/>
    <n v="152.74104778082"/>
    <n v="41.240082900821598"/>
    <n v="111.500964879999"/>
    <n v="4564.5927369155797"/>
    <n v="1418379.83572109"/>
    <m/>
    <m/>
    <m/>
    <m/>
    <m/>
    <m/>
    <m/>
    <m/>
  </r>
  <r>
    <x v="17"/>
    <x v="1"/>
    <s v="High Yield Bonds - Obligations"/>
    <n v="1917.72019775085"/>
    <n v="1.766020487565E-3"/>
    <n v="3.4299999999999997E-2"/>
    <n v="65.777802782854394"/>
    <n v="17.7600067513707"/>
    <n v="48.017796031483698"/>
    <n v="1965.73799378234"/>
    <n v="1418379.83572109"/>
    <m/>
    <m/>
    <m/>
    <m/>
    <m/>
    <m/>
    <m/>
    <m/>
  </r>
  <r>
    <x v="17"/>
    <x v="1"/>
    <s v="Investment Grade Bonds - Obligations"/>
    <n v="5492.9018769665699"/>
    <n v="5.0583903023414404E-3"/>
    <n v="3.4299999999999997E-2"/>
    <n v="188.406534379953"/>
    <n v="50.869764282587496"/>
    <n v="137.536770097366"/>
    <n v="5630.4386470639402"/>
    <n v="1418379.83572109"/>
    <m/>
    <m/>
    <m/>
    <m/>
    <m/>
    <m/>
    <m/>
    <m/>
  </r>
  <r>
    <x v="17"/>
    <x v="1"/>
    <s v="Government ZC Bonds - Obligations"/>
    <n v="339426.87835179799"/>
    <n v="0.312576788784172"/>
    <n v="3.4299999999999997E-2"/>
    <n v="11642.341927466599"/>
    <n v="3143.432320416"/>
    <n v="8498.9096070506694"/>
    <n v="347925.787958848"/>
    <n v="1418379.83572109"/>
    <m/>
    <m/>
    <m/>
    <m/>
    <m/>
    <m/>
    <m/>
    <m/>
  </r>
  <r>
    <x v="18"/>
    <x v="0"/>
    <s v="Emerging Markets - Equities"/>
    <n v="179242.26"/>
    <n v="0.14567286011930999"/>
    <n v="6.3E-2"/>
    <n v="11292.26238"/>
    <n v="1919.6846046000001"/>
    <n v="9372.5777753999992"/>
    <n v="188614.8377754"/>
    <n v="1597804.88493981"/>
    <m/>
    <m/>
    <m/>
    <m/>
    <n v="27.272727272727199"/>
    <n v="349370.89466904901"/>
    <m/>
    <m/>
  </r>
  <r>
    <x v="18"/>
    <x v="1"/>
    <s v="Emerging Markets - Equities"/>
    <n v="709708.79"/>
    <n v="0.57679092693383305"/>
    <n v="6.3E-2"/>
    <n v="44711.653769999903"/>
    <n v="12072.146517899901"/>
    <n v="32639.507252099898"/>
    <n v="742348.29725209996"/>
    <n v="1597804.88493981"/>
    <m/>
    <m/>
    <m/>
    <m/>
    <n v="27.272727272727199"/>
    <n v="349370.89466904901"/>
    <m/>
    <m/>
  </r>
  <r>
    <x v="18"/>
    <x v="0"/>
    <s v="Developed Markets - Equities"/>
    <n v="182.79"/>
    <n v="1.4855616137181399E-4"/>
    <n v="6.3E-2"/>
    <n v="11.51577"/>
    <n v="1.9576808999999999"/>
    <n v="9.5580891000000001"/>
    <n v="192.34808909999899"/>
    <n v="1597804.88493981"/>
    <m/>
    <m/>
    <m/>
    <m/>
    <n v="27.272727272727199"/>
    <n v="349370.89466904901"/>
    <m/>
    <m/>
  </r>
  <r>
    <x v="18"/>
    <x v="1"/>
    <s v="Developed Markets - Equities"/>
    <n v="723.74"/>
    <n v="5.8819430073437902E-4"/>
    <n v="6.3E-2"/>
    <n v="45.595619999999897"/>
    <n v="12.3108173999999"/>
    <n v="33.2848025999999"/>
    <n v="757.02480259999902"/>
    <n v="1597804.88493981"/>
    <m/>
    <m/>
    <m/>
    <m/>
    <n v="27.272727272727199"/>
    <n v="349370.89466904901"/>
    <m/>
    <m/>
  </r>
  <r>
    <x v="18"/>
    <x v="1"/>
    <s v="Emerging Markets State - Obligations"/>
    <n v="2178.0964065174999"/>
    <n v="1.7701714604189699E-3"/>
    <n v="3.4299999999999997E-2"/>
    <n v="74.708706743550394"/>
    <n v="20.171350820758601"/>
    <n v="54.537355922791797"/>
    <n v="2232.63376244029"/>
    <n v="1597804.88493981"/>
    <m/>
    <m/>
    <m/>
    <m/>
    <n v="27.272727272727199"/>
    <n v="349370.89466904901"/>
    <m/>
    <m/>
  </r>
  <r>
    <x v="18"/>
    <x v="1"/>
    <s v="High Yield Bonds - Obligations"/>
    <n v="2948.6509986309802"/>
    <n v="2.3964126789309398E-3"/>
    <n v="3.4299999999999997E-2"/>
    <n v="101.138729253043"/>
    <n v="27.3074568983216"/>
    <n v="73.831272354721406"/>
    <n v="3022.4822709857099"/>
    <n v="1597804.88493981"/>
    <m/>
    <m/>
    <m/>
    <m/>
    <n v="27.272727272727199"/>
    <n v="349370.89466904901"/>
    <m/>
    <m/>
  </r>
  <r>
    <x v="18"/>
    <x v="1"/>
    <s v="Investment Grade Bonds - Obligations"/>
    <n v="1112.8581228228099"/>
    <n v="9.0443640723234604E-4"/>
    <n v="3.4299999999999997E-2"/>
    <n v="38.171033612822299"/>
    <n v="10.306179075462"/>
    <n v="27.864854537360301"/>
    <n v="1140.72297736017"/>
    <n v="1597804.88493981"/>
    <m/>
    <m/>
    <m/>
    <m/>
    <n v="27.272727272727199"/>
    <n v="349370.89466904901"/>
    <m/>
    <m/>
  </r>
  <r>
    <x v="18"/>
    <x v="1"/>
    <s v="Government ZC Bonds - Obligations"/>
    <n v="334346.56325908401"/>
    <n v="0.271728442505761"/>
    <n v="3.4299999999999997E-2"/>
    <n v="11468.0871197865"/>
    <n v="3096.3835223423798"/>
    <n v="8371.7035974442097"/>
    <n v="342718.266856528"/>
    <n v="1597804.88493981"/>
    <m/>
    <m/>
    <m/>
    <m/>
    <n v="27.272727272727199"/>
    <n v="349370.89466904901"/>
    <m/>
    <m/>
  </r>
  <r>
    <x v="19"/>
    <x v="0"/>
    <s v="Emerging Markets - Equities"/>
    <n v="202019.5"/>
    <n v="0.195447417659908"/>
    <n v="6.3E-2"/>
    <n v="12727.228499999899"/>
    <n v="2163.6288449999902"/>
    <n v="10563.5996549999"/>
    <n v="212583.099655"/>
    <n v="1799927.2028846999"/>
    <m/>
    <m/>
    <m/>
    <m/>
    <m/>
    <m/>
    <m/>
    <m/>
  </r>
  <r>
    <x v="19"/>
    <x v="1"/>
    <s v="Emerging Markets - Equities"/>
    <n v="726057.82"/>
    <n v="0.70243776462560703"/>
    <n v="6.3E-2"/>
    <n v="45741.642659999998"/>
    <n v="12350.243518200001"/>
    <n v="33391.399141800001"/>
    <n v="759449.21914179996"/>
    <n v="1799927.2028846999"/>
    <m/>
    <m/>
    <m/>
    <m/>
    <m/>
    <m/>
    <m/>
    <m/>
  </r>
  <r>
    <x v="19"/>
    <x v="0"/>
    <s v="Developed Markets - Equities"/>
    <n v="102.82"/>
    <n v="9.9475067920630605E-5"/>
    <n v="6.3E-2"/>
    <n v="6.4776600000000002"/>
    <n v="1.1012021999999999"/>
    <n v="5.3764577999999998"/>
    <n v="108.196457799999"/>
    <n v="1799927.2028846999"/>
    <m/>
    <m/>
    <m/>
    <m/>
    <m/>
    <m/>
    <m/>
    <m/>
  </r>
  <r>
    <x v="19"/>
    <x v="1"/>
    <s v="Developed Markets - Equities"/>
    <n v="369.53"/>
    <n v="3.57508479368903E-4"/>
    <n v="6.3E-2"/>
    <n v="23.280389999999901"/>
    <n v="6.2857052999999796"/>
    <n v="16.994684699999901"/>
    <n v="386.524684699999"/>
    <n v="1799927.2028846999"/>
    <m/>
    <m/>
    <m/>
    <m/>
    <m/>
    <m/>
    <m/>
    <m/>
  </r>
  <r>
    <x v="19"/>
    <x v="1"/>
    <s v="Emerging Markets State - Obligations"/>
    <n v="21594.706659242798"/>
    <n v="2.0892189376135701E-2"/>
    <n v="3.4299999999999997E-2"/>
    <n v="740.69843841202896"/>
    <n v="199.988578371248"/>
    <n v="540.709860040781"/>
    <n v="22135.416519283601"/>
    <n v="1799927.2028846999"/>
    <m/>
    <m/>
    <m/>
    <m/>
    <m/>
    <m/>
    <m/>
    <m/>
  </r>
  <r>
    <x v="19"/>
    <x v="1"/>
    <s v="High Yield Bonds - Obligations"/>
    <n v="22440.743983428201"/>
    <n v="2.1710703481239001E-2"/>
    <n v="3.4299999999999997E-2"/>
    <n v="769.71751863158704"/>
    <n v="207.823730030528"/>
    <n v="561.89378860105796"/>
    <n v="23002.6377720292"/>
    <n v="1799927.2028846999"/>
    <m/>
    <m/>
    <m/>
    <m/>
    <m/>
    <m/>
    <m/>
    <m/>
  </r>
  <r>
    <x v="19"/>
    <x v="1"/>
    <s v="Investment Grade Bonds - Obligations"/>
    <n v="37037.633186209401"/>
    <n v="3.58327278430031E-2"/>
    <n v="3.4299999999999997E-2"/>
    <n v="1270.39081828698"/>
    <n v="343.00552093748598"/>
    <n v="927.38529734949896"/>
    <n v="37965.018483558903"/>
    <n v="1799927.2028846999"/>
    <m/>
    <m/>
    <m/>
    <m/>
    <m/>
    <m/>
    <m/>
    <m/>
  </r>
  <r>
    <x v="19"/>
    <x v="1"/>
    <s v="Government ZC Bonds - Obligations"/>
    <n v="24003.077064201701"/>
    <n v="2.3222210866228301E-2"/>
    <n v="3.4299999999999997E-2"/>
    <n v="823.30554330212101"/>
    <n v="222.29249669157201"/>
    <n v="601.01304661054803"/>
    <n v="24604.0901108123"/>
    <n v="1799927.2028846999"/>
    <m/>
    <m/>
    <m/>
    <m/>
    <m/>
    <m/>
    <m/>
    <m/>
  </r>
  <r>
    <x v="20"/>
    <x v="0"/>
    <s v="Emerging Markets - Equities"/>
    <n v="226544.21"/>
    <n v="0.19146349843368701"/>
    <n v="6.3E-2"/>
    <n v="14272.285229999899"/>
    <n v="2426.2884890999899"/>
    <n v="11845.9967408999"/>
    <n v="238390.20674089901"/>
    <n v="2027617.9940496101"/>
    <m/>
    <m/>
    <m/>
    <m/>
    <m/>
    <m/>
    <m/>
    <m/>
  </r>
  <r>
    <x v="20"/>
    <x v="1"/>
    <s v="Emerging Markets - Equities"/>
    <n v="895339.35"/>
    <n v="0.75669470535726102"/>
    <n v="6.3E-2"/>
    <n v="56406.379049999901"/>
    <n v="15229.7223434999"/>
    <n v="41176.656706499904"/>
    <n v="936516.00670649996"/>
    <n v="2027617.9940496101"/>
    <m/>
    <m/>
    <m/>
    <m/>
    <m/>
    <m/>
    <m/>
    <m/>
  </r>
  <r>
    <x v="20"/>
    <x v="0"/>
    <s v="Developed Markets - Equities"/>
    <n v="1146.58"/>
    <n v="9.6903036292164397E-4"/>
    <n v="6.3E-2"/>
    <n v="72.234539999999896"/>
    <n v="12.279871799999899"/>
    <n v="59.954668199999901"/>
    <n v="1206.5346681999999"/>
    <n v="2027617.9940496101"/>
    <m/>
    <m/>
    <m/>
    <m/>
    <m/>
    <m/>
    <m/>
    <m/>
  </r>
  <r>
    <x v="20"/>
    <x v="1"/>
    <s v="Developed Markets - Equities"/>
    <n v="4531.4799999999996"/>
    <n v="3.82977350814785E-3"/>
    <n v="6.3E-2"/>
    <n v="285.483239999999"/>
    <n v="77.080474799999806"/>
    <n v="208.40276519999901"/>
    <n v="4739.88276519999"/>
    <n v="2027617.9940496101"/>
    <m/>
    <m/>
    <m/>
    <m/>
    <m/>
    <m/>
    <m/>
    <m/>
  </r>
  <r>
    <x v="20"/>
    <x v="1"/>
    <s v="Emerging Markets State - Obligations"/>
    <n v="3586.8073220215101"/>
    <n v="3.0313848148306299E-3"/>
    <n v="3.4299999999999997E-2"/>
    <n v="123.027491145337"/>
    <n v="33.217422609241197"/>
    <n v="89.810068536096693"/>
    <n v="3676.6173905576002"/>
    <n v="2027617.9940496101"/>
    <m/>
    <m/>
    <m/>
    <m/>
    <m/>
    <m/>
    <m/>
    <m/>
  </r>
  <r>
    <x v="20"/>
    <x v="1"/>
    <s v="High Yield Bonds - Obligations"/>
    <n v="503.67373678569498"/>
    <n v="4.25679101285164E-4"/>
    <n v="3.4299999999999997E-2"/>
    <n v="17.276009171749301"/>
    <n v="4.6645224763723201"/>
    <n v="12.611486695377"/>
    <n v="516.28522348107197"/>
    <n v="2027617.9940496101"/>
    <m/>
    <m/>
    <m/>
    <m/>
    <m/>
    <m/>
    <m/>
    <m/>
  </r>
  <r>
    <x v="20"/>
    <x v="1"/>
    <s v="Investment Grade Bonds - Obligations"/>
    <n v="16167.1785391305"/>
    <n v="1.3663666632239099E-2"/>
    <n v="3.4299999999999997E-2"/>
    <n v="554.53422389217997"/>
    <n v="149.724240450888"/>
    <n v="404.80998344129102"/>
    <n v="16571.988522571799"/>
    <n v="2027617.9940496101"/>
    <m/>
    <m/>
    <m/>
    <m/>
    <m/>
    <m/>
    <m/>
    <m/>
  </r>
  <r>
    <x v="20"/>
    <x v="1"/>
    <s v="Government ZC Bonds - Obligations"/>
    <n v="35404.736223036401"/>
    <n v="2.99222595818469E-2"/>
    <n v="3.4299999999999997E-2"/>
    <n v="1214.3824524501399"/>
    <n v="327.88326216153899"/>
    <n v="886.499190288607"/>
    <n v="36291.235413324997"/>
    <n v="2027617.9940496101"/>
    <m/>
    <m/>
    <m/>
    <m/>
    <m/>
    <m/>
    <m/>
    <m/>
  </r>
  <r>
    <x v="21"/>
    <x v="0"/>
    <s v="Emerging Markets - Equities"/>
    <n v="253910.61"/>
    <n v="0.18921322220242401"/>
    <n v="6.3E-2"/>
    <n v="15996.3684299999"/>
    <n v="2719.38263309999"/>
    <n v="13276.9857968999"/>
    <n v="267187.59579689999"/>
    <n v="2284111.6702968902"/>
    <m/>
    <m/>
    <m/>
    <m/>
    <m/>
    <m/>
    <m/>
    <m/>
  </r>
  <r>
    <x v="21"/>
    <x v="1"/>
    <s v="Emerging Markets - Equities"/>
    <n v="1053569.93"/>
    <n v="0.78511631030654105"/>
    <n v="6.3E-2"/>
    <n v="66374.905589999806"/>
    <n v="17961.692648080301"/>
    <n v="48413.212941919403"/>
    <n v="1101983.1429419101"/>
    <n v="2284111.6702968902"/>
    <m/>
    <m/>
    <m/>
    <m/>
    <m/>
    <m/>
    <m/>
    <m/>
  </r>
  <r>
    <x v="21"/>
    <x v="0"/>
    <s v="Developed Markets - Equities"/>
    <n v="2583.0700000000002"/>
    <n v="1.9248939533263901E-3"/>
    <n v="6.3E-2"/>
    <n v="162.733409999999"/>
    <n v="27.664679699999901"/>
    <n v="135.068730299999"/>
    <n v="2718.1387303000001"/>
    <n v="2284111.6702968902"/>
    <m/>
    <m/>
    <m/>
    <m/>
    <m/>
    <m/>
    <m/>
    <m/>
  </r>
  <r>
    <x v="21"/>
    <x v="1"/>
    <s v="Developed Markets - Equities"/>
    <n v="10718.12"/>
    <n v="7.9871023158593207E-3"/>
    <n v="6.3E-2"/>
    <n v="675.241559999998"/>
    <n v="182.72690945654"/>
    <n v="492.514650543458"/>
    <n v="11210.634650543399"/>
    <n v="2284111.6702968902"/>
    <m/>
    <m/>
    <m/>
    <m/>
    <m/>
    <m/>
    <m/>
    <m/>
  </r>
  <r>
    <x v="21"/>
    <x v="1"/>
    <s v="Emerging Markets State - Obligations"/>
    <n v="4297.1909113888296"/>
    <n v="3.2022503461468402E-3"/>
    <n v="3.4299999999999997E-2"/>
    <n v="147.39364826063601"/>
    <n v="39.886149513946599"/>
    <n v="107.50749874669"/>
    <n v="4404.6984101355201"/>
    <n v="2284111.6702968902"/>
    <m/>
    <m/>
    <m/>
    <m/>
    <m/>
    <m/>
    <m/>
    <m/>
  </r>
  <r>
    <x v="21"/>
    <x v="1"/>
    <s v="High Yield Bonds - Obligations"/>
    <n v="696.95481445084204"/>
    <n v="5.1936808064750395E-4"/>
    <n v="3.4299999999999997E-2"/>
    <n v="23.905550135663901"/>
    <n v="6.4690735196279201"/>
    <n v="17.436476616036"/>
    <n v="714.39129106687801"/>
    <n v="2284111.6702968902"/>
    <m/>
    <m/>
    <m/>
    <m/>
    <m/>
    <m/>
    <m/>
    <m/>
  </r>
  <r>
    <x v="21"/>
    <x v="1"/>
    <s v="Investment Grade Bonds - Obligations"/>
    <n v="3249.3859548116802"/>
    <n v="2.4214300721392499E-3"/>
    <n v="3.4299999999999997E-2"/>
    <n v="111.45393825004"/>
    <n v="30.160515717056899"/>
    <n v="81.293422532983698"/>
    <n v="3330.6793773446602"/>
    <n v="2284111.6702968902"/>
    <m/>
    <m/>
    <m/>
    <m/>
    <m/>
    <m/>
    <m/>
    <m/>
  </r>
  <r>
    <x v="21"/>
    <x v="1"/>
    <s v="Government ZC Bonds - Obligations"/>
    <n v="12903.209465228399"/>
    <n v="9.6154226862307703E-3"/>
    <n v="3.4299999999999997E-2"/>
    <n v="442.580084657334"/>
    <n v="119.76645965993001"/>
    <n v="322.813624997403"/>
    <n v="13226.023090225801"/>
    <n v="2284111.6702968902"/>
    <m/>
    <m/>
    <m/>
    <m/>
    <m/>
    <m/>
    <m/>
    <m/>
  </r>
  <r>
    <x v="22"/>
    <x v="0"/>
    <s v="Emerging Markets - Equities"/>
    <n v="283914.06"/>
    <n v="0.186756423608579"/>
    <n v="6.3E-2"/>
    <n v="17886.585779999899"/>
    <n v="3040.7195825999902"/>
    <n v="14845.866197399901"/>
    <n v="298759.92619739898"/>
    <n v="2573051.79658945"/>
    <m/>
    <m/>
    <m/>
    <m/>
    <m/>
    <m/>
    <m/>
    <m/>
  </r>
  <r>
    <x v="22"/>
    <x v="1"/>
    <s v="Emerging Markets - Equities"/>
    <n v="1163729.6100000001"/>
    <n v="0.76549213522925297"/>
    <n v="6.3E-2"/>
    <n v="73314.965429999793"/>
    <n v="21053.671269403399"/>
    <n v="52261.294160596401"/>
    <n v="1215990.9041605899"/>
    <n v="2573051.79658945"/>
    <m/>
    <m/>
    <m/>
    <m/>
    <m/>
    <m/>
    <m/>
    <m/>
  </r>
  <r>
    <x v="22"/>
    <x v="0"/>
    <s v="Developed Markets - Equities"/>
    <n v="5026.0600000000004"/>
    <n v="3.3061025242713698E-3"/>
    <n v="6.3E-2"/>
    <n v="316.64177999999902"/>
    <n v="53.829102599999899"/>
    <n v="262.81267739999902"/>
    <n v="5288.8726773999997"/>
    <n v="2573051.79658945"/>
    <m/>
    <m/>
    <m/>
    <m/>
    <m/>
    <m/>
    <m/>
    <m/>
  </r>
  <r>
    <x v="22"/>
    <x v="1"/>
    <s v="Developed Markets - Equities"/>
    <n v="20601.22"/>
    <n v="1.35513196112004E-2"/>
    <n v="6.3E-2"/>
    <n v="1297.8768600000001"/>
    <n v="372.70798121967499"/>
    <n v="925.16887878032401"/>
    <n v="21526.388878780301"/>
    <n v="2573051.79658945"/>
    <m/>
    <m/>
    <m/>
    <m/>
    <m/>
    <m/>
    <m/>
    <m/>
  </r>
  <r>
    <x v="22"/>
    <x v="1"/>
    <s v="Emerging Markets State - Obligations"/>
    <n v="10723.9045583924"/>
    <n v="7.0540996188956599E-3"/>
    <n v="3.4299999999999997E-2"/>
    <n v="367.829926352862"/>
    <n v="105.628779977753"/>
    <n v="262.20114637510898"/>
    <n v="10986.1057047676"/>
    <n v="2573051.79658945"/>
    <m/>
    <m/>
    <m/>
    <m/>
    <m/>
    <m/>
    <m/>
    <m/>
  </r>
  <r>
    <x v="22"/>
    <x v="1"/>
    <s v="High Yield Bonds - Obligations"/>
    <n v="6711.94551079544"/>
    <n v="4.4150646820795498E-3"/>
    <n v="3.4299999999999997E-2"/>
    <n v="230.21973102028301"/>
    <n v="66.111611840823301"/>
    <n v="164.10811917946"/>
    <n v="6876.0536299749001"/>
    <n v="2573051.79658945"/>
    <m/>
    <m/>
    <m/>
    <m/>
    <m/>
    <m/>
    <m/>
    <m/>
  </r>
  <r>
    <x v="22"/>
    <x v="1"/>
    <s v="Investment Grade Bonds - Obligations"/>
    <n v="23723.5515659796"/>
    <n v="1.56051646253661E-2"/>
    <n v="3.4299999999999997E-2"/>
    <n v="813.71781871310304"/>
    <n v="233.673266580188"/>
    <n v="580.04455213291396"/>
    <n v="24303.596118112499"/>
    <n v="2573051.79658945"/>
    <m/>
    <m/>
    <m/>
    <m/>
    <m/>
    <m/>
    <m/>
    <m/>
  </r>
  <r>
    <x v="22"/>
    <x v="1"/>
    <s v="Government ZC Bonds - Obligations"/>
    <n v="5806.8256396262605"/>
    <n v="3.8196839880885098E-3"/>
    <n v="3.4299999999999997E-2"/>
    <n v="199.17411943918"/>
    <n v="57.196322898755902"/>
    <n v="141.97779654042401"/>
    <n v="5948.8034361666896"/>
    <n v="2573051.79658945"/>
    <m/>
    <m/>
    <m/>
    <m/>
    <m/>
    <m/>
    <m/>
    <m/>
  </r>
  <r>
    <x v="23"/>
    <x v="0"/>
    <s v="Emerging Markets - Equities"/>
    <n v="84122.63"/>
    <n v="4.9301277861308501E-2"/>
    <n v="6.3E-2"/>
    <n v="5299.7256899999902"/>
    <n v="900.95336729999804"/>
    <n v="4398.7723226999897"/>
    <n v="88521.4023227"/>
    <n v="2898542.84885801"/>
    <m/>
    <m/>
    <m/>
    <m/>
    <m/>
    <m/>
    <m/>
    <m/>
  </r>
  <r>
    <x v="23"/>
    <x v="1"/>
    <s v="Emerging Markets - Equities"/>
    <n v="337687.19"/>
    <n v="0.197906437119173"/>
    <n v="6.3E-2"/>
    <n v="21274.292969999999"/>
    <n v="6396.9056988125003"/>
    <n v="14877.387271187499"/>
    <n v="352564.57727118698"/>
    <n v="2898542.84885801"/>
    <m/>
    <m/>
    <m/>
    <m/>
    <m/>
    <m/>
    <m/>
    <m/>
  </r>
  <r>
    <x v="23"/>
    <x v="0"/>
    <s v="Developed Markets - Equities"/>
    <n v="241368.42"/>
    <n v="0.14145743590476201"/>
    <n v="6.3E-2"/>
    <n v="15206.21046"/>
    <n v="2585.0557782000001"/>
    <n v="12621.154681800001"/>
    <n v="253989.5746818"/>
    <n v="2898542.84885801"/>
    <m/>
    <m/>
    <m/>
    <m/>
    <m/>
    <m/>
    <m/>
    <m/>
  </r>
  <r>
    <x v="23"/>
    <x v="1"/>
    <s v="Developed Markets - Equities"/>
    <n v="968907.18"/>
    <n v="0.56784199570314098"/>
    <n v="6.3E-2"/>
    <n v="61041.152339999899"/>
    <n v="18354.2877695844"/>
    <n v="42686.864570415397"/>
    <n v="1011594.04457041"/>
    <n v="2898542.84885801"/>
    <m/>
    <m/>
    <m/>
    <m/>
    <m/>
    <m/>
    <m/>
    <m/>
  </r>
  <r>
    <x v="23"/>
    <x v="1"/>
    <s v="Emerging Markets State - Obligations"/>
    <n v="12076.1749872694"/>
    <n v="7.0774161310595803E-3"/>
    <n v="3.4299999999999997E-2"/>
    <n v="414.212802063342"/>
    <n v="124.54845092979301"/>
    <n v="289.66435113354902"/>
    <n v="12365.839338403001"/>
    <n v="2898542.84885801"/>
    <m/>
    <m/>
    <m/>
    <m/>
    <m/>
    <m/>
    <m/>
    <m/>
  </r>
  <r>
    <x v="23"/>
    <x v="1"/>
    <s v="High Yield Bonds - Obligations"/>
    <n v="12055.9497177425"/>
    <n v="7.0655628208056301E-3"/>
    <n v="3.4299999999999997E-2"/>
    <n v="413.51907531856801"/>
    <n v="124.33985623885199"/>
    <n v="289.17921907971601"/>
    <n v="12345.128936822201"/>
    <n v="2898542.84885801"/>
    <m/>
    <m/>
    <m/>
    <m/>
    <m/>
    <m/>
    <m/>
    <m/>
  </r>
  <r>
    <x v="23"/>
    <x v="1"/>
    <s v="Investment Grade Bonds - Obligations"/>
    <n v="35400.102204920899"/>
    <n v="2.0746739315253501E-2"/>
    <n v="3.4299999999999997E-2"/>
    <n v="1214.22350562879"/>
    <n v="365.10135842079097"/>
    <n v="849.12214720799795"/>
    <n v="36249.224352128898"/>
    <n v="2898542.84885801"/>
    <m/>
    <m/>
    <m/>
    <m/>
    <m/>
    <m/>
    <m/>
    <m/>
  </r>
  <r>
    <x v="23"/>
    <x v="1"/>
    <s v="Government ZC Bonds - Obligations"/>
    <n v="14679.4966242787"/>
    <n v="8.6031302390059093E-3"/>
    <n v="3.4299999999999997E-2"/>
    <n v="503.50673421275798"/>
    <n v="151.39798544741299"/>
    <n v="352.10874876534501"/>
    <n v="15031.605373044"/>
    <n v="2898542.84885801"/>
    <m/>
    <m/>
    <m/>
    <m/>
    <m/>
    <m/>
    <m/>
    <m/>
  </r>
  <r>
    <x v="24"/>
    <x v="0"/>
    <s v="Emerging Markets - Equities"/>
    <n v="95283.16"/>
    <n v="5.0137313619037102E-2"/>
    <n v="6.3E-2"/>
    <n v="6002.8390799999897"/>
    <n v="1020.48264359999"/>
    <n v="4982.3564363999903"/>
    <n v="100265.51643639999"/>
    <n v="3265208.5192385502"/>
    <m/>
    <m/>
    <m/>
    <m/>
    <m/>
    <m/>
    <m/>
    <m/>
  </r>
  <r>
    <x v="24"/>
    <x v="1"/>
    <s v="Emerging Markets - Equities"/>
    <n v="388897.53"/>
    <n v="0.20463508375749601"/>
    <n v="6.3E-2"/>
    <n v="24500.544389999901"/>
    <n v="7694.2722231261996"/>
    <n v="16806.272166873699"/>
    <n v="405703.80216687301"/>
    <n v="3265208.5192385502"/>
    <m/>
    <m/>
    <m/>
    <m/>
    <m/>
    <m/>
    <m/>
    <m/>
  </r>
  <r>
    <x v="24"/>
    <x v="0"/>
    <s v="Developed Markets - Equities"/>
    <n v="271382.51"/>
    <n v="0.14279952527384099"/>
    <n v="6.3E-2"/>
    <n v="17097.098129999998"/>
    <n v="2906.5066821"/>
    <n v="14190.5914478999"/>
    <n v="285573.1014479"/>
    <n v="3265208.5192385502"/>
    <m/>
    <m/>
    <m/>
    <m/>
    <m/>
    <m/>
    <m/>
    <m/>
  </r>
  <r>
    <x v="24"/>
    <x v="1"/>
    <s v="Developed Markets - Equities"/>
    <n v="1107645.71"/>
    <n v="0.58283520761749497"/>
    <n v="6.3E-2"/>
    <n v="69781.679729999902"/>
    <n v="21914.584079559201"/>
    <n v="47867.0956504407"/>
    <n v="1155512.80565044"/>
    <n v="3265208.5192385502"/>
    <m/>
    <m/>
    <m/>
    <m/>
    <m/>
    <m/>
    <m/>
    <m/>
  </r>
  <r>
    <x v="24"/>
    <x v="1"/>
    <s v="Emerging Markets State - Obligations"/>
    <n v="2632.9965756297602"/>
    <n v="1.3854638644457201E-3"/>
    <n v="3.4299999999999997E-2"/>
    <n v="90.311782544100794"/>
    <n v="28.361959178903302"/>
    <n v="61.949823365197503"/>
    <n v="2694.94639899496"/>
    <n v="3265208.5192385502"/>
    <m/>
    <m/>
    <m/>
    <m/>
    <m/>
    <m/>
    <m/>
    <m/>
  </r>
  <r>
    <x v="24"/>
    <x v="1"/>
    <s v="High Yield Bonds - Obligations"/>
    <n v="2285.2917032785999"/>
    <n v="1.2025040609302E-3"/>
    <n v="3.4299999999999997E-2"/>
    <n v="78.385505422455907"/>
    <n v="24.616572083756498"/>
    <n v="53.768933338699398"/>
    <n v="2339.0606366173001"/>
    <n v="3265208.5192385502"/>
    <m/>
    <m/>
    <m/>
    <m/>
    <m/>
    <m/>
    <m/>
    <m/>
  </r>
  <r>
    <x v="24"/>
    <x v="1"/>
    <s v="Investment Grade Bonds - Obligations"/>
    <n v="18894.726469367699"/>
    <n v="9.9422691978373803E-3"/>
    <n v="3.4299999999999997E-2"/>
    <n v="648.08911789931096"/>
    <n v="203.52911423463399"/>
    <n v="444.56000366467703"/>
    <n v="19339.286473032302"/>
    <n v="3265208.5192385502"/>
    <m/>
    <m/>
    <m/>
    <m/>
    <m/>
    <m/>
    <m/>
    <m/>
  </r>
  <r>
    <x v="24"/>
    <x v="1"/>
    <s v="Government ZC Bonds - Obligations"/>
    <n v="13422.141233542699"/>
    <n v="7.06263419963342E-3"/>
    <n v="3.4299999999999997E-2"/>
    <n v="460.37944431051602"/>
    <n v="144.579839291345"/>
    <n v="315.79960501916997"/>
    <n v="13737.940838561901"/>
    <n v="3265208.5192385502"/>
    <m/>
    <m/>
    <m/>
    <m/>
    <m/>
    <m/>
    <m/>
    <m/>
  </r>
  <r>
    <x v="25"/>
    <x v="0"/>
    <s v="Emerging Markets - Equities"/>
    <n v="105488.18"/>
    <n v="5.0133942658978997E-2"/>
    <n v="6.3E-2"/>
    <n v="6645.7553399999797"/>
    <n v="1129.77840779999"/>
    <n v="5515.9769321999902"/>
    <n v="111004.156932199"/>
    <n v="3678257.3969222298"/>
    <m/>
    <m/>
    <m/>
    <m/>
    <m/>
    <m/>
    <m/>
    <m/>
  </r>
  <r>
    <x v="25"/>
    <x v="1"/>
    <s v="Emerging Markets - Equities"/>
    <n v="400547.49"/>
    <n v="0.190362796057889"/>
    <n v="6.3E-2"/>
    <n v="25234.4918699999"/>
    <n v="8118.3093478753199"/>
    <n v="17116.1825221246"/>
    <n v="417663.67252212402"/>
    <n v="3678257.3969222298"/>
    <m/>
    <m/>
    <m/>
    <m/>
    <m/>
    <m/>
    <m/>
    <m/>
  </r>
  <r>
    <x v="25"/>
    <x v="0"/>
    <s v="Developed Markets - Equities"/>
    <n v="307560.69"/>
    <n v="0.14617021543661099"/>
    <n v="6.3E-2"/>
    <n v="19376.323469999999"/>
    <n v="3293.9749898999999"/>
    <n v="16082.3484801"/>
    <n v="323643.03848009999"/>
    <n v="3678257.3969222298"/>
    <m/>
    <m/>
    <m/>
    <m/>
    <m/>
    <m/>
    <m/>
    <m/>
  </r>
  <r>
    <x v="25"/>
    <x v="1"/>
    <s v="Developed Markets - Equities"/>
    <n v="1167833.8"/>
    <n v="0.55502059817903304"/>
    <n v="6.3E-2"/>
    <n v="73573.529399999796"/>
    <n v="23669.6928379323"/>
    <n v="49903.836562067503"/>
    <n v="1217737.6365620601"/>
    <n v="3678257.3969222298"/>
    <m/>
    <m/>
    <m/>
    <m/>
    <m/>
    <m/>
    <m/>
    <m/>
  </r>
  <r>
    <x v="25"/>
    <x v="1"/>
    <s v="Emerging Markets State - Obligations"/>
    <n v="7484.74622697218"/>
    <n v="3.5571742555424901E-3"/>
    <n v="3.4299999999999997E-2"/>
    <n v="256.726795585145"/>
    <n v="82.592808097188296"/>
    <n v="174.133987487957"/>
    <n v="7658.8802144601405"/>
    <n v="3678257.3969222298"/>
    <m/>
    <m/>
    <m/>
    <m/>
    <m/>
    <m/>
    <m/>
    <m/>
  </r>
  <r>
    <x v="25"/>
    <x v="1"/>
    <s v="High Yield Bonds - Obligations"/>
    <n v="3524.8938544514999"/>
    <n v="1.6752286974527301E-3"/>
    <n v="3.4299999999999997E-2"/>
    <n v="120.903859207686"/>
    <n v="38.896560131130002"/>
    <n v="82.007299076556706"/>
    <n v="3606.9011535280601"/>
    <n v="3678257.3969222298"/>
    <m/>
    <m/>
    <m/>
    <m/>
    <m/>
    <m/>
    <m/>
    <m/>
  </r>
  <r>
    <x v="25"/>
    <x v="1"/>
    <s v="Investment Grade Bonds - Obligations"/>
    <n v="519.53594285582597"/>
    <n v="2.4691283107180898E-4"/>
    <n v="3.4299999999999997E-2"/>
    <n v="17.8200828399548"/>
    <n v="5.7329842758398204"/>
    <n v="12.0870985641149"/>
    <n v="531.62304141994105"/>
    <n v="3678257.3969222298"/>
    <m/>
    <m/>
    <m/>
    <m/>
    <m/>
    <m/>
    <m/>
    <m/>
  </r>
  <r>
    <x v="25"/>
    <x v="1"/>
    <s v="Government ZC Bonds - Obligations"/>
    <n v="111167.605704648"/>
    <n v="5.2833126611273901E-2"/>
    <n v="3.4299999999999997E-2"/>
    <n v="3813.0488756694499"/>
    <n v="1226.71423267509"/>
    <n v="2586.3346429943599"/>
    <n v="113753.940347643"/>
    <n v="3678257.3969222298"/>
    <m/>
    <m/>
    <m/>
    <m/>
    <m/>
    <m/>
    <m/>
    <m/>
  </r>
  <r>
    <x v="26"/>
    <x v="0"/>
    <s v="Emerging Markets - Equities"/>
    <n v="119466.38"/>
    <n v="5.1588635533428601E-2"/>
    <n v="6.3E-2"/>
    <n v="7526.3819399999902"/>
    <n v="1279.4849297999899"/>
    <n v="6246.8970101999903"/>
    <n v="125713.277010199"/>
    <n v="4143556.95763289"/>
    <m/>
    <m/>
    <m/>
    <m/>
    <m/>
    <m/>
    <m/>
    <m/>
  </r>
  <r>
    <x v="26"/>
    <x v="1"/>
    <s v="Emerging Markets - Equities"/>
    <n v="460176.37"/>
    <n v="0.198715915163966"/>
    <n v="6.3E-2"/>
    <n v="28991.111309999898"/>
    <n v="9621.7787600318807"/>
    <n v="19369.332549968"/>
    <n v="479545.70254996797"/>
    <n v="4143556.95763289"/>
    <m/>
    <m/>
    <m/>
    <m/>
    <m/>
    <m/>
    <m/>
    <m/>
  </r>
  <r>
    <x v="26"/>
    <x v="0"/>
    <s v="Developed Markets - Equities"/>
    <n v="345833.19"/>
    <n v="0.14933960830045201"/>
    <n v="6.3E-2"/>
    <n v="21787.490969999901"/>
    <n v="3703.8734648999898"/>
    <n v="18083.617505099901"/>
    <n v="363916.80750509998"/>
    <n v="4143556.95763289"/>
    <m/>
    <m/>
    <m/>
    <m/>
    <m/>
    <m/>
    <m/>
    <m/>
  </r>
  <r>
    <x v="26"/>
    <x v="1"/>
    <s v="Developed Markets - Equities"/>
    <n v="1332125.96"/>
    <n v="0.57524602850658602"/>
    <n v="6.3E-2"/>
    <n v="83923.935479999898"/>
    <n v="27853.279966581202"/>
    <n v="56070.6555134187"/>
    <n v="1388196.61551341"/>
    <n v="4143556.95763289"/>
    <m/>
    <m/>
    <m/>
    <m/>
    <m/>
    <m/>
    <m/>
    <m/>
  </r>
  <r>
    <x v="26"/>
    <x v="1"/>
    <s v="Emerging Markets State - Obligations"/>
    <n v="6731.1094467024704"/>
    <n v="2.9066650549012299E-3"/>
    <n v="3.4299999999999997E-2"/>
    <n v="230.877054021894"/>
    <n v="76.625139023227106"/>
    <n v="154.25191499866699"/>
    <n v="6885.3613617011397"/>
    <n v="4143556.95763289"/>
    <m/>
    <m/>
    <m/>
    <m/>
    <m/>
    <m/>
    <m/>
    <m/>
  </r>
  <r>
    <x v="26"/>
    <x v="1"/>
    <s v="High Yield Bonds - Obligations"/>
    <n v="16530.742086781702"/>
    <n v="7.1383968327498803E-3"/>
    <n v="3.4299999999999997E-2"/>
    <n v="567.00445357661295"/>
    <n v="188.18152053333401"/>
    <n v="378.82293304327902"/>
    <n v="16909.565019825"/>
    <n v="4143556.95763289"/>
    <m/>
    <m/>
    <m/>
    <m/>
    <m/>
    <m/>
    <m/>
    <m/>
  </r>
  <r>
    <x v="26"/>
    <x v="1"/>
    <s v="Investment Grade Bonds - Obligations"/>
    <n v="19889.843185340302"/>
    <n v="8.5889425201096208E-3"/>
    <n v="3.4299999999999997E-2"/>
    <n v="682.22162125717603"/>
    <n v="226.420623716574"/>
    <n v="455.800997540602"/>
    <n v="20345.6441828809"/>
    <n v="4143556.95763289"/>
    <m/>
    <m/>
    <m/>
    <m/>
    <m/>
    <m/>
    <m/>
    <m/>
  </r>
  <r>
    <x v="26"/>
    <x v="1"/>
    <s v="Government ZC Bonds - Obligations"/>
    <n v="14996.3631334168"/>
    <n v="6.4758127936645196E-3"/>
    <n v="3.4299999999999997E-2"/>
    <n v="514.37525547619703"/>
    <n v="170.71456333306199"/>
    <n v="343.66069214313501"/>
    <n v="15340.0238255599"/>
    <n v="4143556.95763289"/>
    <m/>
    <m/>
    <m/>
    <m/>
    <m/>
    <m/>
    <m/>
    <m/>
  </r>
  <r>
    <x v="27"/>
    <x v="0"/>
    <s v="Emerging Markets - Equities"/>
    <n v="133503.46"/>
    <n v="5.25975960444518E-2"/>
    <n v="6.3E-2"/>
    <n v="8410.7179799999794"/>
    <n v="1429.82205659999"/>
    <n v="6980.8959233999803"/>
    <n v="140484.35592339901"/>
    <n v="4667716.9127734499"/>
    <m/>
    <m/>
    <m/>
    <m/>
    <m/>
    <m/>
    <m/>
    <m/>
  </r>
  <r>
    <x v="27"/>
    <x v="1"/>
    <s v="Emerging Markets - Equities"/>
    <n v="474188.05"/>
    <n v="0.18682026295802601"/>
    <n v="6.3E-2"/>
    <n v="29873.8471499999"/>
    <n v="10078.133534586401"/>
    <n v="19795.713615413501"/>
    <n v="493983.76361541299"/>
    <n v="4667716.9127734499"/>
    <m/>
    <m/>
    <m/>
    <m/>
    <m/>
    <m/>
    <m/>
    <m/>
  </r>
  <r>
    <x v="27"/>
    <x v="0"/>
    <s v="Developed Markets - Equities"/>
    <n v="390656.49"/>
    <n v="0.15391055972005099"/>
    <n v="6.3E-2"/>
    <n v="24611.358869999902"/>
    <n v="4183.9310078999997"/>
    <n v="20427.427862099899"/>
    <n v="411083.9178621"/>
    <n v="4667716.9127734499"/>
    <m/>
    <m/>
    <m/>
    <m/>
    <m/>
    <m/>
    <m/>
    <m/>
  </r>
  <r>
    <x v="27"/>
    <x v="1"/>
    <s v="Developed Markets - Equities"/>
    <n v="1387564.32"/>
    <n v="0.54667158131373095"/>
    <n v="6.3E-2"/>
    <n v="87416.552159999905"/>
    <n v="29490.533354409901"/>
    <n v="57926.01880559"/>
    <n v="1445490.3388055901"/>
    <n v="4667716.9127734499"/>
    <m/>
    <m/>
    <m/>
    <m/>
    <m/>
    <m/>
    <m/>
    <m/>
  </r>
  <r>
    <x v="27"/>
    <x v="1"/>
    <s v="Emerging Markets State - Obligations"/>
    <n v="3.6539300398793399E-10"/>
    <n v="1.4395726988069201E-16"/>
    <n v="3.4299999999999997E-2"/>
    <n v="1.2532980036786101E-11"/>
    <n v="4.2280810289623802E-12"/>
    <n v="8.3048990078237801E-12"/>
    <n v="3.7369790299575801E-10"/>
    <n v="4667716.9127734499"/>
    <m/>
    <m/>
    <m/>
    <m/>
    <m/>
    <m/>
    <m/>
    <m/>
  </r>
  <r>
    <x v="27"/>
    <x v="1"/>
    <s v="Government ZC Bonds - Obligations"/>
    <n v="152292.275738806"/>
    <n v="5.9999999999999901E-2"/>
    <n v="3.4299999999999997E-2"/>
    <n v="5223.62505784104"/>
    <n v="1762.22334549682"/>
    <n v="3461.40171234421"/>
    <n v="155753.67745115"/>
    <n v="4667716.9127734499"/>
    <m/>
    <m/>
    <m/>
    <m/>
    <m/>
    <m/>
    <m/>
    <m/>
  </r>
  <r>
    <x v="28"/>
    <x v="0"/>
    <s v="Emerging Markets - Equities"/>
    <n v="153566.51"/>
    <n v="5.5451961902469302E-2"/>
    <n v="6.3E-2"/>
    <n v="9674.6901300000009"/>
    <n v="1644.6973221000001"/>
    <n v="8029.9928079000001"/>
    <n v="161596.50280789999"/>
    <n v="5258183.1022392996"/>
    <m/>
    <m/>
    <m/>
    <m/>
    <m/>
    <m/>
    <m/>
    <m/>
  </r>
  <r>
    <x v="28"/>
    <x v="1"/>
    <s v="Emerging Markets - Equities"/>
    <n v="539490.02"/>
    <n v="0.19480666738992999"/>
    <n v="6.3E-2"/>
    <n v="33987.871259999898"/>
    <n v="11711.9553389136"/>
    <n v="22275.9159210863"/>
    <n v="561765.935921086"/>
    <n v="5258183.1022392996"/>
    <m/>
    <m/>
    <m/>
    <m/>
    <m/>
    <m/>
    <m/>
    <m/>
  </r>
  <r>
    <x v="28"/>
    <x v="0"/>
    <s v="Developed Markets - Equities"/>
    <n v="436899.68"/>
    <n v="0.157761900108044"/>
    <n v="6.3E-2"/>
    <n v="27524.679839999899"/>
    <n v="4679.1955728000003"/>
    <n v="22845.484267199899"/>
    <n v="459745.16426719999"/>
    <n v="5258183.1022392996"/>
    <m/>
    <m/>
    <m/>
    <m/>
    <m/>
    <m/>
    <m/>
    <m/>
  </r>
  <r>
    <x v="28"/>
    <x v="1"/>
    <s v="Developed Markets - Equities"/>
    <n v="1534859.53"/>
    <n v="0.55422873244434501"/>
    <n v="6.3E-2"/>
    <n v="96696.150389999806"/>
    <n v="33320.739217503797"/>
    <n v="63375.411172496002"/>
    <n v="1598234.9411724899"/>
    <n v="5258183.1022392996"/>
    <m/>
    <m/>
    <m/>
    <m/>
    <m/>
    <m/>
    <m/>
    <m/>
  </r>
  <r>
    <x v="28"/>
    <x v="1"/>
    <s v="Emerging Markets State - Obligations"/>
    <n v="97.419140423013502"/>
    <n v="3.51774775848474E-5"/>
    <n v="3.4299999999999997E-2"/>
    <n v="3.3414765165093598"/>
    <n v="1.1514467448699599"/>
    <n v="2.1900297716393902"/>
    <n v="99.609170194652904"/>
    <n v="5258183.1022392996"/>
    <m/>
    <m/>
    <m/>
    <m/>
    <m/>
    <m/>
    <m/>
    <m/>
  </r>
  <r>
    <x v="28"/>
    <x v="1"/>
    <s v="High Yield Bonds - Obligations"/>
    <n v="4172.8091314980602"/>
    <n v="1.50677678997918E-3"/>
    <n v="3.4299999999999997E-2"/>
    <n v="143.12735321038301"/>
    <n v="49.320569557109799"/>
    <n v="93.806783653273399"/>
    <n v="4266.6159151513302"/>
    <n v="5258183.1022392996"/>
    <m/>
    <m/>
    <m/>
    <m/>
    <m/>
    <m/>
    <m/>
    <m/>
  </r>
  <r>
    <x v="28"/>
    <x v="1"/>
    <s v="Investment Grade Bonds - Obligations"/>
    <n v="40444.920710170998"/>
    <n v="1.46044225552094E-2"/>
    <n v="3.4299999999999997E-2"/>
    <n v="1387.2607803588601"/>
    <n v="478.039244608741"/>
    <n v="909.22153575012703"/>
    <n v="41354.142245921103"/>
    <n v="5258183.1022392996"/>
    <m/>
    <m/>
    <m/>
    <m/>
    <m/>
    <m/>
    <m/>
    <m/>
  </r>
  <r>
    <x v="28"/>
    <x v="1"/>
    <s v="Government ZC Bonds - Obligations"/>
    <n v="59830.285740381398"/>
    <n v="2.1604363643410798E-2"/>
    <n v="3.4299999999999997E-2"/>
    <n v="2052.1788008950798"/>
    <n v="707.16480828368606"/>
    <n v="1345.01399261139"/>
    <n v="61175.299732992797"/>
    <n v="5258183.1022392996"/>
    <m/>
    <m/>
    <m/>
    <m/>
    <m/>
    <m/>
    <m/>
    <m/>
  </r>
  <r>
    <x v="29"/>
    <x v="0"/>
    <s v="Emerging Markets - Equities"/>
    <n v="169143.15"/>
    <n v="5.6155884053270003E-2"/>
    <n v="6.3E-2"/>
    <n v="10656.01845"/>
    <n v="1811.5231365"/>
    <n v="8844.4953134999996"/>
    <n v="177987.64531349999"/>
    <n v="5923343.2646725699"/>
    <m/>
    <m/>
    <m/>
    <m/>
    <m/>
    <m/>
    <m/>
    <m/>
  </r>
  <r>
    <x v="29"/>
    <x v="1"/>
    <s v="Emerging Markets - Equities"/>
    <n v="536118.75"/>
    <n v="0.177992560525117"/>
    <n v="6.3E-2"/>
    <n v="33775.481249999903"/>
    <n v="11760.4360131871"/>
    <n v="22015.045236812701"/>
    <n v="558133.79523681197"/>
    <n v="5923343.2646725699"/>
    <m/>
    <m/>
    <m/>
    <m/>
    <m/>
    <m/>
    <m/>
    <m/>
  </r>
  <r>
    <x v="29"/>
    <x v="0"/>
    <s v="Developed Markets - Equities"/>
    <n v="496017.01"/>
    <n v="0.164678697907717"/>
    <n v="6.3E-2"/>
    <n v="31249.071629999999"/>
    <n v="5312.3421771000003"/>
    <n v="25936.729452899999"/>
    <n v="521953.73945290002"/>
    <n v="5923343.2646725699"/>
    <m/>
    <m/>
    <m/>
    <m/>
    <m/>
    <m/>
    <m/>
    <m/>
  </r>
  <r>
    <x v="29"/>
    <x v="1"/>
    <s v="Developed Markets - Equities"/>
    <n v="1572183.17"/>
    <n v="0.52196814239904199"/>
    <n v="6.3E-2"/>
    <n v="99047.539709999895"/>
    <n v="34487.806240305399"/>
    <n v="64559.733469694402"/>
    <n v="1636742.9034696899"/>
    <n v="5923343.2646725699"/>
    <m/>
    <m/>
    <m/>
    <m/>
    <m/>
    <m/>
    <m/>
    <m/>
  </r>
  <r>
    <x v="29"/>
    <x v="1"/>
    <s v="Emerging Markets State - Obligations"/>
    <n v="5955.9807524377202"/>
    <n v="1.97739822486102E-3"/>
    <n v="3.4299999999999997E-2"/>
    <n v="204.29013980861399"/>
    <n v="71.132698289658506"/>
    <n v="133.15744151895501"/>
    <n v="6089.13819395668"/>
    <n v="5923343.2646725699"/>
    <m/>
    <m/>
    <m/>
    <m/>
    <m/>
    <m/>
    <m/>
    <m/>
  </r>
  <r>
    <x v="29"/>
    <x v="1"/>
    <s v="High Yield Bonds - Obligations"/>
    <n v="5536.4862371584104"/>
    <n v="1.83812515727886E-3"/>
    <n v="3.4299999999999997E-2"/>
    <n v="189.90147793453301"/>
    <n v="66.122645700533297"/>
    <n v="123.77883223400001"/>
    <n v="5660.2650693924097"/>
    <n v="5923343.2646725699"/>
    <m/>
    <m/>
    <m/>
    <m/>
    <m/>
    <m/>
    <m/>
    <m/>
  </r>
  <r>
    <x v="29"/>
    <x v="1"/>
    <s v="Investment Grade Bonds - Obligations"/>
    <n v="6150.07996955831"/>
    <n v="2.0418395760564601E-3"/>
    <n v="3.4299999999999997E-2"/>
    <n v="210.94774295585"/>
    <n v="73.4508389324143"/>
    <n v="137.49690402343501"/>
    <n v="6287.5768735817401"/>
    <n v="5923343.2646725699"/>
    <m/>
    <m/>
    <m/>
    <m/>
    <m/>
    <m/>
    <m/>
    <m/>
  </r>
  <r>
    <x v="29"/>
    <x v="1"/>
    <s v="Government ZC Bonds - Obligations"/>
    <n v="220924.35516834"/>
    <n v="7.3347353844224805E-2"/>
    <n v="3.4299999999999997E-2"/>
    <n v="7577.70538227408"/>
    <n v="2638.5151588334002"/>
    <n v="4939.1902234406698"/>
    <n v="225863.54539178099"/>
    <n v="5923343.2646725699"/>
    <m/>
    <m/>
    <m/>
    <m/>
    <m/>
    <m/>
    <m/>
    <m/>
  </r>
  <r>
    <x v="30"/>
    <x v="0"/>
    <s v="Emerging Markets - Equities"/>
    <n v="192929.04"/>
    <n v="5.9112738610667098E-2"/>
    <n v="6.3E-2"/>
    <n v="12154.5295199999"/>
    <n v="2066.27001839999"/>
    <n v="10088.2595015999"/>
    <n v="203017.29950160001"/>
    <n v="6672646.1876536496"/>
    <m/>
    <m/>
    <m/>
    <m/>
    <m/>
    <m/>
    <m/>
    <m/>
  </r>
  <r>
    <x v="30"/>
    <x v="1"/>
    <s v="Emerging Markets - Equities"/>
    <n v="603231.09"/>
    <n v="0.184827757112137"/>
    <n v="6.3E-2"/>
    <n v="38003.558669999897"/>
    <n v="13454.5017329401"/>
    <n v="24549.0569370597"/>
    <n v="627780.14693705901"/>
    <n v="6672646.1876536496"/>
    <m/>
    <m/>
    <m/>
    <m/>
    <m/>
    <m/>
    <m/>
    <m/>
  </r>
  <r>
    <x v="30"/>
    <x v="0"/>
    <s v="Developed Markets - Equities"/>
    <n v="556373.88"/>
    <n v="0.17047088265324201"/>
    <n v="6.3E-2"/>
    <n v="35051.554439999898"/>
    <n v="5958.7642547999903"/>
    <n v="29092.790185199901"/>
    <n v="585466.67018519901"/>
    <n v="6672646.1876536496"/>
    <m/>
    <m/>
    <m/>
    <m/>
    <m/>
    <m/>
    <m/>
    <m/>
  </r>
  <r>
    <x v="30"/>
    <x v="1"/>
    <s v="Developed Markets - Equities"/>
    <n v="1739613.79"/>
    <n v="0.53301117992284597"/>
    <n v="6.3E-2"/>
    <n v="109595.668769999"/>
    <n v="38800.448352556799"/>
    <n v="70795.220417442993"/>
    <n v="1810409.01041744"/>
    <n v="6672646.1876536496"/>
    <m/>
    <m/>
    <m/>
    <m/>
    <m/>
    <m/>
    <m/>
    <m/>
  </r>
  <r>
    <x v="30"/>
    <x v="1"/>
    <s v="Emerging Markets State - Obligations"/>
    <n v="8681.2030970197702"/>
    <n v="2.6598882651375001E-3"/>
    <n v="3.4299999999999997E-2"/>
    <n v="297.76526622777698"/>
    <n v="105.418635272006"/>
    <n v="192.34663095577099"/>
    <n v="8873.54972797554"/>
    <n v="6672646.1876536496"/>
    <m/>
    <m/>
    <m/>
    <m/>
    <m/>
    <m/>
    <m/>
    <m/>
  </r>
  <r>
    <x v="30"/>
    <x v="1"/>
    <s v="High Yield Bonds - Obligations"/>
    <n v="4050.20071931645"/>
    <n v="1.2409664011270099E-3"/>
    <n v="3.4299999999999997E-2"/>
    <n v="138.921884672554"/>
    <n v="49.182887168555702"/>
    <n v="89.738997503998604"/>
    <n v="4139.9397168204496"/>
    <n v="6672646.1876536496"/>
    <m/>
    <m/>
    <m/>
    <m/>
    <m/>
    <m/>
    <m/>
    <m/>
  </r>
  <r>
    <x v="30"/>
    <x v="1"/>
    <s v="Investment Grade Bonds - Obligations"/>
    <n v="22849.135236932801"/>
    <n v="7.0008898543246602E-3"/>
    <n v="3.4299999999999997E-2"/>
    <n v="783.72533862679802"/>
    <n v="277.46438217185403"/>
    <n v="506.26095645494303"/>
    <n v="23355.396193387802"/>
    <n v="6672646.1876536496"/>
    <m/>
    <m/>
    <m/>
    <m/>
    <m/>
    <m/>
    <m/>
    <m/>
  </r>
  <r>
    <x v="30"/>
    <x v="1"/>
    <s v="Government ZC Bonds - Obligations"/>
    <n v="136018.94492628"/>
    <n v="4.1675697642645997E-2"/>
    <n v="3.4299999999999997E-2"/>
    <n v="4665.4498109714104"/>
    <n v="1651.72170089986"/>
    <n v="3013.72811007155"/>
    <n v="139032.673036352"/>
    <n v="6672646.1876536496"/>
    <m/>
    <m/>
    <m/>
    <m/>
    <m/>
    <m/>
    <m/>
    <m/>
  </r>
  <r>
    <x v="31"/>
    <x v="0"/>
    <s v="Emerging Markets - Equities"/>
    <n v="215966.17"/>
    <n v="6.1208765240899098E-2"/>
    <n v="6.3E-2"/>
    <n v="13605.868709999901"/>
    <n v="2312.9976806999898"/>
    <n v="11292.8710292999"/>
    <n v="227259.04102929999"/>
    <n v="7516735.9303918397"/>
    <m/>
    <m/>
    <m/>
    <m/>
    <m/>
    <m/>
    <m/>
    <m/>
  </r>
  <r>
    <x v="31"/>
    <x v="1"/>
    <s v="Emerging Markets - Equities"/>
    <n v="637504.56000000006"/>
    <n v="0.18068046006021499"/>
    <n v="6.3E-2"/>
    <n v="40162.787279999902"/>
    <n v="14382.449034879101"/>
    <n v="25780.338245120802"/>
    <n v="663284.89824511996"/>
    <n v="7516735.9303918397"/>
    <m/>
    <m/>
    <m/>
    <m/>
    <m/>
    <m/>
    <m/>
    <m/>
  </r>
  <r>
    <x v="31"/>
    <x v="0"/>
    <s v="Developed Markets - Equities"/>
    <n v="628123.56999999995"/>
    <n v="0.17802171580116199"/>
    <n v="6.3E-2"/>
    <n v="39571.7849099999"/>
    <n v="6727.2034346999799"/>
    <n v="32844.581475299899"/>
    <n v="660968.15147529903"/>
    <n v="7516735.9303918397"/>
    <m/>
    <m/>
    <m/>
    <m/>
    <m/>
    <m/>
    <m/>
    <m/>
  </r>
  <r>
    <x v="31"/>
    <x v="1"/>
    <s v="Developed Markets - Equities"/>
    <n v="1854140.58"/>
    <n v="0.52549737528264095"/>
    <n v="6.3E-2"/>
    <n v="116810.856539999"/>
    <n v="41830.4182723825"/>
    <n v="74980.438267617195"/>
    <n v="1929121.0182676101"/>
    <n v="7516735.9303918397"/>
    <m/>
    <m/>
    <m/>
    <m/>
    <m/>
    <m/>
    <m/>
    <m/>
  </r>
  <r>
    <x v="31"/>
    <x v="1"/>
    <s v="Emerging Markets State - Obligations"/>
    <n v="3692.69034274757"/>
    <n v="1.0465760276091899E-3"/>
    <n v="3.4299999999999997E-2"/>
    <n v="126.65927875624099"/>
    <n v="45.357176253883601"/>
    <n v="81.302102502357997"/>
    <n v="3773.9924452499299"/>
    <n v="7516735.9303918397"/>
    <m/>
    <m/>
    <m/>
    <m/>
    <m/>
    <m/>
    <m/>
    <m/>
  </r>
  <r>
    <x v="31"/>
    <x v="1"/>
    <s v="High Yield Bonds - Obligations"/>
    <n v="2039.74701577575"/>
    <n v="5.7810163619349505E-4"/>
    <n v="3.4299999999999997E-2"/>
    <n v="69.963322641108107"/>
    <n v="25.0541356898709"/>
    <n v="44.909186951237103"/>
    <n v="2084.6562027269802"/>
    <n v="7516735.9303918397"/>
    <m/>
    <m/>
    <m/>
    <m/>
    <m/>
    <m/>
    <m/>
    <m/>
  </r>
  <r>
    <x v="31"/>
    <x v="1"/>
    <s v="Investment Grade Bonds - Obligations"/>
    <n v="2979.5052476709702"/>
    <n v="8.4444631878557595E-4"/>
    <n v="3.4299999999999997E-2"/>
    <n v="102.19702999511399"/>
    <n v="36.597150620387602"/>
    <n v="65.599879374726797"/>
    <n v="3045.1051270457001"/>
    <n v="7516735.9303918397"/>
    <m/>
    <m/>
    <m/>
    <m/>
    <m/>
    <m/>
    <m/>
    <m/>
  </r>
  <r>
    <x v="31"/>
    <x v="1"/>
    <s v="Government ZC Bonds - Obligations"/>
    <n v="183906.82353896799"/>
    <n v="5.2122559696253297E-2"/>
    <n v="3.4299999999999997E-2"/>
    <n v="6308.0040473866102"/>
    <n v="2258.92057966125"/>
    <n v="4049.0834677253501"/>
    <n v="187955.90700669301"/>
    <n v="7516735.9303918397"/>
    <m/>
    <m/>
    <m/>
    <m/>
    <m/>
    <m/>
    <m/>
    <m/>
  </r>
  <r>
    <x v="32"/>
    <x v="0"/>
    <s v="Emerging Markets - Equities"/>
    <n v="240965.21"/>
    <n v="6.3327995779913604E-2"/>
    <n v="6.3E-2"/>
    <n v="15180.808229999901"/>
    <n v="2580.7373990999899"/>
    <n v="12600.0708308999"/>
    <n v="253565.28083089899"/>
    <n v="8467603.0255864095"/>
    <m/>
    <m/>
    <m/>
    <m/>
    <m/>
    <m/>
    <m/>
    <m/>
  </r>
  <r>
    <x v="32"/>
    <x v="1"/>
    <s v="Emerging Markets - Equities"/>
    <n v="635632.73"/>
    <n v="0.16705045032440499"/>
    <n v="6.3E-2"/>
    <n v="40044.861989999998"/>
    <n v="14432.200808281499"/>
    <n v="25612.661181718398"/>
    <n v="661245.39118171798"/>
    <n v="8467603.0255864095"/>
    <m/>
    <m/>
    <m/>
    <m/>
    <m/>
    <m/>
    <m/>
    <m/>
  </r>
  <r>
    <x v="32"/>
    <x v="0"/>
    <s v="Developed Markets - Equities"/>
    <n v="709901.88"/>
    <n v="0.18656910373407301"/>
    <n v="6.3E-2"/>
    <n v="44723.818439999901"/>
    <n v="7603.0491347999896"/>
    <n v="37120.769305199901"/>
    <n v="747022.64930519997"/>
    <n v="8467603.0255864095"/>
    <m/>
    <m/>
    <m/>
    <m/>
    <m/>
    <m/>
    <m/>
    <m/>
  </r>
  <r>
    <x v="32"/>
    <x v="1"/>
    <s v="Developed Markets - Equities"/>
    <n v="1872622.47"/>
    <n v="0.492143359107862"/>
    <n v="6.3E-2"/>
    <n v="117975.215609999"/>
    <n v="42518.3635920386"/>
    <n v="75456.852017961195"/>
    <n v="1948079.32201796"/>
    <n v="8467603.0255864095"/>
    <m/>
    <m/>
    <m/>
    <m/>
    <m/>
    <m/>
    <m/>
    <m/>
  </r>
  <r>
    <x v="32"/>
    <x v="1"/>
    <s v="Emerging Markets State - Obligations"/>
    <n v="8.8318271440163305E-11"/>
    <n v="2.3210898872297399E-17"/>
    <n v="3.4299999999999997E-2"/>
    <n v="3.0293167103976001E-12"/>
    <n v="1.09176820455165E-12"/>
    <n v="1.9375485058459498E-12"/>
    <n v="9.0255819946009195E-11"/>
    <n v="8467603.0255864095"/>
    <m/>
    <m/>
    <m/>
    <m/>
    <m/>
    <m/>
    <m/>
    <m/>
  </r>
  <r>
    <x v="32"/>
    <x v="1"/>
    <s v="Government ZC Bonds - Obligations"/>
    <n v="345912.22905507399"/>
    <n v="9.0909090909099696E-2"/>
    <n v="3.4299999999999997E-2"/>
    <n v="11864.789456589"/>
    <n v="4276.0797634472001"/>
    <n v="7588.7096931418801"/>
    <n v="353500.93874821602"/>
    <n v="8467603.0255864095"/>
    <m/>
    <m/>
    <m/>
    <m/>
    <m/>
    <m/>
    <m/>
    <m/>
  </r>
  <r>
    <x v="33"/>
    <x v="0"/>
    <s v="Emerging Markets - Equities"/>
    <n v="273656.09000000003"/>
    <n v="6.6872106378872906E-2"/>
    <n v="6.3E-2"/>
    <n v="17240.333669999902"/>
    <n v="2930.8567238999899"/>
    <n v="14309.4769460999"/>
    <n v="287965.56694609998"/>
    <n v="9538754.8083230909"/>
    <m/>
    <m/>
    <m/>
    <m/>
    <m/>
    <m/>
    <m/>
    <m/>
  </r>
  <r>
    <x v="33"/>
    <x v="1"/>
    <s v="Emerging Markets - Equities"/>
    <n v="754930.96"/>
    <n v="0.18447907907265801"/>
    <n v="6.3E-2"/>
    <n v="47560.650479999902"/>
    <n v="17419.882801875799"/>
    <n v="30140.767678124099"/>
    <n v="785071.72767812398"/>
    <n v="9538754.8083230909"/>
    <m/>
    <m/>
    <m/>
    <m/>
    <m/>
    <m/>
    <m/>
    <m/>
  </r>
  <r>
    <x v="33"/>
    <x v="0"/>
    <s v="Developed Markets - Equities"/>
    <n v="797495.7"/>
    <n v="0.19488043290793799"/>
    <n v="6.3E-2"/>
    <n v="50242.229099999997"/>
    <n v="8541.1789470000003"/>
    <n v="41701.050152999996"/>
    <n v="839196.750153"/>
    <n v="9538754.8083230909"/>
    <m/>
    <m/>
    <m/>
    <m/>
    <m/>
    <m/>
    <m/>
    <m/>
  </r>
  <r>
    <x v="33"/>
    <x v="1"/>
    <s v="Developed Markets - Equities"/>
    <n v="2200039.4700000002"/>
    <n v="0.53761373801532797"/>
    <n v="6.3E-2"/>
    <n v="138602.48660999999"/>
    <n v="50765.476258784001"/>
    <n v="87837.010351215897"/>
    <n v="2287876.4803512101"/>
    <n v="9538754.8083230909"/>
    <m/>
    <m/>
    <m/>
    <m/>
    <m/>
    <m/>
    <m/>
    <m/>
  </r>
  <r>
    <x v="33"/>
    <x v="1"/>
    <s v="Emerging Markets State - Obligations"/>
    <n v="13923.184612098899"/>
    <n v="3.402345924452E-3"/>
    <n v="3.4299999999999997E-2"/>
    <n v="477.565232194994"/>
    <n v="174.91624465030699"/>
    <n v="302.64898754468697"/>
    <n v="14225.8335996436"/>
    <n v="9538754.8083230909"/>
    <m/>
    <m/>
    <m/>
    <m/>
    <m/>
    <m/>
    <m/>
    <m/>
  </r>
  <r>
    <x v="33"/>
    <x v="1"/>
    <s v="High Yield Bonds - Obligations"/>
    <n v="3010.51230969059"/>
    <n v="7.3566533611050199E-4"/>
    <n v="3.4299999999999997E-2"/>
    <n v="103.260572222387"/>
    <n v="37.8209096808935"/>
    <n v="65.439662541493902"/>
    <n v="3075.9519722320802"/>
    <n v="9538754.8083230909"/>
    <m/>
    <m/>
    <m/>
    <m/>
    <m/>
    <m/>
    <m/>
    <m/>
  </r>
  <r>
    <x v="33"/>
    <x v="1"/>
    <s v="Investment Grade Bonds - Obligations"/>
    <n v="18148.027289714599"/>
    <n v="4.4347517041717797E-3"/>
    <n v="3.4299999999999997E-2"/>
    <n v="622.47733603721201"/>
    <n v="227.99272363089199"/>
    <n v="394.484612406319"/>
    <n v="18542.511902120899"/>
    <n v="9538754.8083230909"/>
    <m/>
    <m/>
    <m/>
    <m/>
    <m/>
    <m/>
    <m/>
    <m/>
  </r>
  <r>
    <x v="33"/>
    <x v="1"/>
    <s v="Government ZC Bonds - Obligations"/>
    <n v="31026.820005480899"/>
    <n v="7.5818842840466704E-3"/>
    <n v="3.4299999999999997E-2"/>
    <n v="1064.21992618799"/>
    <n v="389.78832716788799"/>
    <n v="674.43159902010598"/>
    <n v="31701.251604501002"/>
    <n v="9538754.8083230909"/>
    <m/>
    <m/>
    <m/>
    <m/>
    <m/>
    <m/>
    <m/>
    <m/>
  </r>
  <r>
    <x v="34"/>
    <x v="0"/>
    <s v="Emerging Markets - Equities"/>
    <n v="311617.03000000003"/>
    <n v="7.0858102730579006E-2"/>
    <n v="6.3E-2"/>
    <n v="19631.872889999999"/>
    <n v="3337.4183913000002"/>
    <n v="16294.454498699901"/>
    <n v="327911.48449870001"/>
    <n v="10745407.291575899"/>
    <m/>
    <m/>
    <m/>
    <m/>
    <m/>
    <m/>
    <m/>
    <m/>
  </r>
  <r>
    <x v="34"/>
    <x v="1"/>
    <s v="Emerging Markets - Equities"/>
    <n v="749682.1"/>
    <n v="0.170469024934472"/>
    <n v="6.3E-2"/>
    <n v="47229.972299999899"/>
    <n v="17355.886636151499"/>
    <n v="29874.085663848298"/>
    <n v="779556.18566384795"/>
    <n v="10745407.291575899"/>
    <m/>
    <m/>
    <m/>
    <m/>
    <m/>
    <m/>
    <m/>
    <m/>
  </r>
  <r>
    <x v="34"/>
    <x v="0"/>
    <s v="Developed Markets - Equities"/>
    <n v="895035.45"/>
    <n v="0.20352069289541"/>
    <n v="6.3E-2"/>
    <n v="56387.2333499999"/>
    <n v="9585.8296694999899"/>
    <n v="46801.403680499898"/>
    <n v="941836.85368049995"/>
    <n v="10745407.291575899"/>
    <m/>
    <m/>
    <m/>
    <m/>
    <m/>
    <m/>
    <m/>
    <m/>
  </r>
  <r>
    <x v="34"/>
    <x v="1"/>
    <s v="Developed Markets - Equities"/>
    <n v="2153258.6"/>
    <n v="0.48962606146494198"/>
    <n v="6.3E-2"/>
    <n v="135655.29179999899"/>
    <n v="49850.079333518101"/>
    <n v="85805.212466481593"/>
    <n v="2239063.8124664798"/>
    <n v="10745407.291575899"/>
    <m/>
    <m/>
    <m/>
    <m/>
    <m/>
    <m/>
    <m/>
    <m/>
  </r>
  <r>
    <x v="34"/>
    <x v="1"/>
    <s v="Emerging Markets State - Obligations"/>
    <n v="3.73639196102828E-10"/>
    <n v="8.4961224813756799E-17"/>
    <n v="3.4299999999999997E-2"/>
    <n v="1.2815824426327E-11"/>
    <n v="4.7095093446022202E-12"/>
    <n v="8.1063150817247794E-12"/>
    <n v="3.8174551118455299E-10"/>
    <n v="10745407.291575899"/>
    <m/>
    <m/>
    <m/>
    <m/>
    <m/>
    <m/>
    <m/>
    <m/>
  </r>
  <r>
    <x v="34"/>
    <x v="1"/>
    <s v="High Yield Bonds - Obligations"/>
    <n v="9.3815170905454897E-12"/>
    <n v="2.13324830729102E-18"/>
    <n v="3.4299999999999997E-2"/>
    <n v="3.2178603620571E-13"/>
    <n v="1.1824868179062801E-13"/>
    <n v="2.0353735441508199E-13"/>
    <n v="9.5850544449605693E-12"/>
    <n v="10745407.291575899"/>
    <m/>
    <m/>
    <m/>
    <m/>
    <m/>
    <m/>
    <m/>
    <m/>
  </r>
  <r>
    <x v="34"/>
    <x v="1"/>
    <s v="Investment Grade Bonds - Obligations"/>
    <n v="33878.602089169799"/>
    <n v="7.70360165233204E-3"/>
    <n v="3.4299999999999997E-2"/>
    <n v="1162.0360516585199"/>
    <n v="427.02049138628502"/>
    <n v="735.01556027224206"/>
    <n v="34613.617649442"/>
    <n v="10745407.291575899"/>
    <m/>
    <m/>
    <m/>
    <m/>
    <m/>
    <m/>
    <m/>
    <m/>
  </r>
  <r>
    <x v="34"/>
    <x v="1"/>
    <s v="Government ZC Bonds - Obligations"/>
    <n v="254289.63010637701"/>
    <n v="5.7822516097398802E-2"/>
    <n v="3.4299999999999997E-2"/>
    <n v="8722.1343126487609"/>
    <n v="3205.1760139529001"/>
    <n v="5516.9582986958503"/>
    <n v="259806.58840507301"/>
    <n v="10745407.291575899"/>
    <m/>
    <m/>
    <m/>
    <m/>
    <m/>
    <m/>
    <m/>
    <m/>
  </r>
  <r>
    <x v="35"/>
    <x v="0"/>
    <s v="Emerging Markets - Equities"/>
    <n v="348180.22"/>
    <n v="7.3654556018478701E-2"/>
    <n v="6.3E-2"/>
    <n v="21935.353859999901"/>
    <n v="3729.01015619999"/>
    <n v="18206.343703799899"/>
    <n v="366386.56370379898"/>
    <n v="12104701.313960301"/>
    <m/>
    <m/>
    <m/>
    <m/>
    <m/>
    <m/>
    <m/>
    <m/>
  </r>
  <r>
    <x v="35"/>
    <x v="1"/>
    <s v="Emerging Markets - Equities"/>
    <n v="817431.1"/>
    <n v="0.172920577585357"/>
    <n v="6.3E-2"/>
    <n v="51498.159299999897"/>
    <n v="19111.610703250899"/>
    <n v="32386.5485967489"/>
    <n v="849817.64859674894"/>
    <n v="12104701.313960301"/>
    <m/>
    <m/>
    <m/>
    <m/>
    <m/>
    <m/>
    <m/>
    <m/>
  </r>
  <r>
    <x v="35"/>
    <x v="0"/>
    <s v="Developed Markets - Equities"/>
    <n v="1011113.8"/>
    <n v="0.21389250090989301"/>
    <n v="6.3E-2"/>
    <n v="63700.169399999999"/>
    <n v="10829.028797999999"/>
    <n v="52871.140601999999"/>
    <n v="1063984.9406020001"/>
    <n v="12104701.313960301"/>
    <m/>
    <m/>
    <m/>
    <m/>
    <m/>
    <m/>
    <m/>
    <m/>
  </r>
  <r>
    <x v="35"/>
    <x v="1"/>
    <s v="Developed Markets - Equities"/>
    <n v="2373816.2400000002"/>
    <n v="0.50216058001989505"/>
    <n v="6.3E-2"/>
    <n v="149550.423119999"/>
    <n v="55500.031574447101"/>
    <n v="94050.391545552804"/>
    <n v="2467866.6315455502"/>
    <n v="12104701.313960301"/>
    <m/>
    <m/>
    <m/>
    <m/>
    <m/>
    <m/>
    <m/>
    <m/>
  </r>
  <r>
    <x v="35"/>
    <x v="1"/>
    <s v="Emerging Markets State - Obligations"/>
    <n v="1.1369440053576001E-14"/>
    <n v="2.4051080768598799E-21"/>
    <n v="3.4299999999999997E-2"/>
    <n v="3.8997179383765702E-16"/>
    <n v="1.4472340779515501E-16"/>
    <n v="2.4524838604250201E-16"/>
    <n v="1.1614688439618499E-14"/>
    <n v="12104701.313960301"/>
    <m/>
    <m/>
    <m/>
    <m/>
    <m/>
    <m/>
    <m/>
    <m/>
  </r>
  <r>
    <x v="35"/>
    <x v="1"/>
    <s v="High Yield Bonds - Obligations"/>
    <n v="1.25958056481753E-10"/>
    <n v="2.6645352591005999E-17"/>
    <n v="3.4299999999999997E-2"/>
    <n v="4.3203613373241304E-12"/>
    <n v="1.6033401018338099E-12"/>
    <n v="2.7170212354903198E-12"/>
    <n v="1.2867507771724299E-10"/>
    <n v="12104701.313960301"/>
    <m/>
    <m/>
    <m/>
    <m/>
    <m/>
    <m/>
    <m/>
    <m/>
  </r>
  <r>
    <x v="35"/>
    <x v="1"/>
    <s v="Investment Grade Bonds - Obligations"/>
    <n v="11124.479917118901"/>
    <n v="2.35328884918241E-3"/>
    <n v="3.4299999999999997E-2"/>
    <n v="381.56966115718001"/>
    <n v="141.60527132097701"/>
    <n v="239.964389836202"/>
    <n v="11364.4443069551"/>
    <n v="12104701.313960301"/>
    <m/>
    <m/>
    <m/>
    <m/>
    <m/>
    <m/>
    <m/>
    <m/>
  </r>
  <r>
    <x v="35"/>
    <x v="1"/>
    <s v="Government ZC Bonds - Obligations"/>
    <n v="165539.63086953701"/>
    <n v="3.5018497073609198E-2"/>
    <n v="3.4299999999999997E-2"/>
    <n v="5678.0093388251198"/>
    <n v="2107.1802473734101"/>
    <n v="3570.8290914517102"/>
    <n v="169110.45996098901"/>
    <n v="12104701.313960301"/>
    <m/>
    <m/>
    <m/>
    <m/>
    <m/>
    <m/>
    <m/>
    <m/>
  </r>
  <r>
    <x v="36"/>
    <x v="0"/>
    <s v="Emerging Markets - Equities"/>
    <n v="391516.63"/>
    <n v="7.7155380712951804E-2"/>
    <n v="6.3E-2"/>
    <n v="24665.547689999901"/>
    <n v="4193.1431072999903"/>
    <n v="20472.404582699899"/>
    <n v="411989.0345827"/>
    <n v="13635946.030176301"/>
    <m/>
    <m/>
    <m/>
    <m/>
    <m/>
    <m/>
    <m/>
    <m/>
  </r>
  <r>
    <x v="36"/>
    <x v="1"/>
    <s v="Emerging Markets - Equities"/>
    <n v="843854.29"/>
    <n v="0.16629663728768701"/>
    <n v="6.3E-2"/>
    <n v="53162.820269999902"/>
    <n v="19839.262770362599"/>
    <n v="33323.557499637202"/>
    <n v="877177.84749963705"/>
    <n v="13635946.030176301"/>
    <m/>
    <m/>
    <m/>
    <m/>
    <m/>
    <m/>
    <m/>
    <m/>
  </r>
  <r>
    <x v="36"/>
    <x v="0"/>
    <s v="Developed Markets - Equities"/>
    <n v="1139728.08"/>
    <n v="0.22460387933366099"/>
    <n v="6.3E-2"/>
    <n v="71802.869040000005"/>
    <n v="12206.4877368"/>
    <n v="59596.381303200003"/>
    <n v="1199324.4613032001"/>
    <n v="13635946.030176301"/>
    <m/>
    <m/>
    <m/>
    <m/>
    <m/>
    <m/>
    <m/>
    <m/>
  </r>
  <r>
    <x v="36"/>
    <x v="1"/>
    <s v="Developed Markets - Equities"/>
    <n v="2456509.77"/>
    <n v="0.48409935110402702"/>
    <n v="6.3E-2"/>
    <n v="154760.11550999901"/>
    <n v="57753.267836077597"/>
    <n v="97006.847673922195"/>
    <n v="2553516.61767392"/>
    <n v="13635946.030176301"/>
    <m/>
    <m/>
    <m/>
    <m/>
    <m/>
    <m/>
    <m/>
    <m/>
  </r>
  <r>
    <x v="36"/>
    <x v="1"/>
    <s v="Emerging Markets State - Obligations"/>
    <n v="1076.2451581191699"/>
    <n v="2.1209342988867601E-4"/>
    <n v="3.4299999999999997E-2"/>
    <n v="36.915208923487597"/>
    <n v="13.7759909338216"/>
    <n v="23.139217989666001"/>
    <n v="1099.3843761088301"/>
    <n v="13635946.030176301"/>
    <m/>
    <m/>
    <m/>
    <m/>
    <m/>
    <m/>
    <m/>
    <m/>
  </r>
  <r>
    <x v="36"/>
    <x v="1"/>
    <s v="High Yield Bonds - Obligations"/>
    <n v="3811.8773845344499"/>
    <n v="7.5119887202453495E-4"/>
    <n v="3.4299999999999997E-2"/>
    <n v="130.747394289532"/>
    <n v="48.792217919898597"/>
    <n v="81.955176369633506"/>
    <n v="3893.8325609040899"/>
    <n v="13635946.030176301"/>
    <m/>
    <m/>
    <m/>
    <m/>
    <m/>
    <m/>
    <m/>
    <m/>
  </r>
  <r>
    <x v="36"/>
    <x v="1"/>
    <s v="Investment Grade Bonds - Obligations"/>
    <n v="31051.966734247399"/>
    <n v="6.1193475109008197E-3"/>
    <n v="3.4299999999999997E-2"/>
    <n v="1065.08245898468"/>
    <n v="397.466700761646"/>
    <n v="667.61575822304201"/>
    <n v="31719.582492470501"/>
    <n v="13635946.030176301"/>
    <m/>
    <m/>
    <m/>
    <m/>
    <m/>
    <m/>
    <m/>
    <m/>
  </r>
  <r>
    <x v="36"/>
    <x v="1"/>
    <s v="Government ZC Bonds - Obligations"/>
    <n v="206842.920955407"/>
    <n v="4.0762110958335103E-2"/>
    <n v="3.4299999999999997E-2"/>
    <n v="7094.7121887704698"/>
    <n v="2647.59955695089"/>
    <n v="4447.1126318195702"/>
    <n v="211290.033587226"/>
    <n v="13635946.030176301"/>
    <m/>
    <m/>
    <m/>
    <m/>
    <m/>
    <m/>
    <m/>
    <m/>
  </r>
  <r>
    <x v="37"/>
    <x v="0"/>
    <s v="Emerging Markets - Equities"/>
    <n v="443329.97"/>
    <n v="8.1534490124227504E-2"/>
    <n v="6.3E-2"/>
    <n v="27929.788109999899"/>
    <n v="4748.06397869999"/>
    <n v="23181.724131299899"/>
    <n v="466511.69413129898"/>
    <n v="15360893.2029936"/>
    <m/>
    <m/>
    <m/>
    <m/>
    <m/>
    <m/>
    <m/>
    <m/>
  </r>
  <r>
    <x v="37"/>
    <x v="1"/>
    <s v="Emerging Markets - Equities"/>
    <n v="875716.77"/>
    <n v="0.16105638049957499"/>
    <n v="6.3E-2"/>
    <n v="55170.156510000001"/>
    <n v="20690.183971764502"/>
    <n v="34479.972538235401"/>
    <n v="910196.74253823503"/>
    <n v="15360893.2029936"/>
    <m/>
    <m/>
    <m/>
    <m/>
    <m/>
    <m/>
    <m/>
    <m/>
  </r>
  <r>
    <x v="37"/>
    <x v="0"/>
    <s v="Developed Markets - Equities"/>
    <n v="1281617.2"/>
    <n v="0.23570706247637599"/>
    <n v="6.3E-2"/>
    <n v="80741.883599999797"/>
    <n v="13726.1202119999"/>
    <n v="67015.763387999803"/>
    <n v="1348632.9633879999"/>
    <n v="15360893.2029936"/>
    <m/>
    <m/>
    <m/>
    <m/>
    <m/>
    <m/>
    <m/>
    <m/>
  </r>
  <r>
    <x v="37"/>
    <x v="1"/>
    <s v="Developed Markets - Equities"/>
    <n v="2531598.94"/>
    <n v="0.46559592795392302"/>
    <n v="6.3E-2"/>
    <n v="159490.73321999901"/>
    <n v="59813.000739182098"/>
    <n v="99677.732480817707"/>
    <n v="2631276.67248081"/>
    <n v="15360893.2029936"/>
    <m/>
    <m/>
    <m/>
    <m/>
    <m/>
    <m/>
    <m/>
    <m/>
  </r>
  <r>
    <x v="37"/>
    <x v="1"/>
    <s v="Emerging Markets State - Obligations"/>
    <n v="3482.36478864542"/>
    <n v="6.4045486811723504E-4"/>
    <n v="3.4299999999999997E-2"/>
    <n v="119.44511225053699"/>
    <n v="44.794894619226802"/>
    <n v="74.650217631310994"/>
    <n v="3557.0150062767302"/>
    <n v="15360893.2029936"/>
    <m/>
    <m/>
    <m/>
    <m/>
    <m/>
    <m/>
    <m/>
    <m/>
  </r>
  <r>
    <x v="37"/>
    <x v="1"/>
    <s v="High Yield Bonds - Obligations"/>
    <n v="401.04410546824698"/>
    <n v="7.3757536980142594E-5"/>
    <n v="3.4299999999999997E-2"/>
    <n v="13.7558128175609"/>
    <n v="5.1587727112013004"/>
    <n v="8.5970401063596196"/>
    <n v="409.64114557460698"/>
    <n v="15360893.2029936"/>
    <m/>
    <m/>
    <m/>
    <m/>
    <m/>
    <m/>
    <m/>
    <m/>
  </r>
  <r>
    <x v="37"/>
    <x v="1"/>
    <s v="Investment Grade Bonds - Obligations"/>
    <n v="33418.525952979202"/>
    <n v="6.1461273964388699E-3"/>
    <n v="3.4299999999999997E-2"/>
    <n v="1146.2554401871801"/>
    <n v="429.87436390198002"/>
    <n v="716.38107628520902"/>
    <n v="34134.907029264403"/>
    <n v="15360893.2029936"/>
    <m/>
    <m/>
    <m/>
    <m/>
    <m/>
    <m/>
    <m/>
    <m/>
  </r>
  <r>
    <x v="37"/>
    <x v="1"/>
    <s v="Government ZC Bonds - Obligations"/>
    <n v="267765.68174862699"/>
    <n v="4.9245798415434298E-2"/>
    <n v="3.4299999999999997E-2"/>
    <n v="9184.3628839779394"/>
    <n v="3444.3650290987698"/>
    <n v="5739.9978548791596"/>
    <n v="273505.679603506"/>
    <n v="15360893.2029936"/>
    <m/>
    <m/>
    <m/>
    <m/>
    <m/>
    <m/>
    <m/>
    <m/>
  </r>
  <r>
    <x v="38"/>
    <x v="0"/>
    <s v="Emerging Markets - Equities"/>
    <n v="495583.87"/>
    <n v="8.5195516216933095E-2"/>
    <n v="6.3E-2"/>
    <n v="31221.783809999899"/>
    <n v="5307.7032476999802"/>
    <n v="25914.0805622999"/>
    <n v="521497.950562299"/>
    <n v="17304046.193172298"/>
    <m/>
    <m/>
    <m/>
    <m/>
    <m/>
    <m/>
    <m/>
    <m/>
  </r>
  <r>
    <x v="38"/>
    <x v="1"/>
    <s v="Emerging Markets - Equities"/>
    <n v="826735.92"/>
    <n v="0.14212366007691299"/>
    <n v="6.3E-2"/>
    <n v="52084.362959999897"/>
    <n v="19541.0452660105"/>
    <n v="32543.3176939894"/>
    <n v="859279.23769398895"/>
    <n v="17304046.193172298"/>
    <m/>
    <m/>
    <m/>
    <m/>
    <m/>
    <m/>
    <m/>
    <m/>
  </r>
  <r>
    <x v="38"/>
    <x v="0"/>
    <s v="Developed Markets - Equities"/>
    <n v="1447569.12"/>
    <n v="0.24885071105742701"/>
    <n v="6.3E-2"/>
    <n v="91196.854559999803"/>
    <n v="15503.4652751999"/>
    <n v="75693.389284799894"/>
    <n v="1523262.5092847999"/>
    <n v="17304046.193172298"/>
    <m/>
    <m/>
    <m/>
    <m/>
    <m/>
    <m/>
    <m/>
    <m/>
  </r>
  <r>
    <x v="38"/>
    <x v="1"/>
    <s v="Developed Markets - Equities"/>
    <n v="2414843.33"/>
    <n v="0.41513422154431201"/>
    <n v="6.3E-2"/>
    <n v="152135.12978999899"/>
    <n v="57078.157220813002"/>
    <n v="95056.972569186604"/>
    <n v="2509900.3025691798"/>
    <n v="17304046.193172298"/>
    <m/>
    <m/>
    <m/>
    <m/>
    <m/>
    <m/>
    <m/>
    <m/>
  </r>
  <r>
    <x v="38"/>
    <x v="1"/>
    <s v="Emerging Markets State - Obligations"/>
    <n v="6.05571701521739E-11"/>
    <n v="1.0410345622732E-17"/>
    <n v="3.4299999999999997E-2"/>
    <n v="2.0771109362195599E-12"/>
    <n v="7.7929183579270705E-13"/>
    <n v="1.2978191004268499E-12"/>
    <n v="6.1854989252600696E-11"/>
    <n v="17304046.193172298"/>
    <m/>
    <m/>
    <m/>
    <m/>
    <m/>
    <m/>
    <m/>
    <m/>
  </r>
  <r>
    <x v="38"/>
    <x v="1"/>
    <s v="High Yield Bonds - Obligations"/>
    <n v="9.8449308590681902E-11"/>
    <n v="1.6924359678177701E-17"/>
    <n v="3.4299999999999997E-2"/>
    <n v="3.3768112846603802E-12"/>
    <n v="1.26691426021664E-12"/>
    <n v="2.1098970244437299E-12"/>
    <n v="1.00559205615125E-10"/>
    <n v="17304046.193172298"/>
    <m/>
    <m/>
    <m/>
    <m/>
    <m/>
    <m/>
    <m/>
    <m/>
  </r>
  <r>
    <x v="38"/>
    <x v="1"/>
    <s v="Investment Grade Bonds - Obligations"/>
    <n v="6567.7159682376296"/>
    <n v="1.1290519852476201E-3"/>
    <n v="3.4299999999999997E-2"/>
    <n v="225.27265771054999"/>
    <n v="84.517942648105006"/>
    <n v="140.754715062445"/>
    <n v="6708.47068330007"/>
    <n v="17304046.193172298"/>
    <m/>
    <m/>
    <m/>
    <m/>
    <m/>
    <m/>
    <m/>
    <m/>
  </r>
  <r>
    <x v="38"/>
    <x v="1"/>
    <s v="Government ZC Bonds - Obligations"/>
    <n v="625718.26428257197"/>
    <n v="0.107566839356408"/>
    <n v="3.4299999999999997E-2"/>
    <n v="21462.136464892101"/>
    <n v="8052.1783570212901"/>
    <n v="13409.9581078708"/>
    <n v="639128.22239044297"/>
    <n v="17304046.193172298"/>
    <m/>
    <m/>
    <m/>
    <m/>
    <m/>
    <m/>
    <m/>
    <m/>
  </r>
  <r>
    <x v="39"/>
    <x v="0"/>
    <s v="Emerging Markets - Equities"/>
    <n v="814756.48"/>
    <n v="0.13119950606243799"/>
    <n v="6.3E-2"/>
    <n v="51329.658239999902"/>
    <n v="8726.0419007999808"/>
    <n v="42603.6163391999"/>
    <n v="857360.09633919899"/>
    <n v="19493008.036608599"/>
    <m/>
    <m/>
    <m/>
    <m/>
    <m/>
    <m/>
    <m/>
    <m/>
  </r>
  <r>
    <x v="39"/>
    <x v="1"/>
    <s v="Emerging Markets - Equities"/>
    <n v="314364.52"/>
    <n v="5.0621837027372503E-2"/>
    <n v="6.3E-2"/>
    <n v="19804.964759999999"/>
    <n v="7081.52063578863"/>
    <n v="12723.444124211301"/>
    <n v="327087.96412421099"/>
    <n v="19493008.036608599"/>
    <m/>
    <m/>
    <m/>
    <m/>
    <m/>
    <m/>
    <m/>
    <m/>
  </r>
  <r>
    <x v="39"/>
    <x v="0"/>
    <s v="Developed Markets - Equities"/>
    <n v="1374205.37"/>
    <n v="0.22128705962835801"/>
    <n v="6.3E-2"/>
    <n v="86574.938309999794"/>
    <n v="14717.7395126999"/>
    <n v="71857.198797299905"/>
    <n v="1446062.5687973001"/>
    <n v="19493008.036608599"/>
    <m/>
    <m/>
    <m/>
    <m/>
    <m/>
    <m/>
    <m/>
    <m/>
  </r>
  <r>
    <x v="39"/>
    <x v="1"/>
    <s v="Developed Markets - Equities"/>
    <n v="530221.52"/>
    <n v="8.5381096358602193E-2"/>
    <n v="6.3E-2"/>
    <n v="33403.955759999903"/>
    <n v="11944.015296062"/>
    <n v="21459.940463937801"/>
    <n v="551681.46046393702"/>
    <n v="19493008.036608599"/>
    <m/>
    <m/>
    <m/>
    <m/>
    <m/>
    <m/>
    <m/>
    <m/>
  </r>
  <r>
    <x v="39"/>
    <x v="1"/>
    <s v="High Yield Bonds - Obligations"/>
    <n v="3.0131476658840199E-12"/>
    <n v="4.8520446926322702E-19"/>
    <n v="3.4299999999999997E-2"/>
    <n v="1.03350964939822E-13"/>
    <n v="3.6954470751101598E-14"/>
    <n v="6.6396494188720494E-14"/>
    <n v="3.0795441600727399E-12"/>
    <n v="19493008.036608599"/>
    <m/>
    <m/>
    <m/>
    <m/>
    <m/>
    <m/>
    <m/>
    <m/>
  </r>
  <r>
    <x v="39"/>
    <x v="1"/>
    <s v="Investment Grade Bonds - Obligations"/>
    <n v="14037.4158171612"/>
    <n v="2.26043249340541E-3"/>
    <n v="3.4299999999999997E-2"/>
    <n v="481.48336252862998"/>
    <n v="172.16058745137499"/>
    <n v="309.32277507725399"/>
    <n v="14346.7385922384"/>
    <n v="19493008.036608599"/>
    <m/>
    <m/>
    <m/>
    <m/>
    <m/>
    <m/>
    <m/>
    <m/>
  </r>
  <r>
    <x v="39"/>
    <x v="1"/>
    <s v="Government ZC Bonds - Obligations"/>
    <n v="3162472.2273977199"/>
    <n v="0.50925006962910202"/>
    <n v="3.4299999999999997E-2"/>
    <n v="108472.797399742"/>
    <n v="38785.848019251498"/>
    <n v="69686.949380490405"/>
    <n v="3232159.1767782099"/>
    <n v="19493008.036608599"/>
    <m/>
    <m/>
    <m/>
    <m/>
    <m/>
    <m/>
    <m/>
    <m/>
  </r>
  <r>
    <x v="40"/>
    <x v="0"/>
    <s v="Emerging Markets - Equities"/>
    <n v="1094776.68"/>
    <n v="0.16636725681998801"/>
    <n v="6.3E-2"/>
    <n v="68970.930840000001"/>
    <n v="11725.0582428"/>
    <n v="57245.872597200003"/>
    <n v="1152022.5525972"/>
    <n v="21958873.553239498"/>
    <m/>
    <m/>
    <m/>
    <m/>
    <m/>
    <m/>
    <m/>
    <m/>
  </r>
  <r>
    <x v="40"/>
    <x v="1"/>
    <s v="Emerging Markets - Equities"/>
    <n v="7639.1"/>
    <n v="1.1608724727070099E-3"/>
    <n v="6.3E-2"/>
    <n v="481.26329999999899"/>
    <n v="167.72433237098701"/>
    <n v="313.53896762901201"/>
    <n v="7952.63896762901"/>
    <n v="21958873.553239498"/>
    <m/>
    <m/>
    <m/>
    <m/>
    <m/>
    <m/>
    <m/>
    <m/>
  </r>
  <r>
    <x v="40"/>
    <x v="0"/>
    <s v="Developed Markets - Equities"/>
    <n v="1371088.83"/>
    <n v="0.20835691120460001"/>
    <n v="6.3E-2"/>
    <n v="86378.596290000001"/>
    <n v="14684.361369300001"/>
    <n v="71694.234920699993"/>
    <n v="1442783.0649206999"/>
    <n v="21958873.553239498"/>
    <m/>
    <m/>
    <m/>
    <m/>
    <m/>
    <m/>
    <m/>
    <m/>
  </r>
  <r>
    <x v="40"/>
    <x v="1"/>
    <s v="Developed Markets - Equities"/>
    <n v="9567.14"/>
    <n v="1.4538662235779199E-3"/>
    <n v="6.3E-2"/>
    <n v="602.72981999999797"/>
    <n v="210.05644240810599"/>
    <n v="392.67337759189201"/>
    <n v="9959.8133775918905"/>
    <n v="21958873.553239498"/>
    <m/>
    <m/>
    <m/>
    <m/>
    <m/>
    <m/>
    <m/>
    <m/>
  </r>
  <r>
    <x v="40"/>
    <x v="1"/>
    <s v="Emerging Markets State - Obligations"/>
    <n v="1.05863494090489E-7"/>
    <n v="1.6087499332935899E-14"/>
    <n v="3.4299999999999997E-2"/>
    <n v="3.6311178473038001E-9"/>
    <n v="1.2654752953308599E-9"/>
    <n v="2.3656425519729301E-9"/>
    <n v="1.08229136642462E-7"/>
    <n v="21958873.553239498"/>
    <m/>
    <m/>
    <m/>
    <m/>
    <m/>
    <m/>
    <m/>
    <m/>
  </r>
  <r>
    <x v="40"/>
    <x v="1"/>
    <s v="High Yield Bonds - Obligations"/>
    <n v="2.21615845758443E-19"/>
    <n v="3.3677754559654802E-26"/>
    <n v="3.4299999999999997E-2"/>
    <n v="7.6014235095146097E-21"/>
    <n v="2.6491604142731601E-21"/>
    <n v="4.9522630952414504E-21"/>
    <n v="2.2656810885368399E-19"/>
    <n v="21958873.553239498"/>
    <m/>
    <m/>
    <m/>
    <m/>
    <m/>
    <m/>
    <m/>
    <m/>
  </r>
  <r>
    <x v="40"/>
    <x v="1"/>
    <s v="Investment Grade Bonds - Obligations"/>
    <n v="168655.106493662"/>
    <n v="2.5629599103292398E-2"/>
    <n v="3.4299999999999997E-2"/>
    <n v="5784.8701527326102"/>
    <n v="2016.07619824726"/>
    <n v="3768.7939544853498"/>
    <n v="172423.900448147"/>
    <n v="21958873.553239498"/>
    <m/>
    <m/>
    <m/>
    <m/>
    <m/>
    <m/>
    <m/>
    <m/>
  </r>
  <r>
    <x v="40"/>
    <x v="1"/>
    <s v="Government ZC Bonds - Obligations"/>
    <n v="3928754.7840160099"/>
    <n v="0.59703149334085903"/>
    <n v="3.4299999999999997E-2"/>
    <n v="134756.289091749"/>
    <n v="46963.707020056201"/>
    <n v="87792.582071692799"/>
    <n v="4016547.3660876998"/>
    <n v="21958873.553239498"/>
    <m/>
    <m/>
    <m/>
    <m/>
    <m/>
    <m/>
    <m/>
    <m/>
  </r>
  <r>
    <x v="41"/>
    <x v="0"/>
    <s v="Emerging Markets - Equities"/>
    <n v="1096520.2"/>
    <n v="0.15765947495391899"/>
    <n v="6.3E-2"/>
    <n v="69080.772599999997"/>
    <n v="11743.731341999999"/>
    <n v="57337.041257999997"/>
    <n v="1153857.241258"/>
    <n v="24736671.057724301"/>
    <m/>
    <m/>
    <m/>
    <m/>
    <m/>
    <m/>
    <m/>
    <m/>
  </r>
  <r>
    <x v="41"/>
    <x v="0"/>
    <s v="Developed Markets - Equities"/>
    <n v="1242476.46"/>
    <n v="0.178645305691773"/>
    <n v="6.3E-2"/>
    <n v="78276.016979999797"/>
    <n v="13306.922886599899"/>
    <n v="64969.094093399799"/>
    <n v="1307445.55409339"/>
    <n v="24736671.057724301"/>
    <m/>
    <m/>
    <m/>
    <m/>
    <m/>
    <m/>
    <m/>
    <m/>
  </r>
  <r>
    <x v="41"/>
    <x v="1"/>
    <s v="High Yield Bonds - Obligations"/>
    <n v="3.2030823374505798E-16"/>
    <n v="4.6054443826628299E-23"/>
    <n v="3.4299999999999997E-2"/>
    <n v="1.0986572417455499E-17"/>
    <n v="3.9117770150017801E-18"/>
    <n v="7.07479540245371E-18"/>
    <n v="3.2738302914751199E-16"/>
    <n v="24736671.057724301"/>
    <m/>
    <m/>
    <m/>
    <m/>
    <m/>
    <m/>
    <m/>
    <m/>
  </r>
  <r>
    <x v="41"/>
    <x v="1"/>
    <s v="Investment Grade Bonds - Obligations"/>
    <n v="227691.966233438"/>
    <n v="3.2737924798457399E-2"/>
    <n v="3.4299999999999997E-2"/>
    <n v="7809.83444180694"/>
    <n v="2780.6971728408398"/>
    <n v="5029.1372689661002"/>
    <n v="232721.103502404"/>
    <n v="24736671.057724301"/>
    <m/>
    <m/>
    <m/>
    <m/>
    <m/>
    <m/>
    <m/>
    <m/>
  </r>
  <r>
    <x v="41"/>
    <x v="1"/>
    <s v="Government ZC Bonds - Obligations"/>
    <n v="4388302.1849913504"/>
    <n v="0.63095729419747604"/>
    <n v="3.4299999999999997E-2"/>
    <n v="150518.764945203"/>
    <n v="53592.3145697035"/>
    <n v="96926.450375499902"/>
    <n v="4485228.6353668496"/>
    <n v="24736671.057724301"/>
    <m/>
    <m/>
    <m/>
    <m/>
    <m/>
    <m/>
    <m/>
    <m/>
  </r>
  <r>
    <x v="42"/>
    <x v="0"/>
    <s v="Emerging Markets - Equities"/>
    <n v="1118624.83"/>
    <n v="0.15252407368317"/>
    <n v="6.3E-2"/>
    <n v="70473.364289999896"/>
    <n v="11980.4719292999"/>
    <n v="58492.892360699901"/>
    <n v="1177117.7223606999"/>
    <n v="27865859.946526501"/>
    <m/>
    <m/>
    <m/>
    <m/>
    <m/>
    <m/>
    <m/>
    <m/>
  </r>
  <r>
    <x v="42"/>
    <x v="0"/>
    <s v="Developed Markets - Equities"/>
    <n v="1267494.29"/>
    <n v="0.17282236840832199"/>
    <n v="6.3E-2"/>
    <n v="79852.1402699998"/>
    <n v="13574.863845899899"/>
    <n v="66277.276424099793"/>
    <n v="1333771.5664241"/>
    <n v="27865859.946526501"/>
    <m/>
    <m/>
    <m/>
    <m/>
    <m/>
    <m/>
    <m/>
    <m/>
  </r>
  <r>
    <x v="42"/>
    <x v="1"/>
    <s v="Emerging Markets State - Obligations"/>
    <n v="1.06203882656919E-9"/>
    <n v="1.4480859345668799E-16"/>
    <n v="3.4299999999999997E-2"/>
    <n v="3.6427931751323399E-11"/>
    <n v="1.31264870233805E-11"/>
    <n v="2.3301444727942901E-11"/>
    <n v="1.08534027129714E-9"/>
    <n v="27865859.946526501"/>
    <m/>
    <m/>
    <m/>
    <m/>
    <m/>
    <m/>
    <m/>
    <m/>
  </r>
  <r>
    <x v="42"/>
    <x v="1"/>
    <s v="High Yield Bonds - Obligations"/>
    <n v="1.0404759622492E-10"/>
    <n v="1.4186850503905299E-17"/>
    <n v="3.4299999999999997E-2"/>
    <n v="3.5688325505147799E-12"/>
    <n v="1.2859976372731601E-12"/>
    <n v="2.2828349132416101E-12"/>
    <n v="1.0633043113816201E-10"/>
    <n v="27865859.946526501"/>
    <m/>
    <m/>
    <m/>
    <m/>
    <m/>
    <m/>
    <m/>
    <m/>
  </r>
  <r>
    <x v="42"/>
    <x v="1"/>
    <s v="Investment Grade Bonds - Obligations"/>
    <n v="232023.504182059"/>
    <n v="3.16363172879792E-2"/>
    <n v="3.4299999999999997E-2"/>
    <n v="7958.4061934446499"/>
    <n v="2867.7421583575501"/>
    <n v="5090.6640350870903"/>
    <n v="237114.16821714601"/>
    <n v="27865859.946526501"/>
    <m/>
    <m/>
    <m/>
    <m/>
    <m/>
    <m/>
    <m/>
    <m/>
  </r>
  <r>
    <x v="42"/>
    <x v="1"/>
    <s v="Government ZC Bonds - Obligations"/>
    <n v="4715944.4066367298"/>
    <n v="0.64301724123502202"/>
    <n v="3.4299999999999997E-2"/>
    <n v="161756.893147639"/>
    <n v="58287.683564897903"/>
    <n v="103469.20958274099"/>
    <n v="4819413.6162194703"/>
    <n v="27865859.946526501"/>
    <m/>
    <m/>
    <m/>
    <m/>
    <m/>
    <m/>
    <m/>
    <m/>
  </r>
  <r>
    <x v="43"/>
    <x v="0"/>
    <s v="Emerging Markets - Equities"/>
    <n v="1158661.8500000001"/>
    <n v="0.15001189355835301"/>
    <n v="6.3E-2"/>
    <n v="72995.696549999993"/>
    <n v="12409.2684135"/>
    <n v="60586.428136499897"/>
    <n v="1219248.2781364999"/>
    <n v="31390891.2297621"/>
    <m/>
    <m/>
    <m/>
    <m/>
    <m/>
    <m/>
    <m/>
    <m/>
  </r>
  <r>
    <x v="43"/>
    <x v="0"/>
    <s v="Developed Markets - Equities"/>
    <n v="407654.87"/>
    <n v="5.2779056259584602E-2"/>
    <n v="6.3E-2"/>
    <n v="25682.256809999901"/>
    <n v="4365.9836576999896"/>
    <n v="21316.273152299898"/>
    <n v="428971.14315229998"/>
    <n v="31390891.2297621"/>
    <m/>
    <m/>
    <m/>
    <m/>
    <m/>
    <m/>
    <m/>
    <m/>
  </r>
  <r>
    <x v="43"/>
    <x v="1"/>
    <s v="Emerging Markets State - Obligations"/>
    <n v="1.1050722269853299E-12"/>
    <n v="1.4307364766416999E-19"/>
    <n v="3.4299999999999997E-2"/>
    <n v="3.79039773855969E-14"/>
    <n v="1.41025553021282E-14"/>
    <n v="2.3801422083468599E-14"/>
    <n v="1.1288736490687999E-12"/>
    <n v="31390891.2297621"/>
    <m/>
    <m/>
    <m/>
    <m/>
    <m/>
    <m/>
    <m/>
    <m/>
  </r>
  <r>
    <x v="43"/>
    <x v="1"/>
    <s v="High Yield Bonds - Obligations"/>
    <n v="2.0065989318565701E-12"/>
    <n v="2.5979426644622201E-19"/>
    <n v="3.4299999999999997E-2"/>
    <n v="6.8826343362680206E-14"/>
    <n v="2.56075319917295E-14"/>
    <n v="4.3218811370950699E-14"/>
    <n v="2.0498177432275199E-12"/>
    <n v="31390891.2297621"/>
    <m/>
    <m/>
    <m/>
    <m/>
    <m/>
    <m/>
    <m/>
    <m/>
  </r>
  <r>
    <x v="43"/>
    <x v="1"/>
    <s v="Investment Grade Bonds - Obligations"/>
    <n v="686085.29101160204"/>
    <n v="8.8827429372240294E-2"/>
    <n v="3.4299999999999997E-2"/>
    <n v="23532.7254816979"/>
    <n v="8755.5867591234692"/>
    <n v="14777.1387225744"/>
    <n v="700862.42973417602"/>
    <n v="31390891.2297621"/>
    <m/>
    <m/>
    <m/>
    <m/>
    <m/>
    <m/>
    <m/>
    <m/>
  </r>
  <r>
    <x v="43"/>
    <x v="1"/>
    <s v="Government ZC Bonds - Obligations"/>
    <n v="5471397.8995531797"/>
    <n v="0.70838162085268497"/>
    <n v="3.4299999999999997E-2"/>
    <n v="187668.94795467399"/>
    <n v="69824.116084152804"/>
    <n v="117844.831870521"/>
    <n v="5589242.7314237002"/>
    <n v="31390891.2297621"/>
    <m/>
    <m/>
    <m/>
    <m/>
    <m/>
    <m/>
    <m/>
    <m/>
  </r>
  <r>
    <x v="44"/>
    <x v="1"/>
    <s v="Government ZC Bonds - Obligations"/>
    <n v="8096271.2478290899"/>
    <n v="1"/>
    <n v="3.4299999999999997E-2"/>
    <n v="277702.103800538"/>
    <n v="106509.883596225"/>
    <n v="171192.22020431201"/>
    <n v="8267463.4680334097"/>
    <n v="35361838.970326997"/>
    <m/>
    <m/>
    <m/>
    <m/>
    <m/>
    <m/>
    <m/>
    <m/>
  </r>
  <r>
    <x v="45"/>
    <x v="0"/>
    <s v="Emerging Markets - Equities"/>
    <n v="1118168.77"/>
    <n v="0.135249314898512"/>
    <n v="6.3E-2"/>
    <n v="70444.632509999894"/>
    <n v="11975.587526699899"/>
    <n v="58469.0449832999"/>
    <n v="1176637.8149832999"/>
    <n v="39835111.600073397"/>
    <m/>
    <m/>
    <m/>
    <m/>
    <m/>
    <m/>
    <m/>
    <m/>
  </r>
  <r>
    <x v="45"/>
    <x v="0"/>
    <s v="Developed Markets - Equities"/>
    <n v="484126.46"/>
    <n v="5.8558040428228098E-2"/>
    <n v="6.3E-2"/>
    <n v="30499.966979999899"/>
    <n v="5184.9943865999903"/>
    <n v="25314.9725933999"/>
    <n v="509441.43259340001"/>
    <n v="39835111.600073397"/>
    <m/>
    <m/>
    <m/>
    <m/>
    <m/>
    <m/>
    <m/>
    <m/>
  </r>
  <r>
    <x v="45"/>
    <x v="1"/>
    <s v="Emerging Markets State - Obligations"/>
    <n v="4.58492126820427E-11"/>
    <n v="5.5457411888569104E-18"/>
    <n v="3.4299999999999997E-2"/>
    <n v="1.57262799499406E-12"/>
    <n v="5.9085461147657996E-13"/>
    <n v="9.817733835174829E-13"/>
    <n v="4.6830986065560198E-11"/>
    <n v="39835111.600073397"/>
    <m/>
    <m/>
    <m/>
    <m/>
    <m/>
    <m/>
    <m/>
    <m/>
  </r>
  <r>
    <x v="45"/>
    <x v="1"/>
    <s v="Investment Grade Bonds - Obligations"/>
    <n v="614105.05513995897"/>
    <n v="7.42797422104651E-2"/>
    <n v="3.4299999999999997E-2"/>
    <n v="21063.8033913006"/>
    <n v="7913.9156930962299"/>
    <n v="13149.8876982043"/>
    <n v="627254.94283816405"/>
    <n v="39835111.600073397"/>
    <m/>
    <m/>
    <m/>
    <m/>
    <m/>
    <m/>
    <m/>
    <m/>
  </r>
  <r>
    <x v="45"/>
    <x v="1"/>
    <s v="Government ZC Bonds - Obligations"/>
    <n v="6051063.1810956402"/>
    <n v="0.731912902245338"/>
    <n v="3.4299999999999997E-2"/>
    <n v="207551.46711157999"/>
    <n v="77979.4979181136"/>
    <n v="129571.96919346599"/>
    <n v="6180635.1502890997"/>
    <n v="39835111.600073397"/>
    <m/>
    <m/>
    <m/>
    <m/>
    <m/>
    <m/>
    <m/>
    <m/>
  </r>
  <r>
    <x v="46"/>
    <x v="1"/>
    <s v="Government ZC Bonds - Obligations"/>
    <n v="8493969.3407039698"/>
    <n v="1"/>
    <n v="3.4299999999999997E-2"/>
    <n v="291343.148386146"/>
    <n v="112239.12232218101"/>
    <n v="179104.02606396499"/>
    <n v="8673073.3667679299"/>
    <n v="44874253.217482701"/>
    <m/>
    <m/>
    <m/>
    <m/>
    <m/>
    <m/>
    <m/>
    <m/>
  </r>
  <r>
    <x v="47"/>
    <x v="1"/>
    <s v="Government ZC Bonds - Obligations"/>
    <n v="8673073.3667679299"/>
    <n v="1"/>
    <n v="3.4299999999999997E-2"/>
    <n v="297486.41648014"/>
    <n v="114819.29492165901"/>
    <n v="182667.12155848101"/>
    <n v="8855740.4883264191"/>
    <n v="50550846.249494202"/>
    <m/>
    <m/>
    <m/>
    <m/>
    <m/>
    <m/>
    <m/>
    <m/>
  </r>
  <r>
    <x v="48"/>
    <x v="1"/>
    <s v="Government ZC Bonds - Obligations"/>
    <n v="8855740.4883264191"/>
    <n v="1"/>
    <n v="3.4299999999999997E-2"/>
    <n v="303751.89874959498"/>
    <n v="117450.79747483"/>
    <n v="186301.10127476501"/>
    <n v="9042041.5896011796"/>
    <n v="56945528.300055303"/>
    <m/>
    <m/>
    <m/>
    <m/>
    <m/>
    <m/>
    <n v="100"/>
    <n v="9042041.58960117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
  <r>
    <x v="0"/>
    <s v="ASK"/>
    <s v="Emerging Markets - Equities"/>
    <n v="51664.91"/>
    <n v="0.98137930903482096"/>
    <n v="8.3999999999999894E-2"/>
    <n v="4339.8524399999997"/>
    <n v="737.77491480000003"/>
    <n v="3602.0775251999999"/>
    <n v="55266.987525199998"/>
    <n v="187224.3"/>
    <m/>
    <m/>
    <m/>
    <m/>
    <m/>
    <m/>
    <m/>
    <m/>
  </r>
  <r>
    <x v="0"/>
    <s v="ASK"/>
    <s v="Developed Markets - Equities"/>
    <n v="247.48"/>
    <n v="4.70090340619847E-3"/>
    <n v="6.8000000000000005E-2"/>
    <n v="16.82864"/>
    <n v="2.8608688"/>
    <n v="13.9677712"/>
    <n v="261.44777119999998"/>
    <n v="187224.3"/>
    <m/>
    <m/>
    <m/>
    <m/>
    <m/>
    <m/>
    <m/>
    <m/>
  </r>
  <r>
    <x v="0"/>
    <s v="NORMAL"/>
    <s v="Emerging Markets State - Obligations"/>
    <n v="55.623945371069297"/>
    <n v="1.05658151875326E-3"/>
    <n v="4.8300000000000003E-2"/>
    <n v="2.6866365614226502"/>
    <n v="0.725391871584116"/>
    <n v="1.9612446898385301"/>
    <n v="57.585190060907799"/>
    <n v="187224.3"/>
    <m/>
    <m/>
    <m/>
    <m/>
    <m/>
    <m/>
    <m/>
    <m/>
  </r>
  <r>
    <x v="0"/>
    <s v="NORMAL"/>
    <s v="High Yield Bonds - Obligations"/>
    <n v="433.80103880438702"/>
    <n v="8.2400872027152908E-3"/>
    <n v="4.9299999999999997E-2"/>
    <n v="21.3863912130562"/>
    <n v="5.7743256275251804"/>
    <n v="15.612065585531001"/>
    <n v="449.41310438991798"/>
    <n v="187224.3"/>
    <m/>
    <m/>
    <m/>
    <m/>
    <m/>
    <m/>
    <m/>
    <m/>
  </r>
  <r>
    <x v="0"/>
    <s v="NORMAL"/>
    <s v="Investment Grade Bonds - Obligations"/>
    <n v="92.335530152093298"/>
    <n v="1.7539211580940501E-3"/>
    <n v="3.6299999999999999E-2"/>
    <n v="3.35177974452098"/>
    <n v="0.904980531020665"/>
    <n v="2.4467992135003098"/>
    <n v="94.782329365593597"/>
    <n v="187224.3"/>
    <m/>
    <m/>
    <m/>
    <m/>
    <m/>
    <m/>
    <m/>
    <m/>
  </r>
  <r>
    <x v="0"/>
    <s v="NORMAL"/>
    <s v="Government ZC Bonds - Obligations"/>
    <n v="151.05193348678901"/>
    <n v="2.86924417585629E-3"/>
    <n v="2.8299999999999999E-2"/>
    <n v="4.2747697176761497"/>
    <n v="1.15418782377256"/>
    <n v="3.1205818939035899"/>
    <n v="154.172515380693"/>
    <n v="187224.3"/>
    <m/>
    <m/>
    <m/>
    <m/>
    <m/>
    <m/>
    <m/>
    <m/>
  </r>
  <r>
    <x v="1"/>
    <s v="ASK"/>
    <s v="Emerging Markets - Equities"/>
    <n v="106933.18"/>
    <n v="0.97695092545320406"/>
    <n v="8.3999999999999894E-2"/>
    <n v="8982.3871200000103"/>
    <n v="1527.0058104"/>
    <n v="7455.3813096000104"/>
    <n v="114388.5613096"/>
    <n v="210908.17395"/>
    <m/>
    <m/>
    <m/>
    <m/>
    <m/>
    <m/>
    <m/>
    <m/>
  </r>
  <r>
    <x v="1"/>
    <s v="ASK"/>
    <s v="Developed Markets - Equities"/>
    <n v="940.84"/>
    <n v="8.5955968830571799E-3"/>
    <n v="6.8000000000000005E-2"/>
    <n v="63.977119999999999"/>
    <n v="10.8761104"/>
    <n v="53.101009599999998"/>
    <n v="993.94100960000003"/>
    <n v="210908.17395"/>
    <m/>
    <m/>
    <m/>
    <m/>
    <m/>
    <m/>
    <m/>
    <m/>
  </r>
  <r>
    <x v="1"/>
    <s v="NORMAL"/>
    <s v="Emerging Markets State - Obligations"/>
    <n v="455.77997966509702"/>
    <n v="4.16404592977464E-3"/>
    <n v="4.8300000000000003E-2"/>
    <n v="22.014173017824099"/>
    <n v="5.9438267148125297"/>
    <n v="16.0703463030116"/>
    <n v="471.850325968108"/>
    <n v="210908.17395"/>
    <m/>
    <m/>
    <m/>
    <m/>
    <m/>
    <m/>
    <m/>
    <m/>
  </r>
  <r>
    <x v="1"/>
    <s v="NORMAL"/>
    <s v="High Yield Bonds - Obligations"/>
    <n v="540.63606239590194"/>
    <n v="4.9392985553319601E-3"/>
    <n v="4.9299999999999997E-2"/>
    <n v="26.653357876117798"/>
    <n v="7.1964066265518198"/>
    <n v="19.456951249566"/>
    <n v="560.09301364546798"/>
    <n v="210908.17395"/>
    <m/>
    <m/>
    <m/>
    <m/>
    <m/>
    <m/>
    <m/>
    <m/>
  </r>
  <r>
    <x v="1"/>
    <s v="NORMAL"/>
    <s v="Investment Grade Bonds - Obligations"/>
    <n v="55.868709347354901"/>
    <n v="5.1042143608536199E-4"/>
    <n v="3.6299999999999999E-2"/>
    <n v="2.0280341493089802"/>
    <n v="0.54756922031342603"/>
    <n v="1.48046492899556"/>
    <n v="57.349174276350503"/>
    <n v="210908.17395"/>
    <m/>
    <m/>
    <m/>
    <m/>
    <m/>
    <m/>
    <m/>
    <m/>
  </r>
  <r>
    <x v="1"/>
    <s v="NORMAL"/>
    <s v="Government ZC Bonds - Obligations"/>
    <n v="529.73311030246703"/>
    <n v="4.8396882272948296E-3"/>
    <n v="2.8299999999999999E-2"/>
    <n v="14.991447021559701"/>
    <n v="4.0476906958211396"/>
    <n v="10.943756325738599"/>
    <n v="540.67686662820495"/>
    <n v="210908.17395"/>
    <m/>
    <m/>
    <m/>
    <m/>
    <m/>
    <m/>
    <m/>
    <m/>
  </r>
  <r>
    <x v="2"/>
    <s v="ASK"/>
    <s v="Emerging Markets - Equities"/>
    <n v="77471.53"/>
    <n v="0.44009661605949102"/>
    <n v="8.3999999999999894E-2"/>
    <n v="6507.6085199999998"/>
    <n v="1106.2934484"/>
    <n v="5401.3150716"/>
    <n v="82872.845071599993"/>
    <n v="237588.05795467499"/>
    <m/>
    <m/>
    <m/>
    <m/>
    <m/>
    <m/>
    <m/>
    <m/>
  </r>
  <r>
    <x v="2"/>
    <s v="NORMAL"/>
    <s v="Emerging Markets - Equities"/>
    <n v="95212.3"/>
    <n v="0.54087754607713401"/>
    <n v="8.3999999999999894E-2"/>
    <n v="7997.8332"/>
    <n v="2159.4149640000001"/>
    <n v="5838.4182360000004"/>
    <n v="101050.718236"/>
    <n v="237588.05795467499"/>
    <m/>
    <m/>
    <m/>
    <m/>
    <m/>
    <m/>
    <m/>
    <m/>
  </r>
  <r>
    <x v="2"/>
    <s v="ASK"/>
    <s v="Developed Markets - Equities"/>
    <n v="330.11"/>
    <n v="1.87527332850401E-3"/>
    <n v="6.8000000000000005E-2"/>
    <n v="22.447479999999999"/>
    <n v="3.8160715999999999"/>
    <n v="18.631408400000002"/>
    <n v="348.74140840000001"/>
    <n v="237588.05795467499"/>
    <m/>
    <m/>
    <m/>
    <m/>
    <m/>
    <m/>
    <m/>
    <m/>
  </r>
  <r>
    <x v="2"/>
    <s v="NORMAL"/>
    <s v="Developed Markets - Equities"/>
    <n v="405.71"/>
    <n v="2.30473824515271E-3"/>
    <n v="6.8000000000000005E-2"/>
    <n v="27.588279999999902"/>
    <n v="7.4488355999999998"/>
    <n v="20.139444399999899"/>
    <n v="425.84944439999998"/>
    <n v="237588.05795467499"/>
    <m/>
    <m/>
    <m/>
    <m/>
    <m/>
    <m/>
    <m/>
    <m/>
  </r>
  <r>
    <x v="2"/>
    <s v="NORMAL"/>
    <s v="Emerging Markets State - Obligations"/>
    <n v="263.264663004402"/>
    <n v="1.49554148880601E-3"/>
    <n v="4.8300000000000003E-2"/>
    <n v="12.715683223112601"/>
    <n v="3.4332344702404098"/>
    <n v="9.2824487528722308"/>
    <n v="272.54711175727402"/>
    <n v="237588.05795467499"/>
    <m/>
    <m/>
    <m/>
    <m/>
    <m/>
    <m/>
    <m/>
    <m/>
  </r>
  <r>
    <x v="2"/>
    <s v="NORMAL"/>
    <s v="High Yield Bonds - Obligations"/>
    <n v="1068.53274810382"/>
    <n v="6.0700704709102798E-3"/>
    <n v="4.9299999999999997E-2"/>
    <n v="52.678664481518297"/>
    <n v="14.223239410009899"/>
    <n v="38.455425071508301"/>
    <n v="1106.9881731753201"/>
    <n v="237588.05795467499"/>
    <m/>
    <m/>
    <m/>
    <m/>
    <m/>
    <m/>
    <m/>
    <m/>
  </r>
  <r>
    <x v="2"/>
    <s v="NORMAL"/>
    <s v="Investment Grade Bonds - Obligations"/>
    <n v="574.80421667842404"/>
    <n v="3.2653207011259602E-3"/>
    <n v="3.6299999999999999E-2"/>
    <n v="20.865393065426801"/>
    <n v="5.6336561276652404"/>
    <n v="15.2317369377615"/>
    <n v="590.035953616185"/>
    <n v="237588.05795467499"/>
    <m/>
    <m/>
    <m/>
    <m/>
    <m/>
    <m/>
    <m/>
    <m/>
  </r>
  <r>
    <x v="2"/>
    <s v="NORMAL"/>
    <s v="Government ZC Bonds - Obligations"/>
    <n v="706.74767853111496"/>
    <n v="4.0148589001591196E-3"/>
    <n v="2.8299999999999999E-2"/>
    <n v="20.000959302430601"/>
    <n v="5.4002590116562601"/>
    <n v="14.6007002907743"/>
    <n v="721.34837882188901"/>
    <n v="237588.05795467499"/>
    <m/>
    <m/>
    <m/>
    <m/>
    <m/>
    <m/>
    <m/>
    <m/>
  </r>
  <r>
    <x v="3"/>
    <s v="ASK"/>
    <s v="Emerging Markets - Equities"/>
    <n v="29983.82"/>
    <n v="0.121392075790896"/>
    <n v="8.3999999999999894E-2"/>
    <n v="2518.6408799999999"/>
    <n v="428.16894960000002"/>
    <n v="2090.4719304"/>
    <n v="32074.291930399999"/>
    <n v="267642.94728594099"/>
    <m/>
    <m/>
    <m/>
    <m/>
    <m/>
    <m/>
    <m/>
    <m/>
  </r>
  <r>
    <x v="3"/>
    <s v="NORMAL"/>
    <s v="Emerging Markets - Equities"/>
    <n v="209834.21"/>
    <n v="0.84953185831034395"/>
    <n v="8.3999999999999894E-2"/>
    <n v="17626.073639999999"/>
    <n v="4759.0398827999998"/>
    <n v="12867.033757200001"/>
    <n v="222701.24375719999"/>
    <n v="267642.94728594099"/>
    <m/>
    <m/>
    <m/>
    <m/>
    <m/>
    <m/>
    <m/>
    <m/>
  </r>
  <r>
    <x v="3"/>
    <s v="ASK"/>
    <s v="Developed Markets - Equities"/>
    <n v="71.069999999999993"/>
    <n v="2.87733011552864E-4"/>
    <n v="6.8000000000000005E-2"/>
    <n v="4.8327600000000004"/>
    <n v="0.821569200000001"/>
    <n v="4.0111907999999996"/>
    <n v="75.081190800000002"/>
    <n v="267642.94728594099"/>
    <m/>
    <m/>
    <m/>
    <m/>
    <m/>
    <m/>
    <m/>
    <m/>
  </r>
  <r>
    <x v="3"/>
    <s v="NORMAL"/>
    <s v="Developed Markets - Equities"/>
    <n v="497.38"/>
    <n v="2.01368573640303E-3"/>
    <n v="6.8000000000000005E-2"/>
    <n v="33.821840000000002"/>
    <n v="9.1318968000000105"/>
    <n v="24.689943199999998"/>
    <n v="522.06994320000001"/>
    <n v="267642.94728594099"/>
    <m/>
    <m/>
    <m/>
    <m/>
    <m/>
    <m/>
    <m/>
    <m/>
  </r>
  <r>
    <x v="3"/>
    <s v="NORMAL"/>
    <s v="Emerging Markets State - Obligations"/>
    <n v="2363.17908995978"/>
    <n v="9.5675339298281394E-3"/>
    <n v="4.8300000000000003E-2"/>
    <n v="114.141550045057"/>
    <n v="30.818218512165501"/>
    <n v="83.323331532891999"/>
    <n v="2446.5024214926698"/>
    <n v="267642.94728594099"/>
    <m/>
    <m/>
    <m/>
    <m/>
    <m/>
    <m/>
    <m/>
    <m/>
  </r>
  <r>
    <x v="3"/>
    <s v="NORMAL"/>
    <s v="High Yield Bonds - Obligations"/>
    <n v="1197.1808599030401"/>
    <n v="4.8468897452279497E-3"/>
    <n v="4.9299999999999997E-2"/>
    <n v="59.021016393219902"/>
    <n v="15.9356744261693"/>
    <n v="43.085341967050503"/>
    <n v="1240.2662018700901"/>
    <n v="267642.94728594099"/>
    <m/>
    <m/>
    <m/>
    <m/>
    <m/>
    <m/>
    <m/>
    <m/>
  </r>
  <r>
    <x v="3"/>
    <s v="NORMAL"/>
    <s v="Investment Grade Bonds - Obligations"/>
    <n v="2123.67454072908"/>
    <n v="8.5978791496007703E-3"/>
    <n v="3.6299999999999999E-2"/>
    <n v="77.089385828465694"/>
    <n v="20.814134173685702"/>
    <n v="56.27525165478"/>
    <n v="2179.9497923838599"/>
    <n v="267642.94728594099"/>
    <m/>
    <m/>
    <m/>
    <m/>
    <m/>
    <m/>
    <m/>
    <m/>
  </r>
  <r>
    <x v="3"/>
    <s v="NORMAL"/>
    <s v="Government ZC Bonds - Obligations"/>
    <n v="929.30383626072899"/>
    <n v="3.7623665605027298E-3"/>
    <n v="2.8299999999999999E-2"/>
    <n v="26.299298566178599"/>
    <n v="7.1008106128682398"/>
    <n v="19.198487953310401"/>
    <n v="948.50232421403905"/>
    <n v="267642.94728594099"/>
    <m/>
    <m/>
    <m/>
    <m/>
    <m/>
    <m/>
    <m/>
    <m/>
  </r>
  <r>
    <x v="4"/>
    <s v="ASK"/>
    <s v="Emerging Markets - Equities"/>
    <n v="33776.65"/>
    <n v="0.104767988870632"/>
    <n v="8.3999999999999894E-2"/>
    <n v="2837.2386000000001"/>
    <n v="482.33056199999999"/>
    <n v="2354.908038"/>
    <n v="36131.558038000003"/>
    <n v="301499.78011761297"/>
    <m/>
    <m/>
    <m/>
    <m/>
    <m/>
    <m/>
    <m/>
    <m/>
  </r>
  <r>
    <x v="4"/>
    <s v="NORMAL"/>
    <s v="Emerging Markets - Equities"/>
    <n v="286058.73"/>
    <n v="0.88729337696270005"/>
    <n v="8.3999999999999894E-2"/>
    <n v="24028.93332"/>
    <n v="6487.8119963999998"/>
    <n v="17541.1213236"/>
    <n v="303599.85132359999"/>
    <n v="301499.78011761297"/>
    <m/>
    <m/>
    <m/>
    <m/>
    <m/>
    <m/>
    <m/>
    <m/>
  </r>
  <r>
    <x v="4"/>
    <s v="ASK"/>
    <s v="Developed Markets - Equities"/>
    <n v="80.19"/>
    <n v="2.4873233513495201E-4"/>
    <n v="6.8000000000000005E-2"/>
    <n v="5.4529199999999998"/>
    <n v="0.92699640000000105"/>
    <n v="4.5259235999999996"/>
    <n v="84.715923599999996"/>
    <n v="301499.78011761297"/>
    <m/>
    <m/>
    <m/>
    <m/>
    <m/>
    <m/>
    <m/>
    <m/>
  </r>
  <r>
    <x v="4"/>
    <s v="NORMAL"/>
    <s v="Developed Markets - Equities"/>
    <n v="679.1"/>
    <n v="2.1064238532254201E-3"/>
    <n v="6.8000000000000005E-2"/>
    <n v="46.178800000000003"/>
    <n v="12.468275999999999"/>
    <n v="33.710523999999999"/>
    <n v="712.81052399999999"/>
    <n v="301499.78011761297"/>
    <m/>
    <m/>
    <m/>
    <m/>
    <m/>
    <m/>
    <m/>
    <m/>
  </r>
  <r>
    <x v="4"/>
    <s v="NORMAL"/>
    <s v="Emerging Markets State - Obligations"/>
    <n v="468.14180621770703"/>
    <n v="1.45207637654102E-3"/>
    <n v="4.8300000000000003E-2"/>
    <n v="22.611249240315299"/>
    <n v="6.1050372948851299"/>
    <n v="16.506211945430099"/>
    <n v="484.64801816313798"/>
    <n v="301499.78011761297"/>
    <m/>
    <m/>
    <m/>
    <m/>
    <m/>
    <m/>
    <m/>
    <m/>
  </r>
  <r>
    <x v="4"/>
    <s v="NORMAL"/>
    <s v="High Yield Bonds - Obligations"/>
    <n v="657.68218816729996"/>
    <n v="2.03999035340463E-3"/>
    <n v="4.9299999999999997E-2"/>
    <n v="32.4237318766478"/>
    <n v="8.7544076066949099"/>
    <n v="23.669324269952899"/>
    <n v="681.35151243725295"/>
    <n v="301499.78011761297"/>
    <m/>
    <m/>
    <m/>
    <m/>
    <m/>
    <m/>
    <m/>
    <m/>
  </r>
  <r>
    <x v="4"/>
    <s v="NORMAL"/>
    <s v="Investment Grade Bonds - Obligations"/>
    <n v="11.3137302709768"/>
    <n v="3.5092786499402303E-5"/>
    <n v="3.6299999999999999E-2"/>
    <n v="0.41068840883646002"/>
    <n v="0.11088587038584399"/>
    <n v="0.299802538450615"/>
    <n v="11.613532809427401"/>
    <n v="301499.78011761297"/>
    <m/>
    <m/>
    <m/>
    <m/>
    <m/>
    <m/>
    <m/>
    <m/>
  </r>
  <r>
    <x v="4"/>
    <s v="NORMAL"/>
    <s v="Government ZC Bonds - Obligations"/>
    <n v="662.95897381796101"/>
    <n v="2.0563578208805701E-3"/>
    <n v="2.8299999999999999E-2"/>
    <n v="18.761738959048301"/>
    <n v="5.0656695189430403"/>
    <n v="13.6960694401052"/>
    <n v="676.65504325806603"/>
    <n v="301499.78011761297"/>
    <m/>
    <m/>
    <m/>
    <m/>
    <m/>
    <m/>
    <m/>
    <m/>
  </r>
  <r>
    <x v="5"/>
    <s v="ASK"/>
    <s v="Emerging Markets - Equities"/>
    <n v="35227.43"/>
    <n v="8.7371325864178395E-2"/>
    <n v="8.3999999999999894E-2"/>
    <n v="2959.10412"/>
    <n v="503.0477004"/>
    <n v="2456.0564196"/>
    <n v="37683.486419599998"/>
    <n v="339639.50230249099"/>
    <m/>
    <m/>
    <m/>
    <m/>
    <m/>
    <m/>
    <m/>
    <m/>
  </r>
  <r>
    <x v="5"/>
    <s v="NORMAL"/>
    <s v="Emerging Markets - Equities"/>
    <n v="86233.74"/>
    <n v="0.21387754366488901"/>
    <n v="8.3999999999999894E-2"/>
    <n v="7243.6341599999996"/>
    <n v="1955.7812232000001"/>
    <n v="5287.8529368"/>
    <n v="91521.592936800007"/>
    <n v="339639.50230249099"/>
    <m/>
    <m/>
    <m/>
    <m/>
    <m/>
    <m/>
    <m/>
    <m/>
  </r>
  <r>
    <x v="5"/>
    <s v="ASK"/>
    <s v="Developed Markets - Equities"/>
    <n v="2912.29"/>
    <n v="7.22308265465258E-3"/>
    <n v="6.8000000000000005E-2"/>
    <n v="198.03572"/>
    <n v="33.666072399999997"/>
    <n v="164.36964760000001"/>
    <n v="3076.6596476"/>
    <n v="339639.50230249099"/>
    <m/>
    <m/>
    <m/>
    <m/>
    <m/>
    <m/>
    <m/>
    <m/>
  </r>
  <r>
    <x v="5"/>
    <s v="NORMAL"/>
    <s v="Developed Markets - Equities"/>
    <n v="7129.05"/>
    <n v="1.7681521208104602E-2"/>
    <n v="6.8000000000000005E-2"/>
    <n v="484.77539999999999"/>
    <n v="130.88935799999999"/>
    <n v="353.88604199999997"/>
    <n v="7482.9360420000003"/>
    <n v="339639.50230249099"/>
    <m/>
    <m/>
    <m/>
    <m/>
    <m/>
    <m/>
    <m/>
    <m/>
  </r>
  <r>
    <x v="5"/>
    <s v="NORMAL"/>
    <s v="Emerging Markets State - Obligations"/>
    <n v="43008.580555439199"/>
    <n v="0.10667019157131299"/>
    <n v="4.8300000000000003E-2"/>
    <n v="2077.3144408277099"/>
    <n v="560.87489902348295"/>
    <n v="1516.43954180423"/>
    <n v="44525.020097243403"/>
    <n v="339639.50230249099"/>
    <m/>
    <m/>
    <m/>
    <m/>
    <m/>
    <m/>
    <m/>
    <m/>
  </r>
  <r>
    <x v="5"/>
    <s v="NORMAL"/>
    <s v="High Yield Bonds - Obligations"/>
    <n v="23.551544195687399"/>
    <n v="5.8412709713027702E-5"/>
    <n v="4.9299999999999997E-2"/>
    <n v="1.16109112884738"/>
    <n v="0.31349460478879498"/>
    <n v="0.84759652405859298"/>
    <n v="24.399140719746001"/>
    <n v="339639.50230249099"/>
    <m/>
    <m/>
    <m/>
    <m/>
    <m/>
    <m/>
    <m/>
    <m/>
  </r>
  <r>
    <x v="5"/>
    <s v="NORMAL"/>
    <s v="Investment Grade Bonds - Obligations"/>
    <n v="143167.83040101401"/>
    <n v="0.355085885153543"/>
    <n v="3.6299999999999999E-2"/>
    <n v="5196.9922435568296"/>
    <n v="1403.1879057603401"/>
    <n v="3793.80433779648"/>
    <n v="146961.634738811"/>
    <n v="339639.50230249099"/>
    <m/>
    <m/>
    <m/>
    <m/>
    <m/>
    <m/>
    <m/>
    <m/>
  </r>
  <r>
    <x v="5"/>
    <s v="NORMAL"/>
    <s v="Government ZC Bonds - Obligations"/>
    <n v="85489.645585318096"/>
    <n v="0.21203203533291901"/>
    <n v="2.8299999999999999E-2"/>
    <n v="2419.3569700644998"/>
    <n v="653.22638191741498"/>
    <n v="1766.1305881470801"/>
    <n v="87255.776173465201"/>
    <n v="339639.50230249099"/>
    <m/>
    <m/>
    <m/>
    <m/>
    <m/>
    <m/>
    <m/>
    <m/>
  </r>
  <r>
    <x v="6"/>
    <s v="ASK"/>
    <s v="Emerging Markets - Equities"/>
    <n v="42311.76"/>
    <n v="8.7055968085077304E-2"/>
    <n v="8.3999999999999894E-2"/>
    <n v="3554.1878400000001"/>
    <n v="604.21193280000102"/>
    <n v="2949.9759072000002"/>
    <n v="45261.735907200004"/>
    <n v="382603.89934375603"/>
    <m/>
    <m/>
    <m/>
    <m/>
    <m/>
    <m/>
    <m/>
    <m/>
  </r>
  <r>
    <x v="6"/>
    <s v="NORMAL"/>
    <s v="Emerging Markets - Equities"/>
    <n v="44296.89"/>
    <n v="9.1140350628481998E-2"/>
    <n v="8.3999999999999894E-2"/>
    <n v="3720.93876"/>
    <n v="1004.6534652"/>
    <n v="2716.2852948"/>
    <n v="47013.175294799999"/>
    <n v="382603.89934375603"/>
    <m/>
    <m/>
    <m/>
    <m/>
    <m/>
    <m/>
    <m/>
    <m/>
  </r>
  <r>
    <x v="6"/>
    <s v="ASK"/>
    <s v="Developed Markets - Equities"/>
    <n v="652.63"/>
    <n v="1.3427788504038599E-3"/>
    <n v="6.8000000000000005E-2"/>
    <n v="44.378839999999997"/>
    <n v="7.5444028000000101"/>
    <n v="36.834437200000004"/>
    <n v="689.46443720000002"/>
    <n v="382603.89934375603"/>
    <m/>
    <m/>
    <m/>
    <m/>
    <m/>
    <m/>
    <m/>
    <m/>
  </r>
  <r>
    <x v="6"/>
    <s v="NORMAL"/>
    <s v="Developed Markets - Equities"/>
    <n v="683.25"/>
    <n v="1.4057791544036199E-3"/>
    <n v="6.8000000000000005E-2"/>
    <n v="46.460999999999999"/>
    <n v="12.54447"/>
    <n v="33.916530000000002"/>
    <n v="717.16652999999997"/>
    <n v="382603.89934375603"/>
    <m/>
    <m/>
    <m/>
    <m/>
    <m/>
    <m/>
    <m/>
    <m/>
  </r>
  <r>
    <x v="6"/>
    <s v="NORMAL"/>
    <s v="Emerging Markets State - Obligations"/>
    <n v="238.82500681257599"/>
    <n v="4.9137975283925904E-4"/>
    <n v="4.8300000000000003E-2"/>
    <n v="11.5352478290474"/>
    <n v="3.1145169138428099"/>
    <n v="8.4207309152046292"/>
    <n v="247.24573772778101"/>
    <n v="382603.89934375603"/>
    <m/>
    <m/>
    <m/>
    <m/>
    <m/>
    <m/>
    <m/>
    <m/>
  </r>
  <r>
    <x v="6"/>
    <s v="NORMAL"/>
    <s v="High Yield Bonds - Obligations"/>
    <n v="728.92107718572595"/>
    <n v="1.49974687963868E-3"/>
    <n v="4.9299999999999997E-2"/>
    <n v="35.935809105256197"/>
    <n v="9.7026684584191791"/>
    <n v="26.233140646837001"/>
    <n v="755.15421783256295"/>
    <n v="382603.89934375603"/>
    <m/>
    <m/>
    <m/>
    <m/>
    <m/>
    <m/>
    <m/>
    <m/>
  </r>
  <r>
    <x v="6"/>
    <s v="NORMAL"/>
    <s v="Investment Grade Bonds - Obligations"/>
    <n v="1087.56989293931"/>
    <n v="2.2376627653875902E-3"/>
    <n v="3.6299999999999999E-2"/>
    <n v="39.478787113697301"/>
    <n v="10.659272520698201"/>
    <n v="28.819514592998999"/>
    <n v="1116.3894075323101"/>
    <n v="382603.89934375603"/>
    <m/>
    <m/>
    <m/>
    <m/>
    <m/>
    <m/>
    <m/>
    <m/>
  </r>
  <r>
    <x v="6"/>
    <s v="NORMAL"/>
    <s v="Government ZC Bonds - Obligations"/>
    <n v="396029.54794844199"/>
    <n v="0.81482631984458298"/>
    <n v="2.8299999999999999E-2"/>
    <n v="11207.636206940901"/>
    <n v="3026.06177587404"/>
    <n v="8181.5744310668697"/>
    <n v="404211.12237950898"/>
    <n v="382603.89934375603"/>
    <m/>
    <m/>
    <m/>
    <m/>
    <m/>
    <m/>
    <m/>
    <m/>
  </r>
  <r>
    <x v="7"/>
    <s v="ASK"/>
    <s v="Emerging Markets - Equities"/>
    <n v="47438.720000000001"/>
    <n v="8.3491778331731201E-2"/>
    <n v="8.3999999999999894E-2"/>
    <n v="3984.85248"/>
    <n v="677.42492159999995"/>
    <n v="3307.4275584000002"/>
    <n v="50746.1475584"/>
    <n v="431003.29261074099"/>
    <m/>
    <m/>
    <m/>
    <m/>
    <m/>
    <m/>
    <m/>
    <m/>
  </r>
  <r>
    <x v="7"/>
    <s v="NORMAL"/>
    <s v="Emerging Markets - Equities"/>
    <n v="105983.92"/>
    <n v="0.18653087510303601"/>
    <n v="8.3999999999999894E-2"/>
    <n v="8902.6492800000105"/>
    <n v="2403.7153056000002"/>
    <n v="6498.9339743999999"/>
    <n v="112482.8539744"/>
    <n v="431003.29261074099"/>
    <m/>
    <m/>
    <m/>
    <m/>
    <m/>
    <m/>
    <m/>
    <m/>
  </r>
  <r>
    <x v="7"/>
    <s v="ASK"/>
    <s v="Developed Markets - Equities"/>
    <n v="960.67"/>
    <n v="1.69077173013825E-3"/>
    <n v="6.8000000000000005E-2"/>
    <n v="65.325560000000095"/>
    <n v="11.1053452"/>
    <n v="54.220214800000001"/>
    <n v="1014.8902148"/>
    <n v="431003.29261074099"/>
    <m/>
    <m/>
    <m/>
    <m/>
    <m/>
    <m/>
    <m/>
    <m/>
  </r>
  <r>
    <x v="7"/>
    <s v="NORMAL"/>
    <s v="Developed Markets - Equities"/>
    <n v="2146.2600000000002"/>
    <n v="3.7774009113707399E-3"/>
    <n v="6.8000000000000005E-2"/>
    <n v="145.94568000000001"/>
    <n v="39.405333599999999"/>
    <n v="106.5403464"/>
    <n v="2252.8003463999999"/>
    <n v="431003.29261074099"/>
    <m/>
    <m/>
    <m/>
    <m/>
    <m/>
    <m/>
    <m/>
    <m/>
  </r>
  <r>
    <x v="7"/>
    <s v="NORMAL"/>
    <s v="Emerging Markets State - Obligations"/>
    <n v="1619.3986530484401"/>
    <n v="2.8501290374408298E-3"/>
    <n v="4.8300000000000003E-2"/>
    <n v="78.216954942240093"/>
    <n v="21.1185778344048"/>
    <n v="57.098377107835297"/>
    <n v="1676.4970301562801"/>
    <n v="431003.29261074099"/>
    <m/>
    <m/>
    <m/>
    <m/>
    <m/>
    <m/>
    <m/>
    <m/>
  </r>
  <r>
    <x v="7"/>
    <s v="NORMAL"/>
    <s v="High Yield Bonds - Obligations"/>
    <n v="2008.7246771740699"/>
    <n v="3.5353398126276598E-3"/>
    <n v="4.9299999999999997E-2"/>
    <n v="99.030126584681696"/>
    <n v="26.738134177864001"/>
    <n v="72.291992406817599"/>
    <n v="2081.0166695808898"/>
    <n v="431003.29261074099"/>
    <m/>
    <m/>
    <m/>
    <m/>
    <m/>
    <m/>
    <m/>
    <m/>
  </r>
  <r>
    <x v="7"/>
    <s v="NORMAL"/>
    <s v="Investment Grade Bonds - Obligations"/>
    <n v="2164.1051407445898"/>
    <n v="3.8088082203231299E-3"/>
    <n v="3.6299999999999999E-2"/>
    <n v="78.557016609028693"/>
    <n v="21.2103944844377"/>
    <n v="57.346622124591001"/>
    <n v="2221.4517628691801"/>
    <n v="431003.29261074099"/>
    <m/>
    <m/>
    <m/>
    <m/>
    <m/>
    <m/>
    <m/>
    <m/>
  </r>
  <r>
    <x v="7"/>
    <s v="NORMAL"/>
    <s v="Government ZC Bonds - Obligations"/>
    <n v="405862.52779810497"/>
    <n v="0.71431489306784701"/>
    <n v="2.8299999999999999E-2"/>
    <n v="11485.9095366863"/>
    <n v="3101.19557490532"/>
    <n v="8384.7139617810499"/>
    <n v="414247.24175988598"/>
    <n v="431003.29261074099"/>
    <m/>
    <m/>
    <m/>
    <m/>
    <m/>
    <m/>
    <m/>
    <m/>
  </r>
  <r>
    <x v="8"/>
    <s v="ASK"/>
    <s v="Emerging Markets - Equities"/>
    <n v="53007.7"/>
    <n v="8.0856496435925906E-2"/>
    <n v="8.3999999999999894E-2"/>
    <n v="4452.6468000000004"/>
    <n v="756.94995600000004"/>
    <n v="3695.6968440000001"/>
    <n v="56703.396844000003"/>
    <n v="485525.209126"/>
    <n v="62"/>
    <n v="400000"/>
    <m/>
    <m/>
    <m/>
    <m/>
    <m/>
    <m/>
  </r>
  <r>
    <x v="8"/>
    <s v="NORMAL"/>
    <s v="Emerging Markets - Equities"/>
    <n v="183171.23"/>
    <n v="0.27940438663928402"/>
    <n v="8.3999999999999894E-2"/>
    <n v="15386.383320000001"/>
    <n v="4154.3234964000003"/>
    <n v="11232.059823600001"/>
    <n v="194403.2898236"/>
    <n v="485525.209126"/>
    <n v="62"/>
    <n v="400000"/>
    <m/>
    <m/>
    <m/>
    <m/>
    <m/>
    <m/>
  </r>
  <r>
    <x v="8"/>
    <s v="ASK"/>
    <s v="Developed Markets - Equities"/>
    <n v="1514.22"/>
    <n v="2.30974979169456E-3"/>
    <n v="6.8000000000000005E-2"/>
    <n v="102.96696"/>
    <n v="17.504383199999999"/>
    <n v="85.462576800000093"/>
    <n v="1599.6825768000001"/>
    <n v="485525.209126"/>
    <n v="62"/>
    <n v="400000"/>
    <m/>
    <m/>
    <m/>
    <m/>
    <m/>
    <m/>
  </r>
  <r>
    <x v="8"/>
    <s v="NORMAL"/>
    <s v="Developed Markets - Equities"/>
    <n v="5232.46"/>
    <n v="7.9814514370765994E-3"/>
    <n v="6.8000000000000005E-2"/>
    <n v="355.80727999999999"/>
    <n v="96.067965599999994"/>
    <n v="259.73931440000001"/>
    <n v="5492.1993143999998"/>
    <n v="485525.209126"/>
    <n v="62"/>
    <n v="400000"/>
    <m/>
    <m/>
    <m/>
    <m/>
    <m/>
    <m/>
  </r>
  <r>
    <x v="8"/>
    <s v="NORMAL"/>
    <s v="Emerging Markets State - Obligations"/>
    <n v="2647.4888864753798"/>
    <n v="4.03840716940087E-3"/>
    <n v="4.8300000000000003E-2"/>
    <n v="127.873713216761"/>
    <n v="34.525902568525503"/>
    <n v="93.347810648235594"/>
    <n v="2740.8366971236201"/>
    <n v="485525.209126"/>
    <n v="62"/>
    <n v="400000"/>
    <m/>
    <m/>
    <m/>
    <m/>
    <m/>
    <m/>
  </r>
  <r>
    <x v="8"/>
    <s v="NORMAL"/>
    <s v="High Yield Bonds - Obligations"/>
    <n v="639.13144431376998"/>
    <n v="9.7491363234482103E-4"/>
    <n v="4.9299999999999997E-2"/>
    <n v="31.509180204668802"/>
    <n v="8.5074786552605808"/>
    <n v="23.0017015494082"/>
    <n v="662.13314586317802"/>
    <n v="485525.209126"/>
    <n v="62"/>
    <n v="400000"/>
    <m/>
    <m/>
    <m/>
    <m/>
    <m/>
    <m/>
  </r>
  <r>
    <x v="8"/>
    <s v="NORMAL"/>
    <s v="Investment Grade Bonds - Obligations"/>
    <n v="1105.0772227398099"/>
    <n v="1.68565458455818E-3"/>
    <n v="3.6299999999999999E-2"/>
    <n v="40.1143031854551"/>
    <n v="10.830861860072799"/>
    <n v="29.283441325382199"/>
    <n v="1134.3606640651899"/>
    <n v="485525.209126"/>
    <n v="62"/>
    <n v="400000"/>
    <m/>
    <m/>
    <m/>
    <m/>
    <m/>
    <m/>
  </r>
  <r>
    <x v="8"/>
    <s v="NORMAL"/>
    <s v="Government ZC Bonds - Obligations"/>
    <n v="408260.20334110898"/>
    <n v="0.62274895300835198"/>
    <n v="2.8299999999999999E-2"/>
    <n v="11553.7637545533"/>
    <n v="3119.5162137294101"/>
    <n v="8434.2475408239698"/>
    <n v="416694.45088193298"/>
    <n v="485525.209126"/>
    <n v="62"/>
    <n v="400000"/>
    <m/>
    <m/>
    <m/>
    <m/>
    <m/>
    <m/>
  </r>
  <r>
    <x v="9"/>
    <s v="ASK"/>
    <s v="Emerging Markets - Equities"/>
    <n v="17031.61"/>
    <n v="4.8804880707010299E-2"/>
    <n v="6.3E-2"/>
    <n v="1072.99142999999"/>
    <n v="182.40854309999901"/>
    <n v="890.58288689999802"/>
    <n v="17922.1928869"/>
    <n v="546944.14808043896"/>
    <m/>
    <m/>
    <m/>
    <m/>
    <m/>
    <m/>
    <m/>
    <m/>
  </r>
  <r>
    <x v="9"/>
    <s v="NORMAL"/>
    <s v="Emerging Markets - Equities"/>
    <n v="78404.490000000005"/>
    <n v="0.22467175923732299"/>
    <n v="6.3E-2"/>
    <n v="4939.4828699999898"/>
    <n v="1333.6603748999901"/>
    <n v="3605.8224950999902"/>
    <n v="82010.312495100006"/>
    <n v="546944.14808043896"/>
    <m/>
    <m/>
    <m/>
    <m/>
    <m/>
    <m/>
    <m/>
    <m/>
  </r>
  <r>
    <x v="9"/>
    <s v="ASK"/>
    <s v="Developed Markets - Equities"/>
    <n v="44387.33"/>
    <n v="0.12719398492289899"/>
    <n v="6.3E-2"/>
    <n v="2796.4017899999899"/>
    <n v="475.38830429999899"/>
    <n v="2321.0134856999898"/>
    <n v="46708.343485699901"/>
    <n v="546944.14808043896"/>
    <m/>
    <m/>
    <m/>
    <m/>
    <m/>
    <m/>
    <m/>
    <m/>
  </r>
  <r>
    <x v="9"/>
    <s v="NORMAL"/>
    <s v="Developed Markets - Equities"/>
    <n v="204335.75"/>
    <n v="0.58553371659681497"/>
    <n v="6.3E-2"/>
    <n v="12873.152249999899"/>
    <n v="3475.7511074999902"/>
    <n v="9397.4011424999808"/>
    <n v="213733.15114249999"/>
    <n v="546944.14808043896"/>
    <m/>
    <m/>
    <m/>
    <m/>
    <m/>
    <m/>
    <m/>
    <m/>
  </r>
  <r>
    <x v="9"/>
    <s v="NORMAL"/>
    <s v="Emerging Markets State - Obligations"/>
    <n v="1170.1567640114199"/>
    <n v="3.35313932599906E-3"/>
    <n v="3.4299999999999997E-2"/>
    <n v="40.136377005592003"/>
    <n v="10.8368217915098"/>
    <n v="29.299555214082201"/>
    <n v="1199.4563192255"/>
    <n v="546944.14808043896"/>
    <m/>
    <m/>
    <m/>
    <m/>
    <m/>
    <m/>
    <m/>
    <m/>
  </r>
  <r>
    <x v="9"/>
    <s v="NORMAL"/>
    <s v="High Yield Bonds - Obligations"/>
    <n v="631.64323639451595"/>
    <n v="1.8100034466280201E-3"/>
    <n v="3.4299999999999997E-2"/>
    <n v="21.665363008331902"/>
    <n v="5.8496480122496202"/>
    <n v="15.815714996082299"/>
    <n v="647.45895139059803"/>
    <n v="546944.14808043896"/>
    <m/>
    <m/>
    <m/>
    <m/>
    <m/>
    <m/>
    <m/>
    <m/>
  </r>
  <r>
    <x v="9"/>
    <s v="NORMAL"/>
    <s v="Investment Grade Bonds - Obligations"/>
    <n v="1576.48356609549"/>
    <n v="4.5174879168706199E-3"/>
    <n v="3.4299999999999997E-2"/>
    <n v="54.073386317075503"/>
    <n v="14.5998143056104"/>
    <n v="39.473572011465102"/>
    <n v="1615.95713810696"/>
    <n v="546944.14808043896"/>
    <m/>
    <m/>
    <m/>
    <m/>
    <m/>
    <m/>
    <m/>
    <m/>
  </r>
  <r>
    <x v="9"/>
    <s v="NORMAL"/>
    <s v="Government ZC Bonds - Obligations"/>
    <n v="1436.0440134759299"/>
    <n v="4.1150517636153903E-3"/>
    <n v="3.4299999999999997E-2"/>
    <n v="49.256309662224503"/>
    <n v="13.2992036088006"/>
    <n v="35.9571060534239"/>
    <n v="1472.00111952936"/>
    <n v="546944.14808043896"/>
    <m/>
    <m/>
    <m/>
    <m/>
    <m/>
    <m/>
    <m/>
    <m/>
  </r>
  <r>
    <x v="10"/>
    <s v="ASK"/>
    <s v="Emerging Markets - Equities"/>
    <n v="32485.7"/>
    <n v="7.3413717769720596E-2"/>
    <n v="6.3E-2"/>
    <n v="2046.5990999999899"/>
    <n v="347.92184699999899"/>
    <n v="1698.6772529999901"/>
    <n v="34184.377252999999"/>
    <n v="616132.58281261497"/>
    <m/>
    <m/>
    <m/>
    <m/>
    <m/>
    <m/>
    <m/>
    <m/>
  </r>
  <r>
    <x v="10"/>
    <s v="ASK"/>
    <s v="Developed Markets - Equities"/>
    <n v="815.42"/>
    <n v="1.8427496942896599E-3"/>
    <n v="6.3E-2"/>
    <n v="51.3714599999999"/>
    <n v="8.7331481999999898"/>
    <n v="42.638311799999897"/>
    <n v="858.05831179999996"/>
    <n v="616132.58281261497"/>
    <m/>
    <m/>
    <m/>
    <m/>
    <m/>
    <m/>
    <m/>
    <m/>
  </r>
  <r>
    <x v="10"/>
    <s v="NORMAL"/>
    <s v="Emerging Markets State - Obligations"/>
    <n v="3022.3765956852899"/>
    <n v="6.8302022856040999E-3"/>
    <n v="3.4299999999999997E-2"/>
    <n v="103.667517232005"/>
    <n v="27.990229652641499"/>
    <n v="75.677287579364005"/>
    <n v="3098.0538832646498"/>
    <n v="616132.58281261497"/>
    <m/>
    <m/>
    <m/>
    <m/>
    <m/>
    <m/>
    <m/>
    <m/>
  </r>
  <r>
    <x v="10"/>
    <s v="NORMAL"/>
    <s v="High Yield Bonds - Obligations"/>
    <n v="316.23750100548898"/>
    <n v="7.1465816180715596E-4"/>
    <n v="3.4299999999999997E-2"/>
    <n v="10.846946284488199"/>
    <n v="2.9286754968118398"/>
    <n v="7.91827078767645"/>
    <n v="324.155771793165"/>
    <n v="616132.58281261497"/>
    <m/>
    <m/>
    <m/>
    <m/>
    <m/>
    <m/>
    <m/>
    <m/>
  </r>
  <r>
    <x v="10"/>
    <s v="NORMAL"/>
    <s v="Investment Grade Bonds - Obligations"/>
    <n v="1897.36629823356"/>
    <n v="4.2878162983804799E-3"/>
    <n v="3.4299999999999997E-2"/>
    <n v="65.079664029411305"/>
    <n v="17.571509287941002"/>
    <n v="47.5081547414702"/>
    <n v="1944.87445297503"/>
    <n v="616132.58281261497"/>
    <m/>
    <m/>
    <m/>
    <m/>
    <m/>
    <m/>
    <m/>
    <m/>
  </r>
  <r>
    <x v="10"/>
    <s v="NORMAL"/>
    <s v="Government ZC Bonds - Obligations"/>
    <n v="403964.66615171399"/>
    <n v="0.91291084969083003"/>
    <n v="3.4299999999999997E-2"/>
    <n v="13855.988049003799"/>
    <n v="3741.11677323103"/>
    <n v="10114.871275772701"/>
    <n v="414079.53742748703"/>
    <n v="616132.58281261497"/>
    <m/>
    <m/>
    <m/>
    <m/>
    <m/>
    <m/>
    <m/>
    <m/>
  </r>
  <r>
    <x v="11"/>
    <s v="ASK"/>
    <s v="Emerging Markets - Equities"/>
    <n v="113828.08"/>
    <n v="0.213780167444309"/>
    <n v="6.3E-2"/>
    <n v="7171.1690399999898"/>
    <n v="1219.0987367999901"/>
    <n v="5952.0703031999901"/>
    <n v="119780.150303199"/>
    <n v="694073.35453840997"/>
    <m/>
    <m/>
    <m/>
    <m/>
    <m/>
    <m/>
    <m/>
    <m/>
  </r>
  <r>
    <x v="11"/>
    <s v="NORMAL"/>
    <s v="Emerging Markets - Equities"/>
    <n v="7423.79"/>
    <n v="1.39425971980849E-2"/>
    <n v="6.3E-2"/>
    <n v="467.698769999999"/>
    <n v="126.2786679"/>
    <n v="341.42010209999899"/>
    <n v="7765.2101020999999"/>
    <n v="694073.35453840997"/>
    <m/>
    <m/>
    <m/>
    <m/>
    <m/>
    <m/>
    <m/>
    <m/>
  </r>
  <r>
    <x v="11"/>
    <s v="NORMAL"/>
    <s v="Emerging Markets State - Obligations"/>
    <n v="1.6967074694433999E-10"/>
    <n v="3.1865810872117002E-16"/>
    <n v="3.4299999999999997E-2"/>
    <n v="5.8197066201908698E-12"/>
    <n v="1.57132078745153E-12"/>
    <n v="4.2483858327393299E-12"/>
    <n v="1.73919132777079E-10"/>
    <n v="694073.35453840997"/>
    <m/>
    <m/>
    <m/>
    <m/>
    <m/>
    <m/>
    <m/>
    <m/>
  </r>
  <r>
    <x v="11"/>
    <s v="NORMAL"/>
    <s v="Investment Grade Bonds - Obligations"/>
    <n v="1.1529962308741399E-13"/>
    <n v="2.16543867997186E-19"/>
    <n v="3.4299999999999997E-2"/>
    <n v="3.9547770718983098E-15"/>
    <n v="1.06778980941254E-15"/>
    <n v="2.88698726248576E-15"/>
    <n v="1.1818661034989999E-13"/>
    <n v="694073.35453840997"/>
    <m/>
    <m/>
    <m/>
    <m/>
    <m/>
    <m/>
    <m/>
    <m/>
  </r>
  <r>
    <x v="11"/>
    <s v="NORMAL"/>
    <s v="Government ZC Bonds - Obligations"/>
    <n v="411202.007699362"/>
    <n v="0.77227722772277196"/>
    <n v="3.4299999999999997E-2"/>
    <n v="14104.2288640881"/>
    <n v="3808.1417933037901"/>
    <n v="10296.087070784301"/>
    <n v="421498.094770147"/>
    <n v="694073.35453840997"/>
    <m/>
    <m/>
    <m/>
    <m/>
    <m/>
    <m/>
    <m/>
    <m/>
  </r>
  <r>
    <x v="12"/>
    <s v="ASK"/>
    <s v="Emerging Markets - Equities"/>
    <n v="87212.38"/>
    <n v="0.13892012907264301"/>
    <n v="6.3E-2"/>
    <n v="5494.3799399999898"/>
    <n v="934.04458979999902"/>
    <n v="4560.33535019999"/>
    <n v="91772.7153502"/>
    <n v="781873.63388751901"/>
    <m/>
    <m/>
    <m/>
    <m/>
    <m/>
    <m/>
    <m/>
    <m/>
  </r>
  <r>
    <x v="12"/>
    <s v="NORMAL"/>
    <s v="Emerging Markets - Equities"/>
    <n v="134102.67000000001"/>
    <n v="0.21361141876171699"/>
    <n v="6.3E-2"/>
    <n v="8448.46820999999"/>
    <n v="2281.08641669999"/>
    <n v="6167.38179329999"/>
    <n v="140270.05179329999"/>
    <n v="781873.63388751901"/>
    <m/>
    <m/>
    <m/>
    <m/>
    <m/>
    <m/>
    <m/>
    <m/>
  </r>
  <r>
    <x v="12"/>
    <s v="ASK"/>
    <s v="Developed Markets - Equities"/>
    <n v="587.9"/>
    <n v="9.3646273478383295E-4"/>
    <n v="6.3E-2"/>
    <n v="37.037699999999901"/>
    <n v="6.2964089999999899"/>
    <n v="30.741290999999901"/>
    <n v="618.641290999999"/>
    <n v="781873.63388751901"/>
    <m/>
    <m/>
    <m/>
    <m/>
    <m/>
    <m/>
    <m/>
    <m/>
  </r>
  <r>
    <x v="12"/>
    <s v="NORMAL"/>
    <s v="Developed Markets - Equities"/>
    <n v="903.99"/>
    <n v="1.4399607885988001E-3"/>
    <n v="6.3E-2"/>
    <n v="56.951369999999997"/>
    <n v="15.3768698999999"/>
    <n v="41.574500099999902"/>
    <n v="945.56450010000003"/>
    <n v="781873.63388751901"/>
    <m/>
    <m/>
    <m/>
    <m/>
    <m/>
    <m/>
    <m/>
    <m/>
  </r>
  <r>
    <x v="12"/>
    <s v="NORMAL"/>
    <s v="Emerging Markets State - Obligations"/>
    <n v="112.062032774307"/>
    <n v="1.78503006765203E-4"/>
    <n v="3.4299999999999997E-2"/>
    <n v="3.8437277241587302"/>
    <n v="1.0378064855228499"/>
    <n v="2.8059212386358698"/>
    <n v="114.867954012943"/>
    <n v="781873.63388751901"/>
    <m/>
    <m/>
    <m/>
    <m/>
    <m/>
    <m/>
    <m/>
    <m/>
  </r>
  <r>
    <x v="12"/>
    <s v="NORMAL"/>
    <s v="High Yield Bonds - Obligations"/>
    <n v="1447.2081032487999"/>
    <n v="2.3052499713721599E-3"/>
    <n v="3.4299999999999997E-2"/>
    <n v="49.639237941433898"/>
    <n v="13.4025942441871"/>
    <n v="36.236643697246798"/>
    <n v="1483.4447469460399"/>
    <n v="781873.63388751901"/>
    <m/>
    <m/>
    <m/>
    <m/>
    <m/>
    <m/>
    <m/>
    <m/>
  </r>
  <r>
    <x v="12"/>
    <s v="NORMAL"/>
    <s v="Investment Grade Bonds - Obligations"/>
    <n v="1126.1504875441899"/>
    <n v="1.7938390293311399E-3"/>
    <n v="3.4299999999999997E-2"/>
    <n v="38.626961722765799"/>
    <n v="10.4292796651467"/>
    <n v="28.197682057619001"/>
    <n v="1154.34816960181"/>
    <n v="781873.63388751901"/>
    <m/>
    <m/>
    <m/>
    <m/>
    <m/>
    <m/>
    <m/>
    <m/>
  </r>
  <r>
    <x v="12"/>
    <s v="NORMAL"/>
    <s v="Government ZC Bonds - Obligations"/>
    <n v="402295.56119583501"/>
    <n v="0.64081442665223598"/>
    <n v="3.4299999999999997E-2"/>
    <n v="13798.7377490171"/>
    <n v="3725.6591922346402"/>
    <n v="10073.078556782501"/>
    <n v="412368.63975261798"/>
    <n v="781873.63388751901"/>
    <m/>
    <m/>
    <m/>
    <m/>
    <m/>
    <m/>
    <m/>
    <m/>
  </r>
  <r>
    <x v="13"/>
    <s v="ASK"/>
    <s v="Emerging Markets - Equities"/>
    <n v="12.74"/>
    <n v="1.7493747638528001E-5"/>
    <n v="6.3E-2"/>
    <n v="0.802619999999999"/>
    <n v="0.136445399999999"/>
    <n v="0.66617459999999895"/>
    <n v="13.4061746"/>
    <n v="880780.64857429103"/>
    <m/>
    <m/>
    <n v="56"/>
    <n v="400000"/>
    <m/>
    <m/>
    <m/>
    <m/>
  </r>
  <r>
    <x v="13"/>
    <s v="ASK"/>
    <s v="Developed Markets - Equities"/>
    <n v="963.58"/>
    <n v="1.32312600859755E-3"/>
    <n v="6.3E-2"/>
    <n v="60.705539999999999"/>
    <n v="10.3199418"/>
    <n v="50.385598199999997"/>
    <n v="1013.9655982"/>
    <n v="880780.64857429103"/>
    <m/>
    <m/>
    <n v="56"/>
    <n v="400000"/>
    <m/>
    <m/>
    <m/>
    <m/>
  </r>
  <r>
    <x v="13"/>
    <s v="NORMAL"/>
    <s v="Emerging Markets State - Obligations"/>
    <n v="119.716901372097"/>
    <n v="1.64387540083989E-4"/>
    <n v="3.4299999999999997E-2"/>
    <n v="4.1062897170629196"/>
    <n v="1.10869822360698"/>
    <n v="2.9975914934559298"/>
    <n v="122.714492865552"/>
    <n v="880780.64857429103"/>
    <m/>
    <m/>
    <n v="56"/>
    <n v="400000"/>
    <m/>
    <m/>
    <m/>
    <m/>
  </r>
  <r>
    <x v="13"/>
    <s v="NORMAL"/>
    <s v="High Yield Bonds - Obligations"/>
    <n v="5058.5389487681596"/>
    <n v="6.9460599520734202E-3"/>
    <n v="3.4299999999999997E-2"/>
    <n v="173.50788594274701"/>
    <n v="46.847129204541801"/>
    <n v="126.660756738205"/>
    <n v="5185.1997055063603"/>
    <n v="880780.64857429103"/>
    <m/>
    <m/>
    <n v="56"/>
    <n v="400000"/>
    <m/>
    <m/>
    <m/>
    <m/>
  </r>
  <r>
    <x v="13"/>
    <s v="NORMAL"/>
    <s v="Investment Grade Bonds - Obligations"/>
    <n v="3982.0655874129902"/>
    <n v="5.4679160491577696E-3"/>
    <n v="3.4299999999999997E-2"/>
    <n v="136.58484964826499"/>
    <n v="36.877909405031602"/>
    <n v="99.706940243233703"/>
    <n v="4081.7725276562201"/>
    <n v="880780.64857429103"/>
    <m/>
    <m/>
    <n v="56"/>
    <n v="400000"/>
    <m/>
    <m/>
    <m/>
    <m/>
  </r>
  <r>
    <x v="13"/>
    <s v="NORMAL"/>
    <s v="Government ZC Bonds - Obligations"/>
    <n v="718123.55229656305"/>
    <n v="0.98608102018519705"/>
    <n v="3.4299999999999997E-2"/>
    <n v="24631.637843772001"/>
    <n v="6650.5422178184599"/>
    <n v="17981.0956259536"/>
    <n v="736104.64792251703"/>
    <n v="880780.64857429103"/>
    <m/>
    <m/>
    <n v="56"/>
    <n v="400000"/>
    <m/>
    <m/>
    <m/>
    <m/>
  </r>
  <r>
    <x v="14"/>
    <s v="ASK"/>
    <s v="Emerging Markets - Equities"/>
    <n v="106772.36"/>
    <n v="0.245565399534144"/>
    <n v="6.3E-2"/>
    <n v="6726.6586799999905"/>
    <n v="1143.5319755999899"/>
    <n v="5583.1267043999896"/>
    <n v="112355.4867044"/>
    <n v="992199.40061893803"/>
    <m/>
    <m/>
    <m/>
    <m/>
    <m/>
    <m/>
    <m/>
    <m/>
  </r>
  <r>
    <x v="14"/>
    <s v="ASK"/>
    <s v="Developed Markets - Equities"/>
    <n v="949.39"/>
    <n v="2.1834989379622299E-3"/>
    <n v="6.3E-2"/>
    <n v="59.811569999999897"/>
    <n v="10.1679668999999"/>
    <n v="49.643603099999901"/>
    <n v="999.03360309999903"/>
    <n v="992199.40061893803"/>
    <m/>
    <m/>
    <m/>
    <m/>
    <m/>
    <m/>
    <m/>
    <m/>
  </r>
  <r>
    <x v="14"/>
    <s v="NORMAL"/>
    <s v="Emerging Markets State - Obligations"/>
    <n v="5204.5188880507603"/>
    <n v="1.1969855870256899E-2"/>
    <n v="3.4299999999999997E-2"/>
    <n v="178.51499786014099"/>
    <n v="48.199049422238097"/>
    <n v="130.31594843790299"/>
    <n v="5334.8348364886697"/>
    <n v="992199.40061893803"/>
    <m/>
    <m/>
    <m/>
    <m/>
    <m/>
    <m/>
    <m/>
    <m/>
  </r>
  <r>
    <x v="14"/>
    <s v="NORMAL"/>
    <s v="High Yield Bonds - Obligations"/>
    <n v="13261.3043990679"/>
    <n v="3.0499630364085199E-2"/>
    <n v="3.4299999999999997E-2"/>
    <n v="454.862740888031"/>
    <n v="122.81294003976799"/>
    <n v="332.04980084826201"/>
    <n v="13593.354199916201"/>
    <n v="992199.40061893803"/>
    <m/>
    <m/>
    <m/>
    <m/>
    <m/>
    <m/>
    <m/>
    <m/>
  </r>
  <r>
    <x v="14"/>
    <s v="NORMAL"/>
    <s v="Investment Grade Bonds - Obligations"/>
    <n v="3778.69086275686"/>
    <n v="8.6905986851738698E-3"/>
    <n v="3.4299999999999997E-2"/>
    <n v="129.60909659256001"/>
    <n v="34.994456079991302"/>
    <n v="94.614640512569096"/>
    <n v="3873.3055032694301"/>
    <n v="992199.40061893803"/>
    <m/>
    <m/>
    <m/>
    <m/>
    <m/>
    <m/>
    <m/>
    <m/>
  </r>
  <r>
    <x v="14"/>
    <s v="NORMAL"/>
    <s v="Government ZC Bonds - Obligations"/>
    <n v="304835.87538112001"/>
    <n v="0.70109102702520998"/>
    <n v="3.4299999999999997E-2"/>
    <n v="10455.8705255723"/>
    <n v="2823.08504190454"/>
    <n v="7632.7854836678398"/>
    <n v="312468.660864787"/>
    <n v="992199.40061893803"/>
    <m/>
    <m/>
    <m/>
    <m/>
    <m/>
    <m/>
    <m/>
    <m/>
  </r>
  <r>
    <x v="15"/>
    <s v="ASK"/>
    <s v="Emerging Markets - Equities"/>
    <n v="227140.93"/>
    <n v="0.42236154137517201"/>
    <n v="6.3E-2"/>
    <n v="14309.8785899999"/>
    <n v="2432.6793602999901"/>
    <n v="11877.1992296999"/>
    <n v="239018.12922969999"/>
    <n v="1117712.6247972299"/>
    <m/>
    <m/>
    <m/>
    <m/>
    <m/>
    <m/>
    <m/>
    <m/>
  </r>
  <r>
    <x v="15"/>
    <s v="NORMAL"/>
    <s v="Emerging Markets - Equities"/>
    <n v="1011.52"/>
    <n v="1.8808901871266101E-3"/>
    <n v="6.3E-2"/>
    <n v="63.725760000000001"/>
    <n v="17.205955199999998"/>
    <n v="46.519804800000003"/>
    <n v="1058.0398048"/>
    <n v="1117712.6247972299"/>
    <m/>
    <m/>
    <m/>
    <m/>
    <m/>
    <m/>
    <m/>
    <m/>
  </r>
  <r>
    <x v="15"/>
    <s v="NORMAL"/>
    <s v="Investment Grade Bonds - Obligations"/>
    <n v="2.37468842572689E-12"/>
    <n v="4.4156597570318702E-18"/>
    <n v="3.4299999999999997E-2"/>
    <n v="8.14518130024327E-14"/>
    <n v="2.1991989510656799E-14"/>
    <n v="5.9459823491775794E-14"/>
    <n v="2.43414824921867E-12"/>
    <n v="1117712.6247972299"/>
    <m/>
    <m/>
    <m/>
    <m/>
    <m/>
    <m/>
    <m/>
    <m/>
  </r>
  <r>
    <x v="15"/>
    <s v="NORMAL"/>
    <s v="Government ZC Bonds - Obligations"/>
    <n v="309635.46251469501"/>
    <n v="0.57575757575757502"/>
    <n v="3.4299999999999997E-2"/>
    <n v="10620.496364254001"/>
    <n v="2867.5340183485901"/>
    <n v="7752.9623459054401"/>
    <n v="317388.42486060102"/>
    <n v="1117712.6247972299"/>
    <m/>
    <m/>
    <m/>
    <m/>
    <m/>
    <m/>
    <m/>
    <m/>
  </r>
  <r>
    <x v="16"/>
    <s v="ASK"/>
    <s v="Emerging Markets - Equities"/>
    <n v="141199.5"/>
    <n v="0.21806217252288601"/>
    <n v="6.3E-2"/>
    <n v="8895.5684999999903"/>
    <n v="1512.2466449999899"/>
    <n v="7383.3218549999901"/>
    <n v="148582.82185499999"/>
    <n v="1259103.2718340801"/>
    <m/>
    <m/>
    <m/>
    <m/>
    <m/>
    <m/>
    <m/>
    <m/>
  </r>
  <r>
    <x v="16"/>
    <s v="NORMAL"/>
    <s v="Emerging Markets - Equities"/>
    <n v="191117.93"/>
    <n v="0.29515395609670603"/>
    <n v="6.3E-2"/>
    <n v="12040.4295899999"/>
    <n v="3250.9159892999901"/>
    <n v="8789.5136006999892"/>
    <n v="199907.44360069901"/>
    <n v="1259103.2718340801"/>
    <m/>
    <m/>
    <m/>
    <m/>
    <m/>
    <m/>
    <m/>
    <m/>
  </r>
  <r>
    <x v="16"/>
    <s v="ASK"/>
    <s v="Developed Markets - Equities"/>
    <n v="191.15"/>
    <n v="2.9520348356580303E-4"/>
    <n v="6.3E-2"/>
    <n v="12.042450000000001"/>
    <n v="2.0472165000000002"/>
    <n v="9.9952334999999994"/>
    <n v="201.14523349999999"/>
    <n v="1259103.2718340801"/>
    <m/>
    <m/>
    <m/>
    <m/>
    <m/>
    <m/>
    <m/>
    <m/>
  </r>
  <r>
    <x v="16"/>
    <s v="NORMAL"/>
    <s v="Developed Markets - Equities"/>
    <n v="258.73"/>
    <n v="3.9957100341606202E-4"/>
    <n v="6.3E-2"/>
    <n v="16.299989999999902"/>
    <n v="4.4009972999999896"/>
    <n v="11.8989926999999"/>
    <n v="270.62899270000003"/>
    <n v="1259103.2718340801"/>
    <m/>
    <m/>
    <m/>
    <m/>
    <m/>
    <m/>
    <m/>
    <m/>
  </r>
  <r>
    <x v="16"/>
    <s v="NORMAL"/>
    <s v="Emerging Markets State - Obligations"/>
    <n v="3456.0195479406202"/>
    <n v="5.3373215266732301E-3"/>
    <n v="3.4299999999999997E-2"/>
    <n v="118.541470494363"/>
    <n v="32.006197033478202"/>
    <n v="86.535273460885406"/>
    <n v="3542.5548214015098"/>
    <n v="1259103.2718340801"/>
    <m/>
    <m/>
    <m/>
    <m/>
    <m/>
    <m/>
    <m/>
    <m/>
  </r>
  <r>
    <x v="16"/>
    <s v="NORMAL"/>
    <s v="High Yield Bonds - Obligations"/>
    <n v="3901.68631122326"/>
    <n v="6.0255892799064396E-3"/>
    <n v="3.4299999999999997E-2"/>
    <n v="133.82784047495699"/>
    <n v="36.1335169282385"/>
    <n v="97.694323546719005"/>
    <n v="3999.3806347699701"/>
    <n v="1259103.2718340801"/>
    <m/>
    <m/>
    <m/>
    <m/>
    <m/>
    <m/>
    <m/>
    <m/>
  </r>
  <r>
    <x v="16"/>
    <s v="NORMAL"/>
    <s v="Investment Grade Bonds - Obligations"/>
    <n v="979.31683196758502"/>
    <n v="1.51241297573349E-3"/>
    <n v="3.4299999999999997E-2"/>
    <n v="33.590567336488199"/>
    <n v="9.06945318085182"/>
    <n v="24.521114155636401"/>
    <n v="1003.83794612322"/>
    <n v="1259103.2718340801"/>
    <m/>
    <m/>
    <m/>
    <m/>
    <m/>
    <m/>
    <m/>
    <m/>
  </r>
  <r>
    <x v="16"/>
    <s v="NORMAL"/>
    <s v="Government ZC Bonds - Obligations"/>
    <n v="306415.13066569198"/>
    <n v="0.47321377970067102"/>
    <n v="3.4299999999999997E-2"/>
    <n v="10510.038981833201"/>
    <n v="2837.7105250949799"/>
    <n v="7672.3284567382798"/>
    <n v="314087.45912243001"/>
    <n v="1259103.2718340801"/>
    <m/>
    <m/>
    <m/>
    <m/>
    <m/>
    <m/>
    <m/>
    <m/>
  </r>
  <r>
    <x v="17"/>
    <s v="ASK"/>
    <s v="Emerging Markets - Equities"/>
    <n v="158843.47"/>
    <n v="0.20830545812251799"/>
    <n v="6.3E-2"/>
    <n v="10007.1386099999"/>
    <n v="1701.2135636999899"/>
    <n v="8305.9250462999898"/>
    <n v="167149.39504629999"/>
    <n v="1418379.83572109"/>
    <m/>
    <m/>
    <m/>
    <m/>
    <m/>
    <m/>
    <m/>
    <m/>
  </r>
  <r>
    <x v="17"/>
    <s v="NORMAL"/>
    <s v="Emerging Markets - Equities"/>
    <n v="284972.53999999998"/>
    <n v="0.37370963689623199"/>
    <n v="6.3E-2"/>
    <n v="17953.270019999902"/>
    <n v="4847.3829053999898"/>
    <n v="13105.8871145999"/>
    <n v="298078.42711459898"/>
    <n v="1418379.83572109"/>
    <m/>
    <m/>
    <m/>
    <m/>
    <m/>
    <m/>
    <m/>
    <m/>
  </r>
  <r>
    <x v="17"/>
    <s v="ASK"/>
    <s v="Developed Markets - Equities"/>
    <n v="433.09"/>
    <n v="5.6794913167208696E-4"/>
    <n v="6.3E-2"/>
    <n v="27.284669999999899"/>
    <n v="4.6383938999999899"/>
    <n v="22.646276099999898"/>
    <n v="455.73627609999897"/>
    <n v="1418379.83572109"/>
    <m/>
    <m/>
    <m/>
    <m/>
    <m/>
    <m/>
    <m/>
    <m/>
  </r>
  <r>
    <x v="17"/>
    <s v="NORMAL"/>
    <s v="Developed Markets - Equities"/>
    <n v="776.98"/>
    <n v="1.0189224325811699E-3"/>
    <n v="6.3E-2"/>
    <n v="48.949739999999899"/>
    <n v="13.216429799999901"/>
    <n v="35.733310199999899"/>
    <n v="812.713310199999"/>
    <n v="1418379.83572109"/>
    <m/>
    <m/>
    <m/>
    <m/>
    <m/>
    <m/>
    <m/>
    <m/>
  </r>
  <r>
    <x v="17"/>
    <s v="NORMAL"/>
    <s v="Emerging Markets State - Obligations"/>
    <n v="1481.2026437720499"/>
    <n v="1.94243172403135E-3"/>
    <n v="3.4299999999999997E-2"/>
    <n v="50.805250681381402"/>
    <n v="13.717417683973"/>
    <n v="37.087832997408398"/>
    <n v="1518.2904767694599"/>
    <n v="1418379.83572109"/>
    <m/>
    <m/>
    <m/>
    <m/>
    <m/>
    <m/>
    <m/>
    <m/>
  </r>
  <r>
    <x v="17"/>
    <s v="NORMAL"/>
    <s v="High Yield Bonds - Obligations"/>
    <n v="3122.6521416053001"/>
    <n v="4.0950092875354296E-3"/>
    <n v="3.4299999999999997E-2"/>
    <n v="107.106968457062"/>
    <n v="28.9188814834067"/>
    <n v="78.188086973655302"/>
    <n v="3200.8402285789598"/>
    <n v="1418379.83572109"/>
    <m/>
    <m/>
    <m/>
    <m/>
    <m/>
    <m/>
    <m/>
    <m/>
  </r>
  <r>
    <x v="17"/>
    <s v="NORMAL"/>
    <s v="Investment Grade Bonds - Obligations"/>
    <n v="3965.9573185970098"/>
    <n v="5.2009097770572797E-3"/>
    <n v="3.4299999999999997E-2"/>
    <n v="136.03233602787699"/>
    <n v="36.728730727526901"/>
    <n v="99.303605300350597"/>
    <n v="4065.26092389736"/>
    <n v="1418379.83572109"/>
    <m/>
    <m/>
    <m/>
    <m/>
    <m/>
    <m/>
    <m/>
    <m/>
  </r>
  <r>
    <x v="17"/>
    <s v="NORMAL"/>
    <s v="Government ZC Bonds - Obligations"/>
    <n v="308954.78581045999"/>
    <n v="0.40515967195498997"/>
    <n v="3.4299999999999997E-2"/>
    <n v="10597.1491532988"/>
    <n v="2861.2302713906802"/>
    <n v="7735.9188819081301"/>
    <n v="316690.70469236799"/>
    <n v="1418379.83572109"/>
    <m/>
    <m/>
    <m/>
    <m/>
    <m/>
    <m/>
    <m/>
    <m/>
  </r>
  <r>
    <x v="18"/>
    <s v="ASK"/>
    <s v="Emerging Markets - Equities"/>
    <n v="179009.8"/>
    <n v="0.20047419576223499"/>
    <n v="6.3E-2"/>
    <n v="11277.617399999899"/>
    <n v="1917.19495799999"/>
    <n v="9360.42244199999"/>
    <n v="188370.22244199901"/>
    <n v="1597804.88493981"/>
    <m/>
    <m/>
    <m/>
    <m/>
    <n v="36.363636363636303"/>
    <n v="300000"/>
    <m/>
    <m/>
  </r>
  <r>
    <x v="18"/>
    <s v="NORMAL"/>
    <s v="Emerging Markets - Equities"/>
    <n v="384147.86"/>
    <n v="0.43020959348194299"/>
    <n v="6.3E-2"/>
    <n v="24201.3151799999"/>
    <n v="6534.35509859999"/>
    <n v="17666.960081399899"/>
    <n v="401814.82008139999"/>
    <n v="1597804.88493981"/>
    <m/>
    <m/>
    <m/>
    <m/>
    <n v="36.363636363636303"/>
    <n v="300000"/>
    <m/>
    <m/>
  </r>
  <r>
    <x v="18"/>
    <s v="ASK"/>
    <s v="Developed Markets - Equities"/>
    <n v="415.25"/>
    <n v="4.65041074791818E-4"/>
    <n v="6.3E-2"/>
    <n v="26.160749999999901"/>
    <n v="4.4473274999999903"/>
    <n v="21.713422499999901"/>
    <n v="436.96342249999998"/>
    <n v="1597804.88493981"/>
    <m/>
    <m/>
    <m/>
    <m/>
    <n v="36.363636363636303"/>
    <n v="300000"/>
    <m/>
    <m/>
  </r>
  <r>
    <x v="18"/>
    <s v="NORMAL"/>
    <s v="Developed Markets - Equities"/>
    <n v="891.11"/>
    <n v="9.9795966804993902E-4"/>
    <n v="6.3E-2"/>
    <n v="56.1399299999999"/>
    <n v="15.1577810999999"/>
    <n v="40.982148899999899"/>
    <n v="932.09214889999998"/>
    <n v="1597804.88493981"/>
    <m/>
    <m/>
    <m/>
    <m/>
    <n v="36.363636363636303"/>
    <n v="300000"/>
    <m/>
    <m/>
  </r>
  <r>
    <x v="18"/>
    <s v="NORMAL"/>
    <s v="Emerging Markets State - Obligations"/>
    <n v="2440.8158348884199"/>
    <n v="2.7334849349196898E-3"/>
    <n v="3.4299999999999997E-2"/>
    <n v="83.719983136672894"/>
    <n v="22.604395446901599"/>
    <n v="61.115587689771203"/>
    <n v="2501.93142257819"/>
    <n v="1597804.88493981"/>
    <m/>
    <m/>
    <m/>
    <m/>
    <n v="36.363636363636303"/>
    <n v="300000"/>
    <m/>
    <m/>
  </r>
  <r>
    <x v="18"/>
    <s v="NORMAL"/>
    <s v="High Yield Bonds - Obligations"/>
    <n v="1715.7018393548101"/>
    <n v="1.92142523153729E-3"/>
    <n v="3.4299999999999997E-2"/>
    <n v="58.848573089870101"/>
    <n v="15.889114734264901"/>
    <n v="42.959458355605101"/>
    <n v="1758.6612977104101"/>
    <n v="1597804.88493981"/>
    <m/>
    <m/>
    <m/>
    <m/>
    <n v="36.363636363636303"/>
    <n v="300000"/>
    <m/>
    <m/>
  </r>
  <r>
    <x v="18"/>
    <s v="NORMAL"/>
    <s v="Investment Grade Bonds - Obligations"/>
    <n v="2438.2333424963399"/>
    <n v="2.7305927855213602E-3"/>
    <n v="3.4299999999999997E-2"/>
    <n v="83.631403647624595"/>
    <n v="22.580478984858601"/>
    <n v="61.050924662766"/>
    <n v="2499.2842671591002"/>
    <n v="1597804.88493981"/>
    <m/>
    <m/>
    <m/>
    <m/>
    <n v="36.363636363636303"/>
    <n v="300000"/>
    <m/>
    <m/>
  </r>
  <r>
    <x v="18"/>
    <s v="NORMAL"/>
    <s v="Government ZC Bonds - Obligations"/>
    <n v="321873.11282256502"/>
    <n v="0.36046771422900398"/>
    <n v="3.4299999999999997E-2"/>
    <n v="11040.247769813899"/>
    <n v="2980.8668978497699"/>
    <n v="8059.3808719642002"/>
    <n v="329932.493694529"/>
    <n v="1597804.88493981"/>
    <m/>
    <m/>
    <m/>
    <m/>
    <n v="36.363636363636303"/>
    <n v="300000"/>
    <m/>
    <m/>
  </r>
  <r>
    <x v="19"/>
    <s v="ASK"/>
    <s v="Emerging Markets - Equities"/>
    <n v="199865.97"/>
    <n v="0.27370779380696703"/>
    <n v="6.3E-2"/>
    <n v="12591.556109999899"/>
    <n v="2140.56453869999"/>
    <n v="10450.991571299901"/>
    <n v="210316.96157129999"/>
    <n v="1799927.2028846999"/>
    <m/>
    <m/>
    <m/>
    <m/>
    <m/>
    <m/>
    <m/>
    <m/>
  </r>
  <r>
    <x v="19"/>
    <s v="NORMAL"/>
    <s v="Emerging Markets - Equities"/>
    <n v="508755.16"/>
    <n v="0.696718167837731"/>
    <n v="6.3E-2"/>
    <n v="32051.5750799999"/>
    <n v="8653.9252715999792"/>
    <n v="23397.649808399899"/>
    <n v="532152.80980839895"/>
    <n v="1799927.2028846999"/>
    <m/>
    <m/>
    <m/>
    <m/>
    <m/>
    <m/>
    <m/>
    <m/>
  </r>
  <r>
    <x v="19"/>
    <s v="ASK"/>
    <s v="Developed Markets - Equities"/>
    <n v="2256.35"/>
    <n v="3.08997364862238E-3"/>
    <n v="6.3E-2"/>
    <n v="142.150049999999"/>
    <n v="24.165508499999898"/>
    <n v="117.984541499999"/>
    <n v="2374.3345414999999"/>
    <n v="1799927.2028846999"/>
    <m/>
    <m/>
    <m/>
    <m/>
    <m/>
    <m/>
    <m/>
    <m/>
  </r>
  <r>
    <x v="19"/>
    <s v="NORMAL"/>
    <s v="Developed Markets - Equities"/>
    <n v="5743.49"/>
    <n v="7.86546092189872E-3"/>
    <n v="6.3E-2"/>
    <n v="361.839869999999"/>
    <n v="97.696764899999906"/>
    <n v="264.14310509999899"/>
    <n v="6007.6331050999997"/>
    <n v="1799927.2028846999"/>
    <m/>
    <m/>
    <m/>
    <m/>
    <m/>
    <m/>
    <m/>
    <m/>
  </r>
  <r>
    <x v="19"/>
    <s v="NORMAL"/>
    <s v="Emerging Markets State - Obligations"/>
    <n v="1720.5449199320101"/>
    <n v="2.3562117862304202E-3"/>
    <n v="3.4299999999999997E-2"/>
    <n v="59.0146907536679"/>
    <n v="15.9339665034903"/>
    <n v="43.080724250177603"/>
    <n v="1763.6256441821899"/>
    <n v="1799927.2028846999"/>
    <m/>
    <m/>
    <m/>
    <m/>
    <m/>
    <m/>
    <m/>
    <m/>
  </r>
  <r>
    <x v="19"/>
    <s v="NORMAL"/>
    <s v="High Yield Bonds - Obligations"/>
    <n v="5162.4343891844501"/>
    <n v="7.0697304165231196E-3"/>
    <n v="3.4299999999999997E-2"/>
    <n v="177.07149954902701"/>
    <n v="47.809304878237299"/>
    <n v="129.262194670789"/>
    <n v="5291.6965838552396"/>
    <n v="1799927.2028846999"/>
    <m/>
    <m/>
    <m/>
    <m/>
    <m/>
    <m/>
    <m/>
    <m/>
  </r>
  <r>
    <x v="19"/>
    <s v="NORMAL"/>
    <s v="Investment Grade Bonds - Obligations"/>
    <n v="2066.79503321731"/>
    <n v="2.8303863273628298E-3"/>
    <n v="3.4299999999999997E-2"/>
    <n v="70.8910696393541"/>
    <n v="19.140588802625601"/>
    <n v="51.7504808367284"/>
    <n v="2118.5455140540398"/>
    <n v="1799927.2028846999"/>
    <m/>
    <m/>
    <m/>
    <m/>
    <m/>
    <m/>
    <m/>
    <m/>
  </r>
  <r>
    <x v="19"/>
    <s v="NORMAL"/>
    <s v="Government ZC Bonds - Obligations"/>
    <n v="4645.8464034553199"/>
    <n v="6.36228553292885E-3"/>
    <n v="3.4299999999999997E-2"/>
    <n v="159.35253163851701"/>
    <n v="43.025183542399702"/>
    <n v="116.32734809611701"/>
    <n v="4762.1737515514396"/>
    <n v="1799927.2028846999"/>
    <m/>
    <m/>
    <m/>
    <m/>
    <m/>
    <m/>
    <m/>
    <m/>
  </r>
  <r>
    <x v="20"/>
    <s v="ASK"/>
    <s v="Emerging Markets - Equities"/>
    <n v="225809.8"/>
    <n v="0.26021621324115402"/>
    <n v="6.3E-2"/>
    <n v="14226.017399999901"/>
    <n v="2418.4229579999901"/>
    <n v="11807.5944419999"/>
    <n v="237617.394441999"/>
    <n v="2027617.9940496101"/>
    <m/>
    <m/>
    <m/>
    <m/>
    <m/>
    <m/>
    <m/>
    <m/>
  </r>
  <r>
    <x v="20"/>
    <s v="NORMAL"/>
    <s v="Emerging Markets - Equities"/>
    <n v="599658.73"/>
    <n v="0.69102813056652002"/>
    <n v="6.3E-2"/>
    <n v="37778.499989999902"/>
    <n v="10200.194997299899"/>
    <n v="27578.304992699901"/>
    <n v="627237.03499269998"/>
    <n v="2027617.9940496101"/>
    <m/>
    <m/>
    <m/>
    <m/>
    <m/>
    <m/>
    <m/>
    <m/>
  </r>
  <r>
    <x v="20"/>
    <s v="ASK"/>
    <s v="Developed Markets - Equities"/>
    <n v="1880.99"/>
    <n v="2.1675945638518698E-3"/>
    <n v="6.3E-2"/>
    <n v="118.502369999999"/>
    <n v="20.145402899999901"/>
    <n v="98.356967099999906"/>
    <n v="1979.3469671"/>
    <n v="2027617.9940496101"/>
    <m/>
    <m/>
    <m/>
    <m/>
    <m/>
    <m/>
    <m/>
    <m/>
  </r>
  <r>
    <x v="20"/>
    <s v="NORMAL"/>
    <s v="Developed Markets - Equities"/>
    <n v="4995.13"/>
    <n v="5.7562329590978203E-3"/>
    <n v="6.3E-2"/>
    <n v="314.69318999999899"/>
    <n v="84.967161300000001"/>
    <n v="229.72602869999901"/>
    <n v="5224.8560287"/>
    <n v="2027617.9940496101"/>
    <m/>
    <m/>
    <m/>
    <m/>
    <m/>
    <m/>
    <m/>
    <m/>
  </r>
  <r>
    <x v="20"/>
    <s v="NORMAL"/>
    <s v="Emerging Markets State - Obligations"/>
    <n v="11103.414537859901"/>
    <n v="1.27952306989718E-2"/>
    <n v="3.4299999999999997E-2"/>
    <n v="380.84711864859401"/>
    <n v="102.82872203511999"/>
    <n v="278.01839661347401"/>
    <n v="11381.4329344733"/>
    <n v="2027617.9940496101"/>
    <m/>
    <m/>
    <m/>
    <m/>
    <m/>
    <m/>
    <m/>
    <m/>
  </r>
  <r>
    <x v="20"/>
    <s v="NORMAL"/>
    <s v="High Yield Bonds - Obligations"/>
    <n v="8179.4805988133203"/>
    <n v="9.4257798718332501E-3"/>
    <n v="3.4299999999999997E-2"/>
    <n v="280.55618453929702"/>
    <n v="75.7501698256103"/>
    <n v="204.80601471368701"/>
    <n v="8384.2866135270106"/>
    <n v="2027617.9940496101"/>
    <m/>
    <m/>
    <m/>
    <m/>
    <m/>
    <m/>
    <m/>
    <m/>
  </r>
  <r>
    <x v="20"/>
    <s v="NORMAL"/>
    <s v="Investment Grade Bonds - Obligations"/>
    <n v="8008.0295469197599"/>
    <n v="9.2282049947466204E-3"/>
    <n v="3.4299999999999997E-2"/>
    <n v="274.675413459347"/>
    <n v="74.162361634023796"/>
    <n v="200.513051825323"/>
    <n v="8208.5425987450799"/>
    <n v="2027617.9940496101"/>
    <m/>
    <m/>
    <m/>
    <m/>
    <m/>
    <m/>
    <m/>
    <m/>
  </r>
  <r>
    <x v="20"/>
    <s v="NORMAL"/>
    <s v="Government ZC Bonds - Obligations"/>
    <n v="8142.0198583353504"/>
    <n v="9.38261127581844E-3"/>
    <n v="3.4299999999999997E-2"/>
    <n v="279.27128114090198"/>
    <n v="75.403245908043701"/>
    <n v="203.868035232859"/>
    <n v="8345.8878935682096"/>
    <n v="2027617.9940496101"/>
    <m/>
    <m/>
    <m/>
    <m/>
    <m/>
    <m/>
    <m/>
    <m/>
  </r>
  <r>
    <x v="21"/>
    <s v="ASK"/>
    <s v="Emerging Markets - Equities"/>
    <n v="253198.74"/>
    <n v="0.250097902102356"/>
    <n v="6.3E-2"/>
    <n v="15951.520619999899"/>
    <n v="2711.7585053999901"/>
    <n v="13239.7621145999"/>
    <n v="266438.50211459998"/>
    <n v="2284111.6702968902"/>
    <m/>
    <m/>
    <m/>
    <m/>
    <m/>
    <m/>
    <m/>
    <m/>
  </r>
  <r>
    <x v="21"/>
    <s v="NORMAL"/>
    <s v="Emerging Markets - Equities"/>
    <n v="724820.21"/>
    <n v="0.715943586142606"/>
    <n v="6.3E-2"/>
    <n v="45663.673229999898"/>
    <n v="12329.191772099901"/>
    <n v="33334.481457899899"/>
    <n v="758154.69145789999"/>
    <n v="2284111.6702968902"/>
    <m/>
    <m/>
    <m/>
    <m/>
    <m/>
    <m/>
    <m/>
    <m/>
  </r>
  <r>
    <x v="21"/>
    <s v="ASK"/>
    <s v="Developed Markets - Equities"/>
    <n v="3294.94"/>
    <n v="3.2545880028989698E-3"/>
    <n v="6.3E-2"/>
    <n v="207.58122"/>
    <n v="35.288807400000003"/>
    <n v="172.29241260000001"/>
    <n v="3467.2324125999999"/>
    <n v="2284111.6702968902"/>
    <m/>
    <m/>
    <m/>
    <m/>
    <m/>
    <m/>
    <m/>
    <m/>
  </r>
  <r>
    <x v="21"/>
    <s v="NORMAL"/>
    <s v="Developed Markets - Equities"/>
    <n v="9432.27"/>
    <n v="9.3167562329219793E-3"/>
    <n v="6.3E-2"/>
    <n v="594.23300999999901"/>
    <n v="160.44291269999999"/>
    <n v="433.79009729999899"/>
    <n v="9866.0600973000001"/>
    <n v="2284111.6702968902"/>
    <m/>
    <m/>
    <m/>
    <m/>
    <m/>
    <m/>
    <m/>
    <m/>
  </r>
  <r>
    <x v="21"/>
    <s v="NORMAL"/>
    <s v="Emerging Markets State - Obligations"/>
    <n v="11224.344333326"/>
    <n v="1.10868836481544E-2"/>
    <n v="3.4299999999999997E-2"/>
    <n v="384.99501063308298"/>
    <n v="103.94865287093199"/>
    <n v="281.04635776215002"/>
    <n v="11505.3906910882"/>
    <n v="2284111.6702968902"/>
    <m/>
    <m/>
    <m/>
    <m/>
    <m/>
    <m/>
    <m/>
    <m/>
  </r>
  <r>
    <x v="21"/>
    <s v="NORMAL"/>
    <s v="High Yield Bonds - Obligations"/>
    <n v="722.35021635939404"/>
    <n v="7.1350384166472402E-4"/>
    <n v="3.4299999999999997E-2"/>
    <n v="24.776612421127101"/>
    <n v="6.6896853537043404"/>
    <n v="18.086927067422799"/>
    <n v="740.43714342681699"/>
    <n v="2284111.6702968902"/>
    <m/>
    <m/>
    <m/>
    <m/>
    <m/>
    <m/>
    <m/>
    <m/>
  </r>
  <r>
    <x v="21"/>
    <s v="NORMAL"/>
    <s v="Investment Grade Bonds - Obligations"/>
    <n v="7473.60971678039"/>
    <n v="7.3820829886379396E-3"/>
    <n v="3.4299999999999997E-2"/>
    <n v="256.344813285567"/>
    <n v="69.213099587103201"/>
    <n v="187.13171369846401"/>
    <n v="7660.7414304788499"/>
    <n v="2284111.6702968902"/>
    <m/>
    <m/>
    <m/>
    <m/>
    <m/>
    <m/>
    <m/>
    <m/>
  </r>
  <r>
    <x v="21"/>
    <s v="NORMAL"/>
    <s v="Government ZC Bonds - Obligations"/>
    <n v="2232.0317907137801"/>
    <n v="2.2046968649341702E-3"/>
    <n v="3.4299999999999997E-2"/>
    <n v="76.558690421482794"/>
    <n v="20.670846413800302"/>
    <n v="55.887844007682503"/>
    <n v="2287.9196347214602"/>
    <n v="2284111.6702968902"/>
    <m/>
    <m/>
    <m/>
    <m/>
    <m/>
    <m/>
    <m/>
    <m/>
  </r>
  <r>
    <x v="22"/>
    <s v="ASK"/>
    <s v="Emerging Markets - Equities"/>
    <n v="288579.07"/>
    <n v="0.24547743973782399"/>
    <n v="6.3E-2"/>
    <n v="18180.48141"/>
    <n v="3090.6818397000002"/>
    <n v="15089.7995703"/>
    <n v="303668.86957029998"/>
    <n v="2573051.79658945"/>
    <m/>
    <m/>
    <m/>
    <m/>
    <m/>
    <m/>
    <m/>
    <m/>
  </r>
  <r>
    <x v="22"/>
    <s v="NORMAL"/>
    <s v="Emerging Markets - Equities"/>
    <n v="858226.41"/>
    <n v="0.73004331825653201"/>
    <n v="6.3E-2"/>
    <n v="54068.263829999902"/>
    <n v="14598.4312340999"/>
    <n v="39469.832595899898"/>
    <n v="897696.24259589997"/>
    <n v="2573051.79658945"/>
    <m/>
    <m/>
    <m/>
    <m/>
    <m/>
    <m/>
    <m/>
    <m/>
  </r>
  <r>
    <x v="22"/>
    <s v="ASK"/>
    <s v="Developed Markets - Equities"/>
    <n v="361.06"/>
    <n v="3.0713275356989198E-4"/>
    <n v="6.3E-2"/>
    <n v="22.746780000000001"/>
    <n v="3.8669525999999999"/>
    <n v="18.8798274"/>
    <n v="379.93982740000001"/>
    <n v="2573051.79658945"/>
    <m/>
    <m/>
    <m/>
    <m/>
    <m/>
    <m/>
    <m/>
    <m/>
  </r>
  <r>
    <x v="22"/>
    <s v="NORMAL"/>
    <s v="Developed Markets - Equities"/>
    <n v="1073.77"/>
    <n v="9.1339372071329804E-4"/>
    <n v="6.3E-2"/>
    <n v="67.647509999999997"/>
    <n v="18.264827700000001"/>
    <n v="49.382682299999999"/>
    <n v="1123.1526822999999"/>
    <n v="2573051.79658945"/>
    <m/>
    <m/>
    <m/>
    <m/>
    <m/>
    <m/>
    <m/>
    <m/>
  </r>
  <r>
    <x v="22"/>
    <s v="NORMAL"/>
    <s v="Emerging Markets State - Obligations"/>
    <n v="7073.7550582185804"/>
    <n v="6.0172322304038904E-3"/>
    <n v="3.4299999999999997E-2"/>
    <n v="242.629798496897"/>
    <n v="65.510045594162406"/>
    <n v="177.119752902735"/>
    <n v="7250.8748111213199"/>
    <n v="2573051.79658945"/>
    <m/>
    <m/>
    <m/>
    <m/>
    <m/>
    <m/>
    <m/>
    <m/>
  </r>
  <r>
    <x v="22"/>
    <s v="NORMAL"/>
    <s v="High Yield Bonds - Obligations"/>
    <n v="5334.4241424437696"/>
    <n v="4.5376845277196797E-3"/>
    <n v="3.4299999999999997E-2"/>
    <n v="182.97074808582099"/>
    <n v="49.402101983171796"/>
    <n v="133.56864610264901"/>
    <n v="5467.9927885464203"/>
    <n v="2573051.79658945"/>
    <m/>
    <m/>
    <m/>
    <m/>
    <m/>
    <m/>
    <m/>
    <m/>
  </r>
  <r>
    <x v="22"/>
    <s v="NORMAL"/>
    <s v="Investment Grade Bonds - Obligations"/>
    <n v="4175.6614121776402"/>
    <n v="3.55199243199929E-3"/>
    <n v="3.4299999999999997E-2"/>
    <n v="143.225186437693"/>
    <n v="38.670800338177102"/>
    <n v="104.554386099515"/>
    <n v="4280.2157982771596"/>
    <n v="2573051.79658945"/>
    <m/>
    <m/>
    <m/>
    <m/>
    <m/>
    <m/>
    <m/>
    <m/>
  </r>
  <r>
    <x v="22"/>
    <s v="NORMAL"/>
    <s v="Government ZC Bonds - Obligations"/>
    <n v="10758.710183847799"/>
    <n v="9.1518093492096702E-3"/>
    <n v="3.4299999999999997E-2"/>
    <n v="369.02375930598203"/>
    <n v="99.636415012615302"/>
    <n v="269.38734429336699"/>
    <n v="11028.097528141199"/>
    <n v="2573051.79658945"/>
    <m/>
    <m/>
    <m/>
    <m/>
    <m/>
    <m/>
    <m/>
    <m/>
  </r>
  <r>
    <x v="23"/>
    <s v="ASK"/>
    <s v="Emerging Markets - Equities"/>
    <n v="322770.23"/>
    <n v="0.239530525248039"/>
    <n v="6.3E-2"/>
    <n v="20334.524489999902"/>
    <n v="3456.8691632999899"/>
    <n v="16877.6553266999"/>
    <n v="339647.88532669999"/>
    <n v="2898542.84885801"/>
    <m/>
    <m/>
    <m/>
    <m/>
    <m/>
    <m/>
    <m/>
    <m/>
  </r>
  <r>
    <x v="23"/>
    <s v="NORMAL"/>
    <s v="Emerging Markets - Equities"/>
    <n v="951128.06"/>
    <n v="0.70584020028721095"/>
    <n v="6.3E-2"/>
    <n v="59921.067779999903"/>
    <n v="16178.688300599901"/>
    <n v="43742.379479399897"/>
    <n v="994870.43947939901"/>
    <n v="2898542.84885801"/>
    <m/>
    <m/>
    <m/>
    <m/>
    <m/>
    <m/>
    <m/>
    <m/>
  </r>
  <r>
    <x v="23"/>
    <s v="ASK"/>
    <s v="Developed Markets - Equities"/>
    <n v="2720.83"/>
    <n v="2.01915101962973E-3"/>
    <n v="6.3E-2"/>
    <n v="171.41228999999899"/>
    <n v="29.1400892999999"/>
    <n v="142.27220069999899"/>
    <n v="2863.1022006999901"/>
    <n v="2898542.84885801"/>
    <m/>
    <m/>
    <m/>
    <m/>
    <m/>
    <m/>
    <m/>
    <m/>
  </r>
  <r>
    <x v="23"/>
    <s v="NORMAL"/>
    <s v="Developed Markets - Equities"/>
    <n v="8017.64"/>
    <n v="5.9499586453487102E-3"/>
    <n v="6.3E-2"/>
    <n v="505.11131999999901"/>
    <n v="136.38005639999901"/>
    <n v="368.73126359999901"/>
    <n v="8386.3712636"/>
    <n v="2898542.84885801"/>
    <m/>
    <m/>
    <m/>
    <m/>
    <m/>
    <m/>
    <m/>
    <m/>
  </r>
  <r>
    <x v="23"/>
    <s v="NORMAL"/>
    <s v="Emerging Markets State - Obligations"/>
    <n v="12669.815713284001"/>
    <n v="9.4023776994513995E-3"/>
    <n v="3.4299999999999997E-2"/>
    <n v="434.57467896564401"/>
    <n v="117.335163320723"/>
    <n v="317.23951564492"/>
    <n v="12987.055228928901"/>
    <n v="2898542.84885801"/>
    <m/>
    <m/>
    <m/>
    <m/>
    <m/>
    <m/>
    <m/>
    <m/>
  </r>
  <r>
    <x v="23"/>
    <s v="NORMAL"/>
    <s v="High Yield Bonds - Obligations"/>
    <n v="27348.434429351499"/>
    <n v="2.0295505144864601E-2"/>
    <n v="3.4299999999999997E-2"/>
    <n v="938.05130092675597"/>
    <n v="253.273851250224"/>
    <n v="684.77744967653098"/>
    <n v="28033.211879028"/>
    <n v="2898542.84885801"/>
    <m/>
    <m/>
    <m/>
    <m/>
    <m/>
    <m/>
    <m/>
    <m/>
  </r>
  <r>
    <x v="23"/>
    <s v="NORMAL"/>
    <s v="Investment Grade Bonds - Obligations"/>
    <n v="1576.59375840492"/>
    <n v="1.17000359994015E-3"/>
    <n v="3.4299999999999997E-2"/>
    <n v="54.077165913288802"/>
    <n v="14.6008347965879"/>
    <n v="39.476331116700798"/>
    <n v="1616.07008952162"/>
    <n v="2898542.84885801"/>
    <m/>
    <m/>
    <m/>
    <m/>
    <m/>
    <m/>
    <m/>
    <m/>
  </r>
  <r>
    <x v="23"/>
    <s v="NORMAL"/>
    <s v="Government ZC Bonds - Obligations"/>
    <n v="21280.296130288301"/>
    <n v="1.57922882464154E-2"/>
    <n v="3.4299999999999997E-2"/>
    <n v="729.91415726888897"/>
    <n v="197.07682246260001"/>
    <n v="532.83733480628905"/>
    <n v="21813.133465094601"/>
    <n v="2898542.84885801"/>
    <m/>
    <m/>
    <m/>
    <m/>
    <m/>
    <m/>
    <m/>
    <m/>
  </r>
  <r>
    <x v="24"/>
    <s v="ASK"/>
    <s v="Emerging Markets - Equities"/>
    <n v="365517.42"/>
    <n v="0.239212981373053"/>
    <n v="6.3E-2"/>
    <n v="23027.597459999899"/>
    <n v="3914.6915681999899"/>
    <n v="19112.905891799899"/>
    <n v="384630.325891799"/>
    <n v="3265208.5192385502"/>
    <m/>
    <m/>
    <m/>
    <m/>
    <m/>
    <m/>
    <m/>
    <m/>
  </r>
  <r>
    <x v="24"/>
    <s v="NORMAL"/>
    <s v="Emerging Markets - Equities"/>
    <n v="1083966.06"/>
    <n v="0.70940190188418994"/>
    <n v="6.3E-2"/>
    <n v="68289.861779999905"/>
    <n v="18948.887273472799"/>
    <n v="49340.974506527004"/>
    <n v="1133307.03450652"/>
    <n v="3265208.5192385502"/>
    <m/>
    <m/>
    <m/>
    <m/>
    <m/>
    <m/>
    <m/>
    <m/>
  </r>
  <r>
    <x v="24"/>
    <s v="ASK"/>
    <s v="Developed Markets - Equities"/>
    <n v="1148.25"/>
    <n v="7.5147254503385604E-4"/>
    <n v="6.3E-2"/>
    <n v="72.339749999999796"/>
    <n v="12.2977574999999"/>
    <n v="60.0419924999998"/>
    <n v="1208.2919924999901"/>
    <n v="3265208.5192385502"/>
    <m/>
    <m/>
    <m/>
    <m/>
    <m/>
    <m/>
    <m/>
    <m/>
  </r>
  <r>
    <x v="24"/>
    <s v="NORMAL"/>
    <s v="Developed Markets - Equities"/>
    <n v="3405.21"/>
    <n v="2.22854067065076E-3"/>
    <n v="6.3E-2"/>
    <n v="214.52822999999901"/>
    <n v="59.526716576810898"/>
    <n v="155.00151342318799"/>
    <n v="3560.2115134231799"/>
    <n v="3265208.5192385502"/>
    <m/>
    <m/>
    <m/>
    <m/>
    <m/>
    <m/>
    <m/>
    <m/>
  </r>
  <r>
    <x v="24"/>
    <s v="NORMAL"/>
    <s v="Emerging Markets State - Obligations"/>
    <n v="29148.415910042298"/>
    <n v="1.9076189233725099E-2"/>
    <n v="3.4299999999999997E-2"/>
    <n v="999.79066571445196"/>
    <n v="277.41922633736999"/>
    <n v="722.37143937708197"/>
    <n v="29870.787349419399"/>
    <n v="3265208.5192385502"/>
    <m/>
    <m/>
    <m/>
    <m/>
    <m/>
    <m/>
    <m/>
    <m/>
  </r>
  <r>
    <x v="24"/>
    <s v="NORMAL"/>
    <s v="High Yield Bonds - Obligations"/>
    <n v="20645.148681398201"/>
    <n v="1.3511223533387901E-2"/>
    <n v="3.4299999999999997E-2"/>
    <n v="708.12859977196001"/>
    <n v="196.48962031038701"/>
    <n v="511.63897946157198"/>
    <n v="21156.787660859802"/>
    <n v="3265208.5192385502"/>
    <m/>
    <m/>
    <m/>
    <m/>
    <m/>
    <m/>
    <m/>
    <m/>
  </r>
  <r>
    <x v="24"/>
    <s v="NORMAL"/>
    <s v="Investment Grade Bonds - Obligations"/>
    <n v="9503.1129360171508"/>
    <n v="6.2193150130833603E-3"/>
    <n v="3.4299999999999997E-2"/>
    <n v="325.95677370538698"/>
    <n v="90.445609347787496"/>
    <n v="235.51116435759999"/>
    <n v="9738.6241003747491"/>
    <n v="3265208.5192385502"/>
    <m/>
    <m/>
    <m/>
    <m/>
    <m/>
    <m/>
    <m/>
    <m/>
  </r>
  <r>
    <x v="24"/>
    <s v="NORMAL"/>
    <s v="Government ZC Bonds - Obligations"/>
    <n v="14666.317222795"/>
    <n v="9.5983755538320906E-3"/>
    <n v="3.4299999999999997E-2"/>
    <n v="503.05468074187201"/>
    <n v="139.58626052692199"/>
    <n v="363.46842021494899"/>
    <n v="15029.78564301"/>
    <n v="3265208.5192385502"/>
    <m/>
    <m/>
    <m/>
    <m/>
    <m/>
    <m/>
    <m/>
    <m/>
  </r>
  <r>
    <x v="25"/>
    <s v="ASK"/>
    <s v="Emerging Markets - Equities"/>
    <n v="410140.4"/>
    <n v="0.23880605129204699"/>
    <n v="6.3E-2"/>
    <n v="25838.845199999902"/>
    <n v="4392.6036839999897"/>
    <n v="21446.2415159999"/>
    <n v="431586.64151599997"/>
    <n v="3678257.3969222298"/>
    <m/>
    <m/>
    <m/>
    <m/>
    <m/>
    <m/>
    <m/>
    <m/>
  </r>
  <r>
    <x v="25"/>
    <s v="NORMAL"/>
    <s v="Emerging Markets - Equities"/>
    <n v="1267280.8899999999"/>
    <n v="0.73787987045112302"/>
    <n v="6.3E-2"/>
    <n v="79838.696069999802"/>
    <n v="23597.827338566101"/>
    <n v="56240.8687314337"/>
    <n v="1323521.7587314299"/>
    <n v="3678257.3969222298"/>
    <m/>
    <m/>
    <m/>
    <m/>
    <m/>
    <m/>
    <m/>
    <m/>
  </r>
  <r>
    <x v="25"/>
    <s v="ASK"/>
    <s v="Developed Markets - Equities"/>
    <n v="2908.48"/>
    <n v="1.6934752686199499E-3"/>
    <n v="6.3E-2"/>
    <n v="183.23423999999901"/>
    <n v="31.149820799999901"/>
    <n v="152.08441919999899"/>
    <n v="3060.5644192"/>
    <n v="3678257.3969222298"/>
    <m/>
    <m/>
    <m/>
    <m/>
    <m/>
    <m/>
    <m/>
    <m/>
  </r>
  <r>
    <x v="25"/>
    <s v="NORMAL"/>
    <s v="Developed Markets - Equities"/>
    <n v="8986.82"/>
    <n v="5.23261546015072E-3"/>
    <n v="6.3E-2"/>
    <n v="566.169659999999"/>
    <n v="167.342085212673"/>
    <n v="398.82757478732498"/>
    <n v="9385.6475747873192"/>
    <n v="3678257.3969222298"/>
    <m/>
    <m/>
    <m/>
    <m/>
    <m/>
    <m/>
    <m/>
    <m/>
  </r>
  <r>
    <x v="25"/>
    <s v="NORMAL"/>
    <s v="Emerging Markets State - Obligations"/>
    <n v="4837.1290293934098"/>
    <n v="2.8164396462761901E-3"/>
    <n v="3.4299999999999997E-2"/>
    <n v="165.91352570819399"/>
    <n v="49.038861172807799"/>
    <n v="116.874664535386"/>
    <n v="4954.0036939288002"/>
    <n v="3678257.3969222298"/>
    <m/>
    <m/>
    <m/>
    <m/>
    <m/>
    <m/>
    <m/>
    <m/>
  </r>
  <r>
    <x v="25"/>
    <s v="NORMAL"/>
    <s v="High Yield Bonds - Obligations"/>
    <n v="8821.9167931187894"/>
    <n v="5.1365998428628398E-3"/>
    <n v="3.4299999999999997E-2"/>
    <n v="302.59174600397398"/>
    <n v="89.436678299661693"/>
    <n v="213.15506770431199"/>
    <n v="9035.0718608231091"/>
    <n v="3678257.3969222298"/>
    <m/>
    <m/>
    <m/>
    <m/>
    <m/>
    <m/>
    <m/>
    <m/>
  </r>
  <r>
    <x v="25"/>
    <s v="NORMAL"/>
    <s v="Investment Grade Bonds - Obligations"/>
    <n v="10282.9521356678"/>
    <n v="5.9872940952512103E-3"/>
    <n v="3.4299999999999997E-2"/>
    <n v="352.70525825340701"/>
    <n v="104.248668820578"/>
    <n v="248.456589432828"/>
    <n v="10531.4087251006"/>
    <n v="3678257.3969222298"/>
    <m/>
    <m/>
    <m/>
    <m/>
    <m/>
    <m/>
    <m/>
    <m/>
  </r>
  <r>
    <x v="25"/>
    <s v="NORMAL"/>
    <s v="Government ZC Bonds - Obligations"/>
    <n v="4203.7590898551398"/>
    <n v="2.4476572140451299E-3"/>
    <n v="3.4299999999999997E-2"/>
    <n v="144.18893678203099"/>
    <n v="42.617750562090301"/>
    <n v="101.57118621994"/>
    <n v="4305.3302760750803"/>
    <n v="3678257.3969222298"/>
    <m/>
    <m/>
    <m/>
    <m/>
    <m/>
    <m/>
    <m/>
    <m/>
  </r>
  <r>
    <x v="26"/>
    <s v="ASK"/>
    <s v="Emerging Markets - Equities"/>
    <n v="463625.96"/>
    <n v="0.24190898818130099"/>
    <n v="6.3E-2"/>
    <n v="29208.435479999898"/>
    <n v="4965.4340315999898"/>
    <n v="24243.0014483999"/>
    <n v="487868.96144839999"/>
    <n v="4143556.95763289"/>
    <m/>
    <m/>
    <m/>
    <m/>
    <m/>
    <m/>
    <m/>
    <m/>
  </r>
  <r>
    <x v="26"/>
    <s v="NORMAL"/>
    <s v="Emerging Markets - Equities"/>
    <n v="1277886.93"/>
    <n v="0.66677097685903797"/>
    <n v="6.3E-2"/>
    <n v="80506.87659"/>
    <n v="24398.6429354459"/>
    <n v="56108.233654554002"/>
    <n v="1333995.16365455"/>
    <n v="4143556.95763289"/>
    <m/>
    <m/>
    <m/>
    <m/>
    <m/>
    <m/>
    <m/>
    <m/>
  </r>
  <r>
    <x v="26"/>
    <s v="ASK"/>
    <s v="Developed Markets - Equities"/>
    <n v="1673.6"/>
    <n v="8.7324463587031703E-4"/>
    <n v="6.3E-2"/>
    <n v="105.436799999999"/>
    <n v="17.9242559999999"/>
    <n v="87.512543999999906"/>
    <n v="1761.1125439999901"/>
    <n v="4143556.95763289"/>
    <m/>
    <m/>
    <m/>
    <m/>
    <m/>
    <m/>
    <m/>
    <m/>
  </r>
  <r>
    <x v="26"/>
    <s v="NORMAL"/>
    <s v="Developed Markets - Equities"/>
    <n v="4612.9399999999996"/>
    <n v="2.40692226971296E-3"/>
    <n v="6.3E-2"/>
    <n v="290.615219999999"/>
    <n v="88.074674918723701"/>
    <n v="202.54054508127501"/>
    <n v="4815.4805450812701"/>
    <n v="4143556.95763289"/>
    <m/>
    <m/>
    <m/>
    <m/>
    <m/>
    <m/>
    <m/>
    <m/>
  </r>
  <r>
    <x v="26"/>
    <s v="NORMAL"/>
    <s v="Emerging Markets State - Obligations"/>
    <n v="106.602224948805"/>
    <n v="5.56225030523333E-5"/>
    <n v="3.4299999999999997E-2"/>
    <n v="3.6564563157440202"/>
    <n v="1.1081360479456901"/>
    <n v="2.5483202677983199"/>
    <n v="109.15054521660301"/>
    <n v="4143556.95763289"/>
    <m/>
    <m/>
    <m/>
    <m/>
    <m/>
    <m/>
    <m/>
    <m/>
  </r>
  <r>
    <x v="26"/>
    <s v="NORMAL"/>
    <s v="High Yield Bonds - Obligations"/>
    <n v="20285.280530887601"/>
    <n v="1.0584376440440999E-2"/>
    <n v="3.4299999999999997E-2"/>
    <n v="695.78512220944299"/>
    <n v="210.86661755664801"/>
    <n v="484.91850465279401"/>
    <n v="20770.199035540401"/>
    <n v="4143556.95763289"/>
    <m/>
    <m/>
    <m/>
    <m/>
    <m/>
    <m/>
    <m/>
    <m/>
  </r>
  <r>
    <x v="26"/>
    <s v="NORMAL"/>
    <s v="Investment Grade Bonds - Obligations"/>
    <n v="52729.417967541602"/>
    <n v="2.7512954943068602E-2"/>
    <n v="3.4299999999999997E-2"/>
    <n v="1808.6190362866701"/>
    <n v="548.12522782793201"/>
    <n v="1260.49380845874"/>
    <n v="53989.911776000299"/>
    <n v="4143556.95763289"/>
    <m/>
    <m/>
    <m/>
    <m/>
    <m/>
    <m/>
    <m/>
    <m/>
  </r>
  <r>
    <x v="26"/>
    <s v="NORMAL"/>
    <s v="Government ZC Bonds - Obligations"/>
    <n v="95609.793710120299"/>
    <n v="4.9886914133622201E-2"/>
    <n v="3.4299999999999997E-2"/>
    <n v="3279.41592425713"/>
    <n v="993.86911481178799"/>
    <n v="2285.5468094453399"/>
    <n v="97895.340519565594"/>
    <n v="4143556.95763289"/>
    <m/>
    <m/>
    <m/>
    <m/>
    <m/>
    <m/>
    <m/>
    <m/>
  </r>
  <r>
    <x v="27"/>
    <s v="ASK"/>
    <s v="Emerging Markets - Equities"/>
    <n v="523003.94"/>
    <n v="0.24640278683733499"/>
    <n v="6.3E-2"/>
    <n v="32949.248220000001"/>
    <n v="5601.3721974"/>
    <n v="27347.876022600001"/>
    <n v="550351.81602260005"/>
    <n v="4667716.9127734499"/>
    <m/>
    <m/>
    <m/>
    <m/>
    <m/>
    <m/>
    <m/>
    <m/>
  </r>
  <r>
    <x v="27"/>
    <s v="NORMAL"/>
    <s v="Emerging Markets - Equities"/>
    <n v="1494303.54"/>
    <n v="0.70401105704269895"/>
    <n v="6.3E-2"/>
    <n v="94141.123019999795"/>
    <n v="29793.6963854807"/>
    <n v="64347.426634519099"/>
    <n v="1558650.9666345101"/>
    <n v="4667716.9127734499"/>
    <m/>
    <m/>
    <m/>
    <m/>
    <m/>
    <m/>
    <m/>
    <m/>
  </r>
  <r>
    <x v="27"/>
    <s v="ASK"/>
    <s v="Developed Markets - Equities"/>
    <n v="1156.02"/>
    <n v="5.44635571272555E-4"/>
    <n v="6.3E-2"/>
    <n v="72.829259999999906"/>
    <n v="12.380974199999899"/>
    <n v="60.448285799999901"/>
    <n v="1216.4682857999901"/>
    <n v="4667716.9127734499"/>
    <m/>
    <m/>
    <m/>
    <m/>
    <m/>
    <m/>
    <m/>
    <m/>
  </r>
  <r>
    <x v="27"/>
    <s v="NORMAL"/>
    <s v="Developed Markets - Equities"/>
    <n v="3302.93"/>
    <n v="1.5561090356769401E-3"/>
    <n v="6.3E-2"/>
    <n v="208.084589999999"/>
    <n v="65.854420449606806"/>
    <n v="142.23016955039299"/>
    <n v="3445.16016955039"/>
    <n v="4667716.9127734499"/>
    <m/>
    <m/>
    <m/>
    <m/>
    <m/>
    <m/>
    <m/>
    <m/>
  </r>
  <r>
    <x v="27"/>
    <s v="NORMAL"/>
    <s v="Emerging Markets State - Obligations"/>
    <n v="766.65535941794099"/>
    <n v="3.6119425238815601E-4"/>
    <n v="3.4299999999999997E-2"/>
    <n v="26.296278828035302"/>
    <n v="8.3222222376079706"/>
    <n v="17.974056590427399"/>
    <n v="784.62941600836803"/>
    <n v="4667716.9127734499"/>
    <m/>
    <m/>
    <m/>
    <m/>
    <m/>
    <m/>
    <m/>
    <m/>
  </r>
  <r>
    <x v="27"/>
    <s v="NORMAL"/>
    <s v="High Yield Bonds - Obligations"/>
    <n v="6412.3935954735298"/>
    <n v="3.0210702661677101E-3"/>
    <n v="3.4299999999999997E-2"/>
    <n v="219.94510032474199"/>
    <n v="69.608023893631596"/>
    <n v="150.33707643111001"/>
    <n v="6562.7306719046401"/>
    <n v="4667716.9127734499"/>
    <m/>
    <m/>
    <m/>
    <m/>
    <m/>
    <m/>
    <m/>
    <m/>
  </r>
  <r>
    <x v="27"/>
    <s v="NORMAL"/>
    <s v="Investment Grade Bonds - Obligations"/>
    <n v="22005.5502683462"/>
    <n v="1.03674723980274E-2"/>
    <n v="3.4299999999999997E-2"/>
    <n v="754.79037420427596"/>
    <n v="238.87536628332001"/>
    <n v="515.91500792095599"/>
    <n v="22521.465276267201"/>
    <n v="4667716.9127734499"/>
    <m/>
    <m/>
    <m/>
    <m/>
    <m/>
    <m/>
    <m/>
    <m/>
  </r>
  <r>
    <x v="27"/>
    <s v="NORMAL"/>
    <s v="Government ZC Bonds - Obligations"/>
    <n v="71605.896947560104"/>
    <n v="3.3735678094252798E-2"/>
    <n v="3.4299999999999997E-2"/>
    <n v="2456.0822653013101"/>
    <n v="777.29866569156195"/>
    <n v="1678.7835996097499"/>
    <n v="73284.680547169904"/>
    <n v="4667716.9127734499"/>
    <m/>
    <m/>
    <m/>
    <m/>
    <m/>
    <m/>
    <m/>
    <m/>
  </r>
  <r>
    <x v="28"/>
    <s v="ASK"/>
    <s v="Emerging Markets - Equities"/>
    <n v="588225.74"/>
    <n v="0.25144481772845001"/>
    <n v="6.3E-2"/>
    <n v="37058.221619999902"/>
    <n v="6299.8976753999896"/>
    <n v="30758.323944599899"/>
    <n v="618984.06394459901"/>
    <n v="5258183.1022392996"/>
    <m/>
    <m/>
    <m/>
    <m/>
    <m/>
    <m/>
    <m/>
    <m/>
  </r>
  <r>
    <x v="28"/>
    <s v="NORMAL"/>
    <s v="Emerging Markets - Equities"/>
    <n v="1625986.77"/>
    <n v="0.69504939891192496"/>
    <n v="6.3E-2"/>
    <n v="102437.16650999901"/>
    <n v="33315.0765287217"/>
    <n v="69122.089981278099"/>
    <n v="1695108.85998127"/>
    <n v="5258183.1022392996"/>
    <m/>
    <m/>
    <m/>
    <m/>
    <m/>
    <m/>
    <m/>
    <m/>
  </r>
  <r>
    <x v="28"/>
    <s v="ASK"/>
    <s v="Developed Markets - Equities"/>
    <n v="2240.4499999999998"/>
    <n v="9.5770977631768901E-4"/>
    <n v="6.3E-2"/>
    <n v="141.148349999999"/>
    <n v="23.995219499999902"/>
    <n v="117.15313049999899"/>
    <n v="2357.6031304999901"/>
    <n v="5258183.1022392996"/>
    <m/>
    <m/>
    <m/>
    <m/>
    <m/>
    <m/>
    <m/>
    <m/>
  </r>
  <r>
    <x v="28"/>
    <s v="NORMAL"/>
    <s v="Developed Markets - Equities"/>
    <n v="6193.09"/>
    <n v="2.64731765431735E-3"/>
    <n v="6.3E-2"/>
    <n v="390.16467"/>
    <n v="126.891110743331"/>
    <n v="263.27355925666802"/>
    <n v="6456.3635592566598"/>
    <n v="5258183.1022392996"/>
    <m/>
    <m/>
    <m/>
    <m/>
    <m/>
    <m/>
    <m/>
    <m/>
  </r>
  <r>
    <x v="28"/>
    <s v="NORMAL"/>
    <s v="Emerging Markets State - Obligations"/>
    <n v="26897.671934486301"/>
    <n v="1.14977631153757E-2"/>
    <n v="3.4299999999999997E-2"/>
    <n v="922.59014735287894"/>
    <n v="300.04892180130099"/>
    <n v="622.54122555157801"/>
    <n v="27520.213160037802"/>
    <n v="5258183.1022392996"/>
    <m/>
    <m/>
    <m/>
    <m/>
    <m/>
    <m/>
    <m/>
    <m/>
  </r>
  <r>
    <x v="28"/>
    <s v="NORMAL"/>
    <s v="High Yield Bonds - Obligations"/>
    <n v="3.1592104364671199E-2"/>
    <n v="1.35044599096138E-8"/>
    <n v="3.4299999999999997E-2"/>
    <n v="1.08360917970821E-3"/>
    <n v="3.52416256512528E-4"/>
    <n v="7.3119292319569098E-4"/>
    <n v="3.2323297287866898E-2"/>
    <n v="5258183.1022392996"/>
    <m/>
    <m/>
    <m/>
    <m/>
    <m/>
    <m/>
    <m/>
    <m/>
  </r>
  <r>
    <x v="28"/>
    <s v="NORMAL"/>
    <s v="Investment Grade Bonds - Obligations"/>
    <n v="18890.7039882096"/>
    <n v="8.0750795112731494E-3"/>
    <n v="3.4299999999999997E-2"/>
    <n v="647.95114679558901"/>
    <n v="210.72958944311199"/>
    <n v="437.221557352476"/>
    <n v="19327.925545562099"/>
    <n v="5258183.1022392996"/>
    <m/>
    <m/>
    <m/>
    <m/>
    <m/>
    <m/>
    <m/>
    <m/>
  </r>
  <r>
    <x v="28"/>
    <s v="NORMAL"/>
    <s v="Government ZC Bonds - Obligations"/>
    <n v="70948.578839716007"/>
    <n v="3.0327901792337401E-2"/>
    <n v="3.4299999999999997E-2"/>
    <n v="2433.5362542022599"/>
    <n v="791.44561789741397"/>
    <n v="1642.09063630484"/>
    <n v="72590.669476020805"/>
    <n v="5258183.1022392996"/>
    <m/>
    <m/>
    <m/>
    <m/>
    <m/>
    <m/>
    <m/>
    <m/>
  </r>
  <r>
    <x v="29"/>
    <s v="ASK"/>
    <s v="Emerging Markets - Equities"/>
    <n v="661752.66"/>
    <n v="0.25787897907657897"/>
    <n v="6.3E-2"/>
    <n v="41690.417580000001"/>
    <n v="7087.3709885999997"/>
    <n v="34603.046591400001"/>
    <n v="696355.70659139997"/>
    <n v="5923343.2646725699"/>
    <m/>
    <m/>
    <m/>
    <m/>
    <m/>
    <m/>
    <m/>
    <m/>
  </r>
  <r>
    <x v="29"/>
    <s v="NORMAL"/>
    <s v="Emerging Markets - Equities"/>
    <n v="1726322.6"/>
    <n v="0.67273218009403402"/>
    <n v="6.3E-2"/>
    <n v="108758.32379999899"/>
    <n v="36103.373492471103"/>
    <n v="72654.950307528707"/>
    <n v="1798977.55030752"/>
    <n v="5923343.2646725699"/>
    <m/>
    <m/>
    <m/>
    <m/>
    <m/>
    <m/>
    <m/>
    <m/>
  </r>
  <r>
    <x v="29"/>
    <s v="ASK"/>
    <s v="Developed Markets - Equities"/>
    <n v="3407.5"/>
    <n v="1.3278716872909E-3"/>
    <n v="6.3E-2"/>
    <n v="214.67249999999899"/>
    <n v="36.494324999999897"/>
    <n v="178.17817499999899"/>
    <n v="3585.67817499999"/>
    <n v="5923343.2646725699"/>
    <m/>
    <m/>
    <m/>
    <m/>
    <m/>
    <m/>
    <m/>
    <m/>
  </r>
  <r>
    <x v="29"/>
    <s v="NORMAL"/>
    <s v="Developed Markets - Equities"/>
    <n v="8889.2000000000007"/>
    <n v="3.4640402062116799E-3"/>
    <n v="6.3E-2"/>
    <n v="560.01959999999895"/>
    <n v="185.903902114978"/>
    <n v="374.11569788502101"/>
    <n v="9263.3156978850202"/>
    <n v="5923343.2646725699"/>
    <m/>
    <m/>
    <m/>
    <m/>
    <m/>
    <m/>
    <m/>
    <m/>
  </r>
  <r>
    <x v="29"/>
    <s v="NORMAL"/>
    <s v="Emerging Markets State - Obligations"/>
    <n v="23782.773369353701"/>
    <n v="9.2679299787002296E-3"/>
    <n v="3.4299999999999997E-2"/>
    <n v="815.749126568836"/>
    <n v="270.795782461957"/>
    <n v="544.95334410687894"/>
    <n v="24327.726713460601"/>
    <n v="5923343.2646725699"/>
    <m/>
    <m/>
    <m/>
    <m/>
    <m/>
    <m/>
    <m/>
    <m/>
  </r>
  <r>
    <x v="29"/>
    <s v="NORMAL"/>
    <s v="High Yield Bonds - Obligations"/>
    <n v="21489.688560912899"/>
    <n v="8.3743357325709693E-3"/>
    <n v="3.4299999999999997E-2"/>
    <n v="737.096317639316"/>
    <n v="244.68622470308199"/>
    <n v="492.41009293623301"/>
    <n v="21982.0986538492"/>
    <n v="5923343.2646725699"/>
    <m/>
    <m/>
    <m/>
    <m/>
    <m/>
    <m/>
    <m/>
    <m/>
  </r>
  <r>
    <x v="29"/>
    <s v="NORMAL"/>
    <s v="Investment Grade Bonds - Obligations"/>
    <n v="48883.2879659256"/>
    <n v="1.90493717011418E-2"/>
    <n v="3.4299999999999997E-2"/>
    <n v="1676.69677723124"/>
    <n v="556.59565049312198"/>
    <n v="1120.10112673812"/>
    <n v="50003.389092663703"/>
    <n v="5923343.2646725699"/>
    <m/>
    <m/>
    <m/>
    <m/>
    <m/>
    <m/>
    <m/>
    <m/>
  </r>
  <r>
    <x v="29"/>
    <s v="NORMAL"/>
    <s v="Government ZC Bonds - Obligations"/>
    <n v="71608.782119698299"/>
    <n v="2.7905289607668499E-2"/>
    <n v="3.4299999999999997E-2"/>
    <n v="2456.1812267056498"/>
    <n v="815.35302397654505"/>
    <n v="1640.8282027291"/>
    <n v="73249.610322427397"/>
    <n v="5923343.2646725699"/>
    <m/>
    <m/>
    <m/>
    <m/>
    <m/>
    <m/>
    <m/>
    <m/>
  </r>
  <r>
    <x v="30"/>
    <s v="ASK"/>
    <s v="Emerging Markets - Equities"/>
    <n v="747734.44"/>
    <n v="0.26678373174445902"/>
    <n v="6.3E-2"/>
    <n v="47107.269719999902"/>
    <n v="8008.2358523999901"/>
    <n v="39099.033867599901"/>
    <n v="786833.47386759997"/>
    <n v="6672646.1876536496"/>
    <m/>
    <m/>
    <m/>
    <m/>
    <m/>
    <m/>
    <m/>
    <m/>
  </r>
  <r>
    <x v="30"/>
    <s v="NORMAL"/>
    <s v="Emerging Markets - Equities"/>
    <n v="1951482.82"/>
    <n v="0.69626840934971701"/>
    <n v="6.3E-2"/>
    <n v="122943.417659999"/>
    <n v="41800.496982546501"/>
    <n v="81142.920677453207"/>
    <n v="2032625.7406774501"/>
    <n v="6672646.1876536496"/>
    <m/>
    <m/>
    <m/>
    <m/>
    <m/>
    <m/>
    <m/>
    <m/>
  </r>
  <r>
    <x v="30"/>
    <s v="ASK"/>
    <s v="Developed Markets - Equities"/>
    <n v="1568.48"/>
    <n v="5.5961705811832102E-4"/>
    <n v="6.3E-2"/>
    <n v="98.814239999999899"/>
    <n v="16.798420799999899"/>
    <n v="82.015819199999896"/>
    <n v="1650.4958191999999"/>
    <n v="6672646.1876536496"/>
    <m/>
    <m/>
    <m/>
    <m/>
    <m/>
    <m/>
    <m/>
    <m/>
  </r>
  <r>
    <x v="30"/>
    <s v="NORMAL"/>
    <s v="Developed Markets - Equities"/>
    <n v="4093.51"/>
    <n v="1.46052102900765E-3"/>
    <n v="6.3E-2"/>
    <n v="257.89112999999998"/>
    <n v="87.682428279345203"/>
    <n v="170.20870172065401"/>
    <n v="4263.7187017206497"/>
    <n v="6672646.1876536496"/>
    <m/>
    <m/>
    <m/>
    <m/>
    <m/>
    <m/>
    <m/>
    <m/>
  </r>
  <r>
    <x v="30"/>
    <s v="NORMAL"/>
    <s v="Emerging Markets State - Obligations"/>
    <n v="24404.516451938602"/>
    <n v="8.7072730934624996E-3"/>
    <n v="3.4299999999999997E-2"/>
    <n v="837.074914301494"/>
    <n v="284.60366642962799"/>
    <n v="552.47124787186601"/>
    <n v="24956.987699810401"/>
    <n v="6672646.1876536496"/>
    <m/>
    <m/>
    <m/>
    <m/>
    <m/>
    <m/>
    <m/>
    <m/>
  </r>
  <r>
    <x v="30"/>
    <s v="NORMAL"/>
    <s v="High Yield Bonds - Obligations"/>
    <n v="28047.805348589402"/>
    <n v="1.0007159999396199E-2"/>
    <n v="3.4299999999999997E-2"/>
    <n v="962.03972345661896"/>
    <n v="327.09143216312202"/>
    <n v="634.94829129349603"/>
    <n v="28682.7536398829"/>
    <n v="6672646.1876536496"/>
    <m/>
    <m/>
    <m/>
    <m/>
    <m/>
    <m/>
    <m/>
    <m/>
  </r>
  <r>
    <x v="30"/>
    <s v="NORMAL"/>
    <s v="Investment Grade Bonds - Obligations"/>
    <n v="19634.329687634501"/>
    <n v="7.0053209590936801E-3"/>
    <n v="3.4299999999999997E-2"/>
    <n v="673.45750828586404"/>
    <n v="228.97410108467801"/>
    <n v="444.48340720118603"/>
    <n v="20078.813094835699"/>
    <n v="6672646.1876536496"/>
    <m/>
    <m/>
    <m/>
    <m/>
    <m/>
    <m/>
    <m/>
    <m/>
  </r>
  <r>
    <x v="30"/>
    <s v="NORMAL"/>
    <s v="Government ZC Bonds - Obligations"/>
    <n v="25807.838619730799"/>
    <n v="9.2079635856154602E-3"/>
    <n v="3.4299999999999997E-2"/>
    <n v="885.20886465676801"/>
    <n v="300.96910579091099"/>
    <n v="584.23975886585595"/>
    <n v="26392.078378596601"/>
    <n v="6672646.1876536496"/>
    <m/>
    <m/>
    <m/>
    <m/>
    <m/>
    <m/>
    <m/>
    <m/>
  </r>
  <r>
    <x v="31"/>
    <s v="ASK"/>
    <s v="Emerging Markets - Equities"/>
    <n v="840513.28"/>
    <n v="0.27541892142928398"/>
    <n v="6.3E-2"/>
    <n v="52952.336639999899"/>
    <n v="9001.8972288000004"/>
    <n v="43950.439411199899"/>
    <n v="884463.71941120003"/>
    <n v="7516735.9303918397"/>
    <m/>
    <m/>
    <m/>
    <m/>
    <m/>
    <m/>
    <m/>
    <m/>
  </r>
  <r>
    <x v="31"/>
    <s v="NORMAL"/>
    <s v="Emerging Markets - Equities"/>
    <n v="1969735.2"/>
    <n v="0.64544172851771697"/>
    <n v="6.3E-2"/>
    <n v="124093.31759999901"/>
    <n v="42636.243028277102"/>
    <n v="81457.074571722798"/>
    <n v="2051192.27457172"/>
    <n v="7516735.9303918397"/>
    <m/>
    <m/>
    <m/>
    <m/>
    <m/>
    <m/>
    <m/>
    <m/>
  </r>
  <r>
    <x v="31"/>
    <s v="ASK"/>
    <s v="Developed Markets - Equities"/>
    <n v="3576.47"/>
    <n v="1.1719356890163501E-3"/>
    <n v="6.3E-2"/>
    <n v="225.31760999999901"/>
    <n v="38.3039936999999"/>
    <n v="187.013616299999"/>
    <n v="3763.48361629999"/>
    <n v="7516735.9303918397"/>
    <m/>
    <m/>
    <m/>
    <m/>
    <m/>
    <m/>
    <m/>
    <m/>
  </r>
  <r>
    <x v="31"/>
    <s v="NORMAL"/>
    <s v="Developed Markets - Equities"/>
    <n v="8381.42"/>
    <n v="2.7464190172531602E-3"/>
    <n v="6.3E-2"/>
    <n v="528.02945999999895"/>
    <n v="181.421472308593"/>
    <n v="346.60798769140501"/>
    <n v="8728.0279876913992"/>
    <n v="7516735.9303918397"/>
    <m/>
    <m/>
    <m/>
    <m/>
    <m/>
    <m/>
    <m/>
    <m/>
  </r>
  <r>
    <x v="31"/>
    <s v="NORMAL"/>
    <s v="Emerging Markets State - Obligations"/>
    <n v="11134.8998667407"/>
    <n v="3.64867775976224E-3"/>
    <n v="3.4299999999999997E-2"/>
    <n v="381.92706542920598"/>
    <n v="131.223304329776"/>
    <n v="250.70376109943001"/>
    <n v="11385.603627840101"/>
    <n v="7516735.9303918397"/>
    <m/>
    <m/>
    <m/>
    <m/>
    <m/>
    <m/>
    <m/>
    <m/>
  </r>
  <r>
    <x v="31"/>
    <s v="NORMAL"/>
    <s v="High Yield Bonds - Obligations"/>
    <n v="9642.4970500509007"/>
    <n v="3.15964803960037E-3"/>
    <n v="3.4299999999999997E-2"/>
    <n v="330.737648816746"/>
    <n v="113.63553691912701"/>
    <n v="217.10211189761901"/>
    <n v="9859.5991619485194"/>
    <n v="7516735.9303918397"/>
    <m/>
    <m/>
    <m/>
    <m/>
    <m/>
    <m/>
    <m/>
    <m/>
  </r>
  <r>
    <x v="31"/>
    <s v="NORMAL"/>
    <s v="Investment Grade Bonds - Obligations"/>
    <n v="28683.6595391421"/>
    <n v="9.3990455128981805E-3"/>
    <n v="3.4299999999999997E-2"/>
    <n v="983.84952219257298"/>
    <n v="338.03308786271703"/>
    <n v="645.81643432985504"/>
    <n v="29329.475973471901"/>
    <n v="7516735.9303918397"/>
    <m/>
    <m/>
    <m/>
    <m/>
    <m/>
    <m/>
    <m/>
    <m/>
  </r>
  <r>
    <x v="31"/>
    <s v="NORMAL"/>
    <s v="Government ZC Bonds - Obligations"/>
    <n v="180095.60330728799"/>
    <n v="5.90136265509685E-2"/>
    <n v="3.4299999999999997E-2"/>
    <n v="6177.2791934399802"/>
    <n v="2122.4025760515801"/>
    <n v="4054.8766173884001"/>
    <n v="184150.47992467601"/>
    <n v="7516735.9303918397"/>
    <m/>
    <m/>
    <m/>
    <m/>
    <m/>
    <m/>
    <m/>
    <m/>
  </r>
  <r>
    <x v="32"/>
    <s v="ASK"/>
    <s v="Emerging Markets - Equities"/>
    <n v="950867.1"/>
    <n v="0.28723506517956399"/>
    <n v="6.3E-2"/>
    <n v="59904.627299999898"/>
    <n v="10183.786640999901"/>
    <n v="49720.840658999899"/>
    <n v="1000587.940659"/>
    <n v="8467603.0255864095"/>
    <m/>
    <m/>
    <m/>
    <m/>
    <m/>
    <m/>
    <m/>
    <m/>
  </r>
  <r>
    <x v="32"/>
    <s v="NORMAL"/>
    <s v="Emerging Markets - Equities"/>
    <n v="2131799.79"/>
    <n v="0.64396764976980703"/>
    <n v="6.3E-2"/>
    <n v="134303.38676999899"/>
    <n v="46838.970315467697"/>
    <n v="87464.416454531995"/>
    <n v="2219264.2064545299"/>
    <n v="8467603.0255864095"/>
    <m/>
    <m/>
    <m/>
    <m/>
    <m/>
    <m/>
    <m/>
    <m/>
  </r>
  <r>
    <x v="32"/>
    <s v="NORMAL"/>
    <s v="Emerging Markets State - Obligations"/>
    <n v="14290.172850630201"/>
    <n v="4.3167323069417604E-3"/>
    <n v="3.4299999999999997E-2"/>
    <n v="490.15292877661699"/>
    <n v="170.94325789657501"/>
    <n v="319.20967088004102"/>
    <n v="14609.382521510201"/>
    <n v="8467603.0255864095"/>
    <m/>
    <m/>
    <m/>
    <m/>
    <m/>
    <m/>
    <m/>
    <m/>
  </r>
  <r>
    <x v="32"/>
    <s v="NORMAL"/>
    <s v="High Yield Bonds - Obligations"/>
    <n v="2417.3755657595102"/>
    <n v="7.3023351864253403E-4"/>
    <n v="3.4299999999999997E-2"/>
    <n v="82.915981905551206"/>
    <n v="28.9173587394558"/>
    <n v="53.9986231660953"/>
    <n v="2471.3741889256098"/>
    <n v="8467603.0255864095"/>
    <m/>
    <m/>
    <m/>
    <m/>
    <m/>
    <m/>
    <m/>
    <m/>
  </r>
  <r>
    <x v="32"/>
    <s v="NORMAL"/>
    <s v="Investment Grade Bonds - Obligations"/>
    <n v="52534.853678929998"/>
    <n v="1.5869570122540099E-2"/>
    <n v="3.4299999999999997E-2"/>
    <n v="1801.9454811872999"/>
    <n v="628.437397844359"/>
    <n v="1173.5080833429399"/>
    <n v="53708.361762273002"/>
    <n v="8467603.0255864095"/>
    <m/>
    <m/>
    <m/>
    <m/>
    <m/>
    <m/>
    <m/>
    <m/>
  </r>
  <r>
    <x v="32"/>
    <s v="NORMAL"/>
    <s v="Government ZC Bonds - Obligations"/>
    <n v="158505.131630786"/>
    <n v="4.7880752015990798E-2"/>
    <n v="3.4299999999999997E-2"/>
    <n v="5436.7260149359599"/>
    <n v="1896.08508431002"/>
    <n v="3540.6409306259302"/>
    <n v="162045.77256141201"/>
    <n v="8467603.0255864095"/>
    <m/>
    <m/>
    <m/>
    <m/>
    <m/>
    <m/>
    <m/>
    <m/>
  </r>
  <r>
    <x v="33"/>
    <s v="ASK"/>
    <s v="Emerging Markets - Equities"/>
    <n v="1070671.93"/>
    <n v="0.29894476414968801"/>
    <n v="6.3E-2"/>
    <n v="67452.331589999798"/>
    <n v="11466.896370299901"/>
    <n v="55985.435219699801"/>
    <n v="1126657.3652196999"/>
    <n v="9538754.8083230909"/>
    <m/>
    <m/>
    <m/>
    <m/>
    <m/>
    <m/>
    <m/>
    <m/>
  </r>
  <r>
    <x v="33"/>
    <s v="NORMAL"/>
    <s v="Emerging Markets - Equities"/>
    <n v="2296709.31"/>
    <n v="0.64126947177772997"/>
    <n v="6.3E-2"/>
    <n v="144692.68653000001"/>
    <n v="51135.863241919396"/>
    <n v="93556.823288080603"/>
    <n v="2390266.1332880799"/>
    <n v="9538754.8083230909"/>
    <m/>
    <m/>
    <m/>
    <m/>
    <m/>
    <m/>
    <m/>
    <m/>
  </r>
  <r>
    <x v="33"/>
    <s v="ASK"/>
    <s v="Developed Markets - Equities"/>
    <n v="479.85"/>
    <n v="1.3398001858256199E-4"/>
    <n v="6.3E-2"/>
    <n v="30.230549999999901"/>
    <n v="5.1391934999999904"/>
    <n v="25.0913564999999"/>
    <n v="504.94135649999998"/>
    <n v="9538754.8083230909"/>
    <m/>
    <m/>
    <m/>
    <m/>
    <m/>
    <m/>
    <m/>
    <m/>
  </r>
  <r>
    <x v="33"/>
    <s v="NORMAL"/>
    <s v="Developed Markets - Equities"/>
    <n v="1029.33"/>
    <n v="2.8740158909573498E-4"/>
    <n v="6.3E-2"/>
    <n v="64.847790000000003"/>
    <n v="22.917866828695399"/>
    <n v="41.929923171304601"/>
    <n v="1071.2599231713"/>
    <n v="9538754.8083230909"/>
    <m/>
    <m/>
    <m/>
    <m/>
    <m/>
    <m/>
    <m/>
    <m/>
  </r>
  <r>
    <x v="33"/>
    <s v="NORMAL"/>
    <s v="Emerging Markets State - Obligations"/>
    <n v="8407.1697522770792"/>
    <n v="2.34738514043313E-3"/>
    <n v="3.4299999999999997E-2"/>
    <n v="288.365922503104"/>
    <n v="101.911442315305"/>
    <n v="186.454480187798"/>
    <n v="8593.6242324648792"/>
    <n v="9538754.8083230909"/>
    <m/>
    <m/>
    <m/>
    <m/>
    <m/>
    <m/>
    <m/>
    <m/>
  </r>
  <r>
    <x v="33"/>
    <s v="NORMAL"/>
    <s v="High Yield Bonds - Obligations"/>
    <n v="4606.6687867389101"/>
    <n v="1.28623855298736E-3"/>
    <n v="3.4299999999999997E-2"/>
    <n v="158.008739385144"/>
    <n v="55.841891404453101"/>
    <n v="102.166847980691"/>
    <n v="4708.8356347196004"/>
    <n v="9538754.8083230909"/>
    <m/>
    <m/>
    <m/>
    <m/>
    <m/>
    <m/>
    <m/>
    <m/>
  </r>
  <r>
    <x v="33"/>
    <s v="NORMAL"/>
    <s v="Investment Grade Bonds - Obligations"/>
    <n v="35496.789917171402"/>
    <n v="9.9111400911200305E-3"/>
    <n v="3.4299999999999997E-2"/>
    <n v="1217.5398941589799"/>
    <n v="430.29094982202798"/>
    <n v="787.24894433695204"/>
    <n v="36284.038861508401"/>
    <n v="9538754.8083230909"/>
    <m/>
    <m/>
    <m/>
    <m/>
    <m/>
    <m/>
    <m/>
    <m/>
  </r>
  <r>
    <x v="33"/>
    <s v="NORMAL"/>
    <s v="Government ZC Bonds - Obligations"/>
    <n v="164103.15472432401"/>
    <n v="4.5819618046101997E-2"/>
    <n v="3.4299999999999997E-2"/>
    <n v="5628.73820704431"/>
    <n v="1989.2531826085501"/>
    <n v="3639.4850244357499"/>
    <n v="167742.63974875899"/>
    <n v="9538754.8083230909"/>
    <m/>
    <m/>
    <m/>
    <m/>
    <m/>
    <m/>
    <m/>
    <m/>
  </r>
  <r>
    <x v="34"/>
    <s v="ASK"/>
    <s v="Emerging Markets - Equities"/>
    <n v="1206388.48"/>
    <n v="0.31205613564287799"/>
    <n v="6.3E-2"/>
    <n v="76002.474239999894"/>
    <n v="12920.4206207999"/>
    <n v="63082.053619199898"/>
    <n v="1269470.5336191901"/>
    <n v="10745407.291575899"/>
    <m/>
    <m/>
    <m/>
    <m/>
    <m/>
    <m/>
    <m/>
    <m/>
  </r>
  <r>
    <x v="34"/>
    <s v="NORMAL"/>
    <s v="Emerging Markets - Equities"/>
    <n v="2422826.41"/>
    <n v="0.62671175941443702"/>
    <n v="6.3E-2"/>
    <n v="152638.06382999901"/>
    <n v="54494.744373894297"/>
    <n v="98143.319456105499"/>
    <n v="2520969.7294561001"/>
    <n v="10745407.291575899"/>
    <m/>
    <m/>
    <m/>
    <m/>
    <m/>
    <m/>
    <m/>
    <m/>
  </r>
  <r>
    <x v="34"/>
    <s v="ASK"/>
    <s v="Developed Markets - Equities"/>
    <n v="264"/>
    <n v="6.8288798488626098E-5"/>
    <n v="6.3E-2"/>
    <n v="16.632000000000001"/>
    <n v="2.8274400000000002"/>
    <n v="13.80456"/>
    <n v="277.80455999999998"/>
    <n v="10745407.291575899"/>
    <m/>
    <m/>
    <m/>
    <m/>
    <m/>
    <m/>
    <m/>
    <m/>
  </r>
  <r>
    <x v="34"/>
    <s v="NORMAL"/>
    <s v="Developed Markets - Equities"/>
    <n v="530.21"/>
    <n v="1.3714925699490299E-4"/>
    <n v="6.3E-2"/>
    <n v="33.403230000000001"/>
    <n v="11.925599908943701"/>
    <n v="21.477630091056199"/>
    <n v="551.68763009105601"/>
    <n v="10745407.291575899"/>
    <m/>
    <m/>
    <m/>
    <m/>
    <m/>
    <m/>
    <m/>
    <m/>
  </r>
  <r>
    <x v="34"/>
    <s v="NORMAL"/>
    <s v="Emerging Markets State - Obligations"/>
    <n v="1625.3277485835599"/>
    <n v="4.20423026897709E-4"/>
    <n v="3.4299999999999997E-2"/>
    <n v="55.748741776416097"/>
    <n v="19.903380297430999"/>
    <n v="35.845361478985097"/>
    <n v="1661.17311006254"/>
    <n v="10745407.291575899"/>
    <m/>
    <m/>
    <m/>
    <m/>
    <m/>
    <m/>
    <m/>
    <m/>
  </r>
  <r>
    <x v="34"/>
    <s v="NORMAL"/>
    <s v="High Yield Bonds - Obligations"/>
    <n v="8512.8053165368401"/>
    <n v="2.20200472285564E-3"/>
    <n v="3.4299999999999997E-2"/>
    <n v="291.98922235721301"/>
    <n v="104.245806275493"/>
    <n v="187.74341608172"/>
    <n v="8700.5487326185594"/>
    <n v="10745407.291575899"/>
    <m/>
    <m/>
    <m/>
    <m/>
    <m/>
    <m/>
    <m/>
    <m/>
  </r>
  <r>
    <x v="34"/>
    <s v="NORMAL"/>
    <s v="Investment Grade Bonds - Obligations"/>
    <n v="38037.403717177003"/>
    <n v="9.8391234752758395E-3"/>
    <n v="3.4299999999999997E-2"/>
    <n v="1304.68294749917"/>
    <n v="465.79707530968199"/>
    <n v="838.88587218949306"/>
    <n v="38876.289589366497"/>
    <n v="10745407.291575899"/>
    <m/>
    <m/>
    <m/>
    <m/>
    <m/>
    <m/>
    <m/>
    <m/>
  </r>
  <r>
    <x v="34"/>
    <s v="NORMAL"/>
    <s v="Government ZC Bonds - Obligations"/>
    <n v="187749.54138522301"/>
    <n v="4.8565115901467802E-2"/>
    <n v="3.4299999999999997E-2"/>
    <n v="6439.80926951317"/>
    <n v="2299.1366055953699"/>
    <n v="4140.6726639177996"/>
    <n v="191890.21404914101"/>
    <n v="10745407.291575899"/>
    <m/>
    <m/>
    <m/>
    <m/>
    <m/>
    <m/>
    <m/>
    <m/>
  </r>
  <r>
    <x v="35"/>
    <s v="ASK"/>
    <s v="Emerging Markets - Equities"/>
    <n v="345881.91"/>
    <n v="8.2809968289321995E-2"/>
    <n v="6.3E-2"/>
    <n v="21790.56033"/>
    <n v="3704.3952561000001"/>
    <n v="18086.1650739"/>
    <n v="363968.07507389999"/>
    <n v="12104701.313960301"/>
    <m/>
    <m/>
    <m/>
    <m/>
    <m/>
    <m/>
    <m/>
    <m/>
  </r>
  <r>
    <x v="35"/>
    <s v="NORMAL"/>
    <s v="Emerging Markets - Equities"/>
    <n v="699163.87"/>
    <n v="0.167391633473226"/>
    <n v="6.3E-2"/>
    <n v="44047.3238099999"/>
    <n v="15958.671035338601"/>
    <n v="28088.652774661201"/>
    <n v="727252.52277466096"/>
    <n v="12104701.313960301"/>
    <m/>
    <m/>
    <m/>
    <m/>
    <m/>
    <m/>
    <m/>
    <m/>
  </r>
  <r>
    <x v="35"/>
    <s v="ASK"/>
    <s v="Developed Markets - Equities"/>
    <n v="1013412.11"/>
    <n v="0.24262796713801801"/>
    <n v="6.3E-2"/>
    <n v="63844.962930000002"/>
    <n v="10853.643698100001"/>
    <n v="52991.319231900001"/>
    <n v="1066403.4292319"/>
    <n v="12104701.313960301"/>
    <m/>
    <m/>
    <m/>
    <m/>
    <m/>
    <m/>
    <m/>
    <m/>
  </r>
  <r>
    <x v="35"/>
    <s v="NORMAL"/>
    <s v="Developed Markets - Equities"/>
    <n v="2048505.88"/>
    <n v="0.49044688970085099"/>
    <n v="6.3E-2"/>
    <n v="129055.87043999899"/>
    <n v="46757.895903398101"/>
    <n v="82297.9745366016"/>
    <n v="2130803.8545365999"/>
    <n v="12104701.313960301"/>
    <m/>
    <m/>
    <m/>
    <m/>
    <m/>
    <m/>
    <m/>
    <m/>
  </r>
  <r>
    <x v="35"/>
    <s v="NORMAL"/>
    <s v="Emerging Markets State - Obligations"/>
    <n v="2233.42581778047"/>
    <n v="5.3471984454739004E-4"/>
    <n v="3.4299999999999997E-2"/>
    <n v="76.606505549870207"/>
    <n v="27.755103272804799"/>
    <n v="48.851402277065297"/>
    <n v="2282.27722005754"/>
    <n v="12104701.313960301"/>
    <m/>
    <m/>
    <m/>
    <m/>
    <m/>
    <m/>
    <m/>
    <m/>
  </r>
  <r>
    <x v="35"/>
    <s v="NORMAL"/>
    <s v="High Yield Bonds - Obligations"/>
    <n v="2586.4697560228201"/>
    <n v="6.1924452330432795E-4"/>
    <n v="3.4299999999999997E-2"/>
    <n v="88.715912631582796"/>
    <n v="32.142430977063199"/>
    <n v="56.573481654519497"/>
    <n v="2643.0432376773401"/>
    <n v="12104701.313960301"/>
    <m/>
    <m/>
    <m/>
    <m/>
    <m/>
    <m/>
    <m/>
    <m/>
  </r>
  <r>
    <x v="35"/>
    <s v="NORMAL"/>
    <s v="Investment Grade Bonds - Obligations"/>
    <n v="30943.050538627002"/>
    <n v="7.4082886667261498E-3"/>
    <n v="3.4299999999999997E-2"/>
    <n v="1061.34663347491"/>
    <n v="384.53373129209098"/>
    <n v="676.81290218281799"/>
    <n v="31619.863440809899"/>
    <n v="12104701.313960301"/>
    <m/>
    <m/>
    <m/>
    <m/>
    <m/>
    <m/>
    <m/>
    <m/>
  </r>
  <r>
    <x v="35"/>
    <s v="NORMAL"/>
    <s v="Government ZC Bonds - Obligations"/>
    <n v="34088.181583286103"/>
    <n v="8.1612861336187604E-3"/>
    <n v="3.4299999999999997E-2"/>
    <n v="1169.22462830671"/>
    <n v="423.61872630561101"/>
    <n v="745.605902001103"/>
    <n v="34833.787485287197"/>
    <n v="12104701.313960301"/>
    <m/>
    <m/>
    <m/>
    <m/>
    <m/>
    <m/>
    <m/>
    <m/>
  </r>
  <r>
    <x v="36"/>
    <s v="ASK"/>
    <s v="Emerging Markets - Equities"/>
    <n v="1529450.99"/>
    <n v="0.339450444966649"/>
    <n v="6.3E-2"/>
    <n v="96355.412369999802"/>
    <n v="16380.4201028999"/>
    <n v="79974.992267099806"/>
    <n v="1609425.9822670999"/>
    <n v="13635946.030176301"/>
    <m/>
    <m/>
    <m/>
    <m/>
    <m/>
    <m/>
    <m/>
    <m/>
  </r>
  <r>
    <x v="36"/>
    <s v="NORMAL"/>
    <s v="Emerging Markets - Equities"/>
    <n v="2778978.99"/>
    <n v="0.61677403256214902"/>
    <n v="6.3E-2"/>
    <n v="175075.67637"/>
    <n v="63785.193335336102"/>
    <n v="111290.483034663"/>
    <n v="2890269.4730346599"/>
    <n v="13635946.030176301"/>
    <m/>
    <m/>
    <m/>
    <m/>
    <m/>
    <m/>
    <m/>
    <m/>
  </r>
  <r>
    <x v="36"/>
    <s v="ASK"/>
    <s v="Developed Markets - Equities"/>
    <n v="1793.72"/>
    <n v="3.9810301613232998E-4"/>
    <n v="6.3E-2"/>
    <n v="113.004359999999"/>
    <n v="19.210741199999902"/>
    <n v="93.793618799999905"/>
    <n v="1887.5136187999999"/>
    <n v="13635946.030176301"/>
    <m/>
    <m/>
    <m/>
    <m/>
    <m/>
    <m/>
    <m/>
    <m/>
  </r>
  <r>
    <x v="36"/>
    <s v="NORMAL"/>
    <s v="Developed Markets - Equities"/>
    <n v="3259.15"/>
    <n v="7.2334447128185296E-4"/>
    <n v="6.3E-2"/>
    <n v="205.32644999999999"/>
    <n v="74.806435603480693"/>
    <n v="130.520014396519"/>
    <n v="3389.6700143965099"/>
    <n v="13635946.030176301"/>
    <m/>
    <m/>
    <m/>
    <m/>
    <m/>
    <m/>
    <m/>
    <m/>
  </r>
  <r>
    <x v="36"/>
    <s v="NORMAL"/>
    <s v="Emerging Markets State - Obligations"/>
    <n v="5385.9663617215301"/>
    <n v="1.1953757851775101E-3"/>
    <n v="3.4299999999999997E-2"/>
    <n v="184.73864620704899"/>
    <n v="67.305696080372499"/>
    <n v="117.432950126676"/>
    <n v="5503.3993118482103"/>
    <n v="13635946.030176301"/>
    <m/>
    <m/>
    <m/>
    <m/>
    <m/>
    <m/>
    <m/>
    <m/>
  </r>
  <r>
    <x v="36"/>
    <s v="NORMAL"/>
    <s v="High Yield Bonds - Obligations"/>
    <n v="2520.7267562613902"/>
    <n v="5.5945684081859395E-4"/>
    <n v="3.4299999999999997E-2"/>
    <n v="86.460927739765793"/>
    <n v="31.500246671492999"/>
    <n v="54.960681068272699"/>
    <n v="2575.68743732967"/>
    <n v="13635946.030176301"/>
    <m/>
    <m/>
    <m/>
    <m/>
    <m/>
    <m/>
    <m/>
    <m/>
  </r>
  <r>
    <x v="36"/>
    <s v="NORMAL"/>
    <s v="Investment Grade Bonds - Obligations"/>
    <n v="31779.008906847099"/>
    <n v="7.0531182656780496E-3"/>
    <n v="3.4299999999999997E-2"/>
    <n v="1090.0200055048499"/>
    <n v="397.12619269609399"/>
    <n v="692.89381280876501"/>
    <n v="32471.902719655802"/>
    <n v="13635946.030176301"/>
    <m/>
    <m/>
    <m/>
    <m/>
    <m/>
    <m/>
    <m/>
    <m/>
  </r>
  <r>
    <x v="36"/>
    <s v="NORMAL"/>
    <s v="Government ZC Bonds - Obligations"/>
    <n v="152499.38556632501"/>
    <n v="3.3846121664630802E-2"/>
    <n v="3.4299999999999997E-2"/>
    <n v="5230.7289249249698"/>
    <n v="1905.7076498505801"/>
    <n v="3325.0212750743799"/>
    <n v="155824.40684139999"/>
    <n v="13635946.030176301"/>
    <m/>
    <m/>
    <m/>
    <m/>
    <m/>
    <m/>
    <m/>
    <m/>
  </r>
  <r>
    <x v="37"/>
    <s v="ASK"/>
    <s v="Emerging Markets - Equities"/>
    <n v="1724947.17"/>
    <n v="0.35575693404497799"/>
    <n v="6.3E-2"/>
    <n v="108671.67170999901"/>
    <n v="18474.1841906999"/>
    <n v="90197.487519299902"/>
    <n v="1815144.65751929"/>
    <n v="15360893.2029936"/>
    <m/>
    <m/>
    <m/>
    <m/>
    <m/>
    <m/>
    <m/>
    <m/>
  </r>
  <r>
    <x v="37"/>
    <s v="NORMAL"/>
    <s v="Emerging Markets - Equities"/>
    <n v="2615587.86"/>
    <n v="0.53944464733888997"/>
    <n v="6.3E-2"/>
    <n v="164782.03517999899"/>
    <n v="60051.937196833896"/>
    <n v="104730.097983165"/>
    <n v="2720317.9579831599"/>
    <n v="15360893.2029936"/>
    <m/>
    <m/>
    <m/>
    <m/>
    <m/>
    <m/>
    <m/>
    <m/>
  </r>
  <r>
    <x v="37"/>
    <s v="NORMAL"/>
    <s v="Investment Grade Bonds - Obligations"/>
    <n v="19758.7598590874"/>
    <n v="4.0750905014673199E-3"/>
    <n v="3.4299999999999997E-2"/>
    <n v="677.72546316669798"/>
    <n v="246.98521842095499"/>
    <n v="430.74024474574202"/>
    <n v="20189.500103833099"/>
    <n v="15360893.2029936"/>
    <m/>
    <m/>
    <m/>
    <m/>
    <m/>
    <m/>
    <m/>
    <m/>
  </r>
  <r>
    <x v="37"/>
    <s v="NORMAL"/>
    <s v="Government ZC Bonds - Obligations"/>
    <n v="488373.94845306"/>
    <n v="0.10072332741013799"/>
    <n v="3.4299999999999997E-2"/>
    <n v="16751.2264319399"/>
    <n v="6104.6921562897396"/>
    <n v="10646.5342756502"/>
    <n v="499020.48272870999"/>
    <n v="15360893.2029936"/>
    <m/>
    <m/>
    <m/>
    <m/>
    <m/>
    <m/>
    <m/>
    <m/>
  </r>
  <r>
    <x v="38"/>
    <s v="ASK"/>
    <s v="Emerging Markets - Equities"/>
    <n v="1942263.11"/>
    <n v="0.37326337789636899"/>
    <n v="6.3E-2"/>
    <n v="122362.575929999"/>
    <n v="20801.6379080999"/>
    <n v="101560.938021899"/>
    <n v="2043824.0480219"/>
    <n v="17304046.193172298"/>
    <m/>
    <m/>
    <m/>
    <m/>
    <m/>
    <m/>
    <m/>
    <m/>
  </r>
  <r>
    <x v="38"/>
    <s v="NORMAL"/>
    <s v="Emerging Markets - Equities"/>
    <n v="2747492.51"/>
    <n v="0.52801205446751898"/>
    <n v="6.3E-2"/>
    <n v="173092.02812999999"/>
    <n v="63509.3887457858"/>
    <n v="109582.639384214"/>
    <n v="2857075.1493842099"/>
    <n v="17304046.193172298"/>
    <m/>
    <m/>
    <m/>
    <m/>
    <m/>
    <m/>
    <m/>
    <m/>
  </r>
  <r>
    <x v="38"/>
    <s v="ASK"/>
    <s v="Developed Markets - Equities"/>
    <n v="889.88"/>
    <n v="1.7101679634044001E-4"/>
    <n v="6.3E-2"/>
    <n v="56.062439999999903"/>
    <n v="9.5306147999999808"/>
    <n v="46.531825199999901"/>
    <n v="936.41182519999995"/>
    <n v="17304046.193172298"/>
    <m/>
    <m/>
    <m/>
    <m/>
    <m/>
    <m/>
    <m/>
    <m/>
  </r>
  <r>
    <x v="38"/>
    <s v="NORMAL"/>
    <s v="Developed Markets - Equities"/>
    <n v="1258.8"/>
    <n v="2.41915700131867E-4"/>
    <n v="6.3E-2"/>
    <n v="79.304399999999902"/>
    <n v="29.097665694162401"/>
    <n v="50.2067343058375"/>
    <n v="1309.0067343058299"/>
    <n v="17304046.193172298"/>
    <m/>
    <m/>
    <m/>
    <m/>
    <m/>
    <m/>
    <m/>
    <m/>
  </r>
  <r>
    <x v="38"/>
    <s v="NORMAL"/>
    <s v="Emerging Markets State - Obligations"/>
    <n v="3.2803167449364297E-14"/>
    <n v="6.3041001112614196E-21"/>
    <n v="3.4299999999999997E-2"/>
    <n v="1.1251486435131901E-15"/>
    <n v="4.12829541427553E-16"/>
    <n v="7.1231910208564102E-16"/>
    <n v="3.35154865514499E-14"/>
    <n v="17304046.193172298"/>
    <m/>
    <m/>
    <m/>
    <m/>
    <m/>
    <m/>
    <m/>
    <m/>
  </r>
  <r>
    <x v="38"/>
    <s v="NORMAL"/>
    <s v="High Yield Bonds - Obligations"/>
    <n v="2.6383837991911899E-13"/>
    <n v="5.0704358436440701E-20"/>
    <n v="3.4299999999999997E-2"/>
    <n v="9.0496564312258096E-15"/>
    <n v="3.3204195162290501E-15"/>
    <n v="5.7292369149967496E-15"/>
    <n v="2.6956761683411598E-13"/>
    <n v="17304046.193172298"/>
    <m/>
    <m/>
    <m/>
    <m/>
    <m/>
    <m/>
    <m/>
    <m/>
  </r>
  <r>
    <x v="38"/>
    <s v="NORMAL"/>
    <s v="Investment Grade Bonds - Obligations"/>
    <n v="25014.141852123099"/>
    <n v="4.8072081659947799E-3"/>
    <n v="3.4299999999999997E-2"/>
    <n v="857.98506552782396"/>
    <n v="314.80425559379597"/>
    <n v="543.18080993402702"/>
    <n v="25557.322662057199"/>
    <n v="17304046.193172298"/>
    <m/>
    <m/>
    <m/>
    <m/>
    <m/>
    <m/>
    <m/>
    <m/>
  </r>
  <r>
    <x v="38"/>
    <s v="NORMAL"/>
    <s v="Government ZC Bonds - Obligations"/>
    <n v="486547.05192900298"/>
    <n v="9.3504425416667494E-2"/>
    <n v="3.4299999999999997E-2"/>
    <n v="16688.563881164799"/>
    <n v="6123.2195531371199"/>
    <n v="10565.344328027601"/>
    <n v="497112.39625703002"/>
    <n v="17304046.193172298"/>
    <m/>
    <m/>
    <m/>
    <m/>
    <m/>
    <m/>
    <m/>
    <m/>
  </r>
  <r>
    <x v="39"/>
    <s v="ASK"/>
    <s v="Emerging Markets - Equities"/>
    <n v="562250.87"/>
    <n v="0.100832366219335"/>
    <n v="6.3E-2"/>
    <n v="35421.804810000001"/>
    <n v="6021.7068177000001"/>
    <n v="29400.097992300001"/>
    <n v="591650.96799230005"/>
    <n v="19493008.036608599"/>
    <m/>
    <m/>
    <m/>
    <m/>
    <m/>
    <m/>
    <m/>
    <m/>
  </r>
  <r>
    <x v="39"/>
    <s v="NORMAL"/>
    <s v="Emerging Markets - Equities"/>
    <n v="832362.5"/>
    <n v="0.14927336693537099"/>
    <n v="6.3E-2"/>
    <n v="52438.8374999999"/>
    <n v="19486.134144301701"/>
    <n v="32952.703355698097"/>
    <n v="865315.20335569803"/>
    <n v="19493008.036608599"/>
    <m/>
    <m/>
    <m/>
    <m/>
    <m/>
    <m/>
    <m/>
    <m/>
  </r>
  <r>
    <x v="39"/>
    <s v="ASK"/>
    <s v="Developed Markets - Equities"/>
    <n v="1626710.98"/>
    <n v="0.291729414786631"/>
    <n v="6.3E-2"/>
    <n v="102482.79174"/>
    <n v="17422.074595800001"/>
    <n v="85060.717144199996"/>
    <n v="1711771.6971442001"/>
    <n v="19493008.036608599"/>
    <m/>
    <m/>
    <m/>
    <m/>
    <m/>
    <m/>
    <m/>
    <m/>
  </r>
  <r>
    <x v="39"/>
    <s v="NORMAL"/>
    <s v="Developed Markets - Equities"/>
    <n v="2408201.21"/>
    <n v="0.43187950307051998"/>
    <n v="6.3E-2"/>
    <n v="151716.67622999899"/>
    <n v="56377.517997903298"/>
    <n v="95339.158232096393"/>
    <n v="2503540.36823209"/>
    <n v="19493008.036608599"/>
    <m/>
    <m/>
    <m/>
    <m/>
    <m/>
    <m/>
    <m/>
    <m/>
  </r>
  <r>
    <x v="39"/>
    <s v="NORMAL"/>
    <s v="Emerging Markets State - Obligations"/>
    <n v="4.7812277364646E-14"/>
    <n v="8.5745088504931104E-21"/>
    <n v="3.4299999999999997E-2"/>
    <n v="1.6399611136073601E-15"/>
    <n v="6.0940523807743804E-16"/>
    <n v="1.03055587552992E-15"/>
    <n v="4.8842833240175901E-14"/>
    <n v="19493008.036608599"/>
    <m/>
    <m/>
    <m/>
    <m/>
    <m/>
    <m/>
    <m/>
    <m/>
  </r>
  <r>
    <x v="39"/>
    <s v="NORMAL"/>
    <s v="High Yield Bonds - Obligations"/>
    <n v="2.9478054769753698E-10"/>
    <n v="5.2865049617041003E-17"/>
    <n v="3.4299999999999997E-2"/>
    <n v="1.01109727860255E-11"/>
    <n v="3.7572109038053701E-12"/>
    <n v="6.3537618822201498E-12"/>
    <n v="3.0113430957975698E-10"/>
    <n v="19493008.036608599"/>
    <m/>
    <m/>
    <m/>
    <m/>
    <m/>
    <m/>
    <m/>
    <m/>
  </r>
  <r>
    <x v="39"/>
    <s v="NORMAL"/>
    <s v="Investment Grade Bonds - Obligations"/>
    <n v="19039.109303018398"/>
    <n v="3.4144161337303302E-3"/>
    <n v="3.4299999999999997E-2"/>
    <n v="653.04144909353204"/>
    <n v="242.66848552517601"/>
    <n v="410.372963568356"/>
    <n v="19449.482266586801"/>
    <n v="19493008.036608599"/>
    <m/>
    <m/>
    <m/>
    <m/>
    <m/>
    <m/>
    <m/>
    <m/>
  </r>
  <r>
    <x v="39"/>
    <s v="NORMAL"/>
    <s v="Government ZC Bonds - Obligations"/>
    <n v="127530.51088793601"/>
    <n v="2.28709351361099E-2"/>
    <n v="3.4299999999999997E-2"/>
    <n v="4374.2965234562098"/>
    <n v="1625.47708734048"/>
    <n v="2748.8194361157298"/>
    <n v="130279.330324052"/>
    <n v="19493008.036608599"/>
    <m/>
    <m/>
    <m/>
    <m/>
    <m/>
    <m/>
    <m/>
    <m/>
  </r>
  <r>
    <x v="40"/>
    <s v="ASK"/>
    <s v="Emerging Markets - Equities"/>
    <n v="605743.69999999995"/>
    <n v="0.10140022163670399"/>
    <n v="6.3E-2"/>
    <n v="38161.853099999898"/>
    <n v="6487.5150269999904"/>
    <n v="31674.338072999901"/>
    <n v="637418.03807299898"/>
    <n v="21958873.553239498"/>
    <m/>
    <m/>
    <m/>
    <m/>
    <m/>
    <m/>
    <m/>
    <m/>
  </r>
  <r>
    <x v="40"/>
    <s v="NORMAL"/>
    <s v="Emerging Markets - Equities"/>
    <n v="746229.96"/>
    <n v="0.124917326149573"/>
    <n v="6.3E-2"/>
    <n v="47012.487480000003"/>
    <n v="17451.322555020899"/>
    <n v="29561.164924978999"/>
    <n v="775791.12492497906"/>
    <n v="21958873.553239498"/>
    <m/>
    <m/>
    <m/>
    <m/>
    <m/>
    <m/>
    <m/>
    <m/>
  </r>
  <r>
    <x v="40"/>
    <s v="ASK"/>
    <s v="Developed Markets - Equities"/>
    <n v="1860121.81"/>
    <n v="0.311380479574559"/>
    <n v="6.3E-2"/>
    <n v="117187.67402999901"/>
    <n v="19921.904585099899"/>
    <n v="97265.769444899895"/>
    <n v="1957387.5794448999"/>
    <n v="21958873.553239498"/>
    <m/>
    <m/>
    <m/>
    <m/>
    <m/>
    <m/>
    <m/>
    <m/>
  </r>
  <r>
    <x v="40"/>
    <s v="NORMAL"/>
    <s v="Developed Markets - Equities"/>
    <n v="2291527.9300000002"/>
    <n v="0.38359695691213702"/>
    <n v="6.3E-2"/>
    <n v="144366.25958999901"/>
    <n v="53589.637502988197"/>
    <n v="90776.622087011594"/>
    <n v="2382304.5520870099"/>
    <n v="21958873.553239498"/>
    <m/>
    <m/>
    <m/>
    <m/>
    <m/>
    <m/>
    <m/>
    <m/>
  </r>
  <r>
    <x v="40"/>
    <s v="NORMAL"/>
    <s v="High Yield Bonds - Obligations"/>
    <n v="3.8135397927253003E-11"/>
    <n v="6.3837854228238503E-18"/>
    <n v="3.4299999999999997E-2"/>
    <n v="1.30804414890477E-12"/>
    <n v="4.8555397900304996E-13"/>
    <n v="8.2249016990172597E-13"/>
    <n v="3.8957888097154698E-11"/>
    <n v="21958873.553239498"/>
    <m/>
    <m/>
    <m/>
    <m/>
    <m/>
    <m/>
    <m/>
    <m/>
  </r>
  <r>
    <x v="40"/>
    <s v="NORMAL"/>
    <s v="Investment Grade Bonds - Obligations"/>
    <n v="22279.7223961007"/>
    <n v="3.7295786798424301E-3"/>
    <n v="3.4299999999999997E-2"/>
    <n v="764.19447818625395"/>
    <n v="283.673658818153"/>
    <n v="480.520819368101"/>
    <n v="22760.243215468799"/>
    <n v="21958873.553239498"/>
    <m/>
    <m/>
    <m/>
    <m/>
    <m/>
    <m/>
    <m/>
    <m/>
  </r>
  <r>
    <x v="40"/>
    <s v="NORMAL"/>
    <s v="Government ZC Bonds - Obligations"/>
    <n v="447887.56237094401"/>
    <n v="7.4975436133693299E-2"/>
    <n v="3.4299999999999997E-2"/>
    <n v="15362.5433893234"/>
    <n v="5702.6699569266702"/>
    <n v="9659.8734323967292"/>
    <n v="457547.43580334098"/>
    <n v="21958873.553239498"/>
    <m/>
    <m/>
    <m/>
    <m/>
    <m/>
    <m/>
    <m/>
    <m/>
  </r>
  <r>
    <x v="41"/>
    <s v="ASK"/>
    <s v="Emerging Markets - Equities"/>
    <n v="716617.91"/>
    <n v="0.112208054071645"/>
    <n v="6.3E-2"/>
    <n v="45146.928329999901"/>
    <n v="7674.9778160999804"/>
    <n v="37471.950513899901"/>
    <n v="754089.86051389901"/>
    <n v="24736671.057724301"/>
    <m/>
    <m/>
    <m/>
    <m/>
    <m/>
    <m/>
    <m/>
    <m/>
  </r>
  <r>
    <x v="41"/>
    <s v="NORMAL"/>
    <s v="Emerging Markets - Equities"/>
    <n v="874311.02"/>
    <n v="0.136899646015817"/>
    <n v="6.3E-2"/>
    <n v="55081.594259999903"/>
    <n v="20611.2463553216"/>
    <n v="34470.347904678201"/>
    <n v="908781.36790467799"/>
    <n v="24736671.057724301"/>
    <m/>
    <m/>
    <m/>
    <m/>
    <m/>
    <m/>
    <m/>
    <m/>
  </r>
  <r>
    <x v="41"/>
    <s v="ASK"/>
    <s v="Developed Markets - Equities"/>
    <n v="2061179.59"/>
    <n v="0.32273956268563198"/>
    <n v="6.3E-2"/>
    <n v="129854.31416999899"/>
    <n v="22075.233408899901"/>
    <n v="107779.080761099"/>
    <n v="2168958.6707611"/>
    <n v="24736671.057724301"/>
    <m/>
    <m/>
    <m/>
    <m/>
    <m/>
    <m/>
    <m/>
    <m/>
  </r>
  <r>
    <x v="41"/>
    <s v="NORMAL"/>
    <s v="Developed Markets - Equities"/>
    <n v="2514745.9900000002"/>
    <n v="0.39375900334722702"/>
    <n v="6.3E-2"/>
    <n v="158428.99737"/>
    <n v="59283.307581948698"/>
    <n v="99145.689788051197"/>
    <n v="2613891.6797880498"/>
    <n v="24736671.057724301"/>
    <m/>
    <m/>
    <m/>
    <m/>
    <m/>
    <m/>
    <m/>
    <m/>
  </r>
  <r>
    <x v="41"/>
    <s v="NORMAL"/>
    <s v="Emerging Markets State - Obligations"/>
    <n v="2.23405161646041E-11"/>
    <n v="3.4980786982931697E-18"/>
    <n v="3.4299999999999997E-2"/>
    <n v="7.66279704445923E-13"/>
    <n v="2.8673788363615902E-13"/>
    <n v="4.7954182080976397E-13"/>
    <n v="2.2820057985413901E-11"/>
    <n v="24736671.057724301"/>
    <m/>
    <m/>
    <m/>
    <m/>
    <m/>
    <m/>
    <m/>
    <m/>
  </r>
  <r>
    <x v="41"/>
    <s v="NORMAL"/>
    <s v="High Yield Bonds - Obligations"/>
    <n v="2.68088830674661E-12"/>
    <n v="4.19773572339917E-19"/>
    <n v="3.4299999999999997E-2"/>
    <n v="9.1954468921408703E-14"/>
    <n v="3.4408884453591102E-14"/>
    <n v="5.7545584467817594E-14"/>
    <n v="2.7384338912144201E-12"/>
    <n v="24736671.057724301"/>
    <m/>
    <m/>
    <m/>
    <m/>
    <m/>
    <m/>
    <m/>
    <m/>
  </r>
  <r>
    <x v="41"/>
    <s v="NORMAL"/>
    <s v="Investment Grade Bonds - Obligations"/>
    <n v="25842.779545234702"/>
    <n v="4.0464632046013299E-3"/>
    <n v="3.4299999999999997E-2"/>
    <n v="886.40733840155303"/>
    <n v="331.68902005123999"/>
    <n v="554.71831835031298"/>
    <n v="26397.497863584998"/>
    <n v="24736671.057724301"/>
    <m/>
    <m/>
    <m/>
    <m/>
    <m/>
    <m/>
    <m/>
    <m/>
  </r>
  <r>
    <x v="41"/>
    <s v="NORMAL"/>
    <s v="Government ZC Bonds - Obligations"/>
    <n v="193813.160988474"/>
    <n v="3.0347270622905799E-2"/>
    <n v="3.4299999999999997E-2"/>
    <n v="6647.7914219046597"/>
    <n v="2487.5690066068701"/>
    <n v="4160.2224152977797"/>
    <n v="197973.383403771"/>
    <n v="24736671.057724301"/>
    <m/>
    <m/>
    <m/>
    <m/>
    <m/>
    <m/>
    <m/>
    <m/>
  </r>
  <r>
    <x v="42"/>
    <s v="ASK"/>
    <s v="Emerging Markets - Equities"/>
    <n v="799213"/>
    <n v="0.117102059198973"/>
    <n v="6.3E-2"/>
    <n v="50350.4189999999"/>
    <n v="8559.5712299999996"/>
    <n v="41790.847769999898"/>
    <n v="841003.84776999999"/>
    <n v="27865859.946526501"/>
    <m/>
    <m/>
    <m/>
    <m/>
    <m/>
    <m/>
    <m/>
    <m/>
  </r>
  <r>
    <x v="42"/>
    <s v="NORMAL"/>
    <s v="Emerging Markets - Equities"/>
    <n v="809001.95"/>
    <n v="0.118536352938433"/>
    <n v="6.3E-2"/>
    <n v="50967.122849999898"/>
    <n v="19035.4537531151"/>
    <n v="31931.669096884802"/>
    <n v="840933.61909688404"/>
    <n v="27865859.946526501"/>
    <m/>
    <m/>
    <m/>
    <m/>
    <m/>
    <m/>
    <m/>
    <m/>
  </r>
  <r>
    <x v="42"/>
    <s v="ASK"/>
    <s v="Developed Markets - Equities"/>
    <n v="2329975.89"/>
    <n v="0.34139206269537598"/>
    <n v="6.3E-2"/>
    <n v="146788.48106999899"/>
    <n v="24954.041781899901"/>
    <n v="121834.43928809901"/>
    <n v="2451810.3292880999"/>
    <n v="27865859.946526501"/>
    <m/>
    <m/>
    <m/>
    <m/>
    <m/>
    <m/>
    <m/>
    <m/>
  </r>
  <r>
    <x v="42"/>
    <s v="NORMAL"/>
    <s v="Developed Markets - Equities"/>
    <n v="2358514.0099999998"/>
    <n v="0.34557351697310601"/>
    <n v="6.3E-2"/>
    <n v="148586.38262999899"/>
    <n v="55494.778922880301"/>
    <n v="93091.603707119502"/>
    <n v="2451605.6137071098"/>
    <n v="27865859.946526501"/>
    <m/>
    <m/>
    <m/>
    <m/>
    <m/>
    <m/>
    <m/>
    <m/>
  </r>
  <r>
    <x v="42"/>
    <s v="NORMAL"/>
    <s v="High Yield Bonds - Obligations"/>
    <n v="9.5158012412827901E-14"/>
    <n v="1.3942715149557801E-20"/>
    <n v="3.4299999999999997E-2"/>
    <n v="3.2639198257600001E-15"/>
    <n v="1.2190249600705101E-15"/>
    <n v="2.04489486568949E-15"/>
    <n v="9.7202907278517395E-14"/>
    <n v="27865859.946526501"/>
    <m/>
    <m/>
    <m/>
    <m/>
    <m/>
    <m/>
    <m/>
    <m/>
  </r>
  <r>
    <x v="42"/>
    <s v="NORMAL"/>
    <s v="Investment Grade Bonds - Obligations"/>
    <n v="17756.754533342901"/>
    <n v="2.60175012236432E-3"/>
    <n v="3.4299999999999997E-2"/>
    <n v="609.05668049366398"/>
    <n v="227.47350892621401"/>
    <n v="381.58317156744903"/>
    <n v="18138.3377049103"/>
    <n v="27865859.946526501"/>
    <m/>
    <m/>
    <m/>
    <m/>
    <m/>
    <m/>
    <m/>
    <m/>
  </r>
  <r>
    <x v="42"/>
    <s v="NORMAL"/>
    <s v="Government ZC Bonds - Obligations"/>
    <n v="510465.35204613698"/>
    <n v="7.4794258694905302E-2"/>
    <n v="3.4299999999999997E-2"/>
    <n v="17508.9615751825"/>
    <n v="6539.3337840622498"/>
    <n v="10969.6277911202"/>
    <n v="521434.97983725701"/>
    <n v="27865859.946526501"/>
    <m/>
    <m/>
    <m/>
    <m/>
    <m/>
    <m/>
    <m/>
    <m/>
  </r>
  <r>
    <x v="43"/>
    <s v="ASK"/>
    <s v="Emerging Markets - Equities"/>
    <n v="3525031.28"/>
    <n v="0.48412050728163902"/>
    <n v="6.3E-2"/>
    <n v="222076.970639999"/>
    <n v="37753.085008799899"/>
    <n v="184323.88563119899"/>
    <n v="3709355.1656311899"/>
    <n v="31390891.2297621"/>
    <m/>
    <m/>
    <m/>
    <m/>
    <m/>
    <m/>
    <m/>
    <m/>
  </r>
  <r>
    <x v="43"/>
    <s v="NORMAL"/>
    <s v="Emerging Markets - Equities"/>
    <n v="2995672.09"/>
    <n v="0.41141941068399501"/>
    <n v="6.3E-2"/>
    <n v="188727.34166999999"/>
    <n v="70370.135186423402"/>
    <n v="118357.206483576"/>
    <n v="3114029.2964835698"/>
    <n v="31390891.2297621"/>
    <m/>
    <m/>
    <m/>
    <m/>
    <m/>
    <m/>
    <m/>
    <m/>
  </r>
  <r>
    <x v="43"/>
    <s v="NORMAL"/>
    <s v="Emerging Markets State - Obligations"/>
    <n v="9.5951534631200695E-8"/>
    <n v="1.31777853670872E-14"/>
    <n v="3.4299999999999997E-2"/>
    <n v="3.29113763785018E-9"/>
    <n v="1.2271555273512201E-9"/>
    <n v="2.0639821104989601E-9"/>
    <n v="9.8015516741699702E-8"/>
    <n v="31390891.2297621"/>
    <m/>
    <m/>
    <m/>
    <m/>
    <m/>
    <m/>
    <m/>
    <m/>
  </r>
  <r>
    <x v="43"/>
    <s v="NORMAL"/>
    <s v="High Yield Bonds - Obligations"/>
    <n v="1.2841814791505301E-7"/>
    <n v="1.7636682904216501E-14"/>
    <n v="3.4299999999999997E-2"/>
    <n v="4.4047424734863403E-9"/>
    <n v="1.6423816526945001E-9"/>
    <n v="2.7623608207918301E-9"/>
    <n v="1.31180508735845E-7"/>
    <n v="31390891.2297621"/>
    <m/>
    <m/>
    <m/>
    <m/>
    <m/>
    <m/>
    <m/>
    <m/>
  </r>
  <r>
    <x v="43"/>
    <s v="NORMAL"/>
    <s v="Investment Grade Bonds - Obligations"/>
    <n v="31854.912247611599"/>
    <n v="4.3748877816272499E-3"/>
    <n v="3.4299999999999997E-2"/>
    <n v="1092.6234900930799"/>
    <n v="407.402880925197"/>
    <n v="685.22060916788496"/>
    <n v="32540.132856779499"/>
    <n v="31390891.2297621"/>
    <m/>
    <m/>
    <m/>
    <m/>
    <m/>
    <m/>
    <m/>
    <m/>
  </r>
  <r>
    <x v="43"/>
    <s v="NORMAL"/>
    <s v="Government ZC Bonds - Obligations"/>
    <n v="728751.274204958"/>
    <n v="0.100085193158979"/>
    <n v="3.4299999999999997E-2"/>
    <n v="24996.168705230099"/>
    <n v="9320.2381560874601"/>
    <n v="15675.9305491426"/>
    <n v="744427.204754101"/>
    <n v="31390891.2297621"/>
    <m/>
    <m/>
    <m/>
    <m/>
    <m/>
    <m/>
    <m/>
    <m/>
  </r>
  <r>
    <x v="44"/>
    <s v="ASK"/>
    <s v="Emerging Markets - Equities"/>
    <n v="1018572.31"/>
    <n v="0.13128810583671899"/>
    <n v="6.3E-2"/>
    <n v="64170.055529999998"/>
    <n v="10908.9094401"/>
    <n v="53261.146089900001"/>
    <n v="1071833.4560899001"/>
    <n v="35361838.970326997"/>
    <m/>
    <m/>
    <m/>
    <m/>
    <m/>
    <m/>
    <m/>
    <m/>
  </r>
  <r>
    <x v="44"/>
    <s v="NORMAL"/>
    <s v="Emerging Markets - Equities"/>
    <n v="797550.49"/>
    <n v="0.102799665878653"/>
    <n v="6.3E-2"/>
    <n v="50245.680869999902"/>
    <n v="18781.695222522099"/>
    <n v="31463.985647477701"/>
    <n v="829014.47564747697"/>
    <n v="35361838.970326997"/>
    <m/>
    <m/>
    <m/>
    <m/>
    <m/>
    <m/>
    <m/>
    <m/>
  </r>
  <r>
    <x v="44"/>
    <s v="ASK"/>
    <s v="Developed Markets - Equities"/>
    <n v="2952375.43"/>
    <n v="0.38054419319878302"/>
    <n v="6.3E-2"/>
    <n v="185999.65208999999"/>
    <n v="31619.940855299999"/>
    <n v="154379.71123469999"/>
    <n v="3106755.1412347001"/>
    <n v="35361838.970326997"/>
    <m/>
    <m/>
    <m/>
    <m/>
    <m/>
    <m/>
    <m/>
    <m/>
  </r>
  <r>
    <x v="44"/>
    <s v="NORMAL"/>
    <s v="Developed Markets - Equities"/>
    <n v="2311734.2000000002"/>
    <n v="0.297969227453242"/>
    <n v="6.3E-2"/>
    <n v="145639.25459999999"/>
    <n v="54439.546742528"/>
    <n v="91199.707857472007"/>
    <n v="2402933.9078574702"/>
    <n v="35361838.970326997"/>
    <m/>
    <m/>
    <m/>
    <m/>
    <m/>
    <m/>
    <m/>
    <m/>
  </r>
  <r>
    <x v="44"/>
    <s v="NORMAL"/>
    <s v="Emerging Markets State - Obligations"/>
    <n v="1.52600122651692E-10"/>
    <n v="1.9669277140855901E-17"/>
    <n v="3.4299999999999997E-2"/>
    <n v="5.2341842069530397E-12"/>
    <n v="1.9565234426393501E-12"/>
    <n v="3.27766076431368E-12"/>
    <n v="1.5587778341600601E-10"/>
    <n v="35361838.970326997"/>
    <m/>
    <m/>
    <m/>
    <m/>
    <m/>
    <m/>
    <m/>
    <m/>
  </r>
  <r>
    <x v="44"/>
    <s v="NORMAL"/>
    <s v="High Yield Bonds - Obligations"/>
    <n v="6.2080565703044799E-12"/>
    <n v="8.0018274602662195E-19"/>
    <n v="3.4299999999999997E-2"/>
    <n v="2.1293634036144299E-13"/>
    <n v="7.9595009505697294E-14"/>
    <n v="1.33341330855746E-13"/>
    <n v="6.3413979011602299E-12"/>
    <n v="35361838.970326997"/>
    <m/>
    <m/>
    <m/>
    <m/>
    <m/>
    <m/>
    <m/>
    <m/>
  </r>
  <r>
    <x v="44"/>
    <s v="NORMAL"/>
    <s v="Investment Grade Bonds - Obligations"/>
    <n v="17517.3192911427"/>
    <n v="2.2578815921975798E-3"/>
    <n v="3.4299999999999997E-2"/>
    <n v="600.84405168619503"/>
    <n v="224.593828954824"/>
    <n v="376.25022273137"/>
    <n v="17893.569513874099"/>
    <n v="35361838.970326997"/>
    <m/>
    <m/>
    <m/>
    <m/>
    <m/>
    <m/>
    <m/>
    <m/>
  </r>
  <r>
    <x v="44"/>
    <s v="NORMAL"/>
    <s v="Government ZC Bonds - Obligations"/>
    <n v="660548.72131385398"/>
    <n v="8.5140926748895507E-2"/>
    <n v="3.4299999999999997E-2"/>
    <n v="22656.8211410652"/>
    <n v="8469.0564843505908"/>
    <n v="14187.7646567146"/>
    <n v="674736.48597056803"/>
    <n v="35361838.970326997"/>
    <m/>
    <m/>
    <m/>
    <m/>
    <m/>
    <m/>
    <m/>
    <m/>
  </r>
  <r>
    <x v="45"/>
    <s v="ASK"/>
    <s v="Emerging Markets - Equities"/>
    <n v="1149591.4099999999"/>
    <n v="0.141869395613857"/>
    <n v="6.3E-2"/>
    <n v="72424.258829999904"/>
    <n v="12312.124001099901"/>
    <n v="60112.1348288999"/>
    <n v="1209703.5448288999"/>
    <n v="39835111.600073397"/>
    <m/>
    <m/>
    <m/>
    <m/>
    <m/>
    <m/>
    <m/>
    <m/>
  </r>
  <r>
    <x v="45"/>
    <s v="NORMAL"/>
    <s v="Emerging Markets - Equities"/>
    <n v="878604.22"/>
    <n v="0.108427262582959"/>
    <n v="6.3E-2"/>
    <n v="55352.065859999901"/>
    <n v="20730.454976628898"/>
    <n v="34621.610883371002"/>
    <n v="913225.83088337095"/>
    <n v="39835111.600073397"/>
    <m/>
    <m/>
    <m/>
    <m/>
    <m/>
    <m/>
    <m/>
    <m/>
  </r>
  <r>
    <x v="45"/>
    <s v="ASK"/>
    <s v="Developed Markets - Equities"/>
    <n v="3323681.22"/>
    <n v="0.41017064131901299"/>
    <n v="6.3E-2"/>
    <n v="209391.91685999901"/>
    <n v="35596.625866199902"/>
    <n v="173795.29099379899"/>
    <n v="3497476.5109938001"/>
    <n v="39835111.600073397"/>
    <m/>
    <m/>
    <m/>
    <m/>
    <m/>
    <m/>
    <m/>
    <m/>
  </r>
  <r>
    <x v="45"/>
    <s v="NORMAL"/>
    <s v="Developed Markets - Equities"/>
    <n v="2540207.1800000002"/>
    <n v="0.31348325520332598"/>
    <n v="6.3E-2"/>
    <n v="160033.05233999901"/>
    <n v="59935.576653956297"/>
    <n v="100097.47568604301"/>
    <n v="2640304.6556860399"/>
    <n v="39835111.600073397"/>
    <m/>
    <m/>
    <m/>
    <m/>
    <m/>
    <m/>
    <m/>
    <m/>
  </r>
  <r>
    <x v="45"/>
    <s v="NORMAL"/>
    <s v="Emerging Markets State - Obligations"/>
    <n v="4.98481004067782E-14"/>
    <n v="6.1516812109865296E-21"/>
    <n v="3.4299999999999997E-2"/>
    <n v="1.7097898439524901E-15"/>
    <n v="6.4035046983076799E-16"/>
    <n v="1.0694393741217199E-15"/>
    <n v="5.0917539780899898E-14"/>
    <n v="39835111.600073397"/>
    <m/>
    <m/>
    <m/>
    <m/>
    <m/>
    <m/>
    <m/>
    <m/>
  </r>
  <r>
    <x v="45"/>
    <s v="NORMAL"/>
    <s v="High Yield Bonds - Obligations"/>
    <n v="8.01838834673728E-13"/>
    <n v="9.8953758583566305E-20"/>
    <n v="3.4299999999999997E-2"/>
    <n v="2.75030720293088E-14"/>
    <n v="1.0300450174066301E-14"/>
    <n v="1.7202621855242399E-14"/>
    <n v="8.1904145652897004E-13"/>
    <n v="39835111.600073397"/>
    <m/>
    <m/>
    <m/>
    <m/>
    <m/>
    <m/>
    <m/>
    <m/>
  </r>
  <r>
    <x v="45"/>
    <s v="NORMAL"/>
    <s v="Investment Grade Bonds - Obligations"/>
    <n v="26548.1992781679"/>
    <n v="3.2762744688827599E-3"/>
    <n v="3.4299999999999997E-2"/>
    <n v="910.60323524115995"/>
    <n v="341.03911166540701"/>
    <n v="569.56412357575198"/>
    <n v="27117.763401743701"/>
    <n v="39835111.600073397"/>
    <m/>
    <m/>
    <m/>
    <m/>
    <m/>
    <m/>
    <m/>
    <m/>
  </r>
  <r>
    <x v="45"/>
    <s v="NORMAL"/>
    <s v="Government ZC Bonds - Obligations"/>
    <n v="184534.80725089199"/>
    <n v="2.27731708385015E-2"/>
    <n v="3.4299999999999997E-2"/>
    <n v="6329.5438887055998"/>
    <n v="2370.54069380687"/>
    <n v="3959.0031948987198"/>
    <n v="188493.81044579099"/>
    <n v="39835111.600073397"/>
    <m/>
    <m/>
    <m/>
    <m/>
    <m/>
    <m/>
    <m/>
    <m/>
  </r>
  <r>
    <x v="46"/>
    <s v="ASK"/>
    <s v="Emerging Markets - Equities"/>
    <n v="5039141.62"/>
    <n v="0.59449623915844196"/>
    <n v="6.3E-2"/>
    <n v="317465.92205999902"/>
    <n v="53969.206750199897"/>
    <n v="263496.71530979901"/>
    <n v="5302638.3353097998"/>
    <n v="44874253.217482701"/>
    <m/>
    <m/>
    <m/>
    <m/>
    <m/>
    <m/>
    <m/>
    <m/>
  </r>
  <r>
    <x v="46"/>
    <s v="NORMAL"/>
    <s v="Emerging Markets - Equities"/>
    <n v="2677904.29"/>
    <n v="0.31592762206021402"/>
    <n v="6.3E-2"/>
    <n v="168707.970269999"/>
    <n v="62086.317153222801"/>
    <n v="106621.653116777"/>
    <n v="2784525.9431167701"/>
    <n v="44874253.217482701"/>
    <m/>
    <m/>
    <m/>
    <m/>
    <m/>
    <m/>
    <m/>
    <m/>
  </r>
  <r>
    <x v="46"/>
    <s v="NORMAL"/>
    <s v="Emerging Markets State - Obligations"/>
    <n v="2.27248259611196E-10"/>
    <n v="2.6809771560688399E-17"/>
    <n v="3.4299999999999997E-2"/>
    <n v="7.7946153046640497E-12"/>
    <n v="2.8685008605001998E-12"/>
    <n v="4.9261144441638398E-12"/>
    <n v="2.32174374055359E-10"/>
    <n v="44874253.217482701"/>
    <m/>
    <m/>
    <m/>
    <m/>
    <m/>
    <m/>
    <m/>
    <m/>
  </r>
  <r>
    <x v="46"/>
    <s v="NORMAL"/>
    <s v="High Yield Bonds - Obligations"/>
    <n v="2.13877454036106E-10"/>
    <n v="2.5232341468753501E-17"/>
    <n v="3.4299999999999997E-2"/>
    <n v="7.3359966734384502E-12"/>
    <n v="2.6997243542979099E-12"/>
    <n v="4.6362723191405301E-12"/>
    <n v="2.18513726355247E-10"/>
    <n v="44874253.217482701"/>
    <m/>
    <m/>
    <m/>
    <m/>
    <m/>
    <m/>
    <m/>
    <m/>
  </r>
  <r>
    <x v="46"/>
    <s v="NORMAL"/>
    <s v="Investment Grade Bonds - Obligations"/>
    <n v="9483.8529266183104"/>
    <n v="1.11886414845518E-3"/>
    <n v="3.4299999999999997E-2"/>
    <n v="325.296155383008"/>
    <n v="119.71242520143601"/>
    <n v="205.58373018157101"/>
    <n v="9689.4366567998804"/>
    <n v="44874253.217482701"/>
    <m/>
    <m/>
    <m/>
    <m/>
    <m/>
    <m/>
    <m/>
    <m/>
  </r>
  <r>
    <x v="46"/>
    <s v="NORMAL"/>
    <s v="Government ZC Bonds - Obligations"/>
    <n v="749792.35669457505"/>
    <n v="8.8457275031827695E-2"/>
    <n v="3.4299999999999997E-2"/>
    <n v="25717.877834623901"/>
    <n v="9464.4510107785609"/>
    <n v="16253.426823845301"/>
    <n v="766045.78351841995"/>
    <n v="44874253.217482701"/>
    <m/>
    <m/>
    <m/>
    <m/>
    <m/>
    <m/>
    <m/>
    <m/>
  </r>
  <r>
    <x v="47"/>
    <s v="ASK"/>
    <s v="Emerging Markets - Equities"/>
    <n v="5676525.2599999998"/>
    <n v="0.64048173635451"/>
    <n v="6.3E-2"/>
    <n v="357621.09138"/>
    <n v="60795.585534600003"/>
    <n v="296825.50584539998"/>
    <n v="5973350.7658454003"/>
    <n v="50550846.249494202"/>
    <m/>
    <m/>
    <m/>
    <m/>
    <m/>
    <m/>
    <m/>
    <m/>
  </r>
  <r>
    <x v="47"/>
    <s v="NORMAL"/>
    <s v="Emerging Markets - Equities"/>
    <n v="2507828.27"/>
    <n v="0.28295799477311301"/>
    <n v="6.3E-2"/>
    <n v="157993.18100999901"/>
    <n v="57532.081421796298"/>
    <n v="100461.099588203"/>
    <n v="2608289.3695882"/>
    <n v="50550846.249494202"/>
    <m/>
    <m/>
    <m/>
    <m/>
    <m/>
    <m/>
    <m/>
    <m/>
  </r>
  <r>
    <x v="47"/>
    <s v="ASK"/>
    <s v="Developed Markets - Equities"/>
    <n v="67.77"/>
    <n v="7.6464818325753604E-6"/>
    <n v="6.3E-2"/>
    <n v="4.2695099999999897"/>
    <n v="0.72581669999999898"/>
    <n v="3.5436932999999899"/>
    <n v="71.313693299999997"/>
    <n v="50550846.249494202"/>
    <m/>
    <m/>
    <m/>
    <m/>
    <m/>
    <m/>
    <m/>
    <m/>
  </r>
  <r>
    <x v="47"/>
    <s v="NORMAL"/>
    <s v="Developed Markets - Equities"/>
    <n v="29.94"/>
    <n v="3.3781269893360801E-6"/>
    <n v="6.3E-2"/>
    <n v="1.88621999999999"/>
    <n v="0.68685345738150605"/>
    <n v="1.1993665426184901"/>
    <n v="31.139366542618401"/>
    <n v="50550846.249494202"/>
    <m/>
    <m/>
    <m/>
    <m/>
    <m/>
    <m/>
    <m/>
    <m/>
  </r>
  <r>
    <x v="47"/>
    <s v="NORMAL"/>
    <s v="Emerging Markets State - Obligations"/>
    <n v="5.1317746625152897E-14"/>
    <n v="5.7901758485751499E-21"/>
    <n v="3.4299999999999997E-2"/>
    <n v="1.76019870924274E-15"/>
    <n v="6.4096371002419899E-16"/>
    <n v="1.1192349992185399E-15"/>
    <n v="5.24369816243715E-14"/>
    <n v="50550846.249494202"/>
    <m/>
    <m/>
    <m/>
    <m/>
    <m/>
    <m/>
    <m/>
    <m/>
  </r>
  <r>
    <x v="47"/>
    <s v="NORMAL"/>
    <s v="High Yield Bonds - Obligations"/>
    <n v="3.97385078844254E-9"/>
    <n v="4.4836915831771002E-16"/>
    <n v="3.4299999999999997E-2"/>
    <n v="1.36303082043579E-10"/>
    <n v="4.9633787762502497E-11"/>
    <n v="8.6669294281076595E-11"/>
    <n v="4.0605200827236199E-9"/>
    <n v="50550846.249494202"/>
    <m/>
    <m/>
    <m/>
    <m/>
    <m/>
    <m/>
    <m/>
    <m/>
  </r>
  <r>
    <x v="47"/>
    <s v="NORMAL"/>
    <s v="Investment Grade Bonds - Obligations"/>
    <n v="29206.486385122502"/>
    <n v="3.2953647268289601E-3"/>
    <n v="3.4299999999999997E-2"/>
    <n v="1001.7824830096999"/>
    <n v="364.79189171965299"/>
    <n v="636.99059129004797"/>
    <n v="29843.476976412501"/>
    <n v="50550846.249494202"/>
    <m/>
    <m/>
    <m/>
    <m/>
    <m/>
    <m/>
    <m/>
    <m/>
  </r>
  <r>
    <x v="47"/>
    <s v="NORMAL"/>
    <s v="Government ZC Bonds - Obligations"/>
    <n v="649241.77258894895"/>
    <n v="7.3253879578728504E-2"/>
    <n v="3.4299999999999997E-2"/>
    <n v="22268.992799800901"/>
    <n v="8109.0936884070497"/>
    <n v="14159.899111393799"/>
    <n v="663401.67170034302"/>
    <n v="50550846.249494202"/>
    <m/>
    <m/>
    <m/>
    <m/>
    <m/>
    <m/>
    <m/>
    <m/>
  </r>
  <r>
    <x v="48"/>
    <s v="ASK"/>
    <s v="Emerging Markets - Equities"/>
    <n v="6392349.8799999999"/>
    <n v="0.68920305461776299"/>
    <n v="6.3E-2"/>
    <n v="402718.04243999999"/>
    <n v="68462.067214800001"/>
    <n v="334255.9752252"/>
    <n v="6726605.8552251998"/>
    <n v="56945528.300055303"/>
    <m/>
    <m/>
    <m/>
    <m/>
    <m/>
    <m/>
    <n v="100"/>
    <n v="9500000"/>
  </r>
  <r>
    <x v="48"/>
    <s v="NORMAL"/>
    <s v="Emerging Markets - Equities"/>
    <n v="2488691.7000000002"/>
    <n v="0.26832291001597502"/>
    <n v="6.3E-2"/>
    <n v="156787.57709999901"/>
    <n v="56526.1917436972"/>
    <n v="100261.38535630199"/>
    <n v="2588953.0853563002"/>
    <n v="56945528.300055303"/>
    <m/>
    <m/>
    <m/>
    <m/>
    <m/>
    <m/>
    <n v="100"/>
    <n v="9500000"/>
  </r>
  <r>
    <x v="48"/>
    <s v="ASK"/>
    <s v="Developed Markets - Equities"/>
    <n v="2332.17"/>
    <n v="2.5144723271747801E-4"/>
    <n v="6.3E-2"/>
    <n v="146.92670999999899"/>
    <n v="24.977540699999899"/>
    <n v="121.949169299999"/>
    <n v="2454.1191693000001"/>
    <n v="56945528.300055303"/>
    <m/>
    <m/>
    <m/>
    <m/>
    <m/>
    <m/>
    <n v="100"/>
    <n v="9500000"/>
  </r>
  <r>
    <x v="48"/>
    <s v="NORMAL"/>
    <s v="Developed Markets - Equities"/>
    <n v="907.97"/>
    <n v="9.7894469052637302E-5"/>
    <n v="6.3E-2"/>
    <n v="57.202109999999898"/>
    <n v="20.622918587113301"/>
    <n v="36.579191412886502"/>
    <n v="944.54919141288599"/>
    <n v="56945528.300055303"/>
    <m/>
    <m/>
    <m/>
    <m/>
    <m/>
    <m/>
    <n v="100"/>
    <n v="9500000"/>
  </r>
  <r>
    <x v="48"/>
    <s v="NORMAL"/>
    <s v="Emerging Markets State - Obligations"/>
    <n v="2.9343067245849601E-12"/>
    <n v="3.16367720123823E-19"/>
    <n v="3.4299999999999997E-2"/>
    <n v="1.00646720653264E-13"/>
    <n v="3.6285883966381801E-14"/>
    <n v="6.4360836686882298E-14"/>
    <n v="2.9986675612718399E-12"/>
    <n v="56945528.300055303"/>
    <m/>
    <m/>
    <m/>
    <m/>
    <m/>
    <m/>
    <n v="100"/>
    <n v="9500000"/>
  </r>
  <r>
    <x v="48"/>
    <s v="NORMAL"/>
    <s v="High Yield Bonds - Obligations"/>
    <n v="2.3704206404566502E-10"/>
    <n v="2.5557129644031898E-17"/>
    <n v="3.4299999999999997E-2"/>
    <n v="8.1305427967663299E-12"/>
    <n v="2.9312821182077599E-12"/>
    <n v="5.19926067855857E-12"/>
    <n v="2.4224132472422299E-10"/>
    <n v="56945528.300055303"/>
    <m/>
    <m/>
    <m/>
    <m/>
    <m/>
    <m/>
    <n v="100"/>
    <n v="9500000"/>
  </r>
  <r>
    <x v="48"/>
    <s v="NORMAL"/>
    <s v="Investment Grade Bonds - Obligations"/>
    <n v="48844.406432328498"/>
    <n v="5.2662502438230599E-3"/>
    <n v="3.4299999999999997E-2"/>
    <n v="1675.36314062886"/>
    <n v="604.014041668039"/>
    <n v="1071.3490989608299"/>
    <n v="49915.755531289302"/>
    <n v="56945528.300055303"/>
    <m/>
    <m/>
    <m/>
    <m/>
    <m/>
    <m/>
    <n v="100"/>
    <n v="9500000"/>
  </r>
  <r>
    <x v="48"/>
    <s v="NORMAL"/>
    <s v="Government ZC Bonds - Obligations"/>
    <n v="341861.61501233402"/>
    <n v="3.6858443881526398E-2"/>
    <n v="3.4299999999999997E-2"/>
    <n v="11725.853394923"/>
    <n v="4227.4895091793896"/>
    <n v="7498.3638857436899"/>
    <n v="349359.97889807803"/>
    <n v="56945528.300055303"/>
    <m/>
    <m/>
    <m/>
    <m/>
    <m/>
    <m/>
    <n v="100"/>
    <n v="9500000"/>
  </r>
  <r>
    <x v="49"/>
    <s v="ASK"/>
    <s v="Emerging Markets - Equities"/>
    <n v="42448.57"/>
    <n v="0.19451001090939299"/>
    <n v="6.3E-2"/>
    <n v="2674.2599100000002"/>
    <n v="454.6241847"/>
    <n v="2219.6357253000001"/>
    <n v="44668.205725300002"/>
    <n v="64149137.630012304"/>
    <m/>
    <m/>
    <m/>
    <m/>
    <m/>
    <m/>
    <m/>
    <m/>
  </r>
  <r>
    <x v="49"/>
    <s v="ASK"/>
    <s v="Developed Markets - Equities"/>
    <n v="7474.52"/>
    <n v="3.4250128255026602E-2"/>
    <n v="6.3E-2"/>
    <n v="470.894759999999"/>
    <n v="80.052109199999805"/>
    <n v="390.84265079999898"/>
    <n v="7865.3626507999998"/>
    <n v="64149137.630012304"/>
    <m/>
    <m/>
    <m/>
    <m/>
    <m/>
    <m/>
    <m/>
    <m/>
  </r>
  <r>
    <x v="49"/>
    <s v="NORMAL"/>
    <s v="Emerging Markets State - Obligations"/>
    <n v="11050.392862057801"/>
    <n v="5.0635675975703197E-2"/>
    <n v="3.4299999999999997E-2"/>
    <n v="379.02847516858401"/>
    <n v="102.337688295517"/>
    <n v="276.69078687306597"/>
    <n v="11327.0836489309"/>
    <n v="64149137.630012304"/>
    <m/>
    <m/>
    <m/>
    <m/>
    <m/>
    <m/>
    <m/>
    <m/>
  </r>
  <r>
    <x v="49"/>
    <s v="NORMAL"/>
    <s v="High Yield Bonds - Obligations"/>
    <n v="54794.9576282915"/>
    <n v="0.25108426046056898"/>
    <n v="3.4299999999999997E-2"/>
    <n v="1879.4670466503901"/>
    <n v="507.45610259560601"/>
    <n v="1372.0109440547801"/>
    <n v="56166.968572346297"/>
    <n v="64149137.630012304"/>
    <m/>
    <m/>
    <m/>
    <m/>
    <m/>
    <m/>
    <m/>
    <m/>
  </r>
  <r>
    <x v="49"/>
    <s v="NORMAL"/>
    <s v="Investment Grade Bonds - Obligations"/>
    <n v="45945.068167063597"/>
    <n v="0.210531843838517"/>
    <n v="3.4299999999999997E-2"/>
    <n v="1575.91583813028"/>
    <n v="425.49727629517599"/>
    <n v="1150.4185618351"/>
    <n v="47095.486728898701"/>
    <n v="64149137.630012304"/>
    <m/>
    <m/>
    <m/>
    <m/>
    <m/>
    <m/>
    <m/>
    <m/>
  </r>
  <r>
    <x v="49"/>
    <s v="NORMAL"/>
    <s v="Government ZC Bonds - Obligations"/>
    <n v="56519.828036891697"/>
    <n v="0.25898804996382202"/>
    <n v="3.4299999999999997E-2"/>
    <n v="1938.6301016653799"/>
    <n v="523.43012744965495"/>
    <n v="1415.19997421573"/>
    <n v="57935.028011107403"/>
    <n v="64149137.630012304"/>
    <m/>
    <m/>
    <m/>
    <m/>
    <m/>
    <m/>
    <m/>
    <m/>
  </r>
  <r>
    <x v="50"/>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6AE6EB-D6A4-4D97-B64B-FF52541C83F4}" name="PivotTable2"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N3:Q54" firstHeaderRow="1" firstDataRow="2" firstDataCol="1"/>
  <pivotFields count="19">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axis="axisCol" showAll="0">
      <items count="3">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1"/>
  </colFields>
  <colItems count="3">
    <i>
      <x/>
    </i>
    <i>
      <x v="1"/>
    </i>
    <i t="grand">
      <x/>
    </i>
  </colItems>
  <dataFields count="1">
    <dataField name="Sum of Inves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25ECEF-4A3C-4035-BC96-260A02DEA46C}" name="PivotTable1" cacheId="1"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D55" firstHeaderRow="0" firstDataRow="1" firstDataCol="1"/>
  <pivotFields count="19">
    <pivotField axis="axisRow" showAll="0">
      <items count="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50"/>
        <item x="49"/>
        <item t="default"/>
      </items>
    </pivotField>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0"/>
  </rowFields>
  <rowItems count="5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t="grand">
      <x/>
    </i>
  </rowItems>
  <colFields count="1">
    <field x="-2"/>
  </colFields>
  <colItems count="3">
    <i>
      <x/>
    </i>
    <i i="1">
      <x v="1"/>
    </i>
    <i i="2">
      <x v="2"/>
    </i>
  </colItems>
  <dataFields count="3">
    <dataField name="Sum of Weight" fld="4" baseField="0" baseItem="0"/>
    <dataField name="Invested Amt" fld="3" baseField="0" baseItem="0"/>
    <dataField name="End Valu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52" dataDxfId="51">
  <autoFilter ref="B2:F53" xr:uid="{FCF7B272-2B0E-4976-9393-E73F3487686E}"/>
  <tableColumns count="5">
    <tableColumn id="1" xr3:uid="{1C47A566-8CA0-498F-9373-FD3CF377EAB3}" name="N" dataDxfId="50"/>
    <tableColumn id="2" xr3:uid="{CDD5D904-D3D0-4E9B-89C8-61F4141B77FC}" name="Year" dataDxfId="49"/>
    <tableColumn id="3" xr3:uid="{3294EF53-9541-4FD2-A3C4-3CCF4CC8E18A}" name="AgeP1" dataDxfId="48">
      <calculatedColumnFormula>D2+1</calculatedColumnFormula>
    </tableColumn>
    <tableColumn id="4" xr3:uid="{27918B9D-DBDA-40FF-A6EC-6456F91F4DED}" name="AgeP2" dataDxfId="47">
      <calculatedColumnFormula>E2+1</calculatedColumnFormula>
    </tableColumn>
    <tableColumn id="5" xr3:uid="{3DF041D1-2FEE-456F-8F08-5A0165B3999F}"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45" dataDxfId="44">
  <autoFilter ref="B2:F5" xr:uid="{E6188FC4-483E-4C27-BFF6-3D5A9BEC7A02}"/>
  <tableColumns count="5">
    <tableColumn id="1" xr3:uid="{B2C6C0FB-6BCC-4A61-B677-3B10161A53EF}" name="Goal Info" dataDxfId="43"/>
    <tableColumn id="2" xr3:uid="{C536957A-8C0E-4218-9336-E98D68589B96}" name="GOAL A" dataDxfId="42"/>
    <tableColumn id="3" xr3:uid="{119B5EE3-3581-4D04-BB55-BCC2E702193C}" name="GOAL B" dataDxfId="41"/>
    <tableColumn id="4" xr3:uid="{6D7BF2C5-D2EB-4CDD-A1E3-639A94B04FB3}" name="GOAL C" dataDxfId="40"/>
    <tableColumn id="5" xr3:uid="{FC141F07-39CA-4E36-BE88-AE8259A28409}" name="GOAL D" dataDxfId="39"/>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8" dataDxfId="37">
  <autoFilter ref="B7:F10" xr:uid="{06296D22-18E1-44D3-A59A-E5E6D672089D}"/>
  <tableColumns count="5">
    <tableColumn id="1" xr3:uid="{B3C79FB9-971E-4621-BADB-62E0B6C842D7}" name="Goal Info" dataDxfId="36"/>
    <tableColumn id="2" xr3:uid="{08F0C2B6-02D7-4431-924D-D9E7C41049B7}" name="GOAL A" dataDxfId="35"/>
    <tableColumn id="3" xr3:uid="{7D5C117D-0D45-489D-81E8-DBEB6FE69CF3}" name="GOAL B" dataDxfId="34"/>
    <tableColumn id="4" xr3:uid="{900DE77F-2D16-4E30-8E7F-638FF98F2CDB}" name="GOAL C" dataDxfId="33"/>
    <tableColumn id="5" xr3:uid="{B0C50B12-C738-4419-9074-3A1A9E37C8AC}" name="GOAL D" dataDxfId="3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tabSelected="1" workbookViewId="0">
      <selection activeCell="F3" sqref="F3:F53"/>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64</v>
      </c>
    </row>
    <row r="5" spans="2:6" x14ac:dyDescent="0.35">
      <c r="B5" s="2">
        <v>3</v>
      </c>
      <c r="C5" s="2">
        <v>2027</v>
      </c>
      <c r="D5" s="2">
        <f t="shared" ref="D5:D16" si="0">D4+1</f>
        <v>27</v>
      </c>
      <c r="E5" s="2">
        <f t="shared" ref="E5:E16" si="1">E4+1</f>
        <v>42</v>
      </c>
      <c r="F5" s="2" t="s">
        <v>64</v>
      </c>
    </row>
    <row r="6" spans="2:6" x14ac:dyDescent="0.35">
      <c r="B6" s="2">
        <v>4</v>
      </c>
      <c r="C6" s="2">
        <v>2028</v>
      </c>
      <c r="D6" s="2">
        <f t="shared" si="0"/>
        <v>28</v>
      </c>
      <c r="E6" s="2">
        <f t="shared" si="1"/>
        <v>43</v>
      </c>
      <c r="F6" s="2" t="s">
        <v>64</v>
      </c>
    </row>
    <row r="7" spans="2:6" x14ac:dyDescent="0.35">
      <c r="B7" s="2">
        <v>5</v>
      </c>
      <c r="C7" s="2">
        <v>2029</v>
      </c>
      <c r="D7" s="2">
        <f t="shared" si="0"/>
        <v>29</v>
      </c>
      <c r="E7" s="2">
        <f t="shared" si="1"/>
        <v>44</v>
      </c>
      <c r="F7" s="2" t="s">
        <v>64</v>
      </c>
    </row>
    <row r="8" spans="2:6" x14ac:dyDescent="0.35">
      <c r="B8" s="2">
        <v>6</v>
      </c>
      <c r="C8" s="2">
        <v>2030</v>
      </c>
      <c r="D8" s="2">
        <f t="shared" si="0"/>
        <v>30</v>
      </c>
      <c r="E8" s="2">
        <f t="shared" si="1"/>
        <v>45</v>
      </c>
      <c r="F8" s="2" t="s">
        <v>64</v>
      </c>
    </row>
    <row r="9" spans="2:6" x14ac:dyDescent="0.35">
      <c r="B9" s="2">
        <v>7</v>
      </c>
      <c r="C9" s="2">
        <v>2031</v>
      </c>
      <c r="D9" s="2">
        <f t="shared" si="0"/>
        <v>31</v>
      </c>
      <c r="E9" s="2">
        <f t="shared" si="1"/>
        <v>46</v>
      </c>
      <c r="F9" s="2" t="s">
        <v>64</v>
      </c>
    </row>
    <row r="10" spans="2:6" x14ac:dyDescent="0.35">
      <c r="B10" s="2">
        <v>8</v>
      </c>
      <c r="C10" s="2">
        <v>2032</v>
      </c>
      <c r="D10" s="2">
        <f t="shared" si="0"/>
        <v>32</v>
      </c>
      <c r="E10" s="2">
        <f t="shared" si="1"/>
        <v>47</v>
      </c>
      <c r="F10" s="2" t="s">
        <v>64</v>
      </c>
    </row>
    <row r="11" spans="2:6" x14ac:dyDescent="0.35">
      <c r="B11" s="2">
        <v>9</v>
      </c>
      <c r="C11" s="2">
        <v>2033</v>
      </c>
      <c r="D11" s="2">
        <f t="shared" si="0"/>
        <v>33</v>
      </c>
      <c r="E11" s="2">
        <f t="shared" si="1"/>
        <v>48</v>
      </c>
      <c r="F11" s="2" t="s">
        <v>64</v>
      </c>
    </row>
    <row r="12" spans="2:6" x14ac:dyDescent="0.35">
      <c r="B12" s="2">
        <v>10</v>
      </c>
      <c r="C12" s="2">
        <v>2034</v>
      </c>
      <c r="D12" s="2">
        <f t="shared" si="0"/>
        <v>34</v>
      </c>
      <c r="E12" s="2">
        <f t="shared" si="1"/>
        <v>49</v>
      </c>
      <c r="F12" s="2" t="s">
        <v>64</v>
      </c>
    </row>
    <row r="13" spans="2:6" x14ac:dyDescent="0.35">
      <c r="B13" s="2">
        <v>11</v>
      </c>
      <c r="C13" s="2">
        <v>2035</v>
      </c>
      <c r="D13" s="2">
        <f t="shared" si="0"/>
        <v>35</v>
      </c>
      <c r="E13" s="2">
        <f t="shared" si="1"/>
        <v>50</v>
      </c>
      <c r="F13" s="2" t="s">
        <v>64</v>
      </c>
    </row>
    <row r="14" spans="2:6" x14ac:dyDescent="0.35">
      <c r="B14" s="2">
        <v>12</v>
      </c>
      <c r="C14" s="2">
        <v>2036</v>
      </c>
      <c r="D14" s="2">
        <f t="shared" si="0"/>
        <v>36</v>
      </c>
      <c r="E14" s="2">
        <f t="shared" si="1"/>
        <v>51</v>
      </c>
      <c r="F14" s="2" t="s">
        <v>64</v>
      </c>
    </row>
    <row r="15" spans="2:6" x14ac:dyDescent="0.35">
      <c r="B15" s="2">
        <v>13</v>
      </c>
      <c r="C15" s="2">
        <v>2037</v>
      </c>
      <c r="D15" s="2">
        <f t="shared" si="0"/>
        <v>37</v>
      </c>
      <c r="E15" s="2">
        <f t="shared" si="1"/>
        <v>52</v>
      </c>
      <c r="F15" s="2" t="s">
        <v>0</v>
      </c>
    </row>
    <row r="16" spans="2:6" x14ac:dyDescent="0.35">
      <c r="B16" s="2">
        <v>14</v>
      </c>
      <c r="C16" s="2">
        <v>2038</v>
      </c>
      <c r="D16" s="2">
        <f t="shared" si="0"/>
        <v>38</v>
      </c>
      <c r="E16" s="2">
        <f t="shared" si="1"/>
        <v>53</v>
      </c>
      <c r="F16" s="2" t="s">
        <v>0</v>
      </c>
    </row>
    <row r="17" spans="2:6" x14ac:dyDescent="0.35">
      <c r="B17" s="2">
        <v>15</v>
      </c>
      <c r="C17" s="2">
        <v>2039</v>
      </c>
      <c r="D17" s="2">
        <f>D16+1</f>
        <v>39</v>
      </c>
      <c r="E17" s="2">
        <f>E16+1</f>
        <v>54</v>
      </c>
      <c r="F17" s="2" t="s">
        <v>0</v>
      </c>
    </row>
    <row r="18" spans="2:6" x14ac:dyDescent="0.35">
      <c r="B18" s="2">
        <v>16</v>
      </c>
      <c r="C18" s="2">
        <v>2040</v>
      </c>
      <c r="D18" s="2">
        <f t="shared" ref="D18:D28" si="2">D17+1</f>
        <v>40</v>
      </c>
      <c r="E18" s="2">
        <f t="shared" ref="E18:E28" si="3">E17+1</f>
        <v>55</v>
      </c>
      <c r="F18" s="2" t="s">
        <v>0</v>
      </c>
    </row>
    <row r="19" spans="2:6" x14ac:dyDescent="0.35">
      <c r="B19" s="2">
        <v>17</v>
      </c>
      <c r="C19" s="2">
        <v>2041</v>
      </c>
      <c r="D19" s="2">
        <f t="shared" si="2"/>
        <v>41</v>
      </c>
      <c r="E19" s="2">
        <f t="shared" si="3"/>
        <v>56</v>
      </c>
      <c r="F19" s="2" t="s">
        <v>0</v>
      </c>
    </row>
    <row r="20" spans="2:6" x14ac:dyDescent="0.35">
      <c r="B20" s="2">
        <v>18</v>
      </c>
      <c r="C20" s="2">
        <v>2042</v>
      </c>
      <c r="D20" s="2">
        <f t="shared" si="2"/>
        <v>42</v>
      </c>
      <c r="E20" s="2">
        <f t="shared" si="3"/>
        <v>57</v>
      </c>
      <c r="F20" s="2" t="s">
        <v>0</v>
      </c>
    </row>
    <row r="21" spans="2:6" x14ac:dyDescent="0.35">
      <c r="B21" s="2">
        <v>19</v>
      </c>
      <c r="C21" s="2">
        <v>2043</v>
      </c>
      <c r="D21" s="2">
        <f t="shared" si="2"/>
        <v>43</v>
      </c>
      <c r="E21" s="2">
        <f t="shared" si="3"/>
        <v>58</v>
      </c>
      <c r="F21" s="2" t="s">
        <v>0</v>
      </c>
    </row>
    <row r="22" spans="2:6" x14ac:dyDescent="0.35">
      <c r="B22" s="2">
        <v>20</v>
      </c>
      <c r="C22" s="2">
        <v>2044</v>
      </c>
      <c r="D22" s="2">
        <f t="shared" si="2"/>
        <v>44</v>
      </c>
      <c r="E22" s="2">
        <f t="shared" si="3"/>
        <v>59</v>
      </c>
      <c r="F22" s="2" t="s">
        <v>0</v>
      </c>
    </row>
    <row r="23" spans="2:6" x14ac:dyDescent="0.35">
      <c r="B23" s="2">
        <v>21</v>
      </c>
      <c r="C23" s="2">
        <v>2045</v>
      </c>
      <c r="D23" s="2">
        <f t="shared" si="2"/>
        <v>45</v>
      </c>
      <c r="E23" s="2">
        <f t="shared" si="3"/>
        <v>60</v>
      </c>
      <c r="F23" s="2" t="s">
        <v>0</v>
      </c>
    </row>
    <row r="24" spans="2:6" x14ac:dyDescent="0.35">
      <c r="B24" s="2">
        <v>22</v>
      </c>
      <c r="C24" s="2">
        <v>2046</v>
      </c>
      <c r="D24" s="2">
        <f t="shared" si="2"/>
        <v>46</v>
      </c>
      <c r="E24" s="2">
        <f t="shared" si="3"/>
        <v>61</v>
      </c>
      <c r="F24" s="2" t="s">
        <v>0</v>
      </c>
    </row>
    <row r="25" spans="2:6" x14ac:dyDescent="0.35">
      <c r="B25" s="2">
        <v>23</v>
      </c>
      <c r="C25" s="2">
        <v>2047</v>
      </c>
      <c r="D25" s="2">
        <f t="shared" si="2"/>
        <v>47</v>
      </c>
      <c r="E25" s="2">
        <f t="shared" si="3"/>
        <v>62</v>
      </c>
      <c r="F25" s="2" t="s">
        <v>0</v>
      </c>
    </row>
    <row r="26" spans="2:6" x14ac:dyDescent="0.35">
      <c r="B26" s="2">
        <v>24</v>
      </c>
      <c r="C26" s="2">
        <v>2048</v>
      </c>
      <c r="D26" s="2">
        <f t="shared" si="2"/>
        <v>48</v>
      </c>
      <c r="E26" s="2">
        <f t="shared" si="3"/>
        <v>63</v>
      </c>
      <c r="F26" s="2" t="s">
        <v>0</v>
      </c>
    </row>
    <row r="27" spans="2:6" x14ac:dyDescent="0.35">
      <c r="B27" s="2">
        <v>25</v>
      </c>
      <c r="C27" s="2">
        <v>2049</v>
      </c>
      <c r="D27" s="2">
        <f t="shared" si="2"/>
        <v>49</v>
      </c>
      <c r="E27" s="2">
        <f t="shared" si="3"/>
        <v>64</v>
      </c>
      <c r="F27" s="2" t="s">
        <v>0</v>
      </c>
    </row>
    <row r="28" spans="2:6" x14ac:dyDescent="0.35">
      <c r="B28" s="2">
        <v>26</v>
      </c>
      <c r="C28" s="2">
        <v>2050</v>
      </c>
      <c r="D28" s="2">
        <f t="shared" si="2"/>
        <v>50</v>
      </c>
      <c r="E28" s="2">
        <f t="shared" si="3"/>
        <v>65</v>
      </c>
      <c r="F28" s="2" t="s">
        <v>0</v>
      </c>
    </row>
    <row r="29" spans="2:6" x14ac:dyDescent="0.35">
      <c r="B29" s="2">
        <v>27</v>
      </c>
      <c r="C29" s="2">
        <v>2051</v>
      </c>
      <c r="D29" s="2">
        <f t="shared" ref="D29:D32" si="4">D28+1</f>
        <v>51</v>
      </c>
      <c r="E29" s="2">
        <f t="shared" ref="E29:E32" si="5">E28+1</f>
        <v>66</v>
      </c>
      <c r="F29" s="2" t="s">
        <v>0</v>
      </c>
    </row>
    <row r="30" spans="2:6" x14ac:dyDescent="0.35">
      <c r="B30" s="2">
        <v>28</v>
      </c>
      <c r="C30" s="2">
        <v>2052</v>
      </c>
      <c r="D30" s="2">
        <f t="shared" si="4"/>
        <v>52</v>
      </c>
      <c r="E30" s="2">
        <f t="shared" si="5"/>
        <v>67</v>
      </c>
      <c r="F30" s="2" t="s">
        <v>0</v>
      </c>
    </row>
    <row r="31" spans="2:6" x14ac:dyDescent="0.35">
      <c r="B31" s="2">
        <v>29</v>
      </c>
      <c r="C31" s="2">
        <v>2053</v>
      </c>
      <c r="D31" s="2">
        <f t="shared" si="4"/>
        <v>53</v>
      </c>
      <c r="E31" s="2">
        <f t="shared" si="5"/>
        <v>68</v>
      </c>
      <c r="F31" s="2" t="s">
        <v>0</v>
      </c>
    </row>
    <row r="32" spans="2:6" x14ac:dyDescent="0.35">
      <c r="B32" s="2">
        <v>30</v>
      </c>
      <c r="C32" s="2">
        <v>2054</v>
      </c>
      <c r="D32" s="2">
        <f t="shared" si="4"/>
        <v>54</v>
      </c>
      <c r="E32" s="2">
        <f t="shared" si="5"/>
        <v>69</v>
      </c>
      <c r="F32" s="2" t="s">
        <v>0</v>
      </c>
    </row>
    <row r="33" spans="2:6" x14ac:dyDescent="0.35">
      <c r="B33" s="2">
        <v>31</v>
      </c>
      <c r="C33" s="2">
        <v>2055</v>
      </c>
      <c r="D33" s="2">
        <f t="shared" ref="D33:D43" si="6">D32+1</f>
        <v>55</v>
      </c>
      <c r="E33" s="2">
        <f t="shared" ref="E33:E43" si="7">E32+1</f>
        <v>70</v>
      </c>
      <c r="F33" s="2" t="s">
        <v>0</v>
      </c>
    </row>
    <row r="34" spans="2:6" x14ac:dyDescent="0.35">
      <c r="B34" s="2">
        <v>32</v>
      </c>
      <c r="C34" s="2">
        <v>2056</v>
      </c>
      <c r="D34" s="2">
        <f t="shared" si="6"/>
        <v>56</v>
      </c>
      <c r="E34" s="2">
        <f t="shared" si="7"/>
        <v>71</v>
      </c>
      <c r="F34" s="2" t="s">
        <v>0</v>
      </c>
    </row>
    <row r="35" spans="2:6" x14ac:dyDescent="0.35">
      <c r="B35" s="2">
        <v>33</v>
      </c>
      <c r="C35" s="2">
        <v>2057</v>
      </c>
      <c r="D35" s="2">
        <f t="shared" si="6"/>
        <v>57</v>
      </c>
      <c r="E35" s="2">
        <f t="shared" si="7"/>
        <v>72</v>
      </c>
      <c r="F35" s="2" t="s">
        <v>0</v>
      </c>
    </row>
    <row r="36" spans="2:6" x14ac:dyDescent="0.35">
      <c r="B36" s="2">
        <v>34</v>
      </c>
      <c r="C36" s="2">
        <v>2058</v>
      </c>
      <c r="D36" s="2">
        <f t="shared" si="6"/>
        <v>58</v>
      </c>
      <c r="E36" s="2">
        <f t="shared" si="7"/>
        <v>73</v>
      </c>
      <c r="F36" s="2" t="s">
        <v>0</v>
      </c>
    </row>
    <row r="37" spans="2:6" x14ac:dyDescent="0.35">
      <c r="B37" s="2">
        <v>35</v>
      </c>
      <c r="C37" s="2">
        <v>2059</v>
      </c>
      <c r="D37" s="2">
        <f t="shared" si="6"/>
        <v>59</v>
      </c>
      <c r="E37" s="2">
        <f t="shared" si="7"/>
        <v>74</v>
      </c>
      <c r="F37" s="2" t="s">
        <v>0</v>
      </c>
    </row>
    <row r="38" spans="2:6" x14ac:dyDescent="0.35">
      <c r="B38" s="2">
        <v>36</v>
      </c>
      <c r="C38" s="2">
        <v>2060</v>
      </c>
      <c r="D38" s="2">
        <f t="shared" si="6"/>
        <v>60</v>
      </c>
      <c r="E38" s="2">
        <f t="shared" si="7"/>
        <v>75</v>
      </c>
      <c r="F38" s="2" t="s">
        <v>0</v>
      </c>
    </row>
    <row r="39" spans="2:6" x14ac:dyDescent="0.35">
      <c r="B39" s="2">
        <v>37</v>
      </c>
      <c r="C39" s="2">
        <v>2061</v>
      </c>
      <c r="D39" s="2">
        <f t="shared" si="6"/>
        <v>61</v>
      </c>
      <c r="E39" s="2">
        <f t="shared" si="7"/>
        <v>76</v>
      </c>
      <c r="F39" s="2" t="s">
        <v>0</v>
      </c>
    </row>
    <row r="40" spans="2:6" x14ac:dyDescent="0.35">
      <c r="B40" s="2">
        <v>38</v>
      </c>
      <c r="C40" s="2">
        <v>2062</v>
      </c>
      <c r="D40" s="2">
        <f t="shared" si="6"/>
        <v>62</v>
      </c>
      <c r="E40" s="2">
        <f t="shared" si="7"/>
        <v>77</v>
      </c>
      <c r="F40" s="2" t="s">
        <v>0</v>
      </c>
    </row>
    <row r="41" spans="2:6" x14ac:dyDescent="0.35">
      <c r="B41" s="2">
        <v>39</v>
      </c>
      <c r="C41" s="2">
        <v>2063</v>
      </c>
      <c r="D41" s="2">
        <f t="shared" si="6"/>
        <v>63</v>
      </c>
      <c r="E41" s="2">
        <f t="shared" si="7"/>
        <v>78</v>
      </c>
      <c r="F41" s="2" t="s">
        <v>0</v>
      </c>
    </row>
    <row r="42" spans="2:6" x14ac:dyDescent="0.35">
      <c r="B42" s="2">
        <v>40</v>
      </c>
      <c r="C42" s="2">
        <v>2064</v>
      </c>
      <c r="D42" s="2">
        <f t="shared" si="6"/>
        <v>64</v>
      </c>
      <c r="E42" s="2">
        <f t="shared" si="7"/>
        <v>79</v>
      </c>
      <c r="F42" s="2" t="s">
        <v>0</v>
      </c>
    </row>
    <row r="43" spans="2:6" x14ac:dyDescent="0.35">
      <c r="B43" s="2">
        <v>41</v>
      </c>
      <c r="C43" s="2">
        <v>2065</v>
      </c>
      <c r="D43" s="2">
        <f t="shared" si="6"/>
        <v>65</v>
      </c>
      <c r="E43" s="2">
        <f t="shared" si="7"/>
        <v>80</v>
      </c>
      <c r="F43" s="2" t="s">
        <v>0</v>
      </c>
    </row>
    <row r="44" spans="2:6" x14ac:dyDescent="0.35">
      <c r="B44" s="2">
        <v>42</v>
      </c>
      <c r="C44" s="2">
        <v>2066</v>
      </c>
      <c r="D44" s="2">
        <f t="shared" ref="D44:D53" si="8">D43+1</f>
        <v>66</v>
      </c>
      <c r="E44" s="2">
        <f t="shared" ref="E44:E53" si="9">E43+1</f>
        <v>81</v>
      </c>
      <c r="F44" s="2" t="s">
        <v>0</v>
      </c>
    </row>
    <row r="45" spans="2:6" x14ac:dyDescent="0.35">
      <c r="B45" s="2">
        <v>43</v>
      </c>
      <c r="C45" s="2">
        <v>2067</v>
      </c>
      <c r="D45" s="2">
        <f t="shared" si="8"/>
        <v>67</v>
      </c>
      <c r="E45" s="2">
        <f t="shared" si="9"/>
        <v>82</v>
      </c>
      <c r="F45" s="2" t="s">
        <v>0</v>
      </c>
    </row>
    <row r="46" spans="2:6" x14ac:dyDescent="0.35">
      <c r="B46" s="2">
        <v>44</v>
      </c>
      <c r="C46" s="2">
        <v>2068</v>
      </c>
      <c r="D46" s="2">
        <f t="shared" si="8"/>
        <v>68</v>
      </c>
      <c r="E46" s="2">
        <f t="shared" si="9"/>
        <v>83</v>
      </c>
      <c r="F46" s="2" t="s">
        <v>0</v>
      </c>
    </row>
    <row r="47" spans="2:6" x14ac:dyDescent="0.35">
      <c r="B47" s="2">
        <v>45</v>
      </c>
      <c r="C47" s="2">
        <v>2069</v>
      </c>
      <c r="D47" s="2">
        <f t="shared" si="8"/>
        <v>69</v>
      </c>
      <c r="E47" s="2">
        <f t="shared" si="9"/>
        <v>84</v>
      </c>
      <c r="F47" s="2" t="s">
        <v>0</v>
      </c>
    </row>
    <row r="48" spans="2:6" x14ac:dyDescent="0.35">
      <c r="B48" s="2">
        <v>46</v>
      </c>
      <c r="C48" s="2">
        <v>2070</v>
      </c>
      <c r="D48" s="2">
        <f t="shared" si="8"/>
        <v>70</v>
      </c>
      <c r="E48" s="2">
        <f t="shared" si="9"/>
        <v>85</v>
      </c>
      <c r="F48" s="2" t="s">
        <v>0</v>
      </c>
    </row>
    <row r="49" spans="2:6" x14ac:dyDescent="0.35">
      <c r="B49" s="2">
        <v>47</v>
      </c>
      <c r="C49" s="2">
        <v>2071</v>
      </c>
      <c r="D49" s="2">
        <f t="shared" si="8"/>
        <v>71</v>
      </c>
      <c r="E49" s="2">
        <f t="shared" si="9"/>
        <v>86</v>
      </c>
      <c r="F49" s="2" t="s">
        <v>0</v>
      </c>
    </row>
    <row r="50" spans="2:6" x14ac:dyDescent="0.35">
      <c r="B50" s="2">
        <v>48</v>
      </c>
      <c r="C50" s="2">
        <v>2072</v>
      </c>
      <c r="D50" s="2">
        <f t="shared" si="8"/>
        <v>72</v>
      </c>
      <c r="E50" s="2">
        <f t="shared" si="9"/>
        <v>87</v>
      </c>
      <c r="F50" s="2" t="s">
        <v>0</v>
      </c>
    </row>
    <row r="51" spans="2:6" x14ac:dyDescent="0.35">
      <c r="B51" s="2">
        <v>49</v>
      </c>
      <c r="C51" s="2">
        <v>2073</v>
      </c>
      <c r="D51" s="2">
        <f t="shared" si="8"/>
        <v>73</v>
      </c>
      <c r="E51" s="2">
        <f t="shared" si="9"/>
        <v>88</v>
      </c>
      <c r="F51" s="2" t="s">
        <v>0</v>
      </c>
    </row>
    <row r="52" spans="2:6" x14ac:dyDescent="0.35">
      <c r="B52" s="2">
        <v>50</v>
      </c>
      <c r="C52" s="2">
        <v>2074</v>
      </c>
      <c r="D52" s="2">
        <f t="shared" si="8"/>
        <v>74</v>
      </c>
      <c r="E52" s="2">
        <f t="shared" si="9"/>
        <v>89</v>
      </c>
      <c r="F52" s="2" t="s">
        <v>0</v>
      </c>
    </row>
    <row r="53" spans="2:6" x14ac:dyDescent="0.35">
      <c r="B53" s="2">
        <v>51</v>
      </c>
      <c r="C53" s="2">
        <v>2075</v>
      </c>
      <c r="D53" s="2">
        <f t="shared" si="8"/>
        <v>75</v>
      </c>
      <c r="E53" s="2">
        <f t="shared" si="9"/>
        <v>90</v>
      </c>
      <c r="F53" s="2" t="s">
        <v>0</v>
      </c>
    </row>
  </sheetData>
  <pageMargins left="0.7" right="0.7" top="0.75" bottom="0.75" header="0.3" footer="0.3"/>
  <ignoredErrors>
    <ignoredError sqref="D3:E3"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4F678-28BA-42D9-BABA-53A1B78858A7}">
  <dimension ref="A3:Y55"/>
  <sheetViews>
    <sheetView zoomScale="75" workbookViewId="0">
      <selection activeCell="H4" sqref="H4"/>
    </sheetView>
  </sheetViews>
  <sheetFormatPr defaultRowHeight="14.5" x14ac:dyDescent="0.35"/>
  <cols>
    <col min="1" max="1" width="13.90625" bestFit="1" customWidth="1"/>
    <col min="2" max="2" width="13.26953125" bestFit="1" customWidth="1"/>
    <col min="3" max="4" width="13.08984375" bestFit="1" customWidth="1"/>
    <col min="5" max="5" width="15.36328125" bestFit="1" customWidth="1"/>
    <col min="7" max="7" width="23.453125" bestFit="1" customWidth="1"/>
    <col min="8" max="8" width="22.08984375" bestFit="1" customWidth="1"/>
    <col min="9" max="9" width="11.81640625" bestFit="1" customWidth="1"/>
    <col min="11" max="11" width="156.90625" bestFit="1" customWidth="1"/>
    <col min="14" max="14" width="15" bestFit="1" customWidth="1"/>
    <col min="15" max="15" width="17.08984375" bestFit="1" customWidth="1"/>
    <col min="16" max="17" width="13.08984375" bestFit="1" customWidth="1"/>
    <col min="22" max="22" width="12" bestFit="1" customWidth="1"/>
    <col min="23" max="23" width="13.08984375" bestFit="1" customWidth="1"/>
    <col min="24" max="24" width="12" bestFit="1" customWidth="1"/>
    <col min="25" max="25" width="13.54296875" bestFit="1" customWidth="1"/>
  </cols>
  <sheetData>
    <row r="3" spans="1:25" x14ac:dyDescent="0.35">
      <c r="A3" s="38" t="s">
        <v>181</v>
      </c>
      <c r="B3" t="s">
        <v>192</v>
      </c>
      <c r="C3" t="s">
        <v>189</v>
      </c>
      <c r="D3" t="s">
        <v>188</v>
      </c>
      <c r="E3" t="s">
        <v>185</v>
      </c>
      <c r="F3" t="s">
        <v>186</v>
      </c>
      <c r="G3" s="43" t="s">
        <v>190</v>
      </c>
      <c r="H3" s="43" t="s">
        <v>191</v>
      </c>
      <c r="I3" t="s">
        <v>187</v>
      </c>
      <c r="K3" t="str">
        <f>A3&amp;", "&amp;B3&amp;", "&amp;C3&amp;", "&amp;D3&amp;", "&amp;E3&amp;", "&amp;F3&amp;", "&amp;G3&amp;", "&amp;H3&amp;", "&amp;I3</f>
        <v>Row Labels, Sum of Weight, Invested Amt, End Values, FinalWealth, Salary, Invested Amt Calculated, Invested Amt DIFF, Diff End</v>
      </c>
      <c r="N3" s="38" t="s">
        <v>197</v>
      </c>
      <c r="O3" s="38" t="s">
        <v>198</v>
      </c>
    </row>
    <row r="4" spans="1:25" x14ac:dyDescent="0.35">
      <c r="A4" s="39">
        <v>2026</v>
      </c>
      <c r="B4">
        <v>1.0000000464964383</v>
      </c>
      <c r="C4">
        <v>52645.202447814336</v>
      </c>
      <c r="D4">
        <v>56284.388435597109</v>
      </c>
      <c r="E4" cm="1">
        <f t="array" ref="E4:E53">TRANSPOSE(FinalWealth!C2:AZ2)</f>
        <v>55390.48054509949</v>
      </c>
      <c r="F4" cm="1">
        <f t="array" ref="F4:F53">TRANSPOSE(Salary!C2:AZ2)</f>
        <v>52645.200000000004</v>
      </c>
      <c r="G4" s="43">
        <f>F4</f>
        <v>52645.200000000004</v>
      </c>
      <c r="H4" s="44">
        <f>G4-C4</f>
        <v>-2.4478143313899636E-3</v>
      </c>
      <c r="I4" s="33">
        <f>E4-D4</f>
        <v>-893.90789049761952</v>
      </c>
      <c r="K4" t="str">
        <f t="shared" ref="K4:K28" si="0">A4&amp;", "&amp;B4&amp;", "&amp;C4&amp;", "&amp;D4&amp;", "&amp;E4&amp;", "&amp;F4&amp;", "&amp;G4&amp;", "&amp;H4&amp;", "&amp;I4</f>
        <v>2026, 1.00000004649644, 52645.2024478143, 56284.3884355971, 55390.4805450995, 52645.2, 52645.2, -0.00244781433138996, -893.90789049762</v>
      </c>
      <c r="N4" s="38" t="s">
        <v>181</v>
      </c>
      <c r="O4" t="s">
        <v>179</v>
      </c>
      <c r="P4" t="s">
        <v>180</v>
      </c>
      <c r="Q4" t="s">
        <v>182</v>
      </c>
      <c r="U4" t="s">
        <v>208</v>
      </c>
      <c r="V4" s="21" cm="1">
        <f t="array" ref="V4:Y4">GoalsP1[[#This Row],[GOAL A]:[GOAL D]]</f>
        <v>400000</v>
      </c>
      <c r="W4" s="21">
        <v>400000</v>
      </c>
      <c r="X4" s="21">
        <v>300000</v>
      </c>
      <c r="Y4" s="21">
        <v>9500000</v>
      </c>
    </row>
    <row r="5" spans="1:25" x14ac:dyDescent="0.35">
      <c r="A5" s="39">
        <v>2027</v>
      </c>
      <c r="B5">
        <v>0.99999997648474803</v>
      </c>
      <c r="C5">
        <v>109456.03786171081</v>
      </c>
      <c r="D5">
        <v>117012.47169971812</v>
      </c>
      <c r="E5">
        <v>114304.50840124504</v>
      </c>
      <c r="F5">
        <v>53171.652000000002</v>
      </c>
      <c r="G5" s="43">
        <f>F5+E4</f>
        <v>108562.13254509949</v>
      </c>
      <c r="H5" s="44">
        <f t="shared" ref="H5:H28" si="1">G5-C5</f>
        <v>-893.90531661131536</v>
      </c>
      <c r="I5" s="33">
        <f>E5-D5</f>
        <v>-2707.9632984730852</v>
      </c>
      <c r="K5" t="str">
        <f t="shared" si="0"/>
        <v>2027, 0.999999976484748, 109456.037861711, 117012.471699718, 114304.508401245, 53171.652, 108562.132545099, -893.905316611315, -2707.96329847309</v>
      </c>
      <c r="N5" s="39">
        <v>2026</v>
      </c>
      <c r="O5">
        <v>36343.339999999997</v>
      </c>
      <c r="P5">
        <v>16301.854054661653</v>
      </c>
      <c r="Q5">
        <v>52645.194054661653</v>
      </c>
      <c r="U5" t="s">
        <v>209</v>
      </c>
      <c r="V5" cm="1">
        <f t="array" ref="V5:V6">_xlfn.UNIQUE(Sheet1!M3:M500)</f>
        <v>0</v>
      </c>
      <c r="W5" cm="1">
        <f t="array" ref="W5:W6">_xlfn.UNIQUE(Sheet1!O3:O500)</f>
        <v>0</v>
      </c>
      <c r="X5" cm="1">
        <f t="array" ref="X5:X6">_xlfn.UNIQUE(Sheet1!Q3:Q500)</f>
        <v>0</v>
      </c>
      <c r="Y5" cm="1">
        <f t="array" ref="Y5:Y6">_xlfn.UNIQUE(Sheet1!S3:S500)</f>
        <v>0</v>
      </c>
    </row>
    <row r="6" spans="1:25" x14ac:dyDescent="0.35">
      <c r="A6" s="39">
        <v>2028</v>
      </c>
      <c r="B6">
        <v>0.9999999652712831</v>
      </c>
      <c r="C6">
        <v>176032.99930631774</v>
      </c>
      <c r="D6">
        <v>187389.07377777065</v>
      </c>
      <c r="E6">
        <v>181746.12002471148</v>
      </c>
      <c r="F6">
        <v>59020.533719999999</v>
      </c>
      <c r="G6" s="43">
        <f>F6+E5</f>
        <v>173325.04212124503</v>
      </c>
      <c r="H6" s="44">
        <f t="shared" si="1"/>
        <v>-2707.9571850727079</v>
      </c>
      <c r="I6" s="33">
        <f>E6-D6</f>
        <v>-5642.953753059177</v>
      </c>
      <c r="K6" t="str">
        <f t="shared" si="0"/>
        <v>2028, 0.999999965271283, 176032.999306318, 187389.073777771, 181746.120024711, 59020.53372, 173325.042121245, -2707.95718507271, -5642.95375305918</v>
      </c>
      <c r="N6" s="39">
        <v>2027</v>
      </c>
      <c r="O6">
        <v>33657.549999999996</v>
      </c>
      <c r="P6">
        <v>75179.849927642223</v>
      </c>
      <c r="Q6">
        <v>108837.39992764223</v>
      </c>
      <c r="V6" s="21">
        <v>400000</v>
      </c>
      <c r="W6" s="21">
        <v>400000</v>
      </c>
      <c r="X6" s="21">
        <v>300000</v>
      </c>
      <c r="Y6" s="21">
        <v>9500000</v>
      </c>
    </row>
    <row r="7" spans="1:25" x14ac:dyDescent="0.35">
      <c r="A7" s="39">
        <v>2029</v>
      </c>
      <c r="B7">
        <v>1.0000000222343552</v>
      </c>
      <c r="C7">
        <v>246999.81832685263</v>
      </c>
      <c r="D7">
        <v>262187.90756156069</v>
      </c>
      <c r="E7">
        <v>252701.32938793322</v>
      </c>
      <c r="F7">
        <v>59610.7390572</v>
      </c>
      <c r="G7" s="43">
        <f>F7+E6</f>
        <v>241356.85908191148</v>
      </c>
      <c r="H7" s="44">
        <f t="shared" si="1"/>
        <v>-5642.9592449411575</v>
      </c>
      <c r="I7" s="33">
        <f>E7-D7</f>
        <v>-9486.5781736274657</v>
      </c>
      <c r="K7" t="str">
        <f t="shared" si="0"/>
        <v>2029, 1.00000002223436, 246999.818326853, 262187.907561561, 252701.329387933, 59610.7390572, 241356.859081911, -5642.95924494116, -9486.57817362747</v>
      </c>
      <c r="N7" s="39">
        <v>2028</v>
      </c>
      <c r="O7">
        <v>95994.8</v>
      </c>
      <c r="P7">
        <v>75769.881738974029</v>
      </c>
      <c r="Q7">
        <v>171764.68173897403</v>
      </c>
    </row>
    <row r="8" spans="1:25" x14ac:dyDescent="0.35">
      <c r="A8" s="39">
        <v>2030</v>
      </c>
      <c r="B8">
        <v>1.000000039359018</v>
      </c>
      <c r="C8">
        <v>322394.76669847389</v>
      </c>
      <c r="D8">
        <v>342383.2039158679</v>
      </c>
      <c r="E8">
        <v>327530.15720136394</v>
      </c>
      <c r="F8">
        <v>60206.846447771997</v>
      </c>
      <c r="G8" s="43">
        <f>F8+E7</f>
        <v>312908.17583570525</v>
      </c>
      <c r="H8" s="44">
        <f t="shared" si="1"/>
        <v>-9486.590862768644</v>
      </c>
      <c r="I8" s="33">
        <f>E8-D8</f>
        <v>-14853.046714503958</v>
      </c>
      <c r="K8" t="str">
        <f t="shared" si="0"/>
        <v>2030, 1.00000003935902, 322394.766698474, 342383.203915868, 327530.157201364, 60206.846447772, 312908.175835705, -9486.59086276864, -14853.046714504</v>
      </c>
      <c r="N8" s="39">
        <v>2029</v>
      </c>
      <c r="O8">
        <v>101647.25</v>
      </c>
      <c r="P8">
        <v>137990.13140811367</v>
      </c>
      <c r="Q8">
        <v>239637.38140811367</v>
      </c>
      <c r="V8">
        <f>V4-V6</f>
        <v>0</v>
      </c>
      <c r="W8">
        <f>W4-W6</f>
        <v>0</v>
      </c>
      <c r="X8">
        <f>X4-X6</f>
        <v>0</v>
      </c>
      <c r="Y8">
        <f>Y4-Y6</f>
        <v>0</v>
      </c>
    </row>
    <row r="9" spans="1:25" x14ac:dyDescent="0.35">
      <c r="A9" s="39">
        <v>2031</v>
      </c>
      <c r="B9">
        <v>0.99999999815931262</v>
      </c>
      <c r="C9">
        <v>403192.11808596703</v>
      </c>
      <c r="D9">
        <v>418531.50519623933</v>
      </c>
      <c r="E9">
        <v>404591.51418813347</v>
      </c>
      <c r="F9">
        <v>60808.914912249718</v>
      </c>
      <c r="G9" s="43">
        <f t="shared" ref="G9:G27" si="2">F9+E8</f>
        <v>388339.07211361366</v>
      </c>
      <c r="H9" s="44">
        <f t="shared" si="1"/>
        <v>-14853.045972353371</v>
      </c>
      <c r="I9" s="33">
        <f t="shared" ref="I9:I27" si="3">E9-D9</f>
        <v>-13939.991008105862</v>
      </c>
      <c r="K9" t="str">
        <f t="shared" si="0"/>
        <v>2031, 0.999999998159313, 403192.118085967, 418531.505196239, 404591.514188133, 60808.9149122497, 388339.072113614, -14853.0459723534, -13939.9910081059</v>
      </c>
      <c r="N9" s="39">
        <v>2030</v>
      </c>
      <c r="O9">
        <v>33856.839999999997</v>
      </c>
      <c r="P9">
        <v>278287.50295538607</v>
      </c>
      <c r="Q9">
        <v>312144.34295538603</v>
      </c>
    </row>
    <row r="10" spans="1:25" x14ac:dyDescent="0.35">
      <c r="A10" s="39">
        <v>2032</v>
      </c>
      <c r="B10">
        <v>0.9999999859608153</v>
      </c>
      <c r="C10">
        <v>486029.39392537961</v>
      </c>
      <c r="D10">
        <v>500011.45391180163</v>
      </c>
      <c r="E10">
        <v>477975.05571588007</v>
      </c>
      <c r="F10">
        <v>67497.895552597183</v>
      </c>
      <c r="G10" s="43">
        <f t="shared" si="2"/>
        <v>472089.40974073065</v>
      </c>
      <c r="H10" s="44">
        <f t="shared" si="1"/>
        <v>-13939.984184648958</v>
      </c>
      <c r="I10" s="33">
        <f t="shared" si="3"/>
        <v>-22036.39819592156</v>
      </c>
      <c r="K10" t="str">
        <f t="shared" si="0"/>
        <v>2032, 0.999999985960815, 486029.39392538, 500011.453911802, 477975.05571588, 67497.8955525972, 472089.409740731, -13939.984184649, -22036.3981959216</v>
      </c>
      <c r="N10" s="39">
        <v>2031</v>
      </c>
      <c r="O10">
        <v>38139.72</v>
      </c>
      <c r="P10">
        <v>350934.68645605864</v>
      </c>
      <c r="Q10">
        <v>389074.40645605861</v>
      </c>
    </row>
    <row r="11" spans="1:25" x14ac:dyDescent="0.35">
      <c r="A11" s="39">
        <v>2033</v>
      </c>
      <c r="B11">
        <v>0.99999999621451485</v>
      </c>
      <c r="C11">
        <v>568184.32626907213</v>
      </c>
      <c r="D11">
        <v>586722.89931649226</v>
      </c>
      <c r="E11">
        <v>555186.43372598919</v>
      </c>
      <c r="F11">
        <v>68172.874508123146</v>
      </c>
      <c r="G11" s="43">
        <f t="shared" si="2"/>
        <v>546147.93022400327</v>
      </c>
      <c r="H11" s="44">
        <f t="shared" si="1"/>
        <v>-22036.396045068861</v>
      </c>
      <c r="I11" s="33">
        <f t="shared" si="3"/>
        <v>-31536.465590503067</v>
      </c>
      <c r="K11" t="str">
        <f t="shared" si="0"/>
        <v>2033, 0.999999996214515, 568184.326269072, 586722.899316492, 555186.433725989, 68172.8745081231, 546147.930224003, -22036.3960450689, -31536.4655905031</v>
      </c>
      <c r="N11" s="39">
        <v>2032</v>
      </c>
      <c r="O11">
        <v>26031.9</v>
      </c>
      <c r="P11">
        <v>452829.34139460931</v>
      </c>
      <c r="Q11">
        <v>478861.24139460933</v>
      </c>
    </row>
    <row r="12" spans="1:25" x14ac:dyDescent="0.35">
      <c r="A12" s="39">
        <v>2034</v>
      </c>
      <c r="B12">
        <v>1.0000000126986368</v>
      </c>
      <c r="C12">
        <v>655577.5108946379</v>
      </c>
      <c r="D12">
        <v>679430.34994778503</v>
      </c>
      <c r="E12">
        <v>236908.52938060719</v>
      </c>
      <c r="F12">
        <v>68854.603253204376</v>
      </c>
      <c r="G12" s="43">
        <f t="shared" si="2"/>
        <v>624041.03697919357</v>
      </c>
      <c r="H12" s="44">
        <f t="shared" si="1"/>
        <v>-31536.473915444338</v>
      </c>
      <c r="I12" s="33">
        <f t="shared" si="3"/>
        <v>-442521.82056717784</v>
      </c>
      <c r="K12" t="str">
        <f t="shared" si="0"/>
        <v>2034, 1.00000001269864, 655577.510894638, 679430.349947785, 236908.529380607, 68854.6032532044, 624041.036979194, -31536.4739154443, -442521.820567178</v>
      </c>
      <c r="N12" s="39">
        <v>2033</v>
      </c>
      <c r="O12">
        <v>65331.88</v>
      </c>
      <c r="P12">
        <v>493074.137128592</v>
      </c>
      <c r="Q12">
        <v>558406.01712859201</v>
      </c>
    </row>
    <row r="13" spans="1:25" x14ac:dyDescent="0.35">
      <c r="A13" s="39">
        <v>2035</v>
      </c>
      <c r="B13">
        <v>1.0000000239171603</v>
      </c>
      <c r="C13">
        <v>348973.50757997733</v>
      </c>
      <c r="D13">
        <v>365308.87353845232</v>
      </c>
      <c r="E13">
        <v>316057.71137393924</v>
      </c>
      <c r="F13">
        <v>69543.149285736421</v>
      </c>
      <c r="G13" s="43">
        <f t="shared" si="2"/>
        <v>306451.67866634362</v>
      </c>
      <c r="H13" s="44">
        <f t="shared" si="1"/>
        <v>-42521.828913633712</v>
      </c>
      <c r="I13" s="33">
        <f t="shared" si="3"/>
        <v>-49251.16216451308</v>
      </c>
      <c r="K13" t="str">
        <f t="shared" si="0"/>
        <v>2035, 1.00000002391716, 348973.507579977, 365308.873538452, 316057.711373939, 69543.1492857364, 306451.678666344, -42521.8289136337, -49251.1621645131</v>
      </c>
      <c r="N13" s="39">
        <v>2034</v>
      </c>
      <c r="O13">
        <v>54521.919999999998</v>
      </c>
      <c r="P13">
        <v>587548.24230755796</v>
      </c>
      <c r="Q13">
        <v>642070.162307558</v>
      </c>
    </row>
    <row r="14" spans="1:25" x14ac:dyDescent="0.35">
      <c r="A14" s="39">
        <v>2036</v>
      </c>
      <c r="B14">
        <v>0.99999999390063199</v>
      </c>
      <c r="C14">
        <v>442501.76654663833</v>
      </c>
      <c r="D14">
        <v>454489.05710031989</v>
      </c>
      <c r="E14">
        <v>405694.53247775231</v>
      </c>
      <c r="F14">
        <v>77192.895707167438</v>
      </c>
      <c r="G14" s="43">
        <f>F14+E13</f>
        <v>393250.60708110669</v>
      </c>
      <c r="H14" s="44">
        <f t="shared" si="1"/>
        <v>-49251.159465531644</v>
      </c>
      <c r="I14" s="33">
        <f t="shared" si="3"/>
        <v>-48794.52462256758</v>
      </c>
      <c r="K14" t="str">
        <f t="shared" si="0"/>
        <v>2036, 0.999999993900632, 442501.766546638, 454489.05710032, 405694.532477752, 77192.8957071674, 393250.607081107, -49251.1594655316, -48794.5246225676</v>
      </c>
      <c r="N14" s="39">
        <v>2035</v>
      </c>
      <c r="O14">
        <v>61418.94</v>
      </c>
      <c r="P14">
        <v>257289.4022225826</v>
      </c>
      <c r="Q14">
        <v>318708.34222258261</v>
      </c>
    </row>
    <row r="15" spans="1:25" x14ac:dyDescent="0.35">
      <c r="A15" s="39">
        <v>2037</v>
      </c>
      <c r="B15">
        <v>0.99999999236516612</v>
      </c>
      <c r="C15">
        <v>532453.87769936211</v>
      </c>
      <c r="D15">
        <v>549043.45517544611</v>
      </c>
      <c r="E15">
        <v>0</v>
      </c>
      <c r="F15">
        <v>77964.824664239117</v>
      </c>
      <c r="G15" s="43">
        <f t="shared" si="2"/>
        <v>483659.35714199144</v>
      </c>
      <c r="H15" s="44">
        <f t="shared" si="1"/>
        <v>-48794.520557370677</v>
      </c>
      <c r="I15" s="33">
        <f t="shared" si="3"/>
        <v>-549043.45517544611</v>
      </c>
      <c r="K15" t="str">
        <f t="shared" si="0"/>
        <v>2037, 0.999999992365166, 532453.877699362, 549043.455175446, 0, 77964.8246642391, 483659.357141991, -48794.5205573707, -549043.455175446</v>
      </c>
      <c r="N15" s="39">
        <v>2036</v>
      </c>
      <c r="O15">
        <v>13421.92</v>
      </c>
      <c r="P15">
        <v>395921.11036500696</v>
      </c>
      <c r="Q15">
        <v>409343.03036500694</v>
      </c>
    </row>
    <row r="16" spans="1:25" x14ac:dyDescent="0.35">
      <c r="A16" s="39">
        <v>2038</v>
      </c>
      <c r="B16">
        <v>0.9999999900174471</v>
      </c>
      <c r="C16">
        <v>627787.92181940225</v>
      </c>
      <c r="D16">
        <v>648728.2735577788</v>
      </c>
      <c r="E16">
        <v>0</v>
      </c>
      <c r="F16">
        <v>78744.472910881508</v>
      </c>
      <c r="G16" s="43">
        <f t="shared" si="2"/>
        <v>78744.472910881508</v>
      </c>
      <c r="H16" s="44">
        <f t="shared" si="1"/>
        <v>-549043.44890852075</v>
      </c>
      <c r="I16" s="33">
        <f t="shared" si="3"/>
        <v>-648728.2735577788</v>
      </c>
      <c r="K16" t="str">
        <f t="shared" si="0"/>
        <v>2038, 0.999999990017447, 627787.921819402, 648728.273557779, 0, 78744.4729108815, 78744.4729108815, -549043.448908521, -648728.273557779</v>
      </c>
      <c r="N16" s="39">
        <v>2037</v>
      </c>
      <c r="O16">
        <v>109639.49</v>
      </c>
      <c r="P16">
        <v>388283.66925769625</v>
      </c>
      <c r="Q16">
        <v>497923.15925769624</v>
      </c>
    </row>
    <row r="17" spans="1:17" x14ac:dyDescent="0.35">
      <c r="A17" s="39">
        <v>2039</v>
      </c>
      <c r="B17">
        <v>1.0000000034827483</v>
      </c>
      <c r="C17">
        <v>728260.19373411627</v>
      </c>
      <c r="D17">
        <v>746521.70642134512</v>
      </c>
      <c r="E17">
        <v>0</v>
      </c>
      <c r="F17">
        <v>79531.917639990323</v>
      </c>
      <c r="G17" s="43">
        <f t="shared" si="2"/>
        <v>79531.917639990323</v>
      </c>
      <c r="H17" s="44">
        <f t="shared" si="1"/>
        <v>-648728.27609412593</v>
      </c>
      <c r="I17" s="33">
        <f t="shared" si="3"/>
        <v>-746521.70642134512</v>
      </c>
      <c r="K17" t="str">
        <f t="shared" si="0"/>
        <v>2039, 1.00000000348275, 728260.193734116, 746521.706421345, 0, 79531.9176399903, 79531.9176399903, -648728.276094126, -746521.706421345</v>
      </c>
      <c r="N17" s="39">
        <v>2038</v>
      </c>
      <c r="O17">
        <v>111868.08</v>
      </c>
      <c r="P17">
        <v>480254.83533189422</v>
      </c>
      <c r="Q17">
        <v>592122.91533189418</v>
      </c>
    </row>
    <row r="18" spans="1:17" x14ac:dyDescent="0.35">
      <c r="A18" s="39">
        <v>2040</v>
      </c>
      <c r="B18">
        <v>1.0000000104168323</v>
      </c>
      <c r="C18">
        <v>434802.13953099551</v>
      </c>
      <c r="D18">
        <v>448624.67571196135</v>
      </c>
      <c r="E18">
        <v>0</v>
      </c>
      <c r="F18">
        <v>88280.428580389256</v>
      </c>
      <c r="G18" s="43">
        <f t="shared" si="2"/>
        <v>88280.428580389256</v>
      </c>
      <c r="H18" s="44">
        <f t="shared" si="1"/>
        <v>-346521.71095060627</v>
      </c>
      <c r="I18" s="33">
        <f t="shared" si="3"/>
        <v>-448624.67571196135</v>
      </c>
      <c r="K18" t="str">
        <f t="shared" si="0"/>
        <v>2040, 1.00000001041683, 434802.139530996, 448624.675711961, 0, 88280.4285803893, 88280.4285803893, -346521.710950606, -448624.675711961</v>
      </c>
      <c r="N18" s="39">
        <v>2039</v>
      </c>
      <c r="O18">
        <v>98907.01</v>
      </c>
      <c r="P18">
        <v>592620.69985055085</v>
      </c>
      <c r="Q18">
        <v>691527.70985055086</v>
      </c>
    </row>
    <row r="19" spans="1:17" x14ac:dyDescent="0.35">
      <c r="A19" s="39">
        <v>2041</v>
      </c>
      <c r="B19">
        <v>1.0000000073198736</v>
      </c>
      <c r="C19">
        <v>537787.91251469497</v>
      </c>
      <c r="D19">
        <v>557464.59389510099</v>
      </c>
      <c r="E19">
        <v>0</v>
      </c>
      <c r="F19">
        <v>89163.232866193153</v>
      </c>
      <c r="G19" s="43">
        <f t="shared" si="2"/>
        <v>89163.232866193153</v>
      </c>
      <c r="H19" s="44">
        <f t="shared" si="1"/>
        <v>-448624.6796485018</v>
      </c>
      <c r="I19" s="33">
        <f t="shared" si="3"/>
        <v>-557464.59389510099</v>
      </c>
      <c r="K19" t="str">
        <f t="shared" si="0"/>
        <v>2041, 1.00000000731987, 537787.912514695, 557464.593895101, 0, 89163.2328661932, 89163.2328661932, -448624.679648502, -557464.593895101</v>
      </c>
      <c r="N19" s="39">
        <v>2040</v>
      </c>
      <c r="O19">
        <v>111418.75</v>
      </c>
      <c r="P19">
        <v>606789.86283251259</v>
      </c>
      <c r="Q19">
        <v>718208.61283251259</v>
      </c>
    </row>
    <row r="20" spans="1:17" x14ac:dyDescent="0.35">
      <c r="A20" s="39">
        <v>2042</v>
      </c>
      <c r="B20">
        <v>1.000000006589558</v>
      </c>
      <c r="C20">
        <v>647519.46335682343</v>
      </c>
      <c r="D20">
        <v>671595.27220662369</v>
      </c>
      <c r="E20">
        <v>0</v>
      </c>
      <c r="F20">
        <v>90054.865194855098</v>
      </c>
      <c r="G20" s="43">
        <f t="shared" si="2"/>
        <v>90054.865194855098</v>
      </c>
      <c r="H20" s="44">
        <f t="shared" si="1"/>
        <v>-557464.59816196829</v>
      </c>
      <c r="I20" s="33">
        <f t="shared" si="3"/>
        <v>-671595.27220662369</v>
      </c>
      <c r="K20" t="str">
        <f t="shared" si="0"/>
        <v>2042, 1.00000000658956, 647519.463356823, 671595.272206624, 0, 90054.8651948551, 90054.8651948551, -557464.598161968, -671595.272206624</v>
      </c>
      <c r="N20" s="39">
        <v>2041</v>
      </c>
      <c r="O20">
        <v>125513.22</v>
      </c>
      <c r="P20">
        <v>709044.85936651682</v>
      </c>
      <c r="Q20">
        <v>834558.07936651679</v>
      </c>
    </row>
    <row r="21" spans="1:17" x14ac:dyDescent="0.35">
      <c r="A21" s="39">
        <v>2043</v>
      </c>
      <c r="B21">
        <v>0.99999998932661716</v>
      </c>
      <c r="C21">
        <v>762550.67791443435</v>
      </c>
      <c r="D21">
        <v>791971.36806881265</v>
      </c>
      <c r="E21">
        <v>0</v>
      </c>
      <c r="F21">
        <v>90955.413846803654</v>
      </c>
      <c r="G21" s="43">
        <f t="shared" si="2"/>
        <v>90955.413846803654</v>
      </c>
      <c r="H21" s="44">
        <f t="shared" si="1"/>
        <v>-671595.26406763075</v>
      </c>
      <c r="I21" s="33">
        <f t="shared" si="3"/>
        <v>-791971.36806881265</v>
      </c>
      <c r="K21" t="str">
        <f t="shared" si="0"/>
        <v>2043, 0.999999989326617, 762550.677914434, 791971.368068813, 0, 90955.4138468037, 90955.4138468037, -671595.264067631, -791971.368068813</v>
      </c>
      <c r="N21" s="39">
        <v>2042</v>
      </c>
      <c r="O21">
        <v>141390.64000000001</v>
      </c>
      <c r="P21">
        <v>815633.18712987169</v>
      </c>
      <c r="Q21">
        <v>957023.8271298717</v>
      </c>
    </row>
    <row r="22" spans="1:17" x14ac:dyDescent="0.35">
      <c r="A22" s="39">
        <v>2044</v>
      </c>
      <c r="B22">
        <v>1.000000007168002</v>
      </c>
      <c r="C22">
        <v>892931.88383930444</v>
      </c>
      <c r="D22">
        <v>928246.46877677552</v>
      </c>
      <c r="E22">
        <v>0</v>
      </c>
      <c r="F22">
        <v>100960.50936995204</v>
      </c>
      <c r="G22" s="43">
        <f t="shared" si="2"/>
        <v>100960.50936995204</v>
      </c>
      <c r="H22" s="44">
        <f t="shared" si="1"/>
        <v>-791971.37446935242</v>
      </c>
      <c r="I22" s="33">
        <f t="shared" si="3"/>
        <v>-928246.46877677552</v>
      </c>
      <c r="K22" t="str">
        <f t="shared" si="0"/>
        <v>2044, 1.000000007168, 892931.883839304, 928246.468776776, 0, 100960.509369952, 100960.509369952, -791971.374469352, -928246.468776776</v>
      </c>
      <c r="N22" s="39">
        <v>2043</v>
      </c>
      <c r="O22">
        <v>159276.56</v>
      </c>
      <c r="P22">
        <v>926622.62219855096</v>
      </c>
      <c r="Q22">
        <v>1085899.182198551</v>
      </c>
    </row>
    <row r="23" spans="1:17" x14ac:dyDescent="0.35">
      <c r="A23" s="39">
        <v>2045</v>
      </c>
      <c r="B23">
        <v>1.0000000102782645</v>
      </c>
      <c r="C23">
        <v>730216.59074578912</v>
      </c>
      <c r="D23">
        <v>764787.78051994182</v>
      </c>
      <c r="E23">
        <v>0</v>
      </c>
      <c r="F23">
        <v>101970.11446365155</v>
      </c>
      <c r="G23" s="43">
        <f t="shared" si="2"/>
        <v>101970.11446365155</v>
      </c>
      <c r="H23" s="44">
        <f t="shared" si="1"/>
        <v>-628246.47628213756</v>
      </c>
      <c r="I23" s="33">
        <f t="shared" si="3"/>
        <v>-764787.78051994182</v>
      </c>
      <c r="K23" t="str">
        <f t="shared" si="0"/>
        <v>2045, 1.00000001027826, 730216.590745789, 764787.780519942, 0, 101970.114463652, 101970.114463652, -628246.476282138, -764787.780519942</v>
      </c>
      <c r="N23" s="39">
        <v>2044</v>
      </c>
      <c r="O23">
        <v>179425.05000000002</v>
      </c>
      <c r="P23">
        <v>1051018.6987870554</v>
      </c>
      <c r="Q23">
        <v>1230443.7487870555</v>
      </c>
    </row>
    <row r="24" spans="1:17" x14ac:dyDescent="0.35">
      <c r="A24" s="39">
        <v>2046</v>
      </c>
      <c r="B24">
        <v>0.99999999817199381</v>
      </c>
      <c r="C24">
        <v>867777.59454192827</v>
      </c>
      <c r="D24">
        <v>908378.78247081267</v>
      </c>
      <c r="E24">
        <v>0</v>
      </c>
      <c r="F24">
        <v>102989.81560828809</v>
      </c>
      <c r="G24" s="43">
        <f t="shared" si="2"/>
        <v>102989.81560828809</v>
      </c>
      <c r="H24" s="44">
        <f t="shared" si="1"/>
        <v>-764787.77893364022</v>
      </c>
      <c r="I24" s="33">
        <f t="shared" si="3"/>
        <v>-908378.78247081267</v>
      </c>
      <c r="K24" t="str">
        <f t="shared" si="0"/>
        <v>2046, 0.999999998171994, 867777.594541928, 908378.782470813, 0, 102989.815608288, 102989.815608288, -764787.77893364, -908378.782470813</v>
      </c>
      <c r="N24" s="39">
        <v>2045</v>
      </c>
      <c r="O24">
        <v>202122.32</v>
      </c>
      <c r="P24">
        <v>831503.51089308201</v>
      </c>
      <c r="Q24">
        <v>1033625.8308930821</v>
      </c>
    </row>
    <row r="25" spans="1:17" x14ac:dyDescent="0.35">
      <c r="A25" s="39">
        <v>2047</v>
      </c>
      <c r="B25">
        <v>0.99999999982417409</v>
      </c>
      <c r="C25">
        <v>1012398.4960571794</v>
      </c>
      <c r="D25">
        <v>1060120.9749821154</v>
      </c>
      <c r="E25">
        <v>0</v>
      </c>
      <c r="F25">
        <v>104019.71376437096</v>
      </c>
      <c r="G25" s="43">
        <f t="shared" si="2"/>
        <v>104019.71376437096</v>
      </c>
      <c r="H25" s="44">
        <f t="shared" si="1"/>
        <v>-908378.78229280841</v>
      </c>
      <c r="I25" s="33">
        <f t="shared" si="3"/>
        <v>-1060120.9749821154</v>
      </c>
      <c r="K25" t="str">
        <f t="shared" si="0"/>
        <v>2047, 0.999999999824174, 1012398.49605718, 1060120.97498212, 0, 104019.713764371, 104019.713764371, -908378.782292808, -1060120.97498212</v>
      </c>
      <c r="N25" s="39">
        <v>2046</v>
      </c>
      <c r="O25">
        <v>227690.78999999998</v>
      </c>
      <c r="P25">
        <v>955533.22582097398</v>
      </c>
      <c r="Q25">
        <v>1183224.015820974</v>
      </c>
    </row>
    <row r="26" spans="1:17" x14ac:dyDescent="0.35">
      <c r="A26" s="39">
        <v>2048</v>
      </c>
      <c r="B26">
        <v>1.0000000030079716</v>
      </c>
      <c r="C26">
        <v>1175582.8607966877</v>
      </c>
      <c r="D26">
        <v>1230895.385601986</v>
      </c>
      <c r="E26">
        <v>0</v>
      </c>
      <c r="F26">
        <v>115461.88227845177</v>
      </c>
      <c r="G26" s="43">
        <f t="shared" si="2"/>
        <v>115461.88227845177</v>
      </c>
      <c r="H26" s="44">
        <f t="shared" si="1"/>
        <v>-1060120.978518236</v>
      </c>
      <c r="I26" s="33">
        <f t="shared" si="3"/>
        <v>-1230895.385601986</v>
      </c>
      <c r="K26" t="str">
        <f t="shared" si="0"/>
        <v>2048, 1.00000000300797, 1175582.86079669, 1230895.38560199, 0, 115461.882278452, 115461.882278452, -1060120.97851824, -1230895.38560199</v>
      </c>
      <c r="N26" s="39">
        <v>2047</v>
      </c>
      <c r="O26">
        <v>256493.68</v>
      </c>
      <c r="P26">
        <v>1085434.7911458798</v>
      </c>
      <c r="Q26">
        <v>1341928.4711458797</v>
      </c>
    </row>
    <row r="27" spans="1:17" x14ac:dyDescent="0.35">
      <c r="A27" s="39">
        <v>2049</v>
      </c>
      <c r="B27">
        <v>1.0000000098908999</v>
      </c>
      <c r="C27">
        <v>1347511.9000313289</v>
      </c>
      <c r="D27">
        <v>1410217.2689329719</v>
      </c>
      <c r="E27">
        <v>0</v>
      </c>
      <c r="F27">
        <v>116616.50110123628</v>
      </c>
      <c r="G27" s="43">
        <f t="shared" si="2"/>
        <v>116616.50110123628</v>
      </c>
      <c r="H27" s="44">
        <f t="shared" si="1"/>
        <v>-1230895.3989300926</v>
      </c>
      <c r="I27" s="33">
        <f t="shared" si="3"/>
        <v>-1410217.2689329719</v>
      </c>
      <c r="K27" t="str">
        <f t="shared" si="0"/>
        <v>2049, 1.0000000098909, 1347511.90003133, 1410217.26893297, 0, 116616.501101236, 116616.501101236, -1230895.39893009, -1410217.26893297</v>
      </c>
      <c r="N27" s="39">
        <v>2048</v>
      </c>
      <c r="O27">
        <v>288940.12</v>
      </c>
      <c r="P27">
        <v>1231297.0572747937</v>
      </c>
      <c r="Q27">
        <v>1520237.1772747939</v>
      </c>
    </row>
    <row r="28" spans="1:17" x14ac:dyDescent="0.35">
      <c r="A28" s="39">
        <v>2050</v>
      </c>
      <c r="B28">
        <v>0.99999999980695609</v>
      </c>
      <c r="C28">
        <v>1527999.9347502526</v>
      </c>
      <c r="D28">
        <v>1598501.8486579061</v>
      </c>
      <c r="E28">
        <v>0</v>
      </c>
      <c r="F28">
        <v>117782.66611224865</v>
      </c>
      <c r="G28" s="43">
        <f>F28+E27</f>
        <v>117782.66611224865</v>
      </c>
      <c r="H28" s="44">
        <f t="shared" si="1"/>
        <v>-1410217.2686380041</v>
      </c>
      <c r="I28" s="33">
        <f>E28-D28</f>
        <v>-1598501.8486579061</v>
      </c>
      <c r="K28" t="str">
        <f t="shared" si="0"/>
        <v>2050, 0.999999999806956, 1527999.93475025, 1598501.84865791, 0, 117782.666112249, 117782.666112249, -1410217.268638, -1598501.84865791</v>
      </c>
      <c r="N28" s="39">
        <v>2049</v>
      </c>
      <c r="O28">
        <v>325491.05000000005</v>
      </c>
      <c r="P28">
        <v>1380806.0935342114</v>
      </c>
      <c r="Q28">
        <v>1706297.1435342114</v>
      </c>
    </row>
    <row r="29" spans="1:17" x14ac:dyDescent="0.35">
      <c r="A29" s="39">
        <v>2051</v>
      </c>
      <c r="B29">
        <v>1.0000000032703762</v>
      </c>
      <c r="C29">
        <v>1717462.3470480354</v>
      </c>
      <c r="D29">
        <v>1796380.4267973446</v>
      </c>
      <c r="E29">
        <v>0</v>
      </c>
      <c r="F29">
        <v>118960.49277337115</v>
      </c>
      <c r="G29" s="43">
        <f t="shared" ref="G29:G53" si="4">F29+E28</f>
        <v>118960.49277337115</v>
      </c>
      <c r="H29" s="44">
        <f t="shared" ref="H29:H53" si="5">G29-C29</f>
        <v>-1598501.8542746643</v>
      </c>
      <c r="I29" s="33">
        <f t="shared" ref="I29:I53" si="6">E29-D29</f>
        <v>-1796380.4267973446</v>
      </c>
      <c r="N29" s="39">
        <v>2050</v>
      </c>
      <c r="O29">
        <v>366665.67000000004</v>
      </c>
      <c r="P29">
        <v>1533778.3959818189</v>
      </c>
      <c r="Q29">
        <v>1900444.0659818188</v>
      </c>
    </row>
    <row r="30" spans="1:17" x14ac:dyDescent="0.35">
      <c r="A30" s="39">
        <v>2052</v>
      </c>
      <c r="B30">
        <v>0.99999999996610645</v>
      </c>
      <c r="C30">
        <v>1916530.5244334983</v>
      </c>
      <c r="D30">
        <v>2001205.3200683543</v>
      </c>
      <c r="E30">
        <v>0</v>
      </c>
      <c r="F30">
        <v>120150.09770110488</v>
      </c>
      <c r="G30" s="43">
        <f t="shared" si="4"/>
        <v>120150.09770110488</v>
      </c>
      <c r="H30" s="44">
        <f t="shared" si="5"/>
        <v>-1796380.4267323934</v>
      </c>
      <c r="I30" s="33">
        <f t="shared" si="6"/>
        <v>-2001205.3200683543</v>
      </c>
      <c r="N30" s="39">
        <v>2051</v>
      </c>
      <c r="O30">
        <v>413048.87</v>
      </c>
      <c r="P30">
        <v>1691078.0717289275</v>
      </c>
      <c r="Q30">
        <v>2104126.9417289277</v>
      </c>
    </row>
    <row r="31" spans="1:17" x14ac:dyDescent="0.35">
      <c r="A31" s="39">
        <v>2053</v>
      </c>
      <c r="B31">
        <v>1.0000000034978194</v>
      </c>
      <c r="C31">
        <v>2122556.9261707976</v>
      </c>
      <c r="D31">
        <v>2216817.9170238106</v>
      </c>
      <c r="E31">
        <v>0</v>
      </c>
      <c r="F31">
        <v>121351.5986781159</v>
      </c>
      <c r="G31" s="43">
        <f t="shared" si="4"/>
        <v>121351.5986781159</v>
      </c>
      <c r="H31" s="44">
        <f t="shared" si="5"/>
        <v>-2001205.3274926816</v>
      </c>
      <c r="I31" s="33">
        <f t="shared" si="6"/>
        <v>-2216817.9170238106</v>
      </c>
      <c r="N31" s="39">
        <v>2052</v>
      </c>
      <c r="O31">
        <v>465299.57</v>
      </c>
      <c r="P31">
        <v>1850450.3878522413</v>
      </c>
      <c r="Q31">
        <v>2315749.9578522411</v>
      </c>
    </row>
    <row r="32" spans="1:17" x14ac:dyDescent="0.35">
      <c r="A32" s="39">
        <v>2054</v>
      </c>
      <c r="B32">
        <v>1.0000000019944562</v>
      </c>
      <c r="C32">
        <v>2339383.0363545162</v>
      </c>
      <c r="D32">
        <v>2442345.7311205436</v>
      </c>
      <c r="E32">
        <v>0</v>
      </c>
      <c r="F32">
        <v>122565.11466489708</v>
      </c>
      <c r="G32" s="43">
        <f t="shared" si="4"/>
        <v>122565.11466489708</v>
      </c>
      <c r="H32" s="44">
        <f t="shared" si="5"/>
        <v>-2216817.9216896193</v>
      </c>
      <c r="I32" s="33">
        <f t="shared" si="6"/>
        <v>-2442345.7311205436</v>
      </c>
      <c r="N32" s="39">
        <v>2053</v>
      </c>
      <c r="O32">
        <v>524159.94999999995</v>
      </c>
      <c r="P32">
        <v>2014044.6457388066</v>
      </c>
      <c r="Q32">
        <v>2538204.5957388068</v>
      </c>
    </row>
    <row r="33" spans="1:17" x14ac:dyDescent="0.35">
      <c r="A33" s="39">
        <v>2055</v>
      </c>
      <c r="B33">
        <v>0.99999999808419704</v>
      </c>
      <c r="C33">
        <v>2566136.4920158908</v>
      </c>
      <c r="D33">
        <v>2677745.075554206</v>
      </c>
      <c r="E33">
        <v>0</v>
      </c>
      <c r="F33">
        <v>123790.76581154604</v>
      </c>
      <c r="G33" s="43">
        <f t="shared" si="4"/>
        <v>123790.76581154604</v>
      </c>
      <c r="H33" s="44">
        <f t="shared" si="5"/>
        <v>-2442345.7262043445</v>
      </c>
      <c r="I33" s="33">
        <f t="shared" si="6"/>
        <v>-2677745.075554206</v>
      </c>
      <c r="N33" s="39">
        <v>2054</v>
      </c>
      <c r="O33">
        <v>590466.18999999994</v>
      </c>
      <c r="P33">
        <v>2178894.9847224737</v>
      </c>
      <c r="Q33">
        <v>2769361.1747224736</v>
      </c>
    </row>
    <row r="34" spans="1:17" x14ac:dyDescent="0.35">
      <c r="A34" s="39">
        <v>2056</v>
      </c>
      <c r="B34">
        <v>0.99999999681886986</v>
      </c>
      <c r="C34">
        <v>2802773.740107893</v>
      </c>
      <c r="D34">
        <v>2925484.0618790966</v>
      </c>
      <c r="E34">
        <v>0</v>
      </c>
      <c r="F34">
        <v>125028.6734696615</v>
      </c>
      <c r="G34" s="43">
        <f t="shared" si="4"/>
        <v>125028.6734696615</v>
      </c>
      <c r="H34" s="44">
        <f t="shared" si="5"/>
        <v>-2677745.0666382313</v>
      </c>
      <c r="I34" s="33">
        <f t="shared" si="6"/>
        <v>-2925484.0618790966</v>
      </c>
      <c r="N34" s="39">
        <v>2055</v>
      </c>
      <c r="O34">
        <v>665160.16</v>
      </c>
      <c r="P34">
        <v>2346868.8221274945</v>
      </c>
      <c r="Q34">
        <v>3012028.9821274946</v>
      </c>
    </row>
    <row r="35" spans="1:17" x14ac:dyDescent="0.35">
      <c r="A35" s="39">
        <v>2057</v>
      </c>
      <c r="B35">
        <v>1.0000000025164995</v>
      </c>
      <c r="C35">
        <v>3051763.0297632222</v>
      </c>
      <c r="D35">
        <v>3182872.6642748481</v>
      </c>
      <c r="E35">
        <v>0</v>
      </c>
      <c r="F35">
        <v>126278.96020435813</v>
      </c>
      <c r="G35" s="43">
        <f t="shared" si="4"/>
        <v>126278.96020435813</v>
      </c>
      <c r="H35" s="44">
        <f t="shared" si="5"/>
        <v>-2925484.069558864</v>
      </c>
      <c r="I35" s="33">
        <f t="shared" si="6"/>
        <v>-3182872.6642748481</v>
      </c>
      <c r="N35" s="39">
        <v>2056</v>
      </c>
      <c r="O35">
        <v>749302.92</v>
      </c>
      <c r="P35">
        <v>2514444.3639795491</v>
      </c>
      <c r="Q35">
        <v>3263747.2839795491</v>
      </c>
    </row>
    <row r="36" spans="1:17" x14ac:dyDescent="0.35">
      <c r="A36" s="39">
        <v>2058</v>
      </c>
      <c r="B36">
        <v>1.0000000029134861</v>
      </c>
      <c r="C36">
        <v>3310414.4237261061</v>
      </c>
      <c r="D36">
        <v>3452687.0381476507</v>
      </c>
      <c r="E36">
        <v>0</v>
      </c>
      <c r="F36">
        <v>127541.7498064017</v>
      </c>
      <c r="G36" s="43">
        <f t="shared" si="4"/>
        <v>127541.7498064017</v>
      </c>
      <c r="H36" s="44">
        <f t="shared" si="5"/>
        <v>-3182872.6739197043</v>
      </c>
      <c r="I36" s="33">
        <f t="shared" si="6"/>
        <v>-3452687.0381476507</v>
      </c>
      <c r="N36" s="39">
        <v>2057</v>
      </c>
      <c r="O36">
        <v>844089.74</v>
      </c>
      <c r="P36">
        <v>2684263.9061451624</v>
      </c>
      <c r="Q36">
        <v>3528353.6461451622</v>
      </c>
    </row>
    <row r="37" spans="1:17" x14ac:dyDescent="0.35">
      <c r="A37" s="39">
        <v>2059</v>
      </c>
      <c r="B37">
        <v>0.99999999936573869</v>
      </c>
      <c r="C37">
        <v>3581504.2031805119</v>
      </c>
      <c r="D37">
        <v>3735828.8382649035</v>
      </c>
      <c r="E37">
        <v>0</v>
      </c>
      <c r="F37">
        <v>128817.16730446572</v>
      </c>
      <c r="G37" s="43">
        <f t="shared" si="4"/>
        <v>128817.16730446572</v>
      </c>
      <c r="H37" s="44">
        <f t="shared" si="5"/>
        <v>-3452687.0358760464</v>
      </c>
      <c r="I37" s="33">
        <f t="shared" si="6"/>
        <v>-3735828.8382649035</v>
      </c>
      <c r="N37" s="39">
        <v>2058</v>
      </c>
      <c r="O37">
        <v>950867.09</v>
      </c>
      <c r="P37">
        <v>2854167.4290550742</v>
      </c>
      <c r="Q37">
        <v>3805034.5190550741</v>
      </c>
    </row>
    <row r="38" spans="1:17" x14ac:dyDescent="0.35">
      <c r="A38" s="39">
        <v>2060</v>
      </c>
      <c r="B38">
        <v>1.0000000002392955</v>
      </c>
      <c r="C38">
        <v>3865934.1781675206</v>
      </c>
      <c r="D38">
        <v>4032397.9807465696</v>
      </c>
      <c r="E38">
        <v>0</v>
      </c>
      <c r="F38">
        <v>130105.33897751037</v>
      </c>
      <c r="G38" s="43">
        <f t="shared" si="4"/>
        <v>130105.33897751037</v>
      </c>
      <c r="H38" s="44">
        <f t="shared" si="5"/>
        <v>-3735828.83919001</v>
      </c>
      <c r="I38" s="33">
        <f t="shared" si="6"/>
        <v>-4032397.9807465696</v>
      </c>
      <c r="N38" s="39">
        <v>2059</v>
      </c>
      <c r="O38">
        <v>1071151.79</v>
      </c>
      <c r="P38">
        <v>3021078.9742169855</v>
      </c>
      <c r="Q38">
        <v>4092230.7642169856</v>
      </c>
    </row>
    <row r="39" spans="1:17" x14ac:dyDescent="0.35">
      <c r="A39" s="39">
        <v>2061</v>
      </c>
      <c r="B39">
        <v>0.99999999776961368</v>
      </c>
      <c r="C39">
        <v>4176814.8976957169</v>
      </c>
      <c r="D39">
        <v>4359806.8530008933</v>
      </c>
      <c r="E39">
        <v>0</v>
      </c>
      <c r="F39">
        <v>144416.92626503651</v>
      </c>
      <c r="G39" s="43">
        <f t="shared" si="4"/>
        <v>144416.92626503651</v>
      </c>
      <c r="H39" s="44">
        <f t="shared" si="5"/>
        <v>-4032397.9714306802</v>
      </c>
      <c r="I39" s="33">
        <f t="shared" si="6"/>
        <v>-4359806.8530008933</v>
      </c>
      <c r="N39" s="39">
        <v>2060</v>
      </c>
      <c r="O39">
        <v>1206652.48</v>
      </c>
      <c r="P39">
        <v>3191108.9321955475</v>
      </c>
      <c r="Q39">
        <v>4397761.4121955475</v>
      </c>
    </row>
    <row r="40" spans="1:17" x14ac:dyDescent="0.35">
      <c r="A40" s="39">
        <v>2062</v>
      </c>
      <c r="B40">
        <v>0.99999999757251712</v>
      </c>
      <c r="C40">
        <v>4505667.937591156</v>
      </c>
      <c r="D40">
        <v>4701348.0352451894</v>
      </c>
      <c r="E40">
        <v>0</v>
      </c>
      <c r="F40">
        <v>145861.09552768685</v>
      </c>
      <c r="G40" s="43">
        <f t="shared" si="4"/>
        <v>145861.09552768685</v>
      </c>
      <c r="H40" s="44">
        <f t="shared" si="5"/>
        <v>-4359806.8420634689</v>
      </c>
      <c r="I40" s="33">
        <f t="shared" si="6"/>
        <v>-4701348.0352451894</v>
      </c>
      <c r="N40" s="39">
        <v>2061</v>
      </c>
      <c r="O40">
        <v>1359294.02</v>
      </c>
      <c r="P40">
        <v>3367911.4507866562</v>
      </c>
      <c r="Q40">
        <v>4727205.4707866563</v>
      </c>
    </row>
    <row r="41" spans="1:17" x14ac:dyDescent="0.35">
      <c r="A41" s="39">
        <v>2063</v>
      </c>
      <c r="B41">
        <v>0.99999999929547334</v>
      </c>
      <c r="C41">
        <v>4848667.7383121466</v>
      </c>
      <c r="D41">
        <v>5054672.5983349932</v>
      </c>
      <c r="E41">
        <v>0</v>
      </c>
      <c r="F41">
        <v>147319.70648296372</v>
      </c>
      <c r="G41" s="43">
        <f t="shared" si="4"/>
        <v>147319.70648296372</v>
      </c>
      <c r="H41" s="44">
        <f t="shared" si="5"/>
        <v>-4701348.031829183</v>
      </c>
      <c r="I41" s="33">
        <f t="shared" si="6"/>
        <v>-5054672.5983349932</v>
      </c>
      <c r="N41" s="39">
        <v>2062</v>
      </c>
      <c r="O41">
        <v>1531244.71</v>
      </c>
      <c r="P41">
        <v>3543147.070232308</v>
      </c>
      <c r="Q41">
        <v>5074391.7802323084</v>
      </c>
    </row>
    <row r="42" spans="1:17" x14ac:dyDescent="0.35">
      <c r="A42" s="39">
        <v>2064</v>
      </c>
      <c r="B42">
        <v>0.99999999844302256</v>
      </c>
      <c r="C42">
        <v>5203465.4937811252</v>
      </c>
      <c r="D42">
        <v>5425814.3348847022</v>
      </c>
      <c r="E42">
        <v>0</v>
      </c>
      <c r="F42">
        <v>148792.90354779336</v>
      </c>
      <c r="G42" s="43">
        <f t="shared" si="4"/>
        <v>148792.90354779336</v>
      </c>
      <c r="H42" s="44">
        <f t="shared" si="5"/>
        <v>-5054672.5902333315</v>
      </c>
      <c r="I42" s="33">
        <f t="shared" si="6"/>
        <v>-5425814.3348847022</v>
      </c>
      <c r="N42" s="39">
        <v>2063</v>
      </c>
      <c r="O42">
        <v>1724947.17</v>
      </c>
      <c r="P42">
        <v>3712383.3265957199</v>
      </c>
      <c r="Q42">
        <v>5437330.4965957198</v>
      </c>
    </row>
    <row r="43" spans="1:17" x14ac:dyDescent="0.35">
      <c r="A43" s="39">
        <v>2065</v>
      </c>
      <c r="B43">
        <v>1.0000000022816973</v>
      </c>
      <c r="C43">
        <v>5576095.1801909544</v>
      </c>
      <c r="D43">
        <v>5822007.0493149273</v>
      </c>
      <c r="E43">
        <v>0</v>
      </c>
      <c r="F43">
        <v>150280.83258327132</v>
      </c>
      <c r="G43" s="43">
        <f t="shared" si="4"/>
        <v>150280.83258327132</v>
      </c>
      <c r="H43" s="44">
        <f t="shared" si="5"/>
        <v>-5425814.3476076834</v>
      </c>
      <c r="I43" s="33">
        <f t="shared" si="6"/>
        <v>-5822007.0493149273</v>
      </c>
      <c r="N43" s="39">
        <v>2064</v>
      </c>
      <c r="O43">
        <v>1943152.9900000002</v>
      </c>
      <c r="P43">
        <v>3873865.2302508098</v>
      </c>
      <c r="Q43">
        <v>5817018.2202508096</v>
      </c>
    </row>
    <row r="44" spans="1:17" x14ac:dyDescent="0.35">
      <c r="A44" s="39">
        <v>2066</v>
      </c>
      <c r="B44">
        <v>0.99999999908650883</v>
      </c>
      <c r="C44">
        <v>5973790.6847670451</v>
      </c>
      <c r="D44">
        <v>6233208.9735486973</v>
      </c>
      <c r="E44">
        <v>0</v>
      </c>
      <c r="F44">
        <v>151783.64090910403</v>
      </c>
      <c r="G44" s="43">
        <f t="shared" si="4"/>
        <v>151783.64090910403</v>
      </c>
      <c r="H44" s="44">
        <f t="shared" si="5"/>
        <v>-5822007.0438579414</v>
      </c>
      <c r="I44" s="33">
        <f t="shared" si="6"/>
        <v>-6233208.9735486973</v>
      </c>
      <c r="N44" s="39">
        <v>2065</v>
      </c>
      <c r="O44">
        <v>2188961.85</v>
      </c>
      <c r="P44">
        <v>4021095.683214881</v>
      </c>
      <c r="Q44">
        <v>6210057.5332148811</v>
      </c>
    </row>
    <row r="45" spans="1:17" x14ac:dyDescent="0.35">
      <c r="A45" s="39">
        <v>2067</v>
      </c>
      <c r="B45">
        <v>0.99999999994782807</v>
      </c>
      <c r="C45">
        <v>6386510.4505337095</v>
      </c>
      <c r="D45">
        <v>6670092.4602350825</v>
      </c>
      <c r="E45">
        <v>0</v>
      </c>
      <c r="F45">
        <v>153301.47731819507</v>
      </c>
      <c r="G45" s="43">
        <f t="shared" si="4"/>
        <v>153301.47731819507</v>
      </c>
      <c r="H45" s="44">
        <f t="shared" si="5"/>
        <v>-6233208.9732155148</v>
      </c>
      <c r="I45" s="33">
        <f t="shared" si="6"/>
        <v>-6670092.4602350825</v>
      </c>
      <c r="N45" s="39">
        <v>2066</v>
      </c>
      <c r="O45">
        <v>2465865.5099999998</v>
      </c>
      <c r="P45">
        <v>4114616.1305097779</v>
      </c>
      <c r="Q45">
        <v>6580481.6405097777</v>
      </c>
    </row>
    <row r="46" spans="1:17" x14ac:dyDescent="0.35">
      <c r="A46" s="39">
        <v>2068</v>
      </c>
      <c r="B46">
        <v>1.0000000006231575</v>
      </c>
      <c r="C46">
        <v>6824926.9565794794</v>
      </c>
      <c r="D46">
        <v>7124926.727404261</v>
      </c>
      <c r="E46">
        <v>0</v>
      </c>
      <c r="F46">
        <v>154834.49209137703</v>
      </c>
      <c r="G46" s="43">
        <f t="shared" si="4"/>
        <v>154834.49209137703</v>
      </c>
      <c r="H46" s="44">
        <f t="shared" si="5"/>
        <v>-6670092.4644881021</v>
      </c>
      <c r="I46" s="33">
        <f t="shared" si="6"/>
        <v>-7124926.727404261</v>
      </c>
      <c r="N46" s="39">
        <v>2067</v>
      </c>
      <c r="O46">
        <v>2338996.66</v>
      </c>
      <c r="P46">
        <v>4615994.1512247883</v>
      </c>
      <c r="Q46">
        <v>6954990.8112247884</v>
      </c>
    </row>
    <row r="47" spans="1:17" x14ac:dyDescent="0.35">
      <c r="A47" s="39">
        <v>2069</v>
      </c>
      <c r="B47">
        <v>0.99999999890627111</v>
      </c>
      <c r="C47">
        <v>7281309.5564527931</v>
      </c>
      <c r="D47">
        <v>7600351.7997258697</v>
      </c>
      <c r="E47">
        <v>0</v>
      </c>
      <c r="F47">
        <v>156382.83701229081</v>
      </c>
      <c r="G47" s="43">
        <f t="shared" si="4"/>
        <v>156382.83701229081</v>
      </c>
      <c r="H47" s="44">
        <f t="shared" si="5"/>
        <v>-7124926.7194405021</v>
      </c>
      <c r="I47" s="33">
        <f t="shared" si="6"/>
        <v>-7600351.7997258697</v>
      </c>
      <c r="N47" s="39">
        <v>2068</v>
      </c>
      <c r="O47">
        <v>2386119.12</v>
      </c>
      <c r="P47">
        <v>4947967.9108187901</v>
      </c>
      <c r="Q47">
        <v>7334087.0308187902</v>
      </c>
    </row>
    <row r="48" spans="1:17" x14ac:dyDescent="0.35">
      <c r="A48" s="39">
        <v>2070</v>
      </c>
      <c r="B48">
        <v>1.0000000007084899</v>
      </c>
      <c r="C48">
        <v>7758298.4706049971</v>
      </c>
      <c r="D48">
        <v>8103167.0363139892</v>
      </c>
      <c r="E48">
        <v>0</v>
      </c>
      <c r="F48">
        <v>157946.66538241372</v>
      </c>
      <c r="G48" s="43">
        <f t="shared" si="4"/>
        <v>157946.66538241372</v>
      </c>
      <c r="H48" s="44">
        <f t="shared" si="5"/>
        <v>-7600351.805222583</v>
      </c>
      <c r="I48" s="33">
        <f t="shared" si="6"/>
        <v>-8103167.0363139892</v>
      </c>
      <c r="N48" s="39">
        <v>2069</v>
      </c>
      <c r="O48">
        <v>1566316.7200000002</v>
      </c>
      <c r="P48">
        <v>6157483.1905647814</v>
      </c>
      <c r="Q48">
        <v>7723799.9105647821</v>
      </c>
    </row>
    <row r="49" spans="1:17" x14ac:dyDescent="0.35">
      <c r="A49" s="39">
        <v>2071</v>
      </c>
      <c r="B49">
        <v>1.0000000000265392</v>
      </c>
      <c r="C49">
        <v>8103167.0365290586</v>
      </c>
      <c r="D49">
        <v>8476322.1162396446</v>
      </c>
      <c r="E49">
        <v>0</v>
      </c>
      <c r="F49">
        <v>0</v>
      </c>
      <c r="G49" s="43">
        <f t="shared" si="4"/>
        <v>0</v>
      </c>
      <c r="H49" s="44">
        <f t="shared" si="5"/>
        <v>-8103167.0365290586</v>
      </c>
      <c r="I49" s="33">
        <f t="shared" si="6"/>
        <v>-8476322.1162396446</v>
      </c>
      <c r="N49" s="39">
        <v>2070</v>
      </c>
      <c r="P49">
        <v>8096271.2478290899</v>
      </c>
      <c r="Q49">
        <v>8096271.2478290899</v>
      </c>
    </row>
    <row r="50" spans="1:17" x14ac:dyDescent="0.35">
      <c r="A50" s="39">
        <v>2072</v>
      </c>
      <c r="B50">
        <v>1.0000000003989389</v>
      </c>
      <c r="C50">
        <v>8476322.119621193</v>
      </c>
      <c r="D50">
        <v>8862899.4986017905</v>
      </c>
      <c r="E50">
        <v>0</v>
      </c>
      <c r="F50">
        <v>0</v>
      </c>
      <c r="G50" s="43">
        <f t="shared" si="4"/>
        <v>0</v>
      </c>
      <c r="H50" s="44">
        <f t="shared" si="5"/>
        <v>-8476322.119621193</v>
      </c>
      <c r="I50" s="33">
        <f t="shared" si="6"/>
        <v>-8862899.4986017905</v>
      </c>
      <c r="N50" s="39">
        <v>2071</v>
      </c>
      <c r="O50">
        <v>1602295.23</v>
      </c>
      <c r="P50">
        <v>6665168.236235599</v>
      </c>
      <c r="Q50">
        <v>8267463.4662355985</v>
      </c>
    </row>
    <row r="51" spans="1:17" x14ac:dyDescent="0.35">
      <c r="A51" s="39">
        <v>2073</v>
      </c>
      <c r="B51">
        <v>1.0000000000420028</v>
      </c>
      <c r="C51">
        <v>8862899.4989740755</v>
      </c>
      <c r="D51">
        <v>9274987.7371702027</v>
      </c>
      <c r="E51">
        <v>0</v>
      </c>
      <c r="F51">
        <v>0</v>
      </c>
      <c r="G51" s="43">
        <f t="shared" si="4"/>
        <v>0</v>
      </c>
      <c r="H51" s="44">
        <f t="shared" si="5"/>
        <v>-8862899.4989740755</v>
      </c>
      <c r="I51" s="33">
        <f t="shared" si="6"/>
        <v>-9274987.7371702027</v>
      </c>
      <c r="N51" s="39">
        <v>2072</v>
      </c>
      <c r="P51">
        <v>8493969.3407039698</v>
      </c>
      <c r="Q51">
        <v>8493969.3407039698</v>
      </c>
    </row>
    <row r="52" spans="1:17" x14ac:dyDescent="0.35">
      <c r="A52" s="39">
        <v>2074</v>
      </c>
      <c r="B52">
        <v>1.0000000004608576</v>
      </c>
      <c r="C52">
        <v>9274987.7414446641</v>
      </c>
      <c r="D52">
        <v>9718233.3433715813</v>
      </c>
      <c r="E52">
        <v>0</v>
      </c>
      <c r="F52">
        <v>0</v>
      </c>
      <c r="G52" s="43">
        <f t="shared" si="4"/>
        <v>0</v>
      </c>
      <c r="H52" s="44">
        <f t="shared" si="5"/>
        <v>-9274987.7414446641</v>
      </c>
      <c r="I52" s="33">
        <f t="shared" si="6"/>
        <v>-9718233.3433715813</v>
      </c>
      <c r="N52" s="39">
        <v>2073</v>
      </c>
      <c r="P52">
        <v>8673073.3667679299</v>
      </c>
      <c r="Q52">
        <v>8673073.3667679299</v>
      </c>
    </row>
    <row r="53" spans="1:17" x14ac:dyDescent="0.35">
      <c r="A53" s="39" t="s">
        <v>184</v>
      </c>
      <c r="E53">
        <v>0</v>
      </c>
      <c r="F53">
        <v>0</v>
      </c>
      <c r="G53" s="43">
        <f t="shared" si="4"/>
        <v>0</v>
      </c>
      <c r="H53" s="44">
        <f t="shared" si="5"/>
        <v>0</v>
      </c>
      <c r="I53" s="33">
        <f t="shared" si="6"/>
        <v>0</v>
      </c>
      <c r="N53" s="39">
        <v>2074</v>
      </c>
      <c r="P53">
        <v>8855740.4883264191</v>
      </c>
      <c r="Q53">
        <v>8855740.4883264191</v>
      </c>
    </row>
    <row r="54" spans="1:17" x14ac:dyDescent="0.35">
      <c r="A54" s="39">
        <v>2075</v>
      </c>
      <c r="B54">
        <v>0.99999996940303082</v>
      </c>
      <c r="C54">
        <v>218233.3366943046</v>
      </c>
      <c r="D54">
        <v>225058.13533738331</v>
      </c>
      <c r="N54" s="39" t="s">
        <v>182</v>
      </c>
      <c r="O54">
        <v>29852601.23</v>
      </c>
      <c r="P54">
        <v>119194834.99118838</v>
      </c>
      <c r="Q54">
        <v>149047436.2211884</v>
      </c>
    </row>
    <row r="55" spans="1:17" x14ac:dyDescent="0.35">
      <c r="A55" s="39" t="s">
        <v>182</v>
      </c>
      <c r="B55">
        <v>50.000000061996211</v>
      </c>
      <c r="C55">
        <v>136383184.89601555</v>
      </c>
      <c r="D55">
        <v>142401510.79198775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AF7DD-DBAF-4B63-9674-EF0EDE39543B}">
  <dimension ref="A1:S370"/>
  <sheetViews>
    <sheetView workbookViewId="0">
      <pane ySplit="1" topLeftCell="A2" activePane="bottomLeft" state="frozen"/>
      <selection pane="bottomLeft" activeCell="H3" sqref="H3"/>
    </sheetView>
  </sheetViews>
  <sheetFormatPr defaultRowHeight="14.5" x14ac:dyDescent="0.35"/>
  <cols>
    <col min="3" max="3" width="31.453125" bestFit="1" customWidth="1"/>
    <col min="4" max="5" width="11.81640625" bestFit="1" customWidth="1"/>
    <col min="6" max="6" width="6.81640625" bestFit="1" customWidth="1"/>
    <col min="7" max="10" width="11.81640625" bestFit="1" customWidth="1"/>
  </cols>
  <sheetData>
    <row r="1" spans="1:19" x14ac:dyDescent="0.35">
      <c r="A1" t="s">
        <v>1</v>
      </c>
      <c r="B1" t="s">
        <v>173</v>
      </c>
      <c r="C1" t="s">
        <v>168</v>
      </c>
      <c r="D1" t="s">
        <v>174</v>
      </c>
      <c r="E1" t="s">
        <v>183</v>
      </c>
      <c r="F1" t="s">
        <v>98</v>
      </c>
      <c r="G1" t="s">
        <v>175</v>
      </c>
      <c r="H1" t="s">
        <v>176</v>
      </c>
      <c r="I1" t="s">
        <v>177</v>
      </c>
      <c r="J1" t="s">
        <v>178</v>
      </c>
      <c r="K1" t="s">
        <v>199</v>
      </c>
      <c r="L1" t="s">
        <v>200</v>
      </c>
      <c r="M1" t="s">
        <v>201</v>
      </c>
      <c r="N1" t="s">
        <v>202</v>
      </c>
      <c r="O1" t="s">
        <v>203</v>
      </c>
      <c r="P1" t="s">
        <v>204</v>
      </c>
      <c r="Q1" t="s">
        <v>205</v>
      </c>
      <c r="R1" t="s">
        <v>206</v>
      </c>
      <c r="S1" t="s">
        <v>207</v>
      </c>
    </row>
    <row r="2" spans="1:19" x14ac:dyDescent="0.35">
      <c r="A2">
        <v>2026</v>
      </c>
      <c r="B2" t="s">
        <v>179</v>
      </c>
      <c r="C2" t="s">
        <v>106</v>
      </c>
      <c r="D2">
        <v>51664.91</v>
      </c>
      <c r="E2">
        <v>0.98137930903482096</v>
      </c>
      <c r="F2">
        <v>8.3999999999999894E-2</v>
      </c>
      <c r="G2">
        <v>4339.8524399999997</v>
      </c>
      <c r="H2">
        <v>737.77491480000003</v>
      </c>
      <c r="I2">
        <v>3602.0775251999999</v>
      </c>
      <c r="J2">
        <v>55266.987525199998</v>
      </c>
      <c r="K2">
        <v>187224.3</v>
      </c>
    </row>
    <row r="3" spans="1:19" x14ac:dyDescent="0.35">
      <c r="A3">
        <v>2026</v>
      </c>
      <c r="B3" t="s">
        <v>179</v>
      </c>
      <c r="C3" t="s">
        <v>107</v>
      </c>
      <c r="D3">
        <v>247.48</v>
      </c>
      <c r="E3">
        <v>4.70090340619847E-3</v>
      </c>
      <c r="F3">
        <v>6.8000000000000005E-2</v>
      </c>
      <c r="G3">
        <v>16.82864</v>
      </c>
      <c r="H3">
        <v>2.8608688</v>
      </c>
      <c r="I3">
        <v>13.9677712</v>
      </c>
      <c r="J3">
        <v>261.44777119999998</v>
      </c>
      <c r="K3">
        <v>187224.3</v>
      </c>
    </row>
    <row r="4" spans="1:19" x14ac:dyDescent="0.35">
      <c r="A4">
        <v>2026</v>
      </c>
      <c r="B4" t="s">
        <v>180</v>
      </c>
      <c r="C4" t="s">
        <v>161</v>
      </c>
      <c r="D4">
        <v>55.623945371069297</v>
      </c>
      <c r="E4">
        <v>1.05658151875326E-3</v>
      </c>
      <c r="F4">
        <v>4.8300000000000003E-2</v>
      </c>
      <c r="G4">
        <v>2.6866365614226502</v>
      </c>
      <c r="H4">
        <v>0.725391871584116</v>
      </c>
      <c r="I4">
        <v>1.9612446898385301</v>
      </c>
      <c r="J4">
        <v>57.585190060907799</v>
      </c>
      <c r="K4">
        <v>187224.3</v>
      </c>
    </row>
    <row r="5" spans="1:19" x14ac:dyDescent="0.35">
      <c r="A5">
        <v>2026</v>
      </c>
      <c r="B5" t="s">
        <v>180</v>
      </c>
      <c r="C5" t="s">
        <v>160</v>
      </c>
      <c r="D5">
        <v>433.80103880438702</v>
      </c>
      <c r="E5">
        <v>8.2400872027152908E-3</v>
      </c>
      <c r="F5">
        <v>4.9299999999999997E-2</v>
      </c>
      <c r="G5">
        <v>21.3863912130562</v>
      </c>
      <c r="H5">
        <v>5.7743256275251804</v>
      </c>
      <c r="I5">
        <v>15.612065585531001</v>
      </c>
      <c r="J5">
        <v>449.41310438991798</v>
      </c>
      <c r="K5">
        <v>187224.3</v>
      </c>
    </row>
    <row r="6" spans="1:19" x14ac:dyDescent="0.35">
      <c r="A6">
        <v>2026</v>
      </c>
      <c r="B6" t="s">
        <v>180</v>
      </c>
      <c r="C6" t="s">
        <v>159</v>
      </c>
      <c r="D6">
        <v>92.335530152093298</v>
      </c>
      <c r="E6">
        <v>1.7539211580940501E-3</v>
      </c>
      <c r="F6">
        <v>3.6299999999999999E-2</v>
      </c>
      <c r="G6">
        <v>3.35177974452098</v>
      </c>
      <c r="H6">
        <v>0.904980531020665</v>
      </c>
      <c r="I6">
        <v>2.4467992135003098</v>
      </c>
      <c r="J6">
        <v>94.782329365593597</v>
      </c>
      <c r="K6">
        <v>187224.3</v>
      </c>
    </row>
    <row r="7" spans="1:19" x14ac:dyDescent="0.35">
      <c r="A7">
        <v>2026</v>
      </c>
      <c r="B7" t="s">
        <v>180</v>
      </c>
      <c r="C7" t="s">
        <v>158</v>
      </c>
      <c r="D7">
        <v>151.05193348678901</v>
      </c>
      <c r="E7">
        <v>2.86924417585629E-3</v>
      </c>
      <c r="F7">
        <v>2.8299999999999999E-2</v>
      </c>
      <c r="G7">
        <v>4.2747697176761497</v>
      </c>
      <c r="H7">
        <v>1.15418782377256</v>
      </c>
      <c r="I7">
        <v>3.1205818939035899</v>
      </c>
      <c r="J7">
        <v>154.172515380693</v>
      </c>
      <c r="K7">
        <v>187224.3</v>
      </c>
    </row>
    <row r="8" spans="1:19" x14ac:dyDescent="0.35">
      <c r="A8">
        <v>2027</v>
      </c>
      <c r="B8" t="s">
        <v>179</v>
      </c>
      <c r="C8" t="s">
        <v>106</v>
      </c>
      <c r="D8">
        <v>106933.18</v>
      </c>
      <c r="E8">
        <v>0.97695092545320406</v>
      </c>
      <c r="F8">
        <v>8.3999999999999894E-2</v>
      </c>
      <c r="G8">
        <v>8982.3871200000103</v>
      </c>
      <c r="H8">
        <v>1527.0058104</v>
      </c>
      <c r="I8">
        <v>7455.3813096000104</v>
      </c>
      <c r="J8">
        <v>114388.5613096</v>
      </c>
      <c r="K8">
        <v>210908.17395</v>
      </c>
    </row>
    <row r="9" spans="1:19" x14ac:dyDescent="0.35">
      <c r="A9">
        <v>2027</v>
      </c>
      <c r="B9" t="s">
        <v>179</v>
      </c>
      <c r="C9" t="s">
        <v>107</v>
      </c>
      <c r="D9">
        <v>940.84</v>
      </c>
      <c r="E9">
        <v>8.5955968830571799E-3</v>
      </c>
      <c r="F9">
        <v>6.8000000000000005E-2</v>
      </c>
      <c r="G9">
        <v>63.977119999999999</v>
      </c>
      <c r="H9">
        <v>10.8761104</v>
      </c>
      <c r="I9">
        <v>53.101009599999998</v>
      </c>
      <c r="J9">
        <v>993.94100960000003</v>
      </c>
      <c r="K9">
        <v>210908.17395</v>
      </c>
    </row>
    <row r="10" spans="1:19" x14ac:dyDescent="0.35">
      <c r="A10">
        <v>2027</v>
      </c>
      <c r="B10" t="s">
        <v>180</v>
      </c>
      <c r="C10" t="s">
        <v>161</v>
      </c>
      <c r="D10">
        <v>455.77997966509702</v>
      </c>
      <c r="E10">
        <v>4.16404592977464E-3</v>
      </c>
      <c r="F10">
        <v>4.8300000000000003E-2</v>
      </c>
      <c r="G10">
        <v>22.014173017824099</v>
      </c>
      <c r="H10">
        <v>5.9438267148125297</v>
      </c>
      <c r="I10">
        <v>16.0703463030116</v>
      </c>
      <c r="J10">
        <v>471.850325968108</v>
      </c>
      <c r="K10">
        <v>210908.17395</v>
      </c>
    </row>
    <row r="11" spans="1:19" x14ac:dyDescent="0.35">
      <c r="A11">
        <v>2027</v>
      </c>
      <c r="B11" t="s">
        <v>180</v>
      </c>
      <c r="C11" t="s">
        <v>160</v>
      </c>
      <c r="D11">
        <v>540.63606239590194</v>
      </c>
      <c r="E11">
        <v>4.9392985553319601E-3</v>
      </c>
      <c r="F11">
        <v>4.9299999999999997E-2</v>
      </c>
      <c r="G11">
        <v>26.653357876117798</v>
      </c>
      <c r="H11">
        <v>7.1964066265518198</v>
      </c>
      <c r="I11">
        <v>19.456951249566</v>
      </c>
      <c r="J11">
        <v>560.09301364546798</v>
      </c>
      <c r="K11">
        <v>210908.17395</v>
      </c>
    </row>
    <row r="12" spans="1:19" x14ac:dyDescent="0.35">
      <c r="A12">
        <v>2027</v>
      </c>
      <c r="B12" t="s">
        <v>180</v>
      </c>
      <c r="C12" t="s">
        <v>159</v>
      </c>
      <c r="D12">
        <v>55.868709347354901</v>
      </c>
      <c r="E12">
        <v>5.1042143608536199E-4</v>
      </c>
      <c r="F12">
        <v>3.6299999999999999E-2</v>
      </c>
      <c r="G12">
        <v>2.0280341493089802</v>
      </c>
      <c r="H12">
        <v>0.54756922031342603</v>
      </c>
      <c r="I12">
        <v>1.48046492899556</v>
      </c>
      <c r="J12">
        <v>57.349174276350503</v>
      </c>
      <c r="K12">
        <v>210908.17395</v>
      </c>
    </row>
    <row r="13" spans="1:19" x14ac:dyDescent="0.35">
      <c r="A13">
        <v>2027</v>
      </c>
      <c r="B13" t="s">
        <v>180</v>
      </c>
      <c r="C13" t="s">
        <v>158</v>
      </c>
      <c r="D13">
        <v>529.73311030246703</v>
      </c>
      <c r="E13">
        <v>4.8396882272948296E-3</v>
      </c>
      <c r="F13">
        <v>2.8299999999999999E-2</v>
      </c>
      <c r="G13">
        <v>14.991447021559701</v>
      </c>
      <c r="H13">
        <v>4.0476906958211396</v>
      </c>
      <c r="I13">
        <v>10.943756325738599</v>
      </c>
      <c r="J13">
        <v>540.67686662820495</v>
      </c>
      <c r="K13">
        <v>210908.17395</v>
      </c>
    </row>
    <row r="14" spans="1:19" x14ac:dyDescent="0.35">
      <c r="A14">
        <v>2028</v>
      </c>
      <c r="B14" t="s">
        <v>179</v>
      </c>
      <c r="C14" t="s">
        <v>106</v>
      </c>
      <c r="D14">
        <v>77471.53</v>
      </c>
      <c r="E14">
        <v>0.44009661605949102</v>
      </c>
      <c r="F14">
        <v>8.3999999999999894E-2</v>
      </c>
      <c r="G14">
        <v>6507.6085199999998</v>
      </c>
      <c r="H14">
        <v>1106.2934484</v>
      </c>
      <c r="I14">
        <v>5401.3150716</v>
      </c>
      <c r="J14">
        <v>82872.845071599993</v>
      </c>
      <c r="K14">
        <v>237588.05795467499</v>
      </c>
    </row>
    <row r="15" spans="1:19" x14ac:dyDescent="0.35">
      <c r="A15">
        <v>2028</v>
      </c>
      <c r="B15" t="s">
        <v>180</v>
      </c>
      <c r="C15" t="s">
        <v>106</v>
      </c>
      <c r="D15">
        <v>95212.3</v>
      </c>
      <c r="E15">
        <v>0.54087754607713401</v>
      </c>
      <c r="F15">
        <v>8.3999999999999894E-2</v>
      </c>
      <c r="G15">
        <v>7997.8332</v>
      </c>
      <c r="H15">
        <v>2159.4149640000001</v>
      </c>
      <c r="I15">
        <v>5838.4182360000004</v>
      </c>
      <c r="J15">
        <v>101050.718236</v>
      </c>
      <c r="K15">
        <v>237588.05795467499</v>
      </c>
    </row>
    <row r="16" spans="1:19" x14ac:dyDescent="0.35">
      <c r="A16">
        <v>2028</v>
      </c>
      <c r="B16" t="s">
        <v>179</v>
      </c>
      <c r="C16" t="s">
        <v>107</v>
      </c>
      <c r="D16">
        <v>330.11</v>
      </c>
      <c r="E16">
        <v>1.87527332850401E-3</v>
      </c>
      <c r="F16">
        <v>6.8000000000000005E-2</v>
      </c>
      <c r="G16">
        <v>22.447479999999999</v>
      </c>
      <c r="H16">
        <v>3.8160715999999999</v>
      </c>
      <c r="I16">
        <v>18.631408400000002</v>
      </c>
      <c r="J16">
        <v>348.74140840000001</v>
      </c>
      <c r="K16">
        <v>237588.05795467499</v>
      </c>
    </row>
    <row r="17" spans="1:11" x14ac:dyDescent="0.35">
      <c r="A17">
        <v>2028</v>
      </c>
      <c r="B17" t="s">
        <v>180</v>
      </c>
      <c r="C17" t="s">
        <v>107</v>
      </c>
      <c r="D17">
        <v>405.71</v>
      </c>
      <c r="E17">
        <v>2.30473824515271E-3</v>
      </c>
      <c r="F17">
        <v>6.8000000000000005E-2</v>
      </c>
      <c r="G17">
        <v>27.588279999999902</v>
      </c>
      <c r="H17">
        <v>7.4488355999999998</v>
      </c>
      <c r="I17">
        <v>20.139444399999899</v>
      </c>
      <c r="J17">
        <v>425.84944439999998</v>
      </c>
      <c r="K17">
        <v>237588.05795467499</v>
      </c>
    </row>
    <row r="18" spans="1:11" x14ac:dyDescent="0.35">
      <c r="A18">
        <v>2028</v>
      </c>
      <c r="B18" t="s">
        <v>180</v>
      </c>
      <c r="C18" t="s">
        <v>161</v>
      </c>
      <c r="D18">
        <v>263.264663004402</v>
      </c>
      <c r="E18">
        <v>1.49554148880601E-3</v>
      </c>
      <c r="F18">
        <v>4.8300000000000003E-2</v>
      </c>
      <c r="G18">
        <v>12.715683223112601</v>
      </c>
      <c r="H18">
        <v>3.4332344702404098</v>
      </c>
      <c r="I18">
        <v>9.2824487528722308</v>
      </c>
      <c r="J18">
        <v>272.54711175727402</v>
      </c>
      <c r="K18">
        <v>237588.05795467499</v>
      </c>
    </row>
    <row r="19" spans="1:11" x14ac:dyDescent="0.35">
      <c r="A19">
        <v>2028</v>
      </c>
      <c r="B19" t="s">
        <v>180</v>
      </c>
      <c r="C19" t="s">
        <v>160</v>
      </c>
      <c r="D19">
        <v>1068.53274810382</v>
      </c>
      <c r="E19">
        <v>6.0700704709102798E-3</v>
      </c>
      <c r="F19">
        <v>4.9299999999999997E-2</v>
      </c>
      <c r="G19">
        <v>52.678664481518297</v>
      </c>
      <c r="H19">
        <v>14.223239410009899</v>
      </c>
      <c r="I19">
        <v>38.455425071508301</v>
      </c>
      <c r="J19">
        <v>1106.9881731753201</v>
      </c>
      <c r="K19">
        <v>237588.05795467499</v>
      </c>
    </row>
    <row r="20" spans="1:11" x14ac:dyDescent="0.35">
      <c r="A20">
        <v>2028</v>
      </c>
      <c r="B20" t="s">
        <v>180</v>
      </c>
      <c r="C20" t="s">
        <v>159</v>
      </c>
      <c r="D20">
        <v>574.80421667842404</v>
      </c>
      <c r="E20">
        <v>3.2653207011259602E-3</v>
      </c>
      <c r="F20">
        <v>3.6299999999999999E-2</v>
      </c>
      <c r="G20">
        <v>20.865393065426801</v>
      </c>
      <c r="H20">
        <v>5.6336561276652404</v>
      </c>
      <c r="I20">
        <v>15.2317369377615</v>
      </c>
      <c r="J20">
        <v>590.035953616185</v>
      </c>
      <c r="K20">
        <v>237588.05795467499</v>
      </c>
    </row>
    <row r="21" spans="1:11" x14ac:dyDescent="0.35">
      <c r="A21">
        <v>2028</v>
      </c>
      <c r="B21" t="s">
        <v>180</v>
      </c>
      <c r="C21" t="s">
        <v>158</v>
      </c>
      <c r="D21">
        <v>706.74767853111496</v>
      </c>
      <c r="E21">
        <v>4.0148589001591196E-3</v>
      </c>
      <c r="F21">
        <v>2.8299999999999999E-2</v>
      </c>
      <c r="G21">
        <v>20.000959302430601</v>
      </c>
      <c r="H21">
        <v>5.4002590116562601</v>
      </c>
      <c r="I21">
        <v>14.6007002907743</v>
      </c>
      <c r="J21">
        <v>721.34837882188901</v>
      </c>
      <c r="K21">
        <v>237588.05795467499</v>
      </c>
    </row>
    <row r="22" spans="1:11" x14ac:dyDescent="0.35">
      <c r="A22">
        <v>2029</v>
      </c>
      <c r="B22" t="s">
        <v>179</v>
      </c>
      <c r="C22" t="s">
        <v>106</v>
      </c>
      <c r="D22">
        <v>29983.82</v>
      </c>
      <c r="E22">
        <v>0.121392075790896</v>
      </c>
      <c r="F22">
        <v>8.3999999999999894E-2</v>
      </c>
      <c r="G22">
        <v>2518.6408799999999</v>
      </c>
      <c r="H22">
        <v>428.16894960000002</v>
      </c>
      <c r="I22">
        <v>2090.4719304</v>
      </c>
      <c r="J22">
        <v>32074.291930399999</v>
      </c>
      <c r="K22">
        <v>267642.94728594099</v>
      </c>
    </row>
    <row r="23" spans="1:11" x14ac:dyDescent="0.35">
      <c r="A23">
        <v>2029</v>
      </c>
      <c r="B23" t="s">
        <v>180</v>
      </c>
      <c r="C23" t="s">
        <v>106</v>
      </c>
      <c r="D23">
        <v>209834.21</v>
      </c>
      <c r="E23">
        <v>0.84953185831034395</v>
      </c>
      <c r="F23">
        <v>8.3999999999999894E-2</v>
      </c>
      <c r="G23">
        <v>17626.073639999999</v>
      </c>
      <c r="H23">
        <v>4759.0398827999998</v>
      </c>
      <c r="I23">
        <v>12867.033757200001</v>
      </c>
      <c r="J23">
        <v>222701.24375719999</v>
      </c>
      <c r="K23">
        <v>267642.94728594099</v>
      </c>
    </row>
    <row r="24" spans="1:11" x14ac:dyDescent="0.35">
      <c r="A24">
        <v>2029</v>
      </c>
      <c r="B24" t="s">
        <v>179</v>
      </c>
      <c r="C24" t="s">
        <v>107</v>
      </c>
      <c r="D24">
        <v>71.069999999999993</v>
      </c>
      <c r="E24">
        <v>2.87733011552864E-4</v>
      </c>
      <c r="F24">
        <v>6.8000000000000005E-2</v>
      </c>
      <c r="G24">
        <v>4.8327600000000004</v>
      </c>
      <c r="H24">
        <v>0.821569200000001</v>
      </c>
      <c r="I24">
        <v>4.0111907999999996</v>
      </c>
      <c r="J24">
        <v>75.081190800000002</v>
      </c>
      <c r="K24">
        <v>267642.94728594099</v>
      </c>
    </row>
    <row r="25" spans="1:11" x14ac:dyDescent="0.35">
      <c r="A25">
        <v>2029</v>
      </c>
      <c r="B25" t="s">
        <v>180</v>
      </c>
      <c r="C25" t="s">
        <v>107</v>
      </c>
      <c r="D25">
        <v>497.38</v>
      </c>
      <c r="E25">
        <v>2.01368573640303E-3</v>
      </c>
      <c r="F25">
        <v>6.8000000000000005E-2</v>
      </c>
      <c r="G25">
        <v>33.821840000000002</v>
      </c>
      <c r="H25">
        <v>9.1318968000000105</v>
      </c>
      <c r="I25">
        <v>24.689943199999998</v>
      </c>
      <c r="J25">
        <v>522.06994320000001</v>
      </c>
      <c r="K25">
        <v>267642.94728594099</v>
      </c>
    </row>
    <row r="26" spans="1:11" x14ac:dyDescent="0.35">
      <c r="A26">
        <v>2029</v>
      </c>
      <c r="B26" t="s">
        <v>180</v>
      </c>
      <c r="C26" t="s">
        <v>161</v>
      </c>
      <c r="D26">
        <v>2363.17908995978</v>
      </c>
      <c r="E26">
        <v>9.5675339298281394E-3</v>
      </c>
      <c r="F26">
        <v>4.8300000000000003E-2</v>
      </c>
      <c r="G26">
        <v>114.141550045057</v>
      </c>
      <c r="H26">
        <v>30.818218512165501</v>
      </c>
      <c r="I26">
        <v>83.323331532891999</v>
      </c>
      <c r="J26">
        <v>2446.5024214926698</v>
      </c>
      <c r="K26">
        <v>267642.94728594099</v>
      </c>
    </row>
    <row r="27" spans="1:11" x14ac:dyDescent="0.35">
      <c r="A27">
        <v>2029</v>
      </c>
      <c r="B27" t="s">
        <v>180</v>
      </c>
      <c r="C27" t="s">
        <v>160</v>
      </c>
      <c r="D27">
        <v>1197.1808599030401</v>
      </c>
      <c r="E27">
        <v>4.8468897452279497E-3</v>
      </c>
      <c r="F27">
        <v>4.9299999999999997E-2</v>
      </c>
      <c r="G27">
        <v>59.021016393219902</v>
      </c>
      <c r="H27">
        <v>15.9356744261693</v>
      </c>
      <c r="I27">
        <v>43.085341967050503</v>
      </c>
      <c r="J27">
        <v>1240.2662018700901</v>
      </c>
      <c r="K27">
        <v>267642.94728594099</v>
      </c>
    </row>
    <row r="28" spans="1:11" x14ac:dyDescent="0.35">
      <c r="A28">
        <v>2029</v>
      </c>
      <c r="B28" t="s">
        <v>180</v>
      </c>
      <c r="C28" t="s">
        <v>159</v>
      </c>
      <c r="D28">
        <v>2123.67454072908</v>
      </c>
      <c r="E28">
        <v>8.5978791496007703E-3</v>
      </c>
      <c r="F28">
        <v>3.6299999999999999E-2</v>
      </c>
      <c r="G28">
        <v>77.089385828465694</v>
      </c>
      <c r="H28">
        <v>20.814134173685702</v>
      </c>
      <c r="I28">
        <v>56.27525165478</v>
      </c>
      <c r="J28">
        <v>2179.9497923838599</v>
      </c>
      <c r="K28">
        <v>267642.94728594099</v>
      </c>
    </row>
    <row r="29" spans="1:11" x14ac:dyDescent="0.35">
      <c r="A29">
        <v>2029</v>
      </c>
      <c r="B29" t="s">
        <v>180</v>
      </c>
      <c r="C29" t="s">
        <v>158</v>
      </c>
      <c r="D29">
        <v>929.30383626072899</v>
      </c>
      <c r="E29">
        <v>3.7623665605027298E-3</v>
      </c>
      <c r="F29">
        <v>2.8299999999999999E-2</v>
      </c>
      <c r="G29">
        <v>26.299298566178599</v>
      </c>
      <c r="H29">
        <v>7.1008106128682398</v>
      </c>
      <c r="I29">
        <v>19.198487953310401</v>
      </c>
      <c r="J29">
        <v>948.50232421403905</v>
      </c>
      <c r="K29">
        <v>267642.94728594099</v>
      </c>
    </row>
    <row r="30" spans="1:11" x14ac:dyDescent="0.35">
      <c r="A30">
        <v>2030</v>
      </c>
      <c r="B30" t="s">
        <v>179</v>
      </c>
      <c r="C30" t="s">
        <v>106</v>
      </c>
      <c r="D30">
        <v>33776.65</v>
      </c>
      <c r="E30">
        <v>0.104767988870632</v>
      </c>
      <c r="F30">
        <v>8.3999999999999894E-2</v>
      </c>
      <c r="G30">
        <v>2837.2386000000001</v>
      </c>
      <c r="H30">
        <v>482.33056199999999</v>
      </c>
      <c r="I30">
        <v>2354.908038</v>
      </c>
      <c r="J30">
        <v>36131.558038000003</v>
      </c>
      <c r="K30">
        <v>301499.78011761297</v>
      </c>
    </row>
    <row r="31" spans="1:11" x14ac:dyDescent="0.35">
      <c r="A31">
        <v>2030</v>
      </c>
      <c r="B31" t="s">
        <v>180</v>
      </c>
      <c r="C31" t="s">
        <v>106</v>
      </c>
      <c r="D31">
        <v>286058.73</v>
      </c>
      <c r="E31">
        <v>0.88729337696270005</v>
      </c>
      <c r="F31">
        <v>8.3999999999999894E-2</v>
      </c>
      <c r="G31">
        <v>24028.93332</v>
      </c>
      <c r="H31">
        <v>6487.8119963999998</v>
      </c>
      <c r="I31">
        <v>17541.1213236</v>
      </c>
      <c r="J31">
        <v>303599.85132359999</v>
      </c>
      <c r="K31">
        <v>301499.78011761297</v>
      </c>
    </row>
    <row r="32" spans="1:11" x14ac:dyDescent="0.35">
      <c r="A32">
        <v>2030</v>
      </c>
      <c r="B32" t="s">
        <v>179</v>
      </c>
      <c r="C32" t="s">
        <v>107</v>
      </c>
      <c r="D32">
        <v>80.19</v>
      </c>
      <c r="E32">
        <v>2.4873233513495201E-4</v>
      </c>
      <c r="F32">
        <v>6.8000000000000005E-2</v>
      </c>
      <c r="G32">
        <v>5.4529199999999998</v>
      </c>
      <c r="H32">
        <v>0.92699640000000105</v>
      </c>
      <c r="I32">
        <v>4.5259235999999996</v>
      </c>
      <c r="J32">
        <v>84.715923599999996</v>
      </c>
      <c r="K32">
        <v>301499.78011761297</v>
      </c>
    </row>
    <row r="33" spans="1:11" x14ac:dyDescent="0.35">
      <c r="A33">
        <v>2030</v>
      </c>
      <c r="B33" t="s">
        <v>180</v>
      </c>
      <c r="C33" t="s">
        <v>107</v>
      </c>
      <c r="D33">
        <v>679.1</v>
      </c>
      <c r="E33">
        <v>2.1064238532254201E-3</v>
      </c>
      <c r="F33">
        <v>6.8000000000000005E-2</v>
      </c>
      <c r="G33">
        <v>46.178800000000003</v>
      </c>
      <c r="H33">
        <v>12.468275999999999</v>
      </c>
      <c r="I33">
        <v>33.710523999999999</v>
      </c>
      <c r="J33">
        <v>712.81052399999999</v>
      </c>
      <c r="K33">
        <v>301499.78011761297</v>
      </c>
    </row>
    <row r="34" spans="1:11" x14ac:dyDescent="0.35">
      <c r="A34">
        <v>2030</v>
      </c>
      <c r="B34" t="s">
        <v>180</v>
      </c>
      <c r="C34" t="s">
        <v>161</v>
      </c>
      <c r="D34">
        <v>468.14180621770703</v>
      </c>
      <c r="E34">
        <v>1.45207637654102E-3</v>
      </c>
      <c r="F34">
        <v>4.8300000000000003E-2</v>
      </c>
      <c r="G34">
        <v>22.611249240315299</v>
      </c>
      <c r="H34">
        <v>6.1050372948851299</v>
      </c>
      <c r="I34">
        <v>16.506211945430099</v>
      </c>
      <c r="J34">
        <v>484.64801816313798</v>
      </c>
      <c r="K34">
        <v>301499.78011761297</v>
      </c>
    </row>
    <row r="35" spans="1:11" x14ac:dyDescent="0.35">
      <c r="A35">
        <v>2030</v>
      </c>
      <c r="B35" t="s">
        <v>180</v>
      </c>
      <c r="C35" t="s">
        <v>160</v>
      </c>
      <c r="D35">
        <v>657.68218816729996</v>
      </c>
      <c r="E35">
        <v>2.03999035340463E-3</v>
      </c>
      <c r="F35">
        <v>4.9299999999999997E-2</v>
      </c>
      <c r="G35">
        <v>32.4237318766478</v>
      </c>
      <c r="H35">
        <v>8.7544076066949099</v>
      </c>
      <c r="I35">
        <v>23.669324269952899</v>
      </c>
      <c r="J35">
        <v>681.35151243725295</v>
      </c>
      <c r="K35">
        <v>301499.78011761297</v>
      </c>
    </row>
    <row r="36" spans="1:11" x14ac:dyDescent="0.35">
      <c r="A36">
        <v>2030</v>
      </c>
      <c r="B36" t="s">
        <v>180</v>
      </c>
      <c r="C36" t="s">
        <v>159</v>
      </c>
      <c r="D36">
        <v>11.3137302709768</v>
      </c>
      <c r="E36" s="42">
        <v>3.5092786499402303E-5</v>
      </c>
      <c r="F36">
        <v>3.6299999999999999E-2</v>
      </c>
      <c r="G36">
        <v>0.41068840883646002</v>
      </c>
      <c r="H36">
        <v>0.11088587038584399</v>
      </c>
      <c r="I36">
        <v>0.299802538450615</v>
      </c>
      <c r="J36">
        <v>11.613532809427401</v>
      </c>
      <c r="K36">
        <v>301499.78011761297</v>
      </c>
    </row>
    <row r="37" spans="1:11" x14ac:dyDescent="0.35">
      <c r="A37">
        <v>2030</v>
      </c>
      <c r="B37" t="s">
        <v>180</v>
      </c>
      <c r="C37" t="s">
        <v>158</v>
      </c>
      <c r="D37">
        <v>662.95897381796101</v>
      </c>
      <c r="E37">
        <v>2.0563578208805701E-3</v>
      </c>
      <c r="F37">
        <v>2.8299999999999999E-2</v>
      </c>
      <c r="G37">
        <v>18.761738959048301</v>
      </c>
      <c r="H37">
        <v>5.0656695189430403</v>
      </c>
      <c r="I37">
        <v>13.6960694401052</v>
      </c>
      <c r="J37">
        <v>676.65504325806603</v>
      </c>
      <c r="K37">
        <v>301499.78011761297</v>
      </c>
    </row>
    <row r="38" spans="1:11" x14ac:dyDescent="0.35">
      <c r="A38">
        <v>2031</v>
      </c>
      <c r="B38" t="s">
        <v>179</v>
      </c>
      <c r="C38" t="s">
        <v>106</v>
      </c>
      <c r="D38">
        <v>35227.43</v>
      </c>
      <c r="E38">
        <v>8.7371325864178395E-2</v>
      </c>
      <c r="F38">
        <v>8.3999999999999894E-2</v>
      </c>
      <c r="G38">
        <v>2959.10412</v>
      </c>
      <c r="H38">
        <v>503.0477004</v>
      </c>
      <c r="I38">
        <v>2456.0564196</v>
      </c>
      <c r="J38">
        <v>37683.486419599998</v>
      </c>
      <c r="K38">
        <v>339639.50230249099</v>
      </c>
    </row>
    <row r="39" spans="1:11" x14ac:dyDescent="0.35">
      <c r="A39">
        <v>2031</v>
      </c>
      <c r="B39" t="s">
        <v>180</v>
      </c>
      <c r="C39" t="s">
        <v>106</v>
      </c>
      <c r="D39">
        <v>86233.74</v>
      </c>
      <c r="E39">
        <v>0.21387754366488901</v>
      </c>
      <c r="F39">
        <v>8.3999999999999894E-2</v>
      </c>
      <c r="G39">
        <v>7243.6341599999996</v>
      </c>
      <c r="H39">
        <v>1955.7812232000001</v>
      </c>
      <c r="I39">
        <v>5287.8529368</v>
      </c>
      <c r="J39">
        <v>91521.592936800007</v>
      </c>
      <c r="K39">
        <v>339639.50230249099</v>
      </c>
    </row>
    <row r="40" spans="1:11" x14ac:dyDescent="0.35">
      <c r="A40">
        <v>2031</v>
      </c>
      <c r="B40" t="s">
        <v>179</v>
      </c>
      <c r="C40" t="s">
        <v>107</v>
      </c>
      <c r="D40">
        <v>2912.29</v>
      </c>
      <c r="E40">
        <v>7.22308265465258E-3</v>
      </c>
      <c r="F40">
        <v>6.8000000000000005E-2</v>
      </c>
      <c r="G40">
        <v>198.03572</v>
      </c>
      <c r="H40">
        <v>33.666072399999997</v>
      </c>
      <c r="I40">
        <v>164.36964760000001</v>
      </c>
      <c r="J40">
        <v>3076.6596476</v>
      </c>
      <c r="K40">
        <v>339639.50230249099</v>
      </c>
    </row>
    <row r="41" spans="1:11" x14ac:dyDescent="0.35">
      <c r="A41">
        <v>2031</v>
      </c>
      <c r="B41" t="s">
        <v>180</v>
      </c>
      <c r="C41" t="s">
        <v>107</v>
      </c>
      <c r="D41">
        <v>7129.05</v>
      </c>
      <c r="E41">
        <v>1.7681521208104602E-2</v>
      </c>
      <c r="F41">
        <v>6.8000000000000005E-2</v>
      </c>
      <c r="G41">
        <v>484.77539999999999</v>
      </c>
      <c r="H41">
        <v>130.88935799999999</v>
      </c>
      <c r="I41">
        <v>353.88604199999997</v>
      </c>
      <c r="J41">
        <v>7482.9360420000003</v>
      </c>
      <c r="K41">
        <v>339639.50230249099</v>
      </c>
    </row>
    <row r="42" spans="1:11" x14ac:dyDescent="0.35">
      <c r="A42">
        <v>2031</v>
      </c>
      <c r="B42" t="s">
        <v>180</v>
      </c>
      <c r="C42" t="s">
        <v>161</v>
      </c>
      <c r="D42">
        <v>43008.580555439199</v>
      </c>
      <c r="E42">
        <v>0.10667019157131299</v>
      </c>
      <c r="F42">
        <v>4.8300000000000003E-2</v>
      </c>
      <c r="G42">
        <v>2077.3144408277099</v>
      </c>
      <c r="H42">
        <v>560.87489902348295</v>
      </c>
      <c r="I42">
        <v>1516.43954180423</v>
      </c>
      <c r="J42">
        <v>44525.020097243403</v>
      </c>
      <c r="K42">
        <v>339639.50230249099</v>
      </c>
    </row>
    <row r="43" spans="1:11" x14ac:dyDescent="0.35">
      <c r="A43">
        <v>2031</v>
      </c>
      <c r="B43" t="s">
        <v>180</v>
      </c>
      <c r="C43" t="s">
        <v>160</v>
      </c>
      <c r="D43">
        <v>23.551544195687399</v>
      </c>
      <c r="E43" s="42">
        <v>5.8412709713027702E-5</v>
      </c>
      <c r="F43">
        <v>4.9299999999999997E-2</v>
      </c>
      <c r="G43">
        <v>1.16109112884738</v>
      </c>
      <c r="H43">
        <v>0.31349460478879498</v>
      </c>
      <c r="I43">
        <v>0.84759652405859298</v>
      </c>
      <c r="J43">
        <v>24.399140719746001</v>
      </c>
      <c r="K43">
        <v>339639.50230249099</v>
      </c>
    </row>
    <row r="44" spans="1:11" x14ac:dyDescent="0.35">
      <c r="A44">
        <v>2031</v>
      </c>
      <c r="B44" t="s">
        <v>180</v>
      </c>
      <c r="C44" t="s">
        <v>159</v>
      </c>
      <c r="D44">
        <v>143167.83040101401</v>
      </c>
      <c r="E44">
        <v>0.355085885153543</v>
      </c>
      <c r="F44">
        <v>3.6299999999999999E-2</v>
      </c>
      <c r="G44">
        <v>5196.9922435568296</v>
      </c>
      <c r="H44">
        <v>1403.1879057603401</v>
      </c>
      <c r="I44">
        <v>3793.80433779648</v>
      </c>
      <c r="J44">
        <v>146961.634738811</v>
      </c>
      <c r="K44">
        <v>339639.50230249099</v>
      </c>
    </row>
    <row r="45" spans="1:11" x14ac:dyDescent="0.35">
      <c r="A45">
        <v>2031</v>
      </c>
      <c r="B45" t="s">
        <v>180</v>
      </c>
      <c r="C45" t="s">
        <v>158</v>
      </c>
      <c r="D45">
        <v>85489.645585318096</v>
      </c>
      <c r="E45">
        <v>0.21203203533291901</v>
      </c>
      <c r="F45">
        <v>2.8299999999999999E-2</v>
      </c>
      <c r="G45">
        <v>2419.3569700644998</v>
      </c>
      <c r="H45">
        <v>653.22638191741498</v>
      </c>
      <c r="I45">
        <v>1766.1305881470801</v>
      </c>
      <c r="J45">
        <v>87255.776173465201</v>
      </c>
      <c r="K45">
        <v>339639.50230249099</v>
      </c>
    </row>
    <row r="46" spans="1:11" x14ac:dyDescent="0.35">
      <c r="A46">
        <v>2032</v>
      </c>
      <c r="B46" t="s">
        <v>179</v>
      </c>
      <c r="C46" t="s">
        <v>106</v>
      </c>
      <c r="D46">
        <v>42311.76</v>
      </c>
      <c r="E46">
        <v>8.7055968085077304E-2</v>
      </c>
      <c r="F46">
        <v>8.3999999999999894E-2</v>
      </c>
      <c r="G46">
        <v>3554.1878400000001</v>
      </c>
      <c r="H46">
        <v>604.21193280000102</v>
      </c>
      <c r="I46">
        <v>2949.9759072000002</v>
      </c>
      <c r="J46">
        <v>45261.735907200004</v>
      </c>
      <c r="K46">
        <v>382603.89934375603</v>
      </c>
    </row>
    <row r="47" spans="1:11" x14ac:dyDescent="0.35">
      <c r="A47">
        <v>2032</v>
      </c>
      <c r="B47" t="s">
        <v>180</v>
      </c>
      <c r="C47" t="s">
        <v>106</v>
      </c>
      <c r="D47">
        <v>44296.89</v>
      </c>
      <c r="E47">
        <v>9.1140350628481998E-2</v>
      </c>
      <c r="F47">
        <v>8.3999999999999894E-2</v>
      </c>
      <c r="G47">
        <v>3720.93876</v>
      </c>
      <c r="H47">
        <v>1004.6534652</v>
      </c>
      <c r="I47">
        <v>2716.2852948</v>
      </c>
      <c r="J47">
        <v>47013.175294799999</v>
      </c>
      <c r="K47">
        <v>382603.89934375603</v>
      </c>
    </row>
    <row r="48" spans="1:11" x14ac:dyDescent="0.35">
      <c r="A48">
        <v>2032</v>
      </c>
      <c r="B48" t="s">
        <v>179</v>
      </c>
      <c r="C48" t="s">
        <v>107</v>
      </c>
      <c r="D48">
        <v>652.63</v>
      </c>
      <c r="E48">
        <v>1.3427788504038599E-3</v>
      </c>
      <c r="F48">
        <v>6.8000000000000005E-2</v>
      </c>
      <c r="G48">
        <v>44.378839999999997</v>
      </c>
      <c r="H48">
        <v>7.5444028000000101</v>
      </c>
      <c r="I48">
        <v>36.834437200000004</v>
      </c>
      <c r="J48">
        <v>689.46443720000002</v>
      </c>
      <c r="K48">
        <v>382603.89934375603</v>
      </c>
    </row>
    <row r="49" spans="1:13" x14ac:dyDescent="0.35">
      <c r="A49">
        <v>2032</v>
      </c>
      <c r="B49" t="s">
        <v>180</v>
      </c>
      <c r="C49" t="s">
        <v>107</v>
      </c>
      <c r="D49">
        <v>683.25</v>
      </c>
      <c r="E49">
        <v>1.4057791544036199E-3</v>
      </c>
      <c r="F49">
        <v>6.8000000000000005E-2</v>
      </c>
      <c r="G49">
        <v>46.460999999999999</v>
      </c>
      <c r="H49">
        <v>12.54447</v>
      </c>
      <c r="I49">
        <v>33.916530000000002</v>
      </c>
      <c r="J49">
        <v>717.16652999999997</v>
      </c>
      <c r="K49">
        <v>382603.89934375603</v>
      </c>
    </row>
    <row r="50" spans="1:13" x14ac:dyDescent="0.35">
      <c r="A50">
        <v>2032</v>
      </c>
      <c r="B50" t="s">
        <v>180</v>
      </c>
      <c r="C50" t="s">
        <v>161</v>
      </c>
      <c r="D50">
        <v>238.82500681257599</v>
      </c>
      <c r="E50">
        <v>4.9137975283925904E-4</v>
      </c>
      <c r="F50">
        <v>4.8300000000000003E-2</v>
      </c>
      <c r="G50">
        <v>11.5352478290474</v>
      </c>
      <c r="H50">
        <v>3.1145169138428099</v>
      </c>
      <c r="I50">
        <v>8.4207309152046292</v>
      </c>
      <c r="J50">
        <v>247.24573772778101</v>
      </c>
      <c r="K50">
        <v>382603.89934375603</v>
      </c>
    </row>
    <row r="51" spans="1:13" x14ac:dyDescent="0.35">
      <c r="A51">
        <v>2032</v>
      </c>
      <c r="B51" t="s">
        <v>180</v>
      </c>
      <c r="C51" t="s">
        <v>160</v>
      </c>
      <c r="D51">
        <v>728.92107718572595</v>
      </c>
      <c r="E51">
        <v>1.49974687963868E-3</v>
      </c>
      <c r="F51">
        <v>4.9299999999999997E-2</v>
      </c>
      <c r="G51">
        <v>35.935809105256197</v>
      </c>
      <c r="H51">
        <v>9.7026684584191791</v>
      </c>
      <c r="I51">
        <v>26.233140646837001</v>
      </c>
      <c r="J51">
        <v>755.15421783256295</v>
      </c>
      <c r="K51">
        <v>382603.89934375603</v>
      </c>
    </row>
    <row r="52" spans="1:13" x14ac:dyDescent="0.35">
      <c r="A52">
        <v>2032</v>
      </c>
      <c r="B52" t="s">
        <v>180</v>
      </c>
      <c r="C52" t="s">
        <v>159</v>
      </c>
      <c r="D52">
        <v>1087.56989293931</v>
      </c>
      <c r="E52">
        <v>2.2376627653875902E-3</v>
      </c>
      <c r="F52">
        <v>3.6299999999999999E-2</v>
      </c>
      <c r="G52">
        <v>39.478787113697301</v>
      </c>
      <c r="H52">
        <v>10.659272520698201</v>
      </c>
      <c r="I52">
        <v>28.819514592998999</v>
      </c>
      <c r="J52">
        <v>1116.3894075323101</v>
      </c>
      <c r="K52">
        <v>382603.89934375603</v>
      </c>
    </row>
    <row r="53" spans="1:13" x14ac:dyDescent="0.35">
      <c r="A53">
        <v>2032</v>
      </c>
      <c r="B53" t="s">
        <v>180</v>
      </c>
      <c r="C53" t="s">
        <v>158</v>
      </c>
      <c r="D53">
        <v>396029.54794844199</v>
      </c>
      <c r="E53">
        <v>0.81482631984458298</v>
      </c>
      <c r="F53">
        <v>2.8299999999999999E-2</v>
      </c>
      <c r="G53">
        <v>11207.636206940901</v>
      </c>
      <c r="H53">
        <v>3026.06177587404</v>
      </c>
      <c r="I53">
        <v>8181.5744310668697</v>
      </c>
      <c r="J53">
        <v>404211.12237950898</v>
      </c>
      <c r="K53">
        <v>382603.89934375603</v>
      </c>
    </row>
    <row r="54" spans="1:13" x14ac:dyDescent="0.35">
      <c r="A54">
        <v>2033</v>
      </c>
      <c r="B54" t="s">
        <v>179</v>
      </c>
      <c r="C54" t="s">
        <v>106</v>
      </c>
      <c r="D54">
        <v>47438.720000000001</v>
      </c>
      <c r="E54">
        <v>8.3491778331731201E-2</v>
      </c>
      <c r="F54">
        <v>8.3999999999999894E-2</v>
      </c>
      <c r="G54">
        <v>3984.85248</v>
      </c>
      <c r="H54">
        <v>677.42492159999995</v>
      </c>
      <c r="I54">
        <v>3307.4275584000002</v>
      </c>
      <c r="J54">
        <v>50746.1475584</v>
      </c>
      <c r="K54">
        <v>431003.29261074099</v>
      </c>
    </row>
    <row r="55" spans="1:13" x14ac:dyDescent="0.35">
      <c r="A55">
        <v>2033</v>
      </c>
      <c r="B55" t="s">
        <v>180</v>
      </c>
      <c r="C55" t="s">
        <v>106</v>
      </c>
      <c r="D55">
        <v>105983.92</v>
      </c>
      <c r="E55">
        <v>0.18653087510303601</v>
      </c>
      <c r="F55">
        <v>8.3999999999999894E-2</v>
      </c>
      <c r="G55">
        <v>8902.6492800000105</v>
      </c>
      <c r="H55">
        <v>2403.7153056000002</v>
      </c>
      <c r="I55">
        <v>6498.9339743999999</v>
      </c>
      <c r="J55">
        <v>112482.8539744</v>
      </c>
      <c r="K55">
        <v>431003.29261074099</v>
      </c>
    </row>
    <row r="56" spans="1:13" x14ac:dyDescent="0.35">
      <c r="A56">
        <v>2033</v>
      </c>
      <c r="B56" t="s">
        <v>179</v>
      </c>
      <c r="C56" t="s">
        <v>107</v>
      </c>
      <c r="D56">
        <v>960.67</v>
      </c>
      <c r="E56">
        <v>1.69077173013825E-3</v>
      </c>
      <c r="F56">
        <v>6.8000000000000005E-2</v>
      </c>
      <c r="G56">
        <v>65.325560000000095</v>
      </c>
      <c r="H56">
        <v>11.1053452</v>
      </c>
      <c r="I56">
        <v>54.220214800000001</v>
      </c>
      <c r="J56">
        <v>1014.8902148</v>
      </c>
      <c r="K56">
        <v>431003.29261074099</v>
      </c>
    </row>
    <row r="57" spans="1:13" x14ac:dyDescent="0.35">
      <c r="A57">
        <v>2033</v>
      </c>
      <c r="B57" t="s">
        <v>180</v>
      </c>
      <c r="C57" t="s">
        <v>107</v>
      </c>
      <c r="D57">
        <v>2146.2600000000002</v>
      </c>
      <c r="E57">
        <v>3.7774009113707399E-3</v>
      </c>
      <c r="F57">
        <v>6.8000000000000005E-2</v>
      </c>
      <c r="G57">
        <v>145.94568000000001</v>
      </c>
      <c r="H57">
        <v>39.405333599999999</v>
      </c>
      <c r="I57">
        <v>106.5403464</v>
      </c>
      <c r="J57">
        <v>2252.8003463999999</v>
      </c>
      <c r="K57">
        <v>431003.29261074099</v>
      </c>
    </row>
    <row r="58" spans="1:13" x14ac:dyDescent="0.35">
      <c r="A58">
        <v>2033</v>
      </c>
      <c r="B58" t="s">
        <v>180</v>
      </c>
      <c r="C58" t="s">
        <v>161</v>
      </c>
      <c r="D58">
        <v>1619.3986530484401</v>
      </c>
      <c r="E58">
        <v>2.8501290374408298E-3</v>
      </c>
      <c r="F58">
        <v>4.8300000000000003E-2</v>
      </c>
      <c r="G58">
        <v>78.216954942240093</v>
      </c>
      <c r="H58">
        <v>21.1185778344048</v>
      </c>
      <c r="I58">
        <v>57.098377107835297</v>
      </c>
      <c r="J58">
        <v>1676.4970301562801</v>
      </c>
      <c r="K58">
        <v>431003.29261074099</v>
      </c>
    </row>
    <row r="59" spans="1:13" x14ac:dyDescent="0.35">
      <c r="A59">
        <v>2033</v>
      </c>
      <c r="B59" t="s">
        <v>180</v>
      </c>
      <c r="C59" t="s">
        <v>160</v>
      </c>
      <c r="D59">
        <v>2008.7246771740699</v>
      </c>
      <c r="E59">
        <v>3.5353398126276598E-3</v>
      </c>
      <c r="F59">
        <v>4.9299999999999997E-2</v>
      </c>
      <c r="G59">
        <v>99.030126584681696</v>
      </c>
      <c r="H59">
        <v>26.738134177864001</v>
      </c>
      <c r="I59">
        <v>72.291992406817599</v>
      </c>
      <c r="J59">
        <v>2081.0166695808898</v>
      </c>
      <c r="K59">
        <v>431003.29261074099</v>
      </c>
    </row>
    <row r="60" spans="1:13" x14ac:dyDescent="0.35">
      <c r="A60">
        <v>2033</v>
      </c>
      <c r="B60" t="s">
        <v>180</v>
      </c>
      <c r="C60" t="s">
        <v>159</v>
      </c>
      <c r="D60">
        <v>2164.1051407445898</v>
      </c>
      <c r="E60">
        <v>3.8088082203231299E-3</v>
      </c>
      <c r="F60">
        <v>3.6299999999999999E-2</v>
      </c>
      <c r="G60">
        <v>78.557016609028693</v>
      </c>
      <c r="H60">
        <v>21.2103944844377</v>
      </c>
      <c r="I60">
        <v>57.346622124591001</v>
      </c>
      <c r="J60">
        <v>2221.4517628691801</v>
      </c>
      <c r="K60">
        <v>431003.29261074099</v>
      </c>
    </row>
    <row r="61" spans="1:13" x14ac:dyDescent="0.35">
      <c r="A61">
        <v>2033</v>
      </c>
      <c r="B61" t="s">
        <v>180</v>
      </c>
      <c r="C61" t="s">
        <v>158</v>
      </c>
      <c r="D61">
        <v>405862.52779810497</v>
      </c>
      <c r="E61">
        <v>0.71431489306784701</v>
      </c>
      <c r="F61">
        <v>2.8299999999999999E-2</v>
      </c>
      <c r="G61">
        <v>11485.9095366863</v>
      </c>
      <c r="H61">
        <v>3101.19557490532</v>
      </c>
      <c r="I61">
        <v>8384.7139617810499</v>
      </c>
      <c r="J61">
        <v>414247.24175988598</v>
      </c>
      <c r="K61">
        <v>431003.29261074099</v>
      </c>
    </row>
    <row r="62" spans="1:13" x14ac:dyDescent="0.35">
      <c r="A62">
        <v>2034</v>
      </c>
      <c r="B62" t="s">
        <v>179</v>
      </c>
      <c r="C62" t="s">
        <v>106</v>
      </c>
      <c r="D62">
        <v>53007.7</v>
      </c>
      <c r="E62">
        <v>8.0856496435925906E-2</v>
      </c>
      <c r="F62">
        <v>8.3999999999999894E-2</v>
      </c>
      <c r="G62">
        <v>4452.6468000000004</v>
      </c>
      <c r="H62">
        <v>756.94995600000004</v>
      </c>
      <c r="I62">
        <v>3695.6968440000001</v>
      </c>
      <c r="J62">
        <v>56703.396844000003</v>
      </c>
      <c r="K62">
        <v>485525.209126</v>
      </c>
      <c r="L62">
        <v>62</v>
      </c>
      <c r="M62">
        <v>400000</v>
      </c>
    </row>
    <row r="63" spans="1:13" x14ac:dyDescent="0.35">
      <c r="A63">
        <v>2034</v>
      </c>
      <c r="B63" t="s">
        <v>180</v>
      </c>
      <c r="C63" t="s">
        <v>106</v>
      </c>
      <c r="D63">
        <v>183171.23</v>
      </c>
      <c r="E63">
        <v>0.27940438663928402</v>
      </c>
      <c r="F63">
        <v>8.3999999999999894E-2</v>
      </c>
      <c r="G63">
        <v>15386.383320000001</v>
      </c>
      <c r="H63">
        <v>4154.3234964000003</v>
      </c>
      <c r="I63">
        <v>11232.059823600001</v>
      </c>
      <c r="J63">
        <v>194403.2898236</v>
      </c>
      <c r="K63">
        <v>485525.209126</v>
      </c>
      <c r="L63">
        <v>62</v>
      </c>
      <c r="M63">
        <v>400000</v>
      </c>
    </row>
    <row r="64" spans="1:13" x14ac:dyDescent="0.35">
      <c r="A64">
        <v>2034</v>
      </c>
      <c r="B64" t="s">
        <v>179</v>
      </c>
      <c r="C64" t="s">
        <v>107</v>
      </c>
      <c r="D64">
        <v>1514.22</v>
      </c>
      <c r="E64">
        <v>2.30974979169456E-3</v>
      </c>
      <c r="F64">
        <v>6.8000000000000005E-2</v>
      </c>
      <c r="G64">
        <v>102.96696</v>
      </c>
      <c r="H64">
        <v>17.504383199999999</v>
      </c>
      <c r="I64">
        <v>85.462576800000093</v>
      </c>
      <c r="J64">
        <v>1599.6825768000001</v>
      </c>
      <c r="K64">
        <v>485525.209126</v>
      </c>
      <c r="L64">
        <v>62</v>
      </c>
      <c r="M64">
        <v>400000</v>
      </c>
    </row>
    <row r="65" spans="1:13" x14ac:dyDescent="0.35">
      <c r="A65">
        <v>2034</v>
      </c>
      <c r="B65" t="s">
        <v>180</v>
      </c>
      <c r="C65" t="s">
        <v>107</v>
      </c>
      <c r="D65">
        <v>5232.46</v>
      </c>
      <c r="E65">
        <v>7.9814514370765994E-3</v>
      </c>
      <c r="F65">
        <v>6.8000000000000005E-2</v>
      </c>
      <c r="G65">
        <v>355.80727999999999</v>
      </c>
      <c r="H65">
        <v>96.067965599999994</v>
      </c>
      <c r="I65">
        <v>259.73931440000001</v>
      </c>
      <c r="J65">
        <v>5492.1993143999998</v>
      </c>
      <c r="K65">
        <v>485525.209126</v>
      </c>
      <c r="L65">
        <v>62</v>
      </c>
      <c r="M65">
        <v>400000</v>
      </c>
    </row>
    <row r="66" spans="1:13" x14ac:dyDescent="0.35">
      <c r="A66">
        <v>2034</v>
      </c>
      <c r="B66" t="s">
        <v>180</v>
      </c>
      <c r="C66" t="s">
        <v>161</v>
      </c>
      <c r="D66">
        <v>2647.4888864753798</v>
      </c>
      <c r="E66">
        <v>4.03840716940087E-3</v>
      </c>
      <c r="F66">
        <v>4.8300000000000003E-2</v>
      </c>
      <c r="G66">
        <v>127.873713216761</v>
      </c>
      <c r="H66">
        <v>34.525902568525503</v>
      </c>
      <c r="I66">
        <v>93.347810648235594</v>
      </c>
      <c r="J66">
        <v>2740.8366971236201</v>
      </c>
      <c r="K66">
        <v>485525.209126</v>
      </c>
      <c r="L66">
        <v>62</v>
      </c>
      <c r="M66">
        <v>400000</v>
      </c>
    </row>
    <row r="67" spans="1:13" x14ac:dyDescent="0.35">
      <c r="A67">
        <v>2034</v>
      </c>
      <c r="B67" t="s">
        <v>180</v>
      </c>
      <c r="C67" t="s">
        <v>160</v>
      </c>
      <c r="D67">
        <v>639.13144431376998</v>
      </c>
      <c r="E67">
        <v>9.7491363234482103E-4</v>
      </c>
      <c r="F67">
        <v>4.9299999999999997E-2</v>
      </c>
      <c r="G67">
        <v>31.509180204668802</v>
      </c>
      <c r="H67">
        <v>8.5074786552605808</v>
      </c>
      <c r="I67">
        <v>23.0017015494082</v>
      </c>
      <c r="J67">
        <v>662.13314586317802</v>
      </c>
      <c r="K67">
        <v>485525.209126</v>
      </c>
      <c r="L67">
        <v>62</v>
      </c>
      <c r="M67">
        <v>400000</v>
      </c>
    </row>
    <row r="68" spans="1:13" x14ac:dyDescent="0.35">
      <c r="A68">
        <v>2034</v>
      </c>
      <c r="B68" t="s">
        <v>180</v>
      </c>
      <c r="C68" t="s">
        <v>159</v>
      </c>
      <c r="D68">
        <v>1105.0772227398099</v>
      </c>
      <c r="E68">
        <v>1.68565458455818E-3</v>
      </c>
      <c r="F68">
        <v>3.6299999999999999E-2</v>
      </c>
      <c r="G68">
        <v>40.1143031854551</v>
      </c>
      <c r="H68">
        <v>10.830861860072799</v>
      </c>
      <c r="I68">
        <v>29.283441325382199</v>
      </c>
      <c r="J68">
        <v>1134.3606640651899</v>
      </c>
      <c r="K68">
        <v>485525.209126</v>
      </c>
      <c r="L68">
        <v>62</v>
      </c>
      <c r="M68">
        <v>400000</v>
      </c>
    </row>
    <row r="69" spans="1:13" x14ac:dyDescent="0.35">
      <c r="A69">
        <v>2034</v>
      </c>
      <c r="B69" t="s">
        <v>180</v>
      </c>
      <c r="C69" t="s">
        <v>158</v>
      </c>
      <c r="D69">
        <v>408260.20334110898</v>
      </c>
      <c r="E69">
        <v>0.62274895300835198</v>
      </c>
      <c r="F69">
        <v>2.8299999999999999E-2</v>
      </c>
      <c r="G69">
        <v>11553.7637545533</v>
      </c>
      <c r="H69">
        <v>3119.5162137294101</v>
      </c>
      <c r="I69">
        <v>8434.2475408239698</v>
      </c>
      <c r="J69">
        <v>416694.45088193298</v>
      </c>
      <c r="K69">
        <v>485525.209126</v>
      </c>
      <c r="L69">
        <v>62</v>
      </c>
      <c r="M69">
        <v>400000</v>
      </c>
    </row>
    <row r="70" spans="1:13" x14ac:dyDescent="0.35">
      <c r="A70">
        <v>2035</v>
      </c>
      <c r="B70" t="s">
        <v>179</v>
      </c>
      <c r="C70" t="s">
        <v>106</v>
      </c>
      <c r="D70">
        <v>17031.61</v>
      </c>
      <c r="E70">
        <v>4.8804880707010299E-2</v>
      </c>
      <c r="F70">
        <v>6.3E-2</v>
      </c>
      <c r="G70">
        <v>1072.99142999999</v>
      </c>
      <c r="H70">
        <v>182.40854309999901</v>
      </c>
      <c r="I70">
        <v>890.58288689999802</v>
      </c>
      <c r="J70">
        <v>17922.1928869</v>
      </c>
      <c r="K70">
        <v>546944.14808043896</v>
      </c>
    </row>
    <row r="71" spans="1:13" x14ac:dyDescent="0.35">
      <c r="A71">
        <v>2035</v>
      </c>
      <c r="B71" t="s">
        <v>180</v>
      </c>
      <c r="C71" t="s">
        <v>106</v>
      </c>
      <c r="D71">
        <v>78404.490000000005</v>
      </c>
      <c r="E71">
        <v>0.22467175923732299</v>
      </c>
      <c r="F71">
        <v>6.3E-2</v>
      </c>
      <c r="G71">
        <v>4939.4828699999898</v>
      </c>
      <c r="H71">
        <v>1333.6603748999901</v>
      </c>
      <c r="I71">
        <v>3605.8224950999902</v>
      </c>
      <c r="J71">
        <v>82010.312495100006</v>
      </c>
      <c r="K71">
        <v>546944.14808043896</v>
      </c>
    </row>
    <row r="72" spans="1:13" x14ac:dyDescent="0.35">
      <c r="A72">
        <v>2035</v>
      </c>
      <c r="B72" t="s">
        <v>179</v>
      </c>
      <c r="C72" t="s">
        <v>107</v>
      </c>
      <c r="D72">
        <v>44387.33</v>
      </c>
      <c r="E72">
        <v>0.12719398492289899</v>
      </c>
      <c r="F72">
        <v>6.3E-2</v>
      </c>
      <c r="G72">
        <v>2796.4017899999899</v>
      </c>
      <c r="H72">
        <v>475.38830429999899</v>
      </c>
      <c r="I72">
        <v>2321.0134856999898</v>
      </c>
      <c r="J72">
        <v>46708.343485699901</v>
      </c>
      <c r="K72">
        <v>546944.14808043896</v>
      </c>
    </row>
    <row r="73" spans="1:13" x14ac:dyDescent="0.35">
      <c r="A73">
        <v>2035</v>
      </c>
      <c r="B73" t="s">
        <v>180</v>
      </c>
      <c r="C73" t="s">
        <v>107</v>
      </c>
      <c r="D73">
        <v>204335.75</v>
      </c>
      <c r="E73">
        <v>0.58553371659681497</v>
      </c>
      <c r="F73">
        <v>6.3E-2</v>
      </c>
      <c r="G73">
        <v>12873.152249999899</v>
      </c>
      <c r="H73">
        <v>3475.7511074999902</v>
      </c>
      <c r="I73">
        <v>9397.4011424999808</v>
      </c>
      <c r="J73">
        <v>213733.15114249999</v>
      </c>
      <c r="K73">
        <v>546944.14808043896</v>
      </c>
    </row>
    <row r="74" spans="1:13" x14ac:dyDescent="0.35">
      <c r="A74">
        <v>2035</v>
      </c>
      <c r="B74" t="s">
        <v>180</v>
      </c>
      <c r="C74" t="s">
        <v>161</v>
      </c>
      <c r="D74">
        <v>1170.1567640114199</v>
      </c>
      <c r="E74">
        <v>3.35313932599906E-3</v>
      </c>
      <c r="F74">
        <v>3.4299999999999997E-2</v>
      </c>
      <c r="G74">
        <v>40.136377005592003</v>
      </c>
      <c r="H74">
        <v>10.8368217915098</v>
      </c>
      <c r="I74">
        <v>29.299555214082201</v>
      </c>
      <c r="J74">
        <v>1199.4563192255</v>
      </c>
      <c r="K74">
        <v>546944.14808043896</v>
      </c>
    </row>
    <row r="75" spans="1:13" x14ac:dyDescent="0.35">
      <c r="A75">
        <v>2035</v>
      </c>
      <c r="B75" t="s">
        <v>180</v>
      </c>
      <c r="C75" t="s">
        <v>160</v>
      </c>
      <c r="D75">
        <v>631.64323639451595</v>
      </c>
      <c r="E75">
        <v>1.8100034466280201E-3</v>
      </c>
      <c r="F75">
        <v>3.4299999999999997E-2</v>
      </c>
      <c r="G75">
        <v>21.665363008331902</v>
      </c>
      <c r="H75">
        <v>5.8496480122496202</v>
      </c>
      <c r="I75">
        <v>15.815714996082299</v>
      </c>
      <c r="J75">
        <v>647.45895139059803</v>
      </c>
      <c r="K75">
        <v>546944.14808043896</v>
      </c>
    </row>
    <row r="76" spans="1:13" x14ac:dyDescent="0.35">
      <c r="A76">
        <v>2035</v>
      </c>
      <c r="B76" t="s">
        <v>180</v>
      </c>
      <c r="C76" t="s">
        <v>159</v>
      </c>
      <c r="D76">
        <v>1576.48356609549</v>
      </c>
      <c r="E76">
        <v>4.5174879168706199E-3</v>
      </c>
      <c r="F76">
        <v>3.4299999999999997E-2</v>
      </c>
      <c r="G76">
        <v>54.073386317075503</v>
      </c>
      <c r="H76">
        <v>14.5998143056104</v>
      </c>
      <c r="I76">
        <v>39.473572011465102</v>
      </c>
      <c r="J76">
        <v>1615.95713810696</v>
      </c>
      <c r="K76">
        <v>546944.14808043896</v>
      </c>
    </row>
    <row r="77" spans="1:13" x14ac:dyDescent="0.35">
      <c r="A77">
        <v>2035</v>
      </c>
      <c r="B77" t="s">
        <v>180</v>
      </c>
      <c r="C77" t="s">
        <v>158</v>
      </c>
      <c r="D77">
        <v>1436.0440134759299</v>
      </c>
      <c r="E77">
        <v>4.1150517636153903E-3</v>
      </c>
      <c r="F77">
        <v>3.4299999999999997E-2</v>
      </c>
      <c r="G77">
        <v>49.256309662224503</v>
      </c>
      <c r="H77">
        <v>13.2992036088006</v>
      </c>
      <c r="I77">
        <v>35.9571060534239</v>
      </c>
      <c r="J77">
        <v>1472.00111952936</v>
      </c>
      <c r="K77">
        <v>546944.14808043896</v>
      </c>
    </row>
    <row r="78" spans="1:13" x14ac:dyDescent="0.35">
      <c r="A78">
        <v>2036</v>
      </c>
      <c r="B78" t="s">
        <v>179</v>
      </c>
      <c r="C78" t="s">
        <v>106</v>
      </c>
      <c r="D78">
        <v>32485.7</v>
      </c>
      <c r="E78">
        <v>7.3413717769720596E-2</v>
      </c>
      <c r="F78">
        <v>6.3E-2</v>
      </c>
      <c r="G78">
        <v>2046.5990999999899</v>
      </c>
      <c r="H78">
        <v>347.92184699999899</v>
      </c>
      <c r="I78">
        <v>1698.6772529999901</v>
      </c>
      <c r="J78">
        <v>34184.377252999999</v>
      </c>
      <c r="K78">
        <v>616132.58281261497</v>
      </c>
    </row>
    <row r="79" spans="1:13" x14ac:dyDescent="0.35">
      <c r="A79">
        <v>2036</v>
      </c>
      <c r="B79" t="s">
        <v>179</v>
      </c>
      <c r="C79" t="s">
        <v>107</v>
      </c>
      <c r="D79">
        <v>815.42</v>
      </c>
      <c r="E79">
        <v>1.8427496942896599E-3</v>
      </c>
      <c r="F79">
        <v>6.3E-2</v>
      </c>
      <c r="G79">
        <v>51.3714599999999</v>
      </c>
      <c r="H79">
        <v>8.7331481999999898</v>
      </c>
      <c r="I79">
        <v>42.638311799999897</v>
      </c>
      <c r="J79">
        <v>858.05831179999996</v>
      </c>
      <c r="K79">
        <v>616132.58281261497</v>
      </c>
    </row>
    <row r="80" spans="1:13" x14ac:dyDescent="0.35">
      <c r="A80">
        <v>2036</v>
      </c>
      <c r="B80" t="s">
        <v>180</v>
      </c>
      <c r="C80" t="s">
        <v>161</v>
      </c>
      <c r="D80">
        <v>3022.3765956852899</v>
      </c>
      <c r="E80">
        <v>6.8302022856040999E-3</v>
      </c>
      <c r="F80">
        <v>3.4299999999999997E-2</v>
      </c>
      <c r="G80">
        <v>103.667517232005</v>
      </c>
      <c r="H80">
        <v>27.990229652641499</v>
      </c>
      <c r="I80">
        <v>75.677287579364005</v>
      </c>
      <c r="J80">
        <v>3098.0538832646498</v>
      </c>
      <c r="K80">
        <v>616132.58281261497</v>
      </c>
    </row>
    <row r="81" spans="1:11" x14ac:dyDescent="0.35">
      <c r="A81">
        <v>2036</v>
      </c>
      <c r="B81" t="s">
        <v>180</v>
      </c>
      <c r="C81" t="s">
        <v>160</v>
      </c>
      <c r="D81">
        <v>316.23750100548898</v>
      </c>
      <c r="E81">
        <v>7.1465816180715596E-4</v>
      </c>
      <c r="F81">
        <v>3.4299999999999997E-2</v>
      </c>
      <c r="G81">
        <v>10.846946284488199</v>
      </c>
      <c r="H81">
        <v>2.9286754968118398</v>
      </c>
      <c r="I81">
        <v>7.91827078767645</v>
      </c>
      <c r="J81">
        <v>324.155771793165</v>
      </c>
      <c r="K81">
        <v>616132.58281261497</v>
      </c>
    </row>
    <row r="82" spans="1:11" x14ac:dyDescent="0.35">
      <c r="A82">
        <v>2036</v>
      </c>
      <c r="B82" t="s">
        <v>180</v>
      </c>
      <c r="C82" t="s">
        <v>159</v>
      </c>
      <c r="D82">
        <v>1897.36629823356</v>
      </c>
      <c r="E82">
        <v>4.2878162983804799E-3</v>
      </c>
      <c r="F82">
        <v>3.4299999999999997E-2</v>
      </c>
      <c r="G82">
        <v>65.079664029411305</v>
      </c>
      <c r="H82">
        <v>17.571509287941002</v>
      </c>
      <c r="I82">
        <v>47.5081547414702</v>
      </c>
      <c r="J82">
        <v>1944.87445297503</v>
      </c>
      <c r="K82">
        <v>616132.58281261497</v>
      </c>
    </row>
    <row r="83" spans="1:11" x14ac:dyDescent="0.35">
      <c r="A83">
        <v>2036</v>
      </c>
      <c r="B83" t="s">
        <v>180</v>
      </c>
      <c r="C83" t="s">
        <v>158</v>
      </c>
      <c r="D83">
        <v>403964.66615171399</v>
      </c>
      <c r="E83">
        <v>0.91291084969083003</v>
      </c>
      <c r="F83">
        <v>3.4299999999999997E-2</v>
      </c>
      <c r="G83">
        <v>13855.988049003799</v>
      </c>
      <c r="H83">
        <v>3741.11677323103</v>
      </c>
      <c r="I83">
        <v>10114.871275772701</v>
      </c>
      <c r="J83">
        <v>414079.53742748703</v>
      </c>
      <c r="K83">
        <v>616132.58281261497</v>
      </c>
    </row>
    <row r="84" spans="1:11" x14ac:dyDescent="0.35">
      <c r="A84">
        <v>2037</v>
      </c>
      <c r="B84" t="s">
        <v>179</v>
      </c>
      <c r="C84" t="s">
        <v>106</v>
      </c>
      <c r="D84">
        <v>113828.08</v>
      </c>
      <c r="E84">
        <v>0.213780167444309</v>
      </c>
      <c r="F84">
        <v>6.3E-2</v>
      </c>
      <c r="G84">
        <v>7171.1690399999898</v>
      </c>
      <c r="H84">
        <v>1219.0987367999901</v>
      </c>
      <c r="I84">
        <v>5952.0703031999901</v>
      </c>
      <c r="J84">
        <v>119780.150303199</v>
      </c>
      <c r="K84">
        <v>694073.35453840997</v>
      </c>
    </row>
    <row r="85" spans="1:11" x14ac:dyDescent="0.35">
      <c r="A85">
        <v>2037</v>
      </c>
      <c r="B85" t="s">
        <v>180</v>
      </c>
      <c r="C85" t="s">
        <v>106</v>
      </c>
      <c r="D85">
        <v>7423.79</v>
      </c>
      <c r="E85">
        <v>1.39425971980849E-2</v>
      </c>
      <c r="F85">
        <v>6.3E-2</v>
      </c>
      <c r="G85">
        <v>467.698769999999</v>
      </c>
      <c r="H85">
        <v>126.2786679</v>
      </c>
      <c r="I85">
        <v>341.42010209999899</v>
      </c>
      <c r="J85">
        <v>7765.2101020999999</v>
      </c>
      <c r="K85">
        <v>694073.35453840997</v>
      </c>
    </row>
    <row r="86" spans="1:11" x14ac:dyDescent="0.35">
      <c r="A86">
        <v>2037</v>
      </c>
      <c r="B86" t="s">
        <v>180</v>
      </c>
      <c r="C86" t="s">
        <v>161</v>
      </c>
      <c r="D86" s="42">
        <v>1.6967074694433999E-10</v>
      </c>
      <c r="E86" s="42">
        <v>3.1865810872117002E-16</v>
      </c>
      <c r="F86">
        <v>3.4299999999999997E-2</v>
      </c>
      <c r="G86" s="42">
        <v>5.8197066201908698E-12</v>
      </c>
      <c r="H86" s="42">
        <v>1.57132078745153E-12</v>
      </c>
      <c r="I86" s="42">
        <v>4.2483858327393299E-12</v>
      </c>
      <c r="J86" s="42">
        <v>1.73919132777079E-10</v>
      </c>
      <c r="K86">
        <v>694073.35453840997</v>
      </c>
    </row>
    <row r="87" spans="1:11" x14ac:dyDescent="0.35">
      <c r="A87">
        <v>2037</v>
      </c>
      <c r="B87" t="s">
        <v>180</v>
      </c>
      <c r="C87" t="s">
        <v>159</v>
      </c>
      <c r="D87" s="42">
        <v>1.1529962308741399E-13</v>
      </c>
      <c r="E87" s="42">
        <v>2.16543867997186E-19</v>
      </c>
      <c r="F87">
        <v>3.4299999999999997E-2</v>
      </c>
      <c r="G87" s="42">
        <v>3.9547770718983098E-15</v>
      </c>
      <c r="H87" s="42">
        <v>1.06778980941254E-15</v>
      </c>
      <c r="I87" s="42">
        <v>2.88698726248576E-15</v>
      </c>
      <c r="J87" s="42">
        <v>1.1818661034989999E-13</v>
      </c>
      <c r="K87">
        <v>694073.35453840997</v>
      </c>
    </row>
    <row r="88" spans="1:11" x14ac:dyDescent="0.35">
      <c r="A88">
        <v>2037</v>
      </c>
      <c r="B88" t="s">
        <v>180</v>
      </c>
      <c r="C88" t="s">
        <v>158</v>
      </c>
      <c r="D88">
        <v>411202.007699362</v>
      </c>
      <c r="E88">
        <v>0.77227722772277196</v>
      </c>
      <c r="F88">
        <v>3.4299999999999997E-2</v>
      </c>
      <c r="G88">
        <v>14104.2288640881</v>
      </c>
      <c r="H88">
        <v>3808.1417933037901</v>
      </c>
      <c r="I88">
        <v>10296.087070784301</v>
      </c>
      <c r="J88">
        <v>421498.094770147</v>
      </c>
      <c r="K88">
        <v>694073.35453840997</v>
      </c>
    </row>
    <row r="89" spans="1:11" x14ac:dyDescent="0.35">
      <c r="A89">
        <v>2038</v>
      </c>
      <c r="B89" t="s">
        <v>179</v>
      </c>
      <c r="C89" t="s">
        <v>106</v>
      </c>
      <c r="D89">
        <v>87212.38</v>
      </c>
      <c r="E89">
        <v>0.13892012907264301</v>
      </c>
      <c r="F89">
        <v>6.3E-2</v>
      </c>
      <c r="G89">
        <v>5494.3799399999898</v>
      </c>
      <c r="H89">
        <v>934.04458979999902</v>
      </c>
      <c r="I89">
        <v>4560.33535019999</v>
      </c>
      <c r="J89">
        <v>91772.7153502</v>
      </c>
      <c r="K89">
        <v>781873.63388751901</v>
      </c>
    </row>
    <row r="90" spans="1:11" x14ac:dyDescent="0.35">
      <c r="A90">
        <v>2038</v>
      </c>
      <c r="B90" t="s">
        <v>180</v>
      </c>
      <c r="C90" t="s">
        <v>106</v>
      </c>
      <c r="D90">
        <v>134102.67000000001</v>
      </c>
      <c r="E90">
        <v>0.21361141876171699</v>
      </c>
      <c r="F90">
        <v>6.3E-2</v>
      </c>
      <c r="G90">
        <v>8448.46820999999</v>
      </c>
      <c r="H90">
        <v>2281.08641669999</v>
      </c>
      <c r="I90">
        <v>6167.38179329999</v>
      </c>
      <c r="J90">
        <v>140270.05179329999</v>
      </c>
      <c r="K90">
        <v>781873.63388751901</v>
      </c>
    </row>
    <row r="91" spans="1:11" x14ac:dyDescent="0.35">
      <c r="A91">
        <v>2038</v>
      </c>
      <c r="B91" t="s">
        <v>179</v>
      </c>
      <c r="C91" t="s">
        <v>107</v>
      </c>
      <c r="D91">
        <v>587.9</v>
      </c>
      <c r="E91">
        <v>9.3646273478383295E-4</v>
      </c>
      <c r="F91">
        <v>6.3E-2</v>
      </c>
      <c r="G91">
        <v>37.037699999999901</v>
      </c>
      <c r="H91">
        <v>6.2964089999999899</v>
      </c>
      <c r="I91">
        <v>30.741290999999901</v>
      </c>
      <c r="J91">
        <v>618.641290999999</v>
      </c>
      <c r="K91">
        <v>781873.63388751901</v>
      </c>
    </row>
    <row r="92" spans="1:11" x14ac:dyDescent="0.35">
      <c r="A92">
        <v>2038</v>
      </c>
      <c r="B92" t="s">
        <v>180</v>
      </c>
      <c r="C92" t="s">
        <v>107</v>
      </c>
      <c r="D92">
        <v>903.99</v>
      </c>
      <c r="E92">
        <v>1.4399607885988001E-3</v>
      </c>
      <c r="F92">
        <v>6.3E-2</v>
      </c>
      <c r="G92">
        <v>56.951369999999997</v>
      </c>
      <c r="H92">
        <v>15.3768698999999</v>
      </c>
      <c r="I92">
        <v>41.574500099999902</v>
      </c>
      <c r="J92">
        <v>945.56450010000003</v>
      </c>
      <c r="K92">
        <v>781873.63388751901</v>
      </c>
    </row>
    <row r="93" spans="1:11" x14ac:dyDescent="0.35">
      <c r="A93">
        <v>2038</v>
      </c>
      <c r="B93" t="s">
        <v>180</v>
      </c>
      <c r="C93" t="s">
        <v>161</v>
      </c>
      <c r="D93">
        <v>112.062032774307</v>
      </c>
      <c r="E93">
        <v>1.78503006765203E-4</v>
      </c>
      <c r="F93">
        <v>3.4299999999999997E-2</v>
      </c>
      <c r="G93">
        <v>3.8437277241587302</v>
      </c>
      <c r="H93">
        <v>1.0378064855228499</v>
      </c>
      <c r="I93">
        <v>2.8059212386358698</v>
      </c>
      <c r="J93">
        <v>114.867954012943</v>
      </c>
      <c r="K93">
        <v>781873.63388751901</v>
      </c>
    </row>
    <row r="94" spans="1:11" x14ac:dyDescent="0.35">
      <c r="A94">
        <v>2038</v>
      </c>
      <c r="B94" t="s">
        <v>180</v>
      </c>
      <c r="C94" t="s">
        <v>160</v>
      </c>
      <c r="D94">
        <v>1447.2081032487999</v>
      </c>
      <c r="E94">
        <v>2.3052499713721599E-3</v>
      </c>
      <c r="F94">
        <v>3.4299999999999997E-2</v>
      </c>
      <c r="G94">
        <v>49.639237941433898</v>
      </c>
      <c r="H94">
        <v>13.4025942441871</v>
      </c>
      <c r="I94">
        <v>36.236643697246798</v>
      </c>
      <c r="J94">
        <v>1483.4447469460399</v>
      </c>
      <c r="K94">
        <v>781873.63388751901</v>
      </c>
    </row>
    <row r="95" spans="1:11" x14ac:dyDescent="0.35">
      <c r="A95">
        <v>2038</v>
      </c>
      <c r="B95" t="s">
        <v>180</v>
      </c>
      <c r="C95" t="s">
        <v>159</v>
      </c>
      <c r="D95">
        <v>1126.1504875441899</v>
      </c>
      <c r="E95">
        <v>1.7938390293311399E-3</v>
      </c>
      <c r="F95">
        <v>3.4299999999999997E-2</v>
      </c>
      <c r="G95">
        <v>38.626961722765799</v>
      </c>
      <c r="H95">
        <v>10.4292796651467</v>
      </c>
      <c r="I95">
        <v>28.197682057619001</v>
      </c>
      <c r="J95">
        <v>1154.34816960181</v>
      </c>
      <c r="K95">
        <v>781873.63388751901</v>
      </c>
    </row>
    <row r="96" spans="1:11" x14ac:dyDescent="0.35">
      <c r="A96">
        <v>2038</v>
      </c>
      <c r="B96" t="s">
        <v>180</v>
      </c>
      <c r="C96" t="s">
        <v>158</v>
      </c>
      <c r="D96">
        <v>402295.56119583501</v>
      </c>
      <c r="E96">
        <v>0.64081442665223598</v>
      </c>
      <c r="F96">
        <v>3.4299999999999997E-2</v>
      </c>
      <c r="G96">
        <v>13798.7377490171</v>
      </c>
      <c r="H96">
        <v>3725.6591922346402</v>
      </c>
      <c r="I96">
        <v>10073.078556782501</v>
      </c>
      <c r="J96">
        <v>412368.63975261798</v>
      </c>
      <c r="K96">
        <v>781873.63388751901</v>
      </c>
    </row>
    <row r="97" spans="1:15" x14ac:dyDescent="0.35">
      <c r="A97">
        <v>2039</v>
      </c>
      <c r="B97" t="s">
        <v>179</v>
      </c>
      <c r="C97" t="s">
        <v>106</v>
      </c>
      <c r="D97">
        <v>12.74</v>
      </c>
      <c r="E97" s="42">
        <v>1.7493747638528001E-5</v>
      </c>
      <c r="F97">
        <v>6.3E-2</v>
      </c>
      <c r="G97">
        <v>0.802619999999999</v>
      </c>
      <c r="H97">
        <v>0.136445399999999</v>
      </c>
      <c r="I97">
        <v>0.66617459999999895</v>
      </c>
      <c r="J97">
        <v>13.4061746</v>
      </c>
      <c r="K97">
        <v>880780.64857429103</v>
      </c>
      <c r="N97">
        <v>56</v>
      </c>
      <c r="O97">
        <v>400000</v>
      </c>
    </row>
    <row r="98" spans="1:15" x14ac:dyDescent="0.35">
      <c r="A98">
        <v>2039</v>
      </c>
      <c r="B98" t="s">
        <v>179</v>
      </c>
      <c r="C98" t="s">
        <v>107</v>
      </c>
      <c r="D98">
        <v>963.58</v>
      </c>
      <c r="E98">
        <v>1.32312600859755E-3</v>
      </c>
      <c r="F98">
        <v>6.3E-2</v>
      </c>
      <c r="G98">
        <v>60.705539999999999</v>
      </c>
      <c r="H98">
        <v>10.3199418</v>
      </c>
      <c r="I98">
        <v>50.385598199999997</v>
      </c>
      <c r="J98">
        <v>1013.9655982</v>
      </c>
      <c r="K98">
        <v>880780.64857429103</v>
      </c>
      <c r="N98">
        <v>56</v>
      </c>
      <c r="O98">
        <v>400000</v>
      </c>
    </row>
    <row r="99" spans="1:15" x14ac:dyDescent="0.35">
      <c r="A99">
        <v>2039</v>
      </c>
      <c r="B99" t="s">
        <v>180</v>
      </c>
      <c r="C99" t="s">
        <v>161</v>
      </c>
      <c r="D99">
        <v>119.716901372097</v>
      </c>
      <c r="E99">
        <v>1.64387540083989E-4</v>
      </c>
      <c r="F99">
        <v>3.4299999999999997E-2</v>
      </c>
      <c r="G99">
        <v>4.1062897170629196</v>
      </c>
      <c r="H99">
        <v>1.10869822360698</v>
      </c>
      <c r="I99">
        <v>2.9975914934559298</v>
      </c>
      <c r="J99">
        <v>122.714492865552</v>
      </c>
      <c r="K99">
        <v>880780.64857429103</v>
      </c>
      <c r="N99">
        <v>56</v>
      </c>
      <c r="O99">
        <v>400000</v>
      </c>
    </row>
    <row r="100" spans="1:15" x14ac:dyDescent="0.35">
      <c r="A100">
        <v>2039</v>
      </c>
      <c r="B100" t="s">
        <v>180</v>
      </c>
      <c r="C100" t="s">
        <v>160</v>
      </c>
      <c r="D100">
        <v>5058.5389487681596</v>
      </c>
      <c r="E100">
        <v>6.9460599520734202E-3</v>
      </c>
      <c r="F100">
        <v>3.4299999999999997E-2</v>
      </c>
      <c r="G100">
        <v>173.50788594274701</v>
      </c>
      <c r="H100">
        <v>46.847129204541801</v>
      </c>
      <c r="I100">
        <v>126.660756738205</v>
      </c>
      <c r="J100">
        <v>5185.1997055063603</v>
      </c>
      <c r="K100">
        <v>880780.64857429103</v>
      </c>
      <c r="N100">
        <v>56</v>
      </c>
      <c r="O100">
        <v>400000</v>
      </c>
    </row>
    <row r="101" spans="1:15" x14ac:dyDescent="0.35">
      <c r="A101">
        <v>2039</v>
      </c>
      <c r="B101" t="s">
        <v>180</v>
      </c>
      <c r="C101" t="s">
        <v>159</v>
      </c>
      <c r="D101">
        <v>3982.0655874129902</v>
      </c>
      <c r="E101">
        <v>5.4679160491577696E-3</v>
      </c>
      <c r="F101">
        <v>3.4299999999999997E-2</v>
      </c>
      <c r="G101">
        <v>136.58484964826499</v>
      </c>
      <c r="H101">
        <v>36.877909405031602</v>
      </c>
      <c r="I101">
        <v>99.706940243233703</v>
      </c>
      <c r="J101">
        <v>4081.7725276562201</v>
      </c>
      <c r="K101">
        <v>880780.64857429103</v>
      </c>
      <c r="N101">
        <v>56</v>
      </c>
      <c r="O101">
        <v>400000</v>
      </c>
    </row>
    <row r="102" spans="1:15" x14ac:dyDescent="0.35">
      <c r="A102">
        <v>2039</v>
      </c>
      <c r="B102" t="s">
        <v>180</v>
      </c>
      <c r="C102" t="s">
        <v>158</v>
      </c>
      <c r="D102">
        <v>718123.55229656305</v>
      </c>
      <c r="E102">
        <v>0.98608102018519705</v>
      </c>
      <c r="F102">
        <v>3.4299999999999997E-2</v>
      </c>
      <c r="G102">
        <v>24631.637843772001</v>
      </c>
      <c r="H102">
        <v>6650.5422178184599</v>
      </c>
      <c r="I102">
        <v>17981.0956259536</v>
      </c>
      <c r="J102">
        <v>736104.64792251703</v>
      </c>
      <c r="K102">
        <v>880780.64857429103</v>
      </c>
      <c r="N102">
        <v>56</v>
      </c>
      <c r="O102">
        <v>400000</v>
      </c>
    </row>
    <row r="103" spans="1:15" x14ac:dyDescent="0.35">
      <c r="A103">
        <v>2040</v>
      </c>
      <c r="B103" t="s">
        <v>179</v>
      </c>
      <c r="C103" t="s">
        <v>106</v>
      </c>
      <c r="D103">
        <v>106772.36</v>
      </c>
      <c r="E103">
        <v>0.245565399534144</v>
      </c>
      <c r="F103">
        <v>6.3E-2</v>
      </c>
      <c r="G103">
        <v>6726.6586799999905</v>
      </c>
      <c r="H103">
        <v>1143.5319755999899</v>
      </c>
      <c r="I103">
        <v>5583.1267043999896</v>
      </c>
      <c r="J103">
        <v>112355.4867044</v>
      </c>
      <c r="K103">
        <v>992199.40061893803</v>
      </c>
    </row>
    <row r="104" spans="1:15" x14ac:dyDescent="0.35">
      <c r="A104">
        <v>2040</v>
      </c>
      <c r="B104" t="s">
        <v>179</v>
      </c>
      <c r="C104" t="s">
        <v>107</v>
      </c>
      <c r="D104">
        <v>949.39</v>
      </c>
      <c r="E104">
        <v>2.1834989379622299E-3</v>
      </c>
      <c r="F104">
        <v>6.3E-2</v>
      </c>
      <c r="G104">
        <v>59.811569999999897</v>
      </c>
      <c r="H104">
        <v>10.1679668999999</v>
      </c>
      <c r="I104">
        <v>49.643603099999901</v>
      </c>
      <c r="J104">
        <v>999.03360309999903</v>
      </c>
      <c r="K104">
        <v>992199.40061893803</v>
      </c>
    </row>
    <row r="105" spans="1:15" x14ac:dyDescent="0.35">
      <c r="A105">
        <v>2040</v>
      </c>
      <c r="B105" t="s">
        <v>180</v>
      </c>
      <c r="C105" t="s">
        <v>161</v>
      </c>
      <c r="D105">
        <v>5204.5188880507603</v>
      </c>
      <c r="E105">
        <v>1.1969855870256899E-2</v>
      </c>
      <c r="F105">
        <v>3.4299999999999997E-2</v>
      </c>
      <c r="G105">
        <v>178.51499786014099</v>
      </c>
      <c r="H105">
        <v>48.199049422238097</v>
      </c>
      <c r="I105">
        <v>130.31594843790299</v>
      </c>
      <c r="J105">
        <v>5334.8348364886697</v>
      </c>
      <c r="K105">
        <v>992199.40061893803</v>
      </c>
    </row>
    <row r="106" spans="1:15" x14ac:dyDescent="0.35">
      <c r="A106">
        <v>2040</v>
      </c>
      <c r="B106" t="s">
        <v>180</v>
      </c>
      <c r="C106" t="s">
        <v>160</v>
      </c>
      <c r="D106">
        <v>13261.3043990679</v>
      </c>
      <c r="E106">
        <v>3.0499630364085199E-2</v>
      </c>
      <c r="F106">
        <v>3.4299999999999997E-2</v>
      </c>
      <c r="G106">
        <v>454.862740888031</v>
      </c>
      <c r="H106">
        <v>122.81294003976799</v>
      </c>
      <c r="I106">
        <v>332.04980084826201</v>
      </c>
      <c r="J106">
        <v>13593.354199916201</v>
      </c>
      <c r="K106">
        <v>992199.40061893803</v>
      </c>
    </row>
    <row r="107" spans="1:15" x14ac:dyDescent="0.35">
      <c r="A107">
        <v>2040</v>
      </c>
      <c r="B107" t="s">
        <v>180</v>
      </c>
      <c r="C107" t="s">
        <v>159</v>
      </c>
      <c r="D107">
        <v>3778.69086275686</v>
      </c>
      <c r="E107">
        <v>8.6905986851738698E-3</v>
      </c>
      <c r="F107">
        <v>3.4299999999999997E-2</v>
      </c>
      <c r="G107">
        <v>129.60909659256001</v>
      </c>
      <c r="H107">
        <v>34.994456079991302</v>
      </c>
      <c r="I107">
        <v>94.614640512569096</v>
      </c>
      <c r="J107">
        <v>3873.3055032694301</v>
      </c>
      <c r="K107">
        <v>992199.40061893803</v>
      </c>
    </row>
    <row r="108" spans="1:15" x14ac:dyDescent="0.35">
      <c r="A108">
        <v>2040</v>
      </c>
      <c r="B108" t="s">
        <v>180</v>
      </c>
      <c r="C108" t="s">
        <v>158</v>
      </c>
      <c r="D108">
        <v>304835.87538112001</v>
      </c>
      <c r="E108">
        <v>0.70109102702520998</v>
      </c>
      <c r="F108">
        <v>3.4299999999999997E-2</v>
      </c>
      <c r="G108">
        <v>10455.8705255723</v>
      </c>
      <c r="H108">
        <v>2823.08504190454</v>
      </c>
      <c r="I108">
        <v>7632.7854836678398</v>
      </c>
      <c r="J108">
        <v>312468.660864787</v>
      </c>
      <c r="K108">
        <v>992199.40061893803</v>
      </c>
    </row>
    <row r="109" spans="1:15" x14ac:dyDescent="0.35">
      <c r="A109">
        <v>2041</v>
      </c>
      <c r="B109" t="s">
        <v>179</v>
      </c>
      <c r="C109" t="s">
        <v>106</v>
      </c>
      <c r="D109">
        <v>227140.93</v>
      </c>
      <c r="E109">
        <v>0.42236154137517201</v>
      </c>
      <c r="F109">
        <v>6.3E-2</v>
      </c>
      <c r="G109">
        <v>14309.8785899999</v>
      </c>
      <c r="H109">
        <v>2432.6793602999901</v>
      </c>
      <c r="I109">
        <v>11877.1992296999</v>
      </c>
      <c r="J109">
        <v>239018.12922969999</v>
      </c>
      <c r="K109">
        <v>1117712.6247972299</v>
      </c>
    </row>
    <row r="110" spans="1:15" x14ac:dyDescent="0.35">
      <c r="A110">
        <v>2041</v>
      </c>
      <c r="B110" t="s">
        <v>180</v>
      </c>
      <c r="C110" t="s">
        <v>106</v>
      </c>
      <c r="D110">
        <v>1011.52</v>
      </c>
      <c r="E110">
        <v>1.8808901871266101E-3</v>
      </c>
      <c r="F110">
        <v>6.3E-2</v>
      </c>
      <c r="G110">
        <v>63.725760000000001</v>
      </c>
      <c r="H110">
        <v>17.205955199999998</v>
      </c>
      <c r="I110">
        <v>46.519804800000003</v>
      </c>
      <c r="J110">
        <v>1058.0398048</v>
      </c>
      <c r="K110">
        <v>1117712.6247972299</v>
      </c>
    </row>
    <row r="111" spans="1:15" x14ac:dyDescent="0.35">
      <c r="A111">
        <v>2041</v>
      </c>
      <c r="B111" t="s">
        <v>180</v>
      </c>
      <c r="C111" t="s">
        <v>159</v>
      </c>
      <c r="D111" s="42">
        <v>2.37468842572689E-12</v>
      </c>
      <c r="E111" s="42">
        <v>4.4156597570318702E-18</v>
      </c>
      <c r="F111">
        <v>3.4299999999999997E-2</v>
      </c>
      <c r="G111" s="42">
        <v>8.14518130024327E-14</v>
      </c>
      <c r="H111" s="42">
        <v>2.1991989510656799E-14</v>
      </c>
      <c r="I111" s="42">
        <v>5.9459823491775794E-14</v>
      </c>
      <c r="J111" s="42">
        <v>2.43414824921867E-12</v>
      </c>
      <c r="K111">
        <v>1117712.6247972299</v>
      </c>
    </row>
    <row r="112" spans="1:15" x14ac:dyDescent="0.35">
      <c r="A112">
        <v>2041</v>
      </c>
      <c r="B112" t="s">
        <v>180</v>
      </c>
      <c r="C112" t="s">
        <v>158</v>
      </c>
      <c r="D112">
        <v>309635.46251469501</v>
      </c>
      <c r="E112">
        <v>0.57575757575757502</v>
      </c>
      <c r="F112">
        <v>3.4299999999999997E-2</v>
      </c>
      <c r="G112">
        <v>10620.496364254001</v>
      </c>
      <c r="H112">
        <v>2867.5340183485901</v>
      </c>
      <c r="I112">
        <v>7752.9623459054401</v>
      </c>
      <c r="J112">
        <v>317388.42486060102</v>
      </c>
      <c r="K112">
        <v>1117712.6247972299</v>
      </c>
    </row>
    <row r="113" spans="1:11" x14ac:dyDescent="0.35">
      <c r="A113">
        <v>2042</v>
      </c>
      <c r="B113" t="s">
        <v>179</v>
      </c>
      <c r="C113" t="s">
        <v>106</v>
      </c>
      <c r="D113">
        <v>141199.5</v>
      </c>
      <c r="E113">
        <v>0.21806217252288601</v>
      </c>
      <c r="F113">
        <v>6.3E-2</v>
      </c>
      <c r="G113">
        <v>8895.5684999999903</v>
      </c>
      <c r="H113">
        <v>1512.2466449999899</v>
      </c>
      <c r="I113">
        <v>7383.3218549999901</v>
      </c>
      <c r="J113">
        <v>148582.82185499999</v>
      </c>
      <c r="K113">
        <v>1259103.2718340801</v>
      </c>
    </row>
    <row r="114" spans="1:11" x14ac:dyDescent="0.35">
      <c r="A114">
        <v>2042</v>
      </c>
      <c r="B114" t="s">
        <v>180</v>
      </c>
      <c r="C114" t="s">
        <v>106</v>
      </c>
      <c r="D114">
        <v>191117.93</v>
      </c>
      <c r="E114">
        <v>0.29515395609670603</v>
      </c>
      <c r="F114">
        <v>6.3E-2</v>
      </c>
      <c r="G114">
        <v>12040.4295899999</v>
      </c>
      <c r="H114">
        <v>3250.9159892999901</v>
      </c>
      <c r="I114">
        <v>8789.5136006999892</v>
      </c>
      <c r="J114">
        <v>199907.44360069901</v>
      </c>
      <c r="K114">
        <v>1259103.2718340801</v>
      </c>
    </row>
    <row r="115" spans="1:11" x14ac:dyDescent="0.35">
      <c r="A115">
        <v>2042</v>
      </c>
      <c r="B115" t="s">
        <v>179</v>
      </c>
      <c r="C115" t="s">
        <v>107</v>
      </c>
      <c r="D115">
        <v>191.15</v>
      </c>
      <c r="E115">
        <v>2.9520348356580303E-4</v>
      </c>
      <c r="F115">
        <v>6.3E-2</v>
      </c>
      <c r="G115">
        <v>12.042450000000001</v>
      </c>
      <c r="H115">
        <v>2.0472165000000002</v>
      </c>
      <c r="I115">
        <v>9.9952334999999994</v>
      </c>
      <c r="J115">
        <v>201.14523349999999</v>
      </c>
      <c r="K115">
        <v>1259103.2718340801</v>
      </c>
    </row>
    <row r="116" spans="1:11" x14ac:dyDescent="0.35">
      <c r="A116">
        <v>2042</v>
      </c>
      <c r="B116" t="s">
        <v>180</v>
      </c>
      <c r="C116" t="s">
        <v>107</v>
      </c>
      <c r="D116">
        <v>258.73</v>
      </c>
      <c r="E116">
        <v>3.9957100341606202E-4</v>
      </c>
      <c r="F116">
        <v>6.3E-2</v>
      </c>
      <c r="G116">
        <v>16.299989999999902</v>
      </c>
      <c r="H116">
        <v>4.4009972999999896</v>
      </c>
      <c r="I116">
        <v>11.8989926999999</v>
      </c>
      <c r="J116">
        <v>270.62899270000003</v>
      </c>
      <c r="K116">
        <v>1259103.2718340801</v>
      </c>
    </row>
    <row r="117" spans="1:11" x14ac:dyDescent="0.35">
      <c r="A117">
        <v>2042</v>
      </c>
      <c r="B117" t="s">
        <v>180</v>
      </c>
      <c r="C117" t="s">
        <v>161</v>
      </c>
      <c r="D117">
        <v>3456.0195479406202</v>
      </c>
      <c r="E117">
        <v>5.3373215266732301E-3</v>
      </c>
      <c r="F117">
        <v>3.4299999999999997E-2</v>
      </c>
      <c r="G117">
        <v>118.541470494363</v>
      </c>
      <c r="H117">
        <v>32.006197033478202</v>
      </c>
      <c r="I117">
        <v>86.535273460885406</v>
      </c>
      <c r="J117">
        <v>3542.5548214015098</v>
      </c>
      <c r="K117">
        <v>1259103.2718340801</v>
      </c>
    </row>
    <row r="118" spans="1:11" x14ac:dyDescent="0.35">
      <c r="A118">
        <v>2042</v>
      </c>
      <c r="B118" t="s">
        <v>180</v>
      </c>
      <c r="C118" t="s">
        <v>160</v>
      </c>
      <c r="D118">
        <v>3901.68631122326</v>
      </c>
      <c r="E118">
        <v>6.0255892799064396E-3</v>
      </c>
      <c r="F118">
        <v>3.4299999999999997E-2</v>
      </c>
      <c r="G118">
        <v>133.82784047495699</v>
      </c>
      <c r="H118">
        <v>36.1335169282385</v>
      </c>
      <c r="I118">
        <v>97.694323546719005</v>
      </c>
      <c r="J118">
        <v>3999.3806347699701</v>
      </c>
      <c r="K118">
        <v>1259103.2718340801</v>
      </c>
    </row>
    <row r="119" spans="1:11" x14ac:dyDescent="0.35">
      <c r="A119">
        <v>2042</v>
      </c>
      <c r="B119" t="s">
        <v>180</v>
      </c>
      <c r="C119" t="s">
        <v>159</v>
      </c>
      <c r="D119">
        <v>979.31683196758502</v>
      </c>
      <c r="E119">
        <v>1.51241297573349E-3</v>
      </c>
      <c r="F119">
        <v>3.4299999999999997E-2</v>
      </c>
      <c r="G119">
        <v>33.590567336488199</v>
      </c>
      <c r="H119">
        <v>9.06945318085182</v>
      </c>
      <c r="I119">
        <v>24.521114155636401</v>
      </c>
      <c r="J119">
        <v>1003.83794612322</v>
      </c>
      <c r="K119">
        <v>1259103.2718340801</v>
      </c>
    </row>
    <row r="120" spans="1:11" x14ac:dyDescent="0.35">
      <c r="A120">
        <v>2042</v>
      </c>
      <c r="B120" t="s">
        <v>180</v>
      </c>
      <c r="C120" t="s">
        <v>158</v>
      </c>
      <c r="D120">
        <v>306415.13066569198</v>
      </c>
      <c r="E120">
        <v>0.47321377970067102</v>
      </c>
      <c r="F120">
        <v>3.4299999999999997E-2</v>
      </c>
      <c r="G120">
        <v>10510.038981833201</v>
      </c>
      <c r="H120">
        <v>2837.7105250949799</v>
      </c>
      <c r="I120">
        <v>7672.3284567382798</v>
      </c>
      <c r="J120">
        <v>314087.45912243001</v>
      </c>
      <c r="K120">
        <v>1259103.2718340801</v>
      </c>
    </row>
    <row r="121" spans="1:11" x14ac:dyDescent="0.35">
      <c r="A121">
        <v>2043</v>
      </c>
      <c r="B121" t="s">
        <v>179</v>
      </c>
      <c r="C121" t="s">
        <v>106</v>
      </c>
      <c r="D121">
        <v>158843.47</v>
      </c>
      <c r="E121">
        <v>0.20830545812251799</v>
      </c>
      <c r="F121">
        <v>6.3E-2</v>
      </c>
      <c r="G121">
        <v>10007.1386099999</v>
      </c>
      <c r="H121">
        <v>1701.2135636999899</v>
      </c>
      <c r="I121">
        <v>8305.9250462999898</v>
      </c>
      <c r="J121">
        <v>167149.39504629999</v>
      </c>
      <c r="K121">
        <v>1418379.83572109</v>
      </c>
    </row>
    <row r="122" spans="1:11" x14ac:dyDescent="0.35">
      <c r="A122">
        <v>2043</v>
      </c>
      <c r="B122" t="s">
        <v>180</v>
      </c>
      <c r="C122" t="s">
        <v>106</v>
      </c>
      <c r="D122">
        <v>284972.53999999998</v>
      </c>
      <c r="E122">
        <v>0.37370963689623199</v>
      </c>
      <c r="F122">
        <v>6.3E-2</v>
      </c>
      <c r="G122">
        <v>17953.270019999902</v>
      </c>
      <c r="H122">
        <v>4847.3829053999898</v>
      </c>
      <c r="I122">
        <v>13105.8871145999</v>
      </c>
      <c r="J122">
        <v>298078.42711459898</v>
      </c>
      <c r="K122">
        <v>1418379.83572109</v>
      </c>
    </row>
    <row r="123" spans="1:11" x14ac:dyDescent="0.35">
      <c r="A123">
        <v>2043</v>
      </c>
      <c r="B123" t="s">
        <v>179</v>
      </c>
      <c r="C123" t="s">
        <v>107</v>
      </c>
      <c r="D123">
        <v>433.09</v>
      </c>
      <c r="E123">
        <v>5.6794913167208696E-4</v>
      </c>
      <c r="F123">
        <v>6.3E-2</v>
      </c>
      <c r="G123">
        <v>27.284669999999899</v>
      </c>
      <c r="H123">
        <v>4.6383938999999899</v>
      </c>
      <c r="I123">
        <v>22.646276099999898</v>
      </c>
      <c r="J123">
        <v>455.73627609999897</v>
      </c>
      <c r="K123">
        <v>1418379.83572109</v>
      </c>
    </row>
    <row r="124" spans="1:11" x14ac:dyDescent="0.35">
      <c r="A124">
        <v>2043</v>
      </c>
      <c r="B124" t="s">
        <v>180</v>
      </c>
      <c r="C124" t="s">
        <v>107</v>
      </c>
      <c r="D124">
        <v>776.98</v>
      </c>
      <c r="E124">
        <v>1.0189224325811699E-3</v>
      </c>
      <c r="F124">
        <v>6.3E-2</v>
      </c>
      <c r="G124">
        <v>48.949739999999899</v>
      </c>
      <c r="H124">
        <v>13.216429799999901</v>
      </c>
      <c r="I124">
        <v>35.733310199999899</v>
      </c>
      <c r="J124">
        <v>812.713310199999</v>
      </c>
      <c r="K124">
        <v>1418379.83572109</v>
      </c>
    </row>
    <row r="125" spans="1:11" x14ac:dyDescent="0.35">
      <c r="A125">
        <v>2043</v>
      </c>
      <c r="B125" t="s">
        <v>180</v>
      </c>
      <c r="C125" t="s">
        <v>161</v>
      </c>
      <c r="D125">
        <v>1481.2026437720499</v>
      </c>
      <c r="E125">
        <v>1.94243172403135E-3</v>
      </c>
      <c r="F125">
        <v>3.4299999999999997E-2</v>
      </c>
      <c r="G125">
        <v>50.805250681381402</v>
      </c>
      <c r="H125">
        <v>13.717417683973</v>
      </c>
      <c r="I125">
        <v>37.087832997408398</v>
      </c>
      <c r="J125">
        <v>1518.2904767694599</v>
      </c>
      <c r="K125">
        <v>1418379.83572109</v>
      </c>
    </row>
    <row r="126" spans="1:11" x14ac:dyDescent="0.35">
      <c r="A126">
        <v>2043</v>
      </c>
      <c r="B126" t="s">
        <v>180</v>
      </c>
      <c r="C126" t="s">
        <v>160</v>
      </c>
      <c r="D126">
        <v>3122.6521416053001</v>
      </c>
      <c r="E126">
        <v>4.0950092875354296E-3</v>
      </c>
      <c r="F126">
        <v>3.4299999999999997E-2</v>
      </c>
      <c r="G126">
        <v>107.106968457062</v>
      </c>
      <c r="H126">
        <v>28.9188814834067</v>
      </c>
      <c r="I126">
        <v>78.188086973655302</v>
      </c>
      <c r="J126">
        <v>3200.8402285789598</v>
      </c>
      <c r="K126">
        <v>1418379.83572109</v>
      </c>
    </row>
    <row r="127" spans="1:11" x14ac:dyDescent="0.35">
      <c r="A127">
        <v>2043</v>
      </c>
      <c r="B127" t="s">
        <v>180</v>
      </c>
      <c r="C127" t="s">
        <v>159</v>
      </c>
      <c r="D127">
        <v>3965.9573185970098</v>
      </c>
      <c r="E127">
        <v>5.2009097770572797E-3</v>
      </c>
      <c r="F127">
        <v>3.4299999999999997E-2</v>
      </c>
      <c r="G127">
        <v>136.03233602787699</v>
      </c>
      <c r="H127">
        <v>36.728730727526901</v>
      </c>
      <c r="I127">
        <v>99.303605300350597</v>
      </c>
      <c r="J127">
        <v>4065.26092389736</v>
      </c>
      <c r="K127">
        <v>1418379.83572109</v>
      </c>
    </row>
    <row r="128" spans="1:11" x14ac:dyDescent="0.35">
      <c r="A128">
        <v>2043</v>
      </c>
      <c r="B128" t="s">
        <v>180</v>
      </c>
      <c r="C128" t="s">
        <v>158</v>
      </c>
      <c r="D128">
        <v>308954.78581045999</v>
      </c>
      <c r="E128">
        <v>0.40515967195498997</v>
      </c>
      <c r="F128">
        <v>3.4299999999999997E-2</v>
      </c>
      <c r="G128">
        <v>10597.1491532988</v>
      </c>
      <c r="H128">
        <v>2861.2302713906802</v>
      </c>
      <c r="I128">
        <v>7735.9188819081301</v>
      </c>
      <c r="J128">
        <v>316690.70469236799</v>
      </c>
      <c r="K128">
        <v>1418379.83572109</v>
      </c>
    </row>
    <row r="129" spans="1:17" x14ac:dyDescent="0.35">
      <c r="A129">
        <v>2044</v>
      </c>
      <c r="B129" t="s">
        <v>179</v>
      </c>
      <c r="C129" t="s">
        <v>106</v>
      </c>
      <c r="D129">
        <v>179009.8</v>
      </c>
      <c r="E129">
        <v>0.20047419576223499</v>
      </c>
      <c r="F129">
        <v>6.3E-2</v>
      </c>
      <c r="G129">
        <v>11277.617399999899</v>
      </c>
      <c r="H129">
        <v>1917.19495799999</v>
      </c>
      <c r="I129">
        <v>9360.42244199999</v>
      </c>
      <c r="J129">
        <v>188370.22244199901</v>
      </c>
      <c r="K129">
        <v>1597804.88493981</v>
      </c>
      <c r="P129">
        <v>36.363636363636303</v>
      </c>
      <c r="Q129">
        <v>300000</v>
      </c>
    </row>
    <row r="130" spans="1:17" x14ac:dyDescent="0.35">
      <c r="A130">
        <v>2044</v>
      </c>
      <c r="B130" t="s">
        <v>180</v>
      </c>
      <c r="C130" t="s">
        <v>106</v>
      </c>
      <c r="D130">
        <v>384147.86</v>
      </c>
      <c r="E130">
        <v>0.43020959348194299</v>
      </c>
      <c r="F130">
        <v>6.3E-2</v>
      </c>
      <c r="G130">
        <v>24201.3151799999</v>
      </c>
      <c r="H130">
        <v>6534.35509859999</v>
      </c>
      <c r="I130">
        <v>17666.960081399899</v>
      </c>
      <c r="J130">
        <v>401814.82008139999</v>
      </c>
      <c r="K130">
        <v>1597804.88493981</v>
      </c>
      <c r="P130">
        <v>36.363636363636303</v>
      </c>
      <c r="Q130">
        <v>300000</v>
      </c>
    </row>
    <row r="131" spans="1:17" x14ac:dyDescent="0.35">
      <c r="A131">
        <v>2044</v>
      </c>
      <c r="B131" t="s">
        <v>179</v>
      </c>
      <c r="C131" t="s">
        <v>107</v>
      </c>
      <c r="D131">
        <v>415.25</v>
      </c>
      <c r="E131">
        <v>4.65041074791818E-4</v>
      </c>
      <c r="F131">
        <v>6.3E-2</v>
      </c>
      <c r="G131">
        <v>26.160749999999901</v>
      </c>
      <c r="H131">
        <v>4.4473274999999903</v>
      </c>
      <c r="I131">
        <v>21.713422499999901</v>
      </c>
      <c r="J131">
        <v>436.96342249999998</v>
      </c>
      <c r="K131">
        <v>1597804.88493981</v>
      </c>
      <c r="P131">
        <v>36.363636363636303</v>
      </c>
      <c r="Q131">
        <v>300000</v>
      </c>
    </row>
    <row r="132" spans="1:17" x14ac:dyDescent="0.35">
      <c r="A132">
        <v>2044</v>
      </c>
      <c r="B132" t="s">
        <v>180</v>
      </c>
      <c r="C132" t="s">
        <v>107</v>
      </c>
      <c r="D132">
        <v>891.11</v>
      </c>
      <c r="E132">
        <v>9.9795966804993902E-4</v>
      </c>
      <c r="F132">
        <v>6.3E-2</v>
      </c>
      <c r="G132">
        <v>56.1399299999999</v>
      </c>
      <c r="H132">
        <v>15.1577810999999</v>
      </c>
      <c r="I132">
        <v>40.982148899999899</v>
      </c>
      <c r="J132">
        <v>932.09214889999998</v>
      </c>
      <c r="K132">
        <v>1597804.88493981</v>
      </c>
      <c r="P132">
        <v>36.363636363636303</v>
      </c>
      <c r="Q132">
        <v>300000</v>
      </c>
    </row>
    <row r="133" spans="1:17" x14ac:dyDescent="0.35">
      <c r="A133">
        <v>2044</v>
      </c>
      <c r="B133" t="s">
        <v>180</v>
      </c>
      <c r="C133" t="s">
        <v>161</v>
      </c>
      <c r="D133">
        <v>2440.8158348884199</v>
      </c>
      <c r="E133">
        <v>2.7334849349196898E-3</v>
      </c>
      <c r="F133">
        <v>3.4299999999999997E-2</v>
      </c>
      <c r="G133">
        <v>83.719983136672894</v>
      </c>
      <c r="H133">
        <v>22.604395446901599</v>
      </c>
      <c r="I133">
        <v>61.115587689771203</v>
      </c>
      <c r="J133">
        <v>2501.93142257819</v>
      </c>
      <c r="K133">
        <v>1597804.88493981</v>
      </c>
      <c r="P133">
        <v>36.363636363636303</v>
      </c>
      <c r="Q133">
        <v>300000</v>
      </c>
    </row>
    <row r="134" spans="1:17" x14ac:dyDescent="0.35">
      <c r="A134">
        <v>2044</v>
      </c>
      <c r="B134" t="s">
        <v>180</v>
      </c>
      <c r="C134" t="s">
        <v>160</v>
      </c>
      <c r="D134">
        <v>1715.7018393548101</v>
      </c>
      <c r="E134">
        <v>1.92142523153729E-3</v>
      </c>
      <c r="F134">
        <v>3.4299999999999997E-2</v>
      </c>
      <c r="G134">
        <v>58.848573089870101</v>
      </c>
      <c r="H134">
        <v>15.889114734264901</v>
      </c>
      <c r="I134">
        <v>42.959458355605101</v>
      </c>
      <c r="J134">
        <v>1758.6612977104101</v>
      </c>
      <c r="K134">
        <v>1597804.88493981</v>
      </c>
      <c r="P134">
        <v>36.363636363636303</v>
      </c>
      <c r="Q134">
        <v>300000</v>
      </c>
    </row>
    <row r="135" spans="1:17" x14ac:dyDescent="0.35">
      <c r="A135">
        <v>2044</v>
      </c>
      <c r="B135" t="s">
        <v>180</v>
      </c>
      <c r="C135" t="s">
        <v>159</v>
      </c>
      <c r="D135">
        <v>2438.2333424963399</v>
      </c>
      <c r="E135">
        <v>2.7305927855213602E-3</v>
      </c>
      <c r="F135">
        <v>3.4299999999999997E-2</v>
      </c>
      <c r="G135">
        <v>83.631403647624595</v>
      </c>
      <c r="H135">
        <v>22.580478984858601</v>
      </c>
      <c r="I135">
        <v>61.050924662766</v>
      </c>
      <c r="J135">
        <v>2499.2842671591002</v>
      </c>
      <c r="K135">
        <v>1597804.88493981</v>
      </c>
      <c r="P135">
        <v>36.363636363636303</v>
      </c>
      <c r="Q135">
        <v>300000</v>
      </c>
    </row>
    <row r="136" spans="1:17" x14ac:dyDescent="0.35">
      <c r="A136">
        <v>2044</v>
      </c>
      <c r="B136" t="s">
        <v>180</v>
      </c>
      <c r="C136" t="s">
        <v>158</v>
      </c>
      <c r="D136">
        <v>321873.11282256502</v>
      </c>
      <c r="E136">
        <v>0.36046771422900398</v>
      </c>
      <c r="F136">
        <v>3.4299999999999997E-2</v>
      </c>
      <c r="G136">
        <v>11040.247769813899</v>
      </c>
      <c r="H136">
        <v>2980.8668978497699</v>
      </c>
      <c r="I136">
        <v>8059.3808719642002</v>
      </c>
      <c r="J136">
        <v>329932.493694529</v>
      </c>
      <c r="K136">
        <v>1597804.88493981</v>
      </c>
      <c r="P136">
        <v>36.363636363636303</v>
      </c>
      <c r="Q136">
        <v>300000</v>
      </c>
    </row>
    <row r="137" spans="1:17" x14ac:dyDescent="0.35">
      <c r="A137">
        <v>2045</v>
      </c>
      <c r="B137" t="s">
        <v>179</v>
      </c>
      <c r="C137" t="s">
        <v>106</v>
      </c>
      <c r="D137">
        <v>199865.97</v>
      </c>
      <c r="E137">
        <v>0.27370779380696703</v>
      </c>
      <c r="F137">
        <v>6.3E-2</v>
      </c>
      <c r="G137">
        <v>12591.556109999899</v>
      </c>
      <c r="H137">
        <v>2140.56453869999</v>
      </c>
      <c r="I137">
        <v>10450.991571299901</v>
      </c>
      <c r="J137">
        <v>210316.96157129999</v>
      </c>
      <c r="K137">
        <v>1799927.2028846999</v>
      </c>
    </row>
    <row r="138" spans="1:17" x14ac:dyDescent="0.35">
      <c r="A138">
        <v>2045</v>
      </c>
      <c r="B138" t="s">
        <v>180</v>
      </c>
      <c r="C138" t="s">
        <v>106</v>
      </c>
      <c r="D138">
        <v>508755.16</v>
      </c>
      <c r="E138">
        <v>0.696718167837731</v>
      </c>
      <c r="F138">
        <v>6.3E-2</v>
      </c>
      <c r="G138">
        <v>32051.5750799999</v>
      </c>
      <c r="H138">
        <v>8653.9252715999792</v>
      </c>
      <c r="I138">
        <v>23397.649808399899</v>
      </c>
      <c r="J138">
        <v>532152.80980839895</v>
      </c>
      <c r="K138">
        <v>1799927.2028846999</v>
      </c>
    </row>
    <row r="139" spans="1:17" x14ac:dyDescent="0.35">
      <c r="A139">
        <v>2045</v>
      </c>
      <c r="B139" t="s">
        <v>179</v>
      </c>
      <c r="C139" t="s">
        <v>107</v>
      </c>
      <c r="D139">
        <v>2256.35</v>
      </c>
      <c r="E139">
        <v>3.08997364862238E-3</v>
      </c>
      <c r="F139">
        <v>6.3E-2</v>
      </c>
      <c r="G139">
        <v>142.150049999999</v>
      </c>
      <c r="H139">
        <v>24.165508499999898</v>
      </c>
      <c r="I139">
        <v>117.984541499999</v>
      </c>
      <c r="J139">
        <v>2374.3345414999999</v>
      </c>
      <c r="K139">
        <v>1799927.2028846999</v>
      </c>
    </row>
    <row r="140" spans="1:17" x14ac:dyDescent="0.35">
      <c r="A140">
        <v>2045</v>
      </c>
      <c r="B140" t="s">
        <v>180</v>
      </c>
      <c r="C140" t="s">
        <v>107</v>
      </c>
      <c r="D140">
        <v>5743.49</v>
      </c>
      <c r="E140">
        <v>7.86546092189872E-3</v>
      </c>
      <c r="F140">
        <v>6.3E-2</v>
      </c>
      <c r="G140">
        <v>361.839869999999</v>
      </c>
      <c r="H140">
        <v>97.696764899999906</v>
      </c>
      <c r="I140">
        <v>264.14310509999899</v>
      </c>
      <c r="J140">
        <v>6007.6331050999997</v>
      </c>
      <c r="K140">
        <v>1799927.2028846999</v>
      </c>
    </row>
    <row r="141" spans="1:17" x14ac:dyDescent="0.35">
      <c r="A141">
        <v>2045</v>
      </c>
      <c r="B141" t="s">
        <v>180</v>
      </c>
      <c r="C141" t="s">
        <v>161</v>
      </c>
      <c r="D141">
        <v>1720.5449199320101</v>
      </c>
      <c r="E141">
        <v>2.3562117862304202E-3</v>
      </c>
      <c r="F141">
        <v>3.4299999999999997E-2</v>
      </c>
      <c r="G141">
        <v>59.0146907536679</v>
      </c>
      <c r="H141">
        <v>15.9339665034903</v>
      </c>
      <c r="I141">
        <v>43.080724250177603</v>
      </c>
      <c r="J141">
        <v>1763.6256441821899</v>
      </c>
      <c r="K141">
        <v>1799927.2028846999</v>
      </c>
    </row>
    <row r="142" spans="1:17" x14ac:dyDescent="0.35">
      <c r="A142">
        <v>2045</v>
      </c>
      <c r="B142" t="s">
        <v>180</v>
      </c>
      <c r="C142" t="s">
        <v>160</v>
      </c>
      <c r="D142">
        <v>5162.4343891844501</v>
      </c>
      <c r="E142">
        <v>7.0697304165231196E-3</v>
      </c>
      <c r="F142">
        <v>3.4299999999999997E-2</v>
      </c>
      <c r="G142">
        <v>177.07149954902701</v>
      </c>
      <c r="H142">
        <v>47.809304878237299</v>
      </c>
      <c r="I142">
        <v>129.262194670789</v>
      </c>
      <c r="J142">
        <v>5291.6965838552396</v>
      </c>
      <c r="K142">
        <v>1799927.2028846999</v>
      </c>
    </row>
    <row r="143" spans="1:17" x14ac:dyDescent="0.35">
      <c r="A143">
        <v>2045</v>
      </c>
      <c r="B143" t="s">
        <v>180</v>
      </c>
      <c r="C143" t="s">
        <v>159</v>
      </c>
      <c r="D143">
        <v>2066.79503321731</v>
      </c>
      <c r="E143">
        <v>2.8303863273628298E-3</v>
      </c>
      <c r="F143">
        <v>3.4299999999999997E-2</v>
      </c>
      <c r="G143">
        <v>70.8910696393541</v>
      </c>
      <c r="H143">
        <v>19.140588802625601</v>
      </c>
      <c r="I143">
        <v>51.7504808367284</v>
      </c>
      <c r="J143">
        <v>2118.5455140540398</v>
      </c>
      <c r="K143">
        <v>1799927.2028846999</v>
      </c>
    </row>
    <row r="144" spans="1:17" x14ac:dyDescent="0.35">
      <c r="A144">
        <v>2045</v>
      </c>
      <c r="B144" t="s">
        <v>180</v>
      </c>
      <c r="C144" t="s">
        <v>158</v>
      </c>
      <c r="D144">
        <v>4645.8464034553199</v>
      </c>
      <c r="E144">
        <v>6.36228553292885E-3</v>
      </c>
      <c r="F144">
        <v>3.4299999999999997E-2</v>
      </c>
      <c r="G144">
        <v>159.35253163851701</v>
      </c>
      <c r="H144">
        <v>43.025183542399702</v>
      </c>
      <c r="I144">
        <v>116.32734809611701</v>
      </c>
      <c r="J144">
        <v>4762.1737515514396</v>
      </c>
      <c r="K144">
        <v>1799927.2028846999</v>
      </c>
    </row>
    <row r="145" spans="1:11" x14ac:dyDescent="0.35">
      <c r="A145">
        <v>2046</v>
      </c>
      <c r="B145" t="s">
        <v>179</v>
      </c>
      <c r="C145" t="s">
        <v>106</v>
      </c>
      <c r="D145">
        <v>225809.8</v>
      </c>
      <c r="E145">
        <v>0.26021621324115402</v>
      </c>
      <c r="F145">
        <v>6.3E-2</v>
      </c>
      <c r="G145">
        <v>14226.017399999901</v>
      </c>
      <c r="H145">
        <v>2418.4229579999901</v>
      </c>
      <c r="I145">
        <v>11807.5944419999</v>
      </c>
      <c r="J145">
        <v>237617.394441999</v>
      </c>
      <c r="K145">
        <v>2027617.9940496101</v>
      </c>
    </row>
    <row r="146" spans="1:11" x14ac:dyDescent="0.35">
      <c r="A146">
        <v>2046</v>
      </c>
      <c r="B146" t="s">
        <v>180</v>
      </c>
      <c r="C146" t="s">
        <v>106</v>
      </c>
      <c r="D146">
        <v>599658.73</v>
      </c>
      <c r="E146">
        <v>0.69102813056652002</v>
      </c>
      <c r="F146">
        <v>6.3E-2</v>
      </c>
      <c r="G146">
        <v>37778.499989999902</v>
      </c>
      <c r="H146">
        <v>10200.194997299899</v>
      </c>
      <c r="I146">
        <v>27578.304992699901</v>
      </c>
      <c r="J146">
        <v>627237.03499269998</v>
      </c>
      <c r="K146">
        <v>2027617.9940496101</v>
      </c>
    </row>
    <row r="147" spans="1:11" x14ac:dyDescent="0.35">
      <c r="A147">
        <v>2046</v>
      </c>
      <c r="B147" t="s">
        <v>179</v>
      </c>
      <c r="C147" t="s">
        <v>107</v>
      </c>
      <c r="D147">
        <v>1880.99</v>
      </c>
      <c r="E147">
        <v>2.1675945638518698E-3</v>
      </c>
      <c r="F147">
        <v>6.3E-2</v>
      </c>
      <c r="G147">
        <v>118.502369999999</v>
      </c>
      <c r="H147">
        <v>20.145402899999901</v>
      </c>
      <c r="I147">
        <v>98.356967099999906</v>
      </c>
      <c r="J147">
        <v>1979.3469671</v>
      </c>
      <c r="K147">
        <v>2027617.9940496101</v>
      </c>
    </row>
    <row r="148" spans="1:11" x14ac:dyDescent="0.35">
      <c r="A148">
        <v>2046</v>
      </c>
      <c r="B148" t="s">
        <v>180</v>
      </c>
      <c r="C148" t="s">
        <v>107</v>
      </c>
      <c r="D148">
        <v>4995.13</v>
      </c>
      <c r="E148">
        <v>5.7562329590978203E-3</v>
      </c>
      <c r="F148">
        <v>6.3E-2</v>
      </c>
      <c r="G148">
        <v>314.69318999999899</v>
      </c>
      <c r="H148">
        <v>84.967161300000001</v>
      </c>
      <c r="I148">
        <v>229.72602869999901</v>
      </c>
      <c r="J148">
        <v>5224.8560287</v>
      </c>
      <c r="K148">
        <v>2027617.9940496101</v>
      </c>
    </row>
    <row r="149" spans="1:11" x14ac:dyDescent="0.35">
      <c r="A149">
        <v>2046</v>
      </c>
      <c r="B149" t="s">
        <v>180</v>
      </c>
      <c r="C149" t="s">
        <v>161</v>
      </c>
      <c r="D149">
        <v>11103.414537859901</v>
      </c>
      <c r="E149">
        <v>1.27952306989718E-2</v>
      </c>
      <c r="F149">
        <v>3.4299999999999997E-2</v>
      </c>
      <c r="G149">
        <v>380.84711864859401</v>
      </c>
      <c r="H149">
        <v>102.82872203511999</v>
      </c>
      <c r="I149">
        <v>278.01839661347401</v>
      </c>
      <c r="J149">
        <v>11381.4329344733</v>
      </c>
      <c r="K149">
        <v>2027617.9940496101</v>
      </c>
    </row>
    <row r="150" spans="1:11" x14ac:dyDescent="0.35">
      <c r="A150">
        <v>2046</v>
      </c>
      <c r="B150" t="s">
        <v>180</v>
      </c>
      <c r="C150" t="s">
        <v>160</v>
      </c>
      <c r="D150">
        <v>8179.4805988133203</v>
      </c>
      <c r="E150">
        <v>9.4257798718332501E-3</v>
      </c>
      <c r="F150">
        <v>3.4299999999999997E-2</v>
      </c>
      <c r="G150">
        <v>280.55618453929702</v>
      </c>
      <c r="H150">
        <v>75.7501698256103</v>
      </c>
      <c r="I150">
        <v>204.80601471368701</v>
      </c>
      <c r="J150">
        <v>8384.2866135270106</v>
      </c>
      <c r="K150">
        <v>2027617.9940496101</v>
      </c>
    </row>
    <row r="151" spans="1:11" x14ac:dyDescent="0.35">
      <c r="A151">
        <v>2046</v>
      </c>
      <c r="B151" t="s">
        <v>180</v>
      </c>
      <c r="C151" t="s">
        <v>159</v>
      </c>
      <c r="D151">
        <v>8008.0295469197599</v>
      </c>
      <c r="E151">
        <v>9.2282049947466204E-3</v>
      </c>
      <c r="F151">
        <v>3.4299999999999997E-2</v>
      </c>
      <c r="G151">
        <v>274.675413459347</v>
      </c>
      <c r="H151">
        <v>74.162361634023796</v>
      </c>
      <c r="I151">
        <v>200.513051825323</v>
      </c>
      <c r="J151">
        <v>8208.5425987450799</v>
      </c>
      <c r="K151">
        <v>2027617.9940496101</v>
      </c>
    </row>
    <row r="152" spans="1:11" x14ac:dyDescent="0.35">
      <c r="A152">
        <v>2046</v>
      </c>
      <c r="B152" t="s">
        <v>180</v>
      </c>
      <c r="C152" t="s">
        <v>158</v>
      </c>
      <c r="D152">
        <v>8142.0198583353504</v>
      </c>
      <c r="E152">
        <v>9.38261127581844E-3</v>
      </c>
      <c r="F152">
        <v>3.4299999999999997E-2</v>
      </c>
      <c r="G152">
        <v>279.27128114090198</v>
      </c>
      <c r="H152">
        <v>75.403245908043701</v>
      </c>
      <c r="I152">
        <v>203.868035232859</v>
      </c>
      <c r="J152">
        <v>8345.8878935682096</v>
      </c>
      <c r="K152">
        <v>2027617.9940496101</v>
      </c>
    </row>
    <row r="153" spans="1:11" x14ac:dyDescent="0.35">
      <c r="A153">
        <v>2047</v>
      </c>
      <c r="B153" t="s">
        <v>179</v>
      </c>
      <c r="C153" t="s">
        <v>106</v>
      </c>
      <c r="D153">
        <v>253198.74</v>
      </c>
      <c r="E153">
        <v>0.250097902102356</v>
      </c>
      <c r="F153">
        <v>6.3E-2</v>
      </c>
      <c r="G153">
        <v>15951.520619999899</v>
      </c>
      <c r="H153">
        <v>2711.7585053999901</v>
      </c>
      <c r="I153">
        <v>13239.7621145999</v>
      </c>
      <c r="J153">
        <v>266438.50211459998</v>
      </c>
      <c r="K153">
        <v>2284111.6702968902</v>
      </c>
    </row>
    <row r="154" spans="1:11" x14ac:dyDescent="0.35">
      <c r="A154">
        <v>2047</v>
      </c>
      <c r="B154" t="s">
        <v>180</v>
      </c>
      <c r="C154" t="s">
        <v>106</v>
      </c>
      <c r="D154">
        <v>724820.21</v>
      </c>
      <c r="E154">
        <v>0.715943586142606</v>
      </c>
      <c r="F154">
        <v>6.3E-2</v>
      </c>
      <c r="G154">
        <v>45663.673229999898</v>
      </c>
      <c r="H154">
        <v>12329.191772099901</v>
      </c>
      <c r="I154">
        <v>33334.481457899899</v>
      </c>
      <c r="J154">
        <v>758154.69145789999</v>
      </c>
      <c r="K154">
        <v>2284111.6702968902</v>
      </c>
    </row>
    <row r="155" spans="1:11" x14ac:dyDescent="0.35">
      <c r="A155">
        <v>2047</v>
      </c>
      <c r="B155" t="s">
        <v>179</v>
      </c>
      <c r="C155" t="s">
        <v>107</v>
      </c>
      <c r="D155">
        <v>3294.94</v>
      </c>
      <c r="E155">
        <v>3.2545880028989698E-3</v>
      </c>
      <c r="F155">
        <v>6.3E-2</v>
      </c>
      <c r="G155">
        <v>207.58122</v>
      </c>
      <c r="H155">
        <v>35.288807400000003</v>
      </c>
      <c r="I155">
        <v>172.29241260000001</v>
      </c>
      <c r="J155">
        <v>3467.2324125999999</v>
      </c>
      <c r="K155">
        <v>2284111.6702968902</v>
      </c>
    </row>
    <row r="156" spans="1:11" x14ac:dyDescent="0.35">
      <c r="A156">
        <v>2047</v>
      </c>
      <c r="B156" t="s">
        <v>180</v>
      </c>
      <c r="C156" t="s">
        <v>107</v>
      </c>
      <c r="D156">
        <v>9432.27</v>
      </c>
      <c r="E156">
        <v>9.3167562329219793E-3</v>
      </c>
      <c r="F156">
        <v>6.3E-2</v>
      </c>
      <c r="G156">
        <v>594.23300999999901</v>
      </c>
      <c r="H156">
        <v>160.44291269999999</v>
      </c>
      <c r="I156">
        <v>433.79009729999899</v>
      </c>
      <c r="J156">
        <v>9866.0600973000001</v>
      </c>
      <c r="K156">
        <v>2284111.6702968902</v>
      </c>
    </row>
    <row r="157" spans="1:11" x14ac:dyDescent="0.35">
      <c r="A157">
        <v>2047</v>
      </c>
      <c r="B157" t="s">
        <v>180</v>
      </c>
      <c r="C157" t="s">
        <v>161</v>
      </c>
      <c r="D157">
        <v>11224.344333326</v>
      </c>
      <c r="E157">
        <v>1.10868836481544E-2</v>
      </c>
      <c r="F157">
        <v>3.4299999999999997E-2</v>
      </c>
      <c r="G157">
        <v>384.99501063308298</v>
      </c>
      <c r="H157">
        <v>103.94865287093199</v>
      </c>
      <c r="I157">
        <v>281.04635776215002</v>
      </c>
      <c r="J157">
        <v>11505.3906910882</v>
      </c>
      <c r="K157">
        <v>2284111.6702968902</v>
      </c>
    </row>
    <row r="158" spans="1:11" x14ac:dyDescent="0.35">
      <c r="A158">
        <v>2047</v>
      </c>
      <c r="B158" t="s">
        <v>180</v>
      </c>
      <c r="C158" t="s">
        <v>160</v>
      </c>
      <c r="D158">
        <v>722.35021635939404</v>
      </c>
      <c r="E158">
        <v>7.1350384166472402E-4</v>
      </c>
      <c r="F158">
        <v>3.4299999999999997E-2</v>
      </c>
      <c r="G158">
        <v>24.776612421127101</v>
      </c>
      <c r="H158">
        <v>6.6896853537043404</v>
      </c>
      <c r="I158">
        <v>18.086927067422799</v>
      </c>
      <c r="J158">
        <v>740.43714342681699</v>
      </c>
      <c r="K158">
        <v>2284111.6702968902</v>
      </c>
    </row>
    <row r="159" spans="1:11" x14ac:dyDescent="0.35">
      <c r="A159">
        <v>2047</v>
      </c>
      <c r="B159" t="s">
        <v>180</v>
      </c>
      <c r="C159" t="s">
        <v>159</v>
      </c>
      <c r="D159">
        <v>7473.60971678039</v>
      </c>
      <c r="E159">
        <v>7.3820829886379396E-3</v>
      </c>
      <c r="F159">
        <v>3.4299999999999997E-2</v>
      </c>
      <c r="G159">
        <v>256.344813285567</v>
      </c>
      <c r="H159">
        <v>69.213099587103201</v>
      </c>
      <c r="I159">
        <v>187.13171369846401</v>
      </c>
      <c r="J159">
        <v>7660.7414304788499</v>
      </c>
      <c r="K159">
        <v>2284111.6702968902</v>
      </c>
    </row>
    <row r="160" spans="1:11" x14ac:dyDescent="0.35">
      <c r="A160">
        <v>2047</v>
      </c>
      <c r="B160" t="s">
        <v>180</v>
      </c>
      <c r="C160" t="s">
        <v>158</v>
      </c>
      <c r="D160">
        <v>2232.0317907137801</v>
      </c>
      <c r="E160">
        <v>2.2046968649341702E-3</v>
      </c>
      <c r="F160">
        <v>3.4299999999999997E-2</v>
      </c>
      <c r="G160">
        <v>76.558690421482794</v>
      </c>
      <c r="H160">
        <v>20.670846413800302</v>
      </c>
      <c r="I160">
        <v>55.887844007682503</v>
      </c>
      <c r="J160">
        <v>2287.9196347214602</v>
      </c>
      <c r="K160">
        <v>2284111.6702968902</v>
      </c>
    </row>
    <row r="161" spans="1:11" x14ac:dyDescent="0.35">
      <c r="A161">
        <v>2048</v>
      </c>
      <c r="B161" t="s">
        <v>179</v>
      </c>
      <c r="C161" t="s">
        <v>106</v>
      </c>
      <c r="D161">
        <v>288579.07</v>
      </c>
      <c r="E161">
        <v>0.24547743973782399</v>
      </c>
      <c r="F161">
        <v>6.3E-2</v>
      </c>
      <c r="G161">
        <v>18180.48141</v>
      </c>
      <c r="H161">
        <v>3090.6818397000002</v>
      </c>
      <c r="I161">
        <v>15089.7995703</v>
      </c>
      <c r="J161">
        <v>303668.86957029998</v>
      </c>
      <c r="K161">
        <v>2573051.79658945</v>
      </c>
    </row>
    <row r="162" spans="1:11" x14ac:dyDescent="0.35">
      <c r="A162">
        <v>2048</v>
      </c>
      <c r="B162" t="s">
        <v>180</v>
      </c>
      <c r="C162" t="s">
        <v>106</v>
      </c>
      <c r="D162">
        <v>858226.41</v>
      </c>
      <c r="E162">
        <v>0.73004331825653201</v>
      </c>
      <c r="F162">
        <v>6.3E-2</v>
      </c>
      <c r="G162">
        <v>54068.263829999902</v>
      </c>
      <c r="H162">
        <v>14598.4312340999</v>
      </c>
      <c r="I162">
        <v>39469.832595899898</v>
      </c>
      <c r="J162">
        <v>897696.24259589997</v>
      </c>
      <c r="K162">
        <v>2573051.79658945</v>
      </c>
    </row>
    <row r="163" spans="1:11" x14ac:dyDescent="0.35">
      <c r="A163">
        <v>2048</v>
      </c>
      <c r="B163" t="s">
        <v>179</v>
      </c>
      <c r="C163" t="s">
        <v>107</v>
      </c>
      <c r="D163">
        <v>361.06</v>
      </c>
      <c r="E163">
        <v>3.0713275356989198E-4</v>
      </c>
      <c r="F163">
        <v>6.3E-2</v>
      </c>
      <c r="G163">
        <v>22.746780000000001</v>
      </c>
      <c r="H163">
        <v>3.8669525999999999</v>
      </c>
      <c r="I163">
        <v>18.8798274</v>
      </c>
      <c r="J163">
        <v>379.93982740000001</v>
      </c>
      <c r="K163">
        <v>2573051.79658945</v>
      </c>
    </row>
    <row r="164" spans="1:11" x14ac:dyDescent="0.35">
      <c r="A164">
        <v>2048</v>
      </c>
      <c r="B164" t="s">
        <v>180</v>
      </c>
      <c r="C164" t="s">
        <v>107</v>
      </c>
      <c r="D164">
        <v>1073.77</v>
      </c>
      <c r="E164">
        <v>9.1339372071329804E-4</v>
      </c>
      <c r="F164">
        <v>6.3E-2</v>
      </c>
      <c r="G164">
        <v>67.647509999999997</v>
      </c>
      <c r="H164">
        <v>18.264827700000001</v>
      </c>
      <c r="I164">
        <v>49.382682299999999</v>
      </c>
      <c r="J164">
        <v>1123.1526822999999</v>
      </c>
      <c r="K164">
        <v>2573051.79658945</v>
      </c>
    </row>
    <row r="165" spans="1:11" x14ac:dyDescent="0.35">
      <c r="A165">
        <v>2048</v>
      </c>
      <c r="B165" t="s">
        <v>180</v>
      </c>
      <c r="C165" t="s">
        <v>161</v>
      </c>
      <c r="D165">
        <v>7073.7550582185804</v>
      </c>
      <c r="E165">
        <v>6.0172322304038904E-3</v>
      </c>
      <c r="F165">
        <v>3.4299999999999997E-2</v>
      </c>
      <c r="G165">
        <v>242.629798496897</v>
      </c>
      <c r="H165">
        <v>65.510045594162406</v>
      </c>
      <c r="I165">
        <v>177.119752902735</v>
      </c>
      <c r="J165">
        <v>7250.8748111213199</v>
      </c>
      <c r="K165">
        <v>2573051.79658945</v>
      </c>
    </row>
    <row r="166" spans="1:11" x14ac:dyDescent="0.35">
      <c r="A166">
        <v>2048</v>
      </c>
      <c r="B166" t="s">
        <v>180</v>
      </c>
      <c r="C166" t="s">
        <v>160</v>
      </c>
      <c r="D166">
        <v>5334.4241424437696</v>
      </c>
      <c r="E166">
        <v>4.5376845277196797E-3</v>
      </c>
      <c r="F166">
        <v>3.4299999999999997E-2</v>
      </c>
      <c r="G166">
        <v>182.97074808582099</v>
      </c>
      <c r="H166">
        <v>49.402101983171796</v>
      </c>
      <c r="I166">
        <v>133.56864610264901</v>
      </c>
      <c r="J166">
        <v>5467.9927885464203</v>
      </c>
      <c r="K166">
        <v>2573051.79658945</v>
      </c>
    </row>
    <row r="167" spans="1:11" x14ac:dyDescent="0.35">
      <c r="A167">
        <v>2048</v>
      </c>
      <c r="B167" t="s">
        <v>180</v>
      </c>
      <c r="C167" t="s">
        <v>159</v>
      </c>
      <c r="D167">
        <v>4175.6614121776402</v>
      </c>
      <c r="E167">
        <v>3.55199243199929E-3</v>
      </c>
      <c r="F167">
        <v>3.4299999999999997E-2</v>
      </c>
      <c r="G167">
        <v>143.225186437693</v>
      </c>
      <c r="H167">
        <v>38.670800338177102</v>
      </c>
      <c r="I167">
        <v>104.554386099515</v>
      </c>
      <c r="J167">
        <v>4280.2157982771596</v>
      </c>
      <c r="K167">
        <v>2573051.79658945</v>
      </c>
    </row>
    <row r="168" spans="1:11" x14ac:dyDescent="0.35">
      <c r="A168">
        <v>2048</v>
      </c>
      <c r="B168" t="s">
        <v>180</v>
      </c>
      <c r="C168" t="s">
        <v>158</v>
      </c>
      <c r="D168">
        <v>10758.710183847799</v>
      </c>
      <c r="E168">
        <v>9.1518093492096702E-3</v>
      </c>
      <c r="F168">
        <v>3.4299999999999997E-2</v>
      </c>
      <c r="G168">
        <v>369.02375930598203</v>
      </c>
      <c r="H168">
        <v>99.636415012615302</v>
      </c>
      <c r="I168">
        <v>269.38734429336699</v>
      </c>
      <c r="J168">
        <v>11028.097528141199</v>
      </c>
      <c r="K168">
        <v>2573051.79658945</v>
      </c>
    </row>
    <row r="169" spans="1:11" x14ac:dyDescent="0.35">
      <c r="A169">
        <v>2049</v>
      </c>
      <c r="B169" t="s">
        <v>179</v>
      </c>
      <c r="C169" t="s">
        <v>106</v>
      </c>
      <c r="D169">
        <v>322770.23</v>
      </c>
      <c r="E169">
        <v>0.239530525248039</v>
      </c>
      <c r="F169">
        <v>6.3E-2</v>
      </c>
      <c r="G169">
        <v>20334.524489999902</v>
      </c>
      <c r="H169">
        <v>3456.8691632999899</v>
      </c>
      <c r="I169">
        <v>16877.6553266999</v>
      </c>
      <c r="J169">
        <v>339647.88532669999</v>
      </c>
      <c r="K169">
        <v>2898542.84885801</v>
      </c>
    </row>
    <row r="170" spans="1:11" x14ac:dyDescent="0.35">
      <c r="A170">
        <v>2049</v>
      </c>
      <c r="B170" t="s">
        <v>180</v>
      </c>
      <c r="C170" t="s">
        <v>106</v>
      </c>
      <c r="D170">
        <v>951128.06</v>
      </c>
      <c r="E170">
        <v>0.70584020028721095</v>
      </c>
      <c r="F170">
        <v>6.3E-2</v>
      </c>
      <c r="G170">
        <v>59921.067779999903</v>
      </c>
      <c r="H170">
        <v>16178.688300599901</v>
      </c>
      <c r="I170">
        <v>43742.379479399897</v>
      </c>
      <c r="J170">
        <v>994870.43947939901</v>
      </c>
      <c r="K170">
        <v>2898542.84885801</v>
      </c>
    </row>
    <row r="171" spans="1:11" x14ac:dyDescent="0.35">
      <c r="A171">
        <v>2049</v>
      </c>
      <c r="B171" t="s">
        <v>179</v>
      </c>
      <c r="C171" t="s">
        <v>107</v>
      </c>
      <c r="D171">
        <v>2720.83</v>
      </c>
      <c r="E171">
        <v>2.01915101962973E-3</v>
      </c>
      <c r="F171">
        <v>6.3E-2</v>
      </c>
      <c r="G171">
        <v>171.41228999999899</v>
      </c>
      <c r="H171">
        <v>29.1400892999999</v>
      </c>
      <c r="I171">
        <v>142.27220069999899</v>
      </c>
      <c r="J171">
        <v>2863.1022006999901</v>
      </c>
      <c r="K171">
        <v>2898542.84885801</v>
      </c>
    </row>
    <row r="172" spans="1:11" x14ac:dyDescent="0.35">
      <c r="A172">
        <v>2049</v>
      </c>
      <c r="B172" t="s">
        <v>180</v>
      </c>
      <c r="C172" t="s">
        <v>107</v>
      </c>
      <c r="D172">
        <v>8017.64</v>
      </c>
      <c r="E172">
        <v>5.9499586453487102E-3</v>
      </c>
      <c r="F172">
        <v>6.3E-2</v>
      </c>
      <c r="G172">
        <v>505.11131999999901</v>
      </c>
      <c r="H172">
        <v>136.38005639999901</v>
      </c>
      <c r="I172">
        <v>368.73126359999901</v>
      </c>
      <c r="J172">
        <v>8386.3712636</v>
      </c>
      <c r="K172">
        <v>2898542.84885801</v>
      </c>
    </row>
    <row r="173" spans="1:11" x14ac:dyDescent="0.35">
      <c r="A173">
        <v>2049</v>
      </c>
      <c r="B173" t="s">
        <v>180</v>
      </c>
      <c r="C173" t="s">
        <v>161</v>
      </c>
      <c r="D173">
        <v>12669.815713284001</v>
      </c>
      <c r="E173">
        <v>9.4023776994513995E-3</v>
      </c>
      <c r="F173">
        <v>3.4299999999999997E-2</v>
      </c>
      <c r="G173">
        <v>434.57467896564401</v>
      </c>
      <c r="H173">
        <v>117.335163320723</v>
      </c>
      <c r="I173">
        <v>317.23951564492</v>
      </c>
      <c r="J173">
        <v>12987.055228928901</v>
      </c>
      <c r="K173">
        <v>2898542.84885801</v>
      </c>
    </row>
    <row r="174" spans="1:11" x14ac:dyDescent="0.35">
      <c r="A174">
        <v>2049</v>
      </c>
      <c r="B174" t="s">
        <v>180</v>
      </c>
      <c r="C174" t="s">
        <v>160</v>
      </c>
      <c r="D174">
        <v>27348.434429351499</v>
      </c>
      <c r="E174">
        <v>2.0295505144864601E-2</v>
      </c>
      <c r="F174">
        <v>3.4299999999999997E-2</v>
      </c>
      <c r="G174">
        <v>938.05130092675597</v>
      </c>
      <c r="H174">
        <v>253.273851250224</v>
      </c>
      <c r="I174">
        <v>684.77744967653098</v>
      </c>
      <c r="J174">
        <v>28033.211879028</v>
      </c>
      <c r="K174">
        <v>2898542.84885801</v>
      </c>
    </row>
    <row r="175" spans="1:11" x14ac:dyDescent="0.35">
      <c r="A175">
        <v>2049</v>
      </c>
      <c r="B175" t="s">
        <v>180</v>
      </c>
      <c r="C175" t="s">
        <v>159</v>
      </c>
      <c r="D175">
        <v>1576.59375840492</v>
      </c>
      <c r="E175">
        <v>1.17000359994015E-3</v>
      </c>
      <c r="F175">
        <v>3.4299999999999997E-2</v>
      </c>
      <c r="G175">
        <v>54.077165913288802</v>
      </c>
      <c r="H175">
        <v>14.6008347965879</v>
      </c>
      <c r="I175">
        <v>39.476331116700798</v>
      </c>
      <c r="J175">
        <v>1616.07008952162</v>
      </c>
      <c r="K175">
        <v>2898542.84885801</v>
      </c>
    </row>
    <row r="176" spans="1:11" x14ac:dyDescent="0.35">
      <c r="A176">
        <v>2049</v>
      </c>
      <c r="B176" t="s">
        <v>180</v>
      </c>
      <c r="C176" t="s">
        <v>158</v>
      </c>
      <c r="D176">
        <v>21280.296130288301</v>
      </c>
      <c r="E176">
        <v>1.57922882464154E-2</v>
      </c>
      <c r="F176">
        <v>3.4299999999999997E-2</v>
      </c>
      <c r="G176">
        <v>729.91415726888897</v>
      </c>
      <c r="H176">
        <v>197.07682246260001</v>
      </c>
      <c r="I176">
        <v>532.83733480628905</v>
      </c>
      <c r="J176">
        <v>21813.133465094601</v>
      </c>
      <c r="K176">
        <v>2898542.84885801</v>
      </c>
    </row>
    <row r="177" spans="1:11" x14ac:dyDescent="0.35">
      <c r="A177">
        <v>2050</v>
      </c>
      <c r="B177" t="s">
        <v>179</v>
      </c>
      <c r="C177" t="s">
        <v>106</v>
      </c>
      <c r="D177">
        <v>365517.42</v>
      </c>
      <c r="E177">
        <v>0.239212981373053</v>
      </c>
      <c r="F177">
        <v>6.3E-2</v>
      </c>
      <c r="G177">
        <v>23027.597459999899</v>
      </c>
      <c r="H177">
        <v>3914.6915681999899</v>
      </c>
      <c r="I177">
        <v>19112.905891799899</v>
      </c>
      <c r="J177">
        <v>384630.325891799</v>
      </c>
      <c r="K177">
        <v>3265208.5192385502</v>
      </c>
    </row>
    <row r="178" spans="1:11" x14ac:dyDescent="0.35">
      <c r="A178">
        <v>2050</v>
      </c>
      <c r="B178" t="s">
        <v>180</v>
      </c>
      <c r="C178" t="s">
        <v>106</v>
      </c>
      <c r="D178">
        <v>1083966.06</v>
      </c>
      <c r="E178">
        <v>0.70940190188418994</v>
      </c>
      <c r="F178">
        <v>6.3E-2</v>
      </c>
      <c r="G178">
        <v>68289.861779999905</v>
      </c>
      <c r="H178">
        <v>18948.887273472799</v>
      </c>
      <c r="I178">
        <v>49340.974506527004</v>
      </c>
      <c r="J178">
        <v>1133307.03450652</v>
      </c>
      <c r="K178">
        <v>3265208.5192385502</v>
      </c>
    </row>
    <row r="179" spans="1:11" x14ac:dyDescent="0.35">
      <c r="A179">
        <v>2050</v>
      </c>
      <c r="B179" t="s">
        <v>179</v>
      </c>
      <c r="C179" t="s">
        <v>107</v>
      </c>
      <c r="D179">
        <v>1148.25</v>
      </c>
      <c r="E179">
        <v>7.5147254503385604E-4</v>
      </c>
      <c r="F179">
        <v>6.3E-2</v>
      </c>
      <c r="G179">
        <v>72.339749999999796</v>
      </c>
      <c r="H179">
        <v>12.2977574999999</v>
      </c>
      <c r="I179">
        <v>60.0419924999998</v>
      </c>
      <c r="J179">
        <v>1208.2919924999901</v>
      </c>
      <c r="K179">
        <v>3265208.5192385502</v>
      </c>
    </row>
    <row r="180" spans="1:11" x14ac:dyDescent="0.35">
      <c r="A180">
        <v>2050</v>
      </c>
      <c r="B180" t="s">
        <v>180</v>
      </c>
      <c r="C180" t="s">
        <v>107</v>
      </c>
      <c r="D180">
        <v>3405.21</v>
      </c>
      <c r="E180">
        <v>2.22854067065076E-3</v>
      </c>
      <c r="F180">
        <v>6.3E-2</v>
      </c>
      <c r="G180">
        <v>214.52822999999901</v>
      </c>
      <c r="H180">
        <v>59.526716576810898</v>
      </c>
      <c r="I180">
        <v>155.00151342318799</v>
      </c>
      <c r="J180">
        <v>3560.2115134231799</v>
      </c>
      <c r="K180">
        <v>3265208.5192385502</v>
      </c>
    </row>
    <row r="181" spans="1:11" x14ac:dyDescent="0.35">
      <c r="A181">
        <v>2050</v>
      </c>
      <c r="B181" t="s">
        <v>180</v>
      </c>
      <c r="C181" t="s">
        <v>161</v>
      </c>
      <c r="D181">
        <v>29148.415910042298</v>
      </c>
      <c r="E181">
        <v>1.9076189233725099E-2</v>
      </c>
      <c r="F181">
        <v>3.4299999999999997E-2</v>
      </c>
      <c r="G181">
        <v>999.79066571445196</v>
      </c>
      <c r="H181">
        <v>277.41922633736999</v>
      </c>
      <c r="I181">
        <v>722.37143937708197</v>
      </c>
      <c r="J181">
        <v>29870.787349419399</v>
      </c>
      <c r="K181">
        <v>3265208.5192385502</v>
      </c>
    </row>
    <row r="182" spans="1:11" x14ac:dyDescent="0.35">
      <c r="A182">
        <v>2050</v>
      </c>
      <c r="B182" t="s">
        <v>180</v>
      </c>
      <c r="C182" t="s">
        <v>160</v>
      </c>
      <c r="D182">
        <v>20645.148681398201</v>
      </c>
      <c r="E182">
        <v>1.3511223533387901E-2</v>
      </c>
      <c r="F182">
        <v>3.4299999999999997E-2</v>
      </c>
      <c r="G182">
        <v>708.12859977196001</v>
      </c>
      <c r="H182">
        <v>196.48962031038701</v>
      </c>
      <c r="I182">
        <v>511.63897946157198</v>
      </c>
      <c r="J182">
        <v>21156.787660859802</v>
      </c>
      <c r="K182">
        <v>3265208.5192385502</v>
      </c>
    </row>
    <row r="183" spans="1:11" x14ac:dyDescent="0.35">
      <c r="A183">
        <v>2050</v>
      </c>
      <c r="B183" t="s">
        <v>180</v>
      </c>
      <c r="C183" t="s">
        <v>159</v>
      </c>
      <c r="D183">
        <v>9503.1129360171508</v>
      </c>
      <c r="E183">
        <v>6.2193150130833603E-3</v>
      </c>
      <c r="F183">
        <v>3.4299999999999997E-2</v>
      </c>
      <c r="G183">
        <v>325.95677370538698</v>
      </c>
      <c r="H183">
        <v>90.445609347787496</v>
      </c>
      <c r="I183">
        <v>235.51116435759999</v>
      </c>
      <c r="J183">
        <v>9738.6241003747491</v>
      </c>
      <c r="K183">
        <v>3265208.5192385502</v>
      </c>
    </row>
    <row r="184" spans="1:11" x14ac:dyDescent="0.35">
      <c r="A184">
        <v>2050</v>
      </c>
      <c r="B184" t="s">
        <v>180</v>
      </c>
      <c r="C184" t="s">
        <v>158</v>
      </c>
      <c r="D184">
        <v>14666.317222795</v>
      </c>
      <c r="E184">
        <v>9.5983755538320906E-3</v>
      </c>
      <c r="F184">
        <v>3.4299999999999997E-2</v>
      </c>
      <c r="G184">
        <v>503.05468074187201</v>
      </c>
      <c r="H184">
        <v>139.58626052692199</v>
      </c>
      <c r="I184">
        <v>363.46842021494899</v>
      </c>
      <c r="J184">
        <v>15029.78564301</v>
      </c>
      <c r="K184">
        <v>3265208.5192385502</v>
      </c>
    </row>
    <row r="185" spans="1:11" x14ac:dyDescent="0.35">
      <c r="A185">
        <v>2051</v>
      </c>
      <c r="B185" t="s">
        <v>179</v>
      </c>
      <c r="C185" t="s">
        <v>106</v>
      </c>
      <c r="D185">
        <v>410140.4</v>
      </c>
      <c r="E185">
        <v>0.23880605129204699</v>
      </c>
      <c r="F185">
        <v>6.3E-2</v>
      </c>
      <c r="G185">
        <v>25838.845199999902</v>
      </c>
      <c r="H185">
        <v>4392.6036839999897</v>
      </c>
      <c r="I185">
        <v>21446.2415159999</v>
      </c>
      <c r="J185">
        <v>431586.64151599997</v>
      </c>
      <c r="K185">
        <v>3678257.3969222298</v>
      </c>
    </row>
    <row r="186" spans="1:11" x14ac:dyDescent="0.35">
      <c r="A186">
        <v>2051</v>
      </c>
      <c r="B186" t="s">
        <v>180</v>
      </c>
      <c r="C186" t="s">
        <v>106</v>
      </c>
      <c r="D186">
        <v>1267280.8899999999</v>
      </c>
      <c r="E186">
        <v>0.73787987045112302</v>
      </c>
      <c r="F186">
        <v>6.3E-2</v>
      </c>
      <c r="G186">
        <v>79838.696069999802</v>
      </c>
      <c r="H186">
        <v>23597.827338566101</v>
      </c>
      <c r="I186">
        <v>56240.8687314337</v>
      </c>
      <c r="J186">
        <v>1323521.7587314299</v>
      </c>
      <c r="K186">
        <v>3678257.3969222298</v>
      </c>
    </row>
    <row r="187" spans="1:11" x14ac:dyDescent="0.35">
      <c r="A187">
        <v>2051</v>
      </c>
      <c r="B187" t="s">
        <v>179</v>
      </c>
      <c r="C187" t="s">
        <v>107</v>
      </c>
      <c r="D187">
        <v>2908.48</v>
      </c>
      <c r="E187">
        <v>1.6934752686199499E-3</v>
      </c>
      <c r="F187">
        <v>6.3E-2</v>
      </c>
      <c r="G187">
        <v>183.23423999999901</v>
      </c>
      <c r="H187">
        <v>31.149820799999901</v>
      </c>
      <c r="I187">
        <v>152.08441919999899</v>
      </c>
      <c r="J187">
        <v>3060.5644192</v>
      </c>
      <c r="K187">
        <v>3678257.3969222298</v>
      </c>
    </row>
    <row r="188" spans="1:11" x14ac:dyDescent="0.35">
      <c r="A188">
        <v>2051</v>
      </c>
      <c r="B188" t="s">
        <v>180</v>
      </c>
      <c r="C188" t="s">
        <v>107</v>
      </c>
      <c r="D188">
        <v>8986.82</v>
      </c>
      <c r="E188">
        <v>5.23261546015072E-3</v>
      </c>
      <c r="F188">
        <v>6.3E-2</v>
      </c>
      <c r="G188">
        <v>566.169659999999</v>
      </c>
      <c r="H188">
        <v>167.342085212673</v>
      </c>
      <c r="I188">
        <v>398.82757478732498</v>
      </c>
      <c r="J188">
        <v>9385.6475747873192</v>
      </c>
      <c r="K188">
        <v>3678257.3969222298</v>
      </c>
    </row>
    <row r="189" spans="1:11" x14ac:dyDescent="0.35">
      <c r="A189">
        <v>2051</v>
      </c>
      <c r="B189" t="s">
        <v>180</v>
      </c>
      <c r="C189" t="s">
        <v>161</v>
      </c>
      <c r="D189">
        <v>4837.1290293934098</v>
      </c>
      <c r="E189">
        <v>2.8164396462761901E-3</v>
      </c>
      <c r="F189">
        <v>3.4299999999999997E-2</v>
      </c>
      <c r="G189">
        <v>165.91352570819399</v>
      </c>
      <c r="H189">
        <v>49.038861172807799</v>
      </c>
      <c r="I189">
        <v>116.874664535386</v>
      </c>
      <c r="J189">
        <v>4954.0036939288002</v>
      </c>
      <c r="K189">
        <v>3678257.3969222298</v>
      </c>
    </row>
    <row r="190" spans="1:11" x14ac:dyDescent="0.35">
      <c r="A190">
        <v>2051</v>
      </c>
      <c r="B190" t="s">
        <v>180</v>
      </c>
      <c r="C190" t="s">
        <v>160</v>
      </c>
      <c r="D190">
        <v>8821.9167931187894</v>
      </c>
      <c r="E190">
        <v>5.1365998428628398E-3</v>
      </c>
      <c r="F190">
        <v>3.4299999999999997E-2</v>
      </c>
      <c r="G190">
        <v>302.59174600397398</v>
      </c>
      <c r="H190">
        <v>89.436678299661693</v>
      </c>
      <c r="I190">
        <v>213.15506770431199</v>
      </c>
      <c r="J190">
        <v>9035.0718608231091</v>
      </c>
      <c r="K190">
        <v>3678257.3969222298</v>
      </c>
    </row>
    <row r="191" spans="1:11" x14ac:dyDescent="0.35">
      <c r="A191">
        <v>2051</v>
      </c>
      <c r="B191" t="s">
        <v>180</v>
      </c>
      <c r="C191" t="s">
        <v>159</v>
      </c>
      <c r="D191">
        <v>10282.9521356678</v>
      </c>
      <c r="E191">
        <v>5.9872940952512103E-3</v>
      </c>
      <c r="F191">
        <v>3.4299999999999997E-2</v>
      </c>
      <c r="G191">
        <v>352.70525825340701</v>
      </c>
      <c r="H191">
        <v>104.248668820578</v>
      </c>
      <c r="I191">
        <v>248.456589432828</v>
      </c>
      <c r="J191">
        <v>10531.4087251006</v>
      </c>
      <c r="K191">
        <v>3678257.3969222298</v>
      </c>
    </row>
    <row r="192" spans="1:11" x14ac:dyDescent="0.35">
      <c r="A192">
        <v>2051</v>
      </c>
      <c r="B192" t="s">
        <v>180</v>
      </c>
      <c r="C192" t="s">
        <v>158</v>
      </c>
      <c r="D192">
        <v>4203.7590898551398</v>
      </c>
      <c r="E192">
        <v>2.4476572140451299E-3</v>
      </c>
      <c r="F192">
        <v>3.4299999999999997E-2</v>
      </c>
      <c r="G192">
        <v>144.18893678203099</v>
      </c>
      <c r="H192">
        <v>42.617750562090301</v>
      </c>
      <c r="I192">
        <v>101.57118621994</v>
      </c>
      <c r="J192">
        <v>4305.3302760750803</v>
      </c>
      <c r="K192">
        <v>3678257.3969222298</v>
      </c>
    </row>
    <row r="193" spans="1:11" x14ac:dyDescent="0.35">
      <c r="A193">
        <v>2052</v>
      </c>
      <c r="B193" t="s">
        <v>179</v>
      </c>
      <c r="C193" t="s">
        <v>106</v>
      </c>
      <c r="D193">
        <v>463625.96</v>
      </c>
      <c r="E193">
        <v>0.24190898818130099</v>
      </c>
      <c r="F193">
        <v>6.3E-2</v>
      </c>
      <c r="G193">
        <v>29208.435479999898</v>
      </c>
      <c r="H193">
        <v>4965.4340315999898</v>
      </c>
      <c r="I193">
        <v>24243.0014483999</v>
      </c>
      <c r="J193">
        <v>487868.96144839999</v>
      </c>
      <c r="K193">
        <v>4143556.95763289</v>
      </c>
    </row>
    <row r="194" spans="1:11" x14ac:dyDescent="0.35">
      <c r="A194">
        <v>2052</v>
      </c>
      <c r="B194" t="s">
        <v>180</v>
      </c>
      <c r="C194" t="s">
        <v>106</v>
      </c>
      <c r="D194">
        <v>1277886.93</v>
      </c>
      <c r="E194">
        <v>0.66677097685903797</v>
      </c>
      <c r="F194">
        <v>6.3E-2</v>
      </c>
      <c r="G194">
        <v>80506.87659</v>
      </c>
      <c r="H194">
        <v>24398.6429354459</v>
      </c>
      <c r="I194">
        <v>56108.233654554002</v>
      </c>
      <c r="J194">
        <v>1333995.16365455</v>
      </c>
      <c r="K194">
        <v>4143556.95763289</v>
      </c>
    </row>
    <row r="195" spans="1:11" x14ac:dyDescent="0.35">
      <c r="A195">
        <v>2052</v>
      </c>
      <c r="B195" t="s">
        <v>179</v>
      </c>
      <c r="C195" t="s">
        <v>107</v>
      </c>
      <c r="D195">
        <v>1673.6</v>
      </c>
      <c r="E195">
        <v>8.7324463587031703E-4</v>
      </c>
      <c r="F195">
        <v>6.3E-2</v>
      </c>
      <c r="G195">
        <v>105.436799999999</v>
      </c>
      <c r="H195">
        <v>17.9242559999999</v>
      </c>
      <c r="I195">
        <v>87.512543999999906</v>
      </c>
      <c r="J195">
        <v>1761.1125439999901</v>
      </c>
      <c r="K195">
        <v>4143556.95763289</v>
      </c>
    </row>
    <row r="196" spans="1:11" x14ac:dyDescent="0.35">
      <c r="A196">
        <v>2052</v>
      </c>
      <c r="B196" t="s">
        <v>180</v>
      </c>
      <c r="C196" t="s">
        <v>107</v>
      </c>
      <c r="D196">
        <v>4612.9399999999996</v>
      </c>
      <c r="E196">
        <v>2.40692226971296E-3</v>
      </c>
      <c r="F196">
        <v>6.3E-2</v>
      </c>
      <c r="G196">
        <v>290.615219999999</v>
      </c>
      <c r="H196">
        <v>88.074674918723701</v>
      </c>
      <c r="I196">
        <v>202.54054508127501</v>
      </c>
      <c r="J196">
        <v>4815.4805450812701</v>
      </c>
      <c r="K196">
        <v>4143556.95763289</v>
      </c>
    </row>
    <row r="197" spans="1:11" x14ac:dyDescent="0.35">
      <c r="A197">
        <v>2052</v>
      </c>
      <c r="B197" t="s">
        <v>180</v>
      </c>
      <c r="C197" t="s">
        <v>161</v>
      </c>
      <c r="D197">
        <v>106.602224948805</v>
      </c>
      <c r="E197" s="42">
        <v>5.56225030523333E-5</v>
      </c>
      <c r="F197">
        <v>3.4299999999999997E-2</v>
      </c>
      <c r="G197">
        <v>3.6564563157440202</v>
      </c>
      <c r="H197">
        <v>1.1081360479456901</v>
      </c>
      <c r="I197">
        <v>2.5483202677983199</v>
      </c>
      <c r="J197">
        <v>109.15054521660301</v>
      </c>
      <c r="K197">
        <v>4143556.95763289</v>
      </c>
    </row>
    <row r="198" spans="1:11" x14ac:dyDescent="0.35">
      <c r="A198">
        <v>2052</v>
      </c>
      <c r="B198" t="s">
        <v>180</v>
      </c>
      <c r="C198" t="s">
        <v>160</v>
      </c>
      <c r="D198">
        <v>20285.280530887601</v>
      </c>
      <c r="E198">
        <v>1.0584376440440999E-2</v>
      </c>
      <c r="F198">
        <v>3.4299999999999997E-2</v>
      </c>
      <c r="G198">
        <v>695.78512220944299</v>
      </c>
      <c r="H198">
        <v>210.86661755664801</v>
      </c>
      <c r="I198">
        <v>484.91850465279401</v>
      </c>
      <c r="J198">
        <v>20770.199035540401</v>
      </c>
      <c r="K198">
        <v>4143556.95763289</v>
      </c>
    </row>
    <row r="199" spans="1:11" x14ac:dyDescent="0.35">
      <c r="A199">
        <v>2052</v>
      </c>
      <c r="B199" t="s">
        <v>180</v>
      </c>
      <c r="C199" t="s">
        <v>159</v>
      </c>
      <c r="D199">
        <v>52729.417967541602</v>
      </c>
      <c r="E199">
        <v>2.7512954943068602E-2</v>
      </c>
      <c r="F199">
        <v>3.4299999999999997E-2</v>
      </c>
      <c r="G199">
        <v>1808.6190362866701</v>
      </c>
      <c r="H199">
        <v>548.12522782793201</v>
      </c>
      <c r="I199">
        <v>1260.49380845874</v>
      </c>
      <c r="J199">
        <v>53989.911776000299</v>
      </c>
      <c r="K199">
        <v>4143556.95763289</v>
      </c>
    </row>
    <row r="200" spans="1:11" x14ac:dyDescent="0.35">
      <c r="A200">
        <v>2052</v>
      </c>
      <c r="B200" t="s">
        <v>180</v>
      </c>
      <c r="C200" t="s">
        <v>158</v>
      </c>
      <c r="D200">
        <v>95609.793710120299</v>
      </c>
      <c r="E200">
        <v>4.9886914133622201E-2</v>
      </c>
      <c r="F200">
        <v>3.4299999999999997E-2</v>
      </c>
      <c r="G200">
        <v>3279.41592425713</v>
      </c>
      <c r="H200">
        <v>993.86911481178799</v>
      </c>
      <c r="I200">
        <v>2285.5468094453399</v>
      </c>
      <c r="J200">
        <v>97895.340519565594</v>
      </c>
      <c r="K200">
        <v>4143556.95763289</v>
      </c>
    </row>
    <row r="201" spans="1:11" x14ac:dyDescent="0.35">
      <c r="A201">
        <v>2053</v>
      </c>
      <c r="B201" t="s">
        <v>179</v>
      </c>
      <c r="C201" t="s">
        <v>106</v>
      </c>
      <c r="D201">
        <v>523003.94</v>
      </c>
      <c r="E201">
        <v>0.24640278683733499</v>
      </c>
      <c r="F201">
        <v>6.3E-2</v>
      </c>
      <c r="G201">
        <v>32949.248220000001</v>
      </c>
      <c r="H201">
        <v>5601.3721974</v>
      </c>
      <c r="I201">
        <v>27347.876022600001</v>
      </c>
      <c r="J201">
        <v>550351.81602260005</v>
      </c>
      <c r="K201">
        <v>4667716.9127734499</v>
      </c>
    </row>
    <row r="202" spans="1:11" x14ac:dyDescent="0.35">
      <c r="A202">
        <v>2053</v>
      </c>
      <c r="B202" t="s">
        <v>180</v>
      </c>
      <c r="C202" t="s">
        <v>106</v>
      </c>
      <c r="D202">
        <v>1494303.54</v>
      </c>
      <c r="E202">
        <v>0.70401105704269895</v>
      </c>
      <c r="F202">
        <v>6.3E-2</v>
      </c>
      <c r="G202">
        <v>94141.123019999795</v>
      </c>
      <c r="H202">
        <v>29793.6963854807</v>
      </c>
      <c r="I202">
        <v>64347.426634519099</v>
      </c>
      <c r="J202">
        <v>1558650.9666345101</v>
      </c>
      <c r="K202">
        <v>4667716.9127734499</v>
      </c>
    </row>
    <row r="203" spans="1:11" x14ac:dyDescent="0.35">
      <c r="A203">
        <v>2053</v>
      </c>
      <c r="B203" t="s">
        <v>179</v>
      </c>
      <c r="C203" t="s">
        <v>107</v>
      </c>
      <c r="D203">
        <v>1156.02</v>
      </c>
      <c r="E203">
        <v>5.44635571272555E-4</v>
      </c>
      <c r="F203">
        <v>6.3E-2</v>
      </c>
      <c r="G203">
        <v>72.829259999999906</v>
      </c>
      <c r="H203">
        <v>12.380974199999899</v>
      </c>
      <c r="I203">
        <v>60.448285799999901</v>
      </c>
      <c r="J203">
        <v>1216.4682857999901</v>
      </c>
      <c r="K203">
        <v>4667716.9127734499</v>
      </c>
    </row>
    <row r="204" spans="1:11" x14ac:dyDescent="0.35">
      <c r="A204">
        <v>2053</v>
      </c>
      <c r="B204" t="s">
        <v>180</v>
      </c>
      <c r="C204" t="s">
        <v>107</v>
      </c>
      <c r="D204">
        <v>3302.93</v>
      </c>
      <c r="E204">
        <v>1.5561090356769401E-3</v>
      </c>
      <c r="F204">
        <v>6.3E-2</v>
      </c>
      <c r="G204">
        <v>208.084589999999</v>
      </c>
      <c r="H204">
        <v>65.854420449606806</v>
      </c>
      <c r="I204">
        <v>142.23016955039299</v>
      </c>
      <c r="J204">
        <v>3445.16016955039</v>
      </c>
      <c r="K204">
        <v>4667716.9127734499</v>
      </c>
    </row>
    <row r="205" spans="1:11" x14ac:dyDescent="0.35">
      <c r="A205">
        <v>2053</v>
      </c>
      <c r="B205" t="s">
        <v>180</v>
      </c>
      <c r="C205" t="s">
        <v>161</v>
      </c>
      <c r="D205">
        <v>766.65535941794099</v>
      </c>
      <c r="E205">
        <v>3.6119425238815601E-4</v>
      </c>
      <c r="F205">
        <v>3.4299999999999997E-2</v>
      </c>
      <c r="G205">
        <v>26.296278828035302</v>
      </c>
      <c r="H205">
        <v>8.3222222376079706</v>
      </c>
      <c r="I205">
        <v>17.974056590427399</v>
      </c>
      <c r="J205">
        <v>784.62941600836803</v>
      </c>
      <c r="K205">
        <v>4667716.9127734499</v>
      </c>
    </row>
    <row r="206" spans="1:11" x14ac:dyDescent="0.35">
      <c r="A206">
        <v>2053</v>
      </c>
      <c r="B206" t="s">
        <v>180</v>
      </c>
      <c r="C206" t="s">
        <v>160</v>
      </c>
      <c r="D206">
        <v>6412.3935954735298</v>
      </c>
      <c r="E206">
        <v>3.0210702661677101E-3</v>
      </c>
      <c r="F206">
        <v>3.4299999999999997E-2</v>
      </c>
      <c r="G206">
        <v>219.94510032474199</v>
      </c>
      <c r="H206">
        <v>69.608023893631596</v>
      </c>
      <c r="I206">
        <v>150.33707643111001</v>
      </c>
      <c r="J206">
        <v>6562.7306719046401</v>
      </c>
      <c r="K206">
        <v>4667716.9127734499</v>
      </c>
    </row>
    <row r="207" spans="1:11" x14ac:dyDescent="0.35">
      <c r="A207">
        <v>2053</v>
      </c>
      <c r="B207" t="s">
        <v>180</v>
      </c>
      <c r="C207" t="s">
        <v>159</v>
      </c>
      <c r="D207">
        <v>22005.5502683462</v>
      </c>
      <c r="E207">
        <v>1.03674723980274E-2</v>
      </c>
      <c r="F207">
        <v>3.4299999999999997E-2</v>
      </c>
      <c r="G207">
        <v>754.79037420427596</v>
      </c>
      <c r="H207">
        <v>238.87536628332001</v>
      </c>
      <c r="I207">
        <v>515.91500792095599</v>
      </c>
      <c r="J207">
        <v>22521.465276267201</v>
      </c>
      <c r="K207">
        <v>4667716.9127734499</v>
      </c>
    </row>
    <row r="208" spans="1:11" x14ac:dyDescent="0.35">
      <c r="A208">
        <v>2053</v>
      </c>
      <c r="B208" t="s">
        <v>180</v>
      </c>
      <c r="C208" t="s">
        <v>158</v>
      </c>
      <c r="D208">
        <v>71605.896947560104</v>
      </c>
      <c r="E208">
        <v>3.3735678094252798E-2</v>
      </c>
      <c r="F208">
        <v>3.4299999999999997E-2</v>
      </c>
      <c r="G208">
        <v>2456.0822653013101</v>
      </c>
      <c r="H208">
        <v>777.29866569156195</v>
      </c>
      <c r="I208">
        <v>1678.7835996097499</v>
      </c>
      <c r="J208">
        <v>73284.680547169904</v>
      </c>
      <c r="K208">
        <v>4667716.9127734499</v>
      </c>
    </row>
    <row r="209" spans="1:11" x14ac:dyDescent="0.35">
      <c r="A209">
        <v>2054</v>
      </c>
      <c r="B209" t="s">
        <v>179</v>
      </c>
      <c r="C209" t="s">
        <v>106</v>
      </c>
      <c r="D209">
        <v>588225.74</v>
      </c>
      <c r="E209">
        <v>0.25144481772845001</v>
      </c>
      <c r="F209">
        <v>6.3E-2</v>
      </c>
      <c r="G209">
        <v>37058.221619999902</v>
      </c>
      <c r="H209">
        <v>6299.8976753999896</v>
      </c>
      <c r="I209">
        <v>30758.323944599899</v>
      </c>
      <c r="J209">
        <v>618984.06394459901</v>
      </c>
      <c r="K209">
        <v>5258183.1022392996</v>
      </c>
    </row>
    <row r="210" spans="1:11" x14ac:dyDescent="0.35">
      <c r="A210">
        <v>2054</v>
      </c>
      <c r="B210" t="s">
        <v>180</v>
      </c>
      <c r="C210" t="s">
        <v>106</v>
      </c>
      <c r="D210">
        <v>1625986.77</v>
      </c>
      <c r="E210">
        <v>0.69504939891192496</v>
      </c>
      <c r="F210">
        <v>6.3E-2</v>
      </c>
      <c r="G210">
        <v>102437.16650999901</v>
      </c>
      <c r="H210">
        <v>33315.0765287217</v>
      </c>
      <c r="I210">
        <v>69122.089981278099</v>
      </c>
      <c r="J210">
        <v>1695108.85998127</v>
      </c>
      <c r="K210">
        <v>5258183.1022392996</v>
      </c>
    </row>
    <row r="211" spans="1:11" x14ac:dyDescent="0.35">
      <c r="A211">
        <v>2054</v>
      </c>
      <c r="B211" t="s">
        <v>179</v>
      </c>
      <c r="C211" t="s">
        <v>107</v>
      </c>
      <c r="D211">
        <v>2240.4499999999998</v>
      </c>
      <c r="E211">
        <v>9.5770977631768901E-4</v>
      </c>
      <c r="F211">
        <v>6.3E-2</v>
      </c>
      <c r="G211">
        <v>141.148349999999</v>
      </c>
      <c r="H211">
        <v>23.995219499999902</v>
      </c>
      <c r="I211">
        <v>117.15313049999899</v>
      </c>
      <c r="J211">
        <v>2357.6031304999901</v>
      </c>
      <c r="K211">
        <v>5258183.1022392996</v>
      </c>
    </row>
    <row r="212" spans="1:11" x14ac:dyDescent="0.35">
      <c r="A212">
        <v>2054</v>
      </c>
      <c r="B212" t="s">
        <v>180</v>
      </c>
      <c r="C212" t="s">
        <v>107</v>
      </c>
      <c r="D212">
        <v>6193.09</v>
      </c>
      <c r="E212">
        <v>2.64731765431735E-3</v>
      </c>
      <c r="F212">
        <v>6.3E-2</v>
      </c>
      <c r="G212">
        <v>390.16467</v>
      </c>
      <c r="H212">
        <v>126.891110743331</v>
      </c>
      <c r="I212">
        <v>263.27355925666802</v>
      </c>
      <c r="J212">
        <v>6456.3635592566598</v>
      </c>
      <c r="K212">
        <v>5258183.1022392996</v>
      </c>
    </row>
    <row r="213" spans="1:11" x14ac:dyDescent="0.35">
      <c r="A213">
        <v>2054</v>
      </c>
      <c r="B213" t="s">
        <v>180</v>
      </c>
      <c r="C213" t="s">
        <v>161</v>
      </c>
      <c r="D213">
        <v>26897.671934486301</v>
      </c>
      <c r="E213">
        <v>1.14977631153757E-2</v>
      </c>
      <c r="F213">
        <v>3.4299999999999997E-2</v>
      </c>
      <c r="G213">
        <v>922.59014735287894</v>
      </c>
      <c r="H213">
        <v>300.04892180130099</v>
      </c>
      <c r="I213">
        <v>622.54122555157801</v>
      </c>
      <c r="J213">
        <v>27520.213160037802</v>
      </c>
      <c r="K213">
        <v>5258183.1022392996</v>
      </c>
    </row>
    <row r="214" spans="1:11" x14ac:dyDescent="0.35">
      <c r="A214">
        <v>2054</v>
      </c>
      <c r="B214" t="s">
        <v>180</v>
      </c>
      <c r="C214" t="s">
        <v>160</v>
      </c>
      <c r="D214">
        <v>3.1592104364671199E-2</v>
      </c>
      <c r="E214" s="42">
        <v>1.35044599096138E-8</v>
      </c>
      <c r="F214">
        <v>3.4299999999999997E-2</v>
      </c>
      <c r="G214">
        <v>1.08360917970821E-3</v>
      </c>
      <c r="H214">
        <v>3.52416256512528E-4</v>
      </c>
      <c r="I214">
        <v>7.3119292319569098E-4</v>
      </c>
      <c r="J214">
        <v>3.2323297287866898E-2</v>
      </c>
      <c r="K214">
        <v>5258183.1022392996</v>
      </c>
    </row>
    <row r="215" spans="1:11" x14ac:dyDescent="0.35">
      <c r="A215">
        <v>2054</v>
      </c>
      <c r="B215" t="s">
        <v>180</v>
      </c>
      <c r="C215" t="s">
        <v>159</v>
      </c>
      <c r="D215">
        <v>18890.7039882096</v>
      </c>
      <c r="E215">
        <v>8.0750795112731494E-3</v>
      </c>
      <c r="F215">
        <v>3.4299999999999997E-2</v>
      </c>
      <c r="G215">
        <v>647.95114679558901</v>
      </c>
      <c r="H215">
        <v>210.72958944311199</v>
      </c>
      <c r="I215">
        <v>437.221557352476</v>
      </c>
      <c r="J215">
        <v>19327.925545562099</v>
      </c>
      <c r="K215">
        <v>5258183.1022392996</v>
      </c>
    </row>
    <row r="216" spans="1:11" x14ac:dyDescent="0.35">
      <c r="A216">
        <v>2054</v>
      </c>
      <c r="B216" t="s">
        <v>180</v>
      </c>
      <c r="C216" t="s">
        <v>158</v>
      </c>
      <c r="D216">
        <v>70948.578839716007</v>
      </c>
      <c r="E216">
        <v>3.0327901792337401E-2</v>
      </c>
      <c r="F216">
        <v>3.4299999999999997E-2</v>
      </c>
      <c r="G216">
        <v>2433.5362542022599</v>
      </c>
      <c r="H216">
        <v>791.44561789741397</v>
      </c>
      <c r="I216">
        <v>1642.09063630484</v>
      </c>
      <c r="J216">
        <v>72590.669476020805</v>
      </c>
      <c r="K216">
        <v>5258183.1022392996</v>
      </c>
    </row>
    <row r="217" spans="1:11" x14ac:dyDescent="0.35">
      <c r="A217">
        <v>2055</v>
      </c>
      <c r="B217" t="s">
        <v>179</v>
      </c>
      <c r="C217" t="s">
        <v>106</v>
      </c>
      <c r="D217">
        <v>661752.66</v>
      </c>
      <c r="E217">
        <v>0.25787897907657897</v>
      </c>
      <c r="F217">
        <v>6.3E-2</v>
      </c>
      <c r="G217">
        <v>41690.417580000001</v>
      </c>
      <c r="H217">
        <v>7087.3709885999997</v>
      </c>
      <c r="I217">
        <v>34603.046591400001</v>
      </c>
      <c r="J217">
        <v>696355.70659139997</v>
      </c>
      <c r="K217">
        <v>5923343.2646725699</v>
      </c>
    </row>
    <row r="218" spans="1:11" x14ac:dyDescent="0.35">
      <c r="A218">
        <v>2055</v>
      </c>
      <c r="B218" t="s">
        <v>180</v>
      </c>
      <c r="C218" t="s">
        <v>106</v>
      </c>
      <c r="D218">
        <v>1726322.6</v>
      </c>
      <c r="E218">
        <v>0.67273218009403402</v>
      </c>
      <c r="F218">
        <v>6.3E-2</v>
      </c>
      <c r="G218">
        <v>108758.32379999899</v>
      </c>
      <c r="H218">
        <v>36103.373492471103</v>
      </c>
      <c r="I218">
        <v>72654.950307528707</v>
      </c>
      <c r="J218">
        <v>1798977.55030752</v>
      </c>
      <c r="K218">
        <v>5923343.2646725699</v>
      </c>
    </row>
    <row r="219" spans="1:11" x14ac:dyDescent="0.35">
      <c r="A219">
        <v>2055</v>
      </c>
      <c r="B219" t="s">
        <v>179</v>
      </c>
      <c r="C219" t="s">
        <v>107</v>
      </c>
      <c r="D219">
        <v>3407.5</v>
      </c>
      <c r="E219">
        <v>1.3278716872909E-3</v>
      </c>
      <c r="F219">
        <v>6.3E-2</v>
      </c>
      <c r="G219">
        <v>214.67249999999899</v>
      </c>
      <c r="H219">
        <v>36.494324999999897</v>
      </c>
      <c r="I219">
        <v>178.17817499999899</v>
      </c>
      <c r="J219">
        <v>3585.67817499999</v>
      </c>
      <c r="K219">
        <v>5923343.2646725699</v>
      </c>
    </row>
    <row r="220" spans="1:11" x14ac:dyDescent="0.35">
      <c r="A220">
        <v>2055</v>
      </c>
      <c r="B220" t="s">
        <v>180</v>
      </c>
      <c r="C220" t="s">
        <v>107</v>
      </c>
      <c r="D220">
        <v>8889.2000000000007</v>
      </c>
      <c r="E220">
        <v>3.4640402062116799E-3</v>
      </c>
      <c r="F220">
        <v>6.3E-2</v>
      </c>
      <c r="G220">
        <v>560.01959999999895</v>
      </c>
      <c r="H220">
        <v>185.903902114978</v>
      </c>
      <c r="I220">
        <v>374.11569788502101</v>
      </c>
      <c r="J220">
        <v>9263.3156978850202</v>
      </c>
      <c r="K220">
        <v>5923343.2646725699</v>
      </c>
    </row>
    <row r="221" spans="1:11" x14ac:dyDescent="0.35">
      <c r="A221">
        <v>2055</v>
      </c>
      <c r="B221" t="s">
        <v>180</v>
      </c>
      <c r="C221" t="s">
        <v>161</v>
      </c>
      <c r="D221">
        <v>23782.773369353701</v>
      </c>
      <c r="E221">
        <v>9.2679299787002296E-3</v>
      </c>
      <c r="F221">
        <v>3.4299999999999997E-2</v>
      </c>
      <c r="G221">
        <v>815.749126568836</v>
      </c>
      <c r="H221">
        <v>270.795782461957</v>
      </c>
      <c r="I221">
        <v>544.95334410687894</v>
      </c>
      <c r="J221">
        <v>24327.726713460601</v>
      </c>
      <c r="K221">
        <v>5923343.2646725699</v>
      </c>
    </row>
    <row r="222" spans="1:11" x14ac:dyDescent="0.35">
      <c r="A222">
        <v>2055</v>
      </c>
      <c r="B222" t="s">
        <v>180</v>
      </c>
      <c r="C222" t="s">
        <v>160</v>
      </c>
      <c r="D222">
        <v>21489.688560912899</v>
      </c>
      <c r="E222">
        <v>8.3743357325709693E-3</v>
      </c>
      <c r="F222">
        <v>3.4299999999999997E-2</v>
      </c>
      <c r="G222">
        <v>737.096317639316</v>
      </c>
      <c r="H222">
        <v>244.68622470308199</v>
      </c>
      <c r="I222">
        <v>492.41009293623301</v>
      </c>
      <c r="J222">
        <v>21982.0986538492</v>
      </c>
      <c r="K222">
        <v>5923343.2646725699</v>
      </c>
    </row>
    <row r="223" spans="1:11" x14ac:dyDescent="0.35">
      <c r="A223">
        <v>2055</v>
      </c>
      <c r="B223" t="s">
        <v>180</v>
      </c>
      <c r="C223" t="s">
        <v>159</v>
      </c>
      <c r="D223">
        <v>48883.2879659256</v>
      </c>
      <c r="E223">
        <v>1.90493717011418E-2</v>
      </c>
      <c r="F223">
        <v>3.4299999999999997E-2</v>
      </c>
      <c r="G223">
        <v>1676.69677723124</v>
      </c>
      <c r="H223">
        <v>556.59565049312198</v>
      </c>
      <c r="I223">
        <v>1120.10112673812</v>
      </c>
      <c r="J223">
        <v>50003.389092663703</v>
      </c>
      <c r="K223">
        <v>5923343.2646725699</v>
      </c>
    </row>
    <row r="224" spans="1:11" x14ac:dyDescent="0.35">
      <c r="A224">
        <v>2055</v>
      </c>
      <c r="B224" t="s">
        <v>180</v>
      </c>
      <c r="C224" t="s">
        <v>158</v>
      </c>
      <c r="D224">
        <v>71608.782119698299</v>
      </c>
      <c r="E224">
        <v>2.7905289607668499E-2</v>
      </c>
      <c r="F224">
        <v>3.4299999999999997E-2</v>
      </c>
      <c r="G224">
        <v>2456.1812267056498</v>
      </c>
      <c r="H224">
        <v>815.35302397654505</v>
      </c>
      <c r="I224">
        <v>1640.8282027291</v>
      </c>
      <c r="J224">
        <v>73249.610322427397</v>
      </c>
      <c r="K224">
        <v>5923343.2646725699</v>
      </c>
    </row>
    <row r="225" spans="1:11" x14ac:dyDescent="0.35">
      <c r="A225">
        <v>2056</v>
      </c>
      <c r="B225" t="s">
        <v>179</v>
      </c>
      <c r="C225" t="s">
        <v>106</v>
      </c>
      <c r="D225">
        <v>747734.44</v>
      </c>
      <c r="E225">
        <v>0.26678373174445902</v>
      </c>
      <c r="F225">
        <v>6.3E-2</v>
      </c>
      <c r="G225">
        <v>47107.269719999902</v>
      </c>
      <c r="H225">
        <v>8008.2358523999901</v>
      </c>
      <c r="I225">
        <v>39099.033867599901</v>
      </c>
      <c r="J225">
        <v>786833.47386759997</v>
      </c>
      <c r="K225">
        <v>6672646.1876536496</v>
      </c>
    </row>
    <row r="226" spans="1:11" x14ac:dyDescent="0.35">
      <c r="A226">
        <v>2056</v>
      </c>
      <c r="B226" t="s">
        <v>180</v>
      </c>
      <c r="C226" t="s">
        <v>106</v>
      </c>
      <c r="D226">
        <v>1951482.82</v>
      </c>
      <c r="E226">
        <v>0.69626840934971701</v>
      </c>
      <c r="F226">
        <v>6.3E-2</v>
      </c>
      <c r="G226">
        <v>122943.417659999</v>
      </c>
      <c r="H226">
        <v>41800.496982546501</v>
      </c>
      <c r="I226">
        <v>81142.920677453207</v>
      </c>
      <c r="J226">
        <v>2032625.7406774501</v>
      </c>
      <c r="K226">
        <v>6672646.1876536496</v>
      </c>
    </row>
    <row r="227" spans="1:11" x14ac:dyDescent="0.35">
      <c r="A227">
        <v>2056</v>
      </c>
      <c r="B227" t="s">
        <v>179</v>
      </c>
      <c r="C227" t="s">
        <v>107</v>
      </c>
      <c r="D227">
        <v>1568.48</v>
      </c>
      <c r="E227">
        <v>5.5961705811832102E-4</v>
      </c>
      <c r="F227">
        <v>6.3E-2</v>
      </c>
      <c r="G227">
        <v>98.814239999999899</v>
      </c>
      <c r="H227">
        <v>16.798420799999899</v>
      </c>
      <c r="I227">
        <v>82.015819199999896</v>
      </c>
      <c r="J227">
        <v>1650.4958191999999</v>
      </c>
      <c r="K227">
        <v>6672646.1876536496</v>
      </c>
    </row>
    <row r="228" spans="1:11" x14ac:dyDescent="0.35">
      <c r="A228">
        <v>2056</v>
      </c>
      <c r="B228" t="s">
        <v>180</v>
      </c>
      <c r="C228" t="s">
        <v>107</v>
      </c>
      <c r="D228">
        <v>4093.51</v>
      </c>
      <c r="E228">
        <v>1.46052102900765E-3</v>
      </c>
      <c r="F228">
        <v>6.3E-2</v>
      </c>
      <c r="G228">
        <v>257.89112999999998</v>
      </c>
      <c r="H228">
        <v>87.682428279345203</v>
      </c>
      <c r="I228">
        <v>170.20870172065401</v>
      </c>
      <c r="J228">
        <v>4263.7187017206497</v>
      </c>
      <c r="K228">
        <v>6672646.1876536496</v>
      </c>
    </row>
    <row r="229" spans="1:11" x14ac:dyDescent="0.35">
      <c r="A229">
        <v>2056</v>
      </c>
      <c r="B229" t="s">
        <v>180</v>
      </c>
      <c r="C229" t="s">
        <v>161</v>
      </c>
      <c r="D229">
        <v>24404.516451938602</v>
      </c>
      <c r="E229">
        <v>8.7072730934624996E-3</v>
      </c>
      <c r="F229">
        <v>3.4299999999999997E-2</v>
      </c>
      <c r="G229">
        <v>837.074914301494</v>
      </c>
      <c r="H229">
        <v>284.60366642962799</v>
      </c>
      <c r="I229">
        <v>552.47124787186601</v>
      </c>
      <c r="J229">
        <v>24956.987699810401</v>
      </c>
      <c r="K229">
        <v>6672646.1876536496</v>
      </c>
    </row>
    <row r="230" spans="1:11" x14ac:dyDescent="0.35">
      <c r="A230">
        <v>2056</v>
      </c>
      <c r="B230" t="s">
        <v>180</v>
      </c>
      <c r="C230" t="s">
        <v>160</v>
      </c>
      <c r="D230">
        <v>28047.805348589402</v>
      </c>
      <c r="E230">
        <v>1.0007159999396199E-2</v>
      </c>
      <c r="F230">
        <v>3.4299999999999997E-2</v>
      </c>
      <c r="G230">
        <v>962.03972345661896</v>
      </c>
      <c r="H230">
        <v>327.09143216312202</v>
      </c>
      <c r="I230">
        <v>634.94829129349603</v>
      </c>
      <c r="J230">
        <v>28682.7536398829</v>
      </c>
      <c r="K230">
        <v>6672646.1876536496</v>
      </c>
    </row>
    <row r="231" spans="1:11" x14ac:dyDescent="0.35">
      <c r="A231">
        <v>2056</v>
      </c>
      <c r="B231" t="s">
        <v>180</v>
      </c>
      <c r="C231" t="s">
        <v>159</v>
      </c>
      <c r="D231">
        <v>19634.329687634501</v>
      </c>
      <c r="E231">
        <v>7.0053209590936801E-3</v>
      </c>
      <c r="F231">
        <v>3.4299999999999997E-2</v>
      </c>
      <c r="G231">
        <v>673.45750828586404</v>
      </c>
      <c r="H231">
        <v>228.97410108467801</v>
      </c>
      <c r="I231">
        <v>444.48340720118603</v>
      </c>
      <c r="J231">
        <v>20078.813094835699</v>
      </c>
      <c r="K231">
        <v>6672646.1876536496</v>
      </c>
    </row>
    <row r="232" spans="1:11" x14ac:dyDescent="0.35">
      <c r="A232">
        <v>2056</v>
      </c>
      <c r="B232" t="s">
        <v>180</v>
      </c>
      <c r="C232" t="s">
        <v>158</v>
      </c>
      <c r="D232">
        <v>25807.838619730799</v>
      </c>
      <c r="E232">
        <v>9.2079635856154602E-3</v>
      </c>
      <c r="F232">
        <v>3.4299999999999997E-2</v>
      </c>
      <c r="G232">
        <v>885.20886465676801</v>
      </c>
      <c r="H232">
        <v>300.96910579091099</v>
      </c>
      <c r="I232">
        <v>584.23975886585595</v>
      </c>
      <c r="J232">
        <v>26392.078378596601</v>
      </c>
      <c r="K232">
        <v>6672646.1876536496</v>
      </c>
    </row>
    <row r="233" spans="1:11" x14ac:dyDescent="0.35">
      <c r="A233">
        <v>2057</v>
      </c>
      <c r="B233" t="s">
        <v>179</v>
      </c>
      <c r="C233" t="s">
        <v>106</v>
      </c>
      <c r="D233">
        <v>840513.28</v>
      </c>
      <c r="E233">
        <v>0.27541892142928398</v>
      </c>
      <c r="F233">
        <v>6.3E-2</v>
      </c>
      <c r="G233">
        <v>52952.336639999899</v>
      </c>
      <c r="H233">
        <v>9001.8972288000004</v>
      </c>
      <c r="I233">
        <v>43950.439411199899</v>
      </c>
      <c r="J233">
        <v>884463.71941120003</v>
      </c>
      <c r="K233">
        <v>7516735.9303918397</v>
      </c>
    </row>
    <row r="234" spans="1:11" x14ac:dyDescent="0.35">
      <c r="A234">
        <v>2057</v>
      </c>
      <c r="B234" t="s">
        <v>180</v>
      </c>
      <c r="C234" t="s">
        <v>106</v>
      </c>
      <c r="D234">
        <v>1969735.2</v>
      </c>
      <c r="E234">
        <v>0.64544172851771697</v>
      </c>
      <c r="F234">
        <v>6.3E-2</v>
      </c>
      <c r="G234">
        <v>124093.31759999901</v>
      </c>
      <c r="H234">
        <v>42636.243028277102</v>
      </c>
      <c r="I234">
        <v>81457.074571722798</v>
      </c>
      <c r="J234">
        <v>2051192.27457172</v>
      </c>
      <c r="K234">
        <v>7516735.9303918397</v>
      </c>
    </row>
    <row r="235" spans="1:11" x14ac:dyDescent="0.35">
      <c r="A235">
        <v>2057</v>
      </c>
      <c r="B235" t="s">
        <v>179</v>
      </c>
      <c r="C235" t="s">
        <v>107</v>
      </c>
      <c r="D235">
        <v>3576.47</v>
      </c>
      <c r="E235">
        <v>1.1719356890163501E-3</v>
      </c>
      <c r="F235">
        <v>6.3E-2</v>
      </c>
      <c r="G235">
        <v>225.31760999999901</v>
      </c>
      <c r="H235">
        <v>38.3039936999999</v>
      </c>
      <c r="I235">
        <v>187.013616299999</v>
      </c>
      <c r="J235">
        <v>3763.48361629999</v>
      </c>
      <c r="K235">
        <v>7516735.9303918397</v>
      </c>
    </row>
    <row r="236" spans="1:11" x14ac:dyDescent="0.35">
      <c r="A236">
        <v>2057</v>
      </c>
      <c r="B236" t="s">
        <v>180</v>
      </c>
      <c r="C236" t="s">
        <v>107</v>
      </c>
      <c r="D236">
        <v>8381.42</v>
      </c>
      <c r="E236">
        <v>2.7464190172531602E-3</v>
      </c>
      <c r="F236">
        <v>6.3E-2</v>
      </c>
      <c r="G236">
        <v>528.02945999999895</v>
      </c>
      <c r="H236">
        <v>181.421472308593</v>
      </c>
      <c r="I236">
        <v>346.60798769140501</v>
      </c>
      <c r="J236">
        <v>8728.0279876913992</v>
      </c>
      <c r="K236">
        <v>7516735.9303918397</v>
      </c>
    </row>
    <row r="237" spans="1:11" x14ac:dyDescent="0.35">
      <c r="A237">
        <v>2057</v>
      </c>
      <c r="B237" t="s">
        <v>180</v>
      </c>
      <c r="C237" t="s">
        <v>161</v>
      </c>
      <c r="D237">
        <v>11134.8998667407</v>
      </c>
      <c r="E237">
        <v>3.64867775976224E-3</v>
      </c>
      <c r="F237">
        <v>3.4299999999999997E-2</v>
      </c>
      <c r="G237">
        <v>381.92706542920598</v>
      </c>
      <c r="H237">
        <v>131.223304329776</v>
      </c>
      <c r="I237">
        <v>250.70376109943001</v>
      </c>
      <c r="J237">
        <v>11385.603627840101</v>
      </c>
      <c r="K237">
        <v>7516735.9303918397</v>
      </c>
    </row>
    <row r="238" spans="1:11" x14ac:dyDescent="0.35">
      <c r="A238">
        <v>2057</v>
      </c>
      <c r="B238" t="s">
        <v>180</v>
      </c>
      <c r="C238" t="s">
        <v>160</v>
      </c>
      <c r="D238">
        <v>9642.4970500509007</v>
      </c>
      <c r="E238">
        <v>3.15964803960037E-3</v>
      </c>
      <c r="F238">
        <v>3.4299999999999997E-2</v>
      </c>
      <c r="G238">
        <v>330.737648816746</v>
      </c>
      <c r="H238">
        <v>113.63553691912701</v>
      </c>
      <c r="I238">
        <v>217.10211189761901</v>
      </c>
      <c r="J238">
        <v>9859.5991619485194</v>
      </c>
      <c r="K238">
        <v>7516735.9303918397</v>
      </c>
    </row>
    <row r="239" spans="1:11" x14ac:dyDescent="0.35">
      <c r="A239">
        <v>2057</v>
      </c>
      <c r="B239" t="s">
        <v>180</v>
      </c>
      <c r="C239" t="s">
        <v>159</v>
      </c>
      <c r="D239">
        <v>28683.6595391421</v>
      </c>
      <c r="E239">
        <v>9.3990455128981805E-3</v>
      </c>
      <c r="F239">
        <v>3.4299999999999997E-2</v>
      </c>
      <c r="G239">
        <v>983.84952219257298</v>
      </c>
      <c r="H239">
        <v>338.03308786271703</v>
      </c>
      <c r="I239">
        <v>645.81643432985504</v>
      </c>
      <c r="J239">
        <v>29329.475973471901</v>
      </c>
      <c r="K239">
        <v>7516735.9303918397</v>
      </c>
    </row>
    <row r="240" spans="1:11" x14ac:dyDescent="0.35">
      <c r="A240">
        <v>2057</v>
      </c>
      <c r="B240" t="s">
        <v>180</v>
      </c>
      <c r="C240" t="s">
        <v>158</v>
      </c>
      <c r="D240">
        <v>180095.60330728799</v>
      </c>
      <c r="E240">
        <v>5.90136265509685E-2</v>
      </c>
      <c r="F240">
        <v>3.4299999999999997E-2</v>
      </c>
      <c r="G240">
        <v>6177.2791934399802</v>
      </c>
      <c r="H240">
        <v>2122.4025760515801</v>
      </c>
      <c r="I240">
        <v>4054.8766173884001</v>
      </c>
      <c r="J240">
        <v>184150.47992467601</v>
      </c>
      <c r="K240">
        <v>7516735.9303918397</v>
      </c>
    </row>
    <row r="241" spans="1:11" x14ac:dyDescent="0.35">
      <c r="A241">
        <v>2058</v>
      </c>
      <c r="B241" t="s">
        <v>179</v>
      </c>
      <c r="C241" t="s">
        <v>106</v>
      </c>
      <c r="D241">
        <v>950867.1</v>
      </c>
      <c r="E241">
        <v>0.28723506517956399</v>
      </c>
      <c r="F241">
        <v>6.3E-2</v>
      </c>
      <c r="G241">
        <v>59904.627299999898</v>
      </c>
      <c r="H241">
        <v>10183.786640999901</v>
      </c>
      <c r="I241">
        <v>49720.840658999899</v>
      </c>
      <c r="J241">
        <v>1000587.940659</v>
      </c>
      <c r="K241">
        <v>8467603.0255864095</v>
      </c>
    </row>
    <row r="242" spans="1:11" x14ac:dyDescent="0.35">
      <c r="A242">
        <v>2058</v>
      </c>
      <c r="B242" t="s">
        <v>180</v>
      </c>
      <c r="C242" t="s">
        <v>106</v>
      </c>
      <c r="D242">
        <v>2131799.79</v>
      </c>
      <c r="E242">
        <v>0.64396764976980703</v>
      </c>
      <c r="F242">
        <v>6.3E-2</v>
      </c>
      <c r="G242">
        <v>134303.38676999899</v>
      </c>
      <c r="H242">
        <v>46838.970315467697</v>
      </c>
      <c r="I242">
        <v>87464.416454531995</v>
      </c>
      <c r="J242">
        <v>2219264.2064545299</v>
      </c>
      <c r="K242">
        <v>8467603.0255864095</v>
      </c>
    </row>
    <row r="243" spans="1:11" x14ac:dyDescent="0.35">
      <c r="A243">
        <v>2058</v>
      </c>
      <c r="B243" t="s">
        <v>180</v>
      </c>
      <c r="C243" t="s">
        <v>161</v>
      </c>
      <c r="D243">
        <v>14290.172850630201</v>
      </c>
      <c r="E243">
        <v>4.3167323069417604E-3</v>
      </c>
      <c r="F243">
        <v>3.4299999999999997E-2</v>
      </c>
      <c r="G243">
        <v>490.15292877661699</v>
      </c>
      <c r="H243">
        <v>170.94325789657501</v>
      </c>
      <c r="I243">
        <v>319.20967088004102</v>
      </c>
      <c r="J243">
        <v>14609.382521510201</v>
      </c>
      <c r="K243">
        <v>8467603.0255864095</v>
      </c>
    </row>
    <row r="244" spans="1:11" x14ac:dyDescent="0.35">
      <c r="A244">
        <v>2058</v>
      </c>
      <c r="B244" t="s">
        <v>180</v>
      </c>
      <c r="C244" t="s">
        <v>160</v>
      </c>
      <c r="D244">
        <v>2417.3755657595102</v>
      </c>
      <c r="E244">
        <v>7.3023351864253403E-4</v>
      </c>
      <c r="F244">
        <v>3.4299999999999997E-2</v>
      </c>
      <c r="G244">
        <v>82.915981905551206</v>
      </c>
      <c r="H244">
        <v>28.9173587394558</v>
      </c>
      <c r="I244">
        <v>53.9986231660953</v>
      </c>
      <c r="J244">
        <v>2471.3741889256098</v>
      </c>
      <c r="K244">
        <v>8467603.0255864095</v>
      </c>
    </row>
    <row r="245" spans="1:11" x14ac:dyDescent="0.35">
      <c r="A245">
        <v>2058</v>
      </c>
      <c r="B245" t="s">
        <v>180</v>
      </c>
      <c r="C245" t="s">
        <v>159</v>
      </c>
      <c r="D245">
        <v>52534.853678929998</v>
      </c>
      <c r="E245">
        <v>1.5869570122540099E-2</v>
      </c>
      <c r="F245">
        <v>3.4299999999999997E-2</v>
      </c>
      <c r="G245">
        <v>1801.9454811872999</v>
      </c>
      <c r="H245">
        <v>628.437397844359</v>
      </c>
      <c r="I245">
        <v>1173.5080833429399</v>
      </c>
      <c r="J245">
        <v>53708.361762273002</v>
      </c>
      <c r="K245">
        <v>8467603.0255864095</v>
      </c>
    </row>
    <row r="246" spans="1:11" x14ac:dyDescent="0.35">
      <c r="A246">
        <v>2058</v>
      </c>
      <c r="B246" t="s">
        <v>180</v>
      </c>
      <c r="C246" t="s">
        <v>158</v>
      </c>
      <c r="D246">
        <v>158505.131630786</v>
      </c>
      <c r="E246">
        <v>4.7880752015990798E-2</v>
      </c>
      <c r="F246">
        <v>3.4299999999999997E-2</v>
      </c>
      <c r="G246">
        <v>5436.7260149359599</v>
      </c>
      <c r="H246">
        <v>1896.08508431002</v>
      </c>
      <c r="I246">
        <v>3540.6409306259302</v>
      </c>
      <c r="J246">
        <v>162045.77256141201</v>
      </c>
      <c r="K246">
        <v>8467603.0255864095</v>
      </c>
    </row>
    <row r="247" spans="1:11" x14ac:dyDescent="0.35">
      <c r="A247">
        <v>2059</v>
      </c>
      <c r="B247" t="s">
        <v>179</v>
      </c>
      <c r="C247" t="s">
        <v>106</v>
      </c>
      <c r="D247">
        <v>1070671.93</v>
      </c>
      <c r="E247">
        <v>0.29894476414968801</v>
      </c>
      <c r="F247">
        <v>6.3E-2</v>
      </c>
      <c r="G247">
        <v>67452.331589999798</v>
      </c>
      <c r="H247">
        <v>11466.896370299901</v>
      </c>
      <c r="I247">
        <v>55985.435219699801</v>
      </c>
      <c r="J247">
        <v>1126657.3652196999</v>
      </c>
      <c r="K247">
        <v>9538754.8083230909</v>
      </c>
    </row>
    <row r="248" spans="1:11" x14ac:dyDescent="0.35">
      <c r="A248">
        <v>2059</v>
      </c>
      <c r="B248" t="s">
        <v>180</v>
      </c>
      <c r="C248" t="s">
        <v>106</v>
      </c>
      <c r="D248">
        <v>2296709.31</v>
      </c>
      <c r="E248">
        <v>0.64126947177772997</v>
      </c>
      <c r="F248">
        <v>6.3E-2</v>
      </c>
      <c r="G248">
        <v>144692.68653000001</v>
      </c>
      <c r="H248">
        <v>51135.863241919396</v>
      </c>
      <c r="I248">
        <v>93556.823288080603</v>
      </c>
      <c r="J248">
        <v>2390266.1332880799</v>
      </c>
      <c r="K248">
        <v>9538754.8083230909</v>
      </c>
    </row>
    <row r="249" spans="1:11" x14ac:dyDescent="0.35">
      <c r="A249">
        <v>2059</v>
      </c>
      <c r="B249" t="s">
        <v>179</v>
      </c>
      <c r="C249" t="s">
        <v>107</v>
      </c>
      <c r="D249">
        <v>479.85</v>
      </c>
      <c r="E249">
        <v>1.3398001858256199E-4</v>
      </c>
      <c r="F249">
        <v>6.3E-2</v>
      </c>
      <c r="G249">
        <v>30.230549999999901</v>
      </c>
      <c r="H249">
        <v>5.1391934999999904</v>
      </c>
      <c r="I249">
        <v>25.0913564999999</v>
      </c>
      <c r="J249">
        <v>504.94135649999998</v>
      </c>
      <c r="K249">
        <v>9538754.8083230909</v>
      </c>
    </row>
    <row r="250" spans="1:11" x14ac:dyDescent="0.35">
      <c r="A250">
        <v>2059</v>
      </c>
      <c r="B250" t="s">
        <v>180</v>
      </c>
      <c r="C250" t="s">
        <v>107</v>
      </c>
      <c r="D250">
        <v>1029.33</v>
      </c>
      <c r="E250">
        <v>2.8740158909573498E-4</v>
      </c>
      <c r="F250">
        <v>6.3E-2</v>
      </c>
      <c r="G250">
        <v>64.847790000000003</v>
      </c>
      <c r="H250">
        <v>22.917866828695399</v>
      </c>
      <c r="I250">
        <v>41.929923171304601</v>
      </c>
      <c r="J250">
        <v>1071.2599231713</v>
      </c>
      <c r="K250">
        <v>9538754.8083230909</v>
      </c>
    </row>
    <row r="251" spans="1:11" x14ac:dyDescent="0.35">
      <c r="A251">
        <v>2059</v>
      </c>
      <c r="B251" t="s">
        <v>180</v>
      </c>
      <c r="C251" t="s">
        <v>161</v>
      </c>
      <c r="D251">
        <v>8407.1697522770792</v>
      </c>
      <c r="E251">
        <v>2.34738514043313E-3</v>
      </c>
      <c r="F251">
        <v>3.4299999999999997E-2</v>
      </c>
      <c r="G251">
        <v>288.365922503104</v>
      </c>
      <c r="H251">
        <v>101.911442315305</v>
      </c>
      <c r="I251">
        <v>186.454480187798</v>
      </c>
      <c r="J251">
        <v>8593.6242324648792</v>
      </c>
      <c r="K251">
        <v>9538754.8083230909</v>
      </c>
    </row>
    <row r="252" spans="1:11" x14ac:dyDescent="0.35">
      <c r="A252">
        <v>2059</v>
      </c>
      <c r="B252" t="s">
        <v>180</v>
      </c>
      <c r="C252" t="s">
        <v>160</v>
      </c>
      <c r="D252">
        <v>4606.6687867389101</v>
      </c>
      <c r="E252">
        <v>1.28623855298736E-3</v>
      </c>
      <c r="F252">
        <v>3.4299999999999997E-2</v>
      </c>
      <c r="G252">
        <v>158.008739385144</v>
      </c>
      <c r="H252">
        <v>55.841891404453101</v>
      </c>
      <c r="I252">
        <v>102.166847980691</v>
      </c>
      <c r="J252">
        <v>4708.8356347196004</v>
      </c>
      <c r="K252">
        <v>9538754.8083230909</v>
      </c>
    </row>
    <row r="253" spans="1:11" x14ac:dyDescent="0.35">
      <c r="A253">
        <v>2059</v>
      </c>
      <c r="B253" t="s">
        <v>180</v>
      </c>
      <c r="C253" t="s">
        <v>159</v>
      </c>
      <c r="D253">
        <v>35496.789917171402</v>
      </c>
      <c r="E253">
        <v>9.9111400911200305E-3</v>
      </c>
      <c r="F253">
        <v>3.4299999999999997E-2</v>
      </c>
      <c r="G253">
        <v>1217.5398941589799</v>
      </c>
      <c r="H253">
        <v>430.29094982202798</v>
      </c>
      <c r="I253">
        <v>787.24894433695204</v>
      </c>
      <c r="J253">
        <v>36284.038861508401</v>
      </c>
      <c r="K253">
        <v>9538754.8083230909</v>
      </c>
    </row>
    <row r="254" spans="1:11" x14ac:dyDescent="0.35">
      <c r="A254">
        <v>2059</v>
      </c>
      <c r="B254" t="s">
        <v>180</v>
      </c>
      <c r="C254" t="s">
        <v>158</v>
      </c>
      <c r="D254">
        <v>164103.15472432401</v>
      </c>
      <c r="E254">
        <v>4.5819618046101997E-2</v>
      </c>
      <c r="F254">
        <v>3.4299999999999997E-2</v>
      </c>
      <c r="G254">
        <v>5628.73820704431</v>
      </c>
      <c r="H254">
        <v>1989.2531826085501</v>
      </c>
      <c r="I254">
        <v>3639.4850244357499</v>
      </c>
      <c r="J254">
        <v>167742.63974875899</v>
      </c>
      <c r="K254">
        <v>9538754.8083230909</v>
      </c>
    </row>
    <row r="255" spans="1:11" x14ac:dyDescent="0.35">
      <c r="A255">
        <v>2060</v>
      </c>
      <c r="B255" t="s">
        <v>179</v>
      </c>
      <c r="C255" t="s">
        <v>106</v>
      </c>
      <c r="D255">
        <v>1206388.48</v>
      </c>
      <c r="E255">
        <v>0.31205613564287799</v>
      </c>
      <c r="F255">
        <v>6.3E-2</v>
      </c>
      <c r="G255">
        <v>76002.474239999894</v>
      </c>
      <c r="H255">
        <v>12920.4206207999</v>
      </c>
      <c r="I255">
        <v>63082.053619199898</v>
      </c>
      <c r="J255">
        <v>1269470.5336191901</v>
      </c>
      <c r="K255">
        <v>10745407.291575899</v>
      </c>
    </row>
    <row r="256" spans="1:11" x14ac:dyDescent="0.35">
      <c r="A256">
        <v>2060</v>
      </c>
      <c r="B256" t="s">
        <v>180</v>
      </c>
      <c r="C256" t="s">
        <v>106</v>
      </c>
      <c r="D256">
        <v>2422826.41</v>
      </c>
      <c r="E256">
        <v>0.62671175941443702</v>
      </c>
      <c r="F256">
        <v>6.3E-2</v>
      </c>
      <c r="G256">
        <v>152638.06382999901</v>
      </c>
      <c r="H256">
        <v>54494.744373894297</v>
      </c>
      <c r="I256">
        <v>98143.319456105499</v>
      </c>
      <c r="J256">
        <v>2520969.7294561001</v>
      </c>
      <c r="K256">
        <v>10745407.291575899</v>
      </c>
    </row>
    <row r="257" spans="1:11" x14ac:dyDescent="0.35">
      <c r="A257">
        <v>2060</v>
      </c>
      <c r="B257" t="s">
        <v>179</v>
      </c>
      <c r="C257" t="s">
        <v>107</v>
      </c>
      <c r="D257">
        <v>264</v>
      </c>
      <c r="E257" s="42">
        <v>6.8288798488626098E-5</v>
      </c>
      <c r="F257">
        <v>6.3E-2</v>
      </c>
      <c r="G257">
        <v>16.632000000000001</v>
      </c>
      <c r="H257">
        <v>2.8274400000000002</v>
      </c>
      <c r="I257">
        <v>13.80456</v>
      </c>
      <c r="J257">
        <v>277.80455999999998</v>
      </c>
      <c r="K257">
        <v>10745407.291575899</v>
      </c>
    </row>
    <row r="258" spans="1:11" x14ac:dyDescent="0.35">
      <c r="A258">
        <v>2060</v>
      </c>
      <c r="B258" t="s">
        <v>180</v>
      </c>
      <c r="C258" t="s">
        <v>107</v>
      </c>
      <c r="D258">
        <v>530.21</v>
      </c>
      <c r="E258">
        <v>1.3714925699490299E-4</v>
      </c>
      <c r="F258">
        <v>6.3E-2</v>
      </c>
      <c r="G258">
        <v>33.403230000000001</v>
      </c>
      <c r="H258">
        <v>11.925599908943701</v>
      </c>
      <c r="I258">
        <v>21.477630091056199</v>
      </c>
      <c r="J258">
        <v>551.68763009105601</v>
      </c>
      <c r="K258">
        <v>10745407.291575899</v>
      </c>
    </row>
    <row r="259" spans="1:11" x14ac:dyDescent="0.35">
      <c r="A259">
        <v>2060</v>
      </c>
      <c r="B259" t="s">
        <v>180</v>
      </c>
      <c r="C259" t="s">
        <v>161</v>
      </c>
      <c r="D259">
        <v>1625.3277485835599</v>
      </c>
      <c r="E259">
        <v>4.20423026897709E-4</v>
      </c>
      <c r="F259">
        <v>3.4299999999999997E-2</v>
      </c>
      <c r="G259">
        <v>55.748741776416097</v>
      </c>
      <c r="H259">
        <v>19.903380297430999</v>
      </c>
      <c r="I259">
        <v>35.845361478985097</v>
      </c>
      <c r="J259">
        <v>1661.17311006254</v>
      </c>
      <c r="K259">
        <v>10745407.291575899</v>
      </c>
    </row>
    <row r="260" spans="1:11" x14ac:dyDescent="0.35">
      <c r="A260">
        <v>2060</v>
      </c>
      <c r="B260" t="s">
        <v>180</v>
      </c>
      <c r="C260" t="s">
        <v>160</v>
      </c>
      <c r="D260">
        <v>8512.8053165368401</v>
      </c>
      <c r="E260">
        <v>2.20200472285564E-3</v>
      </c>
      <c r="F260">
        <v>3.4299999999999997E-2</v>
      </c>
      <c r="G260">
        <v>291.98922235721301</v>
      </c>
      <c r="H260">
        <v>104.245806275493</v>
      </c>
      <c r="I260">
        <v>187.74341608172</v>
      </c>
      <c r="J260">
        <v>8700.5487326185594</v>
      </c>
      <c r="K260">
        <v>10745407.291575899</v>
      </c>
    </row>
    <row r="261" spans="1:11" x14ac:dyDescent="0.35">
      <c r="A261">
        <v>2060</v>
      </c>
      <c r="B261" t="s">
        <v>180</v>
      </c>
      <c r="C261" t="s">
        <v>159</v>
      </c>
      <c r="D261">
        <v>38037.403717177003</v>
      </c>
      <c r="E261">
        <v>9.8391234752758395E-3</v>
      </c>
      <c r="F261">
        <v>3.4299999999999997E-2</v>
      </c>
      <c r="G261">
        <v>1304.68294749917</v>
      </c>
      <c r="H261">
        <v>465.79707530968199</v>
      </c>
      <c r="I261">
        <v>838.88587218949306</v>
      </c>
      <c r="J261">
        <v>38876.289589366497</v>
      </c>
      <c r="K261">
        <v>10745407.291575899</v>
      </c>
    </row>
    <row r="262" spans="1:11" x14ac:dyDescent="0.35">
      <c r="A262">
        <v>2060</v>
      </c>
      <c r="B262" t="s">
        <v>180</v>
      </c>
      <c r="C262" t="s">
        <v>158</v>
      </c>
      <c r="D262">
        <v>187749.54138522301</v>
      </c>
      <c r="E262">
        <v>4.8565115901467802E-2</v>
      </c>
      <c r="F262">
        <v>3.4299999999999997E-2</v>
      </c>
      <c r="G262">
        <v>6439.80926951317</v>
      </c>
      <c r="H262">
        <v>2299.1366055953699</v>
      </c>
      <c r="I262">
        <v>4140.6726639177996</v>
      </c>
      <c r="J262">
        <v>191890.21404914101</v>
      </c>
      <c r="K262">
        <v>10745407.291575899</v>
      </c>
    </row>
    <row r="263" spans="1:11" x14ac:dyDescent="0.35">
      <c r="A263">
        <v>2061</v>
      </c>
      <c r="B263" t="s">
        <v>179</v>
      </c>
      <c r="C263" t="s">
        <v>106</v>
      </c>
      <c r="D263">
        <v>345881.91</v>
      </c>
      <c r="E263">
        <v>8.2809968289321995E-2</v>
      </c>
      <c r="F263">
        <v>6.3E-2</v>
      </c>
      <c r="G263">
        <v>21790.56033</v>
      </c>
      <c r="H263">
        <v>3704.3952561000001</v>
      </c>
      <c r="I263">
        <v>18086.1650739</v>
      </c>
      <c r="J263">
        <v>363968.07507389999</v>
      </c>
      <c r="K263">
        <v>12104701.313960301</v>
      </c>
    </row>
    <row r="264" spans="1:11" x14ac:dyDescent="0.35">
      <c r="A264">
        <v>2061</v>
      </c>
      <c r="B264" t="s">
        <v>180</v>
      </c>
      <c r="C264" t="s">
        <v>106</v>
      </c>
      <c r="D264">
        <v>699163.87</v>
      </c>
      <c r="E264">
        <v>0.167391633473226</v>
      </c>
      <c r="F264">
        <v>6.3E-2</v>
      </c>
      <c r="G264">
        <v>44047.3238099999</v>
      </c>
      <c r="H264">
        <v>15958.671035338601</v>
      </c>
      <c r="I264">
        <v>28088.652774661201</v>
      </c>
      <c r="J264">
        <v>727252.52277466096</v>
      </c>
      <c r="K264">
        <v>12104701.313960301</v>
      </c>
    </row>
    <row r="265" spans="1:11" x14ac:dyDescent="0.35">
      <c r="A265">
        <v>2061</v>
      </c>
      <c r="B265" t="s">
        <v>179</v>
      </c>
      <c r="C265" t="s">
        <v>107</v>
      </c>
      <c r="D265">
        <v>1013412.11</v>
      </c>
      <c r="E265">
        <v>0.24262796713801801</v>
      </c>
      <c r="F265">
        <v>6.3E-2</v>
      </c>
      <c r="G265">
        <v>63844.962930000002</v>
      </c>
      <c r="H265">
        <v>10853.643698100001</v>
      </c>
      <c r="I265">
        <v>52991.319231900001</v>
      </c>
      <c r="J265">
        <v>1066403.4292319</v>
      </c>
      <c r="K265">
        <v>12104701.313960301</v>
      </c>
    </row>
    <row r="266" spans="1:11" x14ac:dyDescent="0.35">
      <c r="A266">
        <v>2061</v>
      </c>
      <c r="B266" t="s">
        <v>180</v>
      </c>
      <c r="C266" t="s">
        <v>107</v>
      </c>
      <c r="D266">
        <v>2048505.88</v>
      </c>
      <c r="E266">
        <v>0.49044688970085099</v>
      </c>
      <c r="F266">
        <v>6.3E-2</v>
      </c>
      <c r="G266">
        <v>129055.87043999899</v>
      </c>
      <c r="H266">
        <v>46757.895903398101</v>
      </c>
      <c r="I266">
        <v>82297.9745366016</v>
      </c>
      <c r="J266">
        <v>2130803.8545365999</v>
      </c>
      <c r="K266">
        <v>12104701.313960301</v>
      </c>
    </row>
    <row r="267" spans="1:11" x14ac:dyDescent="0.35">
      <c r="A267">
        <v>2061</v>
      </c>
      <c r="B267" t="s">
        <v>180</v>
      </c>
      <c r="C267" t="s">
        <v>161</v>
      </c>
      <c r="D267">
        <v>2233.42581778047</v>
      </c>
      <c r="E267">
        <v>5.3471984454739004E-4</v>
      </c>
      <c r="F267">
        <v>3.4299999999999997E-2</v>
      </c>
      <c r="G267">
        <v>76.606505549870207</v>
      </c>
      <c r="H267">
        <v>27.755103272804799</v>
      </c>
      <c r="I267">
        <v>48.851402277065297</v>
      </c>
      <c r="J267">
        <v>2282.27722005754</v>
      </c>
      <c r="K267">
        <v>12104701.313960301</v>
      </c>
    </row>
    <row r="268" spans="1:11" x14ac:dyDescent="0.35">
      <c r="A268">
        <v>2061</v>
      </c>
      <c r="B268" t="s">
        <v>180</v>
      </c>
      <c r="C268" t="s">
        <v>160</v>
      </c>
      <c r="D268">
        <v>2586.4697560228201</v>
      </c>
      <c r="E268">
        <v>6.1924452330432795E-4</v>
      </c>
      <c r="F268">
        <v>3.4299999999999997E-2</v>
      </c>
      <c r="G268">
        <v>88.715912631582796</v>
      </c>
      <c r="H268">
        <v>32.142430977063199</v>
      </c>
      <c r="I268">
        <v>56.573481654519497</v>
      </c>
      <c r="J268">
        <v>2643.0432376773401</v>
      </c>
      <c r="K268">
        <v>12104701.313960301</v>
      </c>
    </row>
    <row r="269" spans="1:11" x14ac:dyDescent="0.35">
      <c r="A269">
        <v>2061</v>
      </c>
      <c r="B269" t="s">
        <v>180</v>
      </c>
      <c r="C269" t="s">
        <v>159</v>
      </c>
      <c r="D269">
        <v>30943.050538627002</v>
      </c>
      <c r="E269">
        <v>7.4082886667261498E-3</v>
      </c>
      <c r="F269">
        <v>3.4299999999999997E-2</v>
      </c>
      <c r="G269">
        <v>1061.34663347491</v>
      </c>
      <c r="H269">
        <v>384.53373129209098</v>
      </c>
      <c r="I269">
        <v>676.81290218281799</v>
      </c>
      <c r="J269">
        <v>31619.863440809899</v>
      </c>
      <c r="K269">
        <v>12104701.313960301</v>
      </c>
    </row>
    <row r="270" spans="1:11" x14ac:dyDescent="0.35">
      <c r="A270">
        <v>2061</v>
      </c>
      <c r="B270" t="s">
        <v>180</v>
      </c>
      <c r="C270" t="s">
        <v>158</v>
      </c>
      <c r="D270">
        <v>34088.181583286103</v>
      </c>
      <c r="E270">
        <v>8.1612861336187604E-3</v>
      </c>
      <c r="F270">
        <v>3.4299999999999997E-2</v>
      </c>
      <c r="G270">
        <v>1169.22462830671</v>
      </c>
      <c r="H270">
        <v>423.61872630561101</v>
      </c>
      <c r="I270">
        <v>745.605902001103</v>
      </c>
      <c r="J270">
        <v>34833.787485287197</v>
      </c>
      <c r="K270">
        <v>12104701.313960301</v>
      </c>
    </row>
    <row r="271" spans="1:11" x14ac:dyDescent="0.35">
      <c r="A271">
        <v>2062</v>
      </c>
      <c r="B271" t="s">
        <v>179</v>
      </c>
      <c r="C271" t="s">
        <v>106</v>
      </c>
      <c r="D271">
        <v>1529450.99</v>
      </c>
      <c r="E271">
        <v>0.339450444966649</v>
      </c>
      <c r="F271">
        <v>6.3E-2</v>
      </c>
      <c r="G271">
        <v>96355.412369999802</v>
      </c>
      <c r="H271">
        <v>16380.4201028999</v>
      </c>
      <c r="I271">
        <v>79974.992267099806</v>
      </c>
      <c r="J271">
        <v>1609425.9822670999</v>
      </c>
      <c r="K271">
        <v>13635946.030176301</v>
      </c>
    </row>
    <row r="272" spans="1:11" x14ac:dyDescent="0.35">
      <c r="A272">
        <v>2062</v>
      </c>
      <c r="B272" t="s">
        <v>180</v>
      </c>
      <c r="C272" t="s">
        <v>106</v>
      </c>
      <c r="D272">
        <v>2778978.99</v>
      </c>
      <c r="E272">
        <v>0.61677403256214902</v>
      </c>
      <c r="F272">
        <v>6.3E-2</v>
      </c>
      <c r="G272">
        <v>175075.67637</v>
      </c>
      <c r="H272">
        <v>63785.193335336102</v>
      </c>
      <c r="I272">
        <v>111290.483034663</v>
      </c>
      <c r="J272">
        <v>2890269.4730346599</v>
      </c>
      <c r="K272">
        <v>13635946.030176301</v>
      </c>
    </row>
    <row r="273" spans="1:11" x14ac:dyDescent="0.35">
      <c r="A273">
        <v>2062</v>
      </c>
      <c r="B273" t="s">
        <v>179</v>
      </c>
      <c r="C273" t="s">
        <v>107</v>
      </c>
      <c r="D273">
        <v>1793.72</v>
      </c>
      <c r="E273">
        <v>3.9810301613232998E-4</v>
      </c>
      <c r="F273">
        <v>6.3E-2</v>
      </c>
      <c r="G273">
        <v>113.004359999999</v>
      </c>
      <c r="H273">
        <v>19.210741199999902</v>
      </c>
      <c r="I273">
        <v>93.793618799999905</v>
      </c>
      <c r="J273">
        <v>1887.5136187999999</v>
      </c>
      <c r="K273">
        <v>13635946.030176301</v>
      </c>
    </row>
    <row r="274" spans="1:11" x14ac:dyDescent="0.35">
      <c r="A274">
        <v>2062</v>
      </c>
      <c r="B274" t="s">
        <v>180</v>
      </c>
      <c r="C274" t="s">
        <v>107</v>
      </c>
      <c r="D274">
        <v>3259.15</v>
      </c>
      <c r="E274">
        <v>7.2334447128185296E-4</v>
      </c>
      <c r="F274">
        <v>6.3E-2</v>
      </c>
      <c r="G274">
        <v>205.32644999999999</v>
      </c>
      <c r="H274">
        <v>74.806435603480693</v>
      </c>
      <c r="I274">
        <v>130.520014396519</v>
      </c>
      <c r="J274">
        <v>3389.6700143965099</v>
      </c>
      <c r="K274">
        <v>13635946.030176301</v>
      </c>
    </row>
    <row r="275" spans="1:11" x14ac:dyDescent="0.35">
      <c r="A275">
        <v>2062</v>
      </c>
      <c r="B275" t="s">
        <v>180</v>
      </c>
      <c r="C275" t="s">
        <v>161</v>
      </c>
      <c r="D275">
        <v>5385.9663617215301</v>
      </c>
      <c r="E275">
        <v>1.1953757851775101E-3</v>
      </c>
      <c r="F275">
        <v>3.4299999999999997E-2</v>
      </c>
      <c r="G275">
        <v>184.73864620704899</v>
      </c>
      <c r="H275">
        <v>67.305696080372499</v>
      </c>
      <c r="I275">
        <v>117.432950126676</v>
      </c>
      <c r="J275">
        <v>5503.3993118482103</v>
      </c>
      <c r="K275">
        <v>13635946.030176301</v>
      </c>
    </row>
    <row r="276" spans="1:11" x14ac:dyDescent="0.35">
      <c r="A276">
        <v>2062</v>
      </c>
      <c r="B276" t="s">
        <v>180</v>
      </c>
      <c r="C276" t="s">
        <v>160</v>
      </c>
      <c r="D276">
        <v>2520.7267562613902</v>
      </c>
      <c r="E276">
        <v>5.5945684081859395E-4</v>
      </c>
      <c r="F276">
        <v>3.4299999999999997E-2</v>
      </c>
      <c r="G276">
        <v>86.460927739765793</v>
      </c>
      <c r="H276">
        <v>31.500246671492999</v>
      </c>
      <c r="I276">
        <v>54.960681068272699</v>
      </c>
      <c r="J276">
        <v>2575.68743732967</v>
      </c>
      <c r="K276">
        <v>13635946.030176301</v>
      </c>
    </row>
    <row r="277" spans="1:11" x14ac:dyDescent="0.35">
      <c r="A277">
        <v>2062</v>
      </c>
      <c r="B277" t="s">
        <v>180</v>
      </c>
      <c r="C277" t="s">
        <v>159</v>
      </c>
      <c r="D277">
        <v>31779.008906847099</v>
      </c>
      <c r="E277">
        <v>7.0531182656780496E-3</v>
      </c>
      <c r="F277">
        <v>3.4299999999999997E-2</v>
      </c>
      <c r="G277">
        <v>1090.0200055048499</v>
      </c>
      <c r="H277">
        <v>397.12619269609399</v>
      </c>
      <c r="I277">
        <v>692.89381280876501</v>
      </c>
      <c r="J277">
        <v>32471.902719655802</v>
      </c>
      <c r="K277">
        <v>13635946.030176301</v>
      </c>
    </row>
    <row r="278" spans="1:11" x14ac:dyDescent="0.35">
      <c r="A278">
        <v>2062</v>
      </c>
      <c r="B278" t="s">
        <v>180</v>
      </c>
      <c r="C278" t="s">
        <v>158</v>
      </c>
      <c r="D278">
        <v>152499.38556632501</v>
      </c>
      <c r="E278">
        <v>3.3846121664630802E-2</v>
      </c>
      <c r="F278">
        <v>3.4299999999999997E-2</v>
      </c>
      <c r="G278">
        <v>5230.7289249249698</v>
      </c>
      <c r="H278">
        <v>1905.7076498505801</v>
      </c>
      <c r="I278">
        <v>3325.0212750743799</v>
      </c>
      <c r="J278">
        <v>155824.40684139999</v>
      </c>
      <c r="K278">
        <v>13635946.030176301</v>
      </c>
    </row>
    <row r="279" spans="1:11" x14ac:dyDescent="0.35">
      <c r="A279">
        <v>2063</v>
      </c>
      <c r="B279" t="s">
        <v>179</v>
      </c>
      <c r="C279" t="s">
        <v>106</v>
      </c>
      <c r="D279">
        <v>1724947.17</v>
      </c>
      <c r="E279">
        <v>0.35575693404497799</v>
      </c>
      <c r="F279">
        <v>6.3E-2</v>
      </c>
      <c r="G279">
        <v>108671.67170999901</v>
      </c>
      <c r="H279">
        <v>18474.1841906999</v>
      </c>
      <c r="I279">
        <v>90197.487519299902</v>
      </c>
      <c r="J279">
        <v>1815144.65751929</v>
      </c>
      <c r="K279">
        <v>15360893.2029936</v>
      </c>
    </row>
    <row r="280" spans="1:11" x14ac:dyDescent="0.35">
      <c r="A280">
        <v>2063</v>
      </c>
      <c r="B280" t="s">
        <v>180</v>
      </c>
      <c r="C280" t="s">
        <v>106</v>
      </c>
      <c r="D280">
        <v>2615587.86</v>
      </c>
      <c r="E280">
        <v>0.53944464733888997</v>
      </c>
      <c r="F280">
        <v>6.3E-2</v>
      </c>
      <c r="G280">
        <v>164782.03517999899</v>
      </c>
      <c r="H280">
        <v>60051.937196833896</v>
      </c>
      <c r="I280">
        <v>104730.097983165</v>
      </c>
      <c r="J280">
        <v>2720317.9579831599</v>
      </c>
      <c r="K280">
        <v>15360893.2029936</v>
      </c>
    </row>
    <row r="281" spans="1:11" x14ac:dyDescent="0.35">
      <c r="A281">
        <v>2063</v>
      </c>
      <c r="B281" t="s">
        <v>180</v>
      </c>
      <c r="C281" t="s">
        <v>159</v>
      </c>
      <c r="D281">
        <v>19758.7598590874</v>
      </c>
      <c r="E281">
        <v>4.0750905014673199E-3</v>
      </c>
      <c r="F281">
        <v>3.4299999999999997E-2</v>
      </c>
      <c r="G281">
        <v>677.72546316669798</v>
      </c>
      <c r="H281">
        <v>246.98521842095499</v>
      </c>
      <c r="I281">
        <v>430.74024474574202</v>
      </c>
      <c r="J281">
        <v>20189.500103833099</v>
      </c>
      <c r="K281">
        <v>15360893.2029936</v>
      </c>
    </row>
    <row r="282" spans="1:11" x14ac:dyDescent="0.35">
      <c r="A282">
        <v>2063</v>
      </c>
      <c r="B282" t="s">
        <v>180</v>
      </c>
      <c r="C282" t="s">
        <v>158</v>
      </c>
      <c r="D282">
        <v>488373.94845306</v>
      </c>
      <c r="E282">
        <v>0.10072332741013799</v>
      </c>
      <c r="F282">
        <v>3.4299999999999997E-2</v>
      </c>
      <c r="G282">
        <v>16751.2264319399</v>
      </c>
      <c r="H282">
        <v>6104.6921562897396</v>
      </c>
      <c r="I282">
        <v>10646.5342756502</v>
      </c>
      <c r="J282">
        <v>499020.48272870999</v>
      </c>
      <c r="K282">
        <v>15360893.2029936</v>
      </c>
    </row>
    <row r="283" spans="1:11" x14ac:dyDescent="0.35">
      <c r="A283">
        <v>2064</v>
      </c>
      <c r="B283" t="s">
        <v>179</v>
      </c>
      <c r="C283" t="s">
        <v>106</v>
      </c>
      <c r="D283">
        <v>1942263.11</v>
      </c>
      <c r="E283">
        <v>0.37326337789636899</v>
      </c>
      <c r="F283">
        <v>6.3E-2</v>
      </c>
      <c r="G283">
        <v>122362.575929999</v>
      </c>
      <c r="H283">
        <v>20801.6379080999</v>
      </c>
      <c r="I283">
        <v>101560.938021899</v>
      </c>
      <c r="J283">
        <v>2043824.0480219</v>
      </c>
      <c r="K283">
        <v>17304046.193172298</v>
      </c>
    </row>
    <row r="284" spans="1:11" x14ac:dyDescent="0.35">
      <c r="A284">
        <v>2064</v>
      </c>
      <c r="B284" t="s">
        <v>180</v>
      </c>
      <c r="C284" t="s">
        <v>106</v>
      </c>
      <c r="D284">
        <v>2747492.51</v>
      </c>
      <c r="E284">
        <v>0.52801205446751898</v>
      </c>
      <c r="F284">
        <v>6.3E-2</v>
      </c>
      <c r="G284">
        <v>173092.02812999999</v>
      </c>
      <c r="H284">
        <v>63509.3887457858</v>
      </c>
      <c r="I284">
        <v>109582.639384214</v>
      </c>
      <c r="J284">
        <v>2857075.1493842099</v>
      </c>
      <c r="K284">
        <v>17304046.193172298</v>
      </c>
    </row>
    <row r="285" spans="1:11" x14ac:dyDescent="0.35">
      <c r="A285">
        <v>2064</v>
      </c>
      <c r="B285" t="s">
        <v>179</v>
      </c>
      <c r="C285" t="s">
        <v>107</v>
      </c>
      <c r="D285">
        <v>889.88</v>
      </c>
      <c r="E285">
        <v>1.7101679634044001E-4</v>
      </c>
      <c r="F285">
        <v>6.3E-2</v>
      </c>
      <c r="G285">
        <v>56.062439999999903</v>
      </c>
      <c r="H285">
        <v>9.5306147999999808</v>
      </c>
      <c r="I285">
        <v>46.531825199999901</v>
      </c>
      <c r="J285">
        <v>936.41182519999995</v>
      </c>
      <c r="K285">
        <v>17304046.193172298</v>
      </c>
    </row>
    <row r="286" spans="1:11" x14ac:dyDescent="0.35">
      <c r="A286">
        <v>2064</v>
      </c>
      <c r="B286" t="s">
        <v>180</v>
      </c>
      <c r="C286" t="s">
        <v>107</v>
      </c>
      <c r="D286">
        <v>1258.8</v>
      </c>
      <c r="E286">
        <v>2.41915700131867E-4</v>
      </c>
      <c r="F286">
        <v>6.3E-2</v>
      </c>
      <c r="G286">
        <v>79.304399999999902</v>
      </c>
      <c r="H286">
        <v>29.097665694162401</v>
      </c>
      <c r="I286">
        <v>50.2067343058375</v>
      </c>
      <c r="J286">
        <v>1309.0067343058299</v>
      </c>
      <c r="K286">
        <v>17304046.193172298</v>
      </c>
    </row>
    <row r="287" spans="1:11" x14ac:dyDescent="0.35">
      <c r="A287">
        <v>2064</v>
      </c>
      <c r="B287" t="s">
        <v>180</v>
      </c>
      <c r="C287" t="s">
        <v>161</v>
      </c>
      <c r="D287" s="42">
        <v>3.2803167449364297E-14</v>
      </c>
      <c r="E287" s="42">
        <v>6.3041001112614196E-21</v>
      </c>
      <c r="F287">
        <v>3.4299999999999997E-2</v>
      </c>
      <c r="G287" s="42">
        <v>1.1251486435131901E-15</v>
      </c>
      <c r="H287" s="42">
        <v>4.12829541427553E-16</v>
      </c>
      <c r="I287" s="42">
        <v>7.1231910208564102E-16</v>
      </c>
      <c r="J287" s="42">
        <v>3.35154865514499E-14</v>
      </c>
      <c r="K287">
        <v>17304046.193172298</v>
      </c>
    </row>
    <row r="288" spans="1:11" x14ac:dyDescent="0.35">
      <c r="A288">
        <v>2064</v>
      </c>
      <c r="B288" t="s">
        <v>180</v>
      </c>
      <c r="C288" t="s">
        <v>160</v>
      </c>
      <c r="D288" s="42">
        <v>2.6383837991911899E-13</v>
      </c>
      <c r="E288" s="42">
        <v>5.0704358436440701E-20</v>
      </c>
      <c r="F288">
        <v>3.4299999999999997E-2</v>
      </c>
      <c r="G288" s="42">
        <v>9.0496564312258096E-15</v>
      </c>
      <c r="H288" s="42">
        <v>3.3204195162290501E-15</v>
      </c>
      <c r="I288" s="42">
        <v>5.7292369149967496E-15</v>
      </c>
      <c r="J288" s="42">
        <v>2.6956761683411598E-13</v>
      </c>
      <c r="K288">
        <v>17304046.193172298</v>
      </c>
    </row>
    <row r="289" spans="1:11" x14ac:dyDescent="0.35">
      <c r="A289">
        <v>2064</v>
      </c>
      <c r="B289" t="s">
        <v>180</v>
      </c>
      <c r="C289" t="s">
        <v>159</v>
      </c>
      <c r="D289">
        <v>25014.141852123099</v>
      </c>
      <c r="E289">
        <v>4.8072081659947799E-3</v>
      </c>
      <c r="F289">
        <v>3.4299999999999997E-2</v>
      </c>
      <c r="G289">
        <v>857.98506552782396</v>
      </c>
      <c r="H289">
        <v>314.80425559379597</v>
      </c>
      <c r="I289">
        <v>543.18080993402702</v>
      </c>
      <c r="J289">
        <v>25557.322662057199</v>
      </c>
      <c r="K289">
        <v>17304046.193172298</v>
      </c>
    </row>
    <row r="290" spans="1:11" x14ac:dyDescent="0.35">
      <c r="A290">
        <v>2064</v>
      </c>
      <c r="B290" t="s">
        <v>180</v>
      </c>
      <c r="C290" t="s">
        <v>158</v>
      </c>
      <c r="D290">
        <v>486547.05192900298</v>
      </c>
      <c r="E290">
        <v>9.3504425416667494E-2</v>
      </c>
      <c r="F290">
        <v>3.4299999999999997E-2</v>
      </c>
      <c r="G290">
        <v>16688.563881164799</v>
      </c>
      <c r="H290">
        <v>6123.2195531371199</v>
      </c>
      <c r="I290">
        <v>10565.344328027601</v>
      </c>
      <c r="J290">
        <v>497112.39625703002</v>
      </c>
      <c r="K290">
        <v>17304046.193172298</v>
      </c>
    </row>
    <row r="291" spans="1:11" x14ac:dyDescent="0.35">
      <c r="A291">
        <v>2065</v>
      </c>
      <c r="B291" t="s">
        <v>179</v>
      </c>
      <c r="C291" t="s">
        <v>106</v>
      </c>
      <c r="D291">
        <v>562250.87</v>
      </c>
      <c r="E291">
        <v>0.100832366219335</v>
      </c>
      <c r="F291">
        <v>6.3E-2</v>
      </c>
      <c r="G291">
        <v>35421.804810000001</v>
      </c>
      <c r="H291">
        <v>6021.7068177000001</v>
      </c>
      <c r="I291">
        <v>29400.097992300001</v>
      </c>
      <c r="J291">
        <v>591650.96799230005</v>
      </c>
      <c r="K291">
        <v>19493008.036608599</v>
      </c>
    </row>
    <row r="292" spans="1:11" x14ac:dyDescent="0.35">
      <c r="A292">
        <v>2065</v>
      </c>
      <c r="B292" t="s">
        <v>180</v>
      </c>
      <c r="C292" t="s">
        <v>106</v>
      </c>
      <c r="D292">
        <v>832362.5</v>
      </c>
      <c r="E292">
        <v>0.14927336693537099</v>
      </c>
      <c r="F292">
        <v>6.3E-2</v>
      </c>
      <c r="G292">
        <v>52438.8374999999</v>
      </c>
      <c r="H292">
        <v>19486.134144301701</v>
      </c>
      <c r="I292">
        <v>32952.703355698097</v>
      </c>
      <c r="J292">
        <v>865315.20335569803</v>
      </c>
      <c r="K292">
        <v>19493008.036608599</v>
      </c>
    </row>
    <row r="293" spans="1:11" x14ac:dyDescent="0.35">
      <c r="A293">
        <v>2065</v>
      </c>
      <c r="B293" t="s">
        <v>179</v>
      </c>
      <c r="C293" t="s">
        <v>107</v>
      </c>
      <c r="D293">
        <v>1626710.98</v>
      </c>
      <c r="E293">
        <v>0.291729414786631</v>
      </c>
      <c r="F293">
        <v>6.3E-2</v>
      </c>
      <c r="G293">
        <v>102482.79174</v>
      </c>
      <c r="H293">
        <v>17422.074595800001</v>
      </c>
      <c r="I293">
        <v>85060.717144199996</v>
      </c>
      <c r="J293">
        <v>1711771.6971442001</v>
      </c>
      <c r="K293">
        <v>19493008.036608599</v>
      </c>
    </row>
    <row r="294" spans="1:11" x14ac:dyDescent="0.35">
      <c r="A294">
        <v>2065</v>
      </c>
      <c r="B294" t="s">
        <v>180</v>
      </c>
      <c r="C294" t="s">
        <v>107</v>
      </c>
      <c r="D294">
        <v>2408201.21</v>
      </c>
      <c r="E294">
        <v>0.43187950307051998</v>
      </c>
      <c r="F294">
        <v>6.3E-2</v>
      </c>
      <c r="G294">
        <v>151716.67622999899</v>
      </c>
      <c r="H294">
        <v>56377.517997903298</v>
      </c>
      <c r="I294">
        <v>95339.158232096393</v>
      </c>
      <c r="J294">
        <v>2503540.36823209</v>
      </c>
      <c r="K294">
        <v>19493008.036608599</v>
      </c>
    </row>
    <row r="295" spans="1:11" x14ac:dyDescent="0.35">
      <c r="A295">
        <v>2065</v>
      </c>
      <c r="B295" t="s">
        <v>180</v>
      </c>
      <c r="C295" t="s">
        <v>161</v>
      </c>
      <c r="D295" s="42">
        <v>4.7812277364646E-14</v>
      </c>
      <c r="E295" s="42">
        <v>8.5745088504931104E-21</v>
      </c>
      <c r="F295">
        <v>3.4299999999999997E-2</v>
      </c>
      <c r="G295" s="42">
        <v>1.6399611136073601E-15</v>
      </c>
      <c r="H295" s="42">
        <v>6.0940523807743804E-16</v>
      </c>
      <c r="I295" s="42">
        <v>1.03055587552992E-15</v>
      </c>
      <c r="J295" s="42">
        <v>4.8842833240175901E-14</v>
      </c>
      <c r="K295">
        <v>19493008.036608599</v>
      </c>
    </row>
    <row r="296" spans="1:11" x14ac:dyDescent="0.35">
      <c r="A296">
        <v>2065</v>
      </c>
      <c r="B296" t="s">
        <v>180</v>
      </c>
      <c r="C296" t="s">
        <v>160</v>
      </c>
      <c r="D296" s="42">
        <v>2.9478054769753698E-10</v>
      </c>
      <c r="E296" s="42">
        <v>5.2865049617041003E-17</v>
      </c>
      <c r="F296">
        <v>3.4299999999999997E-2</v>
      </c>
      <c r="G296" s="42">
        <v>1.01109727860255E-11</v>
      </c>
      <c r="H296" s="42">
        <v>3.7572109038053701E-12</v>
      </c>
      <c r="I296" s="42">
        <v>6.3537618822201498E-12</v>
      </c>
      <c r="J296" s="42">
        <v>3.0113430957975698E-10</v>
      </c>
      <c r="K296">
        <v>19493008.036608599</v>
      </c>
    </row>
    <row r="297" spans="1:11" x14ac:dyDescent="0.35">
      <c r="A297">
        <v>2065</v>
      </c>
      <c r="B297" t="s">
        <v>180</v>
      </c>
      <c r="C297" t="s">
        <v>159</v>
      </c>
      <c r="D297">
        <v>19039.109303018398</v>
      </c>
      <c r="E297">
        <v>3.4144161337303302E-3</v>
      </c>
      <c r="F297">
        <v>3.4299999999999997E-2</v>
      </c>
      <c r="G297">
        <v>653.04144909353204</v>
      </c>
      <c r="H297">
        <v>242.66848552517601</v>
      </c>
      <c r="I297">
        <v>410.372963568356</v>
      </c>
      <c r="J297">
        <v>19449.482266586801</v>
      </c>
      <c r="K297">
        <v>19493008.036608599</v>
      </c>
    </row>
    <row r="298" spans="1:11" x14ac:dyDescent="0.35">
      <c r="A298">
        <v>2065</v>
      </c>
      <c r="B298" t="s">
        <v>180</v>
      </c>
      <c r="C298" t="s">
        <v>158</v>
      </c>
      <c r="D298">
        <v>127530.51088793601</v>
      </c>
      <c r="E298">
        <v>2.28709351361099E-2</v>
      </c>
      <c r="F298">
        <v>3.4299999999999997E-2</v>
      </c>
      <c r="G298">
        <v>4374.2965234562098</v>
      </c>
      <c r="H298">
        <v>1625.47708734048</v>
      </c>
      <c r="I298">
        <v>2748.8194361157298</v>
      </c>
      <c r="J298">
        <v>130279.330324052</v>
      </c>
      <c r="K298">
        <v>19493008.036608599</v>
      </c>
    </row>
    <row r="299" spans="1:11" x14ac:dyDescent="0.35">
      <c r="A299">
        <v>2066</v>
      </c>
      <c r="B299" t="s">
        <v>179</v>
      </c>
      <c r="C299" t="s">
        <v>106</v>
      </c>
      <c r="D299">
        <v>605743.69999999995</v>
      </c>
      <c r="E299">
        <v>0.10140022163670399</v>
      </c>
      <c r="F299">
        <v>6.3E-2</v>
      </c>
      <c r="G299">
        <v>38161.853099999898</v>
      </c>
      <c r="H299">
        <v>6487.5150269999904</v>
      </c>
      <c r="I299">
        <v>31674.338072999901</v>
      </c>
      <c r="J299">
        <v>637418.03807299898</v>
      </c>
      <c r="K299">
        <v>21958873.553239498</v>
      </c>
    </row>
    <row r="300" spans="1:11" x14ac:dyDescent="0.35">
      <c r="A300">
        <v>2066</v>
      </c>
      <c r="B300" t="s">
        <v>180</v>
      </c>
      <c r="C300" t="s">
        <v>106</v>
      </c>
      <c r="D300">
        <v>746229.96</v>
      </c>
      <c r="E300">
        <v>0.124917326149573</v>
      </c>
      <c r="F300">
        <v>6.3E-2</v>
      </c>
      <c r="G300">
        <v>47012.487480000003</v>
      </c>
      <c r="H300">
        <v>17451.322555020899</v>
      </c>
      <c r="I300">
        <v>29561.164924978999</v>
      </c>
      <c r="J300">
        <v>775791.12492497906</v>
      </c>
      <c r="K300">
        <v>21958873.553239498</v>
      </c>
    </row>
    <row r="301" spans="1:11" x14ac:dyDescent="0.35">
      <c r="A301">
        <v>2066</v>
      </c>
      <c r="B301" t="s">
        <v>179</v>
      </c>
      <c r="C301" t="s">
        <v>107</v>
      </c>
      <c r="D301">
        <v>1860121.81</v>
      </c>
      <c r="E301">
        <v>0.311380479574559</v>
      </c>
      <c r="F301">
        <v>6.3E-2</v>
      </c>
      <c r="G301">
        <v>117187.67402999901</v>
      </c>
      <c r="H301">
        <v>19921.904585099899</v>
      </c>
      <c r="I301">
        <v>97265.769444899895</v>
      </c>
      <c r="J301">
        <v>1957387.5794448999</v>
      </c>
      <c r="K301">
        <v>21958873.553239498</v>
      </c>
    </row>
    <row r="302" spans="1:11" x14ac:dyDescent="0.35">
      <c r="A302">
        <v>2066</v>
      </c>
      <c r="B302" t="s">
        <v>180</v>
      </c>
      <c r="C302" t="s">
        <v>107</v>
      </c>
      <c r="D302">
        <v>2291527.9300000002</v>
      </c>
      <c r="E302">
        <v>0.38359695691213702</v>
      </c>
      <c r="F302">
        <v>6.3E-2</v>
      </c>
      <c r="G302">
        <v>144366.25958999901</v>
      </c>
      <c r="H302">
        <v>53589.637502988197</v>
      </c>
      <c r="I302">
        <v>90776.622087011594</v>
      </c>
      <c r="J302">
        <v>2382304.5520870099</v>
      </c>
      <c r="K302">
        <v>21958873.553239498</v>
      </c>
    </row>
    <row r="303" spans="1:11" x14ac:dyDescent="0.35">
      <c r="A303">
        <v>2066</v>
      </c>
      <c r="B303" t="s">
        <v>180</v>
      </c>
      <c r="C303" t="s">
        <v>160</v>
      </c>
      <c r="D303" s="42">
        <v>3.8135397927253003E-11</v>
      </c>
      <c r="E303" s="42">
        <v>6.3837854228238503E-18</v>
      </c>
      <c r="F303">
        <v>3.4299999999999997E-2</v>
      </c>
      <c r="G303" s="42">
        <v>1.30804414890477E-12</v>
      </c>
      <c r="H303" s="42">
        <v>4.8555397900304996E-13</v>
      </c>
      <c r="I303" s="42">
        <v>8.2249016990172597E-13</v>
      </c>
      <c r="J303" s="42">
        <v>3.8957888097154698E-11</v>
      </c>
      <c r="K303">
        <v>21958873.553239498</v>
      </c>
    </row>
    <row r="304" spans="1:11" x14ac:dyDescent="0.35">
      <c r="A304">
        <v>2066</v>
      </c>
      <c r="B304" t="s">
        <v>180</v>
      </c>
      <c r="C304" t="s">
        <v>159</v>
      </c>
      <c r="D304">
        <v>22279.7223961007</v>
      </c>
      <c r="E304">
        <v>3.7295786798424301E-3</v>
      </c>
      <c r="F304">
        <v>3.4299999999999997E-2</v>
      </c>
      <c r="G304">
        <v>764.19447818625395</v>
      </c>
      <c r="H304">
        <v>283.673658818153</v>
      </c>
      <c r="I304">
        <v>480.520819368101</v>
      </c>
      <c r="J304">
        <v>22760.243215468799</v>
      </c>
      <c r="K304">
        <v>21958873.553239498</v>
      </c>
    </row>
    <row r="305" spans="1:11" x14ac:dyDescent="0.35">
      <c r="A305">
        <v>2066</v>
      </c>
      <c r="B305" t="s">
        <v>180</v>
      </c>
      <c r="C305" t="s">
        <v>158</v>
      </c>
      <c r="D305">
        <v>447887.56237094401</v>
      </c>
      <c r="E305">
        <v>7.4975436133693299E-2</v>
      </c>
      <c r="F305">
        <v>3.4299999999999997E-2</v>
      </c>
      <c r="G305">
        <v>15362.5433893234</v>
      </c>
      <c r="H305">
        <v>5702.6699569266702</v>
      </c>
      <c r="I305">
        <v>9659.8734323967292</v>
      </c>
      <c r="J305">
        <v>457547.43580334098</v>
      </c>
      <c r="K305">
        <v>21958873.553239498</v>
      </c>
    </row>
    <row r="306" spans="1:11" x14ac:dyDescent="0.35">
      <c r="A306">
        <v>2067</v>
      </c>
      <c r="B306" t="s">
        <v>179</v>
      </c>
      <c r="C306" t="s">
        <v>106</v>
      </c>
      <c r="D306">
        <v>716617.91</v>
      </c>
      <c r="E306">
        <v>0.112208054071645</v>
      </c>
      <c r="F306">
        <v>6.3E-2</v>
      </c>
      <c r="G306">
        <v>45146.928329999901</v>
      </c>
      <c r="H306">
        <v>7674.9778160999804</v>
      </c>
      <c r="I306">
        <v>37471.950513899901</v>
      </c>
      <c r="J306">
        <v>754089.86051389901</v>
      </c>
      <c r="K306">
        <v>24736671.057724301</v>
      </c>
    </row>
    <row r="307" spans="1:11" x14ac:dyDescent="0.35">
      <c r="A307">
        <v>2067</v>
      </c>
      <c r="B307" t="s">
        <v>180</v>
      </c>
      <c r="C307" t="s">
        <v>106</v>
      </c>
      <c r="D307">
        <v>874311.02</v>
      </c>
      <c r="E307">
        <v>0.136899646015817</v>
      </c>
      <c r="F307">
        <v>6.3E-2</v>
      </c>
      <c r="G307">
        <v>55081.594259999903</v>
      </c>
      <c r="H307">
        <v>20611.2463553216</v>
      </c>
      <c r="I307">
        <v>34470.347904678201</v>
      </c>
      <c r="J307">
        <v>908781.36790467799</v>
      </c>
      <c r="K307">
        <v>24736671.057724301</v>
      </c>
    </row>
    <row r="308" spans="1:11" x14ac:dyDescent="0.35">
      <c r="A308">
        <v>2067</v>
      </c>
      <c r="B308" t="s">
        <v>179</v>
      </c>
      <c r="C308" t="s">
        <v>107</v>
      </c>
      <c r="D308">
        <v>2061179.59</v>
      </c>
      <c r="E308">
        <v>0.32273956268563198</v>
      </c>
      <c r="F308">
        <v>6.3E-2</v>
      </c>
      <c r="G308">
        <v>129854.31416999899</v>
      </c>
      <c r="H308">
        <v>22075.233408899901</v>
      </c>
      <c r="I308">
        <v>107779.080761099</v>
      </c>
      <c r="J308">
        <v>2168958.6707611</v>
      </c>
      <c r="K308">
        <v>24736671.057724301</v>
      </c>
    </row>
    <row r="309" spans="1:11" x14ac:dyDescent="0.35">
      <c r="A309">
        <v>2067</v>
      </c>
      <c r="B309" t="s">
        <v>180</v>
      </c>
      <c r="C309" t="s">
        <v>107</v>
      </c>
      <c r="D309">
        <v>2514745.9900000002</v>
      </c>
      <c r="E309">
        <v>0.39375900334722702</v>
      </c>
      <c r="F309">
        <v>6.3E-2</v>
      </c>
      <c r="G309">
        <v>158428.99737</v>
      </c>
      <c r="H309">
        <v>59283.307581948698</v>
      </c>
      <c r="I309">
        <v>99145.689788051197</v>
      </c>
      <c r="J309">
        <v>2613891.6797880498</v>
      </c>
      <c r="K309">
        <v>24736671.057724301</v>
      </c>
    </row>
    <row r="310" spans="1:11" x14ac:dyDescent="0.35">
      <c r="A310">
        <v>2067</v>
      </c>
      <c r="B310" t="s">
        <v>180</v>
      </c>
      <c r="C310" t="s">
        <v>161</v>
      </c>
      <c r="D310" s="42">
        <v>2.23405161646041E-11</v>
      </c>
      <c r="E310" s="42">
        <v>3.4980786982931697E-18</v>
      </c>
      <c r="F310">
        <v>3.4299999999999997E-2</v>
      </c>
      <c r="G310" s="42">
        <v>7.66279704445923E-13</v>
      </c>
      <c r="H310" s="42">
        <v>2.8673788363615902E-13</v>
      </c>
      <c r="I310" s="42">
        <v>4.7954182080976397E-13</v>
      </c>
      <c r="J310" s="42">
        <v>2.2820057985413901E-11</v>
      </c>
      <c r="K310">
        <v>24736671.057724301</v>
      </c>
    </row>
    <row r="311" spans="1:11" x14ac:dyDescent="0.35">
      <c r="A311">
        <v>2067</v>
      </c>
      <c r="B311" t="s">
        <v>180</v>
      </c>
      <c r="C311" t="s">
        <v>160</v>
      </c>
      <c r="D311" s="42">
        <v>2.68088830674661E-12</v>
      </c>
      <c r="E311" s="42">
        <v>4.19773572339917E-19</v>
      </c>
      <c r="F311">
        <v>3.4299999999999997E-2</v>
      </c>
      <c r="G311" s="42">
        <v>9.1954468921408703E-14</v>
      </c>
      <c r="H311" s="42">
        <v>3.4408884453591102E-14</v>
      </c>
      <c r="I311" s="42">
        <v>5.7545584467817594E-14</v>
      </c>
      <c r="J311" s="42">
        <v>2.7384338912144201E-12</v>
      </c>
      <c r="K311">
        <v>24736671.057724301</v>
      </c>
    </row>
    <row r="312" spans="1:11" x14ac:dyDescent="0.35">
      <c r="A312">
        <v>2067</v>
      </c>
      <c r="B312" t="s">
        <v>180</v>
      </c>
      <c r="C312" t="s">
        <v>159</v>
      </c>
      <c r="D312">
        <v>25842.779545234702</v>
      </c>
      <c r="E312">
        <v>4.0464632046013299E-3</v>
      </c>
      <c r="F312">
        <v>3.4299999999999997E-2</v>
      </c>
      <c r="G312">
        <v>886.40733840155303</v>
      </c>
      <c r="H312">
        <v>331.68902005123999</v>
      </c>
      <c r="I312">
        <v>554.71831835031298</v>
      </c>
      <c r="J312">
        <v>26397.497863584998</v>
      </c>
      <c r="K312">
        <v>24736671.057724301</v>
      </c>
    </row>
    <row r="313" spans="1:11" x14ac:dyDescent="0.35">
      <c r="A313">
        <v>2067</v>
      </c>
      <c r="B313" t="s">
        <v>180</v>
      </c>
      <c r="C313" t="s">
        <v>158</v>
      </c>
      <c r="D313">
        <v>193813.160988474</v>
      </c>
      <c r="E313">
        <v>3.0347270622905799E-2</v>
      </c>
      <c r="F313">
        <v>3.4299999999999997E-2</v>
      </c>
      <c r="G313">
        <v>6647.7914219046597</v>
      </c>
      <c r="H313">
        <v>2487.5690066068701</v>
      </c>
      <c r="I313">
        <v>4160.2224152977797</v>
      </c>
      <c r="J313">
        <v>197973.383403771</v>
      </c>
      <c r="K313">
        <v>24736671.057724301</v>
      </c>
    </row>
    <row r="314" spans="1:11" x14ac:dyDescent="0.35">
      <c r="A314">
        <v>2068</v>
      </c>
      <c r="B314" t="s">
        <v>179</v>
      </c>
      <c r="C314" t="s">
        <v>106</v>
      </c>
      <c r="D314">
        <v>799213</v>
      </c>
      <c r="E314">
        <v>0.117102059198973</v>
      </c>
      <c r="F314">
        <v>6.3E-2</v>
      </c>
      <c r="G314">
        <v>50350.4189999999</v>
      </c>
      <c r="H314">
        <v>8559.5712299999996</v>
      </c>
      <c r="I314">
        <v>41790.847769999898</v>
      </c>
      <c r="J314">
        <v>841003.84776999999</v>
      </c>
      <c r="K314">
        <v>27865859.946526501</v>
      </c>
    </row>
    <row r="315" spans="1:11" x14ac:dyDescent="0.35">
      <c r="A315">
        <v>2068</v>
      </c>
      <c r="B315" t="s">
        <v>180</v>
      </c>
      <c r="C315" t="s">
        <v>106</v>
      </c>
      <c r="D315">
        <v>809001.95</v>
      </c>
      <c r="E315">
        <v>0.118536352938433</v>
      </c>
      <c r="F315">
        <v>6.3E-2</v>
      </c>
      <c r="G315">
        <v>50967.122849999898</v>
      </c>
      <c r="H315">
        <v>19035.4537531151</v>
      </c>
      <c r="I315">
        <v>31931.669096884802</v>
      </c>
      <c r="J315">
        <v>840933.61909688404</v>
      </c>
      <c r="K315">
        <v>27865859.946526501</v>
      </c>
    </row>
    <row r="316" spans="1:11" x14ac:dyDescent="0.35">
      <c r="A316">
        <v>2068</v>
      </c>
      <c r="B316" t="s">
        <v>179</v>
      </c>
      <c r="C316" t="s">
        <v>107</v>
      </c>
      <c r="D316">
        <v>2329975.89</v>
      </c>
      <c r="E316">
        <v>0.34139206269537598</v>
      </c>
      <c r="F316">
        <v>6.3E-2</v>
      </c>
      <c r="G316">
        <v>146788.48106999899</v>
      </c>
      <c r="H316">
        <v>24954.041781899901</v>
      </c>
      <c r="I316">
        <v>121834.43928809901</v>
      </c>
      <c r="J316">
        <v>2451810.3292880999</v>
      </c>
      <c r="K316">
        <v>27865859.946526501</v>
      </c>
    </row>
    <row r="317" spans="1:11" x14ac:dyDescent="0.35">
      <c r="A317">
        <v>2068</v>
      </c>
      <c r="B317" t="s">
        <v>180</v>
      </c>
      <c r="C317" t="s">
        <v>107</v>
      </c>
      <c r="D317">
        <v>2358514.0099999998</v>
      </c>
      <c r="E317">
        <v>0.34557351697310601</v>
      </c>
      <c r="F317">
        <v>6.3E-2</v>
      </c>
      <c r="G317">
        <v>148586.38262999899</v>
      </c>
      <c r="H317">
        <v>55494.778922880301</v>
      </c>
      <c r="I317">
        <v>93091.603707119502</v>
      </c>
      <c r="J317">
        <v>2451605.6137071098</v>
      </c>
      <c r="K317">
        <v>27865859.946526501</v>
      </c>
    </row>
    <row r="318" spans="1:11" x14ac:dyDescent="0.35">
      <c r="A318">
        <v>2068</v>
      </c>
      <c r="B318" t="s">
        <v>180</v>
      </c>
      <c r="C318" t="s">
        <v>160</v>
      </c>
      <c r="D318" s="42">
        <v>9.5158012412827901E-14</v>
      </c>
      <c r="E318" s="42">
        <v>1.3942715149557801E-20</v>
      </c>
      <c r="F318">
        <v>3.4299999999999997E-2</v>
      </c>
      <c r="G318" s="42">
        <v>3.2639198257600001E-15</v>
      </c>
      <c r="H318" s="42">
        <v>1.2190249600705101E-15</v>
      </c>
      <c r="I318" s="42">
        <v>2.04489486568949E-15</v>
      </c>
      <c r="J318" s="42">
        <v>9.7202907278517395E-14</v>
      </c>
      <c r="K318">
        <v>27865859.946526501</v>
      </c>
    </row>
    <row r="319" spans="1:11" x14ac:dyDescent="0.35">
      <c r="A319">
        <v>2068</v>
      </c>
      <c r="B319" t="s">
        <v>180</v>
      </c>
      <c r="C319" t="s">
        <v>159</v>
      </c>
      <c r="D319">
        <v>17756.754533342901</v>
      </c>
      <c r="E319">
        <v>2.60175012236432E-3</v>
      </c>
      <c r="F319">
        <v>3.4299999999999997E-2</v>
      </c>
      <c r="G319">
        <v>609.05668049366398</v>
      </c>
      <c r="H319">
        <v>227.47350892621401</v>
      </c>
      <c r="I319">
        <v>381.58317156744903</v>
      </c>
      <c r="J319">
        <v>18138.3377049103</v>
      </c>
      <c r="K319">
        <v>27865859.946526501</v>
      </c>
    </row>
    <row r="320" spans="1:11" x14ac:dyDescent="0.35">
      <c r="A320">
        <v>2068</v>
      </c>
      <c r="B320" t="s">
        <v>180</v>
      </c>
      <c r="C320" t="s">
        <v>158</v>
      </c>
      <c r="D320">
        <v>510465.35204613698</v>
      </c>
      <c r="E320">
        <v>7.4794258694905302E-2</v>
      </c>
      <c r="F320">
        <v>3.4299999999999997E-2</v>
      </c>
      <c r="G320">
        <v>17508.9615751825</v>
      </c>
      <c r="H320">
        <v>6539.3337840622498</v>
      </c>
      <c r="I320">
        <v>10969.6277911202</v>
      </c>
      <c r="J320">
        <v>521434.97983725701</v>
      </c>
      <c r="K320">
        <v>27865859.946526501</v>
      </c>
    </row>
    <row r="321" spans="1:11" x14ac:dyDescent="0.35">
      <c r="A321">
        <v>2069</v>
      </c>
      <c r="B321" t="s">
        <v>179</v>
      </c>
      <c r="C321" t="s">
        <v>106</v>
      </c>
      <c r="D321">
        <v>3525031.28</v>
      </c>
      <c r="E321">
        <v>0.48412050728163902</v>
      </c>
      <c r="F321">
        <v>6.3E-2</v>
      </c>
      <c r="G321">
        <v>222076.970639999</v>
      </c>
      <c r="H321">
        <v>37753.085008799899</v>
      </c>
      <c r="I321">
        <v>184323.88563119899</v>
      </c>
      <c r="J321">
        <v>3709355.1656311899</v>
      </c>
      <c r="K321">
        <v>31390891.2297621</v>
      </c>
    </row>
    <row r="322" spans="1:11" x14ac:dyDescent="0.35">
      <c r="A322">
        <v>2069</v>
      </c>
      <c r="B322" t="s">
        <v>180</v>
      </c>
      <c r="C322" t="s">
        <v>106</v>
      </c>
      <c r="D322">
        <v>2995672.09</v>
      </c>
      <c r="E322">
        <v>0.41141941068399501</v>
      </c>
      <c r="F322">
        <v>6.3E-2</v>
      </c>
      <c r="G322">
        <v>188727.34166999999</v>
      </c>
      <c r="H322">
        <v>70370.135186423402</v>
      </c>
      <c r="I322">
        <v>118357.206483576</v>
      </c>
      <c r="J322">
        <v>3114029.2964835698</v>
      </c>
      <c r="K322">
        <v>31390891.2297621</v>
      </c>
    </row>
    <row r="323" spans="1:11" x14ac:dyDescent="0.35">
      <c r="A323">
        <v>2069</v>
      </c>
      <c r="B323" t="s">
        <v>180</v>
      </c>
      <c r="C323" t="s">
        <v>161</v>
      </c>
      <c r="D323" s="42">
        <v>9.5951534631200695E-8</v>
      </c>
      <c r="E323" s="42">
        <v>1.31777853670872E-14</v>
      </c>
      <c r="F323">
        <v>3.4299999999999997E-2</v>
      </c>
      <c r="G323" s="42">
        <v>3.29113763785018E-9</v>
      </c>
      <c r="H323" s="42">
        <v>1.2271555273512201E-9</v>
      </c>
      <c r="I323" s="42">
        <v>2.0639821104989601E-9</v>
      </c>
      <c r="J323" s="42">
        <v>9.8015516741699702E-8</v>
      </c>
      <c r="K323">
        <v>31390891.2297621</v>
      </c>
    </row>
    <row r="324" spans="1:11" x14ac:dyDescent="0.35">
      <c r="A324">
        <v>2069</v>
      </c>
      <c r="B324" t="s">
        <v>180</v>
      </c>
      <c r="C324" t="s">
        <v>160</v>
      </c>
      <c r="D324" s="42">
        <v>1.2841814791505301E-7</v>
      </c>
      <c r="E324" s="42">
        <v>1.7636682904216501E-14</v>
      </c>
      <c r="F324">
        <v>3.4299999999999997E-2</v>
      </c>
      <c r="G324" s="42">
        <v>4.4047424734863403E-9</v>
      </c>
      <c r="H324" s="42">
        <v>1.6423816526945001E-9</v>
      </c>
      <c r="I324" s="42">
        <v>2.7623608207918301E-9</v>
      </c>
      <c r="J324" s="42">
        <v>1.31180508735845E-7</v>
      </c>
      <c r="K324">
        <v>31390891.2297621</v>
      </c>
    </row>
    <row r="325" spans="1:11" x14ac:dyDescent="0.35">
      <c r="A325">
        <v>2069</v>
      </c>
      <c r="B325" t="s">
        <v>180</v>
      </c>
      <c r="C325" t="s">
        <v>159</v>
      </c>
      <c r="D325">
        <v>31854.912247611599</v>
      </c>
      <c r="E325">
        <v>4.3748877816272499E-3</v>
      </c>
      <c r="F325">
        <v>3.4299999999999997E-2</v>
      </c>
      <c r="G325">
        <v>1092.6234900930799</v>
      </c>
      <c r="H325">
        <v>407.402880925197</v>
      </c>
      <c r="I325">
        <v>685.22060916788496</v>
      </c>
      <c r="J325">
        <v>32540.132856779499</v>
      </c>
      <c r="K325">
        <v>31390891.2297621</v>
      </c>
    </row>
    <row r="326" spans="1:11" x14ac:dyDescent="0.35">
      <c r="A326">
        <v>2069</v>
      </c>
      <c r="B326" t="s">
        <v>180</v>
      </c>
      <c r="C326" t="s">
        <v>158</v>
      </c>
      <c r="D326">
        <v>728751.274204958</v>
      </c>
      <c r="E326">
        <v>0.100085193158979</v>
      </c>
      <c r="F326">
        <v>3.4299999999999997E-2</v>
      </c>
      <c r="G326">
        <v>24996.168705230099</v>
      </c>
      <c r="H326">
        <v>9320.2381560874601</v>
      </c>
      <c r="I326">
        <v>15675.9305491426</v>
      </c>
      <c r="J326">
        <v>744427.204754101</v>
      </c>
      <c r="K326">
        <v>31390891.2297621</v>
      </c>
    </row>
    <row r="327" spans="1:11" x14ac:dyDescent="0.35">
      <c r="A327">
        <v>2070</v>
      </c>
      <c r="B327" t="s">
        <v>179</v>
      </c>
      <c r="C327" t="s">
        <v>106</v>
      </c>
      <c r="D327">
        <v>1018572.31</v>
      </c>
      <c r="E327">
        <v>0.13128810583671899</v>
      </c>
      <c r="F327">
        <v>6.3E-2</v>
      </c>
      <c r="G327">
        <v>64170.055529999998</v>
      </c>
      <c r="H327">
        <v>10908.9094401</v>
      </c>
      <c r="I327">
        <v>53261.146089900001</v>
      </c>
      <c r="J327">
        <v>1071833.4560899001</v>
      </c>
      <c r="K327">
        <v>35361838.970326997</v>
      </c>
    </row>
    <row r="328" spans="1:11" x14ac:dyDescent="0.35">
      <c r="A328">
        <v>2070</v>
      </c>
      <c r="B328" t="s">
        <v>180</v>
      </c>
      <c r="C328" t="s">
        <v>106</v>
      </c>
      <c r="D328">
        <v>797550.49</v>
      </c>
      <c r="E328">
        <v>0.102799665878653</v>
      </c>
      <c r="F328">
        <v>6.3E-2</v>
      </c>
      <c r="G328">
        <v>50245.680869999902</v>
      </c>
      <c r="H328">
        <v>18781.695222522099</v>
      </c>
      <c r="I328">
        <v>31463.985647477701</v>
      </c>
      <c r="J328">
        <v>829014.47564747697</v>
      </c>
      <c r="K328">
        <v>35361838.970326997</v>
      </c>
    </row>
    <row r="329" spans="1:11" x14ac:dyDescent="0.35">
      <c r="A329">
        <v>2070</v>
      </c>
      <c r="B329" t="s">
        <v>179</v>
      </c>
      <c r="C329" t="s">
        <v>107</v>
      </c>
      <c r="D329">
        <v>2952375.43</v>
      </c>
      <c r="E329">
        <v>0.38054419319878302</v>
      </c>
      <c r="F329">
        <v>6.3E-2</v>
      </c>
      <c r="G329">
        <v>185999.65208999999</v>
      </c>
      <c r="H329">
        <v>31619.940855299999</v>
      </c>
      <c r="I329">
        <v>154379.71123469999</v>
      </c>
      <c r="J329">
        <v>3106755.1412347001</v>
      </c>
      <c r="K329">
        <v>35361838.970326997</v>
      </c>
    </row>
    <row r="330" spans="1:11" x14ac:dyDescent="0.35">
      <c r="A330">
        <v>2070</v>
      </c>
      <c r="B330" t="s">
        <v>180</v>
      </c>
      <c r="C330" t="s">
        <v>107</v>
      </c>
      <c r="D330">
        <v>2311734.2000000002</v>
      </c>
      <c r="E330">
        <v>0.297969227453242</v>
      </c>
      <c r="F330">
        <v>6.3E-2</v>
      </c>
      <c r="G330">
        <v>145639.25459999999</v>
      </c>
      <c r="H330">
        <v>54439.546742528</v>
      </c>
      <c r="I330">
        <v>91199.707857472007</v>
      </c>
      <c r="J330">
        <v>2402933.9078574702</v>
      </c>
      <c r="K330">
        <v>35361838.970326997</v>
      </c>
    </row>
    <row r="331" spans="1:11" x14ac:dyDescent="0.35">
      <c r="A331">
        <v>2070</v>
      </c>
      <c r="B331" t="s">
        <v>180</v>
      </c>
      <c r="C331" t="s">
        <v>161</v>
      </c>
      <c r="D331" s="42">
        <v>1.52600122651692E-10</v>
      </c>
      <c r="E331" s="42">
        <v>1.9669277140855901E-17</v>
      </c>
      <c r="F331">
        <v>3.4299999999999997E-2</v>
      </c>
      <c r="G331" s="42">
        <v>5.2341842069530397E-12</v>
      </c>
      <c r="H331" s="42">
        <v>1.9565234426393501E-12</v>
      </c>
      <c r="I331" s="42">
        <v>3.27766076431368E-12</v>
      </c>
      <c r="J331" s="42">
        <v>1.5587778341600601E-10</v>
      </c>
      <c r="K331">
        <v>35361838.970326997</v>
      </c>
    </row>
    <row r="332" spans="1:11" x14ac:dyDescent="0.35">
      <c r="A332">
        <v>2070</v>
      </c>
      <c r="B332" t="s">
        <v>180</v>
      </c>
      <c r="C332" t="s">
        <v>160</v>
      </c>
      <c r="D332" s="42">
        <v>6.2080565703044799E-12</v>
      </c>
      <c r="E332" s="42">
        <v>8.0018274602662195E-19</v>
      </c>
      <c r="F332">
        <v>3.4299999999999997E-2</v>
      </c>
      <c r="G332" s="42">
        <v>2.1293634036144299E-13</v>
      </c>
      <c r="H332" s="42">
        <v>7.9595009505697294E-14</v>
      </c>
      <c r="I332" s="42">
        <v>1.33341330855746E-13</v>
      </c>
      <c r="J332" s="42">
        <v>6.3413979011602299E-12</v>
      </c>
      <c r="K332">
        <v>35361838.970326997</v>
      </c>
    </row>
    <row r="333" spans="1:11" x14ac:dyDescent="0.35">
      <c r="A333">
        <v>2070</v>
      </c>
      <c r="B333" t="s">
        <v>180</v>
      </c>
      <c r="C333" t="s">
        <v>159</v>
      </c>
      <c r="D333">
        <v>17517.3192911427</v>
      </c>
      <c r="E333">
        <v>2.2578815921975798E-3</v>
      </c>
      <c r="F333">
        <v>3.4299999999999997E-2</v>
      </c>
      <c r="G333">
        <v>600.84405168619503</v>
      </c>
      <c r="H333">
        <v>224.593828954824</v>
      </c>
      <c r="I333">
        <v>376.25022273137</v>
      </c>
      <c r="J333">
        <v>17893.569513874099</v>
      </c>
      <c r="K333">
        <v>35361838.970326997</v>
      </c>
    </row>
    <row r="334" spans="1:11" x14ac:dyDescent="0.35">
      <c r="A334">
        <v>2070</v>
      </c>
      <c r="B334" t="s">
        <v>180</v>
      </c>
      <c r="C334" t="s">
        <v>158</v>
      </c>
      <c r="D334">
        <v>660548.72131385398</v>
      </c>
      <c r="E334">
        <v>8.5140926748895507E-2</v>
      </c>
      <c r="F334">
        <v>3.4299999999999997E-2</v>
      </c>
      <c r="G334">
        <v>22656.8211410652</v>
      </c>
      <c r="H334">
        <v>8469.0564843505908</v>
      </c>
      <c r="I334">
        <v>14187.7646567146</v>
      </c>
      <c r="J334">
        <v>674736.48597056803</v>
      </c>
      <c r="K334">
        <v>35361838.970326997</v>
      </c>
    </row>
    <row r="335" spans="1:11" x14ac:dyDescent="0.35">
      <c r="A335">
        <v>2071</v>
      </c>
      <c r="B335" t="s">
        <v>179</v>
      </c>
      <c r="C335" t="s">
        <v>106</v>
      </c>
      <c r="D335">
        <v>1149591.4099999999</v>
      </c>
      <c r="E335">
        <v>0.141869395613857</v>
      </c>
      <c r="F335">
        <v>6.3E-2</v>
      </c>
      <c r="G335">
        <v>72424.258829999904</v>
      </c>
      <c r="H335">
        <v>12312.124001099901</v>
      </c>
      <c r="I335">
        <v>60112.1348288999</v>
      </c>
      <c r="J335">
        <v>1209703.5448288999</v>
      </c>
      <c r="K335">
        <v>39835111.600073397</v>
      </c>
    </row>
    <row r="336" spans="1:11" x14ac:dyDescent="0.35">
      <c r="A336">
        <v>2071</v>
      </c>
      <c r="B336" t="s">
        <v>180</v>
      </c>
      <c r="C336" t="s">
        <v>106</v>
      </c>
      <c r="D336">
        <v>878604.22</v>
      </c>
      <c r="E336">
        <v>0.108427262582959</v>
      </c>
      <c r="F336">
        <v>6.3E-2</v>
      </c>
      <c r="G336">
        <v>55352.065859999901</v>
      </c>
      <c r="H336">
        <v>20730.454976628898</v>
      </c>
      <c r="I336">
        <v>34621.610883371002</v>
      </c>
      <c r="J336">
        <v>913225.83088337095</v>
      </c>
      <c r="K336">
        <v>39835111.600073397</v>
      </c>
    </row>
    <row r="337" spans="1:11" x14ac:dyDescent="0.35">
      <c r="A337">
        <v>2071</v>
      </c>
      <c r="B337" t="s">
        <v>179</v>
      </c>
      <c r="C337" t="s">
        <v>107</v>
      </c>
      <c r="D337">
        <v>3323681.22</v>
      </c>
      <c r="E337">
        <v>0.41017064131901299</v>
      </c>
      <c r="F337">
        <v>6.3E-2</v>
      </c>
      <c r="G337">
        <v>209391.91685999901</v>
      </c>
      <c r="H337">
        <v>35596.625866199902</v>
      </c>
      <c r="I337">
        <v>173795.29099379899</v>
      </c>
      <c r="J337">
        <v>3497476.5109938001</v>
      </c>
      <c r="K337">
        <v>39835111.600073397</v>
      </c>
    </row>
    <row r="338" spans="1:11" x14ac:dyDescent="0.35">
      <c r="A338">
        <v>2071</v>
      </c>
      <c r="B338" t="s">
        <v>180</v>
      </c>
      <c r="C338" t="s">
        <v>107</v>
      </c>
      <c r="D338">
        <v>2540207.1800000002</v>
      </c>
      <c r="E338">
        <v>0.31348325520332598</v>
      </c>
      <c r="F338">
        <v>6.3E-2</v>
      </c>
      <c r="G338">
        <v>160033.05233999901</v>
      </c>
      <c r="H338">
        <v>59935.576653956297</v>
      </c>
      <c r="I338">
        <v>100097.47568604301</v>
      </c>
      <c r="J338">
        <v>2640304.6556860399</v>
      </c>
      <c r="K338">
        <v>39835111.600073397</v>
      </c>
    </row>
    <row r="339" spans="1:11" x14ac:dyDescent="0.35">
      <c r="A339">
        <v>2071</v>
      </c>
      <c r="B339" t="s">
        <v>180</v>
      </c>
      <c r="C339" t="s">
        <v>161</v>
      </c>
      <c r="D339" s="42">
        <v>4.98481004067782E-14</v>
      </c>
      <c r="E339" s="42">
        <v>6.1516812109865296E-21</v>
      </c>
      <c r="F339">
        <v>3.4299999999999997E-2</v>
      </c>
      <c r="G339" s="42">
        <v>1.7097898439524901E-15</v>
      </c>
      <c r="H339" s="42">
        <v>6.4035046983076799E-16</v>
      </c>
      <c r="I339" s="42">
        <v>1.0694393741217199E-15</v>
      </c>
      <c r="J339" s="42">
        <v>5.0917539780899898E-14</v>
      </c>
      <c r="K339">
        <v>39835111.600073397</v>
      </c>
    </row>
    <row r="340" spans="1:11" x14ac:dyDescent="0.35">
      <c r="A340">
        <v>2071</v>
      </c>
      <c r="B340" t="s">
        <v>180</v>
      </c>
      <c r="C340" t="s">
        <v>160</v>
      </c>
      <c r="D340" s="42">
        <v>8.01838834673728E-13</v>
      </c>
      <c r="E340" s="42">
        <v>9.8953758583566305E-20</v>
      </c>
      <c r="F340">
        <v>3.4299999999999997E-2</v>
      </c>
      <c r="G340" s="42">
        <v>2.75030720293088E-14</v>
      </c>
      <c r="H340" s="42">
        <v>1.0300450174066301E-14</v>
      </c>
      <c r="I340" s="42">
        <v>1.7202621855242399E-14</v>
      </c>
      <c r="J340" s="42">
        <v>8.1904145652897004E-13</v>
      </c>
      <c r="K340">
        <v>39835111.600073397</v>
      </c>
    </row>
    <row r="341" spans="1:11" x14ac:dyDescent="0.35">
      <c r="A341">
        <v>2071</v>
      </c>
      <c r="B341" t="s">
        <v>180</v>
      </c>
      <c r="C341" t="s">
        <v>159</v>
      </c>
      <c r="D341">
        <v>26548.1992781679</v>
      </c>
      <c r="E341">
        <v>3.2762744688827599E-3</v>
      </c>
      <c r="F341">
        <v>3.4299999999999997E-2</v>
      </c>
      <c r="G341">
        <v>910.60323524115995</v>
      </c>
      <c r="H341">
        <v>341.03911166540701</v>
      </c>
      <c r="I341">
        <v>569.56412357575198</v>
      </c>
      <c r="J341">
        <v>27117.763401743701</v>
      </c>
      <c r="K341">
        <v>39835111.600073397</v>
      </c>
    </row>
    <row r="342" spans="1:11" x14ac:dyDescent="0.35">
      <c r="A342">
        <v>2071</v>
      </c>
      <c r="B342" t="s">
        <v>180</v>
      </c>
      <c r="C342" t="s">
        <v>158</v>
      </c>
      <c r="D342">
        <v>184534.80725089199</v>
      </c>
      <c r="E342">
        <v>2.27731708385015E-2</v>
      </c>
      <c r="F342">
        <v>3.4299999999999997E-2</v>
      </c>
      <c r="G342">
        <v>6329.5438887055998</v>
      </c>
      <c r="H342">
        <v>2370.54069380687</v>
      </c>
      <c r="I342">
        <v>3959.0031948987198</v>
      </c>
      <c r="J342">
        <v>188493.81044579099</v>
      </c>
      <c r="K342">
        <v>39835111.600073397</v>
      </c>
    </row>
    <row r="343" spans="1:11" x14ac:dyDescent="0.35">
      <c r="A343">
        <v>2072</v>
      </c>
      <c r="B343" t="s">
        <v>179</v>
      </c>
      <c r="C343" t="s">
        <v>106</v>
      </c>
      <c r="D343">
        <v>5039141.62</v>
      </c>
      <c r="E343">
        <v>0.59449623915844196</v>
      </c>
      <c r="F343">
        <v>6.3E-2</v>
      </c>
      <c r="G343">
        <v>317465.92205999902</v>
      </c>
      <c r="H343">
        <v>53969.206750199897</v>
      </c>
      <c r="I343">
        <v>263496.71530979901</v>
      </c>
      <c r="J343">
        <v>5302638.3353097998</v>
      </c>
      <c r="K343">
        <v>44874253.217482701</v>
      </c>
    </row>
    <row r="344" spans="1:11" x14ac:dyDescent="0.35">
      <c r="A344">
        <v>2072</v>
      </c>
      <c r="B344" t="s">
        <v>180</v>
      </c>
      <c r="C344" t="s">
        <v>106</v>
      </c>
      <c r="D344">
        <v>2677904.29</v>
      </c>
      <c r="E344">
        <v>0.31592762206021402</v>
      </c>
      <c r="F344">
        <v>6.3E-2</v>
      </c>
      <c r="G344">
        <v>168707.970269999</v>
      </c>
      <c r="H344">
        <v>62086.317153222801</v>
      </c>
      <c r="I344">
        <v>106621.653116777</v>
      </c>
      <c r="J344">
        <v>2784525.9431167701</v>
      </c>
      <c r="K344">
        <v>44874253.217482701</v>
      </c>
    </row>
    <row r="345" spans="1:11" x14ac:dyDescent="0.35">
      <c r="A345">
        <v>2072</v>
      </c>
      <c r="B345" t="s">
        <v>180</v>
      </c>
      <c r="C345" t="s">
        <v>161</v>
      </c>
      <c r="D345" s="42">
        <v>2.27248259611196E-10</v>
      </c>
      <c r="E345" s="42">
        <v>2.6809771560688399E-17</v>
      </c>
      <c r="F345">
        <v>3.4299999999999997E-2</v>
      </c>
      <c r="G345" s="42">
        <v>7.7946153046640497E-12</v>
      </c>
      <c r="H345" s="42">
        <v>2.8685008605001998E-12</v>
      </c>
      <c r="I345" s="42">
        <v>4.9261144441638398E-12</v>
      </c>
      <c r="J345" s="42">
        <v>2.32174374055359E-10</v>
      </c>
      <c r="K345">
        <v>44874253.217482701</v>
      </c>
    </row>
    <row r="346" spans="1:11" x14ac:dyDescent="0.35">
      <c r="A346">
        <v>2072</v>
      </c>
      <c r="B346" t="s">
        <v>180</v>
      </c>
      <c r="C346" t="s">
        <v>160</v>
      </c>
      <c r="D346" s="42">
        <v>2.13877454036106E-10</v>
      </c>
      <c r="E346" s="42">
        <v>2.5232341468753501E-17</v>
      </c>
      <c r="F346">
        <v>3.4299999999999997E-2</v>
      </c>
      <c r="G346" s="42">
        <v>7.3359966734384502E-12</v>
      </c>
      <c r="H346" s="42">
        <v>2.6997243542979099E-12</v>
      </c>
      <c r="I346" s="42">
        <v>4.6362723191405301E-12</v>
      </c>
      <c r="J346" s="42">
        <v>2.18513726355247E-10</v>
      </c>
      <c r="K346">
        <v>44874253.217482701</v>
      </c>
    </row>
    <row r="347" spans="1:11" x14ac:dyDescent="0.35">
      <c r="A347">
        <v>2072</v>
      </c>
      <c r="B347" t="s">
        <v>180</v>
      </c>
      <c r="C347" t="s">
        <v>159</v>
      </c>
      <c r="D347">
        <v>9483.8529266183104</v>
      </c>
      <c r="E347">
        <v>1.11886414845518E-3</v>
      </c>
      <c r="F347">
        <v>3.4299999999999997E-2</v>
      </c>
      <c r="G347">
        <v>325.296155383008</v>
      </c>
      <c r="H347">
        <v>119.71242520143601</v>
      </c>
      <c r="I347">
        <v>205.58373018157101</v>
      </c>
      <c r="J347">
        <v>9689.4366567998804</v>
      </c>
      <c r="K347">
        <v>44874253.217482701</v>
      </c>
    </row>
    <row r="348" spans="1:11" x14ac:dyDescent="0.35">
      <c r="A348">
        <v>2072</v>
      </c>
      <c r="B348" t="s">
        <v>180</v>
      </c>
      <c r="C348" t="s">
        <v>158</v>
      </c>
      <c r="D348">
        <v>749792.35669457505</v>
      </c>
      <c r="E348">
        <v>8.8457275031827695E-2</v>
      </c>
      <c r="F348">
        <v>3.4299999999999997E-2</v>
      </c>
      <c r="G348">
        <v>25717.877834623901</v>
      </c>
      <c r="H348">
        <v>9464.4510107785609</v>
      </c>
      <c r="I348">
        <v>16253.426823845301</v>
      </c>
      <c r="J348">
        <v>766045.78351841995</v>
      </c>
      <c r="K348">
        <v>44874253.217482701</v>
      </c>
    </row>
    <row r="349" spans="1:11" x14ac:dyDescent="0.35">
      <c r="A349">
        <v>2073</v>
      </c>
      <c r="B349" t="s">
        <v>179</v>
      </c>
      <c r="C349" t="s">
        <v>106</v>
      </c>
      <c r="D349">
        <v>5676525.2599999998</v>
      </c>
      <c r="E349">
        <v>0.64048173635451</v>
      </c>
      <c r="F349">
        <v>6.3E-2</v>
      </c>
      <c r="G349">
        <v>357621.09138</v>
      </c>
      <c r="H349">
        <v>60795.585534600003</v>
      </c>
      <c r="I349">
        <v>296825.50584539998</v>
      </c>
      <c r="J349">
        <v>5973350.7658454003</v>
      </c>
      <c r="K349">
        <v>50550846.249494202</v>
      </c>
    </row>
    <row r="350" spans="1:11" x14ac:dyDescent="0.35">
      <c r="A350">
        <v>2073</v>
      </c>
      <c r="B350" t="s">
        <v>180</v>
      </c>
      <c r="C350" t="s">
        <v>106</v>
      </c>
      <c r="D350">
        <v>2507828.27</v>
      </c>
      <c r="E350">
        <v>0.28295799477311301</v>
      </c>
      <c r="F350">
        <v>6.3E-2</v>
      </c>
      <c r="G350">
        <v>157993.18100999901</v>
      </c>
      <c r="H350">
        <v>57532.081421796298</v>
      </c>
      <c r="I350">
        <v>100461.099588203</v>
      </c>
      <c r="J350">
        <v>2608289.3695882</v>
      </c>
      <c r="K350">
        <v>50550846.249494202</v>
      </c>
    </row>
    <row r="351" spans="1:11" x14ac:dyDescent="0.35">
      <c r="A351">
        <v>2073</v>
      </c>
      <c r="B351" t="s">
        <v>179</v>
      </c>
      <c r="C351" t="s">
        <v>107</v>
      </c>
      <c r="D351">
        <v>67.77</v>
      </c>
      <c r="E351" s="42">
        <v>7.6464818325753604E-6</v>
      </c>
      <c r="F351">
        <v>6.3E-2</v>
      </c>
      <c r="G351">
        <v>4.2695099999999897</v>
      </c>
      <c r="H351">
        <v>0.72581669999999898</v>
      </c>
      <c r="I351">
        <v>3.5436932999999899</v>
      </c>
      <c r="J351">
        <v>71.313693299999997</v>
      </c>
      <c r="K351">
        <v>50550846.249494202</v>
      </c>
    </row>
    <row r="352" spans="1:11" x14ac:dyDescent="0.35">
      <c r="A352">
        <v>2073</v>
      </c>
      <c r="B352" t="s">
        <v>180</v>
      </c>
      <c r="C352" t="s">
        <v>107</v>
      </c>
      <c r="D352">
        <v>29.94</v>
      </c>
      <c r="E352" s="42">
        <v>3.3781269893360801E-6</v>
      </c>
      <c r="F352">
        <v>6.3E-2</v>
      </c>
      <c r="G352">
        <v>1.88621999999999</v>
      </c>
      <c r="H352">
        <v>0.68685345738150605</v>
      </c>
      <c r="I352">
        <v>1.1993665426184901</v>
      </c>
      <c r="J352">
        <v>31.139366542618401</v>
      </c>
      <c r="K352">
        <v>50550846.249494202</v>
      </c>
    </row>
    <row r="353" spans="1:19" x14ac:dyDescent="0.35">
      <c r="A353">
        <v>2073</v>
      </c>
      <c r="B353" t="s">
        <v>180</v>
      </c>
      <c r="C353" t="s">
        <v>161</v>
      </c>
      <c r="D353" s="42">
        <v>5.1317746625152897E-14</v>
      </c>
      <c r="E353" s="42">
        <v>5.7901758485751499E-21</v>
      </c>
      <c r="F353">
        <v>3.4299999999999997E-2</v>
      </c>
      <c r="G353" s="42">
        <v>1.76019870924274E-15</v>
      </c>
      <c r="H353" s="42">
        <v>6.4096371002419899E-16</v>
      </c>
      <c r="I353" s="42">
        <v>1.1192349992185399E-15</v>
      </c>
      <c r="J353" s="42">
        <v>5.24369816243715E-14</v>
      </c>
      <c r="K353">
        <v>50550846.249494202</v>
      </c>
    </row>
    <row r="354" spans="1:19" x14ac:dyDescent="0.35">
      <c r="A354">
        <v>2073</v>
      </c>
      <c r="B354" t="s">
        <v>180</v>
      </c>
      <c r="C354" t="s">
        <v>160</v>
      </c>
      <c r="D354" s="42">
        <v>3.97385078844254E-9</v>
      </c>
      <c r="E354" s="42">
        <v>4.4836915831771002E-16</v>
      </c>
      <c r="F354">
        <v>3.4299999999999997E-2</v>
      </c>
      <c r="G354" s="42">
        <v>1.36303082043579E-10</v>
      </c>
      <c r="H354" s="42">
        <v>4.9633787762502497E-11</v>
      </c>
      <c r="I354" s="42">
        <v>8.6669294281076595E-11</v>
      </c>
      <c r="J354" s="42">
        <v>4.0605200827236199E-9</v>
      </c>
      <c r="K354">
        <v>50550846.249494202</v>
      </c>
    </row>
    <row r="355" spans="1:19" x14ac:dyDescent="0.35">
      <c r="A355">
        <v>2073</v>
      </c>
      <c r="B355" t="s">
        <v>180</v>
      </c>
      <c r="C355" t="s">
        <v>159</v>
      </c>
      <c r="D355">
        <v>29206.486385122502</v>
      </c>
      <c r="E355">
        <v>3.2953647268289601E-3</v>
      </c>
      <c r="F355">
        <v>3.4299999999999997E-2</v>
      </c>
      <c r="G355">
        <v>1001.7824830096999</v>
      </c>
      <c r="H355">
        <v>364.79189171965299</v>
      </c>
      <c r="I355">
        <v>636.99059129004797</v>
      </c>
      <c r="J355">
        <v>29843.476976412501</v>
      </c>
      <c r="K355">
        <v>50550846.249494202</v>
      </c>
    </row>
    <row r="356" spans="1:19" x14ac:dyDescent="0.35">
      <c r="A356">
        <v>2073</v>
      </c>
      <c r="B356" t="s">
        <v>180</v>
      </c>
      <c r="C356" t="s">
        <v>158</v>
      </c>
      <c r="D356">
        <v>649241.77258894895</v>
      </c>
      <c r="E356">
        <v>7.3253879578728504E-2</v>
      </c>
      <c r="F356">
        <v>3.4299999999999997E-2</v>
      </c>
      <c r="G356">
        <v>22268.992799800901</v>
      </c>
      <c r="H356">
        <v>8109.0936884070497</v>
      </c>
      <c r="I356">
        <v>14159.899111393799</v>
      </c>
      <c r="J356">
        <v>663401.67170034302</v>
      </c>
      <c r="K356">
        <v>50550846.249494202</v>
      </c>
    </row>
    <row r="357" spans="1:19" x14ac:dyDescent="0.35">
      <c r="A357">
        <v>2074</v>
      </c>
      <c r="B357" t="s">
        <v>179</v>
      </c>
      <c r="C357" t="s">
        <v>106</v>
      </c>
      <c r="D357">
        <v>6392349.8799999999</v>
      </c>
      <c r="E357">
        <v>0.68920305461776299</v>
      </c>
      <c r="F357">
        <v>6.3E-2</v>
      </c>
      <c r="G357">
        <v>402718.04243999999</v>
      </c>
      <c r="H357">
        <v>68462.067214800001</v>
      </c>
      <c r="I357">
        <v>334255.9752252</v>
      </c>
      <c r="J357">
        <v>6726605.8552251998</v>
      </c>
      <c r="K357">
        <v>56945528.300055303</v>
      </c>
      <c r="R357">
        <v>100</v>
      </c>
      <c r="S357">
        <v>9500000</v>
      </c>
    </row>
    <row r="358" spans="1:19" x14ac:dyDescent="0.35">
      <c r="A358">
        <v>2074</v>
      </c>
      <c r="B358" t="s">
        <v>180</v>
      </c>
      <c r="C358" t="s">
        <v>106</v>
      </c>
      <c r="D358">
        <v>2488691.7000000002</v>
      </c>
      <c r="E358">
        <v>0.26832291001597502</v>
      </c>
      <c r="F358">
        <v>6.3E-2</v>
      </c>
      <c r="G358">
        <v>156787.57709999901</v>
      </c>
      <c r="H358">
        <v>56526.1917436972</v>
      </c>
      <c r="I358">
        <v>100261.38535630199</v>
      </c>
      <c r="J358">
        <v>2588953.0853563002</v>
      </c>
      <c r="K358">
        <v>56945528.300055303</v>
      </c>
      <c r="R358">
        <v>100</v>
      </c>
      <c r="S358">
        <v>9500000</v>
      </c>
    </row>
    <row r="359" spans="1:19" x14ac:dyDescent="0.35">
      <c r="A359">
        <v>2074</v>
      </c>
      <c r="B359" t="s">
        <v>179</v>
      </c>
      <c r="C359" t="s">
        <v>107</v>
      </c>
      <c r="D359">
        <v>2332.17</v>
      </c>
      <c r="E359">
        <v>2.5144723271747801E-4</v>
      </c>
      <c r="F359">
        <v>6.3E-2</v>
      </c>
      <c r="G359">
        <v>146.92670999999899</v>
      </c>
      <c r="H359">
        <v>24.977540699999899</v>
      </c>
      <c r="I359">
        <v>121.949169299999</v>
      </c>
      <c r="J359">
        <v>2454.1191693000001</v>
      </c>
      <c r="K359">
        <v>56945528.300055303</v>
      </c>
      <c r="R359">
        <v>100</v>
      </c>
      <c r="S359">
        <v>9500000</v>
      </c>
    </row>
    <row r="360" spans="1:19" x14ac:dyDescent="0.35">
      <c r="A360">
        <v>2074</v>
      </c>
      <c r="B360" t="s">
        <v>180</v>
      </c>
      <c r="C360" t="s">
        <v>107</v>
      </c>
      <c r="D360">
        <v>907.97</v>
      </c>
      <c r="E360" s="42">
        <v>9.7894469052637302E-5</v>
      </c>
      <c r="F360">
        <v>6.3E-2</v>
      </c>
      <c r="G360">
        <v>57.202109999999898</v>
      </c>
      <c r="H360">
        <v>20.622918587113301</v>
      </c>
      <c r="I360">
        <v>36.579191412886502</v>
      </c>
      <c r="J360">
        <v>944.54919141288599</v>
      </c>
      <c r="K360">
        <v>56945528.300055303</v>
      </c>
      <c r="R360">
        <v>100</v>
      </c>
      <c r="S360">
        <v>9500000</v>
      </c>
    </row>
    <row r="361" spans="1:19" x14ac:dyDescent="0.35">
      <c r="A361">
        <v>2074</v>
      </c>
      <c r="B361" t="s">
        <v>180</v>
      </c>
      <c r="C361" t="s">
        <v>161</v>
      </c>
      <c r="D361" s="42">
        <v>2.9343067245849601E-12</v>
      </c>
      <c r="E361" s="42">
        <v>3.16367720123823E-19</v>
      </c>
      <c r="F361">
        <v>3.4299999999999997E-2</v>
      </c>
      <c r="G361" s="42">
        <v>1.00646720653264E-13</v>
      </c>
      <c r="H361" s="42">
        <v>3.6285883966381801E-14</v>
      </c>
      <c r="I361" s="42">
        <v>6.4360836686882298E-14</v>
      </c>
      <c r="J361" s="42">
        <v>2.9986675612718399E-12</v>
      </c>
      <c r="K361">
        <v>56945528.300055303</v>
      </c>
      <c r="R361">
        <v>100</v>
      </c>
      <c r="S361">
        <v>9500000</v>
      </c>
    </row>
    <row r="362" spans="1:19" x14ac:dyDescent="0.35">
      <c r="A362">
        <v>2074</v>
      </c>
      <c r="B362" t="s">
        <v>180</v>
      </c>
      <c r="C362" t="s">
        <v>160</v>
      </c>
      <c r="D362" s="42">
        <v>2.3704206404566502E-10</v>
      </c>
      <c r="E362" s="42">
        <v>2.5557129644031898E-17</v>
      </c>
      <c r="F362">
        <v>3.4299999999999997E-2</v>
      </c>
      <c r="G362" s="42">
        <v>8.1305427967663299E-12</v>
      </c>
      <c r="H362" s="42">
        <v>2.9312821182077599E-12</v>
      </c>
      <c r="I362" s="42">
        <v>5.19926067855857E-12</v>
      </c>
      <c r="J362" s="42">
        <v>2.4224132472422299E-10</v>
      </c>
      <c r="K362">
        <v>56945528.300055303</v>
      </c>
      <c r="R362">
        <v>100</v>
      </c>
      <c r="S362">
        <v>9500000</v>
      </c>
    </row>
    <row r="363" spans="1:19" x14ac:dyDescent="0.35">
      <c r="A363">
        <v>2074</v>
      </c>
      <c r="B363" t="s">
        <v>180</v>
      </c>
      <c r="C363" t="s">
        <v>159</v>
      </c>
      <c r="D363">
        <v>48844.406432328498</v>
      </c>
      <c r="E363">
        <v>5.2662502438230599E-3</v>
      </c>
      <c r="F363">
        <v>3.4299999999999997E-2</v>
      </c>
      <c r="G363">
        <v>1675.36314062886</v>
      </c>
      <c r="H363">
        <v>604.014041668039</v>
      </c>
      <c r="I363">
        <v>1071.3490989608299</v>
      </c>
      <c r="J363">
        <v>49915.755531289302</v>
      </c>
      <c r="K363">
        <v>56945528.300055303</v>
      </c>
      <c r="R363">
        <v>100</v>
      </c>
      <c r="S363">
        <v>9500000</v>
      </c>
    </row>
    <row r="364" spans="1:19" x14ac:dyDescent="0.35">
      <c r="A364">
        <v>2074</v>
      </c>
      <c r="B364" t="s">
        <v>180</v>
      </c>
      <c r="C364" t="s">
        <v>158</v>
      </c>
      <c r="D364">
        <v>341861.61501233402</v>
      </c>
      <c r="E364">
        <v>3.6858443881526398E-2</v>
      </c>
      <c r="F364">
        <v>3.4299999999999997E-2</v>
      </c>
      <c r="G364">
        <v>11725.853394923</v>
      </c>
      <c r="H364">
        <v>4227.4895091793896</v>
      </c>
      <c r="I364">
        <v>7498.3638857436899</v>
      </c>
      <c r="J364">
        <v>349359.97889807803</v>
      </c>
      <c r="K364">
        <v>56945528.300055303</v>
      </c>
      <c r="R364">
        <v>100</v>
      </c>
      <c r="S364">
        <v>9500000</v>
      </c>
    </row>
    <row r="365" spans="1:19" x14ac:dyDescent="0.35">
      <c r="A365">
        <v>2075</v>
      </c>
      <c r="B365" t="s">
        <v>179</v>
      </c>
      <c r="C365" t="s">
        <v>106</v>
      </c>
      <c r="D365">
        <v>42448.57</v>
      </c>
      <c r="E365">
        <v>0.19451001090939299</v>
      </c>
      <c r="F365">
        <v>6.3E-2</v>
      </c>
      <c r="G365">
        <v>2674.2599100000002</v>
      </c>
      <c r="H365">
        <v>454.6241847</v>
      </c>
      <c r="I365">
        <v>2219.6357253000001</v>
      </c>
      <c r="J365">
        <v>44668.205725300002</v>
      </c>
      <c r="K365">
        <v>64149137.630012304</v>
      </c>
    </row>
    <row r="366" spans="1:19" x14ac:dyDescent="0.35">
      <c r="A366">
        <v>2075</v>
      </c>
      <c r="B366" t="s">
        <v>179</v>
      </c>
      <c r="C366" t="s">
        <v>107</v>
      </c>
      <c r="D366">
        <v>7474.52</v>
      </c>
      <c r="E366">
        <v>3.4250128255026602E-2</v>
      </c>
      <c r="F366">
        <v>6.3E-2</v>
      </c>
      <c r="G366">
        <v>470.894759999999</v>
      </c>
      <c r="H366">
        <v>80.052109199999805</v>
      </c>
      <c r="I366">
        <v>390.84265079999898</v>
      </c>
      <c r="J366">
        <v>7865.3626507999998</v>
      </c>
      <c r="K366">
        <v>64149137.630012304</v>
      </c>
    </row>
    <row r="367" spans="1:19" x14ac:dyDescent="0.35">
      <c r="A367">
        <v>2075</v>
      </c>
      <c r="B367" t="s">
        <v>180</v>
      </c>
      <c r="C367" t="s">
        <v>161</v>
      </c>
      <c r="D367">
        <v>11050.392862057801</v>
      </c>
      <c r="E367">
        <v>5.0635675975703197E-2</v>
      </c>
      <c r="F367">
        <v>3.4299999999999997E-2</v>
      </c>
      <c r="G367">
        <v>379.02847516858401</v>
      </c>
      <c r="H367">
        <v>102.337688295517</v>
      </c>
      <c r="I367">
        <v>276.69078687306597</v>
      </c>
      <c r="J367">
        <v>11327.0836489309</v>
      </c>
      <c r="K367">
        <v>64149137.630012304</v>
      </c>
    </row>
    <row r="368" spans="1:19" x14ac:dyDescent="0.35">
      <c r="A368">
        <v>2075</v>
      </c>
      <c r="B368" t="s">
        <v>180</v>
      </c>
      <c r="C368" t="s">
        <v>160</v>
      </c>
      <c r="D368">
        <v>54794.9576282915</v>
      </c>
      <c r="E368">
        <v>0.25108426046056898</v>
      </c>
      <c r="F368">
        <v>3.4299999999999997E-2</v>
      </c>
      <c r="G368">
        <v>1879.4670466503901</v>
      </c>
      <c r="H368">
        <v>507.45610259560601</v>
      </c>
      <c r="I368">
        <v>1372.0109440547801</v>
      </c>
      <c r="J368">
        <v>56166.968572346297</v>
      </c>
      <c r="K368">
        <v>64149137.630012304</v>
      </c>
    </row>
    <row r="369" spans="1:11" x14ac:dyDescent="0.35">
      <c r="A369">
        <v>2075</v>
      </c>
      <c r="B369" t="s">
        <v>180</v>
      </c>
      <c r="C369" t="s">
        <v>159</v>
      </c>
      <c r="D369">
        <v>45945.068167063597</v>
      </c>
      <c r="E369">
        <v>0.210531843838517</v>
      </c>
      <c r="F369">
        <v>3.4299999999999997E-2</v>
      </c>
      <c r="G369">
        <v>1575.91583813028</v>
      </c>
      <c r="H369">
        <v>425.49727629517599</v>
      </c>
      <c r="I369">
        <v>1150.4185618351</v>
      </c>
      <c r="J369">
        <v>47095.486728898701</v>
      </c>
      <c r="K369">
        <v>64149137.630012304</v>
      </c>
    </row>
    <row r="370" spans="1:11" x14ac:dyDescent="0.35">
      <c r="A370">
        <v>2075</v>
      </c>
      <c r="B370" t="s">
        <v>180</v>
      </c>
      <c r="C370" t="s">
        <v>158</v>
      </c>
      <c r="D370">
        <v>56519.828036891697</v>
      </c>
      <c r="E370">
        <v>0.25898804996382202</v>
      </c>
      <c r="F370">
        <v>3.4299999999999997E-2</v>
      </c>
      <c r="G370">
        <v>1938.6301016653799</v>
      </c>
      <c r="H370">
        <v>523.43012744965495</v>
      </c>
      <c r="I370">
        <v>1415.19997421573</v>
      </c>
      <c r="J370">
        <v>57935.028011107403</v>
      </c>
      <c r="K370">
        <v>64149137.630012304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RowHeight="14.5" x14ac:dyDescent="0.35"/>
  <cols>
    <col min="1" max="2" width="8.7265625" style="1"/>
    <col min="3" max="3" width="10.1796875" style="1" bestFit="1" customWidth="1"/>
    <col min="4" max="16384" width="8.7265625" style="1"/>
  </cols>
  <sheetData>
    <row r="1" spans="1:6" x14ac:dyDescent="0.35">
      <c r="A1" s="1" t="s">
        <v>193</v>
      </c>
    </row>
    <row r="2" spans="1:6" x14ac:dyDescent="0.35">
      <c r="A2" s="1" t="s">
        <v>1</v>
      </c>
      <c r="B2" s="1" t="s">
        <v>195</v>
      </c>
      <c r="C2" s="1" t="s">
        <v>196</v>
      </c>
    </row>
    <row r="3" spans="1:6" x14ac:dyDescent="0.35">
      <c r="A3" s="1">
        <v>2019</v>
      </c>
      <c r="B3" s="1">
        <v>50000</v>
      </c>
    </row>
    <row r="4" spans="1:6" x14ac:dyDescent="0.35">
      <c r="A4" s="1">
        <v>2020</v>
      </c>
      <c r="B4" s="1">
        <f>100000</f>
        <v>100000</v>
      </c>
      <c r="C4" s="45">
        <f t="shared" ref="C4:C9" si="0">(B4-B3)/B3</f>
        <v>1</v>
      </c>
    </row>
    <row r="5" spans="1:6" x14ac:dyDescent="0.35">
      <c r="A5" s="1">
        <v>2021</v>
      </c>
      <c r="B5" s="1">
        <v>102300</v>
      </c>
      <c r="C5" s="45">
        <f t="shared" si="0"/>
        <v>2.3E-2</v>
      </c>
    </row>
    <row r="6" spans="1:6" x14ac:dyDescent="0.35">
      <c r="A6" s="1">
        <v>2022</v>
      </c>
      <c r="B6" s="1">
        <v>103500</v>
      </c>
      <c r="C6" s="45">
        <f t="shared" si="0"/>
        <v>1.1730205278592375E-2</v>
      </c>
      <c r="E6" s="1" t="s">
        <v>194</v>
      </c>
      <c r="F6" s="1" t="s">
        <v>210</v>
      </c>
    </row>
    <row r="7" spans="1:6" x14ac:dyDescent="0.35">
      <c r="A7" s="1">
        <v>2023</v>
      </c>
      <c r="B7" s="1">
        <v>106600</v>
      </c>
      <c r="C7" s="45">
        <f t="shared" si="0"/>
        <v>2.9951690821256038E-2</v>
      </c>
      <c r="E7" s="46">
        <f>MEDIAN(C4:C9)</f>
        <v>0.12645487410819978</v>
      </c>
      <c r="F7" s="47">
        <f>MEDIAN(C5:C9)</f>
        <v>2.9951690821256038E-2</v>
      </c>
    </row>
    <row r="8" spans="1:6" x14ac:dyDescent="0.35">
      <c r="A8" s="1">
        <v>2024</v>
      </c>
      <c r="B8" s="1">
        <v>135900</v>
      </c>
      <c r="C8" s="45">
        <f t="shared" si="0"/>
        <v>0.27485928705440899</v>
      </c>
    </row>
    <row r="9" spans="1:6" x14ac:dyDescent="0.35">
      <c r="A9" s="1">
        <v>2025</v>
      </c>
      <c r="B9" s="1">
        <v>166200</v>
      </c>
      <c r="C9" s="45">
        <f t="shared" si="0"/>
        <v>0.22295805739514349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D4" sqref="D4"/>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48" t="s">
        <v>81</v>
      </c>
    </row>
    <row r="3" spans="2:7" x14ac:dyDescent="0.35">
      <c r="B3" t="s">
        <v>72</v>
      </c>
      <c r="C3">
        <v>0.75</v>
      </c>
      <c r="D3">
        <v>0.5</v>
      </c>
      <c r="E3">
        <v>0.25</v>
      </c>
      <c r="F3">
        <v>1</v>
      </c>
      <c r="G3" s="48"/>
    </row>
    <row r="4" spans="2:7" x14ac:dyDescent="0.35">
      <c r="B4" t="s">
        <v>73</v>
      </c>
      <c r="C4" s="23">
        <v>400000</v>
      </c>
      <c r="D4" s="23">
        <v>400000</v>
      </c>
      <c r="E4" s="23">
        <v>300000</v>
      </c>
      <c r="F4" s="23">
        <v>9500000</v>
      </c>
      <c r="G4" s="48"/>
    </row>
    <row r="5" spans="2:7" x14ac:dyDescent="0.35">
      <c r="B5" t="s">
        <v>74</v>
      </c>
      <c r="C5">
        <v>10</v>
      </c>
      <c r="D5">
        <v>15</v>
      </c>
      <c r="E5">
        <v>20</v>
      </c>
      <c r="F5">
        <v>50</v>
      </c>
      <c r="G5" s="48"/>
    </row>
    <row r="7" spans="2:7" x14ac:dyDescent="0.35">
      <c r="B7" t="s">
        <v>79</v>
      </c>
      <c r="C7" t="s">
        <v>75</v>
      </c>
      <c r="D7" t="s">
        <v>76</v>
      </c>
      <c r="E7" t="s">
        <v>77</v>
      </c>
      <c r="F7" t="s">
        <v>78</v>
      </c>
      <c r="G7" s="48" t="s">
        <v>80</v>
      </c>
    </row>
    <row r="8" spans="2:7" x14ac:dyDescent="0.35">
      <c r="B8" t="s">
        <v>72</v>
      </c>
      <c r="C8">
        <v>1</v>
      </c>
      <c r="D8">
        <v>0.45</v>
      </c>
      <c r="E8">
        <v>0.5</v>
      </c>
      <c r="F8">
        <v>0.57999999999999996</v>
      </c>
      <c r="G8" s="48"/>
    </row>
    <row r="9" spans="2:7" x14ac:dyDescent="0.35">
      <c r="B9" t="s">
        <v>73</v>
      </c>
      <c r="C9" s="23">
        <v>400000</v>
      </c>
      <c r="D9" s="23">
        <v>75000</v>
      </c>
      <c r="E9" s="23">
        <v>300000</v>
      </c>
      <c r="F9" s="23">
        <v>7500000</v>
      </c>
      <c r="G9" s="48"/>
    </row>
    <row r="10" spans="2:7" x14ac:dyDescent="0.35">
      <c r="B10" t="s">
        <v>74</v>
      </c>
      <c r="C10">
        <v>10</v>
      </c>
      <c r="D10">
        <v>30</v>
      </c>
      <c r="E10">
        <v>4</v>
      </c>
      <c r="F10">
        <v>18</v>
      </c>
      <c r="G10" s="48"/>
    </row>
  </sheetData>
  <mergeCells count="2">
    <mergeCell ref="G7:G10"/>
    <mergeCell ref="G2:G5"/>
  </mergeCell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DA991-180B-4DDE-A51E-CBC35FF0F4F7}">
  <dimension ref="A1:AZ9"/>
  <sheetViews>
    <sheetView zoomScale="103" workbookViewId="0">
      <selection activeCell="A2" sqref="A2"/>
    </sheetView>
  </sheetViews>
  <sheetFormatPr defaultRowHeight="14.5" x14ac:dyDescent="0.35"/>
  <cols>
    <col min="2" max="2" width="15.453125" bestFit="1" customWidth="1"/>
    <col min="3" max="3" width="18.36328125" bestFit="1" customWidth="1"/>
    <col min="4" max="4" width="11.54296875" bestFit="1" customWidth="1"/>
    <col min="5" max="5" width="12" bestFit="1" customWidth="1"/>
    <col min="6" max="6" width="11.54296875" bestFit="1" customWidth="1"/>
    <col min="7" max="9" width="13.1796875" bestFit="1" customWidth="1"/>
    <col min="10" max="12" width="11.36328125" bestFit="1" customWidth="1"/>
    <col min="13" max="15" width="12.36328125" bestFit="1" customWidth="1"/>
    <col min="16" max="19" width="13.453125" bestFit="1" customWidth="1"/>
    <col min="20" max="22" width="14.453125" bestFit="1" customWidth="1"/>
    <col min="23" max="25" width="15.453125" bestFit="1" customWidth="1"/>
    <col min="26" max="28" width="16.453125" bestFit="1" customWidth="1"/>
    <col min="29" max="32" width="17.54296875" bestFit="1" customWidth="1"/>
    <col min="33" max="35" width="18.54296875" bestFit="1" customWidth="1"/>
    <col min="36" max="38" width="19.54296875" bestFit="1" customWidth="1"/>
    <col min="39" max="41" width="20.54296875" bestFit="1" customWidth="1"/>
    <col min="42" max="45" width="21.6328125" bestFit="1" customWidth="1"/>
    <col min="46" max="48" width="22.6328125" bestFit="1" customWidth="1"/>
    <col min="49" max="49" width="23.6328125" bestFit="1" customWidth="1"/>
    <col min="52" max="52" width="10.36328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81</v>
      </c>
      <c r="B2">
        <v>0</v>
      </c>
      <c r="C2">
        <v>55390.48054509949</v>
      </c>
      <c r="D2">
        <v>114304.50840124504</v>
      </c>
      <c r="E2">
        <v>181746.12002471148</v>
      </c>
      <c r="F2">
        <v>252701.32938793322</v>
      </c>
      <c r="G2">
        <v>327530.15720136394</v>
      </c>
      <c r="H2">
        <v>404591.51418813347</v>
      </c>
      <c r="I2">
        <v>477975.05571588007</v>
      </c>
      <c r="J2">
        <v>555186.43372598919</v>
      </c>
      <c r="K2">
        <v>236908.52938060719</v>
      </c>
      <c r="L2">
        <v>316057.71137393924</v>
      </c>
      <c r="M2">
        <v>405694.53247775231</v>
      </c>
    </row>
    <row r="3" spans="1:52" x14ac:dyDescent="0.35">
      <c r="A3" t="s">
        <v>80</v>
      </c>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40"/>
      <c r="AW3" s="40"/>
      <c r="AX3" s="40"/>
      <c r="AY3" s="40"/>
      <c r="AZ3" s="40"/>
    </row>
    <row r="4" spans="1:52" x14ac:dyDescent="0.35">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row>
    <row r="5" spans="1:52" x14ac:dyDescent="0.35">
      <c r="B5" s="21"/>
      <c r="C5" s="21"/>
      <c r="D5" s="21"/>
      <c r="E5" s="21"/>
      <c r="F5" s="21"/>
      <c r="G5" s="21"/>
      <c r="H5" s="21"/>
      <c r="I5" s="21"/>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row>
    <row r="6" spans="1:52" x14ac:dyDescent="0.35">
      <c r="B6" s="21"/>
      <c r="C6" s="21"/>
      <c r="D6" s="21"/>
      <c r="E6" s="21"/>
      <c r="F6" s="21"/>
      <c r="G6" s="21"/>
      <c r="H6" s="21"/>
      <c r="I6" s="21"/>
    </row>
    <row r="7" spans="1:52" x14ac:dyDescent="0.35">
      <c r="B7" s="21"/>
      <c r="C7" s="21"/>
      <c r="D7" s="21"/>
      <c r="E7" s="21"/>
      <c r="F7" s="21"/>
      <c r="G7" s="21"/>
      <c r="H7" s="21"/>
      <c r="I7" s="21"/>
    </row>
    <row r="8" spans="1:52" x14ac:dyDescent="0.35">
      <c r="D8" s="40"/>
      <c r="E8" s="40"/>
      <c r="F8" s="40"/>
      <c r="G8" s="40"/>
    </row>
    <row r="9" spans="1:52" x14ac:dyDescent="0.35">
      <c r="C9" s="41"/>
      <c r="D9" s="41"/>
      <c r="E9" s="41"/>
      <c r="F9" s="41"/>
      <c r="G9" s="4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2" sqref="C2"/>
    </sheetView>
  </sheetViews>
  <sheetFormatPr defaultRowHeight="14.5" x14ac:dyDescent="0.35"/>
  <sheetData>
    <row r="1" spans="1:52" x14ac:dyDescent="0.35">
      <c r="A1" s="30"/>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81</v>
      </c>
      <c r="B2">
        <v>0</v>
      </c>
      <c r="C2" cm="1">
        <f t="array" ref="C2:AV2">TRANSPOSE(TableIncome[InvestmentP1])</f>
        <v>52645.200000000004</v>
      </c>
      <c r="D2">
        <v>53171.652000000002</v>
      </c>
      <c r="E2">
        <v>59020.533719999999</v>
      </c>
      <c r="F2">
        <v>59610.7390572</v>
      </c>
      <c r="G2">
        <v>60206.846447771997</v>
      </c>
      <c r="H2">
        <v>60808.914912249718</v>
      </c>
      <c r="I2">
        <v>67497.895552597183</v>
      </c>
      <c r="J2">
        <v>68172.874508123146</v>
      </c>
      <c r="K2">
        <v>68854.603253204376</v>
      </c>
      <c r="L2">
        <v>69543.149285736421</v>
      </c>
      <c r="M2">
        <v>77192.895707167438</v>
      </c>
      <c r="N2">
        <v>77964.824664239117</v>
      </c>
      <c r="O2">
        <v>78744.472910881508</v>
      </c>
      <c r="P2">
        <v>79531.917639990323</v>
      </c>
      <c r="Q2">
        <v>88280.428580389256</v>
      </c>
      <c r="R2">
        <v>89163.232866193153</v>
      </c>
      <c r="S2">
        <v>90054.865194855098</v>
      </c>
      <c r="T2">
        <v>90955.413846803654</v>
      </c>
      <c r="U2">
        <v>100960.50936995204</v>
      </c>
      <c r="V2">
        <v>101970.11446365155</v>
      </c>
      <c r="W2">
        <v>102989.81560828809</v>
      </c>
      <c r="X2">
        <v>104019.71376437096</v>
      </c>
      <c r="Y2">
        <v>115461.88227845177</v>
      </c>
      <c r="Z2">
        <v>116616.50110123628</v>
      </c>
      <c r="AA2">
        <v>117782.66611224865</v>
      </c>
      <c r="AB2">
        <v>118960.49277337115</v>
      </c>
      <c r="AC2">
        <v>120150.09770110488</v>
      </c>
      <c r="AD2">
        <v>121351.5986781159</v>
      </c>
      <c r="AE2">
        <v>122565.11466489708</v>
      </c>
      <c r="AF2">
        <v>123790.76581154604</v>
      </c>
      <c r="AG2">
        <v>125028.6734696615</v>
      </c>
      <c r="AH2">
        <v>126278.96020435813</v>
      </c>
      <c r="AI2">
        <v>127541.7498064017</v>
      </c>
      <c r="AJ2">
        <v>128817.16730446572</v>
      </c>
      <c r="AK2">
        <v>130105.33897751037</v>
      </c>
      <c r="AL2">
        <v>144416.92626503651</v>
      </c>
      <c r="AM2">
        <v>145861.09552768685</v>
      </c>
      <c r="AN2">
        <v>147319.70648296372</v>
      </c>
      <c r="AO2">
        <v>148792.90354779336</v>
      </c>
      <c r="AP2">
        <v>150280.83258327132</v>
      </c>
      <c r="AQ2">
        <v>151783.64090910403</v>
      </c>
      <c r="AR2">
        <v>153301.47731819507</v>
      </c>
      <c r="AS2">
        <v>154834.49209137703</v>
      </c>
      <c r="AT2">
        <v>156382.83701229081</v>
      </c>
      <c r="AU2">
        <v>157946.66538241372</v>
      </c>
      <c r="AV2">
        <v>0</v>
      </c>
      <c r="AW2">
        <v>0</v>
      </c>
      <c r="AX2">
        <v>0</v>
      </c>
      <c r="AY2">
        <v>0</v>
      </c>
      <c r="AZ2">
        <v>0</v>
      </c>
    </row>
    <row r="3" spans="1:52" x14ac:dyDescent="0.35">
      <c r="A3" t="s">
        <v>80</v>
      </c>
      <c r="B3">
        <v>200000</v>
      </c>
      <c r="C3" cm="1">
        <f t="array" ref="C3:AV3">TRANSPOSE(TableIncome[InvestmentP2])</f>
        <v>76801.2</v>
      </c>
      <c r="D3">
        <v>77569.212</v>
      </c>
      <c r="E3">
        <v>78344.904120000007</v>
      </c>
      <c r="F3">
        <v>86962.843573200007</v>
      </c>
      <c r="G3">
        <v>87832.472008932018</v>
      </c>
      <c r="H3">
        <v>88710.796729021313</v>
      </c>
      <c r="I3">
        <v>89597.90469631154</v>
      </c>
      <c r="J3">
        <v>99453.674212905811</v>
      </c>
      <c r="K3">
        <v>100448.21095503487</v>
      </c>
      <c r="L3">
        <v>101452.69306458521</v>
      </c>
      <c r="M3">
        <v>102467.21999523108</v>
      </c>
      <c r="N3">
        <v>103491.89219518339</v>
      </c>
      <c r="O3">
        <v>104526.81111713522</v>
      </c>
      <c r="P3">
        <v>105572.07922830657</v>
      </c>
      <c r="Q3">
        <v>106627.80002058964</v>
      </c>
      <c r="R3">
        <v>107694.07802079554</v>
      </c>
      <c r="S3">
        <v>108771.01880100352</v>
      </c>
      <c r="T3">
        <v>109858.72898901354</v>
      </c>
      <c r="U3">
        <v>110957.31627890366</v>
      </c>
      <c r="V3">
        <v>112066.88944169272</v>
      </c>
      <c r="W3">
        <v>124394.2472802789</v>
      </c>
      <c r="X3">
        <v>125638.18975308171</v>
      </c>
      <c r="Y3">
        <v>126894.5716506125</v>
      </c>
      <c r="Z3">
        <v>128163.51736711862</v>
      </c>
      <c r="AA3">
        <v>129445.15254078983</v>
      </c>
      <c r="AB3">
        <v>130739.60406619772</v>
      </c>
      <c r="AC3">
        <v>132047.00010685969</v>
      </c>
      <c r="AD3">
        <v>133367.4701079283</v>
      </c>
      <c r="AE3">
        <v>134701.14480900762</v>
      </c>
      <c r="AF3">
        <v>136048.15625709767</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1" t="s">
        <v>167</v>
      </c>
    </row>
    <row r="2" spans="1:52" x14ac:dyDescent="0.35">
      <c r="A2" t="s">
        <v>81</v>
      </c>
      <c r="B2" s="21">
        <f>SUMIF(TableIncome[Year], "&lt;=" &amp; B1, TableIncome[InvestmentP1])</f>
        <v>52645.200000000004</v>
      </c>
      <c r="C2" s="21">
        <f>SUMIF(TableIncome[Year], "&lt;=" &amp; C1, TableIncome[InvestmentP1])</f>
        <v>105816.85200000001</v>
      </c>
      <c r="D2" s="21">
        <f>SUMIF(TableIncome[Year], "&lt;=" &amp; D1, TableIncome[InvestmentP1])</f>
        <v>164837.38572000002</v>
      </c>
      <c r="E2" s="21">
        <f>SUMIF(TableIncome[Year], "&lt;=" &amp; E1, TableIncome[InvestmentP1])</f>
        <v>224448.12477720002</v>
      </c>
      <c r="F2" s="21">
        <f>SUMIF(TableIncome[Year], "&lt;=" &amp; F1, TableIncome[InvestmentP1])</f>
        <v>284654.97122497205</v>
      </c>
      <c r="G2" s="21">
        <f>SUMIF(TableIncome[Year], "&lt;=" &amp; G1, TableIncome[InvestmentP1])</f>
        <v>345463.88613722177</v>
      </c>
      <c r="H2" s="21">
        <f>SUMIF(TableIncome[Year], "&lt;=" &amp; H1, TableIncome[InvestmentP1])</f>
        <v>412961.78168981895</v>
      </c>
      <c r="I2" s="21">
        <f>SUMIF(TableIncome[Year], "&lt;=" &amp; I1, TableIncome[InvestmentP1])</f>
        <v>481134.65619794209</v>
      </c>
      <c r="J2" s="21">
        <f>SUMIF(TableIncome[Year], "&lt;=" &amp; J1, TableIncome[InvestmentP1])</f>
        <v>549989.25945114647</v>
      </c>
      <c r="K2" s="21">
        <f>SUMIF(TableIncome[Year], "&lt;=" &amp; K1, TableIncome[InvestmentP1])</f>
        <v>619532.40873688285</v>
      </c>
      <c r="L2" s="21">
        <f>SUMIF(TableIncome[Year], "&lt;=" &amp; L1, TableIncome[InvestmentP1])</f>
        <v>696725.3044440503</v>
      </c>
      <c r="M2" s="21">
        <f>SUMIF(TableIncome[Year], "&lt;=" &amp; M1, TableIncome[InvestmentP1])</f>
        <v>774690.12910828937</v>
      </c>
      <c r="N2" s="21">
        <f>SUMIF(TableIncome[Year], "&lt;=" &amp; N1, TableIncome[InvestmentP1])</f>
        <v>853434.60201917088</v>
      </c>
      <c r="O2" s="21">
        <f>SUMIF(TableIncome[Year], "&lt;=" &amp; O1, TableIncome[InvestmentP1])</f>
        <v>932966.51965916122</v>
      </c>
      <c r="P2" s="21">
        <f>SUMIF(TableIncome[Year], "&lt;=" &amp; P1, TableIncome[InvestmentP1])</f>
        <v>1021246.9482395505</v>
      </c>
      <c r="Q2" s="21">
        <f>SUMIF(TableIncome[Year], "&lt;=" &amp; Q1, TableIncome[InvestmentP1])</f>
        <v>1110410.1811057436</v>
      </c>
      <c r="R2" s="21">
        <f>SUMIF(TableIncome[Year], "&lt;=" &amp; R1, TableIncome[InvestmentP1])</f>
        <v>1200465.0463005987</v>
      </c>
      <c r="S2" s="21">
        <f>SUMIF(TableIncome[Year], "&lt;=" &amp; S1, TableIncome[InvestmentP1])</f>
        <v>1291420.4601474022</v>
      </c>
      <c r="T2" s="21">
        <f>SUMIF(TableIncome[Year], "&lt;=" &amp; T1, TableIncome[InvestmentP1])</f>
        <v>1392380.9695173544</v>
      </c>
      <c r="U2" s="21">
        <f>SUMIF(TableIncome[Year], "&lt;=" &amp; U1, TableIncome[InvestmentP1])</f>
        <v>1494351.0839810059</v>
      </c>
      <c r="V2" s="21">
        <f>SUMIF(TableIncome[Year], "&lt;=" &amp; V1, TableIncome[InvestmentP1])</f>
        <v>1597340.8995892941</v>
      </c>
      <c r="W2" s="21">
        <f>SUMIF(TableIncome[Year], "&lt;=" &amp; W1, TableIncome[InvestmentP1])</f>
        <v>1701360.613353665</v>
      </c>
      <c r="X2" s="21">
        <f>SUMIF(TableIncome[Year], "&lt;=" &amp; X1, TableIncome[InvestmentP1])</f>
        <v>1816822.4956321167</v>
      </c>
      <c r="Y2" s="21">
        <f>SUMIF(TableIncome[Year], "&lt;=" &amp; Y1, TableIncome[InvestmentP1])</f>
        <v>1933438.996733353</v>
      </c>
      <c r="Z2" s="21">
        <f>SUMIF(TableIncome[Year], "&lt;=" &amp; Z1, TableIncome[InvestmentP1])</f>
        <v>2051221.6628456016</v>
      </c>
      <c r="AA2" s="21">
        <f>SUMIF(TableIncome[Year], "&lt;=" &amp; AA1, TableIncome[InvestmentP1])</f>
        <v>2170182.1556189726</v>
      </c>
      <c r="AB2" s="21">
        <f>SUMIF(TableIncome[Year], "&lt;=" &amp; AB1, TableIncome[InvestmentP1])</f>
        <v>2290332.2533200774</v>
      </c>
      <c r="AC2" s="21">
        <f>SUMIF(TableIncome[Year], "&lt;=" &amp; AC1, TableIncome[InvestmentP1])</f>
        <v>2411683.8519981932</v>
      </c>
      <c r="AD2" s="21">
        <f>SUMIF(TableIncome[Year], "&lt;=" &amp; AD1, TableIncome[InvestmentP1])</f>
        <v>2534248.96666309</v>
      </c>
      <c r="AE2" s="21">
        <f>SUMIF(TableIncome[Year], "&lt;=" &amp; AE1, TableIncome[InvestmentP1])</f>
        <v>2658039.7324746363</v>
      </c>
      <c r="AF2" s="21">
        <f>SUMIF(TableIncome[Year], "&lt;=" &amp; AF1, TableIncome[InvestmentP1])</f>
        <v>2783068.405944298</v>
      </c>
      <c r="AG2" s="21">
        <f>SUMIF(TableIncome[Year], "&lt;=" &amp; AG1, TableIncome[InvestmentP1])</f>
        <v>2909347.3661486562</v>
      </c>
      <c r="AH2" s="21">
        <f>SUMIF(TableIncome[Year], "&lt;=" &amp; AH1, TableIncome[InvestmentP1])</f>
        <v>3036889.115955058</v>
      </c>
      <c r="AI2" s="21">
        <f>SUMIF(TableIncome[Year], "&lt;=" &amp; AI1, TableIncome[InvestmentP1])</f>
        <v>3165706.2832595236</v>
      </c>
      <c r="AJ2" s="21">
        <f>SUMIF(TableIncome[Year], "&lt;=" &amp; AJ1, TableIncome[InvestmentP1])</f>
        <v>3295811.6222370341</v>
      </c>
      <c r="AK2" s="21">
        <f>SUMIF(TableIncome[Year], "&lt;=" &amp; AK1, TableIncome[InvestmentP1])</f>
        <v>3440228.5485020708</v>
      </c>
      <c r="AL2" s="21">
        <f>SUMIF(TableIncome[Year], "&lt;=" &amp; AL1, TableIncome[InvestmentP1])</f>
        <v>3586089.6440297575</v>
      </c>
      <c r="AM2" s="21">
        <f>SUMIF(TableIncome[Year], "&lt;=" &amp; AM1, TableIncome[InvestmentP1])</f>
        <v>3733409.3505127211</v>
      </c>
      <c r="AN2" s="21">
        <f>SUMIF(TableIncome[Year], "&lt;=" &amp; AN1, TableIncome[InvestmentP1])</f>
        <v>3882202.2540605143</v>
      </c>
      <c r="AO2" s="21">
        <f>SUMIF(TableIncome[Year], "&lt;=" &amp; AO1, TableIncome[InvestmentP1])</f>
        <v>4032483.0866437857</v>
      </c>
      <c r="AP2" s="21">
        <f>SUMIF(TableIncome[Year], "&lt;=" &amp; AP1, TableIncome[InvestmentP1])</f>
        <v>4184266.7275528898</v>
      </c>
      <c r="AQ2" s="21">
        <f>SUMIF(TableIncome[Year], "&lt;=" &amp; AQ1, TableIncome[InvestmentP1])</f>
        <v>4337568.2048710845</v>
      </c>
      <c r="AR2" s="21">
        <f>SUMIF(TableIncome[Year], "&lt;=" &amp; AR1, TableIncome[InvestmentP1])</f>
        <v>4492402.6969624618</v>
      </c>
      <c r="AS2" s="21">
        <f>SUMIF(TableIncome[Year], "&lt;=" &amp; AS1, TableIncome[InvestmentP1])</f>
        <v>4648785.5339747528</v>
      </c>
      <c r="AT2" s="21">
        <f>SUMIF(TableIncome[Year], "&lt;=" &amp; AT1, TableIncome[InvestmentP1])</f>
        <v>4806732.1993571669</v>
      </c>
      <c r="AU2" s="21">
        <f>SUMIF(TableIncome[Year], "&lt;=" &amp; AU1, TableIncome[InvestmentP1])</f>
        <v>4806732.1993571669</v>
      </c>
      <c r="AV2" s="21">
        <f>SUMIF(TableIncome[Year], "&lt;=" &amp; AV1, TableIncome[InvestmentP1])</f>
        <v>4806732.1993571669</v>
      </c>
      <c r="AW2" s="21">
        <f>SUMIF(TableIncome[Year], "&lt;=" &amp; AW1, TableIncome[InvestmentP1])</f>
        <v>4806732.1993571669</v>
      </c>
      <c r="AX2" s="21">
        <f>SUMIF(TableIncome[Year], "&lt;=" &amp; AX1, TableIncome[InvestmentP1])</f>
        <v>4806732.1993571669</v>
      </c>
      <c r="AY2" s="21">
        <f>SUMIF(TableIncome[Year], "&lt;=" &amp; AY1, TableIncome[InvestmentP1])</f>
        <v>4806732.1993571669</v>
      </c>
      <c r="AZ2" s="21">
        <f>SUMIF(TableIncome[Year], "&lt;=" &amp; AZ1, TableIncome[InvestmentP1])</f>
        <v>4806732.1993571669</v>
      </c>
    </row>
    <row r="3" spans="1:52" x14ac:dyDescent="0.35">
      <c r="A3" t="s">
        <v>80</v>
      </c>
      <c r="B3" s="21">
        <f>SUMIF(TableIncome[Year], "&lt;=" &amp; B1, TableIncome[InvestmentP2])</f>
        <v>76801.2</v>
      </c>
      <c r="C3" s="21">
        <f>SUMIF(TableIncome[Year], "&lt;=" &amp; C1, TableIncome[InvestmentP2])</f>
        <v>154370.41200000001</v>
      </c>
      <c r="D3" s="21">
        <f>SUMIF(TableIncome[Year], "&lt;=" &amp; D1, TableIncome[InvestmentP2])</f>
        <v>232715.31612000003</v>
      </c>
      <c r="E3" s="21">
        <f>SUMIF(TableIncome[Year], "&lt;=" &amp; E1, TableIncome[InvestmentP2])</f>
        <v>319678.15969320002</v>
      </c>
      <c r="F3" s="21">
        <f>SUMIF(TableIncome[Year], "&lt;=" &amp; F1, TableIncome[InvestmentP2])</f>
        <v>407510.63170213206</v>
      </c>
      <c r="G3" s="21">
        <f>SUMIF(TableIncome[Year], "&lt;=" &amp; G1, TableIncome[InvestmentP2])</f>
        <v>496221.42843115336</v>
      </c>
      <c r="H3" s="21">
        <f>SUMIF(TableIncome[Year], "&lt;=" &amp; H1, TableIncome[InvestmentP2])</f>
        <v>585819.33312746487</v>
      </c>
      <c r="I3" s="21">
        <f>SUMIF(TableIncome[Year], "&lt;=" &amp; I1, TableIncome[InvestmentP2])</f>
        <v>685273.00734037068</v>
      </c>
      <c r="J3" s="21">
        <f>SUMIF(TableIncome[Year], "&lt;=" &amp; J1, TableIncome[InvestmentP2])</f>
        <v>785721.2182954055</v>
      </c>
      <c r="K3" s="21">
        <f>SUMIF(TableIncome[Year], "&lt;=" &amp; K1, TableIncome[InvestmentP2])</f>
        <v>887173.91135999071</v>
      </c>
      <c r="L3" s="21">
        <f>SUMIF(TableIncome[Year], "&lt;=" &amp; L1, TableIncome[InvestmentP2])</f>
        <v>989641.13135522185</v>
      </c>
      <c r="M3" s="21">
        <f>SUMIF(TableIncome[Year], "&lt;=" &amp; M1, TableIncome[InvestmentP2])</f>
        <v>1093133.0235504052</v>
      </c>
      <c r="N3" s="21">
        <f>SUMIF(TableIncome[Year], "&lt;=" &amp; N1, TableIncome[InvestmentP2])</f>
        <v>1197659.8346675404</v>
      </c>
      <c r="O3" s="21">
        <f>SUMIF(TableIncome[Year], "&lt;=" &amp; O1, TableIncome[InvestmentP2])</f>
        <v>1303231.913895847</v>
      </c>
      <c r="P3" s="21">
        <f>SUMIF(TableIncome[Year], "&lt;=" &amp; P1, TableIncome[InvestmentP2])</f>
        <v>1409859.7139164368</v>
      </c>
      <c r="Q3" s="21">
        <f>SUMIF(TableIncome[Year], "&lt;=" &amp; Q1, TableIncome[InvestmentP2])</f>
        <v>1517553.7919372323</v>
      </c>
      <c r="R3" s="21">
        <f>SUMIF(TableIncome[Year], "&lt;=" &amp; R1, TableIncome[InvestmentP2])</f>
        <v>1626324.8107382357</v>
      </c>
      <c r="S3" s="21">
        <f>SUMIF(TableIncome[Year], "&lt;=" &amp; S1, TableIncome[InvestmentP2])</f>
        <v>1736183.5397272492</v>
      </c>
      <c r="T3" s="21">
        <f>SUMIF(TableIncome[Year], "&lt;=" &amp; T1, TableIncome[InvestmentP2])</f>
        <v>1847140.8560061529</v>
      </c>
      <c r="U3" s="21">
        <f>SUMIF(TableIncome[Year], "&lt;=" &amp; U1, TableIncome[InvestmentP2])</f>
        <v>1959207.7454478457</v>
      </c>
      <c r="V3" s="21">
        <f>SUMIF(TableIncome[Year], "&lt;=" &amp; V1, TableIncome[InvestmentP2])</f>
        <v>2083601.9927281246</v>
      </c>
      <c r="W3" s="21">
        <f>SUMIF(TableIncome[Year], "&lt;=" &amp; W1, TableIncome[InvestmentP2])</f>
        <v>2209240.1824812065</v>
      </c>
      <c r="X3" s="21">
        <f>SUMIF(TableIncome[Year], "&lt;=" &amp; X1, TableIncome[InvestmentP2])</f>
        <v>2336134.7541318191</v>
      </c>
      <c r="Y3" s="21">
        <f>SUMIF(TableIncome[Year], "&lt;=" &amp; Y1, TableIncome[InvestmentP2])</f>
        <v>2464298.2714989376</v>
      </c>
      <c r="Z3" s="21">
        <f>SUMIF(TableIncome[Year], "&lt;=" &amp; Z1, TableIncome[InvestmentP2])</f>
        <v>2593743.4240397275</v>
      </c>
      <c r="AA3" s="21">
        <f>SUMIF(TableIncome[Year], "&lt;=" &amp; AA1, TableIncome[InvestmentP2])</f>
        <v>2724483.0281059253</v>
      </c>
      <c r="AB3" s="21">
        <f>SUMIF(TableIncome[Year], "&lt;=" &amp; AB1, TableIncome[InvestmentP2])</f>
        <v>2856530.0282127848</v>
      </c>
      <c r="AC3" s="21">
        <f>SUMIF(TableIncome[Year], "&lt;=" &amp; AC1, TableIncome[InvestmentP2])</f>
        <v>2989897.4983207132</v>
      </c>
      <c r="AD3" s="21">
        <f>SUMIF(TableIncome[Year], "&lt;=" &amp; AD1, TableIncome[InvestmentP2])</f>
        <v>3124598.6431297208</v>
      </c>
      <c r="AE3" s="21">
        <f>SUMIF(TableIncome[Year], "&lt;=" &amp; AE1, TableIncome[InvestmentP2])</f>
        <v>3260646.7993868184</v>
      </c>
      <c r="AF3" s="21">
        <f>SUMIF(TableIncome[Year], "&lt;=" &amp; AF1, TableIncome[InvestmentP2])</f>
        <v>3260646.7993868184</v>
      </c>
      <c r="AG3" s="21">
        <f>SUMIF(TableIncome[Year], "&lt;=" &amp; AG1, TableIncome[InvestmentP2])</f>
        <v>3260646.7993868184</v>
      </c>
      <c r="AH3" s="21">
        <f>SUMIF(TableIncome[Year], "&lt;=" &amp; AH1, TableIncome[InvestmentP2])</f>
        <v>3260646.7993868184</v>
      </c>
      <c r="AI3" s="21">
        <f>SUMIF(TableIncome[Year], "&lt;=" &amp; AI1, TableIncome[InvestmentP2])</f>
        <v>3260646.7993868184</v>
      </c>
      <c r="AJ3" s="21">
        <f>SUMIF(TableIncome[Year], "&lt;=" &amp; AJ1, TableIncome[InvestmentP2])</f>
        <v>3260646.7993868184</v>
      </c>
      <c r="AK3" s="21">
        <f>SUMIF(TableIncome[Year], "&lt;=" &amp; AK1, TableIncome[InvestmentP2])</f>
        <v>3260646.7993868184</v>
      </c>
      <c r="AL3" s="21">
        <f>SUMIF(TableIncome[Year], "&lt;=" &amp; AL1, TableIncome[InvestmentP2])</f>
        <v>3260646.7993868184</v>
      </c>
      <c r="AM3" s="21">
        <f>SUMIF(TableIncome[Year], "&lt;=" &amp; AM1, TableIncome[InvestmentP2])</f>
        <v>3260646.7993868184</v>
      </c>
      <c r="AN3" s="21">
        <f>SUMIF(TableIncome[Year], "&lt;=" &amp; AN1, TableIncome[InvestmentP2])</f>
        <v>3260646.7993868184</v>
      </c>
      <c r="AO3" s="21">
        <f>SUMIF(TableIncome[Year], "&lt;=" &amp; AO1, TableIncome[InvestmentP2])</f>
        <v>3260646.7993868184</v>
      </c>
      <c r="AP3" s="21">
        <f>SUMIF(TableIncome[Year], "&lt;=" &amp; AP1, TableIncome[InvestmentP2])</f>
        <v>3260646.7993868184</v>
      </c>
      <c r="AQ3" s="21">
        <f>SUMIF(TableIncome[Year], "&lt;=" &amp; AQ1, TableIncome[InvestmentP2])</f>
        <v>3260646.7993868184</v>
      </c>
      <c r="AR3" s="21">
        <f>SUMIF(TableIncome[Year], "&lt;=" &amp; AR1, TableIncome[InvestmentP2])</f>
        <v>3260646.7993868184</v>
      </c>
      <c r="AS3" s="21">
        <f>SUMIF(TableIncome[Year], "&lt;=" &amp; AS1, TableIncome[InvestmentP2])</f>
        <v>3260646.7993868184</v>
      </c>
      <c r="AT3" s="21">
        <f>SUMIF(TableIncome[Year], "&lt;=" &amp; AT1, TableIncome[InvestmentP2])</f>
        <v>3260646.7993868184</v>
      </c>
      <c r="AU3" s="21">
        <f>SUMIF(TableIncome[Year], "&lt;=" &amp; AU1, TableIncome[InvestmentP2])</f>
        <v>3260646.7993868184</v>
      </c>
      <c r="AV3" s="21">
        <f>SUMIF(TableIncome[Year], "&lt;=" &amp; AV1, TableIncome[InvestmentP2])</f>
        <v>3260646.7993868184</v>
      </c>
      <c r="AW3" s="21">
        <f>SUMIF(TableIncome[Year], "&lt;=" &amp; AW1, TableIncome[InvestmentP2])</f>
        <v>3260646.7993868184</v>
      </c>
      <c r="AX3" s="21">
        <f>SUMIF(TableIncome[Year], "&lt;=" &amp; AX1, TableIncome[InvestmentP2])</f>
        <v>3260646.7993868184</v>
      </c>
      <c r="AY3" s="21">
        <f>SUMIF(TableIncome[Year], "&lt;=" &amp; AY1, TableIncome[InvestmentP2])</f>
        <v>3260646.7993868184</v>
      </c>
      <c r="AZ3" s="21">
        <f>SUMIF(TableIncome[Year], "&lt;=" &amp; AZ1, TableIncome[InvestmentP2])</f>
        <v>3260646.7993868184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B74A-2ABA-4A7C-A82B-67864F0DEA98}">
  <dimension ref="A1:AZ9"/>
  <sheetViews>
    <sheetView zoomScale="92" workbookViewId="0">
      <selection activeCell="G22" sqref="G22"/>
    </sheetView>
  </sheetViews>
  <sheetFormatPr defaultRowHeight="14.5" x14ac:dyDescent="0.35"/>
  <cols>
    <col min="1" max="1" width="32.6328125" bestFit="1" customWidth="1"/>
    <col min="3" max="3" width="8.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28">
        <v>0.27149999999999996</v>
      </c>
      <c r="C2" s="28">
        <v>0.97049999999999992</v>
      </c>
      <c r="D2" s="28">
        <v>0.99219999999999997</v>
      </c>
      <c r="E2" s="28">
        <v>0.96290000000000009</v>
      </c>
      <c r="F2" s="28">
        <v>0.98159999999999992</v>
      </c>
      <c r="G2" s="28">
        <v>0.97829999999999995</v>
      </c>
      <c r="H2" s="28">
        <v>0.64370000000000005</v>
      </c>
      <c r="I2" s="28">
        <v>0.14069999999999999</v>
      </c>
      <c r="J2" s="28">
        <v>0.24160000000000001</v>
      </c>
      <c r="K2" s="28">
        <v>0.34229999999999999</v>
      </c>
      <c r="L2" s="28">
        <v>0.95519999999999994</v>
      </c>
      <c r="M2" s="28">
        <v>0.26219999999999999</v>
      </c>
      <c r="N2" s="28">
        <v>1.1000000000000001E-3</v>
      </c>
      <c r="O2" s="28">
        <v>0.35</v>
      </c>
      <c r="P2" s="28">
        <v>0.04</v>
      </c>
      <c r="Q2" s="28">
        <v>0.26879999999999998</v>
      </c>
      <c r="R2" s="28">
        <v>0.41509999999999997</v>
      </c>
      <c r="S2" s="28">
        <v>0.51969999999999994</v>
      </c>
      <c r="T2" s="28">
        <v>0.59549999999999992</v>
      </c>
      <c r="U2" s="28">
        <v>0.64239999999999997</v>
      </c>
      <c r="V2" s="28">
        <v>0.92370000000000008</v>
      </c>
      <c r="W2" s="28">
        <v>0.96550000000000002</v>
      </c>
      <c r="X2" s="28">
        <v>0.97519999999999996</v>
      </c>
      <c r="Y2" s="28">
        <v>2.0000000000000001E-4</v>
      </c>
      <c r="Z2" s="28">
        <v>0.97849999999999993</v>
      </c>
      <c r="AA2" s="28">
        <v>0.95379999999999998</v>
      </c>
      <c r="AB2" s="28">
        <v>0.96</v>
      </c>
      <c r="AC2" s="28">
        <v>0.93310000000000004</v>
      </c>
      <c r="AD2" s="28">
        <v>0.93730000000000002</v>
      </c>
      <c r="AE2" s="28">
        <v>0.94440000000000002</v>
      </c>
      <c r="AF2" s="28">
        <v>0.9748</v>
      </c>
      <c r="AG2" s="28">
        <v>0.94730000000000003</v>
      </c>
      <c r="AH2" s="28">
        <v>0.93900000000000006</v>
      </c>
      <c r="AI2" s="28">
        <v>0.96550000000000002</v>
      </c>
      <c r="AJ2" s="28">
        <v>0.87260000000000004</v>
      </c>
      <c r="AK2" s="28">
        <v>0.96489999999999998</v>
      </c>
      <c r="AL2" s="28">
        <v>0.94030000000000002</v>
      </c>
      <c r="AM2" s="28">
        <v>0.87239999999999995</v>
      </c>
      <c r="AN2" s="28">
        <v>0.89129999999999998</v>
      </c>
      <c r="AO2" s="28">
        <v>0.92269999999999996</v>
      </c>
      <c r="AP2" s="28">
        <v>0.93940000000000001</v>
      </c>
      <c r="AQ2" s="28">
        <v>0.87260000000000004</v>
      </c>
      <c r="AR2" s="28">
        <v>0.90029999999999999</v>
      </c>
      <c r="AS2" s="28">
        <v>0.87879999999999991</v>
      </c>
      <c r="AT2" s="28">
        <v>0.93140000000000001</v>
      </c>
      <c r="AU2" s="28">
        <v>0.94950000000000001</v>
      </c>
      <c r="AV2" s="28">
        <v>0.98280000000000001</v>
      </c>
      <c r="AW2" s="28">
        <v>0.9</v>
      </c>
      <c r="AX2" s="28">
        <v>1.4000000000000002E-3</v>
      </c>
      <c r="AY2" s="28">
        <v>0.91</v>
      </c>
      <c r="AZ2" s="28">
        <v>0.1164</v>
      </c>
    </row>
    <row r="3" spans="1:52" x14ac:dyDescent="0.35">
      <c r="A3" t="s">
        <v>107</v>
      </c>
      <c r="B3" s="28">
        <v>0.27440000000000003</v>
      </c>
      <c r="C3" s="28">
        <v>7.8000000000000005E-3</v>
      </c>
      <c r="D3" s="28">
        <v>2.0999999999999999E-3</v>
      </c>
      <c r="E3" s="28">
        <v>4.7999999999999996E-3</v>
      </c>
      <c r="F3" s="28">
        <v>4.0000000000000001E-3</v>
      </c>
      <c r="G3" s="28">
        <v>5.9999999999999995E-4</v>
      </c>
      <c r="H3" s="28">
        <v>0.27579999999999999</v>
      </c>
      <c r="I3" s="28">
        <v>1.8E-3</v>
      </c>
      <c r="J3" s="28">
        <v>1.9E-3</v>
      </c>
      <c r="K3" s="28">
        <v>1.7000000000000001E-3</v>
      </c>
      <c r="L3" s="28">
        <v>1.5E-3</v>
      </c>
      <c r="M3" s="28">
        <v>0.71379999999999999</v>
      </c>
      <c r="N3" s="28">
        <v>0.2132</v>
      </c>
      <c r="O3" s="28">
        <v>0</v>
      </c>
      <c r="P3" s="28">
        <v>0</v>
      </c>
      <c r="Q3" s="28">
        <v>5.0000000000000001E-4</v>
      </c>
      <c r="R3" s="28">
        <v>3.0000000000000001E-3</v>
      </c>
      <c r="S3" s="28">
        <v>7.8000000000000005E-3</v>
      </c>
      <c r="T3" s="28">
        <v>6.0999999999999995E-3</v>
      </c>
      <c r="U3" s="28">
        <v>1.6000000000000001E-3</v>
      </c>
      <c r="V3" s="28">
        <v>3.3799999999999997E-2</v>
      </c>
      <c r="W3" s="28">
        <v>1.66E-2</v>
      </c>
      <c r="X3" s="28">
        <v>5.0000000000000001E-3</v>
      </c>
      <c r="Y3" s="28">
        <v>0.96040000000000003</v>
      </c>
      <c r="Z3" s="28">
        <v>2.3999999999999998E-3</v>
      </c>
      <c r="AA3" s="28">
        <v>1.29E-2</v>
      </c>
      <c r="AB3" s="28">
        <v>1.55E-2</v>
      </c>
      <c r="AC3" s="28">
        <v>4.6999999999999993E-3</v>
      </c>
      <c r="AD3" s="28">
        <v>2.3E-3</v>
      </c>
      <c r="AE3" s="28">
        <v>4.3E-3</v>
      </c>
      <c r="AF3" s="28">
        <v>3.8E-3</v>
      </c>
      <c r="AG3" s="28">
        <v>0</v>
      </c>
      <c r="AH3" s="28">
        <v>1E-3</v>
      </c>
      <c r="AI3" s="28">
        <v>0</v>
      </c>
      <c r="AJ3" s="28">
        <v>0</v>
      </c>
      <c r="AK3" s="28">
        <v>0</v>
      </c>
      <c r="AL3" s="28">
        <v>5.0000000000000001E-4</v>
      </c>
      <c r="AM3" s="28">
        <v>0</v>
      </c>
      <c r="AN3" s="28">
        <v>0</v>
      </c>
      <c r="AO3" s="28">
        <v>0</v>
      </c>
      <c r="AP3" s="28">
        <v>0</v>
      </c>
      <c r="AQ3" s="28">
        <v>0</v>
      </c>
      <c r="AR3" s="28">
        <v>0</v>
      </c>
      <c r="AS3" s="28">
        <v>0</v>
      </c>
      <c r="AT3" s="28">
        <v>0</v>
      </c>
      <c r="AU3" s="28">
        <v>0</v>
      </c>
      <c r="AV3" s="28">
        <v>0</v>
      </c>
      <c r="AW3" s="28">
        <v>0</v>
      </c>
      <c r="AX3" s="28">
        <v>0.93</v>
      </c>
      <c r="AY3" s="28">
        <v>0</v>
      </c>
      <c r="AZ3" s="28">
        <v>9.8400000000000001E-2</v>
      </c>
    </row>
    <row r="4" spans="1:52" x14ac:dyDescent="0.35">
      <c r="A4" t="s">
        <v>161</v>
      </c>
      <c r="B4" s="28">
        <v>0.1555</v>
      </c>
      <c r="C4" s="28">
        <v>4.6999999999999993E-3</v>
      </c>
      <c r="D4" s="28">
        <v>1.1999999999999999E-3</v>
      </c>
      <c r="E4" s="28">
        <v>0.01</v>
      </c>
      <c r="F4" s="28">
        <v>3.3E-3</v>
      </c>
      <c r="G4" s="28">
        <v>7.000000000000001E-4</v>
      </c>
      <c r="H4" s="28">
        <v>5.7699999999999994E-2</v>
      </c>
      <c r="I4" s="28">
        <v>2.3E-3</v>
      </c>
      <c r="J4" s="28">
        <v>2.2000000000000001E-3</v>
      </c>
      <c r="K4" s="28">
        <v>1E-3</v>
      </c>
      <c r="L4" s="28">
        <v>9.7000000000000003E-3</v>
      </c>
      <c r="M4" s="28">
        <v>8.199999999999999E-3</v>
      </c>
      <c r="N4" s="28">
        <v>9.0000000000000011E-3</v>
      </c>
      <c r="O4" s="28">
        <v>0</v>
      </c>
      <c r="P4" s="28">
        <v>0</v>
      </c>
      <c r="Q4" s="28">
        <v>5.0000000000000001E-4</v>
      </c>
      <c r="R4" s="28">
        <v>5.8999999999999999E-3</v>
      </c>
      <c r="S4" s="28">
        <v>5.6000000000000008E-3</v>
      </c>
      <c r="T4" s="28">
        <v>1.1000000000000001E-3</v>
      </c>
      <c r="U4" s="28">
        <v>7.000000000000001E-4</v>
      </c>
      <c r="V4" s="28">
        <v>1.0700000000000001E-2</v>
      </c>
      <c r="W4" s="28">
        <v>6.8999999999999999E-3</v>
      </c>
      <c r="X4" s="28">
        <v>4.5000000000000005E-3</v>
      </c>
      <c r="Y4" s="28">
        <v>2.18E-2</v>
      </c>
      <c r="Z4" s="28">
        <v>5.5000000000000005E-3</v>
      </c>
      <c r="AA4" s="28">
        <v>1.0700000000000001E-2</v>
      </c>
      <c r="AB4" s="28">
        <v>6.7000000000000002E-3</v>
      </c>
      <c r="AC4" s="28">
        <v>8.8000000000000005E-3</v>
      </c>
      <c r="AD4" s="28">
        <v>5.0000000000000001E-3</v>
      </c>
      <c r="AE4" s="28">
        <v>2.7000000000000001E-3</v>
      </c>
      <c r="AF4" s="28">
        <v>6.8999999999999999E-3</v>
      </c>
      <c r="AG4" s="28">
        <v>2.3999999999999998E-3</v>
      </c>
      <c r="AH4" s="28">
        <v>4.6999999999999993E-3</v>
      </c>
      <c r="AI4" s="28">
        <v>4.0000000000000002E-4</v>
      </c>
      <c r="AJ4" s="28">
        <v>0</v>
      </c>
      <c r="AK4" s="28">
        <v>1.1000000000000001E-3</v>
      </c>
      <c r="AL4" s="28">
        <v>0</v>
      </c>
      <c r="AM4" s="28">
        <v>1E-4</v>
      </c>
      <c r="AN4" s="28">
        <v>0</v>
      </c>
      <c r="AO4" s="28">
        <v>0</v>
      </c>
      <c r="AP4" s="28">
        <v>0</v>
      </c>
      <c r="AQ4" s="28">
        <v>0</v>
      </c>
      <c r="AR4" s="28">
        <v>0</v>
      </c>
      <c r="AS4" s="28">
        <v>0</v>
      </c>
      <c r="AT4" s="28">
        <v>0</v>
      </c>
      <c r="AU4" s="28">
        <v>0</v>
      </c>
      <c r="AV4" s="28">
        <v>0</v>
      </c>
      <c r="AW4" s="28">
        <v>0</v>
      </c>
      <c r="AX4" s="28">
        <v>0</v>
      </c>
      <c r="AY4" s="28">
        <v>0</v>
      </c>
      <c r="AZ4" s="28">
        <v>0.2379</v>
      </c>
    </row>
    <row r="5" spans="1:52" x14ac:dyDescent="0.35">
      <c r="A5" t="s">
        <v>160</v>
      </c>
      <c r="B5" s="28">
        <v>0.1075</v>
      </c>
      <c r="C5" s="28">
        <v>3.3E-3</v>
      </c>
      <c r="D5" s="28">
        <v>3.4000000000000002E-3</v>
      </c>
      <c r="E5" s="28">
        <v>1.0200000000000001E-2</v>
      </c>
      <c r="F5" s="28">
        <v>3.9000000000000003E-3</v>
      </c>
      <c r="G5" s="28">
        <v>8.8000000000000005E-3</v>
      </c>
      <c r="H5" s="28">
        <v>9.5999999999999992E-3</v>
      </c>
      <c r="I5" s="28">
        <v>4.0000000000000002E-4</v>
      </c>
      <c r="J5" s="28">
        <v>5.9999999999999995E-4</v>
      </c>
      <c r="K5" s="28">
        <v>0</v>
      </c>
      <c r="L5" s="28">
        <v>1.1399999999999999E-2</v>
      </c>
      <c r="M5" s="28">
        <v>1.4000000000000002E-3</v>
      </c>
      <c r="N5" s="28">
        <v>5.8999999999999999E-3</v>
      </c>
      <c r="O5" s="28">
        <v>0</v>
      </c>
      <c r="P5" s="28">
        <v>0</v>
      </c>
      <c r="Q5" s="28">
        <v>4.1999999999999997E-3</v>
      </c>
      <c r="R5" s="28">
        <v>4.8999999999999998E-3</v>
      </c>
      <c r="S5" s="28">
        <v>6.6E-3</v>
      </c>
      <c r="T5" s="28">
        <v>4.0999999999999995E-3</v>
      </c>
      <c r="U5" s="28">
        <v>8.0000000000000004E-4</v>
      </c>
      <c r="V5" s="28">
        <v>3.0000000000000001E-3</v>
      </c>
      <c r="W5" s="28">
        <v>2.3999999999999998E-3</v>
      </c>
      <c r="X5" s="28">
        <v>5.6999999999999993E-3</v>
      </c>
      <c r="Y5" s="28">
        <v>6.7000000000000002E-3</v>
      </c>
      <c r="Z5" s="28">
        <v>4.0999999999999995E-3</v>
      </c>
      <c r="AA5" s="28">
        <v>3.0999999999999999E-3</v>
      </c>
      <c r="AB5" s="28">
        <v>5.8999999999999999E-3</v>
      </c>
      <c r="AC5" s="28">
        <v>7.7000000000000002E-3</v>
      </c>
      <c r="AD5" s="28">
        <v>4.5999999999999999E-3</v>
      </c>
      <c r="AE5" s="28">
        <v>6.8999999999999999E-3</v>
      </c>
      <c r="AF5" s="28">
        <v>2.0999999999999999E-3</v>
      </c>
      <c r="AG5" s="28">
        <v>5.6999999999999993E-3</v>
      </c>
      <c r="AH5" s="28">
        <v>2.0000000000000001E-4</v>
      </c>
      <c r="AI5" s="28">
        <v>1E-4</v>
      </c>
      <c r="AJ5" s="28">
        <v>0</v>
      </c>
      <c r="AK5" s="28">
        <v>1.4000000000000002E-3</v>
      </c>
      <c r="AL5" s="28">
        <v>0</v>
      </c>
      <c r="AM5" s="28">
        <v>1E-4</v>
      </c>
      <c r="AN5" s="28">
        <v>0</v>
      </c>
      <c r="AO5" s="28">
        <v>0</v>
      </c>
      <c r="AP5" s="28">
        <v>0</v>
      </c>
      <c r="AQ5" s="28">
        <v>0</v>
      </c>
      <c r="AR5" s="28">
        <v>0</v>
      </c>
      <c r="AS5" s="28">
        <v>0</v>
      </c>
      <c r="AT5" s="28">
        <v>0</v>
      </c>
      <c r="AU5" s="28">
        <v>0</v>
      </c>
      <c r="AV5" s="28">
        <v>0</v>
      </c>
      <c r="AW5" s="28">
        <v>0</v>
      </c>
      <c r="AX5" s="28">
        <v>0</v>
      </c>
      <c r="AY5" s="28">
        <v>0</v>
      </c>
      <c r="AZ5" s="28">
        <v>0.13419999999999999</v>
      </c>
    </row>
    <row r="6" spans="1:52" x14ac:dyDescent="0.35">
      <c r="A6" t="s">
        <v>159</v>
      </c>
      <c r="B6" s="28">
        <v>0.1241</v>
      </c>
      <c r="C6" s="28">
        <v>5.7999999999999996E-3</v>
      </c>
      <c r="D6" s="28">
        <v>1E-4</v>
      </c>
      <c r="E6" s="28">
        <v>8.8999999999999999E-3</v>
      </c>
      <c r="F6" s="28">
        <v>2.2000000000000001E-3</v>
      </c>
      <c r="G6" s="28">
        <v>6.5000000000000006E-3</v>
      </c>
      <c r="H6" s="28">
        <v>9.1000000000000004E-3</v>
      </c>
      <c r="I6" s="28">
        <v>2.3E-3</v>
      </c>
      <c r="J6" s="28">
        <v>1.2999999999999999E-3</v>
      </c>
      <c r="K6" s="28">
        <v>3.2000000000000002E-3</v>
      </c>
      <c r="L6" s="28">
        <v>8.0000000000000004E-4</v>
      </c>
      <c r="M6" s="28">
        <v>8.6E-3</v>
      </c>
      <c r="N6" s="28">
        <v>9.8999999999999991E-3</v>
      </c>
      <c r="O6" s="28">
        <v>0</v>
      </c>
      <c r="P6" s="28">
        <v>0</v>
      </c>
      <c r="Q6" s="28">
        <v>1.1200000000000002E-2</v>
      </c>
      <c r="R6" s="28">
        <v>5.0000000000000001E-3</v>
      </c>
      <c r="S6" s="28">
        <v>3.8E-3</v>
      </c>
      <c r="T6" s="28">
        <v>2.9999999999999997E-4</v>
      </c>
      <c r="U6" s="28">
        <v>1.5E-3</v>
      </c>
      <c r="V6" s="28">
        <v>2.87E-2</v>
      </c>
      <c r="W6" s="28">
        <v>4.6999999999999993E-3</v>
      </c>
      <c r="X6" s="28">
        <v>5.3E-3</v>
      </c>
      <c r="Y6" s="28">
        <v>9.7000000000000003E-3</v>
      </c>
      <c r="Z6" s="28">
        <v>1.8E-3</v>
      </c>
      <c r="AA6" s="28">
        <v>9.8999999999999991E-3</v>
      </c>
      <c r="AB6" s="28">
        <v>5.0000000000000001E-4</v>
      </c>
      <c r="AC6" s="28">
        <v>2.1700000000000001E-2</v>
      </c>
      <c r="AD6" s="28">
        <v>1.83E-2</v>
      </c>
      <c r="AE6" s="28">
        <v>2.6600000000000002E-2</v>
      </c>
      <c r="AF6" s="28">
        <v>6.6E-3</v>
      </c>
      <c r="AG6" s="28">
        <v>1.04E-2</v>
      </c>
      <c r="AH6" s="28">
        <v>1.8000000000000002E-2</v>
      </c>
      <c r="AI6" s="28">
        <v>1.1200000000000002E-2</v>
      </c>
      <c r="AJ6" s="28">
        <v>4.6999999999999993E-3</v>
      </c>
      <c r="AK6" s="28">
        <v>7.6E-3</v>
      </c>
      <c r="AL6" s="28">
        <v>7.3000000000000001E-3</v>
      </c>
      <c r="AM6" s="28">
        <v>3.4000000000000002E-3</v>
      </c>
      <c r="AN6" s="28">
        <v>3.2000000000000002E-3</v>
      </c>
      <c r="AO6" s="28">
        <v>2.2000000000000001E-3</v>
      </c>
      <c r="AP6" s="28">
        <v>0</v>
      </c>
      <c r="AQ6" s="28">
        <v>2.2000000000000001E-3</v>
      </c>
      <c r="AR6" s="28">
        <v>1.1000000000000001E-3</v>
      </c>
      <c r="AS6" s="28">
        <v>0</v>
      </c>
      <c r="AT6" s="28">
        <v>1.1000000000000001E-3</v>
      </c>
      <c r="AU6" s="28">
        <v>0</v>
      </c>
      <c r="AV6" s="28">
        <v>2.2000000000000001E-3</v>
      </c>
      <c r="AW6" s="28">
        <v>0</v>
      </c>
      <c r="AX6" s="28">
        <v>1.1000000000000001E-3</v>
      </c>
      <c r="AY6" s="28">
        <v>0</v>
      </c>
      <c r="AZ6" s="28">
        <v>0.16969999999999999</v>
      </c>
    </row>
    <row r="7" spans="1:52" x14ac:dyDescent="0.35">
      <c r="A7" t="s">
        <v>158</v>
      </c>
      <c r="B7" s="28">
        <v>6.7000000000000004E-2</v>
      </c>
      <c r="C7" s="28">
        <v>8.0000000000000002E-3</v>
      </c>
      <c r="D7" s="28">
        <v>1E-3</v>
      </c>
      <c r="E7" s="28">
        <v>3.2000000000000002E-3</v>
      </c>
      <c r="F7" s="28">
        <v>5.1000000000000004E-3</v>
      </c>
      <c r="G7" s="28">
        <v>5.1000000000000004E-3</v>
      </c>
      <c r="H7" s="28">
        <v>4.0999999999999995E-3</v>
      </c>
      <c r="I7" s="28">
        <v>0.85239999999999994</v>
      </c>
      <c r="J7" s="28">
        <v>0.75260000000000005</v>
      </c>
      <c r="K7" s="28">
        <v>0.65170000000000006</v>
      </c>
      <c r="L7" s="28">
        <v>2.1400000000000002E-2</v>
      </c>
      <c r="M7" s="28">
        <v>5.6999999999999993E-3</v>
      </c>
      <c r="N7" s="28">
        <v>0.76090000000000002</v>
      </c>
      <c r="O7" s="28">
        <v>0.65</v>
      </c>
      <c r="P7" s="28">
        <v>0.96</v>
      </c>
      <c r="Q7" s="28">
        <v>0.7147</v>
      </c>
      <c r="R7" s="28">
        <v>0.56600000000000006</v>
      </c>
      <c r="S7" s="28">
        <v>0.45640000000000003</v>
      </c>
      <c r="T7" s="28">
        <v>0.39289999999999997</v>
      </c>
      <c r="U7" s="28">
        <v>0.35310000000000002</v>
      </c>
      <c r="V7" s="28">
        <v>1E-4</v>
      </c>
      <c r="W7" s="28">
        <v>3.9000000000000003E-3</v>
      </c>
      <c r="X7" s="28">
        <v>4.3E-3</v>
      </c>
      <c r="Y7" s="28">
        <v>1.1000000000000001E-3</v>
      </c>
      <c r="Z7" s="28">
        <v>7.7000000000000002E-3</v>
      </c>
      <c r="AA7" s="28">
        <v>9.5999999999999992E-3</v>
      </c>
      <c r="AB7" s="28">
        <v>1.1399999999999999E-2</v>
      </c>
      <c r="AC7" s="28">
        <v>2.3900000000000001E-2</v>
      </c>
      <c r="AD7" s="28">
        <v>3.2599999999999997E-2</v>
      </c>
      <c r="AE7" s="28">
        <v>1.5100000000000001E-2</v>
      </c>
      <c r="AF7" s="28">
        <v>5.8999999999999999E-3</v>
      </c>
      <c r="AG7" s="28">
        <v>3.4300000000000004E-2</v>
      </c>
      <c r="AH7" s="28">
        <v>3.7000000000000005E-2</v>
      </c>
      <c r="AI7" s="28">
        <v>2.2799999999999997E-2</v>
      </c>
      <c r="AJ7" s="28">
        <v>0.1226</v>
      </c>
      <c r="AK7" s="28">
        <v>2.5000000000000001E-2</v>
      </c>
      <c r="AL7" s="28">
        <v>5.1900000000000002E-2</v>
      </c>
      <c r="AM7" s="28">
        <v>0.124</v>
      </c>
      <c r="AN7" s="28">
        <v>0.1056</v>
      </c>
      <c r="AO7" s="28">
        <v>7.51E-2</v>
      </c>
      <c r="AP7" s="28">
        <v>6.0599999999999994E-2</v>
      </c>
      <c r="AQ7" s="28">
        <v>0.12520000000000001</v>
      </c>
      <c r="AR7" s="28">
        <v>9.849999999999999E-2</v>
      </c>
      <c r="AS7" s="28">
        <v>0.12119999999999999</v>
      </c>
      <c r="AT7" s="28">
        <v>6.7500000000000004E-2</v>
      </c>
      <c r="AU7" s="28">
        <v>5.0499999999999996E-2</v>
      </c>
      <c r="AV7" s="28">
        <v>1.4999999999999999E-2</v>
      </c>
      <c r="AW7" s="28">
        <v>0.1</v>
      </c>
      <c r="AX7" s="28">
        <v>6.7500000000000004E-2</v>
      </c>
      <c r="AY7" s="28">
        <v>0.09</v>
      </c>
      <c r="AZ7" s="28">
        <v>0.24340000000000001</v>
      </c>
    </row>
    <row r="8" spans="1:52" x14ac:dyDescent="0.35">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row>
    <row r="9" spans="1:52" x14ac:dyDescent="0.35">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B312-685C-41F1-A0B9-5F2CAAFC3BC3}">
  <dimension ref="A1:AZ9"/>
  <sheetViews>
    <sheetView workbookViewId="0">
      <selection activeCell="K2" sqref="K2"/>
    </sheetView>
  </sheetViews>
  <sheetFormatPr defaultRowHeight="14.5" x14ac:dyDescent="0.35"/>
  <cols>
    <col min="3" max="3" width="9.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163</v>
      </c>
      <c r="B2" s="28">
        <v>0.29699999999999999</v>
      </c>
      <c r="C2" s="28">
        <v>1.9800000000000002E-2</v>
      </c>
      <c r="D2" s="28">
        <v>9.9000000000000008E-3</v>
      </c>
      <c r="E2" s="28">
        <v>9.9000000000000008E-3</v>
      </c>
      <c r="F2" s="28">
        <v>0.96970000000000001</v>
      </c>
      <c r="G2" s="28">
        <v>0.96040000000000003</v>
      </c>
      <c r="H2" s="28">
        <v>0.95050000000000001</v>
      </c>
      <c r="I2" s="28">
        <v>0.85</v>
      </c>
      <c r="J2" s="28">
        <v>0.75</v>
      </c>
      <c r="K2" s="28">
        <v>0.65</v>
      </c>
      <c r="L2" s="28">
        <v>0</v>
      </c>
      <c r="M2" s="28">
        <v>0</v>
      </c>
      <c r="N2" s="28">
        <v>0</v>
      </c>
      <c r="O2" s="28">
        <v>0</v>
      </c>
      <c r="P2" s="28">
        <v>0</v>
      </c>
      <c r="Q2" s="28">
        <v>0</v>
      </c>
      <c r="R2" s="28">
        <v>0</v>
      </c>
      <c r="S2" s="28">
        <v>0</v>
      </c>
      <c r="T2" s="28">
        <v>0</v>
      </c>
      <c r="U2" s="28">
        <v>0</v>
      </c>
      <c r="V2" s="28">
        <v>0</v>
      </c>
      <c r="W2" s="28">
        <v>0</v>
      </c>
      <c r="X2" s="28">
        <v>0</v>
      </c>
      <c r="Y2" s="28">
        <v>0</v>
      </c>
      <c r="Z2" s="28">
        <v>0</v>
      </c>
      <c r="AA2" s="28">
        <v>0</v>
      </c>
      <c r="AB2" s="28">
        <v>0</v>
      </c>
      <c r="AC2" s="28">
        <v>0</v>
      </c>
      <c r="AD2" s="28">
        <v>0</v>
      </c>
      <c r="AE2" s="28">
        <v>0</v>
      </c>
      <c r="AF2" s="28">
        <v>0</v>
      </c>
      <c r="AG2" s="28">
        <v>0</v>
      </c>
      <c r="AH2" s="28">
        <v>0</v>
      </c>
      <c r="AI2" s="28">
        <v>0</v>
      </c>
      <c r="AJ2" s="28">
        <v>0</v>
      </c>
      <c r="AK2" s="28">
        <v>0</v>
      </c>
      <c r="AL2" s="28">
        <v>0</v>
      </c>
      <c r="AM2" s="28">
        <v>0</v>
      </c>
      <c r="AN2" s="28">
        <v>0</v>
      </c>
      <c r="AO2" s="28">
        <v>0</v>
      </c>
      <c r="AP2" s="28">
        <v>0</v>
      </c>
      <c r="AQ2" s="28">
        <v>0</v>
      </c>
      <c r="AR2" s="28">
        <v>0</v>
      </c>
      <c r="AS2" s="28">
        <v>0</v>
      </c>
      <c r="AT2" s="28">
        <v>0</v>
      </c>
      <c r="AU2" s="28">
        <v>0</v>
      </c>
      <c r="AV2" s="28">
        <v>0</v>
      </c>
      <c r="AW2" s="28">
        <v>0</v>
      </c>
      <c r="AX2" s="28">
        <v>0</v>
      </c>
      <c r="AY2" s="28">
        <v>0</v>
      </c>
      <c r="AZ2" s="28">
        <v>0</v>
      </c>
    </row>
    <row r="3" spans="1:52" x14ac:dyDescent="0.35">
      <c r="A3" t="s">
        <v>164</v>
      </c>
      <c r="B3" s="28">
        <v>8.9099999999999999E-2</v>
      </c>
      <c r="C3" s="28">
        <v>0.90100000000000002</v>
      </c>
      <c r="D3" s="28">
        <v>0.90100000000000002</v>
      </c>
      <c r="E3" s="28">
        <v>0.90100000000000002</v>
      </c>
      <c r="F3" s="28">
        <v>1.01E-2</v>
      </c>
      <c r="G3" s="28">
        <v>9.9000000000000008E-3</v>
      </c>
      <c r="H3" s="28">
        <v>2.9700000000000001E-2</v>
      </c>
      <c r="I3" s="28">
        <v>0.01</v>
      </c>
      <c r="J3" s="28">
        <v>0.01</v>
      </c>
      <c r="K3" s="28">
        <v>0.32</v>
      </c>
      <c r="L3" s="28">
        <v>0.97940000000000005</v>
      </c>
      <c r="M3" s="28">
        <v>0.96909999999999996</v>
      </c>
      <c r="N3" s="28">
        <v>0.76770000000000005</v>
      </c>
      <c r="O3" s="28">
        <v>0.65</v>
      </c>
      <c r="P3" s="28">
        <v>0.55000000000000004</v>
      </c>
      <c r="Q3" s="28">
        <v>0</v>
      </c>
      <c r="R3" s="28">
        <v>0</v>
      </c>
      <c r="S3" s="28">
        <v>0</v>
      </c>
      <c r="T3" s="28">
        <v>0</v>
      </c>
      <c r="U3" s="28">
        <v>0</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8">
        <v>0</v>
      </c>
      <c r="AS3" s="28">
        <v>0</v>
      </c>
      <c r="AT3" s="28">
        <v>0</v>
      </c>
      <c r="AU3" s="28">
        <v>0</v>
      </c>
      <c r="AV3" s="28">
        <v>0</v>
      </c>
      <c r="AW3" s="28">
        <v>0</v>
      </c>
      <c r="AX3" s="28">
        <v>0</v>
      </c>
      <c r="AY3" s="28">
        <v>0</v>
      </c>
      <c r="AZ3" s="28">
        <v>0</v>
      </c>
    </row>
    <row r="4" spans="1:52" x14ac:dyDescent="0.35">
      <c r="A4" t="s">
        <v>165</v>
      </c>
      <c r="B4" s="28">
        <v>0.2772</v>
      </c>
      <c r="C4" s="28">
        <v>9.9000000000000008E-3</v>
      </c>
      <c r="D4" s="28">
        <v>4.9500000000000002E-2</v>
      </c>
      <c r="E4" s="28">
        <v>2.9700000000000001E-2</v>
      </c>
      <c r="F4" s="28">
        <v>1.01E-2</v>
      </c>
      <c r="G4" s="28">
        <v>1.9800000000000002E-2</v>
      </c>
      <c r="H4" s="28">
        <v>9.9000000000000008E-3</v>
      </c>
      <c r="I4" s="28">
        <v>0.08</v>
      </c>
      <c r="J4" s="28">
        <v>0.21</v>
      </c>
      <c r="K4" s="28">
        <v>0.01</v>
      </c>
      <c r="L4" s="28">
        <v>1.03E-2</v>
      </c>
      <c r="M4" s="28">
        <v>2.06E-2</v>
      </c>
      <c r="N4" s="28">
        <v>2.0199999999999999E-2</v>
      </c>
      <c r="O4" s="28">
        <v>0.32</v>
      </c>
      <c r="P4" s="28">
        <v>0.41</v>
      </c>
      <c r="Q4" s="28">
        <v>0.72919999999999996</v>
      </c>
      <c r="R4" s="28">
        <v>0.57730000000000004</v>
      </c>
      <c r="S4" s="28">
        <v>0.46939999999999998</v>
      </c>
      <c r="T4" s="28">
        <v>0.39389999999999997</v>
      </c>
      <c r="U4" s="28">
        <v>0.35349999999999998</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8">
        <v>0</v>
      </c>
      <c r="AS4" s="28">
        <v>0</v>
      </c>
      <c r="AT4" s="28">
        <v>0</v>
      </c>
      <c r="AU4" s="28">
        <v>0</v>
      </c>
      <c r="AV4" s="28">
        <v>0</v>
      </c>
      <c r="AW4" s="28">
        <v>0</v>
      </c>
      <c r="AX4" s="28">
        <v>0</v>
      </c>
      <c r="AY4" s="28">
        <v>0</v>
      </c>
      <c r="AZ4" s="28">
        <v>0</v>
      </c>
    </row>
    <row r="5" spans="1:52" x14ac:dyDescent="0.35">
      <c r="A5" t="s">
        <v>166</v>
      </c>
      <c r="B5" s="28">
        <v>0.33660000000000001</v>
      </c>
      <c r="C5" s="28">
        <v>6.93E-2</v>
      </c>
      <c r="D5" s="28">
        <v>3.9600000000000003E-2</v>
      </c>
      <c r="E5" s="28">
        <v>5.9400000000000001E-2</v>
      </c>
      <c r="F5" s="28">
        <v>1.01E-2</v>
      </c>
      <c r="G5" s="28">
        <v>9.9000000000000008E-3</v>
      </c>
      <c r="H5" s="28">
        <v>9.9000000000000008E-3</v>
      </c>
      <c r="I5" s="28">
        <v>0.06</v>
      </c>
      <c r="J5" s="28">
        <v>0.03</v>
      </c>
      <c r="K5" s="28">
        <v>0.02</v>
      </c>
      <c r="L5" s="28">
        <v>1.03E-2</v>
      </c>
      <c r="M5" s="28">
        <v>1.03E-2</v>
      </c>
      <c r="N5" s="28">
        <v>0.21210000000000001</v>
      </c>
      <c r="O5" s="28">
        <v>0.03</v>
      </c>
      <c r="P5" s="28">
        <v>0.04</v>
      </c>
      <c r="Q5" s="28">
        <v>0.27079999999999999</v>
      </c>
      <c r="R5" s="28">
        <v>0.42270000000000002</v>
      </c>
      <c r="S5" s="28">
        <v>0.53059999999999996</v>
      </c>
      <c r="T5" s="28">
        <v>0.60609999999999997</v>
      </c>
      <c r="U5" s="28">
        <v>0.64649999999999996</v>
      </c>
      <c r="V5" s="28">
        <v>1</v>
      </c>
      <c r="W5" s="28">
        <v>1</v>
      </c>
      <c r="X5" s="28">
        <v>1</v>
      </c>
      <c r="Y5" s="28">
        <v>1</v>
      </c>
      <c r="Z5" s="28">
        <v>1</v>
      </c>
      <c r="AA5" s="28">
        <v>1</v>
      </c>
      <c r="AB5" s="28">
        <v>1</v>
      </c>
      <c r="AC5" s="28">
        <v>1</v>
      </c>
      <c r="AD5" s="28">
        <v>1</v>
      </c>
      <c r="AE5" s="28">
        <v>1</v>
      </c>
      <c r="AF5" s="28">
        <v>1</v>
      </c>
      <c r="AG5" s="28">
        <v>1</v>
      </c>
      <c r="AH5" s="28">
        <v>1</v>
      </c>
      <c r="AI5" s="28">
        <v>1</v>
      </c>
      <c r="AJ5" s="28">
        <v>1</v>
      </c>
      <c r="AK5" s="28">
        <v>1</v>
      </c>
      <c r="AL5" s="28">
        <v>1</v>
      </c>
      <c r="AM5" s="28">
        <v>1</v>
      </c>
      <c r="AN5" s="28">
        <v>1</v>
      </c>
      <c r="AO5" s="28">
        <v>1</v>
      </c>
      <c r="AP5" s="28">
        <v>1</v>
      </c>
      <c r="AQ5" s="28">
        <v>1</v>
      </c>
      <c r="AR5" s="28">
        <v>1</v>
      </c>
      <c r="AS5" s="28">
        <v>1</v>
      </c>
      <c r="AT5" s="28">
        <v>1</v>
      </c>
      <c r="AU5" s="28">
        <v>1</v>
      </c>
      <c r="AV5" s="28">
        <v>1</v>
      </c>
      <c r="AW5" s="28">
        <v>1</v>
      </c>
      <c r="AX5" s="28">
        <v>1</v>
      </c>
      <c r="AY5" s="28">
        <v>1</v>
      </c>
      <c r="AZ5" s="28">
        <v>0</v>
      </c>
    </row>
    <row r="9" spans="1:52" x14ac:dyDescent="0.35">
      <c r="C9"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133A-777A-45BD-A5DC-28656BDD3694}">
  <dimension ref="A1:AZ7"/>
  <sheetViews>
    <sheetView workbookViewId="0">
      <selection activeCell="C18" sqref="C18"/>
    </sheetView>
  </sheetViews>
  <sheetFormatPr defaultRowHeight="14.5" x14ac:dyDescent="0.35"/>
  <cols>
    <col min="1" max="1" width="31.4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107</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161</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160</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row r="6" spans="1:52" x14ac:dyDescent="0.35">
      <c r="A6" t="s">
        <v>159</v>
      </c>
      <c r="B6" s="28"/>
      <c r="C6" s="28"/>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row>
    <row r="7" spans="1:52" x14ac:dyDescent="0.35">
      <c r="A7" t="s">
        <v>158</v>
      </c>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85</v>
      </c>
    </row>
    <row r="4" spans="2:2" x14ac:dyDescent="0.35">
      <c r="B4" s="1" t="s">
        <v>86</v>
      </c>
    </row>
    <row r="5" spans="2:2" x14ac:dyDescent="0.35">
      <c r="B5" s="1" t="s">
        <v>87</v>
      </c>
    </row>
    <row r="6" spans="2:2" x14ac:dyDescent="0.35">
      <c r="B6" s="1" t="s">
        <v>92</v>
      </c>
    </row>
    <row r="7" spans="2:2" x14ac:dyDescent="0.35">
      <c r="B7" s="1" t="s">
        <v>88</v>
      </c>
    </row>
    <row r="9" spans="2:2" x14ac:dyDescent="0.35">
      <c r="B9" s="1" t="s">
        <v>89</v>
      </c>
    </row>
    <row r="13" spans="2:2" x14ac:dyDescent="0.35">
      <c r="B13" s="1" t="s">
        <v>90</v>
      </c>
    </row>
    <row r="14" spans="2:2" x14ac:dyDescent="0.35">
      <c r="B14" s="1" t="s">
        <v>91</v>
      </c>
    </row>
    <row r="18" spans="2:2" x14ac:dyDescent="0.35">
      <c r="B18" s="1" t="s">
        <v>93</v>
      </c>
    </row>
    <row r="37" spans="2:14" x14ac:dyDescent="0.35">
      <c r="B37" s="1" t="s">
        <v>94</v>
      </c>
    </row>
    <row r="41" spans="2:14" x14ac:dyDescent="0.35">
      <c r="C41" s="1" t="s">
        <v>95</v>
      </c>
    </row>
    <row r="42" spans="2:14" x14ac:dyDescent="0.35">
      <c r="D42" s="1" t="s">
        <v>98</v>
      </c>
      <c r="E42" s="1" t="s">
        <v>99</v>
      </c>
    </row>
    <row r="43" spans="2:14" x14ac:dyDescent="0.35">
      <c r="C43" s="1" t="s">
        <v>96</v>
      </c>
      <c r="D43" s="26">
        <v>0.03</v>
      </c>
      <c r="E43" s="26">
        <v>0.01</v>
      </c>
      <c r="H43" s="1">
        <v>2025</v>
      </c>
      <c r="I43" s="1">
        <v>2026</v>
      </c>
      <c r="J43" s="1">
        <v>2027</v>
      </c>
      <c r="M43" s="49" t="s">
        <v>100</v>
      </c>
      <c r="N43" s="50" t="s">
        <v>101</v>
      </c>
    </row>
    <row r="44" spans="2:14" x14ac:dyDescent="0.35">
      <c r="C44" s="1" t="s">
        <v>97</v>
      </c>
      <c r="D44" s="26">
        <v>0.1</v>
      </c>
      <c r="E44" s="26">
        <v>0.03</v>
      </c>
      <c r="H44" s="26">
        <v>0.03</v>
      </c>
      <c r="I44" s="26">
        <v>0.04</v>
      </c>
      <c r="J44" s="26">
        <v>0.06</v>
      </c>
      <c r="K44" s="26">
        <v>7.0000000000000007E-2</v>
      </c>
      <c r="L44" s="26">
        <v>0.1</v>
      </c>
      <c r="M44" s="49"/>
      <c r="N44" s="50"/>
    </row>
    <row r="45" spans="2:14" x14ac:dyDescent="0.35">
      <c r="M45" s="49"/>
      <c r="N45" s="50"/>
    </row>
    <row r="46" spans="2:14" x14ac:dyDescent="0.35">
      <c r="H46" s="26">
        <f>AVERAGE(H44:L44)</f>
        <v>6.0000000000000012E-2</v>
      </c>
      <c r="I46" s="26">
        <f>AVERAGE(I44:L44)</f>
        <v>6.7500000000000004E-2</v>
      </c>
      <c r="M46" s="49"/>
      <c r="N46" s="50"/>
    </row>
    <row r="51" spans="2:21" x14ac:dyDescent="0.35">
      <c r="J51" s="1" t="s">
        <v>102</v>
      </c>
      <c r="L51" s="1" t="s">
        <v>103</v>
      </c>
    </row>
    <row r="53" spans="2:21" x14ac:dyDescent="0.35">
      <c r="J53" s="1">
        <v>2025</v>
      </c>
      <c r="K53" s="1">
        <v>2026</v>
      </c>
      <c r="L53" s="1">
        <v>2027</v>
      </c>
      <c r="M53" s="1">
        <v>2028</v>
      </c>
      <c r="N53" s="1">
        <v>2029</v>
      </c>
      <c r="O53" s="1">
        <v>2030</v>
      </c>
      <c r="P53" s="1">
        <v>2031</v>
      </c>
      <c r="Q53" s="1">
        <v>2032</v>
      </c>
      <c r="R53" s="1">
        <v>2033</v>
      </c>
      <c r="S53" s="1">
        <v>2034</v>
      </c>
      <c r="U53" s="1" t="s">
        <v>104</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105</v>
      </c>
    </row>
  </sheetData>
  <mergeCells count="2">
    <mergeCell ref="M43:M46"/>
    <mergeCell ref="N43:N4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CF605-A567-418D-810B-893BBCEAF35A}">
  <dimension ref="A1:AZ5"/>
  <sheetViews>
    <sheetView workbookViewId="0">
      <selection activeCell="B1" sqref="B1:AZ1"/>
    </sheetView>
  </sheetViews>
  <sheetFormatPr defaultRowHeight="14.5" x14ac:dyDescent="0.35"/>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163</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164</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165</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166</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D5" sqref="D5"/>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36">
        <f>8.6%-_xlfn.XLOOKUP(A2,BasisPointCost!$A:$A,BasisPointCost!$B:$B)</f>
        <v>8.3999999999999991E-2</v>
      </c>
      <c r="C2" s="36">
        <f>B2</f>
        <v>8.3999999999999991E-2</v>
      </c>
      <c r="D2" s="36">
        <f t="shared" ref="D2:K2" si="0">C2</f>
        <v>8.3999999999999991E-2</v>
      </c>
      <c r="E2" s="36">
        <f t="shared" si="0"/>
        <v>8.3999999999999991E-2</v>
      </c>
      <c r="F2" s="36">
        <f t="shared" si="0"/>
        <v>8.3999999999999991E-2</v>
      </c>
      <c r="G2" s="36">
        <f t="shared" si="0"/>
        <v>8.3999999999999991E-2</v>
      </c>
      <c r="H2" s="36">
        <f t="shared" si="0"/>
        <v>8.3999999999999991E-2</v>
      </c>
      <c r="I2" s="36">
        <f t="shared" si="0"/>
        <v>8.3999999999999991E-2</v>
      </c>
      <c r="J2" s="36">
        <f t="shared" si="0"/>
        <v>8.3999999999999991E-2</v>
      </c>
      <c r="K2" s="36">
        <f t="shared" si="0"/>
        <v>8.3999999999999991E-2</v>
      </c>
      <c r="L2" s="37">
        <f>6.5%-0.2%</f>
        <v>6.3E-2</v>
      </c>
      <c r="M2" s="36">
        <f t="shared" ref="C2:M7" si="1">L2</f>
        <v>6.3E-2</v>
      </c>
      <c r="N2" s="36">
        <f t="shared" ref="N2:N7" si="2">M2</f>
        <v>6.3E-2</v>
      </c>
      <c r="O2" s="36">
        <f t="shared" ref="O2:O7" si="3">N2</f>
        <v>6.3E-2</v>
      </c>
      <c r="P2" s="36">
        <f t="shared" ref="P2:P7" si="4">O2</f>
        <v>6.3E-2</v>
      </c>
      <c r="Q2" s="36">
        <f t="shared" ref="Q2:Q7" si="5">P2</f>
        <v>6.3E-2</v>
      </c>
      <c r="R2" s="36">
        <f t="shared" ref="R2:R7" si="6">Q2</f>
        <v>6.3E-2</v>
      </c>
      <c r="S2" s="36">
        <f t="shared" ref="S2:S7" si="7">R2</f>
        <v>6.3E-2</v>
      </c>
      <c r="T2" s="36">
        <f t="shared" ref="T2:T7" si="8">S2</f>
        <v>6.3E-2</v>
      </c>
      <c r="U2" s="36">
        <f t="shared" ref="U2:U7" si="9">T2</f>
        <v>6.3E-2</v>
      </c>
      <c r="V2" s="36">
        <f t="shared" ref="V2:V7" si="10">U2</f>
        <v>6.3E-2</v>
      </c>
      <c r="W2" s="36">
        <f t="shared" ref="W2:W7" si="11">V2</f>
        <v>6.3E-2</v>
      </c>
      <c r="X2" s="36">
        <f t="shared" ref="X2:X7" si="12">W2</f>
        <v>6.3E-2</v>
      </c>
      <c r="Y2" s="36">
        <f t="shared" ref="Y2:Y7" si="13">X2</f>
        <v>6.3E-2</v>
      </c>
      <c r="Z2" s="36">
        <f t="shared" ref="Z2:Z7" si="14">Y2</f>
        <v>6.3E-2</v>
      </c>
      <c r="AA2" s="36">
        <f t="shared" ref="AA2:AA7" si="15">Z2</f>
        <v>6.3E-2</v>
      </c>
      <c r="AB2" s="36">
        <f t="shared" ref="AB2:AB7" si="16">AA2</f>
        <v>6.3E-2</v>
      </c>
      <c r="AC2" s="36">
        <f t="shared" ref="AC2:AC7" si="17">AB2</f>
        <v>6.3E-2</v>
      </c>
      <c r="AD2" s="36">
        <f t="shared" ref="AD2:AD7" si="18">AC2</f>
        <v>6.3E-2</v>
      </c>
      <c r="AE2" s="36">
        <f t="shared" ref="AE2:AE7" si="19">AD2</f>
        <v>6.3E-2</v>
      </c>
      <c r="AF2" s="36">
        <f t="shared" ref="AF2:AF7" si="20">AE2</f>
        <v>6.3E-2</v>
      </c>
      <c r="AG2" s="36">
        <f t="shared" ref="AG2:AG7" si="21">AF2</f>
        <v>6.3E-2</v>
      </c>
      <c r="AH2" s="36">
        <f t="shared" ref="AH2:AH7" si="22">AG2</f>
        <v>6.3E-2</v>
      </c>
      <c r="AI2" s="36">
        <f t="shared" ref="AI2:AI7" si="23">AH2</f>
        <v>6.3E-2</v>
      </c>
      <c r="AJ2" s="36">
        <f t="shared" ref="AJ2:AJ7" si="24">AI2</f>
        <v>6.3E-2</v>
      </c>
      <c r="AK2" s="36">
        <f t="shared" ref="AK2:AK7" si="25">AJ2</f>
        <v>6.3E-2</v>
      </c>
      <c r="AL2" s="36">
        <f t="shared" ref="AL2:AL7" si="26">AK2</f>
        <v>6.3E-2</v>
      </c>
      <c r="AM2" s="36">
        <f t="shared" ref="AM2:AM7" si="27">AL2</f>
        <v>6.3E-2</v>
      </c>
      <c r="AN2" s="36">
        <f t="shared" ref="AN2:AN7" si="28">AM2</f>
        <v>6.3E-2</v>
      </c>
      <c r="AO2" s="36">
        <f t="shared" ref="AO2:AO7" si="29">AN2</f>
        <v>6.3E-2</v>
      </c>
      <c r="AP2" s="36">
        <f t="shared" ref="AP2:AP7" si="30">AO2</f>
        <v>6.3E-2</v>
      </c>
      <c r="AQ2" s="36">
        <f t="shared" ref="AQ2:AQ7" si="31">AP2</f>
        <v>6.3E-2</v>
      </c>
      <c r="AR2" s="36">
        <f t="shared" ref="AR2:AR7" si="32">AQ2</f>
        <v>6.3E-2</v>
      </c>
      <c r="AS2" s="36">
        <f t="shared" ref="AS2:AS7" si="33">AR2</f>
        <v>6.3E-2</v>
      </c>
      <c r="AT2" s="36">
        <f t="shared" ref="AT2:AT7" si="34">AS2</f>
        <v>6.3E-2</v>
      </c>
      <c r="AU2" s="36">
        <f t="shared" ref="AU2:AU7" si="35">AT2</f>
        <v>6.3E-2</v>
      </c>
      <c r="AV2" s="36">
        <f t="shared" ref="AV2:AV7" si="36">AU2</f>
        <v>6.3E-2</v>
      </c>
      <c r="AW2" s="36">
        <f t="shared" ref="AW2:AW7" si="37">AV2</f>
        <v>6.3E-2</v>
      </c>
      <c r="AX2" s="36">
        <f t="shared" ref="AX2:AX7" si="38">AW2</f>
        <v>6.3E-2</v>
      </c>
      <c r="AY2" s="36">
        <f t="shared" ref="AY2:AY7" si="39">AX2</f>
        <v>6.3E-2</v>
      </c>
      <c r="AZ2" s="36">
        <f t="shared" ref="AZ2:AZ7" si="40">AY2</f>
        <v>6.3E-2</v>
      </c>
    </row>
    <row r="3" spans="1:52" x14ac:dyDescent="0.35">
      <c r="A3" t="s">
        <v>107</v>
      </c>
      <c r="B3" s="36">
        <f>7%-_xlfn.XLOOKUP(A3,BasisPointCost!$A:$A,BasisPointCost!$B:$B)</f>
        <v>6.8000000000000005E-2</v>
      </c>
      <c r="C3" s="36">
        <f>B3</f>
        <v>6.8000000000000005E-2</v>
      </c>
      <c r="D3" s="36">
        <f t="shared" ref="D3:K3" si="41">C3</f>
        <v>6.8000000000000005E-2</v>
      </c>
      <c r="E3" s="36">
        <f t="shared" si="41"/>
        <v>6.8000000000000005E-2</v>
      </c>
      <c r="F3" s="36">
        <f t="shared" si="41"/>
        <v>6.8000000000000005E-2</v>
      </c>
      <c r="G3" s="36">
        <f t="shared" si="41"/>
        <v>6.8000000000000005E-2</v>
      </c>
      <c r="H3" s="36">
        <f t="shared" si="41"/>
        <v>6.8000000000000005E-2</v>
      </c>
      <c r="I3" s="36">
        <f t="shared" si="41"/>
        <v>6.8000000000000005E-2</v>
      </c>
      <c r="J3" s="36">
        <f t="shared" si="41"/>
        <v>6.8000000000000005E-2</v>
      </c>
      <c r="K3" s="36">
        <f t="shared" si="41"/>
        <v>6.8000000000000005E-2</v>
      </c>
      <c r="L3" s="37">
        <f>6.5%-0.2%</f>
        <v>6.3E-2</v>
      </c>
      <c r="M3" s="36">
        <f t="shared" si="1"/>
        <v>6.3E-2</v>
      </c>
      <c r="N3" s="36">
        <f t="shared" si="2"/>
        <v>6.3E-2</v>
      </c>
      <c r="O3" s="36">
        <f t="shared" si="3"/>
        <v>6.3E-2</v>
      </c>
      <c r="P3" s="36">
        <f t="shared" si="4"/>
        <v>6.3E-2</v>
      </c>
      <c r="Q3" s="36">
        <f t="shared" si="5"/>
        <v>6.3E-2</v>
      </c>
      <c r="R3" s="36">
        <f t="shared" si="6"/>
        <v>6.3E-2</v>
      </c>
      <c r="S3" s="36">
        <f t="shared" si="7"/>
        <v>6.3E-2</v>
      </c>
      <c r="T3" s="36">
        <f t="shared" si="8"/>
        <v>6.3E-2</v>
      </c>
      <c r="U3" s="36">
        <f t="shared" si="9"/>
        <v>6.3E-2</v>
      </c>
      <c r="V3" s="36">
        <f t="shared" si="10"/>
        <v>6.3E-2</v>
      </c>
      <c r="W3" s="36">
        <f t="shared" si="11"/>
        <v>6.3E-2</v>
      </c>
      <c r="X3" s="36">
        <f t="shared" si="12"/>
        <v>6.3E-2</v>
      </c>
      <c r="Y3" s="36">
        <f t="shared" si="13"/>
        <v>6.3E-2</v>
      </c>
      <c r="Z3" s="36">
        <f t="shared" si="14"/>
        <v>6.3E-2</v>
      </c>
      <c r="AA3" s="36">
        <f t="shared" si="15"/>
        <v>6.3E-2</v>
      </c>
      <c r="AB3" s="36">
        <f t="shared" si="16"/>
        <v>6.3E-2</v>
      </c>
      <c r="AC3" s="36">
        <f t="shared" si="17"/>
        <v>6.3E-2</v>
      </c>
      <c r="AD3" s="36">
        <f t="shared" si="18"/>
        <v>6.3E-2</v>
      </c>
      <c r="AE3" s="36">
        <f t="shared" si="19"/>
        <v>6.3E-2</v>
      </c>
      <c r="AF3" s="36">
        <f t="shared" si="20"/>
        <v>6.3E-2</v>
      </c>
      <c r="AG3" s="36">
        <f t="shared" si="21"/>
        <v>6.3E-2</v>
      </c>
      <c r="AH3" s="36">
        <f t="shared" si="22"/>
        <v>6.3E-2</v>
      </c>
      <c r="AI3" s="36">
        <f t="shared" si="23"/>
        <v>6.3E-2</v>
      </c>
      <c r="AJ3" s="36">
        <f t="shared" si="24"/>
        <v>6.3E-2</v>
      </c>
      <c r="AK3" s="36">
        <f t="shared" si="25"/>
        <v>6.3E-2</v>
      </c>
      <c r="AL3" s="36">
        <f t="shared" si="26"/>
        <v>6.3E-2</v>
      </c>
      <c r="AM3" s="36">
        <f t="shared" si="27"/>
        <v>6.3E-2</v>
      </c>
      <c r="AN3" s="36">
        <f t="shared" si="28"/>
        <v>6.3E-2</v>
      </c>
      <c r="AO3" s="36">
        <f t="shared" si="29"/>
        <v>6.3E-2</v>
      </c>
      <c r="AP3" s="36">
        <f t="shared" si="30"/>
        <v>6.3E-2</v>
      </c>
      <c r="AQ3" s="36">
        <f t="shared" si="31"/>
        <v>6.3E-2</v>
      </c>
      <c r="AR3" s="36">
        <f t="shared" si="32"/>
        <v>6.3E-2</v>
      </c>
      <c r="AS3" s="36">
        <f t="shared" si="33"/>
        <v>6.3E-2</v>
      </c>
      <c r="AT3" s="36">
        <f t="shared" si="34"/>
        <v>6.3E-2</v>
      </c>
      <c r="AU3" s="36">
        <f t="shared" si="35"/>
        <v>6.3E-2</v>
      </c>
      <c r="AV3" s="36">
        <f t="shared" si="36"/>
        <v>6.3E-2</v>
      </c>
      <c r="AW3" s="36">
        <f t="shared" si="37"/>
        <v>6.3E-2</v>
      </c>
      <c r="AX3" s="36">
        <f t="shared" si="38"/>
        <v>6.3E-2</v>
      </c>
      <c r="AY3" s="36">
        <f t="shared" si="39"/>
        <v>6.3E-2</v>
      </c>
      <c r="AZ3" s="36">
        <f t="shared" si="40"/>
        <v>6.3E-2</v>
      </c>
    </row>
    <row r="4" spans="1:52" x14ac:dyDescent="0.35">
      <c r="A4" t="s">
        <v>161</v>
      </c>
      <c r="B4" s="36">
        <f>4.9%-_xlfn.XLOOKUP(A4,BasisPointCost!$A:$A,BasisPointCost!$B:$B)</f>
        <v>4.8300000000000003E-2</v>
      </c>
      <c r="C4" s="36">
        <f t="shared" si="1"/>
        <v>4.8300000000000003E-2</v>
      </c>
      <c r="D4" s="36">
        <f t="shared" si="1"/>
        <v>4.8300000000000003E-2</v>
      </c>
      <c r="E4" s="36">
        <f t="shared" si="1"/>
        <v>4.8300000000000003E-2</v>
      </c>
      <c r="F4" s="36">
        <f t="shared" si="1"/>
        <v>4.8300000000000003E-2</v>
      </c>
      <c r="G4" s="36">
        <f t="shared" si="1"/>
        <v>4.8300000000000003E-2</v>
      </c>
      <c r="H4" s="36">
        <f t="shared" si="1"/>
        <v>4.8300000000000003E-2</v>
      </c>
      <c r="I4" s="36">
        <f t="shared" si="1"/>
        <v>4.8300000000000003E-2</v>
      </c>
      <c r="J4" s="36">
        <f t="shared" si="1"/>
        <v>4.8300000000000003E-2</v>
      </c>
      <c r="K4" s="36">
        <f t="shared" si="1"/>
        <v>4.8300000000000003E-2</v>
      </c>
      <c r="L4" s="37">
        <f>3.5%-0.07%</f>
        <v>3.4300000000000004E-2</v>
      </c>
      <c r="M4" s="36">
        <f t="shared" si="1"/>
        <v>3.4300000000000004E-2</v>
      </c>
      <c r="N4" s="36">
        <f t="shared" si="2"/>
        <v>3.4300000000000004E-2</v>
      </c>
      <c r="O4" s="36">
        <f t="shared" si="3"/>
        <v>3.4300000000000004E-2</v>
      </c>
      <c r="P4" s="36">
        <f t="shared" si="4"/>
        <v>3.4300000000000004E-2</v>
      </c>
      <c r="Q4" s="36">
        <f t="shared" si="5"/>
        <v>3.4300000000000004E-2</v>
      </c>
      <c r="R4" s="36">
        <f t="shared" si="6"/>
        <v>3.4300000000000004E-2</v>
      </c>
      <c r="S4" s="36">
        <f t="shared" si="7"/>
        <v>3.4300000000000004E-2</v>
      </c>
      <c r="T4" s="36">
        <f t="shared" si="8"/>
        <v>3.4300000000000004E-2</v>
      </c>
      <c r="U4" s="36">
        <f t="shared" si="9"/>
        <v>3.4300000000000004E-2</v>
      </c>
      <c r="V4" s="36">
        <f t="shared" si="10"/>
        <v>3.4300000000000004E-2</v>
      </c>
      <c r="W4" s="36">
        <f t="shared" si="11"/>
        <v>3.4300000000000004E-2</v>
      </c>
      <c r="X4" s="36">
        <f t="shared" si="12"/>
        <v>3.4300000000000004E-2</v>
      </c>
      <c r="Y4" s="36">
        <f t="shared" si="13"/>
        <v>3.4300000000000004E-2</v>
      </c>
      <c r="Z4" s="36">
        <f t="shared" si="14"/>
        <v>3.4300000000000004E-2</v>
      </c>
      <c r="AA4" s="36">
        <f t="shared" si="15"/>
        <v>3.4300000000000004E-2</v>
      </c>
      <c r="AB4" s="36">
        <f t="shared" si="16"/>
        <v>3.4300000000000004E-2</v>
      </c>
      <c r="AC4" s="36">
        <f t="shared" si="17"/>
        <v>3.4300000000000004E-2</v>
      </c>
      <c r="AD4" s="36">
        <f t="shared" si="18"/>
        <v>3.4300000000000004E-2</v>
      </c>
      <c r="AE4" s="36">
        <f t="shared" si="19"/>
        <v>3.4300000000000004E-2</v>
      </c>
      <c r="AF4" s="36">
        <f t="shared" si="20"/>
        <v>3.4300000000000004E-2</v>
      </c>
      <c r="AG4" s="36">
        <f t="shared" si="21"/>
        <v>3.4300000000000004E-2</v>
      </c>
      <c r="AH4" s="36">
        <f t="shared" si="22"/>
        <v>3.4300000000000004E-2</v>
      </c>
      <c r="AI4" s="36">
        <f t="shared" si="23"/>
        <v>3.4300000000000004E-2</v>
      </c>
      <c r="AJ4" s="36">
        <f t="shared" si="24"/>
        <v>3.4300000000000004E-2</v>
      </c>
      <c r="AK4" s="36">
        <f t="shared" si="25"/>
        <v>3.4300000000000004E-2</v>
      </c>
      <c r="AL4" s="36">
        <f t="shared" si="26"/>
        <v>3.4300000000000004E-2</v>
      </c>
      <c r="AM4" s="36">
        <f t="shared" si="27"/>
        <v>3.4300000000000004E-2</v>
      </c>
      <c r="AN4" s="36">
        <f t="shared" si="28"/>
        <v>3.4300000000000004E-2</v>
      </c>
      <c r="AO4" s="36">
        <f t="shared" si="29"/>
        <v>3.4300000000000004E-2</v>
      </c>
      <c r="AP4" s="36">
        <f t="shared" si="30"/>
        <v>3.4300000000000004E-2</v>
      </c>
      <c r="AQ4" s="36">
        <f t="shared" si="31"/>
        <v>3.4300000000000004E-2</v>
      </c>
      <c r="AR4" s="36">
        <f t="shared" si="32"/>
        <v>3.4300000000000004E-2</v>
      </c>
      <c r="AS4" s="36">
        <f t="shared" si="33"/>
        <v>3.4300000000000004E-2</v>
      </c>
      <c r="AT4" s="36">
        <f t="shared" si="34"/>
        <v>3.4300000000000004E-2</v>
      </c>
      <c r="AU4" s="36">
        <f t="shared" si="35"/>
        <v>3.4300000000000004E-2</v>
      </c>
      <c r="AV4" s="36">
        <f t="shared" si="36"/>
        <v>3.4300000000000004E-2</v>
      </c>
      <c r="AW4" s="36">
        <f t="shared" si="37"/>
        <v>3.4300000000000004E-2</v>
      </c>
      <c r="AX4" s="36">
        <f t="shared" si="38"/>
        <v>3.4300000000000004E-2</v>
      </c>
      <c r="AY4" s="36">
        <f t="shared" si="39"/>
        <v>3.4300000000000004E-2</v>
      </c>
      <c r="AZ4" s="36">
        <f t="shared" si="40"/>
        <v>3.4300000000000004E-2</v>
      </c>
    </row>
    <row r="5" spans="1:52" x14ac:dyDescent="0.35">
      <c r="A5" t="s">
        <v>160</v>
      </c>
      <c r="B5" s="36">
        <f>5%-_xlfn.XLOOKUP(A5,BasisPointCost!$A:$A,BasisPointCost!$B:$B)</f>
        <v>4.9300000000000004E-2</v>
      </c>
      <c r="C5" s="36">
        <f t="shared" si="1"/>
        <v>4.9300000000000004E-2</v>
      </c>
      <c r="D5" s="36">
        <f t="shared" si="1"/>
        <v>4.9300000000000004E-2</v>
      </c>
      <c r="E5" s="36">
        <f t="shared" si="1"/>
        <v>4.9300000000000004E-2</v>
      </c>
      <c r="F5" s="36">
        <f t="shared" si="1"/>
        <v>4.9300000000000004E-2</v>
      </c>
      <c r="G5" s="36">
        <f t="shared" si="1"/>
        <v>4.9300000000000004E-2</v>
      </c>
      <c r="H5" s="36">
        <f t="shared" si="1"/>
        <v>4.9300000000000004E-2</v>
      </c>
      <c r="I5" s="36">
        <f t="shared" si="1"/>
        <v>4.9300000000000004E-2</v>
      </c>
      <c r="J5" s="36">
        <f t="shared" si="1"/>
        <v>4.9300000000000004E-2</v>
      </c>
      <c r="K5" s="36">
        <f t="shared" si="1"/>
        <v>4.9300000000000004E-2</v>
      </c>
      <c r="L5" s="37">
        <f>3.5%-0.07%</f>
        <v>3.4300000000000004E-2</v>
      </c>
      <c r="M5" s="36">
        <f t="shared" si="1"/>
        <v>3.4300000000000004E-2</v>
      </c>
      <c r="N5" s="36">
        <f t="shared" si="2"/>
        <v>3.4300000000000004E-2</v>
      </c>
      <c r="O5" s="36">
        <f t="shared" si="3"/>
        <v>3.4300000000000004E-2</v>
      </c>
      <c r="P5" s="36">
        <f t="shared" si="4"/>
        <v>3.4300000000000004E-2</v>
      </c>
      <c r="Q5" s="36">
        <f t="shared" si="5"/>
        <v>3.4300000000000004E-2</v>
      </c>
      <c r="R5" s="36">
        <f t="shared" si="6"/>
        <v>3.4300000000000004E-2</v>
      </c>
      <c r="S5" s="36">
        <f t="shared" si="7"/>
        <v>3.4300000000000004E-2</v>
      </c>
      <c r="T5" s="36">
        <f t="shared" si="8"/>
        <v>3.4300000000000004E-2</v>
      </c>
      <c r="U5" s="36">
        <f t="shared" si="9"/>
        <v>3.4300000000000004E-2</v>
      </c>
      <c r="V5" s="36">
        <f t="shared" si="10"/>
        <v>3.4300000000000004E-2</v>
      </c>
      <c r="W5" s="36">
        <f t="shared" si="11"/>
        <v>3.4300000000000004E-2</v>
      </c>
      <c r="X5" s="36">
        <f t="shared" si="12"/>
        <v>3.4300000000000004E-2</v>
      </c>
      <c r="Y5" s="36">
        <f t="shared" si="13"/>
        <v>3.4300000000000004E-2</v>
      </c>
      <c r="Z5" s="36">
        <f t="shared" si="14"/>
        <v>3.4300000000000004E-2</v>
      </c>
      <c r="AA5" s="36">
        <f t="shared" si="15"/>
        <v>3.4300000000000004E-2</v>
      </c>
      <c r="AB5" s="36">
        <f t="shared" si="16"/>
        <v>3.4300000000000004E-2</v>
      </c>
      <c r="AC5" s="36">
        <f t="shared" si="17"/>
        <v>3.4300000000000004E-2</v>
      </c>
      <c r="AD5" s="36">
        <f t="shared" si="18"/>
        <v>3.4300000000000004E-2</v>
      </c>
      <c r="AE5" s="36">
        <f t="shared" si="19"/>
        <v>3.4300000000000004E-2</v>
      </c>
      <c r="AF5" s="36">
        <f t="shared" si="20"/>
        <v>3.4300000000000004E-2</v>
      </c>
      <c r="AG5" s="36">
        <f t="shared" si="21"/>
        <v>3.4300000000000004E-2</v>
      </c>
      <c r="AH5" s="36">
        <f t="shared" si="22"/>
        <v>3.4300000000000004E-2</v>
      </c>
      <c r="AI5" s="36">
        <f t="shared" si="23"/>
        <v>3.4300000000000004E-2</v>
      </c>
      <c r="AJ5" s="36">
        <f t="shared" si="24"/>
        <v>3.4300000000000004E-2</v>
      </c>
      <c r="AK5" s="36">
        <f t="shared" si="25"/>
        <v>3.4300000000000004E-2</v>
      </c>
      <c r="AL5" s="36">
        <f t="shared" si="26"/>
        <v>3.4300000000000004E-2</v>
      </c>
      <c r="AM5" s="36">
        <f t="shared" si="27"/>
        <v>3.4300000000000004E-2</v>
      </c>
      <c r="AN5" s="36">
        <f t="shared" si="28"/>
        <v>3.4300000000000004E-2</v>
      </c>
      <c r="AO5" s="36">
        <f t="shared" si="29"/>
        <v>3.4300000000000004E-2</v>
      </c>
      <c r="AP5" s="36">
        <f t="shared" si="30"/>
        <v>3.4300000000000004E-2</v>
      </c>
      <c r="AQ5" s="36">
        <f t="shared" si="31"/>
        <v>3.4300000000000004E-2</v>
      </c>
      <c r="AR5" s="36">
        <f t="shared" si="32"/>
        <v>3.4300000000000004E-2</v>
      </c>
      <c r="AS5" s="36">
        <f t="shared" si="33"/>
        <v>3.4300000000000004E-2</v>
      </c>
      <c r="AT5" s="36">
        <f t="shared" si="34"/>
        <v>3.4300000000000004E-2</v>
      </c>
      <c r="AU5" s="36">
        <f t="shared" si="35"/>
        <v>3.4300000000000004E-2</v>
      </c>
      <c r="AV5" s="36">
        <f t="shared" si="36"/>
        <v>3.4300000000000004E-2</v>
      </c>
      <c r="AW5" s="36">
        <f t="shared" si="37"/>
        <v>3.4300000000000004E-2</v>
      </c>
      <c r="AX5" s="36">
        <f t="shared" si="38"/>
        <v>3.4300000000000004E-2</v>
      </c>
      <c r="AY5" s="36">
        <f t="shared" si="39"/>
        <v>3.4300000000000004E-2</v>
      </c>
      <c r="AZ5" s="36">
        <f t="shared" si="40"/>
        <v>3.4300000000000004E-2</v>
      </c>
    </row>
    <row r="6" spans="1:52" x14ac:dyDescent="0.35">
      <c r="A6" t="s">
        <v>159</v>
      </c>
      <c r="B6" s="36">
        <f>3.7%-_xlfn.XLOOKUP(A6,BasisPointCost!$A:$A,BasisPointCost!$B:$B)</f>
        <v>3.6300000000000006E-2</v>
      </c>
      <c r="C6" s="36">
        <f t="shared" si="1"/>
        <v>3.6300000000000006E-2</v>
      </c>
      <c r="D6" s="36">
        <f t="shared" si="1"/>
        <v>3.6300000000000006E-2</v>
      </c>
      <c r="E6" s="36">
        <f t="shared" si="1"/>
        <v>3.6300000000000006E-2</v>
      </c>
      <c r="F6" s="36">
        <f t="shared" si="1"/>
        <v>3.6300000000000006E-2</v>
      </c>
      <c r="G6" s="36">
        <f t="shared" si="1"/>
        <v>3.6300000000000006E-2</v>
      </c>
      <c r="H6" s="36">
        <f t="shared" si="1"/>
        <v>3.6300000000000006E-2</v>
      </c>
      <c r="I6" s="36">
        <f t="shared" si="1"/>
        <v>3.6300000000000006E-2</v>
      </c>
      <c r="J6" s="36">
        <f t="shared" si="1"/>
        <v>3.6300000000000006E-2</v>
      </c>
      <c r="K6" s="36">
        <f t="shared" si="1"/>
        <v>3.6300000000000006E-2</v>
      </c>
      <c r="L6" s="37">
        <f>3.5%-0.07%</f>
        <v>3.4300000000000004E-2</v>
      </c>
      <c r="M6" s="36">
        <f t="shared" si="1"/>
        <v>3.4300000000000004E-2</v>
      </c>
      <c r="N6" s="36">
        <f t="shared" si="2"/>
        <v>3.4300000000000004E-2</v>
      </c>
      <c r="O6" s="36">
        <f t="shared" si="3"/>
        <v>3.4300000000000004E-2</v>
      </c>
      <c r="P6" s="36">
        <f t="shared" si="4"/>
        <v>3.4300000000000004E-2</v>
      </c>
      <c r="Q6" s="36">
        <f t="shared" si="5"/>
        <v>3.4300000000000004E-2</v>
      </c>
      <c r="R6" s="36">
        <f t="shared" si="6"/>
        <v>3.4300000000000004E-2</v>
      </c>
      <c r="S6" s="36">
        <f t="shared" si="7"/>
        <v>3.4300000000000004E-2</v>
      </c>
      <c r="T6" s="36">
        <f t="shared" si="8"/>
        <v>3.4300000000000004E-2</v>
      </c>
      <c r="U6" s="36">
        <f t="shared" si="9"/>
        <v>3.4300000000000004E-2</v>
      </c>
      <c r="V6" s="36">
        <f t="shared" si="10"/>
        <v>3.4300000000000004E-2</v>
      </c>
      <c r="W6" s="36">
        <f t="shared" si="11"/>
        <v>3.4300000000000004E-2</v>
      </c>
      <c r="X6" s="36">
        <f t="shared" si="12"/>
        <v>3.4300000000000004E-2</v>
      </c>
      <c r="Y6" s="36">
        <f t="shared" si="13"/>
        <v>3.4300000000000004E-2</v>
      </c>
      <c r="Z6" s="36">
        <f t="shared" si="14"/>
        <v>3.4300000000000004E-2</v>
      </c>
      <c r="AA6" s="36">
        <f t="shared" si="15"/>
        <v>3.4300000000000004E-2</v>
      </c>
      <c r="AB6" s="36">
        <f t="shared" si="16"/>
        <v>3.4300000000000004E-2</v>
      </c>
      <c r="AC6" s="36">
        <f t="shared" si="17"/>
        <v>3.4300000000000004E-2</v>
      </c>
      <c r="AD6" s="36">
        <f t="shared" si="18"/>
        <v>3.4300000000000004E-2</v>
      </c>
      <c r="AE6" s="36">
        <f t="shared" si="19"/>
        <v>3.4300000000000004E-2</v>
      </c>
      <c r="AF6" s="36">
        <f t="shared" si="20"/>
        <v>3.4300000000000004E-2</v>
      </c>
      <c r="AG6" s="36">
        <f t="shared" si="21"/>
        <v>3.4300000000000004E-2</v>
      </c>
      <c r="AH6" s="36">
        <f t="shared" si="22"/>
        <v>3.4300000000000004E-2</v>
      </c>
      <c r="AI6" s="36">
        <f t="shared" si="23"/>
        <v>3.4300000000000004E-2</v>
      </c>
      <c r="AJ6" s="36">
        <f t="shared" si="24"/>
        <v>3.4300000000000004E-2</v>
      </c>
      <c r="AK6" s="36">
        <f t="shared" si="25"/>
        <v>3.4300000000000004E-2</v>
      </c>
      <c r="AL6" s="36">
        <f t="shared" si="26"/>
        <v>3.4300000000000004E-2</v>
      </c>
      <c r="AM6" s="36">
        <f t="shared" si="27"/>
        <v>3.4300000000000004E-2</v>
      </c>
      <c r="AN6" s="36">
        <f t="shared" si="28"/>
        <v>3.4300000000000004E-2</v>
      </c>
      <c r="AO6" s="36">
        <f t="shared" si="29"/>
        <v>3.4300000000000004E-2</v>
      </c>
      <c r="AP6" s="36">
        <f t="shared" si="30"/>
        <v>3.4300000000000004E-2</v>
      </c>
      <c r="AQ6" s="36">
        <f t="shared" si="31"/>
        <v>3.4300000000000004E-2</v>
      </c>
      <c r="AR6" s="36">
        <f t="shared" si="32"/>
        <v>3.4300000000000004E-2</v>
      </c>
      <c r="AS6" s="36">
        <f t="shared" si="33"/>
        <v>3.4300000000000004E-2</v>
      </c>
      <c r="AT6" s="36">
        <f t="shared" si="34"/>
        <v>3.4300000000000004E-2</v>
      </c>
      <c r="AU6" s="36">
        <f t="shared" si="35"/>
        <v>3.4300000000000004E-2</v>
      </c>
      <c r="AV6" s="36">
        <f t="shared" si="36"/>
        <v>3.4300000000000004E-2</v>
      </c>
      <c r="AW6" s="36">
        <f t="shared" si="37"/>
        <v>3.4300000000000004E-2</v>
      </c>
      <c r="AX6" s="36">
        <f t="shared" si="38"/>
        <v>3.4300000000000004E-2</v>
      </c>
      <c r="AY6" s="36">
        <f t="shared" si="39"/>
        <v>3.4300000000000004E-2</v>
      </c>
      <c r="AZ6" s="36">
        <f t="shared" si="40"/>
        <v>3.4300000000000004E-2</v>
      </c>
    </row>
    <row r="7" spans="1:52" x14ac:dyDescent="0.35">
      <c r="A7" t="s">
        <v>158</v>
      </c>
      <c r="B7" s="36">
        <f>2.9%-_xlfn.XLOOKUP($A7,BasisPointCost!$A:$A,BasisPointCost!$B:$B)</f>
        <v>2.8299999999999999E-2</v>
      </c>
      <c r="C7" s="36">
        <f t="shared" si="1"/>
        <v>2.8299999999999999E-2</v>
      </c>
      <c r="D7" s="36">
        <f t="shared" si="1"/>
        <v>2.8299999999999999E-2</v>
      </c>
      <c r="E7" s="36">
        <f t="shared" si="1"/>
        <v>2.8299999999999999E-2</v>
      </c>
      <c r="F7" s="36">
        <f t="shared" si="1"/>
        <v>2.8299999999999999E-2</v>
      </c>
      <c r="G7" s="36">
        <f t="shared" si="1"/>
        <v>2.8299999999999999E-2</v>
      </c>
      <c r="H7" s="36">
        <f t="shared" si="1"/>
        <v>2.8299999999999999E-2</v>
      </c>
      <c r="I7" s="36">
        <f t="shared" si="1"/>
        <v>2.8299999999999999E-2</v>
      </c>
      <c r="J7" s="36">
        <f t="shared" si="1"/>
        <v>2.8299999999999999E-2</v>
      </c>
      <c r="K7" s="36">
        <f t="shared" si="1"/>
        <v>2.8299999999999999E-2</v>
      </c>
      <c r="L7" s="37">
        <f>3.5%-0.07%</f>
        <v>3.4300000000000004E-2</v>
      </c>
      <c r="M7" s="36">
        <f t="shared" si="1"/>
        <v>3.4300000000000004E-2</v>
      </c>
      <c r="N7" s="36">
        <f t="shared" si="2"/>
        <v>3.4300000000000004E-2</v>
      </c>
      <c r="O7" s="36">
        <f t="shared" si="3"/>
        <v>3.4300000000000004E-2</v>
      </c>
      <c r="P7" s="36">
        <f t="shared" si="4"/>
        <v>3.4300000000000004E-2</v>
      </c>
      <c r="Q7" s="36">
        <f t="shared" si="5"/>
        <v>3.4300000000000004E-2</v>
      </c>
      <c r="R7" s="36">
        <f t="shared" si="6"/>
        <v>3.4300000000000004E-2</v>
      </c>
      <c r="S7" s="36">
        <f t="shared" si="7"/>
        <v>3.4300000000000004E-2</v>
      </c>
      <c r="T7" s="36">
        <f t="shared" si="8"/>
        <v>3.4300000000000004E-2</v>
      </c>
      <c r="U7" s="36">
        <f t="shared" si="9"/>
        <v>3.4300000000000004E-2</v>
      </c>
      <c r="V7" s="36">
        <f t="shared" si="10"/>
        <v>3.4300000000000004E-2</v>
      </c>
      <c r="W7" s="36">
        <f t="shared" si="11"/>
        <v>3.4300000000000004E-2</v>
      </c>
      <c r="X7" s="36">
        <f t="shared" si="12"/>
        <v>3.4300000000000004E-2</v>
      </c>
      <c r="Y7" s="36">
        <f t="shared" si="13"/>
        <v>3.4300000000000004E-2</v>
      </c>
      <c r="Z7" s="36">
        <f t="shared" si="14"/>
        <v>3.4300000000000004E-2</v>
      </c>
      <c r="AA7" s="36">
        <f t="shared" si="15"/>
        <v>3.4300000000000004E-2</v>
      </c>
      <c r="AB7" s="36">
        <f t="shared" si="16"/>
        <v>3.4300000000000004E-2</v>
      </c>
      <c r="AC7" s="36">
        <f t="shared" si="17"/>
        <v>3.4300000000000004E-2</v>
      </c>
      <c r="AD7" s="36">
        <f t="shared" si="18"/>
        <v>3.4300000000000004E-2</v>
      </c>
      <c r="AE7" s="36">
        <f t="shared" si="19"/>
        <v>3.4300000000000004E-2</v>
      </c>
      <c r="AF7" s="36">
        <f t="shared" si="20"/>
        <v>3.4300000000000004E-2</v>
      </c>
      <c r="AG7" s="36">
        <f t="shared" si="21"/>
        <v>3.4300000000000004E-2</v>
      </c>
      <c r="AH7" s="36">
        <f t="shared" si="22"/>
        <v>3.4300000000000004E-2</v>
      </c>
      <c r="AI7" s="36">
        <f t="shared" si="23"/>
        <v>3.4300000000000004E-2</v>
      </c>
      <c r="AJ7" s="36">
        <f t="shared" si="24"/>
        <v>3.4300000000000004E-2</v>
      </c>
      <c r="AK7" s="36">
        <f t="shared" si="25"/>
        <v>3.4300000000000004E-2</v>
      </c>
      <c r="AL7" s="36">
        <f t="shared" si="26"/>
        <v>3.4300000000000004E-2</v>
      </c>
      <c r="AM7" s="36">
        <f t="shared" si="27"/>
        <v>3.4300000000000004E-2</v>
      </c>
      <c r="AN7" s="36">
        <f t="shared" si="28"/>
        <v>3.4300000000000004E-2</v>
      </c>
      <c r="AO7" s="36">
        <f t="shared" si="29"/>
        <v>3.4300000000000004E-2</v>
      </c>
      <c r="AP7" s="36">
        <f t="shared" si="30"/>
        <v>3.4300000000000004E-2</v>
      </c>
      <c r="AQ7" s="36">
        <f t="shared" si="31"/>
        <v>3.4300000000000004E-2</v>
      </c>
      <c r="AR7" s="36">
        <f t="shared" si="32"/>
        <v>3.4300000000000004E-2</v>
      </c>
      <c r="AS7" s="36">
        <f t="shared" si="33"/>
        <v>3.4300000000000004E-2</v>
      </c>
      <c r="AT7" s="36">
        <f t="shared" si="34"/>
        <v>3.4300000000000004E-2</v>
      </c>
      <c r="AU7" s="36">
        <f t="shared" si="35"/>
        <v>3.4300000000000004E-2</v>
      </c>
      <c r="AV7" s="36">
        <f t="shared" si="36"/>
        <v>3.4300000000000004E-2</v>
      </c>
      <c r="AW7" s="36">
        <f t="shared" si="37"/>
        <v>3.4300000000000004E-2</v>
      </c>
      <c r="AX7" s="36">
        <f t="shared" si="38"/>
        <v>3.4300000000000004E-2</v>
      </c>
      <c r="AY7" s="36">
        <f t="shared" si="39"/>
        <v>3.4300000000000004E-2</v>
      </c>
      <c r="AZ7" s="36">
        <f t="shared" si="40"/>
        <v>3.4300000000000004E-2</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4.5" x14ac:dyDescent="0.35"/>
  <cols>
    <col min="1" max="1" width="31.453125" bestFit="1" customWidth="1"/>
    <col min="2" max="2" width="15.26953125" bestFit="1" customWidth="1"/>
  </cols>
  <sheetData>
    <row r="1" spans="1:3" x14ac:dyDescent="0.35">
      <c r="A1" t="s">
        <v>168</v>
      </c>
      <c r="B1" t="s">
        <v>169</v>
      </c>
      <c r="C1" t="s">
        <v>170</v>
      </c>
    </row>
    <row r="2" spans="1:3" x14ac:dyDescent="0.35">
      <c r="A2" t="s">
        <v>106</v>
      </c>
      <c r="B2" s="34">
        <f>0.2%</f>
        <v>2E-3</v>
      </c>
    </row>
    <row r="3" spans="1:3" x14ac:dyDescent="0.35">
      <c r="A3" t="s">
        <v>107</v>
      </c>
      <c r="B3" s="34">
        <f>0.2%</f>
        <v>2E-3</v>
      </c>
    </row>
    <row r="4" spans="1:3" x14ac:dyDescent="0.35">
      <c r="A4" t="s">
        <v>161</v>
      </c>
      <c r="B4" s="34">
        <f>0.07%</f>
        <v>7.000000000000001E-4</v>
      </c>
    </row>
    <row r="5" spans="1:3" x14ac:dyDescent="0.35">
      <c r="A5" t="s">
        <v>160</v>
      </c>
      <c r="B5" s="34">
        <f>0.07%</f>
        <v>7.000000000000001E-4</v>
      </c>
    </row>
    <row r="6" spans="1:3" x14ac:dyDescent="0.35">
      <c r="A6" t="s">
        <v>159</v>
      </c>
      <c r="B6" s="34">
        <f>0.07%</f>
        <v>7.000000000000001E-4</v>
      </c>
    </row>
    <row r="7" spans="1:3" x14ac:dyDescent="0.35">
      <c r="A7" t="s">
        <v>158</v>
      </c>
      <c r="B7" s="34">
        <f>0.07%</f>
        <v>7.000000000000001E-4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118</v>
      </c>
      <c r="C1" t="s">
        <v>119</v>
      </c>
      <c r="D1" t="s">
        <v>120</v>
      </c>
      <c r="E1" t="s">
        <v>121</v>
      </c>
      <c r="F1" t="s">
        <v>122</v>
      </c>
      <c r="G1" t="s">
        <v>123</v>
      </c>
      <c r="H1" t="s">
        <v>124</v>
      </c>
      <c r="I1" t="s">
        <v>125</v>
      </c>
      <c r="J1" t="s">
        <v>126</v>
      </c>
      <c r="K1" t="s">
        <v>127</v>
      </c>
      <c r="L1" t="s">
        <v>128</v>
      </c>
      <c r="M1" t="s">
        <v>129</v>
      </c>
      <c r="N1" t="s">
        <v>130</v>
      </c>
      <c r="O1" t="s">
        <v>131</v>
      </c>
      <c r="P1" t="s">
        <v>132</v>
      </c>
      <c r="Q1" t="s">
        <v>133</v>
      </c>
      <c r="R1" t="s">
        <v>134</v>
      </c>
      <c r="S1" t="s">
        <v>135</v>
      </c>
      <c r="T1" t="s">
        <v>136</v>
      </c>
      <c r="U1" t="s">
        <v>137</v>
      </c>
      <c r="V1" t="s">
        <v>138</v>
      </c>
      <c r="W1" t="s">
        <v>139</v>
      </c>
      <c r="X1" t="s">
        <v>140</v>
      </c>
      <c r="Y1" t="s">
        <v>141</v>
      </c>
      <c r="Z1" t="s">
        <v>142</v>
      </c>
      <c r="AA1" t="s">
        <v>143</v>
      </c>
      <c r="AB1" t="s">
        <v>144</v>
      </c>
      <c r="AC1" t="s">
        <v>145</v>
      </c>
      <c r="AD1" t="s">
        <v>146</v>
      </c>
      <c r="AE1" t="s">
        <v>147</v>
      </c>
      <c r="AF1" t="s">
        <v>148</v>
      </c>
      <c r="AG1" t="s">
        <v>149</v>
      </c>
      <c r="AH1" t="s">
        <v>150</v>
      </c>
      <c r="AI1" t="s">
        <v>151</v>
      </c>
      <c r="AJ1" t="s">
        <v>152</v>
      </c>
      <c r="AK1" t="s">
        <v>153</v>
      </c>
      <c r="AL1" t="s">
        <v>154</v>
      </c>
      <c r="AM1" t="s">
        <v>155</v>
      </c>
      <c r="AN1" t="s">
        <v>156</v>
      </c>
      <c r="AO1" t="s">
        <v>157</v>
      </c>
      <c r="AP1" s="32" t="s">
        <v>167</v>
      </c>
    </row>
    <row r="2" spans="1:42" x14ac:dyDescent="0.35">
      <c r="A2" t="s">
        <v>171</v>
      </c>
      <c r="B2" s="35">
        <f>6.5%-0.2%</f>
        <v>6.3E-2</v>
      </c>
      <c r="C2" s="35">
        <f>B2</f>
        <v>6.3E-2</v>
      </c>
      <c r="D2" s="35">
        <f t="shared" ref="D2:S3" si="0">C2</f>
        <v>6.3E-2</v>
      </c>
      <c r="E2" s="35">
        <f t="shared" si="0"/>
        <v>6.3E-2</v>
      </c>
      <c r="F2" s="35">
        <f t="shared" si="0"/>
        <v>6.3E-2</v>
      </c>
      <c r="G2" s="35">
        <f t="shared" si="0"/>
        <v>6.3E-2</v>
      </c>
      <c r="H2" s="35">
        <f t="shared" si="0"/>
        <v>6.3E-2</v>
      </c>
      <c r="I2" s="35">
        <f t="shared" si="0"/>
        <v>6.3E-2</v>
      </c>
      <c r="J2" s="35">
        <f t="shared" si="0"/>
        <v>6.3E-2</v>
      </c>
      <c r="K2" s="35">
        <f t="shared" si="0"/>
        <v>6.3E-2</v>
      </c>
      <c r="L2" s="35">
        <f t="shared" si="0"/>
        <v>6.3E-2</v>
      </c>
      <c r="M2" s="35">
        <f t="shared" si="0"/>
        <v>6.3E-2</v>
      </c>
      <c r="N2" s="35">
        <f t="shared" si="0"/>
        <v>6.3E-2</v>
      </c>
      <c r="O2" s="35">
        <f t="shared" si="0"/>
        <v>6.3E-2</v>
      </c>
      <c r="P2" s="35">
        <f t="shared" si="0"/>
        <v>6.3E-2</v>
      </c>
      <c r="Q2" s="35">
        <f t="shared" si="0"/>
        <v>6.3E-2</v>
      </c>
      <c r="R2" s="35">
        <f t="shared" si="0"/>
        <v>6.3E-2</v>
      </c>
      <c r="S2" s="35">
        <f t="shared" si="0"/>
        <v>6.3E-2</v>
      </c>
      <c r="T2" s="35">
        <f t="shared" ref="T2:AO3" si="1">S2</f>
        <v>6.3E-2</v>
      </c>
      <c r="U2" s="35">
        <f t="shared" si="1"/>
        <v>6.3E-2</v>
      </c>
      <c r="V2" s="35">
        <f t="shared" si="1"/>
        <v>6.3E-2</v>
      </c>
      <c r="W2" s="35">
        <f t="shared" si="1"/>
        <v>6.3E-2</v>
      </c>
      <c r="X2" s="35">
        <f t="shared" si="1"/>
        <v>6.3E-2</v>
      </c>
      <c r="Y2" s="35">
        <f t="shared" si="1"/>
        <v>6.3E-2</v>
      </c>
      <c r="Z2" s="35">
        <f t="shared" si="1"/>
        <v>6.3E-2</v>
      </c>
      <c r="AA2" s="35">
        <f t="shared" si="1"/>
        <v>6.3E-2</v>
      </c>
      <c r="AB2" s="35">
        <f t="shared" si="1"/>
        <v>6.3E-2</v>
      </c>
      <c r="AC2" s="35">
        <f t="shared" si="1"/>
        <v>6.3E-2</v>
      </c>
      <c r="AD2" s="35">
        <f t="shared" si="1"/>
        <v>6.3E-2</v>
      </c>
      <c r="AE2" s="35">
        <f t="shared" si="1"/>
        <v>6.3E-2</v>
      </c>
      <c r="AF2" s="35">
        <f t="shared" si="1"/>
        <v>6.3E-2</v>
      </c>
      <c r="AG2" s="35">
        <f t="shared" si="1"/>
        <v>6.3E-2</v>
      </c>
      <c r="AH2" s="35">
        <f t="shared" si="1"/>
        <v>6.3E-2</v>
      </c>
      <c r="AI2" s="35">
        <f t="shared" si="1"/>
        <v>6.3E-2</v>
      </c>
      <c r="AJ2" s="35">
        <f t="shared" si="1"/>
        <v>6.3E-2</v>
      </c>
      <c r="AK2" s="35">
        <f t="shared" si="1"/>
        <v>6.3E-2</v>
      </c>
      <c r="AL2" s="35">
        <f t="shared" si="1"/>
        <v>6.3E-2</v>
      </c>
      <c r="AM2" s="35">
        <f t="shared" si="1"/>
        <v>6.3E-2</v>
      </c>
      <c r="AN2" s="35">
        <f t="shared" si="1"/>
        <v>6.3E-2</v>
      </c>
      <c r="AO2" s="35">
        <f t="shared" si="1"/>
        <v>6.3E-2</v>
      </c>
      <c r="AP2" s="35">
        <f t="shared" ref="AP2" si="2">AO2</f>
        <v>6.3E-2</v>
      </c>
    </row>
    <row r="3" spans="1:42" x14ac:dyDescent="0.35">
      <c r="A3" t="s">
        <v>172</v>
      </c>
      <c r="B3" s="35">
        <f>3.5%-0.07%</f>
        <v>3.4300000000000004E-2</v>
      </c>
      <c r="C3" s="35">
        <f>B3</f>
        <v>3.4300000000000004E-2</v>
      </c>
      <c r="D3" s="35">
        <f t="shared" si="0"/>
        <v>3.4300000000000004E-2</v>
      </c>
      <c r="E3" s="35">
        <f t="shared" si="0"/>
        <v>3.4300000000000004E-2</v>
      </c>
      <c r="F3" s="35">
        <f t="shared" si="0"/>
        <v>3.4300000000000004E-2</v>
      </c>
      <c r="G3" s="35">
        <f t="shared" si="0"/>
        <v>3.4300000000000004E-2</v>
      </c>
      <c r="H3" s="35">
        <f t="shared" si="0"/>
        <v>3.4300000000000004E-2</v>
      </c>
      <c r="I3" s="35">
        <f t="shared" si="0"/>
        <v>3.4300000000000004E-2</v>
      </c>
      <c r="J3" s="35">
        <f t="shared" si="0"/>
        <v>3.4300000000000004E-2</v>
      </c>
      <c r="K3" s="35">
        <f t="shared" si="0"/>
        <v>3.4300000000000004E-2</v>
      </c>
      <c r="L3" s="35">
        <f t="shared" si="0"/>
        <v>3.4300000000000004E-2</v>
      </c>
      <c r="M3" s="35">
        <f t="shared" si="0"/>
        <v>3.4300000000000004E-2</v>
      </c>
      <c r="N3" s="35">
        <f t="shared" si="0"/>
        <v>3.4300000000000004E-2</v>
      </c>
      <c r="O3" s="35">
        <f t="shared" si="0"/>
        <v>3.4300000000000004E-2</v>
      </c>
      <c r="P3" s="35">
        <f t="shared" si="0"/>
        <v>3.4300000000000004E-2</v>
      </c>
      <c r="Q3" s="35">
        <f t="shared" si="0"/>
        <v>3.4300000000000004E-2</v>
      </c>
      <c r="R3" s="35">
        <f t="shared" si="0"/>
        <v>3.4300000000000004E-2</v>
      </c>
      <c r="S3" s="35">
        <f t="shared" si="0"/>
        <v>3.4300000000000004E-2</v>
      </c>
      <c r="T3" s="35">
        <f t="shared" si="1"/>
        <v>3.4300000000000004E-2</v>
      </c>
      <c r="U3" s="35">
        <f t="shared" si="1"/>
        <v>3.4300000000000004E-2</v>
      </c>
      <c r="V3" s="35">
        <f t="shared" si="1"/>
        <v>3.4300000000000004E-2</v>
      </c>
      <c r="W3" s="35">
        <f t="shared" si="1"/>
        <v>3.4300000000000004E-2</v>
      </c>
      <c r="X3" s="35">
        <f t="shared" si="1"/>
        <v>3.4300000000000004E-2</v>
      </c>
      <c r="Y3" s="35">
        <f t="shared" si="1"/>
        <v>3.4300000000000004E-2</v>
      </c>
      <c r="Z3" s="35">
        <f t="shared" si="1"/>
        <v>3.4300000000000004E-2</v>
      </c>
      <c r="AA3" s="35">
        <f t="shared" si="1"/>
        <v>3.4300000000000004E-2</v>
      </c>
      <c r="AB3" s="35">
        <f t="shared" si="1"/>
        <v>3.4300000000000004E-2</v>
      </c>
      <c r="AC3" s="35">
        <f t="shared" si="1"/>
        <v>3.4300000000000004E-2</v>
      </c>
      <c r="AD3" s="35">
        <f t="shared" si="1"/>
        <v>3.4300000000000004E-2</v>
      </c>
      <c r="AE3" s="35">
        <f t="shared" si="1"/>
        <v>3.4300000000000004E-2</v>
      </c>
      <c r="AF3" s="35">
        <f t="shared" si="1"/>
        <v>3.4300000000000004E-2</v>
      </c>
      <c r="AG3" s="35">
        <f t="shared" si="1"/>
        <v>3.4300000000000004E-2</v>
      </c>
      <c r="AH3" s="35">
        <f t="shared" si="1"/>
        <v>3.4300000000000004E-2</v>
      </c>
      <c r="AI3" s="35">
        <f t="shared" si="1"/>
        <v>3.4300000000000004E-2</v>
      </c>
      <c r="AJ3" s="35">
        <f t="shared" si="1"/>
        <v>3.4300000000000004E-2</v>
      </c>
      <c r="AK3" s="35">
        <f t="shared" si="1"/>
        <v>3.4300000000000004E-2</v>
      </c>
      <c r="AL3" s="35">
        <f t="shared" si="1"/>
        <v>3.4300000000000004E-2</v>
      </c>
      <c r="AM3" s="35">
        <f t="shared" si="1"/>
        <v>3.4300000000000004E-2</v>
      </c>
      <c r="AN3" s="35">
        <f t="shared" si="1"/>
        <v>3.4300000000000004E-2</v>
      </c>
      <c r="AO3" s="35">
        <f t="shared" si="1"/>
        <v>3.4300000000000004E-2</v>
      </c>
      <c r="AP3" s="35">
        <f t="shared" ref="AP3" si="3">AO3</f>
        <v>3.4300000000000004E-2</v>
      </c>
    </row>
    <row r="4" spans="1:42" x14ac:dyDescent="0.35">
      <c r="B4" s="33"/>
      <c r="C4" s="33"/>
      <c r="D4" s="33"/>
      <c r="E4" s="33"/>
      <c r="F4" s="33"/>
      <c r="G4" s="33"/>
      <c r="H4" s="33"/>
      <c r="I4" s="33"/>
      <c r="J4" s="33"/>
      <c r="K4" s="33"/>
    </row>
    <row r="5" spans="1:42" x14ac:dyDescent="0.35">
      <c r="B5" s="33"/>
      <c r="C5" s="33"/>
      <c r="D5" s="33"/>
      <c r="E5" s="33"/>
      <c r="F5" s="33"/>
      <c r="G5" s="33"/>
      <c r="H5" s="33"/>
      <c r="I5" s="33"/>
      <c r="J5" s="33"/>
      <c r="K5" s="33"/>
    </row>
    <row r="6" spans="1:42" x14ac:dyDescent="0.35">
      <c r="B6" s="33"/>
      <c r="C6" s="33"/>
      <c r="D6" s="33"/>
      <c r="E6" s="33"/>
      <c r="F6" s="33"/>
      <c r="G6" s="33"/>
      <c r="H6" s="33"/>
      <c r="I6" s="33"/>
      <c r="J6" s="33"/>
      <c r="K6" s="33"/>
    </row>
    <row r="7" spans="1:42" x14ac:dyDescent="0.35">
      <c r="B7" s="33"/>
      <c r="C7" s="33"/>
      <c r="D7" s="33"/>
      <c r="E7" s="33"/>
      <c r="F7" s="33"/>
      <c r="G7" s="33"/>
      <c r="H7" s="33"/>
      <c r="I7" s="33"/>
      <c r="J7" s="33"/>
      <c r="K7" s="3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106</v>
      </c>
      <c r="B2" s="1">
        <v>8.5999999999999993E-2</v>
      </c>
    </row>
    <row r="3" spans="1:2" x14ac:dyDescent="0.35">
      <c r="A3" s="1" t="s">
        <v>107</v>
      </c>
      <c r="B3" s="1">
        <v>7.0000000000000007E-2</v>
      </c>
    </row>
    <row r="4" spans="1:2" x14ac:dyDescent="0.35">
      <c r="A4" s="1" t="s">
        <v>161</v>
      </c>
      <c r="B4" s="1">
        <v>4.9000000000000002E-2</v>
      </c>
    </row>
    <row r="5" spans="1:2" x14ac:dyDescent="0.35">
      <c r="A5" s="1" t="s">
        <v>160</v>
      </c>
      <c r="B5" s="1">
        <v>0.05</v>
      </c>
    </row>
    <row r="6" spans="1:2" x14ac:dyDescent="0.35">
      <c r="A6" s="1" t="s">
        <v>159</v>
      </c>
      <c r="B6" s="1">
        <v>3.6999999999999998E-2</v>
      </c>
    </row>
    <row r="7" spans="1:2" x14ac:dyDescent="0.35">
      <c r="A7" s="1" t="s">
        <v>158</v>
      </c>
      <c r="B7" s="1">
        <v>2.9000000000000001E-2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171</v>
      </c>
      <c r="B2" s="1">
        <v>0.18</v>
      </c>
    </row>
    <row r="3" spans="1:2" x14ac:dyDescent="0.35">
      <c r="A3" s="1" t="s">
        <v>172</v>
      </c>
      <c r="B3" s="1">
        <v>0.08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158</v>
      </c>
      <c r="C1" t="s">
        <v>159</v>
      </c>
      <c r="D1" t="s">
        <v>160</v>
      </c>
      <c r="E1" t="s">
        <v>161</v>
      </c>
      <c r="F1" t="s">
        <v>107</v>
      </c>
      <c r="G1" t="s">
        <v>106</v>
      </c>
    </row>
    <row r="2" spans="1:7" x14ac:dyDescent="0.35">
      <c r="A2" t="s">
        <v>158</v>
      </c>
      <c r="B2">
        <v>1</v>
      </c>
      <c r="C2">
        <v>0.6</v>
      </c>
      <c r="D2">
        <v>0.2</v>
      </c>
      <c r="E2">
        <v>0.4</v>
      </c>
      <c r="F2">
        <v>0</v>
      </c>
      <c r="G2">
        <v>0</v>
      </c>
    </row>
    <row r="3" spans="1:7" x14ac:dyDescent="0.35">
      <c r="A3" t="s">
        <v>159</v>
      </c>
      <c r="B3">
        <v>0.6</v>
      </c>
      <c r="C3">
        <v>1</v>
      </c>
      <c r="D3">
        <v>0.7</v>
      </c>
      <c r="E3">
        <v>0.6</v>
      </c>
      <c r="F3">
        <v>0.3</v>
      </c>
      <c r="G3">
        <v>0.3</v>
      </c>
    </row>
    <row r="4" spans="1:7" x14ac:dyDescent="0.35">
      <c r="A4" t="s">
        <v>160</v>
      </c>
      <c r="B4">
        <v>0.2</v>
      </c>
      <c r="C4">
        <v>0.7</v>
      </c>
      <c r="D4">
        <v>1</v>
      </c>
      <c r="E4">
        <v>0.7</v>
      </c>
      <c r="F4">
        <v>0.7</v>
      </c>
      <c r="G4">
        <v>0.6</v>
      </c>
    </row>
    <row r="5" spans="1:7" x14ac:dyDescent="0.35">
      <c r="A5" t="s">
        <v>161</v>
      </c>
      <c r="B5">
        <v>0.4</v>
      </c>
      <c r="C5">
        <v>0.6</v>
      </c>
      <c r="D5">
        <v>0.7</v>
      </c>
      <c r="E5">
        <v>1</v>
      </c>
      <c r="F5">
        <v>0.5</v>
      </c>
      <c r="G5">
        <v>0.7</v>
      </c>
    </row>
    <row r="6" spans="1:7" x14ac:dyDescent="0.35">
      <c r="A6" t="s">
        <v>107</v>
      </c>
      <c r="B6">
        <v>0</v>
      </c>
      <c r="C6">
        <v>0.3</v>
      </c>
      <c r="D6">
        <v>0.7</v>
      </c>
      <c r="E6">
        <v>0.5</v>
      </c>
      <c r="F6">
        <v>1</v>
      </c>
      <c r="G6">
        <v>0.7</v>
      </c>
    </row>
    <row r="7" spans="1:7" x14ac:dyDescent="0.35">
      <c r="A7" t="s">
        <v>106</v>
      </c>
      <c r="B7">
        <v>0</v>
      </c>
      <c r="C7">
        <v>0.3</v>
      </c>
      <c r="D7">
        <v>0.6</v>
      </c>
      <c r="E7">
        <v>0.7</v>
      </c>
      <c r="F7">
        <v>0.7</v>
      </c>
      <c r="G7">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172</v>
      </c>
      <c r="C1" t="s">
        <v>171</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topLeftCell="A2" zoomScale="115" zoomScaleNormal="115" workbookViewId="0">
      <selection activeCell="E6" sqref="E6"/>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83</v>
      </c>
      <c r="F2" s="2" t="s">
        <v>84</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82</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C8" sqref="C8:C15"/>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N</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Y</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Y</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N</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Y</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Y</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Y</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N</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Y</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Index</vt:lpstr>
      <vt:lpstr>Loop</vt:lpstr>
      <vt:lpstr>Sheet2</vt:lpstr>
      <vt:lpstr>Sheet1</vt:lpstr>
      <vt:lpstr>Aktiesparekonto Increase</vt:lpstr>
      <vt:lpstr>Goals</vt:lpstr>
      <vt:lpstr>FinalWealth</vt:lpstr>
      <vt:lpstr>Salary</vt:lpstr>
      <vt:lpstr>Wealth</vt:lpstr>
      <vt:lpstr>GBI Allocations P1</vt:lpstr>
      <vt:lpstr>GBI Goals P1</vt:lpstr>
      <vt:lpstr>GBI Allocations P2</vt:lpstr>
      <vt:lpstr>notes next time talk</vt:lpstr>
      <vt:lpstr>GBI Goals P2</vt:lpstr>
      <vt:lpstr>Returns</vt:lpstr>
      <vt:lpstr>BasisPointCost</vt:lpstr>
      <vt:lpstr>Returns2</vt:lpstr>
      <vt:lpstr>Volatilities</vt:lpstr>
      <vt:lpstr>Volatilities2</vt:lpstr>
      <vt:lpstr>Correlation</vt:lpstr>
      <vt:lpstr>Correlation2</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2025-04-21T09:35:31Z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