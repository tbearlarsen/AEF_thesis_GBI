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E2821B12-897A-475F-A17C-0E9FEAB22FCA}" xr6:coauthVersionLast="47" xr6:coauthVersionMax="47" xr10:uidLastSave="{00000000-0000-0000-0000-000000000000}"/>
  <bookViews>
    <workbookView xWindow="-110" yWindow="-110" windowWidth="19420" windowHeight="10300" firstSheet="3" activeTab="8" xr2:uid="{31CD02D4-91DC-4A3F-AC52-23F22D133229}"/>
  </bookViews>
  <sheets>
    <sheet name="Index" sheetId="7" r:id="rId1"/>
    <sheet name="notes next time talk" sheetId="18" r:id="rId2"/>
    <sheet name="ER_Vol_Cov" sheetId="19" r:id="rId3"/>
    <sheet name="Returns2" sheetId="23" r:id="rId4"/>
    <sheet name="Returns" sheetId="21" r:id="rId5"/>
    <sheet name="Volatilities2" sheetId="24" r:id="rId6"/>
    <sheet name="Volatilities" sheetId="20" r:id="rId7"/>
    <sheet name="Correlation" sheetId="22" r:id="rId8"/>
    <sheet name="Correlation2" sheetId="25" r:id="rId9"/>
    <sheet name="Goals" sheetId="10" r:id="rId10"/>
    <sheet name="Loop" sheetId="1" r:id="rId11"/>
    <sheet name="Income" sheetId="2" r:id="rId12"/>
    <sheet name="Job Hopping" sheetId="8" r:id="rId13"/>
    <sheet name="Djøf Finance Workers" sheetId="5" r:id="rId14"/>
    <sheet name="Djøf Finance Hoppers" sheetId="6" r:id="rId15"/>
  </sheets>
  <externalReferences>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25" l="1" a="1"/>
  <c r="B1" i="25" s="1"/>
  <c r="J54" i="18"/>
  <c r="K54" i="18"/>
  <c r="L54" i="18"/>
  <c r="M54" i="18"/>
  <c r="N54" i="18"/>
  <c r="O54" i="18"/>
  <c r="P54" i="18"/>
  <c r="Q54" i="18"/>
  <c r="R54" i="18"/>
  <c r="S54" i="18"/>
  <c r="I46" i="18"/>
  <c r="H46" i="18"/>
  <c r="D3" i="2"/>
  <c r="F3" i="2" s="1"/>
  <c r="C3" i="2"/>
  <c r="E3" i="2" s="1"/>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P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O3" i="2"/>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O96" i="8" l="1"/>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Q53" i="8" l="1"/>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N7" i="2" l="1"/>
  <c r="D6" i="2"/>
  <c r="F6" i="2" s="1"/>
  <c r="C8" i="2"/>
  <c r="E8" i="2" s="1"/>
  <c r="E5" i="8"/>
  <c r="N8" i="2" l="1"/>
  <c r="D7" i="2"/>
  <c r="F7" i="2" s="1"/>
  <c r="C9" i="2"/>
  <c r="E9" i="2" s="1"/>
  <c r="E6" i="8"/>
  <c r="E7" i="8" s="1"/>
  <c r="N9" i="2" l="1"/>
  <c r="D8" i="2"/>
  <c r="F8" i="2" s="1"/>
  <c r="C10" i="2"/>
  <c r="E10" i="2" s="1"/>
  <c r="E8" i="8"/>
  <c r="E9" i="8" s="1"/>
  <c r="N10" i="2" l="1"/>
  <c r="D9" i="2"/>
  <c r="F9" i="2" s="1"/>
  <c r="C11" i="2"/>
  <c r="E11" i="2" s="1"/>
  <c r="E10" i="8"/>
  <c r="E11" i="8" s="1"/>
  <c r="N11" i="2" l="1"/>
  <c r="D10" i="2"/>
  <c r="F10" i="2"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C34" i="2" l="1"/>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<sst xmlns="http://schemas.openxmlformats.org/spreadsheetml/2006/main" count="1132" uniqueCount="173">
  <si>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</si>
  <si>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</si>
  <si>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</si>
  <si>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</si>
  <si>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</si>
  <si>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</si>
  <si>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</si>
  <si>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</si>
  <si>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</si>
  <si>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</si>
  <si>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</si>
  <si>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</si>
  <si>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</si>
  <si>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</si>
  <si>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</si>
  <si>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</si>
  <si>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</si>
  <si>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</si>
  <si>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</si>
  <si>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</si>
  <si>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</si>
  <si>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</si>
  <si>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</si>
  <si>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</si>
  <si>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</si>
  <si>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</si>
  <si>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</si>
  <si>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</si>
  <si>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</si>
  <si>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</si>
  <si>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</si>
  <si>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</si>
  <si>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</si>
  <si>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</si>
  <si>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</si>
  <si>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</si>
  <si>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</si>
  <si>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</si>
  <si>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</si>
  <si>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</si>
  <si>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</si>
  <si>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</si>
  <si>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</si>
  <si>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</si>
  <si>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</si>
  <si>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</si>
  <si>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</si>
  <si>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</si>
  <si>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</si>
  <si>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</si>
  <si>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</si>
  <si>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</si>
  <si>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</si>
  <si>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</si>
  <si>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</si>
  <si>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</si>
  <si>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</si>
  <si>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</si>
  <si>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</si>
  <si>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</si>
  <si>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</si>
  <si>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</si>
  <si>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</si>
  <si>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</si>
  <si>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</si>
  <si>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</si>
  <si>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</si>
  <si>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</si>
  <si>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</si>
  <si>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</si>
  <si>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</si>
  <si>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</si>
  <si>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</si>
  <si>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</si>
  <si>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</si>
  <si>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</si>
  <si>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</si>
  <si>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</si>
  <si>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</si>
  <si>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</si>
  <si>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</si>
  <si>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</si>
  <si>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Index</t>
  </si>
  <si>
    <t>Volatility</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</si>
  <si>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</si>
  <si>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</si>
  <si>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</si>
  <si>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</si>
  <si>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</si>
  <si>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</si>
  <si>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</si>
  <si>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</si>
  <si>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</si>
  <si>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</si>
  <si>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</si>
  <si>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</si>
  <si>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</si>
  <si>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</si>
  <si>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</si>
  <si>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</si>
  <si>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</si>
  <si>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</si>
  <si>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</si>
  <si>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</si>
  <si>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</si>
  <si>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</si>
  <si>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</si>
  <si>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</si>
  <si>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</si>
  <si>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</si>
  <si>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</si>
  <si>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</si>
  <si>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</si>
  <si>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</si>
  <si>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</si>
  <si>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</si>
  <si>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</si>
  <si>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</si>
  <si>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</si>
  <si>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</si>
  <si>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</si>
  <si>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</si>
  <si>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</si>
  <si>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</si>
  <si>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</si>
  <si>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</si>
  <si>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</si>
  <si>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</si>
  <si>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</si>
  <si>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</si>
  <si>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</si>
  <si>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</si>
  <si>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</si>
  <si>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</si>
  <si>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</si>
  <si>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</si>
  <si>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</si>
  <si>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</si>
  <si>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</si>
  <si>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</si>
  <si>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</si>
  <si>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</si>
  <si>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</si>
  <si>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</si>
  <si>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</si>
  <si>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</si>
  <si>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</si>
  <si>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</si>
  <si>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</si>
  <si>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</si>
  <si>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</si>
  <si>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</si>
  <si>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</si>
  <si>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</si>
  <si>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</si>
  <si>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</si>
  <si>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</si>
  <si>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</si>
  <si>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</si>
  <si>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</si>
  <si>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</si>
  <si>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</si>
  <si>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</si>
  <si>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</si>
  <si>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Correlations</t>
  </si>
  <si>
    <t>Assets</t>
  </si>
  <si>
    <t>volatility</t>
  </si>
  <si>
    <t>Small Cap</t>
  </si>
  <si>
    <t>US Agg Bond</t>
  </si>
  <si>
    <t>Gold</t>
  </si>
  <si>
    <t>Private Equity</t>
  </si>
  <si>
    <t>Venture Capital</t>
  </si>
  <si>
    <t>Angel Venture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</si>
</sst>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13"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sz val="9"/>
      <color theme="1"/>
      <name val="Verdana"/>
      <family val="2"/>
    </font>
    <font>
      <sz val="9"/>
      <color rgb="FF000000"/>
      <name val="Verdana"/>
      <family val="2"/>
    </font>
    <font>
      <sz val="11"/>
      <color rgb="FF000000"/>
      <name val="Calibri"/>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3">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49" fontId="7" fillId="0" borderId="0" xfId="2" applyNumberFormat="1" applyFont="1" applyFill="1" applyAlignment="1">
      <alignment horizontal="center"/>
    </xf>
    <xf numFmtId="10" fontId="0" fillId="0" borderId="0" xfId="2" applyNumberFormat="1" applyFont="1" applyFill="1" applyAlignment="1">
      <alignment horizontal="center"/>
    </xf>
    <xf numFmtId="10" fontId="0" fillId="0" borderId="0" xfId="2" applyNumberFormat="1" applyFont="1" applyFill="1" applyAlignment="1">
      <alignment horizontal="center" vertical="center"/>
    </xf>
    <xf numFmtId="0" fontId="0" fillId="0" borderId="1" xfId="0" applyBorder="1" applyAlignment="1">
      <alignment horizontal="center" vertical="center"/>
    </xf>
    <xf numFmtId="0" fontId="2" fillId="0" borderId="1" xfId="0" applyFont="1" applyBorder="1" applyAlignment="1">
      <alignment horizontal="center" vertical="center"/>
    </xf>
    <xf numFmtId="49" fontId="7" fillId="0" borderId="1" xfId="2" applyNumberFormat="1" applyFont="1" applyFill="1" applyBorder="1" applyAlignment="1">
      <alignment horizontal="center"/>
    </xf>
    <xf numFmtId="49" fontId="7" fillId="0" borderId="9" xfId="2" applyNumberFormat="1" applyFont="1" applyFill="1" applyBorder="1" applyAlignment="1">
      <alignment horizontal="center"/>
    </xf>
    <xf numFmtId="0" fontId="0" fillId="0" borderId="9" xfId="0" applyBorder="1" applyAlignment="1">
      <alignment horizontal="center" vertical="center"/>
    </xf>
    <xf numFmtId="164" fontId="0" fillId="0" borderId="0" xfId="0" applyNumberFormat="1" applyAlignment="1">
      <alignment horizontal="center"/>
    </xf>
    <xf numFmtId="164" fontId="10" fillId="0" borderId="0" xfId="0" applyNumberFormat="1" applyFont="1" applyAlignment="1">
      <alignment horizontal="center"/>
    </xf>
    <xf numFmtId="164" fontId="11" fillId="0" borderId="0" xfId="0" applyNumberFormat="1" applyFont="1" applyAlignment="1">
      <alignment horizontal="center"/>
    </xf>
    <xf numFmtId="164" fontId="12" fillId="0" borderId="0" xfId="0" applyNumberFormat="1" applyFont="1" applyAlignment="1">
      <alignment horizont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7" fillId="2" borderId="0" xfId="0" applyFont="1" applyFill="1" applyAlignment="1">
      <alignment horizontal="center" vertical="center"/>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122">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9"/>
        <color rgb="FF000000"/>
        <name val="Verdana"/>
        <family val="2"/>
        <scheme val="none"/>
      </font>
      <numFmt numFmtId="164"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rgb="FF000000"/>
        <name val="Verdana"/>
        <family val="2"/>
        <scheme val="none"/>
      </font>
      <numFmt numFmtId="164" formatCode="0.0"/>
      <fill>
        <patternFill patternType="none">
          <fgColor indexed="64"/>
          <bgColor auto="1"/>
        </patternFill>
      </fill>
      <alignment horizontal="center" vertical="bottom" textRotation="0" wrapText="0" indent="0" justifyLastLine="0" shrinkToFit="0" readingOrder="0"/>
    </dxf>
    <dxf>
      <numFmt numFmtId="164"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Verdana"/>
        <family val="2"/>
        <scheme val="none"/>
      </font>
      <numFmt numFmtId="164"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Verdana"/>
        <family val="2"/>
        <scheme val="none"/>
      </font>
      <numFmt numFmtId="164"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Verdana"/>
        <family val="2"/>
        <scheme val="none"/>
      </font>
      <numFmt numFmtId="164"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0.0"/>
      <fill>
        <patternFill patternType="none">
          <fgColor indexed="64"/>
          <bgColor auto="1"/>
        </patternFill>
      </fill>
      <alignment horizontal="center" vertical="bottom" textRotation="0" wrapText="0" indent="0" justifyLastLine="0" shrinkToFit="0" readingOrder="0"/>
    </dxf>
    <dxf>
      <numFmt numFmtId="164" formatCode="0.0"/>
      <fill>
        <patternFill patternType="none">
          <fgColor indexed="64"/>
          <bgColor auto="1"/>
        </patternFill>
      </fill>
      <alignment horizontal="center" vertical="bottom" textRotation="0" wrapText="0" indent="0" justifyLastLine="0" shrinkToFit="0" readingOrder="0"/>
    </dxf>
    <dxf>
      <numFmt numFmtId="164" formatCode="0.0"/>
      <fill>
        <patternFill patternType="none">
          <fgColor indexed="64"/>
          <bgColor auto="1"/>
        </patternFill>
      </fill>
      <alignment horizontal="center" vertical="bottom" textRotation="0" wrapText="0" indent="0" justifyLastLine="0" shrinkToFit="0" readingOrder="0"/>
    </dxf>
    <dxf>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1"/>
        </top>
        <bottom/>
      </border>
    </dxf>
    <dxf>
      <font>
        <b/>
        <i val="0"/>
        <strike val="0"/>
        <condense val="0"/>
        <extend val="0"/>
        <outline val="0"/>
        <shadow val="0"/>
        <u val="none"/>
        <vertAlign val="baseline"/>
        <sz val="11"/>
        <color theme="1"/>
        <name val="Aptos Narrow"/>
        <family val="2"/>
        <scheme val="minor"/>
      </font>
      <numFmt numFmtId="30" formatCode="@"/>
      <fill>
        <patternFill patternType="none">
          <fgColor indexed="64"/>
          <bgColor auto="1"/>
        </patternFill>
      </fill>
      <alignment horizontal="center" vertical="bottom" textRotation="0" wrapText="0" indent="0" justifyLastLine="0" shrinkToFit="0" readingOrder="0"/>
      <border diagonalUp="0" diagonalDown="0" outline="0">
        <left/>
        <right/>
        <top style="thin">
          <color theme="1"/>
        </top>
        <bottom/>
      </border>
    </dxf>
    <dxf>
      <border outline="0">
        <left style="thin">
          <color theme="1"/>
        </left>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30" formatCode="@"/>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externalLink" Target="externalLinks/externalLink11.xml"/><Relationship Id="rId39" Type="http://schemas.openxmlformats.org/officeDocument/2006/relationships/externalLink" Target="externalLinks/externalLink24.xml"/><Relationship Id="rId21" Type="http://schemas.openxmlformats.org/officeDocument/2006/relationships/externalLink" Target="externalLinks/externalLink6.xml"/><Relationship Id="rId34" Type="http://schemas.openxmlformats.org/officeDocument/2006/relationships/externalLink" Target="externalLinks/externalLink19.xml"/><Relationship Id="rId42" Type="http://schemas.openxmlformats.org/officeDocument/2006/relationships/externalLink" Target="externalLinks/externalLink27.xml"/><Relationship Id="rId47" Type="http://schemas.openxmlformats.org/officeDocument/2006/relationships/externalLink" Target="externalLinks/externalLink32.xml"/><Relationship Id="rId50" Type="http://schemas.openxmlformats.org/officeDocument/2006/relationships/externalLink" Target="externalLinks/externalLink35.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1.xml"/><Relationship Id="rId29" Type="http://schemas.openxmlformats.org/officeDocument/2006/relationships/externalLink" Target="externalLinks/externalLink14.xml"/><Relationship Id="rId11" Type="http://schemas.openxmlformats.org/officeDocument/2006/relationships/worksheet" Target="worksheets/sheet11.xml"/><Relationship Id="rId24" Type="http://schemas.openxmlformats.org/officeDocument/2006/relationships/externalLink" Target="externalLinks/externalLink9.xml"/><Relationship Id="rId32" Type="http://schemas.openxmlformats.org/officeDocument/2006/relationships/externalLink" Target="externalLinks/externalLink17.xml"/><Relationship Id="rId37" Type="http://schemas.openxmlformats.org/officeDocument/2006/relationships/externalLink" Target="externalLinks/externalLink22.xml"/><Relationship Id="rId40" Type="http://schemas.openxmlformats.org/officeDocument/2006/relationships/externalLink" Target="externalLinks/externalLink25.xml"/><Relationship Id="rId45" Type="http://schemas.openxmlformats.org/officeDocument/2006/relationships/externalLink" Target="externalLinks/externalLink30.xml"/><Relationship Id="rId53" Type="http://schemas.openxmlformats.org/officeDocument/2006/relationships/styles" Target="styles.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externalLink" Target="externalLinks/externalLink12.xml"/><Relationship Id="rId30" Type="http://schemas.openxmlformats.org/officeDocument/2006/relationships/externalLink" Target="externalLinks/externalLink15.xml"/><Relationship Id="rId35" Type="http://schemas.openxmlformats.org/officeDocument/2006/relationships/externalLink" Target="externalLinks/externalLink20.xml"/><Relationship Id="rId43" Type="http://schemas.openxmlformats.org/officeDocument/2006/relationships/externalLink" Target="externalLinks/externalLink28.xml"/><Relationship Id="rId48" Type="http://schemas.openxmlformats.org/officeDocument/2006/relationships/externalLink" Target="externalLinks/externalLink33.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externalLink" Target="externalLinks/externalLink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externalLink" Target="externalLinks/externalLink10.xml"/><Relationship Id="rId33" Type="http://schemas.openxmlformats.org/officeDocument/2006/relationships/externalLink" Target="externalLinks/externalLink18.xml"/><Relationship Id="rId38" Type="http://schemas.openxmlformats.org/officeDocument/2006/relationships/externalLink" Target="externalLinks/externalLink23.xml"/><Relationship Id="rId46" Type="http://schemas.openxmlformats.org/officeDocument/2006/relationships/externalLink" Target="externalLinks/externalLink31.xml"/><Relationship Id="rId59" Type="http://schemas.openxmlformats.org/officeDocument/2006/relationships/customXml" Target="../customXml/item3.xml"/><Relationship Id="rId20" Type="http://schemas.openxmlformats.org/officeDocument/2006/relationships/externalLink" Target="externalLinks/externalLink5.xml"/><Relationship Id="rId41" Type="http://schemas.openxmlformats.org/officeDocument/2006/relationships/externalLink" Target="externalLinks/externalLink26.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openxmlformats.org/officeDocument/2006/relationships/externalLink" Target="externalLinks/externalLink13.xml"/><Relationship Id="rId36" Type="http://schemas.openxmlformats.org/officeDocument/2006/relationships/externalLink" Target="externalLinks/externalLink21.xml"/><Relationship Id="rId49" Type="http://schemas.openxmlformats.org/officeDocument/2006/relationships/externalLink" Target="externalLinks/externalLink34.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externalLink" Target="externalLinks/externalLink16.xml"/><Relationship Id="rId44" Type="http://schemas.openxmlformats.org/officeDocument/2006/relationships/externalLink" Target="externalLinks/externalLink29.xml"/><Relationship Id="rId52" Type="http://schemas.openxmlformats.org/officeDocument/2006/relationships/theme" Target="theme/theme1.xml"/><Relationship Id="rId60"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381000</xdr:colOff>
      <xdr:row>0</xdr:row>
      <xdr:rowOff>152400</xdr:rowOff>
    </xdr:from>
    <xdr:to>
      <xdr:col>19</xdr:col>
      <xdr:colOff>304800</xdr:colOff>
      <xdr:row>13</xdr:row>
      <xdr:rowOff>161925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5810250" y="152400"/>
          <a:ext cx="6896100" cy="2486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E7044-9F40-41CE-8D0E-520B1AA50296}" name="Returns" displayName="Returns" ref="B2:BA8" totalsRowShown="0" headerRowDxfId="121" dataDxfId="120" dataCellStyle="Percent">
  <tableColumns count="52">
    <tableColumn id="52" xr3:uid="{B788D2F4-4317-4F98-A05B-DC63D8331E1A}" name="Index" dataDxfId="119" dataCellStyle="Percent"/>
    <tableColumn id="1" xr3:uid="{21518FFA-F459-4013-936D-2F893A2D367B}" name="Assets" dataDxfId="118"/>
    <tableColumn id="2" xr3:uid="{D43E1E9A-CFD9-4A2D-A873-40078D3BBAB6}" name="2025" dataDxfId="117" dataCellStyle="Percent"/>
    <tableColumn id="3" xr3:uid="{59F99E14-9E10-4D6F-9D6F-4FA686998E31}" name="2026" dataDxfId="116" dataCellStyle="Percent"/>
    <tableColumn id="4" xr3:uid="{55DDC365-F955-41D1-AD4B-F848C7C1DFA4}" name="2027" dataDxfId="115" dataCellStyle="Percent"/>
    <tableColumn id="5" xr3:uid="{E43A533B-8AE6-4CD1-B5DE-152B6B9AA60C}" name="2028" dataDxfId="114" dataCellStyle="Percent"/>
    <tableColumn id="6" xr3:uid="{47870DD3-7BF0-4CB6-882D-3ABB264FD6C4}" name="2029" dataDxfId="113" dataCellStyle="Percent"/>
    <tableColumn id="7" xr3:uid="{49A3DF2C-EC39-4167-A586-B26CFF1BCE0A}" name="2030" dataDxfId="112" dataCellStyle="Percent"/>
    <tableColumn id="8" xr3:uid="{30935CA1-76E9-4CB2-B23B-D6B69A4DEF4A}" name="2031" dataDxfId="111" dataCellStyle="Percent"/>
    <tableColumn id="9" xr3:uid="{BDDEA82B-692B-4157-996B-A34F45358626}" name="2032" dataDxfId="110" dataCellStyle="Percent"/>
    <tableColumn id="10" xr3:uid="{02C4FE92-3255-4C98-8399-7925B4F80FAA}" name="2033" dataDxfId="109" dataCellStyle="Percent"/>
    <tableColumn id="11" xr3:uid="{89FAA731-5B02-4D2D-9067-ECC2349F51C7}" name="2034" dataDxfId="108" dataCellStyle="Percent"/>
    <tableColumn id="12" xr3:uid="{74A7017B-DA52-4D68-ACF1-7C9AADCB7FA5}" name="2035" dataDxfId="107" dataCellStyle="Percent"/>
    <tableColumn id="13" xr3:uid="{AE1BD3E6-FBB4-41EB-8FEB-57E8DD91C869}" name="2036" dataDxfId="106" dataCellStyle="Percent"/>
    <tableColumn id="14" xr3:uid="{3E589960-30BA-4DD2-8EAB-AA2E3E2D8550}" name="2037" dataDxfId="105" dataCellStyle="Percent"/>
    <tableColumn id="15" xr3:uid="{4E02DEB9-3D9D-4380-86B1-F53F0C7DD804}" name="2038" dataDxfId="104" dataCellStyle="Percent"/>
    <tableColumn id="16" xr3:uid="{01208ABE-F856-45A0-B6FF-4579B0A66546}" name="2039" dataDxfId="103" dataCellStyle="Percent"/>
    <tableColumn id="17" xr3:uid="{C0194BC0-A265-48CC-A027-8B8FECFCBE47}" name="2040" dataDxfId="102" dataCellStyle="Percent"/>
    <tableColumn id="18" xr3:uid="{FCB9E259-66E4-4A6D-A4CC-68FBAB529C96}" name="2041" dataDxfId="101" dataCellStyle="Percent"/>
    <tableColumn id="19" xr3:uid="{80F09C7F-E8EC-4EB1-B2B7-F974061C46C1}" name="2042" dataDxfId="100" dataCellStyle="Percent"/>
    <tableColumn id="20" xr3:uid="{85F4A321-2337-4D7A-A23E-32CA207672CE}" name="2043" dataDxfId="99" dataCellStyle="Percent"/>
    <tableColumn id="21" xr3:uid="{6A814330-B59A-4312-92F8-980653463CA7}" name="2044" dataDxfId="98" dataCellStyle="Percent"/>
    <tableColumn id="22" xr3:uid="{E47A5171-A325-4C8A-88DC-146E8D048C65}" name="2045" dataDxfId="97" dataCellStyle="Percent"/>
    <tableColumn id="23" xr3:uid="{972EE452-6A0E-4265-A01E-01A75A5A5FF1}" name="2046" dataDxfId="96" dataCellStyle="Percent"/>
    <tableColumn id="24" xr3:uid="{6D6656F2-B986-4C0F-92A0-681B2422113D}" name="2047" dataDxfId="95" dataCellStyle="Percent"/>
    <tableColumn id="25" xr3:uid="{A2A429AA-8156-4058-AAE1-39584A623658}" name="2048" dataDxfId="94" dataCellStyle="Percent"/>
    <tableColumn id="26" xr3:uid="{F712319F-6B4D-4699-875D-4AAEADB80887}" name="2049" dataDxfId="93" dataCellStyle="Percent"/>
    <tableColumn id="27" xr3:uid="{4D689368-FBBB-456C-B9E7-6C4E8FFC9385}" name="2050" dataDxfId="92" dataCellStyle="Percent"/>
    <tableColumn id="28" xr3:uid="{ACEDEB15-46A7-41C2-9272-F5B641224DE4}" name="2051" dataDxfId="91" dataCellStyle="Percent"/>
    <tableColumn id="29" xr3:uid="{C1FA93E1-B3EA-4E7F-8CF4-8DA315B3F914}" name="2052" dataDxfId="90" dataCellStyle="Percent"/>
    <tableColumn id="30" xr3:uid="{A599048E-B2BD-4B45-9004-51611AFA893A}" name="2053" dataDxfId="89" dataCellStyle="Percent"/>
    <tableColumn id="31" xr3:uid="{053FEA68-5E06-4FA7-91EA-77EFD3363836}" name="2054" dataDxfId="88" dataCellStyle="Percent"/>
    <tableColumn id="32" xr3:uid="{DC174DFE-8AB1-4659-9E7C-B87A81335E8D}" name="2055" dataDxfId="87" dataCellStyle="Percent"/>
    <tableColumn id="33" xr3:uid="{0BD1AAAF-C422-48D2-9A8A-CFE1078E772A}" name="2056" dataDxfId="86" dataCellStyle="Percent"/>
    <tableColumn id="34" xr3:uid="{B225DEE3-B9E6-44E4-B839-94836936BEC1}" name="2057" dataDxfId="85" dataCellStyle="Percent"/>
    <tableColumn id="35" xr3:uid="{9DBFF7C4-8D25-48AB-9252-7B1C21FC0D18}" name="2058" dataDxfId="84" dataCellStyle="Percent"/>
    <tableColumn id="36" xr3:uid="{93BF5EE5-815E-49EF-99F0-B0C78287A8AF}" name="2059" dataDxfId="83" dataCellStyle="Percent"/>
    <tableColumn id="37" xr3:uid="{EB208E83-BC21-44A2-8B29-86377F24194C}" name="2060" dataDxfId="82" dataCellStyle="Percent"/>
    <tableColumn id="38" xr3:uid="{25EA497F-9B0D-4E5F-BCF1-A8A0D657F506}" name="2061" dataDxfId="81" dataCellStyle="Percent"/>
    <tableColumn id="39" xr3:uid="{95E35FA6-5312-4894-832F-0347EB11C61D}" name="2062" dataDxfId="80" dataCellStyle="Percent"/>
    <tableColumn id="40" xr3:uid="{69C59194-B0DC-4C4F-AB5D-B39389561423}" name="2063" dataDxfId="79" dataCellStyle="Percent"/>
    <tableColumn id="41" xr3:uid="{77141D39-25D7-47CF-8B76-64CB4D9C2857}" name="2064" dataDxfId="78" dataCellStyle="Percent"/>
    <tableColumn id="42" xr3:uid="{5B3277BA-6AED-4EBB-84F4-96738E73521A}" name="2065" dataDxfId="77" dataCellStyle="Percent"/>
    <tableColumn id="43" xr3:uid="{1AF20C72-083C-412B-AA14-A4D9B774CF16}" name="2066" dataDxfId="76" dataCellStyle="Percent"/>
    <tableColumn id="44" xr3:uid="{AFF68BC8-B42D-4310-829D-7D3F49D42A7E}" name="2067" dataDxfId="75" dataCellStyle="Percent"/>
    <tableColumn id="45" xr3:uid="{861CBC0E-76AA-4252-BD23-F92FCF1D1887}" name="2068" dataDxfId="74" dataCellStyle="Percent"/>
    <tableColumn id="46" xr3:uid="{469ABF59-F5FF-46A0-A752-5CBC04BAF1E1}" name="2069" dataDxfId="73" dataCellStyle="Percent"/>
    <tableColumn id="47" xr3:uid="{555484B7-F65D-4CC3-AEC7-540FD34914BB}" name="2070" dataDxfId="72" dataCellStyle="Percent"/>
    <tableColumn id="48" xr3:uid="{748E2C81-8B2D-4845-B408-2C492FECC745}" name="2071" dataDxfId="71" dataCellStyle="Percent"/>
    <tableColumn id="49" xr3:uid="{8AA07ABF-C3FA-43E1-AA3A-460F518463E1}" name="2072" dataDxfId="70" dataCellStyle="Percent"/>
    <tableColumn id="50" xr3:uid="{79BF8259-C705-4C01-85F9-76FB90328751}" name="2073" dataDxfId="69" dataCellStyle="Percent"/>
    <tableColumn id="51" xr3:uid="{2949B9AB-634B-4A02-B2EC-093E408B6F79}" name="2074" dataDxfId="68" dataCellStyle="Percent"/>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3980B5B-2CA1-448E-9DD3-BE3F3F5A4ED3}" name="Volatilities" displayName="Volatilities" ref="B10:D16" totalsRowShown="0" headerRowDxfId="67" dataDxfId="66" tableBorderDxfId="65">
  <tableColumns count="3">
    <tableColumn id="1" xr3:uid="{0430E204-C4DD-470A-915B-3A2B51B85124}" name="Index" dataDxfId="64" dataCellStyle="Percent"/>
    <tableColumn id="2" xr3:uid="{08A81423-A495-4DD0-A87C-8583C4FA1050}" name="Assets" dataDxfId="63"/>
    <tableColumn id="3" xr3:uid="{92D8EC95-5994-4B57-BDCC-C8836BB32F8B}" name="Volatility" dataDxfId="62" dataCellStyle="Percent"/>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89D280-D477-4F02-911E-645144F20CBE}" name="Correlations" displayName="Correlations" ref="C18:I24" totalsRowShown="0" headerRowDxfId="61" dataDxfId="60">
  <autoFilter ref="C18:I24" xr:uid="{2A89D280-D477-4F02-911E-645144F20CBE}"/>
  <tableColumns count="7">
    <tableColumn id="1" xr3:uid="{E642409E-85A4-4042-809D-56094A0EDCD6}" name="Correlations" dataDxfId="59"/>
    <tableColumn id="2" xr3:uid="{967DED27-54F1-4C24-80D3-4B9B69EE6E42}" name="Government ZC Bonds - Obligations" dataDxfId="58"/>
    <tableColumn id="3" xr3:uid="{08C8D3D8-640F-4855-A5C6-BB13EA4E4A76}" name="Investment Grade Bonds - Obligations" dataDxfId="57"/>
    <tableColumn id="4" xr3:uid="{310D3861-91FC-4EA0-AE52-02FE33F11A59}" name="High Yield Bonds - Obligations" dataDxfId="56"/>
    <tableColumn id="5" xr3:uid="{D1DD9940-8CA4-4CEF-AD89-65FB55641AC5}" name="Emerging Markets State - Obligations" dataDxfId="55"/>
    <tableColumn id="6" xr3:uid="{4E2F9D2F-0B79-43B5-8554-DB7933B16F4B}" name="Developed Markets - Equities" dataDxfId="54"/>
    <tableColumn id="7" xr3:uid="{C3163985-1653-4180-B399-DFC83640596C}" name="Emerging Markets - Equities" dataDxfId="5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52" dataDxfId="51">
  <autoFilter ref="B2:F5" xr:uid="{E6188FC4-483E-4C27-BFF6-3D5A9BEC7A02}"/>
  <tableColumns count="5">
    <tableColumn id="1" xr3:uid="{B2C6C0FB-6BCC-4A61-B677-3B10161A53EF}" name="Goal Info" dataDxfId="50"/>
    <tableColumn id="2" xr3:uid="{C536957A-8C0E-4218-9336-E98D68589B96}" name="GOAL A" dataDxfId="49"/>
    <tableColumn id="3" xr3:uid="{119B5EE3-3581-4D04-BB55-BCC2E702193C}" name="GOAL B" dataDxfId="48"/>
    <tableColumn id="4" xr3:uid="{6D7BF2C5-D2EB-4CDD-A1E3-639A94B04FB3}" name="GOAL C" dataDxfId="47"/>
    <tableColumn id="5" xr3:uid="{FC141F07-39CA-4E36-BE88-AE8259A28409}" name="GOAL D" dataDxfId="4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45" dataDxfId="44">
  <autoFilter ref="B7:F10" xr:uid="{06296D22-18E1-44D3-A59A-E5E6D672089D}"/>
  <tableColumns count="5">
    <tableColumn id="1" xr3:uid="{B3C79FB9-971E-4621-BADB-62E0B6C842D7}" name="Goal Info" dataDxfId="43"/>
    <tableColumn id="2" xr3:uid="{08F0C2B6-02D7-4431-924D-D9E7C41049B7}" name="GOAL A" dataDxfId="42"/>
    <tableColumn id="3" xr3:uid="{7D5C117D-0D45-489D-81E8-DBEB6FE69CF3}" name="GOAL B" dataDxfId="41"/>
    <tableColumn id="4" xr3:uid="{900DE77F-2D16-4E30-8E7F-638FF98F2CDB}" name="GOAL C" dataDxfId="40"/>
    <tableColumn id="5" xr3:uid="{B0C50B12-C738-4419-9074-3A1A9E37C8AC}" name="GOAL D" dataDxfId="3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38" dataDxfId="37">
  <autoFilter ref="B2:F53" xr:uid="{FCF7B272-2B0E-4976-9393-E73F3487686E}"/>
  <tableColumns count="5">
    <tableColumn id="1" xr3:uid="{1C47A566-8CA0-498F-9373-FD3CF377EAB3}" name="N" dataDxfId="36"/>
    <tableColumn id="2" xr3:uid="{CDD5D904-D3D0-4E9B-89C8-61F4141B77FC}" name="Year" dataDxfId="35"/>
    <tableColumn id="3" xr3:uid="{3294EF53-9541-4FD2-A3C4-3CCF4CC8E18A}" name="AgeP1" dataDxfId="34">
      <calculatedColumnFormula>D2+1</calculatedColumnFormula>
    </tableColumn>
    <tableColumn id="4" xr3:uid="{27918B9D-DBDA-40FF-A6EC-6456F91F4DED}" name="AgeP2" dataDxfId="33">
      <calculatedColumnFormula>E2+1</calculatedColumnFormula>
    </tableColumn>
    <tableColumn id="5" xr3:uid="{3DF041D1-2FEE-456F-8F08-5A0165B3999F}" name="LoopStatus" dataDxfId="3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87</v>
      </c>
    </row>
    <row r="4" spans="2:2" x14ac:dyDescent="0.35">
      <c r="B4" s="1" t="s">
        <v>88</v>
      </c>
    </row>
    <row r="5" spans="2:2" x14ac:dyDescent="0.35">
      <c r="B5" s="1" t="s">
        <v>89</v>
      </c>
    </row>
    <row r="6" spans="2:2" x14ac:dyDescent="0.35">
      <c r="B6" s="1" t="s">
        <v>94</v>
      </c>
    </row>
    <row r="7" spans="2:2" x14ac:dyDescent="0.35">
      <c r="B7" s="1" t="s">
        <v>90</v>
      </c>
    </row>
    <row r="9" spans="2:2" x14ac:dyDescent="0.35">
      <c r="B9" s="1" t="s">
        <v>91</v>
      </c>
    </row>
    <row r="13" spans="2:2" x14ac:dyDescent="0.35">
      <c r="B13" s="1" t="s">
        <v>92</v>
      </c>
    </row>
    <row r="14" spans="2:2" x14ac:dyDescent="0.35">
      <c r="B14" s="1" t="s">
        <v>93</v>
      </c>
    </row>
    <row r="18" spans="2:2" x14ac:dyDescent="0.35">
      <c r="B18" s="1" t="s">
        <v>95</v>
      </c>
    </row>
    <row r="37" spans="2:14" x14ac:dyDescent="0.35">
      <c r="B37" s="1" t="s">
        <v>96</v>
      </c>
    </row>
    <row r="41" spans="2:14" x14ac:dyDescent="0.35">
      <c r="C41" s="1" t="s">
        <v>97</v>
      </c>
    </row>
    <row r="42" spans="2:14" x14ac:dyDescent="0.35">
      <c r="D42" s="1" t="s">
        <v>100</v>
      </c>
      <c r="E42" s="1" t="s">
        <v>101</v>
      </c>
    </row>
    <row r="43" spans="2:14" x14ac:dyDescent="0.35">
      <c r="C43" s="1" t="s">
        <v>98</v>
      </c>
      <c r="D43" s="26">
        <v>0.03</v>
      </c>
      <c r="E43" s="26">
        <v>0.01</v>
      </c>
      <c r="H43" s="1">
        <v>2025</v>
      </c>
      <c r="I43" s="1">
        <v>2026</v>
      </c>
      <c r="J43" s="1">
        <v>2027</v>
      </c>
      <c r="M43" s="40" t="s">
        <v>102</v>
      </c>
      <c r="N43" s="41" t="s">
        <v>103</v>
      </c>
    </row>
    <row r="44" spans="2:14" x14ac:dyDescent="0.35">
      <c r="C44" s="1" t="s">
        <v>99</v>
      </c>
      <c r="D44" s="26">
        <v>0.1</v>
      </c>
      <c r="E44" s="26">
        <v>0.03</v>
      </c>
      <c r="H44" s="26">
        <v>0.03</v>
      </c>
      <c r="I44" s="26">
        <v>0.04</v>
      </c>
      <c r="J44" s="26">
        <v>0.06</v>
      </c>
      <c r="K44" s="26">
        <v>7.0000000000000007E-2</v>
      </c>
      <c r="L44" s="26">
        <v>0.1</v>
      </c>
      <c r="M44" s="40"/>
      <c r="N44" s="41"/>
    </row>
    <row r="45" spans="2:14" x14ac:dyDescent="0.35">
      <c r="M45" s="40"/>
      <c r="N45" s="41"/>
    </row>
    <row r="46" spans="2:14" x14ac:dyDescent="0.35">
      <c r="H46" s="26">
        <f>AVERAGE(H44:L44)</f>
        <v>6.0000000000000012E-2</v>
      </c>
      <c r="I46" s="26">
        <f>AVERAGE(I44:L44)</f>
        <v>6.7500000000000004E-2</v>
      </c>
      <c r="M46" s="40"/>
      <c r="N46" s="41"/>
    </row>
    <row r="51" spans="2:21" x14ac:dyDescent="0.35">
      <c r="J51" s="1" t="s">
        <v>104</v>
      </c>
      <c r="L51" s="1" t="s">
        <v>105</v>
      </c>
    </row>
    <row r="53" spans="2:21" x14ac:dyDescent="0.35">
      <c r="J53" s="1">
        <v>2025</v>
      </c>
      <c r="K53" s="1">
        <v>2026</v>
      </c>
      <c r="L53" s="1">
        <v>2027</v>
      </c>
      <c r="M53" s="1">
        <v>2028</v>
      </c>
      <c r="N53" s="1">
        <v>2029</v>
      </c>
      <c r="O53" s="1">
        <v>2030</v>
      </c>
      <c r="P53" s="1">
        <v>2031</v>
      </c>
      <c r="Q53" s="1">
        <v>2032</v>
      </c>
      <c r="R53" s="1">
        <v>2033</v>
      </c>
      <c r="S53" s="1">
        <v>2034</v>
      </c>
      <c r="U53" s="1" t="s">
        <v>106</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107</v>
      </c>
    </row>
  </sheetData>
  <mergeCells count="2">
    <mergeCell ref="M43:M46"/>
    <mergeCell ref="N43:N46"/>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0446A-6DFB-46CE-BC29-F93728C1B278}">
  <dimension ref="B2:BA24"/>
  <sheetViews>
    <sheetView topLeftCell="A5" workbookViewId="0">
      <selection activeCell="B10" sqref="B10:D16"/>
    </sheetView>
  </sheetViews>
  <sheetFormatPr defaultRowHeight="14.5" x14ac:dyDescent="0.35"/>
  <cols>
    <col min="1" max="2" width="8.7265625" style="1"/>
    <col min="3" max="3" width="31.453125" style="1" bestFit="1" customWidth="1"/>
    <col min="4" max="4" width="32.1796875" style="1" customWidth="1"/>
    <col min="5" max="5" width="34.08984375" style="1" customWidth="1"/>
    <col min="6" max="6" width="27.7265625" style="1" customWidth="1"/>
    <col min="7" max="7" width="33.1796875" style="1" customWidth="1"/>
    <col min="8" max="8" width="26.90625" style="1" customWidth="1"/>
    <col min="9" max="9" width="25.7265625" style="1" customWidth="1"/>
    <col min="10" max="16384" width="8.7265625" style="1"/>
  </cols>
  <sheetData>
    <row r="2" spans="2:53" x14ac:dyDescent="0.35">
      <c r="B2" s="5" t="s">
        <v>82</v>
      </c>
      <c r="C2" s="5" t="s">
        <v>165</v>
      </c>
      <c r="D2" s="5" t="s">
        <v>110</v>
      </c>
      <c r="E2" s="5" t="s">
        <v>111</v>
      </c>
      <c r="F2" s="5" t="s">
        <v>112</v>
      </c>
      <c r="G2" s="5" t="s">
        <v>113</v>
      </c>
      <c r="H2" s="5" t="s">
        <v>114</v>
      </c>
      <c r="I2" s="5" t="s">
        <v>115</v>
      </c>
      <c r="J2" s="5" t="s">
        <v>116</v>
      </c>
      <c r="K2" s="5" t="s">
        <v>117</v>
      </c>
      <c r="L2" s="5" t="s">
        <v>118</v>
      </c>
      <c r="M2" s="5" t="s">
        <v>119</v>
      </c>
      <c r="N2" s="5" t="s">
        <v>120</v>
      </c>
      <c r="O2" s="5" t="s">
        <v>121</v>
      </c>
      <c r="P2" s="5" t="s">
        <v>122</v>
      </c>
      <c r="Q2" s="5" t="s">
        <v>123</v>
      </c>
      <c r="R2" s="5" t="s">
        <v>124</v>
      </c>
      <c r="S2" s="5" t="s">
        <v>125</v>
      </c>
      <c r="T2" s="5" t="s">
        <v>126</v>
      </c>
      <c r="U2" s="5" t="s">
        <v>127</v>
      </c>
      <c r="V2" s="5" t="s">
        <v>128</v>
      </c>
      <c r="W2" s="5" t="s">
        <v>129</v>
      </c>
      <c r="X2" s="5" t="s">
        <v>130</v>
      </c>
      <c r="Y2" s="5" t="s">
        <v>131</v>
      </c>
      <c r="Z2" s="5" t="s">
        <v>132</v>
      </c>
      <c r="AA2" s="5" t="s">
        <v>133</v>
      </c>
      <c r="AB2" s="5" t="s">
        <v>134</v>
      </c>
      <c r="AC2" s="5" t="s">
        <v>135</v>
      </c>
      <c r="AD2" s="5" t="s">
        <v>136</v>
      </c>
      <c r="AE2" s="5" t="s">
        <v>137</v>
      </c>
      <c r="AF2" s="5" t="s">
        <v>138</v>
      </c>
      <c r="AG2" s="5" t="s">
        <v>139</v>
      </c>
      <c r="AH2" s="5" t="s">
        <v>140</v>
      </c>
      <c r="AI2" s="5" t="s">
        <v>141</v>
      </c>
      <c r="AJ2" s="5" t="s">
        <v>142</v>
      </c>
      <c r="AK2" s="5" t="s">
        <v>143</v>
      </c>
      <c r="AL2" s="5" t="s">
        <v>144</v>
      </c>
      <c r="AM2" s="5" t="s">
        <v>145</v>
      </c>
      <c r="AN2" s="5" t="s">
        <v>146</v>
      </c>
      <c r="AO2" s="5" t="s">
        <v>147</v>
      </c>
      <c r="AP2" s="5" t="s">
        <v>148</v>
      </c>
      <c r="AQ2" s="5" t="s">
        <v>149</v>
      </c>
      <c r="AR2" s="5" t="s">
        <v>150</v>
      </c>
      <c r="AS2" s="5" t="s">
        <v>151</v>
      </c>
      <c r="AT2" s="5" t="s">
        <v>152</v>
      </c>
      <c r="AU2" s="5" t="s">
        <v>153</v>
      </c>
      <c r="AV2" s="5" t="s">
        <v>154</v>
      </c>
      <c r="AW2" s="5" t="s">
        <v>155</v>
      </c>
      <c r="AX2" s="5" t="s">
        <v>156</v>
      </c>
      <c r="AY2" s="5" t="s">
        <v>157</v>
      </c>
      <c r="AZ2" s="5" t="s">
        <v>158</v>
      </c>
      <c r="BA2" s="5" t="s">
        <v>159</v>
      </c>
    </row>
    <row r="3" spans="2:53" x14ac:dyDescent="0.35">
      <c r="B3" s="28">
        <v>1</v>
      </c>
      <c r="C3" s="5" t="s">
        <v>108</v>
      </c>
      <c r="D3" s="30">
        <v>-4.6374624539303522E-2</v>
      </c>
      <c r="E3" s="30">
        <v>0.25193929244792046</v>
      </c>
      <c r="F3" s="30">
        <v>0.25632261453563498</v>
      </c>
      <c r="G3" s="30">
        <v>-5.9773063379075286E-2</v>
      </c>
      <c r="H3" s="30">
        <v>0.4037825622478608</v>
      </c>
      <c r="I3" s="30">
        <v>0.31172393348028482</v>
      </c>
      <c r="J3" s="30">
        <v>5.9218288104509353E-2</v>
      </c>
      <c r="K3" s="30">
        <v>0.10707307173309566</v>
      </c>
      <c r="L3" s="30">
        <v>0.1143557726991431</v>
      </c>
      <c r="M3" s="30">
        <v>0.12346019482714743</v>
      </c>
      <c r="N3" s="30">
        <v>9.0155243291453413E-2</v>
      </c>
      <c r="O3" s="30">
        <v>0.16489957003965827</v>
      </c>
      <c r="P3" s="30">
        <v>-3.2891724441363568E-2</v>
      </c>
      <c r="Q3" s="30">
        <v>-2.8709220895397625E-2</v>
      </c>
      <c r="R3" s="30">
        <v>-2.9700592918326052E-2</v>
      </c>
      <c r="S3" s="30">
        <v>5.3046739497358164E-2</v>
      </c>
      <c r="T3" s="30">
        <v>4.0017378805269122E-2</v>
      </c>
      <c r="U3" s="30">
        <v>0.31809496159743089</v>
      </c>
      <c r="V3" s="30">
        <v>-3.0274921180414083E-2</v>
      </c>
      <c r="W3" s="30">
        <v>0.42106698481842941</v>
      </c>
      <c r="X3" s="30">
        <v>-0.15114640093107001</v>
      </c>
      <c r="Y3" s="30">
        <v>0.11903432201536934</v>
      </c>
      <c r="Z3" s="30">
        <v>-0.14501133771544472</v>
      </c>
      <c r="AA3" s="30">
        <v>-9.8981450678448213E-2</v>
      </c>
      <c r="AB3" s="30">
        <v>-0.28480526143549512</v>
      </c>
      <c r="AC3" s="30">
        <v>0.16386844102281728</v>
      </c>
      <c r="AD3" s="30">
        <v>-4.9048038763010116E-2</v>
      </c>
      <c r="AE3" s="30">
        <v>0.10968519365888074</v>
      </c>
      <c r="AF3" s="30">
        <v>-7.9101954782518469E-2</v>
      </c>
      <c r="AG3" s="30">
        <v>0.11709658947834378</v>
      </c>
      <c r="AH3" s="30">
        <v>0.42713820722628815</v>
      </c>
      <c r="AI3" s="30">
        <v>-0.26668674586449892</v>
      </c>
      <c r="AJ3" s="30">
        <v>-0.1530648452641632</v>
      </c>
      <c r="AK3" s="30">
        <v>0.23493864763154781</v>
      </c>
      <c r="AL3" s="30">
        <v>6.041256988737298E-2</v>
      </c>
      <c r="AM3" s="30">
        <v>1.4204164172181066E-2</v>
      </c>
      <c r="AN3" s="30">
        <v>-6.9574101825511381E-2</v>
      </c>
      <c r="AO3" s="30">
        <v>7.3240333938557445E-2</v>
      </c>
      <c r="AP3" s="30">
        <v>0.10362599817724494</v>
      </c>
      <c r="AQ3" s="30">
        <v>5.1557175598106575E-2</v>
      </c>
      <c r="AR3" s="30">
        <v>-5.2116699156352086E-2</v>
      </c>
      <c r="AS3" s="30">
        <v>-0.23205744218937063</v>
      </c>
      <c r="AT3" s="30">
        <v>0.46613427903603921</v>
      </c>
      <c r="AU3" s="30">
        <v>7.4472391324156284E-2</v>
      </c>
      <c r="AV3" s="30">
        <v>0.71150702464550397</v>
      </c>
      <c r="AW3" s="30">
        <v>2.0245654526625412E-2</v>
      </c>
      <c r="AX3" s="30">
        <v>0.27735916529071791</v>
      </c>
      <c r="AY3" s="30">
        <v>0.11781713077091949</v>
      </c>
      <c r="AZ3" s="30">
        <v>-4.1329986166300792E-3</v>
      </c>
      <c r="BA3" s="30">
        <v>7.0092809209421958E-2</v>
      </c>
    </row>
    <row r="4" spans="2:53" x14ac:dyDescent="0.35">
      <c r="B4" s="28">
        <v>2</v>
      </c>
      <c r="C4" s="5" t="s">
        <v>109</v>
      </c>
      <c r="D4" s="30">
        <v>-3.4134004457981759E-2</v>
      </c>
      <c r="E4" s="30">
        <v>0.19511077137000687</v>
      </c>
      <c r="F4" s="30">
        <v>6.9691772197972179E-2</v>
      </c>
      <c r="G4" s="30">
        <v>0.1033057450186734</v>
      </c>
      <c r="H4" s="30">
        <v>7.6016162916965113E-2</v>
      </c>
      <c r="I4" s="30">
        <v>0.23027144965944113</v>
      </c>
      <c r="J4" s="30">
        <v>3.2689217671517445E-2</v>
      </c>
      <c r="K4" s="30">
        <v>-8.8332981043660608E-2</v>
      </c>
      <c r="L4" s="30">
        <v>-0.10923190033107699</v>
      </c>
      <c r="M4" s="30">
        <v>-4.3963023434883675E-2</v>
      </c>
      <c r="N4" s="30">
        <v>0.20956142406649048</v>
      </c>
      <c r="O4" s="30">
        <v>-1.5205665643450494E-2</v>
      </c>
      <c r="P4" s="30">
        <v>-5.9960028782211405E-2</v>
      </c>
      <c r="Q4" s="30">
        <v>5.7027602095488295E-2</v>
      </c>
      <c r="R4" s="30">
        <v>-3.5388428115954884E-2</v>
      </c>
      <c r="S4" s="30">
        <v>-4.1584959494241347E-2</v>
      </c>
      <c r="T4" s="30">
        <v>-6.6624170345609413E-3</v>
      </c>
      <c r="U4" s="30">
        <v>0.21043093873515328</v>
      </c>
      <c r="V4" s="30">
        <v>6.8683867347799188E-2</v>
      </c>
      <c r="W4" s="30">
        <v>0.37689316574426335</v>
      </c>
      <c r="X4" s="30">
        <v>4.2532040403342908E-2</v>
      </c>
      <c r="Y4" s="30">
        <v>0.18667478780794977</v>
      </c>
      <c r="Z4" s="30">
        <v>-2.3315533646275588E-2</v>
      </c>
      <c r="AA4" s="30">
        <v>2.0929003130567336E-2</v>
      </c>
      <c r="AB4" s="30">
        <v>-3.3223354241563752E-2</v>
      </c>
      <c r="AC4" s="30">
        <v>0.14205355388071439</v>
      </c>
      <c r="AD4" s="30">
        <v>-3.1351511198571491E-2</v>
      </c>
      <c r="AE4" s="30">
        <v>7.7272300158451657E-2</v>
      </c>
      <c r="AF4" s="30">
        <v>-7.6933006132187454E-2</v>
      </c>
      <c r="AG4" s="30">
        <v>4.2148946498898887E-3</v>
      </c>
      <c r="AH4" s="30">
        <v>0.39390059080264517</v>
      </c>
      <c r="AI4" s="30">
        <v>-9.848900274038308E-2</v>
      </c>
      <c r="AJ4" s="30">
        <v>-9.6519892653231909E-2</v>
      </c>
      <c r="AK4" s="30">
        <v>0.17365697809383684</v>
      </c>
      <c r="AL4" s="30">
        <v>0.13561299161585239</v>
      </c>
      <c r="AM4" s="30">
        <v>6.2760250987418553E-2</v>
      </c>
      <c r="AN4" s="30">
        <v>-1.9523505554479681E-2</v>
      </c>
      <c r="AO4" s="30">
        <v>0.13169239029263036</v>
      </c>
      <c r="AP4" s="30">
        <v>0.16529749354644085</v>
      </c>
      <c r="AQ4" s="30">
        <v>6.9245797760353556E-2</v>
      </c>
      <c r="AR4" s="30">
        <v>-0.13108725517574527</v>
      </c>
      <c r="AS4" s="30">
        <v>-0.12086994313042287</v>
      </c>
      <c r="AT4" s="30">
        <v>0.26810918058794209</v>
      </c>
      <c r="AU4" s="30">
        <v>2.1392416323751551E-2</v>
      </c>
      <c r="AV4" s="30">
        <v>0.29513880715473073</v>
      </c>
      <c r="AW4" s="30">
        <v>-1.6946598826961257E-3</v>
      </c>
      <c r="AX4" s="30">
        <v>7.6425522373073873E-2</v>
      </c>
      <c r="AY4" s="30">
        <v>0.10705452816213645</v>
      </c>
      <c r="AZ4" s="30">
        <v>-1.1778299652929536E-2</v>
      </c>
      <c r="BA4" s="30">
        <v>0.12849202499791512</v>
      </c>
    </row>
    <row r="5" spans="2:53" x14ac:dyDescent="0.35">
      <c r="B5" s="28">
        <v>3</v>
      </c>
      <c r="C5" s="31" t="s">
        <v>163</v>
      </c>
      <c r="D5" s="30">
        <v>-2.4348050660809251E-2</v>
      </c>
      <c r="E5" s="30">
        <v>0.17899997942074442</v>
      </c>
      <c r="F5" s="30">
        <v>5.3592043458880134E-2</v>
      </c>
      <c r="G5" s="30">
        <v>-9.7456791152005784E-2</v>
      </c>
      <c r="H5" s="30">
        <v>9.9075542917716142E-2</v>
      </c>
      <c r="I5" s="30">
        <v>-1.2404188671498617E-2</v>
      </c>
      <c r="J5" s="30">
        <v>-2.0112401297278204E-2</v>
      </c>
      <c r="K5" s="30">
        <v>8.8319812711201706E-4</v>
      </c>
      <c r="L5" s="30">
        <v>0.13739337408998864</v>
      </c>
      <c r="M5" s="30">
        <v>4.93102042936715E-2</v>
      </c>
      <c r="N5" s="30">
        <v>0.16346340391895264</v>
      </c>
      <c r="O5" s="30">
        <v>0.15165498697161639</v>
      </c>
      <c r="P5" s="30">
        <v>-3.7833919205281896E-2</v>
      </c>
      <c r="Q5" s="30">
        <v>-3.2854561153112916E-2</v>
      </c>
      <c r="R5" s="30">
        <v>8.8478774729274345E-2</v>
      </c>
      <c r="S5" s="30">
        <v>5.2819549037135038E-2</v>
      </c>
      <c r="T5" s="30">
        <v>7.9197987324172381E-2</v>
      </c>
      <c r="U5" s="30">
        <v>2.0094932630428275E-2</v>
      </c>
      <c r="V5" s="30">
        <v>0.1675414410016085</v>
      </c>
      <c r="W5" s="30">
        <v>0.1310381975414967</v>
      </c>
      <c r="X5" s="30">
        <v>5.2266955821262284E-2</v>
      </c>
      <c r="Y5" s="30">
        <v>1.4832552895459594E-2</v>
      </c>
      <c r="Z5" s="30">
        <v>-1.9128735871546287E-2</v>
      </c>
      <c r="AA5" s="30">
        <v>-0.10185033256489218</v>
      </c>
      <c r="AB5" s="30">
        <v>-0.10937817346668721</v>
      </c>
      <c r="AC5" s="30">
        <v>5.4434209891755625E-2</v>
      </c>
      <c r="AD5" s="30">
        <v>3.2901852569451107E-2</v>
      </c>
      <c r="AE5" s="30">
        <v>0.13941133867926814</v>
      </c>
      <c r="AF5" s="30">
        <v>-1.9714931120616841E-3</v>
      </c>
      <c r="AG5" s="30">
        <v>9.5073761389524059E-2</v>
      </c>
      <c r="AH5" s="30">
        <v>0.23102348181169319</v>
      </c>
      <c r="AI5" s="30">
        <v>-5.5404051968755641E-2</v>
      </c>
      <c r="AJ5" s="30">
        <v>-1.6079316485009265E-2</v>
      </c>
      <c r="AK5" s="30">
        <v>0.17435244591535337</v>
      </c>
      <c r="AL5" s="30">
        <v>6.8288645445059748E-2</v>
      </c>
      <c r="AM5" s="30">
        <v>-0.10568757583847876</v>
      </c>
      <c r="AN5" s="30">
        <v>7.7890760169976314E-3</v>
      </c>
      <c r="AO5" s="30">
        <v>-9.7682374094033908E-2</v>
      </c>
      <c r="AP5" s="30">
        <v>-4.8483464601972281E-2</v>
      </c>
      <c r="AQ5" s="30">
        <v>-3.0515458984663457E-3</v>
      </c>
      <c r="AR5" s="30">
        <v>2.7520955675692793E-3</v>
      </c>
      <c r="AS5" s="30">
        <v>3.4665731121924281E-2</v>
      </c>
      <c r="AT5" s="30">
        <v>0.16682695641162315</v>
      </c>
      <c r="AU5" s="30">
        <v>3.9148103395052702E-2</v>
      </c>
      <c r="AV5" s="30">
        <v>0.19318839075466232</v>
      </c>
      <c r="AW5" s="30">
        <v>-6.6513778884906838E-3</v>
      </c>
      <c r="AX5" s="30">
        <v>0.15805628543610295</v>
      </c>
      <c r="AY5" s="30">
        <v>6.1989057853666374E-2</v>
      </c>
      <c r="AZ5" s="30">
        <v>-0.10102989980336718</v>
      </c>
      <c r="BA5" s="30">
        <v>4.7570480242633773E-2</v>
      </c>
    </row>
    <row r="6" spans="2:53" x14ac:dyDescent="0.35">
      <c r="B6" s="28">
        <v>4</v>
      </c>
      <c r="C6" s="5" t="s">
        <v>162</v>
      </c>
      <c r="D6" s="30">
        <v>2.0947373043940232E-3</v>
      </c>
      <c r="E6" s="30">
        <v>0.16863527274992385</v>
      </c>
      <c r="F6" s="30">
        <v>-4.3988899549594396E-2</v>
      </c>
      <c r="G6" s="30">
        <v>9.2439085080484595E-3</v>
      </c>
      <c r="H6" s="30">
        <v>-5.8187200655120397E-2</v>
      </c>
      <c r="I6" s="30">
        <v>6.393462710665343E-2</v>
      </c>
      <c r="J6" s="30">
        <v>3.9390304980641E-2</v>
      </c>
      <c r="K6" s="30">
        <v>-4.8821518700243871E-3</v>
      </c>
      <c r="L6" s="30">
        <v>-1.0087751091934383E-2</v>
      </c>
      <c r="M6" s="30">
        <v>-4.0523476546512227E-2</v>
      </c>
      <c r="N6" s="30">
        <v>0.22293804810000961</v>
      </c>
      <c r="O6" s="30">
        <v>0.17926818565699532</v>
      </c>
      <c r="P6" s="30">
        <v>-1.3958242070529314E-2</v>
      </c>
      <c r="Q6" s="30">
        <v>6.29207364008606E-2</v>
      </c>
      <c r="R6" s="30">
        <v>-5.8488370474529816E-4</v>
      </c>
      <c r="S6" s="30">
        <v>-2.4558541927591326E-2</v>
      </c>
      <c r="T6" s="30">
        <v>9.9825643984252199E-2</v>
      </c>
      <c r="U6" s="30">
        <v>9.5745177078208954E-2</v>
      </c>
      <c r="V6" s="30">
        <v>0.18763394710053749</v>
      </c>
      <c r="W6" s="30">
        <v>0.25076435289002275</v>
      </c>
      <c r="X6" s="30">
        <v>4.3184299723693531E-2</v>
      </c>
      <c r="Y6" s="30">
        <v>1.4553844236743441E-2</v>
      </c>
      <c r="Z6" s="30">
        <v>-6.46543044094261E-2</v>
      </c>
      <c r="AA6" s="30">
        <v>-6.8264578060728831E-2</v>
      </c>
      <c r="AB6" s="30">
        <v>-6.1684509125154663E-2</v>
      </c>
      <c r="AC6" s="30">
        <v>9.5210856186225046E-2</v>
      </c>
      <c r="AD6" s="30">
        <v>0.11893617882276653</v>
      </c>
      <c r="AE6" s="30">
        <v>-3.1171782286205985E-2</v>
      </c>
      <c r="AF6" s="30">
        <v>1.8900135651397809E-2</v>
      </c>
      <c r="AG6" s="30">
        <v>1.2824898959576503E-2</v>
      </c>
      <c r="AH6" s="30">
        <v>0.21820203216987899</v>
      </c>
      <c r="AI6" s="30">
        <v>-2.4014377471840653E-2</v>
      </c>
      <c r="AJ6" s="30">
        <v>3.8296852003223636E-2</v>
      </c>
      <c r="AK6" s="30">
        <v>1.9952541657046741E-2</v>
      </c>
      <c r="AL6" s="30">
        <v>0.15024427853413069</v>
      </c>
      <c r="AM6" s="30">
        <v>-9.0532127248145189E-3</v>
      </c>
      <c r="AN6" s="30">
        <v>7.8239784778870725E-3</v>
      </c>
      <c r="AO6" s="30">
        <v>1.2720264634141998E-2</v>
      </c>
      <c r="AP6" s="30">
        <v>0.11698172627821091</v>
      </c>
      <c r="AQ6" s="30">
        <v>1.3563192783854205E-2</v>
      </c>
      <c r="AR6" s="30">
        <v>-3.1307857227137026E-2</v>
      </c>
      <c r="AS6" s="30">
        <v>-1.7042856163464459E-2</v>
      </c>
      <c r="AT6" s="30">
        <v>0.20639671534077375</v>
      </c>
      <c r="AU6" s="30">
        <v>5.989281647284872E-2</v>
      </c>
      <c r="AV6" s="30">
        <v>0.15184773869153112</v>
      </c>
      <c r="AW6" s="30">
        <v>5.3546078104615979E-3</v>
      </c>
      <c r="AX6" s="30">
        <v>6.5052611824913953E-2</v>
      </c>
      <c r="AY6" s="30">
        <v>7.8823819307450416E-2</v>
      </c>
      <c r="AZ6" s="30">
        <v>-0.14338179349370206</v>
      </c>
      <c r="BA6" s="30">
        <v>0.11585202582222953</v>
      </c>
    </row>
    <row r="7" spans="2:53" x14ac:dyDescent="0.35">
      <c r="B7" s="28">
        <v>5</v>
      </c>
      <c r="C7" s="5" t="s">
        <v>161</v>
      </c>
      <c r="D7" s="30">
        <v>2.030658361074611E-2</v>
      </c>
      <c r="E7" s="30">
        <v>0.17407088736482224</v>
      </c>
      <c r="F7" s="30">
        <v>-4.6518788571582204E-2</v>
      </c>
      <c r="G7" s="30">
        <v>8.6784081187656348E-3</v>
      </c>
      <c r="H7" s="30">
        <v>-1.094991646316601E-2</v>
      </c>
      <c r="I7" s="30">
        <v>4.2874326827782028E-2</v>
      </c>
      <c r="J7" s="30">
        <v>4.2086601997496809E-2</v>
      </c>
      <c r="K7" s="30">
        <v>-1.7316859701690612E-2</v>
      </c>
      <c r="L7" s="30">
        <v>5.8994448996374516E-3</v>
      </c>
      <c r="M7" s="30">
        <v>1.566046272107835E-2</v>
      </c>
      <c r="N7" s="30">
        <v>0.13556024037343284</v>
      </c>
      <c r="O7" s="30">
        <v>9.9561145246060745E-2</v>
      </c>
      <c r="P7" s="30">
        <v>-1.1234137156741375E-2</v>
      </c>
      <c r="Q7" s="30">
        <v>7.7927824267948642E-2</v>
      </c>
      <c r="R7" s="30">
        <v>7.6843927674916657E-2</v>
      </c>
      <c r="S7" s="30">
        <v>-2.3689760318698072E-2</v>
      </c>
      <c r="T7" s="30">
        <v>9.5850567757821414E-2</v>
      </c>
      <c r="U7" s="30">
        <v>-1.6291818495720589E-3</v>
      </c>
      <c r="V7" s="30">
        <v>0.15662866258483188</v>
      </c>
      <c r="W7" s="30">
        <v>0.11023687113533853</v>
      </c>
      <c r="X7" s="30">
        <v>2.3511467000357333E-2</v>
      </c>
      <c r="Y7" s="30">
        <v>3.6602317517634653E-2</v>
      </c>
      <c r="Z7" s="30">
        <v>-4.8538279095632464E-2</v>
      </c>
      <c r="AA7" s="30">
        <v>-3.0067359701889673E-2</v>
      </c>
      <c r="AB7" s="30">
        <v>-3.4510361971969217E-2</v>
      </c>
      <c r="AC7" s="30">
        <v>9.5364119469438791E-2</v>
      </c>
      <c r="AD7" s="30">
        <v>1.4863393955985682E-2</v>
      </c>
      <c r="AE7" s="30">
        <v>-2.9047233095698566E-2</v>
      </c>
      <c r="AF7" s="30">
        <v>-1.5385537587214504E-2</v>
      </c>
      <c r="AG7" s="30">
        <v>-7.3986273175308259E-4</v>
      </c>
      <c r="AH7" s="30">
        <v>0.11899469604747615</v>
      </c>
      <c r="AI7" s="30">
        <v>7.204786691262699E-2</v>
      </c>
      <c r="AJ7" s="30">
        <v>5.7388718776625325E-3</v>
      </c>
      <c r="AK7" s="30">
        <v>0.13027792547223549</v>
      </c>
      <c r="AL7" s="30">
        <v>0.1133545730503398</v>
      </c>
      <c r="AM7" s="30">
        <v>6.023182481219802E-3</v>
      </c>
      <c r="AN7" s="30">
        <v>2.5378987462348235E-2</v>
      </c>
      <c r="AO7" s="30">
        <v>-3.319730127062881E-3</v>
      </c>
      <c r="AP7" s="30">
        <v>3.5408805121952325E-2</v>
      </c>
      <c r="AQ7" s="30">
        <v>-1.1836192945465451E-2</v>
      </c>
      <c r="AR7" s="30">
        <v>3.4041737409844508E-3</v>
      </c>
      <c r="AS7" s="30">
        <v>-1.5798285098030274E-2</v>
      </c>
      <c r="AT7" s="30">
        <v>0.12280627257731114</v>
      </c>
      <c r="AU7" s="30">
        <v>4.3636186103408248E-2</v>
      </c>
      <c r="AV7" s="30">
        <v>0.11189226414190867</v>
      </c>
      <c r="AW7" s="30">
        <v>4.2019732941085852E-2</v>
      </c>
      <c r="AX7" s="30">
        <v>4.830090038191881E-2</v>
      </c>
      <c r="AY7" s="30">
        <v>1.195386399278342E-2</v>
      </c>
      <c r="AZ7" s="30">
        <v>-5.9960932960714364E-2</v>
      </c>
      <c r="BA7" s="30">
        <v>3.6272181257773983E-2</v>
      </c>
    </row>
    <row r="8" spans="2:53" x14ac:dyDescent="0.35">
      <c r="B8" s="28">
        <v>6</v>
      </c>
      <c r="C8" s="5" t="s">
        <v>160</v>
      </c>
      <c r="D8" s="30">
        <v>4.2149821151798994E-2</v>
      </c>
      <c r="E8" s="30">
        <v>0.10310123378760072</v>
      </c>
      <c r="F8" s="30">
        <v>3.1754403971268275E-2</v>
      </c>
      <c r="G8" s="30">
        <v>2.5015652143324685E-2</v>
      </c>
      <c r="H8" s="30">
        <v>1.9348110955474951E-2</v>
      </c>
      <c r="I8" s="30">
        <v>1.0157775343372144E-2</v>
      </c>
      <c r="J8" s="30">
        <v>4.9364963256446348E-2</v>
      </c>
      <c r="K8" s="30">
        <v>-1.0190624127589532E-2</v>
      </c>
      <c r="L8" s="30">
        <v>3.9711314704807599E-2</v>
      </c>
      <c r="M8" s="30">
        <v>1.7363413659658988E-3</v>
      </c>
      <c r="N8" s="30">
        <v>5.2922022453726125E-2</v>
      </c>
      <c r="O8" s="30">
        <v>7.1070860032021566E-2</v>
      </c>
      <c r="P8" s="30">
        <v>-1.7577139890127547E-2</v>
      </c>
      <c r="Q8" s="30">
        <v>3.0519435576796816E-3</v>
      </c>
      <c r="R8" s="30">
        <v>7.7577743992467196E-2</v>
      </c>
      <c r="S8" s="30">
        <v>3.0400247471855657E-3</v>
      </c>
      <c r="T8" s="30">
        <v>8.3761181406708518E-2</v>
      </c>
      <c r="U8" s="30">
        <v>-2.5010586373327315E-2</v>
      </c>
      <c r="V8" s="30">
        <v>0.11157190887237256</v>
      </c>
      <c r="W8" s="30">
        <v>3.9371753544031662E-2</v>
      </c>
      <c r="X8" s="30">
        <v>2.0310458220712091E-2</v>
      </c>
      <c r="Y8" s="30">
        <v>5.9640325461275623E-2</v>
      </c>
      <c r="Z8" s="30">
        <v>5.9617911935997192E-2</v>
      </c>
      <c r="AA8" s="30">
        <v>4.2957097710987213E-3</v>
      </c>
      <c r="AB8" s="30">
        <v>1.6193350720530519E-2</v>
      </c>
      <c r="AC8" s="30">
        <v>5.8660680685023614E-2</v>
      </c>
      <c r="AD8" s="30">
        <v>-1.4014379546415157E-2</v>
      </c>
      <c r="AE8" s="30">
        <v>3.1370644912172452E-2</v>
      </c>
      <c r="AF8" s="30">
        <v>-8.982946330022834E-3</v>
      </c>
      <c r="AG8" s="30">
        <v>1.6586273497583459E-2</v>
      </c>
      <c r="AH8" s="30">
        <v>6.4740848808989337E-2</v>
      </c>
      <c r="AI8" s="30">
        <v>1.0540152102622935E-2</v>
      </c>
      <c r="AJ8" s="30">
        <v>3.9379022970009503E-2</v>
      </c>
      <c r="AK8" s="30">
        <v>6.5580331063234354E-2</v>
      </c>
      <c r="AL8" s="30">
        <v>7.6254379826020013E-2</v>
      </c>
      <c r="AM8" s="30">
        <v>-2.4022284728990151E-2</v>
      </c>
      <c r="AN8" s="30">
        <v>7.6718608750679707E-2</v>
      </c>
      <c r="AO8" s="30">
        <v>-5.1493088273791843E-3</v>
      </c>
      <c r="AP8" s="30">
        <v>-1.1449030297456586E-2</v>
      </c>
      <c r="AQ8" s="30">
        <v>2.57450236135921E-2</v>
      </c>
      <c r="AR8" s="30">
        <v>2.0794227346421668E-2</v>
      </c>
      <c r="AS8" s="30">
        <v>7.6564054535642301E-2</v>
      </c>
      <c r="AT8" s="30">
        <v>1.2164388978604501E-2</v>
      </c>
      <c r="AU8" s="30">
        <v>5.9620057740045418E-2</v>
      </c>
      <c r="AV8" s="30">
        <v>2.0534110572525854E-2</v>
      </c>
      <c r="AW8" s="30">
        <v>2.6882986772883921E-2</v>
      </c>
      <c r="AX8" s="30">
        <v>3.2178990974434107E-2</v>
      </c>
      <c r="AY8" s="30">
        <v>3.5080280965447574E-2</v>
      </c>
      <c r="AZ8" s="30">
        <v>7.7056709367708809E-3</v>
      </c>
      <c r="BA8" s="30">
        <v>2.4774392298001047E-2</v>
      </c>
    </row>
    <row r="10" spans="2:53" x14ac:dyDescent="0.35">
      <c r="B10" s="32" t="s">
        <v>82</v>
      </c>
      <c r="C10" s="32" t="s">
        <v>165</v>
      </c>
      <c r="D10" s="2" t="s">
        <v>83</v>
      </c>
    </row>
    <row r="11" spans="2:53" x14ac:dyDescent="0.35">
      <c r="B11" s="33">
        <v>1</v>
      </c>
      <c r="C11" s="31" t="s">
        <v>108</v>
      </c>
      <c r="D11" s="29">
        <v>8.5999999999999993E-2</v>
      </c>
    </row>
    <row r="12" spans="2:53" x14ac:dyDescent="0.35">
      <c r="B12" s="33">
        <v>2</v>
      </c>
      <c r="C12" s="31" t="s">
        <v>109</v>
      </c>
      <c r="D12" s="29">
        <v>7.0000000000000007E-2</v>
      </c>
    </row>
    <row r="13" spans="2:53" x14ac:dyDescent="0.35">
      <c r="B13" s="33">
        <v>3</v>
      </c>
      <c r="C13" s="31" t="s">
        <v>163</v>
      </c>
      <c r="D13" s="29">
        <v>4.9000000000000002E-2</v>
      </c>
    </row>
    <row r="14" spans="2:53" x14ac:dyDescent="0.35">
      <c r="B14" s="33">
        <v>4</v>
      </c>
      <c r="C14" s="31" t="s">
        <v>162</v>
      </c>
      <c r="D14" s="29">
        <v>0.05</v>
      </c>
    </row>
    <row r="15" spans="2:53" x14ac:dyDescent="0.35">
      <c r="B15" s="33">
        <v>5</v>
      </c>
      <c r="C15" s="31" t="s">
        <v>161</v>
      </c>
      <c r="D15" s="29">
        <v>3.6999999999999998E-2</v>
      </c>
    </row>
    <row r="16" spans="2:53" x14ac:dyDescent="0.35">
      <c r="B16" s="34">
        <v>6</v>
      </c>
      <c r="C16" s="35" t="s">
        <v>160</v>
      </c>
      <c r="D16" s="29">
        <v>2.9000000000000001E-2</v>
      </c>
    </row>
    <row r="18" spans="3:9" x14ac:dyDescent="0.35">
      <c r="C18" s="36" t="s">
        <v>164</v>
      </c>
      <c r="D18" s="36" t="s">
        <v>160</v>
      </c>
      <c r="E18" s="36" t="s">
        <v>161</v>
      </c>
      <c r="F18" s="36" t="s">
        <v>162</v>
      </c>
      <c r="G18" s="36" t="s">
        <v>163</v>
      </c>
      <c r="H18" s="36" t="s">
        <v>109</v>
      </c>
      <c r="I18" s="36" t="s">
        <v>108</v>
      </c>
    </row>
    <row r="19" spans="3:9" x14ac:dyDescent="0.35">
      <c r="C19" s="36" t="s">
        <v>160</v>
      </c>
      <c r="D19" s="37">
        <v>1</v>
      </c>
      <c r="E19" s="38">
        <v>0.6</v>
      </c>
      <c r="F19" s="38">
        <v>0.2</v>
      </c>
      <c r="G19" s="38">
        <v>0.4</v>
      </c>
      <c r="H19" s="38">
        <v>0</v>
      </c>
      <c r="I19" s="38">
        <v>0</v>
      </c>
    </row>
    <row r="20" spans="3:9" x14ac:dyDescent="0.35">
      <c r="C20" s="36" t="s">
        <v>161</v>
      </c>
      <c r="D20" s="37">
        <v>0.6</v>
      </c>
      <c r="E20" s="39">
        <v>1</v>
      </c>
      <c r="F20" s="38">
        <v>0.7</v>
      </c>
      <c r="G20" s="38">
        <v>0.6</v>
      </c>
      <c r="H20" s="38">
        <v>0.3</v>
      </c>
      <c r="I20" s="38">
        <v>0.3</v>
      </c>
    </row>
    <row r="21" spans="3:9" x14ac:dyDescent="0.35">
      <c r="C21" s="36" t="s">
        <v>162</v>
      </c>
      <c r="D21" s="37">
        <v>0.2</v>
      </c>
      <c r="E21" s="37">
        <v>0.7</v>
      </c>
      <c r="F21" s="39">
        <v>1</v>
      </c>
      <c r="G21" s="38">
        <v>0.7</v>
      </c>
      <c r="H21" s="38">
        <v>0.7</v>
      </c>
      <c r="I21" s="38">
        <v>0.6</v>
      </c>
    </row>
    <row r="22" spans="3:9" x14ac:dyDescent="0.35">
      <c r="C22" s="36" t="s">
        <v>163</v>
      </c>
      <c r="D22" s="37">
        <v>0.4</v>
      </c>
      <c r="E22" s="37">
        <v>0.6</v>
      </c>
      <c r="F22" s="37">
        <v>0.7</v>
      </c>
      <c r="G22" s="39">
        <v>1</v>
      </c>
      <c r="H22" s="38">
        <v>0.5</v>
      </c>
      <c r="I22" s="38">
        <v>0.7</v>
      </c>
    </row>
    <row r="23" spans="3:9" x14ac:dyDescent="0.35">
      <c r="C23" s="36" t="s">
        <v>109</v>
      </c>
      <c r="D23" s="37">
        <v>0</v>
      </c>
      <c r="E23" s="37">
        <v>0.3</v>
      </c>
      <c r="F23" s="37">
        <v>0.7</v>
      </c>
      <c r="G23" s="37">
        <v>0.5</v>
      </c>
      <c r="H23" s="39">
        <v>1</v>
      </c>
      <c r="I23" s="38">
        <v>0.7</v>
      </c>
    </row>
    <row r="24" spans="3:9" x14ac:dyDescent="0.35">
      <c r="C24" s="36" t="s">
        <v>108</v>
      </c>
      <c r="D24" s="37">
        <v>0</v>
      </c>
      <c r="E24" s="37">
        <v>0.3</v>
      </c>
      <c r="F24" s="37">
        <v>0.6</v>
      </c>
      <c r="G24" s="37">
        <v>0.7</v>
      </c>
      <c r="H24" s="37">
        <v>0.7</v>
      </c>
      <c r="I24" s="39">
        <v>1</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Y7"/>
  <sheetViews>
    <sheetView workbookViewId="0">
      <selection activeCell="A2" sqref="A2:A7"/>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110</v>
      </c>
      <c r="C1" t="s">
        <v>111</v>
      </c>
      <c r="D1" t="s">
        <v>112</v>
      </c>
      <c r="E1" t="s">
        <v>113</v>
      </c>
      <c r="F1" t="s">
        <v>114</v>
      </c>
      <c r="G1" t="s">
        <v>115</v>
      </c>
      <c r="H1" t="s">
        <v>116</v>
      </c>
      <c r="I1" t="s">
        <v>117</v>
      </c>
      <c r="J1" t="s">
        <v>118</v>
      </c>
      <c r="K1" t="s">
        <v>119</v>
      </c>
      <c r="L1" t="s">
        <v>120</v>
      </c>
      <c r="M1" t="s">
        <v>121</v>
      </c>
      <c r="N1" t="s">
        <v>122</v>
      </c>
      <c r="O1" t="s">
        <v>123</v>
      </c>
      <c r="P1" t="s">
        <v>124</v>
      </c>
      <c r="Q1" t="s">
        <v>125</v>
      </c>
      <c r="R1" t="s">
        <v>126</v>
      </c>
      <c r="S1" t="s">
        <v>127</v>
      </c>
      <c r="T1" t="s">
        <v>128</v>
      </c>
      <c r="U1" t="s">
        <v>129</v>
      </c>
      <c r="V1" t="s">
        <v>130</v>
      </c>
      <c r="W1" t="s">
        <v>131</v>
      </c>
      <c r="X1" t="s">
        <v>132</v>
      </c>
      <c r="Y1" t="s">
        <v>133</v>
      </c>
      <c r="Z1" t="s">
        <v>134</v>
      </c>
      <c r="AA1" t="s">
        <v>135</v>
      </c>
      <c r="AB1" t="s">
        <v>136</v>
      </c>
      <c r="AC1" t="s">
        <v>137</v>
      </c>
      <c r="AD1" t="s">
        <v>138</v>
      </c>
      <c r="AE1" t="s">
        <v>139</v>
      </c>
      <c r="AF1" t="s">
        <v>140</v>
      </c>
      <c r="AG1" t="s">
        <v>141</v>
      </c>
      <c r="AH1" t="s">
        <v>142</v>
      </c>
      <c r="AI1" t="s">
        <v>143</v>
      </c>
      <c r="AJ1" t="s">
        <v>144</v>
      </c>
      <c r="AK1" t="s">
        <v>145</v>
      </c>
      <c r="AL1" t="s">
        <v>146</v>
      </c>
      <c r="AM1" t="s">
        <v>147</v>
      </c>
      <c r="AN1" t="s">
        <v>148</v>
      </c>
      <c r="AO1" t="s">
        <v>149</v>
      </c>
      <c r="AP1" t="s">
        <v>150</v>
      </c>
      <c r="AQ1" t="s">
        <v>151</v>
      </c>
      <c r="AR1" t="s">
        <v>152</v>
      </c>
      <c r="AS1" t="s">
        <v>153</v>
      </c>
      <c r="AT1" t="s">
        <v>154</v>
      </c>
      <c r="AU1" t="s">
        <v>155</v>
      </c>
      <c r="AV1" t="s">
        <v>156</v>
      </c>
      <c r="AW1" t="s">
        <v>157</v>
      </c>
      <c r="AX1" t="s">
        <v>158</v>
      </c>
      <c r="AY1" t="s">
        <v>159</v>
      </c>
    </row>
    <row r="2" spans="1:51" x14ac:dyDescent="0.35">
      <c r="A2" t="s">
        <v>167</v>
      </c>
      <c r="B2">
        <v>0.12</v>
      </c>
      <c r="C2">
        <v>0.12</v>
      </c>
      <c r="D2">
        <v>0.12</v>
      </c>
      <c r="E2">
        <v>0.12</v>
      </c>
      <c r="F2">
        <v>0.12</v>
      </c>
      <c r="G2">
        <v>0.12</v>
      </c>
      <c r="H2">
        <v>0.12</v>
      </c>
      <c r="I2">
        <v>0.12</v>
      </c>
      <c r="J2">
        <v>0.12</v>
      </c>
      <c r="K2">
        <v>0.12</v>
      </c>
      <c r="L2">
        <v>0.12</v>
      </c>
      <c r="M2">
        <v>0.12</v>
      </c>
      <c r="N2">
        <v>0.12</v>
      </c>
      <c r="O2">
        <v>0.12</v>
      </c>
      <c r="P2">
        <v>0.12</v>
      </c>
      <c r="Q2">
        <v>0.12</v>
      </c>
      <c r="R2">
        <v>0.12</v>
      </c>
      <c r="S2">
        <v>0.12</v>
      </c>
      <c r="T2">
        <v>0.12</v>
      </c>
      <c r="U2">
        <v>0.12</v>
      </c>
      <c r="V2">
        <v>0.12</v>
      </c>
      <c r="W2">
        <v>0.12</v>
      </c>
      <c r="X2">
        <v>0.12</v>
      </c>
      <c r="Y2">
        <v>0.12</v>
      </c>
      <c r="Z2">
        <v>0.12</v>
      </c>
      <c r="AA2">
        <v>0.12</v>
      </c>
      <c r="AB2">
        <v>0.12</v>
      </c>
      <c r="AC2">
        <v>0.12</v>
      </c>
      <c r="AD2">
        <v>0.12</v>
      </c>
      <c r="AE2">
        <v>0.12</v>
      </c>
      <c r="AF2">
        <v>0.12</v>
      </c>
      <c r="AG2">
        <v>0.12</v>
      </c>
      <c r="AH2">
        <v>0.12</v>
      </c>
      <c r="AI2">
        <v>0.12</v>
      </c>
      <c r="AJ2">
        <v>0.12</v>
      </c>
      <c r="AK2">
        <v>0.12</v>
      </c>
      <c r="AL2">
        <v>0.12</v>
      </c>
      <c r="AM2">
        <v>0.12</v>
      </c>
      <c r="AN2">
        <v>0.12</v>
      </c>
      <c r="AO2">
        <v>0.12</v>
      </c>
      <c r="AP2">
        <v>0.12</v>
      </c>
      <c r="AQ2">
        <v>0.12</v>
      </c>
      <c r="AR2">
        <v>0.12</v>
      </c>
      <c r="AS2">
        <v>0.12</v>
      </c>
      <c r="AT2">
        <v>0.12</v>
      </c>
      <c r="AU2">
        <v>0.12</v>
      </c>
      <c r="AV2">
        <v>0.12</v>
      </c>
      <c r="AW2">
        <v>0.12</v>
      </c>
      <c r="AX2">
        <v>0.12</v>
      </c>
      <c r="AY2">
        <v>0.12</v>
      </c>
    </row>
    <row r="3" spans="1:51" x14ac:dyDescent="0.35">
      <c r="A3" t="s">
        <v>168</v>
      </c>
      <c r="B3">
        <v>0.04</v>
      </c>
      <c r="C3">
        <v>0.04</v>
      </c>
      <c r="D3">
        <v>0.04</v>
      </c>
      <c r="E3">
        <v>0.04</v>
      </c>
      <c r="F3">
        <v>0.04</v>
      </c>
      <c r="G3">
        <v>0.04</v>
      </c>
      <c r="H3">
        <v>0.04</v>
      </c>
      <c r="I3">
        <v>0.04</v>
      </c>
      <c r="J3">
        <v>0.04</v>
      </c>
      <c r="K3">
        <v>0.04</v>
      </c>
      <c r="L3">
        <v>0.04</v>
      </c>
      <c r="M3">
        <v>0.04</v>
      </c>
      <c r="N3">
        <v>0.04</v>
      </c>
      <c r="O3">
        <v>0.04</v>
      </c>
      <c r="P3">
        <v>0.04</v>
      </c>
      <c r="Q3">
        <v>0.04</v>
      </c>
      <c r="R3">
        <v>0.04</v>
      </c>
      <c r="S3">
        <v>0.04</v>
      </c>
      <c r="T3">
        <v>0.04</v>
      </c>
      <c r="U3">
        <v>0.04</v>
      </c>
      <c r="V3">
        <v>0.04</v>
      </c>
      <c r="W3">
        <v>0.04</v>
      </c>
      <c r="X3">
        <v>0.04</v>
      </c>
      <c r="Y3">
        <v>0.04</v>
      </c>
      <c r="Z3">
        <v>0.04</v>
      </c>
      <c r="AA3">
        <v>0.04</v>
      </c>
      <c r="AB3">
        <v>0.04</v>
      </c>
      <c r="AC3">
        <v>0.04</v>
      </c>
      <c r="AD3">
        <v>0.04</v>
      </c>
      <c r="AE3">
        <v>0.04</v>
      </c>
      <c r="AF3">
        <v>0.04</v>
      </c>
      <c r="AG3">
        <v>0.04</v>
      </c>
      <c r="AH3">
        <v>0.04</v>
      </c>
      <c r="AI3">
        <v>0.04</v>
      </c>
      <c r="AJ3">
        <v>0.04</v>
      </c>
      <c r="AK3">
        <v>0.04</v>
      </c>
      <c r="AL3">
        <v>0.04</v>
      </c>
      <c r="AM3">
        <v>0.04</v>
      </c>
      <c r="AN3">
        <v>0.04</v>
      </c>
      <c r="AO3">
        <v>0.04</v>
      </c>
      <c r="AP3">
        <v>0.04</v>
      </c>
      <c r="AQ3">
        <v>0.04</v>
      </c>
      <c r="AR3">
        <v>0.04</v>
      </c>
      <c r="AS3">
        <v>0.04</v>
      </c>
      <c r="AT3">
        <v>0.04</v>
      </c>
      <c r="AU3">
        <v>0.04</v>
      </c>
      <c r="AV3">
        <v>0.04</v>
      </c>
      <c r="AW3">
        <v>0.04</v>
      </c>
      <c r="AX3">
        <v>0.04</v>
      </c>
      <c r="AY3">
        <v>0.04</v>
      </c>
    </row>
    <row r="4" spans="1:51" x14ac:dyDescent="0.35">
      <c r="A4" t="s">
        <v>169</v>
      </c>
      <c r="B4">
        <v>0.06</v>
      </c>
      <c r="C4">
        <v>0.06</v>
      </c>
      <c r="D4">
        <v>0.06</v>
      </c>
      <c r="E4">
        <v>0.06</v>
      </c>
      <c r="F4">
        <v>0.06</v>
      </c>
      <c r="G4">
        <v>0.06</v>
      </c>
      <c r="H4">
        <v>0.06</v>
      </c>
      <c r="I4">
        <v>0.06</v>
      </c>
      <c r="J4">
        <v>0.06</v>
      </c>
      <c r="K4">
        <v>0.06</v>
      </c>
      <c r="L4">
        <v>0.06</v>
      </c>
      <c r="M4">
        <v>0.06</v>
      </c>
      <c r="N4">
        <v>0.06</v>
      </c>
      <c r="O4">
        <v>0.06</v>
      </c>
      <c r="P4">
        <v>0.06</v>
      </c>
      <c r="Q4">
        <v>0.06</v>
      </c>
      <c r="R4">
        <v>0.06</v>
      </c>
      <c r="S4">
        <v>0.06</v>
      </c>
      <c r="T4">
        <v>0.06</v>
      </c>
      <c r="U4">
        <v>0.06</v>
      </c>
      <c r="V4">
        <v>0.06</v>
      </c>
      <c r="W4">
        <v>0.06</v>
      </c>
      <c r="X4">
        <v>0.06</v>
      </c>
      <c r="Y4">
        <v>0.06</v>
      </c>
      <c r="Z4">
        <v>0.06</v>
      </c>
      <c r="AA4">
        <v>0.06</v>
      </c>
      <c r="AB4">
        <v>0.06</v>
      </c>
      <c r="AC4">
        <v>0.06</v>
      </c>
      <c r="AD4">
        <v>0.06</v>
      </c>
      <c r="AE4">
        <v>0.06</v>
      </c>
      <c r="AF4">
        <v>0.06</v>
      </c>
      <c r="AG4">
        <v>0.06</v>
      </c>
      <c r="AH4">
        <v>0.06</v>
      </c>
      <c r="AI4">
        <v>0.06</v>
      </c>
      <c r="AJ4">
        <v>0.06</v>
      </c>
      <c r="AK4">
        <v>0.06</v>
      </c>
      <c r="AL4">
        <v>0.06</v>
      </c>
      <c r="AM4">
        <v>0.06</v>
      </c>
      <c r="AN4">
        <v>0.06</v>
      </c>
      <c r="AO4">
        <v>0.06</v>
      </c>
      <c r="AP4">
        <v>0.06</v>
      </c>
      <c r="AQ4">
        <v>0.06</v>
      </c>
      <c r="AR4">
        <v>0.06</v>
      </c>
      <c r="AS4">
        <v>0.06</v>
      </c>
      <c r="AT4">
        <v>0.06</v>
      </c>
      <c r="AU4">
        <v>0.06</v>
      </c>
      <c r="AV4">
        <v>0.06</v>
      </c>
      <c r="AW4">
        <v>0.06</v>
      </c>
      <c r="AX4">
        <v>0.06</v>
      </c>
      <c r="AY4">
        <v>0.06</v>
      </c>
    </row>
    <row r="5" spans="1:51" x14ac:dyDescent="0.35">
      <c r="A5" t="s">
        <v>170</v>
      </c>
      <c r="B5">
        <v>0.15</v>
      </c>
      <c r="C5">
        <v>0.15</v>
      </c>
      <c r="D5">
        <v>0.15</v>
      </c>
      <c r="E5">
        <v>0.15</v>
      </c>
      <c r="F5">
        <v>0.15</v>
      </c>
      <c r="G5">
        <v>0.15</v>
      </c>
      <c r="H5">
        <v>0.15</v>
      </c>
      <c r="I5">
        <v>0.15</v>
      </c>
      <c r="J5">
        <v>0.15</v>
      </c>
      <c r="K5">
        <v>0.15</v>
      </c>
      <c r="L5">
        <v>0.15</v>
      </c>
      <c r="M5">
        <v>0.15</v>
      </c>
      <c r="N5">
        <v>0.15</v>
      </c>
      <c r="O5">
        <v>0.15</v>
      </c>
      <c r="P5">
        <v>0.15</v>
      </c>
      <c r="Q5">
        <v>0.15</v>
      </c>
      <c r="R5">
        <v>0.15</v>
      </c>
      <c r="S5">
        <v>0.15</v>
      </c>
      <c r="T5">
        <v>0.15</v>
      </c>
      <c r="U5">
        <v>0.15</v>
      </c>
      <c r="V5">
        <v>0.15</v>
      </c>
      <c r="W5">
        <v>0.15</v>
      </c>
      <c r="X5">
        <v>0.15</v>
      </c>
      <c r="Y5">
        <v>0.15</v>
      </c>
      <c r="Z5">
        <v>0.15</v>
      </c>
      <c r="AA5">
        <v>0.15</v>
      </c>
      <c r="AB5">
        <v>0.15</v>
      </c>
      <c r="AC5">
        <v>0.15</v>
      </c>
      <c r="AD5">
        <v>0.15</v>
      </c>
      <c r="AE5">
        <v>0.15</v>
      </c>
      <c r="AF5">
        <v>0.15</v>
      </c>
      <c r="AG5">
        <v>0.15</v>
      </c>
      <c r="AH5">
        <v>0.15</v>
      </c>
      <c r="AI5">
        <v>0.15</v>
      </c>
      <c r="AJ5">
        <v>0.15</v>
      </c>
      <c r="AK5">
        <v>0.15</v>
      </c>
      <c r="AL5">
        <v>0.15</v>
      </c>
      <c r="AM5">
        <v>0.15</v>
      </c>
      <c r="AN5">
        <v>0.15</v>
      </c>
      <c r="AO5">
        <v>0.15</v>
      </c>
      <c r="AP5">
        <v>0.15</v>
      </c>
      <c r="AQ5">
        <v>0.15</v>
      </c>
      <c r="AR5">
        <v>0.15</v>
      </c>
      <c r="AS5">
        <v>0.15</v>
      </c>
      <c r="AT5">
        <v>0.15</v>
      </c>
      <c r="AU5">
        <v>0.15</v>
      </c>
      <c r="AV5">
        <v>0.15</v>
      </c>
      <c r="AW5">
        <v>0.15</v>
      </c>
      <c r="AX5">
        <v>0.15</v>
      </c>
      <c r="AY5">
        <v>0.15</v>
      </c>
    </row>
    <row r="6" spans="1:51" x14ac:dyDescent="0.35">
      <c r="A6" t="s">
        <v>171</v>
      </c>
      <c r="B6">
        <v>0.16</v>
      </c>
      <c r="C6">
        <v>0.16</v>
      </c>
      <c r="D6">
        <v>0.16</v>
      </c>
      <c r="E6">
        <v>0.16</v>
      </c>
      <c r="F6">
        <v>0.16</v>
      </c>
      <c r="G6">
        <v>0.16</v>
      </c>
      <c r="H6">
        <v>0.16</v>
      </c>
      <c r="I6">
        <v>0.16</v>
      </c>
      <c r="J6">
        <v>0.16</v>
      </c>
      <c r="K6">
        <v>0.16</v>
      </c>
      <c r="L6">
        <v>0.16</v>
      </c>
      <c r="M6">
        <v>0.16</v>
      </c>
      <c r="N6">
        <v>0.16</v>
      </c>
      <c r="O6">
        <v>0.16</v>
      </c>
      <c r="P6">
        <v>0.16</v>
      </c>
      <c r="Q6">
        <v>0.16</v>
      </c>
      <c r="R6">
        <v>0.16</v>
      </c>
      <c r="S6">
        <v>0.16</v>
      </c>
      <c r="T6">
        <v>0.16</v>
      </c>
      <c r="U6">
        <v>0.16</v>
      </c>
      <c r="V6">
        <v>0.16</v>
      </c>
      <c r="W6">
        <v>0.16</v>
      </c>
      <c r="X6">
        <v>0.16</v>
      </c>
      <c r="Y6">
        <v>0.16</v>
      </c>
      <c r="Z6">
        <v>0.16</v>
      </c>
      <c r="AA6">
        <v>0.16</v>
      </c>
      <c r="AB6">
        <v>0.16</v>
      </c>
      <c r="AC6">
        <v>0.16</v>
      </c>
      <c r="AD6">
        <v>0.16</v>
      </c>
      <c r="AE6">
        <v>0.16</v>
      </c>
      <c r="AF6">
        <v>0.16</v>
      </c>
      <c r="AG6">
        <v>0.16</v>
      </c>
      <c r="AH6">
        <v>0.16</v>
      </c>
      <c r="AI6">
        <v>0.16</v>
      </c>
      <c r="AJ6">
        <v>0.16</v>
      </c>
      <c r="AK6">
        <v>0.16</v>
      </c>
      <c r="AL6">
        <v>0.16</v>
      </c>
      <c r="AM6">
        <v>0.16</v>
      </c>
      <c r="AN6">
        <v>0.16</v>
      </c>
      <c r="AO6">
        <v>0.16</v>
      </c>
      <c r="AP6">
        <v>0.16</v>
      </c>
      <c r="AQ6">
        <v>0.16</v>
      </c>
      <c r="AR6">
        <v>0.16</v>
      </c>
      <c r="AS6">
        <v>0.16</v>
      </c>
      <c r="AT6">
        <v>0.16</v>
      </c>
      <c r="AU6">
        <v>0.16</v>
      </c>
      <c r="AV6">
        <v>0.16</v>
      </c>
      <c r="AW6">
        <v>0.16</v>
      </c>
      <c r="AX6">
        <v>0.16</v>
      </c>
      <c r="AY6">
        <v>0.16</v>
      </c>
    </row>
    <row r="7" spans="1:51" x14ac:dyDescent="0.35">
      <c r="A7" t="s">
        <v>172</v>
      </c>
      <c r="B7">
        <v>-0.01</v>
      </c>
      <c r="C7">
        <v>-0.01</v>
      </c>
      <c r="D7">
        <v>-0.01</v>
      </c>
      <c r="E7">
        <v>-0.01</v>
      </c>
      <c r="F7">
        <v>-0.01</v>
      </c>
      <c r="G7">
        <v>-0.01</v>
      </c>
      <c r="H7">
        <v>-0.01</v>
      </c>
      <c r="I7">
        <v>-0.01</v>
      </c>
      <c r="J7">
        <v>-0.01</v>
      </c>
      <c r="K7">
        <v>-0.01</v>
      </c>
      <c r="L7">
        <v>-0.01</v>
      </c>
      <c r="M7">
        <v>-0.01</v>
      </c>
      <c r="N7">
        <v>-0.01</v>
      </c>
      <c r="O7">
        <v>-0.01</v>
      </c>
      <c r="P7">
        <v>-0.01</v>
      </c>
      <c r="Q7">
        <v>-0.01</v>
      </c>
      <c r="R7">
        <v>-0.01</v>
      </c>
      <c r="S7">
        <v>-0.01</v>
      </c>
      <c r="T7">
        <v>-0.01</v>
      </c>
      <c r="U7">
        <v>-0.01</v>
      </c>
      <c r="V7">
        <v>-0.01</v>
      </c>
      <c r="W7">
        <v>-0.01</v>
      </c>
      <c r="X7">
        <v>-0.01</v>
      </c>
      <c r="Y7">
        <v>-0.01</v>
      </c>
      <c r="Z7">
        <v>-0.01</v>
      </c>
      <c r="AA7">
        <v>-0.01</v>
      </c>
      <c r="AB7">
        <v>-0.01</v>
      </c>
      <c r="AC7">
        <v>-0.01</v>
      </c>
      <c r="AD7">
        <v>-0.01</v>
      </c>
      <c r="AE7">
        <v>-0.01</v>
      </c>
      <c r="AF7">
        <v>-0.01</v>
      </c>
      <c r="AG7">
        <v>-0.01</v>
      </c>
      <c r="AH7">
        <v>-0.01</v>
      </c>
      <c r="AI7">
        <v>-0.01</v>
      </c>
      <c r="AJ7">
        <v>-0.01</v>
      </c>
      <c r="AK7">
        <v>-0.01</v>
      </c>
      <c r="AL7">
        <v>-0.01</v>
      </c>
      <c r="AM7">
        <v>-0.01</v>
      </c>
      <c r="AN7">
        <v>-0.01</v>
      </c>
      <c r="AO7">
        <v>-0.01</v>
      </c>
      <c r="AP7">
        <v>-0.01</v>
      </c>
      <c r="AQ7">
        <v>-0.01</v>
      </c>
      <c r="AR7">
        <v>-0.01</v>
      </c>
      <c r="AS7">
        <v>-0.01</v>
      </c>
      <c r="AT7">
        <v>-0.01</v>
      </c>
      <c r="AU7">
        <v>-0.01</v>
      </c>
      <c r="AV7">
        <v>-0.01</v>
      </c>
      <c r="AW7">
        <v>-0.01</v>
      </c>
      <c r="AX7">
        <v>-0.01</v>
      </c>
      <c r="AY7">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B4ACF-8769-4D41-B361-0B24E4C47EDE}">
  <dimension ref="A1:AY7"/>
  <sheetViews>
    <sheetView workbookViewId="0">
      <selection activeCell="AS6" sqref="AS6"/>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110</v>
      </c>
      <c r="C1" t="s">
        <v>111</v>
      </c>
      <c r="D1" t="s">
        <v>112</v>
      </c>
      <c r="E1" t="s">
        <v>113</v>
      </c>
      <c r="F1" t="s">
        <v>114</v>
      </c>
      <c r="G1" t="s">
        <v>115</v>
      </c>
      <c r="H1" t="s">
        <v>116</v>
      </c>
      <c r="I1" t="s">
        <v>117</v>
      </c>
      <c r="J1" t="s">
        <v>118</v>
      </c>
      <c r="K1" t="s">
        <v>119</v>
      </c>
      <c r="L1" t="s">
        <v>120</v>
      </c>
      <c r="M1" t="s">
        <v>121</v>
      </c>
      <c r="N1" t="s">
        <v>122</v>
      </c>
      <c r="O1" t="s">
        <v>123</v>
      </c>
      <c r="P1" t="s">
        <v>124</v>
      </c>
      <c r="Q1" t="s">
        <v>125</v>
      </c>
      <c r="R1" t="s">
        <v>126</v>
      </c>
      <c r="S1" t="s">
        <v>127</v>
      </c>
      <c r="T1" t="s">
        <v>128</v>
      </c>
      <c r="U1" t="s">
        <v>129</v>
      </c>
      <c r="V1" t="s">
        <v>130</v>
      </c>
      <c r="W1" t="s">
        <v>131</v>
      </c>
      <c r="X1" t="s">
        <v>132</v>
      </c>
      <c r="Y1" t="s">
        <v>133</v>
      </c>
      <c r="Z1" t="s">
        <v>134</v>
      </c>
      <c r="AA1" t="s">
        <v>135</v>
      </c>
      <c r="AB1" t="s">
        <v>136</v>
      </c>
      <c r="AC1" t="s">
        <v>137</v>
      </c>
      <c r="AD1" t="s">
        <v>138</v>
      </c>
      <c r="AE1" t="s">
        <v>139</v>
      </c>
      <c r="AF1" t="s">
        <v>140</v>
      </c>
      <c r="AG1" t="s">
        <v>141</v>
      </c>
      <c r="AH1" t="s">
        <v>142</v>
      </c>
      <c r="AI1" t="s">
        <v>143</v>
      </c>
      <c r="AJ1" t="s">
        <v>144</v>
      </c>
      <c r="AK1" t="s">
        <v>145</v>
      </c>
      <c r="AL1" t="s">
        <v>146</v>
      </c>
      <c r="AM1" t="s">
        <v>147</v>
      </c>
      <c r="AN1" t="s">
        <v>148</v>
      </c>
      <c r="AO1" t="s">
        <v>149</v>
      </c>
      <c r="AP1" t="s">
        <v>150</v>
      </c>
      <c r="AQ1" t="s">
        <v>151</v>
      </c>
      <c r="AR1" t="s">
        <v>152</v>
      </c>
      <c r="AS1" t="s">
        <v>153</v>
      </c>
      <c r="AT1" t="s">
        <v>154</v>
      </c>
      <c r="AU1" t="s">
        <v>155</v>
      </c>
      <c r="AV1" t="s">
        <v>156</v>
      </c>
      <c r="AW1" t="s">
        <v>157</v>
      </c>
      <c r="AX1" t="s">
        <v>158</v>
      </c>
      <c r="AY1" t="s">
        <v>159</v>
      </c>
    </row>
    <row r="2" spans="1:51" x14ac:dyDescent="0.35">
      <c r="A2" t="s">
        <v>108</v>
      </c>
      <c r="B2">
        <v>-4.6374624539303522E-2</v>
      </c>
      <c r="C2">
        <v>0.25193929244792046</v>
      </c>
      <c r="D2">
        <v>0.25632261453563498</v>
      </c>
      <c r="E2">
        <v>-5.9773063379075286E-2</v>
      </c>
      <c r="F2">
        <v>0.4037825622478608</v>
      </c>
      <c r="G2">
        <v>0.31172393348028482</v>
      </c>
      <c r="H2">
        <v>5.9218288104509353E-2</v>
      </c>
      <c r="I2">
        <v>0.10707307173309566</v>
      </c>
      <c r="J2">
        <v>0.1143557726991431</v>
      </c>
      <c r="K2">
        <v>0.12346019482714743</v>
      </c>
      <c r="L2">
        <v>9.0155243291453413E-2</v>
      </c>
      <c r="M2">
        <v>0.16489957003965827</v>
      </c>
      <c r="N2">
        <v>-3.2891724441363568E-2</v>
      </c>
      <c r="O2">
        <v>-2.8709220895397625E-2</v>
      </c>
      <c r="P2">
        <v>-2.9700592918326052E-2</v>
      </c>
      <c r="Q2">
        <v>5.3046739497358164E-2</v>
      </c>
      <c r="R2">
        <v>4.0017378805269122E-2</v>
      </c>
      <c r="S2">
        <v>0.31809496159743089</v>
      </c>
      <c r="T2">
        <v>-3.0274921180414083E-2</v>
      </c>
      <c r="U2">
        <v>0.42106698481842941</v>
      </c>
      <c r="V2">
        <v>-0.15114640093107001</v>
      </c>
      <c r="W2">
        <v>0.11903432201536934</v>
      </c>
      <c r="X2">
        <v>-0.14501133771544472</v>
      </c>
      <c r="Y2">
        <v>-9.8981450678448213E-2</v>
      </c>
      <c r="Z2">
        <v>-0.28480526143549512</v>
      </c>
      <c r="AA2">
        <v>0.16386844102281728</v>
      </c>
      <c r="AB2">
        <v>-4.9048038763010116E-2</v>
      </c>
      <c r="AC2">
        <v>0.10968519365888074</v>
      </c>
      <c r="AD2">
        <v>-7.9101954782518469E-2</v>
      </c>
      <c r="AE2">
        <v>0.11709658947834378</v>
      </c>
      <c r="AF2">
        <v>0.42713820722628815</v>
      </c>
      <c r="AG2">
        <v>-0.26668674586449892</v>
      </c>
      <c r="AH2">
        <v>-0.1530648452641632</v>
      </c>
      <c r="AI2">
        <v>0.23493864763154781</v>
      </c>
      <c r="AJ2">
        <v>6.041256988737298E-2</v>
      </c>
      <c r="AK2">
        <v>1.4204164172181066E-2</v>
      </c>
      <c r="AL2">
        <v>-6.9574101825511381E-2</v>
      </c>
      <c r="AM2">
        <v>7.3240333938557445E-2</v>
      </c>
      <c r="AN2">
        <v>0.10362599817724494</v>
      </c>
      <c r="AO2">
        <v>5.1557175598106575E-2</v>
      </c>
      <c r="AP2">
        <v>-5.2116699156352086E-2</v>
      </c>
      <c r="AQ2">
        <v>-0.23205744218937063</v>
      </c>
      <c r="AR2">
        <v>0.46613427903603921</v>
      </c>
      <c r="AS2">
        <v>7.4472391324156284E-2</v>
      </c>
      <c r="AT2">
        <v>0.71150702464550397</v>
      </c>
      <c r="AU2">
        <v>2.0245654526625412E-2</v>
      </c>
      <c r="AV2">
        <v>0.27735916529071791</v>
      </c>
      <c r="AW2">
        <v>0.11781713077091949</v>
      </c>
      <c r="AX2">
        <v>-4.1329986166300792E-3</v>
      </c>
      <c r="AY2">
        <v>7.0092809209421958E-2</v>
      </c>
    </row>
    <row r="3" spans="1:51" x14ac:dyDescent="0.35">
      <c r="A3" t="s">
        <v>109</v>
      </c>
      <c r="B3">
        <v>-3.4134004457981759E-2</v>
      </c>
      <c r="C3">
        <v>0.19511077137000687</v>
      </c>
      <c r="D3">
        <v>6.9691772197972179E-2</v>
      </c>
      <c r="E3">
        <v>0.1033057450186734</v>
      </c>
      <c r="F3">
        <v>7.6016162916965113E-2</v>
      </c>
      <c r="G3">
        <v>0.23027144965944113</v>
      </c>
      <c r="H3">
        <v>3.2689217671517445E-2</v>
      </c>
      <c r="I3">
        <v>-8.8332981043660608E-2</v>
      </c>
      <c r="J3">
        <v>-0.10923190033107699</v>
      </c>
      <c r="K3">
        <v>-4.3963023434883675E-2</v>
      </c>
      <c r="L3">
        <v>0.20956142406649048</v>
      </c>
      <c r="M3">
        <v>-1.5205665643450494E-2</v>
      </c>
      <c r="N3">
        <v>-5.9960028782211405E-2</v>
      </c>
      <c r="O3">
        <v>5.7027602095488295E-2</v>
      </c>
      <c r="P3">
        <v>-3.5388428115954884E-2</v>
      </c>
      <c r="Q3">
        <v>-4.1584959494241347E-2</v>
      </c>
      <c r="R3">
        <v>-6.6624170345609413E-3</v>
      </c>
      <c r="S3">
        <v>0.21043093873515328</v>
      </c>
      <c r="T3">
        <v>6.8683867347799188E-2</v>
      </c>
      <c r="U3">
        <v>0.37689316574426335</v>
      </c>
      <c r="V3">
        <v>4.2532040403342908E-2</v>
      </c>
      <c r="W3">
        <v>0.18667478780794977</v>
      </c>
      <c r="X3">
        <v>-2.3315533646275588E-2</v>
      </c>
      <c r="Y3">
        <v>2.0929003130567336E-2</v>
      </c>
      <c r="Z3">
        <v>-3.3223354241563752E-2</v>
      </c>
      <c r="AA3">
        <v>0.14205355388071439</v>
      </c>
      <c r="AB3">
        <v>-3.1351511198571491E-2</v>
      </c>
      <c r="AC3">
        <v>7.7272300158451657E-2</v>
      </c>
      <c r="AD3">
        <v>-7.6933006132187454E-2</v>
      </c>
      <c r="AE3">
        <v>4.2148946498898887E-3</v>
      </c>
      <c r="AF3">
        <v>0.39390059080264517</v>
      </c>
      <c r="AG3">
        <v>-9.848900274038308E-2</v>
      </c>
      <c r="AH3">
        <v>-9.6519892653231909E-2</v>
      </c>
      <c r="AI3">
        <v>0.17365697809383684</v>
      </c>
      <c r="AJ3">
        <v>0.13561299161585239</v>
      </c>
      <c r="AK3">
        <v>6.2760250987418553E-2</v>
      </c>
      <c r="AL3">
        <v>-1.9523505554479681E-2</v>
      </c>
      <c r="AM3">
        <v>0.13169239029263036</v>
      </c>
      <c r="AN3">
        <v>0.16529749354644085</v>
      </c>
      <c r="AO3">
        <v>6.9245797760353556E-2</v>
      </c>
      <c r="AP3">
        <v>-0.13108725517574527</v>
      </c>
      <c r="AQ3">
        <v>-0.12086994313042287</v>
      </c>
      <c r="AR3">
        <v>0.26810918058794209</v>
      </c>
      <c r="AS3">
        <v>2.1392416323751551E-2</v>
      </c>
      <c r="AT3">
        <v>0.29513880715473073</v>
      </c>
      <c r="AU3">
        <v>-1.6946598826961257E-3</v>
      </c>
      <c r="AV3">
        <v>7.6425522373073873E-2</v>
      </c>
      <c r="AW3">
        <v>0.10705452816213645</v>
      </c>
      <c r="AX3">
        <v>-1.1778299652929536E-2</v>
      </c>
      <c r="AY3">
        <v>0.12849202499791512</v>
      </c>
    </row>
    <row r="4" spans="1:51" x14ac:dyDescent="0.35">
      <c r="A4" t="s">
        <v>163</v>
      </c>
      <c r="B4">
        <v>-2.4348050660809251E-2</v>
      </c>
      <c r="C4">
        <v>0.17899997942074442</v>
      </c>
      <c r="D4">
        <v>5.3592043458880134E-2</v>
      </c>
      <c r="E4">
        <v>-9.7456791152005784E-2</v>
      </c>
      <c r="F4">
        <v>9.9075542917716142E-2</v>
      </c>
      <c r="G4">
        <v>-1.2404188671498617E-2</v>
      </c>
      <c r="H4">
        <v>-2.0112401297278204E-2</v>
      </c>
      <c r="I4">
        <v>8.8319812711201706E-4</v>
      </c>
      <c r="J4">
        <v>0.13739337408998864</v>
      </c>
      <c r="K4">
        <v>4.93102042936715E-2</v>
      </c>
      <c r="L4">
        <v>0.16346340391895264</v>
      </c>
      <c r="M4">
        <v>0.15165498697161639</v>
      </c>
      <c r="N4">
        <v>-3.7833919205281896E-2</v>
      </c>
      <c r="O4">
        <v>-3.2854561153112916E-2</v>
      </c>
      <c r="P4">
        <v>8.8478774729274345E-2</v>
      </c>
      <c r="Q4">
        <v>5.2819549037135038E-2</v>
      </c>
      <c r="R4">
        <v>7.9197987324172381E-2</v>
      </c>
      <c r="S4">
        <v>2.0094932630428275E-2</v>
      </c>
      <c r="T4">
        <v>0.1675414410016085</v>
      </c>
      <c r="U4">
        <v>0.1310381975414967</v>
      </c>
      <c r="V4">
        <v>5.2266955821262284E-2</v>
      </c>
      <c r="W4">
        <v>1.4832552895459594E-2</v>
      </c>
      <c r="X4">
        <v>-1.9128735871546287E-2</v>
      </c>
      <c r="Y4">
        <v>-0.10185033256489218</v>
      </c>
      <c r="Z4">
        <v>-0.10937817346668721</v>
      </c>
      <c r="AA4">
        <v>5.4434209891755625E-2</v>
      </c>
      <c r="AB4">
        <v>3.2901852569451107E-2</v>
      </c>
      <c r="AC4">
        <v>0.13941133867926814</v>
      </c>
      <c r="AD4">
        <v>-1.9714931120616841E-3</v>
      </c>
      <c r="AE4">
        <v>9.5073761389524059E-2</v>
      </c>
      <c r="AF4">
        <v>0.23102348181169319</v>
      </c>
      <c r="AG4">
        <v>-5.5404051968755641E-2</v>
      </c>
      <c r="AH4">
        <v>-1.6079316485009265E-2</v>
      </c>
      <c r="AI4">
        <v>0.17435244591535337</v>
      </c>
      <c r="AJ4">
        <v>6.8288645445059748E-2</v>
      </c>
      <c r="AK4">
        <v>-0.10568757583847876</v>
      </c>
      <c r="AL4">
        <v>7.7890760169976314E-3</v>
      </c>
      <c r="AM4">
        <v>-9.7682374094033908E-2</v>
      </c>
      <c r="AN4">
        <v>-4.8483464601972281E-2</v>
      </c>
      <c r="AO4">
        <v>-3.0515458984663457E-3</v>
      </c>
      <c r="AP4">
        <v>2.7520955675692793E-3</v>
      </c>
      <c r="AQ4">
        <v>3.4665731121924281E-2</v>
      </c>
      <c r="AR4">
        <v>0.16682695641162315</v>
      </c>
      <c r="AS4">
        <v>3.9148103395052702E-2</v>
      </c>
      <c r="AT4">
        <v>0.19318839075466232</v>
      </c>
      <c r="AU4">
        <v>-6.6513778884906838E-3</v>
      </c>
      <c r="AV4">
        <v>0.15805628543610295</v>
      </c>
      <c r="AW4">
        <v>6.1989057853666374E-2</v>
      </c>
      <c r="AX4">
        <v>-0.10102989980336718</v>
      </c>
      <c r="AY4">
        <v>4.7570480242633773E-2</v>
      </c>
    </row>
    <row r="5" spans="1:51" x14ac:dyDescent="0.35">
      <c r="A5" t="s">
        <v>162</v>
      </c>
      <c r="B5">
        <v>2.0947373043940232E-3</v>
      </c>
      <c r="C5">
        <v>0.16863527274992385</v>
      </c>
      <c r="D5">
        <v>-4.3988899549594396E-2</v>
      </c>
      <c r="E5">
        <v>9.2439085080484595E-3</v>
      </c>
      <c r="F5">
        <v>-5.8187200655120397E-2</v>
      </c>
      <c r="G5">
        <v>6.393462710665343E-2</v>
      </c>
      <c r="H5">
        <v>3.9390304980641E-2</v>
      </c>
      <c r="I5">
        <v>-4.8821518700243871E-3</v>
      </c>
      <c r="J5">
        <v>-1.0087751091934383E-2</v>
      </c>
      <c r="K5">
        <v>-4.0523476546512227E-2</v>
      </c>
      <c r="L5">
        <v>0.22293804810000961</v>
      </c>
      <c r="M5">
        <v>0.17926818565699532</v>
      </c>
      <c r="N5">
        <v>-1.3958242070529314E-2</v>
      </c>
      <c r="O5">
        <v>6.29207364008606E-2</v>
      </c>
      <c r="P5">
        <v>-5.8488370474529816E-4</v>
      </c>
      <c r="Q5">
        <v>-2.4558541927591326E-2</v>
      </c>
      <c r="R5">
        <v>9.9825643984252199E-2</v>
      </c>
      <c r="S5">
        <v>9.5745177078208954E-2</v>
      </c>
      <c r="T5">
        <v>0.18763394710053749</v>
      </c>
      <c r="U5">
        <v>0.25076435289002275</v>
      </c>
      <c r="V5">
        <v>4.3184299723693531E-2</v>
      </c>
      <c r="W5">
        <v>1.4553844236743441E-2</v>
      </c>
      <c r="X5">
        <v>-6.46543044094261E-2</v>
      </c>
      <c r="Y5">
        <v>-6.8264578060728831E-2</v>
      </c>
      <c r="Z5">
        <v>-6.1684509125154663E-2</v>
      </c>
      <c r="AA5">
        <v>9.5210856186225046E-2</v>
      </c>
      <c r="AB5">
        <v>0.11893617882276653</v>
      </c>
      <c r="AC5">
        <v>-3.1171782286205985E-2</v>
      </c>
      <c r="AD5">
        <v>1.8900135651397809E-2</v>
      </c>
      <c r="AE5">
        <v>1.2824898959576503E-2</v>
      </c>
      <c r="AF5">
        <v>0.21820203216987899</v>
      </c>
      <c r="AG5">
        <v>-2.4014377471840653E-2</v>
      </c>
      <c r="AH5">
        <v>3.8296852003223636E-2</v>
      </c>
      <c r="AI5">
        <v>1.9952541657046741E-2</v>
      </c>
      <c r="AJ5">
        <v>0.15024427853413069</v>
      </c>
      <c r="AK5">
        <v>-9.0532127248145189E-3</v>
      </c>
      <c r="AL5">
        <v>7.8239784778870725E-3</v>
      </c>
      <c r="AM5">
        <v>1.2720264634141998E-2</v>
      </c>
      <c r="AN5">
        <v>0.11698172627821091</v>
      </c>
      <c r="AO5">
        <v>1.3563192783854205E-2</v>
      </c>
      <c r="AP5">
        <v>-3.1307857227137026E-2</v>
      </c>
      <c r="AQ5">
        <v>-1.7042856163464459E-2</v>
      </c>
      <c r="AR5">
        <v>0.20639671534077375</v>
      </c>
      <c r="AS5">
        <v>5.989281647284872E-2</v>
      </c>
      <c r="AT5">
        <v>0.15184773869153112</v>
      </c>
      <c r="AU5">
        <v>5.3546078104615979E-3</v>
      </c>
      <c r="AV5">
        <v>6.5052611824913953E-2</v>
      </c>
      <c r="AW5">
        <v>7.8823819307450416E-2</v>
      </c>
      <c r="AX5">
        <v>-0.14338179349370206</v>
      </c>
      <c r="AY5">
        <v>0.11585202582222953</v>
      </c>
    </row>
    <row r="6" spans="1:51" x14ac:dyDescent="0.35">
      <c r="A6" t="s">
        <v>161</v>
      </c>
      <c r="B6">
        <v>2.030658361074611E-2</v>
      </c>
      <c r="C6">
        <v>0.17407088736482224</v>
      </c>
      <c r="D6">
        <v>-4.6518788571582204E-2</v>
      </c>
      <c r="E6">
        <v>8.6784081187656348E-3</v>
      </c>
      <c r="F6">
        <v>-1.094991646316601E-2</v>
      </c>
      <c r="G6">
        <v>4.2874326827782028E-2</v>
      </c>
      <c r="H6">
        <v>4.2086601997496809E-2</v>
      </c>
      <c r="I6">
        <v>-1.7316859701690612E-2</v>
      </c>
      <c r="J6">
        <v>5.8994448996374516E-3</v>
      </c>
      <c r="K6">
        <v>1.566046272107835E-2</v>
      </c>
      <c r="L6">
        <v>0.13556024037343284</v>
      </c>
      <c r="M6">
        <v>9.9561145246060745E-2</v>
      </c>
      <c r="N6">
        <v>-1.1234137156741375E-2</v>
      </c>
      <c r="O6">
        <v>7.7927824267948642E-2</v>
      </c>
      <c r="P6">
        <v>7.6843927674916657E-2</v>
      </c>
      <c r="Q6">
        <v>-2.3689760318698072E-2</v>
      </c>
      <c r="R6">
        <v>9.5850567757821414E-2</v>
      </c>
      <c r="S6">
        <v>-1.6291818495720589E-3</v>
      </c>
      <c r="T6">
        <v>0.15662866258483188</v>
      </c>
      <c r="U6">
        <v>0.11023687113533853</v>
      </c>
      <c r="V6">
        <v>2.3511467000357333E-2</v>
      </c>
      <c r="W6">
        <v>3.6602317517634653E-2</v>
      </c>
      <c r="X6">
        <v>-4.8538279095632464E-2</v>
      </c>
      <c r="Y6">
        <v>-3.0067359701889673E-2</v>
      </c>
      <c r="Z6">
        <v>-3.4510361971969217E-2</v>
      </c>
      <c r="AA6">
        <v>9.5364119469438791E-2</v>
      </c>
      <c r="AB6">
        <v>1.4863393955985682E-2</v>
      </c>
      <c r="AC6">
        <v>-2.9047233095698566E-2</v>
      </c>
      <c r="AD6">
        <v>-1.5385537587214504E-2</v>
      </c>
      <c r="AE6">
        <v>-7.3986273175308259E-4</v>
      </c>
      <c r="AF6">
        <v>0.11899469604747615</v>
      </c>
      <c r="AG6">
        <v>7.204786691262699E-2</v>
      </c>
      <c r="AH6">
        <v>5.7388718776625325E-3</v>
      </c>
      <c r="AI6">
        <v>0.13027792547223549</v>
      </c>
      <c r="AJ6">
        <v>0.1133545730503398</v>
      </c>
      <c r="AK6">
        <v>6.023182481219802E-3</v>
      </c>
      <c r="AL6">
        <v>2.5378987462348235E-2</v>
      </c>
      <c r="AM6">
        <v>-3.319730127062881E-3</v>
      </c>
      <c r="AN6">
        <v>3.5408805121952325E-2</v>
      </c>
      <c r="AO6">
        <v>-1.1836192945465451E-2</v>
      </c>
      <c r="AP6">
        <v>3.4041737409844508E-3</v>
      </c>
      <c r="AQ6">
        <v>-1.5798285098030274E-2</v>
      </c>
      <c r="AR6">
        <v>0.12280627257731114</v>
      </c>
      <c r="AS6">
        <v>4.3636186103408248E-2</v>
      </c>
      <c r="AT6">
        <v>0.11189226414190867</v>
      </c>
      <c r="AU6">
        <v>4.2019732941085852E-2</v>
      </c>
      <c r="AV6">
        <v>4.830090038191881E-2</v>
      </c>
      <c r="AW6">
        <v>1.195386399278342E-2</v>
      </c>
      <c r="AX6">
        <v>-5.9960932960714364E-2</v>
      </c>
      <c r="AY6">
        <v>3.6272181257773983E-2</v>
      </c>
    </row>
    <row r="7" spans="1:51" x14ac:dyDescent="0.35">
      <c r="A7" t="s">
        <v>160</v>
      </c>
      <c r="B7">
        <v>4.2149821151798994E-2</v>
      </c>
      <c r="C7">
        <v>0.10310123378760072</v>
      </c>
      <c r="D7">
        <v>3.1754403971268275E-2</v>
      </c>
      <c r="E7">
        <v>2.5015652143324685E-2</v>
      </c>
      <c r="F7">
        <v>1.9348110955474951E-2</v>
      </c>
      <c r="G7">
        <v>1.0157775343372144E-2</v>
      </c>
      <c r="H7">
        <v>4.9364963256446348E-2</v>
      </c>
      <c r="I7">
        <v>-1.0190624127589532E-2</v>
      </c>
      <c r="J7">
        <v>3.9711314704807599E-2</v>
      </c>
      <c r="K7">
        <v>1.7363413659658988E-3</v>
      </c>
      <c r="L7">
        <v>5.2922022453726125E-2</v>
      </c>
      <c r="M7">
        <v>7.1070860032021566E-2</v>
      </c>
      <c r="N7">
        <v>-1.7577139890127547E-2</v>
      </c>
      <c r="O7">
        <v>3.0519435576796816E-3</v>
      </c>
      <c r="P7">
        <v>7.7577743992467196E-2</v>
      </c>
      <c r="Q7">
        <v>3.0400247471855657E-3</v>
      </c>
      <c r="R7">
        <v>8.3761181406708518E-2</v>
      </c>
      <c r="S7">
        <v>-2.5010586373327315E-2</v>
      </c>
      <c r="T7">
        <v>0.11157190887237256</v>
      </c>
      <c r="U7">
        <v>3.9371753544031662E-2</v>
      </c>
      <c r="V7">
        <v>2.0310458220712091E-2</v>
      </c>
      <c r="W7">
        <v>5.9640325461275623E-2</v>
      </c>
      <c r="X7">
        <v>5.9617911935997192E-2</v>
      </c>
      <c r="Y7">
        <v>4.2957097710987213E-3</v>
      </c>
      <c r="Z7">
        <v>1.6193350720530519E-2</v>
      </c>
      <c r="AA7">
        <v>5.8660680685023614E-2</v>
      </c>
      <c r="AB7">
        <v>-1.4014379546415157E-2</v>
      </c>
      <c r="AC7">
        <v>3.1370644912172452E-2</v>
      </c>
      <c r="AD7">
        <v>-8.982946330022834E-3</v>
      </c>
      <c r="AE7">
        <v>1.6586273497583459E-2</v>
      </c>
      <c r="AF7">
        <v>6.4740848808989337E-2</v>
      </c>
      <c r="AG7">
        <v>1.0540152102622935E-2</v>
      </c>
      <c r="AH7">
        <v>3.9379022970009503E-2</v>
      </c>
      <c r="AI7">
        <v>6.5580331063234354E-2</v>
      </c>
      <c r="AJ7">
        <v>7.6254379826020013E-2</v>
      </c>
      <c r="AK7">
        <v>-2.4022284728990151E-2</v>
      </c>
      <c r="AL7">
        <v>7.6718608750679707E-2</v>
      </c>
      <c r="AM7">
        <v>-5.1493088273791843E-3</v>
      </c>
      <c r="AN7">
        <v>-1.1449030297456586E-2</v>
      </c>
      <c r="AO7">
        <v>2.57450236135921E-2</v>
      </c>
      <c r="AP7">
        <v>2.0794227346421668E-2</v>
      </c>
      <c r="AQ7">
        <v>7.6564054535642301E-2</v>
      </c>
      <c r="AR7">
        <v>1.2164388978604501E-2</v>
      </c>
      <c r="AS7">
        <v>5.9620057740045418E-2</v>
      </c>
      <c r="AT7">
        <v>2.0534110572525854E-2</v>
      </c>
      <c r="AU7">
        <v>2.6882986772883921E-2</v>
      </c>
      <c r="AV7">
        <v>3.2178990974434107E-2</v>
      </c>
      <c r="AW7">
        <v>3.5080280965447574E-2</v>
      </c>
      <c r="AX7">
        <v>7.7056709367708809E-3</v>
      </c>
      <c r="AY7">
        <v>2.4774392298001047E-2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7"/>
  <sheetViews>
    <sheetView workbookViewId="0">
      <selection activeCell="A2" sqref="A2:A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166</v>
      </c>
    </row>
    <row r="2" spans="1:2" x14ac:dyDescent="0.35">
      <c r="A2" s="1" t="s">
        <v>167</v>
      </c>
      <c r="B2" s="1">
        <v>0.17</v>
      </c>
    </row>
    <row r="3" spans="1:2" x14ac:dyDescent="0.35">
      <c r="A3" s="1" t="s">
        <v>168</v>
      </c>
      <c r="B3" s="1">
        <v>0.05</v>
      </c>
    </row>
    <row r="4" spans="1:2" x14ac:dyDescent="0.35">
      <c r="A4" s="1" t="s">
        <v>169</v>
      </c>
      <c r="B4" s="1">
        <v>0.19</v>
      </c>
    </row>
    <row r="5" spans="1:2" x14ac:dyDescent="0.35">
      <c r="A5" s="1" t="s">
        <v>170</v>
      </c>
      <c r="B5" s="1">
        <v>0.28000000000000003</v>
      </c>
    </row>
    <row r="6" spans="1:2" x14ac:dyDescent="0.35">
      <c r="A6" s="1" t="s">
        <v>171</v>
      </c>
      <c r="B6" s="1">
        <v>0.3</v>
      </c>
    </row>
    <row r="7" spans="1:2" x14ac:dyDescent="0.35">
      <c r="A7" s="1" t="s">
        <v>172</v>
      </c>
      <c r="B7" s="1">
        <v>0.82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B7" sqref="A1:B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166</v>
      </c>
    </row>
    <row r="2" spans="1:2" x14ac:dyDescent="0.35">
      <c r="A2" s="1" t="s">
        <v>108</v>
      </c>
      <c r="B2" s="1">
        <v>8.5999999999999993E-2</v>
      </c>
    </row>
    <row r="3" spans="1:2" x14ac:dyDescent="0.35">
      <c r="A3" s="1" t="s">
        <v>109</v>
      </c>
      <c r="B3" s="1">
        <v>7.0000000000000007E-2</v>
      </c>
    </row>
    <row r="4" spans="1:2" x14ac:dyDescent="0.35">
      <c r="A4" s="1" t="s">
        <v>163</v>
      </c>
      <c r="B4" s="1">
        <v>4.9000000000000002E-2</v>
      </c>
    </row>
    <row r="5" spans="1:2" x14ac:dyDescent="0.35">
      <c r="A5" s="1" t="s">
        <v>162</v>
      </c>
      <c r="B5" s="1">
        <v>0.05</v>
      </c>
    </row>
    <row r="6" spans="1:2" x14ac:dyDescent="0.35">
      <c r="A6" s="1" t="s">
        <v>161</v>
      </c>
      <c r="B6" s="1">
        <v>3.6999999999999998E-2</v>
      </c>
    </row>
    <row r="7" spans="1:2" x14ac:dyDescent="0.35">
      <c r="A7" s="1" t="s">
        <v>160</v>
      </c>
      <c r="B7" s="1">
        <v>2.9000000000000001E-2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sqref="A1:G7"/>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
        <v>160</v>
      </c>
      <c r="C1" t="s">
        <v>161</v>
      </c>
      <c r="D1" t="s">
        <v>162</v>
      </c>
      <c r="E1" t="s">
        <v>163</v>
      </c>
      <c r="F1" t="s">
        <v>109</v>
      </c>
      <c r="G1" t="s">
        <v>108</v>
      </c>
    </row>
    <row r="2" spans="1:7" x14ac:dyDescent="0.35">
      <c r="A2" t="s">
        <v>160</v>
      </c>
      <c r="B2">
        <v>1</v>
      </c>
      <c r="C2">
        <v>0.6</v>
      </c>
      <c r="D2">
        <v>0.2</v>
      </c>
      <c r="E2">
        <v>0.4</v>
      </c>
      <c r="F2">
        <v>0</v>
      </c>
      <c r="G2">
        <v>0</v>
      </c>
    </row>
    <row r="3" spans="1:7" x14ac:dyDescent="0.35">
      <c r="A3" t="s">
        <v>161</v>
      </c>
      <c r="B3">
        <v>0.6</v>
      </c>
      <c r="C3">
        <v>1</v>
      </c>
      <c r="D3">
        <v>0.7</v>
      </c>
      <c r="E3">
        <v>0.6</v>
      </c>
      <c r="F3">
        <v>0.3</v>
      </c>
      <c r="G3">
        <v>0.3</v>
      </c>
    </row>
    <row r="4" spans="1:7" x14ac:dyDescent="0.35">
      <c r="A4" t="s">
        <v>162</v>
      </c>
      <c r="B4">
        <v>0.2</v>
      </c>
      <c r="C4">
        <v>0.7</v>
      </c>
      <c r="D4">
        <v>1</v>
      </c>
      <c r="E4">
        <v>0.7</v>
      </c>
      <c r="F4">
        <v>0.7</v>
      </c>
      <c r="G4">
        <v>0.6</v>
      </c>
    </row>
    <row r="5" spans="1:7" x14ac:dyDescent="0.35">
      <c r="A5" t="s">
        <v>163</v>
      </c>
      <c r="B5">
        <v>0.4</v>
      </c>
      <c r="C5">
        <v>0.6</v>
      </c>
      <c r="D5">
        <v>0.7</v>
      </c>
      <c r="E5">
        <v>1</v>
      </c>
      <c r="F5">
        <v>0.5</v>
      </c>
      <c r="G5">
        <v>0.7</v>
      </c>
    </row>
    <row r="6" spans="1:7" x14ac:dyDescent="0.35">
      <c r="A6" t="s">
        <v>109</v>
      </c>
      <c r="B6">
        <v>0</v>
      </c>
      <c r="C6">
        <v>0.3</v>
      </c>
      <c r="D6">
        <v>0.7</v>
      </c>
      <c r="E6">
        <v>0.5</v>
      </c>
      <c r="F6">
        <v>1</v>
      </c>
      <c r="G6">
        <v>0.7</v>
      </c>
    </row>
    <row r="7" spans="1:7" x14ac:dyDescent="0.35">
      <c r="A7" t="s">
        <v>108</v>
      </c>
      <c r="B7">
        <v>0</v>
      </c>
      <c r="C7">
        <v>0.3</v>
      </c>
      <c r="D7">
        <v>0.6</v>
      </c>
      <c r="E7">
        <v>0.7</v>
      </c>
      <c r="F7">
        <v>0.7</v>
      </c>
      <c r="G7">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G7"/>
  <sheetViews>
    <sheetView tabSelected="1" workbookViewId="0">
      <selection activeCell="C8" sqref="C8"/>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tr" cm="1">
        <f t="array" ref="B1:G1">TRANSPOSE(A2:A7)</f>
        <v>Small Cap</v>
      </c>
      <c r="C1" t="str">
        <v>US Agg Bond</v>
      </c>
      <c r="D1" t="str">
        <v>Gold</v>
      </c>
      <c r="E1" t="str">
        <v>Private Equity</v>
      </c>
      <c r="F1" t="str">
        <v>Venture Capital</v>
      </c>
      <c r="G1" t="str">
        <v>Angel Venture</v>
      </c>
    </row>
    <row r="2" spans="1:7" x14ac:dyDescent="0.35">
      <c r="A2" t="s">
        <v>167</v>
      </c>
      <c r="B2">
        <v>1</v>
      </c>
      <c r="C2">
        <v>-8.6999999999999994E-2</v>
      </c>
      <c r="D2">
        <v>-0.01</v>
      </c>
      <c r="E2">
        <v>0.78600000000000003</v>
      </c>
      <c r="F2">
        <v>0.68700000000000006</v>
      </c>
      <c r="G2">
        <v>0.45800000000000002</v>
      </c>
    </row>
    <row r="3" spans="1:7" x14ac:dyDescent="0.35">
      <c r="A3" t="s">
        <v>168</v>
      </c>
      <c r="B3">
        <v>-8.6999999999999994E-2</v>
      </c>
      <c r="C3">
        <v>1</v>
      </c>
      <c r="D3">
        <v>0.40799999999999997</v>
      </c>
      <c r="E3">
        <v>3.4000000000000002E-2</v>
      </c>
      <c r="F3">
        <v>-0.11</v>
      </c>
      <c r="G3">
        <v>-0.01</v>
      </c>
    </row>
    <row r="4" spans="1:7" x14ac:dyDescent="0.35">
      <c r="A4" t="s">
        <v>169</v>
      </c>
      <c r="B4">
        <v>-0.01</v>
      </c>
      <c r="C4">
        <v>0.40799999999999997</v>
      </c>
      <c r="D4">
        <v>1</v>
      </c>
      <c r="E4">
        <v>0.03</v>
      </c>
      <c r="F4">
        <v>2.5999999999999999E-2</v>
      </c>
      <c r="G4">
        <v>-0.01</v>
      </c>
    </row>
    <row r="5" spans="1:7" x14ac:dyDescent="0.35">
      <c r="A5" t="s">
        <v>170</v>
      </c>
      <c r="B5">
        <v>0.78600000000000003</v>
      </c>
      <c r="C5">
        <v>3.4000000000000002E-2</v>
      </c>
      <c r="D5">
        <v>0.03</v>
      </c>
      <c r="E5">
        <v>1</v>
      </c>
      <c r="F5">
        <v>0.56999999999999995</v>
      </c>
      <c r="G5">
        <v>0.92200000000000004</v>
      </c>
    </row>
    <row r="6" spans="1:7" x14ac:dyDescent="0.35">
      <c r="A6" t="s">
        <v>171</v>
      </c>
      <c r="B6">
        <v>0.68700000000000006</v>
      </c>
      <c r="C6">
        <v>-0.11</v>
      </c>
      <c r="D6">
        <v>2.5999999999999999E-2</v>
      </c>
      <c r="E6">
        <v>0.56999999999999995</v>
      </c>
      <c r="F6">
        <v>1</v>
      </c>
      <c r="G6">
        <v>0.82499999999999996</v>
      </c>
    </row>
    <row r="7" spans="1:7" x14ac:dyDescent="0.35">
      <c r="A7" t="s">
        <v>172</v>
      </c>
      <c r="B7">
        <v>0.45800000000000002</v>
      </c>
      <c r="C7">
        <v>-0.01</v>
      </c>
      <c r="D7">
        <v>-0.01</v>
      </c>
      <c r="E7">
        <v>0.92200000000000004</v>
      </c>
      <c r="F7">
        <v>0.82499999999999996</v>
      </c>
      <c r="G7">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F14" sqref="F14"/>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42" t="s">
        <v>81</v>
      </c>
    </row>
    <row r="3" spans="2:7" x14ac:dyDescent="0.35">
      <c r="B3" t="s">
        <v>72</v>
      </c>
      <c r="C3">
        <v>1</v>
      </c>
      <c r="D3">
        <v>0.45</v>
      </c>
      <c r="E3">
        <v>0.5</v>
      </c>
      <c r="F3">
        <v>0.57999999999999996</v>
      </c>
      <c r="G3" s="42"/>
    </row>
    <row r="4" spans="2:7" x14ac:dyDescent="0.35">
      <c r="B4" t="s">
        <v>73</v>
      </c>
      <c r="C4" s="23">
        <v>5157000</v>
      </c>
      <c r="D4" s="23">
        <v>5000000</v>
      </c>
      <c r="E4" s="23">
        <v>713500</v>
      </c>
      <c r="F4" s="23">
        <v>8812000</v>
      </c>
      <c r="G4" s="42"/>
    </row>
    <row r="5" spans="2:7" x14ac:dyDescent="0.35">
      <c r="B5" t="s">
        <v>74</v>
      </c>
      <c r="C5">
        <v>10</v>
      </c>
      <c r="D5">
        <v>30</v>
      </c>
      <c r="E5">
        <v>4</v>
      </c>
      <c r="F5">
        <v>18</v>
      </c>
      <c r="G5" s="42"/>
    </row>
    <row r="7" spans="2:7" x14ac:dyDescent="0.35">
      <c r="B7" t="s">
        <v>79</v>
      </c>
      <c r="C7" t="s">
        <v>75</v>
      </c>
      <c r="D7" t="s">
        <v>76</v>
      </c>
      <c r="E7" t="s">
        <v>77</v>
      </c>
      <c r="F7" t="s">
        <v>78</v>
      </c>
      <c r="G7" s="42" t="s">
        <v>80</v>
      </c>
    </row>
    <row r="8" spans="2:7" x14ac:dyDescent="0.35">
      <c r="B8" t="s">
        <v>72</v>
      </c>
      <c r="C8">
        <v>1</v>
      </c>
      <c r="D8">
        <v>0.45</v>
      </c>
      <c r="E8">
        <v>0.5</v>
      </c>
      <c r="F8">
        <v>0.57999999999999996</v>
      </c>
      <c r="G8" s="42"/>
    </row>
    <row r="9" spans="2:7" x14ac:dyDescent="0.35">
      <c r="B9" t="s">
        <v>73</v>
      </c>
      <c r="C9" s="23">
        <v>1000000</v>
      </c>
      <c r="D9" s="23">
        <v>2000000</v>
      </c>
      <c r="E9" s="23">
        <v>20000</v>
      </c>
      <c r="F9" s="23">
        <v>100000</v>
      </c>
      <c r="G9" s="42"/>
    </row>
    <row r="10" spans="2:7" x14ac:dyDescent="0.35">
      <c r="B10" t="s">
        <v>74</v>
      </c>
      <c r="C10">
        <v>10</v>
      </c>
      <c r="D10">
        <v>30</v>
      </c>
      <c r="E10">
        <v>4</v>
      </c>
      <c r="F10">
        <v>18</v>
      </c>
      <c r="G10" s="42"/>
    </row>
  </sheetData>
  <mergeCells count="2">
    <mergeCell ref="G7:G10"/>
    <mergeCell ref="G2:G5"/>
  </mergeCells>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workbookViewId="0">
      <selection activeCell="G41" sqref="G41"/>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0</v>
      </c>
    </row>
    <row r="5" spans="2:6" x14ac:dyDescent="0.35">
      <c r="B5" s="2">
        <v>3</v>
      </c>
      <c r="C5" s="2">
        <v>2027</v>
      </c>
      <c r="D5" s="2">
        <f t="shared" ref="D5:D16" si="0">D4+1</f>
        <v>27</v>
      </c>
      <c r="E5" s="2">
        <f t="shared" ref="E5:E16" si="1">E4+1</f>
        <v>42</v>
      </c>
      <c r="F5" s="2" t="s">
        <v>0</v>
      </c>
    </row>
    <row r="6" spans="2:6" x14ac:dyDescent="0.35">
      <c r="B6" s="2">
        <v>4</v>
      </c>
      <c r="C6" s="2">
        <v>2028</v>
      </c>
      <c r="D6" s="2">
        <f t="shared" si="0"/>
        <v>28</v>
      </c>
      <c r="E6" s="2">
        <f t="shared" si="1"/>
        <v>43</v>
      </c>
      <c r="F6" s="2" t="s">
        <v>0</v>
      </c>
    </row>
    <row r="7" spans="2:6" x14ac:dyDescent="0.35">
      <c r="B7" s="2">
        <v>5</v>
      </c>
      <c r="C7" s="2">
        <v>2029</v>
      </c>
      <c r="D7" s="2">
        <f t="shared" si="0"/>
        <v>29</v>
      </c>
      <c r="E7" s="2">
        <f t="shared" si="1"/>
        <v>44</v>
      </c>
      <c r="F7" s="2" t="s">
        <v>0</v>
      </c>
    </row>
    <row r="8" spans="2:6" x14ac:dyDescent="0.35">
      <c r="B8" s="2">
        <v>6</v>
      </c>
      <c r="C8" s="2">
        <v>2030</v>
      </c>
      <c r="D8" s="2">
        <f t="shared" si="0"/>
        <v>30</v>
      </c>
      <c r="E8" s="2">
        <f t="shared" si="1"/>
        <v>45</v>
      </c>
      <c r="F8" s="2" t="s">
        <v>0</v>
      </c>
    </row>
    <row r="9" spans="2:6" x14ac:dyDescent="0.35">
      <c r="B9" s="2">
        <v>7</v>
      </c>
      <c r="C9" s="2">
        <v>2031</v>
      </c>
      <c r="D9" s="2">
        <f t="shared" si="0"/>
        <v>31</v>
      </c>
      <c r="E9" s="2">
        <f t="shared" si="1"/>
        <v>46</v>
      </c>
      <c r="F9" s="2" t="s">
        <v>0</v>
      </c>
    </row>
    <row r="10" spans="2:6" x14ac:dyDescent="0.35">
      <c r="B10" s="2">
        <v>8</v>
      </c>
      <c r="C10" s="2">
        <v>2032</v>
      </c>
      <c r="D10" s="2">
        <f t="shared" si="0"/>
        <v>32</v>
      </c>
      <c r="E10" s="2">
        <f t="shared" si="1"/>
        <v>47</v>
      </c>
      <c r="F10" s="2" t="s">
        <v>0</v>
      </c>
    </row>
    <row r="11" spans="2:6" x14ac:dyDescent="0.35">
      <c r="B11" s="2">
        <v>9</v>
      </c>
      <c r="C11" s="2">
        <v>2033</v>
      </c>
      <c r="D11" s="2">
        <f t="shared" si="0"/>
        <v>33</v>
      </c>
      <c r="E11" s="2">
        <f t="shared" si="1"/>
        <v>48</v>
      </c>
      <c r="F11" s="2" t="s">
        <v>0</v>
      </c>
    </row>
    <row r="12" spans="2:6" x14ac:dyDescent="0.35">
      <c r="B12" s="2">
        <v>10</v>
      </c>
      <c r="C12" s="2">
        <v>2034</v>
      </c>
      <c r="D12" s="2">
        <f t="shared" si="0"/>
        <v>34</v>
      </c>
      <c r="E12" s="2">
        <f t="shared" si="1"/>
        <v>49</v>
      </c>
      <c r="F12" s="2" t="s">
        <v>0</v>
      </c>
    </row>
    <row r="13" spans="2:6" x14ac:dyDescent="0.35">
      <c r="B13" s="2">
        <v>11</v>
      </c>
      <c r="C13" s="2">
        <v>2035</v>
      </c>
      <c r="D13" s="2">
        <f t="shared" si="0"/>
        <v>35</v>
      </c>
      <c r="E13" s="2">
        <f t="shared" si="1"/>
        <v>50</v>
      </c>
      <c r="F13" s="2" t="s">
        <v>0</v>
      </c>
    </row>
    <row r="14" spans="2:6" x14ac:dyDescent="0.35">
      <c r="B14" s="2">
        <v>12</v>
      </c>
      <c r="C14" s="2">
        <v>2036</v>
      </c>
      <c r="D14" s="2">
        <f t="shared" si="0"/>
        <v>36</v>
      </c>
      <c r="E14" s="2">
        <f t="shared" si="1"/>
        <v>51</v>
      </c>
      <c r="F14" s="2" t="s">
        <v>0</v>
      </c>
    </row>
    <row r="15" spans="2:6" x14ac:dyDescent="0.35">
      <c r="B15" s="2">
        <v>13</v>
      </c>
      <c r="C15" s="2">
        <v>2037</v>
      </c>
      <c r="D15" s="2">
        <f t="shared" si="0"/>
        <v>37</v>
      </c>
      <c r="E15" s="2">
        <f t="shared" si="1"/>
        <v>52</v>
      </c>
      <c r="F15" s="2" t="s">
        <v>0</v>
      </c>
    </row>
    <row r="16" spans="2:6" x14ac:dyDescent="0.35">
      <c r="B16" s="2">
        <v>14</v>
      </c>
      <c r="C16" s="2">
        <v>2038</v>
      </c>
      <c r="D16" s="2">
        <f t="shared" si="0"/>
        <v>38</v>
      </c>
      <c r="E16" s="2">
        <f t="shared" si="1"/>
        <v>53</v>
      </c>
      <c r="F16" s="2" t="s">
        <v>0</v>
      </c>
    </row>
    <row r="17" spans="2:6" x14ac:dyDescent="0.35">
      <c r="B17" s="2">
        <v>15</v>
      </c>
      <c r="C17" s="2">
        <v>2039</v>
      </c>
      <c r="D17" s="2">
        <f>D16+1</f>
        <v>39</v>
      </c>
      <c r="E17" s="2">
        <f>E16+1</f>
        <v>54</v>
      </c>
      <c r="F17" s="2" t="s">
        <v>0</v>
      </c>
    </row>
    <row r="18" spans="2:6" x14ac:dyDescent="0.35">
      <c r="B18" s="2">
        <v>16</v>
      </c>
      <c r="C18" s="2">
        <v>2040</v>
      </c>
      <c r="D18" s="2">
        <f t="shared" ref="D18:D28" si="2">D17+1</f>
        <v>40</v>
      </c>
      <c r="E18" s="2">
        <f t="shared" ref="E18:E28" si="3">E17+1</f>
        <v>55</v>
      </c>
      <c r="F18" s="2" t="s">
        <v>0</v>
      </c>
    </row>
    <row r="19" spans="2:6" x14ac:dyDescent="0.35">
      <c r="B19" s="2">
        <v>17</v>
      </c>
      <c r="C19" s="2">
        <v>2041</v>
      </c>
      <c r="D19" s="2">
        <f t="shared" si="2"/>
        <v>41</v>
      </c>
      <c r="E19" s="2">
        <f t="shared" si="3"/>
        <v>56</v>
      </c>
      <c r="F19" s="2" t="s">
        <v>0</v>
      </c>
    </row>
    <row r="20" spans="2:6" x14ac:dyDescent="0.35">
      <c r="B20" s="2">
        <v>18</v>
      </c>
      <c r="C20" s="2">
        <v>2042</v>
      </c>
      <c r="D20" s="2">
        <f t="shared" si="2"/>
        <v>42</v>
      </c>
      <c r="E20" s="2">
        <f t="shared" si="3"/>
        <v>57</v>
      </c>
      <c r="F20" s="2" t="s">
        <v>0</v>
      </c>
    </row>
    <row r="21" spans="2:6" x14ac:dyDescent="0.35">
      <c r="B21" s="2">
        <v>19</v>
      </c>
      <c r="C21" s="2">
        <v>2043</v>
      </c>
      <c r="D21" s="2">
        <f t="shared" si="2"/>
        <v>43</v>
      </c>
      <c r="E21" s="2">
        <f t="shared" si="3"/>
        <v>58</v>
      </c>
      <c r="F21" s="2" t="s">
        <v>0</v>
      </c>
    </row>
    <row r="22" spans="2:6" x14ac:dyDescent="0.35">
      <c r="B22" s="2">
        <v>20</v>
      </c>
      <c r="C22" s="2">
        <v>2044</v>
      </c>
      <c r="D22" s="2">
        <f t="shared" si="2"/>
        <v>44</v>
      </c>
      <c r="E22" s="2">
        <f t="shared" si="3"/>
        <v>59</v>
      </c>
      <c r="F22" s="2" t="s">
        <v>0</v>
      </c>
    </row>
    <row r="23" spans="2:6" x14ac:dyDescent="0.35">
      <c r="B23" s="2">
        <v>21</v>
      </c>
      <c r="C23" s="2">
        <v>2045</v>
      </c>
      <c r="D23" s="2">
        <f t="shared" si="2"/>
        <v>45</v>
      </c>
      <c r="E23" s="2">
        <f t="shared" si="3"/>
        <v>60</v>
      </c>
      <c r="F23" s="2" t="s">
        <v>0</v>
      </c>
    </row>
    <row r="24" spans="2:6" x14ac:dyDescent="0.35">
      <c r="B24" s="2">
        <v>22</v>
      </c>
      <c r="C24" s="2">
        <v>2046</v>
      </c>
      <c r="D24" s="2">
        <f t="shared" si="2"/>
        <v>46</v>
      </c>
      <c r="E24" s="2">
        <f t="shared" si="3"/>
        <v>61</v>
      </c>
      <c r="F24" s="2" t="s">
        <v>0</v>
      </c>
    </row>
    <row r="25" spans="2:6" x14ac:dyDescent="0.35">
      <c r="B25" s="2">
        <v>23</v>
      </c>
      <c r="C25" s="2">
        <v>2047</v>
      </c>
      <c r="D25" s="2">
        <f t="shared" si="2"/>
        <v>47</v>
      </c>
      <c r="E25" s="2">
        <f t="shared" si="3"/>
        <v>62</v>
      </c>
      <c r="F25" s="2" t="s">
        <v>0</v>
      </c>
    </row>
    <row r="26" spans="2:6" x14ac:dyDescent="0.35">
      <c r="B26" s="2">
        <v>24</v>
      </c>
      <c r="C26" s="2">
        <v>2048</v>
      </c>
      <c r="D26" s="2">
        <f t="shared" si="2"/>
        <v>48</v>
      </c>
      <c r="E26" s="2">
        <f t="shared" si="3"/>
        <v>63</v>
      </c>
      <c r="F26" s="2" t="s">
        <v>0</v>
      </c>
    </row>
    <row r="27" spans="2:6" x14ac:dyDescent="0.35">
      <c r="B27" s="2">
        <v>25</v>
      </c>
      <c r="C27" s="2">
        <v>2049</v>
      </c>
      <c r="D27" s="2">
        <f t="shared" si="2"/>
        <v>49</v>
      </c>
      <c r="E27" s="2">
        <f t="shared" si="3"/>
        <v>64</v>
      </c>
      <c r="F27" s="2" t="s">
        <v>0</v>
      </c>
    </row>
    <row r="28" spans="2:6" x14ac:dyDescent="0.35">
      <c r="B28" s="2">
        <v>26</v>
      </c>
      <c r="C28" s="2">
        <v>2050</v>
      </c>
      <c r="D28" s="2">
        <f t="shared" si="2"/>
        <v>50</v>
      </c>
      <c r="E28" s="2">
        <f t="shared" si="3"/>
        <v>65</v>
      </c>
      <c r="F28" s="2" t="s">
        <v>0</v>
      </c>
    </row>
    <row r="29" spans="2:6" x14ac:dyDescent="0.35">
      <c r="B29" s="2">
        <v>27</v>
      </c>
      <c r="C29" s="2">
        <v>2051</v>
      </c>
      <c r="D29" s="2">
        <f t="shared" ref="D29:D32" si="4">D28+1</f>
        <v>51</v>
      </c>
      <c r="E29" s="2">
        <f t="shared" ref="E29:E32" si="5">E28+1</f>
        <v>66</v>
      </c>
      <c r="F29" s="2" t="s">
        <v>0</v>
      </c>
    </row>
    <row r="30" spans="2:6" x14ac:dyDescent="0.35">
      <c r="B30" s="2">
        <v>28</v>
      </c>
      <c r="C30" s="2">
        <v>2052</v>
      </c>
      <c r="D30" s="2">
        <f t="shared" si="4"/>
        <v>52</v>
      </c>
      <c r="E30" s="2">
        <f t="shared" si="5"/>
        <v>67</v>
      </c>
      <c r="F30" s="2" t="s">
        <v>0</v>
      </c>
    </row>
    <row r="31" spans="2:6" x14ac:dyDescent="0.35">
      <c r="B31" s="2">
        <v>29</v>
      </c>
      <c r="C31" s="2">
        <v>2053</v>
      </c>
      <c r="D31" s="2">
        <f t="shared" si="4"/>
        <v>53</v>
      </c>
      <c r="E31" s="2">
        <f t="shared" si="5"/>
        <v>68</v>
      </c>
      <c r="F31" s="2" t="s">
        <v>0</v>
      </c>
    </row>
    <row r="32" spans="2:6" x14ac:dyDescent="0.35">
      <c r="B32" s="2">
        <v>30</v>
      </c>
      <c r="C32" s="2">
        <v>2054</v>
      </c>
      <c r="D32" s="2">
        <f t="shared" si="4"/>
        <v>54</v>
      </c>
      <c r="E32" s="2">
        <f t="shared" si="5"/>
        <v>69</v>
      </c>
      <c r="F32" s="2" t="s">
        <v>0</v>
      </c>
    </row>
    <row r="33" spans="2:6" x14ac:dyDescent="0.35">
      <c r="B33" s="2">
        <v>31</v>
      </c>
      <c r="C33" s="2">
        <v>2055</v>
      </c>
      <c r="D33" s="2">
        <f t="shared" ref="D33:D43" si="6">D32+1</f>
        <v>55</v>
      </c>
      <c r="E33" s="2">
        <f t="shared" ref="E33:E43" si="7">E32+1</f>
        <v>70</v>
      </c>
      <c r="F33" s="2" t="s">
        <v>0</v>
      </c>
    </row>
    <row r="34" spans="2:6" x14ac:dyDescent="0.35">
      <c r="B34" s="2">
        <v>32</v>
      </c>
      <c r="C34" s="2">
        <v>2056</v>
      </c>
      <c r="D34" s="2">
        <f t="shared" si="6"/>
        <v>56</v>
      </c>
      <c r="E34" s="2">
        <f t="shared" si="7"/>
        <v>71</v>
      </c>
      <c r="F34" s="2" t="s">
        <v>0</v>
      </c>
    </row>
    <row r="35" spans="2:6" x14ac:dyDescent="0.35">
      <c r="B35" s="2">
        <v>33</v>
      </c>
      <c r="C35" s="2">
        <v>2057</v>
      </c>
      <c r="D35" s="2">
        <f t="shared" si="6"/>
        <v>57</v>
      </c>
      <c r="E35" s="2">
        <f t="shared" si="7"/>
        <v>72</v>
      </c>
      <c r="F35" s="2" t="s">
        <v>0</v>
      </c>
    </row>
    <row r="36" spans="2:6" x14ac:dyDescent="0.35">
      <c r="B36" s="2">
        <v>34</v>
      </c>
      <c r="C36" s="2">
        <v>2058</v>
      </c>
      <c r="D36" s="2">
        <f t="shared" si="6"/>
        <v>58</v>
      </c>
      <c r="E36" s="2">
        <f t="shared" si="7"/>
        <v>73</v>
      </c>
      <c r="F36" s="2" t="s">
        <v>0</v>
      </c>
    </row>
    <row r="37" spans="2:6" x14ac:dyDescent="0.35">
      <c r="B37" s="2">
        <v>35</v>
      </c>
      <c r="C37" s="2">
        <v>2059</v>
      </c>
      <c r="D37" s="2">
        <f t="shared" si="6"/>
        <v>59</v>
      </c>
      <c r="E37" s="2">
        <f t="shared" si="7"/>
        <v>74</v>
      </c>
      <c r="F37" s="2" t="s">
        <v>0</v>
      </c>
    </row>
    <row r="38" spans="2:6" x14ac:dyDescent="0.35">
      <c r="B38" s="2">
        <v>36</v>
      </c>
      <c r="C38" s="2">
        <v>2060</v>
      </c>
      <c r="D38" s="2">
        <f t="shared" si="6"/>
        <v>60</v>
      </c>
      <c r="E38" s="2">
        <f t="shared" si="7"/>
        <v>75</v>
      </c>
      <c r="F38" s="2" t="s">
        <v>0</v>
      </c>
    </row>
    <row r="39" spans="2:6" x14ac:dyDescent="0.35">
      <c r="B39" s="2">
        <v>37</v>
      </c>
      <c r="C39" s="2">
        <v>2061</v>
      </c>
      <c r="D39" s="2">
        <f t="shared" si="6"/>
        <v>61</v>
      </c>
      <c r="E39" s="2">
        <f t="shared" si="7"/>
        <v>76</v>
      </c>
      <c r="F39" s="2" t="s">
        <v>0</v>
      </c>
    </row>
    <row r="40" spans="2:6" x14ac:dyDescent="0.35">
      <c r="B40" s="2">
        <v>38</v>
      </c>
      <c r="C40" s="2">
        <v>2062</v>
      </c>
      <c r="D40" s="2">
        <f t="shared" si="6"/>
        <v>62</v>
      </c>
      <c r="E40" s="2">
        <f t="shared" si="7"/>
        <v>77</v>
      </c>
      <c r="F40" s="2" t="s">
        <v>0</v>
      </c>
    </row>
    <row r="41" spans="2:6" x14ac:dyDescent="0.35">
      <c r="B41" s="2">
        <v>39</v>
      </c>
      <c r="C41" s="2">
        <v>2063</v>
      </c>
      <c r="D41" s="2">
        <f t="shared" si="6"/>
        <v>63</v>
      </c>
      <c r="E41" s="2">
        <f t="shared" si="7"/>
        <v>78</v>
      </c>
      <c r="F41" s="2" t="s">
        <v>0</v>
      </c>
    </row>
    <row r="42" spans="2:6" x14ac:dyDescent="0.35">
      <c r="B42" s="2">
        <v>40</v>
      </c>
      <c r="C42" s="2">
        <v>2064</v>
      </c>
      <c r="D42" s="2">
        <f t="shared" si="6"/>
        <v>64</v>
      </c>
      <c r="E42" s="2">
        <f t="shared" si="7"/>
        <v>79</v>
      </c>
      <c r="F42" s="2" t="s">
        <v>0</v>
      </c>
    </row>
    <row r="43" spans="2:6" x14ac:dyDescent="0.35">
      <c r="B43" s="2">
        <v>41</v>
      </c>
      <c r="C43" s="2">
        <v>2065</v>
      </c>
      <c r="D43" s="2">
        <f t="shared" si="6"/>
        <v>65</v>
      </c>
      <c r="E43" s="2">
        <f t="shared" si="7"/>
        <v>80</v>
      </c>
      <c r="F43" s="2" t="s">
        <v>0</v>
      </c>
    </row>
    <row r="44" spans="2:6" x14ac:dyDescent="0.35">
      <c r="B44" s="2">
        <v>42</v>
      </c>
      <c r="C44" s="2">
        <v>2066</v>
      </c>
      <c r="D44" s="2">
        <f t="shared" ref="D44:D53" si="8">D43+1</f>
        <v>66</v>
      </c>
      <c r="E44" s="2">
        <f t="shared" ref="E44:E53" si="9">E43+1</f>
        <v>81</v>
      </c>
      <c r="F44" s="2" t="s">
        <v>0</v>
      </c>
    </row>
    <row r="45" spans="2:6" x14ac:dyDescent="0.35">
      <c r="B45" s="2">
        <v>43</v>
      </c>
      <c r="C45" s="2">
        <v>2067</v>
      </c>
      <c r="D45" s="2">
        <f t="shared" si="8"/>
        <v>67</v>
      </c>
      <c r="E45" s="2">
        <f t="shared" si="9"/>
        <v>82</v>
      </c>
      <c r="F45" s="2" t="s">
        <v>0</v>
      </c>
    </row>
    <row r="46" spans="2:6" x14ac:dyDescent="0.35">
      <c r="B46" s="2">
        <v>44</v>
      </c>
      <c r="C46" s="2">
        <v>2068</v>
      </c>
      <c r="D46" s="2">
        <f t="shared" si="8"/>
        <v>68</v>
      </c>
      <c r="E46" s="2">
        <f t="shared" si="9"/>
        <v>83</v>
      </c>
      <c r="F46" s="2" t="s">
        <v>0</v>
      </c>
    </row>
    <row r="47" spans="2:6" x14ac:dyDescent="0.35">
      <c r="B47" s="2">
        <v>45</v>
      </c>
      <c r="C47" s="2">
        <v>2069</v>
      </c>
      <c r="D47" s="2">
        <f t="shared" si="8"/>
        <v>69</v>
      </c>
      <c r="E47" s="2">
        <f t="shared" si="9"/>
        <v>84</v>
      </c>
      <c r="F47" s="2" t="s">
        <v>0</v>
      </c>
    </row>
    <row r="48" spans="2:6" x14ac:dyDescent="0.35">
      <c r="B48" s="2">
        <v>46</v>
      </c>
      <c r="C48" s="2">
        <v>2070</v>
      </c>
      <c r="D48" s="2">
        <f t="shared" si="8"/>
        <v>70</v>
      </c>
      <c r="E48" s="2">
        <f t="shared" si="9"/>
        <v>85</v>
      </c>
      <c r="F48" s="2" t="s">
        <v>0</v>
      </c>
    </row>
    <row r="49" spans="2:6" x14ac:dyDescent="0.35">
      <c r="B49" s="2">
        <v>47</v>
      </c>
      <c r="C49" s="2">
        <v>2071</v>
      </c>
      <c r="D49" s="2">
        <f t="shared" si="8"/>
        <v>71</v>
      </c>
      <c r="E49" s="2">
        <f t="shared" si="9"/>
        <v>86</v>
      </c>
      <c r="F49" s="2" t="s">
        <v>0</v>
      </c>
    </row>
    <row r="50" spans="2:6" x14ac:dyDescent="0.35">
      <c r="B50" s="2">
        <v>48</v>
      </c>
      <c r="C50" s="2">
        <v>2072</v>
      </c>
      <c r="D50" s="2">
        <f t="shared" si="8"/>
        <v>72</v>
      </c>
      <c r="E50" s="2">
        <f t="shared" si="9"/>
        <v>87</v>
      </c>
      <c r="F50" s="2" t="s">
        <v>0</v>
      </c>
    </row>
    <row r="51" spans="2:6" x14ac:dyDescent="0.35">
      <c r="B51" s="2">
        <v>49</v>
      </c>
      <c r="C51" s="2">
        <v>2073</v>
      </c>
      <c r="D51" s="2">
        <f t="shared" si="8"/>
        <v>73</v>
      </c>
      <c r="E51" s="2">
        <f t="shared" si="9"/>
        <v>88</v>
      </c>
      <c r="F51" s="2" t="s">
        <v>0</v>
      </c>
    </row>
    <row r="52" spans="2:6" x14ac:dyDescent="0.35">
      <c r="B52" s="2">
        <v>50</v>
      </c>
      <c r="C52" s="2">
        <v>2074</v>
      </c>
      <c r="D52" s="2">
        <f t="shared" si="8"/>
        <v>74</v>
      </c>
      <c r="E52" s="2">
        <f t="shared" si="9"/>
        <v>89</v>
      </c>
      <c r="F52" s="2" t="s">
        <v>0</v>
      </c>
    </row>
    <row r="53" spans="2:6" x14ac:dyDescent="0.35">
      <c r="B53" s="2">
        <v>51</v>
      </c>
      <c r="C53" s="2">
        <v>2075</v>
      </c>
      <c r="D53" s="2">
        <f t="shared" si="8"/>
        <v>75</v>
      </c>
      <c r="E53" s="2">
        <f t="shared" si="9"/>
        <v>90</v>
      </c>
      <c r="F53" s="2" t="s">
        <v>0</v>
      </c>
    </row>
  </sheetData>
  <pageMargins left="0.7" right="0.7" top="0.75" bottom="0.75" header="0.3" footer="0.3"/>
  <ignoredErrors>
    <ignoredError sqref="D3:E3" calculatedColumn="1"/>
  </ignoredErrors>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zoomScale="115" zoomScaleNormal="115" workbookViewId="0">
      <selection activeCell="G10" sqref="G10"/>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85</v>
      </c>
      <c r="F2" s="2" t="s">
        <v>86</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84</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K7" sqref="K7"/>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N</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Y</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N</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Y</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Index</vt:lpstr>
      <vt:lpstr>notes next time talk</vt:lpstr>
      <vt:lpstr>ER_Vol_Cov</vt:lpstr>
      <vt:lpstr>Returns2</vt:lpstr>
      <vt:lpstr>Returns</vt:lpstr>
      <vt:lpstr>Volatilities2</vt:lpstr>
      <vt:lpstr>Volatilities</vt:lpstr>
      <vt:lpstr>Correlation</vt:lpstr>
      <vt:lpstr>Correlation2</vt:lpstr>
      <vt:lpstr>Goals</vt:lpstr>
      <vt:lpstr>Loop</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2025-03-30T16:51:51Z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