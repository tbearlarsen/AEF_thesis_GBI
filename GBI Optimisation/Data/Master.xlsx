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drawings/drawing3.xml" ContentType="application/vnd.openxmlformats-officedocument.drawing+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202300"/>
  <mc:AlternateContent xmlns:mc="http://schemas.openxmlformats.org/markup-compatibility/2006">
    <mc:Choice Requires="x15">
      <x15ac:absPath xmlns:x15ac="http://schemas.microsoft.com/office/spreadsheetml/2010/11/ac" url="C:\Users\admin\Desktop\Thesis New\AEF_thesis_GBI\GBI Optimisation\Data\"/>
    </mc:Choice>
  </mc:AlternateContent>
  <xr:revisionPtr revIDLastSave="0" documentId="13_ncr:1_{A2F3C8F8-3913-42E7-B539-1E3A253C6B85}" xr6:coauthVersionLast="47" xr6:coauthVersionMax="47" xr10:uidLastSave="{00000000-0000-0000-0000-000000000000}"/>
  <bookViews>
    <workbookView xWindow="-110" yWindow="-110" windowWidth="19420" windowHeight="10300" firstSheet="17" activeTab="17" xr2:uid="{31CD02D4-91DC-4A3F-AC52-23F22D133229}"/>
  </bookViews>
  <sheets>
    <sheet name="Index" sheetId="7" r:id="rId1"/>
    <sheet name="Loop" sheetId="1" r:id="rId2"/>
    <sheet name="Salary" sheetId="30" r:id="rId3"/>
    <sheet name="Wealth" sheetId="33" r:id="rId4"/>
    <sheet name="GBI Investment" sheetId="32" r:id="rId5"/>
    <sheet name="Aktiesparekonto" sheetId="31" r:id="rId6"/>
    <sheet name="GBI Allocations P1" sheetId="26" r:id="rId7"/>
    <sheet name="GBI Goals P1" sheetId="27" r:id="rId8"/>
    <sheet name="GBI Allocations P2" sheetId="28" r:id="rId9"/>
    <sheet name="notes next time talk" sheetId="18" state="hidden" r:id="rId10"/>
    <sheet name="GBI Goals P2" sheetId="29" r:id="rId11"/>
    <sheet name="Returns2" sheetId="23" r:id="rId12"/>
    <sheet name="Returns" sheetId="21" r:id="rId13"/>
    <sheet name="Volatilities2" sheetId="24" r:id="rId14"/>
    <sheet name="Volatilities" sheetId="20" r:id="rId15"/>
    <sheet name="Correlation" sheetId="22" r:id="rId16"/>
    <sheet name="Correlation2" sheetId="25" r:id="rId17"/>
    <sheet name="Goals" sheetId="10" r:id="rId18"/>
    <sheet name="Income" sheetId="2" r:id="rId19"/>
    <sheet name="Job Hopping" sheetId="8" r:id="rId20"/>
    <sheet name="Djøf Finance Workers" sheetId="5" r:id="rId21"/>
    <sheet name="Djøf Finance Hoppers" sheetId="6" r:id="rId22"/>
  </sheets>
  <externalReferences>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s>
  <definedNames>
    <definedName name="__FDS_HYPERLINK_TOGGLE_STATE__" hidden="1">"ON"</definedName>
    <definedName name="_DLX1">[1]Rates!#REF!</definedName>
    <definedName name="_DLX1.INC">'[2]Car Air'!#REF!</definedName>
    <definedName name="_DLX10.INC">'[3]US&amp;Europe'!#REF!</definedName>
    <definedName name="_DLX10_INC">#REF!</definedName>
    <definedName name="_DLX100.INC">'[3]Bonds Data BIS'!#REF!</definedName>
    <definedName name="_DLX14.INC">#REF!</definedName>
    <definedName name="_DLX15.INC">'[3]Bonds Data BIS'!#REF!</definedName>
    <definedName name="_DLX16.INC">'[3]Bonds Data BIS'!#REF!</definedName>
    <definedName name="_DLX2.INC">#REF!</definedName>
    <definedName name="_DLX20.INC">#REF!</definedName>
    <definedName name="_DLX3.INC">#REF!</definedName>
    <definedName name="_DLX4.INC">#REF!</definedName>
    <definedName name="_DLX5.INC">#REF!</definedName>
    <definedName name="_DLX5_INC">#REF!</definedName>
    <definedName name="_DLX50.INC">'[3]US&amp;Europe'!#REF!</definedName>
    <definedName name="_DLX52.INC">#REF!</definedName>
    <definedName name="_DLX53.INC">'[3]US&amp;Europe'!#REF!</definedName>
    <definedName name="_DLX54.INC">'[3]US&amp;Europe'!#REF!</definedName>
    <definedName name="_DLX56.INC">'[3]US&amp;Europe'!#REF!</definedName>
    <definedName name="_DLX6.INC">#REF!</definedName>
    <definedName name="_DLX60.INC">#REF!</definedName>
    <definedName name="_DLX7.INC">'[3]US&amp;Europe'!#REF!</definedName>
    <definedName name="_DLX8.INC">'[3]US&amp;Europe'!#REF!</definedName>
    <definedName name="_DLX80.INC">'[3]Bonds Data BIS'!#REF!</definedName>
    <definedName name="_DLX9.INC">'[3]US&amp;Europe'!#REF!</definedName>
    <definedName name="_Regression_Int" hidden="1">1</definedName>
    <definedName name="_wrn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wrn111" hidden="1">{#N/A,#N/A,FALSE,"One Pager";#N/A,#N/A,FALSE,"Technical"}</definedName>
    <definedName name="_wrn2" hidden="1">{#N/A,#N/A,TRUE,"Financials";#N/A,#N/A,TRUE,"Operating Statistics";#N/A,#N/A,TRUE,"Capex &amp; Depreciation";#N/A,#N/A,TRUE,"Debt"}</definedName>
    <definedName name="_wrn3" hidden="1">{#N/A,#N/A,FALSE,"One Pager";#N/A,#N/A,FALSE,"Technical"}</definedName>
    <definedName name="AUD_Nom">#REF!</definedName>
    <definedName name="AUD_Tenor">#REF!</definedName>
    <definedName name="AUD_yr">#REF!</definedName>
    <definedName name="BLPH1" hidden="1">#REF!</definedName>
    <definedName name="BLPH2" hidden="1">#REF!</definedName>
    <definedName name="BLPH3" hidden="1">#REF!</definedName>
    <definedName name="BLPH4" hidden="1">#REF!</definedName>
    <definedName name="BLPH5" hidden="1">#REF!</definedName>
    <definedName name="BLPH6" hidden="1">#REF!</definedName>
    <definedName name="BLPH7" hidden="1">#REF!</definedName>
    <definedName name="CAD_Nom">#REF!</definedName>
    <definedName name="CAD_Tenor">#REF!</definedName>
    <definedName name="CAD_yr">#REF!</definedName>
    <definedName name="CHF_Nom">#REF!</definedName>
    <definedName name="CHF_Tenor">#REF!</definedName>
    <definedName name="CHF_yr">#REF!</definedName>
    <definedName name="CIQWBGuid" hidden="1">"b0891d4e-ba28-4aca-aa83-e3df72dfeb1c"</definedName>
    <definedName name="CIQWBInfo" hidden="1">"{ ""CIQVersion"":""9.45.614.5792"" }"</definedName>
    <definedName name="cn_asia">[4]Weights!$J$5</definedName>
    <definedName name="code">[5]CONSTANT!#REF!</definedName>
    <definedName name="Currency_cusip">'[6]Currency bucketing mapping'!$B$35:$B$160</definedName>
    <definedName name="Currency_name">'[6]Currency bucketing mapping'!$B$35:$BF$35</definedName>
    <definedName name="Currency_table">'[6]Currency bucketing mapping'!$B$35:$BF$160</definedName>
    <definedName name="D_0">#REF!</definedName>
    <definedName name="D_0_DE">#REF!</definedName>
    <definedName name="D_0_FR">#REF!</definedName>
    <definedName name="D_0_IT">#REF!</definedName>
    <definedName name="D_0_JP">#REF!</definedName>
    <definedName name="D_0_UK">#REF!</definedName>
    <definedName name="DaysInYear">[7]C!$B$29</definedName>
    <definedName name="DE_gwth">#REF!</definedName>
    <definedName name="DE_S">#REF!</definedName>
    <definedName name="ERP">[8]CF20!$C$18</definedName>
    <definedName name="EUR_Nom">#REF!</definedName>
    <definedName name="EUR_Tenor">#REF!</definedName>
    <definedName name="EUR_yr">#REF!</definedName>
    <definedName name="FR_gwth">#REF!</definedName>
    <definedName name="FR_S">#REF!</definedName>
    <definedName name="GBP_Nom">#REF!</definedName>
    <definedName name="GBP_Tenor">#REF!</definedName>
    <definedName name="GBP_yr">#REF!</definedName>
    <definedName name="gGDP">[8]CF20!$C$14</definedName>
    <definedName name="gls_ACT_EST_ROW" hidden="1">#REF!</definedName>
    <definedName name="gls_ACT_FORM_OFFSET" hidden="1">#REF!</definedName>
    <definedName name="gls_ADMIN" hidden="1">[9]_Control!$D$30</definedName>
    <definedName name="gls_ALLOW_BOTH_PC" hidden="1">[9]_Control!$D$52</definedName>
    <definedName name="gls_ALLOW_PARENT_OR_CONSOLIDATED" hidden="1">[9]_Control!$D$41</definedName>
    <definedName name="gls_ALLOW_PUBLISH" hidden="1">[9]_Control!$D$27</definedName>
    <definedName name="gls_AnalystEmpNoHeading" hidden="1">#REF!</definedName>
    <definedName name="gls_AnalystNameHeading" hidden="1">#REF!</definedName>
    <definedName name="gls_CF_BEGINS" hidden="1">[9]_Control!$D$38</definedName>
    <definedName name="gls_CFD_CHANGEACT" hidden="1">[9]_Control!$D$45</definedName>
    <definedName name="gls_CFD_CHANGEEST" hidden="1">[9]_Control!$D$46</definedName>
    <definedName name="gls_CFD_FIRSTAVAIL" hidden="1">[9]_Control!$D$47</definedName>
    <definedName name="gls_CFD_LISTAVAIL" hidden="1">[9]_Control!$D$48</definedName>
    <definedName name="gls_CFD_SELECTED" hidden="1">[9]_Control!$D$44</definedName>
    <definedName name="gls_CHANGED_NAMES" hidden="1">[9]_Control!$D$25</definedName>
    <definedName name="gls_CHG_KEY_USER" hidden="1">[9]_Control!$D$10</definedName>
    <definedName name="gls_CHG_SEL_ONLY" hidden="1">[9]_Control!$D$9</definedName>
    <definedName name="gls_COMPANY_WORKBOOK_ID" hidden="1">[9]_Control!$D$17</definedName>
    <definedName name="gls_DELETED_PERIODS" hidden="1">[9]_Control!$J$1</definedName>
    <definedName name="gls_EST_FORM_OFFSET" hidden="1">#REF!</definedName>
    <definedName name="gls_EXC_NOT_EXT" hidden="1">[9]_Control!$D$35</definedName>
    <definedName name="gls_EXISTING_PERIODS" hidden="1">[9]_Control!$G$1</definedName>
    <definedName name="gls_EXT_BELOW_PBT" hidden="1">[9]_Control!$D$39</definedName>
    <definedName name="gls_EXT_LINK_GLOSS" hidden="1">[9]_Control!$D$50</definedName>
    <definedName name="gls_EXTERNAL_COL_REF" hidden="1">#REF!</definedName>
    <definedName name="gls_FIRST_ITEM" hidden="1">#REF!</definedName>
    <definedName name="gls_FIRST_PK" hidden="1">#REF!</definedName>
    <definedName name="gls_FIRST_ROWMULT" hidden="1">#REF!</definedName>
    <definedName name="gls_FIRST_UNITS" hidden="1">#REF!</definedName>
    <definedName name="gls_FIXED_NAMES" hidden="1">#REF!</definedName>
    <definedName name="gls_FONT_STATUS" hidden="1">#REF!</definedName>
    <definedName name="gls_GenAccountingConvention" hidden="1">#REF!</definedName>
    <definedName name="gls_GenAdditionalInfo" hidden="1">#REF!</definedName>
    <definedName name="gls_GenComments" hidden="1">#REF!</definedName>
    <definedName name="gls_GenCompany" hidden="1">#REF!</definedName>
    <definedName name="gls_GenCompanyInfo" hidden="1">#REF!</definedName>
    <definedName name="gls_GenCountry" hidden="1">#REF!</definedName>
    <definedName name="gls_GenCurrency" hidden="1">#REF!</definedName>
    <definedName name="gls_GenCurrencyMultiplier" hidden="1">#REF!</definedName>
    <definedName name="gls_GenEnterCompInfo" hidden="1">#REF!</definedName>
    <definedName name="gls_GenEPSComment" hidden="1">#REF!</definedName>
    <definedName name="gls_GenHomeRegion" hidden="1">#REF!</definedName>
    <definedName name="gls_GenLastPublished" hidden="1">#REF!</definedName>
    <definedName name="gls_GenLastRecRevised" hidden="1">#REF!</definedName>
    <definedName name="gls_GenMainInfo" hidden="1">#REF!</definedName>
    <definedName name="gls_GenNoteComment" hidden="1">#REF!</definedName>
    <definedName name="gls_GenProfile" hidden="1">#REF!</definedName>
    <definedName name="gls_GenRecComment" hidden="1">#REF!</definedName>
    <definedName name="gls_GenSaleslineInfo" hidden="1">#REF!</definedName>
    <definedName name="gls_GenSalesSplitByRegion" hidden="1">#REF!</definedName>
    <definedName name="gls_GenSalesSplitHeading" hidden="1">#REF!</definedName>
    <definedName name="gls_GenSheetVersion" hidden="1">#REF!</definedName>
    <definedName name="gls_genStockCore" hidden="1">#REF!</definedName>
    <definedName name="gls_genStockRec" hidden="1">#REF!</definedName>
    <definedName name="gls_GLOSS_MONTHS" hidden="1">[9]_Control!$A$1:$A$12</definedName>
    <definedName name="gls_GW_IN" hidden="1">[9]_Control!$D$36</definedName>
    <definedName name="gls_IIAA_IN" hidden="1">[9]_Control!$D$37</definedName>
    <definedName name="gls_InterimValue" hidden="1">[9]_Control!$D$22</definedName>
    <definedName name="gls_IssuedStockClassHeading" hidden="1">#REF!</definedName>
    <definedName name="gls_IssuedStockCodeHeading" hidden="1">#REF!</definedName>
    <definedName name="gls_IssuedStockFreeFloatHeading" hidden="1">#REF!</definedName>
    <definedName name="gls_KEY_DATA" hidden="1">#REF!</definedName>
    <definedName name="gls_KEY_VALUE" hidden="1">#REF!</definedName>
    <definedName name="gls_LANGUAGE" hidden="1">[9]_Control!$D$23</definedName>
    <definedName name="gls_NEXT_PK" hidden="1">[9]_Control!$D$21</definedName>
    <definedName name="gls_PERIOD_CODE" hidden="1">#REF!</definedName>
    <definedName name="gls_PERIOD_INDICATOR" hidden="1">#REF!</definedName>
    <definedName name="gls_PERIOD_PARENT_OR_CONSOL" hidden="1">#REF!</definedName>
    <definedName name="gls_PERIOD_TYPE" hidden="1">#REF!</definedName>
    <definedName name="gls_PrincipalStockClass" hidden="1">#REF!</definedName>
    <definedName name="gls_PROFILE_NAME" hidden="1">[9]_Control!$D$19</definedName>
    <definedName name="gls_SASS5HistEPSGrowth" hidden="1">#REF!</definedName>
    <definedName name="gls_SASS5ProjEPSGrowth" hidden="1">#REF!</definedName>
    <definedName name="gls_SASSDirectorHoldings" hidden="1">#REF!</definedName>
    <definedName name="gls_SASSEPS45AGR" hidden="1">#REF!</definedName>
    <definedName name="gls_SASSIsInterimLastAnnounce" hidden="1">#REF!</definedName>
    <definedName name="gls_SASSLastAnnounce" hidden="1">#REF!</definedName>
    <definedName name="gls_SASSNETDIV45AGR" hidden="1">#REF!</definedName>
    <definedName name="gls_SaveBeforePublish" hidden="1">[9]_Control!$D$26</definedName>
    <definedName name="gls_SaveWkbForNewPeriodCodes" hidden="1">[9]_Control!$D$28</definedName>
    <definedName name="gls_ShareholderClassHeading" hidden="1">#REF!</definedName>
    <definedName name="gls_ShareholderHolding" hidden="1">#REF!</definedName>
    <definedName name="gls_ShareholderHoldingHeading" hidden="1">#REF!</definedName>
    <definedName name="gls_ShareholderName" hidden="1">#REF!</definedName>
    <definedName name="gls_ShareholderNameHeading" hidden="1">#REF!</definedName>
    <definedName name="gls_ShareholdingName" hidden="1">#REF!</definedName>
    <definedName name="gls_SHOW_CONTROL_VALUE" hidden="1">[9]_Control!$D$1</definedName>
    <definedName name="gls_SHOW_KEY_VAL_COLUMN" hidden="1">[9]_Control!$D$11</definedName>
    <definedName name="gls_SHOW_KEY_VALUES" hidden="1">[9]_Control!$D$8</definedName>
    <definedName name="gls_SHOW_LINKED_ITEMS" hidden="1">[9]_Control!$D$6</definedName>
    <definedName name="gls_SHOW_LOCAL_NAMES" hidden="1">[9]_Control!$D$2</definedName>
    <definedName name="gls_SHOW_MULTIPLIERS" hidden="1">[9]_Control!$D$7</definedName>
    <definedName name="gls_SHOW_PK_COLUMN" hidden="1">[9]_Control!$D$5</definedName>
    <definedName name="gls_SHOW_STATUS_INFORMATION" hidden="1">[9]_Control!$D$3</definedName>
    <definedName name="gls_SHOW_UNITS" hidden="1">[9]_Control!$D$4</definedName>
    <definedName name="gls_SPARE_YEARS" hidden="1">#REF!</definedName>
    <definedName name="gls_SPECIAL_DIALOG" hidden="1">[9]_Control!$D$49</definedName>
    <definedName name="gls_START_FORMULA_OVERRIDEABLE" hidden="1">#REF!</definedName>
    <definedName name="gls_START_LOCAL_NAMES" hidden="1">#REF!</definedName>
    <definedName name="gls_START_PERIOD_CURRENCY" hidden="1">#REF!</definedName>
    <definedName name="gls_START_STATUS" hidden="1">#REF!</definedName>
    <definedName name="gls_START_USER_STATUS" hidden="1">#REF!</definedName>
    <definedName name="gls_START_VALIDATION" hidden="1">#REF!</definedName>
    <definedName name="gls_START_WHAT" hidden="1">#REF!</definedName>
    <definedName name="gls_START_YEAR" hidden="1">#REF!</definedName>
    <definedName name="gls_StockTicker" hidden="1">[9]_Control!$D$20</definedName>
    <definedName name="gls_TEMP_PERIOD_CODE" hidden="1">#REF!</definedName>
    <definedName name="gls_THISWORKBOOK_NAME" hidden="1">[9]_Control!$D$18</definedName>
    <definedName name="gls_UNUSUAL_POS" hidden="1">[9]_Control!$D$40</definedName>
    <definedName name="gls_USER_CELL_FORMAT" hidden="1">[9]_Control!$D$51</definedName>
    <definedName name="gls_USING_CONSOLIDATED" hidden="1">[9]_Control!$D$34</definedName>
    <definedName name="gls_YEAR_AE_CONTROL" hidden="1">#REF!</definedName>
    <definedName name="gls_YEAR_END_ROW" hidden="1">#REF!</definedName>
    <definedName name="gls_YetToRunStartupWizard" hidden="1">[9]_Control!$D$29</definedName>
    <definedName name="hk_asia">[4]Weights!$J$6</definedName>
    <definedName name="hk_nie">[4]Weights!$K$6</definedName>
    <definedName name="id_asean">[4]Weights!$L$8</definedName>
    <definedName name="id_asean5">[4]Weights!$M$8</definedName>
    <definedName name="id_asia">[4]Weights!$J$8</definedName>
    <definedName name="in_asia">[4]Weights!$J$7</definedName>
    <definedName name="Index_PRICE">[8]CF20!$C$12</definedName>
    <definedName name="IQ_ADDIN" hidden="1">"AUTO"</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43872.5396759259</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 name="IT_gwth">#REF!</definedName>
    <definedName name="IT_S">#REF!</definedName>
    <definedName name="JP_gwth">#REF!</definedName>
    <definedName name="JP_S">#REF!</definedName>
    <definedName name="JPY_Nom">#REF!</definedName>
    <definedName name="JPY_Tenor">#REF!</definedName>
    <definedName name="JPY_yr">#REF!</definedName>
    <definedName name="k">#REF!</definedName>
    <definedName name="kr_asia">[4]Weights!$J$9</definedName>
    <definedName name="kr_nie">[4]Weights!$K$9</definedName>
    <definedName name="M_PlaceofPath" hidden="1">"\\SNYCEQT0100\HOME\LZURLO\DATA\TELMEX\Models\tmx_vdf.xls"</definedName>
    <definedName name="MKT_5yFWD">#REF!</definedName>
    <definedName name="MKT_5yFWD_ccy">#REF!</definedName>
    <definedName name="MKT_5yFWD_tenor">#REF!</definedName>
    <definedName name="my_asean">[4]Weights!$L$10</definedName>
    <definedName name="my_asean5">[4]Weights!$M$10</definedName>
    <definedName name="my_asia">[4]Weights!$J$10</definedName>
    <definedName name="OMO_RRR">#REF!</definedName>
    <definedName name="Page_0026">#N/A</definedName>
    <definedName name="Page_0027">#N/A</definedName>
    <definedName name="ph_asean">[4]Weights!$L$11</definedName>
    <definedName name="ph_asean5">[4]Weights!$M$11</definedName>
    <definedName name="ph_asia">[4]Weights!$J$11</definedName>
    <definedName name="Players"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_xlnm.Print_Area">#N/A</definedName>
    <definedName name="sg_asean5">[4]Weights!$M$12</definedName>
    <definedName name="sg_asia">[4]Weights!$J$12</definedName>
    <definedName name="sg_nie">[4]Weights!$K$12</definedName>
    <definedName name="SolvedReturn">[10]CF20!$F$50</definedName>
    <definedName name="SolvedReturn2">[8]CF20!$F$59</definedName>
    <definedName name="spd_EUR_linkers">#REF!</definedName>
    <definedName name="SpreadsheetBuilder_1" hidden="1">#REF!</definedName>
    <definedName name="SpreadsheetBuilder_2" hidden="1">#REF!</definedName>
    <definedName name="SpreadsheetBuilder_3" hidden="1">#REF!</definedName>
    <definedName name="SpreadsheetBuilder_4" hidden="1">#REF!</definedName>
    <definedName name="SpreadsheetBuilder_5" hidden="1">#REF!</definedName>
    <definedName name="SpreadsheetBuilder_7" hidden="1">#REF!</definedName>
    <definedName name="th_asean">[4]Weights!$L$14</definedName>
    <definedName name="th_asean5">[4]Weights!$M$14</definedName>
    <definedName name="th_asia">[4]Weights!$J$14</definedName>
    <definedName name="Tigr_Exhibit052c116f_fa03_453e_98be_14a9d0dd2058" hidden="1">#REF!</definedName>
    <definedName name="Tigr_Exhibit1113a9ef_7b01_4439_86db_1d2bbe7df0ac" hidden="1">#REF!</definedName>
    <definedName name="Tigr_Exhibit35b4bd78_d1e7_47d7_9864_956742c3e774" hidden="1">#REF!</definedName>
    <definedName name="Tigr_Exhibit397f6bfd_406c_40a1_9009_f5d98b80386f" hidden="1">[11]table!#REF!</definedName>
    <definedName name="Tigr_Exhibit5170b4cc_c7f3_46f9_904a_3aacaf1d7bdc" hidden="1">#REF!</definedName>
    <definedName name="Tigr_Exhibit54d8a2f4_eba6_4aec_9e5b_245ab3dbf58e" hidden="1">#REF!</definedName>
    <definedName name="Tigr_Exhibit576261f4_88db_4080_ae87_1b1914c9adb3" hidden="1">#REF!</definedName>
    <definedName name="Tigr_Exhibit5a33439a_d266_4ce7_8f98_be0140951553" hidden="1">[11]table!#REF!</definedName>
    <definedName name="Tigr_Exhibit624067c3_9ca8_4b04_8f5d_e3af8e62f374" hidden="1">#REF!</definedName>
    <definedName name="Tigr_Exhibit85fa87ab_c172_44b2_864d_78796004dd90" hidden="1">#REF!</definedName>
    <definedName name="Tigr_Exhibit9344d486_5b89_4b33_b900_19a7edd4aa3c" hidden="1">#REF!</definedName>
    <definedName name="Tigr_Exhibit9e9e0bd5_38bb_463b_bac6_e3b8e4b25555" hidden="1">#REF!</definedName>
    <definedName name="Tigr_Exhibitad91ea03_81cd_48cb_8b2b_0aa43c450efa" hidden="1">#REF!</definedName>
    <definedName name="Tigr_Exhibitb4317050_8e37_410d_9395_60290cc834c2" hidden="1">[11]table!#REF!</definedName>
    <definedName name="Tigr_Exhibitb6a2f72d_5780_438a_bc18_ddfdc55327ab" hidden="1">#REF!</definedName>
    <definedName name="Tigr_Exhibitc2fe1ca1_6833_4470_a00b_0b31a20ce419" hidden="1">[11]table!#REF!</definedName>
    <definedName name="Tigr_Exhibitc72ef51d_f40f_4f26_bc18_214f1da98272" hidden="1">#REF!</definedName>
    <definedName name="Tigr_Exhibitcb4442e9_d113_4670_8b2e_72dc16ff2245" hidden="1">#REF!</definedName>
    <definedName name="Tigr_Exhibitd07d21f6_e7c1_4c44_aec5_80a56b5e291b" hidden="1">#REF!</definedName>
    <definedName name="Tigr_Exhibitd128574e_653f_4165_8efb_b0bfc8e0b363" hidden="1">[11]table!#REF!</definedName>
    <definedName name="Tigr_Exhibitdab8e344_3648_43b7_bd5c_cb0212370d7d" hidden="1">#REF!</definedName>
    <definedName name="Tigr_Exhibitdcbc2a45_f882_40e3_aa68_e89f64f59b5f" hidden="1">#REF!</definedName>
    <definedName name="Tigr_Exhibitf5f21f65_69c7_4860_bb92_d262bba1f1bb" hidden="1">#REF!</definedName>
    <definedName name="Tigr_Exhibitf687f29e_825f_4649_b503_90666490e5ac" hidden="1">#REF!</definedName>
    <definedName name="Tigr_Exhibitfb02c44d_a8a5_4bd9_aaba_19b80c5a8f22" hidden="1">#REF!</definedName>
    <definedName name="TRNR_0022038504de447abd8a933ff7ebe766_1_2" hidden="1">#REF!</definedName>
    <definedName name="TRNR_009f5003b0f74013b8a5778bf8c40b5e_114_4" hidden="1" xml:space="preserve">    '[12]25 energy performance'!$B$7</definedName>
    <definedName name="TRNR_01e02471d7604ee88f2e36cadd8f094d_354_2" hidden="1">#REF!</definedName>
    <definedName name="TRNR_023df90456774c4babbeba2a51298872_184_0" hidden="1">'[13]Price move from peak'!#REF!</definedName>
    <definedName name="TRNR_02571366124c4be8a90baec84b360a6f_808_4" hidden="1" xml:space="preserve">                        '[14]Front end repricing'!$E$2</definedName>
    <definedName name="TRNR_02c5ed77fc674760bb39ca5f1999a853_131_3" hidden="1" xml:space="preserve">                        '[15]Forward Earnings'!$A$1</definedName>
    <definedName name="TRNR_02d9f7785fc240e3b9f78371ef301d31_184_0" hidden="1">'[13]Price move from peak'!#REF!</definedName>
    <definedName name="TRNR_02fb48280ee148ea8ce5a53d1af52471_133_1" hidden="1" xml:space="preserve">                        '[14]Core PCE YoY'!$A$1</definedName>
    <definedName name="TRNR_03330a6294b94741b7463e8bd998c237_132_0" hidden="1">'[13]Price move from peak'!#REF!</definedName>
    <definedName name="TRNR_033bc21edfbf433095a7619eb48b7b2a_2_6" hidden="1">#REF!</definedName>
    <definedName name="TRNR_03a8e3d59832403581e4d9ffffa5a9dc_52_2" hidden="1" xml:space="preserve">                                                                                        '[16]2 equity bond scatter'!$B$7</definedName>
    <definedName name="TRNR_03b5b758e87049098cfea1146a22f2bb_262_2" hidden="1">#REF!</definedName>
    <definedName name="TRNR_03d2d266c69d48cc8a1af23df1ad8ad8_713_3" hidden="1" xml:space="preserve">                        '[17]Yield breakdown'!$B$4</definedName>
    <definedName name="TRNR_03e4f5a9f94f4b3a927a7d0aae8e0ac7_3653_2" hidden="1">#REF!</definedName>
    <definedName name="TRNR_058badf99ad740458bdc9600b19b0357_3_2" hidden="1">#REF!</definedName>
    <definedName name="TRNR_05d4ea35cf254312a5a029d3c300bf41_51_3" hidden="1">#REF!</definedName>
    <definedName name="TRNR_05d8e688f8be4c29a2b24f7f2bc4323d_1_1" hidden="1" xml:space="preserve">                                                                                                                                '[16]2 equity bond scatter'!$Q$5</definedName>
    <definedName name="TRNR_06452938cc28454d8730b4afd5d8a300_52_2" hidden="1" xml:space="preserve">                                        '[16]2 equity bond scatter'!$B$7</definedName>
    <definedName name="TRNR_0695b177738b4d2bbe532564186a8d63_42_0" hidden="1">'[13]Price move from peak'!#REF!</definedName>
    <definedName name="TRNR_069d482229be49c3a4454968e8b95def_2611_3" hidden="1">#REF!</definedName>
    <definedName name="TRNR_06b69a8c01b6485aabbb4da7f45496a8_131_4" hidden="1" xml:space="preserve">                        '[18]Forward Earnings'!$A$1</definedName>
    <definedName name="TRNR_06fc6e6aefeb461d88957e02f07fc87a_354_2" hidden="1">#REF!</definedName>
    <definedName name="TRNR_06fcd81e21b249c1b9179115cbc8c7ae_204_11" hidden="1">[19]Yields!#REF!</definedName>
    <definedName name="TRNR_08b994993ca74a6997af161f4e3028ed_285_0" hidden="1">#REF!</definedName>
    <definedName name="TRNR_0927a714a696439f883008e70eac0026_132_0" hidden="1">'[13]Price move from peak'!#REF!</definedName>
    <definedName name="TRNR_0952e1325265498e822e7671e5b52f14_24_2" hidden="1">#REF!</definedName>
    <definedName name="TRNR_09961c64069d405e8fc7af5e7050e754_86_3" hidden="1" xml:space="preserve">                          '[20]P9 Margins'!$B$9</definedName>
    <definedName name="TRNR_09ec4f68ed5c4963a85fd07d7ac370a3_354_2" hidden="1">#REF!</definedName>
    <definedName name="TRNR_0a528f8b24f94d04882519bcd4c4c374_53_3" hidden="1" xml:space="preserve">                                                                                    '[16]2 equity bond scatter'!$G$7</definedName>
    <definedName name="TRNR_0a90e5cf5ef44b68bda7723c7a7132e7_184_1" hidden="1">'[13]Price move from peak'!#REF!</definedName>
    <definedName name="TRNR_0ab50ac2f96d4e829dfe727b4fe80dbb_3_2" hidden="1">#REF!</definedName>
    <definedName name="TRNR_0ad002cd71bc48fc918f597e0f5c0dc0_69_12" hidden="1">#REF!</definedName>
    <definedName name="TRNR_0af661a046b545098b61d5b679753138_22_1" hidden="1">#REF!</definedName>
    <definedName name="TRNR_0b3c1f9db42e4d0dad7f651d8481426e_1364_4" hidden="1">#REF!</definedName>
    <definedName name="TRNR_0b9e5a0c11414b5c96ebf68ca1a51260_1_1" hidden="1" xml:space="preserve">                                                                                                                                                                                                  '[21]P3 Equity Bond returns'!$N$5</definedName>
    <definedName name="TRNR_0bcc0200341b4c3d891a3a123cd005ad_713_3" hidden="1" xml:space="preserve">                        '[17]Yield breakdown'!$B$4</definedName>
    <definedName name="TRNR_0c58e63d6a4c485e84ffca15697d6014_22_1" hidden="1">#REF!</definedName>
    <definedName name="TRNR_0c60889b11054055862c351b15269474_152_1" hidden="1">#REF!</definedName>
    <definedName name="TRNR_0c77e8b20404444693cd1c8ccfba92f8_109_2" hidden="1">#REF!</definedName>
    <definedName name="TRNR_0d04f28dd6b24959af4624b234968264_122_1" hidden="1" xml:space="preserve">                                                                                        '[22]19 earnings'!$N$1</definedName>
    <definedName name="TRNR_0db19cfbf27a4998b9e6810a85292ff8_522_25" hidden="1">#REF!</definedName>
    <definedName name="TRNR_0dc5eb7bc071459d95a50387909e81a3_1_1" hidden="1" xml:space="preserve">                                                                                        '[16]2 equity bond scatter'!$Q$5</definedName>
    <definedName name="TRNR_0dd083e5f2eb483f934fa1e3a5cfe0a8_103_22" hidden="1">#REF!</definedName>
    <definedName name="TRNR_0e2928f722444093be5ca2f5aa65e453_1_1" hidden="1" xml:space="preserve">                        '[23]US rate paths'!$C$5</definedName>
    <definedName name="TRNR_0e4e8dcdf25c4ee386e8ecc609aed7cf_9767_2" hidden="1">#REF!</definedName>
    <definedName name="TRNR_0e9f7e2b95934d50b7c9202e6ae70d7d_1_1" hidden="1" xml:space="preserve">                                                                                                                '[16]2 equity bond scatter'!$Q$5</definedName>
    <definedName name="TRNR_0ed1d890895747f0b9abb31352e06e25_1_2" hidden="1">#REF!</definedName>
    <definedName name="TRNR_0eed335a95da4e5b84dfaab8cd3ed9f4_7159_1" hidden="1">#REF!</definedName>
    <definedName name="TRNR_0f42e7950da8458ca981da53f3783240_2_1" hidden="1" xml:space="preserve">                            '[12]25 energy performance'!#REF!</definedName>
    <definedName name="TRNR_0f8192d927ed431994b4120977d394be_1_16" hidden="1">#REF!</definedName>
    <definedName name="TRNR_0fe186b5c0684094a7a449ad8601a4c9_53_3" hidden="1" xml:space="preserve">                                                                                        '[16]2 equity bond scatter'!$G$7</definedName>
    <definedName name="TRNR_103fade85aad429c9392d37a18c76ba1_329_4" hidden="1">'[24]Regional PE Ratios'!#REF!</definedName>
    <definedName name="TRNR_10b2608a99094f93aa41152cbeedad10_1_1" hidden="1">#REF!</definedName>
    <definedName name="TRNR_10f04cf0bfba47a4bca7c2d95e860da7_1_32" hidden="1">#REF!</definedName>
    <definedName name="TRNR_10f460ca41dd4d11b0c837622463a4e2_2_1" hidden="1">#REF!</definedName>
    <definedName name="TRNR_110f9d2dbc194b60a96303eba513e802_109_2" hidden="1">#REF!</definedName>
    <definedName name="TRNR_112bf0614b2f4b7182d0baaff78b9d3b_635_1" hidden="1">#REF!</definedName>
    <definedName name="TRNR_1204ec8b2ebd4e0994a27f2ea91c3079_0_0" hidden="1">#REF!</definedName>
    <definedName name="TRNR_1248fe869bb54a06bb44f19171fdf55a_5_3" hidden="1" xml:space="preserve">                                                                                                                '[22]20 earnings growth'!$C$124</definedName>
    <definedName name="TRNR_124e6eaf16444d1389b5b24d758b019f_284_1" hidden="1" xml:space="preserve">                                                '[16]5 reallocation'!$R$3</definedName>
    <definedName name="TRNR_125ce7401f1543fbac73bc256f412311_1_16" hidden="1">#REF!</definedName>
    <definedName name="TRNR_1280b6f2ae74488aaee39c5b4e9648e8_3_0" hidden="1">#REF!</definedName>
    <definedName name="TRNR_12ad6a2b00024bfeb3a250aa0fb21094_3_0" hidden="1" xml:space="preserve">                                                                                                                                                                        '[21]P8 Commodity prices'!$AK$4</definedName>
    <definedName name="TRNR_12c0872c497549b9ae9a51a419d63128_522_9" hidden="1">#REF!</definedName>
    <definedName name="TRNR_12d9cc4dcadd4985865f8ff44f76cc97_99_2" hidden="1">#REF!</definedName>
    <definedName name="TRNR_131228f3dd29455cbc85f609d1d7a1c6_2_5" hidden="1">#REF!</definedName>
    <definedName name="TRNR_1348913699b549c9a461c17555e758f6_42_0" hidden="1">'[13]Price move from peak'!#REF!</definedName>
    <definedName name="TRNR_13bafd09ca3a449cab60a2022fd43149_53_3" hidden="1" xml:space="preserve">                                                                                      '[16]2 equity bond scatter'!$G$7</definedName>
    <definedName name="TRNR_13ec0d2f069c4a9aa65b9439650fc51c_131_3" hidden="1">#REF!</definedName>
    <definedName name="TRNR_140f9f9e576e4f649d45f06fea5daf48_357_1" hidden="1">#REF!</definedName>
    <definedName name="TRNR_143ffb9adef64df09d9388195e4de716_52_22" hidden="1">#REF!</definedName>
    <definedName name="TRNR_147e2e6abdf04a2c8090927bd1927ca2_1_2" hidden="1">#REF!</definedName>
    <definedName name="TRNR_1483c6a70b2e487e9687f420a8dedca3_354_2" hidden="1">#REF!</definedName>
    <definedName name="TRNR_14cf539c69b844c4ae464e59c87a7ba0_24_2" hidden="1">#REF!</definedName>
    <definedName name="TRNR_15a5553da3ce45cdaa1fbae61b47b4de_1135_4" hidden="1">#REF!</definedName>
    <definedName name="TRNR_15ce99caacdf457298fff89919e623d3_3_0" hidden="1">#REF!</definedName>
    <definedName name="TRNR_162c9677ce1b432dad60cfd39512918c_52_2" hidden="1" xml:space="preserve">                                            '[16]2 equity bond scatter'!$B$7</definedName>
    <definedName name="TRNR_163d4ba639b147229f9c1f8d4bf21c77_56_2" hidden="1">#REF!</definedName>
    <definedName name="TRNR_16491ea54b384106be905505a488a34c_56_2" hidden="1">#REF!</definedName>
    <definedName name="TRNR_1654c5c8811948ca978777d3a599c835_1826_4" hidden="1">#REF!</definedName>
    <definedName name="TRNR_16634befd77747e1a3c2db3f69d6ecfd_9_1" hidden="1">#REF!</definedName>
    <definedName name="TRNR_16c2411c5c744737ace3fc4dc374c84e_522_3" hidden="1">#REF!</definedName>
    <definedName name="TRNR_16ffc2601da94412bb02f45e71af0cea_472_25" hidden="1">#REF!</definedName>
    <definedName name="TRNR_171a341da3d9490aae75825a25c24ae1_52_2" hidden="1" xml:space="preserve">                                  '[16]2 equity bond scatter'!$B$7</definedName>
    <definedName name="TRNR_1755142f0d224eab894d1142698ebb70_444_25" hidden="1">#REF!</definedName>
    <definedName name="TRNR_176c27c646744197badfd0c40eefd110_1826_4" hidden="1">#REF!</definedName>
    <definedName name="TRNR_179cea9620474640acc1ce8a704f89bc_1_32" hidden="1">#REF!</definedName>
    <definedName name="TRNR_188f382276504567996caf1401f83a08_1_1" hidden="1" xml:space="preserve">                                            '[16]2 equity bond scatter'!$N$5</definedName>
    <definedName name="TRNR_1901f7631c054956846696055358198c_1_1" hidden="1" xml:space="preserve">                              '[20]P9 Margins'!$I$2</definedName>
    <definedName name="TRNR_19033554cf8e4903926214cc052aeea0_1464_1" hidden="1">'[25]Market Overview'!#REF!</definedName>
    <definedName name="TRNR_194ba81d102f41d3bccbd07c26674d0d_52_2" hidden="1" xml:space="preserve">                                            '[16]2 equity bond scatter'!$B$7</definedName>
    <definedName name="TRNR_198d2498a5c649bf857c9860e6cefb20_109_2" hidden="1">#REF!</definedName>
    <definedName name="TRNR_19b02aba1ccf475a976fcc4261897ad0_132_0" hidden="1">'[13]Price move from peak'!#REF!</definedName>
    <definedName name="TRNR_1a76fc0d6eee4af98ea855de11850adc_630_1" hidden="1">'[26]Consumer confidence'!#REF!</definedName>
    <definedName name="TRNR_1a923f58b83d4c67ba99fd5e918b0e1e_522_1" hidden="1">#REF!</definedName>
    <definedName name="TRNR_1ab45169b7dd45d3bb3b69f865cb617d_184_0" hidden="1">'[13]Price move from peak'!#REF!</definedName>
    <definedName name="TRNR_1b32cca261544e789ac267db2f3c49ce_7_1" hidden="1" xml:space="preserve">                                                 '[16]7 Bev curve'!$B$9</definedName>
    <definedName name="TRNR_1b3c45ab744d4797b983e899653536b7_354_2" hidden="1">#REF!</definedName>
    <definedName name="TRNR_1beb6a5d42c04c09bfb28d77f79095cb_93_3" hidden="1">#REF!</definedName>
    <definedName name="TRNR_1c150b7ffd3343a1a5180452e07d1f8c_627_2" hidden="1">#REF!</definedName>
    <definedName name="TRNR_1c4109679f1f43f9af2d8545cdaa31a6_662_2" hidden="1">#REF!</definedName>
    <definedName name="TRNR_1e1a605c109644a28df4b279a05d0d0a_13_1" hidden="1" xml:space="preserve">                                                                                                                                                                                  '[21]P6 Cutting through confusion'!#REF!</definedName>
    <definedName name="TRNR_1e3b0befaeab4f8389cd09bb0e5d6f3f_3_2" hidden="1">#REF!</definedName>
    <definedName name="TRNR_1e6a5b9761ae489c89ad6cd7b6cf88d9_69_22" hidden="1">#REF!</definedName>
    <definedName name="TRNR_1eb8a91826e543798b067ef406cdfdac_2_6" hidden="1">#REF!</definedName>
    <definedName name="TRNR_1f939ccb531b469faf56ea779834a189_52_3" hidden="1" xml:space="preserve">                        '[16]2 equity bond scatter'!$G$7</definedName>
    <definedName name="TRNR_2059bde9c69942cfbd049b7421f84890_568_2" hidden="1">#REF!</definedName>
    <definedName name="TRNR_212e1c448bfc4d8fabfd9774f6ee3e2b_56_2" hidden="1">#REF!</definedName>
    <definedName name="TRNR_21387fb04754483b8151c05acd2b35f3_1_2" hidden="1">#REF!</definedName>
    <definedName name="TRNR_217ac1c0c91c44ac8c6f53af799977b4_30_4" hidden="1">#REF!</definedName>
    <definedName name="TRNR_21b9cfe68abd4cbcb534a928ba242268_3_0" hidden="1">#REF!</definedName>
    <definedName name="TRNR_22328570d3864970a2f59fb840e0b45c_42_0" hidden="1">'[13]Price move from peak'!#REF!</definedName>
    <definedName name="TRNR_23261311fe5942b2be66ea7f6dcb0278_522_3" hidden="1">#REF!</definedName>
    <definedName name="TRNR_241fc6fb835d44a2aa611200013ff0f7_0_0" hidden="1">#REF!</definedName>
    <definedName name="TRNR_2422538fb9fb4294ab1e0d641fc5bebe_88_7" hidden="1">#REF!</definedName>
    <definedName name="TRNR_243824d937714a64ae3c57be84508484_1_1" hidden="1" xml:space="preserve">                                                                                                                '[16]2 equity bond scatter'!$Q$5</definedName>
    <definedName name="TRNR_2439fe4aa3144cb4a4cc6adb96f26233_354_2" hidden="1">#REF!</definedName>
    <definedName name="TRNR_244b156d402d401d9dfce4d1c006eaa3_628_2" hidden="1">#REF!</definedName>
    <definedName name="TRNR_248c102b648c4f90bef605312dbab57f_569_2" hidden="1">#REF!</definedName>
    <definedName name="TRNR_2499ea3221df4855918db5e1744c7f04_23_3" hidden="1">#REF!</definedName>
    <definedName name="TRNR_25509cab880c4b9caea7561f12ab51a6_662_2" hidden="1">#REF!</definedName>
    <definedName name="TRNR_25bd1612ee9543c2863d524a25b3b90b_16_6" hidden="1">#REF!</definedName>
    <definedName name="TRNR_25deafa667464b479e4983b7a1fdc306_86_2" hidden="1">#REF!</definedName>
    <definedName name="TRNR_264bb6388a7349a299e0328bf4b2764f_1135_5" hidden="1">#REF!</definedName>
    <definedName name="TRNR_269ee402894640b286824878af79dd82_266_2" hidden="1" xml:space="preserve">                                                                                                                '[22]14 US unemployment'!$A$6</definedName>
    <definedName name="TRNR_26fed1823d48472b8319729a82598fbf_109_2" hidden="1">#REF!</definedName>
    <definedName name="TRNR_270da73763444de48994778ed1d564a1_119_1" hidden="1" xml:space="preserve">                        '[22]19 earnings'!$A$1</definedName>
    <definedName name="TRNR_271dd887607742dd888fad30d697f595_1_1" hidden="1">#REF!</definedName>
    <definedName name="TRNR_271eaa364249408e8821342c725888ec_22_1" hidden="1">#REF!</definedName>
    <definedName name="TRNR_2767db6ad56e4ea492b4f07884f4f382_56_2" hidden="1">#REF!</definedName>
    <definedName name="TRNR_278c636e7f2143d29ec5a43e7d71a6d8_1_1" hidden="1" xml:space="preserve">                                                  '[16]2 equity bond scatter'!$Q$5</definedName>
    <definedName name="TRNR_27b5b925622f4ae2affdcbf6ee7d3e5c_3_2" hidden="1">#REF!</definedName>
    <definedName name="TRNR_27d86fbd3c2b4378b05a9a13a80da44b_3_2" hidden="1">#REF!</definedName>
    <definedName name="TRNR_280e7e69613f4b2e99987b422ef6900c_1305_1" hidden="1" xml:space="preserve">                        '[23]US rate paths'!$C$5</definedName>
    <definedName name="TRNR_2834186cf2e541dcbf43fad5c57937f0_875_3" hidden="1">#REF!</definedName>
    <definedName name="TRNR_2869fb90a1ad45b582b2ce3f2fc0c556_18_1" hidden="1">#REF!</definedName>
    <definedName name="TRNR_289b92a3f251448aafc0efa562de6b17_1_32" hidden="1">#REF!</definedName>
    <definedName name="TRNR_28b1f0ae048f4a408153aaece20f3bcd_1397_5" hidden="1">#REF!</definedName>
    <definedName name="TRNR_290d399556e64950a9b2ecde80939fc1_1_32" hidden="1">#REF!</definedName>
    <definedName name="TRNR_29198288034e41a58aac8ec8a3571f5f_264_2" hidden="1" xml:space="preserve">                                                                                                                '[22]22 5y5y inflation vs  10y'!$BF$6</definedName>
    <definedName name="TRNR_294f83ab00fc48149300a65a899e91f7_192_2" hidden="1">#REF!</definedName>
    <definedName name="TRNR_2a696123317a41e29034659c22f501a3_132_3" hidden="1" xml:space="preserve">                                            '[16]23 EM perf'!$C$8</definedName>
    <definedName name="TRNR_2a7528d46a39412c9fd5070d25f30b31_7757_1" hidden="1" xml:space="preserve">                        '[17]US rate path'!$B$4</definedName>
    <definedName name="TRNR_2a9a0ba3e2c54844a59756b7fc8d8828_187_2" hidden="1">#REF!</definedName>
    <definedName name="TRNR_2ab2a9fb79504fbf9ea0b594f8675fca_623_3" hidden="1">#REF!</definedName>
    <definedName name="TRNR_2adff21ca4a24ba1a50de13720887930_3_0" hidden="1">#REF!</definedName>
    <definedName name="TRNR_2b3d985f7e7d41ecb20362f7f6f856bc_485_3" hidden="1">#REF!</definedName>
    <definedName name="TRNR_2b53265c98684c0e905ec95f0f1b5911_1_1" hidden="1" xml:space="preserve">                                                                        '[16]2 equity bond scatter'!$N$5</definedName>
    <definedName name="TRNR_2b67df83cf7940c4b962ab45fa198f2a_132_0" hidden="1">'[13]Price move from peak'!#REF!</definedName>
    <definedName name="TRNR_2b6e5039832743fd974a2f04c0fd10b5_132_0" hidden="1">'[13]Price move from peak'!#REF!</definedName>
    <definedName name="TRNR_2bb90b0fcd824806a0cbb2df13e6b733_1_1" hidden="1" xml:space="preserve">                                '[16]2 equity bond scatter'!$Q$5</definedName>
    <definedName name="TRNR_2bdd2c04bcd248898d2c0cd90bbb5168_128_1" hidden="1" xml:space="preserve">                                                                                                                                                                          '[21]P6 Cutting through confusion'!#REF!</definedName>
    <definedName name="TRNR_2c6d8d93a4ba4952bfd1db3f7d33d432_1_2" hidden="1">#REF!</definedName>
    <definedName name="TRNR_2ca21ab43de245eeb1fae09e0b883ebe_629_2" hidden="1">#REF!</definedName>
    <definedName name="TRNR_2cba9cf7785e4db8bbdd10d9ddd1b478_53_3" hidden="1" xml:space="preserve">                                                                                      '[16]2 equity bond scatter'!$G$7</definedName>
    <definedName name="TRNR_2d1fa54fe8a14643a5fd5ae6e6be3c78_1_1" hidden="1" xml:space="preserve">                                            '[16]2 equity bond scatter'!$Q$5</definedName>
    <definedName name="TRNR_2d2afd9413aa48fb948263f718b766ad_264_2" hidden="1" xml:space="preserve">                                                                                                                '[22]22 5y5y inflation vs  10y'!$BA$6</definedName>
    <definedName name="TRNR_2d6d5bbcee404431bfaf5e9707f29e3f_919_3" hidden="1" xml:space="preserve">                             '[16]21 yield breakdown'!$C$5</definedName>
    <definedName name="TRNR_2dd106e25d4644ebb2fe0459e60c5f7c_131_3" hidden="1">#REF!</definedName>
    <definedName name="TRNR_2e9c842a04e64cb1a3a190f7c7700194_1527_1" hidden="1" xml:space="preserve">                        '[27]One-week repo'!$B$4</definedName>
    <definedName name="TRNR_2e9fc950c23849f8be768bad7f9ff89c_90_3" hidden="1">#REF!</definedName>
    <definedName name="TRNR_2f1b5d01d85c4161a1da8c5f371478d7_662_2" hidden="1">#REF!</definedName>
    <definedName name="TRNR_2f38b40639e645ecaf794fb567b737b0_97_2" hidden="1">#REF!</definedName>
    <definedName name="TRNR_2f53ed21e70c4de182b646a277fdf9cd_187_2" hidden="1">#REF!</definedName>
    <definedName name="TRNR_2f6666c16fc04e93b700cd252295a15b_3_2" hidden="1">#REF!</definedName>
    <definedName name="TRNR_2f6cf7c3e5e040be89495bff9e403669_51_2" hidden="1" xml:space="preserve">                                                                                                                                                                                          '[21]P3 Equity Bond returns'!$B$7</definedName>
    <definedName name="TRNR_2f92e24ed1ae4c5fad38fa07f8dfe33a_98_2" hidden="1">#REF!</definedName>
    <definedName name="TRNR_2f934da538394633ba64d1273323c587_3_0" hidden="1">#REF!</definedName>
    <definedName name="TRNR_2f96b2b7e8494556b38d2d960b6fb36e_1_5" hidden="1">#REF!</definedName>
    <definedName name="TRNR_2fd4f8a6f5864cf28fd3bb6110e85361_627_3" hidden="1" xml:space="preserve">                                                '[14]UW US Treasuries'!$B$6</definedName>
    <definedName name="TRNR_30070d0fe59b4abfa879c284e02ddb26_3_2" hidden="1">#REF!</definedName>
    <definedName name="TRNR_30742d257990456395b2ef7ac651c384_184_0" hidden="1">'[13]Price move from peak'!#REF!</definedName>
    <definedName name="TRNR_3076cc4e0d7349728097981da1da70be_192_1" hidden="1" xml:space="preserve">                                                                                                                                                              '[21]P5 Living with inflation'!$S$2</definedName>
    <definedName name="TRNR_30e265b973044369b1c1a4b6f5cff15c_5_3" hidden="1" xml:space="preserve">                                                                                                                '[22]20 earnings growth'!$C$124</definedName>
    <definedName name="TRNR_316abb6abe04402d826aba4b30e591aa_147_4" hidden="1" xml:space="preserve">                                                                                        '[22]10 US PCE'!$A$2</definedName>
    <definedName name="TRNR_326ad92fab894aff896e9a5b5e5dd4ea_372_2" hidden="1">#REF!</definedName>
    <definedName name="TRNR_329c7461baed4e75b47f8e4288e27ee0_3_2" hidden="1">#REF!</definedName>
    <definedName name="TRNR_33dc2efc94684e34a8fda0661eedba77_86_4" hidden="1">#REF!</definedName>
    <definedName name="TRNR_3457a2703fb245ad9f4d7504143e7b5e_132_0" hidden="1">'[13]Price move from peak'!#REF!</definedName>
    <definedName name="TRNR_348d230be3ae41bd9b60f16efee103da_99_2" hidden="1">#REF!</definedName>
    <definedName name="TRNR_3513c489eb294b329fba20cc97972897_1_32" hidden="1">#REF!</definedName>
    <definedName name="TRNR_355091f948b34062b7dca7762466a9e9_50_2" hidden="1" xml:space="preserve">                                                                                                                '[22]13 Labor market'!$A$6</definedName>
    <definedName name="TRNR_3555682d4fa14f9d8e6c8c70b111846a_42_0" hidden="1">'[13]Price move from peak'!#REF!</definedName>
    <definedName name="TRNR_35662209cddb49af9f783649386e3d7d_97_2" hidden="1">#REF!</definedName>
    <definedName name="TRNR_359639a6556c405984880945ab66261d_3_2" hidden="1">#REF!</definedName>
    <definedName name="TRNR_362b95ac3b294a1e8c67a6461f96718c_634_1" hidden="1">#REF!</definedName>
    <definedName name="TRNR_374d28037bf24ad086df32e2fe402fb3_131_6" hidden="1" xml:space="preserve">                        '[22]20 earnings growth'!$R$1</definedName>
    <definedName name="TRNR_37c7dffb11a44814b835c0be79db784b_52_2" hidden="1" xml:space="preserve">                                  '[16]2 equity bond scatter'!$B$7</definedName>
    <definedName name="TRNR_37d14926bbe84cd7a5b01f0f71a64f3d_97_2" hidden="1">#REF!</definedName>
    <definedName name="TRNR_37fd508a95f64726b2b48a16e5488d27_662_2" hidden="1">#REF!</definedName>
    <definedName name="TRNR_384a04b2920c443cb310c774cc9b5189_3_0" hidden="1">#REF!</definedName>
    <definedName name="TRNR_392828ec508746a8a823359d22dc50ea_1_16" hidden="1">#REF!</definedName>
    <definedName name="TRNR_3ab4b67339d942c19655e555adec1079_1_1" hidden="1">#REF!</definedName>
    <definedName name="TRNR_3aef964708a541caadaacac75ab1af07_23_3" hidden="1">'[28]Gov. Bond Returns YTD'!#REF!</definedName>
    <definedName name="TRNR_3b45c693a95b4f78acb6c94ea7b1ecee_26_1" hidden="1">#REF!</definedName>
    <definedName name="TRNR_3b4bc04d41a74750bcfd76421bf75593_53_3" hidden="1" xml:space="preserve">                                                                                      '[16]2 equity bond scatter'!$G$7</definedName>
    <definedName name="TRNR_3bde59b2284441dcb1169c9f2d8f6379_60_3" hidden="1">#REF!</definedName>
    <definedName name="TRNR_3c1df4fbc5cd45ceabef05a02cb8f522_6091_1" hidden="1">#REF!</definedName>
    <definedName name="TRNR_3c243511dc33479fb9c2d93ad45380b2_612_3" hidden="1">#REF!</definedName>
    <definedName name="TRNR_3c59622afec24c70beb314e80cf9dbe1_1_4" hidden="1">#REF!</definedName>
    <definedName name="TRNR_3caec76bcea645c09a727fb817ac6b43_50_2" hidden="1" xml:space="preserve">                                                                                                                '[22]13 Labor market'!$A$6</definedName>
    <definedName name="TRNR_3cc26214bbd349508b589d4757e02d29_7756_1" hidden="1" xml:space="preserve">                        '[23]US rate paths'!$N$6</definedName>
    <definedName name="TRNR_3cdd1fcbb7a3440d9fec564aae4e83e8_198_3" hidden="1">#REF!</definedName>
    <definedName name="TRNR_3d04cad8e52a4d18ba2b433ffa97dc3c_2_1" hidden="1">#REF!</definedName>
    <definedName name="TRNR_3d369e897c0a449294786058f79fb54d_132_0" hidden="1">'[13]Price move from peak'!#REF!</definedName>
    <definedName name="TRNR_3db93553dbbc4699b1940078f798f2a3_3_2" hidden="1">#REF!</definedName>
    <definedName name="TRNR_3dc268b817ad4f4cb661080963a7cc27_53_3" hidden="1" xml:space="preserve">                                            '[16]2 equity bond scatter'!$G$7</definedName>
    <definedName name="TRNR_3e58bba7bdf0464e9599ead80862155a_2610_3" hidden="1">#REF!</definedName>
    <definedName name="TRNR_3e5da22a202543d881e0fb0ad7405842_109_2" hidden="1" xml:space="preserve">                                                  '[16]3 Timeline'!$D$4</definedName>
    <definedName name="TRNR_3e907f26e53143908b36d5686a4a5729_3_0" hidden="1" xml:space="preserve">            '[21]P8 Commodity prices'!$AJ$4</definedName>
    <definedName name="TRNR_3f087541a281442ba63b49b8240389f6_45_1" hidden="1">#REF!</definedName>
    <definedName name="TRNR_3fd2ad8bb314468d8510e4bd51674ff9_1_4" hidden="1">#REF!</definedName>
    <definedName name="TRNR_402e2ae01c1549a2a1eaf16c6023aabe_52_3" hidden="1">#REF!</definedName>
    <definedName name="TRNR_405a023172b64d34aeeb596afa353f01_1_2" hidden="1">#REF!</definedName>
    <definedName name="TRNR_4069bb8c5add4bbb8febc1fe8b50e50e_132_0" hidden="1">'[13]Price move from peak'!#REF!</definedName>
    <definedName name="TRNR_40f3ee76557647bb829777943fce1711_662_2" hidden="1">#REF!</definedName>
    <definedName name="TRNR_40f9f34501ae4db7b269a859c8307996_24_2" hidden="1">#REF!</definedName>
    <definedName name="TRNR_41243149c5d6487d9276ae7d1e2477d4_50_2" hidden="1" xml:space="preserve">                                                                                                                '[22]13 Labor market'!$A$6</definedName>
    <definedName name="TRNR_41b21af8a2b84d8181f63e7c7b4b5540_15_4" hidden="1">#REF!</definedName>
    <definedName name="TRNR_4209b003d10144d28ddf347586540bc1_2_6" hidden="1">#REF!</definedName>
    <definedName name="TRNR_42491f0dc74b4b07bb0ee4d47db3c3f9_1145_18" hidden="1">#REF!</definedName>
    <definedName name="TRNR_425035760b43421fb3afe02d85e5faaf_1_1" hidden="1" xml:space="preserve">                                                  '[16]2 equity bond scatter'!$Q$5</definedName>
    <definedName name="TRNR_42b85146d90b48fbb4a8c9e3e418d2ed_109_2" hidden="1">#REF!</definedName>
    <definedName name="TRNR_42ccd2e2f1c74a05be6746233ddd20de_629_2" hidden="1">#REF!</definedName>
    <definedName name="TRNR_4317d9b7efa943369e573338e5c4a174_253_1" hidden="1">#REF!</definedName>
    <definedName name="TRNR_439e1c4a378d4706957408d02fab8818_3_2" hidden="1">#REF!</definedName>
    <definedName name="TRNR_43c4edd405cd4220ae59178fdb30e8f2_100_2" hidden="1">#REF!</definedName>
    <definedName name="TRNR_43cdc442ec00411793b7e9a51995d1a3_1_1" hidden="1" xml:space="preserve">                                                                                                                '[16]2 equity bond scatter'!$N$5</definedName>
    <definedName name="TRNR_43fbbb80c0cb49859f5b9d1f44f515d4_62_2" hidden="1" xml:space="preserve">                                                                                                                '[22]22 5y5y inflation vs  10y'!$BA$6</definedName>
    <definedName name="TRNR_4411c8e1497d46b4b77e605ac969dfa8_0_0" hidden="1">#REF!</definedName>
    <definedName name="TRNR_44ec4a67e4574c2d9a0d53b79d7eb94a_81_3" hidden="1">#REF!</definedName>
    <definedName name="TRNR_44ffff8e964e42a2999288e39b75fda1_46_1" hidden="1">#REF!</definedName>
    <definedName name="TRNR_45367014747a4fac9a4bfa1c672d4f7e_109_2" hidden="1">#REF!</definedName>
    <definedName name="TRNR_455fdb3b7d734167ad47bf9aa561cf13_185_4" hidden="1">#REF!</definedName>
    <definedName name="TRNR_45c262c7e40e4e9996cfb192b3ae6adf_184_0" hidden="1">'[13]Price move from peak'!#REF!</definedName>
    <definedName name="TRNR_4644f0c9bb7e46b78523452b78c1d2ea_329_4" hidden="1">'[24]Regional PE Ratios'!#REF!</definedName>
    <definedName name="TRNR_46889d88e84f4b4787c95eb494953ed2_3_2" hidden="1" xml:space="preserve">                                                '[21]P8 Commodity prices'!$AG$4</definedName>
    <definedName name="TRNR_46c0c0f770a14473a6160e5ae28f53d7_634_1" hidden="1">#REF!</definedName>
    <definedName name="TRNR_4783304536c44c19b10448628d3c2eeb_52_2" hidden="1" xml:space="preserve">                                  '[16]2 equity bond scatter'!$B$7</definedName>
    <definedName name="TRNR_481c3a7ec56340c198eb1d01040ce086_662_2" hidden="1">#REF!</definedName>
    <definedName name="TRNR_48cdf9bdd4fd499c865d3017ae78f7dc_1_32" hidden="1">#REF!</definedName>
    <definedName name="TRNR_48e7ee12c90049048681b548a1f49948_1_5" hidden="1">#REF!</definedName>
    <definedName name="TRNR_4ac2a7f0eab64692a92bc18b07a0bee8_50_1" hidden="1" xml:space="preserve">                                                                                                                '[22]13 Labor market'!$A$6</definedName>
    <definedName name="TRNR_4b7a7b2d8617470c8487d9a011b16fd0_1388_5" hidden="1">#REF!</definedName>
    <definedName name="TRNR_4b99625cbf3b45cdbfdb03ce3202ae3a_181_3" hidden="1">'[29]Chart of the week'!$C$9</definedName>
    <definedName name="TRNR_4c0bc3da268c4b3cb79adf5484d27a0b_3_2" hidden="1">#REF!</definedName>
    <definedName name="TRNR_4c5de5a3e1eb4800829d3221c18df623_99_2" hidden="1">#REF!</definedName>
    <definedName name="TRNR_4c6897a8a5fc4815b03a00d1fdbd0b6f_136_2" hidden="1" xml:space="preserve">                                                  '[16]3 Timeline'!$D$4</definedName>
    <definedName name="TRNR_4c6cc8b0d4bc4f8780d2ca1c9549a125_354_2" hidden="1">#REF!</definedName>
    <definedName name="TRNR_4c97241b6eff4cda84d4c53bf43978cb_808_4" hidden="1" xml:space="preserve">                                '[14]Front end repricing'!$E$2</definedName>
    <definedName name="TRNR_4c9d18419c5d49c09a64f306b94ec58f_857_2" hidden="1">#REF!</definedName>
    <definedName name="TRNR_4d2676638fd34119acee6fb860250ade_56_2" hidden="1">#REF!</definedName>
    <definedName name="TRNR_4d41e2affe934858a6148cb48c1b8491_25_1" hidden="1">#REF!</definedName>
    <definedName name="TRNR_4d646242afa940c4a8c16793e5007f06_3_0" hidden="1">#REF!</definedName>
    <definedName name="TRNR_4e04c9efc7c84ba59d0e9ca6c30fde04_71_20" hidden="1">#REF!</definedName>
    <definedName name="TRNR_4e4d50783a9140dea2e0f61ec690a188_1693_1" hidden="1">[30]Spreads!#REF!</definedName>
    <definedName name="TRNR_50273989263d4d04a0df1e1bfffa23b1_679_3" hidden="1" xml:space="preserve">                                                '[14]UW US Treasuries'!$B$6</definedName>
    <definedName name="TRNR_50568117ba1e4b4cbb62c28ec353a9a6_192_2" hidden="1">#REF!</definedName>
    <definedName name="TRNR_507c08c9ace540379f5d934f2fab48bb_1_5" hidden="1">#REF!</definedName>
    <definedName name="TRNR_50de05d70863437aaec96158805a2370_1_1" hidden="1">#REF!</definedName>
    <definedName name="TRNR_50e915b2db304e04adc7beca66a11680_3_2" hidden="1">#REF!</definedName>
    <definedName name="TRNR_510497f369604e9ba832a17b5c7248eb_1_2" hidden="1">#REF!</definedName>
    <definedName name="TRNR_5196330dbea745a794a91b03a2e69f74_109_2" hidden="1">#REF!</definedName>
    <definedName name="TRNR_51a90b60a8004681838cd6e877b1c4a8_109_2" hidden="1">#REF!</definedName>
    <definedName name="TRNR_51ee9576c07a46ee9181f89f0f5c94cf_3_2" hidden="1">#REF!</definedName>
    <definedName name="TRNR_51f6eb9e327c45368e4061a45db9c5ac_1394_4" hidden="1">#REF!</definedName>
    <definedName name="TRNR_5228f17d28fc45c29d68ed3df673a0bd_342_3" hidden="1">#REF!</definedName>
    <definedName name="TRNR_52af26229f174bfd83af5b8446dfc876_7984_22" hidden="1">#REF!</definedName>
    <definedName name="TRNR_52d7eef0ca3c465785f175acded02de8_56_2" hidden="1">#REF!</definedName>
    <definedName name="TRNR_530d3b4010b04f52832c91c0f40590f4_192_2" hidden="1">#REF!</definedName>
    <definedName name="TRNR_5316ed3f588a4732b91aaa046d24a402_305_9" hidden="1">'[24]US Earnings Estimates'!#REF!</definedName>
    <definedName name="TRNR_53271935cdc142e7ad1798973d4146af_1042_0" hidden="1">'[13]Price move from peak'!#REF!</definedName>
    <definedName name="TRNR_5352a53cfa474fce967ded6690969db2_1_1" hidden="1" xml:space="preserve">                                                                                        '[16]2 equity bond scatter'!$Q$5</definedName>
    <definedName name="TRNR_53981416a6094f62902fb40f68fc9daa_2_6" hidden="1">#REF!</definedName>
    <definedName name="TRNR_54919ce6f8c7429c9ff69583cca160cc_1_2" hidden="1">#REF!</definedName>
    <definedName name="TRNR_5571c4d46f5648f5b786febeba23afb9_1_1" hidden="1" xml:space="preserve">                                                            '[16]2 equity bond scatter'!$N$5</definedName>
    <definedName name="TRNR_5585735d3e284ffdb6d2775407812d41_192_2" hidden="1">#REF!</definedName>
    <definedName name="TRNR_55bc11e12eeb43038e273441026a97f7_3_0" hidden="1">#REF!</definedName>
    <definedName name="TRNR_56ce972487284728b644db58955f89b7_192_2" hidden="1">#REF!</definedName>
    <definedName name="TRNR_57075dc238f94dbca69320e9f40dcc95_1_1" hidden="1" xml:space="preserve">                                                  '[16]2 equity bond scatter'!$Q$5</definedName>
    <definedName name="TRNR_571d65367c1545de993ce780a4d1f631_7757_1" hidden="1">#REF!</definedName>
    <definedName name="TRNR_5723066f32a4484d80cd75ef61112f9b_24_2" hidden="1">#REF!</definedName>
    <definedName name="TRNR_5730b404b11e4e1f9475a8ef5d504ea2_184_0" hidden="1">'[13]Price move from peak'!#REF!</definedName>
    <definedName name="TRNR_5824ffb397ac409aa77a78485d39a370_266_3" hidden="1" xml:space="preserve">                                                                                                                '[22]14 US unemployment'!$A$6</definedName>
    <definedName name="TRNR_5888df9673de4b8e838cf561ecebde3a_56_2" hidden="1">#REF!</definedName>
    <definedName name="TRNR_5902378b498344ac9e9d6a083181ac26_1_32" hidden="1">#REF!</definedName>
    <definedName name="TRNR_59281e9e1c914bf1b8e93bf6d1186be6_1_2" hidden="1">#REF!</definedName>
    <definedName name="TRNR_59c1c6edeb5a4e9ea45a923e6209de29_253_3" hidden="1" xml:space="preserve">              '[20]P9 Margins'!$B$9</definedName>
    <definedName name="TRNR_59fbab36b9c242078f59dfa447062ca8_122_4" hidden="1" xml:space="preserve">                '[22]19 earnings'!$T$1</definedName>
    <definedName name="TRNR_5a27c4831e3e47728ab646fa7ed7a582_6091_1" hidden="1">#REF!</definedName>
    <definedName name="TRNR_5a373dd62cdc4fa89d9d5575cfe044ea_6061_1" hidden="1">#REF!</definedName>
    <definedName name="TRNR_5b33a746ef1d4dd181a684a866bcc609_3_2" hidden="1">#REF!</definedName>
    <definedName name="TRNR_5b6f105978844c279e8e6333cd30931d_522_25" hidden="1">#REF!</definedName>
    <definedName name="TRNR_5bdca5adb5fa42c28a740cb83258cfb1_1_2" hidden="1">#REF!</definedName>
    <definedName name="TRNR_5c2c984d1e3d43c681a69de17dfef63c_1305_1" hidden="1" xml:space="preserve">                        '[23]US rate paths'!$C$5</definedName>
    <definedName name="TRNR_5c52da01777c43b5ba1c7886223f5e16_192_2" hidden="1">#REF!</definedName>
    <definedName name="TRNR_5c902287249148739bdbbd1d1e2a1ceb_232_1" hidden="1" xml:space="preserve">  '[20]P10 FF Geopolitics'!$A$8</definedName>
    <definedName name="TRNR_5ca5cda8eb9949248e1956b9b1748256_56_2" hidden="1">#REF!</definedName>
    <definedName name="TRNR_5ce8d7bd09214bea8a28adbdd04772f1_99_2" hidden="1">#REF!</definedName>
    <definedName name="TRNR_5d5a2ccea16442cab243464e52ff4835_144_2" hidden="1" xml:space="preserve">                                                  '[16]3 Timeline'!$D$4</definedName>
    <definedName name="TRNR_5dd4777b8d9e4755af62fcd6697fb896_305_5" hidden="1">'[24]US Earnings Estimates'!#REF!</definedName>
    <definedName name="TRNR_5f2c83c7772d4fc986bba8bbfe5fd511_1573_2" hidden="1" xml:space="preserve">                                                                                                                '[22]19 RealYields'!$V$3</definedName>
    <definedName name="TRNR_5f4c6d73522d4d4c94f7ce932d526605_662_2" hidden="1">#REF!</definedName>
    <definedName name="TRNR_5f6a732d58474870a5e08cb4d4ff73d0_522_1" hidden="1" xml:space="preserve">                        '[22]19 earnings'!$A$1</definedName>
    <definedName name="TRNR_5f9a6ae8d34f4cc8bef205acae00ac9d_662_2" hidden="1">#REF!</definedName>
    <definedName name="TRNR_5f9fc73478c34eee9612820cba0999d6_1_32" hidden="1">#REF!</definedName>
    <definedName name="TRNR_60359aeac038487aa49cfdf251470bf7_1826_4" hidden="1">#REF!</definedName>
    <definedName name="TRNR_6036627395b14131a58ce16ea7cdc2f9_264_2" hidden="1" xml:space="preserve">                                                                                                                '[22]22 5y5y inflation vs  10y'!$BF$6</definedName>
    <definedName name="TRNR_60dc8520a2b9481e9ce828c1319baf7a_52_3" hidden="1" xml:space="preserve">                                                                                            '[21]P3 Equity Bond returns'!$G$7</definedName>
    <definedName name="TRNR_6173c6fe96eb46569f25d8c44a91132d_635_1" hidden="1">#REF!</definedName>
    <definedName name="TRNR_617f6c497a2c493eafcba2eb588b4ad6_95_22" hidden="1">#REF!</definedName>
    <definedName name="TRNR_61aa0f3446a04342ae4596710b8f54e3_98_22" hidden="1">#REF!</definedName>
    <definedName name="TRNR_629ad3f6ebfe46ada057684f5efb8a63_0_0" hidden="1">#REF!</definedName>
    <definedName name="TRNR_62a46143fd364139a8faeabc2557922e_1_2" hidden="1">#REF!</definedName>
    <definedName name="TRNR_63113377dc094b879b0ec2fcec9ce337_87_3" hidden="1">#REF!</definedName>
    <definedName name="TRNR_63cdc67117d24d7fae088f0e1398f4c0_184_0" hidden="1">'[13]Price move from peak'!#REF!</definedName>
    <definedName name="TRNR_64374df0ec264481900650681dc3b1c3_132_0" hidden="1">'[13]Price move from peak'!#REF!</definedName>
    <definedName name="TRNR_6450fc4e7928425185b5df312e1c6af0_24_2" hidden="1">#REF!</definedName>
    <definedName name="TRNR_64902412772f46af8f0221301483c56e_1_1" hidden="1" xml:space="preserve">                                                                                            '[21]P3 Equity Bond returns'!$Q$5</definedName>
    <definedName name="TRNR_64999fb5e7004eebaab12e10631e99fc_3_0" hidden="1">#REF!</definedName>
    <definedName name="TRNR_655634f7d8354b3fb37b18a78fa9b1e7_1_1" hidden="1" xml:space="preserve">                                                  '[16]2 equity bond scatter'!$Q$5</definedName>
    <definedName name="TRNR_65b3cce11c524f16a44df6348311387b_919_3" hidden="1" xml:space="preserve">                             '[16]21 yield breakdown'!$C$5</definedName>
    <definedName name="TRNR_66516c68cba948019b85e0aaa556a605_1135_4" hidden="1">#REF!</definedName>
    <definedName name="TRNR_66739097a9c546e4851d9619ce3d89b9_339_2" hidden="1">#REF!</definedName>
    <definedName name="TRNR_667b848e76404babb901050956c043ca_72_12" hidden="1">#REF!</definedName>
    <definedName name="TRNR_678b2b4f7eee49a4b83c1fa286488383_120_1" hidden="1">#REF!</definedName>
    <definedName name="TRNR_67ced6ea3580423f996025b23cda311f_112_4" hidden="1" xml:space="preserve">    '[12]25 energy performance'!$B$7</definedName>
    <definedName name="TRNR_680c9228ec2343bda2b8bd2373bc84ac_1_1" hidden="1" xml:space="preserve">                                                                                        '[16]2 equity bond scatter'!$N$5</definedName>
    <definedName name="TRNR_682ffe6358e642c5a7dc88ccc56a23cd_9767_3" hidden="1">#REF!</definedName>
    <definedName name="TRNR_695f025cad13405e8b6005607e58cadd_1_2" hidden="1">#REF!</definedName>
    <definedName name="TRNR_69a3cbdf23d14126bece4ff15e51021d_354_2" hidden="1">#REF!</definedName>
    <definedName name="TRNR_6a17e3a051924c399fe0d2e1bdb9452b_357_1" hidden="1" xml:space="preserve">                        '[23]US rate paths'!$AC$5</definedName>
    <definedName name="TRNR_6a61dcbc638a42c591e0b55b4746b5c3_42_0" hidden="1">'[13]Price move from peak'!#REF!</definedName>
    <definedName name="TRNR_6a6a3ec3632344d7a1faa07a4fcc9a38_179_22" hidden="1">[31]Weights!#REF!</definedName>
    <definedName name="TRNR_6add998e74364ddd872fb4ad322eea11_1_1" hidden="1" xml:space="preserve">                                                                                            '[21]P3 Equity Bond returns'!$N$5</definedName>
    <definedName name="TRNR_6c711747849447bd922369891c55b2b5_1_42" hidden="1">#REF!</definedName>
    <definedName name="TRNR_6c85ce12118a4216bd07e059c72cefba_1_1" hidden="1" xml:space="preserve">                                                                                            '[21]P3 Equity Bond returns'!$N$5</definedName>
    <definedName name="TRNR_6ca7948aced1410098d27bdb8b0ee930_1_32" hidden="1">#REF!</definedName>
    <definedName name="TRNR_6cc057c180264f25a47141a3edb9444c_1_3" hidden="1">#REF!</definedName>
    <definedName name="TRNR_6d0b9c375a0b4ca1b8aaf04223dbf3d6_2_1" hidden="1">#REF!</definedName>
    <definedName name="TRNR_6d93389898de4d858eb009f67aa89a9e_1826_4" hidden="1">#REF!</definedName>
    <definedName name="TRNR_6d965aa59af340afb9a3344f1150346f_329_4" hidden="1">'[24]Regional PE Ratios'!#REF!</definedName>
    <definedName name="TRNR_6df2400bee874d62a0680d23cc3787a6_131_3" hidden="1" xml:space="preserve">                        '[22]20 earnings growth'!$R$1</definedName>
    <definedName name="TRNR_6f70faec2ef2458a8105a70a43a9947f_95_22" hidden="1">#REF!</definedName>
    <definedName name="TRNR_6f7ccf4b5e4d4d5ebe831159f2ccf167_132_2" hidden="1" xml:space="preserve">                                            '[16]18 S&amp;P 2Yr'!$B$10</definedName>
    <definedName name="TRNR_6f9e5815820f4887a1c6bc495b04e3e2_114_4" hidden="1" xml:space="preserve">    '[12]25 energy performance'!$B$7</definedName>
    <definedName name="TRNR_6fbc607a2bca42b1a27a7a3a548ab5ed_68_20" hidden="1">#REF!</definedName>
    <definedName name="TRNR_70d42860d5f6410d862ab4093f7abdc6_1_16" hidden="1">#REF!</definedName>
    <definedName name="TRNR_71008636fba644809264811ed87104e5_357_1" hidden="1" xml:space="preserve">                        '[23]US rate paths'!$AC$5</definedName>
    <definedName name="TRNR_71362e39f24d419c942d28d3fa40f223_339_2" hidden="1">#REF!</definedName>
    <definedName name="TRNR_715c57b33d3a447da63bbd75b71d6e2e_354_2" hidden="1">#REF!</definedName>
    <definedName name="TRNR_7304df2a7a824765920c0bccbcef1731_3_0" hidden="1" xml:space="preserve">                                                                                                                                                                                                '[21]P8 Commodity prices'!$AJ$4</definedName>
    <definedName name="TRNR_73410f1a86c24ec5b705ea6364235048_1_1" hidden="1" xml:space="preserve">                                                                                                                                                                        '[16]2 equity bond scatter'!$N$5</definedName>
    <definedName name="TRNR_73aa6707034747d1b445cfa5e86a7933_121_1" hidden="1" xml:space="preserve">                                                                                                                                                            '[22]19 earnings'!$A$1</definedName>
    <definedName name="TRNR_73c6c15d8ef4411994e43b322ec2ed23_3_0" hidden="1">#REF!</definedName>
    <definedName name="TRNR_73ee80a3f19b45209233a62389025ec2_69_1" hidden="1">#REF!</definedName>
    <definedName name="TRNR_744832c72d094981bd44502a7ce5a8b8_56_2" hidden="1">#REF!</definedName>
    <definedName name="TRNR_74abd1a2669d4f2384b380a77856c256_9322_1" hidden="1" xml:space="preserve">                        '[17]US rate path'!$B$4</definedName>
    <definedName name="TRNR_74f07cf141a74fbeba0eb353c54f6417_120_4" hidden="1" xml:space="preserve">                        '[22]19 earnings'!$T$1</definedName>
    <definedName name="TRNR_7535e262fe72484f8ad08716ce2b993a_132_0" hidden="1">'[13]Price move from peak'!#REF!</definedName>
    <definedName name="TRNR_7545d7d910da449b945823632a34c880_46_1" hidden="1">#REF!</definedName>
    <definedName name="TRNR_7561981422384efaae265109c7aa0a24_3_2" hidden="1">#REF!</definedName>
    <definedName name="TRNR_759563a552c949ac89ce7f75be2ed1a8_100_2" hidden="1" xml:space="preserve">                                                  '[16]3 Timeline'!$D$4</definedName>
    <definedName name="TRNR_76184850b03447dab481eeaf54a10332_132_1" hidden="1">'[13]Price move from peak'!#REF!</definedName>
    <definedName name="TRNR_764c5d595a3942aaae1f1d8a2dd918a9_1_32" hidden="1">#REF!</definedName>
    <definedName name="TRNR_76d9281d27a14640bde79f267fb7b103_1826_4" hidden="1">#REF!</definedName>
    <definedName name="TRNR_76f7453905054d3eaa8fec5f228f05a2_2_4" hidden="1">#REF!</definedName>
    <definedName name="TRNR_77017b32d169451eab1c09c12019f525_38_1" hidden="1">#REF!</definedName>
    <definedName name="TRNR_775da72ce0a34d1094966f80ab42bea0_567_2" hidden="1">#REF!</definedName>
    <definedName name="TRNR_77c4d409cb9c4fcc818d7d6c843cc519_1_1" hidden="1" xml:space="preserve">                                                                        '[16]2 equity bond scatter'!$N$5</definedName>
    <definedName name="TRNR_77fc3407ae364e918ee165e33fab1e9e_1_2" hidden="1">#REF!</definedName>
    <definedName name="TRNR_78ba38c2b1694ab28f87482086671e5d_1_42" hidden="1">#REF!</definedName>
    <definedName name="TRNR_78e114c2ce084befb97e14c25866f676_24_2" hidden="1">#REF!</definedName>
    <definedName name="TRNR_794a0e86fed846f9b39aa0f092328922_1_32" hidden="1">#REF!</definedName>
    <definedName name="TRNR_79c7f224e8c846ac86e3e1450e5fefec_3_2" hidden="1" xml:space="preserve">                                          '[20]P9 Margins'!$I$2</definedName>
    <definedName name="TRNR_79f06be8afab4a7485c8dfd245cc8958_3_2" hidden="1">#REF!</definedName>
    <definedName name="TRNR_7a729fde92ba4d2196156d2274193bd8_264_2" hidden="1" xml:space="preserve">                                                                                                                '[22]22 5y5y inflation vs  10y'!$BA$6</definedName>
    <definedName name="TRNR_7a8fc1d01c5e40eaaa4f04130959eddd_68_1" hidden="1">[32]Summary!#REF!</definedName>
    <definedName name="TRNR_7b24b1e1cd3040c19054a6320fd5463e_1_2" hidden="1">#REF!</definedName>
    <definedName name="TRNR_7b9af8235e6d4bbca08160a86c416bda_23_3" hidden="1">#REF!</definedName>
    <definedName name="TRNR_7bb1f9407d044d469c6cfc06b045579b_6091_1" hidden="1">#REF!</definedName>
    <definedName name="TRNR_7bf4ba2b6b7e4f1ebf45d7dac5a26dc5_1_2" hidden="1">'[28]Index Performance'!#REF!</definedName>
    <definedName name="TRNR_7c1263c036f4421eaa5baeaca96ef2c6_0_0" hidden="1">#REF!</definedName>
    <definedName name="TRNR_7c263e8322484f83b753625b751a8fdd_1574_2" hidden="1" xml:space="preserve">                                                                                                                '[22]19 RealYields'!$V$3</definedName>
    <definedName name="TRNR_7cf04fb65a46415c8f6ec910c031e17e_22_2" hidden="1">#REF!</definedName>
    <definedName name="TRNR_7d20cdf9b3f24ec4831902afd823a09f_184_0" hidden="1">'[13]Price move from peak'!#REF!</definedName>
    <definedName name="TRNR_7e5e87df27444d8aa5a0042913a79e09_192_2" hidden="1">#REF!</definedName>
    <definedName name="TRNR_7e862245246942bc99ac7f42de6385ad_1_32" hidden="1">#REF!</definedName>
    <definedName name="TRNR_7eb17b99920b46ee95971865048f4477_142_2" hidden="1" xml:space="preserve">                                                  '[16]3 Timeline'!$D$4</definedName>
    <definedName name="TRNR_7eb6bc1625d14f0bb0824ef792bf31eb_9767_2" hidden="1">#REF!</definedName>
    <definedName name="TRNR_7ec5ea530ba34a06a89e0f9fb228ad92_198_2" hidden="1">#REF!</definedName>
    <definedName name="TRNR_7f47d685ae4a43cab43d056fbc63af2d_662_2" hidden="1">#REF!</definedName>
    <definedName name="TRNR_7f4fdb92db814345a53729de5616e2cb_109_2" hidden="1">#REF!</definedName>
    <definedName name="TRNR_7f666f4ca9fc40da933eb81c16e91280_62_2" hidden="1" xml:space="preserve">                                                                                                                '[22]22 5y5y inflation vs  10y'!$BA$6</definedName>
    <definedName name="TRNR_7f9219ab46e44f5d828d8bf4c11db965_629_2" hidden="1">#REF!</definedName>
    <definedName name="TRNR_801c7da7fa2240758cfbd90d7f07b39d_124_22" hidden="1">#REF!</definedName>
    <definedName name="TRNR_8059242153054eba9c4808285a27feb7_1_3" hidden="1" xml:space="preserve">                  '[20]P9 Margins'!$B$9</definedName>
    <definedName name="TRNR_806d6911fb624bafaf28ab48b39b2563_262_2" hidden="1">#REF!</definedName>
    <definedName name="TRNR_80ab426a435f49d188467bd78541389a_1_32" hidden="1">#REF!</definedName>
    <definedName name="TRNR_80abbb4797c249758ba7154556d6fc75_51_2" hidden="1">#REF!</definedName>
    <definedName name="TRNR_813aa90693a743c7ae777f41121da7f2_418_22" hidden="1">#REF!</definedName>
    <definedName name="TRNR_81929c8e818f4eae8ccd768d91db2b00_3_2" hidden="1">#REF!</definedName>
    <definedName name="TRNR_81c22df0c07346b3984267451fd57389_1826_4" hidden="1">#REF!</definedName>
    <definedName name="TRNR_81cb5ff995644fab95ab437103ad19cc_866_3" hidden="1">#REF!</definedName>
    <definedName name="TRNR_82fae25497434d84b9d95f10f205ffc5_1_2" hidden="1">#REF!</definedName>
    <definedName name="TRNR_83709723f65647c88264e88d0ac5df82_331_1" hidden="1">#REF!</definedName>
    <definedName name="TRNR_8372a73ebfef43b3a3d354e68025a0ee_109_2" hidden="1">#REF!</definedName>
    <definedName name="TRNR_83870769baf14352a316f47bf932a490_132_0" hidden="1">'[13]Price move from peak'!#REF!</definedName>
    <definedName name="TRNR_83bd85d8bee34efa892a3f9afb671245_132_0" hidden="1">'[13]Price move from peak'!#REF!</definedName>
    <definedName name="TRNR_83f4f44c3ee94e90a2fe316f35a55e36_112_4" hidden="1" xml:space="preserve">    '[12]25 energy performance'!$B$7</definedName>
    <definedName name="TRNR_83f550419bd34bbda792ade3235c395e_3_0" hidden="1">#REF!</definedName>
    <definedName name="TRNR_84593304212d422ca403231fc0ccbbf5_42_0" hidden="1">'[13]Price move from peak'!#REF!</definedName>
    <definedName name="TRNR_847d48d4b44140d3ae535d1c052ee42f_98_2" hidden="1">#REF!</definedName>
    <definedName name="TRNR_84ebd70eda6f401fa0b73a09f39770ba_26_1" hidden="1">#REF!</definedName>
    <definedName name="TRNR_867eff8035874e02983f8a7692084c90_52_3" hidden="1">#REF!</definedName>
    <definedName name="TRNR_869560dffbc249bfa575c899df992516_273_3" hidden="1">#REF!</definedName>
    <definedName name="TRNR_86e68248fc4f4d3a9eb8b43f38d698d6_633_1" hidden="1">#REF!</definedName>
    <definedName name="TRNR_871f3a219b264fe09b2811de6177bc25_2_6" hidden="1">#REF!</definedName>
    <definedName name="TRNR_87421f6bc9be4ee4b4838e71c5324b48_437_8" hidden="1">'[24]US Earnings Estimates'!#REF!</definedName>
    <definedName name="TRNR_874cf5f955604ec892fa0ff9a22acaae_26_1" hidden="1">#REF!</definedName>
    <definedName name="TRNR_880c0ca222be4376a5957a8ce3e52e76_184_0" hidden="1">'[13]Price move from peak'!#REF!</definedName>
    <definedName name="TRNR_88f3561ff59e40ebaa7fa157c6f20635_1_1" hidden="1" xml:space="preserve">                                            '[16]2 equity bond scatter'!$Q$5</definedName>
    <definedName name="TRNR_8972bf9f4a1b48989d8ac30ed2666e5d_132_0" hidden="1">'[13]Price move from peak'!#REF!</definedName>
    <definedName name="TRNR_89a12d9e7f48431d927b29fb600cfde5_1_2" hidden="1">#REF!</definedName>
    <definedName name="TRNR_89e7b064ae524ce1976f3e2a2b5c55a6_42_0" hidden="1">'[13]Price move from peak'!#REF!</definedName>
    <definedName name="TRNR_89f6386890b34737a43ddc6f7544d913_1_1" hidden="1" xml:space="preserve">                                                                                        '[16]2 equity bond scatter'!$Q$5</definedName>
    <definedName name="TRNR_8a0302d9ff5d4976a63cb4ab99ef0b4c_179_22" hidden="1">#REF!</definedName>
    <definedName name="TRNR_8b0e7630dfd741ec83ae44af0ce47662_53_3" hidden="1" xml:space="preserve">                                                        '[16]2 equity bond scatter'!$G$7</definedName>
    <definedName name="TRNR_8b66125c386141889b657dc95470e9a2_1826_3" hidden="1" xml:space="preserve">                                                                                                                                                                                                                '[21]P8 Commodity prices'!$S$5</definedName>
    <definedName name="TRNR_8b98b87e135346a6835ce5d53b0476bc_30_4" hidden="1">#REF!</definedName>
    <definedName name="TRNR_8bb751cc7d4840a4aa0afc6a99efcb1d_1700_3" hidden="1" xml:space="preserve">                             '[16]21 yield breakdown'!$J$5</definedName>
    <definedName name="TRNR_8bbdccee077e41239e6685bc47028624_132_2" hidden="1" xml:space="preserve">                                            '[16]23 EM perf'!$C$8</definedName>
    <definedName name="TRNR_8bce15d242114938a408ee2c318f6cce_53_3" hidden="1" xml:space="preserve">                                            '[16]2 equity bond scatter'!$G$7</definedName>
    <definedName name="TRNR_8d3d87a0e84e4f0dac9df4649b0df511_889_1" hidden="1" xml:space="preserve">                                '[22]14 U.S. LFPR'!$B$2</definedName>
    <definedName name="TRNR_8d5d951ca2e841b0a3b3ccd5795acbfd_350_3" hidden="1">#REF!</definedName>
    <definedName name="TRNR_8d99cd2cc5aa48a7a67fc7d1008f76dc_1042_0" hidden="1">'[13]Price move from peak'!#REF!</definedName>
    <definedName name="TRNR_8df96939a5b7420496c72803d593d465_47_1" hidden="1">#REF!</definedName>
    <definedName name="TRNR_8e6c0a60c8fd41be8815e3020e2e1c3d_662_2" hidden="1">#REF!</definedName>
    <definedName name="TRNR_8e780bc1c8004c6482a1696735967d99_1_2" hidden="1">#REF!</definedName>
    <definedName name="TRNR_8ed25378778f43a394b8d40bd4c50d33_1_1" hidden="1">#REF!</definedName>
    <definedName name="TRNR_8f021144510440718e70ddcc63d345ed_24_2" hidden="1">#REF!</definedName>
    <definedName name="TRNR_8f1495bd988440bcb4ddc98912fa93df_0_0" hidden="1">#REF!</definedName>
    <definedName name="TRNR_8f55eaaadc5b49e1b622e4a9942b2aed_7176_2" hidden="1">#REF!</definedName>
    <definedName name="TRNR_901c17219f9449a5864b4155cee13adb_111_1" hidden="1">#REF!</definedName>
    <definedName name="TRNR_9062143fe9bc456e9eef453928cd6c49_354_2" hidden="1">#REF!</definedName>
    <definedName name="TRNR_908eae7da7ac4ad6a230b098a738394a_152_2" hidden="1">#REF!</definedName>
    <definedName name="TRNR_90b9b0e46d5a4aa98190be7dc2330cf6_7756_1" hidden="1" xml:space="preserve">                        '[23]US rate paths'!$N$6</definedName>
    <definedName name="TRNR_911f64ffb1334b33a79f38a21dc84ee0_384_1" hidden="1" xml:space="preserve">                                                                                                                                                                      '[21]P6 Cutting through confusion'!#REF!</definedName>
    <definedName name="TRNR_914eab87e1bb40ae93ff2892ad8bd185_26_1" hidden="1">#REF!</definedName>
    <definedName name="TRNR_91b0350baa8a4b4ea4b12542a9bc9c53_56_2" hidden="1">#REF!</definedName>
    <definedName name="TRNR_91dea32dc9894171a53c1c9155223bfd_7756_1" hidden="1" xml:space="preserve">                        '[23]US rate paths'!$N$6</definedName>
    <definedName name="TRNR_91f82895110b437681d9cf7b0e2acb29_0_0" hidden="1">#REF!</definedName>
    <definedName name="TRNR_92358a36b82f4333a541c8c8d2e7d3c3_119_5" hidden="1" xml:space="preserve">    '[12]25 energy performance'!$B$7</definedName>
    <definedName name="TRNR_9259dba599f14db6a613bb6c44312f19_9767_3" hidden="1">#REF!</definedName>
    <definedName name="TRNR_92a886c5c8eb4e24afbb58b55d00bf8d_1_1" hidden="1" xml:space="preserve">                                                        '[16]2 equity bond scatter'!$Q$5</definedName>
    <definedName name="TRNR_92d0bf58d514493f8febd80d36fd65b1_1397_5" hidden="1">#REF!</definedName>
    <definedName name="TRNR_92d0f90bf4c2464fa262cece5b2b04e0_3_2" hidden="1" xml:space="preserve">                                            '[21]P8 Commodity prices'!$AG$4</definedName>
    <definedName name="TRNR_92d56fd4222145d2a39b06f7d036749e_132_0" hidden="1">'[13]Price move from peak'!#REF!</definedName>
    <definedName name="TRNR_930e915e4a81481ab6f40c3e21b8ca46_1_1" hidden="1" xml:space="preserve">                            '[12]25 energy performance'!#REF!</definedName>
    <definedName name="TRNR_93a00ec23d7944f3aecfa74002e03d50_122_1" hidden="1" xml:space="preserve">                                                                                        '[22]19 earnings'!$A$1</definedName>
    <definedName name="TRNR_93a012bb2c544145af1be3941d0c601a_121_4" hidden="1">#REF!</definedName>
    <definedName name="TRNR_93f54ba0a83741aaa0a4735a79d58ca8_1_1" hidden="1">#REF!</definedName>
    <definedName name="TRNR_942876f7f44a4b26a810b605e0f790ee_1_16" hidden="1">#REF!</definedName>
    <definedName name="TRNR_9453e19841aa49a58996fbc489b2135f_132_0" hidden="1">'[13]Price move from peak'!#REF!</definedName>
    <definedName name="TRNR_948cf9e85c2d42b1b47e8dd6a88d0fab_184_0" hidden="1">'[13]Price move from peak'!#REF!</definedName>
    <definedName name="TRNR_94d057b8c4984a1f9ec8c4c7fb7f3b94_132_0" hidden="1">'[13]Price move from peak'!#REF!</definedName>
    <definedName name="TRNR_94e77f46a7bb4b89b642e916711ee4ee_53_3" hidden="1" xml:space="preserve">                                                                                                                                                                                                            '[16]2 equity bond scatter'!$G$7</definedName>
    <definedName name="TRNR_952743eeaba14837abba390ee55e0b9a_266_3" hidden="1" xml:space="preserve">                                                                                                                '[22]14 US unemployment'!$A$6</definedName>
    <definedName name="TRNR_957c1ade9786427ead82ec696cc7a208_257_4" hidden="1">#REF!</definedName>
    <definedName name="TRNR_95de450b55474aca8821d8bb25a2d6e0_1_1" hidden="1" xml:space="preserve">                        '[16]2 equity bond scatter'!$Q$5</definedName>
    <definedName name="TRNR_960c3a84b00644fc81712ab3fba310b6_1395_4" hidden="1">#REF!</definedName>
    <definedName name="TRNR_963ef55e509340f7ba9e1a22e29974e4_132_0" hidden="1">'[13]Price move from peak'!#REF!</definedName>
    <definedName name="TRNR_96603aeebc154ba992f17a35ca2eec25_1517_1" hidden="1" xml:space="preserve">                        '[27]One-week repo'!$B$4</definedName>
    <definedName name="TRNR_96aef7d4c85e421981e982ff628dfebc_0_0" hidden="1">#REF!</definedName>
    <definedName name="TRNR_973ed184106044f3b33b5a5c49a90771_192_2" hidden="1">#REF!</definedName>
    <definedName name="TRNR_97aa79c81c704834949fbe01ffd529be_3847_2" hidden="1">#REF!</definedName>
    <definedName name="TRNR_97f439cbb6e545b186efa3e18e36274d_119_1" hidden="1" xml:space="preserve">                        '[22]19 earnings'!$A$1</definedName>
    <definedName name="TRNR_9815a5455bb94c6a92bf9c550b9bd443_1_16" hidden="1">#REF!</definedName>
    <definedName name="TRNR_9897a575ddf645909df42da733475534_50_2" hidden="1" xml:space="preserve">                                                                                                                '[22]13 Labor market'!$A$6</definedName>
    <definedName name="TRNR_98b8b0afdc8d445ba7b3114ff8b8ec09_4305_2" hidden="1" xml:space="preserve">                               '[26]P9 euro spreads'!$B$7</definedName>
    <definedName name="TRNR_99df23d33c6d462fb552d59c671746af_6101_1" hidden="1">#REF!</definedName>
    <definedName name="TRNR_99eea1e683e64afb89513f19dcb26c37_3_2" hidden="1">#REF!</definedName>
    <definedName name="TRNR_9a552649262d4addad9e92ed8ce16e4f_1_2" hidden="1">#REF!</definedName>
    <definedName name="TRNR_9a64fa28eb314f399a1d7a6012a9c0b4_133_3" hidden="1" xml:space="preserve">                                        '[22]20 earnings growth'!$R$1</definedName>
    <definedName name="TRNR_9acc09bd196a4b6db1c0b5708416a7af_264_1" hidden="1" xml:space="preserve">                                                                                                                '[22]22 5y5y inflation vs  10y'!$BA$6</definedName>
    <definedName name="TRNR_9b095dc937da44549621f9b4cdbeabee_131_3" hidden="1" xml:space="preserve">                        '[15]Forward Earnings'!$A$1</definedName>
    <definedName name="TRNR_9baf5cf793c540f28c162c5057e30450_357_1" hidden="1" xml:space="preserve">                        '[23]US rate paths'!$AC$5</definedName>
    <definedName name="TRNR_9cee900f1a9b404b9daf75634322262d_524_8" hidden="1">#REF!</definedName>
    <definedName name="TRNR_9d126bba8bba4d4bab129bc01b7d0229_1_3" hidden="1">#REF!</definedName>
    <definedName name="TRNR_9deccb618f7b4cceb41417b6d299efc4_184_0" hidden="1">'[13]Price move from peak'!#REF!</definedName>
    <definedName name="TRNR_9e0414b12252408c9895defe41889734_1_5" hidden="1">#REF!</definedName>
    <definedName name="TRNR_9e5ad2a0c8534f52a269a49714e59635_1_1" hidden="1" xml:space="preserve">                                                                        '[16]2 equity bond scatter'!$N$5</definedName>
    <definedName name="TRNR_9e66771195794192908475da7dd7a26f_131_3" hidden="1" xml:space="preserve">                        '[22]20 earnings growth'!$R$1</definedName>
    <definedName name="TRNR_9e69619636fc497ab9d1e0c72b23330b_3_0" hidden="1">#REF!</definedName>
    <definedName name="TRNR_9e8abee8a4f8499a87680cd8fd0532fb_662_2" hidden="1">#REF!</definedName>
    <definedName name="TRNR_9fae47c0ef8a43a1a952820624731f17_7_2" hidden="1" xml:space="preserve">                                                 '[16]7 Bev curve'!$B$9</definedName>
    <definedName name="TRNR_9fc32161ef5d4d8f9704a5953ed35145_254_1" hidden="1" xml:space="preserve">                              '[21]P9 FF Geopolitics'!$A$8</definedName>
    <definedName name="TRNR_a010063fcb2046ec9d30c224f01ddb06_56_2" hidden="1">#REF!</definedName>
    <definedName name="TRNR_a01d12fdd5d0456f81bbca5d3978c9a2_398_6" hidden="1">#REF!</definedName>
    <definedName name="TRNR_a02203f427294b16a923bac567a327ed_3_2" hidden="1">#REF!</definedName>
    <definedName name="TRNR_a146959415734ea2b6371862b32e535c_161_2" hidden="1">#REF!</definedName>
    <definedName name="TRNR_a14d8b81ef154d17bef14433b8cfb922_112_1" hidden="1">#REF!</definedName>
    <definedName name="TRNR_a14f79d605874895b817632c8e7d44b5_56_2" hidden="1">#REF!</definedName>
    <definedName name="TRNR_a16ed1bd946b4da280329b290834dc65_0_0" hidden="1">#REF!</definedName>
    <definedName name="TRNR_a18e4e542e7043eeb2b9c6dc48d06392_3_2" hidden="1">#REF!</definedName>
    <definedName name="TRNR_a1a583710ca54234ae5d95d46545ae82_32_12" hidden="1">#REF!</definedName>
    <definedName name="TRNR_a1d044aaddd94029b573fe05df362ba5_1540_1" hidden="1" xml:space="preserve">                        '[27]One-week repo'!$B$4</definedName>
    <definedName name="TRNR_a2ffe35580a54ac888f84558fcc67102_179_11" hidden="1">#REF!</definedName>
    <definedName name="TRNR_a300200e967c46f295c0fa01e03dbac2_53_3" hidden="1" xml:space="preserve">                                            '[16]2 equity bond scatter'!$G$7</definedName>
    <definedName name="TRNR_a30523808e4d49bf85213f64afcf7888_1_1" hidden="1" xml:space="preserve">                                                                                            '[21]P3 Equity Bond returns'!$Q$5</definedName>
    <definedName name="TRNR_a31f1e7d25e24ef9b1a1146ef365e081_1_1" hidden="1" xml:space="preserve">                                                                                                                                                                        '[16]2 equity bond scatter'!$N$5</definedName>
    <definedName name="TRNR_a32e3d74649a4118a7684abcca36d831_181_4" hidden="1" xml:space="preserve">                        '[22]19 earnings'!$T$1</definedName>
    <definedName name="TRNR_a41aec9a3b8b42acb5c94bff986f36b4_241_1" hidden="1" xml:space="preserve">                        '[22]19 earnings'!$A$1</definedName>
    <definedName name="TRNR_a41cacee699e4595923b13526f528037_52_2" hidden="1" xml:space="preserve">                                  '[16]2 equity bond scatter'!$B$7</definedName>
    <definedName name="TRNR_a4b5edcfd0c048138fc4a159e58a8349_8634_9" hidden="1">[33]TRI!#REF!</definedName>
    <definedName name="TRNR_a4efbd49cbb7481483e032c4b0de96bf_1_42" hidden="1">#REF!</definedName>
    <definedName name="TRNR_a4fee5959c78455db50fed336360aee9_3_0" hidden="1">#REF!</definedName>
    <definedName name="TRNR_a5757679f5184d5bbc76f2a860fb7217_3_0" hidden="1">#REF!</definedName>
    <definedName name="TRNR_a5e8aed4039b4232b91870904798d43a_3_1" hidden="1" xml:space="preserve">                            '[12]25 energy performance'!#REF!</definedName>
    <definedName name="TRNR_a5f13fc5fb6a4dd383dfdfff0bf62406_329_4" hidden="1">'[24]Regional PE Ratios'!#REF!</definedName>
    <definedName name="TRNR_a62a700732644fc4b40cec42a8d3f46d_1_2" hidden="1">#REF!</definedName>
    <definedName name="TRNR_a6eed90941bb447ba6bba4bf54a97684_1_2" hidden="1">#REF!</definedName>
    <definedName name="TRNR_a6f0bf1d08ad46fa896fcd4af286a754_3_0" hidden="1">#REF!</definedName>
    <definedName name="TRNR_a6fbab14441f4894aef4db9ef2915d90_1_2" hidden="1">#REF!</definedName>
    <definedName name="TRNR_a7c77d0fc9524d088ee7f32f8041b6f2_1_2" hidden="1">#REF!</definedName>
    <definedName name="TRNR_a80236738ef0408fb16994809379ad13_119_5" hidden="1" xml:space="preserve">    '[12]25 energy performance'!$B$7</definedName>
    <definedName name="TRNR_a8678e3210d24756b05f8b306ce7f2d4_383_2" hidden="1" xml:space="preserve">                                      '[21]Good services'!$B$6</definedName>
    <definedName name="TRNR_a8ec5dd952eb497fa4b8512bd9d6264e_3_2" hidden="1">#REF!</definedName>
    <definedName name="TRNR_a92b3e6df4164678a15df23d274f0a60_383_2" hidden="1" xml:space="preserve">                                                                  '[21]Good services'!$B$6</definedName>
    <definedName name="TRNR_a973e7f3b28d41aca53abbcb2127c143_133_1" hidden="1" xml:space="preserve">                        '[14]Core PCE YoY'!$A$1</definedName>
    <definedName name="TRNR_a9f0817e8aed4b4c85ba46e98ad26a7b_1_42" hidden="1">#REF!</definedName>
    <definedName name="TRNR_aa0c3a2eaf3d4b36bba62f4ff9f8c2eb_187_3" hidden="1">#REF!</definedName>
    <definedName name="TRNR_aa536c1bb48d4fd3913da82aeb984eaf_1_42" hidden="1">#REF!</definedName>
    <definedName name="TRNR_aa7bd970762c49c7bed860a57eb2c1f9_3_0" hidden="1">#REF!</definedName>
    <definedName name="TRNR_aa8a5d7d2f9546718eb186399f0b81ea_524_1" hidden="1">[33]REQUEST_TABLE!#REF!</definedName>
    <definedName name="TRNR_aaa29ecd97124a05af3903d451c69de2_131_4" hidden="1" xml:space="preserve">                        '[18]Chart - Trailing Earnings'!$A$1</definedName>
    <definedName name="TRNR_ab3c69cd0c3043d8bf91549befc3e207_97_2" hidden="1">#REF!</definedName>
    <definedName name="TRNR_ab5f0f5622924f629a7e0bc852243ff3_1_0" hidden="1">#REF!</definedName>
    <definedName name="TRNR_ab767e2934554f9f9790b4ed91fa8c26_1_1" hidden="1" xml:space="preserve">                                                                        '[16]2 equity bond scatter'!$N$5</definedName>
    <definedName name="TRNR_ac704251f4a74b6c9d854bf2db9eb461_1337_4" hidden="1">#REF!</definedName>
    <definedName name="TRNR_ac76dd1359544d8ab7850c364c460aa8_635_1" hidden="1">#REF!</definedName>
    <definedName name="TRNR_ac97aeedbdf14bd5900cbe32977392f6_662_2" hidden="1">#REF!</definedName>
    <definedName name="TRNR_acb60cea541648fe89dbc8dc79c3f0aa_262_3" hidden="1">#REF!</definedName>
    <definedName name="TRNR_acdb00b5cec7442696c613d9963bfc20_1_2" hidden="1">#REF!</definedName>
    <definedName name="TRNR_ace94a6870e744759077a47f08072691_52_2" hidden="1" xml:space="preserve">                                                                                        '[16]2 equity bond scatter'!$B$7</definedName>
    <definedName name="TRNR_aceec364dfe34785bde95cb35503ae89_1346_4" hidden="1">#REF!</definedName>
    <definedName name="TRNR_acf4de7fdfd3497cb6a7e1edb08741cf_522_3" hidden="1">#REF!</definedName>
    <definedName name="TRNR_acff5cfba7f240afa8f7b207fc731829_1_42" hidden="1">#REF!</definedName>
    <definedName name="TRNR_ad6f1f8aa1d443c68e736354a0f47237_56_2" hidden="1">#REF!</definedName>
    <definedName name="TRNR_addc0dd04ebf4494b6095b89b9e79b9a_1_32" hidden="1">#REF!</definedName>
    <definedName name="TRNR_adf218c5996c4493a7f1b3273e574c44_24_2" hidden="1">#REF!</definedName>
    <definedName name="TRNR_aef988f4a4694342a6337b87fc19fcc8_3_2" hidden="1">#REF!</definedName>
    <definedName name="TRNR_aef9b9cd2384481b9baadc72d4b4c83b_357_1" hidden="1" xml:space="preserve">                        '[23]US rate paths'!$AC$5</definedName>
    <definedName name="TRNR_aefd192cea084648852abed9b4b95916_30_1" hidden="1">#REF!</definedName>
    <definedName name="TRNR_afa4cc9c66cf4ffb9761e16a1c707992_1136_4" hidden="1">#REF!</definedName>
    <definedName name="TRNR_afb64e2b1ce44c129ba29fd65f5ddd1c_262_2" hidden="1">#REF!</definedName>
    <definedName name="TRNR_afd7ea75e79d41d989e6df6897946085_3_0" hidden="1">#REF!</definedName>
    <definedName name="TRNR_b0c100cb518746a987f1c67fc3f92a4d_0_2" hidden="1">'[13]Price move from peak'!#REF!</definedName>
    <definedName name="TRNR_b0ecd5828cb94868a57e6858f6dc4bad_3_0" hidden="1">#REF!</definedName>
    <definedName name="TRNR_b19e1f68f16e4eaca2a68f56378108ed_52_2" hidden="1" xml:space="preserve">                                            '[16]2 equity bond scatter'!$B$7</definedName>
    <definedName name="TRNR_b1d67db3adff44e89baa3ee57d946745_262_3" hidden="1">#REF!</definedName>
    <definedName name="TRNR_b218a624870d410ea0dbc63b3fccf1b0_99_2" hidden="1">#REF!</definedName>
    <definedName name="TRNR_b24837684aa046bf8d51f33a01387d4b_1145_18" hidden="1">#REF!</definedName>
    <definedName name="TRNR_b28dc9171a0d401690a98d0b238e36db_3_1" hidden="1" xml:space="preserve">                            '[12]25 energy performance'!#REF!</definedName>
    <definedName name="TRNR_b29758fb856047fc9239c798fe288c3c_109_2" hidden="1">#REF!</definedName>
    <definedName name="TRNR_b3226826027943b08030aa5d7bcf79e8_3_2" hidden="1">#REF!</definedName>
    <definedName name="TRNR_b33373e0c4de45c18af4fea434d7b293_1366_5" hidden="1">#REF!</definedName>
    <definedName name="TRNR_b4211b9caef64402992aa1140645b914_6084_1" hidden="1">#REF!</definedName>
    <definedName name="TRNR_b434c66149ed4bf4bdb7925dda51f508_1_3" hidden="1">#REF!</definedName>
    <definedName name="TRNR_b4f4fca1f15a427fbf85dbd3fa9200ec_523_6" hidden="1" xml:space="preserve">                        '[22]20 earnings growth'!$R$1</definedName>
    <definedName name="TRNR_b5703ed016ae434e930e9e67b534c48e_52_3" hidden="1" xml:space="preserve">                                                                                                                                                                                      '[21]P3 Equity Bond returns'!$G$7</definedName>
    <definedName name="TRNR_b585e57675264c3d8b3bc0b64de195ba_3_1" hidden="1" xml:space="preserve">                            '[12]25 energy performance'!#REF!</definedName>
    <definedName name="TRNR_b5d839dc4cdb4e5d8fbcb71011e44425_62_2" hidden="1" xml:space="preserve">                                                                                                                '[22]22 5y5y inflation vs  10y'!$BA$6</definedName>
    <definedName name="TRNR_b61a78043bf04b6aa88442c72985cfb4_192_1" hidden="1" xml:space="preserve">                                                                                                                                                          '[21]P5 Living with inflation'!$S$2</definedName>
    <definedName name="TRNR_b6232f80e484465e8407e3790aae3670_1_1" hidden="1" xml:space="preserve">                                            '[16]2 equity bond scatter'!$N$5</definedName>
    <definedName name="TRNR_b664fe33a47641bc95923e0119a3331f_844_3" hidden="1">#REF!</definedName>
    <definedName name="TRNR_b69317439b4b44779cde7640169ac2d8_1826_1" hidden="1">#REF!</definedName>
    <definedName name="TRNR_b718cefdf30644b3ab5e2e9efb5ad679_593_2" hidden="1">#REF!</definedName>
    <definedName name="TRNR_b726cdf4241a4ba9b5feb92b26d9e930_1_1" hidden="1" xml:space="preserve">                                            '[16]2 equity bond scatter'!$Q$5</definedName>
    <definedName name="TRNR_b754584c2ab6478daf4c414f018c0997_1407_5" hidden="1">#REF!</definedName>
    <definedName name="TRNR_b755c06fd6da450f9f7597d74b5461bf_3_1" hidden="1" xml:space="preserve">                            '[12]25 energy performance'!#REF!</definedName>
    <definedName name="TRNR_b81356baef1f496d867d1b26c3e31847_241_4" hidden="1" xml:space="preserve">                             '[16]20 DM central banks'!$S$10</definedName>
    <definedName name="TRNR_b879c803579e4ce9938b24f7e943aa61_518_5" hidden="1">#REF!</definedName>
    <definedName name="TRNR_b8c0be33c9ac447ab9fd93fd9891a145_613_3" hidden="1">#REF!</definedName>
    <definedName name="TRNR_b8d02caad7c34cb7bd029f1b63096b89_52_3" hidden="1" xml:space="preserve">                                                                                            '[21]P3 Equity Bond returns'!$G$7</definedName>
    <definedName name="TRNR_b8f2331db91d43fcb8ad42a2f41adc1d_146_3" hidden="1" xml:space="preserve">                                                                                                                '[22]10 US PCE'!$A$2</definedName>
    <definedName name="TRNR_b91271468b174bb78d914212ed7284a5_662_2" hidden="1">#REF!</definedName>
    <definedName name="TRNR_b9206dcd6fc140ed88317507724d2a93_1135_4" hidden="1">#REF!</definedName>
    <definedName name="TRNR_b94e1536609942abaa66ca6c0f8e7af5_24_2" hidden="1">#REF!</definedName>
    <definedName name="TRNR_b9bd2af1d9a84df3ba92f4bdbcf069b4_3_1" hidden="1" xml:space="preserve">                                  '[20]P9 Margins'!$I$2</definedName>
    <definedName name="TRNR_ba142b1876d343e2afb26341bde6595d_124_22" hidden="1">#REF!</definedName>
    <definedName name="TRNR_ba26a172220a46d18c6d1c8aa4e4325e_192_2" hidden="1">#REF!</definedName>
    <definedName name="TRNR_ba51fe79f1814bd0b4fe252ecbc9c19e_24_2" hidden="1">#REF!</definedName>
    <definedName name="TRNR_ba57532c57ea4fa49656a63b8f7c31e3_192_2" hidden="1">#REF!</definedName>
    <definedName name="TRNR_ba5eb8ccdfff4bb6ab943f2522cc5d71_3_1" hidden="1" xml:space="preserve">                                      '[20]P9 Margins'!$I$2</definedName>
    <definedName name="TRNR_ba86417c50644c7394e8531d9f10f51f_56_2" hidden="1">#REF!</definedName>
    <definedName name="TRNR_ba9003501b474acab015f0e238f46a54_9767_2" hidden="1">#REF!</definedName>
    <definedName name="TRNR_bbc4b57b521a45bc9b5959d737f59290_42_0" hidden="1">'[13]Price move from peak'!#REF!</definedName>
    <definedName name="TRNR_bc41562503f643cfa80c0613f1ea4d7b_132_0" hidden="1">'[13]Price move from peak'!#REF!</definedName>
    <definedName name="TRNR_bc7b32dfa2c548f381c7cfd971d67b15_52_2" hidden="1" xml:space="preserve">            '[16]2 equity bond scatter'!$B$7</definedName>
    <definedName name="TRNR_bc82e8882bd5433b81a0b56efb204d34_51_2" hidden="1" xml:space="preserve">                                                                                            '[21]P3 Equity Bond returns'!$B$7</definedName>
    <definedName name="TRNR_bcc5acd036bc4b6e98b3c98c5af98ac6_26_2" hidden="1">#REF!</definedName>
    <definedName name="TRNR_bcd1dbba07ee4de7864c2f1a84a1f97e_24_2" hidden="1">#REF!</definedName>
    <definedName name="TRNR_bd32bde8e1544151ab8b7d19fe253402_217_0" hidden="1">#REF!</definedName>
    <definedName name="TRNR_bd691b61860c43efa9274c1d9d965b61_604_3" hidden="1">#REF!</definedName>
    <definedName name="TRNR_bdab8e3d0de34f1b846e3d4b1c565c99_29_1" hidden="1">#REF!</definedName>
    <definedName name="TRNR_be3104bd4f97403cb6bdb1cf4008110e_1_32" hidden="1">#REF!</definedName>
    <definedName name="TRNR_be6bcfe1f5b74c0d82c1776454eeffc8_2_3" hidden="1">#REF!</definedName>
    <definedName name="TRNR_bed0b1a1404541a3b78893a2eded53c1_24_2" hidden="1">#REF!</definedName>
    <definedName name="TRNR_bf26da64eb194dc6893c23baa9f8763c_42_0" hidden="1">'[13]Price move from peak'!#REF!</definedName>
    <definedName name="TRNR_bf433bf304734eff9fb1bc497a3eb5ec_1_2" hidden="1">#REF!</definedName>
    <definedName name="TRNR_bf851eace3944c4f821e3ac4fb16096d_662_2" hidden="1">#REF!</definedName>
    <definedName name="TRNR_bfdfbf0267ae471bb4ef7cd7ceaa60f7_122_1" hidden="1" xml:space="preserve">                                                                    '[22]19 earnings'!$A$1</definedName>
    <definedName name="TRNR_bfe787af60d64584bb0452fb32ba0b6b_3_3" hidden="1" xml:space="preserve">                                              '[20]P9 Margins'!$I$2</definedName>
    <definedName name="TRNR_c001f855e8a44992aa2937fb1b769cfb_42_0" hidden="1">'[13]Price move from peak'!#REF!</definedName>
    <definedName name="TRNR_c02343a4a2264a43abd8ee8a4b8a3d60_50_1" hidden="1" xml:space="preserve">                                                                                                                '[22]13 Labor market'!$A$6</definedName>
    <definedName name="TRNR_c0ce5fd120a1456db4635a657989c92e_132_0" hidden="1">'[13]Price move from peak'!#REF!</definedName>
    <definedName name="TRNR_c10bc4cdc7604b83a05e65295731cc04_24_2" hidden="1">#REF!</definedName>
    <definedName name="TRNR_c139551781a94574bba675bb16839158_742_1" hidden="1">#REF!</definedName>
    <definedName name="TRNR_c18a0d710f5f4f7eaa207556d5d4b66b_305_8" hidden="1">'[24]US Earnings Estimates'!#REF!</definedName>
    <definedName name="TRNR_c1f418351c6742dbae5ecd2a7524f89b_121_1" hidden="1" xml:space="preserve">                        '[14]Core PCE YoY'!$A$1</definedName>
    <definedName name="TRNR_c20ae8fdd0654843920bcc01984bbb73_109_2" hidden="1">#REF!</definedName>
    <definedName name="TRNR_c280f4f376f944e5801108d509345836_192_2" hidden="1">#REF!</definedName>
    <definedName name="TRNR_c2de599b16fd401083320ea5a9b72bd5_634_1" hidden="1">#REF!</definedName>
    <definedName name="TRNR_c3134bcd39e748048c115161d4b05274_22_1" hidden="1">#REF!</definedName>
    <definedName name="TRNR_c350da9ba73e4bbd82bf8d0ac10188a1_583_3" hidden="1">#REF!</definedName>
    <definedName name="TRNR_c3846eeda0c34d96be9700c49e56537c_399_1" hidden="1">#REF!</definedName>
    <definedName name="TRNR_c39f7968c09d42eea8d50a072815217c_1_16" hidden="1">#REF!</definedName>
    <definedName name="TRNR_c54acabd7bd3488398ea534da4ada93b_6061_1" hidden="1">#REF!</definedName>
    <definedName name="TRNR_c5c68ad7015349a589895a0ed60240ac_132_0" hidden="1">'[13]Price move from peak'!#REF!</definedName>
    <definedName name="TRNR_c657754ae88b4f0891e90194a25168c2_317_3" hidden="1">#REF!</definedName>
    <definedName name="TRNR_c66ce9873b2447859eb9ba90f1cd8acf_128_1" hidden="1" xml:space="preserve">                                                                                                                                                                              '[21]P6 Cutting through confusion'!#REF!</definedName>
    <definedName name="TRNR_c6813052ae1d4c7c8055de2d6fdd31d1_0_0" hidden="1">#REF!</definedName>
    <definedName name="TRNR_c6e460727e6143caaf5fb62fae712b8b_662_2" hidden="1">#REF!</definedName>
    <definedName name="TRNR_c738bb5279674f08857c550edeeceec0_3_2" hidden="1">#REF!</definedName>
    <definedName name="TRNR_c7a8d5d51b8f4f8a8b2ec1debd95f551_3_0" hidden="1">#REF!</definedName>
    <definedName name="TRNR_c7af31a3d50f4bf2b5b3d830d8bdb0ce_198_2" hidden="1">#REF!</definedName>
    <definedName name="TRNR_c7d6ed6767ea4c4a9bd222d33f04ad54_1_32" hidden="1">#REF!</definedName>
    <definedName name="TRNR_c832ae173a4646b8aceb97f4bcaca92c_132_2" hidden="1" xml:space="preserve">                                            '[16]18 S&amp;P 2Yr'!$B$10</definedName>
    <definedName name="TRNR_c83ecd96222448fea58422e3ecfb0249_6101_1" hidden="1">#REF!</definedName>
    <definedName name="TRNR_c851e4b98cb9449aab2621310b8fd2e3_1_2" hidden="1">#REF!</definedName>
    <definedName name="TRNR_c85b03b011354ae1ac2fc703ab266abc_192_2" hidden="1">#REF!</definedName>
    <definedName name="TRNR_c86aa0be0aef4ca4a417a3fc92d36e6c_24_1" hidden="1">#REF!</definedName>
    <definedName name="TRNR_c8c258016da149839b8224cbb7d95e65_23_3" hidden="1">#REF!</definedName>
    <definedName name="TRNR_c93b79a6d69943bf829b33f23944b87c_2703_1" hidden="1">'[24]US Earnings Estimates'!#REF!</definedName>
    <definedName name="TRNR_c9ab9da87b664678994f66a86e177527_0_0" hidden="1">#REF!</definedName>
    <definedName name="TRNR_c9c50fca812b48ab99b08ead4dde043a_0_0" hidden="1">#REF!</definedName>
    <definedName name="TRNR_c9cc64de614b43acb3458c0c3b26fedf_132_0" hidden="1">'[13]Price move from peak'!#REF!</definedName>
    <definedName name="TRNR_ca1d21814ad9435e8cea1281bbb6668b_0_0" hidden="1">#REF!</definedName>
    <definedName name="TRNR_ca5b789958b2438f8f2ec0b861001241_123_1" hidden="1" xml:space="preserve">                                                                                        '[22]19 earnings'!$N$1</definedName>
    <definedName name="TRNR_caa725cbb43347e7aac2b4814bfaa681_68_4" hidden="1" xml:space="preserve">                                    '[27]One-week repo'!#REF!</definedName>
    <definedName name="TRNR_cab9a0afa54d465a8c529cb894d16844_192_2" hidden="1">#REF!</definedName>
    <definedName name="TRNR_cae182eab4dd485bb0249f3dffb8c109_112_5" hidden="1" xml:space="preserve">    '[12]25 energy performance'!$B$7</definedName>
    <definedName name="TRNR_cae816e3e3ec4266b16572d8b225e704_146_3" hidden="1" xml:space="preserve">                                                                                                                '[22]10 US PCE'!$A$2</definedName>
    <definedName name="TRNR_cb49d039926b4eb4a9f56b20e2a0303c_1_16" hidden="1">#REF!</definedName>
    <definedName name="TRNR_cb6ea98348354059a06d5329a3169ae3_146_4" hidden="1" xml:space="preserve">                                                                                                                '[22]10 US PCE'!$A$2</definedName>
    <definedName name="TRNR_cb74cf2eadae4825a5a68c802a944943_198_2" hidden="1">#REF!</definedName>
    <definedName name="TRNR_cc09e6d95bac4952bdb08f3eace1f8ad_357_1" hidden="1">#REF!</definedName>
    <definedName name="TRNR_cc6a9cc3b9294e0c9b9f9143dc29b3ff_875_3" hidden="1">#REF!</definedName>
    <definedName name="TRNR_cd445938dcef46c391ceef0f7acf51ad_3_2" hidden="1">#REF!</definedName>
    <definedName name="TRNR_cd5d3b30289640d9ae336a702b586e80_0_0" hidden="1">#REF!</definedName>
    <definedName name="TRNR_cdecece14a944b628639e164b3d65bb4_1_32" hidden="1">#REF!</definedName>
    <definedName name="TRNR_cdfaea07f244439cbb37d78757e5a45a_99_2" hidden="1">#REF!</definedName>
    <definedName name="TRNR_ce1751a401bf4cd791b1cd521d8f938a_305_9" hidden="1">'[24]US Earnings Estimates'!#REF!</definedName>
    <definedName name="TRNR_ce264bf620e9446a9cbb05ccbc0c7761_522_3" hidden="1">#REF!</definedName>
    <definedName name="TRNR_ce316b91de374b44859e46b80ca6bdeb_56_2" hidden="1">#REF!</definedName>
    <definedName name="TRNR_ce62cbf6ab9447be88c8e77c18f8ce15_68_20" hidden="1">#REF!</definedName>
    <definedName name="TRNR_ceb55935abd14ef2886c083c4f841136_2745_2" hidden="1" xml:space="preserve">    '[16]22 Breakevens'!$E$8</definedName>
    <definedName name="TRNR_cebfdd2cee854f2da4178aca5714bb6a_522_3" hidden="1" xml:space="preserve">                                                '[14]UW US Treasuries'!$B$6</definedName>
    <definedName name="TRNR_cec932684a414392b559b33fde647a59_331_3" hidden="1" xml:space="preserve">                             '[16]20 DM central banks'!$S$10</definedName>
    <definedName name="TRNR_cf07bb9f3f3b46c8bc6bf754802970c2_42_1" hidden="1">'[13]Price move from peak'!#REF!</definedName>
    <definedName name="TRNR_cf0fb35821594e0ea76f8369ae81b447_133_1" hidden="1" xml:space="preserve">                        '[14]Core PCE YoY'!$A$1</definedName>
    <definedName name="TRNR_cf163be79a884111b0ca7d025e7f1f60_522_3" hidden="1">#REF!</definedName>
    <definedName name="TRNR_cfe2a29f469b48c8a5c0803dd4d73d25_1_2" hidden="1">#REF!</definedName>
    <definedName name="TRNR_cfee1883ee114b47aa6c2a58ea2e3b2f_192_2" hidden="1">#REF!</definedName>
    <definedName name="TRNR_d04b3437ac8d4260887df0c61d4a70bd_24_2" hidden="1">#REF!</definedName>
    <definedName name="TRNR_d05b569c3577418e875223befe814a0a_662_2" hidden="1">#REF!</definedName>
    <definedName name="TRNR_d05f9f1e0d0747e2bf15b391f97059a9_0_0" hidden="1">#REF!</definedName>
    <definedName name="TRNR_d07d6dcb617d47889f66925ec18c284a_109_2" hidden="1">#REF!</definedName>
    <definedName name="TRNR_d0b7f16eb47845d4b9445f7ffa4ee543_4_1" hidden="1">#REF!</definedName>
    <definedName name="TRNR_d0bddc3a20f542ca9c03865a29686bb8_354_2" hidden="1">#REF!</definedName>
    <definedName name="TRNR_d0ffc7f84edb4de38fb92f8c4f84f293_7756_1" hidden="1" xml:space="preserve">                        '[23]US rate paths'!$N$6</definedName>
    <definedName name="TRNR_d1949741df594801926384f4db66985c_97_2" hidden="1">#REF!</definedName>
    <definedName name="TRNR_d1ba241450a54001b8d136d12edf0c4b_1314_1" hidden="1" xml:space="preserve">                                                                                                                '[22]23 5y5y Inflation'!$A$6</definedName>
    <definedName name="TRNR_d28476d9a87d45b1ac0dd04aeeb5af47_6091_1" hidden="1">#REF!</definedName>
    <definedName name="TRNR_d2caa07d3c53456ab18a9f43370cbce2_79_2" hidden="1">[23]Topdown_data_EM!#REF!</definedName>
    <definedName name="TRNR_d309516156b9482a81032076082f2ec8_42_0" hidden="1">'[13]Price move from peak'!#REF!</definedName>
    <definedName name="TRNR_d3b7fc3d8a3e46dca2b68c6ae7d99742_258_3" hidden="1" xml:space="preserve">                      '[20]P9 Margins'!$B$9</definedName>
    <definedName name="TRNR_d409c9de1bab44b6b3e35650e2688967_1_2" hidden="1">#REF!</definedName>
    <definedName name="TRNR_d414a60a53844f0d9c2502cd06e566aa_132_1" hidden="1">'[13]Price move from peak'!#REF!</definedName>
    <definedName name="TRNR_d421f6fa5c0a4e608123dfb7b554716e_1_32" hidden="1">#REF!</definedName>
    <definedName name="TRNR_d42a5c70fc4b4f05ae0e7eab269a5d67_2_1" hidden="1">#REF!</definedName>
    <definedName name="TRNR_d4396f04a9294ee29163d6680aa87e24_1701_3" hidden="1" xml:space="preserve">                             '[16]21 yield breakdown'!$C$5</definedName>
    <definedName name="TRNR_d4f520b1eecf4237acae0bbca447c32b_72_1" hidden="1">[27]Electricity!#REF!</definedName>
    <definedName name="TRNR_d505b16769434b7baf876e742f7a5de7_109_2" hidden="1">#REF!</definedName>
    <definedName name="TRNR_d5bf27360c114b40bb7381ef67e82820_1329_1" hidden="1" xml:space="preserve">                                                                                                                '[22]23 5y5y Inflation'!$A$6</definedName>
    <definedName name="TRNR_d5de8ded9ca94b20bf4f9649693acf58_97_2" hidden="1">#REF!</definedName>
    <definedName name="TRNR_d66f063e05344d88aec61c719f6d9e44_53_3" hidden="1" xml:space="preserve">                                                                                      '[16]2 equity bond scatter'!$G$7</definedName>
    <definedName name="TRNR_d6a45780c4e046a4af66190c550080cc_99_2" hidden="1">#REF!</definedName>
    <definedName name="TRNR_d6b2597f8fbd4672bfcb4e7c1d1537e8_0_0" hidden="1">#REF!</definedName>
    <definedName name="TRNR_d6e86d311c1c4a4e96dec322dcd3ba54_30_1" hidden="1">#REF!</definedName>
    <definedName name="TRNR_d6f802b5dc83449c8bd8a5d701062841_97_2" hidden="1">#REF!</definedName>
    <definedName name="TRNR_d703df5bb1064756aab4a93bea63b3b9_10_2" hidden="1" xml:space="preserve">                                                 '[16]7 Bev curve'!$B$9</definedName>
    <definedName name="TRNR_d79224cd7a864b109c5518e5f600e21b_1_1" hidden="1">[34]US_Policy_rules!#REF!</definedName>
    <definedName name="TRNR_d7a84821e5cd407984079d413d4a6fcb_3_2" hidden="1">#REF!</definedName>
    <definedName name="TRNR_d7e4b30ba7e749cda15ba071a5d12795_3_0" hidden="1" xml:space="preserve">            '[21]P8 Commodity prices'!$AK$4</definedName>
    <definedName name="TRNR_d8bcb69bd7ac4946891df010499c13f0_2755_2" hidden="1" xml:space="preserve">    '[16]22 Breakevens'!$E$8</definedName>
    <definedName name="TRNR_d97b6e681a70460189d567c31490f421_51_2" hidden="1" xml:space="preserve">                                                                                                            '[16]2 equity bond scatter'!$B$7</definedName>
    <definedName name="TRNR_d9bdcee3790146d8ac84171c078a1890_3_1" hidden="1" xml:space="preserve">                            '[12]25 energy performance'!#REF!</definedName>
    <definedName name="TRNR_d9d88c4ad79f4467b6b9feeee8624d9d_262_3" hidden="1">#REF!</definedName>
    <definedName name="TRNR_d9fe269412e14bd9a42121957db9bb73_1405_4" hidden="1">#REF!</definedName>
    <definedName name="TRNR_da0d1ad11ec64c20b0e3278fcbe55ceb_3_2" hidden="1">#REF!</definedName>
    <definedName name="TRNR_da5d7cadf2c9487e955f2fc6d55f1345_3_2" hidden="1">#REF!</definedName>
    <definedName name="TRNR_dac6195070314904a1a4e88c61a4eabf_131_2" hidden="1" xml:space="preserve">                                            '[16]18 S&amp;P 2Yr'!$B$10</definedName>
    <definedName name="TRNR_dac8d4c405124874a3eb7b09953f4550_1_1" hidden="1" xml:space="preserve">                                                                                                                '[16]2 equity bond scatter'!$N$5</definedName>
    <definedName name="TRNR_db0e5cf9a4e94d79bd674e5b185638b8_416_10" hidden="1">[33]Index_gth!#REF!</definedName>
    <definedName name="TRNR_db9624f9b01048daae4634a638b49c61_1_42" hidden="1">#REF!</definedName>
    <definedName name="TRNR_dc1c5236620e4d6ca2c4bc031854c084_1_16" hidden="1">#REF!</definedName>
    <definedName name="TRNR_dca1a5707c744a58955bc2633d280179_109_2" hidden="1">#REF!</definedName>
    <definedName name="TRNR_dccccfd155a04bb087d06052fa15d63d_418_22" hidden="1">#REF!</definedName>
    <definedName name="TRNR_dd3a9cc1201348f28e31e5c735850450_0_0" hidden="1">#REF!</definedName>
    <definedName name="TRNR_dd58041655064b0cb5ff32092512d3ae_1273_3" hidden="1" xml:space="preserve">            '[21]P8 Commodity prices'!$B$5</definedName>
    <definedName name="TRNR_dd5a522f96924bcd80b705b21f0510de_2_1" hidden="1">#REF!</definedName>
    <definedName name="TRNR_dd9e90c8f1bb406da45b848e85cc06eb_0_0" hidden="1">#REF!</definedName>
    <definedName name="TRNR_ddb87921e4f145a58b20f16f5ce1f2d7_52_2" hidden="1" xml:space="preserve">                                                        '[16]2 equity bond scatter'!$B$7</definedName>
    <definedName name="TRNR_ddd3f59e62114372bd05054d0d3f4ecf_773_3" hidden="1">#REF!</definedName>
    <definedName name="TRNR_de1a31bc9aad4ff7b00850a6435d2ad8_2181_1" hidden="1">'[24]US Earnings Estimates'!#REF!</definedName>
    <definedName name="TRNR_de94c8395399442688588e7ea45fd099_7_3" hidden="1" xml:space="preserve">                                                 '[16]7 Bev curve'!$B$9</definedName>
    <definedName name="TRNR_debc29b2d2164e4bad9818fe9991e03a_184_0" hidden="1">'[13]Price move from peak'!#REF!</definedName>
    <definedName name="TRNR_decacb74fb1f4b93b120d16094a2c87c_1_1" hidden="1" xml:space="preserve">                                                                                                                                                                                              '[21]P3 Equity Bond returns'!$Q$5</definedName>
    <definedName name="TRNR_def57ab1d7af4b678ee167aaf989ae67_1626_3" hidden="1">#REF!</definedName>
    <definedName name="TRNR_def6c933438842a083cc17edd559815d_147_4" hidden="1" xml:space="preserve">                                                                                        '[22]10 US PCE'!$A$2</definedName>
    <definedName name="TRNR_df9500ec7df547b5a8ee7984fc00ec3d_51_2" hidden="1" xml:space="preserve">                                                                                            '[21]P3 Equity Bond returns'!$B$7</definedName>
    <definedName name="TRNR_dfd4978511484cbdbeb25b22e51774fb_1_1" hidden="1">#REF!</definedName>
    <definedName name="TRNR_e0004c4ed33a4d429f806411485829a3_42_0" hidden="1">'[13]Price move from peak'!#REF!</definedName>
    <definedName name="TRNR_e0544496a05244148eab18b428d2bacc_132_0" hidden="1">'[13]Price move from peak'!#REF!</definedName>
    <definedName name="TRNR_e07e6fce3cda48238f2efd03472e4d7b_1_32" hidden="1">#REF!</definedName>
    <definedName name="TRNR_e08f801b05534081997fa988365c2d84_109_2" hidden="1">#REF!</definedName>
    <definedName name="TRNR_e0c1a2ce8c0340c1a5e1312db47a9a63_383_2" hidden="1" xml:space="preserve">                                  '[21]Good services'!$B$6</definedName>
    <definedName name="TRNR_e157d2cbac7d4b0fa42c9a189a9cd076_885_3" hidden="1">#REF!</definedName>
    <definedName name="TRNR_e22bc29a4bec4d17948eba4d17ec6819_1305_1" hidden="1">#REF!</definedName>
    <definedName name="TRNR_e23b5036bba34802aadd7ab64a726e71_112_3" hidden="1" xml:space="preserve">    '[12]25 energy performance'!$B$7</definedName>
    <definedName name="TRNR_e2679933f9f14287928f86eb67c49394_1119_2" hidden="1" xml:space="preserve">          '[20]P7 commodities'!$B$15</definedName>
    <definedName name="TRNR_e332982b69204560b2b2e32aad46cd25_3_2" hidden="1">#REF!</definedName>
    <definedName name="TRNR_e3545836c6aa41b39c18859690573437_524_3" hidden="1">'[35]TAA - UK vs Europe (2)'!#REF!</definedName>
    <definedName name="TRNR_e4f60c1d79f445428b6c493219994b0f_3_0" hidden="1">#REF!</definedName>
    <definedName name="TRNR_e52490b068994416889166d9e3ffd98f_30_8" hidden="1">#REF!</definedName>
    <definedName name="TRNR_e57f65b46b904ff5a5fbf7f6986b0ad9_305_6" hidden="1">'[24]US Earnings Estimates'!#REF!</definedName>
    <definedName name="TRNR_e5e9b81e18ca4c7490676c39ec0313d5_241_3" hidden="1" xml:space="preserve">                             '[16]20 DM central banks'!$S$10</definedName>
    <definedName name="TRNR_e665e44141114fc78c46b811c381b17a_266_3" hidden="1" xml:space="preserve">                                                                                                                '[22]14 US unemployment'!$A$6</definedName>
    <definedName name="TRNR_e688d7172f52455abc112fb1b9175748_137_2" hidden="1" xml:space="preserve">                                                  '[16]3 Timeline'!$D$4</definedName>
    <definedName name="TRNR_e6c0c432cd32405fbfd39915febf1a2b_662_2" hidden="1">#REF!</definedName>
    <definedName name="TRNR_e6f1ffdde9944727b01e19f2e1b47d91_1_16" hidden="1">#REF!</definedName>
    <definedName name="TRNR_e78bbc1b31b4404eb7d82398c6b7e26b_131_3" hidden="1" xml:space="preserve">                        '[15]Forward Earnings'!$A$1</definedName>
    <definedName name="TRNR_e7f793aaa046438385a6a57e9e03c28d_9767_3" hidden="1">#REF!</definedName>
    <definedName name="TRNR_e803fdfac02c4c498106a320add9f07c_56_2" hidden="1">#REF!</definedName>
    <definedName name="TRNR_ea0e4154426a4f0d9f8347ff4b499e93_42_0" hidden="1">'[13]Price move from peak'!#REF!</definedName>
    <definedName name="TRNR_ea8533adbe6f4865b0003390b65d5493_1307_1" hidden="1" xml:space="preserve">                                            '[27]One-week repo'!$B$4</definedName>
    <definedName name="TRNR_eaf3ebc63819496a89869b5a796a0bbc_1_8" hidden="1">#REF!</definedName>
    <definedName name="TRNR_eb0b38646f854ecaad29778ca749733b_2_3" hidden="1">#REF!</definedName>
    <definedName name="TRNR_eb4235bbc4a74a40bd373340956ae103_175_11" hidden="1">#REF!</definedName>
    <definedName name="TRNR_eb4cc02a85e7416f84f5c81978548607_3_2" hidden="1">#REF!</definedName>
    <definedName name="TRNR_eb849a00d7c7427d808356c21ceaa1c8_50_3" hidden="1" xml:space="preserve">                                                                                                                '[22]13 Labor market'!$A$6</definedName>
    <definedName name="TRNR_eb8d90a5bfb14e1a93e12242a4d63007_1386_4" hidden="1">#REF!</definedName>
    <definedName name="TRNR_ec0dbf76ce7d4d9d8c1c465071c9aac5_662_2" hidden="1">#REF!</definedName>
    <definedName name="TRNR_ec1047d1e8af485c97daeb1c2aefd3fe_0_0" hidden="1">#REF!</definedName>
    <definedName name="TRNR_ec7528f53ab0460794da95912bb80705_132_0" hidden="1">'[13]Price move from peak'!#REF!</definedName>
    <definedName name="TRNR_ec787523e19745bdb9a54feaf28e6c2a_3_0" hidden="1">#REF!</definedName>
    <definedName name="TRNR_ec7a1bf9c001404fad97fff582dbfcde_86_2" hidden="1">#REF!</definedName>
    <definedName name="TRNR_ece061799fd14f34b32d0e8d9814736a_132_0" hidden="1">'[13]Price move from peak'!#REF!</definedName>
    <definedName name="TRNR_ed83781708af4c9c8057cf2fc43d752f_3_2" hidden="1">#REF!</definedName>
    <definedName name="TRNR_ed9f04de310f4135949e203d298baa1c_132_3" hidden="1" xml:space="preserve">                                            '[16]23 EM perf'!$C$8</definedName>
    <definedName name="TRNR_edb83e5b3495493aabab5ea15c8a993d_1_1" hidden="1" xml:space="preserve">                                                                                        '[16]2 equity bond scatter'!$N$5</definedName>
    <definedName name="TRNR_edba652e02ac4f51a9074f229e6d0bf6_132_0" hidden="1">'[13]Price move from peak'!#REF!</definedName>
    <definedName name="TRNR_ee324d773f6a4447ae45473ef4089b59_18_1" hidden="1">#REF!</definedName>
    <definedName name="TRNR_ef068e994b194e09aca06a1448be851e_3_2" hidden="1">#REF!</definedName>
    <definedName name="TRNR_ef099f272550475cb53581f2cdcb4484_1_3" hidden="1">'[36]Data 2021'!#REF!</definedName>
    <definedName name="TRNR_ef27a02f9637450fa0de7e4acc275ad7_0_0" hidden="1">#REF!</definedName>
    <definedName name="TRNR_efd4e058f7aa4702a144671fdf44b577_3_2" hidden="1">#REF!</definedName>
    <definedName name="TRNR_eff84103ebff4e9394277fbce8857009_351_3" hidden="1">#REF!</definedName>
    <definedName name="TRNR_f06f2ab89b9141ee870d7fce7c1fe337_132_0" hidden="1">'[13]Price move from peak'!#REF!</definedName>
    <definedName name="TRNR_f0a2c30306334e04aa8f89a819d52cdc_132_1" hidden="1">'[13]Price move from peak'!#REF!</definedName>
    <definedName name="TRNR_f1346338b25c4727a7113c4a8d2657b3_1135_8" hidden="1">#REF!</definedName>
    <definedName name="TRNR_f24b0d8b20b04705a98e2ff71eebcc9f_184_0" hidden="1">'[13]Price move from peak'!#REF!</definedName>
    <definedName name="TRNR_f2bc447173a64bdc89fd84ef36393639_1826_3" hidden="1" xml:space="preserve">                        '[21]P8 Commodity prices'!$S$5</definedName>
    <definedName name="TRNR_f3496d09490c4e6a92d6db96b8552ced_22_3" hidden="1">#REF!</definedName>
    <definedName name="TRNR_f359c39f33c9430cbfc0338fb8a09c7d_146_4" hidden="1" xml:space="preserve">                                                                                                                '[22]10 US PCE'!$A$2</definedName>
    <definedName name="TRNR_f39c2f43c57b4f92a0ff4aef8d25b60e_51_2" hidden="1">#REF!</definedName>
    <definedName name="TRNR_f413bb713ae74c7083c06c00ae6905a8_162_4" hidden="1" xml:space="preserve">        '[17]Equities - earnings'!$A$1</definedName>
    <definedName name="TRNR_f417305864d24029ad44da40b14013f4_1_42" hidden="1">#REF!</definedName>
    <definedName name="TRNR_f4283ca0150b45cfaea7ed02db38ead1_1_1" hidden="1" xml:space="preserve">                                                        '[16]2 equity bond scatter'!$N$5</definedName>
    <definedName name="TRNR_f452af0a64ff45faa812f20afca7effb_24_2" hidden="1">#REF!</definedName>
    <definedName name="TRNR_f46e35c10db84e6692efd2e6297611b7_259_24" hidden="1">#REF!</definedName>
    <definedName name="TRNR_f476fa45a167418d838d002aa98c3afc_339_2" hidden="1">#REF!</definedName>
    <definedName name="TRNR_f4a7e03d425e44f6a0c7278bd33a35de_211_3" hidden="1" xml:space="preserve">                             '[16]20 DM central banks'!$S$10</definedName>
    <definedName name="TRNR_f4f6dd1c56e547738b075b24b596938f_24_2" hidden="1">#REF!</definedName>
    <definedName name="TRNR_f5988d979ea74d19bdf5bea814179d40_569_2" hidden="1">#REF!</definedName>
    <definedName name="TRNR_f5a56c310e6a4effa6d3ce6f73e7be3e_111_2" hidden="1" xml:space="preserve">                                                  '[16]3 Timeline'!$D$4</definedName>
    <definedName name="TRNR_f651e3c969f4440e9295d66aff9f0cd0_1_2" hidden="1">#REF!</definedName>
    <definedName name="TRNR_f6b8cbe86e4a4109ac3db1b80ad31bb7_6082_1" hidden="1">#REF!</definedName>
    <definedName name="TRNR_f6e2db59b6354db9abd8f2bb46953daa_26_1" hidden="1">#REF!</definedName>
    <definedName name="TRNR_f6fbb934ebb1411384f2c4893c64ccdd_25_7" hidden="1">#REF!</definedName>
    <definedName name="TRNR_f73dd51acff44d5bb9049ed0aef7f514_100_3" hidden="1">#REF!</definedName>
    <definedName name="TRNR_f7486f3f92bf4488b037adbb34c78398_173_11" hidden="1">'[29]Assets in review'!#REF!</definedName>
    <definedName name="TRNR_f74b2b6051744456b0d40a077569b2ae_1_42" hidden="1">#REF!</definedName>
    <definedName name="TRNR_f75598ae597f40f7b98ff0c392d0b83a_23_3" hidden="1">#REF!</definedName>
    <definedName name="TRNR_f77dd08b32874db994c849c6a61380c1_331_1" hidden="1">#REF!</definedName>
    <definedName name="TRNR_f7cb0a2749a24edb9a36a316bf0e83e3_1135_4" hidden="1">#REF!</definedName>
    <definedName name="TRNR_f81a635ed2b54f1981429ea5ef702b7f_384_1" hidden="1" xml:space="preserve">                                                                                                                                                                  '[21]P6 Cutting through confusion'!#REF!</definedName>
    <definedName name="TRNR_f886e250427d4b04ac59c8926bce6490_214_1" hidden="1">[27]Electricity!#REF!</definedName>
    <definedName name="TRNR_f89fa4ca363548d19e5cdbc8ab19078e_1_1" hidden="1" xml:space="preserve">                                            '[16]2 equity bond scatter'!$N$5</definedName>
    <definedName name="TRNR_f92d1f38fc304cc9a76bb1eb884aa57f_123_1" hidden="1" xml:space="preserve">                                                                                        '[22]19 earnings'!$A$1</definedName>
    <definedName name="TRNR_f94869adb31a4ecfb7c9f8606b62990f_284_1" hidden="1" xml:space="preserve">                                              '[16]5 reallocation'!$R$3</definedName>
    <definedName name="TRNR_faa9f181c104458c83edadcba7b2d8bb_0_0" hidden="1">#REF!</definedName>
    <definedName name="TRNR_faf9a709f5db4e1db0801eba41415c36_1_1" hidden="1" xml:space="preserve">                                                                                        '[16]2 equity bond scatter'!$N$5</definedName>
    <definedName name="TRNR_fb6244894d54479790fc682066d3bbbf_253_2" hidden="1">#REF!</definedName>
    <definedName name="TRNR_fba0585a26e1451c92f7fea11c8b0184_1_42" hidden="1">#REF!</definedName>
    <definedName name="TRNR_fbc3f67b58974ca6812536467d993235_919_3" hidden="1" xml:space="preserve">                             '[16]21 yield breakdown'!$C$5</definedName>
    <definedName name="TRNR_fc6294eeb39244bcb51f79600a640e05_1282_3" hidden="1" xml:space="preserve">                                                                                                                                '[21]P8 Commodity prices'!$B$5</definedName>
    <definedName name="TRNR_fcaf18d1f5c44cde820c8025d0cf2d53_662_2" hidden="1">#REF!</definedName>
    <definedName name="TRNR_fccf2f19723c40a18cbfb3f6857c726b_1120_2" hidden="1" xml:space="preserve">      '[20]P7 commodities'!$B$15</definedName>
    <definedName name="TRNR_fcf81d0160314be7af2a62712dbe361a_410_6" hidden="1">#REF!</definedName>
    <definedName name="TRNR_fd2922086dd7438d96d6cb014719fc52_1826_4" hidden="1">#REF!</definedName>
    <definedName name="TRNR_fd382789a9734281a8b85df0c8858330_97_2" hidden="1">#REF!</definedName>
    <definedName name="TRNR_fd614152d97b4794b54fd8bcf08f9d87_91_3" hidden="1" xml:space="preserve">                             '[16]20 DM central banks'!$S$10</definedName>
    <definedName name="TRNR_fd74e4372d634d5eb9dbd08d469d4cde_24_2" hidden="1">#REF!</definedName>
    <definedName name="TRNR_fda7c0e0db3b49229f3ad009d0625119_630_2" hidden="1">#REF!</definedName>
    <definedName name="TRNR_fdb2e1d72bdb4c55885441150a1aa2ee_3_2" hidden="1">#REF!</definedName>
    <definedName name="TRNR_fdb8f7a5ec5c4ac1abd9b7743026c411_56_2" hidden="1">#REF!</definedName>
    <definedName name="TRNR_fdeba78b6c1e404ca534fbcf0d88edf2_90_3" hidden="1">#REF!</definedName>
    <definedName name="TRNR_fe29807787664b0c8cc507675b165576_1_32" hidden="1">#REF!</definedName>
    <definedName name="TRNR_fecd03ec130d4dc48850a6ded8a8c8ae_357_1" hidden="1" xml:space="preserve">                        '[23]US rate paths'!$AC$5</definedName>
    <definedName name="TRNR_ff1f5998597c455bbdaa92341ac069d1_147_2" hidden="1" xml:space="preserve">                             '[16]18 S&amp;P 2Yr'!$B$10</definedName>
    <definedName name="TRNR_ff421f4ddf444f38b9e2aab132876c18_3_0" hidden="1" xml:space="preserve">                                                              '[21]P8 Commodity prices'!$AK$4</definedName>
    <definedName name="TRNR_ffa137cec6c448ebb0089d1e91636bf6_53_3" hidden="1" xml:space="preserve">                                                                                        '[16]2 equity bond scatter'!$G$7</definedName>
    <definedName name="TRNR_ffb9aacdbc1549b6a2f8932df2de48d2_361_3" hidden="1">#REF!</definedName>
    <definedName name="TRNR_ffb9b11449204120b286f0a334e11cc9_444_0" hidden="1">#REF!</definedName>
    <definedName name="TRNR_ffd523739aff418e82414191a635cc5f_109_2" hidden="1">#REF!</definedName>
    <definedName name="tw_asia">[4]Weights!$J$13</definedName>
    <definedName name="tw_nie">[4]Weights!$K$13</definedName>
    <definedName name="UK_gwth">#REF!</definedName>
    <definedName name="UK_S">#REF!</definedName>
    <definedName name="US_gwth">#REF!</definedName>
    <definedName name="US_S">#REF!</definedName>
    <definedName name="USD_Nom">#REF!</definedName>
    <definedName name="USD_Tenor">#REF!</definedName>
    <definedName name="USD_yr">#REF!</definedName>
    <definedName name="wrn.All."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Complete._.Report."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Report."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Full._.Financials." hidden="1">{#N/A,#N/A,TRUE,"Financials";#N/A,#N/A,TRUE,"Operating Statistics";#N/A,#N/A,TRUE,"Capex &amp; Depreciation";#N/A,#N/A,TRUE,"Debt"}</definedName>
    <definedName name="wrn.full._.financials1." hidden="1">{#N/A,#N/A,TRUE,"Financials";#N/A,#N/A,TRUE,"Operating Statistics";#N/A,#N/A,TRUE,"Capex &amp; Depreciation";#N/A,#N/A,TRUE,"Debt"}</definedName>
    <definedName name="wrn.One._.Pager._.plus._.Technicals." hidden="1">{#N/A,#N/A,FALSE,"One Pager";#N/A,#N/A,FALSE,"Technical"}</definedName>
    <definedName name="wrn1.all" hidden="1">{#N/A,#N/A,TRUE,"Introduction";#N/A,#N/A,TRUE,"Operating Statistics";#N/A,#N/A,TRUE,"Capex &amp; Depreciation";#N/A,#N/A,TRUE,"Equity";#N/A,#N/A,TRUE,"Debt";#N/A,#N/A,TRUE,"Debt (2)";#N/A,#N/A,TRUE,"Financials";#N/A,#N/A,TRUE,"Market Info";#N/A,#N/A,TRUE,"Company Card";#N/A,#N/A,TRUE,"One Pager";#N/A,#N/A,TRUE,"First Page";#N/A,#N/A,TRUE,"Technical";#N/A,#N/A,TRUE,"Range Names"}</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Z7" i="32" l="1"/>
  <c r="AY7" i="32"/>
  <c r="AX7" i="32"/>
  <c r="AW7" i="32"/>
  <c r="AV7" i="32"/>
  <c r="AU7" i="32"/>
  <c r="AT7" i="32"/>
  <c r="AS7" i="32"/>
  <c r="AR7" i="32"/>
  <c r="AQ7" i="32"/>
  <c r="AP7" i="32"/>
  <c r="AO7" i="32"/>
  <c r="AN7" i="32"/>
  <c r="AM7" i="32"/>
  <c r="AL7" i="32"/>
  <c r="AK7" i="32"/>
  <c r="AJ7" i="32"/>
  <c r="AI7" i="32"/>
  <c r="AH7" i="32"/>
  <c r="AG7" i="32"/>
  <c r="AF7" i="32"/>
  <c r="AE7" i="32"/>
  <c r="AD7" i="32"/>
  <c r="AC7" i="32"/>
  <c r="AB7" i="32"/>
  <c r="AA7" i="32"/>
  <c r="Z7" i="32"/>
  <c r="Y7" i="32"/>
  <c r="X7" i="32"/>
  <c r="W7" i="32"/>
  <c r="V7" i="32"/>
  <c r="U7" i="32"/>
  <c r="T7" i="32"/>
  <c r="S7" i="32"/>
  <c r="R7" i="32"/>
  <c r="Q7" i="32"/>
  <c r="P7" i="32"/>
  <c r="O7" i="32"/>
  <c r="N7" i="32"/>
  <c r="M7" i="32"/>
  <c r="L7" i="32"/>
  <c r="K7" i="32"/>
  <c r="J7" i="32"/>
  <c r="I7" i="32"/>
  <c r="H7" i="32"/>
  <c r="G7" i="32"/>
  <c r="F7" i="32"/>
  <c r="E7" i="32"/>
  <c r="D7" i="32"/>
  <c r="C7" i="32"/>
  <c r="AZ6" i="32"/>
  <c r="AY6" i="32"/>
  <c r="AX6" i="32"/>
  <c r="AW6" i="32"/>
  <c r="AV6" i="32"/>
  <c r="AU6" i="32"/>
  <c r="AT6" i="32"/>
  <c r="AS6" i="32"/>
  <c r="AR6" i="32"/>
  <c r="AQ6" i="32"/>
  <c r="AP6" i="32"/>
  <c r="AO6" i="32"/>
  <c r="AN6" i="32"/>
  <c r="AM6" i="32"/>
  <c r="AL6" i="32"/>
  <c r="AK6" i="32"/>
  <c r="AJ6" i="32"/>
  <c r="AI6" i="32"/>
  <c r="AH6" i="32"/>
  <c r="AG6" i="32"/>
  <c r="AF6" i="32"/>
  <c r="AE6" i="32"/>
  <c r="AD6" i="32"/>
  <c r="AC6" i="32"/>
  <c r="AB6" i="32"/>
  <c r="AA6" i="32"/>
  <c r="Z6" i="32"/>
  <c r="Y6" i="32"/>
  <c r="X6" i="32"/>
  <c r="W6" i="32"/>
  <c r="V6" i="32"/>
  <c r="U6" i="32"/>
  <c r="T6" i="32"/>
  <c r="S6" i="32"/>
  <c r="R6" i="32"/>
  <c r="Q6" i="32"/>
  <c r="P6" i="32"/>
  <c r="O6" i="32"/>
  <c r="N6" i="32"/>
  <c r="M6" i="32"/>
  <c r="L6" i="32"/>
  <c r="K6" i="32"/>
  <c r="J6" i="32"/>
  <c r="I6" i="32"/>
  <c r="H6" i="32"/>
  <c r="G6" i="32"/>
  <c r="F6" i="32"/>
  <c r="E6" i="32"/>
  <c r="D6" i="32"/>
  <c r="C6" i="32"/>
  <c r="AZ5" i="32"/>
  <c r="AY5" i="32"/>
  <c r="AX5" i="32"/>
  <c r="AW5" i="32"/>
  <c r="AV5" i="32"/>
  <c r="AU5" i="32"/>
  <c r="AT5" i="32"/>
  <c r="AS5" i="32"/>
  <c r="AR5" i="32"/>
  <c r="AQ5" i="32"/>
  <c r="AP5" i="32"/>
  <c r="AO5" i="32"/>
  <c r="AN5" i="32"/>
  <c r="AM5" i="32"/>
  <c r="AL5" i="32"/>
  <c r="AK5" i="32"/>
  <c r="AJ5" i="32"/>
  <c r="AI5" i="32"/>
  <c r="AH5" i="32"/>
  <c r="AG5" i="32"/>
  <c r="AF5" i="32"/>
  <c r="AE5" i="32"/>
  <c r="AD5" i="32"/>
  <c r="AC5" i="32"/>
  <c r="AB5" i="32"/>
  <c r="AA5" i="32"/>
  <c r="Z5" i="32"/>
  <c r="Y5" i="32"/>
  <c r="X5" i="32"/>
  <c r="W5" i="32"/>
  <c r="V5" i="32"/>
  <c r="U5" i="32"/>
  <c r="T5" i="32"/>
  <c r="S5" i="32"/>
  <c r="R5" i="32"/>
  <c r="Q5" i="32"/>
  <c r="P5" i="32"/>
  <c r="O5" i="32"/>
  <c r="N5" i="32"/>
  <c r="M5" i="32"/>
  <c r="L5" i="32"/>
  <c r="K5" i="32"/>
  <c r="J5" i="32"/>
  <c r="I5" i="32"/>
  <c r="H5" i="32"/>
  <c r="G5" i="32"/>
  <c r="F5" i="32"/>
  <c r="E5" i="32"/>
  <c r="D5" i="32"/>
  <c r="C5" i="32"/>
  <c r="AZ4" i="32"/>
  <c r="AY4" i="32"/>
  <c r="AX4" i="32"/>
  <c r="AW4" i="32"/>
  <c r="AV4" i="32"/>
  <c r="AU4" i="32"/>
  <c r="AT4" i="32"/>
  <c r="AS4" i="32"/>
  <c r="AR4" i="32"/>
  <c r="AQ4" i="32"/>
  <c r="AP4" i="32"/>
  <c r="AO4" i="32"/>
  <c r="AN4" i="32"/>
  <c r="AM4" i="32"/>
  <c r="AL4" i="32"/>
  <c r="AK4" i="32"/>
  <c r="AJ4" i="32"/>
  <c r="AI4" i="32"/>
  <c r="AH4" i="32"/>
  <c r="AG4" i="32"/>
  <c r="AF4" i="32"/>
  <c r="AE4" i="32"/>
  <c r="AD4" i="32"/>
  <c r="AC4" i="32"/>
  <c r="AB4" i="32"/>
  <c r="AA4" i="32"/>
  <c r="Z4" i="32"/>
  <c r="Y4" i="32"/>
  <c r="X4" i="32"/>
  <c r="W4" i="32"/>
  <c r="V4" i="32"/>
  <c r="U4" i="32"/>
  <c r="T4" i="32"/>
  <c r="S4" i="32"/>
  <c r="R4" i="32"/>
  <c r="Q4" i="32"/>
  <c r="P4" i="32"/>
  <c r="O4" i="32"/>
  <c r="N4" i="32"/>
  <c r="M4" i="32"/>
  <c r="L4" i="32"/>
  <c r="K4" i="32"/>
  <c r="J4" i="32"/>
  <c r="I4" i="32"/>
  <c r="H4" i="32"/>
  <c r="G4" i="32"/>
  <c r="F4" i="32"/>
  <c r="E4" i="32"/>
  <c r="D4" i="32"/>
  <c r="C4" i="32"/>
  <c r="AZ3" i="32"/>
  <c r="AY3" i="32"/>
  <c r="AX3" i="32"/>
  <c r="AW3" i="32"/>
  <c r="AV3" i="32"/>
  <c r="AU3" i="32"/>
  <c r="AT3" i="32"/>
  <c r="AS3" i="32"/>
  <c r="AR3" i="32"/>
  <c r="AQ3" i="32"/>
  <c r="AP3" i="32"/>
  <c r="AO3" i="32"/>
  <c r="AN3" i="32"/>
  <c r="AM3" i="32"/>
  <c r="AL3" i="32"/>
  <c r="AK3" i="32"/>
  <c r="AJ3" i="32"/>
  <c r="AI3" i="32"/>
  <c r="AH3" i="32"/>
  <c r="AG3" i="32"/>
  <c r="AF3" i="32"/>
  <c r="AE3" i="32"/>
  <c r="AD3" i="32"/>
  <c r="AC3" i="32"/>
  <c r="AB3" i="32"/>
  <c r="AA3" i="32"/>
  <c r="Z3" i="32"/>
  <c r="Y3" i="32"/>
  <c r="X3" i="32"/>
  <c r="W3" i="32"/>
  <c r="V3" i="32"/>
  <c r="U3" i="32"/>
  <c r="T3" i="32"/>
  <c r="S3" i="32"/>
  <c r="R3" i="32"/>
  <c r="Q3" i="32"/>
  <c r="P3" i="32"/>
  <c r="O3" i="32"/>
  <c r="N3" i="32"/>
  <c r="M3" i="32"/>
  <c r="L3" i="32"/>
  <c r="K3" i="32"/>
  <c r="J3" i="32"/>
  <c r="I3" i="32"/>
  <c r="H3" i="32"/>
  <c r="G3" i="32"/>
  <c r="F3" i="32"/>
  <c r="E3" i="32"/>
  <c r="D3" i="32"/>
  <c r="C3" i="32"/>
  <c r="AZ2" i="32"/>
  <c r="AY2" i="32"/>
  <c r="AX2" i="32"/>
  <c r="AW2" i="32"/>
  <c r="AV2" i="32"/>
  <c r="AU2" i="32"/>
  <c r="AT2" i="32"/>
  <c r="AS2" i="32"/>
  <c r="AR2" i="32"/>
  <c r="AQ2" i="32"/>
  <c r="AP2" i="32"/>
  <c r="AO2" i="32"/>
  <c r="AN2" i="32"/>
  <c r="AM2" i="32"/>
  <c r="AL2" i="32"/>
  <c r="AK2" i="32"/>
  <c r="AJ2" i="32"/>
  <c r="AI2" i="32"/>
  <c r="AH2" i="32"/>
  <c r="AG2" i="32"/>
  <c r="AF2" i="32"/>
  <c r="AE2" i="32"/>
  <c r="AD2" i="32"/>
  <c r="AC2" i="32"/>
  <c r="AB2" i="32"/>
  <c r="AA2" i="32"/>
  <c r="Z2" i="32"/>
  <c r="Y2" i="32"/>
  <c r="X2" i="32"/>
  <c r="W2" i="32"/>
  <c r="V2" i="32"/>
  <c r="U2" i="32"/>
  <c r="T2" i="32"/>
  <c r="S2" i="32"/>
  <c r="R2" i="32"/>
  <c r="Q2" i="32"/>
  <c r="P2" i="32"/>
  <c r="O2" i="32"/>
  <c r="N2" i="32"/>
  <c r="M2" i="32"/>
  <c r="L2" i="32"/>
  <c r="K2" i="32"/>
  <c r="J2" i="32"/>
  <c r="I2" i="32"/>
  <c r="H2" i="32"/>
  <c r="G2" i="32"/>
  <c r="F2" i="32"/>
  <c r="E2" i="32"/>
  <c r="D2" i="32"/>
  <c r="C2" i="32"/>
  <c r="B7" i="32"/>
  <c r="B6" i="32"/>
  <c r="B5" i="32"/>
  <c r="B4" i="32"/>
  <c r="B3" i="32"/>
  <c r="B2" i="32"/>
  <c r="AZ3" i="33"/>
  <c r="AY3" i="33"/>
  <c r="AX3" i="33"/>
  <c r="AW3" i="33"/>
  <c r="AV3" i="33"/>
  <c r="AU3" i="33"/>
  <c r="AT3" i="33"/>
  <c r="AS3" i="33"/>
  <c r="AR3" i="33"/>
  <c r="AQ3" i="33"/>
  <c r="AP3" i="33"/>
  <c r="AO3" i="33"/>
  <c r="AN3" i="33"/>
  <c r="AM3" i="33"/>
  <c r="AL3" i="33"/>
  <c r="AK3" i="33"/>
  <c r="AJ3" i="33"/>
  <c r="AI3" i="33"/>
  <c r="AH3" i="33"/>
  <c r="AG3" i="33"/>
  <c r="AF3" i="33"/>
  <c r="AE3" i="33"/>
  <c r="AD3" i="33"/>
  <c r="AC3" i="33"/>
  <c r="AB3" i="33"/>
  <c r="AA3" i="33"/>
  <c r="Z3" i="33"/>
  <c r="Y3" i="33"/>
  <c r="X3" i="33"/>
  <c r="W3" i="33"/>
  <c r="V3" i="33"/>
  <c r="U3" i="33"/>
  <c r="T3" i="33"/>
  <c r="S3" i="33"/>
  <c r="R3" i="33"/>
  <c r="Q3" i="33"/>
  <c r="P3" i="33"/>
  <c r="O3" i="33"/>
  <c r="N3" i="33"/>
  <c r="M3" i="33"/>
  <c r="L3" i="33"/>
  <c r="K3" i="33"/>
  <c r="J3" i="33"/>
  <c r="I3" i="33"/>
  <c r="H3" i="33"/>
  <c r="G3" i="33"/>
  <c r="F3" i="33"/>
  <c r="E3" i="33"/>
  <c r="D3" i="33"/>
  <c r="C3" i="33"/>
  <c r="AZ2" i="33"/>
  <c r="AY2" i="33"/>
  <c r="AX2" i="33"/>
  <c r="AW2" i="33"/>
  <c r="AV2" i="33"/>
  <c r="AU2" i="33"/>
  <c r="AT2" i="33"/>
  <c r="AS2" i="33"/>
  <c r="AR2" i="33"/>
  <c r="AQ2" i="33"/>
  <c r="AP2" i="33"/>
  <c r="AO2" i="33"/>
  <c r="AN2" i="33"/>
  <c r="AM2" i="33"/>
  <c r="AL2" i="33"/>
  <c r="AK2" i="33"/>
  <c r="AJ2" i="33"/>
  <c r="AI2" i="33"/>
  <c r="AH2" i="33"/>
  <c r="AG2" i="33"/>
  <c r="AF2" i="33"/>
  <c r="AE2" i="33"/>
  <c r="AD2" i="33"/>
  <c r="AC2" i="33"/>
  <c r="AB2" i="33"/>
  <c r="AA2" i="33"/>
  <c r="Z2" i="33"/>
  <c r="Y2" i="33"/>
  <c r="X2" i="33"/>
  <c r="W2" i="33"/>
  <c r="V2" i="33"/>
  <c r="U2" i="33"/>
  <c r="T2" i="33"/>
  <c r="S2" i="33"/>
  <c r="R2" i="33"/>
  <c r="Q2" i="33"/>
  <c r="P2" i="33"/>
  <c r="O2" i="33"/>
  <c r="N2" i="33"/>
  <c r="M2" i="33"/>
  <c r="L2" i="33"/>
  <c r="K2" i="33"/>
  <c r="J2" i="33"/>
  <c r="I2" i="33"/>
  <c r="H2" i="33"/>
  <c r="G2" i="33"/>
  <c r="F2" i="33"/>
  <c r="E2" i="33"/>
  <c r="D2" i="33"/>
  <c r="C2" i="33"/>
  <c r="B3" i="33"/>
  <c r="B2" i="33"/>
  <c r="C3" i="2"/>
  <c r="D3" i="2"/>
  <c r="E3" i="2"/>
  <c r="F3" i="2"/>
  <c r="O3" i="2"/>
  <c r="P3" i="2"/>
  <c r="C2" i="30" a="1"/>
  <c r="C2" i="30" s="1"/>
  <c r="C3" i="30" a="1"/>
  <c r="C3" i="30" s="1"/>
  <c r="B1" i="25" a="1"/>
  <c r="B1" i="25" s="1"/>
  <c r="J54" i="18"/>
  <c r="K54" i="18"/>
  <c r="L54" i="18"/>
  <c r="M54" i="18"/>
  <c r="N54" i="18"/>
  <c r="O54" i="18"/>
  <c r="P54" i="18"/>
  <c r="Q54" i="18"/>
  <c r="R54" i="18"/>
  <c r="S54" i="18"/>
  <c r="I46" i="18"/>
  <c r="H46" i="18"/>
  <c r="E3" i="8"/>
  <c r="I4" i="2"/>
  <c r="G78" i="8"/>
  <c r="G77" i="8"/>
  <c r="G76" i="8"/>
  <c r="G75" i="8"/>
  <c r="G74" i="8"/>
  <c r="G73" i="8"/>
  <c r="G72" i="8"/>
  <c r="G71" i="8"/>
  <c r="G70" i="8"/>
  <c r="G69" i="8"/>
  <c r="G68" i="8"/>
  <c r="G67" i="8"/>
  <c r="G66" i="8"/>
  <c r="G65" i="8"/>
  <c r="G64" i="8"/>
  <c r="G63" i="8"/>
  <c r="G62" i="8"/>
  <c r="G61" i="8"/>
  <c r="G60" i="8"/>
  <c r="G59" i="8"/>
  <c r="G58" i="8"/>
  <c r="G57" i="8"/>
  <c r="G56" i="8"/>
  <c r="G55" i="8"/>
  <c r="G54" i="8"/>
  <c r="G53" i="8"/>
  <c r="G52" i="8"/>
  <c r="G51" i="8"/>
  <c r="G50" i="8"/>
  <c r="G49" i="8"/>
  <c r="G48" i="8"/>
  <c r="G47" i="8"/>
  <c r="G46" i="8"/>
  <c r="G45" i="8"/>
  <c r="G44" i="8"/>
  <c r="G43" i="8"/>
  <c r="G42" i="8"/>
  <c r="G41" i="8"/>
  <c r="G40" i="8"/>
  <c r="G39" i="8"/>
  <c r="G38" i="8"/>
  <c r="G37" i="8"/>
  <c r="G36" i="8"/>
  <c r="G35" i="8"/>
  <c r="G34" i="8"/>
  <c r="G33" i="8"/>
  <c r="G32" i="8"/>
  <c r="G31" i="8"/>
  <c r="G30" i="8"/>
  <c r="G29" i="8"/>
  <c r="G28" i="8"/>
  <c r="G27" i="8"/>
  <c r="G26" i="8"/>
  <c r="G25" i="8"/>
  <c r="G24" i="8"/>
  <c r="G23" i="8"/>
  <c r="G22" i="8"/>
  <c r="G21" i="8"/>
  <c r="G20" i="8"/>
  <c r="G19" i="8"/>
  <c r="G18" i="8"/>
  <c r="G17" i="8"/>
  <c r="G16" i="8"/>
  <c r="G15" i="8"/>
  <c r="G14" i="8"/>
  <c r="G13" i="8"/>
  <c r="G12" i="8"/>
  <c r="G11" i="8"/>
  <c r="G10" i="8"/>
  <c r="G9" i="8"/>
  <c r="G8" i="8"/>
  <c r="G7" i="8"/>
  <c r="G6" i="8"/>
  <c r="G5" i="8"/>
  <c r="G4" i="8"/>
  <c r="G3" i="8"/>
  <c r="E78" i="8"/>
  <c r="E77" i="8"/>
  <c r="E76" i="8"/>
  <c r="E75" i="8"/>
  <c r="E74" i="8"/>
  <c r="E73" i="8"/>
  <c r="E72" i="8"/>
  <c r="E71" i="8"/>
  <c r="E70" i="8"/>
  <c r="E69" i="8"/>
  <c r="E68" i="8"/>
  <c r="E67" i="8"/>
  <c r="E66" i="8"/>
  <c r="E65" i="8"/>
  <c r="E64" i="8"/>
  <c r="E63" i="8"/>
  <c r="E62" i="8"/>
  <c r="E61" i="8"/>
  <c r="E60" i="8"/>
  <c r="E59" i="8"/>
  <c r="E58" i="8"/>
  <c r="E57" i="8"/>
  <c r="E56" i="8"/>
  <c r="E55" i="8"/>
  <c r="E54" i="8"/>
  <c r="E53" i="8"/>
  <c r="E52" i="8"/>
  <c r="E51" i="8"/>
  <c r="E50" i="8"/>
  <c r="E49" i="8"/>
  <c r="E48" i="8"/>
  <c r="C69" i="8"/>
  <c r="C70" i="8"/>
  <c r="C71" i="8"/>
  <c r="C72" i="8"/>
  <c r="C73" i="8"/>
  <c r="C74" i="8"/>
  <c r="C75" i="8"/>
  <c r="C76" i="8"/>
  <c r="C77" i="8"/>
  <c r="C78" i="8"/>
  <c r="C55" i="8"/>
  <c r="C56" i="8"/>
  <c r="C57" i="8"/>
  <c r="C58" i="8"/>
  <c r="C59" i="8"/>
  <c r="C60" i="8"/>
  <c r="C61" i="8"/>
  <c r="C62" i="8"/>
  <c r="C63" i="8"/>
  <c r="C64" i="8"/>
  <c r="C65" i="8"/>
  <c r="C66" i="8"/>
  <c r="C67" i="8"/>
  <c r="C68" i="8"/>
  <c r="C49" i="8"/>
  <c r="C50" i="8"/>
  <c r="C51" i="8"/>
  <c r="C52" i="8"/>
  <c r="C53" i="8"/>
  <c r="C54" i="8"/>
  <c r="D141" i="6"/>
  <c r="D140" i="6"/>
  <c r="D139" i="6"/>
  <c r="D138" i="6"/>
  <c r="D137" i="6"/>
  <c r="D136" i="6"/>
  <c r="D135" i="6"/>
  <c r="D134" i="6"/>
  <c r="D133" i="6"/>
  <c r="D132" i="6"/>
  <c r="D131" i="6"/>
  <c r="D130" i="6"/>
  <c r="D129" i="6"/>
  <c r="D128" i="6"/>
  <c r="D127" i="6"/>
  <c r="D126" i="6"/>
  <c r="D125" i="6"/>
  <c r="D124" i="6"/>
  <c r="D123" i="6"/>
  <c r="D122" i="6"/>
  <c r="D121" i="6"/>
  <c r="D120" i="6"/>
  <c r="D119" i="6"/>
  <c r="D118" i="6"/>
  <c r="D117" i="6"/>
  <c r="D116" i="6"/>
  <c r="D115" i="6"/>
  <c r="D114" i="6"/>
  <c r="D113" i="6"/>
  <c r="D112" i="6"/>
  <c r="D111" i="6"/>
  <c r="D110" i="6"/>
  <c r="D109" i="6"/>
  <c r="D108" i="6"/>
  <c r="D107" i="6"/>
  <c r="D106" i="6"/>
  <c r="D105" i="6"/>
  <c r="D104" i="6"/>
  <c r="D103" i="6"/>
  <c r="D102" i="6"/>
  <c r="D101" i="6"/>
  <c r="D100" i="6"/>
  <c r="D99" i="6"/>
  <c r="D98" i="6"/>
  <c r="D97" i="6"/>
  <c r="D96" i="6"/>
  <c r="D95" i="6"/>
  <c r="D94" i="6"/>
  <c r="D93" i="6"/>
  <c r="D92" i="6"/>
  <c r="D91" i="6"/>
  <c r="D90" i="6"/>
  <c r="D89" i="6"/>
  <c r="D88" i="6"/>
  <c r="D87" i="6"/>
  <c r="D86" i="6"/>
  <c r="D85" i="6"/>
  <c r="D84" i="6"/>
  <c r="D83" i="6"/>
  <c r="D82" i="6"/>
  <c r="D81" i="6"/>
  <c r="D80" i="6"/>
  <c r="D79" i="6"/>
  <c r="D78" i="6"/>
  <c r="D77" i="6"/>
  <c r="D76" i="6"/>
  <c r="D75" i="6"/>
  <c r="D74" i="6"/>
  <c r="D73" i="6"/>
  <c r="D72" i="6"/>
  <c r="D71" i="6"/>
  <c r="D70" i="6"/>
  <c r="D69" i="6"/>
  <c r="D68" i="6"/>
  <c r="D67" i="6"/>
  <c r="D66" i="6"/>
  <c r="D65" i="6"/>
  <c r="D64" i="6"/>
  <c r="D63" i="6"/>
  <c r="D62" i="6"/>
  <c r="D61" i="6"/>
  <c r="D60" i="6"/>
  <c r="D59" i="6"/>
  <c r="D58" i="6"/>
  <c r="D57" i="6"/>
  <c r="D56" i="6"/>
  <c r="D55" i="6"/>
  <c r="D54" i="6"/>
  <c r="D53" i="6"/>
  <c r="D52" i="6"/>
  <c r="D51" i="6"/>
  <c r="D50" i="6"/>
  <c r="D49" i="6"/>
  <c r="D48" i="6"/>
  <c r="D47" i="6"/>
  <c r="D46" i="6"/>
  <c r="D45" i="6"/>
  <c r="D44" i="6"/>
  <c r="D43" i="6"/>
  <c r="D42" i="6"/>
  <c r="D41" i="6"/>
  <c r="D40" i="6"/>
  <c r="D39" i="6"/>
  <c r="D38" i="6"/>
  <c r="D37" i="6"/>
  <c r="D36" i="6"/>
  <c r="D35" i="6"/>
  <c r="D34" i="6"/>
  <c r="D33" i="6"/>
  <c r="D32" i="6"/>
  <c r="D31" i="6"/>
  <c r="D30" i="6"/>
  <c r="D29" i="6"/>
  <c r="D28" i="6"/>
  <c r="D27" i="6"/>
  <c r="D26" i="6"/>
  <c r="D25" i="6"/>
  <c r="D24" i="6"/>
  <c r="D23" i="6"/>
  <c r="D22" i="6"/>
  <c r="D21" i="6"/>
  <c r="D20" i="6"/>
  <c r="D19" i="6"/>
  <c r="D18" i="6"/>
  <c r="D17" i="6"/>
  <c r="D16" i="6"/>
  <c r="D15" i="6"/>
  <c r="D14" i="6"/>
  <c r="D13" i="6"/>
  <c r="D12" i="6"/>
  <c r="D11" i="6"/>
  <c r="D10" i="6"/>
  <c r="D9" i="6"/>
  <c r="D142" i="6"/>
  <c r="D8" i="6"/>
  <c r="D158" i="5"/>
  <c r="D157" i="5"/>
  <c r="D156" i="5"/>
  <c r="D155" i="5"/>
  <c r="D154" i="5"/>
  <c r="D153" i="5"/>
  <c r="D152" i="5"/>
  <c r="D151" i="5"/>
  <c r="D150" i="5"/>
  <c r="D149" i="5"/>
  <c r="D148" i="5"/>
  <c r="D147" i="5"/>
  <c r="D146" i="5"/>
  <c r="D145" i="5"/>
  <c r="D144" i="5"/>
  <c r="D143" i="5"/>
  <c r="D142" i="5"/>
  <c r="D141" i="5"/>
  <c r="D140" i="5"/>
  <c r="D139" i="5"/>
  <c r="D138" i="5"/>
  <c r="D137" i="5"/>
  <c r="D136" i="5"/>
  <c r="D135" i="5"/>
  <c r="D134" i="5"/>
  <c r="D133" i="5"/>
  <c r="D132" i="5"/>
  <c r="D131" i="5"/>
  <c r="D130" i="5"/>
  <c r="D129" i="5"/>
  <c r="D128" i="5"/>
  <c r="D127" i="5"/>
  <c r="D126" i="5"/>
  <c r="D125" i="5"/>
  <c r="D124" i="5"/>
  <c r="D123" i="5"/>
  <c r="D122" i="5"/>
  <c r="D121" i="5"/>
  <c r="D120" i="5"/>
  <c r="D119" i="5"/>
  <c r="D118" i="5"/>
  <c r="D117" i="5"/>
  <c r="D116" i="5"/>
  <c r="D115" i="5"/>
  <c r="D114" i="5"/>
  <c r="D113" i="5"/>
  <c r="D112" i="5"/>
  <c r="D111" i="5"/>
  <c r="D110" i="5"/>
  <c r="D109" i="5"/>
  <c r="D108" i="5"/>
  <c r="D107" i="5"/>
  <c r="D106" i="5"/>
  <c r="D105" i="5"/>
  <c r="D104" i="5"/>
  <c r="D103" i="5"/>
  <c r="D102" i="5"/>
  <c r="D101" i="5"/>
  <c r="D100" i="5"/>
  <c r="D99" i="5"/>
  <c r="D98" i="5"/>
  <c r="D97" i="5"/>
  <c r="D96" i="5"/>
  <c r="D95" i="5"/>
  <c r="D94" i="5"/>
  <c r="D93" i="5"/>
  <c r="D92" i="5"/>
  <c r="D91" i="5"/>
  <c r="D90" i="5"/>
  <c r="D89" i="5"/>
  <c r="D88" i="5"/>
  <c r="D87" i="5"/>
  <c r="D86" i="5"/>
  <c r="D85" i="5"/>
  <c r="D84" i="5"/>
  <c r="D83" i="5"/>
  <c r="D82" i="5"/>
  <c r="D81" i="5"/>
  <c r="D80" i="5"/>
  <c r="D79" i="5"/>
  <c r="D78" i="5"/>
  <c r="D77" i="5"/>
  <c r="D76" i="5"/>
  <c r="D75" i="5"/>
  <c r="D74" i="5"/>
  <c r="D73" i="5"/>
  <c r="D72" i="5"/>
  <c r="D71" i="5"/>
  <c r="D70" i="5"/>
  <c r="D69" i="5"/>
  <c r="D68" i="5"/>
  <c r="D67" i="5"/>
  <c r="D66" i="5"/>
  <c r="D65" i="5"/>
  <c r="D64" i="5"/>
  <c r="D63" i="5"/>
  <c r="D62" i="5"/>
  <c r="D61" i="5"/>
  <c r="D60" i="5"/>
  <c r="D59" i="5"/>
  <c r="D58" i="5"/>
  <c r="D57" i="5"/>
  <c r="D56" i="5"/>
  <c r="D55" i="5"/>
  <c r="D54" i="5"/>
  <c r="D53" i="5"/>
  <c r="D52" i="5"/>
  <c r="D51" i="5"/>
  <c r="D50" i="5"/>
  <c r="D49" i="5"/>
  <c r="D48" i="5"/>
  <c r="D47" i="5"/>
  <c r="D46" i="5"/>
  <c r="D45" i="5"/>
  <c r="D44" i="5"/>
  <c r="D43" i="5"/>
  <c r="D42" i="5"/>
  <c r="D41" i="5"/>
  <c r="D40" i="5"/>
  <c r="D39" i="5"/>
  <c r="D38" i="5"/>
  <c r="D37" i="5"/>
  <c r="D36" i="5"/>
  <c r="D35" i="5"/>
  <c r="D34" i="5"/>
  <c r="D33" i="5"/>
  <c r="D32" i="5"/>
  <c r="D31" i="5"/>
  <c r="D30" i="5"/>
  <c r="D29" i="5"/>
  <c r="D28" i="5"/>
  <c r="D27" i="5"/>
  <c r="D26" i="5"/>
  <c r="D25" i="5"/>
  <c r="D24" i="5"/>
  <c r="D23" i="5"/>
  <c r="D22" i="5"/>
  <c r="D21" i="5"/>
  <c r="D20" i="5"/>
  <c r="D19" i="5"/>
  <c r="D18" i="5"/>
  <c r="D17" i="5"/>
  <c r="D16" i="5"/>
  <c r="D15" i="5"/>
  <c r="D14" i="5"/>
  <c r="D13" i="5"/>
  <c r="D12" i="5"/>
  <c r="D11" i="5"/>
  <c r="D10" i="5"/>
  <c r="D9" i="5"/>
  <c r="D8" i="5"/>
  <c r="D7" i="5"/>
  <c r="D159" i="5"/>
  <c r="C44" i="8"/>
  <c r="C45" i="8"/>
  <c r="C46" i="8"/>
  <c r="C47" i="8"/>
  <c r="C48" i="8"/>
  <c r="C37" i="8"/>
  <c r="C38" i="8"/>
  <c r="C39" i="8"/>
  <c r="C40" i="8"/>
  <c r="C41" i="8"/>
  <c r="C42" i="8"/>
  <c r="C43" i="8"/>
  <c r="C31" i="8"/>
  <c r="C32" i="8"/>
  <c r="C33" i="8"/>
  <c r="C34" i="8"/>
  <c r="C35" i="8"/>
  <c r="C36" i="8"/>
  <c r="C20" i="8"/>
  <c r="C21" i="8"/>
  <c r="C22" i="8"/>
  <c r="C23" i="8"/>
  <c r="C24" i="8"/>
  <c r="C25" i="8"/>
  <c r="C26" i="8"/>
  <c r="C27" i="8"/>
  <c r="C28" i="8"/>
  <c r="C29" i="8"/>
  <c r="C30" i="8"/>
  <c r="C6" i="8"/>
  <c r="C7" i="8"/>
  <c r="C8" i="8"/>
  <c r="C9" i="8"/>
  <c r="C10" i="8"/>
  <c r="C11" i="8"/>
  <c r="C12" i="8"/>
  <c r="C13" i="8"/>
  <c r="C14" i="8"/>
  <c r="C15" i="8"/>
  <c r="C16" i="8"/>
  <c r="C17" i="8"/>
  <c r="C18" i="8"/>
  <c r="C19" i="8"/>
  <c r="C5" i="8"/>
  <c r="C4" i="8"/>
  <c r="C3" i="8"/>
  <c r="E4" i="1"/>
  <c r="E5" i="1" s="1"/>
  <c r="E6" i="1" s="1"/>
  <c r="E7" i="1" s="1"/>
  <c r="E8" i="1" s="1"/>
  <c r="E9" i="1" s="1"/>
  <c r="E10" i="1" s="1"/>
  <c r="E11" i="1" s="1"/>
  <c r="E12" i="1" s="1"/>
  <c r="E13" i="1" s="1"/>
  <c r="E14" i="1" s="1"/>
  <c r="E15" i="1" s="1"/>
  <c r="E16" i="1" s="1"/>
  <c r="E17" i="1" s="1"/>
  <c r="E18" i="1" s="1"/>
  <c r="E19" i="1" s="1"/>
  <c r="E20" i="1" s="1"/>
  <c r="E21" i="1" s="1"/>
  <c r="E22" i="1" s="1"/>
  <c r="E23" i="1" s="1"/>
  <c r="E24" i="1" s="1"/>
  <c r="E25" i="1" s="1"/>
  <c r="E26" i="1" s="1"/>
  <c r="E27" i="1" s="1"/>
  <c r="E28" i="1" s="1"/>
  <c r="E29" i="1" s="1"/>
  <c r="E30" i="1" s="1"/>
  <c r="E31" i="1" s="1"/>
  <c r="E32" i="1" s="1"/>
  <c r="E33" i="1" s="1"/>
  <c r="E34" i="1" s="1"/>
  <c r="E35" i="1" s="1"/>
  <c r="E36" i="1" s="1"/>
  <c r="E37" i="1" s="1"/>
  <c r="E38" i="1" s="1"/>
  <c r="E39" i="1" s="1"/>
  <c r="E40" i="1" s="1"/>
  <c r="E41" i="1" s="1"/>
  <c r="E42" i="1" s="1"/>
  <c r="E43" i="1" s="1"/>
  <c r="E44" i="1" s="1"/>
  <c r="E45" i="1" s="1"/>
  <c r="E46" i="1" s="1"/>
  <c r="E47" i="1" s="1"/>
  <c r="E48" i="1" s="1"/>
  <c r="E49" i="1" s="1"/>
  <c r="E50" i="1" s="1"/>
  <c r="E51" i="1" s="1"/>
  <c r="E52" i="1" s="1"/>
  <c r="E53" i="1" s="1"/>
  <c r="D4" i="1"/>
  <c r="D5" i="1" s="1"/>
  <c r="D6" i="1" s="1"/>
  <c r="D7" i="1" s="1"/>
  <c r="D8" i="1" s="1"/>
  <c r="D9" i="1" s="1"/>
  <c r="D10" i="1" s="1"/>
  <c r="D11" i="1" s="1"/>
  <c r="D12" i="1" s="1"/>
  <c r="D13" i="1" s="1"/>
  <c r="D14" i="1" s="1"/>
  <c r="D15" i="1" s="1"/>
  <c r="D16" i="1" s="1"/>
  <c r="D17" i="1" s="1"/>
  <c r="D18" i="1" s="1"/>
  <c r="D19" i="1" s="1"/>
  <c r="D20" i="1" s="1"/>
  <c r="D21" i="1" s="1"/>
  <c r="D22" i="1" s="1"/>
  <c r="D23" i="1" s="1"/>
  <c r="D24" i="1" s="1"/>
  <c r="D25" i="1" s="1"/>
  <c r="D26" i="1" s="1"/>
  <c r="D27" i="1" s="1"/>
  <c r="D28" i="1" s="1"/>
  <c r="D29" i="1" s="1"/>
  <c r="D30" i="1" s="1"/>
  <c r="D31" i="1" s="1"/>
  <c r="D32" i="1" s="1"/>
  <c r="D33" i="1" s="1"/>
  <c r="D34" i="1" s="1"/>
  <c r="D35" i="1" s="1"/>
  <c r="D36" i="1" s="1"/>
  <c r="D37" i="1" s="1"/>
  <c r="D38" i="1" s="1"/>
  <c r="D39" i="1" s="1"/>
  <c r="D40" i="1" s="1"/>
  <c r="D41" i="1" s="1"/>
  <c r="D42" i="1" s="1"/>
  <c r="D43" i="1" s="1"/>
  <c r="D44" i="1" s="1"/>
  <c r="D45" i="1" s="1"/>
  <c r="D46" i="1" s="1"/>
  <c r="D47" i="1" s="1"/>
  <c r="D48" i="1" s="1"/>
  <c r="D49" i="1" s="1"/>
  <c r="D50" i="1" s="1"/>
  <c r="D51" i="1" s="1"/>
  <c r="D52" i="1" s="1"/>
  <c r="D53" i="1" s="1"/>
  <c r="O96" i="8" l="1"/>
  <c r="P60" i="8"/>
  <c r="P100" i="8"/>
  <c r="O85" i="8"/>
  <c r="P101" i="8"/>
  <c r="P18" i="8"/>
  <c r="P84" i="8"/>
  <c r="O19" i="8"/>
  <c r="O37" i="8"/>
  <c r="O55" i="8"/>
  <c r="O73" i="8"/>
  <c r="O91" i="8"/>
  <c r="P48" i="2"/>
  <c r="P7" i="8"/>
  <c r="P13" i="8"/>
  <c r="P19" i="8"/>
  <c r="Q19" i="8" s="1"/>
  <c r="P25" i="8"/>
  <c r="P31" i="8"/>
  <c r="P37" i="8"/>
  <c r="P43" i="8"/>
  <c r="P49" i="8"/>
  <c r="P55" i="8"/>
  <c r="P61" i="8"/>
  <c r="P67" i="8"/>
  <c r="Q67" i="8" s="1"/>
  <c r="P73" i="8"/>
  <c r="P79" i="8"/>
  <c r="P85" i="8"/>
  <c r="P91" i="8"/>
  <c r="P97" i="8"/>
  <c r="P42" i="8"/>
  <c r="O13" i="8"/>
  <c r="Q13" i="8" s="1"/>
  <c r="O31" i="8"/>
  <c r="O49" i="8"/>
  <c r="O67" i="8"/>
  <c r="O79" i="8"/>
  <c r="Q79" i="8" s="1"/>
  <c r="O97" i="8"/>
  <c r="O8" i="8"/>
  <c r="O14" i="8"/>
  <c r="O20" i="8"/>
  <c r="O26" i="8"/>
  <c r="O32" i="8"/>
  <c r="Q32" i="8" s="1"/>
  <c r="O38" i="8"/>
  <c r="O44" i="8"/>
  <c r="O50" i="8"/>
  <c r="O56" i="8"/>
  <c r="O62" i="8"/>
  <c r="O68" i="8"/>
  <c r="O74" i="8"/>
  <c r="O80" i="8"/>
  <c r="O86" i="8"/>
  <c r="O92" i="8"/>
  <c r="O98" i="8"/>
  <c r="P6" i="8"/>
  <c r="P72" i="8"/>
  <c r="P14" i="8"/>
  <c r="P32" i="8"/>
  <c r="P56" i="8"/>
  <c r="Q56" i="8" s="1"/>
  <c r="P80" i="8"/>
  <c r="P12" i="8"/>
  <c r="P78" i="8"/>
  <c r="P8" i="8"/>
  <c r="P38" i="8"/>
  <c r="Q38" i="8" s="1"/>
  <c r="P50" i="8"/>
  <c r="P68" i="8"/>
  <c r="P92" i="8"/>
  <c r="Q92" i="8" s="1"/>
  <c r="O3" i="8"/>
  <c r="O9" i="8"/>
  <c r="O15" i="8"/>
  <c r="O21" i="8"/>
  <c r="O27" i="8"/>
  <c r="O33" i="8"/>
  <c r="O39" i="8"/>
  <c r="Q39" i="8" s="1"/>
  <c r="O45" i="8"/>
  <c r="O51" i="8"/>
  <c r="O57" i="8"/>
  <c r="O63" i="8"/>
  <c r="O69" i="8"/>
  <c r="Q69" i="8" s="1"/>
  <c r="O75" i="8"/>
  <c r="O81" i="8"/>
  <c r="O87" i="8"/>
  <c r="O93" i="8"/>
  <c r="O99" i="8"/>
  <c r="P16" i="2"/>
  <c r="P40" i="2"/>
  <c r="N40" i="2"/>
  <c r="D40" i="2" s="1"/>
  <c r="F40" i="2" s="1"/>
  <c r="P48" i="8"/>
  <c r="P26" i="8"/>
  <c r="P44" i="8"/>
  <c r="P62" i="8"/>
  <c r="Q62" i="8" s="1"/>
  <c r="P74" i="8"/>
  <c r="Q74" i="8" s="1"/>
  <c r="P86" i="8"/>
  <c r="Q86" i="8" s="1"/>
  <c r="P98" i="8"/>
  <c r="P3" i="8"/>
  <c r="Q3" i="8" s="1"/>
  <c r="P9" i="8"/>
  <c r="P15" i="8"/>
  <c r="P21" i="8"/>
  <c r="P27" i="8"/>
  <c r="P33" i="8"/>
  <c r="Q33" i="8" s="1"/>
  <c r="P39" i="8"/>
  <c r="P45" i="8"/>
  <c r="P51" i="8"/>
  <c r="P57" i="8"/>
  <c r="Q57" i="8" s="1"/>
  <c r="P63" i="8"/>
  <c r="Q63" i="8" s="1"/>
  <c r="P69" i="8"/>
  <c r="P75" i="8"/>
  <c r="P81" i="8"/>
  <c r="P87" i="8"/>
  <c r="Q87" i="8" s="1"/>
  <c r="P93" i="8"/>
  <c r="P99" i="8"/>
  <c r="P54" i="8"/>
  <c r="O10" i="8"/>
  <c r="O34" i="8"/>
  <c r="O52" i="8"/>
  <c r="Q52" i="8" s="1"/>
  <c r="O70" i="8"/>
  <c r="Q70" i="8" s="1"/>
  <c r="O94" i="8"/>
  <c r="P36" i="8"/>
  <c r="O4" i="8"/>
  <c r="O22" i="8"/>
  <c r="O40" i="8"/>
  <c r="O46" i="8"/>
  <c r="Q46" i="8" s="1"/>
  <c r="O64" i="8"/>
  <c r="O76" i="8"/>
  <c r="O82" i="8"/>
  <c r="O88" i="8"/>
  <c r="O100" i="8"/>
  <c r="Q100" i="8" s="1"/>
  <c r="P4" i="8"/>
  <c r="Q4" i="8" s="1"/>
  <c r="P10" i="8"/>
  <c r="Q10" i="8" s="1"/>
  <c r="P16" i="8"/>
  <c r="P22" i="8"/>
  <c r="P28" i="8"/>
  <c r="P34" i="8"/>
  <c r="Q34" i="8" s="1"/>
  <c r="P40" i="8"/>
  <c r="P46" i="8"/>
  <c r="P52" i="8"/>
  <c r="P58" i="8"/>
  <c r="P64" i="8"/>
  <c r="P70" i="8"/>
  <c r="P76" i="8"/>
  <c r="P82" i="8"/>
  <c r="Q82" i="8" s="1"/>
  <c r="P88" i="8"/>
  <c r="P94" i="8"/>
  <c r="P30" i="8"/>
  <c r="P90" i="8"/>
  <c r="O16" i="8"/>
  <c r="Q16" i="8" s="1"/>
  <c r="O28" i="8"/>
  <c r="O58" i="8"/>
  <c r="Q58" i="8" s="1"/>
  <c r="O5" i="8"/>
  <c r="O11" i="8"/>
  <c r="O17" i="8"/>
  <c r="O23" i="8"/>
  <c r="Q23" i="8" s="1"/>
  <c r="O29" i="8"/>
  <c r="O35" i="8"/>
  <c r="O41" i="8"/>
  <c r="O47" i="8"/>
  <c r="O53" i="8"/>
  <c r="O59" i="8"/>
  <c r="O65" i="8"/>
  <c r="O71" i="8"/>
  <c r="Q71" i="8" s="1"/>
  <c r="O77" i="8"/>
  <c r="O83" i="8"/>
  <c r="O89" i="8"/>
  <c r="Q89" i="8" s="1"/>
  <c r="O95" i="8"/>
  <c r="Q95" i="8" s="1"/>
  <c r="O101" i="8"/>
  <c r="P8" i="2"/>
  <c r="P32" i="2"/>
  <c r="P66" i="8"/>
  <c r="P20" i="8"/>
  <c r="Q20" i="8" s="1"/>
  <c r="P5" i="8"/>
  <c r="Q5" i="8" s="1"/>
  <c r="P11" i="8"/>
  <c r="Q11" i="8" s="1"/>
  <c r="P17" i="8"/>
  <c r="P23" i="8"/>
  <c r="P29" i="8"/>
  <c r="Q29" i="8" s="1"/>
  <c r="P35" i="8"/>
  <c r="Q35" i="8" s="1"/>
  <c r="P41" i="8"/>
  <c r="Q41" i="8" s="1"/>
  <c r="P47" i="8"/>
  <c r="Q47" i="8" s="1"/>
  <c r="P53" i="8"/>
  <c r="P59" i="8"/>
  <c r="P65" i="8"/>
  <c r="Q65" i="8" s="1"/>
  <c r="P71" i="8"/>
  <c r="P77" i="8"/>
  <c r="Q77" i="8" s="1"/>
  <c r="P83" i="8"/>
  <c r="Q83" i="8" s="1"/>
  <c r="P89" i="8"/>
  <c r="P95" i="8"/>
  <c r="P24" i="8"/>
  <c r="P96" i="8"/>
  <c r="Q96" i="8" s="1"/>
  <c r="O6" i="8"/>
  <c r="Q6" i="8" s="1"/>
  <c r="O12" i="8"/>
  <c r="Q12" i="8" s="1"/>
  <c r="O18" i="8"/>
  <c r="O24" i="8"/>
  <c r="O30" i="8"/>
  <c r="Q30" i="8" s="1"/>
  <c r="O36" i="8"/>
  <c r="Q36" i="8" s="1"/>
  <c r="O42" i="8"/>
  <c r="Q42" i="8" s="1"/>
  <c r="O48" i="8"/>
  <c r="O54" i="8"/>
  <c r="Q54" i="8" s="1"/>
  <c r="O60" i="8"/>
  <c r="O66" i="8"/>
  <c r="Q66" i="8" s="1"/>
  <c r="O72" i="8"/>
  <c r="Q72" i="8" s="1"/>
  <c r="O78" i="8"/>
  <c r="Q78" i="8" s="1"/>
  <c r="O84" i="8"/>
  <c r="Q84" i="8" s="1"/>
  <c r="O90" i="8"/>
  <c r="O7" i="8"/>
  <c r="O25" i="8"/>
  <c r="O43" i="8"/>
  <c r="Q43" i="8" s="1"/>
  <c r="O61" i="8"/>
  <c r="P24" i="2"/>
  <c r="N48" i="2"/>
  <c r="D48" i="2" s="1"/>
  <c r="F48" i="2" s="1"/>
  <c r="O19" i="2"/>
  <c r="N41" i="2"/>
  <c r="D41" i="2" s="1"/>
  <c r="F41" i="2" s="1"/>
  <c r="O11" i="2"/>
  <c r="O4" i="2"/>
  <c r="M4" i="2" s="1"/>
  <c r="C4" i="2" s="1"/>
  <c r="E4" i="2" s="1"/>
  <c r="O20" i="2"/>
  <c r="O28" i="2"/>
  <c r="P25" i="2"/>
  <c r="O12" i="2"/>
  <c r="O27" i="2"/>
  <c r="O47" i="2"/>
  <c r="O39" i="2"/>
  <c r="O31" i="2"/>
  <c r="O23" i="2"/>
  <c r="O15" i="2"/>
  <c r="O7" i="2"/>
  <c r="P36" i="2"/>
  <c r="P7" i="2"/>
  <c r="P13" i="2"/>
  <c r="P21" i="2"/>
  <c r="P29" i="2"/>
  <c r="P37" i="2"/>
  <c r="P45" i="2"/>
  <c r="N37" i="2"/>
  <c r="D37" i="2" s="1"/>
  <c r="F37" i="2" s="1"/>
  <c r="N45" i="2"/>
  <c r="D45" i="2" s="1"/>
  <c r="F45" i="2" s="1"/>
  <c r="O46" i="2"/>
  <c r="O38" i="2"/>
  <c r="O30" i="2"/>
  <c r="O22" i="2"/>
  <c r="O14" i="2"/>
  <c r="O6" i="2"/>
  <c r="P33" i="2"/>
  <c r="P5" i="2"/>
  <c r="P6" i="2"/>
  <c r="P14" i="2"/>
  <c r="P22" i="2"/>
  <c r="P30" i="2"/>
  <c r="P38" i="2"/>
  <c r="P46" i="2"/>
  <c r="N38" i="2"/>
  <c r="D38" i="2" s="1"/>
  <c r="F38" i="2" s="1"/>
  <c r="N46" i="2"/>
  <c r="D46" i="2" s="1"/>
  <c r="F46" i="2" s="1"/>
  <c r="O45" i="2"/>
  <c r="O37" i="2"/>
  <c r="O29" i="2"/>
  <c r="O21" i="2"/>
  <c r="O13" i="2"/>
  <c r="O5" i="2"/>
  <c r="P31" i="2"/>
  <c r="N39" i="2"/>
  <c r="D39" i="2" s="1"/>
  <c r="F39" i="2" s="1"/>
  <c r="N47" i="2"/>
  <c r="D47" i="2" s="1"/>
  <c r="F47" i="2" s="1"/>
  <c r="O36" i="2"/>
  <c r="P23" i="2"/>
  <c r="N33" i="2"/>
  <c r="D33" i="2" s="1"/>
  <c r="F33" i="2" s="1"/>
  <c r="O42" i="2"/>
  <c r="O34" i="2"/>
  <c r="O26" i="2"/>
  <c r="O18" i="2"/>
  <c r="O10" i="2"/>
  <c r="P47" i="2"/>
  <c r="P17" i="2"/>
  <c r="P10" i="2"/>
  <c r="P18" i="2"/>
  <c r="P26" i="2"/>
  <c r="P34" i="2"/>
  <c r="P42" i="2"/>
  <c r="N34" i="2"/>
  <c r="D34" i="2" s="1"/>
  <c r="F34" i="2" s="1"/>
  <c r="N42" i="2"/>
  <c r="D42" i="2" s="1"/>
  <c r="F42" i="2" s="1"/>
  <c r="O44" i="2"/>
  <c r="M48" i="2"/>
  <c r="O35" i="2"/>
  <c r="O41" i="2"/>
  <c r="O33" i="2"/>
  <c r="O25" i="2"/>
  <c r="O17" i="2"/>
  <c r="O9" i="2"/>
  <c r="P41" i="2"/>
  <c r="P15" i="2"/>
  <c r="P11" i="2"/>
  <c r="P19" i="2"/>
  <c r="P27" i="2"/>
  <c r="P35" i="2"/>
  <c r="P43" i="2"/>
  <c r="N35" i="2"/>
  <c r="D35" i="2" s="1"/>
  <c r="F35" i="2" s="1"/>
  <c r="N43" i="2"/>
  <c r="D43" i="2" s="1"/>
  <c r="F43" i="2" s="1"/>
  <c r="O43" i="2"/>
  <c r="O48" i="2"/>
  <c r="O40" i="2"/>
  <c r="O32" i="2"/>
  <c r="O24" i="2"/>
  <c r="O16" i="2"/>
  <c r="O8" i="2"/>
  <c r="P39" i="2"/>
  <c r="P9" i="2"/>
  <c r="P4" i="2"/>
  <c r="N4" i="2" s="1"/>
  <c r="D4" i="2" s="1"/>
  <c r="F4" i="2" s="1"/>
  <c r="P12" i="2"/>
  <c r="P20" i="2"/>
  <c r="P28" i="2"/>
  <c r="P44" i="2"/>
  <c r="N36" i="2"/>
  <c r="D36" i="2" s="1"/>
  <c r="F36" i="2" s="1"/>
  <c r="N44" i="2"/>
  <c r="D44" i="2" s="1"/>
  <c r="F44" i="2" s="1"/>
  <c r="Q73" i="8"/>
  <c r="Q81" i="8"/>
  <c r="Q75" i="8"/>
  <c r="Q7" i="8"/>
  <c r="Q15" i="8"/>
  <c r="Q27" i="8"/>
  <c r="Q31" i="8"/>
  <c r="Q8" i="8"/>
  <c r="Q60" i="8"/>
  <c r="Q80" i="8"/>
  <c r="Q88" i="8"/>
  <c r="Q37" i="8"/>
  <c r="Q45" i="8"/>
  <c r="Q18" i="8"/>
  <c r="Q26" i="8"/>
  <c r="Q50" i="8"/>
  <c r="Q53" i="8" l="1"/>
  <c r="Q90" i="8"/>
  <c r="Q93" i="8"/>
  <c r="Q99" i="8"/>
  <c r="Q55" i="8"/>
  <c r="Q14" i="8"/>
  <c r="Q64" i="8"/>
  <c r="Q94" i="8"/>
  <c r="Q44" i="8"/>
  <c r="Q98" i="8"/>
  <c r="Q48" i="8"/>
  <c r="Q40" i="8"/>
  <c r="Q68" i="8"/>
  <c r="Q61" i="8"/>
  <c r="Q28" i="8"/>
  <c r="Q22" i="8"/>
  <c r="Q9" i="8"/>
  <c r="Q59" i="8"/>
  <c r="Q21" i="8"/>
  <c r="Q97" i="8"/>
  <c r="Q91" i="8"/>
  <c r="Q85" i="8"/>
  <c r="Q17" i="8"/>
  <c r="Q76" i="8"/>
  <c r="Q51" i="8"/>
  <c r="Q24" i="8"/>
  <c r="Q101" i="8"/>
  <c r="T3" i="8"/>
  <c r="D3" i="8" s="1"/>
  <c r="Q49" i="8"/>
  <c r="Q25" i="8"/>
  <c r="M5" i="2"/>
  <c r="M6" i="2" s="1"/>
  <c r="M7" i="2" s="1"/>
  <c r="M8" i="2" s="1"/>
  <c r="N5" i="2"/>
  <c r="T9" i="8"/>
  <c r="D37" i="8" s="1"/>
  <c r="T10" i="8"/>
  <c r="T5" i="8"/>
  <c r="T4" i="8"/>
  <c r="T11" i="8"/>
  <c r="T7" i="8"/>
  <c r="T6" i="8"/>
  <c r="T8" i="8"/>
  <c r="C6" i="2" l="1"/>
  <c r="E6" i="2" s="1"/>
  <c r="C5" i="2"/>
  <c r="E5" i="2" s="1"/>
  <c r="N6" i="2"/>
  <c r="D5" i="2"/>
  <c r="F5" i="2" s="1"/>
  <c r="M9" i="2"/>
  <c r="M10" i="2" s="1"/>
  <c r="M11" i="2" s="1"/>
  <c r="M12" i="2" s="1"/>
  <c r="M13" i="2" s="1"/>
  <c r="M14" i="2" s="1"/>
  <c r="M15" i="2" s="1"/>
  <c r="M16" i="2" s="1"/>
  <c r="M17" i="2" s="1"/>
  <c r="M18" i="2" s="1"/>
  <c r="M19" i="2" s="1"/>
  <c r="M20" i="2" s="1"/>
  <c r="M21" i="2" s="1"/>
  <c r="M22" i="2" s="1"/>
  <c r="M23" i="2" s="1"/>
  <c r="M24" i="2" s="1"/>
  <c r="M25" i="2" s="1"/>
  <c r="M26" i="2" s="1"/>
  <c r="M27" i="2" s="1"/>
  <c r="M28" i="2" s="1"/>
  <c r="M29" i="2" s="1"/>
  <c r="M30" i="2" s="1"/>
  <c r="M31" i="2" s="1"/>
  <c r="M32" i="2" s="1"/>
  <c r="M33" i="2" s="1"/>
  <c r="M34" i="2" s="1"/>
  <c r="M35" i="2" s="1"/>
  <c r="M36" i="2" s="1"/>
  <c r="M37" i="2" s="1"/>
  <c r="M38" i="2" s="1"/>
  <c r="M39" i="2" s="1"/>
  <c r="M40" i="2" s="1"/>
  <c r="M41" i="2" s="1"/>
  <c r="M42" i="2" s="1"/>
  <c r="M43" i="2" s="1"/>
  <c r="M44" i="2" s="1"/>
  <c r="M45" i="2" s="1"/>
  <c r="M46" i="2" s="1"/>
  <c r="M47" i="2" s="1"/>
  <c r="C7" i="2"/>
  <c r="E7" i="2" s="1"/>
  <c r="D70" i="8"/>
  <c r="D71" i="8"/>
  <c r="D75" i="8"/>
  <c r="D74" i="8"/>
  <c r="D78" i="8"/>
  <c r="D76" i="8"/>
  <c r="D72" i="8"/>
  <c r="D77" i="8"/>
  <c r="D73" i="8"/>
  <c r="D69" i="8"/>
  <c r="D57" i="8"/>
  <c r="D61" i="8"/>
  <c r="D68" i="8"/>
  <c r="D60" i="8"/>
  <c r="D66" i="8"/>
  <c r="D64" i="8"/>
  <c r="D62" i="8"/>
  <c r="D56" i="8"/>
  <c r="D58" i="8"/>
  <c r="D67" i="8"/>
  <c r="D63" i="8"/>
  <c r="D65" i="8"/>
  <c r="D59" i="8"/>
  <c r="D55" i="8"/>
  <c r="D51" i="8"/>
  <c r="D54" i="8"/>
  <c r="D49" i="8"/>
  <c r="D50" i="8"/>
  <c r="D52" i="8"/>
  <c r="D53" i="8"/>
  <c r="D33" i="8"/>
  <c r="D34" i="8"/>
  <c r="D35" i="8"/>
  <c r="D36" i="8"/>
  <c r="D48" i="8"/>
  <c r="D47" i="8"/>
  <c r="D46" i="8"/>
  <c r="D45" i="8"/>
  <c r="D44" i="8"/>
  <c r="D43" i="8"/>
  <c r="D8" i="8"/>
  <c r="D12" i="8"/>
  <c r="D11" i="8"/>
  <c r="D10" i="8"/>
  <c r="D9" i="8"/>
  <c r="D32" i="8"/>
  <c r="D31" i="8"/>
  <c r="D30" i="8"/>
  <c r="D29" i="8"/>
  <c r="D28" i="8"/>
  <c r="D40" i="8"/>
  <c r="D39" i="8"/>
  <c r="D38" i="8"/>
  <c r="D42" i="8"/>
  <c r="D41" i="8"/>
  <c r="D7" i="8"/>
  <c r="D6" i="8"/>
  <c r="D5" i="8"/>
  <c r="D4" i="8"/>
  <c r="E4" i="8" s="1"/>
  <c r="D22" i="8"/>
  <c r="D21" i="8"/>
  <c r="D20" i="8"/>
  <c r="D19" i="8"/>
  <c r="D18" i="8"/>
  <c r="D16" i="8"/>
  <c r="D15" i="8"/>
  <c r="D14" i="8"/>
  <c r="D13" i="8"/>
  <c r="D17" i="8"/>
  <c r="D24" i="8"/>
  <c r="D23" i="8"/>
  <c r="D27" i="8"/>
  <c r="D26" i="8"/>
  <c r="D25" i="8"/>
  <c r="N7" i="2" l="1"/>
  <c r="D6" i="2"/>
  <c r="F6" i="2" s="1"/>
  <c r="C8" i="2"/>
  <c r="E8" i="2" s="1"/>
  <c r="E5" i="8"/>
  <c r="N8" i="2" l="1"/>
  <c r="D7" i="2"/>
  <c r="F7" i="2" s="1"/>
  <c r="C9" i="2"/>
  <c r="E9" i="2" s="1"/>
  <c r="E6" i="8"/>
  <c r="E7" i="8" s="1"/>
  <c r="N9" i="2" l="1"/>
  <c r="D8" i="2"/>
  <c r="F8" i="2" s="1"/>
  <c r="C10" i="2"/>
  <c r="E10" i="2" s="1"/>
  <c r="E8" i="8"/>
  <c r="E9" i="8" s="1"/>
  <c r="N10" i="2" l="1"/>
  <c r="D9" i="2"/>
  <c r="F9" i="2" s="1"/>
  <c r="C11" i="2"/>
  <c r="E11" i="2" s="1"/>
  <c r="E10" i="8"/>
  <c r="E11" i="8" s="1"/>
  <c r="N11" i="2" l="1"/>
  <c r="D10" i="2"/>
  <c r="F10" i="2" s="1"/>
  <c r="C12" i="2"/>
  <c r="E12" i="2" s="1"/>
  <c r="E12" i="8"/>
  <c r="N12" i="2" l="1"/>
  <c r="D11" i="2"/>
  <c r="F11" i="2" s="1"/>
  <c r="C13" i="2"/>
  <c r="E13" i="2" s="1"/>
  <c r="E13" i="8"/>
  <c r="N13" i="2" l="1"/>
  <c r="D12" i="2"/>
  <c r="F12" i="2" s="1"/>
  <c r="C14" i="2"/>
  <c r="E14" i="2" s="1"/>
  <c r="E14" i="8"/>
  <c r="N14" i="2" l="1"/>
  <c r="D13" i="2"/>
  <c r="F13" i="2" s="1"/>
  <c r="C15" i="2"/>
  <c r="E15" i="2" s="1"/>
  <c r="E15" i="8"/>
  <c r="E16" i="8" s="1"/>
  <c r="N15" i="2" l="1"/>
  <c r="D14" i="2"/>
  <c r="F14" i="2" s="1"/>
  <c r="C16" i="2"/>
  <c r="E16" i="2" s="1"/>
  <c r="E17" i="8"/>
  <c r="E18" i="8" s="1"/>
  <c r="N16" i="2" l="1"/>
  <c r="D15" i="2"/>
  <c r="F15" i="2" s="1"/>
  <c r="C17" i="2"/>
  <c r="E17" i="2" s="1"/>
  <c r="E19" i="8"/>
  <c r="N17" i="2" l="1"/>
  <c r="D16" i="2"/>
  <c r="F16" i="2" s="1"/>
  <c r="C18" i="2"/>
  <c r="E18" i="2" s="1"/>
  <c r="E20" i="8"/>
  <c r="N18" i="2" l="1"/>
  <c r="D17" i="2"/>
  <c r="F17" i="2" s="1"/>
  <c r="C19" i="2"/>
  <c r="E19" i="2" s="1"/>
  <c r="E21" i="8"/>
  <c r="N19" i="2" l="1"/>
  <c r="D18" i="2"/>
  <c r="F18" i="2" s="1"/>
  <c r="C20" i="2"/>
  <c r="E20" i="2" s="1"/>
  <c r="E22" i="8"/>
  <c r="E23" i="8" s="1"/>
  <c r="N20" i="2" l="1"/>
  <c r="D19" i="2"/>
  <c r="F19" i="2" s="1"/>
  <c r="C21" i="2"/>
  <c r="E21" i="2" s="1"/>
  <c r="E24" i="8"/>
  <c r="E25" i="8" s="1"/>
  <c r="N21" i="2" l="1"/>
  <c r="D20" i="2"/>
  <c r="F20" i="2" s="1"/>
  <c r="C22" i="2"/>
  <c r="E22" i="2" s="1"/>
  <c r="E26" i="8"/>
  <c r="N22" i="2" l="1"/>
  <c r="D21" i="2"/>
  <c r="F21" i="2" s="1"/>
  <c r="C23" i="2"/>
  <c r="E23" i="2" s="1"/>
  <c r="E27" i="8"/>
  <c r="E28" i="8" s="1"/>
  <c r="N23" i="2" l="1"/>
  <c r="D22" i="2"/>
  <c r="F22" i="2" s="1"/>
  <c r="C24" i="2"/>
  <c r="E24" i="2" s="1"/>
  <c r="E29" i="8"/>
  <c r="E30" i="8" s="1"/>
  <c r="N24" i="2" l="1"/>
  <c r="D23" i="2"/>
  <c r="F23" i="2" s="1"/>
  <c r="C25" i="2"/>
  <c r="E25" i="2" s="1"/>
  <c r="E31" i="8"/>
  <c r="E32" i="8" s="1"/>
  <c r="E33" i="8" s="1"/>
  <c r="N25" i="2" l="1"/>
  <c r="D24" i="2"/>
  <c r="F24" i="2" s="1"/>
  <c r="C26" i="2"/>
  <c r="E26" i="2" s="1"/>
  <c r="E34" i="8"/>
  <c r="E35" i="8" s="1"/>
  <c r="N26" i="2" l="1"/>
  <c r="D25" i="2"/>
  <c r="F25" i="2" s="1"/>
  <c r="C27" i="2"/>
  <c r="E27" i="2" s="1"/>
  <c r="E36" i="8"/>
  <c r="N27" i="2" l="1"/>
  <c r="D26" i="2"/>
  <c r="F26" i="2" s="1"/>
  <c r="C28" i="2"/>
  <c r="E28" i="2" s="1"/>
  <c r="E37" i="8"/>
  <c r="N28" i="2" l="1"/>
  <c r="D27" i="2"/>
  <c r="F27" i="2" s="1"/>
  <c r="C29" i="2"/>
  <c r="E29" i="2" s="1"/>
  <c r="E38" i="8"/>
  <c r="N29" i="2" l="1"/>
  <c r="D28" i="2"/>
  <c r="F28" i="2" s="1"/>
  <c r="C30" i="2"/>
  <c r="E30" i="2" s="1"/>
  <c r="E39" i="8"/>
  <c r="N30" i="2" l="1"/>
  <c r="D29" i="2"/>
  <c r="F29" i="2" s="1"/>
  <c r="C31" i="2"/>
  <c r="E31" i="2" s="1"/>
  <c r="E40" i="8"/>
  <c r="N31" i="2" l="1"/>
  <c r="D30" i="2"/>
  <c r="F30" i="2" s="1"/>
  <c r="C32" i="2"/>
  <c r="E32" i="2" s="1"/>
  <c r="E41" i="8"/>
  <c r="N32" i="2" l="1"/>
  <c r="D32" i="2" s="1"/>
  <c r="F32" i="2" s="1"/>
  <c r="D31" i="2"/>
  <c r="F31" i="2" s="1"/>
  <c r="C33" i="2"/>
  <c r="E33" i="2" s="1"/>
  <c r="E42" i="8"/>
  <c r="C34" i="2" l="1"/>
  <c r="E34" i="2" s="1"/>
  <c r="E43" i="8"/>
  <c r="C35" i="2" l="1"/>
  <c r="E35" i="2" s="1"/>
  <c r="E44" i="8"/>
  <c r="C36" i="2" l="1"/>
  <c r="E36" i="2" s="1"/>
  <c r="E45" i="8"/>
  <c r="C37" i="2" l="1"/>
  <c r="E37" i="2" s="1"/>
  <c r="E46" i="8"/>
  <c r="E47" i="8" s="1"/>
  <c r="C38" i="2" l="1"/>
  <c r="E38" i="2" s="1"/>
  <c r="C39" i="2" l="1"/>
  <c r="E39" i="2" s="1"/>
  <c r="C40" i="2" l="1"/>
  <c r="E40" i="2" s="1"/>
  <c r="C41" i="2" l="1"/>
  <c r="E41" i="2" s="1"/>
  <c r="C42" i="2" l="1"/>
  <c r="E42" i="2" s="1"/>
  <c r="C43" i="2" l="1"/>
  <c r="E43" i="2" s="1"/>
  <c r="C44" i="2" l="1"/>
  <c r="E44" i="2" s="1"/>
  <c r="C45" i="2" l="1"/>
  <c r="E45" i="2" s="1"/>
  <c r="C46" i="2" l="1"/>
  <c r="E46" i="2" s="1"/>
  <c r="C47" i="2" l="1"/>
  <c r="E47" i="2" s="1"/>
  <c r="C48" i="2" l="1"/>
  <c r="E48"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<sst xmlns="http://schemas.openxmlformats.org/spreadsheetml/2006/main" count="1491" uniqueCount="174">
  <si>
    <t>N</t>
  </si>
  <si>
    <t>Year</t>
  </si>
  <si>
    <t>AgeP1</t>
  </si>
  <si>
    <t>AgeP2</t>
  </si>
  <si>
    <t>LoopStatus</t>
  </si>
  <si>
    <t>SalaryP1</t>
  </si>
  <si>
    <t>SalaryP2</t>
  </si>
  <si>
    <t>GrossMonthlySalaryP1</t>
  </si>
  <si>
    <t>GrossMonthlySalaryP2</t>
  </si>
  <si>
    <t>Status på arbejdsmarkedet/ Beskæftigelse og jobskifte/ Antal lønmodtagere efter bopæl</t>
  </si>
  <si>
    <t>Hele landet</t>
  </si>
  <si>
    <t>Herkomst i alt</t>
  </si>
  <si>
    <t>Køn i alt</t>
  </si>
  <si>
    <t>Finansiering og forsikring</t>
  </si>
  <si>
    <t>Antal fuldtidsbeskæftigede lønmodtagere efter bopæl</t>
  </si>
  <si>
    <t>2008</t>
  </si>
  <si>
    <t>25-29 år</t>
  </si>
  <si>
    <t>30-34 år</t>
  </si>
  <si>
    <t>35-39 år</t>
  </si>
  <si>
    <t>40-44 år</t>
  </si>
  <si>
    <t>45-49 år</t>
  </si>
  <si>
    <t>50-54 år</t>
  </si>
  <si>
    <t>55-59 år</t>
  </si>
  <si>
    <t>60-64 år</t>
  </si>
  <si>
    <t>65+ år</t>
  </si>
  <si>
    <t>2009</t>
  </si>
  <si>
    <t>2010</t>
  </si>
  <si>
    <t>2011</t>
  </si>
  <si>
    <t>2012</t>
  </si>
  <si>
    <t>2013</t>
  </si>
  <si>
    <t>2014</t>
  </si>
  <si>
    <t>2015</t>
  </si>
  <si>
    <t>2016</t>
  </si>
  <si>
    <t>2017</t>
  </si>
  <si>
    <t>2018</t>
  </si>
  <si>
    <t>2019</t>
  </si>
  <si>
    <t>2020</t>
  </si>
  <si>
    <t>2021</t>
  </si>
  <si>
    <t>2022</t>
  </si>
  <si>
    <t>2023</t>
  </si>
  <si>
    <t>2024</t>
  </si>
  <si>
    <t>Kilde: CPR-registeret, CVR-registeret og DetailCOR</t>
  </si>
  <si>
    <t>Anm.: Pga. efterregistreringer kan tallene for især den seneste periode stige ved næste opdatering.</t>
  </si>
  <si>
    <t>Status på arbejdsmarkedet/ Beskæftigelse og jobskifte/ Antal personer der har skiftet eller startet i nyt job (jobomsætning)</t>
  </si>
  <si>
    <t>Privat sektor</t>
  </si>
  <si>
    <t>Jobomsætning</t>
  </si>
  <si>
    <t>65-69 år</t>
  </si>
  <si>
    <t>Sheet Colors</t>
  </si>
  <si>
    <t>&lt;-- If we download a report from a source, ex: Djøf, we will store it here and will not directly edit it</t>
  </si>
  <si>
    <t>Table Colors</t>
  </si>
  <si>
    <t>Uploaded to Python</t>
  </si>
  <si>
    <t>Raw Report</t>
  </si>
  <si>
    <t>Calculation</t>
  </si>
  <si>
    <t>Not Uploaded to Python</t>
  </si>
  <si>
    <t>Age</t>
  </si>
  <si>
    <t>Age Group</t>
  </si>
  <si>
    <t>Finance Workers</t>
  </si>
  <si>
    <t>Finance Hoppers</t>
  </si>
  <si>
    <t>FH/FW</t>
  </si>
  <si>
    <t>FH/FV</t>
  </si>
  <si>
    <t>Raw Report with Key</t>
  </si>
  <si>
    <t>&lt;-- Raw Report but a column has been added for lookups</t>
  </si>
  <si>
    <t>SwitchP1</t>
  </si>
  <si>
    <t>SwitchP2</t>
  </si>
  <si>
    <t>Y</t>
  </si>
  <si>
    <t>SwitchP1Static</t>
  </si>
  <si>
    <t>SwitchP2Static</t>
  </si>
  <si>
    <t>Switch</t>
  </si>
  <si>
    <t>Inflation</t>
  </si>
  <si>
    <t>Salary Raise</t>
  </si>
  <si>
    <t>Job Hopping "Bonus"</t>
  </si>
  <si>
    <t>Real Salary Raise</t>
  </si>
  <si>
    <t>Value Ratio</t>
  </si>
  <si>
    <t>Funding Requirement</t>
  </si>
  <si>
    <t>Time Horizon</t>
  </si>
  <si>
    <t>GOAL A</t>
  </si>
  <si>
    <t>GOAL B</t>
  </si>
  <si>
    <t>GOAL C</t>
  </si>
  <si>
    <t>GOAL D</t>
  </si>
  <si>
    <t>Goal Info</t>
  </si>
  <si>
    <t>P2</t>
  </si>
  <si>
    <t>P1</t>
  </si>
  <si>
    <t>% of salary dedicated to investments</t>
  </si>
  <si>
    <t>InvestmentP1</t>
  </si>
  <si>
    <t>InvestmentP2</t>
  </si>
  <si>
    <t>Excel side:</t>
  </si>
  <si>
    <t>Goal calculation</t>
  </si>
  <si>
    <t>Investment income calculation</t>
  </si>
  <si>
    <t>Returns input with samsseewfwfuweerhugf for long term, and simulation for short term</t>
  </si>
  <si>
    <t>Python side:</t>
  </si>
  <si>
    <t>Question for Johan:</t>
  </si>
  <si>
    <t>Vasicek ready, what do we use bond simulation for? How does it correlate to bond ETF</t>
  </si>
  <si>
    <t>For retirement goal: Calculate what the amount needed is and also research from denmark statistik what is the median returns by retirement age.</t>
  </si>
  <si>
    <t>From last meeting Johan mentioned you can put the tax money back into the account???? What does this mean I am not sure: Saxo bank shows this below which might explain</t>
  </si>
  <si>
    <t>Update: I KNOW WHAT HE MEANT AHAHAHA IM A GENIOUS!!!! So basically it means that (from what I understand) the 17% tax deducts from your available input amount, allowing to deposit more into the account.</t>
  </si>
  <si>
    <t>Here</t>
  </si>
  <si>
    <t>ZC Bond</t>
  </si>
  <si>
    <t>SP</t>
  </si>
  <si>
    <t>Return</t>
  </si>
  <si>
    <t>Vol</t>
  </si>
  <si>
    <t>Use value simulated for each year or the average</t>
  </si>
  <si>
    <t>Split each goal into a per year goal, so achieve a % of the total goal in that year, and then the model would actually work as is</t>
  </si>
  <si>
    <t>Goal: House</t>
  </si>
  <si>
    <t>in 10 years</t>
  </si>
  <si>
    <t>Total</t>
  </si>
  <si>
    <t>Task for the master file</t>
  </si>
  <si>
    <t>Emerging Markets - Equities</t>
  </si>
  <si>
    <t>Developed Markets - Equities</t>
  </si>
  <si>
    <t>2025</t>
  </si>
  <si>
    <t>2026</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</si>
  <si>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</si>
  <si>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</si>
  <si>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</si>
  <si>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</si>
  <si>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</si>
  <si>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</si>
  <si>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</si>
  <si>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</si>
  <si>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</si>
  <si>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</si>
  <si>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</si>
  <si>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</si>
  <si>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</si>
  <si>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</si>
  <si>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</si>
  <si>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</si>
  <si>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</si>
  <si>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</si>
  <si>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</si>
  <si>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</si>
  <si>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</si>
  <si>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</si>
  <si>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</si>
  <si>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</si>
  <si>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2051</t>
  </si>
  <si>
    <t>2052</t>
  </si>
  <si>
    <t>2053</t>
  </si>
  <si>
    <t>2054</t>
  </si>
  <si>
    <t>2055</t>
  </si>
  <si>
    <t>2056</t>
  </si>
  <si>
    <t>2057</t>
  </si>
  <si>
    <t>2058</t>
  </si>
  <si>
    <t>2059</t>
  </si>
  <si>
    <t>2060</t>
  </si>
  <si>
    <t>2061</t>
  </si>
  <si>
    <t>2062</t>
  </si>
  <si>
    <t>2063</t>
  </si>
  <si>
    <t>2064</t>
  </si>
  <si>
    <t>2065</t>
  </si>
  <si>
    <t>2066</t>
  </si>
  <si>
    <t>2067</t>
  </si>
  <si>
    <t>2068</t>
  </si>
  <si>
    <t>2069</t>
  </si>
  <si>
    <t>2070</t>
  </si>
  <si>
    <t>2071</t>
  </si>
  <si>
    <t>2072</t>
  </si>
  <si>
    <t>2073</t>
  </si>
  <si>
    <t>2074</t>
  </si>
  <si>
    <t>Government ZC Bonds - Obligations</t>
  </si>
  <si>
    <t>Investment Grade Bonds - Obligations</t>
  </si>
  <si>
    <t>High Yield Bonds - Obligations</t>
  </si>
  <si>
    <t>Emerging Markets State - Obligations</t>
  </si>
  <si>
    <t>volatility</t>
  </si>
  <si>
    <t>Small Cap</t>
  </si>
  <si>
    <t>US Agg Bond</t>
  </si>
  <si>
    <t>Gold</t>
  </si>
  <si>
    <t>Private Equity</t>
  </si>
  <si>
    <t>Venture Capital</t>
  </si>
  <si>
    <t>Angel Venture</t>
  </si>
  <si>
    <t>A</t>
  </si>
  <si>
    <t>B</t>
  </si>
  <si>
    <t>C</t>
  </si>
  <si>
    <t>D</t>
  </si>
  <si>
    <t>2075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</si>
</sst>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43" formatCode="_-* #,##0.00_-;\-* #,##0.00_-;_-* &quot;-&quot;??_-;_-@_-"/>
    <numFmt numFmtId="164" formatCode="0.0%"/>
  </numFmts>
  <fonts count="10" x14ac:knownFonts="1">
    <font>
      <sz val="11"/>
      <color theme="1"/>
      <name val="Aptos Narrow"/>
      <family val="2"/>
      <scheme val="minor"/>
    </font>
    <font>
      <sz val="11"/>
      <color theme="1"/>
      <name val="Aptos Narrow"/>
      <family val="2"/>
      <scheme val="minor"/>
    </font>
    <font>
      <b/>
      <sz val="11"/>
      <color theme="0"/>
      <name val="Aptos Narrow"/>
      <family val="2"/>
      <scheme val="minor"/>
    </font>
    <font>
      <b/>
      <sz val="18"/>
      <name val="Calibri"/>
      <family val="2"/>
    </font>
    <font>
      <b/>
      <u/>
      <sz val="18"/>
      <color theme="1"/>
      <name val="Aptos Narrow"/>
      <family val="2"/>
      <scheme val="minor"/>
    </font>
    <font>
      <sz val="11"/>
      <color rgb="FF3F3F76"/>
      <name val="Aptos Narrow"/>
      <family val="2"/>
      <scheme val="minor"/>
    </font>
    <font>
      <b/>
      <sz val="11"/>
      <color rgb="FF3F3F3F"/>
      <name val="Aptos Narrow"/>
      <family val="2"/>
      <scheme val="minor"/>
    </font>
    <font>
      <b/>
      <sz val="11"/>
      <color theme="1"/>
      <name val="Aptos Narrow"/>
      <family val="2"/>
      <scheme val="minor"/>
    </font>
    <font>
      <sz val="8"/>
      <name val="Aptos Narrow"/>
      <family val="2"/>
      <scheme val="minor"/>
    </font>
    <font>
      <sz val="10"/>
      <color theme="1"/>
      <name val="Arial"/>
      <family val="2"/>
    </font>
  </fonts>
  <fills count="11">
    <fill>
      <patternFill patternType="none"/>
    </fill>
    <fill>
      <patternFill patternType="gray125"/>
    </fill>
    <fill>
      <patternFill patternType="solid">
        <fgColor theme="0"/>
        <bgColor indexed="64"/>
      </patternFill>
    </fill>
    <fill>
      <patternFill patternType="solid">
        <fgColor theme="1"/>
        <bgColor theme="1"/>
      </patternFill>
    </fill>
    <fill>
      <patternFill patternType="solid">
        <fgColor theme="5"/>
        <bgColor theme="5"/>
      </patternFill>
    </fill>
    <fill>
      <patternFill patternType="solid">
        <fgColor rgb="FFE5EAF3"/>
      </patternFill>
    </fill>
    <fill>
      <patternFill patternType="solid">
        <fgColor theme="3" tint="0.89999084444715716"/>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rgb="FFFFCC99"/>
      </patternFill>
    </fill>
    <fill>
      <patternFill patternType="solid">
        <fgColor rgb="FFF2F2F2"/>
      </patternFill>
    </fill>
  </fills>
  <borders count="10">
    <border>
      <left/>
      <right/>
      <top/>
      <bottom/>
      <diagonal/>
    </border>
    <border>
      <left/>
      <right/>
      <top style="thin">
        <color theme="1"/>
      </top>
      <bottom/>
      <diagonal/>
    </border>
    <border>
      <left style="thin">
        <color theme="5"/>
      </left>
      <right/>
      <top style="thin">
        <color theme="5"/>
      </top>
      <bottom/>
      <diagonal/>
    </border>
    <border>
      <left/>
      <right/>
      <top/>
      <bottom style="thick">
        <color rgb="FF003087"/>
      </bottom>
      <diagonal/>
    </border>
    <border>
      <left style="hair">
        <color rgb="FF003087"/>
      </left>
      <right style="hair">
        <color rgb="FF003087"/>
      </right>
      <top style="hair">
        <color rgb="FF003087"/>
      </top>
      <bottom style="hair">
        <color rgb="FF003087"/>
      </bottom>
      <diagonal/>
    </border>
    <border>
      <left/>
      <right/>
      <top style="thick">
        <color rgb="FF003087"/>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thin">
        <color indexed="64"/>
      </left>
      <right/>
      <top/>
      <bottom/>
      <diagonal/>
    </border>
    <border>
      <left/>
      <right style="thin">
        <color theme="1"/>
      </right>
      <top style="thin">
        <color theme="1"/>
      </top>
      <bottom style="thin">
        <color theme="1"/>
      </bottom>
      <diagonal/>
    </border>
  </borders>
  <cellStyleXfs count="7">
    <xf numFmtId="0" fontId="0" fillId="0" borderId="0"/>
    <xf numFmtId="43" fontId="1" fillId="0" borderId="0" applyFont="0" applyFill="0" applyBorder="0" applyAlignment="0" applyProtection="0"/>
    <xf numFmtId="9" fontId="1" fillId="0" borderId="0" applyFont="0" applyFill="0" applyBorder="0" applyAlignment="0" applyProtection="0"/>
    <xf numFmtId="0" fontId="5" fillId="9" borderId="6" applyNumberFormat="0" applyAlignment="0" applyProtection="0"/>
    <xf numFmtId="0" fontId="6" fillId="10" borderId="7" applyNumberFormat="0" applyAlignment="0" applyProtection="0"/>
    <xf numFmtId="0" fontId="9" fillId="0" borderId="0"/>
    <xf numFmtId="44" fontId="1" fillId="0" borderId="0" applyFont="0" applyFill="0" applyBorder="0" applyAlignment="0" applyProtection="0"/>
  </cellStyleXfs>
  <cellXfs count="37">
    <xf numFmtId="0" fontId="0" fillId="0" borderId="0" xfId="0"/>
    <xf numFmtId="0" fontId="0" fillId="2" borderId="0" xfId="0" applyFill="1"/>
    <xf numFmtId="0" fontId="0" fillId="0" borderId="0" xfId="0" applyAlignment="1">
      <alignment horizontal="center"/>
    </xf>
    <xf numFmtId="43" fontId="0" fillId="0" borderId="0" xfId="1" applyFont="1" applyFill="1" applyAlignment="1">
      <alignment horizontal="center"/>
    </xf>
    <xf numFmtId="43" fontId="0" fillId="0" borderId="0" xfId="0" applyNumberFormat="1" applyAlignment="1">
      <alignment horizontal="center"/>
    </xf>
    <xf numFmtId="0" fontId="0" fillId="0" borderId="0" xfId="0" applyAlignment="1">
      <alignment horizontal="center" vertical="center"/>
    </xf>
    <xf numFmtId="0" fontId="3" fillId="0" borderId="3" xfId="0" applyFont="1" applyBorder="1"/>
    <xf numFmtId="0" fontId="0" fillId="0" borderId="3" xfId="0" applyBorder="1"/>
    <xf numFmtId="0" fontId="0" fillId="5" borderId="4" xfId="0" applyFill="1" applyBorder="1" applyAlignment="1">
      <alignment horizontal="center" vertical="top"/>
    </xf>
    <xf numFmtId="3" fontId="0" fillId="0" borderId="4" xfId="0" applyNumberFormat="1" applyBorder="1" applyAlignment="1">
      <alignment horizontal="right" vertical="top"/>
    </xf>
    <xf numFmtId="0" fontId="0" fillId="0" borderId="5" xfId="0" applyBorder="1"/>
    <xf numFmtId="0" fontId="0" fillId="6" borderId="0" xfId="0" applyFill="1"/>
    <xf numFmtId="0" fontId="0" fillId="7" borderId="0" xfId="0" applyFill="1"/>
    <xf numFmtId="0" fontId="4" fillId="2" borderId="0" xfId="0" applyFont="1" applyFill="1"/>
    <xf numFmtId="0" fontId="2" fillId="3" borderId="1" xfId="0" applyFont="1" applyFill="1" applyBorder="1" applyAlignment="1">
      <alignment horizontal="center"/>
    </xf>
    <xf numFmtId="0" fontId="2" fillId="4" borderId="2" xfId="0" applyFont="1" applyFill="1" applyBorder="1" applyAlignment="1">
      <alignment horizontal="center" vertical="center"/>
    </xf>
    <xf numFmtId="9" fontId="0" fillId="0" borderId="0" xfId="2" applyFont="1" applyFill="1" applyAlignment="1">
      <alignment horizontal="center" vertical="center"/>
    </xf>
    <xf numFmtId="0" fontId="0" fillId="8" borderId="0" xfId="0" applyFill="1"/>
    <xf numFmtId="0" fontId="6" fillId="10" borderId="7" xfId="4"/>
    <xf numFmtId="9" fontId="5" fillId="9" borderId="6" xfId="3" applyNumberFormat="1" applyAlignment="1">
      <alignment horizontal="center" vertical="center"/>
    </xf>
    <xf numFmtId="3" fontId="0" fillId="0" borderId="0" xfId="0" applyNumberFormat="1"/>
    <xf numFmtId="43" fontId="0" fillId="0" borderId="0" xfId="1" applyFont="1"/>
    <xf numFmtId="0" fontId="0" fillId="2" borderId="0" xfId="0" applyFill="1" applyAlignment="1">
      <alignment horizontal="center"/>
    </xf>
    <xf numFmtId="43" fontId="0" fillId="0" borderId="0" xfId="1" applyFont="1" applyFill="1"/>
    <xf numFmtId="43" fontId="0" fillId="0" borderId="0" xfId="1" applyFont="1" applyAlignment="1">
      <alignment horizontal="center"/>
    </xf>
    <xf numFmtId="0" fontId="0" fillId="2" borderId="0" xfId="0" applyFill="1" applyAlignment="1">
      <alignment horizontal="center" wrapText="1"/>
    </xf>
    <xf numFmtId="9" fontId="0" fillId="2" borderId="0" xfId="0" applyNumberFormat="1" applyFill="1"/>
    <xf numFmtId="0" fontId="7" fillId="2" borderId="0" xfId="0" applyFont="1" applyFill="1"/>
    <xf numFmtId="10" fontId="0" fillId="0" borderId="0" xfId="0" applyNumberFormat="1"/>
    <xf numFmtId="164" fontId="0" fillId="0" borderId="0" xfId="0" applyNumberFormat="1"/>
    <xf numFmtId="0" fontId="0" fillId="0" borderId="9" xfId="0" applyBorder="1" applyAlignment="1">
      <alignment horizontal="center"/>
    </xf>
    <xf numFmtId="44" fontId="0" fillId="0" borderId="0" xfId="6" applyFont="1"/>
    <xf numFmtId="49" fontId="0" fillId="0" borderId="0" xfId="0" applyNumberFormat="1"/>
    <xf numFmtId="0" fontId="0" fillId="0" borderId="0" xfId="0" quotePrefix="1"/>
    <xf numFmtId="0" fontId="0" fillId="2" borderId="8" xfId="0" applyFill="1" applyBorder="1" applyAlignment="1">
      <alignment horizontal="center" vertical="center" wrapText="1"/>
    </xf>
    <xf numFmtId="0" fontId="0" fillId="2" borderId="8" xfId="0" applyFill="1" applyBorder="1" applyAlignment="1">
      <alignment horizontal="center" wrapText="1"/>
    </xf>
    <xf numFmtId="0" fontId="7" fillId="2" borderId="0" xfId="0" applyFont="1" applyFill="1" applyAlignment="1">
      <alignment horizontal="center" vertical="center"/>
    </xf>
  </cellXfs>
  <cellStyles count="7">
    <cellStyle name="Comma" xfId="1" builtinId="3"/>
    <cellStyle name="Currency" xfId="6" builtinId="4"/>
    <cellStyle name="Input" xfId="3" builtinId="20"/>
    <cellStyle name="Normal" xfId="0" builtinId="0"/>
    <cellStyle name="Normal 2" xfId="5" xr:uid="{41E29A97-4811-40B2-832B-A941F46C3049}"/>
    <cellStyle name="Output" xfId="4" builtinId="21"/>
    <cellStyle name="Percent" xfId="2" builtinId="5"/>
  </cellStyles>
  <dxfs count="53">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border diagonalUp="0" diagonalDown="0" outline="0">
        <left style="hair">
          <color rgb="FF003087"/>
        </left>
        <right style="hair">
          <color rgb="FF003087"/>
        </right>
        <top style="hair">
          <color rgb="FF003087"/>
        </top>
        <bottom style="hair">
          <color rgb="FF003087"/>
        </bottom>
      </border>
    </dxf>
    <dxf>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style="hair">
          <color rgb="FF003087"/>
        </left>
        <right style="hair">
          <color rgb="FF003087"/>
        </right>
        <top style="hair">
          <color rgb="FF003087"/>
        </top>
        <bottom style="hair">
          <color rgb="FF003087"/>
        </bottom>
      </border>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dxf>
    <dxf>
      <numFmt numFmtId="0" formatCode="General"/>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alignment horizontal="center" vertical="center" textRotation="0" wrapText="0" indent="0" justifyLastLine="0" shrinkToFit="0" readingOrder="0"/>
    </dxf>
    <dxf>
      <numFmt numFmtId="35" formatCode="_-* #,##0.00_-;\-* #,##0.00_-;_-* &quot;-&quot;??_-;_-@_-"/>
      <fill>
        <patternFill patternType="none">
          <fgColor rgb="FF000000"/>
          <bgColor auto="1"/>
        </patternFill>
      </fill>
      <alignment horizontal="center" vertical="bottom" textRotation="0" wrapText="0" indent="0" justifyLastLine="0" shrinkToFit="0" readingOrder="0"/>
    </dxf>
    <dxf>
      <numFmt numFmtId="35" formatCode="_-* #,##0.00_-;\-* #,##0.00_-;_-* &quot;-&quot;??_-;_-@_-"/>
      <fill>
        <patternFill patternType="none">
          <fgColor rgb="FF000000"/>
          <bgColor auto="1"/>
        </patternFill>
      </fill>
      <alignment horizontal="center" vertical="bottom" textRotation="0" wrapText="0" indent="0" justifyLastLine="0" shrinkToFit="0" readingOrder="0"/>
    </dxf>
    <dxf>
      <fill>
        <patternFill patternType="none">
          <fgColor rgb="FF000000"/>
          <bgColor auto="1"/>
        </patternFill>
      </fill>
      <alignment horizontal="center" vertical="bottom" textRotation="0" wrapText="0" indent="0" justifyLastLine="0" shrinkToFit="0" readingOrder="0"/>
    </dxf>
    <dxf>
      <numFmt numFmtId="35" formatCode="_-* #,##0.00_-;\-* #,##0.00_-;_-* &quot;-&quot;??_-;_-@_-"/>
      <fill>
        <patternFill patternType="none">
          <fgColor indexed="64"/>
          <bgColor indexed="65"/>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rgb="FF000000"/>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4.xml"/><Relationship Id="rId21" Type="http://schemas.openxmlformats.org/officeDocument/2006/relationships/worksheet" Target="worksheets/sheet21.xml"/><Relationship Id="rId34" Type="http://schemas.openxmlformats.org/officeDocument/2006/relationships/externalLink" Target="externalLinks/externalLink12.xml"/><Relationship Id="rId42" Type="http://schemas.openxmlformats.org/officeDocument/2006/relationships/externalLink" Target="externalLinks/externalLink20.xml"/><Relationship Id="rId47" Type="http://schemas.openxmlformats.org/officeDocument/2006/relationships/externalLink" Target="externalLinks/externalLink25.xml"/><Relationship Id="rId50" Type="http://schemas.openxmlformats.org/officeDocument/2006/relationships/externalLink" Target="externalLinks/externalLink28.xml"/><Relationship Id="rId55" Type="http://schemas.openxmlformats.org/officeDocument/2006/relationships/externalLink" Target="externalLinks/externalLink33.xml"/><Relationship Id="rId63"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externalLink" Target="externalLinks/externalLink7.xml"/><Relationship Id="rId11" Type="http://schemas.openxmlformats.org/officeDocument/2006/relationships/worksheet" Target="worksheets/sheet11.xml"/><Relationship Id="rId24" Type="http://schemas.openxmlformats.org/officeDocument/2006/relationships/externalLink" Target="externalLinks/externalLink2.xml"/><Relationship Id="rId32" Type="http://schemas.openxmlformats.org/officeDocument/2006/relationships/externalLink" Target="externalLinks/externalLink10.xml"/><Relationship Id="rId37" Type="http://schemas.openxmlformats.org/officeDocument/2006/relationships/externalLink" Target="externalLinks/externalLink15.xml"/><Relationship Id="rId40" Type="http://schemas.openxmlformats.org/officeDocument/2006/relationships/externalLink" Target="externalLinks/externalLink18.xml"/><Relationship Id="rId45" Type="http://schemas.openxmlformats.org/officeDocument/2006/relationships/externalLink" Target="externalLinks/externalLink23.xml"/><Relationship Id="rId53" Type="http://schemas.openxmlformats.org/officeDocument/2006/relationships/externalLink" Target="externalLinks/externalLink31.xml"/><Relationship Id="rId58" Type="http://schemas.openxmlformats.org/officeDocument/2006/relationships/externalLink" Target="externalLinks/externalLink36.xml"/><Relationship Id="rId66" Type="http://schemas.openxmlformats.org/officeDocument/2006/relationships/customXml" Target="../customXml/item3.xml"/><Relationship Id="rId5" Type="http://schemas.openxmlformats.org/officeDocument/2006/relationships/worksheet" Target="worksheets/sheet5.xml"/><Relationship Id="rId61"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5.xml"/><Relationship Id="rId30" Type="http://schemas.openxmlformats.org/officeDocument/2006/relationships/externalLink" Target="externalLinks/externalLink8.xml"/><Relationship Id="rId35" Type="http://schemas.openxmlformats.org/officeDocument/2006/relationships/externalLink" Target="externalLinks/externalLink13.xml"/><Relationship Id="rId43" Type="http://schemas.openxmlformats.org/officeDocument/2006/relationships/externalLink" Target="externalLinks/externalLink21.xml"/><Relationship Id="rId48" Type="http://schemas.openxmlformats.org/officeDocument/2006/relationships/externalLink" Target="externalLinks/externalLink26.xml"/><Relationship Id="rId56" Type="http://schemas.openxmlformats.org/officeDocument/2006/relationships/externalLink" Target="externalLinks/externalLink34.xml"/><Relationship Id="rId64"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externalLink" Target="externalLinks/externalLink29.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3.xml"/><Relationship Id="rId33" Type="http://schemas.openxmlformats.org/officeDocument/2006/relationships/externalLink" Target="externalLinks/externalLink11.xml"/><Relationship Id="rId38" Type="http://schemas.openxmlformats.org/officeDocument/2006/relationships/externalLink" Target="externalLinks/externalLink16.xml"/><Relationship Id="rId46" Type="http://schemas.openxmlformats.org/officeDocument/2006/relationships/externalLink" Target="externalLinks/externalLink24.xml"/><Relationship Id="rId59" Type="http://schemas.openxmlformats.org/officeDocument/2006/relationships/theme" Target="theme/theme1.xml"/><Relationship Id="rId67" Type="http://schemas.openxmlformats.org/officeDocument/2006/relationships/customXml" Target="../customXml/item4.xml"/><Relationship Id="rId20" Type="http://schemas.openxmlformats.org/officeDocument/2006/relationships/worksheet" Target="worksheets/sheet20.xml"/><Relationship Id="rId41" Type="http://schemas.openxmlformats.org/officeDocument/2006/relationships/externalLink" Target="externalLinks/externalLink19.xml"/><Relationship Id="rId54" Type="http://schemas.openxmlformats.org/officeDocument/2006/relationships/externalLink" Target="externalLinks/externalLink32.xml"/><Relationship Id="rId62"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externalLink" Target="externalLinks/externalLink1.xml"/><Relationship Id="rId28" Type="http://schemas.openxmlformats.org/officeDocument/2006/relationships/externalLink" Target="externalLinks/externalLink6.xml"/><Relationship Id="rId36" Type="http://schemas.openxmlformats.org/officeDocument/2006/relationships/externalLink" Target="externalLinks/externalLink14.xml"/><Relationship Id="rId49" Type="http://schemas.openxmlformats.org/officeDocument/2006/relationships/externalLink" Target="externalLinks/externalLink27.xml"/><Relationship Id="rId57" Type="http://schemas.openxmlformats.org/officeDocument/2006/relationships/externalLink" Target="externalLinks/externalLink35.xml"/><Relationship Id="rId10" Type="http://schemas.openxmlformats.org/officeDocument/2006/relationships/worksheet" Target="worksheets/sheet10.xml"/><Relationship Id="rId31" Type="http://schemas.openxmlformats.org/officeDocument/2006/relationships/externalLink" Target="externalLinks/externalLink9.xml"/><Relationship Id="rId44" Type="http://schemas.openxmlformats.org/officeDocument/2006/relationships/externalLink" Target="externalLinks/externalLink22.xml"/><Relationship Id="rId52" Type="http://schemas.openxmlformats.org/officeDocument/2006/relationships/externalLink" Target="externalLinks/externalLink30.xml"/><Relationship Id="rId60" Type="http://schemas.openxmlformats.org/officeDocument/2006/relationships/styles" Target="styles.xml"/><Relationship Id="rId65"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externalLink" Target="externalLinks/externalLink17.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447675</xdr:colOff>
      <xdr:row>18</xdr:row>
      <xdr:rowOff>133350</xdr:rowOff>
    </xdr:from>
    <xdr:to>
      <xdr:col>1</xdr:col>
      <xdr:colOff>8125818</xdr:colOff>
      <xdr:row>34</xdr:row>
      <xdr:rowOff>57565</xdr:rowOff>
    </xdr:to>
    <xdr:pic>
      <xdr:nvPicPr>
        <xdr:cNvPr id="2" name="Picture 1">
          <a:extLst>
            <a:ext uri="{FF2B5EF4-FFF2-40B4-BE49-F238E27FC236}">
              <a16:creationId xmlns:a16="http://schemas.microsoft.com/office/drawing/2014/main" id="{20A5AFCD-4AEE-951F-735F-A3BF56C0B7C7}"/>
            </a:ext>
          </a:extLst>
        </xdr:cNvPr>
        <xdr:cNvPicPr>
          <a:picLocks noChangeAspect="1"/>
        </xdr:cNvPicPr>
      </xdr:nvPicPr>
      <xdr:blipFill>
        <a:blip xmlns:r="http://schemas.openxmlformats.org/officeDocument/2006/relationships" r:embed="rId1"/>
        <a:stretch>
          <a:fillRect/>
        </a:stretch>
      </xdr:blipFill>
      <xdr:spPr>
        <a:xfrm>
          <a:off x="447675" y="3562350"/>
          <a:ext cx="7116168" cy="2972215"/>
        </a:xfrm>
        <a:prstGeom prst="rect">
          <a:avLst/>
        </a:prstGeom>
      </xdr:spPr>
    </xdr:pic>
    <xdr:clientData/>
  </xdr:twoCellAnchor>
  <xdr:twoCellAnchor>
    <xdr:from>
      <xdr:col>18</xdr:col>
      <xdr:colOff>123825</xdr:colOff>
      <xdr:row>3</xdr:row>
      <xdr:rowOff>28575</xdr:rowOff>
    </xdr:from>
    <xdr:to>
      <xdr:col>26</xdr:col>
      <xdr:colOff>428625</xdr:colOff>
      <xdr:row>28</xdr:row>
      <xdr:rowOff>142875</xdr:rowOff>
    </xdr:to>
    <xdr:sp macro="" textlink="">
      <xdr:nvSpPr>
        <xdr:cNvPr id="3" name="TextBox 2">
          <a:extLst>
            <a:ext uri="{FF2B5EF4-FFF2-40B4-BE49-F238E27FC236}">
              <a16:creationId xmlns:a16="http://schemas.microsoft.com/office/drawing/2014/main" id="{A1CD5669-DAD2-90DD-A090-F63EE15696D5}"/>
            </a:ext>
          </a:extLst>
        </xdr:cNvPr>
        <xdr:cNvSpPr txBox="1"/>
      </xdr:nvSpPr>
      <xdr:spPr>
        <a:xfrm>
          <a:off x="11096625" y="600075"/>
          <a:ext cx="5181600" cy="4876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GB"/>
        </a:p>
        <a:p>
          <a:r>
            <a:rPr lang="en-GB"/>
            <a:t>bond</a:t>
          </a:r>
          <a:r>
            <a:rPr lang="en-GB" baseline="0"/>
            <a:t> transcript from meeting</a:t>
          </a:r>
          <a:endParaRPr lang="en-GB"/>
        </a:p>
        <a:p>
          <a:r>
            <a:rPr lang="en-GB"/>
            <a:t>Maybe if you just assume that OK, we invest in risk free Parliament bonds, that is like what you can do. </a:t>
          </a:r>
        </a:p>
        <a:p>
          <a:r>
            <a:rPr lang="en-GB"/>
            <a:t>Of course, you then have like a task here to to set the parameters correctly in the budget model, and you may also like estimate the paramics and the budgeting models. From some bond prices. </a:t>
          </a:r>
        </a:p>
        <a:p>
          <a:r>
            <a:rPr lang="en-GB"/>
            <a:t>So that is a task for you to set what the parameter should be. In this model, I just assumed something. But the bond itself, you know, it is like a collection of bonds and it has some, some kind of duration. So it may be a A20 year like 7 to 10 year duration portfolio. And then you say. </a:t>
          </a:r>
        </a:p>
        <a:p>
          <a:r>
            <a:rPr lang="en-GB"/>
            <a:t>Eight years duration in that portfolio and then you may say, OK, I'm modeling as a. Ads coupon bond. And then you can put in return on the ETF as like investing in. ATC Groupon bot and for the 20 year you have a 20 year 2 common bot because a 20 years 0 coupon bond has a duration of 20. You can just calculate the return on that.</a:t>
          </a:r>
          <a:endParaRPr lang="en-UM"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381000</xdr:colOff>
      <xdr:row>0</xdr:row>
      <xdr:rowOff>152400</xdr:rowOff>
    </xdr:from>
    <xdr:to>
      <xdr:col>19</xdr:col>
      <xdr:colOff>304800</xdr:colOff>
      <xdr:row>13</xdr:row>
      <xdr:rowOff>161925</xdr:rowOff>
    </xdr:to>
    <xdr:sp macro="" textlink="">
      <xdr:nvSpPr>
        <xdr:cNvPr id="2" name="TextBox 1">
          <a:extLst>
            <a:ext uri="{FF2B5EF4-FFF2-40B4-BE49-F238E27FC236}">
              <a16:creationId xmlns:a16="http://schemas.microsoft.com/office/drawing/2014/main" id="{C2E9A848-DC40-7111-B8A2-837FD02ED4C5}"/>
            </a:ext>
          </a:extLst>
        </xdr:cNvPr>
        <xdr:cNvSpPr txBox="1"/>
      </xdr:nvSpPr>
      <xdr:spPr>
        <a:xfrm>
          <a:off x="5810250" y="152400"/>
          <a:ext cx="6896100" cy="24860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Add:</a:t>
          </a:r>
          <a:r>
            <a:rPr lang="en-US" sz="1100" baseline="0"/>
            <a:t> Check back on Franklins book to see if he tackles the concept of present value. From what I remember he does not mention it so much but I can also check in the python model if this is being done.</a:t>
          </a:r>
        </a:p>
        <a:p>
          <a:endParaRPr lang="en-US" sz="1100" baseline="0"/>
        </a:p>
        <a:p>
          <a:r>
            <a:rPr lang="en-US" sz="1100" baseline="0"/>
            <a:t>In tab Income, are we effectively using future value since we take into account inflation and salary raise? Is this good enough? Are the goals then in future value and thus when calculating the actual goals we should take into account the inflation for the goals themselves? AKA: If a house today costs 2 mill DKK, but we want to buy in 10 years, we should put in the goal the future price and not the 2 mill DKK.</a:t>
          </a:r>
        </a:p>
        <a:p>
          <a:endParaRPr lang="en-US" sz="1100" baseline="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6</xdr:col>
      <xdr:colOff>702090</xdr:colOff>
      <xdr:row>19</xdr:row>
      <xdr:rowOff>82826</xdr:rowOff>
    </xdr:from>
    <xdr:to>
      <xdr:col>9</xdr:col>
      <xdr:colOff>231914</xdr:colOff>
      <xdr:row>39</xdr:row>
      <xdr:rowOff>74543</xdr:rowOff>
    </xdr:to>
    <xdr:sp macro="" textlink="">
      <xdr:nvSpPr>
        <xdr:cNvPr id="2" name="TextBox 1">
          <a:extLst>
            <a:ext uri="{FF2B5EF4-FFF2-40B4-BE49-F238E27FC236}">
              <a16:creationId xmlns:a16="http://schemas.microsoft.com/office/drawing/2014/main" id="{2DC845ED-9F3F-F3F5-C69E-2F8DD9A75F57}"/>
            </a:ext>
          </a:extLst>
        </xdr:cNvPr>
        <xdr:cNvSpPr txBox="1"/>
      </xdr:nvSpPr>
      <xdr:spPr>
        <a:xfrm>
          <a:off x="4114525" y="4273826"/>
          <a:ext cx="3397802" cy="380171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Starting salary is from</a:t>
          </a:r>
          <a:r>
            <a:rPr lang="en-US" sz="1100" baseline="0"/>
            <a:t> Djøf.</a:t>
          </a:r>
        </a:p>
        <a:p>
          <a:endParaRPr lang="en-US" sz="1100" baseline="0"/>
        </a:p>
        <a:p>
          <a:r>
            <a:rPr lang="en-US" sz="1100" baseline="0"/>
            <a:t>Salary is affected by </a:t>
          </a:r>
          <a:r>
            <a:rPr lang="en-US" sz="1100" b="1" baseline="0"/>
            <a:t>Inflation</a:t>
          </a:r>
          <a:r>
            <a:rPr lang="en-US" sz="1100" b="0" baseline="0"/>
            <a:t> and </a:t>
          </a:r>
          <a:r>
            <a:rPr lang="en-US" sz="1100" b="1" baseline="0"/>
            <a:t>Career Progression</a:t>
          </a:r>
        </a:p>
        <a:p>
          <a:endParaRPr lang="en-US" sz="1100" b="1" baseline="0"/>
        </a:p>
        <a:p>
          <a:r>
            <a:rPr lang="en-US" sz="1100" b="1" baseline="0"/>
            <a:t>Inflation:</a:t>
          </a:r>
        </a:p>
        <a:p>
          <a:r>
            <a:rPr lang="en-US" sz="1100" b="0" i="0"/>
            <a:t>Insert</a:t>
          </a:r>
          <a:r>
            <a:rPr lang="en-US" sz="1100" b="0" i="0" baseline="0"/>
            <a:t> explanation for how we use inflation, </a:t>
          </a:r>
          <a:r>
            <a:rPr lang="en-US" sz="1100" b="1" i="0" baseline="0"/>
            <a:t>for now just using a dummy 3%</a:t>
          </a:r>
        </a:p>
        <a:p>
          <a:endParaRPr lang="en-US" sz="1100" b="1" i="0" baseline="0"/>
        </a:p>
        <a:p>
          <a:r>
            <a:rPr lang="en-US" sz="1100" b="1" i="0" baseline="0"/>
            <a:t>Career Progression:</a:t>
          </a:r>
        </a:p>
        <a:p>
          <a:r>
            <a:rPr lang="en-US" sz="1100" b="0" i="0" baseline="0"/>
            <a:t>Career Progression refers to switching jobs every couple years, which we assume will yield a higher raise compared to staying in the same company. We have created a worksheet called "Job Hopping", which simulates the ages at which both profiles will job hop.</a:t>
          </a:r>
        </a:p>
        <a:p>
          <a:endParaRPr lang="en-US" sz="1100" b="0" i="0" baseline="0"/>
        </a:p>
        <a:p>
          <a:r>
            <a:rPr lang="en-US" sz="1100" b="0" i="0" baseline="0"/>
            <a:t>Note that both profile share the </a:t>
          </a:r>
          <a:r>
            <a:rPr lang="en-US" sz="1100" b="1" i="0" baseline="0"/>
            <a:t>age</a:t>
          </a:r>
          <a:r>
            <a:rPr lang="en-US" sz="1100" b="0" i="0" baseline="0"/>
            <a:t> in which they job hop, but not necessarily the year.</a:t>
          </a:r>
          <a:endParaRPr lang="en-UM" sz="1100" b="0" i="0"/>
        </a:p>
      </xdr:txBody>
    </xdr:sp>
    <xdr:clientData/>
  </xdr:twoCellAnchor>
  <xdr:twoCellAnchor>
    <xdr:from>
      <xdr:col>16</xdr:col>
      <xdr:colOff>222405</xdr:colOff>
      <xdr:row>3</xdr:row>
      <xdr:rowOff>160385</xdr:rowOff>
    </xdr:from>
    <xdr:to>
      <xdr:col>21</xdr:col>
      <xdr:colOff>542141</xdr:colOff>
      <xdr:row>20</xdr:row>
      <xdr:rowOff>141335</xdr:rowOff>
    </xdr:to>
    <xdr:sp macro="" textlink="">
      <xdr:nvSpPr>
        <xdr:cNvPr id="7" name="TextBox 2">
          <a:extLst>
            <a:ext uri="{FF2B5EF4-FFF2-40B4-BE49-F238E27FC236}">
              <a16:creationId xmlns:a16="http://schemas.microsoft.com/office/drawing/2014/main" id="{88172C51-5511-4734-80A4-7930D9CDE8A2}"/>
            </a:ext>
          </a:extLst>
        </xdr:cNvPr>
        <xdr:cNvSpPr txBox="1"/>
      </xdr:nvSpPr>
      <xdr:spPr>
        <a:xfrm>
          <a:off x="16630253" y="731885"/>
          <a:ext cx="3218649" cy="32194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Median Senior</a:t>
          </a:r>
          <a:r>
            <a:rPr lang="en-US" sz="1100" baseline="0"/>
            <a:t> Consultant salary, Djf Privats lnstatistik 2024 - Tendenspapir, Table 1</a:t>
          </a:r>
        </a:p>
        <a:p>
          <a:endParaRPr lang="en-US" sz="1100" b="0" i="0" baseline="0"/>
        </a:p>
        <a:p>
          <a:pPr marL="0" marR="0" lvl="0" indent="0" defTabSz="914400" eaLnBrk="1" fontAlgn="auto" latinLnBrk="0" hangingPunct="1">
            <a:lnSpc>
              <a:spcPct val="100000"/>
            </a:lnSpc>
            <a:spcBef>
              <a:spcPts val="0"/>
            </a:spcBef>
            <a:spcAft>
              <a:spcPts val="0"/>
            </a:spcAft>
            <a:buClrTx/>
            <a:buSzTx/>
            <a:buFontTx/>
            <a:buNone/>
            <a:tabLst/>
            <a:defRPr/>
          </a:pPr>
          <a:r>
            <a:rPr lang="en-US" sz="1100">
              <a:solidFill>
                <a:schemeClr val="dk1"/>
              </a:solidFill>
              <a:effectLst/>
              <a:latin typeface="+mn-lt"/>
              <a:ea typeface="+mn-ea"/>
              <a:cs typeface="+mn-cs"/>
            </a:rPr>
            <a:t>Median</a:t>
          </a:r>
          <a:r>
            <a:rPr lang="en-US" sz="1100" baseline="0">
              <a:solidFill>
                <a:schemeClr val="dk1"/>
              </a:solidFill>
              <a:effectLst/>
              <a:latin typeface="+mn-lt"/>
              <a:ea typeface="+mn-ea"/>
              <a:cs typeface="+mn-cs"/>
            </a:rPr>
            <a:t> Graduate salary, Djf Privats lnstatistik 2024 - Tendenspapir, Table 1</a:t>
          </a:r>
          <a:endParaRPr lang="en-UM">
            <a:effectLst/>
          </a:endParaRPr>
        </a:p>
        <a:p>
          <a:endParaRPr lang="en-UM" sz="1100" b="0" i="0"/>
        </a:p>
      </xdr:txBody>
    </xdr:sp>
    <xdr:clientData/>
  </xdr:twoCellAnchor>
  <xdr:twoCellAnchor>
    <xdr:from>
      <xdr:col>12</xdr:col>
      <xdr:colOff>1341549</xdr:colOff>
      <xdr:row>1</xdr:row>
      <xdr:rowOff>143098</xdr:rowOff>
    </xdr:from>
    <xdr:to>
      <xdr:col>16</xdr:col>
      <xdr:colOff>304084</xdr:colOff>
      <xdr:row>7</xdr:row>
      <xdr:rowOff>17887</xdr:rowOff>
    </xdr:to>
    <xdr:cxnSp macro="">
      <xdr:nvCxnSpPr>
        <xdr:cNvPr id="5" name="Straight Arrow Connector 4">
          <a:extLst>
            <a:ext uri="{FF2B5EF4-FFF2-40B4-BE49-F238E27FC236}">
              <a16:creationId xmlns:a16="http://schemas.microsoft.com/office/drawing/2014/main" id="{BF0F1574-FB35-545B-0984-B31589A6D8FA}"/>
            </a:ext>
          </a:extLst>
        </xdr:cNvPr>
        <xdr:cNvCxnSpPr/>
      </xdr:nvCxnSpPr>
      <xdr:spPr>
        <a:xfrm flipH="1" flipV="1">
          <a:off x="8442817" y="330915"/>
          <a:ext cx="3935211" cy="1001690"/>
        </a:xfrm>
        <a:prstGeom prst="straightConnector1">
          <a:avLst/>
        </a:prstGeom>
        <a:ln>
          <a:tailEnd type="triangle"/>
        </a:ln>
      </xdr:spPr>
      <xdr:style>
        <a:lnRef idx="2">
          <a:schemeClr val="dk1"/>
        </a:lnRef>
        <a:fillRef idx="0">
          <a:schemeClr val="dk1"/>
        </a:fillRef>
        <a:effectRef idx="1">
          <a:schemeClr val="dk1"/>
        </a:effectRef>
        <a:fontRef idx="minor">
          <a:schemeClr val="tx1"/>
        </a:fontRef>
      </xdr:style>
    </xdr:cxnSp>
    <xdr:clientData/>
  </xdr:twoCellAnchor>
  <xdr:twoCellAnchor>
    <xdr:from>
      <xdr:col>13</xdr:col>
      <xdr:colOff>1439931</xdr:colOff>
      <xdr:row>1</xdr:row>
      <xdr:rowOff>116267</xdr:rowOff>
    </xdr:from>
    <xdr:to>
      <xdr:col>16</xdr:col>
      <xdr:colOff>268310</xdr:colOff>
      <xdr:row>4</xdr:row>
      <xdr:rowOff>169929</xdr:rowOff>
    </xdr:to>
    <xdr:cxnSp macro="">
      <xdr:nvCxnSpPr>
        <xdr:cNvPr id="6" name="Straight Arrow Connector 5">
          <a:extLst>
            <a:ext uri="{FF2B5EF4-FFF2-40B4-BE49-F238E27FC236}">
              <a16:creationId xmlns:a16="http://schemas.microsoft.com/office/drawing/2014/main" id="{AF50D647-44A3-4B08-BEAE-31FE3E1A340A}"/>
            </a:ext>
          </a:extLst>
        </xdr:cNvPr>
        <xdr:cNvCxnSpPr/>
      </xdr:nvCxnSpPr>
      <xdr:spPr>
        <a:xfrm flipH="1" flipV="1">
          <a:off x="10043734" y="304084"/>
          <a:ext cx="2298520" cy="617113"/>
        </a:xfrm>
        <a:prstGeom prst="straightConnector1">
          <a:avLst/>
        </a:prstGeom>
        <a:ln>
          <a:tailEnd type="triangle"/>
        </a:ln>
      </xdr:spPr>
      <xdr:style>
        <a:lnRef idx="2">
          <a:schemeClr val="dk1"/>
        </a:lnRef>
        <a:fillRef idx="0">
          <a:schemeClr val="dk1"/>
        </a:fillRef>
        <a:effectRef idx="1">
          <a:schemeClr val="dk1"/>
        </a:effectRef>
        <a:fontRef idx="minor">
          <a:schemeClr val="tx1"/>
        </a:fontRef>
      </xdr:style>
    </xdr:cxnSp>
    <xdr:clientData/>
  </xdr:twoCellAnchor>
  <xdr:twoCellAnchor>
    <xdr:from>
      <xdr:col>6</xdr:col>
      <xdr:colOff>755099</xdr:colOff>
      <xdr:row>7</xdr:row>
      <xdr:rowOff>168966</xdr:rowOff>
    </xdr:from>
    <xdr:to>
      <xdr:col>9</xdr:col>
      <xdr:colOff>284923</xdr:colOff>
      <xdr:row>13</xdr:row>
      <xdr:rowOff>99391</xdr:rowOff>
    </xdr:to>
    <xdr:sp macro="" textlink="">
      <xdr:nvSpPr>
        <xdr:cNvPr id="4" name="TextBox 3">
          <a:extLst>
            <a:ext uri="{FF2B5EF4-FFF2-40B4-BE49-F238E27FC236}">
              <a16:creationId xmlns:a16="http://schemas.microsoft.com/office/drawing/2014/main" id="{6F20B318-D898-442E-BFCA-8418B7FA1F4F}"/>
            </a:ext>
          </a:extLst>
        </xdr:cNvPr>
        <xdr:cNvSpPr txBox="1"/>
      </xdr:nvSpPr>
      <xdr:spPr>
        <a:xfrm>
          <a:off x="4167534" y="1502466"/>
          <a:ext cx="3397802" cy="10734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 DO LATER: ASSUME SOME COSTS FOR RENT AND LIFE EXPENSES ETC, AND FIGURE OUT A REALISTIC % USED FOR INVESTMENTS</a:t>
          </a:r>
        </a:p>
        <a:p>
          <a:r>
            <a:rPr lang="en-US" sz="1100" b="0" i="0"/>
            <a:t>CALCULATE</a:t>
          </a:r>
          <a:r>
            <a:rPr lang="en-US" sz="1100" b="0" i="0" baseline="0"/>
            <a:t> NET SALARY AS WELL, CALCULATION RN IS WITH GROSS WHICH IS NOT TRUE</a:t>
          </a:r>
          <a:endParaRPr lang="en-UM" sz="1100" b="0" i="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blackrock-my.sharepoint.com/personal/filip_nikolic_blackrock_com/Documents/ECB%20MP.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February%202021%20Update/BII%20GO%20deck%20March%202021.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studentcbs.sharepoint.com/ECON/Regional/Monetary/Credit/Regional%20Domestic%20Credit%20to%20Private%20Sector.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studentcbs.sharepoint.com/IRESHK01D/projects/ECON/Database/REER/TradeW%20Reer.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E:\ABC%20R2K\Disk%201\WPP2000_Excel_Files\DB02_Stock_Indicators\WPP2000_DB2_F1_TOTAL_POPULATION_BOTH_SEXES.xls"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file:///N:\data\BII\Portfolio%20Research\1)%20Portfolio%20construction%20research\Model%20portfolios\20240930%20Model%20Portfolios\ISAA_Inputs_2024Q3.xlsx" TargetMode="External"/><Relationship Id="rId1" Type="http://schemas.openxmlformats.org/officeDocument/2006/relationships/externalLinkPath" Target="file:///N:\data\BII\Portfolio%20Research\1)%20Portfolio%20construction%20research\Model%20portfolios\20240930%20Model%20Portfolios\ISAA_Inputs_2024Q3.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https://studentcbs.sharepoint.com/Users/catyler/AppData/Local/Microsoft/Windows/INetCache/Content.Outlook/15K1W2KR/CapexIntensity.xlsm"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Equities/Solver/Final/Q121-Equity%20solver-1y-regions-checked0206.xlsm"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https://studentcbs.sharepoint.com/blackrock/dfs/506.HK/Documents%20and%20Settings/Administrator/&#26700;&#38754;/Yifan%20Deng/600519&#36149;&#24030;&#33541;&#21488;.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Equities/Solver/Final/Q121-Equity%20solver-1y-workhorse.xlsm"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https://studentcbs.sharepoint.com/ECON/FORECAST/INDONESI/gdp_cpi_for%20data%20comment.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lobal%20insights%20publications/Net%20Zero%20shorty%20-%20May%202022/Charts_.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https://blackrock-my.sharepoint.com/personal/michel_dilmanian_blackrock_com/Documents/Microsoft%20Teams%20Chat%20Files/bear_market_investing_MD_2022.05.31.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Portfolio%20Research/CMA%20-%20Q3%202021%20update/CMA%20Q3%202021%20deck%20-%20datasheet.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blackrock-my.sharepoint.com/personal/tara_sharma_blackrock_com/Documents/Microsoft%20Teams%20Chat%20Files/Chart%20GO_Compilation_HardCopy.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July%202022/bii-global-outlook-in-charts-july-2022.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http://dox/org/859/BII/Publications/BII%20Global%20Outlook%20-%20Q4%202021%20update/bii-global-outlook-in-charts-datasheet.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https://studentcbs.sharepoint.com/Users/vsubheda/Downloads/Additional%20Charts%20-%20Japan%20&amp;%20Earnings%20for%20Risk%20Taking.xlsx"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https://studentcbs.sharepoint.com/na.blkint.com/dfs/data/BII/Individual%20Folders/Virginia/20211122%205y5y%20inflation%20vs%2010y%20yield.xlsx"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http://dox/My%20Documents/margins.xlsx"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Investment%20Outlooks/2022%20outlook/2022_Outlook_Charts.xlsx"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2022%20Outlook%20deck/bii-2022-global-outlook-in-charts-feb22-update.xlsx"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https://blackrock-my.sharepoint.com/personal/vikram_subhedar_blackrock_com/Documents/Microsoft%20Teams%20Chat%20Files/bii-go-sept2021-datasheet.xlsx"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https://studentcbs.sharepoint.com/Users/nagill/Downloads/Equities%20(1).xlsx"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https://studentcbs.sharepoint.com/Users/nfawcett/Downloads/China.xlsx"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Investment%20Outlooks/2022%20midyear%20outlook/BII-2022-midyear-outlook-charts.xlsx"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http://dox/My%20Documents/Temp_GPS/2021.10.25%20GPS%20In%20Focus%20-%20China.xlsx"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https://200chartpack.blackrock.com/ChartPack200DataFiles/Bonds.xlsx"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Weekly%20Commentary/0314%20Weekly/weekly%20commentary%20data%20files_20220314.xlsm"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https://blackrock-my.sharepoint.com/personal/scott_barber_blackrock_com/Documents/Microsoft%20Teams%20Chat%20Files/jb-forum-charts.xlsx"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https://blackrock-my.sharepoint.com/data/BII/Investment%20Strategy/Tracking%20TAA%20views/TAA%20P&amp;L/P&amp;L%20Report/2021/20210628_BII%20TAA%20Performance.xlsx"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https://studentcbs.sharepoint.com/na.blkint.com/dfs/data/BII/Investment%20Strategy/Tracking%20TAA%20views/20200810_Tracking%20TAA%20P&amp;L.xlsx"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930%20forecasts/Equities/Generating%20input%20files/Topdowndata_input.xlsm"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ASR/Alternative_US_ASR_Curve.xlsx"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https://blackrock-my.sharepoint.com/personal/vikram_subhedar_blackrock_com/Documents/Microsoft%20Teams%20Chat%20Files/BII%20-%20GO%20July%202021%20-%20charts%20datasheet%20.xlsx"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Financing%20EM%20green%20transition/Mismatched%20resourc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urchases flow (2)"/>
      <sheetName val="Rates"/>
      <sheetName val="Purchases stock"/>
      <sheetName val="Purchases flow"/>
    </sheetNames>
    <sheetDataSet>
      <sheetData sheetId="0">
        <row r="9">
          <cell r="G9" t="str">
            <v>CBPP</v>
          </cell>
        </row>
      </sheetData>
      <sheetData sheetId="1" refreshError="1"/>
      <sheetData sheetId="2"/>
      <sheetData sheetId="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ccine"/>
      <sheetName val="Activity impact"/>
      <sheetName val="Pent up demand"/>
      <sheetName val="Shock vs response"/>
      <sheetName val="US debt"/>
      <sheetName val="New nominal"/>
      <sheetName val="ERP (March 2021 update)"/>
      <sheetName val="HY and credit"/>
      <sheetName val="Treasuries"/>
      <sheetName val="Breakeven"/>
      <sheetName val="Peripheral"/>
      <sheetName val="Trade"/>
      <sheetName val="Supply chain"/>
      <sheetName val="China"/>
      <sheetName val="UK"/>
      <sheetName val="Business formations"/>
      <sheetName val="Car Air"/>
      <sheetName val="ROE"/>
      <sheetName val="ERP plot"/>
    </sheetNames>
    <sheetDataSet>
      <sheetData sheetId="0"/>
      <sheetData sheetId="1">
        <row r="8">
          <cell r="C8" t="str">
            <v>Global financial crisis</v>
          </cell>
        </row>
      </sheetData>
      <sheetData sheetId="2"/>
      <sheetData sheetId="3">
        <row r="6">
          <cell r="C6">
            <v>3.5930000000000004E-2</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art5 (8)"/>
      <sheetName val="Chart5 (7)"/>
      <sheetName val="Bank Loans Data"/>
      <sheetName val="Sheet1"/>
      <sheetName val="Chart5 (6)"/>
      <sheetName val="Chart1"/>
      <sheetName val="Chart5 (2)"/>
      <sheetName val="CNKR"/>
      <sheetName val="Exh Cumulative change_CN UK US"/>
      <sheetName val="Exh Cumulative change_US&amp;EU (2)"/>
      <sheetName val="Exh Cumulative change_US&amp;EU"/>
      <sheetName val="Exh Cumulative change"/>
      <sheetName val="Exh Cumulative change_US&amp;EU (3)"/>
      <sheetName val="CrossCountry_Accumulative"/>
      <sheetName val="Credit GDP stock"/>
      <sheetName val="Excess Credit Growth Bonds"/>
      <sheetName val="Exh Cumulative change_Bonds"/>
      <sheetName val="Exh Cumulative change_Bonds His"/>
      <sheetName val="Excess_history_MY_Bonds"/>
      <sheetName val="Exh Cumulative change_Bonds_MY"/>
      <sheetName val="Exh Cumulative change_CN08"/>
      <sheetName val="Exh_Cumulative excess"/>
      <sheetName val="Exh Cumulative change_CN"/>
      <sheetName val="Chart5"/>
      <sheetName val="Chart5 total credit"/>
      <sheetName val="Chart5 (3)"/>
      <sheetName val="Chart5 (5)"/>
      <sheetName val="Chart5 (4)"/>
      <sheetName val="Chart7"/>
      <sheetName val="Chart2"/>
      <sheetName val="Chart3"/>
      <sheetName val="Bank Loans&amp;Corp Bonds_Original"/>
      <sheetName val="Bank Loans&amp;Corp Bonds_IN_Change"/>
      <sheetName val="Bank Loans&amp;Bonds Data"/>
      <sheetName val="US&amp;Europe"/>
      <sheetName val="Bonds Data BIS"/>
    </sheetNames>
    <sheetDataSet>
      <sheetData sheetId="0" refreshError="1"/>
      <sheetData sheetId="1" refreshError="1"/>
      <sheetData sheetId="2"/>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sheetData sheetId="32"/>
      <sheetData sheetId="33"/>
      <sheetData sheetId="34" refreshError="1"/>
      <sheetData sheetId="35"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nk to Forecast"/>
      <sheetName val="NEER ANALYSIS"/>
      <sheetName val="ERWINLink"/>
      <sheetName val="REER ANALYSIS"/>
      <sheetName val="Exh_12mFctBil"/>
      <sheetName val="II_Exh2_NEER"/>
      <sheetName val="Exh_NJATWI"/>
      <sheetName val="Exh_NEERchange"/>
      <sheetName val="NEER Summary"/>
      <sheetName val="REER Summary"/>
      <sheetName val="Xrate"/>
      <sheetName val="CPI"/>
      <sheetName val="Weights"/>
      <sheetName val="TradeW"/>
      <sheetName val="Compute"/>
      <sheetName val="Module1"/>
      <sheetName val="Sheet2"/>
      <sheetName val="Sheet1"/>
      <sheetName val="KRW"/>
      <sheetName val="RMB"/>
      <sheetName val="HKD"/>
      <sheetName val="IDR"/>
      <sheetName val="KRW2"/>
      <sheetName val="MYR"/>
      <sheetName val="PHP"/>
      <sheetName val="SGD"/>
      <sheetName val="TWD"/>
      <sheetName val="THB"/>
      <sheetName val="ASIA"/>
      <sheetName val="Modified Goal Seek"/>
      <sheetName val="Goal Seek Module"/>
      <sheetName val="All _eer Summary Update"/>
      <sheetName val="All _eer Update"/>
      <sheetName val="Module2"/>
      <sheetName val="NEER Summary (2)"/>
      <sheetName val="Scenario"/>
      <sheetName val="Exh_12mFct"/>
      <sheetName val="Chart1"/>
      <sheetName val="DDETABLE"/>
      <sheetName val="Market Shares"/>
      <sheetName val="PA vs CL"/>
      <sheetName val="Data_CPI"/>
      <sheetName val="F-DCF"/>
      <sheetName val="Profile"/>
      <sheetName val="JSW Financials"/>
      <sheetName val="TradeW Reer"/>
      <sheetName val="CATTLE"/>
      <sheetName val="FormerEB monthly prod"/>
      <sheetName val="Capex"/>
      <sheetName val="NPV Summary"/>
      <sheetName val="Operating Segments"/>
      <sheetName val="Monthly bulker supply"/>
    </sheetNames>
    <sheetDataSet>
      <sheetData sheetId="0"/>
      <sheetData sheetId="1"/>
      <sheetData sheetId="2"/>
      <sheetData sheetId="3"/>
      <sheetData sheetId="4" refreshError="1"/>
      <sheetData sheetId="5" refreshError="1"/>
      <sheetData sheetId="6" refreshError="1"/>
      <sheetData sheetId="7" refreshError="1"/>
      <sheetData sheetId="8"/>
      <sheetData sheetId="9" refreshError="1"/>
      <sheetData sheetId="10"/>
      <sheetData sheetId="11"/>
      <sheetData sheetId="12" refreshError="1">
        <row r="5">
          <cell r="J5">
            <v>0.17560387366627594</v>
          </cell>
        </row>
        <row r="6">
          <cell r="J6">
            <v>6.8242266652505518E-2</v>
          </cell>
          <cell r="K6">
            <v>0.13674861185796486</v>
          </cell>
        </row>
        <row r="7">
          <cell r="J7">
            <v>5.2245866762161725E-2</v>
          </cell>
        </row>
        <row r="8">
          <cell r="J8">
            <v>5.9987925955747541E-2</v>
          </cell>
          <cell r="L8">
            <v>0.21964280790904137</v>
          </cell>
          <cell r="M8">
            <v>0.16393461566217618</v>
          </cell>
        </row>
        <row r="9">
          <cell r="J9">
            <v>0.18367957240015098</v>
          </cell>
          <cell r="K9">
            <v>0.36806993355433915</v>
          </cell>
        </row>
        <row r="10">
          <cell r="J10">
            <v>8.76950679178891E-2</v>
          </cell>
          <cell r="L10">
            <v>0.32109113042961884</v>
          </cell>
          <cell r="M10">
            <v>0.23965251382741251</v>
          </cell>
        </row>
        <row r="11">
          <cell r="J11">
            <v>3.3864992574666679E-2</v>
          </cell>
          <cell r="L11">
            <v>0.12399498633117785</v>
          </cell>
          <cell r="M11">
            <v>9.2546032450360458E-2</v>
          </cell>
        </row>
        <row r="12">
          <cell r="J12">
            <v>9.281010381935717E-2</v>
          </cell>
          <cell r="K12">
            <v>0.18597935687449385</v>
          </cell>
          <cell r="M12">
            <v>0.25363085082182668</v>
          </cell>
        </row>
        <row r="13">
          <cell r="J13">
            <v>0.1543024950306244</v>
          </cell>
          <cell r="K13">
            <v>0.30920209771320217</v>
          </cell>
        </row>
        <row r="14">
          <cell r="J14">
            <v>9.1567835220621008E-2</v>
          </cell>
          <cell r="L14">
            <v>0.33527107533016198</v>
          </cell>
          <cell r="M14">
            <v>0.25023598723822427</v>
          </cell>
        </row>
      </sheetData>
      <sheetData sheetId="13"/>
      <sheetData sheetId="14"/>
      <sheetData sheetId="15" refreshError="1"/>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STIMATES"/>
      <sheetName val="LOW"/>
      <sheetName val="MEDIUM"/>
      <sheetName val="HIGH"/>
      <sheetName val="CONSTANT"/>
      <sheetName val="NOTES"/>
    </sheetNames>
    <sheetDataSet>
      <sheetData sheetId="0" refreshError="1"/>
      <sheetData sheetId="1" refreshError="1"/>
      <sheetData sheetId="2" refreshError="1"/>
      <sheetData sheetId="3" refreshError="1"/>
      <sheetData sheetId="4" refreshError="1"/>
      <sheetData sheetId="5"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amily_Office_Input"/>
      <sheetName val="US_PP_Input"/>
      <sheetName val="Reserve_Manager_Input"/>
      <sheetName val="UK_Multi_Asset_Input"/>
      <sheetName val="UK_Charity_Input"/>
      <sheetName val="EUR_Wealth_Input"/>
      <sheetName val="US_CP_Input"/>
      <sheetName val="Unconstrained_Input"/>
      <sheetName val="Unconstrained_PerfTracking"/>
      <sheetName val="BPAS_portfolios_Input"/>
      <sheetName val="UK_DB_Inp"/>
      <sheetName val="USWA_Inp"/>
      <sheetName val="Currency bucketing mapping"/>
      <sheetName val="Active risk calculation"/>
      <sheetName val="mkt cap python"/>
      <sheetName val="Fees and Alpha"/>
      <sheetName val="Mapping"/>
      <sheetName val="Old_Cusi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ow r="35">
          <cell r="B35" t="str">
            <v>Cus</v>
          </cell>
          <cell r="C35" t="str">
            <v>Sec</v>
          </cell>
          <cell r="D35" t="str">
            <v>Sec</v>
          </cell>
          <cell r="E35" t="str">
            <v>Pct</v>
          </cell>
          <cell r="F35" t="str">
            <v>Unn</v>
          </cell>
          <cell r="G35" t="str">
            <v>Unn</v>
          </cell>
          <cell r="H35" t="str">
            <v>Unn</v>
          </cell>
          <cell r="I35" t="str">
            <v>Unn</v>
          </cell>
          <cell r="J35" t="str">
            <v>Unn</v>
          </cell>
          <cell r="K35" t="str">
            <v>Unn</v>
          </cell>
          <cell r="L35" t="str">
            <v>AED</v>
          </cell>
          <cell r="M35" t="str">
            <v>AUD</v>
          </cell>
          <cell r="N35" t="str">
            <v>BRL</v>
          </cell>
          <cell r="O35" t="str">
            <v>CAD</v>
          </cell>
          <cell r="P35" t="str">
            <v>CHF</v>
          </cell>
          <cell r="Q35" t="str">
            <v>CLP</v>
          </cell>
          <cell r="R35" t="str">
            <v>CNY</v>
          </cell>
          <cell r="S35" t="str">
            <v>COP</v>
          </cell>
          <cell r="T35" t="str">
            <v>CZK</v>
          </cell>
          <cell r="U35" t="str">
            <v>DEM</v>
          </cell>
          <cell r="V35" t="str">
            <v>DKK</v>
          </cell>
          <cell r="W35" t="str">
            <v>DOP</v>
          </cell>
          <cell r="X35" t="str">
            <v>EGP</v>
          </cell>
          <cell r="Y35" t="str">
            <v>EUR</v>
          </cell>
          <cell r="Z35" t="str">
            <v>GBP</v>
          </cell>
          <cell r="AA35" t="str">
            <v>HKD</v>
          </cell>
          <cell r="AB35" t="str">
            <v>HUF</v>
          </cell>
          <cell r="AC35" t="str">
            <v>IDR</v>
          </cell>
          <cell r="AD35" t="str">
            <v>ILS</v>
          </cell>
          <cell r="AE35" t="str">
            <v>INR</v>
          </cell>
          <cell r="AF35" t="str">
            <v>ITL</v>
          </cell>
          <cell r="AG35" t="str">
            <v>JPY</v>
          </cell>
          <cell r="AH35" t="str">
            <v>KRW</v>
          </cell>
          <cell r="AI35" t="str">
            <v>KWD</v>
          </cell>
          <cell r="AJ35" t="str">
            <v>MXN</v>
          </cell>
          <cell r="AK35" t="str">
            <v>MYR</v>
          </cell>
          <cell r="AL35" t="str">
            <v>NOK</v>
          </cell>
          <cell r="AM35" t="str">
            <v>NZD</v>
          </cell>
          <cell r="AN35" t="str">
            <v>PEN</v>
          </cell>
          <cell r="AO35" t="str">
            <v>PHP</v>
          </cell>
          <cell r="AP35" t="str">
            <v>PLN</v>
          </cell>
          <cell r="AQ35" t="str">
            <v>QAR</v>
          </cell>
          <cell r="AR35" t="str">
            <v>RON</v>
          </cell>
          <cell r="AS35" t="str">
            <v>RSD</v>
          </cell>
          <cell r="AT35" t="str">
            <v>RUB</v>
          </cell>
          <cell r="AU35" t="str">
            <v>SAR</v>
          </cell>
          <cell r="AV35" t="str">
            <v>SEK</v>
          </cell>
          <cell r="AW35" t="str">
            <v>SGD</v>
          </cell>
          <cell r="AX35" t="str">
            <v>THB</v>
          </cell>
          <cell r="AY35" t="str">
            <v>TRY</v>
          </cell>
          <cell r="AZ35" t="str">
            <v>TWD</v>
          </cell>
          <cell r="BA35" t="str">
            <v>UYU</v>
          </cell>
          <cell r="BB35" t="str">
            <v>ZAR</v>
          </cell>
          <cell r="BC35" t="str">
            <v>USD</v>
          </cell>
          <cell r="BD35" t="str">
            <v>Unn</v>
          </cell>
          <cell r="BE35" t="str">
            <v>Unn</v>
          </cell>
          <cell r="BF35" t="str">
            <v>Unn</v>
          </cell>
        </row>
        <row r="36">
          <cell r="B36" t="str">
            <v>Cusip</v>
          </cell>
          <cell r="C36" t="str">
            <v>Security Name</v>
          </cell>
          <cell r="D36" t="str">
            <v>Security Ticker</v>
          </cell>
          <cell r="E36" t="str">
            <v>Pct Weight</v>
          </cell>
          <cell r="F36" t="str">
            <v>Unnamed Column</v>
          </cell>
          <cell r="G36" t="str">
            <v>Unnamed Column 2</v>
          </cell>
          <cell r="H36" t="str">
            <v>Unnamed Column 3</v>
          </cell>
          <cell r="I36" t="str">
            <v>Unnamed Column 4</v>
          </cell>
          <cell r="J36" t="str">
            <v>Unnamed Column 5</v>
          </cell>
          <cell r="K36" t="str">
            <v>Unnamed Column 6</v>
          </cell>
          <cell r="L36" t="str">
            <v>AED/PLN Exposure</v>
          </cell>
          <cell r="M36" t="str">
            <v>AUD/PLN Exposure</v>
          </cell>
          <cell r="N36" t="str">
            <v>BRL/PLN Exposure</v>
          </cell>
          <cell r="O36" t="str">
            <v>CAD/PLN Exposure</v>
          </cell>
          <cell r="P36" t="str">
            <v>CHF/PLN Exposure</v>
          </cell>
          <cell r="Q36" t="str">
            <v>CLP/PLN Exposure</v>
          </cell>
          <cell r="R36" t="str">
            <v>CNY/PLN Exposure</v>
          </cell>
          <cell r="S36" t="str">
            <v>COP/PLN Exposure</v>
          </cell>
          <cell r="T36" t="str">
            <v>CZK/PLN Exposure</v>
          </cell>
          <cell r="U36" t="str">
            <v>DEM/PLN Exposure</v>
          </cell>
          <cell r="V36" t="str">
            <v>DKK/PLN Exposure</v>
          </cell>
          <cell r="W36" t="str">
            <v>DOP/PLN Exposure</v>
          </cell>
          <cell r="X36" t="str">
            <v>EGP/PLN Exposure</v>
          </cell>
          <cell r="Y36" t="str">
            <v>EUR/PLN Exposure</v>
          </cell>
          <cell r="Z36" t="str">
            <v>GBP/PLN Exposure</v>
          </cell>
          <cell r="AA36" t="str">
            <v>HKD/PLN Exposure</v>
          </cell>
          <cell r="AB36" t="str">
            <v>HUF/PLN Exposure</v>
          </cell>
          <cell r="AC36" t="str">
            <v>IDR/PLN Exposure</v>
          </cell>
          <cell r="AD36" t="str">
            <v>ILS/PLN Exposure</v>
          </cell>
          <cell r="AE36" t="str">
            <v>INR/PLN Exposure</v>
          </cell>
          <cell r="AF36" t="str">
            <v>ITL/PLN Exposure</v>
          </cell>
          <cell r="AG36" t="str">
            <v>JPY/PLN Exposure</v>
          </cell>
          <cell r="AH36" t="str">
            <v>KRW/PLN Exposure</v>
          </cell>
          <cell r="AI36" t="str">
            <v>KWD/PLN Exposure</v>
          </cell>
          <cell r="AJ36" t="str">
            <v>MXN/PLN Exposure</v>
          </cell>
          <cell r="AK36" t="str">
            <v>MYR/PLN Exposure</v>
          </cell>
          <cell r="AL36" t="str">
            <v>NOK/PLN Exposure</v>
          </cell>
          <cell r="AM36" t="str">
            <v>NZD/PLN Exposure</v>
          </cell>
          <cell r="AN36" t="str">
            <v>PEN/PLN Exposure</v>
          </cell>
          <cell r="AO36" t="str">
            <v>PHP/PLN Exposure</v>
          </cell>
          <cell r="AP36" t="str">
            <v>PLN/PLN Exposure</v>
          </cell>
          <cell r="AQ36" t="str">
            <v>QAR/PLN Exposure</v>
          </cell>
          <cell r="AR36" t="str">
            <v>RON/PLN Exposure</v>
          </cell>
          <cell r="AS36" t="str">
            <v>RSD/PLN Exposure</v>
          </cell>
          <cell r="AT36" t="str">
            <v>RUB/PLN Exposure</v>
          </cell>
          <cell r="AU36" t="str">
            <v>SAR/PLN Exposure</v>
          </cell>
          <cell r="AV36" t="str">
            <v>SEK/PLN Exposure</v>
          </cell>
          <cell r="AW36" t="str">
            <v>SGD/PLN Exposure</v>
          </cell>
          <cell r="AX36" t="str">
            <v>THB/PLN Exposure</v>
          </cell>
          <cell r="AY36" t="str">
            <v>TRY/PLN Exposure</v>
          </cell>
          <cell r="AZ36" t="str">
            <v>TWD/PLN Exposure</v>
          </cell>
          <cell r="BA36" t="str">
            <v>UYU/PLN Exposure</v>
          </cell>
          <cell r="BB36" t="str">
            <v>ZAR/PLN Exposure</v>
          </cell>
          <cell r="BC36" t="str">
            <v>USD/PLN Exposure</v>
          </cell>
          <cell r="BD36" t="str">
            <v>Unnamed Column 7</v>
          </cell>
          <cell r="BE36" t="str">
            <v>Unnamed Column 8</v>
          </cell>
          <cell r="BF36" t="str">
            <v>Unnamed Column 9</v>
          </cell>
        </row>
        <row r="37">
          <cell r="B37" t="str">
            <v>TOTAL</v>
          </cell>
          <cell r="E37">
            <v>105.00000000000004</v>
          </cell>
          <cell r="L37">
            <v>4.6398388039028453E-2</v>
          </cell>
          <cell r="M37">
            <v>1.7939653535259705</v>
          </cell>
          <cell r="N37">
            <v>0.29900714062552364</v>
          </cell>
          <cell r="O37">
            <v>2.1686753785802368</v>
          </cell>
          <cell r="P37">
            <v>1.3404615418728523</v>
          </cell>
          <cell r="Q37">
            <v>3.8342040844500012E-2</v>
          </cell>
          <cell r="R37">
            <v>3.1255298869057491</v>
          </cell>
          <cell r="S37">
            <v>4.4285535611645423E-2</v>
          </cell>
          <cell r="T37">
            <v>5.9042173181467712E-2</v>
          </cell>
          <cell r="U37">
            <v>-1.7296074113373476E-4</v>
          </cell>
          <cell r="V37">
            <v>0.13225713422224841</v>
          </cell>
          <cell r="W37">
            <v>2.3860346633626322E-3</v>
          </cell>
          <cell r="X37">
            <v>3.1431635700494859E-3</v>
          </cell>
          <cell r="Y37">
            <v>28.104006669174403</v>
          </cell>
          <cell r="Z37">
            <v>13.9289290629661</v>
          </cell>
          <cell r="AA37">
            <v>1.1933478154798198</v>
          </cell>
          <cell r="AB37">
            <v>3.7361975756028017E-2</v>
          </cell>
          <cell r="AC37">
            <v>0.16320375669267118</v>
          </cell>
          <cell r="AD37">
            <v>1.236952276884732E-2</v>
          </cell>
          <cell r="AE37">
            <v>1.4391113488195619</v>
          </cell>
          <cell r="AF37">
            <v>-3.1132166817913589E-3</v>
          </cell>
          <cell r="AG37">
            <v>4.1145424728849536</v>
          </cell>
          <cell r="AH37">
            <v>0.44967534495446815</v>
          </cell>
          <cell r="AI37">
            <v>2.86132057624758E-2</v>
          </cell>
          <cell r="AJ37">
            <v>0.17878933526931376</v>
          </cell>
          <cell r="AK37">
            <v>0.15696237033145291</v>
          </cell>
          <cell r="AL37">
            <v>4.141019561658045E-2</v>
          </cell>
          <cell r="AM37">
            <v>3.0629648736613852E-2</v>
          </cell>
          <cell r="AN37">
            <v>3.0988150308036099E-2</v>
          </cell>
          <cell r="AO37">
            <v>2.2834463136629238E-2</v>
          </cell>
          <cell r="AP37">
            <v>-98.912041692481722</v>
          </cell>
          <cell r="AQ37">
            <v>3.1024126701633681E-2</v>
          </cell>
          <cell r="AR37">
            <v>3.9748682614886455E-2</v>
          </cell>
          <cell r="AS37">
            <v>3.4080715512909373E-3</v>
          </cell>
          <cell r="AT37">
            <v>1.2045904761904756E-2</v>
          </cell>
          <cell r="AU37">
            <v>0.15965280771461066</v>
          </cell>
          <cell r="AV37">
            <v>0.20940594793865475</v>
          </cell>
          <cell r="AW37">
            <v>0.18298427260585456</v>
          </cell>
          <cell r="AX37">
            <v>0.14748181302003158</v>
          </cell>
          <cell r="AY37">
            <v>6.2215717836401133E-2</v>
          </cell>
          <cell r="AZ37">
            <v>0.71425497114479508</v>
          </cell>
          <cell r="BA37">
            <v>1.7943095520610104E-3</v>
          </cell>
          <cell r="BB37">
            <v>0.20464069383815453</v>
          </cell>
          <cell r="BC37">
            <v>38.160401440323746</v>
          </cell>
        </row>
        <row r="38">
          <cell r="B38" t="str">
            <v>BRS26QQW4</v>
          </cell>
          <cell r="C38" t="str">
            <v>FTSE Actuaries UK Index-Linked Gilts ove</v>
          </cell>
          <cell r="D38" t="str">
            <v>FTILGLT5P</v>
          </cell>
          <cell r="E38">
            <v>2</v>
          </cell>
          <cell r="L38">
            <v>0</v>
          </cell>
          <cell r="M38">
            <v>0</v>
          </cell>
          <cell r="N38">
            <v>0</v>
          </cell>
          <cell r="O38">
            <v>0</v>
          </cell>
          <cell r="P38">
            <v>0</v>
          </cell>
          <cell r="Q38">
            <v>0</v>
          </cell>
          <cell r="R38">
            <v>0</v>
          </cell>
          <cell r="S38">
            <v>0</v>
          </cell>
          <cell r="T38">
            <v>0</v>
          </cell>
          <cell r="U38">
            <v>0</v>
          </cell>
          <cell r="V38">
            <v>0</v>
          </cell>
          <cell r="W38">
            <v>0</v>
          </cell>
          <cell r="X38">
            <v>0</v>
          </cell>
          <cell r="Y38">
            <v>0</v>
          </cell>
          <cell r="Z38">
            <v>99.999999999999972</v>
          </cell>
          <cell r="AA38">
            <v>0</v>
          </cell>
          <cell r="AB38">
            <v>0</v>
          </cell>
          <cell r="AC38">
            <v>0</v>
          </cell>
          <cell r="AD38">
            <v>0</v>
          </cell>
          <cell r="AE38">
            <v>0</v>
          </cell>
          <cell r="AF38">
            <v>0</v>
          </cell>
          <cell r="AG38">
            <v>0</v>
          </cell>
          <cell r="AH38">
            <v>0</v>
          </cell>
          <cell r="AI38">
            <v>0</v>
          </cell>
          <cell r="AJ38">
            <v>0</v>
          </cell>
          <cell r="AK38">
            <v>0</v>
          </cell>
          <cell r="AL38">
            <v>0</v>
          </cell>
          <cell r="AM38">
            <v>0</v>
          </cell>
          <cell r="AN38">
            <v>0</v>
          </cell>
          <cell r="AO38">
            <v>0</v>
          </cell>
          <cell r="AP38">
            <v>-99.999999999999972</v>
          </cell>
          <cell r="AQ38">
            <v>0</v>
          </cell>
          <cell r="AR38">
            <v>0</v>
          </cell>
          <cell r="AS38">
            <v>0</v>
          </cell>
          <cell r="AT38">
            <v>0</v>
          </cell>
          <cell r="AU38">
            <v>0</v>
          </cell>
          <cell r="AV38">
            <v>0</v>
          </cell>
          <cell r="AW38">
            <v>0</v>
          </cell>
          <cell r="AX38">
            <v>0</v>
          </cell>
          <cell r="AY38">
            <v>0</v>
          </cell>
          <cell r="AZ38">
            <v>0</v>
          </cell>
          <cell r="BA38">
            <v>0</v>
          </cell>
          <cell r="BB38">
            <v>0</v>
          </cell>
          <cell r="BC38">
            <v>0</v>
          </cell>
        </row>
        <row r="39">
          <cell r="B39" t="str">
            <v>BRT9TAL37</v>
          </cell>
          <cell r="C39" t="str">
            <v>CMA - Core Real Estate UK hedged</v>
          </cell>
          <cell r="D39" t="str">
            <v>CMA_UKREHD</v>
          </cell>
          <cell r="E39">
            <v>1</v>
          </cell>
          <cell r="L39">
            <v>0</v>
          </cell>
          <cell r="M39">
            <v>0</v>
          </cell>
          <cell r="N39">
            <v>0</v>
          </cell>
          <cell r="O39">
            <v>0</v>
          </cell>
          <cell r="P39">
            <v>0</v>
          </cell>
          <cell r="Q39">
            <v>0</v>
          </cell>
          <cell r="R39">
            <v>0</v>
          </cell>
          <cell r="S39">
            <v>0</v>
          </cell>
          <cell r="T39">
            <v>0</v>
          </cell>
          <cell r="U39">
            <v>0</v>
          </cell>
          <cell r="V39">
            <v>0</v>
          </cell>
          <cell r="W39">
            <v>0</v>
          </cell>
          <cell r="X39">
            <v>0</v>
          </cell>
          <cell r="Y39">
            <v>0</v>
          </cell>
          <cell r="Z39">
            <v>0</v>
          </cell>
          <cell r="AA39">
            <v>0</v>
          </cell>
          <cell r="AB39">
            <v>0</v>
          </cell>
          <cell r="AC39">
            <v>0</v>
          </cell>
          <cell r="AD39">
            <v>0</v>
          </cell>
          <cell r="AE39">
            <v>0</v>
          </cell>
          <cell r="AF39">
            <v>0</v>
          </cell>
          <cell r="AG39">
            <v>0</v>
          </cell>
          <cell r="AH39">
            <v>0</v>
          </cell>
          <cell r="AI39">
            <v>0</v>
          </cell>
          <cell r="AJ39">
            <v>0</v>
          </cell>
          <cell r="AK39">
            <v>0</v>
          </cell>
          <cell r="AL39">
            <v>0</v>
          </cell>
          <cell r="AM39">
            <v>0</v>
          </cell>
          <cell r="AN39">
            <v>0</v>
          </cell>
          <cell r="AO39">
            <v>0</v>
          </cell>
          <cell r="AP39">
            <v>-100</v>
          </cell>
          <cell r="AQ39">
            <v>0</v>
          </cell>
          <cell r="AR39">
            <v>0</v>
          </cell>
          <cell r="AS39">
            <v>0</v>
          </cell>
          <cell r="AT39">
            <v>0</v>
          </cell>
          <cell r="AU39">
            <v>0</v>
          </cell>
          <cell r="AV39">
            <v>0</v>
          </cell>
          <cell r="AW39">
            <v>0</v>
          </cell>
          <cell r="AX39">
            <v>0</v>
          </cell>
          <cell r="AY39">
            <v>0</v>
          </cell>
          <cell r="AZ39">
            <v>0</v>
          </cell>
          <cell r="BA39">
            <v>0</v>
          </cell>
          <cell r="BB39">
            <v>0</v>
          </cell>
          <cell r="BC39">
            <v>100</v>
          </cell>
        </row>
        <row r="40">
          <cell r="B40" t="str">
            <v>BRTE916L5</v>
          </cell>
          <cell r="C40" t="str">
            <v>MSCI China A Inclusion NET Index</v>
          </cell>
          <cell r="D40" t="str">
            <v>MSCNAINCLN</v>
          </cell>
          <cell r="E40">
            <v>1</v>
          </cell>
          <cell r="L40">
            <v>0</v>
          </cell>
          <cell r="M40">
            <v>0</v>
          </cell>
          <cell r="N40">
            <v>0</v>
          </cell>
          <cell r="O40">
            <v>0</v>
          </cell>
          <cell r="P40">
            <v>0</v>
          </cell>
          <cell r="Q40">
            <v>0</v>
          </cell>
          <cell r="R40">
            <v>99.295500264355596</v>
          </cell>
          <cell r="S40">
            <v>0</v>
          </cell>
          <cell r="T40">
            <v>0</v>
          </cell>
          <cell r="U40">
            <v>0</v>
          </cell>
          <cell r="V40">
            <v>0</v>
          </cell>
          <cell r="W40">
            <v>0</v>
          </cell>
          <cell r="X40">
            <v>0</v>
          </cell>
          <cell r="Y40">
            <v>0</v>
          </cell>
          <cell r="Z40">
            <v>0</v>
          </cell>
          <cell r="AA40">
            <v>0.70449973564454815</v>
          </cell>
          <cell r="AB40">
            <v>0</v>
          </cell>
          <cell r="AC40">
            <v>0</v>
          </cell>
          <cell r="AD40">
            <v>0</v>
          </cell>
          <cell r="AE40">
            <v>0</v>
          </cell>
          <cell r="AF40">
            <v>0</v>
          </cell>
          <cell r="AG40">
            <v>0</v>
          </cell>
          <cell r="AH40">
            <v>0</v>
          </cell>
          <cell r="AI40">
            <v>0</v>
          </cell>
          <cell r="AJ40">
            <v>0</v>
          </cell>
          <cell r="AK40">
            <v>0</v>
          </cell>
          <cell r="AL40">
            <v>0</v>
          </cell>
          <cell r="AM40">
            <v>0</v>
          </cell>
          <cell r="AN40">
            <v>0</v>
          </cell>
          <cell r="AO40">
            <v>0</v>
          </cell>
          <cell r="AP40">
            <v>-100.00000000000016</v>
          </cell>
          <cell r="AQ40">
            <v>0</v>
          </cell>
          <cell r="AR40">
            <v>0</v>
          </cell>
          <cell r="AS40">
            <v>0</v>
          </cell>
          <cell r="AT40">
            <v>0</v>
          </cell>
          <cell r="AU40">
            <v>0</v>
          </cell>
          <cell r="AV40">
            <v>0</v>
          </cell>
          <cell r="AW40">
            <v>0</v>
          </cell>
          <cell r="AX40">
            <v>0</v>
          </cell>
          <cell r="AY40">
            <v>0</v>
          </cell>
          <cell r="AZ40">
            <v>0</v>
          </cell>
          <cell r="BA40">
            <v>0</v>
          </cell>
          <cell r="BB40">
            <v>0</v>
          </cell>
          <cell r="BC40">
            <v>0</v>
          </cell>
        </row>
        <row r="41">
          <cell r="B41" t="str">
            <v>BRSJNB3E6</v>
          </cell>
          <cell r="C41" t="str">
            <v>MSCI USA Information Technology Index</v>
          </cell>
          <cell r="D41" t="str">
            <v>MSUSATEC</v>
          </cell>
          <cell r="E41">
            <v>1</v>
          </cell>
          <cell r="L41">
            <v>0</v>
          </cell>
          <cell r="M41">
            <v>0</v>
          </cell>
          <cell r="N41">
            <v>0</v>
          </cell>
          <cell r="O41">
            <v>0</v>
          </cell>
          <cell r="P41">
            <v>0</v>
          </cell>
          <cell r="Q41">
            <v>0</v>
          </cell>
          <cell r="R41">
            <v>0</v>
          </cell>
          <cell r="S41">
            <v>0</v>
          </cell>
          <cell r="T41">
            <v>0</v>
          </cell>
          <cell r="U41">
            <v>0</v>
          </cell>
          <cell r="V41">
            <v>0</v>
          </cell>
          <cell r="W41">
            <v>0</v>
          </cell>
          <cell r="X41">
            <v>0</v>
          </cell>
          <cell r="Y41">
            <v>0.43084455216596806</v>
          </cell>
          <cell r="Z41">
            <v>0</v>
          </cell>
          <cell r="AA41">
            <v>0</v>
          </cell>
          <cell r="AB41">
            <v>0</v>
          </cell>
          <cell r="AC41">
            <v>0</v>
          </cell>
          <cell r="AD41">
            <v>0</v>
          </cell>
          <cell r="AE41">
            <v>0.25416129060443943</v>
          </cell>
          <cell r="AF41">
            <v>0</v>
          </cell>
          <cell r="AG41">
            <v>0</v>
          </cell>
          <cell r="AH41">
            <v>0</v>
          </cell>
          <cell r="AI41">
            <v>0</v>
          </cell>
          <cell r="AJ41">
            <v>0</v>
          </cell>
          <cell r="AK41">
            <v>0</v>
          </cell>
          <cell r="AL41">
            <v>0</v>
          </cell>
          <cell r="AM41">
            <v>0</v>
          </cell>
          <cell r="AN41">
            <v>0</v>
          </cell>
          <cell r="AO41">
            <v>0</v>
          </cell>
          <cell r="AP41">
            <v>-100</v>
          </cell>
          <cell r="AQ41">
            <v>0</v>
          </cell>
          <cell r="AR41">
            <v>0</v>
          </cell>
          <cell r="AS41">
            <v>0</v>
          </cell>
          <cell r="AT41">
            <v>0</v>
          </cell>
          <cell r="AU41">
            <v>0</v>
          </cell>
          <cell r="AV41">
            <v>0</v>
          </cell>
          <cell r="AW41">
            <v>0</v>
          </cell>
          <cell r="AX41">
            <v>0</v>
          </cell>
          <cell r="AY41">
            <v>0</v>
          </cell>
          <cell r="AZ41">
            <v>0</v>
          </cell>
          <cell r="BA41">
            <v>0</v>
          </cell>
          <cell r="BB41">
            <v>0</v>
          </cell>
          <cell r="BC41">
            <v>99.314994157229592</v>
          </cell>
        </row>
        <row r="42">
          <cell r="B42" t="str">
            <v>BRSJNAPD6</v>
          </cell>
          <cell r="C42" t="str">
            <v>MSCI USA Consumer Discretionary Index</v>
          </cell>
          <cell r="D42" t="str">
            <v>MSUSACDS</v>
          </cell>
          <cell r="E42">
            <v>1.0000000000000002</v>
          </cell>
          <cell r="L42">
            <v>0</v>
          </cell>
          <cell r="M42">
            <v>0</v>
          </cell>
          <cell r="N42">
            <v>1.9460381601536236</v>
          </cell>
          <cell r="O42">
            <v>0</v>
          </cell>
          <cell r="P42">
            <v>0</v>
          </cell>
          <cell r="Q42">
            <v>0</v>
          </cell>
          <cell r="R42">
            <v>0</v>
          </cell>
          <cell r="S42">
            <v>0</v>
          </cell>
          <cell r="T42">
            <v>0</v>
          </cell>
          <cell r="U42">
            <v>0</v>
          </cell>
          <cell r="V42">
            <v>0</v>
          </cell>
          <cell r="W42">
            <v>0</v>
          </cell>
          <cell r="X42">
            <v>0</v>
          </cell>
          <cell r="Y42">
            <v>0.78077143133591376</v>
          </cell>
          <cell r="Z42">
            <v>0</v>
          </cell>
          <cell r="AA42">
            <v>0</v>
          </cell>
          <cell r="AB42">
            <v>0</v>
          </cell>
          <cell r="AC42">
            <v>0</v>
          </cell>
          <cell r="AD42">
            <v>0</v>
          </cell>
          <cell r="AE42">
            <v>0</v>
          </cell>
          <cell r="AF42">
            <v>0</v>
          </cell>
          <cell r="AG42">
            <v>0</v>
          </cell>
          <cell r="AH42">
            <v>0</v>
          </cell>
          <cell r="AI42">
            <v>0</v>
          </cell>
          <cell r="AJ42">
            <v>0</v>
          </cell>
          <cell r="AK42">
            <v>0</v>
          </cell>
          <cell r="AL42">
            <v>0</v>
          </cell>
          <cell r="AM42">
            <v>0</v>
          </cell>
          <cell r="AN42">
            <v>0</v>
          </cell>
          <cell r="AO42">
            <v>0</v>
          </cell>
          <cell r="AP42">
            <v>-99.999999999999957</v>
          </cell>
          <cell r="AQ42">
            <v>0</v>
          </cell>
          <cell r="AR42">
            <v>0</v>
          </cell>
          <cell r="AS42">
            <v>0</v>
          </cell>
          <cell r="AT42">
            <v>0</v>
          </cell>
          <cell r="AU42">
            <v>0</v>
          </cell>
          <cell r="AV42">
            <v>0</v>
          </cell>
          <cell r="AW42">
            <v>0</v>
          </cell>
          <cell r="AX42">
            <v>0</v>
          </cell>
          <cell r="AY42">
            <v>0</v>
          </cell>
          <cell r="AZ42">
            <v>0</v>
          </cell>
          <cell r="BA42">
            <v>0</v>
          </cell>
          <cell r="BB42">
            <v>0</v>
          </cell>
          <cell r="BC42">
            <v>97.27319040851043</v>
          </cell>
        </row>
        <row r="43">
          <cell r="B43" t="str">
            <v>BRSLC4YJ4</v>
          </cell>
          <cell r="C43" t="str">
            <v>PE - Buyout Global Fund</v>
          </cell>
          <cell r="E43">
            <v>1</v>
          </cell>
          <cell r="L43">
            <v>0</v>
          </cell>
          <cell r="M43">
            <v>0</v>
          </cell>
          <cell r="N43">
            <v>0</v>
          </cell>
          <cell r="O43">
            <v>0</v>
          </cell>
          <cell r="P43">
            <v>0</v>
          </cell>
          <cell r="Q43">
            <v>0</v>
          </cell>
          <cell r="R43">
            <v>0</v>
          </cell>
          <cell r="S43">
            <v>0</v>
          </cell>
          <cell r="T43">
            <v>0</v>
          </cell>
          <cell r="U43">
            <v>0</v>
          </cell>
          <cell r="V43">
            <v>0</v>
          </cell>
          <cell r="W43">
            <v>0</v>
          </cell>
          <cell r="X43">
            <v>0</v>
          </cell>
          <cell r="Y43">
            <v>0</v>
          </cell>
          <cell r="Z43">
            <v>0</v>
          </cell>
          <cell r="AA43">
            <v>0</v>
          </cell>
          <cell r="AB43">
            <v>0</v>
          </cell>
          <cell r="AC43">
            <v>0</v>
          </cell>
          <cell r="AD43">
            <v>0</v>
          </cell>
          <cell r="AE43">
            <v>0</v>
          </cell>
          <cell r="AF43">
            <v>0</v>
          </cell>
          <cell r="AG43">
            <v>0</v>
          </cell>
          <cell r="AH43">
            <v>0</v>
          </cell>
          <cell r="AI43">
            <v>0</v>
          </cell>
          <cell r="AJ43">
            <v>0</v>
          </cell>
          <cell r="AK43">
            <v>0</v>
          </cell>
          <cell r="AL43">
            <v>0</v>
          </cell>
          <cell r="AM43">
            <v>0</v>
          </cell>
          <cell r="AN43">
            <v>0</v>
          </cell>
          <cell r="AO43">
            <v>0</v>
          </cell>
          <cell r="AP43">
            <v>-100</v>
          </cell>
          <cell r="AQ43">
            <v>0</v>
          </cell>
          <cell r="AR43">
            <v>0</v>
          </cell>
          <cell r="AS43">
            <v>0</v>
          </cell>
          <cell r="AT43">
            <v>0</v>
          </cell>
          <cell r="AU43">
            <v>0</v>
          </cell>
          <cell r="AV43">
            <v>0</v>
          </cell>
          <cell r="AW43">
            <v>0</v>
          </cell>
          <cell r="AX43">
            <v>0</v>
          </cell>
          <cell r="AY43">
            <v>0</v>
          </cell>
          <cell r="AZ43">
            <v>0</v>
          </cell>
          <cell r="BA43">
            <v>0</v>
          </cell>
          <cell r="BB43">
            <v>0</v>
          </cell>
          <cell r="BC43">
            <v>100</v>
          </cell>
        </row>
        <row r="44">
          <cell r="B44" t="str">
            <v>BRTDWC9U4</v>
          </cell>
          <cell r="C44" t="str">
            <v>MSCI USA/REAL ESTATE Index</v>
          </cell>
          <cell r="D44" t="str">
            <v>MSCIUSDRS</v>
          </cell>
          <cell r="E44">
            <v>1.0000000000000002</v>
          </cell>
          <cell r="L44">
            <v>0</v>
          </cell>
          <cell r="M44">
            <v>0</v>
          </cell>
          <cell r="N44">
            <v>0</v>
          </cell>
          <cell r="O44">
            <v>0</v>
          </cell>
          <cell r="P44">
            <v>0</v>
          </cell>
          <cell r="Q44">
            <v>0</v>
          </cell>
          <cell r="R44">
            <v>0</v>
          </cell>
          <cell r="S44">
            <v>0</v>
          </cell>
          <cell r="T44">
            <v>0</v>
          </cell>
          <cell r="U44">
            <v>0</v>
          </cell>
          <cell r="V44">
            <v>0</v>
          </cell>
          <cell r="W44">
            <v>0</v>
          </cell>
          <cell r="X44">
            <v>0</v>
          </cell>
          <cell r="Y44">
            <v>0</v>
          </cell>
          <cell r="Z44">
            <v>0</v>
          </cell>
          <cell r="AA44">
            <v>0</v>
          </cell>
          <cell r="AB44">
            <v>0</v>
          </cell>
          <cell r="AC44">
            <v>0</v>
          </cell>
          <cell r="AD44">
            <v>0</v>
          </cell>
          <cell r="AE44">
            <v>0</v>
          </cell>
          <cell r="AF44">
            <v>0</v>
          </cell>
          <cell r="AG44">
            <v>0</v>
          </cell>
          <cell r="AH44">
            <v>0</v>
          </cell>
          <cell r="AI44">
            <v>0</v>
          </cell>
          <cell r="AJ44">
            <v>0</v>
          </cell>
          <cell r="AK44">
            <v>0</v>
          </cell>
          <cell r="AL44">
            <v>0</v>
          </cell>
          <cell r="AM44">
            <v>0</v>
          </cell>
          <cell r="AN44">
            <v>0</v>
          </cell>
          <cell r="AO44">
            <v>0</v>
          </cell>
          <cell r="AP44">
            <v>-100</v>
          </cell>
          <cell r="AQ44">
            <v>0</v>
          </cell>
          <cell r="AR44">
            <v>0</v>
          </cell>
          <cell r="AS44">
            <v>0</v>
          </cell>
          <cell r="AT44">
            <v>0</v>
          </cell>
          <cell r="AU44">
            <v>0</v>
          </cell>
          <cell r="AV44">
            <v>0</v>
          </cell>
          <cell r="AW44">
            <v>0</v>
          </cell>
          <cell r="AX44">
            <v>0</v>
          </cell>
          <cell r="AY44">
            <v>0</v>
          </cell>
          <cell r="AZ44">
            <v>0</v>
          </cell>
          <cell r="BA44">
            <v>0</v>
          </cell>
          <cell r="BB44">
            <v>0</v>
          </cell>
          <cell r="BC44">
            <v>100</v>
          </cell>
        </row>
        <row r="45">
          <cell r="B45" t="str">
            <v>BRS1PQBB7</v>
          </cell>
          <cell r="C45" t="str">
            <v>BBG Euro Aggregate Corporate Index</v>
          </cell>
          <cell r="D45" t="str">
            <v>LEURAGCORP</v>
          </cell>
          <cell r="E45">
            <v>2</v>
          </cell>
          <cell r="L45">
            <v>0</v>
          </cell>
          <cell r="M45">
            <v>0</v>
          </cell>
          <cell r="N45">
            <v>0</v>
          </cell>
          <cell r="O45">
            <v>0</v>
          </cell>
          <cell r="P45">
            <v>0</v>
          </cell>
          <cell r="Q45">
            <v>0</v>
          </cell>
          <cell r="R45">
            <v>0</v>
          </cell>
          <cell r="S45">
            <v>0</v>
          </cell>
          <cell r="T45">
            <v>0</v>
          </cell>
          <cell r="U45">
            <v>0</v>
          </cell>
          <cell r="V45">
            <v>0</v>
          </cell>
          <cell r="W45">
            <v>0</v>
          </cell>
          <cell r="X45">
            <v>0</v>
          </cell>
          <cell r="Y45">
            <v>100.10632951667607</v>
          </cell>
          <cell r="Z45">
            <v>0</v>
          </cell>
          <cell r="AA45">
            <v>0</v>
          </cell>
          <cell r="AB45">
            <v>0</v>
          </cell>
          <cell r="AC45">
            <v>0</v>
          </cell>
          <cell r="AD45">
            <v>0</v>
          </cell>
          <cell r="AE45">
            <v>0</v>
          </cell>
          <cell r="AF45">
            <v>-0.10632951667613165</v>
          </cell>
          <cell r="AG45">
            <v>0</v>
          </cell>
          <cell r="AH45">
            <v>0</v>
          </cell>
          <cell r="AI45">
            <v>0</v>
          </cell>
          <cell r="AJ45">
            <v>0</v>
          </cell>
          <cell r="AK45">
            <v>0</v>
          </cell>
          <cell r="AL45">
            <v>0</v>
          </cell>
          <cell r="AM45">
            <v>0</v>
          </cell>
          <cell r="AN45">
            <v>0</v>
          </cell>
          <cell r="AO45">
            <v>0</v>
          </cell>
          <cell r="AP45">
            <v>-99.999999999999929</v>
          </cell>
          <cell r="AQ45">
            <v>0</v>
          </cell>
          <cell r="AR45">
            <v>0</v>
          </cell>
          <cell r="AS45">
            <v>0</v>
          </cell>
          <cell r="AT45">
            <v>0</v>
          </cell>
          <cell r="AU45">
            <v>0</v>
          </cell>
          <cell r="AV45">
            <v>0</v>
          </cell>
          <cell r="AW45">
            <v>0</v>
          </cell>
          <cell r="AX45">
            <v>0</v>
          </cell>
          <cell r="AY45">
            <v>0</v>
          </cell>
          <cell r="AZ45">
            <v>0</v>
          </cell>
          <cell r="BA45">
            <v>0</v>
          </cell>
          <cell r="BB45">
            <v>0</v>
          </cell>
          <cell r="BC45">
            <v>0</v>
          </cell>
        </row>
        <row r="46">
          <cell r="B46" t="str">
            <v>BRT8ZZBD6</v>
          </cell>
          <cell r="C46" t="str">
            <v>BBG U.S. Tips Index 10Yr Plus - USD GROS</v>
          </cell>
          <cell r="D46" t="str">
            <v>BBUSTIPS10</v>
          </cell>
          <cell r="E46">
            <v>1</v>
          </cell>
          <cell r="L46">
            <v>0</v>
          </cell>
          <cell r="M46">
            <v>0</v>
          </cell>
          <cell r="N46">
            <v>0</v>
          </cell>
          <cell r="O46">
            <v>0</v>
          </cell>
          <cell r="P46">
            <v>0</v>
          </cell>
          <cell r="Q46">
            <v>0</v>
          </cell>
          <cell r="R46">
            <v>0</v>
          </cell>
          <cell r="S46">
            <v>0</v>
          </cell>
          <cell r="T46">
            <v>0</v>
          </cell>
          <cell r="U46">
            <v>0</v>
          </cell>
          <cell r="V46">
            <v>0</v>
          </cell>
          <cell r="W46">
            <v>0</v>
          </cell>
          <cell r="X46">
            <v>0</v>
          </cell>
          <cell r="Y46">
            <v>0</v>
          </cell>
          <cell r="Z46">
            <v>0</v>
          </cell>
          <cell r="AA46">
            <v>0</v>
          </cell>
          <cell r="AB46">
            <v>0</v>
          </cell>
          <cell r="AC46">
            <v>0</v>
          </cell>
          <cell r="AD46">
            <v>0</v>
          </cell>
          <cell r="AE46">
            <v>0</v>
          </cell>
          <cell r="AF46">
            <v>0</v>
          </cell>
          <cell r="AG46">
            <v>0</v>
          </cell>
          <cell r="AH46">
            <v>0</v>
          </cell>
          <cell r="AI46">
            <v>0</v>
          </cell>
          <cell r="AJ46">
            <v>0</v>
          </cell>
          <cell r="AK46">
            <v>0</v>
          </cell>
          <cell r="AL46">
            <v>0</v>
          </cell>
          <cell r="AM46">
            <v>0</v>
          </cell>
          <cell r="AN46">
            <v>0</v>
          </cell>
          <cell r="AO46">
            <v>0</v>
          </cell>
          <cell r="AP46">
            <v>-100</v>
          </cell>
          <cell r="AQ46">
            <v>0</v>
          </cell>
          <cell r="AR46">
            <v>0</v>
          </cell>
          <cell r="AS46">
            <v>0</v>
          </cell>
          <cell r="AT46">
            <v>0</v>
          </cell>
          <cell r="AU46">
            <v>0</v>
          </cell>
          <cell r="AV46">
            <v>0</v>
          </cell>
          <cell r="AW46">
            <v>0</v>
          </cell>
          <cell r="AX46">
            <v>0</v>
          </cell>
          <cell r="AY46">
            <v>0</v>
          </cell>
          <cell r="AZ46">
            <v>0</v>
          </cell>
          <cell r="BA46">
            <v>0</v>
          </cell>
          <cell r="BB46">
            <v>0</v>
          </cell>
          <cell r="BC46">
            <v>100</v>
          </cell>
        </row>
        <row r="47">
          <cell r="B47" t="str">
            <v>BRSJNB3N6</v>
          </cell>
          <cell r="C47" t="str">
            <v>MSCI USA Telecommunication Services Inde</v>
          </cell>
          <cell r="D47" t="str">
            <v>MSUSATEL</v>
          </cell>
          <cell r="E47">
            <v>1</v>
          </cell>
          <cell r="L47">
            <v>0</v>
          </cell>
          <cell r="M47">
            <v>0</v>
          </cell>
          <cell r="N47">
            <v>0</v>
          </cell>
          <cell r="O47">
            <v>0</v>
          </cell>
          <cell r="P47">
            <v>0</v>
          </cell>
          <cell r="Q47">
            <v>0</v>
          </cell>
          <cell r="R47">
            <v>0</v>
          </cell>
          <cell r="S47">
            <v>0</v>
          </cell>
          <cell r="T47">
            <v>0</v>
          </cell>
          <cell r="U47">
            <v>0</v>
          </cell>
          <cell r="V47">
            <v>0</v>
          </cell>
          <cell r="W47">
            <v>0</v>
          </cell>
          <cell r="X47">
            <v>0</v>
          </cell>
          <cell r="Y47">
            <v>0</v>
          </cell>
          <cell r="Z47">
            <v>0</v>
          </cell>
          <cell r="AA47">
            <v>0</v>
          </cell>
          <cell r="AB47">
            <v>0</v>
          </cell>
          <cell r="AC47">
            <v>0</v>
          </cell>
          <cell r="AD47">
            <v>0</v>
          </cell>
          <cell r="AE47">
            <v>0</v>
          </cell>
          <cell r="AF47">
            <v>0</v>
          </cell>
          <cell r="AG47">
            <v>0</v>
          </cell>
          <cell r="AH47">
            <v>0</v>
          </cell>
          <cell r="AI47">
            <v>0</v>
          </cell>
          <cell r="AJ47">
            <v>0</v>
          </cell>
          <cell r="AK47">
            <v>0</v>
          </cell>
          <cell r="AL47">
            <v>0</v>
          </cell>
          <cell r="AM47">
            <v>0</v>
          </cell>
          <cell r="AN47">
            <v>0</v>
          </cell>
          <cell r="AO47">
            <v>0</v>
          </cell>
          <cell r="AP47">
            <v>-99.999999999999986</v>
          </cell>
          <cell r="AQ47">
            <v>0</v>
          </cell>
          <cell r="AR47">
            <v>0</v>
          </cell>
          <cell r="AS47">
            <v>0</v>
          </cell>
          <cell r="AT47">
            <v>0</v>
          </cell>
          <cell r="AU47">
            <v>0</v>
          </cell>
          <cell r="AV47">
            <v>0</v>
          </cell>
          <cell r="AW47">
            <v>0</v>
          </cell>
          <cell r="AX47">
            <v>0</v>
          </cell>
          <cell r="AY47">
            <v>0</v>
          </cell>
          <cell r="AZ47">
            <v>0</v>
          </cell>
          <cell r="BA47">
            <v>0</v>
          </cell>
          <cell r="BB47">
            <v>0</v>
          </cell>
          <cell r="BC47">
            <v>99.999999999999986</v>
          </cell>
        </row>
        <row r="48">
          <cell r="B48" t="str">
            <v>BRS26QUC3</v>
          </cell>
          <cell r="C48" t="str">
            <v>MSCI Developed - US Gross TR Index</v>
          </cell>
          <cell r="D48" t="str">
            <v>MS_US</v>
          </cell>
          <cell r="E48">
            <v>1</v>
          </cell>
          <cell r="L48">
            <v>0</v>
          </cell>
          <cell r="M48">
            <v>3.3572076984601941E-2</v>
          </cell>
          <cell r="N48">
            <v>0.19099711183084575</v>
          </cell>
          <cell r="O48">
            <v>0.12092186133200822</v>
          </cell>
          <cell r="P48">
            <v>0</v>
          </cell>
          <cell r="Q48">
            <v>0</v>
          </cell>
          <cell r="R48">
            <v>0</v>
          </cell>
          <cell r="S48">
            <v>0</v>
          </cell>
          <cell r="T48">
            <v>0</v>
          </cell>
          <cell r="U48">
            <v>0</v>
          </cell>
          <cell r="V48">
            <v>0</v>
          </cell>
          <cell r="W48">
            <v>0</v>
          </cell>
          <cell r="X48">
            <v>0</v>
          </cell>
          <cell r="Y48">
            <v>0.35482724602756144</v>
          </cell>
          <cell r="Z48">
            <v>8.4345037887521901E-2</v>
          </cell>
          <cell r="AA48">
            <v>0</v>
          </cell>
          <cell r="AB48">
            <v>0</v>
          </cell>
          <cell r="AC48">
            <v>0</v>
          </cell>
          <cell r="AD48">
            <v>0</v>
          </cell>
          <cell r="AE48">
            <v>7.8509722597016357E-2</v>
          </cell>
          <cell r="AF48">
            <v>0</v>
          </cell>
          <cell r="AG48">
            <v>0</v>
          </cell>
          <cell r="AH48">
            <v>0</v>
          </cell>
          <cell r="AI48">
            <v>0</v>
          </cell>
          <cell r="AJ48">
            <v>0</v>
          </cell>
          <cell r="AK48">
            <v>0</v>
          </cell>
          <cell r="AL48">
            <v>0</v>
          </cell>
          <cell r="AM48">
            <v>0</v>
          </cell>
          <cell r="AN48">
            <v>0</v>
          </cell>
          <cell r="AO48">
            <v>0</v>
          </cell>
          <cell r="AP48">
            <v>-100.00000000000009</v>
          </cell>
          <cell r="AQ48">
            <v>0</v>
          </cell>
          <cell r="AR48">
            <v>0</v>
          </cell>
          <cell r="AS48">
            <v>0</v>
          </cell>
          <cell r="AT48">
            <v>0</v>
          </cell>
          <cell r="AU48">
            <v>0</v>
          </cell>
          <cell r="AV48">
            <v>0</v>
          </cell>
          <cell r="AW48">
            <v>0</v>
          </cell>
          <cell r="AX48">
            <v>0</v>
          </cell>
          <cell r="AY48">
            <v>0</v>
          </cell>
          <cell r="AZ48">
            <v>0</v>
          </cell>
          <cell r="BA48">
            <v>0</v>
          </cell>
          <cell r="BB48">
            <v>0</v>
          </cell>
          <cell r="BC48">
            <v>99.136826943340537</v>
          </cell>
        </row>
        <row r="49">
          <cell r="B49" t="str">
            <v>B00229466</v>
          </cell>
          <cell r="C49" t="str">
            <v>BBG US Long Credit Index</v>
          </cell>
          <cell r="D49" t="str">
            <v>LCREDLONG</v>
          </cell>
          <cell r="E49">
            <v>1</v>
          </cell>
          <cell r="L49">
            <v>0</v>
          </cell>
          <cell r="M49">
            <v>0</v>
          </cell>
          <cell r="N49">
            <v>0</v>
          </cell>
          <cell r="O49">
            <v>0</v>
          </cell>
          <cell r="P49">
            <v>0</v>
          </cell>
          <cell r="Q49">
            <v>0</v>
          </cell>
          <cell r="R49">
            <v>0</v>
          </cell>
          <cell r="S49">
            <v>0</v>
          </cell>
          <cell r="T49">
            <v>0</v>
          </cell>
          <cell r="U49">
            <v>0</v>
          </cell>
          <cell r="V49">
            <v>0</v>
          </cell>
          <cell r="W49">
            <v>0</v>
          </cell>
          <cell r="X49">
            <v>0</v>
          </cell>
          <cell r="Y49">
            <v>0</v>
          </cell>
          <cell r="Z49">
            <v>0</v>
          </cell>
          <cell r="AA49">
            <v>0</v>
          </cell>
          <cell r="AB49">
            <v>0</v>
          </cell>
          <cell r="AC49">
            <v>0</v>
          </cell>
          <cell r="AD49">
            <v>0</v>
          </cell>
          <cell r="AE49">
            <v>0</v>
          </cell>
          <cell r="AF49">
            <v>0</v>
          </cell>
          <cell r="AG49">
            <v>0</v>
          </cell>
          <cell r="AH49">
            <v>0</v>
          </cell>
          <cell r="AI49">
            <v>0</v>
          </cell>
          <cell r="AJ49">
            <v>0</v>
          </cell>
          <cell r="AK49">
            <v>0</v>
          </cell>
          <cell r="AL49">
            <v>0</v>
          </cell>
          <cell r="AM49">
            <v>0</v>
          </cell>
          <cell r="AN49">
            <v>0</v>
          </cell>
          <cell r="AO49">
            <v>0</v>
          </cell>
          <cell r="AP49">
            <v>-100.00000000000041</v>
          </cell>
          <cell r="AQ49">
            <v>0</v>
          </cell>
          <cell r="AR49">
            <v>0</v>
          </cell>
          <cell r="AS49">
            <v>0</v>
          </cell>
          <cell r="AT49">
            <v>0</v>
          </cell>
          <cell r="AU49">
            <v>0</v>
          </cell>
          <cell r="AV49">
            <v>0</v>
          </cell>
          <cell r="AW49">
            <v>0</v>
          </cell>
          <cell r="AX49">
            <v>0</v>
          </cell>
          <cell r="AY49">
            <v>0</v>
          </cell>
          <cell r="AZ49">
            <v>0</v>
          </cell>
          <cell r="BA49">
            <v>0</v>
          </cell>
          <cell r="BB49">
            <v>0</v>
          </cell>
          <cell r="BC49">
            <v>100.00000000000041</v>
          </cell>
        </row>
        <row r="50">
          <cell r="B50" t="str">
            <v>BRSN0NSF6</v>
          </cell>
          <cell r="C50" t="str">
            <v>FTSE EPRA Nareit Global REITs Index Gros</v>
          </cell>
          <cell r="D50" t="str">
            <v>FTENGRT</v>
          </cell>
          <cell r="E50">
            <v>1</v>
          </cell>
          <cell r="L50">
            <v>0</v>
          </cell>
          <cell r="M50">
            <v>6.2601348063936992</v>
          </cell>
          <cell r="N50">
            <v>0</v>
          </cell>
          <cell r="O50">
            <v>2.2930918018085276</v>
          </cell>
          <cell r="P50">
            <v>0</v>
          </cell>
          <cell r="Q50">
            <v>0</v>
          </cell>
          <cell r="R50">
            <v>0</v>
          </cell>
          <cell r="S50">
            <v>0</v>
          </cell>
          <cell r="T50">
            <v>0</v>
          </cell>
          <cell r="U50">
            <v>0</v>
          </cell>
          <cell r="V50">
            <v>0</v>
          </cell>
          <cell r="W50">
            <v>0</v>
          </cell>
          <cell r="X50">
            <v>0</v>
          </cell>
          <cell r="Y50">
            <v>3.3577822380401856</v>
          </cell>
          <cell r="Z50">
            <v>4.3879649211175691</v>
          </cell>
          <cell r="AA50">
            <v>0.86117122421559933</v>
          </cell>
          <cell r="AB50">
            <v>0</v>
          </cell>
          <cell r="AC50">
            <v>0</v>
          </cell>
          <cell r="AD50">
            <v>0</v>
          </cell>
          <cell r="AE50">
            <v>0.3658270133111528</v>
          </cell>
          <cell r="AF50">
            <v>0</v>
          </cell>
          <cell r="AG50">
            <v>5.73160419241988</v>
          </cell>
          <cell r="AH50">
            <v>0.13380936369076585</v>
          </cell>
          <cell r="AI50">
            <v>0</v>
          </cell>
          <cell r="AJ50">
            <v>0.4935067173689503</v>
          </cell>
          <cell r="AK50">
            <v>7.081801978248671E-2</v>
          </cell>
          <cell r="AL50">
            <v>0</v>
          </cell>
          <cell r="AM50">
            <v>0.25199227967770954</v>
          </cell>
          <cell r="AN50">
            <v>0</v>
          </cell>
          <cell r="AO50">
            <v>3.3589765679158758E-2</v>
          </cell>
          <cell r="AP50">
            <v>-100.00000000000003</v>
          </cell>
          <cell r="AQ50">
            <v>0</v>
          </cell>
          <cell r="AR50">
            <v>0</v>
          </cell>
          <cell r="AS50">
            <v>0</v>
          </cell>
          <cell r="AT50">
            <v>0</v>
          </cell>
          <cell r="AU50">
            <v>0.16007445598490591</v>
          </cell>
          <cell r="AV50">
            <v>0</v>
          </cell>
          <cell r="AW50">
            <v>2.8400180365900254</v>
          </cell>
          <cell r="AX50">
            <v>4.9351121008760337E-2</v>
          </cell>
          <cell r="AY50">
            <v>7.3427256165472896E-2</v>
          </cell>
          <cell r="AZ50">
            <v>0</v>
          </cell>
          <cell r="BA50">
            <v>0</v>
          </cell>
          <cell r="BB50">
            <v>0.41522112856488069</v>
          </cell>
          <cell r="BC50">
            <v>72.220615658180293</v>
          </cell>
        </row>
        <row r="51">
          <cell r="B51" t="str">
            <v>BRT065P53</v>
          </cell>
          <cell r="C51" t="str">
            <v>MSCI USA Industrials Index</v>
          </cell>
          <cell r="D51" t="str">
            <v>MSCIUSAIND</v>
          </cell>
          <cell r="E51">
            <v>1</v>
          </cell>
          <cell r="L51">
            <v>0</v>
          </cell>
          <cell r="M51">
            <v>0</v>
          </cell>
          <cell r="N51">
            <v>0</v>
          </cell>
          <cell r="O51">
            <v>1.1115784178547257</v>
          </cell>
          <cell r="P51">
            <v>0</v>
          </cell>
          <cell r="Q51">
            <v>0</v>
          </cell>
          <cell r="R51">
            <v>0</v>
          </cell>
          <cell r="S51">
            <v>0</v>
          </cell>
          <cell r="T51">
            <v>0</v>
          </cell>
          <cell r="U51">
            <v>0</v>
          </cell>
          <cell r="V51">
            <v>0</v>
          </cell>
          <cell r="W51">
            <v>0</v>
          </cell>
          <cell r="X51">
            <v>0</v>
          </cell>
          <cell r="Y51">
            <v>0.21024524679143092</v>
          </cell>
          <cell r="Z51">
            <v>0.95958672192052419</v>
          </cell>
          <cell r="AA51">
            <v>0</v>
          </cell>
          <cell r="AB51">
            <v>0</v>
          </cell>
          <cell r="AC51">
            <v>0</v>
          </cell>
          <cell r="AD51">
            <v>0</v>
          </cell>
          <cell r="AE51">
            <v>0</v>
          </cell>
          <cell r="AF51">
            <v>0</v>
          </cell>
          <cell r="AG51">
            <v>0</v>
          </cell>
          <cell r="AH51">
            <v>0</v>
          </cell>
          <cell r="AI51">
            <v>0</v>
          </cell>
          <cell r="AJ51">
            <v>0</v>
          </cell>
          <cell r="AK51">
            <v>0</v>
          </cell>
          <cell r="AL51">
            <v>0</v>
          </cell>
          <cell r="AM51">
            <v>0</v>
          </cell>
          <cell r="AN51">
            <v>0</v>
          </cell>
          <cell r="AO51">
            <v>0</v>
          </cell>
          <cell r="AP51">
            <v>-100.00000000000003</v>
          </cell>
          <cell r="AQ51">
            <v>0</v>
          </cell>
          <cell r="AR51">
            <v>0</v>
          </cell>
          <cell r="AS51">
            <v>0</v>
          </cell>
          <cell r="AT51">
            <v>0</v>
          </cell>
          <cell r="AU51">
            <v>0</v>
          </cell>
          <cell r="AV51">
            <v>0</v>
          </cell>
          <cell r="AW51">
            <v>0</v>
          </cell>
          <cell r="AX51">
            <v>0</v>
          </cell>
          <cell r="AY51">
            <v>0</v>
          </cell>
          <cell r="AZ51">
            <v>0</v>
          </cell>
          <cell r="BA51">
            <v>0</v>
          </cell>
          <cell r="BB51">
            <v>0</v>
          </cell>
          <cell r="BC51">
            <v>97.718589613433338</v>
          </cell>
        </row>
        <row r="52">
          <cell r="B52" t="str">
            <v>BRS2NHUY6</v>
          </cell>
          <cell r="C52" t="str">
            <v>MSCI World Small Cap</v>
          </cell>
          <cell r="D52" t="str">
            <v>MSW_SMALL</v>
          </cell>
          <cell r="E52">
            <v>1.0000000000000002</v>
          </cell>
          <cell r="L52">
            <v>0</v>
          </cell>
          <cell r="M52">
            <v>3.2080825798300823</v>
          </cell>
          <cell r="N52">
            <v>0</v>
          </cell>
          <cell r="O52">
            <v>3.712418538626324</v>
          </cell>
          <cell r="P52">
            <v>1.5102122160609861</v>
          </cell>
          <cell r="Q52">
            <v>0</v>
          </cell>
          <cell r="R52">
            <v>0</v>
          </cell>
          <cell r="S52">
            <v>3.2838974688585557E-2</v>
          </cell>
          <cell r="T52">
            <v>0</v>
          </cell>
          <cell r="U52">
            <v>0</v>
          </cell>
          <cell r="V52">
            <v>0.74928074687547241</v>
          </cell>
          <cell r="W52">
            <v>0</v>
          </cell>
          <cell r="X52">
            <v>2.3526281963582578E-2</v>
          </cell>
          <cell r="Y52">
            <v>6.5356056436226408</v>
          </cell>
          <cell r="Z52">
            <v>5.6778506524732233</v>
          </cell>
          <cell r="AA52">
            <v>0.58967708040054423</v>
          </cell>
          <cell r="AB52">
            <v>0</v>
          </cell>
          <cell r="AC52">
            <v>7.795668710676427E-3</v>
          </cell>
          <cell r="AD52">
            <v>0.90879989072896894</v>
          </cell>
          <cell r="AE52">
            <v>2.5417522978863152E-2</v>
          </cell>
          <cell r="AF52">
            <v>0</v>
          </cell>
          <cell r="AG52">
            <v>12.512374009821984</v>
          </cell>
          <cell r="AH52">
            <v>0</v>
          </cell>
          <cell r="AI52">
            <v>0</v>
          </cell>
          <cell r="AJ52">
            <v>6.0862335764157061E-2</v>
          </cell>
          <cell r="AK52">
            <v>0</v>
          </cell>
          <cell r="AL52">
            <v>0.75786931564686288</v>
          </cell>
          <cell r="AM52">
            <v>0.28295548778157625</v>
          </cell>
          <cell r="AN52">
            <v>3.9763570920813007E-2</v>
          </cell>
          <cell r="AO52">
            <v>0</v>
          </cell>
          <cell r="AP52">
            <v>-100.00000000000003</v>
          </cell>
          <cell r="AQ52">
            <v>0</v>
          </cell>
          <cell r="AR52">
            <v>0</v>
          </cell>
          <cell r="AS52">
            <v>0</v>
          </cell>
          <cell r="AT52">
            <v>0</v>
          </cell>
          <cell r="AU52">
            <v>0</v>
          </cell>
          <cell r="AV52">
            <v>1.9630865423626467</v>
          </cell>
          <cell r="AW52">
            <v>0.8794518753387971</v>
          </cell>
          <cell r="AX52">
            <v>0</v>
          </cell>
          <cell r="AY52">
            <v>1.5925492828529415E-2</v>
          </cell>
          <cell r="AZ52">
            <v>0</v>
          </cell>
          <cell r="BA52">
            <v>0</v>
          </cell>
          <cell r="BB52">
            <v>1.77312310166803E-2</v>
          </cell>
          <cell r="BC52">
            <v>60.488474341558025</v>
          </cell>
        </row>
        <row r="53">
          <cell r="B53" t="str">
            <v>BRSJNB2T4</v>
          </cell>
          <cell r="C53" t="str">
            <v>MSCI USA Health Care Index</v>
          </cell>
          <cell r="D53" t="str">
            <v>MSUSAHLT</v>
          </cell>
          <cell r="E53">
            <v>1</v>
          </cell>
          <cell r="L53">
            <v>0</v>
          </cell>
          <cell r="M53">
            <v>0</v>
          </cell>
          <cell r="N53">
            <v>0</v>
          </cell>
          <cell r="O53">
            <v>0</v>
          </cell>
          <cell r="P53">
            <v>0</v>
          </cell>
          <cell r="Q53">
            <v>0</v>
          </cell>
          <cell r="R53">
            <v>0</v>
          </cell>
          <cell r="S53">
            <v>0</v>
          </cell>
          <cell r="T53">
            <v>0</v>
          </cell>
          <cell r="U53">
            <v>0</v>
          </cell>
          <cell r="V53">
            <v>0</v>
          </cell>
          <cell r="W53">
            <v>0</v>
          </cell>
          <cell r="X53">
            <v>0</v>
          </cell>
          <cell r="Y53">
            <v>0</v>
          </cell>
          <cell r="Z53">
            <v>0</v>
          </cell>
          <cell r="AA53">
            <v>0</v>
          </cell>
          <cell r="AB53">
            <v>0</v>
          </cell>
          <cell r="AC53">
            <v>0</v>
          </cell>
          <cell r="AD53">
            <v>0</v>
          </cell>
          <cell r="AE53">
            <v>0</v>
          </cell>
          <cell r="AF53">
            <v>0</v>
          </cell>
          <cell r="AG53">
            <v>0</v>
          </cell>
          <cell r="AH53">
            <v>0</v>
          </cell>
          <cell r="AI53">
            <v>0</v>
          </cell>
          <cell r="AJ53">
            <v>0</v>
          </cell>
          <cell r="AK53">
            <v>0</v>
          </cell>
          <cell r="AL53">
            <v>0</v>
          </cell>
          <cell r="AM53">
            <v>0</v>
          </cell>
          <cell r="AN53">
            <v>0</v>
          </cell>
          <cell r="AO53">
            <v>0</v>
          </cell>
          <cell r="AP53">
            <v>-100</v>
          </cell>
          <cell r="AQ53">
            <v>0</v>
          </cell>
          <cell r="AR53">
            <v>0</v>
          </cell>
          <cell r="AS53">
            <v>0</v>
          </cell>
          <cell r="AT53">
            <v>0</v>
          </cell>
          <cell r="AU53">
            <v>0</v>
          </cell>
          <cell r="AV53">
            <v>0</v>
          </cell>
          <cell r="AW53">
            <v>0</v>
          </cell>
          <cell r="AX53">
            <v>0</v>
          </cell>
          <cell r="AY53">
            <v>0</v>
          </cell>
          <cell r="AZ53">
            <v>0</v>
          </cell>
          <cell r="BA53">
            <v>0</v>
          </cell>
          <cell r="BB53">
            <v>0</v>
          </cell>
          <cell r="BC53">
            <v>100</v>
          </cell>
        </row>
        <row r="54">
          <cell r="B54" t="str">
            <v>B00229474</v>
          </cell>
          <cell r="C54" t="str">
            <v>BBG US Long Treasury Index</v>
          </cell>
          <cell r="D54" t="str">
            <v>LEH_10P</v>
          </cell>
          <cell r="E54">
            <v>1</v>
          </cell>
          <cell r="L54">
            <v>0</v>
          </cell>
          <cell r="M54">
            <v>0</v>
          </cell>
          <cell r="N54">
            <v>0</v>
          </cell>
          <cell r="O54">
            <v>0</v>
          </cell>
          <cell r="P54">
            <v>0</v>
          </cell>
          <cell r="Q54">
            <v>0</v>
          </cell>
          <cell r="R54">
            <v>0</v>
          </cell>
          <cell r="S54">
            <v>0</v>
          </cell>
          <cell r="T54">
            <v>0</v>
          </cell>
          <cell r="U54">
            <v>0</v>
          </cell>
          <cell r="V54">
            <v>0</v>
          </cell>
          <cell r="W54">
            <v>0</v>
          </cell>
          <cell r="X54">
            <v>0</v>
          </cell>
          <cell r="Y54">
            <v>0</v>
          </cell>
          <cell r="Z54">
            <v>0</v>
          </cell>
          <cell r="AA54">
            <v>0</v>
          </cell>
          <cell r="AB54">
            <v>0</v>
          </cell>
          <cell r="AC54">
            <v>0</v>
          </cell>
          <cell r="AD54">
            <v>0</v>
          </cell>
          <cell r="AE54">
            <v>0</v>
          </cell>
          <cell r="AF54">
            <v>0</v>
          </cell>
          <cell r="AG54">
            <v>0</v>
          </cell>
          <cell r="AH54">
            <v>0</v>
          </cell>
          <cell r="AI54">
            <v>0</v>
          </cell>
          <cell r="AJ54">
            <v>0</v>
          </cell>
          <cell r="AK54">
            <v>0</v>
          </cell>
          <cell r="AL54">
            <v>0</v>
          </cell>
          <cell r="AM54">
            <v>0</v>
          </cell>
          <cell r="AN54">
            <v>0</v>
          </cell>
          <cell r="AO54">
            <v>0</v>
          </cell>
          <cell r="AP54">
            <v>-100.00000000000003</v>
          </cell>
          <cell r="AQ54">
            <v>0</v>
          </cell>
          <cell r="AR54">
            <v>0</v>
          </cell>
          <cell r="AS54">
            <v>0</v>
          </cell>
          <cell r="AT54">
            <v>0</v>
          </cell>
          <cell r="AU54">
            <v>0</v>
          </cell>
          <cell r="AV54">
            <v>0</v>
          </cell>
          <cell r="AW54">
            <v>0</v>
          </cell>
          <cell r="AX54">
            <v>0</v>
          </cell>
          <cell r="AY54">
            <v>0</v>
          </cell>
          <cell r="AZ54">
            <v>0</v>
          </cell>
          <cell r="BA54">
            <v>0</v>
          </cell>
          <cell r="BB54">
            <v>0</v>
          </cell>
          <cell r="BC54">
            <v>100.00000000000003</v>
          </cell>
        </row>
        <row r="55">
          <cell r="B55" t="str">
            <v>BRTD2AEC5</v>
          </cell>
          <cell r="C55" t="str">
            <v>MSCI Emerging - China  in CNY</v>
          </cell>
          <cell r="D55" t="str">
            <v>MS_CN_CNY</v>
          </cell>
          <cell r="E55">
            <v>0.99999999999999989</v>
          </cell>
          <cell r="L55">
            <v>0</v>
          </cell>
          <cell r="M55">
            <v>0</v>
          </cell>
          <cell r="N55">
            <v>0</v>
          </cell>
          <cell r="O55">
            <v>0</v>
          </cell>
          <cell r="P55">
            <v>0</v>
          </cell>
          <cell r="Q55">
            <v>0</v>
          </cell>
          <cell r="R55">
            <v>15.239149864171512</v>
          </cell>
          <cell r="S55">
            <v>0</v>
          </cell>
          <cell r="T55">
            <v>0</v>
          </cell>
          <cell r="U55">
            <v>0</v>
          </cell>
          <cell r="V55">
            <v>0</v>
          </cell>
          <cell r="W55">
            <v>0</v>
          </cell>
          <cell r="X55">
            <v>0</v>
          </cell>
          <cell r="Y55">
            <v>0</v>
          </cell>
          <cell r="Z55">
            <v>0</v>
          </cell>
          <cell r="AA55">
            <v>84.760850135828576</v>
          </cell>
          <cell r="AB55">
            <v>0</v>
          </cell>
          <cell r="AC55">
            <v>0</v>
          </cell>
          <cell r="AD55">
            <v>0</v>
          </cell>
          <cell r="AE55">
            <v>0</v>
          </cell>
          <cell r="AF55">
            <v>0</v>
          </cell>
          <cell r="AG55">
            <v>0</v>
          </cell>
          <cell r="AH55">
            <v>0</v>
          </cell>
          <cell r="AI55">
            <v>0</v>
          </cell>
          <cell r="AJ55">
            <v>0</v>
          </cell>
          <cell r="AK55">
            <v>0</v>
          </cell>
          <cell r="AL55">
            <v>0</v>
          </cell>
          <cell r="AM55">
            <v>0</v>
          </cell>
          <cell r="AN55">
            <v>0</v>
          </cell>
          <cell r="AO55">
            <v>0</v>
          </cell>
          <cell r="AP55">
            <v>-100.0000000000001</v>
          </cell>
          <cell r="AQ55">
            <v>0</v>
          </cell>
          <cell r="AR55">
            <v>0</v>
          </cell>
          <cell r="AS55">
            <v>0</v>
          </cell>
          <cell r="AT55">
            <v>0</v>
          </cell>
          <cell r="AU55">
            <v>0</v>
          </cell>
          <cell r="AV55">
            <v>0</v>
          </cell>
          <cell r="AW55">
            <v>0</v>
          </cell>
          <cell r="AX55">
            <v>0</v>
          </cell>
          <cell r="AY55">
            <v>0</v>
          </cell>
          <cell r="AZ55">
            <v>0</v>
          </cell>
          <cell r="BA55">
            <v>0</v>
          </cell>
          <cell r="BB55">
            <v>0</v>
          </cell>
          <cell r="BC55">
            <v>0</v>
          </cell>
        </row>
        <row r="56">
          <cell r="B56" t="str">
            <v>BRTN07HB1</v>
          </cell>
          <cell r="C56" t="str">
            <v>CMA - Direct lending proxy</v>
          </cell>
          <cell r="D56" t="str">
            <v>CMA_DIRLEN</v>
          </cell>
          <cell r="E56">
            <v>1</v>
          </cell>
          <cell r="L56">
            <v>0</v>
          </cell>
          <cell r="M56">
            <v>0</v>
          </cell>
          <cell r="N56">
            <v>0</v>
          </cell>
          <cell r="O56">
            <v>0</v>
          </cell>
          <cell r="P56">
            <v>0</v>
          </cell>
          <cell r="Q56">
            <v>0</v>
          </cell>
          <cell r="R56">
            <v>0</v>
          </cell>
          <cell r="S56">
            <v>0</v>
          </cell>
          <cell r="T56">
            <v>0</v>
          </cell>
          <cell r="U56">
            <v>0</v>
          </cell>
          <cell r="V56">
            <v>0</v>
          </cell>
          <cell r="W56">
            <v>0</v>
          </cell>
          <cell r="X56">
            <v>0</v>
          </cell>
          <cell r="Y56">
            <v>0</v>
          </cell>
          <cell r="Z56">
            <v>0</v>
          </cell>
          <cell r="AA56">
            <v>0</v>
          </cell>
          <cell r="AB56">
            <v>0</v>
          </cell>
          <cell r="AC56">
            <v>0</v>
          </cell>
          <cell r="AD56">
            <v>0</v>
          </cell>
          <cell r="AE56">
            <v>0</v>
          </cell>
          <cell r="AF56">
            <v>0</v>
          </cell>
          <cell r="AG56">
            <v>0</v>
          </cell>
          <cell r="AH56">
            <v>0</v>
          </cell>
          <cell r="AI56">
            <v>0</v>
          </cell>
          <cell r="AJ56">
            <v>0</v>
          </cell>
          <cell r="AK56">
            <v>0</v>
          </cell>
          <cell r="AL56">
            <v>0</v>
          </cell>
          <cell r="AM56">
            <v>0</v>
          </cell>
          <cell r="AN56">
            <v>0</v>
          </cell>
          <cell r="AO56">
            <v>0</v>
          </cell>
          <cell r="AP56">
            <v>-99.999899999999997</v>
          </cell>
          <cell r="AQ56">
            <v>0</v>
          </cell>
          <cell r="AR56">
            <v>0</v>
          </cell>
          <cell r="AS56">
            <v>0</v>
          </cell>
          <cell r="AT56">
            <v>0</v>
          </cell>
          <cell r="AU56">
            <v>0</v>
          </cell>
          <cell r="AV56">
            <v>0</v>
          </cell>
          <cell r="AW56">
            <v>0</v>
          </cell>
          <cell r="AX56">
            <v>0</v>
          </cell>
          <cell r="AY56">
            <v>0</v>
          </cell>
          <cell r="AZ56">
            <v>0</v>
          </cell>
          <cell r="BA56">
            <v>0</v>
          </cell>
          <cell r="BB56">
            <v>0</v>
          </cell>
          <cell r="BC56">
            <v>99.999899999999997</v>
          </cell>
        </row>
        <row r="57">
          <cell r="B57" t="str">
            <v>BRSJNAKR0</v>
          </cell>
          <cell r="C57" t="str">
            <v>MSCI USA Energy Index</v>
          </cell>
          <cell r="D57" t="str">
            <v>MSUSAENG</v>
          </cell>
          <cell r="E57">
            <v>1</v>
          </cell>
          <cell r="L57">
            <v>0</v>
          </cell>
          <cell r="M57">
            <v>0</v>
          </cell>
          <cell r="N57">
            <v>0</v>
          </cell>
          <cell r="O57">
            <v>0.64497078299259558</v>
          </cell>
          <cell r="P57">
            <v>0</v>
          </cell>
          <cell r="Q57">
            <v>0</v>
          </cell>
          <cell r="R57">
            <v>0</v>
          </cell>
          <cell r="S57">
            <v>0</v>
          </cell>
          <cell r="T57">
            <v>0</v>
          </cell>
          <cell r="U57">
            <v>0</v>
          </cell>
          <cell r="V57">
            <v>0</v>
          </cell>
          <cell r="W57">
            <v>0</v>
          </cell>
          <cell r="X57">
            <v>0</v>
          </cell>
          <cell r="Y57">
            <v>0</v>
          </cell>
          <cell r="Z57">
            <v>0</v>
          </cell>
          <cell r="AA57">
            <v>0</v>
          </cell>
          <cell r="AB57">
            <v>0</v>
          </cell>
          <cell r="AC57">
            <v>0</v>
          </cell>
          <cell r="AD57">
            <v>0</v>
          </cell>
          <cell r="AE57">
            <v>0</v>
          </cell>
          <cell r="AF57">
            <v>0</v>
          </cell>
          <cell r="AG57">
            <v>0</v>
          </cell>
          <cell r="AH57">
            <v>0</v>
          </cell>
          <cell r="AI57">
            <v>0</v>
          </cell>
          <cell r="AJ57">
            <v>0</v>
          </cell>
          <cell r="AK57">
            <v>0</v>
          </cell>
          <cell r="AL57">
            <v>0</v>
          </cell>
          <cell r="AM57">
            <v>0</v>
          </cell>
          <cell r="AN57">
            <v>0</v>
          </cell>
          <cell r="AO57">
            <v>0</v>
          </cell>
          <cell r="AP57">
            <v>-100</v>
          </cell>
          <cell r="AQ57">
            <v>0</v>
          </cell>
          <cell r="AR57">
            <v>0</v>
          </cell>
          <cell r="AS57">
            <v>0</v>
          </cell>
          <cell r="AT57">
            <v>0</v>
          </cell>
          <cell r="AU57">
            <v>0</v>
          </cell>
          <cell r="AV57">
            <v>0</v>
          </cell>
          <cell r="AW57">
            <v>0</v>
          </cell>
          <cell r="AX57">
            <v>0</v>
          </cell>
          <cell r="AY57">
            <v>0</v>
          </cell>
          <cell r="AZ57">
            <v>0</v>
          </cell>
          <cell r="BA57">
            <v>0</v>
          </cell>
          <cell r="BB57">
            <v>0</v>
          </cell>
          <cell r="BC57">
            <v>99.355029217007413</v>
          </cell>
        </row>
        <row r="58">
          <cell r="B58" t="str">
            <v>BRSJNB3M8</v>
          </cell>
          <cell r="C58" t="str">
            <v>MSCI USA Materials Index -USD TR</v>
          </cell>
          <cell r="D58" t="str">
            <v>MSUSAMAT</v>
          </cell>
          <cell r="E58">
            <v>1</v>
          </cell>
          <cell r="L58">
            <v>0</v>
          </cell>
          <cell r="M58">
            <v>1.4114313484507652</v>
          </cell>
          <cell r="N58">
            <v>0</v>
          </cell>
          <cell r="O58">
            <v>0</v>
          </cell>
          <cell r="P58">
            <v>0</v>
          </cell>
          <cell r="Q58">
            <v>0</v>
          </cell>
          <cell r="R58">
            <v>0</v>
          </cell>
          <cell r="S58">
            <v>0</v>
          </cell>
          <cell r="T58">
            <v>0</v>
          </cell>
          <cell r="U58">
            <v>0</v>
          </cell>
          <cell r="V58">
            <v>0</v>
          </cell>
          <cell r="W58">
            <v>0</v>
          </cell>
          <cell r="X58">
            <v>0</v>
          </cell>
          <cell r="Y58">
            <v>5.3237761755947632</v>
          </cell>
          <cell r="Z58">
            <v>0</v>
          </cell>
          <cell r="AA58">
            <v>0</v>
          </cell>
          <cell r="AB58">
            <v>0</v>
          </cell>
          <cell r="AC58">
            <v>0</v>
          </cell>
          <cell r="AD58">
            <v>0</v>
          </cell>
          <cell r="AE58">
            <v>0</v>
          </cell>
          <cell r="AF58">
            <v>0</v>
          </cell>
          <cell r="AG58">
            <v>0</v>
          </cell>
          <cell r="AH58">
            <v>0</v>
          </cell>
          <cell r="AI58">
            <v>0</v>
          </cell>
          <cell r="AJ58">
            <v>0</v>
          </cell>
          <cell r="AK58">
            <v>0</v>
          </cell>
          <cell r="AL58">
            <v>0</v>
          </cell>
          <cell r="AM58">
            <v>0</v>
          </cell>
          <cell r="AN58">
            <v>0</v>
          </cell>
          <cell r="AO58">
            <v>0</v>
          </cell>
          <cell r="AP58">
            <v>-100</v>
          </cell>
          <cell r="AQ58">
            <v>0</v>
          </cell>
          <cell r="AR58">
            <v>0</v>
          </cell>
          <cell r="AS58">
            <v>0</v>
          </cell>
          <cell r="AT58">
            <v>0</v>
          </cell>
          <cell r="AU58">
            <v>0</v>
          </cell>
          <cell r="AV58">
            <v>0</v>
          </cell>
          <cell r="AW58">
            <v>0</v>
          </cell>
          <cell r="AX58">
            <v>0</v>
          </cell>
          <cell r="AY58">
            <v>0</v>
          </cell>
          <cell r="AZ58">
            <v>0</v>
          </cell>
          <cell r="BA58">
            <v>0</v>
          </cell>
          <cell r="BB58">
            <v>0</v>
          </cell>
          <cell r="BC58">
            <v>93.264792475954479</v>
          </cell>
        </row>
        <row r="59">
          <cell r="B59" t="str">
            <v>BRSJNB2E7</v>
          </cell>
          <cell r="C59" t="str">
            <v>MSCI USA Financials Index</v>
          </cell>
          <cell r="D59" t="str">
            <v>MSUSAFIS</v>
          </cell>
          <cell r="E59">
            <v>1.0000000000000002</v>
          </cell>
          <cell r="L59">
            <v>0</v>
          </cell>
          <cell r="M59">
            <v>0</v>
          </cell>
          <cell r="N59">
            <v>0</v>
          </cell>
          <cell r="O59">
            <v>0</v>
          </cell>
          <cell r="P59">
            <v>0</v>
          </cell>
          <cell r="Q59">
            <v>0</v>
          </cell>
          <cell r="R59">
            <v>0</v>
          </cell>
          <cell r="S59">
            <v>0</v>
          </cell>
          <cell r="T59">
            <v>0</v>
          </cell>
          <cell r="U59">
            <v>0</v>
          </cell>
          <cell r="V59">
            <v>0</v>
          </cell>
          <cell r="W59">
            <v>0</v>
          </cell>
          <cell r="X59">
            <v>0</v>
          </cell>
          <cell r="Y59">
            <v>0</v>
          </cell>
          <cell r="Z59">
            <v>0</v>
          </cell>
          <cell r="AA59">
            <v>0</v>
          </cell>
          <cell r="AB59">
            <v>0</v>
          </cell>
          <cell r="AC59">
            <v>0</v>
          </cell>
          <cell r="AD59">
            <v>0</v>
          </cell>
          <cell r="AE59">
            <v>0</v>
          </cell>
          <cell r="AF59">
            <v>0</v>
          </cell>
          <cell r="AG59">
            <v>0</v>
          </cell>
          <cell r="AH59">
            <v>0</v>
          </cell>
          <cell r="AI59">
            <v>0</v>
          </cell>
          <cell r="AJ59">
            <v>0</v>
          </cell>
          <cell r="AK59">
            <v>0</v>
          </cell>
          <cell r="AL59">
            <v>0</v>
          </cell>
          <cell r="AM59">
            <v>0</v>
          </cell>
          <cell r="AN59">
            <v>0</v>
          </cell>
          <cell r="AO59">
            <v>0</v>
          </cell>
          <cell r="AP59">
            <v>-99.999999999999957</v>
          </cell>
          <cell r="AQ59">
            <v>0</v>
          </cell>
          <cell r="AR59">
            <v>0</v>
          </cell>
          <cell r="AS59">
            <v>0</v>
          </cell>
          <cell r="AT59">
            <v>0</v>
          </cell>
          <cell r="AU59">
            <v>0</v>
          </cell>
          <cell r="AV59">
            <v>0</v>
          </cell>
          <cell r="AW59">
            <v>0</v>
          </cell>
          <cell r="AX59">
            <v>0</v>
          </cell>
          <cell r="AY59">
            <v>0</v>
          </cell>
          <cell r="AZ59">
            <v>0</v>
          </cell>
          <cell r="BA59">
            <v>0</v>
          </cell>
          <cell r="BB59">
            <v>0</v>
          </cell>
          <cell r="BC59">
            <v>99.999999999999957</v>
          </cell>
        </row>
        <row r="60">
          <cell r="B60" t="str">
            <v>BRSJNB462</v>
          </cell>
          <cell r="C60" t="str">
            <v>MSCI USA Utilities Index</v>
          </cell>
          <cell r="D60" t="str">
            <v>MSUSAUTI</v>
          </cell>
          <cell r="E60">
            <v>1</v>
          </cell>
          <cell r="L60">
            <v>0</v>
          </cell>
          <cell r="M60">
            <v>0</v>
          </cell>
          <cell r="N60">
            <v>0</v>
          </cell>
          <cell r="O60">
            <v>0</v>
          </cell>
          <cell r="P60">
            <v>0</v>
          </cell>
          <cell r="Q60">
            <v>0</v>
          </cell>
          <cell r="R60">
            <v>0</v>
          </cell>
          <cell r="S60">
            <v>0</v>
          </cell>
          <cell r="T60">
            <v>0</v>
          </cell>
          <cell r="U60">
            <v>0</v>
          </cell>
          <cell r="V60">
            <v>0</v>
          </cell>
          <cell r="W60">
            <v>0</v>
          </cell>
          <cell r="X60">
            <v>0</v>
          </cell>
          <cell r="Y60">
            <v>0</v>
          </cell>
          <cell r="Z60">
            <v>0</v>
          </cell>
          <cell r="AA60">
            <v>0</v>
          </cell>
          <cell r="AB60">
            <v>0</v>
          </cell>
          <cell r="AC60">
            <v>0</v>
          </cell>
          <cell r="AD60">
            <v>0</v>
          </cell>
          <cell r="AE60">
            <v>0</v>
          </cell>
          <cell r="AF60">
            <v>0</v>
          </cell>
          <cell r="AG60">
            <v>0</v>
          </cell>
          <cell r="AH60">
            <v>0</v>
          </cell>
          <cell r="AI60">
            <v>0</v>
          </cell>
          <cell r="AJ60">
            <v>0</v>
          </cell>
          <cell r="AK60">
            <v>0</v>
          </cell>
          <cell r="AL60">
            <v>0</v>
          </cell>
          <cell r="AM60">
            <v>0</v>
          </cell>
          <cell r="AN60">
            <v>0</v>
          </cell>
          <cell r="AO60">
            <v>0</v>
          </cell>
          <cell r="AP60">
            <v>-100</v>
          </cell>
          <cell r="AQ60">
            <v>0</v>
          </cell>
          <cell r="AR60">
            <v>0</v>
          </cell>
          <cell r="AS60">
            <v>0</v>
          </cell>
          <cell r="AT60">
            <v>0</v>
          </cell>
          <cell r="AU60">
            <v>0</v>
          </cell>
          <cell r="AV60">
            <v>0</v>
          </cell>
          <cell r="AW60">
            <v>0</v>
          </cell>
          <cell r="AX60">
            <v>0</v>
          </cell>
          <cell r="AY60">
            <v>0</v>
          </cell>
          <cell r="AZ60">
            <v>0</v>
          </cell>
          <cell r="BA60">
            <v>0</v>
          </cell>
          <cell r="BB60">
            <v>0</v>
          </cell>
          <cell r="BC60">
            <v>100</v>
          </cell>
        </row>
        <row r="61">
          <cell r="B61" t="str">
            <v>BRSJNB280</v>
          </cell>
          <cell r="C61" t="str">
            <v>MSCI USA Consumer Staples Index</v>
          </cell>
          <cell r="D61" t="str">
            <v>MSUSACST</v>
          </cell>
          <cell r="E61">
            <v>1</v>
          </cell>
          <cell r="L61">
            <v>0</v>
          </cell>
          <cell r="M61">
            <v>0</v>
          </cell>
          <cell r="N61">
            <v>0</v>
          </cell>
          <cell r="O61">
            <v>0</v>
          </cell>
          <cell r="P61">
            <v>0</v>
          </cell>
          <cell r="Q61">
            <v>0</v>
          </cell>
          <cell r="R61">
            <v>0</v>
          </cell>
          <cell r="S61">
            <v>0</v>
          </cell>
          <cell r="T61">
            <v>0</v>
          </cell>
          <cell r="U61">
            <v>0</v>
          </cell>
          <cell r="V61">
            <v>0</v>
          </cell>
          <cell r="W61">
            <v>0</v>
          </cell>
          <cell r="X61">
            <v>0</v>
          </cell>
          <cell r="Y61">
            <v>0</v>
          </cell>
          <cell r="Z61">
            <v>0</v>
          </cell>
          <cell r="AA61">
            <v>0</v>
          </cell>
          <cell r="AB61">
            <v>0</v>
          </cell>
          <cell r="AC61">
            <v>0</v>
          </cell>
          <cell r="AD61">
            <v>0</v>
          </cell>
          <cell r="AE61">
            <v>0</v>
          </cell>
          <cell r="AF61">
            <v>0</v>
          </cell>
          <cell r="AG61">
            <v>0</v>
          </cell>
          <cell r="AH61">
            <v>0</v>
          </cell>
          <cell r="AI61">
            <v>0</v>
          </cell>
          <cell r="AJ61">
            <v>0</v>
          </cell>
          <cell r="AK61">
            <v>0</v>
          </cell>
          <cell r="AL61">
            <v>0</v>
          </cell>
          <cell r="AM61">
            <v>0</v>
          </cell>
          <cell r="AN61">
            <v>0</v>
          </cell>
          <cell r="AO61">
            <v>0</v>
          </cell>
          <cell r="AP61">
            <v>-100.00000000000003</v>
          </cell>
          <cell r="AQ61">
            <v>0</v>
          </cell>
          <cell r="AR61">
            <v>0</v>
          </cell>
          <cell r="AS61">
            <v>0</v>
          </cell>
          <cell r="AT61">
            <v>0</v>
          </cell>
          <cell r="AU61">
            <v>0</v>
          </cell>
          <cell r="AV61">
            <v>0</v>
          </cell>
          <cell r="AW61">
            <v>0</v>
          </cell>
          <cell r="AX61">
            <v>0</v>
          </cell>
          <cell r="AY61">
            <v>0</v>
          </cell>
          <cell r="AZ61">
            <v>0</v>
          </cell>
          <cell r="BA61">
            <v>0</v>
          </cell>
          <cell r="BB61">
            <v>0</v>
          </cell>
          <cell r="BC61">
            <v>100.00000000000003</v>
          </cell>
        </row>
        <row r="62">
          <cell r="B62" t="str">
            <v>BRSKXU3M2</v>
          </cell>
          <cell r="C62" t="str">
            <v>FTSE Developed Core Infrastructure Net I</v>
          </cell>
          <cell r="D62" t="str">
            <v>FTDEVCRINF</v>
          </cell>
          <cell r="E62">
            <v>1</v>
          </cell>
          <cell r="L62">
            <v>0</v>
          </cell>
          <cell r="M62">
            <v>1.7141957906748544</v>
          </cell>
          <cell r="N62">
            <v>0</v>
          </cell>
          <cell r="O62">
            <v>13.601259478306988</v>
          </cell>
          <cell r="P62">
            <v>0.17456679126346872</v>
          </cell>
          <cell r="Q62">
            <v>0</v>
          </cell>
          <cell r="R62">
            <v>0</v>
          </cell>
          <cell r="S62">
            <v>0</v>
          </cell>
          <cell r="T62">
            <v>0</v>
          </cell>
          <cell r="U62">
            <v>0</v>
          </cell>
          <cell r="V62">
            <v>0</v>
          </cell>
          <cell r="W62">
            <v>0</v>
          </cell>
          <cell r="X62">
            <v>0</v>
          </cell>
          <cell r="Y62">
            <v>4.3380140032177996</v>
          </cell>
          <cell r="Z62">
            <v>3.7485104562072222</v>
          </cell>
          <cell r="AA62">
            <v>1.6781940591633424</v>
          </cell>
          <cell r="AB62">
            <v>0</v>
          </cell>
          <cell r="AC62">
            <v>0</v>
          </cell>
          <cell r="AD62">
            <v>0</v>
          </cell>
          <cell r="AE62">
            <v>0</v>
          </cell>
          <cell r="AF62">
            <v>0</v>
          </cell>
          <cell r="AG62">
            <v>4.2133122065497597</v>
          </cell>
          <cell r="AH62">
            <v>0.2071852504397734</v>
          </cell>
          <cell r="AI62">
            <v>0</v>
          </cell>
          <cell r="AJ62">
            <v>0</v>
          </cell>
          <cell r="AK62">
            <v>0</v>
          </cell>
          <cell r="AL62">
            <v>0</v>
          </cell>
          <cell r="AM62">
            <v>0.27013872252915538</v>
          </cell>
          <cell r="AN62">
            <v>0</v>
          </cell>
          <cell r="AO62">
            <v>0</v>
          </cell>
          <cell r="AP62">
            <v>-100.00000000000003</v>
          </cell>
          <cell r="AQ62">
            <v>0</v>
          </cell>
          <cell r="AR62">
            <v>0</v>
          </cell>
          <cell r="AS62">
            <v>0</v>
          </cell>
          <cell r="AT62">
            <v>0</v>
          </cell>
          <cell r="AU62">
            <v>0</v>
          </cell>
          <cell r="AV62">
            <v>0</v>
          </cell>
          <cell r="AW62">
            <v>0.10307687821889483</v>
          </cell>
          <cell r="AX62">
            <v>0</v>
          </cell>
          <cell r="AY62">
            <v>0</v>
          </cell>
          <cell r="AZ62">
            <v>0</v>
          </cell>
          <cell r="BA62">
            <v>0</v>
          </cell>
          <cell r="BB62">
            <v>0</v>
          </cell>
          <cell r="BC62">
            <v>69.951546363428776</v>
          </cell>
        </row>
        <row r="63">
          <cell r="B63" t="str">
            <v>B00211043</v>
          </cell>
          <cell r="C63" t="str">
            <v>Bloomberg U.S. Credit Index</v>
          </cell>
          <cell r="D63" t="str">
            <v>LEH_CREDIT</v>
          </cell>
          <cell r="E63">
            <v>1.0000000000000002</v>
          </cell>
          <cell r="L63">
            <v>0</v>
          </cell>
          <cell r="M63">
            <v>0</v>
          </cell>
          <cell r="N63">
            <v>0</v>
          </cell>
          <cell r="O63">
            <v>0</v>
          </cell>
          <cell r="P63">
            <v>0</v>
          </cell>
          <cell r="Q63">
            <v>0</v>
          </cell>
          <cell r="R63">
            <v>0</v>
          </cell>
          <cell r="S63">
            <v>0</v>
          </cell>
          <cell r="T63">
            <v>0</v>
          </cell>
          <cell r="U63">
            <v>0</v>
          </cell>
          <cell r="V63">
            <v>0</v>
          </cell>
          <cell r="W63">
            <v>0</v>
          </cell>
          <cell r="X63">
            <v>0</v>
          </cell>
          <cell r="Y63">
            <v>0</v>
          </cell>
          <cell r="Z63">
            <v>0</v>
          </cell>
          <cell r="AA63">
            <v>0</v>
          </cell>
          <cell r="AB63">
            <v>0</v>
          </cell>
          <cell r="AC63">
            <v>0</v>
          </cell>
          <cell r="AD63">
            <v>0</v>
          </cell>
          <cell r="AE63">
            <v>0</v>
          </cell>
          <cell r="AF63">
            <v>0</v>
          </cell>
          <cell r="AG63">
            <v>0</v>
          </cell>
          <cell r="AH63">
            <v>0</v>
          </cell>
          <cell r="AI63">
            <v>0</v>
          </cell>
          <cell r="AJ63">
            <v>0</v>
          </cell>
          <cell r="AK63">
            <v>0</v>
          </cell>
          <cell r="AL63">
            <v>0</v>
          </cell>
          <cell r="AM63">
            <v>0</v>
          </cell>
          <cell r="AN63">
            <v>0</v>
          </cell>
          <cell r="AO63">
            <v>0</v>
          </cell>
          <cell r="AP63">
            <v>-100</v>
          </cell>
          <cell r="AQ63">
            <v>0</v>
          </cell>
          <cell r="AR63">
            <v>0</v>
          </cell>
          <cell r="AS63">
            <v>0</v>
          </cell>
          <cell r="AT63">
            <v>0</v>
          </cell>
          <cell r="AU63">
            <v>0</v>
          </cell>
          <cell r="AV63">
            <v>0</v>
          </cell>
          <cell r="AW63">
            <v>0</v>
          </cell>
          <cell r="AX63">
            <v>0</v>
          </cell>
          <cell r="AY63">
            <v>0</v>
          </cell>
          <cell r="AZ63">
            <v>0</v>
          </cell>
          <cell r="BA63">
            <v>0</v>
          </cell>
          <cell r="BB63">
            <v>0</v>
          </cell>
          <cell r="BC63">
            <v>100</v>
          </cell>
        </row>
        <row r="64">
          <cell r="B64" t="str">
            <v>BRS2NHV82</v>
          </cell>
          <cell r="C64" t="str">
            <v xml:space="preserve">MSCI Developed - Japan Gross TR Index - </v>
          </cell>
          <cell r="D64" t="str">
            <v>MS_JP</v>
          </cell>
          <cell r="E64">
            <v>1.0000000000000002</v>
          </cell>
          <cell r="L64">
            <v>0</v>
          </cell>
          <cell r="M64">
            <v>0</v>
          </cell>
          <cell r="N64">
            <v>0</v>
          </cell>
          <cell r="O64">
            <v>0</v>
          </cell>
          <cell r="P64">
            <v>0</v>
          </cell>
          <cell r="Q64">
            <v>0</v>
          </cell>
          <cell r="R64">
            <v>0</v>
          </cell>
          <cell r="S64">
            <v>0</v>
          </cell>
          <cell r="T64">
            <v>0</v>
          </cell>
          <cell r="U64">
            <v>0</v>
          </cell>
          <cell r="V64">
            <v>0</v>
          </cell>
          <cell r="W64">
            <v>0</v>
          </cell>
          <cell r="X64">
            <v>0</v>
          </cell>
          <cell r="Y64">
            <v>0</v>
          </cell>
          <cell r="Z64">
            <v>0</v>
          </cell>
          <cell r="AA64">
            <v>0</v>
          </cell>
          <cell r="AB64">
            <v>0</v>
          </cell>
          <cell r="AC64">
            <v>0</v>
          </cell>
          <cell r="AD64">
            <v>0</v>
          </cell>
          <cell r="AE64">
            <v>0</v>
          </cell>
          <cell r="AF64">
            <v>0</v>
          </cell>
          <cell r="AG64">
            <v>99.999999999999957</v>
          </cell>
          <cell r="AH64">
            <v>0</v>
          </cell>
          <cell r="AI64">
            <v>0</v>
          </cell>
          <cell r="AJ64">
            <v>0</v>
          </cell>
          <cell r="AK64">
            <v>0</v>
          </cell>
          <cell r="AL64">
            <v>0</v>
          </cell>
          <cell r="AM64">
            <v>0</v>
          </cell>
          <cell r="AN64">
            <v>0</v>
          </cell>
          <cell r="AO64">
            <v>0</v>
          </cell>
          <cell r="AP64">
            <v>-99.999999999999957</v>
          </cell>
          <cell r="AQ64">
            <v>0</v>
          </cell>
          <cell r="AR64">
            <v>0</v>
          </cell>
          <cell r="AS64">
            <v>0</v>
          </cell>
          <cell r="AT64">
            <v>0</v>
          </cell>
          <cell r="AU64">
            <v>0</v>
          </cell>
          <cell r="AV64">
            <v>0</v>
          </cell>
          <cell r="AW64">
            <v>0</v>
          </cell>
          <cell r="AX64">
            <v>0</v>
          </cell>
          <cell r="AY64">
            <v>0</v>
          </cell>
          <cell r="AZ64">
            <v>0</v>
          </cell>
          <cell r="BA64">
            <v>0</v>
          </cell>
          <cell r="BB64">
            <v>0</v>
          </cell>
          <cell r="BC64">
            <v>0</v>
          </cell>
        </row>
        <row r="65">
          <cell r="B65" t="str">
            <v>BRS8R3LP9</v>
          </cell>
          <cell r="C65" t="str">
            <v>S&amp;P India LargeCap Index</v>
          </cell>
          <cell r="D65" t="str">
            <v>SPBMIINL</v>
          </cell>
          <cell r="E65">
            <v>0.99999999999999989</v>
          </cell>
          <cell r="L65">
            <v>0</v>
          </cell>
          <cell r="M65">
            <v>0</v>
          </cell>
          <cell r="N65">
            <v>0</v>
          </cell>
          <cell r="O65">
            <v>0</v>
          </cell>
          <cell r="P65">
            <v>0</v>
          </cell>
          <cell r="Q65">
            <v>0</v>
          </cell>
          <cell r="R65">
            <v>0</v>
          </cell>
          <cell r="S65">
            <v>0</v>
          </cell>
          <cell r="T65">
            <v>0</v>
          </cell>
          <cell r="U65">
            <v>0</v>
          </cell>
          <cell r="V65">
            <v>0</v>
          </cell>
          <cell r="W65">
            <v>0</v>
          </cell>
          <cell r="X65">
            <v>0</v>
          </cell>
          <cell r="Y65">
            <v>0</v>
          </cell>
          <cell r="Z65">
            <v>0</v>
          </cell>
          <cell r="AA65">
            <v>0</v>
          </cell>
          <cell r="AB65">
            <v>0</v>
          </cell>
          <cell r="AC65">
            <v>0</v>
          </cell>
          <cell r="AD65">
            <v>0</v>
          </cell>
          <cell r="AE65">
            <v>100</v>
          </cell>
          <cell r="AF65">
            <v>0</v>
          </cell>
          <cell r="AG65">
            <v>0</v>
          </cell>
          <cell r="AH65">
            <v>0</v>
          </cell>
          <cell r="AI65">
            <v>0</v>
          </cell>
          <cell r="AJ65">
            <v>0</v>
          </cell>
          <cell r="AK65">
            <v>0</v>
          </cell>
          <cell r="AL65">
            <v>0</v>
          </cell>
          <cell r="AM65">
            <v>0</v>
          </cell>
          <cell r="AN65">
            <v>0</v>
          </cell>
          <cell r="AO65">
            <v>0</v>
          </cell>
          <cell r="AP65">
            <v>-100</v>
          </cell>
          <cell r="AQ65">
            <v>0</v>
          </cell>
          <cell r="AR65">
            <v>0</v>
          </cell>
          <cell r="AS65">
            <v>0</v>
          </cell>
          <cell r="AT65">
            <v>0</v>
          </cell>
          <cell r="AU65">
            <v>0</v>
          </cell>
          <cell r="AV65">
            <v>0</v>
          </cell>
          <cell r="AW65">
            <v>0</v>
          </cell>
          <cell r="AX65">
            <v>0</v>
          </cell>
          <cell r="AY65">
            <v>0</v>
          </cell>
          <cell r="AZ65">
            <v>0</v>
          </cell>
          <cell r="BA65">
            <v>0</v>
          </cell>
          <cell r="BB65">
            <v>0</v>
          </cell>
          <cell r="BC65">
            <v>0</v>
          </cell>
        </row>
        <row r="66">
          <cell r="B66" t="str">
            <v>BRS029DE4</v>
          </cell>
          <cell r="C66" t="str">
            <v>BBG TIPS 5-10 Year Index</v>
          </cell>
          <cell r="D66" t="str">
            <v>LTIPS5-10</v>
          </cell>
          <cell r="E66">
            <v>1</v>
          </cell>
          <cell r="L66">
            <v>0</v>
          </cell>
          <cell r="M66">
            <v>0</v>
          </cell>
          <cell r="N66">
            <v>0</v>
          </cell>
          <cell r="O66">
            <v>0</v>
          </cell>
          <cell r="P66">
            <v>0</v>
          </cell>
          <cell r="Q66">
            <v>0</v>
          </cell>
          <cell r="R66">
            <v>0</v>
          </cell>
          <cell r="S66">
            <v>0</v>
          </cell>
          <cell r="T66">
            <v>0</v>
          </cell>
          <cell r="U66">
            <v>0</v>
          </cell>
          <cell r="V66">
            <v>0</v>
          </cell>
          <cell r="W66">
            <v>0</v>
          </cell>
          <cell r="X66">
            <v>0</v>
          </cell>
          <cell r="Y66">
            <v>0</v>
          </cell>
          <cell r="Z66">
            <v>0</v>
          </cell>
          <cell r="AA66">
            <v>0</v>
          </cell>
          <cell r="AB66">
            <v>0</v>
          </cell>
          <cell r="AC66">
            <v>0</v>
          </cell>
          <cell r="AD66">
            <v>0</v>
          </cell>
          <cell r="AE66">
            <v>0</v>
          </cell>
          <cell r="AF66">
            <v>0</v>
          </cell>
          <cell r="AG66">
            <v>0</v>
          </cell>
          <cell r="AH66">
            <v>0</v>
          </cell>
          <cell r="AI66">
            <v>0</v>
          </cell>
          <cell r="AJ66">
            <v>0</v>
          </cell>
          <cell r="AK66">
            <v>0</v>
          </cell>
          <cell r="AL66">
            <v>0</v>
          </cell>
          <cell r="AM66">
            <v>0</v>
          </cell>
          <cell r="AN66">
            <v>0</v>
          </cell>
          <cell r="AO66">
            <v>0</v>
          </cell>
          <cell r="AP66">
            <v>-100</v>
          </cell>
          <cell r="AQ66">
            <v>0</v>
          </cell>
          <cell r="AR66">
            <v>0</v>
          </cell>
          <cell r="AS66">
            <v>0</v>
          </cell>
          <cell r="AT66">
            <v>0</v>
          </cell>
          <cell r="AU66">
            <v>0</v>
          </cell>
          <cell r="AV66">
            <v>0</v>
          </cell>
          <cell r="AW66">
            <v>0</v>
          </cell>
          <cell r="AX66">
            <v>0</v>
          </cell>
          <cell r="AY66">
            <v>0</v>
          </cell>
          <cell r="AZ66">
            <v>0</v>
          </cell>
          <cell r="BA66">
            <v>0</v>
          </cell>
          <cell r="BB66">
            <v>0</v>
          </cell>
          <cell r="BC66">
            <v>100</v>
          </cell>
        </row>
        <row r="67">
          <cell r="B67" t="str">
            <v>BRS18RDA4</v>
          </cell>
          <cell r="C67" t="str">
            <v>Bloomberg U.S. Corporate High Yield 2% I</v>
          </cell>
          <cell r="D67" t="str">
            <v>LHY2ICAP</v>
          </cell>
          <cell r="E67">
            <v>1.0000000000000002</v>
          </cell>
          <cell r="L67">
            <v>0</v>
          </cell>
          <cell r="M67">
            <v>0</v>
          </cell>
          <cell r="N67">
            <v>0</v>
          </cell>
          <cell r="O67">
            <v>0</v>
          </cell>
          <cell r="P67">
            <v>0</v>
          </cell>
          <cell r="Q67">
            <v>0</v>
          </cell>
          <cell r="R67">
            <v>0</v>
          </cell>
          <cell r="S67">
            <v>0</v>
          </cell>
          <cell r="T67">
            <v>0</v>
          </cell>
          <cell r="U67">
            <v>0</v>
          </cell>
          <cell r="V67">
            <v>0</v>
          </cell>
          <cell r="W67">
            <v>0</v>
          </cell>
          <cell r="X67">
            <v>0</v>
          </cell>
          <cell r="Y67">
            <v>0</v>
          </cell>
          <cell r="Z67">
            <v>0</v>
          </cell>
          <cell r="AA67">
            <v>0</v>
          </cell>
          <cell r="AB67">
            <v>0</v>
          </cell>
          <cell r="AC67">
            <v>0</v>
          </cell>
          <cell r="AD67">
            <v>0</v>
          </cell>
          <cell r="AE67">
            <v>0</v>
          </cell>
          <cell r="AF67">
            <v>0</v>
          </cell>
          <cell r="AG67">
            <v>0</v>
          </cell>
          <cell r="AH67">
            <v>0</v>
          </cell>
          <cell r="AI67">
            <v>0</v>
          </cell>
          <cell r="AJ67">
            <v>0</v>
          </cell>
          <cell r="AK67">
            <v>0</v>
          </cell>
          <cell r="AL67">
            <v>0</v>
          </cell>
          <cell r="AM67">
            <v>0</v>
          </cell>
          <cell r="AN67">
            <v>0</v>
          </cell>
          <cell r="AO67">
            <v>0</v>
          </cell>
          <cell r="AP67">
            <v>-100.0000000000003</v>
          </cell>
          <cell r="AQ67">
            <v>0</v>
          </cell>
          <cell r="AR67">
            <v>0</v>
          </cell>
          <cell r="AS67">
            <v>0</v>
          </cell>
          <cell r="AT67">
            <v>0</v>
          </cell>
          <cell r="AU67">
            <v>0</v>
          </cell>
          <cell r="AV67">
            <v>0</v>
          </cell>
          <cell r="AW67">
            <v>0</v>
          </cell>
          <cell r="AX67">
            <v>0</v>
          </cell>
          <cell r="AY67">
            <v>0</v>
          </cell>
          <cell r="AZ67">
            <v>0</v>
          </cell>
          <cell r="BA67">
            <v>0</v>
          </cell>
          <cell r="BB67">
            <v>0</v>
          </cell>
          <cell r="BC67">
            <v>100.0000000000003</v>
          </cell>
        </row>
        <row r="68">
          <cell r="B68" t="str">
            <v>BRS1RYD42</v>
          </cell>
          <cell r="C68" t="str">
            <v xml:space="preserve">BBG US Government Inflation-Linked Bond </v>
          </cell>
          <cell r="D68" t="str">
            <v>BCLYUSDIL</v>
          </cell>
          <cell r="E68">
            <v>1</v>
          </cell>
          <cell r="L68">
            <v>0</v>
          </cell>
          <cell r="M68">
            <v>0</v>
          </cell>
          <cell r="N68">
            <v>0</v>
          </cell>
          <cell r="O68">
            <v>0</v>
          </cell>
          <cell r="P68">
            <v>0</v>
          </cell>
          <cell r="Q68">
            <v>0</v>
          </cell>
          <cell r="R68">
            <v>0</v>
          </cell>
          <cell r="S68">
            <v>0</v>
          </cell>
          <cell r="T68">
            <v>0</v>
          </cell>
          <cell r="U68">
            <v>0</v>
          </cell>
          <cell r="V68">
            <v>0</v>
          </cell>
          <cell r="W68">
            <v>0</v>
          </cell>
          <cell r="X68">
            <v>0</v>
          </cell>
          <cell r="Y68">
            <v>0</v>
          </cell>
          <cell r="Z68">
            <v>0</v>
          </cell>
          <cell r="AA68">
            <v>0</v>
          </cell>
          <cell r="AB68">
            <v>0</v>
          </cell>
          <cell r="AC68">
            <v>0</v>
          </cell>
          <cell r="AD68">
            <v>0</v>
          </cell>
          <cell r="AE68">
            <v>0</v>
          </cell>
          <cell r="AF68">
            <v>0</v>
          </cell>
          <cell r="AG68">
            <v>0</v>
          </cell>
          <cell r="AH68">
            <v>0</v>
          </cell>
          <cell r="AI68">
            <v>0</v>
          </cell>
          <cell r="AJ68">
            <v>0</v>
          </cell>
          <cell r="AK68">
            <v>0</v>
          </cell>
          <cell r="AL68">
            <v>0</v>
          </cell>
          <cell r="AM68">
            <v>0</v>
          </cell>
          <cell r="AN68">
            <v>0</v>
          </cell>
          <cell r="AO68">
            <v>0</v>
          </cell>
          <cell r="AP68">
            <v>-100</v>
          </cell>
          <cell r="AQ68">
            <v>0</v>
          </cell>
          <cell r="AR68">
            <v>0</v>
          </cell>
          <cell r="AS68">
            <v>0</v>
          </cell>
          <cell r="AT68">
            <v>0</v>
          </cell>
          <cell r="AU68">
            <v>0</v>
          </cell>
          <cell r="AV68">
            <v>0</v>
          </cell>
          <cell r="AW68">
            <v>0</v>
          </cell>
          <cell r="AX68">
            <v>0</v>
          </cell>
          <cell r="AY68">
            <v>0</v>
          </cell>
          <cell r="AZ68">
            <v>0</v>
          </cell>
          <cell r="BA68">
            <v>0</v>
          </cell>
          <cell r="BB68">
            <v>0</v>
          </cell>
          <cell r="BC68">
            <v>100</v>
          </cell>
        </row>
        <row r="69">
          <cell r="B69" t="str">
            <v>B06040008</v>
          </cell>
          <cell r="C69" t="str">
            <v>JP Morgan EMBI Global Diversified Index</v>
          </cell>
          <cell r="D69" t="str">
            <v>EMBIGLDIV</v>
          </cell>
          <cell r="E69">
            <v>1</v>
          </cell>
          <cell r="L69">
            <v>0</v>
          </cell>
          <cell r="M69">
            <v>0</v>
          </cell>
          <cell r="N69">
            <v>0</v>
          </cell>
          <cell r="O69">
            <v>0</v>
          </cell>
          <cell r="P69">
            <v>0</v>
          </cell>
          <cell r="Q69">
            <v>0</v>
          </cell>
          <cell r="R69">
            <v>0</v>
          </cell>
          <cell r="S69">
            <v>0</v>
          </cell>
          <cell r="T69">
            <v>0</v>
          </cell>
          <cell r="U69">
            <v>0</v>
          </cell>
          <cell r="V69">
            <v>0</v>
          </cell>
          <cell r="W69">
            <v>0</v>
          </cell>
          <cell r="X69">
            <v>0</v>
          </cell>
          <cell r="Y69">
            <v>0</v>
          </cell>
          <cell r="Z69">
            <v>0</v>
          </cell>
          <cell r="AA69">
            <v>0</v>
          </cell>
          <cell r="AB69">
            <v>0</v>
          </cell>
          <cell r="AC69">
            <v>0</v>
          </cell>
          <cell r="AD69">
            <v>0</v>
          </cell>
          <cell r="AE69">
            <v>0</v>
          </cell>
          <cell r="AF69">
            <v>0</v>
          </cell>
          <cell r="AG69">
            <v>0</v>
          </cell>
          <cell r="AH69">
            <v>0</v>
          </cell>
          <cell r="AI69">
            <v>0</v>
          </cell>
          <cell r="AJ69">
            <v>0</v>
          </cell>
          <cell r="AK69">
            <v>0</v>
          </cell>
          <cell r="AL69">
            <v>0</v>
          </cell>
          <cell r="AM69">
            <v>0</v>
          </cell>
          <cell r="AN69">
            <v>0</v>
          </cell>
          <cell r="AO69">
            <v>0</v>
          </cell>
          <cell r="AP69">
            <v>-99.999999999999844</v>
          </cell>
          <cell r="AQ69">
            <v>0</v>
          </cell>
          <cell r="AR69">
            <v>0</v>
          </cell>
          <cell r="AS69">
            <v>0</v>
          </cell>
          <cell r="AT69">
            <v>0</v>
          </cell>
          <cell r="AU69">
            <v>0</v>
          </cell>
          <cell r="AV69">
            <v>0</v>
          </cell>
          <cell r="AW69">
            <v>0</v>
          </cell>
          <cell r="AX69">
            <v>0</v>
          </cell>
          <cell r="AY69">
            <v>0</v>
          </cell>
          <cell r="AZ69">
            <v>0</v>
          </cell>
          <cell r="BA69">
            <v>0</v>
          </cell>
          <cell r="BB69">
            <v>0</v>
          </cell>
          <cell r="BC69">
            <v>99.999999999999844</v>
          </cell>
        </row>
        <row r="70">
          <cell r="B70" t="str">
            <v>BRS2NHTA0</v>
          </cell>
          <cell r="C70" t="str">
            <v>MSCI Emerging Markets Index</v>
          </cell>
          <cell r="D70" t="str">
            <v>MS_EM</v>
          </cell>
          <cell r="E70">
            <v>1.0000000000000002</v>
          </cell>
          <cell r="L70">
            <v>1.1852283026919415</v>
          </cell>
          <cell r="M70">
            <v>0</v>
          </cell>
          <cell r="N70">
            <v>5.1338091174771874</v>
          </cell>
          <cell r="O70">
            <v>0</v>
          </cell>
          <cell r="P70">
            <v>0</v>
          </cell>
          <cell r="Q70">
            <v>0.4271993581303456</v>
          </cell>
          <cell r="R70">
            <v>3.6511569566592623</v>
          </cell>
          <cell r="S70">
            <v>0.10335209322553947</v>
          </cell>
          <cell r="T70">
            <v>0.128425805920973</v>
          </cell>
          <cell r="U70">
            <v>0</v>
          </cell>
          <cell r="V70">
            <v>0</v>
          </cell>
          <cell r="W70">
            <v>0</v>
          </cell>
          <cell r="X70">
            <v>7.4567339934192581E-2</v>
          </cell>
          <cell r="Y70">
            <v>0.52424804978237627</v>
          </cell>
          <cell r="Z70">
            <v>4.4781615276786813E-2</v>
          </cell>
          <cell r="AA70">
            <v>20.307902368844481</v>
          </cell>
          <cell r="AB70">
            <v>0.24327689046022336</v>
          </cell>
          <cell r="AC70">
            <v>1.7353494674780157</v>
          </cell>
          <cell r="AD70">
            <v>0</v>
          </cell>
          <cell r="AE70">
            <v>20.342320168482861</v>
          </cell>
          <cell r="AF70">
            <v>0</v>
          </cell>
          <cell r="AG70">
            <v>0</v>
          </cell>
          <cell r="AH70">
            <v>11.403819378406402</v>
          </cell>
          <cell r="AI70">
            <v>0.73091292033482014</v>
          </cell>
          <cell r="AJ70">
            <v>1.9810431770223988</v>
          </cell>
          <cell r="AK70">
            <v>1.560584301839951</v>
          </cell>
          <cell r="AL70">
            <v>0</v>
          </cell>
          <cell r="AM70">
            <v>0</v>
          </cell>
          <cell r="AN70">
            <v>0.29438575452860238</v>
          </cell>
          <cell r="AO70">
            <v>0.57512546407592036</v>
          </cell>
          <cell r="AP70">
            <v>-99.059918977166504</v>
          </cell>
          <cell r="AQ70">
            <v>0.79249893341438971</v>
          </cell>
          <cell r="AR70">
            <v>5.870215162008019E-2</v>
          </cell>
          <cell r="AS70">
            <v>0</v>
          </cell>
          <cell r="AT70">
            <v>0</v>
          </cell>
          <cell r="AU70">
            <v>4.0393240283164316</v>
          </cell>
          <cell r="AV70">
            <v>0</v>
          </cell>
          <cell r="AW70">
            <v>0</v>
          </cell>
          <cell r="AX70">
            <v>1.4380078168945987</v>
          </cell>
          <cell r="AY70">
            <v>0.69391750216467629</v>
          </cell>
          <cell r="AZ70">
            <v>18.245358145354935</v>
          </cell>
          <cell r="BA70">
            <v>0</v>
          </cell>
          <cell r="BB70">
            <v>2.9781882437634621</v>
          </cell>
          <cell r="BC70">
            <v>0.36643362506565941</v>
          </cell>
        </row>
        <row r="71">
          <cell r="B71" t="str">
            <v>B00101939</v>
          </cell>
          <cell r="C71" t="str">
            <v>BBG MBS Index</v>
          </cell>
          <cell r="D71" t="str">
            <v>LEH_MBS</v>
          </cell>
          <cell r="E71">
            <v>1</v>
          </cell>
          <cell r="L71">
            <v>0</v>
          </cell>
          <cell r="M71">
            <v>0</v>
          </cell>
          <cell r="N71">
            <v>0</v>
          </cell>
          <cell r="O71">
            <v>0</v>
          </cell>
          <cell r="P71">
            <v>0</v>
          </cell>
          <cell r="Q71">
            <v>0</v>
          </cell>
          <cell r="R71">
            <v>0</v>
          </cell>
          <cell r="S71">
            <v>0</v>
          </cell>
          <cell r="T71">
            <v>0</v>
          </cell>
          <cell r="U71">
            <v>0</v>
          </cell>
          <cell r="V71">
            <v>0</v>
          </cell>
          <cell r="W71">
            <v>0</v>
          </cell>
          <cell r="X71">
            <v>0</v>
          </cell>
          <cell r="Y71">
            <v>0</v>
          </cell>
          <cell r="Z71">
            <v>0</v>
          </cell>
          <cell r="AA71">
            <v>0</v>
          </cell>
          <cell r="AB71">
            <v>0</v>
          </cell>
          <cell r="AC71">
            <v>0</v>
          </cell>
          <cell r="AD71">
            <v>0</v>
          </cell>
          <cell r="AE71">
            <v>0</v>
          </cell>
          <cell r="AF71">
            <v>0</v>
          </cell>
          <cell r="AG71">
            <v>0</v>
          </cell>
          <cell r="AH71">
            <v>0</v>
          </cell>
          <cell r="AI71">
            <v>0</v>
          </cell>
          <cell r="AJ71">
            <v>0</v>
          </cell>
          <cell r="AK71">
            <v>0</v>
          </cell>
          <cell r="AL71">
            <v>0</v>
          </cell>
          <cell r="AM71">
            <v>0</v>
          </cell>
          <cell r="AN71">
            <v>0</v>
          </cell>
          <cell r="AO71">
            <v>0</v>
          </cell>
          <cell r="AP71">
            <v>-100.00000000000006</v>
          </cell>
          <cell r="AQ71">
            <v>0</v>
          </cell>
          <cell r="AR71">
            <v>0</v>
          </cell>
          <cell r="AS71">
            <v>0</v>
          </cell>
          <cell r="AT71">
            <v>0</v>
          </cell>
          <cell r="AU71">
            <v>0</v>
          </cell>
          <cell r="AV71">
            <v>0</v>
          </cell>
          <cell r="AW71">
            <v>0</v>
          </cell>
          <cell r="AX71">
            <v>0</v>
          </cell>
          <cell r="AY71">
            <v>0</v>
          </cell>
          <cell r="AZ71">
            <v>0</v>
          </cell>
          <cell r="BA71">
            <v>0</v>
          </cell>
          <cell r="BB71">
            <v>0</v>
          </cell>
          <cell r="BC71">
            <v>100.00000000000006</v>
          </cell>
        </row>
        <row r="72">
          <cell r="B72" t="str">
            <v>BRSBCB0K4</v>
          </cell>
          <cell r="C72" t="str">
            <v xml:space="preserve">BBG US Government Inflation-Linked Bond </v>
          </cell>
          <cell r="D72" t="str">
            <v>BCLYUS10YR</v>
          </cell>
          <cell r="E72">
            <v>1</v>
          </cell>
          <cell r="L72">
            <v>0</v>
          </cell>
          <cell r="M72">
            <v>0</v>
          </cell>
          <cell r="N72">
            <v>0</v>
          </cell>
          <cell r="O72">
            <v>0</v>
          </cell>
          <cell r="P72">
            <v>0</v>
          </cell>
          <cell r="Q72">
            <v>0</v>
          </cell>
          <cell r="R72">
            <v>0</v>
          </cell>
          <cell r="S72">
            <v>0</v>
          </cell>
          <cell r="T72">
            <v>0</v>
          </cell>
          <cell r="U72">
            <v>0</v>
          </cell>
          <cell r="V72">
            <v>0</v>
          </cell>
          <cell r="W72">
            <v>0</v>
          </cell>
          <cell r="X72">
            <v>0</v>
          </cell>
          <cell r="Y72">
            <v>0</v>
          </cell>
          <cell r="Z72">
            <v>0</v>
          </cell>
          <cell r="AA72">
            <v>0</v>
          </cell>
          <cell r="AB72">
            <v>0</v>
          </cell>
          <cell r="AC72">
            <v>0</v>
          </cell>
          <cell r="AD72">
            <v>0</v>
          </cell>
          <cell r="AE72">
            <v>0</v>
          </cell>
          <cell r="AF72">
            <v>0</v>
          </cell>
          <cell r="AG72">
            <v>0</v>
          </cell>
          <cell r="AH72">
            <v>0</v>
          </cell>
          <cell r="AI72">
            <v>0</v>
          </cell>
          <cell r="AJ72">
            <v>0</v>
          </cell>
          <cell r="AK72">
            <v>0</v>
          </cell>
          <cell r="AL72">
            <v>0</v>
          </cell>
          <cell r="AM72">
            <v>0</v>
          </cell>
          <cell r="AN72">
            <v>0</v>
          </cell>
          <cell r="AO72">
            <v>0</v>
          </cell>
          <cell r="AP72">
            <v>-100</v>
          </cell>
          <cell r="AQ72">
            <v>0</v>
          </cell>
          <cell r="AR72">
            <v>0</v>
          </cell>
          <cell r="AS72">
            <v>0</v>
          </cell>
          <cell r="AT72">
            <v>0</v>
          </cell>
          <cell r="AU72">
            <v>0</v>
          </cell>
          <cell r="AV72">
            <v>0</v>
          </cell>
          <cell r="AW72">
            <v>0</v>
          </cell>
          <cell r="AX72">
            <v>0</v>
          </cell>
          <cell r="AY72">
            <v>0</v>
          </cell>
          <cell r="AZ72">
            <v>0</v>
          </cell>
          <cell r="BA72">
            <v>0</v>
          </cell>
          <cell r="BB72">
            <v>0</v>
          </cell>
          <cell r="BC72">
            <v>100</v>
          </cell>
        </row>
        <row r="73">
          <cell r="B73" t="str">
            <v>BRWFAGPW8</v>
          </cell>
          <cell r="C73" t="str">
            <v>MSCI EMU/INFORMATION TECH Index</v>
          </cell>
          <cell r="D73" t="str">
            <v>MS_EMU45</v>
          </cell>
          <cell r="E73">
            <v>1</v>
          </cell>
          <cell r="L73">
            <v>0</v>
          </cell>
          <cell r="M73">
            <v>0</v>
          </cell>
          <cell r="N73">
            <v>0</v>
          </cell>
          <cell r="O73">
            <v>0</v>
          </cell>
          <cell r="P73">
            <v>0</v>
          </cell>
          <cell r="Q73">
            <v>0</v>
          </cell>
          <cell r="R73">
            <v>0</v>
          </cell>
          <cell r="S73">
            <v>0</v>
          </cell>
          <cell r="T73">
            <v>0</v>
          </cell>
          <cell r="U73">
            <v>0</v>
          </cell>
          <cell r="V73">
            <v>0</v>
          </cell>
          <cell r="W73">
            <v>0</v>
          </cell>
          <cell r="X73">
            <v>0</v>
          </cell>
          <cell r="Y73">
            <v>100.00000000000003</v>
          </cell>
          <cell r="Z73">
            <v>0</v>
          </cell>
          <cell r="AA73">
            <v>0</v>
          </cell>
          <cell r="AB73">
            <v>0</v>
          </cell>
          <cell r="AC73">
            <v>0</v>
          </cell>
          <cell r="AD73">
            <v>0</v>
          </cell>
          <cell r="AE73">
            <v>0</v>
          </cell>
          <cell r="AF73">
            <v>0</v>
          </cell>
          <cell r="AG73">
            <v>0</v>
          </cell>
          <cell r="AH73">
            <v>0</v>
          </cell>
          <cell r="AI73">
            <v>0</v>
          </cell>
          <cell r="AJ73">
            <v>0</v>
          </cell>
          <cell r="AK73">
            <v>0</v>
          </cell>
          <cell r="AL73">
            <v>0</v>
          </cell>
          <cell r="AM73">
            <v>0</v>
          </cell>
          <cell r="AN73">
            <v>0</v>
          </cell>
          <cell r="AO73">
            <v>0</v>
          </cell>
          <cell r="AP73">
            <v>-100.00000000000003</v>
          </cell>
          <cell r="AQ73">
            <v>0</v>
          </cell>
          <cell r="AR73">
            <v>0</v>
          </cell>
          <cell r="AS73">
            <v>0</v>
          </cell>
          <cell r="AT73">
            <v>0</v>
          </cell>
          <cell r="AU73">
            <v>0</v>
          </cell>
          <cell r="AV73">
            <v>0</v>
          </cell>
          <cell r="AW73">
            <v>0</v>
          </cell>
          <cell r="AX73">
            <v>0</v>
          </cell>
          <cell r="AY73">
            <v>0</v>
          </cell>
          <cell r="AZ73">
            <v>0</v>
          </cell>
          <cell r="BA73">
            <v>0</v>
          </cell>
          <cell r="BB73">
            <v>0</v>
          </cell>
          <cell r="BC73">
            <v>0</v>
          </cell>
        </row>
        <row r="74">
          <cell r="B74" t="str">
            <v>B00216299</v>
          </cell>
          <cell r="C74" t="str">
            <v>BBG Intermediate Credit Index</v>
          </cell>
          <cell r="D74" t="str">
            <v>LCREDINT</v>
          </cell>
          <cell r="E74">
            <v>1</v>
          </cell>
          <cell r="L74">
            <v>0</v>
          </cell>
          <cell r="M74">
            <v>0</v>
          </cell>
          <cell r="N74">
            <v>0</v>
          </cell>
          <cell r="O74">
            <v>0</v>
          </cell>
          <cell r="P74">
            <v>0</v>
          </cell>
          <cell r="Q74">
            <v>0</v>
          </cell>
          <cell r="R74">
            <v>0</v>
          </cell>
          <cell r="S74">
            <v>0</v>
          </cell>
          <cell r="T74">
            <v>0</v>
          </cell>
          <cell r="U74">
            <v>0</v>
          </cell>
          <cell r="V74">
            <v>0</v>
          </cell>
          <cell r="W74">
            <v>0</v>
          </cell>
          <cell r="X74">
            <v>0</v>
          </cell>
          <cell r="Y74">
            <v>0</v>
          </cell>
          <cell r="Z74">
            <v>0</v>
          </cell>
          <cell r="AA74">
            <v>0</v>
          </cell>
          <cell r="AB74">
            <v>0</v>
          </cell>
          <cell r="AC74">
            <v>0</v>
          </cell>
          <cell r="AD74">
            <v>0</v>
          </cell>
          <cell r="AE74">
            <v>0</v>
          </cell>
          <cell r="AF74">
            <v>0</v>
          </cell>
          <cell r="AG74">
            <v>0</v>
          </cell>
          <cell r="AH74">
            <v>0</v>
          </cell>
          <cell r="AI74">
            <v>0</v>
          </cell>
          <cell r="AJ74">
            <v>0</v>
          </cell>
          <cell r="AK74">
            <v>0</v>
          </cell>
          <cell r="AL74">
            <v>0</v>
          </cell>
          <cell r="AM74">
            <v>0</v>
          </cell>
          <cell r="AN74">
            <v>0</v>
          </cell>
          <cell r="AO74">
            <v>0</v>
          </cell>
          <cell r="AP74">
            <v>-99.999999999999844</v>
          </cell>
          <cell r="AQ74">
            <v>0</v>
          </cell>
          <cell r="AR74">
            <v>0</v>
          </cell>
          <cell r="AS74">
            <v>0</v>
          </cell>
          <cell r="AT74">
            <v>0</v>
          </cell>
          <cell r="AU74">
            <v>0</v>
          </cell>
          <cell r="AV74">
            <v>0</v>
          </cell>
          <cell r="AW74">
            <v>0</v>
          </cell>
          <cell r="AX74">
            <v>0</v>
          </cell>
          <cell r="AY74">
            <v>0</v>
          </cell>
          <cell r="AZ74">
            <v>0</v>
          </cell>
          <cell r="BA74">
            <v>0</v>
          </cell>
          <cell r="BB74">
            <v>0</v>
          </cell>
          <cell r="BC74">
            <v>99.999999999999844</v>
          </cell>
        </row>
        <row r="75">
          <cell r="B75" t="str">
            <v>BRSB6JBN6</v>
          </cell>
          <cell r="C75" t="str">
            <v>BBG Sterling Aggregate: Gilts 10+ Year I</v>
          </cell>
          <cell r="D75" t="str">
            <v>LSTRG10PLS</v>
          </cell>
          <cell r="E75">
            <v>1</v>
          </cell>
          <cell r="L75">
            <v>0</v>
          </cell>
          <cell r="M75">
            <v>0</v>
          </cell>
          <cell r="N75">
            <v>0</v>
          </cell>
          <cell r="O75">
            <v>0</v>
          </cell>
          <cell r="P75">
            <v>0</v>
          </cell>
          <cell r="Q75">
            <v>0</v>
          </cell>
          <cell r="R75">
            <v>0</v>
          </cell>
          <cell r="S75">
            <v>0</v>
          </cell>
          <cell r="T75">
            <v>0</v>
          </cell>
          <cell r="U75">
            <v>0</v>
          </cell>
          <cell r="V75">
            <v>0</v>
          </cell>
          <cell r="W75">
            <v>0</v>
          </cell>
          <cell r="X75">
            <v>0</v>
          </cell>
          <cell r="Y75">
            <v>0</v>
          </cell>
          <cell r="Z75">
            <v>100.00000000000003</v>
          </cell>
          <cell r="AA75">
            <v>0</v>
          </cell>
          <cell r="AB75">
            <v>0</v>
          </cell>
          <cell r="AC75">
            <v>0</v>
          </cell>
          <cell r="AD75">
            <v>0</v>
          </cell>
          <cell r="AE75">
            <v>0</v>
          </cell>
          <cell r="AF75">
            <v>0</v>
          </cell>
          <cell r="AG75">
            <v>0</v>
          </cell>
          <cell r="AH75">
            <v>0</v>
          </cell>
          <cell r="AI75">
            <v>0</v>
          </cell>
          <cell r="AJ75">
            <v>0</v>
          </cell>
          <cell r="AK75">
            <v>0</v>
          </cell>
          <cell r="AL75">
            <v>0</v>
          </cell>
          <cell r="AM75">
            <v>0</v>
          </cell>
          <cell r="AN75">
            <v>0</v>
          </cell>
          <cell r="AO75">
            <v>0</v>
          </cell>
          <cell r="AP75">
            <v>-100.00000000000003</v>
          </cell>
          <cell r="AQ75">
            <v>0</v>
          </cell>
          <cell r="AR75">
            <v>0</v>
          </cell>
          <cell r="AS75">
            <v>0</v>
          </cell>
          <cell r="AT75">
            <v>0</v>
          </cell>
          <cell r="AU75">
            <v>0</v>
          </cell>
          <cell r="AV75">
            <v>0</v>
          </cell>
          <cell r="AW75">
            <v>0</v>
          </cell>
          <cell r="AX75">
            <v>0</v>
          </cell>
          <cell r="AY75">
            <v>0</v>
          </cell>
          <cell r="AZ75">
            <v>0</v>
          </cell>
          <cell r="BA75">
            <v>0</v>
          </cell>
          <cell r="BB75">
            <v>0</v>
          </cell>
          <cell r="BC75">
            <v>0</v>
          </cell>
        </row>
        <row r="76">
          <cell r="B76" t="str">
            <v>BRSC6F285</v>
          </cell>
          <cell r="C76" t="str">
            <v>FTSE All Stocks Gilts Over 10 Years Inde</v>
          </cell>
          <cell r="D76" t="str">
            <v>FTSASGO10</v>
          </cell>
          <cell r="E76">
            <v>1</v>
          </cell>
          <cell r="L76">
            <v>0</v>
          </cell>
          <cell r="M76">
            <v>0</v>
          </cell>
          <cell r="N76">
            <v>0</v>
          </cell>
          <cell r="O76">
            <v>0</v>
          </cell>
          <cell r="P76">
            <v>0</v>
          </cell>
          <cell r="Q76">
            <v>0</v>
          </cell>
          <cell r="R76">
            <v>0</v>
          </cell>
          <cell r="S76">
            <v>0</v>
          </cell>
          <cell r="T76">
            <v>0</v>
          </cell>
          <cell r="U76">
            <v>0</v>
          </cell>
          <cell r="V76">
            <v>0</v>
          </cell>
          <cell r="W76">
            <v>0</v>
          </cell>
          <cell r="X76">
            <v>0</v>
          </cell>
          <cell r="Y76">
            <v>0</v>
          </cell>
          <cell r="Z76">
            <v>100</v>
          </cell>
          <cell r="AA76">
            <v>0</v>
          </cell>
          <cell r="AB76">
            <v>0</v>
          </cell>
          <cell r="AC76">
            <v>0</v>
          </cell>
          <cell r="AD76">
            <v>0</v>
          </cell>
          <cell r="AE76">
            <v>0</v>
          </cell>
          <cell r="AF76">
            <v>0</v>
          </cell>
          <cell r="AG76">
            <v>0</v>
          </cell>
          <cell r="AH76">
            <v>0</v>
          </cell>
          <cell r="AI76">
            <v>0</v>
          </cell>
          <cell r="AJ76">
            <v>0</v>
          </cell>
          <cell r="AK76">
            <v>0</v>
          </cell>
          <cell r="AL76">
            <v>0</v>
          </cell>
          <cell r="AM76">
            <v>0</v>
          </cell>
          <cell r="AN76">
            <v>0</v>
          </cell>
          <cell r="AO76">
            <v>0</v>
          </cell>
          <cell r="AP76">
            <v>-100</v>
          </cell>
          <cell r="AQ76">
            <v>0</v>
          </cell>
          <cell r="AR76">
            <v>0</v>
          </cell>
          <cell r="AS76">
            <v>0</v>
          </cell>
          <cell r="AT76">
            <v>0</v>
          </cell>
          <cell r="AU76">
            <v>0</v>
          </cell>
          <cell r="AV76">
            <v>0</v>
          </cell>
          <cell r="AW76">
            <v>0</v>
          </cell>
          <cell r="AX76">
            <v>0</v>
          </cell>
          <cell r="AY76">
            <v>0</v>
          </cell>
          <cell r="AZ76">
            <v>0</v>
          </cell>
          <cell r="BA76">
            <v>0</v>
          </cell>
          <cell r="BB76">
            <v>0</v>
          </cell>
          <cell r="BC76">
            <v>0</v>
          </cell>
        </row>
        <row r="77">
          <cell r="B77" t="str">
            <v>B02404059</v>
          </cell>
          <cell r="C77" t="str">
            <v>BBG Treasury 5-10 Yr Index</v>
          </cell>
          <cell r="D77" t="str">
            <v>LTSY5-10</v>
          </cell>
          <cell r="E77">
            <v>1</v>
          </cell>
          <cell r="L77">
            <v>0</v>
          </cell>
          <cell r="M77">
            <v>0</v>
          </cell>
          <cell r="N77">
            <v>0</v>
          </cell>
          <cell r="O77">
            <v>0</v>
          </cell>
          <cell r="P77">
            <v>0</v>
          </cell>
          <cell r="Q77">
            <v>0</v>
          </cell>
          <cell r="R77">
            <v>0</v>
          </cell>
          <cell r="S77">
            <v>0</v>
          </cell>
          <cell r="T77">
            <v>0</v>
          </cell>
          <cell r="U77">
            <v>0</v>
          </cell>
          <cell r="V77">
            <v>0</v>
          </cell>
          <cell r="W77">
            <v>0</v>
          </cell>
          <cell r="X77">
            <v>0</v>
          </cell>
          <cell r="Y77">
            <v>0</v>
          </cell>
          <cell r="Z77">
            <v>0</v>
          </cell>
          <cell r="AA77">
            <v>0</v>
          </cell>
          <cell r="AB77">
            <v>0</v>
          </cell>
          <cell r="AC77">
            <v>0</v>
          </cell>
          <cell r="AD77">
            <v>0</v>
          </cell>
          <cell r="AE77">
            <v>0</v>
          </cell>
          <cell r="AF77">
            <v>0</v>
          </cell>
          <cell r="AG77">
            <v>0</v>
          </cell>
          <cell r="AH77">
            <v>0</v>
          </cell>
          <cell r="AI77">
            <v>0</v>
          </cell>
          <cell r="AJ77">
            <v>0</v>
          </cell>
          <cell r="AK77">
            <v>0</v>
          </cell>
          <cell r="AL77">
            <v>0</v>
          </cell>
          <cell r="AM77">
            <v>0</v>
          </cell>
          <cell r="AN77">
            <v>0</v>
          </cell>
          <cell r="AO77">
            <v>0</v>
          </cell>
          <cell r="AP77">
            <v>-99.999999999999972</v>
          </cell>
          <cell r="AQ77">
            <v>0</v>
          </cell>
          <cell r="AR77">
            <v>0</v>
          </cell>
          <cell r="AS77">
            <v>0</v>
          </cell>
          <cell r="AT77">
            <v>0</v>
          </cell>
          <cell r="AU77">
            <v>0</v>
          </cell>
          <cell r="AV77">
            <v>0</v>
          </cell>
          <cell r="AW77">
            <v>0</v>
          </cell>
          <cell r="AX77">
            <v>0</v>
          </cell>
          <cell r="AY77">
            <v>0</v>
          </cell>
          <cell r="AZ77">
            <v>0</v>
          </cell>
          <cell r="BA77">
            <v>0</v>
          </cell>
          <cell r="BB77">
            <v>0</v>
          </cell>
          <cell r="BC77">
            <v>99.999999999999972</v>
          </cell>
        </row>
        <row r="78">
          <cell r="B78" t="str">
            <v>BRSJ0K9W5</v>
          </cell>
          <cell r="C78" t="str">
            <v>ICE BofA ABS Fixed &amp; Floating Rate / CMB</v>
          </cell>
          <cell r="D78" t="str">
            <v>MLABSCMBS</v>
          </cell>
          <cell r="E78">
            <v>1</v>
          </cell>
          <cell r="L78">
            <v>0</v>
          </cell>
          <cell r="M78">
            <v>0</v>
          </cell>
          <cell r="N78">
            <v>0</v>
          </cell>
          <cell r="O78">
            <v>0.19556185121625677</v>
          </cell>
          <cell r="P78">
            <v>0</v>
          </cell>
          <cell r="Q78">
            <v>0</v>
          </cell>
          <cell r="R78">
            <v>0</v>
          </cell>
          <cell r="S78">
            <v>0</v>
          </cell>
          <cell r="T78">
            <v>0</v>
          </cell>
          <cell r="U78">
            <v>0</v>
          </cell>
          <cell r="V78">
            <v>0</v>
          </cell>
          <cell r="W78">
            <v>0</v>
          </cell>
          <cell r="X78">
            <v>0</v>
          </cell>
          <cell r="Y78">
            <v>0</v>
          </cell>
          <cell r="Z78">
            <v>0</v>
          </cell>
          <cell r="AA78">
            <v>0</v>
          </cell>
          <cell r="AB78">
            <v>0</v>
          </cell>
          <cell r="AC78">
            <v>0</v>
          </cell>
          <cell r="AD78">
            <v>0</v>
          </cell>
          <cell r="AE78">
            <v>0</v>
          </cell>
          <cell r="AF78">
            <v>0</v>
          </cell>
          <cell r="AG78">
            <v>0</v>
          </cell>
          <cell r="AH78">
            <v>0</v>
          </cell>
          <cell r="AI78">
            <v>0</v>
          </cell>
          <cell r="AJ78">
            <v>0</v>
          </cell>
          <cell r="AK78">
            <v>0</v>
          </cell>
          <cell r="AL78">
            <v>0</v>
          </cell>
          <cell r="AM78">
            <v>0</v>
          </cell>
          <cell r="AN78">
            <v>0</v>
          </cell>
          <cell r="AO78">
            <v>0</v>
          </cell>
          <cell r="AP78">
            <v>-100.00000000000016</v>
          </cell>
          <cell r="AQ78">
            <v>0</v>
          </cell>
          <cell r="AR78">
            <v>0</v>
          </cell>
          <cell r="AS78">
            <v>0</v>
          </cell>
          <cell r="AT78">
            <v>0</v>
          </cell>
          <cell r="AU78">
            <v>0</v>
          </cell>
          <cell r="AV78">
            <v>0</v>
          </cell>
          <cell r="AW78">
            <v>0</v>
          </cell>
          <cell r="AX78">
            <v>0</v>
          </cell>
          <cell r="AY78">
            <v>0</v>
          </cell>
          <cell r="AZ78">
            <v>0</v>
          </cell>
          <cell r="BA78">
            <v>0</v>
          </cell>
          <cell r="BB78">
            <v>0</v>
          </cell>
          <cell r="BC78">
            <v>99.804438148783888</v>
          </cell>
        </row>
        <row r="79">
          <cell r="B79" t="str">
            <v>B01520020</v>
          </cell>
          <cell r="C79" t="str">
            <v>BBG Government Index</v>
          </cell>
          <cell r="D79" t="str">
            <v>GOVERNMENT</v>
          </cell>
          <cell r="E79">
            <v>1</v>
          </cell>
          <cell r="L79">
            <v>0</v>
          </cell>
          <cell r="M79">
            <v>0</v>
          </cell>
          <cell r="N79">
            <v>0</v>
          </cell>
          <cell r="O79">
            <v>0</v>
          </cell>
          <cell r="P79">
            <v>0</v>
          </cell>
          <cell r="Q79">
            <v>0</v>
          </cell>
          <cell r="R79">
            <v>0</v>
          </cell>
          <cell r="S79">
            <v>0</v>
          </cell>
          <cell r="T79">
            <v>0</v>
          </cell>
          <cell r="U79">
            <v>0</v>
          </cell>
          <cell r="V79">
            <v>0</v>
          </cell>
          <cell r="W79">
            <v>0</v>
          </cell>
          <cell r="X79">
            <v>0</v>
          </cell>
          <cell r="Y79">
            <v>0</v>
          </cell>
          <cell r="Z79">
            <v>0</v>
          </cell>
          <cell r="AA79">
            <v>0</v>
          </cell>
          <cell r="AB79">
            <v>0</v>
          </cell>
          <cell r="AC79">
            <v>0</v>
          </cell>
          <cell r="AD79">
            <v>0</v>
          </cell>
          <cell r="AE79">
            <v>0</v>
          </cell>
          <cell r="AF79">
            <v>0</v>
          </cell>
          <cell r="AG79">
            <v>0</v>
          </cell>
          <cell r="AH79">
            <v>0</v>
          </cell>
          <cell r="AI79">
            <v>0</v>
          </cell>
          <cell r="AJ79">
            <v>0</v>
          </cell>
          <cell r="AK79">
            <v>0</v>
          </cell>
          <cell r="AL79">
            <v>0</v>
          </cell>
          <cell r="AM79">
            <v>0</v>
          </cell>
          <cell r="AN79">
            <v>0</v>
          </cell>
          <cell r="AO79">
            <v>0</v>
          </cell>
          <cell r="AP79">
            <v>-100</v>
          </cell>
          <cell r="AQ79">
            <v>0</v>
          </cell>
          <cell r="AR79">
            <v>0</v>
          </cell>
          <cell r="AS79">
            <v>0</v>
          </cell>
          <cell r="AT79">
            <v>0</v>
          </cell>
          <cell r="AU79">
            <v>0</v>
          </cell>
          <cell r="AV79">
            <v>0</v>
          </cell>
          <cell r="AW79">
            <v>0</v>
          </cell>
          <cell r="AX79">
            <v>0</v>
          </cell>
          <cell r="AY79">
            <v>0</v>
          </cell>
          <cell r="AZ79">
            <v>0</v>
          </cell>
          <cell r="BA79">
            <v>0</v>
          </cell>
          <cell r="BB79">
            <v>0</v>
          </cell>
          <cell r="BC79">
            <v>100</v>
          </cell>
        </row>
        <row r="80">
          <cell r="B80" t="str">
            <v>BRT1D5PP9</v>
          </cell>
          <cell r="C80" t="str">
            <v>INF - Diversified Global</v>
          </cell>
          <cell r="E80">
            <v>1</v>
          </cell>
          <cell r="L80">
            <v>0</v>
          </cell>
          <cell r="M80">
            <v>0.45999999999999996</v>
          </cell>
          <cell r="N80">
            <v>0</v>
          </cell>
          <cell r="O80">
            <v>1.89</v>
          </cell>
          <cell r="P80">
            <v>0</v>
          </cell>
          <cell r="Q80">
            <v>0</v>
          </cell>
          <cell r="R80">
            <v>0</v>
          </cell>
          <cell r="S80">
            <v>0</v>
          </cell>
          <cell r="T80">
            <v>0</v>
          </cell>
          <cell r="U80">
            <v>0</v>
          </cell>
          <cell r="V80">
            <v>0</v>
          </cell>
          <cell r="W80">
            <v>0</v>
          </cell>
          <cell r="X80">
            <v>0</v>
          </cell>
          <cell r="Y80">
            <v>35.32</v>
          </cell>
          <cell r="Z80">
            <v>1.48</v>
          </cell>
          <cell r="AA80">
            <v>0</v>
          </cell>
          <cell r="AB80">
            <v>0</v>
          </cell>
          <cell r="AC80">
            <v>0</v>
          </cell>
          <cell r="AD80">
            <v>0.39000000000000007</v>
          </cell>
          <cell r="AE80">
            <v>0.28999999999999998</v>
          </cell>
          <cell r="AF80">
            <v>0</v>
          </cell>
          <cell r="AG80">
            <v>0.13</v>
          </cell>
          <cell r="AH80">
            <v>0</v>
          </cell>
          <cell r="AI80">
            <v>0</v>
          </cell>
          <cell r="AJ80">
            <v>8.0000000000000016E-2</v>
          </cell>
          <cell r="AK80">
            <v>0</v>
          </cell>
          <cell r="AL80">
            <v>0.81000000000000016</v>
          </cell>
          <cell r="AM80">
            <v>0</v>
          </cell>
          <cell r="AN80">
            <v>0</v>
          </cell>
          <cell r="AO80">
            <v>0</v>
          </cell>
          <cell r="AP80">
            <v>-100</v>
          </cell>
          <cell r="AQ80">
            <v>0</v>
          </cell>
          <cell r="AR80">
            <v>0</v>
          </cell>
          <cell r="AS80">
            <v>0</v>
          </cell>
          <cell r="AT80">
            <v>0</v>
          </cell>
          <cell r="AU80">
            <v>0</v>
          </cell>
          <cell r="AV80">
            <v>0</v>
          </cell>
          <cell r="AW80">
            <v>0</v>
          </cell>
          <cell r="AX80">
            <v>0</v>
          </cell>
          <cell r="AY80">
            <v>0</v>
          </cell>
          <cell r="AZ80">
            <v>0</v>
          </cell>
          <cell r="BA80">
            <v>0</v>
          </cell>
          <cell r="BB80">
            <v>0.21</v>
          </cell>
          <cell r="BC80">
            <v>58.940000000000005</v>
          </cell>
        </row>
        <row r="81">
          <cell r="B81" t="str">
            <v>BRTG30Z93</v>
          </cell>
          <cell r="C81" t="str">
            <v>BBG US Govt Inflation-Linked 1-5Yrs</v>
          </cell>
          <cell r="D81" t="str">
            <v>BUKIL1-5</v>
          </cell>
          <cell r="E81">
            <v>1.0000000000000002</v>
          </cell>
          <cell r="L81">
            <v>0</v>
          </cell>
          <cell r="M81">
            <v>0</v>
          </cell>
          <cell r="N81">
            <v>0</v>
          </cell>
          <cell r="O81">
            <v>0</v>
          </cell>
          <cell r="P81">
            <v>0</v>
          </cell>
          <cell r="Q81">
            <v>0</v>
          </cell>
          <cell r="R81">
            <v>0</v>
          </cell>
          <cell r="S81">
            <v>0</v>
          </cell>
          <cell r="T81">
            <v>0</v>
          </cell>
          <cell r="U81">
            <v>0</v>
          </cell>
          <cell r="V81">
            <v>0</v>
          </cell>
          <cell r="W81">
            <v>0</v>
          </cell>
          <cell r="X81">
            <v>0</v>
          </cell>
          <cell r="Y81">
            <v>0</v>
          </cell>
          <cell r="Z81">
            <v>0</v>
          </cell>
          <cell r="AA81">
            <v>0</v>
          </cell>
          <cell r="AB81">
            <v>0</v>
          </cell>
          <cell r="AC81">
            <v>0</v>
          </cell>
          <cell r="AD81">
            <v>0</v>
          </cell>
          <cell r="AE81">
            <v>0</v>
          </cell>
          <cell r="AF81">
            <v>0</v>
          </cell>
          <cell r="AG81">
            <v>0</v>
          </cell>
          <cell r="AH81">
            <v>0</v>
          </cell>
          <cell r="AI81">
            <v>0</v>
          </cell>
          <cell r="AJ81">
            <v>0</v>
          </cell>
          <cell r="AK81">
            <v>0</v>
          </cell>
          <cell r="AL81">
            <v>0</v>
          </cell>
          <cell r="AM81">
            <v>0</v>
          </cell>
          <cell r="AN81">
            <v>0</v>
          </cell>
          <cell r="AO81">
            <v>0</v>
          </cell>
          <cell r="AP81">
            <v>-100</v>
          </cell>
          <cell r="AQ81">
            <v>0</v>
          </cell>
          <cell r="AR81">
            <v>0</v>
          </cell>
          <cell r="AS81">
            <v>0</v>
          </cell>
          <cell r="AT81">
            <v>0</v>
          </cell>
          <cell r="AU81">
            <v>0</v>
          </cell>
          <cell r="AV81">
            <v>0</v>
          </cell>
          <cell r="AW81">
            <v>0</v>
          </cell>
          <cell r="AX81">
            <v>0</v>
          </cell>
          <cell r="AY81">
            <v>0</v>
          </cell>
          <cell r="AZ81">
            <v>0</v>
          </cell>
          <cell r="BA81">
            <v>0</v>
          </cell>
          <cell r="BB81">
            <v>0</v>
          </cell>
          <cell r="BC81">
            <v>100</v>
          </cell>
        </row>
        <row r="82">
          <cell r="B82" t="str">
            <v>BRT9QGML6</v>
          </cell>
          <cell r="C82" t="str">
            <v>MSCI Emerging Markets ex China (Net)</v>
          </cell>
          <cell r="D82" t="str">
            <v>MS_EMXCNN</v>
          </cell>
          <cell r="E82">
            <v>1</v>
          </cell>
          <cell r="L82">
            <v>1.5586712791540487</v>
          </cell>
          <cell r="M82">
            <v>0</v>
          </cell>
          <cell r="N82">
            <v>6.7513750776087429</v>
          </cell>
          <cell r="O82">
            <v>0</v>
          </cell>
          <cell r="P82">
            <v>0</v>
          </cell>
          <cell r="Q82">
            <v>0.56180177985834212</v>
          </cell>
          <cell r="R82">
            <v>0</v>
          </cell>
          <cell r="S82">
            <v>0.13591637913575064</v>
          </cell>
          <cell r="T82">
            <v>0.16889034351996968</v>
          </cell>
          <cell r="U82">
            <v>0</v>
          </cell>
          <cell r="V82">
            <v>0</v>
          </cell>
          <cell r="W82">
            <v>0</v>
          </cell>
          <cell r="X82">
            <v>9.8062095593199505E-2</v>
          </cell>
          <cell r="Y82">
            <v>0.6894286750429639</v>
          </cell>
          <cell r="Z82">
            <v>5.8891453576936592E-2</v>
          </cell>
          <cell r="AA82">
            <v>0</v>
          </cell>
          <cell r="AB82">
            <v>0.3199288282105871</v>
          </cell>
          <cell r="AC82">
            <v>2.2821251974070398</v>
          </cell>
          <cell r="AD82">
            <v>0</v>
          </cell>
          <cell r="AE82">
            <v>26.751799738460605</v>
          </cell>
          <cell r="AF82">
            <v>0</v>
          </cell>
          <cell r="AG82">
            <v>0</v>
          </cell>
          <cell r="AH82">
            <v>14.996946746387625</v>
          </cell>
          <cell r="AI82">
            <v>0.96120972972124885</v>
          </cell>
          <cell r="AJ82">
            <v>2.6052323385931389</v>
          </cell>
          <cell r="AK82">
            <v>2.0522948401180998</v>
          </cell>
          <cell r="AL82">
            <v>0</v>
          </cell>
          <cell r="AM82">
            <v>0</v>
          </cell>
          <cell r="AN82">
            <v>0.38714112676322809</v>
          </cell>
          <cell r="AO82">
            <v>0.75633659838300138</v>
          </cell>
          <cell r="AP82">
            <v>-98.763717262707814</v>
          </cell>
          <cell r="AQ82">
            <v>1.0422003283820378</v>
          </cell>
          <cell r="AR82">
            <v>7.7198087108578645E-2</v>
          </cell>
          <cell r="AS82">
            <v>0</v>
          </cell>
          <cell r="AT82">
            <v>0</v>
          </cell>
          <cell r="AU82">
            <v>5.3120384788601145</v>
          </cell>
          <cell r="AV82">
            <v>0</v>
          </cell>
          <cell r="AW82">
            <v>0</v>
          </cell>
          <cell r="AX82">
            <v>1.8910968277604443</v>
          </cell>
          <cell r="AY82">
            <v>0.91255775640005121</v>
          </cell>
          <cell r="AZ82">
            <v>23.994124722176611</v>
          </cell>
          <cell r="BA82">
            <v>0</v>
          </cell>
          <cell r="BB82">
            <v>3.916558918585729</v>
          </cell>
          <cell r="BC82">
            <v>0.48188991589973029</v>
          </cell>
        </row>
        <row r="83">
          <cell r="B83" t="str">
            <v>BRTAQ5VH6</v>
          </cell>
          <cell r="C83" t="str">
            <v>CMA - Real estate mezzanine debt unhedge</v>
          </cell>
          <cell r="D83" t="str">
            <v>CMA_WMEZUH</v>
          </cell>
          <cell r="E83">
            <v>1</v>
          </cell>
          <cell r="L83">
            <v>0</v>
          </cell>
          <cell r="M83">
            <v>2.2399999999999989</v>
          </cell>
          <cell r="N83">
            <v>0</v>
          </cell>
          <cell r="O83">
            <v>0</v>
          </cell>
          <cell r="P83">
            <v>1.250848854790175</v>
          </cell>
          <cell r="Q83">
            <v>0</v>
          </cell>
          <cell r="R83">
            <v>0</v>
          </cell>
          <cell r="S83">
            <v>0</v>
          </cell>
          <cell r="T83">
            <v>0</v>
          </cell>
          <cell r="U83">
            <v>0</v>
          </cell>
          <cell r="V83">
            <v>8.0999999999999944E-3</v>
          </cell>
          <cell r="W83">
            <v>0</v>
          </cell>
          <cell r="X83">
            <v>0</v>
          </cell>
          <cell r="Y83">
            <v>19.047867981704385</v>
          </cell>
          <cell r="Z83">
            <v>6.2628682130010773</v>
          </cell>
          <cell r="AA83">
            <v>0</v>
          </cell>
          <cell r="AB83">
            <v>0</v>
          </cell>
          <cell r="AC83">
            <v>0</v>
          </cell>
          <cell r="AD83">
            <v>0</v>
          </cell>
          <cell r="AE83">
            <v>0</v>
          </cell>
          <cell r="AF83">
            <v>0</v>
          </cell>
          <cell r="AG83">
            <v>3.1299999999999981</v>
          </cell>
          <cell r="AH83">
            <v>0</v>
          </cell>
          <cell r="AI83">
            <v>0</v>
          </cell>
          <cell r="AJ83">
            <v>0</v>
          </cell>
          <cell r="AK83">
            <v>0</v>
          </cell>
          <cell r="AL83">
            <v>0.25761666794843796</v>
          </cell>
          <cell r="AM83">
            <v>0</v>
          </cell>
          <cell r="AN83">
            <v>0</v>
          </cell>
          <cell r="AO83">
            <v>0</v>
          </cell>
          <cell r="AP83">
            <v>-99.769899999999964</v>
          </cell>
          <cell r="AQ83">
            <v>0</v>
          </cell>
          <cell r="AR83">
            <v>0</v>
          </cell>
          <cell r="AS83">
            <v>0</v>
          </cell>
          <cell r="AT83">
            <v>0.42159999999999986</v>
          </cell>
          <cell r="AU83">
            <v>0</v>
          </cell>
          <cell r="AV83">
            <v>1.5184499999999992</v>
          </cell>
          <cell r="AW83">
            <v>0.9199999999999996</v>
          </cell>
          <cell r="AX83">
            <v>0</v>
          </cell>
          <cell r="AY83">
            <v>0.67829999999999957</v>
          </cell>
          <cell r="AZ83">
            <v>0</v>
          </cell>
          <cell r="BA83">
            <v>0</v>
          </cell>
          <cell r="BB83">
            <v>0</v>
          </cell>
          <cell r="BC83">
            <v>64.034248282555893</v>
          </cell>
        </row>
        <row r="84">
          <cell r="B84" t="str">
            <v>BRSLC50S8</v>
          </cell>
          <cell r="C84" t="str">
            <v>RE - Core Global</v>
          </cell>
          <cell r="E84">
            <v>1</v>
          </cell>
          <cell r="L84">
            <v>0</v>
          </cell>
          <cell r="M84">
            <v>4.4800000000000004</v>
          </cell>
          <cell r="N84">
            <v>0</v>
          </cell>
          <cell r="O84">
            <v>0</v>
          </cell>
          <cell r="P84">
            <v>2.4877499999999997</v>
          </cell>
          <cell r="Q84">
            <v>0</v>
          </cell>
          <cell r="R84">
            <v>0</v>
          </cell>
          <cell r="S84">
            <v>0</v>
          </cell>
          <cell r="T84">
            <v>0</v>
          </cell>
          <cell r="U84">
            <v>0</v>
          </cell>
          <cell r="V84">
            <v>1.6240000000000001E-2</v>
          </cell>
          <cell r="W84">
            <v>0</v>
          </cell>
          <cell r="X84">
            <v>0</v>
          </cell>
          <cell r="Y84">
            <v>21.257569999999994</v>
          </cell>
          <cell r="Z84">
            <v>10.61</v>
          </cell>
          <cell r="AA84">
            <v>0</v>
          </cell>
          <cell r="AB84">
            <v>0</v>
          </cell>
          <cell r="AC84">
            <v>0</v>
          </cell>
          <cell r="AD84">
            <v>0</v>
          </cell>
          <cell r="AE84">
            <v>0</v>
          </cell>
          <cell r="AF84">
            <v>0</v>
          </cell>
          <cell r="AG84">
            <v>6.26</v>
          </cell>
          <cell r="AH84">
            <v>0</v>
          </cell>
          <cell r="AI84">
            <v>0</v>
          </cell>
          <cell r="AJ84">
            <v>0</v>
          </cell>
          <cell r="AK84">
            <v>0</v>
          </cell>
          <cell r="AL84">
            <v>0.5115599999999999</v>
          </cell>
          <cell r="AM84">
            <v>0</v>
          </cell>
          <cell r="AN84">
            <v>0</v>
          </cell>
          <cell r="AO84">
            <v>0</v>
          </cell>
          <cell r="AP84">
            <v>-99.539820000000006</v>
          </cell>
          <cell r="AQ84">
            <v>0</v>
          </cell>
          <cell r="AR84">
            <v>0</v>
          </cell>
          <cell r="AS84">
            <v>0</v>
          </cell>
          <cell r="AT84">
            <v>0.84321999999999997</v>
          </cell>
          <cell r="AU84">
            <v>0</v>
          </cell>
          <cell r="AV84">
            <v>3.03688</v>
          </cell>
          <cell r="AW84">
            <v>1.8399999999999999</v>
          </cell>
          <cell r="AX84">
            <v>0</v>
          </cell>
          <cell r="AY84">
            <v>1.3566000000000003</v>
          </cell>
          <cell r="AZ84">
            <v>0</v>
          </cell>
          <cell r="BA84">
            <v>0</v>
          </cell>
          <cell r="BB84">
            <v>0</v>
          </cell>
          <cell r="BC84">
            <v>46.84</v>
          </cell>
        </row>
        <row r="85">
          <cell r="B85" t="str">
            <v>BRS2NHL83</v>
          </cell>
          <cell r="C85" t="str">
            <v>MSCI Developed - Canada</v>
          </cell>
          <cell r="D85" t="str">
            <v>MS_CA</v>
          </cell>
          <cell r="E85">
            <v>1</v>
          </cell>
          <cell r="L85">
            <v>0</v>
          </cell>
          <cell r="M85">
            <v>0</v>
          </cell>
          <cell r="N85">
            <v>0</v>
          </cell>
          <cell r="O85">
            <v>98.532561333429896</v>
          </cell>
          <cell r="P85">
            <v>0</v>
          </cell>
          <cell r="Q85">
            <v>0</v>
          </cell>
          <cell r="R85">
            <v>0</v>
          </cell>
          <cell r="S85">
            <v>0</v>
          </cell>
          <cell r="T85">
            <v>0</v>
          </cell>
          <cell r="U85">
            <v>0</v>
          </cell>
          <cell r="V85">
            <v>0</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L85">
            <v>0</v>
          </cell>
          <cell r="AM85">
            <v>0</v>
          </cell>
          <cell r="AN85">
            <v>0</v>
          </cell>
          <cell r="AO85">
            <v>0</v>
          </cell>
          <cell r="AP85">
            <v>-100</v>
          </cell>
          <cell r="AQ85">
            <v>0</v>
          </cell>
          <cell r="AR85">
            <v>0</v>
          </cell>
          <cell r="AS85">
            <v>0</v>
          </cell>
          <cell r="AT85">
            <v>0</v>
          </cell>
          <cell r="AU85">
            <v>0</v>
          </cell>
          <cell r="AV85">
            <v>0</v>
          </cell>
          <cell r="AW85">
            <v>0</v>
          </cell>
          <cell r="AX85">
            <v>0</v>
          </cell>
          <cell r="AY85">
            <v>0</v>
          </cell>
          <cell r="AZ85">
            <v>0</v>
          </cell>
          <cell r="BA85">
            <v>0</v>
          </cell>
          <cell r="BB85">
            <v>0</v>
          </cell>
          <cell r="BC85">
            <v>1.4674386665701089</v>
          </cell>
        </row>
        <row r="86">
          <cell r="B86" t="str">
            <v>BRWUM3099</v>
          </cell>
          <cell r="C86" t="str">
            <v>CMA - Infra Debt Unhedged</v>
          </cell>
          <cell r="D86" t="str">
            <v>CMA_GIDUHD</v>
          </cell>
          <cell r="E86">
            <v>1</v>
          </cell>
          <cell r="L86">
            <v>0</v>
          </cell>
          <cell r="M86">
            <v>0</v>
          </cell>
          <cell r="N86">
            <v>0</v>
          </cell>
          <cell r="O86">
            <v>5.4106425921903609</v>
          </cell>
          <cell r="P86">
            <v>0.14435892335046405</v>
          </cell>
          <cell r="Q86">
            <v>0</v>
          </cell>
          <cell r="R86">
            <v>0</v>
          </cell>
          <cell r="S86">
            <v>0</v>
          </cell>
          <cell r="T86">
            <v>0</v>
          </cell>
          <cell r="U86">
            <v>0</v>
          </cell>
          <cell r="V86">
            <v>0</v>
          </cell>
          <cell r="W86">
            <v>0</v>
          </cell>
          <cell r="X86">
            <v>0</v>
          </cell>
          <cell r="Y86">
            <v>23.970798311457639</v>
          </cell>
          <cell r="Z86">
            <v>5.968576705440154</v>
          </cell>
          <cell r="AA86">
            <v>0</v>
          </cell>
          <cell r="AB86">
            <v>0</v>
          </cell>
          <cell r="AC86">
            <v>0</v>
          </cell>
          <cell r="AD86">
            <v>0</v>
          </cell>
          <cell r="AE86">
            <v>0</v>
          </cell>
          <cell r="AF86">
            <v>0</v>
          </cell>
          <cell r="AG86">
            <v>0</v>
          </cell>
          <cell r="AH86">
            <v>0</v>
          </cell>
          <cell r="AI86">
            <v>0</v>
          </cell>
          <cell r="AJ86">
            <v>0</v>
          </cell>
          <cell r="AK86">
            <v>0</v>
          </cell>
          <cell r="AL86">
            <v>8.7464900148482572E-3</v>
          </cell>
          <cell r="AM86">
            <v>0</v>
          </cell>
          <cell r="AN86">
            <v>0</v>
          </cell>
          <cell r="AO86">
            <v>0</v>
          </cell>
          <cell r="AP86">
            <v>-100.00000000000009</v>
          </cell>
          <cell r="AQ86">
            <v>0</v>
          </cell>
          <cell r="AR86">
            <v>0</v>
          </cell>
          <cell r="AS86">
            <v>0</v>
          </cell>
          <cell r="AT86">
            <v>0</v>
          </cell>
          <cell r="AU86">
            <v>0</v>
          </cell>
          <cell r="AV86">
            <v>1.3444371996120115E-2</v>
          </cell>
          <cell r="AW86">
            <v>0</v>
          </cell>
          <cell r="AX86">
            <v>0</v>
          </cell>
          <cell r="AY86">
            <v>0</v>
          </cell>
          <cell r="AZ86">
            <v>0</v>
          </cell>
          <cell r="BA86">
            <v>0</v>
          </cell>
          <cell r="BB86">
            <v>0</v>
          </cell>
          <cell r="BC86">
            <v>64.48343260555049</v>
          </cell>
        </row>
        <row r="87">
          <cell r="B87" t="str">
            <v>BRSM5U6L8</v>
          </cell>
          <cell r="C87" t="str">
            <v>ICE BofA Global Government Bonds G7 1-10</v>
          </cell>
          <cell r="D87" t="str">
            <v>MLW5G7USH</v>
          </cell>
          <cell r="E87">
            <v>1</v>
          </cell>
          <cell r="L87">
            <v>0</v>
          </cell>
          <cell r="M87">
            <v>0</v>
          </cell>
          <cell r="N87">
            <v>0</v>
          </cell>
          <cell r="O87">
            <v>1.3184641317034668E-2</v>
          </cell>
          <cell r="P87">
            <v>0</v>
          </cell>
          <cell r="Q87">
            <v>0</v>
          </cell>
          <cell r="R87">
            <v>0</v>
          </cell>
          <cell r="S87">
            <v>0</v>
          </cell>
          <cell r="T87">
            <v>0</v>
          </cell>
          <cell r="U87">
            <v>0</v>
          </cell>
          <cell r="V87">
            <v>0</v>
          </cell>
          <cell r="W87">
            <v>0</v>
          </cell>
          <cell r="X87">
            <v>0</v>
          </cell>
          <cell r="Y87">
            <v>9.6804238241693791E-2</v>
          </cell>
          <cell r="Z87">
            <v>2.6340236397586796E-2</v>
          </cell>
          <cell r="AA87">
            <v>0</v>
          </cell>
          <cell r="AB87">
            <v>0</v>
          </cell>
          <cell r="AC87">
            <v>0</v>
          </cell>
          <cell r="AD87">
            <v>0</v>
          </cell>
          <cell r="AE87">
            <v>0</v>
          </cell>
          <cell r="AF87">
            <v>0</v>
          </cell>
          <cell r="AG87">
            <v>4.9669244128475988E-2</v>
          </cell>
          <cell r="AH87">
            <v>0</v>
          </cell>
          <cell r="AI87">
            <v>0</v>
          </cell>
          <cell r="AJ87">
            <v>0</v>
          </cell>
          <cell r="AK87">
            <v>0</v>
          </cell>
          <cell r="AL87">
            <v>0</v>
          </cell>
          <cell r="AM87">
            <v>0</v>
          </cell>
          <cell r="AN87">
            <v>0</v>
          </cell>
          <cell r="AO87">
            <v>0</v>
          </cell>
          <cell r="AP87">
            <v>-99.999926249401128</v>
          </cell>
          <cell r="AQ87">
            <v>0</v>
          </cell>
          <cell r="AR87">
            <v>0</v>
          </cell>
          <cell r="AS87">
            <v>0</v>
          </cell>
          <cell r="AT87">
            <v>0</v>
          </cell>
          <cell r="AU87">
            <v>0</v>
          </cell>
          <cell r="AV87">
            <v>0</v>
          </cell>
          <cell r="AW87">
            <v>0</v>
          </cell>
          <cell r="AX87">
            <v>0</v>
          </cell>
          <cell r="AY87">
            <v>0</v>
          </cell>
          <cell r="AZ87">
            <v>0</v>
          </cell>
          <cell r="BA87">
            <v>0</v>
          </cell>
          <cell r="BB87">
            <v>0</v>
          </cell>
          <cell r="BC87">
            <v>99.813927889316332</v>
          </cell>
        </row>
        <row r="88">
          <cell r="B88" t="str">
            <v>BRS1LX887</v>
          </cell>
          <cell r="C88" t="str">
            <v>BBG Global High Yield Index</v>
          </cell>
          <cell r="D88" t="str">
            <v>LEHGLBHY</v>
          </cell>
          <cell r="E88">
            <v>1</v>
          </cell>
          <cell r="L88">
            <v>0</v>
          </cell>
          <cell r="M88">
            <v>0</v>
          </cell>
          <cell r="N88">
            <v>0</v>
          </cell>
          <cell r="O88">
            <v>0</v>
          </cell>
          <cell r="P88">
            <v>1.3997709580351254E-2</v>
          </cell>
          <cell r="Q88">
            <v>0</v>
          </cell>
          <cell r="R88">
            <v>0</v>
          </cell>
          <cell r="S88">
            <v>0</v>
          </cell>
          <cell r="T88">
            <v>0</v>
          </cell>
          <cell r="U88">
            <v>0</v>
          </cell>
          <cell r="V88">
            <v>0</v>
          </cell>
          <cell r="W88">
            <v>0</v>
          </cell>
          <cell r="X88">
            <v>0</v>
          </cell>
          <cell r="Y88">
            <v>16.838135963408781</v>
          </cell>
          <cell r="Z88">
            <v>1.9157364260021599</v>
          </cell>
          <cell r="AA88">
            <v>0</v>
          </cell>
          <cell r="AB88">
            <v>0</v>
          </cell>
          <cell r="AC88">
            <v>0</v>
          </cell>
          <cell r="AD88">
            <v>0</v>
          </cell>
          <cell r="AE88">
            <v>0</v>
          </cell>
          <cell r="AF88">
            <v>0</v>
          </cell>
          <cell r="AG88">
            <v>0</v>
          </cell>
          <cell r="AH88">
            <v>0</v>
          </cell>
          <cell r="AI88">
            <v>0</v>
          </cell>
          <cell r="AJ88">
            <v>0</v>
          </cell>
          <cell r="AK88">
            <v>0</v>
          </cell>
          <cell r="AL88">
            <v>3.6333358968761702E-3</v>
          </cell>
          <cell r="AM88">
            <v>0</v>
          </cell>
          <cell r="AN88">
            <v>0</v>
          </cell>
          <cell r="AO88">
            <v>0</v>
          </cell>
          <cell r="AP88">
            <v>-99.999999999999915</v>
          </cell>
          <cell r="AQ88">
            <v>0</v>
          </cell>
          <cell r="AR88">
            <v>0</v>
          </cell>
          <cell r="AS88">
            <v>0</v>
          </cell>
          <cell r="AT88">
            <v>0</v>
          </cell>
          <cell r="AU88">
            <v>0</v>
          </cell>
          <cell r="AV88">
            <v>0</v>
          </cell>
          <cell r="AW88">
            <v>0</v>
          </cell>
          <cell r="AX88">
            <v>0</v>
          </cell>
          <cell r="AY88">
            <v>0</v>
          </cell>
          <cell r="AZ88">
            <v>0</v>
          </cell>
          <cell r="BA88">
            <v>0</v>
          </cell>
          <cell r="BB88">
            <v>0</v>
          </cell>
          <cell r="BC88">
            <v>81.228496565111755</v>
          </cell>
        </row>
        <row r="89">
          <cell r="B89" t="str">
            <v>BRS14KDH8</v>
          </cell>
          <cell r="C89" t="str">
            <v>BBG Treasury 1-10 Yr Index</v>
          </cell>
          <cell r="D89" t="str">
            <v>LTSY1-10</v>
          </cell>
          <cell r="E89">
            <v>1</v>
          </cell>
          <cell r="L89">
            <v>0</v>
          </cell>
          <cell r="M89">
            <v>0</v>
          </cell>
          <cell r="N89">
            <v>0</v>
          </cell>
          <cell r="O89">
            <v>0</v>
          </cell>
          <cell r="P89">
            <v>0</v>
          </cell>
          <cell r="Q89">
            <v>0</v>
          </cell>
          <cell r="R89">
            <v>0</v>
          </cell>
          <cell r="S89">
            <v>0</v>
          </cell>
          <cell r="T89">
            <v>0</v>
          </cell>
          <cell r="U89">
            <v>0</v>
          </cell>
          <cell r="V89">
            <v>0</v>
          </cell>
          <cell r="W89">
            <v>0</v>
          </cell>
          <cell r="X89">
            <v>0</v>
          </cell>
          <cell r="Y89">
            <v>0</v>
          </cell>
          <cell r="Z89">
            <v>0</v>
          </cell>
          <cell r="AA89">
            <v>0</v>
          </cell>
          <cell r="AB89">
            <v>0</v>
          </cell>
          <cell r="AC89">
            <v>0</v>
          </cell>
          <cell r="AD89">
            <v>0</v>
          </cell>
          <cell r="AE89">
            <v>0</v>
          </cell>
          <cell r="AF89">
            <v>0</v>
          </cell>
          <cell r="AG89">
            <v>0</v>
          </cell>
          <cell r="AH89">
            <v>0</v>
          </cell>
          <cell r="AI89">
            <v>0</v>
          </cell>
          <cell r="AJ89">
            <v>0</v>
          </cell>
          <cell r="AK89">
            <v>0</v>
          </cell>
          <cell r="AL89">
            <v>0</v>
          </cell>
          <cell r="AM89">
            <v>0</v>
          </cell>
          <cell r="AN89">
            <v>0</v>
          </cell>
          <cell r="AO89">
            <v>0</v>
          </cell>
          <cell r="AP89">
            <v>-99.999999999999957</v>
          </cell>
          <cell r="AQ89">
            <v>0</v>
          </cell>
          <cell r="AR89">
            <v>0</v>
          </cell>
          <cell r="AS89">
            <v>0</v>
          </cell>
          <cell r="AT89">
            <v>0</v>
          </cell>
          <cell r="AU89">
            <v>0</v>
          </cell>
          <cell r="AV89">
            <v>0</v>
          </cell>
          <cell r="AW89">
            <v>0</v>
          </cell>
          <cell r="AX89">
            <v>0</v>
          </cell>
          <cell r="AY89">
            <v>0</v>
          </cell>
          <cell r="AZ89">
            <v>0</v>
          </cell>
          <cell r="BA89">
            <v>0</v>
          </cell>
          <cell r="BB89">
            <v>0</v>
          </cell>
          <cell r="BC89">
            <v>99.999999999999957</v>
          </cell>
        </row>
        <row r="90">
          <cell r="B90" t="str">
            <v>BRSM5Y7T2</v>
          </cell>
          <cell r="C90" t="str">
            <v>BBG Sterling Corporates 10-20 Years Inde</v>
          </cell>
          <cell r="D90" t="str">
            <v>B28355EUR</v>
          </cell>
          <cell r="E90">
            <v>1</v>
          </cell>
          <cell r="L90">
            <v>0</v>
          </cell>
          <cell r="M90">
            <v>0</v>
          </cell>
          <cell r="N90">
            <v>0</v>
          </cell>
          <cell r="O90">
            <v>0</v>
          </cell>
          <cell r="P90">
            <v>0</v>
          </cell>
          <cell r="Q90">
            <v>0</v>
          </cell>
          <cell r="R90">
            <v>0</v>
          </cell>
          <cell r="S90">
            <v>0</v>
          </cell>
          <cell r="T90">
            <v>0</v>
          </cell>
          <cell r="U90">
            <v>0</v>
          </cell>
          <cell r="V90">
            <v>0</v>
          </cell>
          <cell r="W90">
            <v>0</v>
          </cell>
          <cell r="X90">
            <v>0</v>
          </cell>
          <cell r="Y90">
            <v>0</v>
          </cell>
          <cell r="Z90">
            <v>99.999999999999986</v>
          </cell>
          <cell r="AA90">
            <v>0</v>
          </cell>
          <cell r="AB90">
            <v>0</v>
          </cell>
          <cell r="AC90">
            <v>0</v>
          </cell>
          <cell r="AD90">
            <v>0</v>
          </cell>
          <cell r="AE90">
            <v>0</v>
          </cell>
          <cell r="AF90">
            <v>0</v>
          </cell>
          <cell r="AG90">
            <v>0</v>
          </cell>
          <cell r="AH90">
            <v>0</v>
          </cell>
          <cell r="AI90">
            <v>0</v>
          </cell>
          <cell r="AJ90">
            <v>0</v>
          </cell>
          <cell r="AK90">
            <v>0</v>
          </cell>
          <cell r="AL90">
            <v>0</v>
          </cell>
          <cell r="AM90">
            <v>0</v>
          </cell>
          <cell r="AN90">
            <v>0</v>
          </cell>
          <cell r="AO90">
            <v>0</v>
          </cell>
          <cell r="AP90">
            <v>-100</v>
          </cell>
          <cell r="AQ90">
            <v>0</v>
          </cell>
          <cell r="AR90">
            <v>0</v>
          </cell>
          <cell r="AS90">
            <v>0</v>
          </cell>
          <cell r="AT90">
            <v>0</v>
          </cell>
          <cell r="AU90">
            <v>0</v>
          </cell>
          <cell r="AV90">
            <v>0</v>
          </cell>
          <cell r="AW90">
            <v>0</v>
          </cell>
          <cell r="AX90">
            <v>0</v>
          </cell>
          <cell r="AY90">
            <v>0</v>
          </cell>
          <cell r="AZ90">
            <v>0</v>
          </cell>
          <cell r="BA90">
            <v>0</v>
          </cell>
          <cell r="BB90">
            <v>0</v>
          </cell>
          <cell r="BC90">
            <v>1.7966634483589833E-14</v>
          </cell>
        </row>
        <row r="91">
          <cell r="B91" t="str">
            <v>BRYPSXJD7</v>
          </cell>
          <cell r="C91" t="str">
            <v>MSCI EM (Emerging Markets) ex China ex I</v>
          </cell>
          <cell r="D91" t="str">
            <v>M738173USD</v>
          </cell>
          <cell r="E91">
            <v>1</v>
          </cell>
          <cell r="L91">
            <v>2.1279311622519983</v>
          </cell>
          <cell r="M91">
            <v>0</v>
          </cell>
          <cell r="N91">
            <v>9.2171207667933555</v>
          </cell>
          <cell r="O91">
            <v>0</v>
          </cell>
          <cell r="P91">
            <v>0</v>
          </cell>
          <cell r="Q91">
            <v>0.76698373182191038</v>
          </cell>
          <cell r="R91">
            <v>0</v>
          </cell>
          <cell r="S91">
            <v>0.1855559299074224</v>
          </cell>
          <cell r="T91">
            <v>0.23057268699699252</v>
          </cell>
          <cell r="U91">
            <v>0</v>
          </cell>
          <cell r="V91">
            <v>0</v>
          </cell>
          <cell r="W91">
            <v>0</v>
          </cell>
          <cell r="X91">
            <v>0.13387645736422146</v>
          </cell>
          <cell r="Y91">
            <v>0.94122268203352821</v>
          </cell>
          <cell r="Z91">
            <v>8.0399864251489025E-2</v>
          </cell>
          <cell r="AA91">
            <v>0</v>
          </cell>
          <cell r="AB91">
            <v>0.43677363685148785</v>
          </cell>
          <cell r="AC91">
            <v>3.1156058295746503</v>
          </cell>
          <cell r="AD91">
            <v>0</v>
          </cell>
          <cell r="AE91">
            <v>0</v>
          </cell>
          <cell r="AF91">
            <v>0</v>
          </cell>
          <cell r="AG91">
            <v>0</v>
          </cell>
          <cell r="AH91">
            <v>20.4741504812946</v>
          </cell>
          <cell r="AI91">
            <v>1.3122639550038913</v>
          </cell>
          <cell r="AJ91">
            <v>3.5567185668602299</v>
          </cell>
          <cell r="AK91">
            <v>2.8018365404067129</v>
          </cell>
          <cell r="AL91">
            <v>0</v>
          </cell>
          <cell r="AM91">
            <v>0</v>
          </cell>
          <cell r="AN91">
            <v>0.52853329553614237</v>
          </cell>
          <cell r="AO91">
            <v>1.03256680120799</v>
          </cell>
          <cell r="AP91">
            <v>-98.312200527961011</v>
          </cell>
          <cell r="AQ91">
            <v>1.4228340418751104</v>
          </cell>
          <cell r="AR91">
            <v>0.10539246948448659</v>
          </cell>
          <cell r="AS91">
            <v>0</v>
          </cell>
          <cell r="AT91">
            <v>0</v>
          </cell>
          <cell r="AU91">
            <v>7.252107846872673</v>
          </cell>
          <cell r="AV91">
            <v>0</v>
          </cell>
          <cell r="AW91">
            <v>0</v>
          </cell>
          <cell r="AX91">
            <v>2.5817655874248198</v>
          </cell>
          <cell r="AY91">
            <v>1.2458432468534091</v>
          </cell>
          <cell r="AZ91">
            <v>32.757289102671962</v>
          </cell>
          <cell r="BA91">
            <v>0</v>
          </cell>
          <cell r="BB91">
            <v>5.3469694881256995</v>
          </cell>
          <cell r="BC91">
            <v>0.65788635649623461</v>
          </cell>
        </row>
        <row r="92">
          <cell r="B92" t="str">
            <v>BRTDPC6C5</v>
          </cell>
          <cell r="C92" t="str">
            <v>BBG China Treasury + Policy Bank Total R</v>
          </cell>
          <cell r="D92" t="str">
            <v>BBGTPBTR</v>
          </cell>
          <cell r="E92">
            <v>1</v>
          </cell>
          <cell r="L92">
            <v>0</v>
          </cell>
          <cell r="M92">
            <v>0</v>
          </cell>
          <cell r="N92">
            <v>0</v>
          </cell>
          <cell r="O92">
            <v>0</v>
          </cell>
          <cell r="P92">
            <v>0</v>
          </cell>
          <cell r="Q92">
            <v>0</v>
          </cell>
          <cell r="R92">
            <v>100.00000000000003</v>
          </cell>
          <cell r="S92">
            <v>0</v>
          </cell>
          <cell r="T92">
            <v>0</v>
          </cell>
          <cell r="U92">
            <v>0</v>
          </cell>
          <cell r="V92">
            <v>0</v>
          </cell>
          <cell r="W92">
            <v>0</v>
          </cell>
          <cell r="X92">
            <v>0</v>
          </cell>
          <cell r="Y92">
            <v>0</v>
          </cell>
          <cell r="Z92">
            <v>0</v>
          </cell>
          <cell r="AA92">
            <v>0</v>
          </cell>
          <cell r="AB92">
            <v>0</v>
          </cell>
          <cell r="AC92">
            <v>0</v>
          </cell>
          <cell r="AD92">
            <v>0</v>
          </cell>
          <cell r="AE92">
            <v>0</v>
          </cell>
          <cell r="AF92">
            <v>0</v>
          </cell>
          <cell r="AG92">
            <v>0</v>
          </cell>
          <cell r="AH92">
            <v>0</v>
          </cell>
          <cell r="AI92">
            <v>0</v>
          </cell>
          <cell r="AJ92">
            <v>0</v>
          </cell>
          <cell r="AK92">
            <v>0</v>
          </cell>
          <cell r="AL92">
            <v>0</v>
          </cell>
          <cell r="AM92">
            <v>0</v>
          </cell>
          <cell r="AN92">
            <v>0</v>
          </cell>
          <cell r="AO92">
            <v>0</v>
          </cell>
          <cell r="AP92">
            <v>-100.00000000000003</v>
          </cell>
          <cell r="AQ92">
            <v>0</v>
          </cell>
          <cell r="AR92">
            <v>0</v>
          </cell>
          <cell r="AS92">
            <v>0</v>
          </cell>
          <cell r="AT92">
            <v>0</v>
          </cell>
          <cell r="AU92">
            <v>0</v>
          </cell>
          <cell r="AV92">
            <v>0</v>
          </cell>
          <cell r="AW92">
            <v>0</v>
          </cell>
          <cell r="AX92">
            <v>0</v>
          </cell>
          <cell r="AY92">
            <v>0</v>
          </cell>
          <cell r="AZ92">
            <v>0</v>
          </cell>
          <cell r="BA92">
            <v>0</v>
          </cell>
          <cell r="BB92">
            <v>0</v>
          </cell>
          <cell r="BC92">
            <v>0</v>
          </cell>
        </row>
        <row r="93">
          <cell r="B93" t="str">
            <v>BRSALQX68</v>
          </cell>
          <cell r="C93" t="str">
            <v>USD Cash Benchmark</v>
          </cell>
          <cell r="D93" t="str">
            <v>USDCASHBMK</v>
          </cell>
          <cell r="E93">
            <v>1</v>
          </cell>
          <cell r="L93">
            <v>0</v>
          </cell>
          <cell r="M93">
            <v>0</v>
          </cell>
          <cell r="N93">
            <v>0</v>
          </cell>
          <cell r="O93">
            <v>0</v>
          </cell>
          <cell r="P93">
            <v>0</v>
          </cell>
          <cell r="Q93">
            <v>0</v>
          </cell>
          <cell r="R93">
            <v>0</v>
          </cell>
          <cell r="S93">
            <v>0</v>
          </cell>
          <cell r="T93">
            <v>0</v>
          </cell>
          <cell r="U93">
            <v>0</v>
          </cell>
          <cell r="V93">
            <v>0</v>
          </cell>
          <cell r="W93">
            <v>0</v>
          </cell>
          <cell r="X93">
            <v>0</v>
          </cell>
          <cell r="Y93">
            <v>0</v>
          </cell>
          <cell r="Z93">
            <v>0</v>
          </cell>
          <cell r="AA93">
            <v>0</v>
          </cell>
          <cell r="AB93">
            <v>0</v>
          </cell>
          <cell r="AC93">
            <v>0</v>
          </cell>
          <cell r="AD93">
            <v>0</v>
          </cell>
          <cell r="AE93">
            <v>0</v>
          </cell>
          <cell r="AF93">
            <v>0</v>
          </cell>
          <cell r="AG93">
            <v>0</v>
          </cell>
          <cell r="AH93">
            <v>0</v>
          </cell>
          <cell r="AI93">
            <v>0</v>
          </cell>
          <cell r="AJ93">
            <v>0</v>
          </cell>
          <cell r="AK93">
            <v>0</v>
          </cell>
          <cell r="AL93">
            <v>0</v>
          </cell>
          <cell r="AM93">
            <v>0</v>
          </cell>
          <cell r="AN93">
            <v>0</v>
          </cell>
          <cell r="AO93">
            <v>0</v>
          </cell>
          <cell r="AP93">
            <v>-100</v>
          </cell>
          <cell r="AQ93">
            <v>0</v>
          </cell>
          <cell r="AR93">
            <v>0</v>
          </cell>
          <cell r="AS93">
            <v>0</v>
          </cell>
          <cell r="AT93">
            <v>0</v>
          </cell>
          <cell r="AU93">
            <v>0</v>
          </cell>
          <cell r="AV93">
            <v>0</v>
          </cell>
          <cell r="AW93">
            <v>0</v>
          </cell>
          <cell r="AX93">
            <v>0</v>
          </cell>
          <cell r="AY93">
            <v>0</v>
          </cell>
          <cell r="AZ93">
            <v>0</v>
          </cell>
          <cell r="BA93">
            <v>0</v>
          </cell>
          <cell r="BB93">
            <v>0</v>
          </cell>
          <cell r="BC93">
            <v>100</v>
          </cell>
        </row>
        <row r="94">
          <cell r="B94" t="str">
            <v>B00766442</v>
          </cell>
          <cell r="C94" t="str">
            <v>BBG Treasury 1-5 Yr Index</v>
          </cell>
          <cell r="D94" t="str">
            <v>LTSY1-5</v>
          </cell>
          <cell r="E94">
            <v>1.0000000000000002</v>
          </cell>
          <cell r="L94">
            <v>0</v>
          </cell>
          <cell r="M94">
            <v>0</v>
          </cell>
          <cell r="N94">
            <v>0</v>
          </cell>
          <cell r="O94">
            <v>0</v>
          </cell>
          <cell r="P94">
            <v>0</v>
          </cell>
          <cell r="Q94">
            <v>0</v>
          </cell>
          <cell r="R94">
            <v>0</v>
          </cell>
          <cell r="S94">
            <v>0</v>
          </cell>
          <cell r="T94">
            <v>0</v>
          </cell>
          <cell r="U94">
            <v>0</v>
          </cell>
          <cell r="V94">
            <v>0</v>
          </cell>
          <cell r="W94">
            <v>0</v>
          </cell>
          <cell r="X94">
            <v>0</v>
          </cell>
          <cell r="Y94">
            <v>0</v>
          </cell>
          <cell r="Z94">
            <v>0</v>
          </cell>
          <cell r="AA94">
            <v>0</v>
          </cell>
          <cell r="AB94">
            <v>0</v>
          </cell>
          <cell r="AC94">
            <v>0</v>
          </cell>
          <cell r="AD94">
            <v>0</v>
          </cell>
          <cell r="AE94">
            <v>0</v>
          </cell>
          <cell r="AF94">
            <v>0</v>
          </cell>
          <cell r="AG94">
            <v>0</v>
          </cell>
          <cell r="AH94">
            <v>0</v>
          </cell>
          <cell r="AI94">
            <v>0</v>
          </cell>
          <cell r="AJ94">
            <v>0</v>
          </cell>
          <cell r="AK94">
            <v>0</v>
          </cell>
          <cell r="AL94">
            <v>0</v>
          </cell>
          <cell r="AM94">
            <v>0</v>
          </cell>
          <cell r="AN94">
            <v>0</v>
          </cell>
          <cell r="AO94">
            <v>0</v>
          </cell>
          <cell r="AP94">
            <v>-99.999999999999972</v>
          </cell>
          <cell r="AQ94">
            <v>0</v>
          </cell>
          <cell r="AR94">
            <v>0</v>
          </cell>
          <cell r="AS94">
            <v>0</v>
          </cell>
          <cell r="AT94">
            <v>0</v>
          </cell>
          <cell r="AU94">
            <v>0</v>
          </cell>
          <cell r="AV94">
            <v>0</v>
          </cell>
          <cell r="AW94">
            <v>0</v>
          </cell>
          <cell r="AX94">
            <v>0</v>
          </cell>
          <cell r="AY94">
            <v>0</v>
          </cell>
          <cell r="AZ94">
            <v>0</v>
          </cell>
          <cell r="BA94">
            <v>0</v>
          </cell>
          <cell r="BB94">
            <v>0</v>
          </cell>
          <cell r="BC94">
            <v>99.999999999999972</v>
          </cell>
        </row>
        <row r="95">
          <cell r="B95" t="str">
            <v>BRSDAJPS1</v>
          </cell>
          <cell r="C95" t="str">
            <v>CNY Cash Benchmark</v>
          </cell>
          <cell r="D95" t="str">
            <v>CNYCASHBMK</v>
          </cell>
          <cell r="E95">
            <v>1.0000000000000002</v>
          </cell>
          <cell r="L95">
            <v>0</v>
          </cell>
          <cell r="M95">
            <v>0</v>
          </cell>
          <cell r="N95">
            <v>0</v>
          </cell>
          <cell r="O95">
            <v>0</v>
          </cell>
          <cell r="P95">
            <v>0</v>
          </cell>
          <cell r="Q95">
            <v>0</v>
          </cell>
          <cell r="R95">
            <v>100</v>
          </cell>
          <cell r="S95">
            <v>0</v>
          </cell>
          <cell r="T95">
            <v>0</v>
          </cell>
          <cell r="U95">
            <v>0</v>
          </cell>
          <cell r="V95">
            <v>0</v>
          </cell>
          <cell r="W95">
            <v>0</v>
          </cell>
          <cell r="X95">
            <v>0</v>
          </cell>
          <cell r="Y95">
            <v>0</v>
          </cell>
          <cell r="Z95">
            <v>0</v>
          </cell>
          <cell r="AA95">
            <v>0</v>
          </cell>
          <cell r="AB95">
            <v>0</v>
          </cell>
          <cell r="AC95">
            <v>0</v>
          </cell>
          <cell r="AD95">
            <v>0</v>
          </cell>
          <cell r="AE95">
            <v>0</v>
          </cell>
          <cell r="AF95">
            <v>0</v>
          </cell>
          <cell r="AG95">
            <v>0</v>
          </cell>
          <cell r="AH95">
            <v>0</v>
          </cell>
          <cell r="AI95">
            <v>0</v>
          </cell>
          <cell r="AJ95">
            <v>0</v>
          </cell>
          <cell r="AK95">
            <v>0</v>
          </cell>
          <cell r="AL95">
            <v>0</v>
          </cell>
          <cell r="AM95">
            <v>0</v>
          </cell>
          <cell r="AN95">
            <v>0</v>
          </cell>
          <cell r="AO95">
            <v>0</v>
          </cell>
          <cell r="AP95">
            <v>-100</v>
          </cell>
          <cell r="AQ95">
            <v>0</v>
          </cell>
          <cell r="AR95">
            <v>0</v>
          </cell>
          <cell r="AS95">
            <v>0</v>
          </cell>
          <cell r="AT95">
            <v>0</v>
          </cell>
          <cell r="AU95">
            <v>0</v>
          </cell>
          <cell r="AV95">
            <v>0</v>
          </cell>
          <cell r="AW95">
            <v>0</v>
          </cell>
          <cell r="AX95">
            <v>0</v>
          </cell>
          <cell r="AY95">
            <v>0</v>
          </cell>
          <cell r="AZ95">
            <v>0</v>
          </cell>
          <cell r="BA95">
            <v>0</v>
          </cell>
          <cell r="BB95">
            <v>0</v>
          </cell>
          <cell r="BC95">
            <v>0</v>
          </cell>
        </row>
        <row r="96">
          <cell r="B96" t="str">
            <v>BRS2NHT69</v>
          </cell>
          <cell r="C96" t="str">
            <v>MSCI Developed - United Kingdom</v>
          </cell>
          <cell r="D96" t="str">
            <v>MS_GB</v>
          </cell>
          <cell r="E96">
            <v>1</v>
          </cell>
          <cell r="L96">
            <v>0</v>
          </cell>
          <cell r="M96">
            <v>0</v>
          </cell>
          <cell r="N96">
            <v>0</v>
          </cell>
          <cell r="O96">
            <v>0.15068909667218697</v>
          </cell>
          <cell r="P96">
            <v>0</v>
          </cell>
          <cell r="Q96">
            <v>0.37157819066921105</v>
          </cell>
          <cell r="R96">
            <v>0</v>
          </cell>
          <cell r="S96">
            <v>0</v>
          </cell>
          <cell r="T96">
            <v>0</v>
          </cell>
          <cell r="U96">
            <v>0</v>
          </cell>
          <cell r="V96">
            <v>0</v>
          </cell>
          <cell r="W96">
            <v>0</v>
          </cell>
          <cell r="X96">
            <v>0</v>
          </cell>
          <cell r="Y96">
            <v>0.58235655029436328</v>
          </cell>
          <cell r="Z96">
            <v>98.895376162364229</v>
          </cell>
          <cell r="AA96">
            <v>0</v>
          </cell>
          <cell r="AB96">
            <v>0</v>
          </cell>
          <cell r="AC96">
            <v>0</v>
          </cell>
          <cell r="AD96">
            <v>0</v>
          </cell>
          <cell r="AE96">
            <v>0</v>
          </cell>
          <cell r="AF96">
            <v>0</v>
          </cell>
          <cell r="AG96">
            <v>0</v>
          </cell>
          <cell r="AH96">
            <v>0</v>
          </cell>
          <cell r="AI96">
            <v>0</v>
          </cell>
          <cell r="AJ96">
            <v>0</v>
          </cell>
          <cell r="AK96">
            <v>0</v>
          </cell>
          <cell r="AL96">
            <v>0</v>
          </cell>
          <cell r="AM96">
            <v>0</v>
          </cell>
          <cell r="AN96">
            <v>0</v>
          </cell>
          <cell r="AO96">
            <v>0</v>
          </cell>
          <cell r="AP96">
            <v>-99.999999999999972</v>
          </cell>
          <cell r="AQ96">
            <v>0</v>
          </cell>
          <cell r="AR96">
            <v>0</v>
          </cell>
          <cell r="AS96">
            <v>0</v>
          </cell>
          <cell r="AT96">
            <v>0</v>
          </cell>
          <cell r="AU96">
            <v>0</v>
          </cell>
          <cell r="AV96">
            <v>0</v>
          </cell>
          <cell r="AW96">
            <v>0</v>
          </cell>
          <cell r="AX96">
            <v>0</v>
          </cell>
          <cell r="AY96">
            <v>0</v>
          </cell>
          <cell r="AZ96">
            <v>0</v>
          </cell>
          <cell r="BA96">
            <v>0</v>
          </cell>
          <cell r="BB96">
            <v>0</v>
          </cell>
          <cell r="BC96">
            <v>-1.7966634483589833E-14</v>
          </cell>
        </row>
        <row r="97">
          <cell r="B97" t="str">
            <v>BRS26QNA5</v>
          </cell>
          <cell r="C97" t="str">
            <v>FTSE Actuaries UK Conventional Gilts All</v>
          </cell>
          <cell r="D97" t="str">
            <v>FTSEASGILT</v>
          </cell>
          <cell r="E97">
            <v>1</v>
          </cell>
          <cell r="L97">
            <v>0</v>
          </cell>
          <cell r="M97">
            <v>0</v>
          </cell>
          <cell r="N97">
            <v>0</v>
          </cell>
          <cell r="O97">
            <v>0</v>
          </cell>
          <cell r="P97">
            <v>0</v>
          </cell>
          <cell r="Q97">
            <v>0</v>
          </cell>
          <cell r="R97">
            <v>0</v>
          </cell>
          <cell r="S97">
            <v>0</v>
          </cell>
          <cell r="T97">
            <v>0</v>
          </cell>
          <cell r="U97">
            <v>0</v>
          </cell>
          <cell r="V97">
            <v>0</v>
          </cell>
          <cell r="W97">
            <v>0</v>
          </cell>
          <cell r="X97">
            <v>0</v>
          </cell>
          <cell r="Y97">
            <v>0</v>
          </cell>
          <cell r="Z97">
            <v>100</v>
          </cell>
          <cell r="AA97">
            <v>0</v>
          </cell>
          <cell r="AB97">
            <v>0</v>
          </cell>
          <cell r="AC97">
            <v>0</v>
          </cell>
          <cell r="AD97">
            <v>0</v>
          </cell>
          <cell r="AE97">
            <v>0</v>
          </cell>
          <cell r="AF97">
            <v>0</v>
          </cell>
          <cell r="AG97">
            <v>0</v>
          </cell>
          <cell r="AH97">
            <v>0</v>
          </cell>
          <cell r="AI97">
            <v>0</v>
          </cell>
          <cell r="AJ97">
            <v>0</v>
          </cell>
          <cell r="AK97">
            <v>0</v>
          </cell>
          <cell r="AL97">
            <v>0</v>
          </cell>
          <cell r="AM97">
            <v>0</v>
          </cell>
          <cell r="AN97">
            <v>0</v>
          </cell>
          <cell r="AO97">
            <v>0</v>
          </cell>
          <cell r="AP97">
            <v>-100</v>
          </cell>
          <cell r="AQ97">
            <v>0</v>
          </cell>
          <cell r="AR97">
            <v>0</v>
          </cell>
          <cell r="AS97">
            <v>0</v>
          </cell>
          <cell r="AT97">
            <v>0</v>
          </cell>
          <cell r="AU97">
            <v>0</v>
          </cell>
          <cell r="AV97">
            <v>0</v>
          </cell>
          <cell r="AW97">
            <v>0</v>
          </cell>
          <cell r="AX97">
            <v>0</v>
          </cell>
          <cell r="AY97">
            <v>0</v>
          </cell>
          <cell r="AZ97">
            <v>0</v>
          </cell>
          <cell r="BA97">
            <v>0</v>
          </cell>
          <cell r="BB97">
            <v>0</v>
          </cell>
          <cell r="BC97">
            <v>0</v>
          </cell>
        </row>
        <row r="98">
          <cell r="B98" t="str">
            <v>BRS98Q5C4</v>
          </cell>
          <cell r="C98" t="str">
            <v>BBG Asian Pacific Japan Treasury</v>
          </cell>
          <cell r="D98" t="str">
            <v>BCAPJYJGB</v>
          </cell>
          <cell r="E98">
            <v>1.0000000000000002</v>
          </cell>
          <cell r="L98">
            <v>0</v>
          </cell>
          <cell r="M98">
            <v>0</v>
          </cell>
          <cell r="N98">
            <v>0</v>
          </cell>
          <cell r="O98">
            <v>0</v>
          </cell>
          <cell r="P98">
            <v>0</v>
          </cell>
          <cell r="Q98">
            <v>0</v>
          </cell>
          <cell r="R98">
            <v>0</v>
          </cell>
          <cell r="S98">
            <v>0</v>
          </cell>
          <cell r="T98">
            <v>0</v>
          </cell>
          <cell r="U98">
            <v>0</v>
          </cell>
          <cell r="V98">
            <v>0</v>
          </cell>
          <cell r="W98">
            <v>0</v>
          </cell>
          <cell r="X98">
            <v>0</v>
          </cell>
          <cell r="Y98">
            <v>0</v>
          </cell>
          <cell r="Z98">
            <v>0</v>
          </cell>
          <cell r="AA98">
            <v>0</v>
          </cell>
          <cell r="AB98">
            <v>0</v>
          </cell>
          <cell r="AC98">
            <v>0</v>
          </cell>
          <cell r="AD98">
            <v>0</v>
          </cell>
          <cell r="AE98">
            <v>0</v>
          </cell>
          <cell r="AF98">
            <v>0</v>
          </cell>
          <cell r="AG98">
            <v>100.00000000000013</v>
          </cell>
          <cell r="AH98">
            <v>0</v>
          </cell>
          <cell r="AI98">
            <v>0</v>
          </cell>
          <cell r="AJ98">
            <v>0</v>
          </cell>
          <cell r="AK98">
            <v>0</v>
          </cell>
          <cell r="AL98">
            <v>0</v>
          </cell>
          <cell r="AM98">
            <v>0</v>
          </cell>
          <cell r="AN98">
            <v>0</v>
          </cell>
          <cell r="AO98">
            <v>0</v>
          </cell>
          <cell r="AP98">
            <v>-100.00000000000013</v>
          </cell>
          <cell r="AQ98">
            <v>0</v>
          </cell>
          <cell r="AR98">
            <v>0</v>
          </cell>
          <cell r="AS98">
            <v>0</v>
          </cell>
          <cell r="AT98">
            <v>0</v>
          </cell>
          <cell r="AU98">
            <v>0</v>
          </cell>
          <cell r="AV98">
            <v>0</v>
          </cell>
          <cell r="AW98">
            <v>0</v>
          </cell>
          <cell r="AX98">
            <v>0</v>
          </cell>
          <cell r="AY98">
            <v>0</v>
          </cell>
          <cell r="AZ98">
            <v>0</v>
          </cell>
          <cell r="BA98">
            <v>0</v>
          </cell>
          <cell r="BB98">
            <v>0</v>
          </cell>
          <cell r="BC98">
            <v>0</v>
          </cell>
        </row>
        <row r="99">
          <cell r="B99" t="str">
            <v>BRSD8ELA8</v>
          </cell>
          <cell r="C99" t="str">
            <v>BBG Japanese Credit Index</v>
          </cell>
          <cell r="D99" t="str">
            <v>LEHCREDJP</v>
          </cell>
          <cell r="E99">
            <v>0.99999999999999989</v>
          </cell>
          <cell r="L99">
            <v>0</v>
          </cell>
          <cell r="M99">
            <v>0</v>
          </cell>
          <cell r="N99">
            <v>0</v>
          </cell>
          <cell r="O99">
            <v>0</v>
          </cell>
          <cell r="P99">
            <v>0</v>
          </cell>
          <cell r="Q99">
            <v>0</v>
          </cell>
          <cell r="R99">
            <v>0</v>
          </cell>
          <cell r="S99">
            <v>0</v>
          </cell>
          <cell r="T99">
            <v>0</v>
          </cell>
          <cell r="U99">
            <v>0</v>
          </cell>
          <cell r="V99">
            <v>0</v>
          </cell>
          <cell r="W99">
            <v>0</v>
          </cell>
          <cell r="X99">
            <v>0</v>
          </cell>
          <cell r="Y99">
            <v>0</v>
          </cell>
          <cell r="Z99">
            <v>0</v>
          </cell>
          <cell r="AA99">
            <v>0</v>
          </cell>
          <cell r="AB99">
            <v>0</v>
          </cell>
          <cell r="AC99">
            <v>0</v>
          </cell>
          <cell r="AD99">
            <v>0</v>
          </cell>
          <cell r="AE99">
            <v>0</v>
          </cell>
          <cell r="AF99">
            <v>0</v>
          </cell>
          <cell r="AG99">
            <v>100</v>
          </cell>
          <cell r="AH99">
            <v>0</v>
          </cell>
          <cell r="AI99">
            <v>0</v>
          </cell>
          <cell r="AJ99">
            <v>0</v>
          </cell>
          <cell r="AK99">
            <v>0</v>
          </cell>
          <cell r="AL99">
            <v>0</v>
          </cell>
          <cell r="AM99">
            <v>0</v>
          </cell>
          <cell r="AN99">
            <v>0</v>
          </cell>
          <cell r="AO99">
            <v>0</v>
          </cell>
          <cell r="AP99">
            <v>-100</v>
          </cell>
          <cell r="AQ99">
            <v>0</v>
          </cell>
          <cell r="AR99">
            <v>0</v>
          </cell>
          <cell r="AS99">
            <v>0</v>
          </cell>
          <cell r="AT99">
            <v>0</v>
          </cell>
          <cell r="AU99">
            <v>0</v>
          </cell>
          <cell r="AV99">
            <v>0</v>
          </cell>
          <cell r="AW99">
            <v>0</v>
          </cell>
          <cell r="AX99">
            <v>0</v>
          </cell>
          <cell r="AY99">
            <v>0</v>
          </cell>
          <cell r="AZ99">
            <v>0</v>
          </cell>
          <cell r="BA99">
            <v>0</v>
          </cell>
          <cell r="BB99">
            <v>0</v>
          </cell>
          <cell r="BC99">
            <v>0</v>
          </cell>
        </row>
        <row r="100">
          <cell r="B100" t="str">
            <v>BRSC6F368</v>
          </cell>
          <cell r="C100" t="str">
            <v>FTSE All Stocks Gilts between 5-10 Years</v>
          </cell>
          <cell r="D100" t="str">
            <v>FTASG5T10</v>
          </cell>
          <cell r="E100">
            <v>0.99999999999999989</v>
          </cell>
          <cell r="L100">
            <v>0</v>
          </cell>
          <cell r="M100">
            <v>0</v>
          </cell>
          <cell r="N100">
            <v>0</v>
          </cell>
          <cell r="O100">
            <v>0</v>
          </cell>
          <cell r="P100">
            <v>0</v>
          </cell>
          <cell r="Q100">
            <v>0</v>
          </cell>
          <cell r="R100">
            <v>0</v>
          </cell>
          <cell r="S100">
            <v>0</v>
          </cell>
          <cell r="T100">
            <v>0</v>
          </cell>
          <cell r="U100">
            <v>0</v>
          </cell>
          <cell r="V100">
            <v>0</v>
          </cell>
          <cell r="W100">
            <v>0</v>
          </cell>
          <cell r="X100">
            <v>0</v>
          </cell>
          <cell r="Y100">
            <v>0</v>
          </cell>
          <cell r="Z100">
            <v>100</v>
          </cell>
          <cell r="AA100">
            <v>0</v>
          </cell>
          <cell r="AB100">
            <v>0</v>
          </cell>
          <cell r="AC100">
            <v>0</v>
          </cell>
          <cell r="AD100">
            <v>0</v>
          </cell>
          <cell r="AE100">
            <v>0</v>
          </cell>
          <cell r="AF100">
            <v>0</v>
          </cell>
          <cell r="AG100">
            <v>0</v>
          </cell>
          <cell r="AH100">
            <v>0</v>
          </cell>
          <cell r="AI100">
            <v>0</v>
          </cell>
          <cell r="AJ100">
            <v>0</v>
          </cell>
          <cell r="AK100">
            <v>0</v>
          </cell>
          <cell r="AL100">
            <v>0</v>
          </cell>
          <cell r="AM100">
            <v>0</v>
          </cell>
          <cell r="AN100">
            <v>0</v>
          </cell>
          <cell r="AO100">
            <v>0</v>
          </cell>
          <cell r="AP100">
            <v>-100</v>
          </cell>
          <cell r="AQ100">
            <v>0</v>
          </cell>
          <cell r="AR100">
            <v>0</v>
          </cell>
          <cell r="AS100">
            <v>0</v>
          </cell>
          <cell r="AT100">
            <v>0</v>
          </cell>
          <cell r="AU100">
            <v>0</v>
          </cell>
          <cell r="AV100">
            <v>0</v>
          </cell>
          <cell r="AW100">
            <v>0</v>
          </cell>
          <cell r="AX100">
            <v>0</v>
          </cell>
          <cell r="AY100">
            <v>0</v>
          </cell>
          <cell r="AZ100">
            <v>0</v>
          </cell>
          <cell r="BA100">
            <v>0</v>
          </cell>
          <cell r="BB100">
            <v>0</v>
          </cell>
          <cell r="BC100">
            <v>0</v>
          </cell>
        </row>
        <row r="101">
          <cell r="B101" t="str">
            <v>BRS7ZVX51</v>
          </cell>
          <cell r="C101" t="str">
            <v>BBG Sterling Aggregate Corporate Bond In</v>
          </cell>
          <cell r="D101" t="str">
            <v>BSTERCORP</v>
          </cell>
          <cell r="E101">
            <v>1</v>
          </cell>
          <cell r="L101">
            <v>0</v>
          </cell>
          <cell r="M101">
            <v>0</v>
          </cell>
          <cell r="N101">
            <v>0</v>
          </cell>
          <cell r="O101">
            <v>0</v>
          </cell>
          <cell r="P101">
            <v>0</v>
          </cell>
          <cell r="Q101">
            <v>0</v>
          </cell>
          <cell r="R101">
            <v>0</v>
          </cell>
          <cell r="S101">
            <v>0</v>
          </cell>
          <cell r="T101">
            <v>0</v>
          </cell>
          <cell r="U101">
            <v>0</v>
          </cell>
          <cell r="V101">
            <v>0</v>
          </cell>
          <cell r="W101">
            <v>0</v>
          </cell>
          <cell r="X101">
            <v>0</v>
          </cell>
          <cell r="Y101">
            <v>0</v>
          </cell>
          <cell r="Z101">
            <v>100</v>
          </cell>
          <cell r="AA101">
            <v>0</v>
          </cell>
          <cell r="AB101">
            <v>0</v>
          </cell>
          <cell r="AC101">
            <v>0</v>
          </cell>
          <cell r="AD101">
            <v>0</v>
          </cell>
          <cell r="AE101">
            <v>0</v>
          </cell>
          <cell r="AF101">
            <v>0</v>
          </cell>
          <cell r="AG101">
            <v>0</v>
          </cell>
          <cell r="AH101">
            <v>0</v>
          </cell>
          <cell r="AI101">
            <v>0</v>
          </cell>
          <cell r="AJ101">
            <v>0</v>
          </cell>
          <cell r="AK101">
            <v>0</v>
          </cell>
          <cell r="AL101">
            <v>0</v>
          </cell>
          <cell r="AM101">
            <v>0</v>
          </cell>
          <cell r="AN101">
            <v>0</v>
          </cell>
          <cell r="AO101">
            <v>0</v>
          </cell>
          <cell r="AP101">
            <v>-100</v>
          </cell>
          <cell r="AQ101">
            <v>0</v>
          </cell>
          <cell r="AR101">
            <v>0</v>
          </cell>
          <cell r="AS101">
            <v>0</v>
          </cell>
          <cell r="AT101">
            <v>0</v>
          </cell>
          <cell r="AU101">
            <v>0</v>
          </cell>
          <cell r="AV101">
            <v>0</v>
          </cell>
          <cell r="AW101">
            <v>0</v>
          </cell>
          <cell r="AX101">
            <v>0</v>
          </cell>
          <cell r="AY101">
            <v>0</v>
          </cell>
          <cell r="AZ101">
            <v>0</v>
          </cell>
          <cell r="BA101">
            <v>0</v>
          </cell>
          <cell r="BB101">
            <v>0</v>
          </cell>
          <cell r="BC101">
            <v>0</v>
          </cell>
        </row>
        <row r="102">
          <cell r="B102" t="str">
            <v>BRSC6UDF4</v>
          </cell>
          <cell r="C102" t="str">
            <v>MSCI Daily TR Gross Developed Pacific Ex</v>
          </cell>
          <cell r="D102" t="str">
            <v>MSPAXJPNET</v>
          </cell>
          <cell r="E102">
            <v>1</v>
          </cell>
          <cell r="L102">
            <v>0</v>
          </cell>
          <cell r="M102">
            <v>68.558945517893008</v>
          </cell>
          <cell r="N102">
            <v>0</v>
          </cell>
          <cell r="O102">
            <v>0</v>
          </cell>
          <cell r="P102">
            <v>0</v>
          </cell>
          <cell r="Q102">
            <v>0</v>
          </cell>
          <cell r="R102">
            <v>0</v>
          </cell>
          <cell r="S102">
            <v>0</v>
          </cell>
          <cell r="T102">
            <v>0</v>
          </cell>
          <cell r="U102">
            <v>0</v>
          </cell>
          <cell r="V102">
            <v>0</v>
          </cell>
          <cell r="W102">
            <v>0</v>
          </cell>
          <cell r="X102">
            <v>0</v>
          </cell>
          <cell r="Y102">
            <v>0</v>
          </cell>
          <cell r="Z102">
            <v>0</v>
          </cell>
          <cell r="AA102">
            <v>16.399226021284033</v>
          </cell>
          <cell r="AB102">
            <v>0</v>
          </cell>
          <cell r="AC102">
            <v>0</v>
          </cell>
          <cell r="AD102">
            <v>0</v>
          </cell>
          <cell r="AE102">
            <v>0</v>
          </cell>
          <cell r="AF102">
            <v>0</v>
          </cell>
          <cell r="AG102">
            <v>0</v>
          </cell>
          <cell r="AH102">
            <v>0</v>
          </cell>
          <cell r="AI102">
            <v>0</v>
          </cell>
          <cell r="AJ102">
            <v>0</v>
          </cell>
          <cell r="AK102">
            <v>0</v>
          </cell>
          <cell r="AL102">
            <v>0</v>
          </cell>
          <cell r="AM102">
            <v>2.4110266273560144</v>
          </cell>
          <cell r="AN102">
            <v>0</v>
          </cell>
          <cell r="AO102">
            <v>0</v>
          </cell>
          <cell r="AP102">
            <v>-100.00000000000006</v>
          </cell>
          <cell r="AQ102">
            <v>0</v>
          </cell>
          <cell r="AR102">
            <v>0</v>
          </cell>
          <cell r="AS102">
            <v>0</v>
          </cell>
          <cell r="AT102">
            <v>0</v>
          </cell>
          <cell r="AU102">
            <v>0</v>
          </cell>
          <cell r="AV102">
            <v>0</v>
          </cell>
          <cell r="AW102">
            <v>12.630801833467018</v>
          </cell>
          <cell r="AX102">
            <v>0</v>
          </cell>
          <cell r="AY102">
            <v>0</v>
          </cell>
          <cell r="AZ102">
            <v>0</v>
          </cell>
          <cell r="BA102">
            <v>0</v>
          </cell>
          <cell r="BB102">
            <v>0</v>
          </cell>
          <cell r="BC102">
            <v>-1.3474975862692375E-14</v>
          </cell>
        </row>
        <row r="103">
          <cell r="B103" t="str">
            <v>BRSAMRUN1</v>
          </cell>
          <cell r="C103" t="str">
            <v>JPY Cash Benchmark</v>
          </cell>
          <cell r="D103" t="str">
            <v>JPYCASHBMK</v>
          </cell>
          <cell r="E103">
            <v>1</v>
          </cell>
          <cell r="L103">
            <v>0</v>
          </cell>
          <cell r="M103">
            <v>0</v>
          </cell>
          <cell r="N103">
            <v>0</v>
          </cell>
          <cell r="O103">
            <v>0</v>
          </cell>
          <cell r="P103">
            <v>0</v>
          </cell>
          <cell r="Q103">
            <v>0</v>
          </cell>
          <cell r="R103">
            <v>0</v>
          </cell>
          <cell r="S103">
            <v>0</v>
          </cell>
          <cell r="T103">
            <v>0</v>
          </cell>
          <cell r="U103">
            <v>0</v>
          </cell>
          <cell r="V103">
            <v>0</v>
          </cell>
          <cell r="W103">
            <v>0</v>
          </cell>
          <cell r="X103">
            <v>0</v>
          </cell>
          <cell r="Y103">
            <v>0</v>
          </cell>
          <cell r="Z103">
            <v>0</v>
          </cell>
          <cell r="AA103">
            <v>0</v>
          </cell>
          <cell r="AB103">
            <v>0</v>
          </cell>
          <cell r="AC103">
            <v>0</v>
          </cell>
          <cell r="AD103">
            <v>0</v>
          </cell>
          <cell r="AE103">
            <v>0</v>
          </cell>
          <cell r="AF103">
            <v>0</v>
          </cell>
          <cell r="AG103">
            <v>100</v>
          </cell>
          <cell r="AH103">
            <v>0</v>
          </cell>
          <cell r="AI103">
            <v>0</v>
          </cell>
          <cell r="AJ103">
            <v>0</v>
          </cell>
          <cell r="AK103">
            <v>0</v>
          </cell>
          <cell r="AL103">
            <v>0</v>
          </cell>
          <cell r="AM103">
            <v>0</v>
          </cell>
          <cell r="AN103">
            <v>0</v>
          </cell>
          <cell r="AO103">
            <v>0</v>
          </cell>
          <cell r="AP103">
            <v>-100</v>
          </cell>
          <cell r="AQ103">
            <v>0</v>
          </cell>
          <cell r="AR103">
            <v>0</v>
          </cell>
          <cell r="AS103">
            <v>0</v>
          </cell>
          <cell r="AT103">
            <v>0</v>
          </cell>
          <cell r="AU103">
            <v>0</v>
          </cell>
          <cell r="AV103">
            <v>0</v>
          </cell>
          <cell r="AW103">
            <v>0</v>
          </cell>
          <cell r="AX103">
            <v>0</v>
          </cell>
          <cell r="AY103">
            <v>0</v>
          </cell>
          <cell r="AZ103">
            <v>0</v>
          </cell>
          <cell r="BA103">
            <v>0</v>
          </cell>
          <cell r="BB103">
            <v>0</v>
          </cell>
          <cell r="BC103">
            <v>0</v>
          </cell>
        </row>
        <row r="104">
          <cell r="B104" t="str">
            <v>BRSCS1TV2</v>
          </cell>
          <cell r="C104" t="str">
            <v>CAD Cash Benchmark</v>
          </cell>
          <cell r="D104" t="str">
            <v>CADCASHBMK</v>
          </cell>
          <cell r="E104">
            <v>1</v>
          </cell>
          <cell r="L104">
            <v>0</v>
          </cell>
          <cell r="M104">
            <v>0</v>
          </cell>
          <cell r="N104">
            <v>0</v>
          </cell>
          <cell r="O104">
            <v>100</v>
          </cell>
          <cell r="P104">
            <v>0</v>
          </cell>
          <cell r="Q104">
            <v>0</v>
          </cell>
          <cell r="R104">
            <v>0</v>
          </cell>
          <cell r="S104">
            <v>0</v>
          </cell>
          <cell r="T104">
            <v>0</v>
          </cell>
          <cell r="U104">
            <v>0</v>
          </cell>
          <cell r="V104">
            <v>0</v>
          </cell>
          <cell r="W104">
            <v>0</v>
          </cell>
          <cell r="X104">
            <v>0</v>
          </cell>
          <cell r="Y104">
            <v>0</v>
          </cell>
          <cell r="Z104">
            <v>0</v>
          </cell>
          <cell r="AA104">
            <v>0</v>
          </cell>
          <cell r="AB104">
            <v>0</v>
          </cell>
          <cell r="AC104">
            <v>0</v>
          </cell>
          <cell r="AD104">
            <v>0</v>
          </cell>
          <cell r="AE104">
            <v>0</v>
          </cell>
          <cell r="AF104">
            <v>0</v>
          </cell>
          <cell r="AG104">
            <v>0</v>
          </cell>
          <cell r="AH104">
            <v>0</v>
          </cell>
          <cell r="AI104">
            <v>0</v>
          </cell>
          <cell r="AJ104">
            <v>0</v>
          </cell>
          <cell r="AK104">
            <v>0</v>
          </cell>
          <cell r="AL104">
            <v>0</v>
          </cell>
          <cell r="AM104">
            <v>0</v>
          </cell>
          <cell r="AN104">
            <v>0</v>
          </cell>
          <cell r="AO104">
            <v>0</v>
          </cell>
          <cell r="AP104">
            <v>-100</v>
          </cell>
          <cell r="AQ104">
            <v>0</v>
          </cell>
          <cell r="AR104">
            <v>0</v>
          </cell>
          <cell r="AS104">
            <v>0</v>
          </cell>
          <cell r="AT104">
            <v>0</v>
          </cell>
          <cell r="AU104">
            <v>0</v>
          </cell>
          <cell r="AV104">
            <v>0</v>
          </cell>
          <cell r="AW104">
            <v>0</v>
          </cell>
          <cell r="AX104">
            <v>0</v>
          </cell>
          <cell r="AY104">
            <v>0</v>
          </cell>
          <cell r="AZ104">
            <v>0</v>
          </cell>
          <cell r="BA104">
            <v>0</v>
          </cell>
          <cell r="BB104">
            <v>0</v>
          </cell>
          <cell r="BC104">
            <v>0</v>
          </cell>
        </row>
        <row r="105">
          <cell r="B105" t="str">
            <v>BRWFALUZ4</v>
          </cell>
          <cell r="C105" t="str">
            <v>MSCI EMU/INDUSTRIALS</v>
          </cell>
          <cell r="D105" t="str">
            <v>MS106696</v>
          </cell>
          <cell r="E105">
            <v>1</v>
          </cell>
          <cell r="L105">
            <v>0</v>
          </cell>
          <cell r="M105">
            <v>0</v>
          </cell>
          <cell r="N105">
            <v>0</v>
          </cell>
          <cell r="O105">
            <v>0</v>
          </cell>
          <cell r="P105">
            <v>0</v>
          </cell>
          <cell r="Q105">
            <v>0</v>
          </cell>
          <cell r="R105">
            <v>0</v>
          </cell>
          <cell r="S105">
            <v>0</v>
          </cell>
          <cell r="T105">
            <v>0</v>
          </cell>
          <cell r="U105">
            <v>0</v>
          </cell>
          <cell r="V105">
            <v>0</v>
          </cell>
          <cell r="W105">
            <v>0</v>
          </cell>
          <cell r="X105">
            <v>0</v>
          </cell>
          <cell r="Y105">
            <v>99.634945833121719</v>
          </cell>
          <cell r="Z105">
            <v>0</v>
          </cell>
          <cell r="AA105">
            <v>0</v>
          </cell>
          <cell r="AB105">
            <v>0</v>
          </cell>
          <cell r="AC105">
            <v>0</v>
          </cell>
          <cell r="AD105">
            <v>0</v>
          </cell>
          <cell r="AE105">
            <v>0</v>
          </cell>
          <cell r="AF105">
            <v>0</v>
          </cell>
          <cell r="AG105">
            <v>0</v>
          </cell>
          <cell r="AH105">
            <v>0</v>
          </cell>
          <cell r="AI105">
            <v>0</v>
          </cell>
          <cell r="AJ105">
            <v>0</v>
          </cell>
          <cell r="AK105">
            <v>0</v>
          </cell>
          <cell r="AL105">
            <v>0</v>
          </cell>
          <cell r="AM105">
            <v>0</v>
          </cell>
          <cell r="AN105">
            <v>0</v>
          </cell>
          <cell r="AO105">
            <v>0</v>
          </cell>
          <cell r="AP105">
            <v>-99.634945833121733</v>
          </cell>
          <cell r="AQ105">
            <v>0</v>
          </cell>
          <cell r="AR105">
            <v>0</v>
          </cell>
          <cell r="AS105">
            <v>0</v>
          </cell>
          <cell r="AT105">
            <v>0</v>
          </cell>
          <cell r="AU105">
            <v>0</v>
          </cell>
          <cell r="AV105">
            <v>0</v>
          </cell>
          <cell r="AW105">
            <v>0</v>
          </cell>
          <cell r="AX105">
            <v>0</v>
          </cell>
          <cell r="AY105">
            <v>0</v>
          </cell>
          <cell r="AZ105">
            <v>0</v>
          </cell>
          <cell r="BA105">
            <v>0</v>
          </cell>
          <cell r="BB105">
            <v>0</v>
          </cell>
          <cell r="BC105">
            <v>1.7966634483589833E-14</v>
          </cell>
        </row>
        <row r="106">
          <cell r="B106" t="str">
            <v>BRSM5U4X4</v>
          </cell>
          <cell r="C106" t="str">
            <v>BBG Sterling Aggregate Corp 1-10 years I</v>
          </cell>
          <cell r="D106" t="str">
            <v>B17389EUR</v>
          </cell>
          <cell r="E106">
            <v>1</v>
          </cell>
          <cell r="L106">
            <v>0</v>
          </cell>
          <cell r="M106">
            <v>0</v>
          </cell>
          <cell r="N106">
            <v>0</v>
          </cell>
          <cell r="O106">
            <v>0</v>
          </cell>
          <cell r="P106">
            <v>0</v>
          </cell>
          <cell r="Q106">
            <v>0</v>
          </cell>
          <cell r="R106">
            <v>0</v>
          </cell>
          <cell r="S106">
            <v>0</v>
          </cell>
          <cell r="T106">
            <v>0</v>
          </cell>
          <cell r="U106">
            <v>0</v>
          </cell>
          <cell r="V106">
            <v>0</v>
          </cell>
          <cell r="W106">
            <v>0</v>
          </cell>
          <cell r="X106">
            <v>0</v>
          </cell>
          <cell r="Y106">
            <v>0</v>
          </cell>
          <cell r="Z106">
            <v>99.999999999999986</v>
          </cell>
          <cell r="AA106">
            <v>0</v>
          </cell>
          <cell r="AB106">
            <v>0</v>
          </cell>
          <cell r="AC106">
            <v>0</v>
          </cell>
          <cell r="AD106">
            <v>0</v>
          </cell>
          <cell r="AE106">
            <v>0</v>
          </cell>
          <cell r="AF106">
            <v>0</v>
          </cell>
          <cell r="AG106">
            <v>0</v>
          </cell>
          <cell r="AH106">
            <v>0</v>
          </cell>
          <cell r="AI106">
            <v>0</v>
          </cell>
          <cell r="AJ106">
            <v>0</v>
          </cell>
          <cell r="AK106">
            <v>0</v>
          </cell>
          <cell r="AL106">
            <v>0</v>
          </cell>
          <cell r="AM106">
            <v>0</v>
          </cell>
          <cell r="AN106">
            <v>0</v>
          </cell>
          <cell r="AO106">
            <v>0</v>
          </cell>
          <cell r="AP106">
            <v>-100</v>
          </cell>
          <cell r="AQ106">
            <v>0</v>
          </cell>
          <cell r="AR106">
            <v>0</v>
          </cell>
          <cell r="AS106">
            <v>0</v>
          </cell>
          <cell r="AT106">
            <v>0</v>
          </cell>
          <cell r="AU106">
            <v>0</v>
          </cell>
          <cell r="AV106">
            <v>0</v>
          </cell>
          <cell r="AW106">
            <v>0</v>
          </cell>
          <cell r="AX106">
            <v>0</v>
          </cell>
          <cell r="AY106">
            <v>0</v>
          </cell>
          <cell r="AZ106">
            <v>0</v>
          </cell>
          <cell r="BA106">
            <v>0</v>
          </cell>
          <cell r="BB106">
            <v>0</v>
          </cell>
          <cell r="BC106">
            <v>1.7966634483589833E-14</v>
          </cell>
        </row>
        <row r="107">
          <cell r="B107" t="str">
            <v>BRT7CJEE4</v>
          </cell>
          <cell r="C107" t="str">
            <v>BBG Sterling Aggregate Gilts (1-10)</v>
          </cell>
          <cell r="D107" t="str">
            <v>B31677GBP</v>
          </cell>
          <cell r="E107">
            <v>1</v>
          </cell>
          <cell r="L107">
            <v>0</v>
          </cell>
          <cell r="M107">
            <v>0</v>
          </cell>
          <cell r="N107">
            <v>0</v>
          </cell>
          <cell r="O107">
            <v>0</v>
          </cell>
          <cell r="P107">
            <v>0</v>
          </cell>
          <cell r="Q107">
            <v>0</v>
          </cell>
          <cell r="R107">
            <v>0</v>
          </cell>
          <cell r="S107">
            <v>0</v>
          </cell>
          <cell r="T107">
            <v>0</v>
          </cell>
          <cell r="U107">
            <v>0</v>
          </cell>
          <cell r="V107">
            <v>0</v>
          </cell>
          <cell r="W107">
            <v>0</v>
          </cell>
          <cell r="X107">
            <v>0</v>
          </cell>
          <cell r="Y107">
            <v>0</v>
          </cell>
          <cell r="Z107">
            <v>100</v>
          </cell>
          <cell r="AA107">
            <v>0</v>
          </cell>
          <cell r="AB107">
            <v>0</v>
          </cell>
          <cell r="AC107">
            <v>0</v>
          </cell>
          <cell r="AD107">
            <v>0</v>
          </cell>
          <cell r="AE107">
            <v>0</v>
          </cell>
          <cell r="AF107">
            <v>0</v>
          </cell>
          <cell r="AG107">
            <v>0</v>
          </cell>
          <cell r="AH107">
            <v>0</v>
          </cell>
          <cell r="AI107">
            <v>0</v>
          </cell>
          <cell r="AJ107">
            <v>0</v>
          </cell>
          <cell r="AK107">
            <v>0</v>
          </cell>
          <cell r="AL107">
            <v>0</v>
          </cell>
          <cell r="AM107">
            <v>0</v>
          </cell>
          <cell r="AN107">
            <v>0</v>
          </cell>
          <cell r="AO107">
            <v>0</v>
          </cell>
          <cell r="AP107">
            <v>-100</v>
          </cell>
          <cell r="AQ107">
            <v>0</v>
          </cell>
          <cell r="AR107">
            <v>0</v>
          </cell>
          <cell r="AS107">
            <v>0</v>
          </cell>
          <cell r="AT107">
            <v>0</v>
          </cell>
          <cell r="AU107">
            <v>0</v>
          </cell>
          <cell r="AV107">
            <v>0</v>
          </cell>
          <cell r="AW107">
            <v>0</v>
          </cell>
          <cell r="AX107">
            <v>0</v>
          </cell>
          <cell r="AY107">
            <v>0</v>
          </cell>
          <cell r="AZ107">
            <v>0</v>
          </cell>
          <cell r="BA107">
            <v>0</v>
          </cell>
          <cell r="BB107">
            <v>0</v>
          </cell>
          <cell r="BC107">
            <v>0</v>
          </cell>
        </row>
        <row r="108">
          <cell r="B108" t="str">
            <v>BRWFALY31</v>
          </cell>
          <cell r="C108" t="str">
            <v>MSCI EMU/CONSUMER DISCR</v>
          </cell>
          <cell r="D108" t="str">
            <v>MS106697</v>
          </cell>
          <cell r="E108">
            <v>1</v>
          </cell>
          <cell r="L108">
            <v>0</v>
          </cell>
          <cell r="M108">
            <v>0</v>
          </cell>
          <cell r="N108">
            <v>0</v>
          </cell>
          <cell r="O108">
            <v>0</v>
          </cell>
          <cell r="P108">
            <v>0</v>
          </cell>
          <cell r="Q108">
            <v>0</v>
          </cell>
          <cell r="R108">
            <v>0</v>
          </cell>
          <cell r="S108">
            <v>0</v>
          </cell>
          <cell r="T108">
            <v>0</v>
          </cell>
          <cell r="U108">
            <v>0</v>
          </cell>
          <cell r="V108">
            <v>0</v>
          </cell>
          <cell r="W108">
            <v>0</v>
          </cell>
          <cell r="X108">
            <v>0</v>
          </cell>
          <cell r="Y108">
            <v>100.00000000000003</v>
          </cell>
          <cell r="Z108">
            <v>0</v>
          </cell>
          <cell r="AA108">
            <v>0</v>
          </cell>
          <cell r="AB108">
            <v>0</v>
          </cell>
          <cell r="AC108">
            <v>0</v>
          </cell>
          <cell r="AD108">
            <v>0</v>
          </cell>
          <cell r="AE108">
            <v>0</v>
          </cell>
          <cell r="AF108">
            <v>0</v>
          </cell>
          <cell r="AG108">
            <v>0</v>
          </cell>
          <cell r="AH108">
            <v>0</v>
          </cell>
          <cell r="AI108">
            <v>0</v>
          </cell>
          <cell r="AJ108">
            <v>0</v>
          </cell>
          <cell r="AK108">
            <v>0</v>
          </cell>
          <cell r="AL108">
            <v>0</v>
          </cell>
          <cell r="AM108">
            <v>0</v>
          </cell>
          <cell r="AN108">
            <v>0</v>
          </cell>
          <cell r="AO108">
            <v>0</v>
          </cell>
          <cell r="AP108">
            <v>-100.00000000000003</v>
          </cell>
          <cell r="AQ108">
            <v>0</v>
          </cell>
          <cell r="AR108">
            <v>0</v>
          </cell>
          <cell r="AS108">
            <v>0</v>
          </cell>
          <cell r="AT108">
            <v>0</v>
          </cell>
          <cell r="AU108">
            <v>0</v>
          </cell>
          <cell r="AV108">
            <v>0</v>
          </cell>
          <cell r="AW108">
            <v>0</v>
          </cell>
          <cell r="AX108">
            <v>0</v>
          </cell>
          <cell r="AY108">
            <v>0</v>
          </cell>
          <cell r="AZ108">
            <v>0</v>
          </cell>
          <cell r="BA108">
            <v>0</v>
          </cell>
          <cell r="BB108">
            <v>0</v>
          </cell>
          <cell r="BC108">
            <v>0</v>
          </cell>
        </row>
        <row r="109">
          <cell r="B109" t="str">
            <v>BRS2HF2E2</v>
          </cell>
          <cell r="C109" t="str">
            <v xml:space="preserve">FTSE Actuaries UK Index-Linked Gilts up </v>
          </cell>
          <cell r="D109" t="str">
            <v>FTILGLTL5</v>
          </cell>
          <cell r="E109">
            <v>1.0000000000000002</v>
          </cell>
          <cell r="L109">
            <v>0</v>
          </cell>
          <cell r="M109">
            <v>0</v>
          </cell>
          <cell r="N109">
            <v>0</v>
          </cell>
          <cell r="O109">
            <v>0</v>
          </cell>
          <cell r="P109">
            <v>0</v>
          </cell>
          <cell r="Q109">
            <v>0</v>
          </cell>
          <cell r="R109">
            <v>0</v>
          </cell>
          <cell r="S109">
            <v>0</v>
          </cell>
          <cell r="T109">
            <v>0</v>
          </cell>
          <cell r="U109">
            <v>0</v>
          </cell>
          <cell r="V109">
            <v>0</v>
          </cell>
          <cell r="W109">
            <v>0</v>
          </cell>
          <cell r="X109">
            <v>0</v>
          </cell>
          <cell r="Y109">
            <v>0</v>
          </cell>
          <cell r="Z109">
            <v>100</v>
          </cell>
          <cell r="AA109">
            <v>0</v>
          </cell>
          <cell r="AB109">
            <v>0</v>
          </cell>
          <cell r="AC109">
            <v>0</v>
          </cell>
          <cell r="AD109">
            <v>0</v>
          </cell>
          <cell r="AE109">
            <v>0</v>
          </cell>
          <cell r="AF109">
            <v>0</v>
          </cell>
          <cell r="AG109">
            <v>0</v>
          </cell>
          <cell r="AH109">
            <v>0</v>
          </cell>
          <cell r="AI109">
            <v>0</v>
          </cell>
          <cell r="AJ109">
            <v>0</v>
          </cell>
          <cell r="AK109">
            <v>0</v>
          </cell>
          <cell r="AL109">
            <v>0</v>
          </cell>
          <cell r="AM109">
            <v>0</v>
          </cell>
          <cell r="AN109">
            <v>0</v>
          </cell>
          <cell r="AO109">
            <v>0</v>
          </cell>
          <cell r="AP109">
            <v>-100</v>
          </cell>
          <cell r="AQ109">
            <v>0</v>
          </cell>
          <cell r="AR109">
            <v>0</v>
          </cell>
          <cell r="AS109">
            <v>0</v>
          </cell>
          <cell r="AT109">
            <v>0</v>
          </cell>
          <cell r="AU109">
            <v>0</v>
          </cell>
          <cell r="AV109">
            <v>0</v>
          </cell>
          <cell r="AW109">
            <v>0</v>
          </cell>
          <cell r="AX109">
            <v>0</v>
          </cell>
          <cell r="AY109">
            <v>0</v>
          </cell>
          <cell r="AZ109">
            <v>0</v>
          </cell>
          <cell r="BA109">
            <v>0</v>
          </cell>
          <cell r="BB109">
            <v>0</v>
          </cell>
          <cell r="BC109">
            <v>0</v>
          </cell>
        </row>
        <row r="110">
          <cell r="B110" t="str">
            <v>B06384109</v>
          </cell>
          <cell r="C110" t="str">
            <v>MSCI Europe Gross TR Index</v>
          </cell>
          <cell r="D110" t="str">
            <v>MS_EU</v>
          </cell>
          <cell r="E110">
            <v>1</v>
          </cell>
          <cell r="L110">
            <v>0</v>
          </cell>
          <cell r="M110">
            <v>0</v>
          </cell>
          <cell r="N110">
            <v>0</v>
          </cell>
          <cell r="O110">
            <v>3.4034355178053741E-2</v>
          </cell>
          <cell r="P110">
            <v>15.344903860011947</v>
          </cell>
          <cell r="Q110">
            <v>8.3923949356242186E-2</v>
          </cell>
          <cell r="R110">
            <v>0</v>
          </cell>
          <cell r="S110">
            <v>0</v>
          </cell>
          <cell r="T110">
            <v>0</v>
          </cell>
          <cell r="U110">
            <v>0</v>
          </cell>
          <cell r="V110">
            <v>5.7219862317135046</v>
          </cell>
          <cell r="W110">
            <v>0</v>
          </cell>
          <cell r="X110">
            <v>0</v>
          </cell>
          <cell r="Y110">
            <v>50.210165116199086</v>
          </cell>
          <cell r="Z110">
            <v>22.336323145524389</v>
          </cell>
          <cell r="AA110">
            <v>0</v>
          </cell>
          <cell r="AB110">
            <v>0</v>
          </cell>
          <cell r="AC110">
            <v>0</v>
          </cell>
          <cell r="AD110">
            <v>0</v>
          </cell>
          <cell r="AE110">
            <v>0</v>
          </cell>
          <cell r="AF110">
            <v>0</v>
          </cell>
          <cell r="AG110">
            <v>0</v>
          </cell>
          <cell r="AH110">
            <v>0</v>
          </cell>
          <cell r="AI110">
            <v>0</v>
          </cell>
          <cell r="AJ110">
            <v>0</v>
          </cell>
          <cell r="AK110">
            <v>0</v>
          </cell>
          <cell r="AL110">
            <v>0.87210307872890525</v>
          </cell>
          <cell r="AM110">
            <v>0</v>
          </cell>
          <cell r="AN110">
            <v>0</v>
          </cell>
          <cell r="AO110">
            <v>0</v>
          </cell>
          <cell r="AP110">
            <v>-99.921913972530334</v>
          </cell>
          <cell r="AQ110">
            <v>0</v>
          </cell>
          <cell r="AR110">
            <v>0</v>
          </cell>
          <cell r="AS110">
            <v>0</v>
          </cell>
          <cell r="AT110">
            <v>0</v>
          </cell>
          <cell r="AU110">
            <v>0</v>
          </cell>
          <cell r="AV110">
            <v>5.3184742358181945</v>
          </cell>
          <cell r="AW110">
            <v>0</v>
          </cell>
          <cell r="AX110">
            <v>0</v>
          </cell>
          <cell r="AY110">
            <v>0</v>
          </cell>
          <cell r="AZ110">
            <v>0</v>
          </cell>
          <cell r="BA110">
            <v>0</v>
          </cell>
          <cell r="BB110">
            <v>0</v>
          </cell>
          <cell r="BC110">
            <v>5.6145732761218228E-15</v>
          </cell>
        </row>
        <row r="111">
          <cell r="B111" t="str">
            <v>B06384117</v>
          </cell>
          <cell r="C111" t="str">
            <v>MSCI Developed Europe ex UK Gross TR Ind</v>
          </cell>
          <cell r="D111" t="str">
            <v>MS_EUXUK</v>
          </cell>
          <cell r="E111">
            <v>0.99999999999999989</v>
          </cell>
          <cell r="L111">
            <v>0</v>
          </cell>
          <cell r="M111">
            <v>0</v>
          </cell>
          <cell r="N111">
            <v>0</v>
          </cell>
          <cell r="O111">
            <v>0</v>
          </cell>
          <cell r="P111">
            <v>19.821823541592131</v>
          </cell>
          <cell r="Q111">
            <v>0</v>
          </cell>
          <cell r="R111">
            <v>0</v>
          </cell>
          <cell r="S111">
            <v>0</v>
          </cell>
          <cell r="T111">
            <v>0</v>
          </cell>
          <cell r="U111">
            <v>0</v>
          </cell>
          <cell r="V111">
            <v>7.391392114747112</v>
          </cell>
          <cell r="W111">
            <v>0</v>
          </cell>
          <cell r="X111">
            <v>0</v>
          </cell>
          <cell r="Y111">
            <v>64.68922050483414</v>
          </cell>
          <cell r="Z111">
            <v>0</v>
          </cell>
          <cell r="AA111">
            <v>0</v>
          </cell>
          <cell r="AB111">
            <v>0</v>
          </cell>
          <cell r="AC111">
            <v>0</v>
          </cell>
          <cell r="AD111">
            <v>0</v>
          </cell>
          <cell r="AE111">
            <v>0</v>
          </cell>
          <cell r="AF111">
            <v>0</v>
          </cell>
          <cell r="AG111">
            <v>0</v>
          </cell>
          <cell r="AH111">
            <v>0</v>
          </cell>
          <cell r="AI111">
            <v>0</v>
          </cell>
          <cell r="AJ111">
            <v>0</v>
          </cell>
          <cell r="AK111">
            <v>0</v>
          </cell>
          <cell r="AL111">
            <v>1.1265416515050184</v>
          </cell>
          <cell r="AM111">
            <v>0</v>
          </cell>
          <cell r="AN111">
            <v>0</v>
          </cell>
          <cell r="AO111">
            <v>0</v>
          </cell>
          <cell r="AP111">
            <v>-99.899132150211699</v>
          </cell>
          <cell r="AQ111">
            <v>0</v>
          </cell>
          <cell r="AR111">
            <v>0</v>
          </cell>
          <cell r="AS111">
            <v>0</v>
          </cell>
          <cell r="AT111">
            <v>0</v>
          </cell>
          <cell r="AU111">
            <v>0</v>
          </cell>
          <cell r="AV111">
            <v>6.8701543375332843</v>
          </cell>
          <cell r="AW111">
            <v>0</v>
          </cell>
          <cell r="AX111">
            <v>0</v>
          </cell>
          <cell r="AY111">
            <v>0</v>
          </cell>
          <cell r="AZ111">
            <v>0</v>
          </cell>
          <cell r="BA111">
            <v>0</v>
          </cell>
          <cell r="BB111">
            <v>0</v>
          </cell>
          <cell r="BC111">
            <v>-1.1229146552243648E-15</v>
          </cell>
        </row>
        <row r="112">
          <cell r="B112" t="str">
            <v>BRS6WE6V7</v>
          </cell>
          <cell r="C112" t="str">
            <v>BBG Euro Agg Treasury 15 plus</v>
          </cell>
          <cell r="D112" t="str">
            <v>LEURTY15P</v>
          </cell>
          <cell r="E112">
            <v>1</v>
          </cell>
          <cell r="L112">
            <v>0</v>
          </cell>
          <cell r="M112">
            <v>0</v>
          </cell>
          <cell r="N112">
            <v>0</v>
          </cell>
          <cell r="O112">
            <v>0</v>
          </cell>
          <cell r="P112">
            <v>0</v>
          </cell>
          <cell r="Q112">
            <v>0</v>
          </cell>
          <cell r="R112">
            <v>0</v>
          </cell>
          <cell r="S112">
            <v>0</v>
          </cell>
          <cell r="T112">
            <v>0</v>
          </cell>
          <cell r="U112">
            <v>0</v>
          </cell>
          <cell r="V112">
            <v>0</v>
          </cell>
          <cell r="W112">
            <v>0</v>
          </cell>
          <cell r="X112">
            <v>0</v>
          </cell>
          <cell r="Y112">
            <v>100</v>
          </cell>
          <cell r="Z112">
            <v>0</v>
          </cell>
          <cell r="AA112">
            <v>0</v>
          </cell>
          <cell r="AB112">
            <v>0</v>
          </cell>
          <cell r="AC112">
            <v>0</v>
          </cell>
          <cell r="AD112">
            <v>0</v>
          </cell>
          <cell r="AE112">
            <v>0</v>
          </cell>
          <cell r="AF112">
            <v>0</v>
          </cell>
          <cell r="AG112">
            <v>0</v>
          </cell>
          <cell r="AH112">
            <v>0</v>
          </cell>
          <cell r="AI112">
            <v>0</v>
          </cell>
          <cell r="AJ112">
            <v>0</v>
          </cell>
          <cell r="AK112">
            <v>0</v>
          </cell>
          <cell r="AL112">
            <v>0</v>
          </cell>
          <cell r="AM112">
            <v>0</v>
          </cell>
          <cell r="AN112">
            <v>0</v>
          </cell>
          <cell r="AO112">
            <v>0</v>
          </cell>
          <cell r="AP112">
            <v>-100</v>
          </cell>
          <cell r="AQ112">
            <v>0</v>
          </cell>
          <cell r="AR112">
            <v>0</v>
          </cell>
          <cell r="AS112">
            <v>0</v>
          </cell>
          <cell r="AT112">
            <v>0</v>
          </cell>
          <cell r="AU112">
            <v>0</v>
          </cell>
          <cell r="AV112">
            <v>0</v>
          </cell>
          <cell r="AW112">
            <v>0</v>
          </cell>
          <cell r="AX112">
            <v>0</v>
          </cell>
          <cell r="AY112">
            <v>0</v>
          </cell>
          <cell r="AZ112">
            <v>0</v>
          </cell>
          <cell r="BA112">
            <v>0</v>
          </cell>
          <cell r="BB112">
            <v>0</v>
          </cell>
          <cell r="BC112">
            <v>0</v>
          </cell>
        </row>
        <row r="113">
          <cell r="B113" t="str">
            <v>BRS8KCA78</v>
          </cell>
          <cell r="C113" t="str">
            <v>BBG Euro-Agg Corp Long Index</v>
          </cell>
          <cell r="D113" t="str">
            <v>BEUAGCPLNG</v>
          </cell>
          <cell r="E113">
            <v>1</v>
          </cell>
          <cell r="L113">
            <v>0</v>
          </cell>
          <cell r="M113">
            <v>0</v>
          </cell>
          <cell r="N113">
            <v>0</v>
          </cell>
          <cell r="O113">
            <v>0</v>
          </cell>
          <cell r="P113">
            <v>0</v>
          </cell>
          <cell r="Q113">
            <v>0</v>
          </cell>
          <cell r="R113">
            <v>0</v>
          </cell>
          <cell r="S113">
            <v>0</v>
          </cell>
          <cell r="T113">
            <v>0</v>
          </cell>
          <cell r="U113">
            <v>0</v>
          </cell>
          <cell r="V113">
            <v>0</v>
          </cell>
          <cell r="W113">
            <v>0</v>
          </cell>
          <cell r="X113">
            <v>0</v>
          </cell>
          <cell r="Y113">
            <v>100</v>
          </cell>
          <cell r="Z113">
            <v>0</v>
          </cell>
          <cell r="AA113">
            <v>0</v>
          </cell>
          <cell r="AB113">
            <v>0</v>
          </cell>
          <cell r="AC113">
            <v>0</v>
          </cell>
          <cell r="AD113">
            <v>0</v>
          </cell>
          <cell r="AE113">
            <v>0</v>
          </cell>
          <cell r="AF113">
            <v>0</v>
          </cell>
          <cell r="AG113">
            <v>0</v>
          </cell>
          <cell r="AH113">
            <v>0</v>
          </cell>
          <cell r="AI113">
            <v>0</v>
          </cell>
          <cell r="AJ113">
            <v>0</v>
          </cell>
          <cell r="AK113">
            <v>0</v>
          </cell>
          <cell r="AL113">
            <v>0</v>
          </cell>
          <cell r="AM113">
            <v>0</v>
          </cell>
          <cell r="AN113">
            <v>0</v>
          </cell>
          <cell r="AO113">
            <v>0</v>
          </cell>
          <cell r="AP113">
            <v>-100</v>
          </cell>
          <cell r="AQ113">
            <v>0</v>
          </cell>
          <cell r="AR113">
            <v>0</v>
          </cell>
          <cell r="AS113">
            <v>0</v>
          </cell>
          <cell r="AT113">
            <v>0</v>
          </cell>
          <cell r="AU113">
            <v>0</v>
          </cell>
          <cell r="AV113">
            <v>0</v>
          </cell>
          <cell r="AW113">
            <v>0</v>
          </cell>
          <cell r="AX113">
            <v>0</v>
          </cell>
          <cell r="AY113">
            <v>0</v>
          </cell>
          <cell r="AZ113">
            <v>0</v>
          </cell>
          <cell r="BA113">
            <v>0</v>
          </cell>
          <cell r="BB113">
            <v>0</v>
          </cell>
          <cell r="BC113">
            <v>0</v>
          </cell>
        </row>
        <row r="114">
          <cell r="B114" t="str">
            <v>BRS26QD24</v>
          </cell>
          <cell r="C114" t="str">
            <v xml:space="preserve">FTSE Actuaries UK Conventional Gilts up </v>
          </cell>
          <cell r="D114" t="str">
            <v>FTGLTL5</v>
          </cell>
          <cell r="E114">
            <v>1</v>
          </cell>
          <cell r="L114">
            <v>0</v>
          </cell>
          <cell r="M114">
            <v>0</v>
          </cell>
          <cell r="N114">
            <v>0</v>
          </cell>
          <cell r="O114">
            <v>0</v>
          </cell>
          <cell r="P114">
            <v>0</v>
          </cell>
          <cell r="Q114">
            <v>0</v>
          </cell>
          <cell r="R114">
            <v>0</v>
          </cell>
          <cell r="S114">
            <v>0</v>
          </cell>
          <cell r="T114">
            <v>0</v>
          </cell>
          <cell r="U114">
            <v>0</v>
          </cell>
          <cell r="V114">
            <v>0</v>
          </cell>
          <cell r="W114">
            <v>0</v>
          </cell>
          <cell r="X114">
            <v>0</v>
          </cell>
          <cell r="Y114">
            <v>0</v>
          </cell>
          <cell r="Z114">
            <v>100.00000000000003</v>
          </cell>
          <cell r="AA114">
            <v>0</v>
          </cell>
          <cell r="AB114">
            <v>0</v>
          </cell>
          <cell r="AC114">
            <v>0</v>
          </cell>
          <cell r="AD114">
            <v>0</v>
          </cell>
          <cell r="AE114">
            <v>0</v>
          </cell>
          <cell r="AF114">
            <v>0</v>
          </cell>
          <cell r="AG114">
            <v>0</v>
          </cell>
          <cell r="AH114">
            <v>0</v>
          </cell>
          <cell r="AI114">
            <v>0</v>
          </cell>
          <cell r="AJ114">
            <v>0</v>
          </cell>
          <cell r="AK114">
            <v>0</v>
          </cell>
          <cell r="AL114">
            <v>0</v>
          </cell>
          <cell r="AM114">
            <v>0</v>
          </cell>
          <cell r="AN114">
            <v>0</v>
          </cell>
          <cell r="AO114">
            <v>0</v>
          </cell>
          <cell r="AP114">
            <v>-100.00000000000003</v>
          </cell>
          <cell r="AQ114">
            <v>0</v>
          </cell>
          <cell r="AR114">
            <v>0</v>
          </cell>
          <cell r="AS114">
            <v>0</v>
          </cell>
          <cell r="AT114">
            <v>0</v>
          </cell>
          <cell r="AU114">
            <v>0</v>
          </cell>
          <cell r="AV114">
            <v>0</v>
          </cell>
          <cell r="AW114">
            <v>0</v>
          </cell>
          <cell r="AX114">
            <v>0</v>
          </cell>
          <cell r="AY114">
            <v>0</v>
          </cell>
          <cell r="AZ114">
            <v>0</v>
          </cell>
          <cell r="BA114">
            <v>0</v>
          </cell>
          <cell r="BB114">
            <v>0</v>
          </cell>
          <cell r="BC114">
            <v>0</v>
          </cell>
        </row>
        <row r="115">
          <cell r="B115" t="str">
            <v>BRWFAM6N6</v>
          </cell>
          <cell r="C115" t="str">
            <v>MSCI EMU/HEALTH CARE</v>
          </cell>
          <cell r="D115" t="str">
            <v>MS106699</v>
          </cell>
          <cell r="E115">
            <v>1</v>
          </cell>
          <cell r="L115">
            <v>0</v>
          </cell>
          <cell r="M115">
            <v>0</v>
          </cell>
          <cell r="N115">
            <v>0</v>
          </cell>
          <cell r="O115">
            <v>0</v>
          </cell>
          <cell r="P115">
            <v>0</v>
          </cell>
          <cell r="Q115">
            <v>0</v>
          </cell>
          <cell r="R115">
            <v>0</v>
          </cell>
          <cell r="S115">
            <v>0</v>
          </cell>
          <cell r="T115">
            <v>0</v>
          </cell>
          <cell r="U115">
            <v>0</v>
          </cell>
          <cell r="V115">
            <v>0</v>
          </cell>
          <cell r="W115">
            <v>0</v>
          </cell>
          <cell r="X115">
            <v>0</v>
          </cell>
          <cell r="Y115">
            <v>99.999999999999957</v>
          </cell>
          <cell r="Z115">
            <v>0</v>
          </cell>
          <cell r="AA115">
            <v>0</v>
          </cell>
          <cell r="AB115">
            <v>0</v>
          </cell>
          <cell r="AC115">
            <v>0</v>
          </cell>
          <cell r="AD115">
            <v>0</v>
          </cell>
          <cell r="AE115">
            <v>0</v>
          </cell>
          <cell r="AF115">
            <v>0</v>
          </cell>
          <cell r="AG115">
            <v>0</v>
          </cell>
          <cell r="AH115">
            <v>0</v>
          </cell>
          <cell r="AI115">
            <v>0</v>
          </cell>
          <cell r="AJ115">
            <v>0</v>
          </cell>
          <cell r="AK115">
            <v>0</v>
          </cell>
          <cell r="AL115">
            <v>0</v>
          </cell>
          <cell r="AM115">
            <v>0</v>
          </cell>
          <cell r="AN115">
            <v>0</v>
          </cell>
          <cell r="AO115">
            <v>0</v>
          </cell>
          <cell r="AP115">
            <v>-99.999999999999957</v>
          </cell>
          <cell r="AQ115">
            <v>0</v>
          </cell>
          <cell r="AR115">
            <v>0</v>
          </cell>
          <cell r="AS115">
            <v>0</v>
          </cell>
          <cell r="AT115">
            <v>0</v>
          </cell>
          <cell r="AU115">
            <v>0</v>
          </cell>
          <cell r="AV115">
            <v>0</v>
          </cell>
          <cell r="AW115">
            <v>0</v>
          </cell>
          <cell r="AX115">
            <v>0</v>
          </cell>
          <cell r="AY115">
            <v>0</v>
          </cell>
          <cell r="AZ115">
            <v>0</v>
          </cell>
          <cell r="BA115">
            <v>0</v>
          </cell>
          <cell r="BB115">
            <v>0</v>
          </cell>
          <cell r="BC115">
            <v>0</v>
          </cell>
        </row>
        <row r="116">
          <cell r="B116" t="str">
            <v>BRTD3ZAC3</v>
          </cell>
          <cell r="C116" t="str">
            <v xml:space="preserve">BBG Inflation Linked Eurozone Inflation </v>
          </cell>
          <cell r="D116" t="str">
            <v>B20720EUR</v>
          </cell>
          <cell r="E116">
            <v>1</v>
          </cell>
          <cell r="L116">
            <v>0</v>
          </cell>
          <cell r="M116">
            <v>0</v>
          </cell>
          <cell r="N116">
            <v>0</v>
          </cell>
          <cell r="O116">
            <v>0</v>
          </cell>
          <cell r="P116">
            <v>0</v>
          </cell>
          <cell r="Q116">
            <v>0</v>
          </cell>
          <cell r="R116">
            <v>0</v>
          </cell>
          <cell r="S116">
            <v>0</v>
          </cell>
          <cell r="T116">
            <v>0</v>
          </cell>
          <cell r="U116">
            <v>0</v>
          </cell>
          <cell r="V116">
            <v>0</v>
          </cell>
          <cell r="W116">
            <v>0</v>
          </cell>
          <cell r="X116">
            <v>0</v>
          </cell>
          <cell r="Y116">
            <v>100</v>
          </cell>
          <cell r="Z116">
            <v>0</v>
          </cell>
          <cell r="AA116">
            <v>0</v>
          </cell>
          <cell r="AB116">
            <v>0</v>
          </cell>
          <cell r="AC116">
            <v>0</v>
          </cell>
          <cell r="AD116">
            <v>0</v>
          </cell>
          <cell r="AE116">
            <v>0</v>
          </cell>
          <cell r="AF116">
            <v>0</v>
          </cell>
          <cell r="AG116">
            <v>0</v>
          </cell>
          <cell r="AH116">
            <v>0</v>
          </cell>
          <cell r="AI116">
            <v>0</v>
          </cell>
          <cell r="AJ116">
            <v>0</v>
          </cell>
          <cell r="AK116">
            <v>0</v>
          </cell>
          <cell r="AL116">
            <v>0</v>
          </cell>
          <cell r="AM116">
            <v>0</v>
          </cell>
          <cell r="AN116">
            <v>0</v>
          </cell>
          <cell r="AO116">
            <v>0</v>
          </cell>
          <cell r="AP116">
            <v>-100</v>
          </cell>
          <cell r="AQ116">
            <v>0</v>
          </cell>
          <cell r="AR116">
            <v>0</v>
          </cell>
          <cell r="AS116">
            <v>0</v>
          </cell>
          <cell r="AT116">
            <v>0</v>
          </cell>
          <cell r="AU116">
            <v>0</v>
          </cell>
          <cell r="AV116">
            <v>0</v>
          </cell>
          <cell r="AW116">
            <v>0</v>
          </cell>
          <cell r="AX116">
            <v>0</v>
          </cell>
          <cell r="AY116">
            <v>0</v>
          </cell>
          <cell r="AZ116">
            <v>0</v>
          </cell>
          <cell r="BA116">
            <v>0</v>
          </cell>
          <cell r="BB116">
            <v>0</v>
          </cell>
          <cell r="BC116">
            <v>0</v>
          </cell>
        </row>
        <row r="117">
          <cell r="B117" t="str">
            <v>BRSAMQMN2</v>
          </cell>
          <cell r="C117" t="str">
            <v>GBP Cash Benchmark</v>
          </cell>
          <cell r="D117" t="str">
            <v>GBPCASHBMK</v>
          </cell>
          <cell r="E117">
            <v>1</v>
          </cell>
          <cell r="L117">
            <v>0</v>
          </cell>
          <cell r="M117">
            <v>0</v>
          </cell>
          <cell r="N117">
            <v>0</v>
          </cell>
          <cell r="O117">
            <v>0</v>
          </cell>
          <cell r="P117">
            <v>0</v>
          </cell>
          <cell r="Q117">
            <v>0</v>
          </cell>
          <cell r="R117">
            <v>0</v>
          </cell>
          <cell r="S117">
            <v>0</v>
          </cell>
          <cell r="T117">
            <v>0</v>
          </cell>
          <cell r="U117">
            <v>0</v>
          </cell>
          <cell r="V117">
            <v>0</v>
          </cell>
          <cell r="W117">
            <v>0</v>
          </cell>
          <cell r="X117">
            <v>0</v>
          </cell>
          <cell r="Y117">
            <v>0</v>
          </cell>
          <cell r="Z117">
            <v>100</v>
          </cell>
          <cell r="AA117">
            <v>0</v>
          </cell>
          <cell r="AB117">
            <v>0</v>
          </cell>
          <cell r="AC117">
            <v>0</v>
          </cell>
          <cell r="AD117">
            <v>0</v>
          </cell>
          <cell r="AE117">
            <v>0</v>
          </cell>
          <cell r="AF117">
            <v>0</v>
          </cell>
          <cell r="AG117">
            <v>0</v>
          </cell>
          <cell r="AH117">
            <v>0</v>
          </cell>
          <cell r="AI117">
            <v>0</v>
          </cell>
          <cell r="AJ117">
            <v>0</v>
          </cell>
          <cell r="AK117">
            <v>0</v>
          </cell>
          <cell r="AL117">
            <v>0</v>
          </cell>
          <cell r="AM117">
            <v>0</v>
          </cell>
          <cell r="AN117">
            <v>0</v>
          </cell>
          <cell r="AO117">
            <v>0</v>
          </cell>
          <cell r="AP117">
            <v>-100</v>
          </cell>
          <cell r="AQ117">
            <v>0</v>
          </cell>
          <cell r="AR117">
            <v>0</v>
          </cell>
          <cell r="AS117">
            <v>0</v>
          </cell>
          <cell r="AT117">
            <v>0</v>
          </cell>
          <cell r="AU117">
            <v>0</v>
          </cell>
          <cell r="AV117">
            <v>0</v>
          </cell>
          <cell r="AW117">
            <v>0</v>
          </cell>
          <cell r="AX117">
            <v>0</v>
          </cell>
          <cell r="AY117">
            <v>0</v>
          </cell>
          <cell r="AZ117">
            <v>0</v>
          </cell>
          <cell r="BA117">
            <v>0</v>
          </cell>
          <cell r="BB117">
            <v>0</v>
          </cell>
          <cell r="BC117">
            <v>0</v>
          </cell>
        </row>
        <row r="118">
          <cell r="B118" t="str">
            <v>BRWFALRK1</v>
          </cell>
          <cell r="C118" t="str">
            <v>MSCI EMU/MATERIALS</v>
          </cell>
          <cell r="D118" t="str">
            <v>MS106695</v>
          </cell>
          <cell r="E118">
            <v>1</v>
          </cell>
          <cell r="L118">
            <v>0</v>
          </cell>
          <cell r="M118">
            <v>0</v>
          </cell>
          <cell r="N118">
            <v>0</v>
          </cell>
          <cell r="O118">
            <v>0</v>
          </cell>
          <cell r="P118">
            <v>0</v>
          </cell>
          <cell r="Q118">
            <v>0</v>
          </cell>
          <cell r="R118">
            <v>0</v>
          </cell>
          <cell r="S118">
            <v>0</v>
          </cell>
          <cell r="T118">
            <v>0</v>
          </cell>
          <cell r="U118">
            <v>0</v>
          </cell>
          <cell r="V118">
            <v>0</v>
          </cell>
          <cell r="W118">
            <v>0</v>
          </cell>
          <cell r="X118">
            <v>0</v>
          </cell>
          <cell r="Y118">
            <v>100.00000000000003</v>
          </cell>
          <cell r="Z118">
            <v>0</v>
          </cell>
          <cell r="AA118">
            <v>0</v>
          </cell>
          <cell r="AB118">
            <v>0</v>
          </cell>
          <cell r="AC118">
            <v>0</v>
          </cell>
          <cell r="AD118">
            <v>0</v>
          </cell>
          <cell r="AE118">
            <v>0</v>
          </cell>
          <cell r="AF118">
            <v>0</v>
          </cell>
          <cell r="AG118">
            <v>0</v>
          </cell>
          <cell r="AH118">
            <v>0</v>
          </cell>
          <cell r="AI118">
            <v>0</v>
          </cell>
          <cell r="AJ118">
            <v>0</v>
          </cell>
          <cell r="AK118">
            <v>0</v>
          </cell>
          <cell r="AL118">
            <v>0</v>
          </cell>
          <cell r="AM118">
            <v>0</v>
          </cell>
          <cell r="AN118">
            <v>0</v>
          </cell>
          <cell r="AO118">
            <v>0</v>
          </cell>
          <cell r="AP118">
            <v>-100.00000000000003</v>
          </cell>
          <cell r="AQ118">
            <v>0</v>
          </cell>
          <cell r="AR118">
            <v>0</v>
          </cell>
          <cell r="AS118">
            <v>0</v>
          </cell>
          <cell r="AT118">
            <v>0</v>
          </cell>
          <cell r="AU118">
            <v>0</v>
          </cell>
          <cell r="AV118">
            <v>0</v>
          </cell>
          <cell r="AW118">
            <v>0</v>
          </cell>
          <cell r="AX118">
            <v>0</v>
          </cell>
          <cell r="AY118">
            <v>0</v>
          </cell>
          <cell r="AZ118">
            <v>0</v>
          </cell>
          <cell r="BA118">
            <v>0</v>
          </cell>
          <cell r="BB118">
            <v>0</v>
          </cell>
          <cell r="BC118">
            <v>0</v>
          </cell>
        </row>
        <row r="119">
          <cell r="B119" t="str">
            <v>BRWFAM1A9</v>
          </cell>
          <cell r="C119" t="str">
            <v>MSCI EMU/CONSUMER STAPLES</v>
          </cell>
          <cell r="D119" t="str">
            <v>MS106698</v>
          </cell>
          <cell r="E119">
            <v>1.0000000000000002</v>
          </cell>
          <cell r="L119">
            <v>0</v>
          </cell>
          <cell r="M119">
            <v>0</v>
          </cell>
          <cell r="N119">
            <v>0</v>
          </cell>
          <cell r="O119">
            <v>0</v>
          </cell>
          <cell r="P119">
            <v>0</v>
          </cell>
          <cell r="Q119">
            <v>0</v>
          </cell>
          <cell r="R119">
            <v>0</v>
          </cell>
          <cell r="S119">
            <v>0</v>
          </cell>
          <cell r="T119">
            <v>0</v>
          </cell>
          <cell r="U119">
            <v>0</v>
          </cell>
          <cell r="V119">
            <v>0</v>
          </cell>
          <cell r="W119">
            <v>0</v>
          </cell>
          <cell r="X119">
            <v>0</v>
          </cell>
          <cell r="Y119">
            <v>98.708156236837752</v>
          </cell>
          <cell r="Z119">
            <v>0</v>
          </cell>
          <cell r="AA119">
            <v>0</v>
          </cell>
          <cell r="AB119">
            <v>0</v>
          </cell>
          <cell r="AC119">
            <v>0</v>
          </cell>
          <cell r="AD119">
            <v>0</v>
          </cell>
          <cell r="AE119">
            <v>0</v>
          </cell>
          <cell r="AF119">
            <v>0</v>
          </cell>
          <cell r="AG119">
            <v>0</v>
          </cell>
          <cell r="AH119">
            <v>0</v>
          </cell>
          <cell r="AI119">
            <v>0</v>
          </cell>
          <cell r="AJ119">
            <v>0</v>
          </cell>
          <cell r="AK119">
            <v>0</v>
          </cell>
          <cell r="AL119">
            <v>0</v>
          </cell>
          <cell r="AM119">
            <v>0</v>
          </cell>
          <cell r="AN119">
            <v>0</v>
          </cell>
          <cell r="AO119">
            <v>0</v>
          </cell>
          <cell r="AP119">
            <v>-98.70815623683778</v>
          </cell>
          <cell r="AQ119">
            <v>0</v>
          </cell>
          <cell r="AR119">
            <v>0</v>
          </cell>
          <cell r="AS119">
            <v>0</v>
          </cell>
          <cell r="AT119">
            <v>0</v>
          </cell>
          <cell r="AU119">
            <v>0</v>
          </cell>
          <cell r="AV119">
            <v>0</v>
          </cell>
          <cell r="AW119">
            <v>0</v>
          </cell>
          <cell r="AX119">
            <v>0</v>
          </cell>
          <cell r="AY119">
            <v>0</v>
          </cell>
          <cell r="AZ119">
            <v>0</v>
          </cell>
          <cell r="BA119">
            <v>0</v>
          </cell>
          <cell r="BB119">
            <v>0</v>
          </cell>
          <cell r="BC119">
            <v>1.7966634483589827E-14</v>
          </cell>
        </row>
        <row r="120">
          <cell r="B120" t="str">
            <v>BRWFALQM8</v>
          </cell>
          <cell r="C120" t="str">
            <v>MSCI EMU/ENERGY</v>
          </cell>
          <cell r="D120" t="str">
            <v>MS106694</v>
          </cell>
          <cell r="E120">
            <v>1</v>
          </cell>
          <cell r="L120">
            <v>0</v>
          </cell>
          <cell r="M120">
            <v>0</v>
          </cell>
          <cell r="N120">
            <v>0</v>
          </cell>
          <cell r="O120">
            <v>0</v>
          </cell>
          <cell r="P120">
            <v>0</v>
          </cell>
          <cell r="Q120">
            <v>0</v>
          </cell>
          <cell r="R120">
            <v>0</v>
          </cell>
          <cell r="S120">
            <v>0</v>
          </cell>
          <cell r="T120">
            <v>0</v>
          </cell>
          <cell r="U120">
            <v>0</v>
          </cell>
          <cell r="V120">
            <v>0</v>
          </cell>
          <cell r="W120">
            <v>0</v>
          </cell>
          <cell r="X120">
            <v>0</v>
          </cell>
          <cell r="Y120">
            <v>100</v>
          </cell>
          <cell r="Z120">
            <v>0</v>
          </cell>
          <cell r="AA120">
            <v>0</v>
          </cell>
          <cell r="AB120">
            <v>0</v>
          </cell>
          <cell r="AC120">
            <v>0</v>
          </cell>
          <cell r="AD120">
            <v>0</v>
          </cell>
          <cell r="AE120">
            <v>0</v>
          </cell>
          <cell r="AF120">
            <v>0</v>
          </cell>
          <cell r="AG120">
            <v>0</v>
          </cell>
          <cell r="AH120">
            <v>0</v>
          </cell>
          <cell r="AI120">
            <v>0</v>
          </cell>
          <cell r="AJ120">
            <v>0</v>
          </cell>
          <cell r="AK120">
            <v>0</v>
          </cell>
          <cell r="AL120">
            <v>0</v>
          </cell>
          <cell r="AM120">
            <v>0</v>
          </cell>
          <cell r="AN120">
            <v>0</v>
          </cell>
          <cell r="AO120">
            <v>0</v>
          </cell>
          <cell r="AP120">
            <v>-100</v>
          </cell>
          <cell r="AQ120">
            <v>0</v>
          </cell>
          <cell r="AR120">
            <v>0</v>
          </cell>
          <cell r="AS120">
            <v>0</v>
          </cell>
          <cell r="AT120">
            <v>0</v>
          </cell>
          <cell r="AU120">
            <v>0</v>
          </cell>
          <cell r="AV120">
            <v>0</v>
          </cell>
          <cell r="AW120">
            <v>0</v>
          </cell>
          <cell r="AX120">
            <v>0</v>
          </cell>
          <cell r="AY120">
            <v>0</v>
          </cell>
          <cell r="AZ120">
            <v>0</v>
          </cell>
          <cell r="BA120">
            <v>0</v>
          </cell>
          <cell r="BB120">
            <v>0</v>
          </cell>
          <cell r="BC120">
            <v>0</v>
          </cell>
        </row>
        <row r="121">
          <cell r="B121" t="str">
            <v>BRS36ZT25</v>
          </cell>
          <cell r="C121" t="str">
            <v>JP Morgan GBI-EM Global Diversified Inde</v>
          </cell>
          <cell r="D121" t="str">
            <v>JPMGBIEGDV</v>
          </cell>
          <cell r="E121">
            <v>1</v>
          </cell>
          <cell r="L121">
            <v>0</v>
          </cell>
          <cell r="M121">
            <v>0</v>
          </cell>
          <cell r="N121">
            <v>8.1564095318162373</v>
          </cell>
          <cell r="O121">
            <v>0</v>
          </cell>
          <cell r="P121">
            <v>0</v>
          </cell>
          <cell r="Q121">
            <v>1.8144272788364513</v>
          </cell>
          <cell r="R121">
            <v>9.9948310399173028</v>
          </cell>
          <cell r="S121">
            <v>4.1923178622654733</v>
          </cell>
          <cell r="T121">
            <v>5.6715393476161777</v>
          </cell>
          <cell r="U121">
            <v>0</v>
          </cell>
          <cell r="V121">
            <v>0</v>
          </cell>
          <cell r="W121">
            <v>0.25053363965307646</v>
          </cell>
          <cell r="X121">
            <v>0</v>
          </cell>
          <cell r="Y121">
            <v>0</v>
          </cell>
          <cell r="Z121">
            <v>0</v>
          </cell>
          <cell r="AA121">
            <v>0</v>
          </cell>
          <cell r="AB121">
            <v>2.9230280988606454</v>
          </cell>
          <cell r="AC121">
            <v>9.9955182895600991</v>
          </cell>
          <cell r="AD121">
            <v>0</v>
          </cell>
          <cell r="AE121">
            <v>2.9986561696191516</v>
          </cell>
          <cell r="AF121">
            <v>0</v>
          </cell>
          <cell r="AG121">
            <v>0</v>
          </cell>
          <cell r="AH121">
            <v>0</v>
          </cell>
          <cell r="AI121">
            <v>0</v>
          </cell>
          <cell r="AJ121">
            <v>9.9955170676690788</v>
          </cell>
          <cell r="AK121">
            <v>9.9955151826553088</v>
          </cell>
          <cell r="AL121">
            <v>0</v>
          </cell>
          <cell r="AM121">
            <v>0</v>
          </cell>
          <cell r="AN121">
            <v>2.0039320345950054</v>
          </cell>
          <cell r="AO121">
            <v>0</v>
          </cell>
          <cell r="AP121">
            <v>-92.154846500640346</v>
          </cell>
          <cell r="AQ121">
            <v>0</v>
          </cell>
          <cell r="AR121">
            <v>3.9323189663499343</v>
          </cell>
          <cell r="AS121">
            <v>0.35784751288554856</v>
          </cell>
          <cell r="AT121">
            <v>0</v>
          </cell>
          <cell r="AU121">
            <v>0</v>
          </cell>
          <cell r="AV121">
            <v>0</v>
          </cell>
          <cell r="AW121">
            <v>0</v>
          </cell>
          <cell r="AX121">
            <v>9.5253690140147</v>
          </cell>
          <cell r="AY121">
            <v>1.5560791184099823</v>
          </cell>
          <cell r="AZ121">
            <v>0</v>
          </cell>
          <cell r="BA121">
            <v>0.18840250296640618</v>
          </cell>
          <cell r="BB121">
            <v>8.6026038429497813</v>
          </cell>
          <cell r="BC121">
            <v>-7.8604025865705527E-15</v>
          </cell>
        </row>
        <row r="122">
          <cell r="B122" t="str">
            <v>BRWFAGPX6</v>
          </cell>
          <cell r="C122" t="str">
            <v>MSCI EMU/COMM SVC Index</v>
          </cell>
          <cell r="D122" t="str">
            <v>MS_EMU50</v>
          </cell>
          <cell r="E122">
            <v>1</v>
          </cell>
          <cell r="L122">
            <v>0</v>
          </cell>
          <cell r="M122">
            <v>0</v>
          </cell>
          <cell r="N122">
            <v>0</v>
          </cell>
          <cell r="O122">
            <v>0</v>
          </cell>
          <cell r="P122">
            <v>0</v>
          </cell>
          <cell r="Q122">
            <v>0</v>
          </cell>
          <cell r="R122">
            <v>0</v>
          </cell>
          <cell r="S122">
            <v>0</v>
          </cell>
          <cell r="T122">
            <v>0</v>
          </cell>
          <cell r="U122">
            <v>0</v>
          </cell>
          <cell r="V122">
            <v>0</v>
          </cell>
          <cell r="W122">
            <v>0</v>
          </cell>
          <cell r="X122">
            <v>0</v>
          </cell>
          <cell r="Y122">
            <v>99.999999999999972</v>
          </cell>
          <cell r="Z122">
            <v>0</v>
          </cell>
          <cell r="AA122">
            <v>0</v>
          </cell>
          <cell r="AB122">
            <v>0</v>
          </cell>
          <cell r="AC122">
            <v>0</v>
          </cell>
          <cell r="AD122">
            <v>0</v>
          </cell>
          <cell r="AE122">
            <v>0</v>
          </cell>
          <cell r="AF122">
            <v>0</v>
          </cell>
          <cell r="AG122">
            <v>0</v>
          </cell>
          <cell r="AH122">
            <v>0</v>
          </cell>
          <cell r="AI122">
            <v>0</v>
          </cell>
          <cell r="AJ122">
            <v>0</v>
          </cell>
          <cell r="AK122">
            <v>0</v>
          </cell>
          <cell r="AL122">
            <v>0</v>
          </cell>
          <cell r="AM122">
            <v>0</v>
          </cell>
          <cell r="AN122">
            <v>0</v>
          </cell>
          <cell r="AO122">
            <v>0</v>
          </cell>
          <cell r="AP122">
            <v>-99.999999999999972</v>
          </cell>
          <cell r="AQ122">
            <v>0</v>
          </cell>
          <cell r="AR122">
            <v>0</v>
          </cell>
          <cell r="AS122">
            <v>0</v>
          </cell>
          <cell r="AT122">
            <v>0</v>
          </cell>
          <cell r="AU122">
            <v>0</v>
          </cell>
          <cell r="AV122">
            <v>0</v>
          </cell>
          <cell r="AW122">
            <v>0</v>
          </cell>
          <cell r="AX122">
            <v>0</v>
          </cell>
          <cell r="AY122">
            <v>0</v>
          </cell>
          <cell r="AZ122">
            <v>0</v>
          </cell>
          <cell r="BA122">
            <v>0</v>
          </cell>
          <cell r="BB122">
            <v>0</v>
          </cell>
          <cell r="BC122">
            <v>0</v>
          </cell>
        </row>
        <row r="123">
          <cell r="B123" t="str">
            <v>BRSAMQM02</v>
          </cell>
          <cell r="C123" t="str">
            <v xml:space="preserve">	AUD Cash Benchmark</v>
          </cell>
          <cell r="D123" t="str">
            <v>AUDCASHBMK</v>
          </cell>
          <cell r="E123">
            <v>1</v>
          </cell>
          <cell r="L123">
            <v>0</v>
          </cell>
          <cell r="M123">
            <v>100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0</v>
          </cell>
          <cell r="AD123">
            <v>0</v>
          </cell>
          <cell r="AE123">
            <v>0</v>
          </cell>
          <cell r="AF123">
            <v>0</v>
          </cell>
          <cell r="AG123">
            <v>0</v>
          </cell>
          <cell r="AH123">
            <v>0</v>
          </cell>
          <cell r="AI123">
            <v>0</v>
          </cell>
          <cell r="AJ123">
            <v>0</v>
          </cell>
          <cell r="AK123">
            <v>0</v>
          </cell>
          <cell r="AL123">
            <v>0</v>
          </cell>
          <cell r="AM123">
            <v>0</v>
          </cell>
          <cell r="AN123">
            <v>0</v>
          </cell>
          <cell r="AO123">
            <v>0</v>
          </cell>
          <cell r="AP123">
            <v>-100</v>
          </cell>
          <cell r="AQ123">
            <v>0</v>
          </cell>
          <cell r="AR123">
            <v>0</v>
          </cell>
          <cell r="AS123">
            <v>0</v>
          </cell>
          <cell r="AT123">
            <v>0</v>
          </cell>
          <cell r="AU123">
            <v>0</v>
          </cell>
          <cell r="AV123">
            <v>0</v>
          </cell>
          <cell r="AW123">
            <v>0</v>
          </cell>
          <cell r="AX123">
            <v>0</v>
          </cell>
          <cell r="AY123">
            <v>0</v>
          </cell>
          <cell r="AZ123">
            <v>0</v>
          </cell>
          <cell r="BA123">
            <v>0</v>
          </cell>
          <cell r="BB123">
            <v>0</v>
          </cell>
          <cell r="BC123">
            <v>0</v>
          </cell>
        </row>
        <row r="124">
          <cell r="B124" t="str">
            <v>BRWFAGPY4</v>
          </cell>
          <cell r="C124" t="str">
            <v>MSCI EMU/UTILITIES Index</v>
          </cell>
          <cell r="D124" t="str">
            <v>MS_EMU55</v>
          </cell>
          <cell r="E124">
            <v>0.99999999999999989</v>
          </cell>
          <cell r="L124">
            <v>0</v>
          </cell>
          <cell r="M124">
            <v>0</v>
          </cell>
          <cell r="N124">
            <v>0</v>
          </cell>
          <cell r="O124">
            <v>0</v>
          </cell>
          <cell r="P124">
            <v>0</v>
          </cell>
          <cell r="Q124">
            <v>0</v>
          </cell>
          <cell r="R124">
            <v>0</v>
          </cell>
          <cell r="S124">
            <v>0</v>
          </cell>
          <cell r="T124">
            <v>0</v>
          </cell>
          <cell r="U124">
            <v>0</v>
          </cell>
          <cell r="V124">
            <v>0</v>
          </cell>
          <cell r="W124">
            <v>0</v>
          </cell>
          <cell r="X124">
            <v>0</v>
          </cell>
          <cell r="Y124">
            <v>100.00000000000004</v>
          </cell>
          <cell r="Z124">
            <v>0</v>
          </cell>
          <cell r="AA124">
            <v>0</v>
          </cell>
          <cell r="AB124">
            <v>0</v>
          </cell>
          <cell r="AC124">
            <v>0</v>
          </cell>
          <cell r="AD124">
            <v>0</v>
          </cell>
          <cell r="AE124">
            <v>0</v>
          </cell>
          <cell r="AF124">
            <v>0</v>
          </cell>
          <cell r="AG124">
            <v>0</v>
          </cell>
          <cell r="AH124">
            <v>0</v>
          </cell>
          <cell r="AI124">
            <v>0</v>
          </cell>
          <cell r="AJ124">
            <v>0</v>
          </cell>
          <cell r="AK124">
            <v>0</v>
          </cell>
          <cell r="AL124">
            <v>0</v>
          </cell>
          <cell r="AM124">
            <v>0</v>
          </cell>
          <cell r="AN124">
            <v>0</v>
          </cell>
          <cell r="AO124">
            <v>0</v>
          </cell>
          <cell r="AP124">
            <v>-100.00000000000004</v>
          </cell>
          <cell r="AQ124">
            <v>0</v>
          </cell>
          <cell r="AR124">
            <v>0</v>
          </cell>
          <cell r="AS124">
            <v>0</v>
          </cell>
          <cell r="AT124">
            <v>0</v>
          </cell>
          <cell r="AU124">
            <v>0</v>
          </cell>
          <cell r="AV124">
            <v>0</v>
          </cell>
          <cell r="AW124">
            <v>0</v>
          </cell>
          <cell r="AX124">
            <v>0</v>
          </cell>
          <cell r="AY124">
            <v>0</v>
          </cell>
          <cell r="AZ124">
            <v>0</v>
          </cell>
          <cell r="BA124">
            <v>0</v>
          </cell>
          <cell r="BB124">
            <v>0</v>
          </cell>
          <cell r="BC124">
            <v>0</v>
          </cell>
        </row>
        <row r="125">
          <cell r="B125" t="str">
            <v>BRTP0QKN4</v>
          </cell>
          <cell r="C125" t="str">
            <v>Bloomberg Commodity Index Total Return (</v>
          </cell>
          <cell r="D125" t="str">
            <v>DJAB3NOUSD</v>
          </cell>
          <cell r="E125">
            <v>1</v>
          </cell>
          <cell r="L125">
            <v>0</v>
          </cell>
          <cell r="M125">
            <v>0</v>
          </cell>
          <cell r="N125">
            <v>0</v>
          </cell>
          <cell r="O125">
            <v>0</v>
          </cell>
          <cell r="P125">
            <v>0</v>
          </cell>
          <cell r="Q125">
            <v>0</v>
          </cell>
          <cell r="R125">
            <v>0</v>
          </cell>
          <cell r="S125">
            <v>0</v>
          </cell>
          <cell r="T125">
            <v>0</v>
          </cell>
          <cell r="U125">
            <v>0</v>
          </cell>
          <cell r="V125">
            <v>0</v>
          </cell>
          <cell r="W125">
            <v>0</v>
          </cell>
          <cell r="X125">
            <v>0</v>
          </cell>
          <cell r="Y125">
            <v>0</v>
          </cell>
          <cell r="Z125">
            <v>0</v>
          </cell>
          <cell r="AA125">
            <v>0</v>
          </cell>
          <cell r="AB125">
            <v>0</v>
          </cell>
          <cell r="AC125">
            <v>0</v>
          </cell>
          <cell r="AD125">
            <v>0</v>
          </cell>
          <cell r="AE125">
            <v>0</v>
          </cell>
          <cell r="AF125">
            <v>0</v>
          </cell>
          <cell r="AG125">
            <v>0</v>
          </cell>
          <cell r="AH125">
            <v>0</v>
          </cell>
          <cell r="AI125">
            <v>0</v>
          </cell>
          <cell r="AJ125">
            <v>0</v>
          </cell>
          <cell r="AK125">
            <v>0</v>
          </cell>
          <cell r="AL125">
            <v>0</v>
          </cell>
          <cell r="AM125">
            <v>0</v>
          </cell>
          <cell r="AN125">
            <v>0</v>
          </cell>
          <cell r="AO125">
            <v>0</v>
          </cell>
          <cell r="AP125">
            <v>-100.00000000000003</v>
          </cell>
          <cell r="AQ125">
            <v>0</v>
          </cell>
          <cell r="AR125">
            <v>0</v>
          </cell>
          <cell r="AS125">
            <v>0</v>
          </cell>
          <cell r="AT125">
            <v>0</v>
          </cell>
          <cell r="AU125">
            <v>0</v>
          </cell>
          <cell r="AV125">
            <v>0</v>
          </cell>
          <cell r="AW125">
            <v>0</v>
          </cell>
          <cell r="AX125">
            <v>0</v>
          </cell>
          <cell r="AY125">
            <v>0</v>
          </cell>
          <cell r="AZ125">
            <v>0</v>
          </cell>
          <cell r="BA125">
            <v>0</v>
          </cell>
          <cell r="BB125">
            <v>0</v>
          </cell>
          <cell r="BC125">
            <v>100.00000000000003</v>
          </cell>
        </row>
        <row r="126">
          <cell r="B126" t="str">
            <v>BRWFAGPV0</v>
          </cell>
          <cell r="C126" t="str">
            <v>MSCI EMU/FINANCIALS Index</v>
          </cell>
          <cell r="D126" t="str">
            <v>MS_EMU40</v>
          </cell>
          <cell r="E126">
            <v>1</v>
          </cell>
          <cell r="L126">
            <v>0</v>
          </cell>
          <cell r="M126">
            <v>0</v>
          </cell>
          <cell r="N126">
            <v>0</v>
          </cell>
          <cell r="O126">
            <v>0</v>
          </cell>
          <cell r="P126">
            <v>0</v>
          </cell>
          <cell r="Q126">
            <v>0</v>
          </cell>
          <cell r="R126">
            <v>0</v>
          </cell>
          <cell r="S126">
            <v>0</v>
          </cell>
          <cell r="T126">
            <v>0</v>
          </cell>
          <cell r="U126">
            <v>0</v>
          </cell>
          <cell r="V126">
            <v>0</v>
          </cell>
          <cell r="W126">
            <v>0</v>
          </cell>
          <cell r="X126">
            <v>0</v>
          </cell>
          <cell r="Y126">
            <v>96.732864954151481</v>
          </cell>
          <cell r="Z126">
            <v>0</v>
          </cell>
          <cell r="AA126">
            <v>0</v>
          </cell>
          <cell r="AB126">
            <v>0</v>
          </cell>
          <cell r="AC126">
            <v>0</v>
          </cell>
          <cell r="AD126">
            <v>0</v>
          </cell>
          <cell r="AE126">
            <v>0</v>
          </cell>
          <cell r="AF126">
            <v>0</v>
          </cell>
          <cell r="AG126">
            <v>0</v>
          </cell>
          <cell r="AH126">
            <v>0</v>
          </cell>
          <cell r="AI126">
            <v>0</v>
          </cell>
          <cell r="AJ126">
            <v>0</v>
          </cell>
          <cell r="AK126">
            <v>0</v>
          </cell>
          <cell r="AL126">
            <v>0</v>
          </cell>
          <cell r="AM126">
            <v>0</v>
          </cell>
          <cell r="AN126">
            <v>0</v>
          </cell>
          <cell r="AO126">
            <v>0</v>
          </cell>
          <cell r="AP126">
            <v>-100</v>
          </cell>
          <cell r="AQ126">
            <v>0</v>
          </cell>
          <cell r="AR126">
            <v>0</v>
          </cell>
          <cell r="AS126">
            <v>0</v>
          </cell>
          <cell r="AT126">
            <v>0</v>
          </cell>
          <cell r="AU126">
            <v>0</v>
          </cell>
          <cell r="AV126">
            <v>3.2671350458485131</v>
          </cell>
          <cell r="AW126">
            <v>0</v>
          </cell>
          <cell r="AX126">
            <v>0</v>
          </cell>
          <cell r="AY126">
            <v>0</v>
          </cell>
          <cell r="AZ126">
            <v>0</v>
          </cell>
          <cell r="BA126">
            <v>0</v>
          </cell>
          <cell r="BB126">
            <v>0</v>
          </cell>
          <cell r="BC126">
            <v>1.4036433190304557E-14</v>
          </cell>
        </row>
        <row r="127">
          <cell r="B127" t="str">
            <v>BRS32M524</v>
          </cell>
          <cell r="C127" t="str">
            <v>BBG Euro Government Inflation-Linked Bon</v>
          </cell>
          <cell r="D127" t="str">
            <v>BCLYEURLIL</v>
          </cell>
          <cell r="E127">
            <v>1</v>
          </cell>
          <cell r="L127">
            <v>0</v>
          </cell>
          <cell r="M127">
            <v>0</v>
          </cell>
          <cell r="N127">
            <v>0</v>
          </cell>
          <cell r="O127">
            <v>0</v>
          </cell>
          <cell r="P127">
            <v>0</v>
          </cell>
          <cell r="Q127">
            <v>0</v>
          </cell>
          <cell r="R127">
            <v>0</v>
          </cell>
          <cell r="S127">
            <v>0</v>
          </cell>
          <cell r="T127">
            <v>0</v>
          </cell>
          <cell r="U127">
            <v>0</v>
          </cell>
          <cell r="V127">
            <v>0</v>
          </cell>
          <cell r="W127">
            <v>0</v>
          </cell>
          <cell r="X127">
            <v>0</v>
          </cell>
          <cell r="Y127">
            <v>99.999999999999986</v>
          </cell>
          <cell r="Z127">
            <v>0</v>
          </cell>
          <cell r="AA127">
            <v>0</v>
          </cell>
          <cell r="AB127">
            <v>0</v>
          </cell>
          <cell r="AC127">
            <v>0</v>
          </cell>
          <cell r="AD127">
            <v>0</v>
          </cell>
          <cell r="AE127">
            <v>0</v>
          </cell>
          <cell r="AF127">
            <v>0</v>
          </cell>
          <cell r="AG127">
            <v>0</v>
          </cell>
          <cell r="AH127">
            <v>0</v>
          </cell>
          <cell r="AI127">
            <v>0</v>
          </cell>
          <cell r="AJ127">
            <v>0</v>
          </cell>
          <cell r="AK127">
            <v>0</v>
          </cell>
          <cell r="AL127">
            <v>0</v>
          </cell>
          <cell r="AM127">
            <v>0</v>
          </cell>
          <cell r="AN127">
            <v>0</v>
          </cell>
          <cell r="AO127">
            <v>0</v>
          </cell>
          <cell r="AP127">
            <v>-99.999999999999986</v>
          </cell>
          <cell r="AQ127">
            <v>0</v>
          </cell>
          <cell r="AR127">
            <v>0</v>
          </cell>
          <cell r="AS127">
            <v>0</v>
          </cell>
          <cell r="AT127">
            <v>0</v>
          </cell>
          <cell r="AU127">
            <v>0</v>
          </cell>
          <cell r="AV127">
            <v>0</v>
          </cell>
          <cell r="AW127">
            <v>0</v>
          </cell>
          <cell r="AX127">
            <v>0</v>
          </cell>
          <cell r="AY127">
            <v>0</v>
          </cell>
          <cell r="AZ127">
            <v>0</v>
          </cell>
          <cell r="BA127">
            <v>0</v>
          </cell>
          <cell r="BB127">
            <v>0</v>
          </cell>
          <cell r="BC127">
            <v>0</v>
          </cell>
        </row>
        <row r="128">
          <cell r="B128" t="str">
            <v>BRSMFB9T9</v>
          </cell>
          <cell r="C128" t="str">
            <v>BBG Euro Aggregate Treasury 10-15 Yr Ind</v>
          </cell>
          <cell r="D128" t="str">
            <v>B10436EUR</v>
          </cell>
          <cell r="E128">
            <v>1</v>
          </cell>
          <cell r="L128">
            <v>0</v>
          </cell>
          <cell r="M128">
            <v>0</v>
          </cell>
          <cell r="N128">
            <v>0</v>
          </cell>
          <cell r="O128">
            <v>0</v>
          </cell>
          <cell r="P128">
            <v>0</v>
          </cell>
          <cell r="Q128">
            <v>0</v>
          </cell>
          <cell r="R128">
            <v>0</v>
          </cell>
          <cell r="S128">
            <v>0</v>
          </cell>
          <cell r="T128">
            <v>0</v>
          </cell>
          <cell r="U128">
            <v>0</v>
          </cell>
          <cell r="V128">
            <v>0</v>
          </cell>
          <cell r="W128">
            <v>0</v>
          </cell>
          <cell r="X128">
            <v>0</v>
          </cell>
          <cell r="Y128">
            <v>100</v>
          </cell>
          <cell r="Z128">
            <v>0</v>
          </cell>
          <cell r="AA128">
            <v>0</v>
          </cell>
          <cell r="AB128">
            <v>0</v>
          </cell>
          <cell r="AC128">
            <v>0</v>
          </cell>
          <cell r="AD128">
            <v>0</v>
          </cell>
          <cell r="AE128">
            <v>0</v>
          </cell>
          <cell r="AF128">
            <v>0</v>
          </cell>
          <cell r="AG128">
            <v>0</v>
          </cell>
          <cell r="AH128">
            <v>0</v>
          </cell>
          <cell r="AI128">
            <v>0</v>
          </cell>
          <cell r="AJ128">
            <v>0</v>
          </cell>
          <cell r="AK128">
            <v>0</v>
          </cell>
          <cell r="AL128">
            <v>0</v>
          </cell>
          <cell r="AM128">
            <v>0</v>
          </cell>
          <cell r="AN128">
            <v>0</v>
          </cell>
          <cell r="AO128">
            <v>0</v>
          </cell>
          <cell r="AP128">
            <v>-100</v>
          </cell>
          <cell r="AQ128">
            <v>0</v>
          </cell>
          <cell r="AR128">
            <v>0</v>
          </cell>
          <cell r="AS128">
            <v>0</v>
          </cell>
          <cell r="AT128">
            <v>0</v>
          </cell>
          <cell r="AU128">
            <v>0</v>
          </cell>
          <cell r="AV128">
            <v>0</v>
          </cell>
          <cell r="AW128">
            <v>0</v>
          </cell>
          <cell r="AX128">
            <v>0</v>
          </cell>
          <cell r="AY128">
            <v>0</v>
          </cell>
          <cell r="AZ128">
            <v>0</v>
          </cell>
          <cell r="BA128">
            <v>0</v>
          </cell>
          <cell r="BB128">
            <v>0</v>
          </cell>
          <cell r="BC128">
            <v>0</v>
          </cell>
        </row>
        <row r="129">
          <cell r="B129" t="str">
            <v>BRS1PQBW1</v>
          </cell>
          <cell r="C129" t="str">
            <v>BBG Euro High Yield Index</v>
          </cell>
          <cell r="D129" t="str">
            <v>LEHEURHY</v>
          </cell>
          <cell r="E129">
            <v>1</v>
          </cell>
          <cell r="L129">
            <v>0</v>
          </cell>
          <cell r="M129">
            <v>0</v>
          </cell>
          <cell r="N129">
            <v>0</v>
          </cell>
          <cell r="O129">
            <v>0</v>
          </cell>
          <cell r="P129">
            <v>0</v>
          </cell>
          <cell r="Q129">
            <v>0</v>
          </cell>
          <cell r="R129">
            <v>0</v>
          </cell>
          <cell r="S129">
            <v>0</v>
          </cell>
          <cell r="T129">
            <v>0</v>
          </cell>
          <cell r="U129">
            <v>0</v>
          </cell>
          <cell r="V129">
            <v>0</v>
          </cell>
          <cell r="W129">
            <v>0</v>
          </cell>
          <cell r="X129">
            <v>0</v>
          </cell>
          <cell r="Y129">
            <v>100</v>
          </cell>
          <cell r="Z129">
            <v>0</v>
          </cell>
          <cell r="AA129">
            <v>0</v>
          </cell>
          <cell r="AB129">
            <v>0</v>
          </cell>
          <cell r="AC129">
            <v>0</v>
          </cell>
          <cell r="AD129">
            <v>0</v>
          </cell>
          <cell r="AE129">
            <v>0</v>
          </cell>
          <cell r="AF129">
            <v>0</v>
          </cell>
          <cell r="AG129">
            <v>0</v>
          </cell>
          <cell r="AH129">
            <v>0</v>
          </cell>
          <cell r="AI129">
            <v>0</v>
          </cell>
          <cell r="AJ129">
            <v>0</v>
          </cell>
          <cell r="AK129">
            <v>0</v>
          </cell>
          <cell r="AL129">
            <v>0</v>
          </cell>
          <cell r="AM129">
            <v>0</v>
          </cell>
          <cell r="AN129">
            <v>0</v>
          </cell>
          <cell r="AO129">
            <v>0</v>
          </cell>
          <cell r="AP129">
            <v>-100</v>
          </cell>
          <cell r="AQ129">
            <v>0</v>
          </cell>
          <cell r="AR129">
            <v>0</v>
          </cell>
          <cell r="AS129">
            <v>0</v>
          </cell>
          <cell r="AT129">
            <v>0</v>
          </cell>
          <cell r="AU129">
            <v>0</v>
          </cell>
          <cell r="AV129">
            <v>0</v>
          </cell>
          <cell r="AW129">
            <v>0</v>
          </cell>
          <cell r="AX129">
            <v>0</v>
          </cell>
          <cell r="AY129">
            <v>0</v>
          </cell>
          <cell r="AZ129">
            <v>0</v>
          </cell>
          <cell r="BA129">
            <v>0</v>
          </cell>
          <cell r="BB129">
            <v>0</v>
          </cell>
          <cell r="BC129">
            <v>0</v>
          </cell>
        </row>
        <row r="130">
          <cell r="B130" t="str">
            <v>BRSRHDSA2</v>
          </cell>
          <cell r="C130" t="str">
            <v>BBG Euro Agg corporate 1-10 years Index</v>
          </cell>
          <cell r="D130" t="str">
            <v>BEAC1-10</v>
          </cell>
          <cell r="E130">
            <v>1.0000000000000002</v>
          </cell>
          <cell r="L130">
            <v>0</v>
          </cell>
          <cell r="M130">
            <v>0</v>
          </cell>
          <cell r="N130">
            <v>0</v>
          </cell>
          <cell r="O130">
            <v>0</v>
          </cell>
          <cell r="P130">
            <v>0</v>
          </cell>
          <cell r="Q130">
            <v>0</v>
          </cell>
          <cell r="R130">
            <v>0</v>
          </cell>
          <cell r="S130">
            <v>0</v>
          </cell>
          <cell r="T130">
            <v>0</v>
          </cell>
          <cell r="U130">
            <v>0</v>
          </cell>
          <cell r="V130">
            <v>0</v>
          </cell>
          <cell r="W130">
            <v>0</v>
          </cell>
          <cell r="X130">
            <v>0</v>
          </cell>
          <cell r="Y130">
            <v>100.11422871823582</v>
          </cell>
          <cell r="Z130">
            <v>0</v>
          </cell>
          <cell r="AA130">
            <v>0</v>
          </cell>
          <cell r="AB130">
            <v>0</v>
          </cell>
          <cell r="AC130">
            <v>0</v>
          </cell>
          <cell r="AD130">
            <v>0</v>
          </cell>
          <cell r="AE130">
            <v>0</v>
          </cell>
          <cell r="AF130">
            <v>-0.11422871823582943</v>
          </cell>
          <cell r="AG130">
            <v>0</v>
          </cell>
          <cell r="AH130">
            <v>0</v>
          </cell>
          <cell r="AI130">
            <v>0</v>
          </cell>
          <cell r="AJ130">
            <v>0</v>
          </cell>
          <cell r="AK130">
            <v>0</v>
          </cell>
          <cell r="AL130">
            <v>0</v>
          </cell>
          <cell r="AM130">
            <v>0</v>
          </cell>
          <cell r="AN130">
            <v>0</v>
          </cell>
          <cell r="AO130">
            <v>0</v>
          </cell>
          <cell r="AP130">
            <v>-100</v>
          </cell>
          <cell r="AQ130">
            <v>0</v>
          </cell>
          <cell r="AR130">
            <v>0</v>
          </cell>
          <cell r="AS130">
            <v>0</v>
          </cell>
          <cell r="AT130">
            <v>0</v>
          </cell>
          <cell r="AU130">
            <v>0</v>
          </cell>
          <cell r="AV130">
            <v>0</v>
          </cell>
          <cell r="AW130">
            <v>0</v>
          </cell>
          <cell r="AX130">
            <v>0</v>
          </cell>
          <cell r="AY130">
            <v>0</v>
          </cell>
          <cell r="AZ130">
            <v>0</v>
          </cell>
          <cell r="BA130">
            <v>0</v>
          </cell>
          <cell r="BB130">
            <v>0</v>
          </cell>
          <cell r="BC130">
            <v>0</v>
          </cell>
        </row>
        <row r="131">
          <cell r="B131" t="str">
            <v>BRS30Y5D6</v>
          </cell>
          <cell r="C131" t="str">
            <v>BBG Global Aggregate Euro Treasury Index</v>
          </cell>
          <cell r="D131" t="str">
            <v>LGA_TSYEUR</v>
          </cell>
          <cell r="E131">
            <v>1</v>
          </cell>
          <cell r="L131">
            <v>0</v>
          </cell>
          <cell r="M131">
            <v>0</v>
          </cell>
          <cell r="N131">
            <v>0</v>
          </cell>
          <cell r="O131">
            <v>0</v>
          </cell>
          <cell r="P131">
            <v>0</v>
          </cell>
          <cell r="Q131">
            <v>0</v>
          </cell>
          <cell r="R131">
            <v>0</v>
          </cell>
          <cell r="S131">
            <v>0</v>
          </cell>
          <cell r="T131">
            <v>0</v>
          </cell>
          <cell r="U131">
            <v>0</v>
          </cell>
          <cell r="V131">
            <v>0</v>
          </cell>
          <cell r="W131">
            <v>0</v>
          </cell>
          <cell r="X131">
            <v>0</v>
          </cell>
          <cell r="Y131">
            <v>100.00000000000003</v>
          </cell>
          <cell r="Z131">
            <v>0</v>
          </cell>
          <cell r="AA131">
            <v>0</v>
          </cell>
          <cell r="AB131">
            <v>0</v>
          </cell>
          <cell r="AC131">
            <v>0</v>
          </cell>
          <cell r="AD131">
            <v>0</v>
          </cell>
          <cell r="AE131">
            <v>0</v>
          </cell>
          <cell r="AF131">
            <v>0</v>
          </cell>
          <cell r="AG131">
            <v>0</v>
          </cell>
          <cell r="AH131">
            <v>0</v>
          </cell>
          <cell r="AI131">
            <v>0</v>
          </cell>
          <cell r="AJ131">
            <v>0</v>
          </cell>
          <cell r="AK131">
            <v>0</v>
          </cell>
          <cell r="AL131">
            <v>0</v>
          </cell>
          <cell r="AM131">
            <v>0</v>
          </cell>
          <cell r="AN131">
            <v>0</v>
          </cell>
          <cell r="AO131">
            <v>0</v>
          </cell>
          <cell r="AP131">
            <v>-100.00000000000003</v>
          </cell>
          <cell r="AQ131">
            <v>0</v>
          </cell>
          <cell r="AR131">
            <v>0</v>
          </cell>
          <cell r="AS131">
            <v>0</v>
          </cell>
          <cell r="AT131">
            <v>0</v>
          </cell>
          <cell r="AU131">
            <v>0</v>
          </cell>
          <cell r="AV131">
            <v>0</v>
          </cell>
          <cell r="AW131">
            <v>0</v>
          </cell>
          <cell r="AX131">
            <v>0</v>
          </cell>
          <cell r="AY131">
            <v>0</v>
          </cell>
          <cell r="AZ131">
            <v>0</v>
          </cell>
          <cell r="BA131">
            <v>0</v>
          </cell>
          <cell r="BB131">
            <v>0</v>
          </cell>
          <cell r="BC131">
            <v>0</v>
          </cell>
        </row>
        <row r="132">
          <cell r="B132" t="str">
            <v>BRS8KCBC6</v>
          </cell>
          <cell r="C132" t="str">
            <v>BBG Euro-Agg: Treasury 7-10 Index</v>
          </cell>
          <cell r="D132" t="str">
            <v>BEAGTS7-10</v>
          </cell>
          <cell r="E132">
            <v>0.99999999999999989</v>
          </cell>
          <cell r="L132">
            <v>0</v>
          </cell>
          <cell r="M132">
            <v>0</v>
          </cell>
          <cell r="N132">
            <v>0</v>
          </cell>
          <cell r="O132">
            <v>0</v>
          </cell>
          <cell r="P132">
            <v>0</v>
          </cell>
          <cell r="Q132">
            <v>0</v>
          </cell>
          <cell r="R132">
            <v>0</v>
          </cell>
          <cell r="S132">
            <v>0</v>
          </cell>
          <cell r="T132">
            <v>0</v>
          </cell>
          <cell r="U132">
            <v>0</v>
          </cell>
          <cell r="V132">
            <v>0</v>
          </cell>
          <cell r="W132">
            <v>0</v>
          </cell>
          <cell r="X132">
            <v>0</v>
          </cell>
          <cell r="Y132">
            <v>100</v>
          </cell>
          <cell r="Z132">
            <v>0</v>
          </cell>
          <cell r="AA132">
            <v>0</v>
          </cell>
          <cell r="AB132">
            <v>0</v>
          </cell>
          <cell r="AC132">
            <v>0</v>
          </cell>
          <cell r="AD132">
            <v>0</v>
          </cell>
          <cell r="AE132">
            <v>0</v>
          </cell>
          <cell r="AF132">
            <v>0</v>
          </cell>
          <cell r="AG132">
            <v>0</v>
          </cell>
          <cell r="AH132">
            <v>0</v>
          </cell>
          <cell r="AI132">
            <v>0</v>
          </cell>
          <cell r="AJ132">
            <v>0</v>
          </cell>
          <cell r="AK132">
            <v>0</v>
          </cell>
          <cell r="AL132">
            <v>0</v>
          </cell>
          <cell r="AM132">
            <v>0</v>
          </cell>
          <cell r="AN132">
            <v>0</v>
          </cell>
          <cell r="AO132">
            <v>0</v>
          </cell>
          <cell r="AP132">
            <v>-100</v>
          </cell>
          <cell r="AQ132">
            <v>0</v>
          </cell>
          <cell r="AR132">
            <v>0</v>
          </cell>
          <cell r="AS132">
            <v>0</v>
          </cell>
          <cell r="AT132">
            <v>0</v>
          </cell>
          <cell r="AU132">
            <v>0</v>
          </cell>
          <cell r="AV132">
            <v>0</v>
          </cell>
          <cell r="AW132">
            <v>0</v>
          </cell>
          <cell r="AX132">
            <v>0</v>
          </cell>
          <cell r="AY132">
            <v>0</v>
          </cell>
          <cell r="AZ132">
            <v>0</v>
          </cell>
          <cell r="BA132">
            <v>0</v>
          </cell>
          <cell r="BB132">
            <v>0</v>
          </cell>
          <cell r="BC132">
            <v>0</v>
          </cell>
        </row>
        <row r="133">
          <cell r="B133" t="str">
            <v>BRSE58DH6</v>
          </cell>
          <cell r="C133" t="str">
            <v>BBG Euro Government Inflation-Linked 1-1</v>
          </cell>
          <cell r="D133" t="str">
            <v>BCEUHY1-10</v>
          </cell>
          <cell r="E133">
            <v>1</v>
          </cell>
          <cell r="L133">
            <v>0</v>
          </cell>
          <cell r="M133">
            <v>0</v>
          </cell>
          <cell r="N133">
            <v>0</v>
          </cell>
          <cell r="O133">
            <v>0</v>
          </cell>
          <cell r="P133">
            <v>0</v>
          </cell>
          <cell r="Q133">
            <v>0</v>
          </cell>
          <cell r="R133">
            <v>0</v>
          </cell>
          <cell r="S133">
            <v>0</v>
          </cell>
          <cell r="T133">
            <v>0</v>
          </cell>
          <cell r="U133">
            <v>0</v>
          </cell>
          <cell r="V133">
            <v>0</v>
          </cell>
          <cell r="W133">
            <v>0</v>
          </cell>
          <cell r="X133">
            <v>0</v>
          </cell>
          <cell r="Y133">
            <v>100</v>
          </cell>
          <cell r="Z133">
            <v>0</v>
          </cell>
          <cell r="AA133">
            <v>0</v>
          </cell>
          <cell r="AB133">
            <v>0</v>
          </cell>
          <cell r="AC133">
            <v>0</v>
          </cell>
          <cell r="AD133">
            <v>0</v>
          </cell>
          <cell r="AE133">
            <v>0</v>
          </cell>
          <cell r="AF133">
            <v>0</v>
          </cell>
          <cell r="AG133">
            <v>0</v>
          </cell>
          <cell r="AH133">
            <v>0</v>
          </cell>
          <cell r="AI133">
            <v>0</v>
          </cell>
          <cell r="AJ133">
            <v>0</v>
          </cell>
          <cell r="AK133">
            <v>0</v>
          </cell>
          <cell r="AL133">
            <v>0</v>
          </cell>
          <cell r="AM133">
            <v>0</v>
          </cell>
          <cell r="AN133">
            <v>0</v>
          </cell>
          <cell r="AO133">
            <v>0</v>
          </cell>
          <cell r="AP133">
            <v>-100</v>
          </cell>
          <cell r="AQ133">
            <v>0</v>
          </cell>
          <cell r="AR133">
            <v>0</v>
          </cell>
          <cell r="AS133">
            <v>0</v>
          </cell>
          <cell r="AT133">
            <v>0</v>
          </cell>
          <cell r="AU133">
            <v>0</v>
          </cell>
          <cell r="AV133">
            <v>0</v>
          </cell>
          <cell r="AW133">
            <v>0</v>
          </cell>
          <cell r="AX133">
            <v>0</v>
          </cell>
          <cell r="AY133">
            <v>0</v>
          </cell>
          <cell r="AZ133">
            <v>0</v>
          </cell>
          <cell r="BA133">
            <v>0</v>
          </cell>
          <cell r="BB133">
            <v>0</v>
          </cell>
          <cell r="BC133">
            <v>0</v>
          </cell>
        </row>
        <row r="134">
          <cell r="B134" t="str">
            <v>BRS8FDB71</v>
          </cell>
          <cell r="C134" t="str">
            <v>BBG Euro Agg Treasury 5-7 Yr Index</v>
          </cell>
          <cell r="D134" t="str">
            <v>BEURTY5-7</v>
          </cell>
          <cell r="E134">
            <v>1</v>
          </cell>
          <cell r="L134">
            <v>0</v>
          </cell>
          <cell r="M134">
            <v>0</v>
          </cell>
          <cell r="N134">
            <v>0</v>
          </cell>
          <cell r="O134">
            <v>0</v>
          </cell>
          <cell r="P134">
            <v>0</v>
          </cell>
          <cell r="Q134">
            <v>0</v>
          </cell>
          <cell r="R134">
            <v>0</v>
          </cell>
          <cell r="S134">
            <v>0</v>
          </cell>
          <cell r="T134">
            <v>0</v>
          </cell>
          <cell r="U134">
            <v>0</v>
          </cell>
          <cell r="V134">
            <v>0</v>
          </cell>
          <cell r="W134">
            <v>0</v>
          </cell>
          <cell r="X134">
            <v>0</v>
          </cell>
          <cell r="Y134">
            <v>100</v>
          </cell>
          <cell r="Z134">
            <v>0</v>
          </cell>
          <cell r="AA134">
            <v>0</v>
          </cell>
          <cell r="AB134">
            <v>0</v>
          </cell>
          <cell r="AC134">
            <v>0</v>
          </cell>
          <cell r="AD134">
            <v>0</v>
          </cell>
          <cell r="AE134">
            <v>0</v>
          </cell>
          <cell r="AF134">
            <v>0</v>
          </cell>
          <cell r="AG134">
            <v>0</v>
          </cell>
          <cell r="AH134">
            <v>0</v>
          </cell>
          <cell r="AI134">
            <v>0</v>
          </cell>
          <cell r="AJ134">
            <v>0</v>
          </cell>
          <cell r="AK134">
            <v>0</v>
          </cell>
          <cell r="AL134">
            <v>0</v>
          </cell>
          <cell r="AM134">
            <v>0</v>
          </cell>
          <cell r="AN134">
            <v>0</v>
          </cell>
          <cell r="AO134">
            <v>0</v>
          </cell>
          <cell r="AP134">
            <v>-100</v>
          </cell>
          <cell r="AQ134">
            <v>0</v>
          </cell>
          <cell r="AR134">
            <v>0</v>
          </cell>
          <cell r="AS134">
            <v>0</v>
          </cell>
          <cell r="AT134">
            <v>0</v>
          </cell>
          <cell r="AU134">
            <v>0</v>
          </cell>
          <cell r="AV134">
            <v>0</v>
          </cell>
          <cell r="AW134">
            <v>0</v>
          </cell>
          <cell r="AX134">
            <v>0</v>
          </cell>
          <cell r="AY134">
            <v>0</v>
          </cell>
          <cell r="AZ134">
            <v>0</v>
          </cell>
          <cell r="BA134">
            <v>0</v>
          </cell>
          <cell r="BB134">
            <v>0</v>
          </cell>
          <cell r="BC134">
            <v>0</v>
          </cell>
        </row>
        <row r="135">
          <cell r="B135" t="str">
            <v>BRTDPY7D4</v>
          </cell>
          <cell r="C135" t="str">
            <v>BBG Euro Treasury 1-15 Year Index</v>
          </cell>
          <cell r="D135" t="str">
            <v>B20717EUR</v>
          </cell>
          <cell r="E135">
            <v>1</v>
          </cell>
          <cell r="L135">
            <v>0</v>
          </cell>
          <cell r="M135">
            <v>0</v>
          </cell>
          <cell r="N135">
            <v>0</v>
          </cell>
          <cell r="O135">
            <v>0</v>
          </cell>
          <cell r="P135">
            <v>0</v>
          </cell>
          <cell r="Q135">
            <v>0</v>
          </cell>
          <cell r="R135">
            <v>0</v>
          </cell>
          <cell r="S135">
            <v>0</v>
          </cell>
          <cell r="T135">
            <v>0</v>
          </cell>
          <cell r="U135">
            <v>0</v>
          </cell>
          <cell r="V135">
            <v>0</v>
          </cell>
          <cell r="W135">
            <v>0</v>
          </cell>
          <cell r="X135">
            <v>0</v>
          </cell>
          <cell r="Y135">
            <v>100</v>
          </cell>
          <cell r="Z135">
            <v>0</v>
          </cell>
          <cell r="AA135">
            <v>0</v>
          </cell>
          <cell r="AB135">
            <v>0</v>
          </cell>
          <cell r="AC135">
            <v>0</v>
          </cell>
          <cell r="AD135">
            <v>0</v>
          </cell>
          <cell r="AE135">
            <v>0</v>
          </cell>
          <cell r="AF135">
            <v>0</v>
          </cell>
          <cell r="AG135">
            <v>0</v>
          </cell>
          <cell r="AH135">
            <v>0</v>
          </cell>
          <cell r="AI135">
            <v>0</v>
          </cell>
          <cell r="AJ135">
            <v>0</v>
          </cell>
          <cell r="AK135">
            <v>0</v>
          </cell>
          <cell r="AL135">
            <v>0</v>
          </cell>
          <cell r="AM135">
            <v>0</v>
          </cell>
          <cell r="AN135">
            <v>0</v>
          </cell>
          <cell r="AO135">
            <v>0</v>
          </cell>
          <cell r="AP135">
            <v>-100</v>
          </cell>
          <cell r="AQ135">
            <v>0</v>
          </cell>
          <cell r="AR135">
            <v>0</v>
          </cell>
          <cell r="AS135">
            <v>0</v>
          </cell>
          <cell r="AT135">
            <v>0</v>
          </cell>
          <cell r="AU135">
            <v>0</v>
          </cell>
          <cell r="AV135">
            <v>0</v>
          </cell>
          <cell r="AW135">
            <v>0</v>
          </cell>
          <cell r="AX135">
            <v>0</v>
          </cell>
          <cell r="AY135">
            <v>0</v>
          </cell>
          <cell r="AZ135">
            <v>0</v>
          </cell>
          <cell r="BA135">
            <v>0</v>
          </cell>
          <cell r="BB135">
            <v>0</v>
          </cell>
          <cell r="BC135">
            <v>0</v>
          </cell>
        </row>
        <row r="136">
          <cell r="B136" t="str">
            <v>BRSAMQMK8</v>
          </cell>
          <cell r="C136" t="str">
            <v>CHF Cash Benchmark</v>
          </cell>
          <cell r="D136" t="str">
            <v>CHFCASHBMK</v>
          </cell>
          <cell r="E136">
            <v>1</v>
          </cell>
          <cell r="L136">
            <v>0</v>
          </cell>
          <cell r="M136">
            <v>0</v>
          </cell>
          <cell r="N136">
            <v>0</v>
          </cell>
          <cell r="O136">
            <v>0</v>
          </cell>
          <cell r="P136">
            <v>100</v>
          </cell>
          <cell r="Q136">
            <v>0</v>
          </cell>
          <cell r="R136">
            <v>0</v>
          </cell>
          <cell r="S136">
            <v>0</v>
          </cell>
          <cell r="T136">
            <v>0</v>
          </cell>
          <cell r="U136">
            <v>0</v>
          </cell>
          <cell r="V136">
            <v>0</v>
          </cell>
          <cell r="W136">
            <v>0</v>
          </cell>
          <cell r="X136">
            <v>0</v>
          </cell>
          <cell r="Y136">
            <v>0</v>
          </cell>
          <cell r="Z136">
            <v>0</v>
          </cell>
          <cell r="AA136">
            <v>0</v>
          </cell>
          <cell r="AB136">
            <v>0</v>
          </cell>
          <cell r="AC136">
            <v>0</v>
          </cell>
          <cell r="AD136">
            <v>0</v>
          </cell>
          <cell r="AE136">
            <v>0</v>
          </cell>
          <cell r="AF136">
            <v>0</v>
          </cell>
          <cell r="AG136">
            <v>0</v>
          </cell>
          <cell r="AH136">
            <v>0</v>
          </cell>
          <cell r="AI136">
            <v>0</v>
          </cell>
          <cell r="AJ136">
            <v>0</v>
          </cell>
          <cell r="AK136">
            <v>0</v>
          </cell>
          <cell r="AL136">
            <v>0</v>
          </cell>
          <cell r="AM136">
            <v>0</v>
          </cell>
          <cell r="AN136">
            <v>0</v>
          </cell>
          <cell r="AO136">
            <v>0</v>
          </cell>
          <cell r="AP136">
            <v>-100</v>
          </cell>
          <cell r="AQ136">
            <v>0</v>
          </cell>
          <cell r="AR136">
            <v>0</v>
          </cell>
          <cell r="AS136">
            <v>0</v>
          </cell>
          <cell r="AT136">
            <v>0</v>
          </cell>
          <cell r="AU136">
            <v>0</v>
          </cell>
          <cell r="AV136">
            <v>0</v>
          </cell>
          <cell r="AW136">
            <v>0</v>
          </cell>
          <cell r="AX136">
            <v>0</v>
          </cell>
          <cell r="AY136">
            <v>0</v>
          </cell>
          <cell r="AZ136">
            <v>0</v>
          </cell>
          <cell r="BA136">
            <v>0</v>
          </cell>
          <cell r="BB136">
            <v>0</v>
          </cell>
          <cell r="BC136">
            <v>0</v>
          </cell>
        </row>
        <row r="137">
          <cell r="B137" t="str">
            <v>BRS716RG6</v>
          </cell>
          <cell r="C137" t="str">
            <v>BBG Euro Agg Government 1-5 year Index</v>
          </cell>
          <cell r="D137" t="str">
            <v>LEURTY1-5</v>
          </cell>
          <cell r="E137">
            <v>1</v>
          </cell>
          <cell r="L137">
            <v>0</v>
          </cell>
          <cell r="M137">
            <v>0</v>
          </cell>
          <cell r="N137">
            <v>0</v>
          </cell>
          <cell r="O137">
            <v>0</v>
          </cell>
          <cell r="P137">
            <v>0</v>
          </cell>
          <cell r="Q137">
            <v>0</v>
          </cell>
          <cell r="R137">
            <v>0</v>
          </cell>
          <cell r="S137">
            <v>0</v>
          </cell>
          <cell r="T137">
            <v>0</v>
          </cell>
          <cell r="U137">
            <v>-1.8160877819042156E-2</v>
          </cell>
          <cell r="V137">
            <v>0</v>
          </cell>
          <cell r="W137">
            <v>0</v>
          </cell>
          <cell r="X137">
            <v>0</v>
          </cell>
          <cell r="Y137">
            <v>100.01816087781904</v>
          </cell>
          <cell r="Z137">
            <v>0</v>
          </cell>
          <cell r="AA137">
            <v>0</v>
          </cell>
          <cell r="AB137">
            <v>0</v>
          </cell>
          <cell r="AC137">
            <v>0</v>
          </cell>
          <cell r="AD137">
            <v>0</v>
          </cell>
          <cell r="AE137">
            <v>0</v>
          </cell>
          <cell r="AF137">
            <v>0</v>
          </cell>
          <cell r="AG137">
            <v>0</v>
          </cell>
          <cell r="AH137">
            <v>0</v>
          </cell>
          <cell r="AI137">
            <v>0</v>
          </cell>
          <cell r="AJ137">
            <v>0</v>
          </cell>
          <cell r="AK137">
            <v>0</v>
          </cell>
          <cell r="AL137">
            <v>0</v>
          </cell>
          <cell r="AM137">
            <v>0</v>
          </cell>
          <cell r="AN137">
            <v>0</v>
          </cell>
          <cell r="AO137">
            <v>0</v>
          </cell>
          <cell r="AP137">
            <v>-100</v>
          </cell>
          <cell r="AQ137">
            <v>0</v>
          </cell>
          <cell r="AR137">
            <v>0</v>
          </cell>
          <cell r="AS137">
            <v>0</v>
          </cell>
          <cell r="AT137">
            <v>0</v>
          </cell>
          <cell r="AU137">
            <v>0</v>
          </cell>
          <cell r="AV137">
            <v>0</v>
          </cell>
          <cell r="AW137">
            <v>0</v>
          </cell>
          <cell r="AX137">
            <v>0</v>
          </cell>
          <cell r="AY137">
            <v>0</v>
          </cell>
          <cell r="AZ137">
            <v>0</v>
          </cell>
          <cell r="BA137">
            <v>0</v>
          </cell>
          <cell r="BB137">
            <v>0</v>
          </cell>
          <cell r="BC137">
            <v>0</v>
          </cell>
        </row>
        <row r="138">
          <cell r="B138" t="str">
            <v>BRWFAGPZ1</v>
          </cell>
          <cell r="C138" t="str">
            <v>MSCI EMU/REAL ESTATE Index (FX only)</v>
          </cell>
          <cell r="D138" t="str">
            <v>MS_EMURES</v>
          </cell>
          <cell r="E138">
            <v>1.0000000000000004</v>
          </cell>
          <cell r="L138">
            <v>0</v>
          </cell>
          <cell r="M138">
            <v>0</v>
          </cell>
          <cell r="N138">
            <v>0</v>
          </cell>
          <cell r="O138">
            <v>0</v>
          </cell>
          <cell r="P138">
            <v>0</v>
          </cell>
          <cell r="Q138">
            <v>0</v>
          </cell>
          <cell r="R138">
            <v>0</v>
          </cell>
          <cell r="S138">
            <v>0</v>
          </cell>
          <cell r="T138">
            <v>0</v>
          </cell>
          <cell r="U138">
            <v>0</v>
          </cell>
          <cell r="V138">
            <v>0</v>
          </cell>
          <cell r="W138">
            <v>0</v>
          </cell>
          <cell r="X138">
            <v>0</v>
          </cell>
          <cell r="Y138">
            <v>100</v>
          </cell>
          <cell r="Z138">
            <v>0</v>
          </cell>
          <cell r="AA138">
            <v>0</v>
          </cell>
          <cell r="AB138">
            <v>0</v>
          </cell>
          <cell r="AC138">
            <v>0</v>
          </cell>
          <cell r="AD138">
            <v>0</v>
          </cell>
          <cell r="AE138">
            <v>0</v>
          </cell>
          <cell r="AF138">
            <v>0</v>
          </cell>
          <cell r="AG138">
            <v>0</v>
          </cell>
          <cell r="AH138">
            <v>0</v>
          </cell>
          <cell r="AI138">
            <v>0</v>
          </cell>
          <cell r="AJ138">
            <v>0</v>
          </cell>
          <cell r="AK138">
            <v>0</v>
          </cell>
          <cell r="AL138">
            <v>0</v>
          </cell>
          <cell r="AM138">
            <v>0</v>
          </cell>
          <cell r="AN138">
            <v>0</v>
          </cell>
          <cell r="AO138">
            <v>0</v>
          </cell>
          <cell r="AP138">
            <v>-100</v>
          </cell>
          <cell r="AQ138">
            <v>0</v>
          </cell>
          <cell r="AR138">
            <v>0</v>
          </cell>
          <cell r="AS138">
            <v>0</v>
          </cell>
          <cell r="AT138">
            <v>0</v>
          </cell>
          <cell r="AU138">
            <v>0</v>
          </cell>
          <cell r="AV138">
            <v>0</v>
          </cell>
          <cell r="AW138">
            <v>0</v>
          </cell>
          <cell r="AX138">
            <v>0</v>
          </cell>
          <cell r="AY138">
            <v>0</v>
          </cell>
          <cell r="AZ138">
            <v>0</v>
          </cell>
          <cell r="BA138">
            <v>0</v>
          </cell>
          <cell r="BB138">
            <v>0</v>
          </cell>
          <cell r="BC138">
            <v>0</v>
          </cell>
        </row>
        <row r="139">
          <cell r="B139" t="str">
            <v>BRSALQVX1</v>
          </cell>
          <cell r="C139" t="str">
            <v>EURO Cash Benchmark</v>
          </cell>
          <cell r="D139" t="str">
            <v>EURCASHBMK</v>
          </cell>
          <cell r="E139">
            <v>1</v>
          </cell>
          <cell r="L139">
            <v>0</v>
          </cell>
          <cell r="M139">
            <v>0</v>
          </cell>
          <cell r="N139">
            <v>0</v>
          </cell>
          <cell r="O139">
            <v>0</v>
          </cell>
          <cell r="P139">
            <v>0</v>
          </cell>
          <cell r="Q139">
            <v>0</v>
          </cell>
          <cell r="R139">
            <v>0</v>
          </cell>
          <cell r="S139">
            <v>0</v>
          </cell>
          <cell r="T139">
            <v>0</v>
          </cell>
          <cell r="U139">
            <v>0</v>
          </cell>
          <cell r="V139">
            <v>0</v>
          </cell>
          <cell r="W139">
            <v>0</v>
          </cell>
          <cell r="X139">
            <v>0</v>
          </cell>
          <cell r="Y139">
            <v>100</v>
          </cell>
          <cell r="Z139">
            <v>0</v>
          </cell>
          <cell r="AA139">
            <v>0</v>
          </cell>
          <cell r="AB139">
            <v>0</v>
          </cell>
          <cell r="AC139">
            <v>0</v>
          </cell>
          <cell r="AD139">
            <v>0</v>
          </cell>
          <cell r="AE139">
            <v>0</v>
          </cell>
          <cell r="AF139">
            <v>0</v>
          </cell>
          <cell r="AG139">
            <v>0</v>
          </cell>
          <cell r="AH139">
            <v>0</v>
          </cell>
          <cell r="AI139">
            <v>0</v>
          </cell>
          <cell r="AJ139">
            <v>0</v>
          </cell>
          <cell r="AK139">
            <v>0</v>
          </cell>
          <cell r="AL139">
            <v>0</v>
          </cell>
          <cell r="AM139">
            <v>0</v>
          </cell>
          <cell r="AN139">
            <v>0</v>
          </cell>
          <cell r="AO139">
            <v>0</v>
          </cell>
          <cell r="AP139">
            <v>-100</v>
          </cell>
          <cell r="AQ139">
            <v>0</v>
          </cell>
          <cell r="AR139">
            <v>0</v>
          </cell>
          <cell r="AS139">
            <v>0</v>
          </cell>
          <cell r="AT139">
            <v>0</v>
          </cell>
          <cell r="AU139">
            <v>0</v>
          </cell>
          <cell r="AV139">
            <v>0</v>
          </cell>
          <cell r="AW139">
            <v>0</v>
          </cell>
          <cell r="AX139">
            <v>0</v>
          </cell>
          <cell r="AY139">
            <v>0</v>
          </cell>
          <cell r="AZ139">
            <v>0</v>
          </cell>
          <cell r="BA139">
            <v>0</v>
          </cell>
          <cell r="BB139">
            <v>0</v>
          </cell>
          <cell r="BC139">
            <v>0</v>
          </cell>
        </row>
        <row r="140">
          <cell r="B140" t="str">
            <v>.CMAHFDH</v>
          </cell>
          <cell r="C140" t="str">
            <v xml:space="preserve">AGGREGATE PORTFOLIO FOR THE GN ACCOUNTS </v>
          </cell>
          <cell r="D140" t="str">
            <v xml:space="preserve">GN-AGG    </v>
          </cell>
          <cell r="E140">
            <v>1.0000000000000002</v>
          </cell>
          <cell r="L140">
            <v>0</v>
          </cell>
          <cell r="M140">
            <v>0</v>
          </cell>
          <cell r="N140">
            <v>0</v>
          </cell>
          <cell r="O140">
            <v>0</v>
          </cell>
          <cell r="P140">
            <v>0</v>
          </cell>
          <cell r="Q140">
            <v>0</v>
          </cell>
          <cell r="R140">
            <v>0</v>
          </cell>
          <cell r="S140">
            <v>0</v>
          </cell>
          <cell r="T140">
            <v>0</v>
          </cell>
          <cell r="U140">
            <v>0</v>
          </cell>
          <cell r="V140">
            <v>0</v>
          </cell>
          <cell r="W140">
            <v>0</v>
          </cell>
          <cell r="X140">
            <v>0</v>
          </cell>
          <cell r="Y140">
            <v>0</v>
          </cell>
          <cell r="Z140">
            <v>0</v>
          </cell>
          <cell r="AA140">
            <v>0</v>
          </cell>
          <cell r="AB140">
            <v>0</v>
          </cell>
          <cell r="AC140">
            <v>0</v>
          </cell>
          <cell r="AD140">
            <v>0</v>
          </cell>
          <cell r="AE140">
            <v>0</v>
          </cell>
          <cell r="AF140">
            <v>0</v>
          </cell>
          <cell r="AG140">
            <v>0</v>
          </cell>
          <cell r="AH140">
            <v>0</v>
          </cell>
          <cell r="AI140">
            <v>0</v>
          </cell>
          <cell r="AJ140">
            <v>0</v>
          </cell>
          <cell r="AK140">
            <v>0</v>
          </cell>
          <cell r="AL140">
            <v>0</v>
          </cell>
          <cell r="AM140">
            <v>0</v>
          </cell>
          <cell r="AN140">
            <v>0</v>
          </cell>
          <cell r="AO140">
            <v>0</v>
          </cell>
          <cell r="AP140">
            <v>0</v>
          </cell>
          <cell r="AQ140">
            <v>0</v>
          </cell>
          <cell r="AR140">
            <v>0</v>
          </cell>
          <cell r="AS140">
            <v>0</v>
          </cell>
          <cell r="AT140">
            <v>0</v>
          </cell>
          <cell r="AU140">
            <v>0</v>
          </cell>
          <cell r="AV140">
            <v>0</v>
          </cell>
          <cell r="AW140">
            <v>0</v>
          </cell>
          <cell r="AX140">
            <v>0</v>
          </cell>
          <cell r="AY140">
            <v>0</v>
          </cell>
          <cell r="AZ140">
            <v>0</v>
          </cell>
          <cell r="BA140">
            <v>0</v>
          </cell>
          <cell r="BB140">
            <v>0</v>
          </cell>
          <cell r="BC140">
            <v>0</v>
          </cell>
        </row>
      </sheetData>
      <sheetData sheetId="14" refreshError="1"/>
      <sheetData sheetId="15" refreshError="1"/>
      <sheetData sheetId="16" refreshError="1"/>
      <sheetData sheetId="17" refreshError="1"/>
      <sheetData sheetId="18"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
      <sheetName val="SUMM"/>
      <sheetName val="NAMES"/>
    </sheetNames>
    <sheetDataSet>
      <sheetData sheetId="0" refreshError="1">
        <row r="29">
          <cell r="B29">
            <v>365</v>
          </cell>
        </row>
      </sheetData>
      <sheetData sheetId="1">
        <row r="22">
          <cell r="D22" t="str">
            <v/>
          </cell>
        </row>
      </sheetData>
      <sheetData sheetId="2"/>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ERPCHANGE"/>
      <sheetName val="CF20"/>
      <sheetName val="CustomG_US"/>
      <sheetName val="CustomG_EU"/>
      <sheetName val="CustomG_Small_cap"/>
      <sheetName val="CustomG_CHN_USD"/>
      <sheetName val="CustomG_CHN_A"/>
      <sheetName val="CustomG_JPN"/>
      <sheetName val="CustomG_EM"/>
      <sheetName val="CustomG_AUS"/>
      <sheetName val="CustomG_UK"/>
      <sheetName val="TopDown_data_US"/>
      <sheetName val="TopDown_data_JPN"/>
      <sheetName val="topdown_data_UK"/>
      <sheetName val="TopDown_data_CHN_USD"/>
      <sheetName val="TopDown_data_EM"/>
      <sheetName val="TopDown_data_EU"/>
      <sheetName val="TopDown_data_AUS"/>
      <sheetName val="TopDown_data_CHN_A"/>
      <sheetName val="TopDown_data_Small_cap"/>
      <sheetName val="Scenario results"/>
      <sheetName val="ASRs"/>
      <sheetName val="BBG prices"/>
      <sheetName val="FE0"/>
      <sheetName val="Sheet1"/>
      <sheetName val="Sheet2"/>
    </sheetNames>
    <sheetDataSet>
      <sheetData sheetId="0"/>
      <sheetData sheetId="1">
        <row r="12">
          <cell r="C12">
            <v>4517.1109999999999</v>
          </cell>
        </row>
        <row r="14">
          <cell r="C14">
            <v>5.5E-2</v>
          </cell>
        </row>
        <row r="18">
          <cell r="C18">
            <v>6.4683596578557503E-2</v>
          </cell>
        </row>
        <row r="59">
          <cell r="F59">
            <v>5.9330705962510111E-2</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_Control"/>
      <sheetName val="IS"/>
      <sheetName val="BS"/>
      <sheetName val="CF"/>
      <sheetName val="Key Ratios"/>
      <sheetName val="Valuation"/>
      <sheetName val="Charts"/>
      <sheetName val="PER Relative"/>
      <sheetName val="PER Band"/>
      <sheetName val="EV-EBIT Data"/>
      <sheetName val="EV-EBIT Band"/>
      <sheetName val="P&amp;L"/>
      <sheetName val="Balance Sheet"/>
      <sheetName val="Cash Flow"/>
      <sheetName val="DCF"/>
      <sheetName val="Associates"/>
      <sheetName val="Interim"/>
      <sheetName val="Fixed Assets"/>
      <sheetName val="Risk Free Rates"/>
      <sheetName val="Module_Main"/>
      <sheetName val="VALUE TABLE"/>
      <sheetName val="Breakdown"/>
      <sheetName val="Hysan"/>
      <sheetName val="PE by Fuel &amp; IPCC 2050-Format"/>
    </sheetNames>
    <sheetDataSet>
      <sheetData sheetId="0" refreshError="1">
        <row r="1">
          <cell r="A1" t="str">
            <v>Jan</v>
          </cell>
          <cell r="D1">
            <v>2</v>
          </cell>
          <cell r="G1" t="str">
            <v>Existing Periods</v>
          </cell>
          <cell r="J1" t="str">
            <v>Deleted Periods</v>
          </cell>
        </row>
        <row r="2">
          <cell r="A2" t="str">
            <v>Feb</v>
          </cell>
          <cell r="D2" t="b">
            <v>1</v>
          </cell>
        </row>
        <row r="3">
          <cell r="A3" t="str">
            <v>Mar</v>
          </cell>
          <cell r="D3" t="b">
            <v>1</v>
          </cell>
        </row>
        <row r="4">
          <cell r="A4" t="str">
            <v>Apr</v>
          </cell>
          <cell r="D4" t="b">
            <v>1</v>
          </cell>
        </row>
        <row r="5">
          <cell r="A5" t="str">
            <v>May</v>
          </cell>
          <cell r="D5" t="b">
            <v>1</v>
          </cell>
        </row>
        <row r="6">
          <cell r="A6" t="str">
            <v>Jun</v>
          </cell>
          <cell r="D6" t="b">
            <v>0</v>
          </cell>
        </row>
        <row r="7">
          <cell r="A7" t="str">
            <v>Jul</v>
          </cell>
          <cell r="D7" t="b">
            <v>0</v>
          </cell>
        </row>
        <row r="8">
          <cell r="A8" t="str">
            <v>Aug</v>
          </cell>
          <cell r="D8" t="b">
            <v>0</v>
          </cell>
        </row>
        <row r="9">
          <cell r="A9" t="str">
            <v>Sep</v>
          </cell>
          <cell r="D9" t="b">
            <v>0</v>
          </cell>
        </row>
        <row r="10">
          <cell r="A10" t="str">
            <v>Oct</v>
          </cell>
        </row>
        <row r="11">
          <cell r="A11" t="str">
            <v>Nov</v>
          </cell>
          <cell r="D11" t="b">
            <v>1</v>
          </cell>
        </row>
        <row r="12">
          <cell r="A12" t="str">
            <v>Dec</v>
          </cell>
        </row>
        <row r="17">
          <cell r="D17" t="str">
            <v>37.0.602255966</v>
          </cell>
        </row>
        <row r="18">
          <cell r="D18" t="str">
            <v>E:\GLOSS\FRANK\1070.XLS</v>
          </cell>
        </row>
        <row r="19">
          <cell r="D19" t="str">
            <v>Asia</v>
          </cell>
        </row>
        <row r="20">
          <cell r="D20" t="str">
            <v>RIC</v>
          </cell>
        </row>
        <row r="22">
          <cell r="D22" t="b">
            <v>0</v>
          </cell>
        </row>
        <row r="23">
          <cell r="D23" t="str">
            <v>STRINGTABLE_ENGLISH</v>
          </cell>
        </row>
        <row r="25">
          <cell r="D25" t="b">
            <v>1</v>
          </cell>
        </row>
        <row r="26">
          <cell r="D26" t="b">
            <v>1</v>
          </cell>
        </row>
        <row r="27">
          <cell r="D27" t="b">
            <v>1</v>
          </cell>
        </row>
        <row r="28">
          <cell r="D28" t="b">
            <v>0</v>
          </cell>
        </row>
        <row r="29">
          <cell r="D29" t="b">
            <v>0</v>
          </cell>
        </row>
        <row r="30">
          <cell r="D30" t="b">
            <v>0</v>
          </cell>
        </row>
        <row r="34">
          <cell r="D34" t="b">
            <v>1</v>
          </cell>
        </row>
        <row r="35">
          <cell r="D35" t="b">
            <v>0</v>
          </cell>
        </row>
        <row r="36">
          <cell r="D36" t="str">
            <v>BEFPRETAXPROF</v>
          </cell>
        </row>
        <row r="37">
          <cell r="D37" t="str">
            <v>PRETAXPROF</v>
          </cell>
        </row>
        <row r="38">
          <cell r="D38" t="str">
            <v>OPPROF</v>
          </cell>
        </row>
        <row r="39">
          <cell r="D39" t="b">
            <v>1</v>
          </cell>
        </row>
        <row r="40">
          <cell r="D40" t="str">
            <v>ABOVEPBT</v>
          </cell>
        </row>
        <row r="41">
          <cell r="D41" t="b">
            <v>1</v>
          </cell>
        </row>
        <row r="44">
          <cell r="D44">
            <v>2</v>
          </cell>
        </row>
        <row r="45">
          <cell r="D45" t="b">
            <v>1</v>
          </cell>
        </row>
        <row r="46">
          <cell r="D46" t="b">
            <v>1</v>
          </cell>
        </row>
        <row r="47">
          <cell r="D47" t="str">
            <v>Override</v>
          </cell>
        </row>
        <row r="49">
          <cell r="D49" t="str">
            <v>2,1,1,1</v>
          </cell>
        </row>
        <row r="51">
          <cell r="D51">
            <v>-1</v>
          </cell>
        </row>
        <row r="52">
          <cell r="D52" t="b">
            <v>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ERPCHANGE"/>
      <sheetName val="CF20"/>
      <sheetName val="Regular table for inputs"/>
      <sheetName val="Topdown_data_US"/>
      <sheetName val="Topdown_data_JP"/>
      <sheetName val="Topdown_data_EU"/>
      <sheetName val="Topdown_data_EM"/>
      <sheetName val="Topdown_data_UK"/>
      <sheetName val="Topdown_data_CHN_USD"/>
      <sheetName val="Topdown_data_CHN_A"/>
      <sheetName val="CustomG_US"/>
      <sheetName val="CustomG_JP"/>
      <sheetName val="CustomG_EU"/>
      <sheetName val="CustomG_EM"/>
      <sheetName val="CustomG_UK"/>
      <sheetName val="CustomG_CHN_A"/>
      <sheetName val="CustomG_CHN_USD"/>
      <sheetName val="CustomG_Energy"/>
      <sheetName val="CustomG_Materials"/>
      <sheetName val="CustomG_Industrials"/>
      <sheetName val="CustomG_ConsDisc"/>
      <sheetName val="CustomG_ConsStaples"/>
      <sheetName val="CustomG_Healthcare"/>
      <sheetName val="CustomG_Financials"/>
      <sheetName val="CustomG_IT"/>
      <sheetName val="CustomG_Comms"/>
      <sheetName val="CustomG_Utilities"/>
      <sheetName val="Scenario results"/>
      <sheetName val="ASRs"/>
      <sheetName val="BBG prices"/>
      <sheetName val="Topdown_data_Energy"/>
      <sheetName val="Topdown_data_Materials"/>
      <sheetName val="Topdown_data_Industrials"/>
      <sheetName val="Topdown_data_ConsDisc"/>
      <sheetName val="Topdown_data_ConsStaples"/>
      <sheetName val="Topdown_data_Healthcare"/>
      <sheetName val="Topdown_data_Financials"/>
      <sheetName val="Topdown_data_IT"/>
      <sheetName val="Topdown_data_Comms"/>
      <sheetName val="Topdown_data_Utilities"/>
      <sheetName val="FE0"/>
    </sheetNames>
    <sheetDataSet>
      <sheetData sheetId="0" refreshError="1"/>
      <sheetData sheetId="1" refreshError="1">
        <row r="12">
          <cell r="C12">
            <v>1276.78</v>
          </cell>
        </row>
        <row r="50">
          <cell r="F50">
            <v>7.0173682151927402E-2</v>
          </cell>
        </row>
      </sheetData>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sheetName val="trade_genhol"/>
      <sheetName val="trade_mom"/>
      <sheetName val="CPI_genhol"/>
      <sheetName val="CPI"/>
      <sheetName val="trade"/>
      <sheetName val="GDP"/>
      <sheetName val="GDP table"/>
      <sheetName val="mineral_ore"/>
      <sheetName val="ceic"/>
    </sheetNames>
    <sheetDataSet>
      <sheetData sheetId="0" refreshError="1"/>
      <sheetData sheetId="1"/>
      <sheetData sheetId="2"/>
      <sheetData sheetId="3"/>
      <sheetData sheetId="4"/>
      <sheetData sheetId="5"/>
      <sheetData sheetId="6"/>
      <sheetData sheetId="7"/>
      <sheetData sheetId="8">
        <row r="4">
          <cell r="H4">
            <v>38383</v>
          </cell>
        </row>
      </sheetData>
      <sheetData sheetId="9">
        <row r="5">
          <cell r="A5">
            <v>40909</v>
          </cell>
        </row>
      </sheetData>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5 energy performance"/>
      <sheetName val="Repricing"/>
      <sheetName val="Sector_data"/>
      <sheetName val="Energy demand"/>
      <sheetName val="Capex"/>
    </sheetNames>
    <sheetDataSet>
      <sheetData sheetId="0">
        <row r="7">
          <cell r="B7" t="e">
            <v>#NAME?</v>
          </cell>
        </row>
      </sheetData>
      <sheetData sheetId="1"/>
      <sheetData sheetId="2"/>
      <sheetData sheetId="3"/>
      <sheetData sheetId="4">
        <row r="22">
          <cell r="D22" t="str">
            <v/>
          </cell>
        </row>
      </sheetData>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Price move from peak"/>
      <sheetName val="6m returns 2000"/>
      <sheetName val="6m returns 2007"/>
      <sheetName val="1976-90"/>
      <sheetName val="Bear markets"/>
      <sheetName val="Bear markets (2)"/>
      <sheetName val="Bear markets MD"/>
      <sheetName val="equities bonds"/>
      <sheetName val="Indices"/>
      <sheetName val="Inflation"/>
      <sheetName val="Inflation_yoy"/>
      <sheetName val="yields"/>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I2">
            <v>1981</v>
          </cell>
        </row>
      </sheetData>
      <sheetData sheetId="8">
        <row r="5">
          <cell r="U5">
            <v>1973</v>
          </cell>
        </row>
      </sheetData>
      <sheetData sheetId="9" refreshError="1"/>
      <sheetData sheetId="10" refreshError="1"/>
      <sheetData sheetId="11" refreshError="1"/>
      <sheetData sheetId="12"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W US Treasuries"/>
      <sheetName val="CMAs"/>
      <sheetName val="Front end repricing"/>
      <sheetName val="Core PCE YoY"/>
      <sheetName val="Inflation"/>
      <sheetName val="US Policy rate path"/>
      <sheetName val="Europe policy rate path"/>
      <sheetName val="USD YC"/>
      <sheetName val="EUR YC"/>
      <sheetName val="EPS"/>
      <sheetName val="Data chart ERP China US"/>
      <sheetName val="China shock 2"/>
      <sheetName val="Appendix tables"/>
      <sheetName val="Sheet3"/>
    </sheetNames>
    <sheetDataSet>
      <sheetData sheetId="0" refreshError="1">
        <row r="6">
          <cell r="B6" t="str">
            <v>Name</v>
          </cell>
        </row>
      </sheetData>
      <sheetData sheetId="1"/>
      <sheetData sheetId="2" refreshError="1">
        <row r="2">
          <cell r="E2">
            <v>0</v>
          </cell>
        </row>
      </sheetData>
      <sheetData sheetId="3" refreshError="1">
        <row r="1">
          <cell r="A1">
            <v>0</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oomberg data for FI"/>
      <sheetName val="Equities ERP"/>
      <sheetName val="Chart - ERP vs spreads"/>
      <sheetName val="Sheet1"/>
      <sheetName val="Chart - Trailing Earnings"/>
      <sheetName val="Forward Earnings"/>
      <sheetName val="China Bond Charts"/>
      <sheetName val="Alternate EM Spread Chart"/>
      <sheetName val="EM CB Policy ve Market Pricing"/>
      <sheetName val="FI"/>
      <sheetName val="FI (2)"/>
    </sheetNames>
    <sheetDataSet>
      <sheetData sheetId="0"/>
      <sheetData sheetId="1"/>
      <sheetData sheetId="2"/>
      <sheetData sheetId="3"/>
      <sheetData sheetId="4"/>
      <sheetData sheetId="5" refreshError="1">
        <row r="1">
          <cell r="A1" t="str">
            <v>Manual Calculation</v>
          </cell>
        </row>
      </sheetData>
      <sheetData sheetId="6"/>
      <sheetData sheetId="7"/>
      <sheetData sheetId="8"/>
      <sheetData sheetId="9"/>
      <sheetData sheetId="10"/>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 equity bond scatter"/>
      <sheetName val="3 Timeline"/>
      <sheetName val="4 regime change"/>
      <sheetName val="5 reallocation"/>
      <sheetName val="7 Labor"/>
      <sheetName val="7 Bev curve"/>
      <sheetName val="8 Production constraints"/>
      <sheetName val="8 Labor shifts"/>
      <sheetName val="11 GDP vol"/>
      <sheetName val="11 S&amp;P 500 vol"/>
      <sheetName val="13 pricier debt"/>
      <sheetName val="14 Corp leverage"/>
      <sheetName val="15 Capex"/>
      <sheetName val="16 Climate repricing"/>
      <sheetName val="18 earnings"/>
      <sheetName val="18 S&amp;P 2Yr"/>
      <sheetName val="19 4% yields"/>
      <sheetName val="20 DM central banks"/>
      <sheetName val="21 yield breakdown"/>
      <sheetName val="21 equity bond"/>
      <sheetName val="22 Breakevens"/>
      <sheetName val="22 Energy burden"/>
      <sheetName val="23 EM perf"/>
      <sheetName val="23 EM vs US repricing"/>
      <sheetName val="27 private markets"/>
    </sheetNames>
    <sheetDataSet>
      <sheetData sheetId="0">
        <row r="5">
          <cell r="N5" t="str">
            <v>Type</v>
          </cell>
          <cell r="Q5" t="str">
            <v>Type</v>
          </cell>
        </row>
        <row r="7">
          <cell r="B7" t="str">
            <v>Name</v>
          </cell>
          <cell r="G7" t="str">
            <v>Name</v>
          </cell>
        </row>
      </sheetData>
      <sheetData sheetId="1">
        <row r="4">
          <cell r="D4" t="str">
            <v>Name</v>
          </cell>
        </row>
      </sheetData>
      <sheetData sheetId="2">
        <row r="6">
          <cell r="C6">
            <v>23924</v>
          </cell>
        </row>
      </sheetData>
      <sheetData sheetId="3">
        <row r="3">
          <cell r="R3" t="str">
            <v>Name</v>
          </cell>
        </row>
      </sheetData>
      <sheetData sheetId="4">
        <row r="1">
          <cell r="B1" t="str">
            <v>1953</v>
          </cell>
        </row>
      </sheetData>
      <sheetData sheetId="5">
        <row r="9">
          <cell r="B9" t="str">
            <v>Name</v>
          </cell>
        </row>
      </sheetData>
      <sheetData sheetId="6">
        <row r="1">
          <cell r="J1" t="str">
            <v>1870-1914</v>
          </cell>
        </row>
      </sheetData>
      <sheetData sheetId="7"/>
      <sheetData sheetId="8"/>
      <sheetData sheetId="9"/>
      <sheetData sheetId="10"/>
      <sheetData sheetId="11"/>
      <sheetData sheetId="12"/>
      <sheetData sheetId="13"/>
      <sheetData sheetId="14">
        <row r="6">
          <cell r="A6" t="str">
            <v>Name</v>
          </cell>
        </row>
      </sheetData>
      <sheetData sheetId="15">
        <row r="10">
          <cell r="B10" t="str">
            <v>Name</v>
          </cell>
        </row>
      </sheetData>
      <sheetData sheetId="16"/>
      <sheetData sheetId="17">
        <row r="10">
          <cell r="S10" t="str">
            <v>Name</v>
          </cell>
        </row>
      </sheetData>
      <sheetData sheetId="18">
        <row r="5">
          <cell r="C5" t="str">
            <v>Name</v>
          </cell>
          <cell r="J5" t="str">
            <v>Name</v>
          </cell>
        </row>
      </sheetData>
      <sheetData sheetId="19"/>
      <sheetData sheetId="20">
        <row r="8">
          <cell r="E8" t="str">
            <v>Name</v>
          </cell>
        </row>
      </sheetData>
      <sheetData sheetId="21">
        <row r="5">
          <cell r="D5" t="str">
            <v>U.S.</v>
          </cell>
        </row>
      </sheetData>
      <sheetData sheetId="22">
        <row r="8">
          <cell r="C8" t="str">
            <v>Name</v>
          </cell>
        </row>
      </sheetData>
      <sheetData sheetId="23"/>
      <sheetData sheetId="24"/>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S rate path"/>
      <sheetName val="GDP paths"/>
      <sheetName val="Inflation"/>
      <sheetName val="New Nominal- left"/>
      <sheetName val="New Nominal-right"/>
      <sheetName val="Employment"/>
      <sheetName val="ECB"/>
      <sheetName val="China"/>
      <sheetName val="Real yield"/>
      <sheetName val="Rate hike pricing"/>
      <sheetName val="China tactical"/>
      <sheetName val="EMD"/>
      <sheetName val="Equities - earnings"/>
      <sheetName val="Equities - vaccination"/>
      <sheetName val="Yield breakdown"/>
      <sheetName val="US yield curve"/>
      <sheetName val="Europe yield curve"/>
      <sheetName val="SAA - ERP vs spreads"/>
      <sheetName val="CGBs strategic case"/>
      <sheetName val="climate repricing (2)"/>
      <sheetName val="SAA views (Q2 vs Q1)"/>
    </sheetNames>
    <sheetDataSet>
      <sheetData sheetId="0">
        <row r="4">
          <cell r="B4" t="str">
            <v>Name</v>
          </cell>
        </row>
      </sheetData>
      <sheetData sheetId="1">
        <row r="5">
          <cell r="A5">
            <v>43831</v>
          </cell>
        </row>
      </sheetData>
      <sheetData sheetId="2"/>
      <sheetData sheetId="3"/>
      <sheetData sheetId="4"/>
      <sheetData sheetId="5"/>
      <sheetData sheetId="6"/>
      <sheetData sheetId="7"/>
      <sheetData sheetId="8"/>
      <sheetData sheetId="9"/>
      <sheetData sheetId="10"/>
      <sheetData sheetId="11"/>
      <sheetData sheetId="12">
        <row r="1">
          <cell r="A1" t="str">
            <v>Name</v>
          </cell>
        </row>
      </sheetData>
      <sheetData sheetId="13"/>
      <sheetData sheetId="14">
        <row r="4">
          <cell r="B4" t="str">
            <v>Name</v>
          </cell>
        </row>
      </sheetData>
      <sheetData sheetId="15"/>
      <sheetData sheetId="16"/>
      <sheetData sheetId="17">
        <row r="6">
          <cell r="C6" t="str">
            <v>U.S.</v>
          </cell>
        </row>
      </sheetData>
      <sheetData sheetId="18"/>
      <sheetData sheetId="19"/>
      <sheetData sheetId="20"/>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oomberg data for FI"/>
      <sheetName val="Equities ERP"/>
      <sheetName val="Chart - ERP vs spreads"/>
      <sheetName val="Chart - Trailing Earnings"/>
      <sheetName val="Forward Earnings"/>
      <sheetName val="Chart - MSCI ACWI &amp; Level"/>
      <sheetName val="FI"/>
      <sheetName val="FI (2)"/>
    </sheetNames>
    <sheetDataSet>
      <sheetData sheetId="0"/>
      <sheetData sheetId="1"/>
      <sheetData sheetId="2"/>
      <sheetData sheetId="3" refreshError="1">
        <row r="1">
          <cell r="A1" t="str">
            <v>Name</v>
          </cell>
        </row>
      </sheetData>
      <sheetData sheetId="4" refreshError="1">
        <row r="1">
          <cell r="A1" t="str">
            <v>Name</v>
          </cell>
        </row>
      </sheetData>
      <sheetData sheetId="5">
        <row r="1">
          <cell r="G1" t="str">
            <v>TREND EPS</v>
          </cell>
        </row>
      </sheetData>
      <sheetData sheetId="6"/>
      <sheetData sheetId="7"/>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orksheet"/>
      <sheetName val="5Y5Y"/>
      <sheetName val="Yields"/>
      <sheetName val="5y5y inflation vs EUR 10y"/>
    </sheetNames>
    <sheetDataSet>
      <sheetData sheetId="0"/>
      <sheetData sheetId="1"/>
      <sheetData sheetId="2"/>
      <sheetData sheetId="3">
        <row r="7">
          <cell r="X7" t="str">
            <v>EUR 5y5y inflation</v>
          </cell>
        </row>
      </sheetData>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5 inflation bands"/>
      <sheetName val="P6 China exports IP"/>
      <sheetName val="P6 China investment"/>
      <sheetName val="P7 commodities"/>
      <sheetName val="P8 Infrastructure"/>
      <sheetName val="P9 Margins"/>
      <sheetName val="P10 FF Geopolitics"/>
      <sheetName val="P11 Equity risk premium"/>
      <sheetName val="P12 Green transition"/>
      <sheetName val="P13 Cyclicals"/>
    </sheetNames>
    <sheetDataSet>
      <sheetData sheetId="0" refreshError="1"/>
      <sheetData sheetId="1" refreshError="1"/>
      <sheetData sheetId="2" refreshError="1"/>
      <sheetData sheetId="3" refreshError="1">
        <row r="15">
          <cell r="B15" t="str">
            <v>Name</v>
          </cell>
        </row>
      </sheetData>
      <sheetData sheetId="4"/>
      <sheetData sheetId="5" refreshError="1">
        <row r="2">
          <cell r="I2" t="str">
            <v>Name</v>
          </cell>
        </row>
        <row r="9">
          <cell r="B9" t="str">
            <v>Name</v>
          </cell>
        </row>
      </sheetData>
      <sheetData sheetId="6" refreshError="1">
        <row r="8">
          <cell r="A8" t="str">
            <v>Name</v>
          </cell>
        </row>
      </sheetData>
      <sheetData sheetId="7" refreshError="1"/>
      <sheetData sheetId="8" refreshError="1"/>
      <sheetData sheetId="9"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3 Equity Bond returns"/>
      <sheetName val="P5 Living with inflation"/>
      <sheetName val="P6 Cutting through confusion"/>
      <sheetName val="Good services"/>
      <sheetName val="P7 Mismatched resources"/>
      <sheetName val="P8 Commodity prices"/>
      <sheetName val="P9 FF Geopolitics"/>
      <sheetName val="P10 FF China"/>
      <sheetName val="P12 Yield curves"/>
    </sheetNames>
    <sheetDataSet>
      <sheetData sheetId="0">
        <row r="5">
          <cell r="N5" t="str">
            <v>Type</v>
          </cell>
          <cell r="Q5" t="str">
            <v>Type</v>
          </cell>
        </row>
        <row r="7">
          <cell r="B7" t="str">
            <v>Name</v>
          </cell>
          <cell r="G7" t="str">
            <v>Name</v>
          </cell>
        </row>
      </sheetData>
      <sheetData sheetId="1">
        <row r="2">
          <cell r="S2" t="str">
            <v>Name</v>
          </cell>
        </row>
      </sheetData>
      <sheetData sheetId="2"/>
      <sheetData sheetId="3">
        <row r="6">
          <cell r="B6" t="str">
            <v>Name</v>
          </cell>
        </row>
      </sheetData>
      <sheetData sheetId="4"/>
      <sheetData sheetId="5">
        <row r="4">
          <cell r="AG4" t="str">
            <v>Type</v>
          </cell>
          <cell r="AJ4" t="str">
            <v>X</v>
          </cell>
          <cell r="AK4" t="str">
            <v>X</v>
          </cell>
        </row>
        <row r="5">
          <cell r="B5" t="str">
            <v>Name</v>
          </cell>
          <cell r="S5" t="str">
            <v>Name</v>
          </cell>
        </row>
      </sheetData>
      <sheetData sheetId="6">
        <row r="8">
          <cell r="A8" t="str">
            <v>Name</v>
          </cell>
        </row>
      </sheetData>
      <sheetData sheetId="7">
        <row r="4">
          <cell r="B4" t="str">
            <v>China</v>
          </cell>
        </row>
      </sheetData>
      <sheetData sheetId="8"/>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3 equity bond scatter"/>
      <sheetName val=" 6 7 GDP paths"/>
      <sheetName val="8 China Inflation"/>
      <sheetName val="8 China GDP"/>
      <sheetName val="9 Supply chain"/>
      <sheetName val="10 US PCE"/>
      <sheetName val="11 US inflation decomp"/>
      <sheetName val="11 EA inflation decomp"/>
      <sheetName val="12 new nominal"/>
      <sheetName val="13 Labor market"/>
      <sheetName val="14 U.S. LFPR"/>
      <sheetName val="14 US unemployment"/>
      <sheetName val="16 energy prices"/>
      <sheetName val="18 net-zero China impact"/>
      <sheetName val="19 RealYields"/>
      <sheetName val="19 earnings"/>
      <sheetName val="20 earnings growth"/>
      <sheetName val="20 ERP"/>
      <sheetName val="21 China TSF"/>
      <sheetName val="21 China ERP"/>
      <sheetName val="22 5y5y inflation vs  10y"/>
      <sheetName val="23 5y5y Inflation"/>
      <sheetName val="SAA - ERP vs spreads"/>
    </sheetNames>
    <sheetDataSet>
      <sheetData sheetId="0">
        <row r="5">
          <cell r="N5" t="str">
            <v>Type</v>
          </cell>
        </row>
      </sheetData>
      <sheetData sheetId="1"/>
      <sheetData sheetId="2"/>
      <sheetData sheetId="3"/>
      <sheetData sheetId="4"/>
      <sheetData sheetId="5">
        <row r="2">
          <cell r="A2" t="str">
            <v>Name</v>
          </cell>
        </row>
      </sheetData>
      <sheetData sheetId="6"/>
      <sheetData sheetId="7"/>
      <sheetData sheetId="8"/>
      <sheetData sheetId="9">
        <row r="6">
          <cell r="A6" t="str">
            <v>Name</v>
          </cell>
        </row>
      </sheetData>
      <sheetData sheetId="10">
        <row r="2">
          <cell r="B2" t="str">
            <v>Name</v>
          </cell>
        </row>
      </sheetData>
      <sheetData sheetId="11">
        <row r="6">
          <cell r="A6" t="str">
            <v>Name</v>
          </cell>
        </row>
      </sheetData>
      <sheetData sheetId="12">
        <row r="4">
          <cell r="F4" t="str">
            <v>EU carbon (ETS)</v>
          </cell>
        </row>
      </sheetData>
      <sheetData sheetId="13"/>
      <sheetData sheetId="14">
        <row r="3">
          <cell r="V3" t="str">
            <v>Name</v>
          </cell>
        </row>
      </sheetData>
      <sheetData sheetId="15">
        <row r="1">
          <cell r="A1" t="str">
            <v>Name</v>
          </cell>
          <cell r="N1" t="str">
            <v>Name</v>
          </cell>
          <cell r="T1" t="str">
            <v>Name</v>
          </cell>
        </row>
      </sheetData>
      <sheetData sheetId="16">
        <row r="1">
          <cell r="R1" t="str">
            <v>Name</v>
          </cell>
        </row>
        <row r="124">
          <cell r="C124" t="str">
            <v>Name</v>
          </cell>
        </row>
      </sheetData>
      <sheetData sheetId="17"/>
      <sheetData sheetId="18"/>
      <sheetData sheetId="19"/>
      <sheetData sheetId="20">
        <row r="6">
          <cell r="BA6" t="str">
            <v>Name</v>
          </cell>
          <cell r="BF6" t="str">
            <v>Name</v>
          </cell>
        </row>
      </sheetData>
      <sheetData sheetId="21">
        <row r="6">
          <cell r="A6" t="str">
            <v>Name</v>
          </cell>
        </row>
      </sheetData>
      <sheetData sheetId="22"/>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cro --&gt;"/>
      <sheetName val="Inflation Expectations"/>
      <sheetName val="Activity GDP levels hardcoded"/>
      <sheetName val="China GDP and projection"/>
      <sheetName val="ECB asset purchases"/>
      <sheetName val="Inflation and forecasts"/>
      <sheetName val="US prices"/>
      <sheetName val="US rate paths (3)"/>
      <sheetName val="US rate paths (2)"/>
      <sheetName val="US rate paths"/>
      <sheetName val="US rate path expectations"/>
      <sheetName val="Europe rate path expectations"/>
      <sheetName val="US NFP and participation"/>
      <sheetName val="US labor shortfall"/>
      <sheetName val="US LFPR"/>
      <sheetName val="EUR employment data updated"/>
      <sheetName val="CN fisc and credit impulse"/>
      <sheetName val="China govt spending"/>
      <sheetName val="Sheet2"/>
      <sheetName val="EM vs DM vaccination"/>
      <sheetName val="TAA --&gt;"/>
      <sheetName val="Growth vs real rates"/>
      <sheetName val="Vaccination"/>
      <sheetName val="OLD - ERR DS"/>
      <sheetName val="NEW-ERRs (DS)"/>
      <sheetName val="Not taper tantrum"/>
      <sheetName val="no taper tantrum"/>
      <sheetName val="Real yield"/>
      <sheetName val="GBI-EM FX"/>
      <sheetName val="EMD"/>
      <sheetName val="Yield breakdown"/>
      <sheetName val="German yield breakdown"/>
      <sheetName val="China - great struggle"/>
      <sheetName val="Topdown_data_EM"/>
      <sheetName val="Virus - cases and deaths"/>
      <sheetName val="SAA --&gt;"/>
      <sheetName val="US yield curve"/>
      <sheetName val="Europe yield curve"/>
      <sheetName val="SAA - ERP vs spreads"/>
      <sheetName val="Sector earnings"/>
      <sheetName val="CGBs strategic case"/>
      <sheetName val="climate repricing"/>
      <sheetName val="SAA views (granularity)"/>
      <sheetName val="SAA views (Q2 vs Q1)"/>
      <sheetName val="Japan ERRs"/>
      <sheetName val="Japan - ERR DS"/>
    </sheetNames>
    <sheetDataSet>
      <sheetData sheetId="0"/>
      <sheetData sheetId="1"/>
      <sheetData sheetId="2"/>
      <sheetData sheetId="3"/>
      <sheetData sheetId="4"/>
      <sheetData sheetId="5"/>
      <sheetData sheetId="6">
        <row r="92">
          <cell r="A92">
            <v>39083</v>
          </cell>
        </row>
      </sheetData>
      <sheetData sheetId="7">
        <row r="5">
          <cell r="C5" t="str">
            <v>Name</v>
          </cell>
        </row>
      </sheetData>
      <sheetData sheetId="8">
        <row r="5">
          <cell r="C5" t="str">
            <v>Name</v>
          </cell>
        </row>
      </sheetData>
      <sheetData sheetId="9">
        <row r="5">
          <cell r="C5" t="str">
            <v>Name</v>
          </cell>
          <cell r="AC5" t="str">
            <v>Name</v>
          </cell>
        </row>
        <row r="6">
          <cell r="N6" t="str">
            <v>Name</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sheetData sheetId="26"/>
      <sheetData sheetId="27"/>
      <sheetData sheetId="28"/>
      <sheetData sheetId="29">
        <row r="8">
          <cell r="G8" t="str">
            <v>EM local currency</v>
          </cell>
        </row>
      </sheetData>
      <sheetData sheetId="30"/>
      <sheetData sheetId="31"/>
      <sheetData sheetId="32"/>
      <sheetData sheetId="33"/>
      <sheetData sheetId="34"/>
      <sheetData sheetId="35"/>
      <sheetData sheetId="36">
        <row r="1">
          <cell r="B1">
            <v>0.25</v>
          </cell>
        </row>
      </sheetData>
      <sheetData sheetId="37">
        <row r="1">
          <cell r="B1">
            <v>0.25</v>
          </cell>
        </row>
      </sheetData>
      <sheetData sheetId="38">
        <row r="6">
          <cell r="C6" t="str">
            <v>U.S.</v>
          </cell>
        </row>
      </sheetData>
      <sheetData sheetId="39"/>
      <sheetData sheetId="40">
        <row r="10">
          <cell r="B10" t="str">
            <v>US 10Y</v>
          </cell>
        </row>
      </sheetData>
      <sheetData sheetId="41"/>
      <sheetData sheetId="42"/>
      <sheetData sheetId="43"/>
      <sheetData sheetId="44"/>
      <sheetData sheetId="45"/>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Developed Equity Performance"/>
      <sheetName val="Emerging Eq YTD"/>
      <sheetName val="Country PE Ratios"/>
      <sheetName val="Sources of Return YTD"/>
      <sheetName val="Sources of Return 12m"/>
      <sheetName val="Equity Factors Style"/>
      <sheetName val="Frontier Equities YTD"/>
      <sheetName val="Real Earnings vs Trend"/>
      <sheetName val="Global Eq PE Ratio"/>
      <sheetName val="Global Equity Risk Premium"/>
      <sheetName val="Sector Valuation Performance"/>
      <sheetName val="Sector earnings momentum"/>
      <sheetName val="Index Performance"/>
      <sheetName val="QE Market Reaction"/>
      <sheetName val="VIX"/>
      <sheetName val="Regional PE Ratios"/>
      <sheetName val="Cyclically Adj. PE Ratio"/>
      <sheetName val="Regional Earnings"/>
      <sheetName val="US Earnings Estimates"/>
      <sheetName val="Banks Overview"/>
    </sheetNames>
    <sheetDataSet>
      <sheetData sheetId="0"/>
      <sheetData sheetId="1"/>
      <sheetData sheetId="2"/>
      <sheetData sheetId="3"/>
      <sheetData sheetId="4"/>
      <sheetData sheetId="5"/>
      <sheetData sheetId="6"/>
      <sheetData sheetId="7"/>
      <sheetData sheetId="8"/>
      <sheetData sheetId="9"/>
      <sheetData sheetId="10">
        <row r="3">
          <cell r="C3" t="str">
            <v>MSCI World Earnings Yield</v>
          </cell>
        </row>
      </sheetData>
      <sheetData sheetId="11"/>
      <sheetData sheetId="12"/>
      <sheetData sheetId="13"/>
      <sheetData sheetId="14"/>
      <sheetData sheetId="15"/>
      <sheetData sheetId="16" refreshError="1"/>
      <sheetData sheetId="17"/>
      <sheetData sheetId="18"/>
      <sheetData sheetId="19" refreshError="1"/>
      <sheetData sheetId="20"/>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China FX Reserves"/>
      <sheetName val="China-Related Commodities"/>
      <sheetName val="House Prices"/>
      <sheetName val="Import Export Growth"/>
      <sheetName val="Inflation"/>
      <sheetName val="Interbank Rates &amp; NPLs"/>
      <sheetName val="Investment and Consumption"/>
      <sheetName val="Macro Indicators"/>
      <sheetName val="Market Overview"/>
      <sheetName val="Monetary Policy"/>
      <sheetName val="Money Supply, Loans, GDP"/>
      <sheetName val="PMI and GDP Growth"/>
      <sheetName val="Social Financing"/>
      <sheetName val="Yuan Dollar"/>
      <sheetName val="Economic Overview"/>
      <sheetName val="Direct Exposure"/>
    </sheetNames>
    <sheetDataSet>
      <sheetData sheetId="0"/>
      <sheetData sheetId="1"/>
      <sheetData sheetId="2"/>
      <sheetData sheetId="3"/>
      <sheetData sheetId="4"/>
      <sheetData sheetId="5"/>
      <sheetData sheetId="6"/>
      <sheetData sheetId="7"/>
      <sheetData sheetId="8"/>
      <sheetData sheetId="9" refreshError="1"/>
      <sheetData sheetId="10"/>
      <sheetData sheetId="11"/>
      <sheetData sheetId="12"/>
      <sheetData sheetId="13"/>
      <sheetData sheetId="14"/>
      <sheetData sheetId="15"/>
      <sheetData sheetId="16"/>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sumer confidence"/>
      <sheetName val="p3 regime change"/>
      <sheetName val="p4 pricier debt"/>
      <sheetName val="p5 higher risk premia"/>
      <sheetName val="P6 GDP vol"/>
      <sheetName val="P6 S&amp;P 500 vol"/>
      <sheetName val="P7 reallocation"/>
      <sheetName val="P8 Green repricing"/>
      <sheetName val="P9 euro spreads"/>
      <sheetName val="p10 EM"/>
      <sheetName val="p11 yield spike"/>
      <sheetName val="p12 SAA"/>
      <sheetName val="p13 private markets"/>
      <sheetName val="Breakevens"/>
    </sheetNames>
    <sheetDataSet>
      <sheetData sheetId="0"/>
      <sheetData sheetId="1"/>
      <sheetData sheetId="2">
        <row r="8">
          <cell r="C8">
            <v>59.9</v>
          </cell>
        </row>
      </sheetData>
      <sheetData sheetId="3"/>
      <sheetData sheetId="4">
        <row r="39">
          <cell r="G39">
            <v>25569</v>
          </cell>
        </row>
      </sheetData>
      <sheetData sheetId="5">
        <row r="124">
          <cell r="G124">
            <v>25569</v>
          </cell>
        </row>
      </sheetData>
      <sheetData sheetId="6"/>
      <sheetData sheetId="7"/>
      <sheetData sheetId="8">
        <row r="7">
          <cell r="B7" t="str">
            <v>Name</v>
          </cell>
        </row>
      </sheetData>
      <sheetData sheetId="9"/>
      <sheetData sheetId="10"/>
      <sheetData sheetId="11"/>
      <sheetData sheetId="12">
        <row r="2">
          <cell r="B2" t="str">
            <v>Private Equity</v>
          </cell>
        </row>
      </sheetData>
      <sheetData sheetId="13">
        <row r="9">
          <cell r="E9">
            <v>40907</v>
          </cell>
        </row>
      </sheetData>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DP and credit"/>
      <sheetName val="Deficit"/>
      <sheetName val="China Inflation"/>
      <sheetName val="Electricity"/>
      <sheetName val="One-week repo"/>
      <sheetName val="Sheet1"/>
      <sheetName val="Sheet2"/>
      <sheetName val="Sheet3"/>
    </sheetNames>
    <sheetDataSet>
      <sheetData sheetId="0"/>
      <sheetData sheetId="1"/>
      <sheetData sheetId="2"/>
      <sheetData sheetId="3"/>
      <sheetData sheetId="4"/>
      <sheetData sheetId="5"/>
      <sheetData sheetId="6"/>
      <sheetData sheetId="7"/>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Bond Volatility - ML MOVE"/>
      <sheetName val="Credit Spreads"/>
      <sheetName val="EM Debt (Local)"/>
      <sheetName val="EM Debt (EMBI)"/>
      <sheetName val="Yields over 4"/>
      <sheetName val="Euro area 10Y Yields"/>
      <sheetName val="2Y Yields"/>
      <sheetName val="10y gov bond yields"/>
      <sheetName val="Index Performance"/>
      <sheetName val="Primary Dealer Holdings"/>
      <sheetName val="Global 10Y Govt. Bond Yields"/>
      <sheetName val="Gov. Bond Returns YTD"/>
      <sheetName val="Government Bond Yield Curves"/>
      <sheetName val="Bond Yield Curves Through Time"/>
      <sheetName val="Real Gov. Bond Yields"/>
      <sheetName val="US 10 year Treasury breakdown"/>
      <sheetName val="Euro Japan bond yield breakdown"/>
      <sheetName val="Munis"/>
      <sheetName val="Banks CDS"/>
      <sheetName val="Eurozone 10Y Yields"/>
      <sheetName val="10Y Yields US DE UK J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efreshError="1"/>
      <sheetData sheetId="21"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sets in review"/>
      <sheetName val="Chart of the week"/>
    </sheetNames>
    <sheetDataSet>
      <sheetData sheetId="0" refreshError="1"/>
      <sheetData sheetId="1" refreshError="1">
        <row r="9">
          <cell r="C9" t="e">
            <v>#NAME?</v>
          </cell>
        </row>
      </sheetData>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ood prices"/>
      <sheetName val="Food CPI"/>
      <sheetName val="Food CPI (2)"/>
      <sheetName val="BBG Commodity price"/>
      <sheetName val="Insitution confidence"/>
      <sheetName val="China attitudes"/>
      <sheetName val="Spreads"/>
      <sheetName val="Sheet2"/>
      <sheetName val="Share of VR mortgages"/>
      <sheetName val="Private debt and DSR"/>
      <sheetName val="BIS house pric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ow r="43">
          <cell r="N43">
            <v>36161</v>
          </cell>
        </row>
      </sheetData>
      <sheetData sheetId="10"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ores"/>
      <sheetName val="Weights"/>
      <sheetName val="Index"/>
      <sheetName val="Daily"/>
      <sheetName val="Weekly"/>
      <sheetName val="Since Inception"/>
      <sheetName val="YTD 2021"/>
      <sheetName val="Performance"/>
      <sheetName val="Dashboard"/>
      <sheetName val="Report"/>
      <sheetName val="For email"/>
    </sheetNames>
    <sheetDataSet>
      <sheetData sheetId="0">
        <row r="2">
          <cell r="D2">
            <v>1</v>
          </cell>
        </row>
      </sheetData>
      <sheetData sheetId="1" refreshError="1"/>
      <sheetData sheetId="2"/>
      <sheetData sheetId="3"/>
      <sheetData sheetId="4"/>
      <sheetData sheetId="5"/>
      <sheetData sheetId="6"/>
      <sheetData sheetId="7"/>
      <sheetData sheetId="8"/>
      <sheetData sheetId="9"/>
      <sheetData sheetId="10"/>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A Weights Log"/>
      <sheetName val="Summary"/>
      <sheetName val="BII Scores Log"/>
      <sheetName val="Sheet1"/>
      <sheetName val="Changes to weights"/>
      <sheetName val="Allocation %"/>
      <sheetName val="Index"/>
      <sheetName val="Daily Returns"/>
      <sheetName val="Returns (Rel)"/>
      <sheetName val="C. Returns (Rel)"/>
      <sheetName val="Attribution_"/>
      <sheetName val="Rel. Daily Returns"/>
      <sheetName val="Rank Rel. Daily Returns"/>
      <sheetName val="Portfolio Returns"/>
      <sheetName val="Daily P&amp;L"/>
      <sheetName val="Monthly P&amp;L X"/>
      <sheetName val="Portfolio Return Rank"/>
      <sheetName val="D. P&amp;L"/>
      <sheetName val="W. P&amp;L"/>
      <sheetName val="M. P&amp;L"/>
      <sheetName val="Monthly P&amp;L"/>
      <sheetName val="Chart"/>
      <sheetName val="abs %"/>
      <sheetName val="Std dev vol"/>
      <sheetName val="EMWA vol-D"/>
      <sheetName val="EMWA vol-W"/>
      <sheetName val="3m correlation"/>
      <sheetName val="3m correlation (R)"/>
      <sheetName val="The Charts"/>
      <sheetName val="Dashboard"/>
      <sheetName val="Chart (A)"/>
      <sheetName val="C. Returns (Abs)"/>
      <sheetName val="Sheet2"/>
      <sheetName val="Chart (A)_"/>
      <sheetName val="Aggregate"/>
      <sheetName val="Chart (B)"/>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QUEST_TABLE"/>
      <sheetName val="Index_codes"/>
      <sheetName val="Index_payout"/>
      <sheetName val="Index_gth"/>
      <sheetName val="CHART"/>
      <sheetName val="Index_TE1"/>
      <sheetName val="Index_FE1"/>
      <sheetName val="Index_price"/>
      <sheetName val="TRI"/>
      <sheetName val="TopDown.csv"/>
      <sheetName val="Check it matches -&gt;"/>
      <sheetName val="small cap"/>
      <sheetName val="Charts -&gt;"/>
      <sheetName val="Index gth"/>
      <sheetName val="CMA vs. Historic returns"/>
      <sheetName val="PE ratio"/>
      <sheetName val="Index_gth_CHART"/>
      <sheetName val="12m ahead EPS growth chart"/>
      <sheetName val="earnings growth"/>
      <sheetName val="ERP_0"/>
      <sheetName val="Plowback"/>
      <sheetName val="SUMMARY"/>
      <sheetName val="Sheet2"/>
    </sheetNames>
    <sheetDataSet>
      <sheetData sheetId="0"/>
      <sheetData sheetId="1"/>
      <sheetData sheetId="2"/>
      <sheetData sheetId="3"/>
      <sheetData sheetId="4"/>
      <sheetData sheetId="5">
        <row r="2">
          <cell r="A2"/>
        </row>
      </sheetData>
      <sheetData sheetId="6">
        <row r="2">
          <cell r="A2"/>
        </row>
      </sheetData>
      <sheetData sheetId="7"/>
      <sheetData sheetId="8"/>
      <sheetData sheetId="9"/>
      <sheetData sheetId="10"/>
      <sheetData sheetId="11"/>
      <sheetData sheetId="12"/>
      <sheetData sheetId="13"/>
      <sheetData sheetId="14"/>
      <sheetData sheetId="15"/>
      <sheetData sheetId="16" refreshError="1"/>
      <sheetData sheetId="17" refreshError="1"/>
      <sheetData sheetId="18"/>
      <sheetData sheetId="19"/>
      <sheetData sheetId="20"/>
      <sheetData sheetId="21"/>
      <sheetData sheetId="22"/>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lternative_US_ASR"/>
      <sheetName val="Rate hike cycles"/>
      <sheetName val="US_Policy_rules"/>
      <sheetName val="Other regions"/>
      <sheetName val="Final_calibration"/>
    </sheetNames>
    <sheetDataSet>
      <sheetData sheetId="0"/>
      <sheetData sheetId="1"/>
      <sheetData sheetId="2">
        <row r="11">
          <cell r="I11">
            <v>0.25</v>
          </cell>
        </row>
      </sheetData>
      <sheetData sheetId="3"/>
      <sheetData sheetId="4"/>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ccine rollout"/>
      <sheetName val="Income PCE and savings"/>
      <sheetName val="Contribution to GDP"/>
      <sheetName val="GDP revisions - Covid vs GFC"/>
      <sheetName val="Activity GDP level projections"/>
      <sheetName val="Supply chains - order backlogs"/>
      <sheetName val="US GDP paths"/>
      <sheetName val="New nominal"/>
      <sheetName val="US rate expectations"/>
      <sheetName val="ECB rate expectations"/>
      <sheetName val="US inflation catch-up"/>
      <sheetName val="Fed Inflation bands"/>
      <sheetName val="US prices"/>
      <sheetName val="Shock vs fiscal response"/>
      <sheetName val="US EA inflation and forecasts"/>
      <sheetName val="European Unemployment"/>
      <sheetName val="European employment"/>
      <sheetName val="EA fiscal momentum"/>
      <sheetName val="Financial conditions"/>
      <sheetName val="Asset performance"/>
      <sheetName val="TAA - TIPS and TSY"/>
      <sheetName val="TAA - UK vs Europe"/>
      <sheetName val="TAA - European cyclicality"/>
      <sheetName val="TAA - UK vs Europe (2)"/>
      <sheetName val="TAA - Japan"/>
      <sheetName val="TAA - EM revision ratio"/>
      <sheetName val="SAA - ERP vs spreads"/>
      <sheetName val="SAA - climate aware CMAs"/>
      <sheetName val="SAA tilts"/>
      <sheetName val="SAA - family office"/>
    </sheetNames>
    <sheetDataSet>
      <sheetData sheetId="0"/>
      <sheetData sheetId="1"/>
      <sheetData sheetId="2"/>
      <sheetData sheetId="3">
        <row r="5">
          <cell r="B5" t="str">
            <v>January 08</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tting Global Pie 2014"/>
      <sheetName val="Cutting Global Pie 2021"/>
      <sheetName val="Cutting Global Pie 2021 ex Chin"/>
      <sheetName val="Data 2021"/>
      <sheetName val="Haver pull"/>
    </sheetNames>
    <sheetDataSet>
      <sheetData sheetId="0"/>
      <sheetData sheetId="1"/>
      <sheetData sheetId="2"/>
      <sheetData sheetId="3" refreshError="1"/>
      <sheetData sheetId="4">
        <row r="19">
          <cell r="P19">
            <v>43.10340644634951</v>
          </cell>
        </row>
      </sheetData>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CF7B272-2B0E-4976-9393-E73F3487686E}" name="TableLoop" displayName="TableLoop" ref="B2:F53" totalsRowShown="0" headerRowDxfId="52" dataDxfId="51">
  <autoFilter ref="B2:F53" xr:uid="{FCF7B272-2B0E-4976-9393-E73F3487686E}"/>
  <tableColumns count="5">
    <tableColumn id="1" xr3:uid="{1C47A566-8CA0-498F-9373-FD3CF377EAB3}" name="N" dataDxfId="50"/>
    <tableColumn id="2" xr3:uid="{CDD5D904-D3D0-4E9B-89C8-61F4141B77FC}" name="Year" dataDxfId="49"/>
    <tableColumn id="3" xr3:uid="{3294EF53-9541-4FD2-A3C4-3CCF4CC8E18A}" name="AgeP1" dataDxfId="48">
      <calculatedColumnFormula>D2+1</calculatedColumnFormula>
    </tableColumn>
    <tableColumn id="4" xr3:uid="{27918B9D-DBDA-40FF-A6EC-6456F91F4DED}" name="AgeP2" dataDxfId="47">
      <calculatedColumnFormula>E2+1</calculatedColumnFormula>
    </tableColumn>
    <tableColumn id="5" xr3:uid="{3DF041D1-2FEE-456F-8F08-5A0165B3999F}" name="LoopStatus" dataDxfId="46"/>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6188FC4-483E-4C27-BFF6-3D5A9BEC7A02}" name="GoalsP1" displayName="GoalsP1" ref="B2:F5" totalsRowShown="0" headerRowDxfId="45" dataDxfId="44">
  <autoFilter ref="B2:F5" xr:uid="{E6188FC4-483E-4C27-BFF6-3D5A9BEC7A02}"/>
  <tableColumns count="5">
    <tableColumn id="1" xr3:uid="{B2C6C0FB-6BCC-4A61-B677-3B10161A53EF}" name="Goal Info" dataDxfId="43"/>
    <tableColumn id="2" xr3:uid="{C536957A-8C0E-4218-9336-E98D68589B96}" name="GOAL A" dataDxfId="42"/>
    <tableColumn id="3" xr3:uid="{119B5EE3-3581-4D04-BB55-BCC2E702193C}" name="GOAL B" dataDxfId="41"/>
    <tableColumn id="4" xr3:uid="{6D7BF2C5-D2EB-4CDD-A1E3-639A94B04FB3}" name="GOAL C" dataDxfId="40"/>
    <tableColumn id="5" xr3:uid="{FC141F07-39CA-4E36-BE88-AE8259A28409}" name="GOAL D" dataDxfId="39"/>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6296D22-18E1-44D3-A59A-E5E6D672089D}" name="GoalsP2" displayName="GoalsP2" ref="B7:F10" totalsRowShown="0" headerRowDxfId="38" dataDxfId="37">
  <autoFilter ref="B7:F10" xr:uid="{06296D22-18E1-44D3-A59A-E5E6D672089D}"/>
  <tableColumns count="5">
    <tableColumn id="1" xr3:uid="{B3C79FB9-971E-4621-BADB-62E0B6C842D7}" name="Goal Info" dataDxfId="36"/>
    <tableColumn id="2" xr3:uid="{08F0C2B6-02D7-4431-924D-D9E7C41049B7}" name="GOAL A" dataDxfId="35"/>
    <tableColumn id="3" xr3:uid="{7D5C117D-0D45-489D-81E8-DBEB6FE69CF3}" name="GOAL B" dataDxfId="34"/>
    <tableColumn id="4" xr3:uid="{900DE77F-2D16-4E30-8E7F-638FF98F2CDB}" name="GOAL C" dataDxfId="33"/>
    <tableColumn id="5" xr3:uid="{B0C50B12-C738-4419-9074-3A1A9E37C8AC}" name="GOAL D" dataDxfId="32"/>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E56BD61-AB28-418B-A7E4-9C2421B91B8B}" name="TableIncome" displayName="TableIncome" ref="B2:F48" totalsRowShown="0" headerRowDxfId="31" dataDxfId="30">
  <autoFilter ref="B2:F48" xr:uid="{FCF7B272-2B0E-4976-9393-E73F3487686E}"/>
  <tableColumns count="5">
    <tableColumn id="2" xr3:uid="{0498A719-AEC9-446E-8B8E-0AB0C44DDED3}" name="Year" dataDxfId="29"/>
    <tableColumn id="5" xr3:uid="{CC8B1647-0351-43F5-A9B1-47A7C65801F2}" name="SalaryP1" dataDxfId="28">
      <calculatedColumnFormula>(TableIncomeCalculations[[#This Row],[GrossMonthlySalaryP1]]*12)</calculatedColumnFormula>
    </tableColumn>
    <tableColumn id="6" xr3:uid="{D9247035-5056-46B8-9FE0-90DD69539CD9}" name="SalaryP2" dataDxfId="27" dataCellStyle="Comma">
      <calculatedColumnFormula>(TableIncomeCalculations[[#This Row],[GrossMonthlySalaryP2]]*12)</calculatedColumnFormula>
    </tableColumn>
    <tableColumn id="1" xr3:uid="{00C8C4D5-91FF-46B4-A492-F0182F8DA0F4}" name="InvestmentP1" dataDxfId="26">
      <calculatedColumnFormula>TableIncome[[#This Row],[SalaryP1]]*$I$6</calculatedColumnFormula>
    </tableColumn>
    <tableColumn id="3" xr3:uid="{FB2E9633-4667-4315-B59A-930552C59B31}" name="InvestmentP2" dataDxfId="25">
      <calculatedColumnFormula>TableIncome[[#This Row],[SalaryP2]]*$I$6</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6C60019-787B-4EAD-BA34-E0802DDFB733}" name="TableIncomeCalculations" displayName="TableIncomeCalculations" ref="M2:P48" totalsRowShown="0" headerRowDxfId="24" dataDxfId="23">
  <autoFilter ref="M2:P48" xr:uid="{66C60019-787B-4EAD-BA34-E0802DDFB733}"/>
  <tableColumns count="4">
    <tableColumn id="1" xr3:uid="{C0C732EC-361A-46E0-89E3-08CAE72DBD66}" name="GrossMonthlySalaryP1" dataDxfId="22" dataCellStyle="Comma"/>
    <tableColumn id="3" xr3:uid="{C5CF3F3B-E102-4C03-AE19-3CC173DDD008}" name="GrossMonthlySalaryP2" dataDxfId="21"/>
    <tableColumn id="5" xr3:uid="{FC28F95D-C1B7-458D-BD0C-E085DE566194}" name="SwitchP1" dataDxfId="20">
      <calculatedColumnFormula>_xlfn.XLOOKUP(_xlfn.XLOOKUP(TableIncome[[#This Row],[Year]],Loop!C:C,Loop!D:D),'Job Hopping'!B:B,'Job Hopping'!F:F)</calculatedColumnFormula>
    </tableColumn>
    <tableColumn id="6" xr3:uid="{85FE9DAF-5AA1-4B37-AB45-C3AD3B6E6CC3}" name="SwitchP2" dataDxfId="19">
      <calculatedColumnFormula>_xlfn.XLOOKUP(_xlfn.XLOOKUP(TableIncome[[#This Row],[Year]],Loop!C:C,Loop!E:E),'Job Hopping'!B:B,'Job Hopping'!G:G)</calculatedColumnFormula>
    </tableColumn>
  </tableColumns>
  <tableStyleInfo name="TableStyleLight10"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2FF2D4F-428C-466F-8C40-CD97C53327FB}" name="JobHopping" displayName="JobHopping" ref="B2:G78" totalsRowShown="0" headerRowDxfId="18" dataDxfId="17">
  <autoFilter ref="B2:G78" xr:uid="{F2FF2D4F-428C-466F-8C40-CD97C53327FB}"/>
  <tableColumns count="6">
    <tableColumn id="1" xr3:uid="{693674CC-D425-46E9-84F4-DC2C74DDA885}" name="Age" dataDxfId="16"/>
    <tableColumn id="2" xr3:uid="{0C578F60-3352-4A6E-80A5-4BD450385FDB}" name="Age Group" dataDxfId="15">
      <calculatedColumnFormula>IF(B3&lt;30, "25-29 år", IF(B3&lt;35, "30-34 år", IF(B3&lt;40, "35-39 år", IF(B3&lt;45, "40-44 år", IF(B3&lt;50, "45-49 år", IF(B3&lt;55, "50-54 år", IF(B3&lt;60, "55-59 år", IF(B3&lt;65, "60-64 år", "65+ år"))))))))</calculatedColumnFormula>
    </tableColumn>
    <tableColumn id="5" xr3:uid="{6B84A72A-055D-41E9-BBC7-389E144ADCF3}" name="FH/FW" dataDxfId="14" dataCellStyle="Percent">
      <calculatedColumnFormula>_xlfn.XLOOKUP(C3,S:S,T:T)</calculatedColumnFormula>
    </tableColumn>
    <tableColumn id="6" xr3:uid="{D9FFF900-4664-40B3-8190-EA72525447EA}" name="Switch" dataDxfId="13">
      <calculatedColumnFormula>IF(OR(JobHopping[[#This Row],[Age]]=25,JobHopping[[#This Row],[Age]]&gt;69),"N",IF(AND(E1="N",E2="N", RAND()&lt;=D3), "Y", "N"))</calculatedColumnFormula>
    </tableColumn>
    <tableColumn id="8" xr3:uid="{691319CE-230D-4FBF-BE6A-2D428D532435}" name="SwitchP1Static" dataDxfId="12"/>
    <tableColumn id="9" xr3:uid="{898CE31A-679C-499C-AEA0-26B20AF30FB2}" name="SwitchP2Static" dataDxfId="11">
      <calculatedColumnFormula>IF(JobHopping[[#This Row],[Age]]&lt;40,"",JobHopping[[#This Row],[SwitchP1Static]])</calculatedColumnFormula>
    </tableColumn>
  </tableColumns>
  <tableStyleInfo name="TableStyleLight10"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0FD3679-1FAE-42ED-9371-E916E1BA67DA}" name="JobHoppingRatios" displayName="JobHoppingRatios" ref="M2:Q101" totalsRowShown="0" headerRowDxfId="10" dataDxfId="9">
  <autoFilter ref="M2:Q101" xr:uid="{B0FD3679-1FAE-42ED-9371-E916E1BA67DA}"/>
  <tableColumns count="5">
    <tableColumn id="1" xr3:uid="{EED2352B-0CD2-49FA-8E8F-B19F866F9084}" name="Year" dataDxfId="8"/>
    <tableColumn id="2" xr3:uid="{125F1890-3292-40A5-B52B-65BC24DCD8A4}" name="Age Group" dataDxfId="7"/>
    <tableColumn id="3" xr3:uid="{ADFD9F1D-95FD-48CF-AAA7-252CEF08E617}" name="Finance Workers" dataDxfId="6">
      <calculatedColumnFormula>_xlfn.XLOOKUP(M3&amp;"-"&amp;N3,'Djøf Finance Workers'!D:D,'Djøf Finance Workers'!C:C,0,1)</calculatedColumnFormula>
    </tableColumn>
    <tableColumn id="4" xr3:uid="{3B11AAA6-9DF8-45E1-AF3C-A28F474CCCE6}" name="Finance Hoppers" dataDxfId="5">
      <calculatedColumnFormula>_xlfn.XLOOKUP(M3&amp;"-"&amp;N3,'Djøf Finance Hoppers'!D:D,'Djøf Finance Hoppers'!C:C,0,1)</calculatedColumnFormula>
    </tableColumn>
    <tableColumn id="5" xr3:uid="{797F4F22-806C-479D-A67E-5B23C5721AD9}" name="FH/FW" dataDxfId="4" dataCellStyle="Percent">
      <calculatedColumnFormula>IF(O3&gt;0, P3/O3, 0)</calculatedColumnFormula>
    </tableColumn>
  </tableColumns>
  <tableStyleInfo name="TableStyleLight10"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4F731F5-9A61-4A3C-A0CD-4F447986E27B}" name="JobHoppingAvg" displayName="JobHoppingAvg" ref="S2:T11" totalsRowShown="0" headerRowDxfId="3" dataDxfId="2">
  <autoFilter ref="S2:T11" xr:uid="{B4F731F5-9A61-4A3C-A0CD-4F447986E27B}"/>
  <tableColumns count="2">
    <tableColumn id="1" xr3:uid="{1D4D0898-5851-47E3-97D4-09C98B70723D}" name="Age Group" dataDxfId="1"/>
    <tableColumn id="2" xr3:uid="{966F8474-449D-442D-A7AA-ED23DFA6D69D}" name="FH/FV" dataDxfId="0">
      <calculatedColumnFormula>SUMIFS(Q:Q,N:N,S3)/(MAX($M$3:$M$101)-MIN($M$3:$M$101))</calculatedColumnFormula>
    </tableColumn>
  </tableColumns>
  <tableStyleInfo name="TableStyleLight10"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8.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drawing" Target="../drawings/drawing2.xml"/></Relationships>
</file>

<file path=xl/worksheets/_rels/sheet19.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drawing" Target="../drawings/drawing3.xml"/></Relationships>
</file>

<file path=xl/worksheets/_rels/sheet20.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2CF78F-1C0D-4BC5-A49C-ED9FDDBB5B8B}">
  <sheetPr>
    <tabColor theme="7" tint="0.79998168889431442"/>
  </sheetPr>
  <dimension ref="B3:C10"/>
  <sheetViews>
    <sheetView workbookViewId="0">
      <selection activeCell="B7" sqref="B7"/>
    </sheetView>
  </sheetViews>
  <sheetFormatPr defaultColWidth="8.7265625" defaultRowHeight="14.5" x14ac:dyDescent="0.35"/>
  <cols>
    <col min="1" max="1" width="8.7265625" style="1"/>
    <col min="2" max="2" width="20.54296875" style="1" bestFit="1" customWidth="1"/>
    <col min="3" max="16384" width="8.7265625" style="1"/>
  </cols>
  <sheetData>
    <row r="3" spans="2:3" ht="23.5" x14ac:dyDescent="0.55000000000000004">
      <c r="B3" s="13" t="s">
        <v>47</v>
      </c>
    </row>
    <row r="4" spans="2:3" x14ac:dyDescent="0.35">
      <c r="B4" s="11" t="s">
        <v>52</v>
      </c>
    </row>
    <row r="5" spans="2:3" x14ac:dyDescent="0.35">
      <c r="B5" s="12" t="s">
        <v>51</v>
      </c>
      <c r="C5" s="1" t="s">
        <v>48</v>
      </c>
    </row>
    <row r="6" spans="2:3" x14ac:dyDescent="0.35">
      <c r="B6" s="17" t="s">
        <v>60</v>
      </c>
      <c r="C6" s="1" t="s">
        <v>61</v>
      </c>
    </row>
    <row r="8" spans="2:3" ht="23.5" x14ac:dyDescent="0.55000000000000004">
      <c r="B8" s="13" t="s">
        <v>49</v>
      </c>
    </row>
    <row r="9" spans="2:3" x14ac:dyDescent="0.35">
      <c r="B9" s="14" t="s">
        <v>50</v>
      </c>
    </row>
    <row r="10" spans="2:3" x14ac:dyDescent="0.35">
      <c r="B10" s="15" t="s">
        <v>53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C5E26-0D27-4F2D-BD5C-FE681A33A0C8}">
  <sheetPr>
    <tabColor theme="7" tint="0.79998168889431442"/>
  </sheetPr>
  <dimension ref="B2:F53"/>
  <sheetViews>
    <sheetView topLeftCell="A2" workbookViewId="0">
      <selection activeCell="F4" sqref="F4"/>
    </sheetView>
  </sheetViews>
  <sheetFormatPr defaultColWidth="8.7265625" defaultRowHeight="14.5" x14ac:dyDescent="0.35"/>
  <cols>
    <col min="1" max="1" width="3.453125" style="1" customWidth="1"/>
    <col min="2" max="2" width="8.7265625" style="1"/>
    <col min="3" max="3" width="13.1796875" style="1" customWidth="1"/>
    <col min="4" max="4" width="11.54296875" style="1" customWidth="1"/>
    <col min="5" max="5" width="11.26953125" style="1" customWidth="1"/>
    <col min="6" max="6" width="16.26953125" style="1" customWidth="1"/>
    <col min="7" max="16384" width="8.7265625" style="1"/>
  </cols>
  <sheetData>
    <row r="2" spans="2:6" x14ac:dyDescent="0.35">
      <c r="B2" s="2" t="s">
        <v>0</v>
      </c>
      <c r="C2" s="2" t="s">
        <v>1</v>
      </c>
      <c r="D2" s="2" t="s">
        <v>2</v>
      </c>
      <c r="E2" s="2" t="s">
        <v>3</v>
      </c>
      <c r="F2" s="2" t="s">
        <v>4</v>
      </c>
    </row>
    <row r="3" spans="2:6" x14ac:dyDescent="0.35">
      <c r="B3" s="2">
        <v>1</v>
      </c>
      <c r="C3" s="2">
        <v>2025</v>
      </c>
      <c r="D3" s="2">
        <v>25</v>
      </c>
      <c r="E3" s="2">
        <v>40</v>
      </c>
      <c r="F3" s="2" t="s">
        <v>64</v>
      </c>
    </row>
    <row r="4" spans="2:6" x14ac:dyDescent="0.35">
      <c r="B4" s="2">
        <v>2</v>
      </c>
      <c r="C4" s="2">
        <v>2026</v>
      </c>
      <c r="D4" s="2">
        <f>D3+1</f>
        <v>26</v>
      </c>
      <c r="E4" s="2">
        <f>E3+1</f>
        <v>41</v>
      </c>
      <c r="F4" s="2" t="s">
        <v>64</v>
      </c>
    </row>
    <row r="5" spans="2:6" x14ac:dyDescent="0.35">
      <c r="B5" s="2">
        <v>3</v>
      </c>
      <c r="C5" s="2">
        <v>2027</v>
      </c>
      <c r="D5" s="2">
        <f t="shared" ref="D5:D16" si="0">D4+1</f>
        <v>27</v>
      </c>
      <c r="E5" s="2">
        <f t="shared" ref="E5:E16" si="1">E4+1</f>
        <v>42</v>
      </c>
      <c r="F5" s="2" t="s">
        <v>64</v>
      </c>
    </row>
    <row r="6" spans="2:6" x14ac:dyDescent="0.35">
      <c r="B6" s="2">
        <v>4</v>
      </c>
      <c r="C6" s="2">
        <v>2028</v>
      </c>
      <c r="D6" s="2">
        <f t="shared" si="0"/>
        <v>28</v>
      </c>
      <c r="E6" s="2">
        <f t="shared" si="1"/>
        <v>43</v>
      </c>
      <c r="F6" s="2" t="s">
        <v>64</v>
      </c>
    </row>
    <row r="7" spans="2:6" x14ac:dyDescent="0.35">
      <c r="B7" s="2">
        <v>5</v>
      </c>
      <c r="C7" s="2">
        <v>2029</v>
      </c>
      <c r="D7" s="2">
        <f t="shared" si="0"/>
        <v>29</v>
      </c>
      <c r="E7" s="2">
        <f t="shared" si="1"/>
        <v>44</v>
      </c>
      <c r="F7" s="2" t="s">
        <v>64</v>
      </c>
    </row>
    <row r="8" spans="2:6" x14ac:dyDescent="0.35">
      <c r="B8" s="2">
        <v>6</v>
      </c>
      <c r="C8" s="2">
        <v>2030</v>
      </c>
      <c r="D8" s="2">
        <f t="shared" si="0"/>
        <v>30</v>
      </c>
      <c r="E8" s="2">
        <f t="shared" si="1"/>
        <v>45</v>
      </c>
      <c r="F8" s="2" t="s">
        <v>64</v>
      </c>
    </row>
    <row r="9" spans="2:6" x14ac:dyDescent="0.35">
      <c r="B9" s="2">
        <v>7</v>
      </c>
      <c r="C9" s="2">
        <v>2031</v>
      </c>
      <c r="D9" s="2">
        <f t="shared" si="0"/>
        <v>31</v>
      </c>
      <c r="E9" s="2">
        <f t="shared" si="1"/>
        <v>46</v>
      </c>
      <c r="F9" s="2" t="s">
        <v>64</v>
      </c>
    </row>
    <row r="10" spans="2:6" x14ac:dyDescent="0.35">
      <c r="B10" s="2">
        <v>8</v>
      </c>
      <c r="C10" s="2">
        <v>2032</v>
      </c>
      <c r="D10" s="2">
        <f t="shared" si="0"/>
        <v>32</v>
      </c>
      <c r="E10" s="2">
        <f t="shared" si="1"/>
        <v>47</v>
      </c>
      <c r="F10" s="2" t="s">
        <v>64</v>
      </c>
    </row>
    <row r="11" spans="2:6" x14ac:dyDescent="0.35">
      <c r="B11" s="2">
        <v>9</v>
      </c>
      <c r="C11" s="2">
        <v>2033</v>
      </c>
      <c r="D11" s="2">
        <f t="shared" si="0"/>
        <v>33</v>
      </c>
      <c r="E11" s="2">
        <f t="shared" si="1"/>
        <v>48</v>
      </c>
      <c r="F11" s="2" t="s">
        <v>64</v>
      </c>
    </row>
    <row r="12" spans="2:6" x14ac:dyDescent="0.35">
      <c r="B12" s="2">
        <v>10</v>
      </c>
      <c r="C12" s="2">
        <v>2034</v>
      </c>
      <c r="D12" s="2">
        <f t="shared" si="0"/>
        <v>34</v>
      </c>
      <c r="E12" s="2">
        <f t="shared" si="1"/>
        <v>49</v>
      </c>
      <c r="F12" s="2" t="s">
        <v>64</v>
      </c>
    </row>
    <row r="13" spans="2:6" x14ac:dyDescent="0.35">
      <c r="B13" s="2">
        <v>11</v>
      </c>
      <c r="C13" s="2">
        <v>2035</v>
      </c>
      <c r="D13" s="2">
        <f t="shared" si="0"/>
        <v>35</v>
      </c>
      <c r="E13" s="2">
        <f t="shared" si="1"/>
        <v>50</v>
      </c>
      <c r="F13" s="2" t="s">
        <v>64</v>
      </c>
    </row>
    <row r="14" spans="2:6" x14ac:dyDescent="0.35">
      <c r="B14" s="2">
        <v>12</v>
      </c>
      <c r="C14" s="2">
        <v>2036</v>
      </c>
      <c r="D14" s="2">
        <f t="shared" si="0"/>
        <v>36</v>
      </c>
      <c r="E14" s="2">
        <f t="shared" si="1"/>
        <v>51</v>
      </c>
      <c r="F14" s="2" t="s">
        <v>64</v>
      </c>
    </row>
    <row r="15" spans="2:6" x14ac:dyDescent="0.35">
      <c r="B15" s="2">
        <v>13</v>
      </c>
      <c r="C15" s="2">
        <v>2037</v>
      </c>
      <c r="D15" s="2">
        <f t="shared" si="0"/>
        <v>37</v>
      </c>
      <c r="E15" s="2">
        <f t="shared" si="1"/>
        <v>52</v>
      </c>
      <c r="F15" s="2" t="s">
        <v>64</v>
      </c>
    </row>
    <row r="16" spans="2:6" x14ac:dyDescent="0.35">
      <c r="B16" s="2">
        <v>14</v>
      </c>
      <c r="C16" s="2">
        <v>2038</v>
      </c>
      <c r="D16" s="2">
        <f t="shared" si="0"/>
        <v>38</v>
      </c>
      <c r="E16" s="2">
        <f t="shared" si="1"/>
        <v>53</v>
      </c>
      <c r="F16" s="2" t="s">
        <v>64</v>
      </c>
    </row>
    <row r="17" spans="2:6" x14ac:dyDescent="0.35">
      <c r="B17" s="2">
        <v>15</v>
      </c>
      <c r="C17" s="2">
        <v>2039</v>
      </c>
      <c r="D17" s="2">
        <f>D16+1</f>
        <v>39</v>
      </c>
      <c r="E17" s="2">
        <f>E16+1</f>
        <v>54</v>
      </c>
      <c r="F17" s="2" t="s">
        <v>64</v>
      </c>
    </row>
    <row r="18" spans="2:6" x14ac:dyDescent="0.35">
      <c r="B18" s="2">
        <v>16</v>
      </c>
      <c r="C18" s="2">
        <v>2040</v>
      </c>
      <c r="D18" s="2">
        <f t="shared" ref="D18:D28" si="2">D17+1</f>
        <v>40</v>
      </c>
      <c r="E18" s="2">
        <f t="shared" ref="E18:E28" si="3">E17+1</f>
        <v>55</v>
      </c>
      <c r="F18" s="2" t="s">
        <v>64</v>
      </c>
    </row>
    <row r="19" spans="2:6" x14ac:dyDescent="0.35">
      <c r="B19" s="2">
        <v>17</v>
      </c>
      <c r="C19" s="2">
        <v>2041</v>
      </c>
      <c r="D19" s="2">
        <f t="shared" si="2"/>
        <v>41</v>
      </c>
      <c r="E19" s="2">
        <f t="shared" si="3"/>
        <v>56</v>
      </c>
      <c r="F19" s="2" t="s">
        <v>64</v>
      </c>
    </row>
    <row r="20" spans="2:6" x14ac:dyDescent="0.35">
      <c r="B20" s="2">
        <v>18</v>
      </c>
      <c r="C20" s="2">
        <v>2042</v>
      </c>
      <c r="D20" s="2">
        <f t="shared" si="2"/>
        <v>42</v>
      </c>
      <c r="E20" s="2">
        <f t="shared" si="3"/>
        <v>57</v>
      </c>
      <c r="F20" s="2" t="s">
        <v>64</v>
      </c>
    </row>
    <row r="21" spans="2:6" x14ac:dyDescent="0.35">
      <c r="B21" s="2">
        <v>19</v>
      </c>
      <c r="C21" s="2">
        <v>2043</v>
      </c>
      <c r="D21" s="2">
        <f t="shared" si="2"/>
        <v>43</v>
      </c>
      <c r="E21" s="2">
        <f t="shared" si="3"/>
        <v>58</v>
      </c>
      <c r="F21" s="2" t="s">
        <v>64</v>
      </c>
    </row>
    <row r="22" spans="2:6" x14ac:dyDescent="0.35">
      <c r="B22" s="2">
        <v>20</v>
      </c>
      <c r="C22" s="2">
        <v>2044</v>
      </c>
      <c r="D22" s="2">
        <f t="shared" si="2"/>
        <v>44</v>
      </c>
      <c r="E22" s="2">
        <f t="shared" si="3"/>
        <v>59</v>
      </c>
      <c r="F22" s="2" t="s">
        <v>64</v>
      </c>
    </row>
    <row r="23" spans="2:6" x14ac:dyDescent="0.35">
      <c r="B23" s="2">
        <v>21</v>
      </c>
      <c r="C23" s="2">
        <v>2045</v>
      </c>
      <c r="D23" s="2">
        <f t="shared" si="2"/>
        <v>45</v>
      </c>
      <c r="E23" s="2">
        <f t="shared" si="3"/>
        <v>60</v>
      </c>
      <c r="F23" s="2" t="s">
        <v>64</v>
      </c>
    </row>
    <row r="24" spans="2:6" x14ac:dyDescent="0.35">
      <c r="B24" s="2">
        <v>22</v>
      </c>
      <c r="C24" s="2">
        <v>2046</v>
      </c>
      <c r="D24" s="2">
        <f t="shared" si="2"/>
        <v>46</v>
      </c>
      <c r="E24" s="2">
        <f t="shared" si="3"/>
        <v>61</v>
      </c>
      <c r="F24" s="2" t="s">
        <v>64</v>
      </c>
    </row>
    <row r="25" spans="2:6" x14ac:dyDescent="0.35">
      <c r="B25" s="2">
        <v>23</v>
      </c>
      <c r="C25" s="2">
        <v>2047</v>
      </c>
      <c r="D25" s="2">
        <f t="shared" si="2"/>
        <v>47</v>
      </c>
      <c r="E25" s="2">
        <f t="shared" si="3"/>
        <v>62</v>
      </c>
      <c r="F25" s="2" t="s">
        <v>64</v>
      </c>
    </row>
    <row r="26" spans="2:6" x14ac:dyDescent="0.35">
      <c r="B26" s="2">
        <v>24</v>
      </c>
      <c r="C26" s="2">
        <v>2048</v>
      </c>
      <c r="D26" s="2">
        <f t="shared" si="2"/>
        <v>48</v>
      </c>
      <c r="E26" s="2">
        <f t="shared" si="3"/>
        <v>63</v>
      </c>
      <c r="F26" s="2" t="s">
        <v>64</v>
      </c>
    </row>
    <row r="27" spans="2:6" x14ac:dyDescent="0.35">
      <c r="B27" s="2">
        <v>25</v>
      </c>
      <c r="C27" s="2">
        <v>2049</v>
      </c>
      <c r="D27" s="2">
        <f t="shared" si="2"/>
        <v>49</v>
      </c>
      <c r="E27" s="2">
        <f t="shared" si="3"/>
        <v>64</v>
      </c>
      <c r="F27" s="2" t="s">
        <v>64</v>
      </c>
    </row>
    <row r="28" spans="2:6" x14ac:dyDescent="0.35">
      <c r="B28" s="2">
        <v>26</v>
      </c>
      <c r="C28" s="2">
        <v>2050</v>
      </c>
      <c r="D28" s="2">
        <f t="shared" si="2"/>
        <v>50</v>
      </c>
      <c r="E28" s="2">
        <f t="shared" si="3"/>
        <v>65</v>
      </c>
      <c r="F28" s="2" t="s">
        <v>64</v>
      </c>
    </row>
    <row r="29" spans="2:6" x14ac:dyDescent="0.35">
      <c r="B29" s="2">
        <v>27</v>
      </c>
      <c r="C29" s="2">
        <v>2051</v>
      </c>
      <c r="D29" s="2">
        <f t="shared" ref="D29:D32" si="4">D28+1</f>
        <v>51</v>
      </c>
      <c r="E29" s="2">
        <f t="shared" ref="E29:E32" si="5">E28+1</f>
        <v>66</v>
      </c>
      <c r="F29" s="2" t="s">
        <v>64</v>
      </c>
    </row>
    <row r="30" spans="2:6" x14ac:dyDescent="0.35">
      <c r="B30" s="2">
        <v>28</v>
      </c>
      <c r="C30" s="2">
        <v>2052</v>
      </c>
      <c r="D30" s="2">
        <f t="shared" si="4"/>
        <v>52</v>
      </c>
      <c r="E30" s="2">
        <f t="shared" si="5"/>
        <v>67</v>
      </c>
      <c r="F30" s="2" t="s">
        <v>64</v>
      </c>
    </row>
    <row r="31" spans="2:6" x14ac:dyDescent="0.35">
      <c r="B31" s="2">
        <v>29</v>
      </c>
      <c r="C31" s="2">
        <v>2053</v>
      </c>
      <c r="D31" s="2">
        <f t="shared" si="4"/>
        <v>53</v>
      </c>
      <c r="E31" s="2">
        <f t="shared" si="5"/>
        <v>68</v>
      </c>
      <c r="F31" s="2" t="s">
        <v>64</v>
      </c>
    </row>
    <row r="32" spans="2:6" x14ac:dyDescent="0.35">
      <c r="B32" s="2">
        <v>30</v>
      </c>
      <c r="C32" s="2">
        <v>2054</v>
      </c>
      <c r="D32" s="2">
        <f t="shared" si="4"/>
        <v>54</v>
      </c>
      <c r="E32" s="2">
        <f t="shared" si="5"/>
        <v>69</v>
      </c>
      <c r="F32" s="2" t="s">
        <v>64</v>
      </c>
    </row>
    <row r="33" spans="2:6" x14ac:dyDescent="0.35">
      <c r="B33" s="2">
        <v>31</v>
      </c>
      <c r="C33" s="2">
        <v>2055</v>
      </c>
      <c r="D33" s="2">
        <f t="shared" ref="D33:D43" si="6">D32+1</f>
        <v>55</v>
      </c>
      <c r="E33" s="2">
        <f t="shared" ref="E33:E43" si="7">E32+1</f>
        <v>70</v>
      </c>
      <c r="F33" s="2" t="s">
        <v>64</v>
      </c>
    </row>
    <row r="34" spans="2:6" x14ac:dyDescent="0.35">
      <c r="B34" s="2">
        <v>32</v>
      </c>
      <c r="C34" s="2">
        <v>2056</v>
      </c>
      <c r="D34" s="2">
        <f t="shared" si="6"/>
        <v>56</v>
      </c>
      <c r="E34" s="2">
        <f t="shared" si="7"/>
        <v>71</v>
      </c>
      <c r="F34" s="2" t="s">
        <v>64</v>
      </c>
    </row>
    <row r="35" spans="2:6" x14ac:dyDescent="0.35">
      <c r="B35" s="2">
        <v>33</v>
      </c>
      <c r="C35" s="2">
        <v>2057</v>
      </c>
      <c r="D35" s="2">
        <f t="shared" si="6"/>
        <v>57</v>
      </c>
      <c r="E35" s="2">
        <f t="shared" si="7"/>
        <v>72</v>
      </c>
      <c r="F35" s="2" t="s">
        <v>64</v>
      </c>
    </row>
    <row r="36" spans="2:6" x14ac:dyDescent="0.35">
      <c r="B36" s="2">
        <v>34</v>
      </c>
      <c r="C36" s="2">
        <v>2058</v>
      </c>
      <c r="D36" s="2">
        <f t="shared" si="6"/>
        <v>58</v>
      </c>
      <c r="E36" s="2">
        <f t="shared" si="7"/>
        <v>73</v>
      </c>
      <c r="F36" s="2" t="s">
        <v>64</v>
      </c>
    </row>
    <row r="37" spans="2:6" x14ac:dyDescent="0.35">
      <c r="B37" s="2">
        <v>35</v>
      </c>
      <c r="C37" s="2">
        <v>2059</v>
      </c>
      <c r="D37" s="2">
        <f t="shared" si="6"/>
        <v>59</v>
      </c>
      <c r="E37" s="2">
        <f t="shared" si="7"/>
        <v>74</v>
      </c>
      <c r="F37" s="2" t="s">
        <v>64</v>
      </c>
    </row>
    <row r="38" spans="2:6" x14ac:dyDescent="0.35">
      <c r="B38" s="2">
        <v>36</v>
      </c>
      <c r="C38" s="2">
        <v>2060</v>
      </c>
      <c r="D38" s="2">
        <f t="shared" si="6"/>
        <v>60</v>
      </c>
      <c r="E38" s="2">
        <f t="shared" si="7"/>
        <v>75</v>
      </c>
      <c r="F38" s="2" t="s">
        <v>64</v>
      </c>
    </row>
    <row r="39" spans="2:6" x14ac:dyDescent="0.35">
      <c r="B39" s="2">
        <v>37</v>
      </c>
      <c r="C39" s="2">
        <v>2061</v>
      </c>
      <c r="D39" s="2">
        <f t="shared" si="6"/>
        <v>61</v>
      </c>
      <c r="E39" s="2">
        <f t="shared" si="7"/>
        <v>76</v>
      </c>
      <c r="F39" s="2" t="s">
        <v>64</v>
      </c>
    </row>
    <row r="40" spans="2:6" x14ac:dyDescent="0.35">
      <c r="B40" s="2">
        <v>38</v>
      </c>
      <c r="C40" s="2">
        <v>2062</v>
      </c>
      <c r="D40" s="2">
        <f t="shared" si="6"/>
        <v>62</v>
      </c>
      <c r="E40" s="2">
        <f t="shared" si="7"/>
        <v>77</v>
      </c>
      <c r="F40" s="2" t="s">
        <v>64</v>
      </c>
    </row>
    <row r="41" spans="2:6" x14ac:dyDescent="0.35">
      <c r="B41" s="2">
        <v>39</v>
      </c>
      <c r="C41" s="2">
        <v>2063</v>
      </c>
      <c r="D41" s="2">
        <f t="shared" si="6"/>
        <v>63</v>
      </c>
      <c r="E41" s="2">
        <f t="shared" si="7"/>
        <v>78</v>
      </c>
      <c r="F41" s="2" t="s">
        <v>64</v>
      </c>
    </row>
    <row r="42" spans="2:6" x14ac:dyDescent="0.35">
      <c r="B42" s="2">
        <v>40</v>
      </c>
      <c r="C42" s="2">
        <v>2064</v>
      </c>
      <c r="D42" s="2">
        <f t="shared" si="6"/>
        <v>64</v>
      </c>
      <c r="E42" s="2">
        <f t="shared" si="7"/>
        <v>79</v>
      </c>
      <c r="F42" s="2" t="s">
        <v>64</v>
      </c>
    </row>
    <row r="43" spans="2:6" x14ac:dyDescent="0.35">
      <c r="B43" s="2">
        <v>41</v>
      </c>
      <c r="C43" s="2">
        <v>2065</v>
      </c>
      <c r="D43" s="2">
        <f t="shared" si="6"/>
        <v>65</v>
      </c>
      <c r="E43" s="2">
        <f t="shared" si="7"/>
        <v>80</v>
      </c>
      <c r="F43" s="2" t="s">
        <v>64</v>
      </c>
    </row>
    <row r="44" spans="2:6" x14ac:dyDescent="0.35">
      <c r="B44" s="2">
        <v>42</v>
      </c>
      <c r="C44" s="2">
        <v>2066</v>
      </c>
      <c r="D44" s="2">
        <f t="shared" ref="D44:D53" si="8">D43+1</f>
        <v>66</v>
      </c>
      <c r="E44" s="2">
        <f t="shared" ref="E44:E53" si="9">E43+1</f>
        <v>81</v>
      </c>
      <c r="F44" s="2" t="s">
        <v>64</v>
      </c>
    </row>
    <row r="45" spans="2:6" x14ac:dyDescent="0.35">
      <c r="B45" s="2">
        <v>43</v>
      </c>
      <c r="C45" s="2">
        <v>2067</v>
      </c>
      <c r="D45" s="2">
        <f t="shared" si="8"/>
        <v>67</v>
      </c>
      <c r="E45" s="2">
        <f t="shared" si="9"/>
        <v>82</v>
      </c>
      <c r="F45" s="2" t="s">
        <v>64</v>
      </c>
    </row>
    <row r="46" spans="2:6" x14ac:dyDescent="0.35">
      <c r="B46" s="2">
        <v>44</v>
      </c>
      <c r="C46" s="2">
        <v>2068</v>
      </c>
      <c r="D46" s="2">
        <f t="shared" si="8"/>
        <v>68</v>
      </c>
      <c r="E46" s="2">
        <f t="shared" si="9"/>
        <v>83</v>
      </c>
      <c r="F46" s="2" t="s">
        <v>64</v>
      </c>
    </row>
    <row r="47" spans="2:6" x14ac:dyDescent="0.35">
      <c r="B47" s="2">
        <v>45</v>
      </c>
      <c r="C47" s="2">
        <v>2069</v>
      </c>
      <c r="D47" s="2">
        <f t="shared" si="8"/>
        <v>69</v>
      </c>
      <c r="E47" s="2">
        <f t="shared" si="9"/>
        <v>84</v>
      </c>
      <c r="F47" s="2" t="s">
        <v>64</v>
      </c>
    </row>
    <row r="48" spans="2:6" x14ac:dyDescent="0.35">
      <c r="B48" s="2">
        <v>46</v>
      </c>
      <c r="C48" s="2">
        <v>2070</v>
      </c>
      <c r="D48" s="2">
        <f t="shared" si="8"/>
        <v>70</v>
      </c>
      <c r="E48" s="2">
        <f t="shared" si="9"/>
        <v>85</v>
      </c>
      <c r="F48" s="2" t="s">
        <v>64</v>
      </c>
    </row>
    <row r="49" spans="2:6" x14ac:dyDescent="0.35">
      <c r="B49" s="2">
        <v>47</v>
      </c>
      <c r="C49" s="2">
        <v>2071</v>
      </c>
      <c r="D49" s="2">
        <f t="shared" si="8"/>
        <v>71</v>
      </c>
      <c r="E49" s="2">
        <f t="shared" si="9"/>
        <v>86</v>
      </c>
      <c r="F49" s="2" t="s">
        <v>64</v>
      </c>
    </row>
    <row r="50" spans="2:6" x14ac:dyDescent="0.35">
      <c r="B50" s="2">
        <v>48</v>
      </c>
      <c r="C50" s="2">
        <v>2072</v>
      </c>
      <c r="D50" s="2">
        <f t="shared" si="8"/>
        <v>72</v>
      </c>
      <c r="E50" s="2">
        <f t="shared" si="9"/>
        <v>87</v>
      </c>
      <c r="F50" s="2" t="s">
        <v>64</v>
      </c>
    </row>
    <row r="51" spans="2:6" x14ac:dyDescent="0.35">
      <c r="B51" s="2">
        <v>49</v>
      </c>
      <c r="C51" s="2">
        <v>2073</v>
      </c>
      <c r="D51" s="2">
        <f t="shared" si="8"/>
        <v>73</v>
      </c>
      <c r="E51" s="2">
        <f t="shared" si="9"/>
        <v>88</v>
      </c>
      <c r="F51" s="2" t="s">
        <v>64</v>
      </c>
    </row>
    <row r="52" spans="2:6" x14ac:dyDescent="0.35">
      <c r="B52" s="2">
        <v>50</v>
      </c>
      <c r="C52" s="2">
        <v>2074</v>
      </c>
      <c r="D52" s="2">
        <f t="shared" si="8"/>
        <v>74</v>
      </c>
      <c r="E52" s="2">
        <f t="shared" si="9"/>
        <v>89</v>
      </c>
      <c r="F52" s="2" t="s">
        <v>64</v>
      </c>
    </row>
    <row r="53" spans="2:6" x14ac:dyDescent="0.35">
      <c r="B53" s="2">
        <v>51</v>
      </c>
      <c r="C53" s="2">
        <v>2075</v>
      </c>
      <c r="D53" s="2">
        <f t="shared" si="8"/>
        <v>75</v>
      </c>
      <c r="E53" s="2">
        <f t="shared" si="9"/>
        <v>90</v>
      </c>
      <c r="F53" s="2" t="s">
        <v>64</v>
      </c>
    </row>
  </sheetData>
  <pageMargins left="0.7" right="0.7" top="0.75" bottom="0.75" header="0.3" footer="0.3"/>
  <ignoredErrors>
    <ignoredError sqref="D3:E3" calculatedColumn="1"/>
  </ignoredErrors>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9F8528-0F7E-42C6-90C6-302918AB96EC}">
  <dimension ref="A1:AY3"/>
  <sheetViews>
    <sheetView workbookViewId="0">
      <selection activeCell="C2" sqref="C2"/>
    </sheetView>
  </sheetViews>
  <sheetFormatPr defaultRowHeight="14.5" x14ac:dyDescent="0.35"/>
  <sheetData>
    <row r="1" spans="1:51" x14ac:dyDescent="0.35">
      <c r="A1" s="30"/>
      <c r="B1" t="s">
        <v>108</v>
      </c>
      <c r="C1" t="s">
        <v>109</v>
      </c>
      <c r="D1" t="s">
        <v>110</v>
      </c>
      <c r="E1" t="s">
        <v>111</v>
      </c>
      <c r="F1" t="s">
        <v>112</v>
      </c>
      <c r="G1" t="s">
        <v>113</v>
      </c>
      <c r="H1" t="s">
        <v>114</v>
      </c>
      <c r="I1" t="s">
        <v>115</v>
      </c>
      <c r="J1" t="s">
        <v>116</v>
      </c>
      <c r="K1" t="s">
        <v>117</v>
      </c>
      <c r="L1" t="s">
        <v>118</v>
      </c>
      <c r="M1" t="s">
        <v>119</v>
      </c>
      <c r="N1" t="s">
        <v>120</v>
      </c>
      <c r="O1" t="s">
        <v>121</v>
      </c>
      <c r="P1" t="s">
        <v>122</v>
      </c>
      <c r="Q1" t="s">
        <v>123</v>
      </c>
      <c r="R1" t="s">
        <v>124</v>
      </c>
      <c r="S1" t="s">
        <v>125</v>
      </c>
      <c r="T1" t="s">
        <v>126</v>
      </c>
      <c r="U1" t="s">
        <v>127</v>
      </c>
      <c r="V1" t="s">
        <v>128</v>
      </c>
      <c r="W1" t="s">
        <v>129</v>
      </c>
      <c r="X1" t="s">
        <v>130</v>
      </c>
      <c r="Y1" t="s">
        <v>131</v>
      </c>
      <c r="Z1" t="s">
        <v>132</v>
      </c>
      <c r="AA1" t="s">
        <v>133</v>
      </c>
      <c r="AB1" t="s">
        <v>134</v>
      </c>
      <c r="AC1" t="s">
        <v>135</v>
      </c>
      <c r="AD1" t="s">
        <v>136</v>
      </c>
      <c r="AE1" t="s">
        <v>137</v>
      </c>
      <c r="AF1" t="s">
        <v>138</v>
      </c>
      <c r="AG1" t="s">
        <v>139</v>
      </c>
      <c r="AH1" t="s">
        <v>140</v>
      </c>
      <c r="AI1" t="s">
        <v>141</v>
      </c>
      <c r="AJ1" t="s">
        <v>142</v>
      </c>
      <c r="AK1" t="s">
        <v>143</v>
      </c>
      <c r="AL1" t="s">
        <v>144</v>
      </c>
      <c r="AM1" t="s">
        <v>145</v>
      </c>
      <c r="AN1" t="s">
        <v>146</v>
      </c>
      <c r="AO1" t="s">
        <v>147</v>
      </c>
      <c r="AP1" t="s">
        <v>148</v>
      </c>
      <c r="AQ1" t="s">
        <v>149</v>
      </c>
      <c r="AR1" t="s">
        <v>150</v>
      </c>
      <c r="AS1" t="s">
        <v>151</v>
      </c>
      <c r="AT1" t="s">
        <v>152</v>
      </c>
      <c r="AU1" t="s">
        <v>153</v>
      </c>
      <c r="AV1" t="s">
        <v>154</v>
      </c>
      <c r="AW1" t="s">
        <v>155</v>
      </c>
      <c r="AX1" t="s">
        <v>156</v>
      </c>
      <c r="AY1" t="s">
        <v>157</v>
      </c>
    </row>
    <row r="2" spans="1:51" x14ac:dyDescent="0.35">
      <c r="A2" t="s">
        <v>81</v>
      </c>
      <c r="B2">
        <v>0</v>
      </c>
      <c r="C2" cm="1">
        <f t="array" ref="C2:AV2">TRANSPOSE(TableIncome[InvestmentP1])</f>
        <v>52645.200000000004</v>
      </c>
      <c r="D2">
        <v>53171.652000000002</v>
      </c>
      <c r="E2">
        <v>59020.533719999999</v>
      </c>
      <c r="F2">
        <v>59610.7390572</v>
      </c>
      <c r="G2">
        <v>60206.846447771997</v>
      </c>
      <c r="H2">
        <v>60808.914912249718</v>
      </c>
      <c r="I2">
        <v>67497.895552597183</v>
      </c>
      <c r="J2">
        <v>68172.874508123146</v>
      </c>
      <c r="K2">
        <v>68854.603253204376</v>
      </c>
      <c r="L2">
        <v>69543.149285736421</v>
      </c>
      <c r="M2">
        <v>77192.895707167438</v>
      </c>
      <c r="N2">
        <v>77964.824664239117</v>
      </c>
      <c r="O2">
        <v>78744.472910881508</v>
      </c>
      <c r="P2">
        <v>79531.917639990323</v>
      </c>
      <c r="Q2">
        <v>88280.428580389256</v>
      </c>
      <c r="R2">
        <v>89163.232866193153</v>
      </c>
      <c r="S2">
        <v>90054.865194855098</v>
      </c>
      <c r="T2">
        <v>90955.413846803654</v>
      </c>
      <c r="U2">
        <v>100960.50936995204</v>
      </c>
      <c r="V2">
        <v>101970.11446365155</v>
      </c>
      <c r="W2">
        <v>102989.81560828809</v>
      </c>
      <c r="X2">
        <v>104019.71376437096</v>
      </c>
      <c r="Y2">
        <v>115461.88227845177</v>
      </c>
      <c r="Z2">
        <v>116616.50110123628</v>
      </c>
      <c r="AA2">
        <v>117782.66611224865</v>
      </c>
      <c r="AB2">
        <v>118960.49277337115</v>
      </c>
      <c r="AC2">
        <v>120150.09770110488</v>
      </c>
      <c r="AD2">
        <v>121351.5986781159</v>
      </c>
      <c r="AE2">
        <v>122565.11466489708</v>
      </c>
      <c r="AF2">
        <v>123790.76581154604</v>
      </c>
      <c r="AG2">
        <v>125028.6734696615</v>
      </c>
      <c r="AH2">
        <v>126278.96020435813</v>
      </c>
      <c r="AI2">
        <v>127541.7498064017</v>
      </c>
      <c r="AJ2">
        <v>128817.16730446572</v>
      </c>
      <c r="AK2">
        <v>130105.33897751037</v>
      </c>
      <c r="AL2">
        <v>144416.92626503651</v>
      </c>
      <c r="AM2">
        <v>145861.09552768685</v>
      </c>
      <c r="AN2">
        <v>147319.70648296372</v>
      </c>
      <c r="AO2">
        <v>148792.90354779336</v>
      </c>
      <c r="AP2">
        <v>150280.83258327132</v>
      </c>
      <c r="AQ2">
        <v>151783.64090910403</v>
      </c>
      <c r="AR2">
        <v>153301.47731819507</v>
      </c>
      <c r="AS2">
        <v>154834.49209137703</v>
      </c>
      <c r="AT2">
        <v>156382.83701229081</v>
      </c>
      <c r="AU2">
        <v>157946.66538241372</v>
      </c>
      <c r="AV2">
        <v>0</v>
      </c>
    </row>
    <row r="3" spans="1:51" x14ac:dyDescent="0.35">
      <c r="A3" t="s">
        <v>80</v>
      </c>
      <c r="B3">
        <v>200000</v>
      </c>
      <c r="C3" cm="1">
        <f t="array" ref="C3:AV3">TRANSPOSE(TableIncome[InvestmentP2])</f>
        <v>76801.2</v>
      </c>
      <c r="D3">
        <v>77569.212</v>
      </c>
      <c r="E3">
        <v>78344.904120000007</v>
      </c>
      <c r="F3">
        <v>86962.843573200007</v>
      </c>
      <c r="G3">
        <v>87832.472008932018</v>
      </c>
      <c r="H3">
        <v>88710.796729021313</v>
      </c>
      <c r="I3">
        <v>89597.90469631154</v>
      </c>
      <c r="J3">
        <v>99453.674212905811</v>
      </c>
      <c r="K3">
        <v>100448.21095503487</v>
      </c>
      <c r="L3">
        <v>101452.69306458521</v>
      </c>
      <c r="M3">
        <v>102467.21999523108</v>
      </c>
      <c r="N3">
        <v>103491.89219518339</v>
      </c>
      <c r="O3">
        <v>104526.81111713522</v>
      </c>
      <c r="P3">
        <v>105572.07922830657</v>
      </c>
      <c r="Q3">
        <v>106627.80002058964</v>
      </c>
      <c r="R3">
        <v>107694.07802079554</v>
      </c>
      <c r="S3">
        <v>108771.01880100352</v>
      </c>
      <c r="T3">
        <v>109858.72898901354</v>
      </c>
      <c r="U3">
        <v>110957.31627890366</v>
      </c>
      <c r="V3">
        <v>112066.88944169272</v>
      </c>
      <c r="W3">
        <v>124394.2472802789</v>
      </c>
      <c r="X3">
        <v>125638.18975308171</v>
      </c>
      <c r="Y3">
        <v>126894.5716506125</v>
      </c>
      <c r="Z3">
        <v>128163.51736711862</v>
      </c>
      <c r="AA3">
        <v>129445.15254078983</v>
      </c>
      <c r="AB3">
        <v>130739.60406619772</v>
      </c>
      <c r="AC3">
        <v>132047.00010685969</v>
      </c>
      <c r="AD3">
        <v>133367.4701079283</v>
      </c>
      <c r="AE3">
        <v>134701.14480900762</v>
      </c>
      <c r="AF3">
        <v>136048.15625709767</v>
      </c>
      <c r="AG3">
        <v>0</v>
      </c>
      <c r="AH3">
        <v>0</v>
      </c>
      <c r="AI3">
        <v>0</v>
      </c>
      <c r="AJ3">
        <v>0</v>
      </c>
      <c r="AK3">
        <v>0</v>
      </c>
      <c r="AL3">
        <v>0</v>
      </c>
      <c r="AM3">
        <v>0</v>
      </c>
      <c r="AN3">
        <v>0</v>
      </c>
      <c r="AO3">
        <v>0</v>
      </c>
      <c r="AP3">
        <v>0</v>
      </c>
      <c r="AQ3">
        <v>0</v>
      </c>
      <c r="AR3">
        <v>0</v>
      </c>
      <c r="AS3">
        <v>0</v>
      </c>
      <c r="AT3">
        <v>0</v>
      </c>
      <c r="AU3">
        <v>0</v>
      </c>
      <c r="AV3">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88ADD-DD1E-4AF8-A566-64852FAB7E7C}">
  <dimension ref="A1:AZ3"/>
  <sheetViews>
    <sheetView workbookViewId="0">
      <selection activeCell="F2" sqref="F2"/>
    </sheetView>
  </sheetViews>
  <sheetFormatPr defaultRowHeight="14.5" x14ac:dyDescent="0.35"/>
  <cols>
    <col min="2" max="2" width="10.54296875" bestFit="1" customWidth="1"/>
    <col min="3" max="12" width="11.26953125" bestFit="1" customWidth="1"/>
    <col min="13" max="13" width="13.26953125" bestFit="1" customWidth="1"/>
    <col min="14" max="15" width="12.7265625" bestFit="1" customWidth="1"/>
    <col min="16" max="51" width="12.81640625" bestFit="1" customWidth="1"/>
    <col min="52" max="52" width="13.26953125" bestFit="1" customWidth="1"/>
  </cols>
  <sheetData>
    <row r="1" spans="1:52" x14ac:dyDescent="0.35">
      <c r="B1" t="s">
        <v>108</v>
      </c>
      <c r="C1" t="s">
        <v>109</v>
      </c>
      <c r="D1" t="s">
        <v>110</v>
      </c>
      <c r="E1" t="s">
        <v>111</v>
      </c>
      <c r="F1" t="s">
        <v>112</v>
      </c>
      <c r="G1" t="s">
        <v>113</v>
      </c>
      <c r="H1" t="s">
        <v>114</v>
      </c>
      <c r="I1" t="s">
        <v>115</v>
      </c>
      <c r="J1" t="s">
        <v>116</v>
      </c>
      <c r="K1" t="s">
        <v>117</v>
      </c>
      <c r="L1" t="s">
        <v>118</v>
      </c>
      <c r="M1" t="s">
        <v>119</v>
      </c>
      <c r="N1" t="s">
        <v>120</v>
      </c>
      <c r="O1" t="s">
        <v>121</v>
      </c>
      <c r="P1" t="s">
        <v>122</v>
      </c>
      <c r="Q1" t="s">
        <v>123</v>
      </c>
      <c r="R1" t="s">
        <v>124</v>
      </c>
      <c r="S1" t="s">
        <v>125</v>
      </c>
      <c r="T1" t="s">
        <v>126</v>
      </c>
      <c r="U1" t="s">
        <v>127</v>
      </c>
      <c r="V1" t="s">
        <v>128</v>
      </c>
      <c r="W1" t="s">
        <v>129</v>
      </c>
      <c r="X1" t="s">
        <v>130</v>
      </c>
      <c r="Y1" t="s">
        <v>131</v>
      </c>
      <c r="Z1" t="s">
        <v>132</v>
      </c>
      <c r="AA1" t="s">
        <v>133</v>
      </c>
      <c r="AB1" t="s">
        <v>134</v>
      </c>
      <c r="AC1" t="s">
        <v>135</v>
      </c>
      <c r="AD1" t="s">
        <v>136</v>
      </c>
      <c r="AE1" t="s">
        <v>137</v>
      </c>
      <c r="AF1" t="s">
        <v>138</v>
      </c>
      <c r="AG1" t="s">
        <v>139</v>
      </c>
      <c r="AH1" t="s">
        <v>140</v>
      </c>
      <c r="AI1" t="s">
        <v>141</v>
      </c>
      <c r="AJ1" t="s">
        <v>142</v>
      </c>
      <c r="AK1" t="s">
        <v>143</v>
      </c>
      <c r="AL1" t="s">
        <v>144</v>
      </c>
      <c r="AM1" t="s">
        <v>145</v>
      </c>
      <c r="AN1" t="s">
        <v>146</v>
      </c>
      <c r="AO1" t="s">
        <v>147</v>
      </c>
      <c r="AP1" t="s">
        <v>148</v>
      </c>
      <c r="AQ1" t="s">
        <v>149</v>
      </c>
      <c r="AR1" t="s">
        <v>150</v>
      </c>
      <c r="AS1" t="s">
        <v>151</v>
      </c>
      <c r="AT1" t="s">
        <v>152</v>
      </c>
      <c r="AU1" t="s">
        <v>153</v>
      </c>
      <c r="AV1" t="s">
        <v>154</v>
      </c>
      <c r="AW1" t="s">
        <v>155</v>
      </c>
      <c r="AX1" t="s">
        <v>156</v>
      </c>
      <c r="AY1" t="s">
        <v>157</v>
      </c>
      <c r="AZ1" s="32" t="s">
        <v>173</v>
      </c>
    </row>
    <row r="2" spans="1:52" x14ac:dyDescent="0.35">
      <c r="A2" t="s">
        <v>81</v>
      </c>
      <c r="B2" s="21">
        <f>SUMIF(TableIncome[Year], "&lt;=" &amp; B1, TableIncome[InvestmentP1])</f>
        <v>52645.200000000004</v>
      </c>
      <c r="C2" s="21">
        <f>SUMIF(TableIncome[Year], "&lt;=" &amp; C1, TableIncome[InvestmentP1])</f>
        <v>105816.85200000001</v>
      </c>
      <c r="D2" s="21">
        <f>SUMIF(TableIncome[Year], "&lt;=" &amp; D1, TableIncome[InvestmentP1])</f>
        <v>164837.38572000002</v>
      </c>
      <c r="E2" s="21">
        <f>SUMIF(TableIncome[Year], "&lt;=" &amp; E1, TableIncome[InvestmentP1])</f>
        <v>224448.12477720002</v>
      </c>
      <c r="F2" s="21">
        <f>SUMIF(TableIncome[Year], "&lt;=" &amp; F1, TableIncome[InvestmentP1])</f>
        <v>284654.97122497205</v>
      </c>
      <c r="G2" s="21">
        <f>SUMIF(TableIncome[Year], "&lt;=" &amp; G1, TableIncome[InvestmentP1])</f>
        <v>345463.88613722177</v>
      </c>
      <c r="H2" s="21">
        <f>SUMIF(TableIncome[Year], "&lt;=" &amp; H1, TableIncome[InvestmentP1])</f>
        <v>412961.78168981895</v>
      </c>
      <c r="I2" s="21">
        <f>SUMIF(TableIncome[Year], "&lt;=" &amp; I1, TableIncome[InvestmentP1])</f>
        <v>481134.65619794209</v>
      </c>
      <c r="J2" s="21">
        <f>SUMIF(TableIncome[Year], "&lt;=" &amp; J1, TableIncome[InvestmentP1])</f>
        <v>549989.25945114647</v>
      </c>
      <c r="K2" s="21">
        <f>SUMIF(TableIncome[Year], "&lt;=" &amp; K1, TableIncome[InvestmentP1])</f>
        <v>619532.40873688285</v>
      </c>
      <c r="L2" s="21">
        <f>SUMIF(TableIncome[Year], "&lt;=" &amp; L1, TableIncome[InvestmentP1])</f>
        <v>696725.3044440503</v>
      </c>
      <c r="M2" s="21">
        <f>SUMIF(TableIncome[Year], "&lt;=" &amp; M1, TableIncome[InvestmentP1])</f>
        <v>774690.12910828937</v>
      </c>
      <c r="N2" s="21">
        <f>SUMIF(TableIncome[Year], "&lt;=" &amp; N1, TableIncome[InvestmentP1])</f>
        <v>853434.60201917088</v>
      </c>
      <c r="O2" s="21">
        <f>SUMIF(TableIncome[Year], "&lt;=" &amp; O1, TableIncome[InvestmentP1])</f>
        <v>932966.51965916122</v>
      </c>
      <c r="P2" s="21">
        <f>SUMIF(TableIncome[Year], "&lt;=" &amp; P1, TableIncome[InvestmentP1])</f>
        <v>1021246.9482395505</v>
      </c>
      <c r="Q2" s="21">
        <f>SUMIF(TableIncome[Year], "&lt;=" &amp; Q1, TableIncome[InvestmentP1])</f>
        <v>1110410.1811057436</v>
      </c>
      <c r="R2" s="21">
        <f>SUMIF(TableIncome[Year], "&lt;=" &amp; R1, TableIncome[InvestmentP1])</f>
        <v>1200465.0463005987</v>
      </c>
      <c r="S2" s="21">
        <f>SUMIF(TableIncome[Year], "&lt;=" &amp; S1, TableIncome[InvestmentP1])</f>
        <v>1291420.4601474022</v>
      </c>
      <c r="T2" s="21">
        <f>SUMIF(TableIncome[Year], "&lt;=" &amp; T1, TableIncome[InvestmentP1])</f>
        <v>1392380.9695173544</v>
      </c>
      <c r="U2" s="21">
        <f>SUMIF(TableIncome[Year], "&lt;=" &amp; U1, TableIncome[InvestmentP1])</f>
        <v>1494351.0839810059</v>
      </c>
      <c r="V2" s="21">
        <f>SUMIF(TableIncome[Year], "&lt;=" &amp; V1, TableIncome[InvestmentP1])</f>
        <v>1597340.8995892941</v>
      </c>
      <c r="W2" s="21">
        <f>SUMIF(TableIncome[Year], "&lt;=" &amp; W1, TableIncome[InvestmentP1])</f>
        <v>1701360.613353665</v>
      </c>
      <c r="X2" s="21">
        <f>SUMIF(TableIncome[Year], "&lt;=" &amp; X1, TableIncome[InvestmentP1])</f>
        <v>1816822.4956321167</v>
      </c>
      <c r="Y2" s="21">
        <f>SUMIF(TableIncome[Year], "&lt;=" &amp; Y1, TableIncome[InvestmentP1])</f>
        <v>1933438.996733353</v>
      </c>
      <c r="Z2" s="21">
        <f>SUMIF(TableIncome[Year], "&lt;=" &amp; Z1, TableIncome[InvestmentP1])</f>
        <v>2051221.6628456016</v>
      </c>
      <c r="AA2" s="21">
        <f>SUMIF(TableIncome[Year], "&lt;=" &amp; AA1, TableIncome[InvestmentP1])</f>
        <v>2170182.1556189726</v>
      </c>
      <c r="AB2" s="21">
        <f>SUMIF(TableIncome[Year], "&lt;=" &amp; AB1, TableIncome[InvestmentP1])</f>
        <v>2290332.2533200774</v>
      </c>
      <c r="AC2" s="21">
        <f>SUMIF(TableIncome[Year], "&lt;=" &amp; AC1, TableIncome[InvestmentP1])</f>
        <v>2411683.8519981932</v>
      </c>
      <c r="AD2" s="21">
        <f>SUMIF(TableIncome[Year], "&lt;=" &amp; AD1, TableIncome[InvestmentP1])</f>
        <v>2534248.96666309</v>
      </c>
      <c r="AE2" s="21">
        <f>SUMIF(TableIncome[Year], "&lt;=" &amp; AE1, TableIncome[InvestmentP1])</f>
        <v>2658039.7324746363</v>
      </c>
      <c r="AF2" s="21">
        <f>SUMIF(TableIncome[Year], "&lt;=" &amp; AF1, TableIncome[InvestmentP1])</f>
        <v>2783068.405944298</v>
      </c>
      <c r="AG2" s="21">
        <f>SUMIF(TableIncome[Year], "&lt;=" &amp; AG1, TableIncome[InvestmentP1])</f>
        <v>2909347.3661486562</v>
      </c>
      <c r="AH2" s="21">
        <f>SUMIF(TableIncome[Year], "&lt;=" &amp; AH1, TableIncome[InvestmentP1])</f>
        <v>3036889.115955058</v>
      </c>
      <c r="AI2" s="21">
        <f>SUMIF(TableIncome[Year], "&lt;=" &amp; AI1, TableIncome[InvestmentP1])</f>
        <v>3165706.2832595236</v>
      </c>
      <c r="AJ2" s="21">
        <f>SUMIF(TableIncome[Year], "&lt;=" &amp; AJ1, TableIncome[InvestmentP1])</f>
        <v>3295811.6222370341</v>
      </c>
      <c r="AK2" s="21">
        <f>SUMIF(TableIncome[Year], "&lt;=" &amp; AK1, TableIncome[InvestmentP1])</f>
        <v>3440228.5485020708</v>
      </c>
      <c r="AL2" s="21">
        <f>SUMIF(TableIncome[Year], "&lt;=" &amp; AL1, TableIncome[InvestmentP1])</f>
        <v>3586089.6440297575</v>
      </c>
      <c r="AM2" s="21">
        <f>SUMIF(TableIncome[Year], "&lt;=" &amp; AM1, TableIncome[InvestmentP1])</f>
        <v>3733409.3505127211</v>
      </c>
      <c r="AN2" s="21">
        <f>SUMIF(TableIncome[Year], "&lt;=" &amp; AN1, TableIncome[InvestmentP1])</f>
        <v>3882202.2540605143</v>
      </c>
      <c r="AO2" s="21">
        <f>SUMIF(TableIncome[Year], "&lt;=" &amp; AO1, TableIncome[InvestmentP1])</f>
        <v>4032483.0866437857</v>
      </c>
      <c r="AP2" s="21">
        <f>SUMIF(TableIncome[Year], "&lt;=" &amp; AP1, TableIncome[InvestmentP1])</f>
        <v>4184266.7275528898</v>
      </c>
      <c r="AQ2" s="21">
        <f>SUMIF(TableIncome[Year], "&lt;=" &amp; AQ1, TableIncome[InvestmentP1])</f>
        <v>4337568.2048710845</v>
      </c>
      <c r="AR2" s="21">
        <f>SUMIF(TableIncome[Year], "&lt;=" &amp; AR1, TableIncome[InvestmentP1])</f>
        <v>4492402.6969624618</v>
      </c>
      <c r="AS2" s="21">
        <f>SUMIF(TableIncome[Year], "&lt;=" &amp; AS1, TableIncome[InvestmentP1])</f>
        <v>4648785.5339747528</v>
      </c>
      <c r="AT2" s="21">
        <f>SUMIF(TableIncome[Year], "&lt;=" &amp; AT1, TableIncome[InvestmentP1])</f>
        <v>4806732.1993571669</v>
      </c>
      <c r="AU2" s="21">
        <f>SUMIF(TableIncome[Year], "&lt;=" &amp; AU1, TableIncome[InvestmentP1])</f>
        <v>4806732.1993571669</v>
      </c>
      <c r="AV2" s="21">
        <f>SUMIF(TableIncome[Year], "&lt;=" &amp; AV1, TableIncome[InvestmentP1])</f>
        <v>4806732.1993571669</v>
      </c>
      <c r="AW2" s="21">
        <f>SUMIF(TableIncome[Year], "&lt;=" &amp; AW1, TableIncome[InvestmentP1])</f>
        <v>4806732.1993571669</v>
      </c>
      <c r="AX2" s="21">
        <f>SUMIF(TableIncome[Year], "&lt;=" &amp; AX1, TableIncome[InvestmentP1])</f>
        <v>4806732.1993571669</v>
      </c>
      <c r="AY2" s="21">
        <f>SUMIF(TableIncome[Year], "&lt;=" &amp; AY1, TableIncome[InvestmentP1])</f>
        <v>4806732.1993571669</v>
      </c>
      <c r="AZ2" s="21">
        <f>SUMIF(TableIncome[Year], "&lt;=" &amp; AZ1, TableIncome[InvestmentP1])</f>
        <v>4806732.1993571669</v>
      </c>
    </row>
    <row r="3" spans="1:52" x14ac:dyDescent="0.35">
      <c r="A3" t="s">
        <v>80</v>
      </c>
      <c r="B3" s="21">
        <f>SUMIF(TableIncome[Year], "&lt;=" &amp; B1, TableIncome[InvestmentP2])</f>
        <v>76801.2</v>
      </c>
      <c r="C3" s="21">
        <f>SUMIF(TableIncome[Year], "&lt;=" &amp; C1, TableIncome[InvestmentP2])</f>
        <v>154370.41200000001</v>
      </c>
      <c r="D3" s="21">
        <f>SUMIF(TableIncome[Year], "&lt;=" &amp; D1, TableIncome[InvestmentP2])</f>
        <v>232715.31612000003</v>
      </c>
      <c r="E3" s="21">
        <f>SUMIF(TableIncome[Year], "&lt;=" &amp; E1, TableIncome[InvestmentP2])</f>
        <v>319678.15969320002</v>
      </c>
      <c r="F3" s="21">
        <f>SUMIF(TableIncome[Year], "&lt;=" &amp; F1, TableIncome[InvestmentP2])</f>
        <v>407510.63170213206</v>
      </c>
      <c r="G3" s="21">
        <f>SUMIF(TableIncome[Year], "&lt;=" &amp; G1, TableIncome[InvestmentP2])</f>
        <v>496221.42843115336</v>
      </c>
      <c r="H3" s="21">
        <f>SUMIF(TableIncome[Year], "&lt;=" &amp; H1, TableIncome[InvestmentP2])</f>
        <v>585819.33312746487</v>
      </c>
      <c r="I3" s="21">
        <f>SUMIF(TableIncome[Year], "&lt;=" &amp; I1, TableIncome[InvestmentP2])</f>
        <v>685273.00734037068</v>
      </c>
      <c r="J3" s="21">
        <f>SUMIF(TableIncome[Year], "&lt;=" &amp; J1, TableIncome[InvestmentP2])</f>
        <v>785721.2182954055</v>
      </c>
      <c r="K3" s="21">
        <f>SUMIF(TableIncome[Year], "&lt;=" &amp; K1, TableIncome[InvestmentP2])</f>
        <v>887173.91135999071</v>
      </c>
      <c r="L3" s="21">
        <f>SUMIF(TableIncome[Year], "&lt;=" &amp; L1, TableIncome[InvestmentP2])</f>
        <v>989641.13135522185</v>
      </c>
      <c r="M3" s="21">
        <f>SUMIF(TableIncome[Year], "&lt;=" &amp; M1, TableIncome[InvestmentP2])</f>
        <v>1093133.0235504052</v>
      </c>
      <c r="N3" s="21">
        <f>SUMIF(TableIncome[Year], "&lt;=" &amp; N1, TableIncome[InvestmentP2])</f>
        <v>1197659.8346675404</v>
      </c>
      <c r="O3" s="21">
        <f>SUMIF(TableIncome[Year], "&lt;=" &amp; O1, TableIncome[InvestmentP2])</f>
        <v>1303231.913895847</v>
      </c>
      <c r="P3" s="21">
        <f>SUMIF(TableIncome[Year], "&lt;=" &amp; P1, TableIncome[InvestmentP2])</f>
        <v>1409859.7139164368</v>
      </c>
      <c r="Q3" s="21">
        <f>SUMIF(TableIncome[Year], "&lt;=" &amp; Q1, TableIncome[InvestmentP2])</f>
        <v>1517553.7919372323</v>
      </c>
      <c r="R3" s="21">
        <f>SUMIF(TableIncome[Year], "&lt;=" &amp; R1, TableIncome[InvestmentP2])</f>
        <v>1626324.8107382357</v>
      </c>
      <c r="S3" s="21">
        <f>SUMIF(TableIncome[Year], "&lt;=" &amp; S1, TableIncome[InvestmentP2])</f>
        <v>1736183.5397272492</v>
      </c>
      <c r="T3" s="21">
        <f>SUMIF(TableIncome[Year], "&lt;=" &amp; T1, TableIncome[InvestmentP2])</f>
        <v>1847140.8560061529</v>
      </c>
      <c r="U3" s="21">
        <f>SUMIF(TableIncome[Year], "&lt;=" &amp; U1, TableIncome[InvestmentP2])</f>
        <v>1959207.7454478457</v>
      </c>
      <c r="V3" s="21">
        <f>SUMIF(TableIncome[Year], "&lt;=" &amp; V1, TableIncome[InvestmentP2])</f>
        <v>2083601.9927281246</v>
      </c>
      <c r="W3" s="21">
        <f>SUMIF(TableIncome[Year], "&lt;=" &amp; W1, TableIncome[InvestmentP2])</f>
        <v>2209240.1824812065</v>
      </c>
      <c r="X3" s="21">
        <f>SUMIF(TableIncome[Year], "&lt;=" &amp; X1, TableIncome[InvestmentP2])</f>
        <v>2336134.7541318191</v>
      </c>
      <c r="Y3" s="21">
        <f>SUMIF(TableIncome[Year], "&lt;=" &amp; Y1, TableIncome[InvestmentP2])</f>
        <v>2464298.2714989376</v>
      </c>
      <c r="Z3" s="21">
        <f>SUMIF(TableIncome[Year], "&lt;=" &amp; Z1, TableIncome[InvestmentP2])</f>
        <v>2593743.4240397275</v>
      </c>
      <c r="AA3" s="21">
        <f>SUMIF(TableIncome[Year], "&lt;=" &amp; AA1, TableIncome[InvestmentP2])</f>
        <v>2724483.0281059253</v>
      </c>
      <c r="AB3" s="21">
        <f>SUMIF(TableIncome[Year], "&lt;=" &amp; AB1, TableIncome[InvestmentP2])</f>
        <v>2856530.0282127848</v>
      </c>
      <c r="AC3" s="21">
        <f>SUMIF(TableIncome[Year], "&lt;=" &amp; AC1, TableIncome[InvestmentP2])</f>
        <v>2989897.4983207132</v>
      </c>
      <c r="AD3" s="21">
        <f>SUMIF(TableIncome[Year], "&lt;=" &amp; AD1, TableIncome[InvestmentP2])</f>
        <v>3124598.6431297208</v>
      </c>
      <c r="AE3" s="21">
        <f>SUMIF(TableIncome[Year], "&lt;=" &amp; AE1, TableIncome[InvestmentP2])</f>
        <v>3260646.7993868184</v>
      </c>
      <c r="AF3" s="21">
        <f>SUMIF(TableIncome[Year], "&lt;=" &amp; AF1, TableIncome[InvestmentP2])</f>
        <v>3260646.7993868184</v>
      </c>
      <c r="AG3" s="21">
        <f>SUMIF(TableIncome[Year], "&lt;=" &amp; AG1, TableIncome[InvestmentP2])</f>
        <v>3260646.7993868184</v>
      </c>
      <c r="AH3" s="21">
        <f>SUMIF(TableIncome[Year], "&lt;=" &amp; AH1, TableIncome[InvestmentP2])</f>
        <v>3260646.7993868184</v>
      </c>
      <c r="AI3" s="21">
        <f>SUMIF(TableIncome[Year], "&lt;=" &amp; AI1, TableIncome[InvestmentP2])</f>
        <v>3260646.7993868184</v>
      </c>
      <c r="AJ3" s="21">
        <f>SUMIF(TableIncome[Year], "&lt;=" &amp; AJ1, TableIncome[InvestmentP2])</f>
        <v>3260646.7993868184</v>
      </c>
      <c r="AK3" s="21">
        <f>SUMIF(TableIncome[Year], "&lt;=" &amp; AK1, TableIncome[InvestmentP2])</f>
        <v>3260646.7993868184</v>
      </c>
      <c r="AL3" s="21">
        <f>SUMIF(TableIncome[Year], "&lt;=" &amp; AL1, TableIncome[InvestmentP2])</f>
        <v>3260646.7993868184</v>
      </c>
      <c r="AM3" s="21">
        <f>SUMIF(TableIncome[Year], "&lt;=" &amp; AM1, TableIncome[InvestmentP2])</f>
        <v>3260646.7993868184</v>
      </c>
      <c r="AN3" s="21">
        <f>SUMIF(TableIncome[Year], "&lt;=" &amp; AN1, TableIncome[InvestmentP2])</f>
        <v>3260646.7993868184</v>
      </c>
      <c r="AO3" s="21">
        <f>SUMIF(TableIncome[Year], "&lt;=" &amp; AO1, TableIncome[InvestmentP2])</f>
        <v>3260646.7993868184</v>
      </c>
      <c r="AP3" s="21">
        <f>SUMIF(TableIncome[Year], "&lt;=" &amp; AP1, TableIncome[InvestmentP2])</f>
        <v>3260646.7993868184</v>
      </c>
      <c r="AQ3" s="21">
        <f>SUMIF(TableIncome[Year], "&lt;=" &amp; AQ1, TableIncome[InvestmentP2])</f>
        <v>3260646.7993868184</v>
      </c>
      <c r="AR3" s="21">
        <f>SUMIF(TableIncome[Year], "&lt;=" &amp; AR1, TableIncome[InvestmentP2])</f>
        <v>3260646.7993868184</v>
      </c>
      <c r="AS3" s="21">
        <f>SUMIF(TableIncome[Year], "&lt;=" &amp; AS1, TableIncome[InvestmentP2])</f>
        <v>3260646.7993868184</v>
      </c>
      <c r="AT3" s="21">
        <f>SUMIF(TableIncome[Year], "&lt;=" &amp; AT1, TableIncome[InvestmentP2])</f>
        <v>3260646.7993868184</v>
      </c>
      <c r="AU3" s="21">
        <f>SUMIF(TableIncome[Year], "&lt;=" &amp; AU1, TableIncome[InvestmentP2])</f>
        <v>3260646.7993868184</v>
      </c>
      <c r="AV3" s="21">
        <f>SUMIF(TableIncome[Year], "&lt;=" &amp; AV1, TableIncome[InvestmentP2])</f>
        <v>3260646.7993868184</v>
      </c>
      <c r="AW3" s="21">
        <f>SUMIF(TableIncome[Year], "&lt;=" &amp; AW1, TableIncome[InvestmentP2])</f>
        <v>3260646.7993868184</v>
      </c>
      <c r="AX3" s="21">
        <f>SUMIF(TableIncome[Year], "&lt;=" &amp; AX1, TableIncome[InvestmentP2])</f>
        <v>3260646.7993868184</v>
      </c>
      <c r="AY3" s="21">
        <f>SUMIF(TableIncome[Year], "&lt;=" &amp; AY1, TableIncome[InvestmentP2])</f>
        <v>3260646.7993868184</v>
      </c>
      <c r="AZ3" s="21">
        <f>SUMIF(TableIncome[Year], "&lt;=" &amp; AZ1, TableIncome[InvestmentP2])</f>
        <v>3260646.7993868184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2C7845-66C9-4B62-8816-3970D572CDFE}">
  <dimension ref="A1:AZ7"/>
  <sheetViews>
    <sheetView workbookViewId="0">
      <selection activeCell="C2" sqref="C2"/>
    </sheetView>
  </sheetViews>
  <sheetFormatPr defaultRowHeight="14.5" x14ac:dyDescent="0.35"/>
  <cols>
    <col min="1" max="1" width="13.453125" bestFit="1" customWidth="1"/>
    <col min="2" max="2" width="11.1796875" bestFit="1" customWidth="1"/>
    <col min="3" max="3" width="11.54296875" bestFit="1" customWidth="1"/>
    <col min="4" max="16" width="12.1796875" bestFit="1" customWidth="1"/>
    <col min="17" max="43" width="8.81640625" bestFit="1" customWidth="1"/>
    <col min="44" max="45" width="12.1796875" bestFit="1" customWidth="1"/>
    <col min="46" max="46" width="13.81640625" bestFit="1" customWidth="1"/>
    <col min="47" max="47" width="12.1796875" bestFit="1" customWidth="1"/>
    <col min="48" max="52" width="13.81640625" bestFit="1" customWidth="1"/>
  </cols>
  <sheetData>
    <row r="1" spans="1:52" x14ac:dyDescent="0.35">
      <c r="B1" t="s">
        <v>108</v>
      </c>
      <c r="C1" t="s">
        <v>109</v>
      </c>
      <c r="D1" t="s">
        <v>110</v>
      </c>
      <c r="E1" t="s">
        <v>111</v>
      </c>
      <c r="F1" t="s">
        <v>112</v>
      </c>
      <c r="G1" t="s">
        <v>113</v>
      </c>
      <c r="H1" t="s">
        <v>114</v>
      </c>
      <c r="I1" t="s">
        <v>115</v>
      </c>
      <c r="J1" t="s">
        <v>116</v>
      </c>
      <c r="K1" t="s">
        <v>117</v>
      </c>
      <c r="L1" t="s">
        <v>118</v>
      </c>
      <c r="M1" t="s">
        <v>119</v>
      </c>
      <c r="N1" t="s">
        <v>120</v>
      </c>
      <c r="O1" t="s">
        <v>121</v>
      </c>
      <c r="P1" t="s">
        <v>122</v>
      </c>
      <c r="Q1" t="s">
        <v>123</v>
      </c>
      <c r="R1" t="s">
        <v>124</v>
      </c>
      <c r="S1" t="s">
        <v>125</v>
      </c>
      <c r="T1" t="s">
        <v>126</v>
      </c>
      <c r="U1" t="s">
        <v>127</v>
      </c>
      <c r="V1" t="s">
        <v>128</v>
      </c>
      <c r="W1" t="s">
        <v>129</v>
      </c>
      <c r="X1" t="s">
        <v>130</v>
      </c>
      <c r="Y1" t="s">
        <v>131</v>
      </c>
      <c r="Z1" t="s">
        <v>132</v>
      </c>
      <c r="AA1" t="s">
        <v>133</v>
      </c>
      <c r="AB1" t="s">
        <v>134</v>
      </c>
      <c r="AC1" t="s">
        <v>135</v>
      </c>
      <c r="AD1" t="s">
        <v>136</v>
      </c>
      <c r="AE1" t="s">
        <v>137</v>
      </c>
      <c r="AF1" t="s">
        <v>138</v>
      </c>
      <c r="AG1" t="s">
        <v>139</v>
      </c>
      <c r="AH1" t="s">
        <v>140</v>
      </c>
      <c r="AI1" t="s">
        <v>141</v>
      </c>
      <c r="AJ1" t="s">
        <v>142</v>
      </c>
      <c r="AK1" t="s">
        <v>143</v>
      </c>
      <c r="AL1" t="s">
        <v>144</v>
      </c>
      <c r="AM1" t="s">
        <v>145</v>
      </c>
      <c r="AN1" t="s">
        <v>146</v>
      </c>
      <c r="AO1" t="s">
        <v>147</v>
      </c>
      <c r="AP1" t="s">
        <v>148</v>
      </c>
      <c r="AQ1" t="s">
        <v>149</v>
      </c>
      <c r="AR1" t="s">
        <v>150</v>
      </c>
      <c r="AS1" t="s">
        <v>151</v>
      </c>
      <c r="AT1" t="s">
        <v>152</v>
      </c>
      <c r="AU1" t="s">
        <v>153</v>
      </c>
      <c r="AV1" t="s">
        <v>154</v>
      </c>
      <c r="AW1" t="s">
        <v>155</v>
      </c>
      <c r="AX1" t="s">
        <v>156</v>
      </c>
      <c r="AY1" t="s">
        <v>157</v>
      </c>
      <c r="AZ1" s="33" t="s">
        <v>173</v>
      </c>
    </row>
    <row r="2" spans="1:52" x14ac:dyDescent="0.35">
      <c r="A2" t="s">
        <v>163</v>
      </c>
      <c r="B2" s="31">
        <f>'GBI Allocations P1'!B2*Wealth!B$2</f>
        <v>589.62624000000017</v>
      </c>
      <c r="C2" s="31">
        <f>'GBI Allocations P1'!C2*Wealth!C$2</f>
        <v>19216.340323200002</v>
      </c>
      <c r="D2" s="31">
        <f>'GBI Allocations P1'!D2*Wealth!D$2</f>
        <v>40451.094455687999</v>
      </c>
      <c r="E2" s="31">
        <f>'GBI Allocations P1'!E2*Wealth!E$2</f>
        <v>2715.8223098041203</v>
      </c>
      <c r="F2" s="31">
        <f>'GBI Allocations P1'!F2*Wealth!F$2</f>
        <v>109791.42240147172</v>
      </c>
      <c r="G2" s="31">
        <f>'GBI Allocations P1'!G2*Wealth!G$2</f>
        <v>133487.24560342249</v>
      </c>
      <c r="H2" s="31">
        <f>'GBI Allocations P1'!H2*Wealth!H$2</f>
        <v>92957.697058378253</v>
      </c>
      <c r="I2" s="31">
        <f>'GBI Allocations P1'!I2*Wealth!I$2</f>
        <v>190384.9834575257</v>
      </c>
      <c r="J2" s="31">
        <f>'GBI Allocations P1'!J2*Wealth!J$2</f>
        <v>134912.36534336623</v>
      </c>
      <c r="K2" s="31">
        <f>'GBI Allocations P1'!K2*Wealth!K$2</f>
        <v>241617.63940738433</v>
      </c>
      <c r="L2" s="31">
        <f>'GBI Allocations P1'!L2*Wealth!L$2</f>
        <v>14352.541271547436</v>
      </c>
      <c r="M2" s="31">
        <f>'GBI Allocations P1'!M2*Wealth!M$2</f>
        <v>101561.87592609673</v>
      </c>
      <c r="N2" s="31">
        <f>'GBI Allocations P1'!N2*Wealth!N$2</f>
        <v>12460.145189479896</v>
      </c>
      <c r="O2" s="31">
        <f>'GBI Allocations P1'!O2*Wealth!O$2</f>
        <v>0</v>
      </c>
      <c r="P2" s="31">
        <f>'GBI Allocations P1'!P2*Wealth!P$2</f>
        <v>0</v>
      </c>
      <c r="Q2" s="31">
        <f>'GBI Allocations P1'!Q2*Wealth!Q$2</f>
        <v>0</v>
      </c>
      <c r="R2" s="31">
        <f>'GBI Allocations P1'!R2*Wealth!R$2</f>
        <v>0</v>
      </c>
      <c r="S2" s="31">
        <f>'GBI Allocations P1'!S2*Wealth!S$2</f>
        <v>0</v>
      </c>
      <c r="T2" s="31">
        <f>'GBI Allocations P1'!T2*Wealth!T$2</f>
        <v>0</v>
      </c>
      <c r="U2" s="31">
        <f>'GBI Allocations P1'!U2*Wealth!U$2</f>
        <v>0</v>
      </c>
      <c r="V2" s="31">
        <f>'GBI Allocations P1'!V2*Wealth!V$2</f>
        <v>0</v>
      </c>
      <c r="W2" s="31">
        <f>'GBI Allocations P1'!W2*Wealth!W$2</f>
        <v>0</v>
      </c>
      <c r="X2" s="31">
        <f>'GBI Allocations P1'!X2*Wealth!X$2</f>
        <v>0</v>
      </c>
      <c r="Y2" s="31">
        <f>'GBI Allocations P1'!Y2*Wealth!Y$2</f>
        <v>0</v>
      </c>
      <c r="Z2" s="31">
        <f>'GBI Allocations P1'!Z2*Wealth!Z$2</f>
        <v>0</v>
      </c>
      <c r="AA2" s="31">
        <f>'GBI Allocations P1'!AA2*Wealth!AA$2</f>
        <v>0</v>
      </c>
      <c r="AB2" s="31">
        <f>'GBI Allocations P1'!AB2*Wealth!AB$2</f>
        <v>0</v>
      </c>
      <c r="AC2" s="31">
        <f>'GBI Allocations P1'!AC2*Wealth!AC$2</f>
        <v>0</v>
      </c>
      <c r="AD2" s="31">
        <f>'GBI Allocations P1'!AD2*Wealth!AD$2</f>
        <v>0</v>
      </c>
      <c r="AE2" s="31">
        <f>'GBI Allocations P1'!AE2*Wealth!AE$2</f>
        <v>0</v>
      </c>
      <c r="AF2" s="31">
        <f>'GBI Allocations P1'!AF2*Wealth!AF$2</f>
        <v>0</v>
      </c>
      <c r="AG2" s="31">
        <f>'GBI Allocations P1'!AG2*Wealth!AG$2</f>
        <v>0</v>
      </c>
      <c r="AH2" s="31">
        <f>'GBI Allocations P1'!AH2*Wealth!AH$2</f>
        <v>0</v>
      </c>
      <c r="AI2" s="31">
        <f>'GBI Allocations P1'!AI2*Wealth!AI$2</f>
        <v>0</v>
      </c>
      <c r="AJ2" s="31">
        <f>'GBI Allocations P1'!AJ2*Wealth!AJ$2</f>
        <v>0</v>
      </c>
      <c r="AK2" s="31">
        <f>'GBI Allocations P1'!AK2*Wealth!AK$2</f>
        <v>0</v>
      </c>
      <c r="AL2" s="31">
        <f>'GBI Allocations P1'!AL2*Wealth!AL$2</f>
        <v>0</v>
      </c>
      <c r="AM2" s="31">
        <f>'GBI Allocations P1'!AM2*Wealth!AM$2</f>
        <v>0</v>
      </c>
      <c r="AN2" s="31">
        <f>'GBI Allocations P1'!AN2*Wealth!AN$2</f>
        <v>0</v>
      </c>
      <c r="AO2" s="31">
        <f>'GBI Allocations P1'!AO2*Wealth!AO$2</f>
        <v>0</v>
      </c>
      <c r="AP2" s="31">
        <f>'GBI Allocations P1'!AP2*Wealth!AP$2</f>
        <v>0</v>
      </c>
      <c r="AQ2" s="31">
        <f>'GBI Allocations P1'!AQ2*Wealth!AQ$2</f>
        <v>0</v>
      </c>
      <c r="AR2" s="31">
        <f>'GBI Allocations P1'!AR2*Wealth!AR$2</f>
        <v>0</v>
      </c>
      <c r="AS2" s="31">
        <f>'GBI Allocations P1'!AS2*Wealth!AS$2</f>
        <v>0</v>
      </c>
      <c r="AT2" s="31">
        <f>'GBI Allocations P1'!AT2*Wealth!AT$2</f>
        <v>0</v>
      </c>
      <c r="AU2" s="31">
        <f>'GBI Allocations P1'!AU2*Wealth!AU$2</f>
        <v>0</v>
      </c>
      <c r="AV2" s="31">
        <f>'GBI Allocations P1'!AV2*Wealth!AV$2</f>
        <v>0</v>
      </c>
      <c r="AW2" s="31">
        <f>'GBI Allocations P1'!AW2*Wealth!AW$2</f>
        <v>0</v>
      </c>
      <c r="AX2" s="31">
        <f>'GBI Allocations P1'!AX2*Wealth!AX$2</f>
        <v>0</v>
      </c>
      <c r="AY2" s="31">
        <f>'GBI Allocations P1'!AY2*Wealth!AY$2</f>
        <v>0</v>
      </c>
      <c r="AZ2" s="31">
        <f>'GBI Allocations P1'!AZ2*Wealth!AZ$2</f>
        <v>0</v>
      </c>
    </row>
    <row r="3" spans="1:52" x14ac:dyDescent="0.35">
      <c r="A3" t="s">
        <v>164</v>
      </c>
      <c r="B3" s="31">
        <f>'GBI Allocations P1'!B3*Wealth!B$2</f>
        <v>131.613</v>
      </c>
      <c r="C3" s="31">
        <f>'GBI Allocations P1'!C3*Wealth!C$2</f>
        <v>571.41100080000012</v>
      </c>
      <c r="D3" s="31">
        <f>'GBI Allocations P1'!D3*Wealth!D$2</f>
        <v>263.73981715200006</v>
      </c>
      <c r="E3" s="31">
        <f>'GBI Allocations P1'!E3*Wealth!E$2</f>
        <v>38245.960462034884</v>
      </c>
      <c r="F3" s="31">
        <f>'GBI Allocations P1'!F3*Wealth!F$2</f>
        <v>6888.6503036443237</v>
      </c>
      <c r="G3" s="31">
        <f>'GBI Allocations P1'!G3*Wealth!G$2</f>
        <v>22040.595935554746</v>
      </c>
      <c r="H3" s="31">
        <f>'GBI Allocations P1'!H3*Wealth!H$2</f>
        <v>3551.4713225324431</v>
      </c>
      <c r="I3" s="31">
        <f>'GBI Allocations P1'!I3*Wealth!I$2</f>
        <v>2983.0348684272408</v>
      </c>
      <c r="J3" s="31">
        <f>'GBI Allocations P1'!J3*Wealth!J$2</f>
        <v>2694.9473713106177</v>
      </c>
      <c r="K3" s="31">
        <f>'GBI Allocations P1'!K3*Wealth!K$2</f>
        <v>1982.5037079580252</v>
      </c>
      <c r="L3" s="31">
        <f>'GBI Allocations P1'!L3*Wealth!L$2</f>
        <v>4180.3518266643023</v>
      </c>
      <c r="M3" s="31">
        <f>'GBI Allocations P1'!M3*Wealth!M$2</f>
        <v>1626.8492711274075</v>
      </c>
      <c r="N3" s="31">
        <f>'GBI Allocations P1'!N3*Wealth!N$2</f>
        <v>1024.121522423005</v>
      </c>
      <c r="O3" s="31">
        <f>'GBI Allocations P1'!O3*Wealth!O$2</f>
        <v>205252.63432501548</v>
      </c>
      <c r="P3" s="31">
        <f>'GBI Allocations P1'!P3*Wealth!P$2</f>
        <v>0</v>
      </c>
      <c r="Q3" s="31">
        <f>'GBI Allocations P1'!Q3*Wealth!Q$2</f>
        <v>0</v>
      </c>
      <c r="R3" s="31">
        <f>'GBI Allocations P1'!R3*Wealth!R$2</f>
        <v>0</v>
      </c>
      <c r="S3" s="31">
        <f>'GBI Allocations P1'!S3*Wealth!S$2</f>
        <v>0</v>
      </c>
      <c r="T3" s="31">
        <f>'GBI Allocations P1'!T3*Wealth!T$2</f>
        <v>0</v>
      </c>
      <c r="U3" s="31">
        <f>'GBI Allocations P1'!U3*Wealth!U$2</f>
        <v>0</v>
      </c>
      <c r="V3" s="31">
        <f>'GBI Allocations P1'!V3*Wealth!V$2</f>
        <v>0</v>
      </c>
      <c r="W3" s="31">
        <f>'GBI Allocations P1'!W3*Wealth!W$2</f>
        <v>0</v>
      </c>
      <c r="X3" s="31">
        <f>'GBI Allocations P1'!X3*Wealth!X$2</f>
        <v>0</v>
      </c>
      <c r="Y3" s="31">
        <f>'GBI Allocations P1'!Y3*Wealth!Y$2</f>
        <v>0</v>
      </c>
      <c r="Z3" s="31">
        <f>'GBI Allocations P1'!Z3*Wealth!Z$2</f>
        <v>0</v>
      </c>
      <c r="AA3" s="31">
        <f>'GBI Allocations P1'!AA3*Wealth!AA$2</f>
        <v>0</v>
      </c>
      <c r="AB3" s="31">
        <f>'GBI Allocations P1'!AB3*Wealth!AB$2</f>
        <v>0</v>
      </c>
      <c r="AC3" s="31">
        <f>'GBI Allocations P1'!AC3*Wealth!AC$2</f>
        <v>0</v>
      </c>
      <c r="AD3" s="31">
        <f>'GBI Allocations P1'!AD3*Wealth!AD$2</f>
        <v>0</v>
      </c>
      <c r="AE3" s="31">
        <f>'GBI Allocations P1'!AE3*Wealth!AE$2</f>
        <v>0</v>
      </c>
      <c r="AF3" s="31">
        <f>'GBI Allocations P1'!AF3*Wealth!AF$2</f>
        <v>0</v>
      </c>
      <c r="AG3" s="31">
        <f>'GBI Allocations P1'!AG3*Wealth!AG$2</f>
        <v>0</v>
      </c>
      <c r="AH3" s="31">
        <f>'GBI Allocations P1'!AH3*Wealth!AH$2</f>
        <v>0</v>
      </c>
      <c r="AI3" s="31">
        <f>'GBI Allocations P1'!AI3*Wealth!AI$2</f>
        <v>0</v>
      </c>
      <c r="AJ3" s="31">
        <f>'GBI Allocations P1'!AJ3*Wealth!AJ$2</f>
        <v>0</v>
      </c>
      <c r="AK3" s="31">
        <f>'GBI Allocations P1'!AK3*Wealth!AK$2</f>
        <v>0</v>
      </c>
      <c r="AL3" s="31">
        <f>'GBI Allocations P1'!AL3*Wealth!AL$2</f>
        <v>0</v>
      </c>
      <c r="AM3" s="31">
        <f>'GBI Allocations P1'!AM3*Wealth!AM$2</f>
        <v>0</v>
      </c>
      <c r="AN3" s="31">
        <f>'GBI Allocations P1'!AN3*Wealth!AN$2</f>
        <v>0</v>
      </c>
      <c r="AO3" s="31">
        <f>'GBI Allocations P1'!AO3*Wealth!AO$2</f>
        <v>0</v>
      </c>
      <c r="AP3" s="31">
        <f>'GBI Allocations P1'!AP3*Wealth!AP$2</f>
        <v>0</v>
      </c>
      <c r="AQ3" s="31">
        <f>'GBI Allocations P1'!AQ3*Wealth!AQ$2</f>
        <v>0</v>
      </c>
      <c r="AR3" s="31">
        <f>'GBI Allocations P1'!AR3*Wealth!AR$2</f>
        <v>0</v>
      </c>
      <c r="AS3" s="31">
        <f>'GBI Allocations P1'!AS3*Wealth!AS$2</f>
        <v>0</v>
      </c>
      <c r="AT3" s="31">
        <f>'GBI Allocations P1'!AT3*Wealth!AT$2</f>
        <v>0</v>
      </c>
      <c r="AU3" s="31">
        <f>'GBI Allocations P1'!AU3*Wealth!AU$2</f>
        <v>0</v>
      </c>
      <c r="AV3" s="31">
        <f>'GBI Allocations P1'!AV3*Wealth!AV$2</f>
        <v>0</v>
      </c>
      <c r="AW3" s="31">
        <f>'GBI Allocations P1'!AW3*Wealth!AW$2</f>
        <v>0</v>
      </c>
      <c r="AX3" s="31">
        <f>'GBI Allocations P1'!AX3*Wealth!AX$2</f>
        <v>0</v>
      </c>
      <c r="AY3" s="31">
        <f>'GBI Allocations P1'!AY3*Wealth!AY$2</f>
        <v>0</v>
      </c>
      <c r="AZ3" s="31">
        <f>'GBI Allocations P1'!AZ3*Wealth!AZ$2</f>
        <v>0</v>
      </c>
    </row>
    <row r="4" spans="1:52" x14ac:dyDescent="0.35">
      <c r="A4" t="s">
        <v>165</v>
      </c>
      <c r="B4" s="31">
        <f>'GBI Allocations P1'!B4*Wealth!B$2</f>
        <v>852.85224000000017</v>
      </c>
      <c r="C4" s="31">
        <f>'GBI Allocations P1'!C4*Wealth!C$2</f>
        <v>179.88864840000002</v>
      </c>
      <c r="D4" s="31">
        <f>'GBI Allocations P1'!D4*Wealth!D$2</f>
        <v>1648.3738572000002</v>
      </c>
      <c r="E4" s="31">
        <f>'GBI Allocations P1'!E4*Wealth!E$2</f>
        <v>516.23068698756003</v>
      </c>
      <c r="F4" s="31">
        <f>'GBI Allocations P1'!F4*Wealth!F$2</f>
        <v>6575.5298352968539</v>
      </c>
      <c r="G4" s="31">
        <f>'GBI Allocations P1'!G4*Wealth!G$2</f>
        <v>6114.7107846288254</v>
      </c>
      <c r="H4" s="31">
        <f>'GBI Allocations P1'!H4*Wealth!H$2</f>
        <v>18500.687819703893</v>
      </c>
      <c r="I4" s="31">
        <f>'GBI Allocations P1'!I4*Wealth!I$2</f>
        <v>4811.3465619794215</v>
      </c>
      <c r="J4" s="31">
        <f>'GBI Allocations P1'!J4*Wealth!J$2</f>
        <v>5334.8958166761213</v>
      </c>
      <c r="K4" s="31">
        <f>'GBI Allocations P1'!K4*Wealth!K$2</f>
        <v>3841.1009341686736</v>
      </c>
      <c r="L4" s="31">
        <f>'GBI Allocations P1'!L4*Wealth!L$2</f>
        <v>1881.1583219989359</v>
      </c>
      <c r="M4" s="31">
        <f>'GBI Allocations P1'!M4*Wealth!M$2</f>
        <v>2014.1943356815523</v>
      </c>
      <c r="N4" s="31">
        <f>'GBI Allocations P1'!N4*Wealth!N$2</f>
        <v>597.40422141341969</v>
      </c>
      <c r="O4" s="31">
        <f>'GBI Allocations P1'!O4*Wealth!O$2</f>
        <v>0</v>
      </c>
      <c r="P4" s="31">
        <f>'GBI Allocations P1'!P4*Wealth!P$2</f>
        <v>0</v>
      </c>
      <c r="Q4" s="31">
        <f>'GBI Allocations P1'!Q4*Wealth!Q$2</f>
        <v>0</v>
      </c>
      <c r="R4" s="31">
        <f>'GBI Allocations P1'!R4*Wealth!R$2</f>
        <v>0</v>
      </c>
      <c r="S4" s="31">
        <f>'GBI Allocations P1'!S4*Wealth!S$2</f>
        <v>0</v>
      </c>
      <c r="T4" s="31">
        <f>'GBI Allocations P1'!T4*Wealth!T$2</f>
        <v>0</v>
      </c>
      <c r="U4" s="31">
        <f>'GBI Allocations P1'!U4*Wealth!U$2</f>
        <v>0</v>
      </c>
      <c r="V4" s="31">
        <f>'GBI Allocations P1'!V4*Wealth!V$2</f>
        <v>0</v>
      </c>
      <c r="W4" s="31">
        <f>'GBI Allocations P1'!W4*Wealth!W$2</f>
        <v>0</v>
      </c>
      <c r="X4" s="31">
        <f>'GBI Allocations P1'!X4*Wealth!X$2</f>
        <v>0</v>
      </c>
      <c r="Y4" s="31">
        <f>'GBI Allocations P1'!Y4*Wealth!Y$2</f>
        <v>0</v>
      </c>
      <c r="Z4" s="31">
        <f>'GBI Allocations P1'!Z4*Wealth!Z$2</f>
        <v>0</v>
      </c>
      <c r="AA4" s="31">
        <f>'GBI Allocations P1'!AA4*Wealth!AA$2</f>
        <v>0</v>
      </c>
      <c r="AB4" s="31">
        <f>'GBI Allocations P1'!AB4*Wealth!AB$2</f>
        <v>0</v>
      </c>
      <c r="AC4" s="31">
        <f>'GBI Allocations P1'!AC4*Wealth!AC$2</f>
        <v>0</v>
      </c>
      <c r="AD4" s="31">
        <f>'GBI Allocations P1'!AD4*Wealth!AD$2</f>
        <v>0</v>
      </c>
      <c r="AE4" s="31">
        <f>'GBI Allocations P1'!AE4*Wealth!AE$2</f>
        <v>0</v>
      </c>
      <c r="AF4" s="31">
        <f>'GBI Allocations P1'!AF4*Wealth!AF$2</f>
        <v>0</v>
      </c>
      <c r="AG4" s="31">
        <f>'GBI Allocations P1'!AG4*Wealth!AG$2</f>
        <v>0</v>
      </c>
      <c r="AH4" s="31">
        <f>'GBI Allocations P1'!AH4*Wealth!AH$2</f>
        <v>0</v>
      </c>
      <c r="AI4" s="31">
        <f>'GBI Allocations P1'!AI4*Wealth!AI$2</f>
        <v>0</v>
      </c>
      <c r="AJ4" s="31">
        <f>'GBI Allocations P1'!AJ4*Wealth!AJ$2</f>
        <v>0</v>
      </c>
      <c r="AK4" s="31">
        <f>'GBI Allocations P1'!AK4*Wealth!AK$2</f>
        <v>0</v>
      </c>
      <c r="AL4" s="31">
        <f>'GBI Allocations P1'!AL4*Wealth!AL$2</f>
        <v>0</v>
      </c>
      <c r="AM4" s="31">
        <f>'GBI Allocations P1'!AM4*Wealth!AM$2</f>
        <v>0</v>
      </c>
      <c r="AN4" s="31">
        <f>'GBI Allocations P1'!AN4*Wealth!AN$2</f>
        <v>0</v>
      </c>
      <c r="AO4" s="31">
        <f>'GBI Allocations P1'!AO4*Wealth!AO$2</f>
        <v>0</v>
      </c>
      <c r="AP4" s="31">
        <f>'GBI Allocations P1'!AP4*Wealth!AP$2</f>
        <v>0</v>
      </c>
      <c r="AQ4" s="31">
        <f>'GBI Allocations P1'!AQ4*Wealth!AQ$2</f>
        <v>0</v>
      </c>
      <c r="AR4" s="31">
        <f>'GBI Allocations P1'!AR4*Wealth!AR$2</f>
        <v>0</v>
      </c>
      <c r="AS4" s="31">
        <f>'GBI Allocations P1'!AS4*Wealth!AS$2</f>
        <v>0</v>
      </c>
      <c r="AT4" s="31">
        <f>'GBI Allocations P1'!AT4*Wealth!AT$2</f>
        <v>0</v>
      </c>
      <c r="AU4" s="31">
        <f>'GBI Allocations P1'!AU4*Wealth!AU$2</f>
        <v>0</v>
      </c>
      <c r="AV4" s="31">
        <f>'GBI Allocations P1'!AV4*Wealth!AV$2</f>
        <v>0</v>
      </c>
      <c r="AW4" s="31">
        <f>'GBI Allocations P1'!AW4*Wealth!AW$2</f>
        <v>0</v>
      </c>
      <c r="AX4" s="31">
        <f>'GBI Allocations P1'!AX4*Wealth!AX$2</f>
        <v>0</v>
      </c>
      <c r="AY4" s="31">
        <f>'GBI Allocations P1'!AY4*Wealth!AY$2</f>
        <v>0</v>
      </c>
      <c r="AZ4" s="31">
        <f>'GBI Allocations P1'!AZ4*Wealth!AZ$2</f>
        <v>0</v>
      </c>
    </row>
    <row r="5" spans="1:52" x14ac:dyDescent="0.35">
      <c r="A5" t="s">
        <v>166</v>
      </c>
      <c r="B5" s="31">
        <f>'GBI Allocations P1'!B5*Wealth!B$2</f>
        <v>163.20012</v>
      </c>
      <c r="C5" s="31">
        <f>'GBI Allocations P1'!C5*Wealth!C$2</f>
        <v>613.73774160000005</v>
      </c>
      <c r="D5" s="31">
        <f>'GBI Allocations P1'!D5*Wealth!D$2</f>
        <v>1318.6990857600001</v>
      </c>
      <c r="E5" s="31">
        <f>'GBI Allocations P1'!E5*Wealth!E$2</f>
        <v>3815.6181212124006</v>
      </c>
      <c r="F5" s="31">
        <f>'GBI Allocations P1'!F5*Wealth!F$2</f>
        <v>7116.3742806243017</v>
      </c>
      <c r="G5" s="31">
        <f>'GBI Allocations P1'!G5*Wealth!G$2</f>
        <v>8083.8549356109879</v>
      </c>
      <c r="H5" s="31">
        <f>'GBI Allocations P1'!H5*Wealth!H$2</f>
        <v>371.66560352083707</v>
      </c>
      <c r="I5" s="31">
        <f>'GBI Allocations P1'!I5*Wealth!I$2</f>
        <v>1154.723174875061</v>
      </c>
      <c r="J5" s="31">
        <f>'GBI Allocations P1'!J5*Wealth!J$2</f>
        <v>3464.9323345422226</v>
      </c>
      <c r="K5" s="31">
        <f>'GBI Allocations P1'!K5*Wealth!K$2</f>
        <v>10160.331503284877</v>
      </c>
      <c r="L5" s="31">
        <f>'GBI Allocations P1'!L5*Wealth!L$2</f>
        <v>317985.42894826457</v>
      </c>
      <c r="M5" s="31">
        <f>'GBI Allocations P1'!M5*Wealth!M$2</f>
        <v>309.87605164331575</v>
      </c>
      <c r="N5" s="31">
        <f>'GBI Allocations P1'!N5*Wealth!N$2</f>
        <v>20994.491209671603</v>
      </c>
      <c r="O5" s="31">
        <f>'GBI Allocations P1'!O5*Wealth!O$2</f>
        <v>0</v>
      </c>
      <c r="P5" s="31">
        <f>'GBI Allocations P1'!P5*Wealth!P$2</f>
        <v>0</v>
      </c>
      <c r="Q5" s="31">
        <f>'GBI Allocations P1'!Q5*Wealth!Q$2</f>
        <v>0</v>
      </c>
      <c r="R5" s="31">
        <f>'GBI Allocations P1'!R5*Wealth!R$2</f>
        <v>0</v>
      </c>
      <c r="S5" s="31">
        <f>'GBI Allocations P1'!S5*Wealth!S$2</f>
        <v>0</v>
      </c>
      <c r="T5" s="31">
        <f>'GBI Allocations P1'!T5*Wealth!T$2</f>
        <v>0</v>
      </c>
      <c r="U5" s="31">
        <f>'GBI Allocations P1'!U5*Wealth!U$2</f>
        <v>0</v>
      </c>
      <c r="V5" s="31">
        <f>'GBI Allocations P1'!V5*Wealth!V$2</f>
        <v>0</v>
      </c>
      <c r="W5" s="31">
        <f>'GBI Allocations P1'!W5*Wealth!W$2</f>
        <v>0</v>
      </c>
      <c r="X5" s="31">
        <f>'GBI Allocations P1'!X5*Wealth!X$2</f>
        <v>0</v>
      </c>
      <c r="Y5" s="31">
        <f>'GBI Allocations P1'!Y5*Wealth!Y$2</f>
        <v>0</v>
      </c>
      <c r="Z5" s="31">
        <f>'GBI Allocations P1'!Z5*Wealth!Z$2</f>
        <v>0</v>
      </c>
      <c r="AA5" s="31">
        <f>'GBI Allocations P1'!AA5*Wealth!AA$2</f>
        <v>0</v>
      </c>
      <c r="AB5" s="31">
        <f>'GBI Allocations P1'!AB5*Wealth!AB$2</f>
        <v>0</v>
      </c>
      <c r="AC5" s="31">
        <f>'GBI Allocations P1'!AC5*Wealth!AC$2</f>
        <v>0</v>
      </c>
      <c r="AD5" s="31">
        <f>'GBI Allocations P1'!AD5*Wealth!AD$2</f>
        <v>0</v>
      </c>
      <c r="AE5" s="31">
        <f>'GBI Allocations P1'!AE5*Wealth!AE$2</f>
        <v>0</v>
      </c>
      <c r="AF5" s="31">
        <f>'GBI Allocations P1'!AF5*Wealth!AF$2</f>
        <v>0</v>
      </c>
      <c r="AG5" s="31">
        <f>'GBI Allocations P1'!AG5*Wealth!AG$2</f>
        <v>0</v>
      </c>
      <c r="AH5" s="31">
        <f>'GBI Allocations P1'!AH5*Wealth!AH$2</f>
        <v>0</v>
      </c>
      <c r="AI5" s="31">
        <f>'GBI Allocations P1'!AI5*Wealth!AI$2</f>
        <v>0</v>
      </c>
      <c r="AJ5" s="31">
        <f>'GBI Allocations P1'!AJ5*Wealth!AJ$2</f>
        <v>0</v>
      </c>
      <c r="AK5" s="31">
        <f>'GBI Allocations P1'!AK5*Wealth!AK$2</f>
        <v>0</v>
      </c>
      <c r="AL5" s="31">
        <f>'GBI Allocations P1'!AL5*Wealth!AL$2</f>
        <v>0</v>
      </c>
      <c r="AM5" s="31">
        <f>'GBI Allocations P1'!AM5*Wealth!AM$2</f>
        <v>0</v>
      </c>
      <c r="AN5" s="31">
        <f>'GBI Allocations P1'!AN5*Wealth!AN$2</f>
        <v>0</v>
      </c>
      <c r="AO5" s="31">
        <f>'GBI Allocations P1'!AO5*Wealth!AO$2</f>
        <v>0</v>
      </c>
      <c r="AP5" s="31">
        <f>'GBI Allocations P1'!AP5*Wealth!AP$2</f>
        <v>0</v>
      </c>
      <c r="AQ5" s="31">
        <f>'GBI Allocations P1'!AQ5*Wealth!AQ$2</f>
        <v>0</v>
      </c>
      <c r="AR5" s="31">
        <f>'GBI Allocations P1'!AR5*Wealth!AR$2</f>
        <v>0</v>
      </c>
      <c r="AS5" s="31">
        <f>'GBI Allocations P1'!AS5*Wealth!AS$2</f>
        <v>0</v>
      </c>
      <c r="AT5" s="31">
        <f>'GBI Allocations P1'!AT5*Wealth!AT$2</f>
        <v>0</v>
      </c>
      <c r="AU5" s="31">
        <f>'GBI Allocations P1'!AU5*Wealth!AU$2</f>
        <v>0</v>
      </c>
      <c r="AV5" s="31">
        <f>'GBI Allocations P1'!AV5*Wealth!AV$2</f>
        <v>0</v>
      </c>
      <c r="AW5" s="31">
        <f>'GBI Allocations P1'!AW5*Wealth!AW$2</f>
        <v>0</v>
      </c>
      <c r="AX5" s="31">
        <f>'GBI Allocations P1'!AX5*Wealth!AX$2</f>
        <v>0</v>
      </c>
      <c r="AY5" s="31">
        <f>'GBI Allocations P1'!AY5*Wealth!AY$2</f>
        <v>0</v>
      </c>
      <c r="AZ5" s="31">
        <f>'GBI Allocations P1'!AZ5*Wealth!AZ$2</f>
        <v>0</v>
      </c>
    </row>
    <row r="6" spans="1:52" x14ac:dyDescent="0.35">
      <c r="A6" t="s">
        <v>167</v>
      </c>
      <c r="B6" s="31">
        <f>'GBI Allocations P1'!B6*Wealth!B$2</f>
        <v>710.7102000000001</v>
      </c>
      <c r="C6" s="31">
        <f>'GBI Allocations P1'!C6*Wealth!C$2</f>
        <v>222.2153892</v>
      </c>
      <c r="D6" s="31">
        <f>'GBI Allocations P1'!D6*Wealth!D$2</f>
        <v>131.86990857600003</v>
      </c>
      <c r="E6" s="31">
        <f>'GBI Allocations P1'!E6*Wealth!E$2</f>
        <v>1054.9061864528398</v>
      </c>
      <c r="F6" s="31">
        <f>'GBI Allocations P1'!F6*Wealth!F$2</f>
        <v>256.18947410247483</v>
      </c>
      <c r="G6" s="31">
        <f>'GBI Allocations P1'!G6*Wealth!G$2</f>
        <v>11434.85463114204</v>
      </c>
      <c r="H6" s="31">
        <f>'GBI Allocations P1'!H6*Wealth!H$2</f>
        <v>22712.897992940041</v>
      </c>
      <c r="I6" s="31">
        <f>'GBI Allocations P1'!I6*Wealth!I$2</f>
        <v>2694.3540747084762</v>
      </c>
      <c r="J6" s="31">
        <f>'GBI Allocations P1'!J6*Wealth!J$2</f>
        <v>2859.9441491459615</v>
      </c>
      <c r="K6" s="31">
        <f>'GBI Allocations P1'!K6*Wealth!K$2</f>
        <v>14682.918087064125</v>
      </c>
      <c r="L6" s="31">
        <f>'GBI Allocations P1'!L6*Wealth!L$2</f>
        <v>16233.699593546373</v>
      </c>
      <c r="M6" s="31">
        <f>'GBI Allocations P1'!M6*Wealth!M$2</f>
        <v>2788.8844647898418</v>
      </c>
      <c r="N6" s="31">
        <f>'GBI Allocations P1'!N6*Wealth!N$2</f>
        <v>8022.2852589802051</v>
      </c>
      <c r="O6" s="31">
        <f>'GBI Allocations P1'!O6*Wealth!O$2</f>
        <v>0</v>
      </c>
      <c r="P6" s="31">
        <f>'GBI Allocations P1'!P6*Wealth!P$2</f>
        <v>0</v>
      </c>
      <c r="Q6" s="31">
        <f>'GBI Allocations P1'!Q6*Wealth!Q$2</f>
        <v>0</v>
      </c>
      <c r="R6" s="31">
        <f>'GBI Allocations P1'!R6*Wealth!R$2</f>
        <v>0</v>
      </c>
      <c r="S6" s="31">
        <f>'GBI Allocations P1'!S6*Wealth!S$2</f>
        <v>0</v>
      </c>
      <c r="T6" s="31">
        <f>'GBI Allocations P1'!T6*Wealth!T$2</f>
        <v>0</v>
      </c>
      <c r="U6" s="31">
        <f>'GBI Allocations P1'!U6*Wealth!U$2</f>
        <v>0</v>
      </c>
      <c r="V6" s="31">
        <f>'GBI Allocations P1'!V6*Wealth!V$2</f>
        <v>0</v>
      </c>
      <c r="W6" s="31">
        <f>'GBI Allocations P1'!W6*Wealth!W$2</f>
        <v>0</v>
      </c>
      <c r="X6" s="31">
        <f>'GBI Allocations P1'!X6*Wealth!X$2</f>
        <v>0</v>
      </c>
      <c r="Y6" s="31">
        <f>'GBI Allocations P1'!Y6*Wealth!Y$2</f>
        <v>0</v>
      </c>
      <c r="Z6" s="31">
        <f>'GBI Allocations P1'!Z6*Wealth!Z$2</f>
        <v>0</v>
      </c>
      <c r="AA6" s="31">
        <f>'GBI Allocations P1'!AA6*Wealth!AA$2</f>
        <v>0</v>
      </c>
      <c r="AB6" s="31">
        <f>'GBI Allocations P1'!AB6*Wealth!AB$2</f>
        <v>0</v>
      </c>
      <c r="AC6" s="31">
        <f>'GBI Allocations P1'!AC6*Wealth!AC$2</f>
        <v>0</v>
      </c>
      <c r="AD6" s="31">
        <f>'GBI Allocations P1'!AD6*Wealth!AD$2</f>
        <v>0</v>
      </c>
      <c r="AE6" s="31">
        <f>'GBI Allocations P1'!AE6*Wealth!AE$2</f>
        <v>0</v>
      </c>
      <c r="AF6" s="31">
        <f>'GBI Allocations P1'!AF6*Wealth!AF$2</f>
        <v>0</v>
      </c>
      <c r="AG6" s="31">
        <f>'GBI Allocations P1'!AG6*Wealth!AG$2</f>
        <v>0</v>
      </c>
      <c r="AH6" s="31">
        <f>'GBI Allocations P1'!AH6*Wealth!AH$2</f>
        <v>0</v>
      </c>
      <c r="AI6" s="31">
        <f>'GBI Allocations P1'!AI6*Wealth!AI$2</f>
        <v>0</v>
      </c>
      <c r="AJ6" s="31">
        <f>'GBI Allocations P1'!AJ6*Wealth!AJ$2</f>
        <v>0</v>
      </c>
      <c r="AK6" s="31">
        <f>'GBI Allocations P1'!AK6*Wealth!AK$2</f>
        <v>0</v>
      </c>
      <c r="AL6" s="31">
        <f>'GBI Allocations P1'!AL6*Wealth!AL$2</f>
        <v>0</v>
      </c>
      <c r="AM6" s="31">
        <f>'GBI Allocations P1'!AM6*Wealth!AM$2</f>
        <v>0</v>
      </c>
      <c r="AN6" s="31">
        <f>'GBI Allocations P1'!AN6*Wealth!AN$2</f>
        <v>0</v>
      </c>
      <c r="AO6" s="31">
        <f>'GBI Allocations P1'!AO6*Wealth!AO$2</f>
        <v>0</v>
      </c>
      <c r="AP6" s="31">
        <f>'GBI Allocations P1'!AP6*Wealth!AP$2</f>
        <v>0</v>
      </c>
      <c r="AQ6" s="31">
        <f>'GBI Allocations P1'!AQ6*Wealth!AQ$2</f>
        <v>0</v>
      </c>
      <c r="AR6" s="31">
        <f>'GBI Allocations P1'!AR6*Wealth!AR$2</f>
        <v>0</v>
      </c>
      <c r="AS6" s="31">
        <f>'GBI Allocations P1'!AS6*Wealth!AS$2</f>
        <v>0</v>
      </c>
      <c r="AT6" s="31">
        <f>'GBI Allocations P1'!AT6*Wealth!AT$2</f>
        <v>0</v>
      </c>
      <c r="AU6" s="31">
        <f>'GBI Allocations P1'!AU6*Wealth!AU$2</f>
        <v>0</v>
      </c>
      <c r="AV6" s="31">
        <f>'GBI Allocations P1'!AV6*Wealth!AV$2</f>
        <v>0</v>
      </c>
      <c r="AW6" s="31">
        <f>'GBI Allocations P1'!AW6*Wealth!AW$2</f>
        <v>0</v>
      </c>
      <c r="AX6" s="31">
        <f>'GBI Allocations P1'!AX6*Wealth!AX$2</f>
        <v>0</v>
      </c>
      <c r="AY6" s="31">
        <f>'GBI Allocations P1'!AY6*Wealth!AY$2</f>
        <v>0</v>
      </c>
      <c r="AZ6" s="31">
        <f>'GBI Allocations P1'!AZ6*Wealth!AZ$2</f>
        <v>0</v>
      </c>
    </row>
    <row r="7" spans="1:52" x14ac:dyDescent="0.35">
      <c r="A7" t="s">
        <v>168</v>
      </c>
      <c r="B7" s="31">
        <f>'GBI Allocations P1'!B7*Wealth!B$2</f>
        <v>50197.198199999999</v>
      </c>
      <c r="C7" s="31">
        <f>'GBI Allocations P1'!C7*Wealth!C$2</f>
        <v>85002.677211600007</v>
      </c>
      <c r="D7" s="31">
        <f>'GBI Allocations P1'!D7*Wealth!D$2</f>
        <v>121023.60859562401</v>
      </c>
      <c r="E7" s="31">
        <f>'GBI Allocations P1'!E7*Wealth!E$2</f>
        <v>178099.5870107082</v>
      </c>
      <c r="F7" s="31">
        <f>'GBI Allocations P1'!F7*Wealth!F$2</f>
        <v>154026.80492983237</v>
      </c>
      <c r="G7" s="31">
        <f>'GBI Allocations P1'!G7*Wealth!G$2</f>
        <v>164337.17063547639</v>
      </c>
      <c r="H7" s="31">
        <f>'GBI Allocations P1'!H7*Wealth!H$2</f>
        <v>274826.06571457448</v>
      </c>
      <c r="I7" s="31">
        <f>'GBI Allocations P1'!I7*Wealth!I$2</f>
        <v>279106.21406042617</v>
      </c>
      <c r="J7" s="31">
        <f>'GBI Allocations P1'!J7*Wealth!J$2</f>
        <v>400777.17336205044</v>
      </c>
      <c r="K7" s="31">
        <f>'GBI Allocations P1'!K7*Wealth!K$2</f>
        <v>347247.91509702284</v>
      </c>
      <c r="L7" s="31">
        <f>'GBI Allocations P1'!L7*Wealth!L$2</f>
        <v>342022.45195158431</v>
      </c>
      <c r="M7" s="31">
        <f>'GBI Allocations P1'!M7*Wealth!M$2</f>
        <v>666388.44905895053</v>
      </c>
      <c r="N7" s="31">
        <f>'GBI Allocations P1'!N7*Wealth!N$2</f>
        <v>810336.15461720282</v>
      </c>
      <c r="O7" s="31">
        <f>'GBI Allocations P1'!O7*Wealth!O$2</f>
        <v>727713.88533414574</v>
      </c>
      <c r="P7" s="31">
        <f>'GBI Allocations P1'!P7*Wealth!P$2</f>
        <v>0</v>
      </c>
      <c r="Q7" s="31">
        <f>'GBI Allocations P1'!Q7*Wealth!Q$2</f>
        <v>0</v>
      </c>
      <c r="R7" s="31">
        <f>'GBI Allocations P1'!R7*Wealth!R$2</f>
        <v>0</v>
      </c>
      <c r="S7" s="31">
        <f>'GBI Allocations P1'!S7*Wealth!S$2</f>
        <v>0</v>
      </c>
      <c r="T7" s="31">
        <f>'GBI Allocations P1'!T7*Wealth!T$2</f>
        <v>0</v>
      </c>
      <c r="U7" s="31">
        <f>'GBI Allocations P1'!U7*Wealth!U$2</f>
        <v>0</v>
      </c>
      <c r="V7" s="31">
        <f>'GBI Allocations P1'!V7*Wealth!V$2</f>
        <v>0</v>
      </c>
      <c r="W7" s="31">
        <f>'GBI Allocations P1'!W7*Wealth!W$2</f>
        <v>0</v>
      </c>
      <c r="X7" s="31">
        <f>'GBI Allocations P1'!X7*Wealth!X$2</f>
        <v>0</v>
      </c>
      <c r="Y7" s="31">
        <f>'GBI Allocations P1'!Y7*Wealth!Y$2</f>
        <v>0</v>
      </c>
      <c r="Z7" s="31">
        <f>'GBI Allocations P1'!Z7*Wealth!Z$2</f>
        <v>0</v>
      </c>
      <c r="AA7" s="31">
        <f>'GBI Allocations P1'!AA7*Wealth!AA$2</f>
        <v>0</v>
      </c>
      <c r="AB7" s="31">
        <f>'GBI Allocations P1'!AB7*Wealth!AB$2</f>
        <v>0</v>
      </c>
      <c r="AC7" s="31">
        <f>'GBI Allocations P1'!AC7*Wealth!AC$2</f>
        <v>0</v>
      </c>
      <c r="AD7" s="31">
        <f>'GBI Allocations P1'!AD7*Wealth!AD$2</f>
        <v>0</v>
      </c>
      <c r="AE7" s="31">
        <f>'GBI Allocations P1'!AE7*Wealth!AE$2</f>
        <v>0</v>
      </c>
      <c r="AF7" s="31">
        <f>'GBI Allocations P1'!AF7*Wealth!AF$2</f>
        <v>0</v>
      </c>
      <c r="AG7" s="31">
        <f>'GBI Allocations P1'!AG7*Wealth!AG$2</f>
        <v>0</v>
      </c>
      <c r="AH7" s="31">
        <f>'GBI Allocations P1'!AH7*Wealth!AH$2</f>
        <v>0</v>
      </c>
      <c r="AI7" s="31">
        <f>'GBI Allocations P1'!AI7*Wealth!AI$2</f>
        <v>0</v>
      </c>
      <c r="AJ7" s="31">
        <f>'GBI Allocations P1'!AJ7*Wealth!AJ$2</f>
        <v>0</v>
      </c>
      <c r="AK7" s="31">
        <f>'GBI Allocations P1'!AK7*Wealth!AK$2</f>
        <v>0</v>
      </c>
      <c r="AL7" s="31">
        <f>'GBI Allocations P1'!AL7*Wealth!AL$2</f>
        <v>0</v>
      </c>
      <c r="AM7" s="31">
        <f>'GBI Allocations P1'!AM7*Wealth!AM$2</f>
        <v>0</v>
      </c>
      <c r="AN7" s="31">
        <f>'GBI Allocations P1'!AN7*Wealth!AN$2</f>
        <v>0</v>
      </c>
      <c r="AO7" s="31">
        <f>'GBI Allocations P1'!AO7*Wealth!AO$2</f>
        <v>0</v>
      </c>
      <c r="AP7" s="31">
        <f>'GBI Allocations P1'!AP7*Wealth!AP$2</f>
        <v>0</v>
      </c>
      <c r="AQ7" s="31">
        <f>'GBI Allocations P1'!AQ7*Wealth!AQ$2</f>
        <v>0</v>
      </c>
      <c r="AR7" s="31">
        <f>'GBI Allocations P1'!AR7*Wealth!AR$2</f>
        <v>0</v>
      </c>
      <c r="AS7" s="31">
        <f>'GBI Allocations P1'!AS7*Wealth!AS$2</f>
        <v>0</v>
      </c>
      <c r="AT7" s="31">
        <f>'GBI Allocations P1'!AT7*Wealth!AT$2</f>
        <v>0</v>
      </c>
      <c r="AU7" s="31">
        <f>'GBI Allocations P1'!AU7*Wealth!AU$2</f>
        <v>0</v>
      </c>
      <c r="AV7" s="31">
        <f>'GBI Allocations P1'!AV7*Wealth!AV$2</f>
        <v>0</v>
      </c>
      <c r="AW7" s="31">
        <f>'GBI Allocations P1'!AW7*Wealth!AW$2</f>
        <v>0</v>
      </c>
      <c r="AX7" s="31">
        <f>'GBI Allocations P1'!AX7*Wealth!AX$2</f>
        <v>0</v>
      </c>
      <c r="AY7" s="31">
        <f>'GBI Allocations P1'!AY7*Wealth!AY$2</f>
        <v>0</v>
      </c>
      <c r="AZ7" s="31">
        <f>'GBI Allocations P1'!AZ7*Wealth!AZ$2</f>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0EF52E-E51B-4510-8A42-C1836EA2FECB}">
  <dimension ref="A1:AY3"/>
  <sheetViews>
    <sheetView workbookViewId="0">
      <selection activeCell="C26" sqref="C26"/>
    </sheetView>
  </sheetViews>
  <sheetFormatPr defaultRowHeight="14.5" x14ac:dyDescent="0.35"/>
  <sheetData>
    <row r="1" spans="1:51" x14ac:dyDescent="0.35">
      <c r="B1" t="s">
        <v>108</v>
      </c>
      <c r="C1" t="s">
        <v>109</v>
      </c>
      <c r="D1" t="s">
        <v>110</v>
      </c>
      <c r="E1" t="s">
        <v>111</v>
      </c>
      <c r="F1" t="s">
        <v>112</v>
      </c>
      <c r="G1" t="s">
        <v>113</v>
      </c>
      <c r="H1" t="s">
        <v>114</v>
      </c>
      <c r="I1" t="s">
        <v>115</v>
      </c>
      <c r="J1" t="s">
        <v>116</v>
      </c>
      <c r="K1" t="s">
        <v>117</v>
      </c>
      <c r="L1" t="s">
        <v>118</v>
      </c>
      <c r="M1" t="s">
        <v>119</v>
      </c>
      <c r="N1" t="s">
        <v>120</v>
      </c>
      <c r="O1" t="s">
        <v>121</v>
      </c>
      <c r="P1" t="s">
        <v>122</v>
      </c>
      <c r="Q1" t="s">
        <v>123</v>
      </c>
      <c r="R1" t="s">
        <v>124</v>
      </c>
      <c r="S1" t="s">
        <v>125</v>
      </c>
      <c r="T1" t="s">
        <v>126</v>
      </c>
      <c r="U1" t="s">
        <v>127</v>
      </c>
      <c r="V1" t="s">
        <v>128</v>
      </c>
      <c r="W1" t="s">
        <v>129</v>
      </c>
      <c r="X1" t="s">
        <v>130</v>
      </c>
      <c r="Y1" t="s">
        <v>131</v>
      </c>
      <c r="Z1" t="s">
        <v>132</v>
      </c>
      <c r="AA1" t="s">
        <v>133</v>
      </c>
      <c r="AB1" t="s">
        <v>134</v>
      </c>
      <c r="AC1" t="s">
        <v>135</v>
      </c>
      <c r="AD1" t="s">
        <v>136</v>
      </c>
      <c r="AE1" t="s">
        <v>137</v>
      </c>
      <c r="AF1" t="s">
        <v>138</v>
      </c>
      <c r="AG1" t="s">
        <v>139</v>
      </c>
      <c r="AH1" t="s">
        <v>140</v>
      </c>
      <c r="AI1" t="s">
        <v>141</v>
      </c>
      <c r="AJ1" t="s">
        <v>142</v>
      </c>
      <c r="AK1" t="s">
        <v>143</v>
      </c>
      <c r="AL1" t="s">
        <v>144</v>
      </c>
      <c r="AM1" t="s">
        <v>145</v>
      </c>
      <c r="AN1" t="s">
        <v>146</v>
      </c>
      <c r="AO1" t="s">
        <v>147</v>
      </c>
      <c r="AP1" t="s">
        <v>148</v>
      </c>
      <c r="AQ1" t="s">
        <v>149</v>
      </c>
      <c r="AR1" t="s">
        <v>150</v>
      </c>
      <c r="AS1" t="s">
        <v>151</v>
      </c>
      <c r="AT1" t="s">
        <v>152</v>
      </c>
      <c r="AU1" t="s">
        <v>153</v>
      </c>
      <c r="AV1" t="s">
        <v>154</v>
      </c>
      <c r="AW1" t="s">
        <v>155</v>
      </c>
      <c r="AX1" t="s">
        <v>156</v>
      </c>
      <c r="AY1" t="s">
        <v>157</v>
      </c>
    </row>
    <row r="2" spans="1:51" x14ac:dyDescent="0.35">
      <c r="A2" t="s">
        <v>81</v>
      </c>
    </row>
    <row r="3" spans="1:51" x14ac:dyDescent="0.35">
      <c r="A3" t="s">
        <v>80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76B74A-2ABA-4A7C-A82B-67864F0DEA98}">
  <dimension ref="A1:AZ7"/>
  <sheetViews>
    <sheetView workbookViewId="0">
      <selection activeCell="B7" sqref="B2:AZ7"/>
    </sheetView>
  </sheetViews>
  <sheetFormatPr defaultRowHeight="14.5" x14ac:dyDescent="0.35"/>
  <cols>
    <col min="1" max="1" width="31.453125" bestFit="1" customWidth="1"/>
    <col min="3" max="3" width="8.81640625" bestFit="1" customWidth="1"/>
  </cols>
  <sheetData>
    <row r="1" spans="1:52" x14ac:dyDescent="0.35">
      <c r="B1" t="s">
        <v>108</v>
      </c>
      <c r="C1" t="s">
        <v>109</v>
      </c>
      <c r="D1" t="s">
        <v>110</v>
      </c>
      <c r="E1" t="s">
        <v>111</v>
      </c>
      <c r="F1" t="s">
        <v>112</v>
      </c>
      <c r="G1" t="s">
        <v>113</v>
      </c>
      <c r="H1" t="s">
        <v>114</v>
      </c>
      <c r="I1" t="s">
        <v>115</v>
      </c>
      <c r="J1" t="s">
        <v>116</v>
      </c>
      <c r="K1" t="s">
        <v>117</v>
      </c>
      <c r="L1" t="s">
        <v>118</v>
      </c>
      <c r="M1" t="s">
        <v>119</v>
      </c>
      <c r="N1" t="s">
        <v>120</v>
      </c>
      <c r="O1" t="s">
        <v>121</v>
      </c>
      <c r="P1" t="s">
        <v>122</v>
      </c>
      <c r="Q1" t="s">
        <v>123</v>
      </c>
      <c r="R1" t="s">
        <v>124</v>
      </c>
      <c r="S1" t="s">
        <v>125</v>
      </c>
      <c r="T1" t="s">
        <v>126</v>
      </c>
      <c r="U1" t="s">
        <v>127</v>
      </c>
      <c r="V1" t="s">
        <v>128</v>
      </c>
      <c r="W1" t="s">
        <v>129</v>
      </c>
      <c r="X1" t="s">
        <v>130</v>
      </c>
      <c r="Y1" t="s">
        <v>131</v>
      </c>
      <c r="Z1" t="s">
        <v>132</v>
      </c>
      <c r="AA1" t="s">
        <v>133</v>
      </c>
      <c r="AB1" t="s">
        <v>134</v>
      </c>
      <c r="AC1" t="s">
        <v>135</v>
      </c>
      <c r="AD1" t="s">
        <v>136</v>
      </c>
      <c r="AE1" t="s">
        <v>137</v>
      </c>
      <c r="AF1" t="s">
        <v>138</v>
      </c>
      <c r="AG1" t="s">
        <v>139</v>
      </c>
      <c r="AH1" t="s">
        <v>140</v>
      </c>
      <c r="AI1" t="s">
        <v>141</v>
      </c>
      <c r="AJ1" t="s">
        <v>142</v>
      </c>
      <c r="AK1" t="s">
        <v>143</v>
      </c>
      <c r="AL1" t="s">
        <v>144</v>
      </c>
      <c r="AM1" t="s">
        <v>145</v>
      </c>
      <c r="AN1" t="s">
        <v>146</v>
      </c>
      <c r="AO1" t="s">
        <v>147</v>
      </c>
      <c r="AP1" t="s">
        <v>148</v>
      </c>
      <c r="AQ1" t="s">
        <v>149</v>
      </c>
      <c r="AR1" t="s">
        <v>150</v>
      </c>
      <c r="AS1" t="s">
        <v>151</v>
      </c>
      <c r="AT1" t="s">
        <v>152</v>
      </c>
      <c r="AU1" t="s">
        <v>153</v>
      </c>
      <c r="AV1" t="s">
        <v>154</v>
      </c>
      <c r="AW1" t="s">
        <v>155</v>
      </c>
      <c r="AX1" t="s">
        <v>156</v>
      </c>
      <c r="AY1" t="s">
        <v>157</v>
      </c>
      <c r="AZ1" s="33" t="s">
        <v>173</v>
      </c>
    </row>
    <row r="2" spans="1:52" x14ac:dyDescent="0.35">
      <c r="A2" t="s">
        <v>106</v>
      </c>
      <c r="B2" s="28">
        <v>1.1200000000000002E-2</v>
      </c>
      <c r="C2" s="28">
        <v>0.18160000000000001</v>
      </c>
      <c r="D2" s="28">
        <v>0.24539999999999998</v>
      </c>
      <c r="E2" s="28">
        <v>1.21E-2</v>
      </c>
      <c r="F2" s="28">
        <v>0.38569999999999999</v>
      </c>
      <c r="G2" s="28">
        <v>0.38640000000000002</v>
      </c>
      <c r="H2" s="28">
        <v>0.22510000000000002</v>
      </c>
      <c r="I2" s="28">
        <v>0.3957</v>
      </c>
      <c r="J2" s="28">
        <v>0.24530000000000002</v>
      </c>
      <c r="K2" s="28">
        <v>0.39</v>
      </c>
      <c r="L2" s="28">
        <v>2.06E-2</v>
      </c>
      <c r="M2" s="28">
        <v>0.13109999999999999</v>
      </c>
      <c r="N2" s="28">
        <v>1.46E-2</v>
      </c>
      <c r="O2" s="28">
        <v>0</v>
      </c>
      <c r="P2" s="28"/>
      <c r="Q2" s="28"/>
      <c r="R2" s="28"/>
      <c r="S2" s="28"/>
      <c r="T2" s="28"/>
      <c r="U2" s="28"/>
      <c r="V2" s="28"/>
      <c r="W2" s="28"/>
      <c r="X2" s="28"/>
      <c r="Y2" s="28"/>
      <c r="Z2" s="28"/>
      <c r="AA2" s="28"/>
      <c r="AB2" s="28"/>
      <c r="AC2" s="28"/>
      <c r="AD2" s="28"/>
      <c r="AE2" s="28"/>
      <c r="AF2" s="28"/>
      <c r="AG2" s="28"/>
      <c r="AH2" s="28"/>
      <c r="AI2" s="28"/>
      <c r="AJ2" s="28"/>
      <c r="AK2" s="28"/>
      <c r="AL2" s="28"/>
      <c r="AM2" s="28"/>
      <c r="AN2" s="28"/>
      <c r="AO2" s="28"/>
      <c r="AP2" s="28"/>
      <c r="AQ2" s="28"/>
      <c r="AR2" s="28"/>
      <c r="AS2" s="28"/>
      <c r="AT2" s="28"/>
      <c r="AU2" s="28"/>
      <c r="AV2" s="28"/>
      <c r="AW2" s="28"/>
      <c r="AX2" s="28"/>
      <c r="AY2" s="28"/>
      <c r="AZ2" s="28"/>
    </row>
    <row r="3" spans="1:52" x14ac:dyDescent="0.35">
      <c r="A3" t="s">
        <v>107</v>
      </c>
      <c r="B3" s="28">
        <v>2.5000000000000001E-3</v>
      </c>
      <c r="C3" s="28">
        <v>5.4000000000000003E-3</v>
      </c>
      <c r="D3" s="28">
        <v>1.6000000000000001E-3</v>
      </c>
      <c r="E3" s="28">
        <v>0.1704</v>
      </c>
      <c r="F3" s="28">
        <v>2.4199999999999999E-2</v>
      </c>
      <c r="G3" s="28">
        <v>6.3799999999999996E-2</v>
      </c>
      <c r="H3" s="28">
        <v>8.6E-3</v>
      </c>
      <c r="I3" s="28">
        <v>6.1999999999999998E-3</v>
      </c>
      <c r="J3" s="28">
        <v>4.8999999999999998E-3</v>
      </c>
      <c r="K3" s="28">
        <v>3.2000000000000002E-3</v>
      </c>
      <c r="L3" s="28">
        <v>6.0000000000000001E-3</v>
      </c>
      <c r="M3" s="28">
        <v>2.0999999999999999E-3</v>
      </c>
      <c r="N3" s="28">
        <v>1.1999999999999999E-3</v>
      </c>
      <c r="O3" s="28">
        <v>0.22</v>
      </c>
      <c r="P3" s="28"/>
      <c r="Q3" s="28"/>
      <c r="R3" s="28"/>
      <c r="S3" s="28"/>
      <c r="T3" s="28"/>
      <c r="U3" s="28"/>
      <c r="V3" s="28"/>
      <c r="W3" s="28"/>
      <c r="X3" s="28"/>
      <c r="Y3" s="28"/>
      <c r="Z3" s="28"/>
      <c r="AA3" s="28"/>
      <c r="AB3" s="28"/>
      <c r="AC3" s="28"/>
      <c r="AD3" s="28"/>
      <c r="AE3" s="28"/>
      <c r="AF3" s="28"/>
      <c r="AG3" s="28"/>
      <c r="AH3" s="28"/>
      <c r="AI3" s="28"/>
      <c r="AJ3" s="28"/>
      <c r="AK3" s="28"/>
      <c r="AL3" s="28"/>
      <c r="AM3" s="28"/>
      <c r="AN3" s="28"/>
      <c r="AO3" s="28"/>
      <c r="AP3" s="28"/>
      <c r="AQ3" s="28"/>
      <c r="AR3" s="28"/>
      <c r="AS3" s="28"/>
      <c r="AT3" s="28"/>
      <c r="AU3" s="28"/>
      <c r="AV3" s="28"/>
      <c r="AW3" s="28"/>
      <c r="AX3" s="28"/>
      <c r="AY3" s="28"/>
      <c r="AZ3" s="28"/>
    </row>
    <row r="4" spans="1:52" x14ac:dyDescent="0.35">
      <c r="A4" t="s">
        <v>161</v>
      </c>
      <c r="B4" s="28">
        <v>1.6200000000000003E-2</v>
      </c>
      <c r="C4" s="28">
        <v>1.7000000000000001E-3</v>
      </c>
      <c r="D4" s="28">
        <v>0.01</v>
      </c>
      <c r="E4" s="28">
        <v>2.3E-3</v>
      </c>
      <c r="F4" s="28">
        <v>2.3099999999999999E-2</v>
      </c>
      <c r="G4" s="28">
        <v>1.77E-2</v>
      </c>
      <c r="H4" s="28">
        <v>4.4800000000000006E-2</v>
      </c>
      <c r="I4" s="28">
        <v>0.01</v>
      </c>
      <c r="J4" s="28">
        <v>9.7000000000000003E-3</v>
      </c>
      <c r="K4" s="28">
        <v>6.1999999999999998E-3</v>
      </c>
      <c r="L4" s="28">
        <v>2.7000000000000001E-3</v>
      </c>
      <c r="M4" s="28">
        <v>2.5999999999999999E-3</v>
      </c>
      <c r="N4" s="28">
        <v>7.000000000000001E-4</v>
      </c>
      <c r="O4" s="28">
        <v>0</v>
      </c>
      <c r="P4" s="28"/>
      <c r="Q4" s="28"/>
      <c r="R4" s="28"/>
      <c r="S4" s="28"/>
      <c r="T4" s="28"/>
      <c r="U4" s="28"/>
      <c r="V4" s="28"/>
      <c r="W4" s="28"/>
      <c r="X4" s="28"/>
      <c r="Y4" s="28"/>
      <c r="Z4" s="28"/>
      <c r="AA4" s="28"/>
      <c r="AB4" s="28"/>
      <c r="AC4" s="28"/>
      <c r="AD4" s="28"/>
      <c r="AE4" s="28"/>
      <c r="AF4" s="28"/>
      <c r="AG4" s="28"/>
      <c r="AH4" s="28"/>
      <c r="AI4" s="28"/>
      <c r="AJ4" s="28"/>
      <c r="AK4" s="28"/>
      <c r="AL4" s="28"/>
      <c r="AM4" s="28"/>
      <c r="AN4" s="28"/>
      <c r="AO4" s="28"/>
      <c r="AP4" s="28"/>
      <c r="AQ4" s="28"/>
      <c r="AR4" s="28"/>
      <c r="AS4" s="28"/>
      <c r="AT4" s="28"/>
      <c r="AU4" s="28"/>
      <c r="AV4" s="28"/>
      <c r="AW4" s="28"/>
      <c r="AX4" s="28"/>
      <c r="AY4" s="28"/>
      <c r="AZ4" s="28"/>
    </row>
    <row r="5" spans="1:52" x14ac:dyDescent="0.35">
      <c r="A5" t="s">
        <v>160</v>
      </c>
      <c r="B5" s="28">
        <v>3.0999999999999999E-3</v>
      </c>
      <c r="C5" s="28">
        <v>5.7999999999999996E-3</v>
      </c>
      <c r="D5" s="28">
        <v>8.0000000000000002E-3</v>
      </c>
      <c r="E5" s="28">
        <v>1.7000000000000001E-2</v>
      </c>
      <c r="F5" s="28">
        <v>2.5000000000000001E-2</v>
      </c>
      <c r="G5" s="28">
        <v>2.3399999999999997E-2</v>
      </c>
      <c r="H5" s="28">
        <v>8.9999999999999998E-4</v>
      </c>
      <c r="I5" s="28">
        <v>2.3999999999999998E-3</v>
      </c>
      <c r="J5" s="28">
        <v>6.3E-3</v>
      </c>
      <c r="K5" s="28">
        <v>1.6399999999999998E-2</v>
      </c>
      <c r="L5" s="28">
        <v>0.45640000000000003</v>
      </c>
      <c r="M5" s="28">
        <v>4.0000000000000002E-4</v>
      </c>
      <c r="N5" s="28">
        <v>2.46E-2</v>
      </c>
      <c r="O5" s="28">
        <v>0</v>
      </c>
      <c r="P5" s="28"/>
      <c r="Q5" s="28"/>
      <c r="R5" s="28"/>
      <c r="S5" s="28"/>
      <c r="T5" s="28"/>
      <c r="U5" s="28"/>
      <c r="V5" s="28"/>
      <c r="W5" s="28"/>
      <c r="X5" s="28"/>
      <c r="Y5" s="28"/>
      <c r="Z5" s="28"/>
      <c r="AA5" s="28"/>
      <c r="AB5" s="28"/>
      <c r="AC5" s="28"/>
      <c r="AD5" s="28"/>
      <c r="AE5" s="28"/>
      <c r="AF5" s="28"/>
      <c r="AG5" s="28"/>
      <c r="AH5" s="28"/>
      <c r="AI5" s="28"/>
      <c r="AJ5" s="28"/>
      <c r="AK5" s="28"/>
      <c r="AL5" s="28"/>
      <c r="AM5" s="28"/>
      <c r="AN5" s="28"/>
      <c r="AO5" s="28"/>
      <c r="AP5" s="28"/>
      <c r="AQ5" s="28"/>
      <c r="AR5" s="28"/>
      <c r="AS5" s="28"/>
      <c r="AT5" s="28"/>
      <c r="AU5" s="28"/>
      <c r="AV5" s="28"/>
      <c r="AW5" s="28"/>
      <c r="AX5" s="28"/>
      <c r="AY5" s="28"/>
      <c r="AZ5" s="28"/>
    </row>
    <row r="6" spans="1:52" x14ac:dyDescent="0.35">
      <c r="A6" t="s">
        <v>159</v>
      </c>
      <c r="B6" s="28">
        <v>1.3500000000000002E-2</v>
      </c>
      <c r="C6" s="28">
        <v>2.0999999999999999E-3</v>
      </c>
      <c r="D6" s="28">
        <v>8.0000000000000004E-4</v>
      </c>
      <c r="E6" s="28">
        <v>4.6999999999999993E-3</v>
      </c>
      <c r="F6" s="28">
        <v>8.9999999999999998E-4</v>
      </c>
      <c r="G6" s="28">
        <v>3.3099999999999997E-2</v>
      </c>
      <c r="H6" s="28">
        <v>5.5E-2</v>
      </c>
      <c r="I6" s="28">
        <v>5.6000000000000008E-3</v>
      </c>
      <c r="J6" s="28">
        <v>5.1999999999999998E-3</v>
      </c>
      <c r="K6" s="28">
        <v>2.3700000000000002E-2</v>
      </c>
      <c r="L6" s="28">
        <v>2.3300000000000001E-2</v>
      </c>
      <c r="M6" s="28">
        <v>3.5999999999999999E-3</v>
      </c>
      <c r="N6" s="28">
        <v>9.3999999999999986E-3</v>
      </c>
      <c r="O6" s="28">
        <v>0</v>
      </c>
      <c r="P6" s="28"/>
      <c r="Q6" s="28"/>
      <c r="R6" s="28"/>
      <c r="S6" s="28"/>
      <c r="T6" s="28"/>
      <c r="U6" s="28"/>
      <c r="V6" s="28"/>
      <c r="W6" s="28"/>
      <c r="X6" s="28"/>
      <c r="Y6" s="28"/>
      <c r="Z6" s="28"/>
      <c r="AA6" s="28"/>
      <c r="AB6" s="28"/>
      <c r="AC6" s="28"/>
      <c r="AD6" s="28"/>
      <c r="AE6" s="28"/>
      <c r="AF6" s="28"/>
      <c r="AG6" s="28"/>
      <c r="AH6" s="28"/>
      <c r="AI6" s="28"/>
      <c r="AJ6" s="28"/>
      <c r="AK6" s="28"/>
      <c r="AL6" s="28"/>
      <c r="AM6" s="28"/>
      <c r="AN6" s="28"/>
      <c r="AO6" s="28"/>
      <c r="AP6" s="28"/>
      <c r="AQ6" s="28"/>
      <c r="AR6" s="28"/>
      <c r="AS6" s="28"/>
      <c r="AT6" s="28"/>
      <c r="AU6" s="28"/>
      <c r="AV6" s="28"/>
      <c r="AW6" s="28"/>
      <c r="AX6" s="28"/>
      <c r="AY6" s="28"/>
      <c r="AZ6" s="28"/>
    </row>
    <row r="7" spans="1:52" x14ac:dyDescent="0.35">
      <c r="A7" t="s">
        <v>158</v>
      </c>
      <c r="B7" s="28">
        <v>0.9534999999999999</v>
      </c>
      <c r="C7" s="28">
        <v>0.80330000000000001</v>
      </c>
      <c r="D7" s="28">
        <v>0.73419999999999996</v>
      </c>
      <c r="E7" s="28">
        <v>0.79349999999999998</v>
      </c>
      <c r="F7" s="28">
        <v>0.54110000000000003</v>
      </c>
      <c r="G7" s="28">
        <v>0.47570000000000001</v>
      </c>
      <c r="H7" s="28">
        <v>0.66549999999999998</v>
      </c>
      <c r="I7" s="28">
        <v>0.58009999999999995</v>
      </c>
      <c r="J7" s="28">
        <v>0.72870000000000001</v>
      </c>
      <c r="K7" s="28">
        <v>0.5605</v>
      </c>
      <c r="L7" s="28">
        <v>0.49090000000000006</v>
      </c>
      <c r="M7" s="28">
        <v>0.86019999999999996</v>
      </c>
      <c r="N7" s="28">
        <v>0.94950000000000001</v>
      </c>
      <c r="O7" s="28">
        <v>0.78</v>
      </c>
      <c r="P7" s="28"/>
      <c r="Q7" s="28"/>
      <c r="R7" s="28"/>
      <c r="S7" s="28"/>
      <c r="T7" s="28"/>
      <c r="U7" s="28"/>
      <c r="V7" s="28"/>
      <c r="W7" s="28"/>
      <c r="X7" s="28"/>
      <c r="Y7" s="28"/>
      <c r="Z7" s="28"/>
      <c r="AA7" s="28"/>
      <c r="AB7" s="28"/>
      <c r="AC7" s="28"/>
      <c r="AD7" s="28"/>
      <c r="AE7" s="28"/>
      <c r="AF7" s="28"/>
      <c r="AG7" s="28"/>
      <c r="AH7" s="28"/>
      <c r="AI7" s="28"/>
      <c r="AJ7" s="28"/>
      <c r="AK7" s="28"/>
      <c r="AL7" s="28"/>
      <c r="AM7" s="28"/>
      <c r="AN7" s="28"/>
      <c r="AO7" s="28"/>
      <c r="AP7" s="28"/>
      <c r="AQ7" s="28"/>
      <c r="AR7" s="28"/>
      <c r="AS7" s="28"/>
      <c r="AT7" s="28"/>
      <c r="AU7" s="28"/>
      <c r="AV7" s="28"/>
      <c r="AW7" s="28"/>
      <c r="AX7" s="28"/>
      <c r="AY7" s="28"/>
      <c r="AZ7" s="28"/>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58B312-685C-41F1-A0B9-5F2CAAFC3BC3}">
  <dimension ref="A1:AZ9"/>
  <sheetViews>
    <sheetView workbookViewId="0">
      <selection activeCell="G11" sqref="G11"/>
    </sheetView>
  </sheetViews>
  <sheetFormatPr defaultRowHeight="14.5" x14ac:dyDescent="0.35"/>
  <cols>
    <col min="3" max="3" width="9.81640625" bestFit="1" customWidth="1"/>
  </cols>
  <sheetData>
    <row r="1" spans="1:52" x14ac:dyDescent="0.35">
      <c r="B1" t="s">
        <v>108</v>
      </c>
      <c r="C1" t="s">
        <v>109</v>
      </c>
      <c r="D1" t="s">
        <v>110</v>
      </c>
      <c r="E1" t="s">
        <v>111</v>
      </c>
      <c r="F1" t="s">
        <v>112</v>
      </c>
      <c r="G1" t="s">
        <v>113</v>
      </c>
      <c r="H1" t="s">
        <v>114</v>
      </c>
      <c r="I1" t="s">
        <v>115</v>
      </c>
      <c r="J1" t="s">
        <v>116</v>
      </c>
      <c r="K1" t="s">
        <v>117</v>
      </c>
      <c r="L1" t="s">
        <v>118</v>
      </c>
      <c r="M1" t="s">
        <v>119</v>
      </c>
      <c r="N1" t="s">
        <v>120</v>
      </c>
      <c r="O1" t="s">
        <v>121</v>
      </c>
      <c r="P1" t="s">
        <v>122</v>
      </c>
      <c r="Q1" t="s">
        <v>123</v>
      </c>
      <c r="R1" t="s">
        <v>124</v>
      </c>
      <c r="S1" t="s">
        <v>125</v>
      </c>
      <c r="T1" t="s">
        <v>126</v>
      </c>
      <c r="U1" t="s">
        <v>127</v>
      </c>
      <c r="V1" t="s">
        <v>128</v>
      </c>
      <c r="W1" t="s">
        <v>129</v>
      </c>
      <c r="X1" t="s">
        <v>130</v>
      </c>
      <c r="Y1" t="s">
        <v>131</v>
      </c>
      <c r="Z1" t="s">
        <v>132</v>
      </c>
      <c r="AA1" t="s">
        <v>133</v>
      </c>
      <c r="AB1" t="s">
        <v>134</v>
      </c>
      <c r="AC1" t="s">
        <v>135</v>
      </c>
      <c r="AD1" t="s">
        <v>136</v>
      </c>
      <c r="AE1" t="s">
        <v>137</v>
      </c>
      <c r="AF1" t="s">
        <v>138</v>
      </c>
      <c r="AG1" t="s">
        <v>139</v>
      </c>
      <c r="AH1" t="s">
        <v>140</v>
      </c>
      <c r="AI1" t="s">
        <v>141</v>
      </c>
      <c r="AJ1" t="s">
        <v>142</v>
      </c>
      <c r="AK1" t="s">
        <v>143</v>
      </c>
      <c r="AL1" t="s">
        <v>144</v>
      </c>
      <c r="AM1" t="s">
        <v>145</v>
      </c>
      <c r="AN1" t="s">
        <v>146</v>
      </c>
      <c r="AO1" t="s">
        <v>147</v>
      </c>
      <c r="AP1" t="s">
        <v>148</v>
      </c>
      <c r="AQ1" t="s">
        <v>149</v>
      </c>
      <c r="AR1" t="s">
        <v>150</v>
      </c>
      <c r="AS1" t="s">
        <v>151</v>
      </c>
      <c r="AT1" t="s">
        <v>152</v>
      </c>
      <c r="AU1" t="s">
        <v>153</v>
      </c>
      <c r="AV1" t="s">
        <v>154</v>
      </c>
      <c r="AW1" t="s">
        <v>155</v>
      </c>
      <c r="AX1" t="s">
        <v>156</v>
      </c>
      <c r="AY1" t="s">
        <v>157</v>
      </c>
      <c r="AZ1" s="33" t="s">
        <v>173</v>
      </c>
    </row>
    <row r="2" spans="1:52" x14ac:dyDescent="0.35">
      <c r="A2" t="s">
        <v>169</v>
      </c>
      <c r="B2" s="28">
        <v>1.01E-2</v>
      </c>
      <c r="C2" s="28">
        <v>2.0199999999999999E-2</v>
      </c>
      <c r="D2" s="28">
        <v>5.33E-2</v>
      </c>
      <c r="E2" s="28">
        <v>0</v>
      </c>
      <c r="F2" s="28">
        <v>0</v>
      </c>
      <c r="G2" s="28">
        <v>0</v>
      </c>
      <c r="H2" s="28">
        <v>0</v>
      </c>
      <c r="I2" s="28">
        <v>0</v>
      </c>
      <c r="J2" s="28">
        <v>0</v>
      </c>
      <c r="K2" s="28">
        <v>0</v>
      </c>
      <c r="L2" s="28">
        <v>0</v>
      </c>
      <c r="M2" s="28">
        <v>0</v>
      </c>
      <c r="N2" s="28">
        <v>0</v>
      </c>
      <c r="O2" s="28">
        <v>0</v>
      </c>
      <c r="P2" s="28"/>
      <c r="Q2" s="28"/>
      <c r="R2" s="28"/>
      <c r="S2" s="28"/>
      <c r="T2" s="28"/>
      <c r="U2" s="28"/>
      <c r="V2" s="28"/>
      <c r="W2" s="28"/>
      <c r="X2" s="28"/>
      <c r="Y2" s="28"/>
      <c r="Z2" s="28"/>
      <c r="AA2" s="28"/>
      <c r="AB2" s="28"/>
      <c r="AC2" s="28"/>
      <c r="AD2" s="28"/>
      <c r="AE2" s="28"/>
      <c r="AF2" s="28"/>
      <c r="AG2" s="28"/>
      <c r="AH2" s="28"/>
      <c r="AI2" s="28"/>
      <c r="AJ2" s="28"/>
      <c r="AK2" s="28"/>
      <c r="AL2" s="28"/>
      <c r="AM2" s="28"/>
      <c r="AN2" s="28"/>
      <c r="AO2" s="28"/>
      <c r="AP2" s="28"/>
      <c r="AQ2" s="28"/>
      <c r="AR2" s="28"/>
      <c r="AS2" s="28"/>
      <c r="AT2" s="28"/>
      <c r="AU2" s="28"/>
      <c r="AV2" s="28"/>
      <c r="AW2" s="28"/>
      <c r="AX2" s="28"/>
      <c r="AY2" s="28"/>
      <c r="AZ2" s="28"/>
    </row>
    <row r="3" spans="1:52" x14ac:dyDescent="0.35">
      <c r="A3" t="s">
        <v>170</v>
      </c>
      <c r="B3" s="28">
        <v>0.93940000000000001</v>
      </c>
      <c r="C3" s="28">
        <v>0.79800000000000004</v>
      </c>
      <c r="D3" s="28">
        <v>0.62670000000000003</v>
      </c>
      <c r="E3" s="28">
        <v>0.72729999999999995</v>
      </c>
      <c r="F3" s="28">
        <v>0.54220000000000002</v>
      </c>
      <c r="G3" s="28">
        <v>0.41539999999999999</v>
      </c>
      <c r="H3" s="28">
        <v>0.60470000000000002</v>
      </c>
      <c r="I3" s="28">
        <v>0.47949999999999998</v>
      </c>
      <c r="J3" s="28">
        <v>0.74739999999999995</v>
      </c>
      <c r="K3" s="28">
        <v>0.46379999999999999</v>
      </c>
      <c r="L3" s="28">
        <v>0.43590000000000001</v>
      </c>
      <c r="M3" s="28">
        <v>0.6905</v>
      </c>
      <c r="N3" s="28">
        <v>0.85709999999999997</v>
      </c>
      <c r="O3" s="28">
        <v>0.38890000000000002</v>
      </c>
      <c r="P3" s="28"/>
      <c r="Q3" s="28"/>
      <c r="R3" s="28"/>
      <c r="S3" s="28"/>
      <c r="T3" s="28"/>
      <c r="U3" s="28"/>
      <c r="V3" s="28"/>
      <c r="W3" s="28"/>
      <c r="X3" s="28"/>
      <c r="Y3" s="28"/>
      <c r="Z3" s="28"/>
      <c r="AA3" s="28"/>
      <c r="AB3" s="28"/>
      <c r="AC3" s="28"/>
      <c r="AD3" s="28"/>
      <c r="AE3" s="28"/>
      <c r="AF3" s="28"/>
      <c r="AG3" s="28"/>
      <c r="AH3" s="28"/>
      <c r="AI3" s="28"/>
      <c r="AJ3" s="28"/>
      <c r="AK3" s="28"/>
      <c r="AL3" s="28"/>
      <c r="AM3" s="28"/>
      <c r="AN3" s="28"/>
      <c r="AO3" s="28"/>
      <c r="AP3" s="28"/>
      <c r="AQ3" s="28"/>
      <c r="AR3" s="28"/>
      <c r="AS3" s="28"/>
      <c r="AT3" s="28"/>
      <c r="AU3" s="28"/>
      <c r="AV3" s="28"/>
      <c r="AW3" s="28"/>
      <c r="AX3" s="28"/>
      <c r="AY3" s="28"/>
      <c r="AZ3" s="28"/>
    </row>
    <row r="4" spans="1:52" x14ac:dyDescent="0.35">
      <c r="A4" t="s">
        <v>171</v>
      </c>
      <c r="B4" s="28">
        <v>0</v>
      </c>
      <c r="C4" s="28">
        <v>0</v>
      </c>
      <c r="D4" s="28">
        <v>0</v>
      </c>
      <c r="E4" s="28">
        <v>0</v>
      </c>
      <c r="F4" s="28">
        <v>0</v>
      </c>
      <c r="G4" s="28">
        <v>0</v>
      </c>
      <c r="H4" s="28">
        <v>0</v>
      </c>
      <c r="I4" s="28">
        <v>0</v>
      </c>
      <c r="J4" s="28">
        <v>0</v>
      </c>
      <c r="K4" s="28">
        <v>0</v>
      </c>
      <c r="L4" s="28">
        <v>0</v>
      </c>
      <c r="M4" s="28">
        <v>0</v>
      </c>
      <c r="N4" s="28">
        <v>0</v>
      </c>
      <c r="O4" s="28">
        <v>0</v>
      </c>
      <c r="P4" s="28"/>
      <c r="Q4" s="28"/>
      <c r="R4" s="28"/>
      <c r="S4" s="28"/>
      <c r="T4" s="28"/>
      <c r="U4" s="28"/>
      <c r="V4" s="28"/>
      <c r="W4" s="28"/>
      <c r="X4" s="28"/>
      <c r="Y4" s="28"/>
      <c r="Z4" s="28"/>
      <c r="AA4" s="28"/>
      <c r="AB4" s="28"/>
      <c r="AC4" s="28"/>
      <c r="AD4" s="28"/>
      <c r="AE4" s="28"/>
      <c r="AF4" s="28"/>
      <c r="AG4" s="28"/>
      <c r="AH4" s="28"/>
      <c r="AI4" s="28"/>
      <c r="AJ4" s="28"/>
      <c r="AK4" s="28"/>
      <c r="AL4" s="28"/>
      <c r="AM4" s="28"/>
      <c r="AN4" s="28"/>
      <c r="AO4" s="28"/>
      <c r="AP4" s="28"/>
      <c r="AQ4" s="28"/>
      <c r="AR4" s="28"/>
      <c r="AS4" s="28"/>
      <c r="AT4" s="28"/>
      <c r="AU4" s="28"/>
      <c r="AV4" s="28"/>
      <c r="AW4" s="28"/>
      <c r="AX4" s="28"/>
      <c r="AY4" s="28"/>
      <c r="AZ4" s="28"/>
    </row>
    <row r="5" spans="1:52" x14ac:dyDescent="0.35">
      <c r="A5" t="s">
        <v>172</v>
      </c>
      <c r="B5" s="28">
        <v>5.0500000000000003E-2</v>
      </c>
      <c r="C5" s="28">
        <v>0.18179999999999999</v>
      </c>
      <c r="D5" s="28">
        <v>0.32</v>
      </c>
      <c r="E5" s="28">
        <v>0.2727</v>
      </c>
      <c r="F5" s="28">
        <v>0.45779999999999998</v>
      </c>
      <c r="G5" s="28">
        <v>0.58460000000000001</v>
      </c>
      <c r="H5" s="28">
        <v>0.39529999999999998</v>
      </c>
      <c r="I5" s="28">
        <v>0.52049999999999996</v>
      </c>
      <c r="J5" s="28">
        <v>0.25259999999999999</v>
      </c>
      <c r="K5" s="28">
        <v>0.53620000000000001</v>
      </c>
      <c r="L5" s="28">
        <v>0.56410000000000005</v>
      </c>
      <c r="M5" s="28">
        <v>0.3095</v>
      </c>
      <c r="N5" s="28">
        <v>0.1429</v>
      </c>
      <c r="O5" s="28">
        <v>0.61109999999999998</v>
      </c>
      <c r="P5" s="28"/>
      <c r="Q5" s="28"/>
      <c r="R5" s="28"/>
      <c r="S5" s="28"/>
      <c r="T5" s="28"/>
      <c r="U5" s="28"/>
      <c r="V5" s="28"/>
      <c r="W5" s="28"/>
      <c r="X5" s="28"/>
      <c r="Y5" s="28"/>
      <c r="Z5" s="28"/>
      <c r="AA5" s="28"/>
      <c r="AB5" s="28"/>
      <c r="AC5" s="28"/>
      <c r="AD5" s="28"/>
      <c r="AE5" s="28"/>
      <c r="AF5" s="28"/>
      <c r="AG5" s="28"/>
      <c r="AH5" s="28"/>
      <c r="AI5" s="28"/>
      <c r="AJ5" s="28"/>
      <c r="AK5" s="28"/>
      <c r="AL5" s="28"/>
      <c r="AM5" s="28"/>
      <c r="AN5" s="28"/>
      <c r="AO5" s="28"/>
      <c r="AP5" s="28"/>
      <c r="AQ5" s="28"/>
      <c r="AR5" s="28"/>
      <c r="AS5" s="28"/>
      <c r="AT5" s="28"/>
      <c r="AU5" s="28"/>
      <c r="AV5" s="28"/>
      <c r="AW5" s="28"/>
      <c r="AX5" s="28"/>
      <c r="AY5" s="28"/>
      <c r="AZ5" s="28"/>
    </row>
    <row r="9" spans="1:52" x14ac:dyDescent="0.35">
      <c r="C9" s="29"/>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E133A-777A-45BD-A5DC-28656BDD3694}">
  <dimension ref="A1:AZ7"/>
  <sheetViews>
    <sheetView workbookViewId="0">
      <selection activeCell="B7" sqref="B2:AZ7"/>
    </sheetView>
  </sheetViews>
  <sheetFormatPr defaultRowHeight="14.5" x14ac:dyDescent="0.35"/>
  <cols>
    <col min="1" max="1" width="31.453125" bestFit="1" customWidth="1"/>
  </cols>
  <sheetData>
    <row r="1" spans="1:52" x14ac:dyDescent="0.35">
      <c r="B1" t="s">
        <v>108</v>
      </c>
      <c r="C1" t="s">
        <v>109</v>
      </c>
      <c r="D1" t="s">
        <v>110</v>
      </c>
      <c r="E1" t="s">
        <v>111</v>
      </c>
      <c r="F1" t="s">
        <v>112</v>
      </c>
      <c r="G1" t="s">
        <v>113</v>
      </c>
      <c r="H1" t="s">
        <v>114</v>
      </c>
      <c r="I1" t="s">
        <v>115</v>
      </c>
      <c r="J1" t="s">
        <v>116</v>
      </c>
      <c r="K1" t="s">
        <v>117</v>
      </c>
      <c r="L1" t="s">
        <v>118</v>
      </c>
      <c r="M1" t="s">
        <v>119</v>
      </c>
      <c r="N1" t="s">
        <v>120</v>
      </c>
      <c r="O1" t="s">
        <v>121</v>
      </c>
      <c r="P1" t="s">
        <v>122</v>
      </c>
      <c r="Q1" t="s">
        <v>123</v>
      </c>
      <c r="R1" t="s">
        <v>124</v>
      </c>
      <c r="S1" t="s">
        <v>125</v>
      </c>
      <c r="T1" t="s">
        <v>126</v>
      </c>
      <c r="U1" t="s">
        <v>127</v>
      </c>
      <c r="V1" t="s">
        <v>128</v>
      </c>
      <c r="W1" t="s">
        <v>129</v>
      </c>
      <c r="X1" t="s">
        <v>130</v>
      </c>
      <c r="Y1" t="s">
        <v>131</v>
      </c>
      <c r="Z1" t="s">
        <v>132</v>
      </c>
      <c r="AA1" t="s">
        <v>133</v>
      </c>
      <c r="AB1" t="s">
        <v>134</v>
      </c>
      <c r="AC1" t="s">
        <v>135</v>
      </c>
      <c r="AD1" t="s">
        <v>136</v>
      </c>
      <c r="AE1" t="s">
        <v>137</v>
      </c>
      <c r="AF1" t="s">
        <v>138</v>
      </c>
      <c r="AG1" t="s">
        <v>139</v>
      </c>
      <c r="AH1" t="s">
        <v>140</v>
      </c>
      <c r="AI1" t="s">
        <v>141</v>
      </c>
      <c r="AJ1" t="s">
        <v>142</v>
      </c>
      <c r="AK1" t="s">
        <v>143</v>
      </c>
      <c r="AL1" t="s">
        <v>144</v>
      </c>
      <c r="AM1" t="s">
        <v>145</v>
      </c>
      <c r="AN1" t="s">
        <v>146</v>
      </c>
      <c r="AO1" t="s">
        <v>147</v>
      </c>
      <c r="AP1" t="s">
        <v>148</v>
      </c>
      <c r="AQ1" t="s">
        <v>149</v>
      </c>
      <c r="AR1" t="s">
        <v>150</v>
      </c>
      <c r="AS1" t="s">
        <v>151</v>
      </c>
      <c r="AT1" t="s">
        <v>152</v>
      </c>
      <c r="AU1" t="s">
        <v>153</v>
      </c>
      <c r="AV1" t="s">
        <v>154</v>
      </c>
      <c r="AW1" t="s">
        <v>155</v>
      </c>
      <c r="AX1" t="s">
        <v>156</v>
      </c>
      <c r="AY1" t="s">
        <v>157</v>
      </c>
      <c r="AZ1" s="33" t="s">
        <v>173</v>
      </c>
    </row>
    <row r="2" spans="1:52" x14ac:dyDescent="0.35">
      <c r="A2" t="s">
        <v>106</v>
      </c>
      <c r="B2" s="28"/>
      <c r="C2" s="28"/>
      <c r="D2" s="28"/>
      <c r="E2" s="28"/>
      <c r="F2" s="28"/>
      <c r="G2" s="28"/>
      <c r="H2" s="28"/>
      <c r="I2" s="28"/>
      <c r="J2" s="28"/>
      <c r="K2" s="28"/>
      <c r="L2" s="28"/>
      <c r="M2" s="28"/>
      <c r="N2" s="28"/>
      <c r="O2" s="28"/>
      <c r="P2" s="28"/>
      <c r="Q2" s="28"/>
      <c r="R2" s="28"/>
      <c r="S2" s="28"/>
      <c r="T2" s="28"/>
      <c r="U2" s="28"/>
      <c r="V2" s="28"/>
      <c r="W2" s="28"/>
      <c r="X2" s="28"/>
      <c r="Y2" s="28"/>
      <c r="Z2" s="28"/>
      <c r="AA2" s="28"/>
      <c r="AB2" s="28"/>
      <c r="AC2" s="28"/>
      <c r="AD2" s="28"/>
      <c r="AE2" s="28"/>
      <c r="AF2" s="28"/>
      <c r="AG2" s="28"/>
      <c r="AH2" s="28"/>
      <c r="AI2" s="28"/>
      <c r="AJ2" s="28"/>
      <c r="AK2" s="28"/>
      <c r="AL2" s="28"/>
      <c r="AM2" s="28"/>
      <c r="AN2" s="28"/>
      <c r="AO2" s="28"/>
      <c r="AP2" s="28"/>
      <c r="AQ2" s="28"/>
      <c r="AR2" s="28"/>
      <c r="AS2" s="28"/>
      <c r="AT2" s="28"/>
      <c r="AU2" s="28"/>
      <c r="AV2" s="28"/>
      <c r="AW2" s="28"/>
      <c r="AX2" s="28"/>
      <c r="AY2" s="28"/>
      <c r="AZ2" s="28"/>
    </row>
    <row r="3" spans="1:52" x14ac:dyDescent="0.35">
      <c r="A3" t="s">
        <v>107</v>
      </c>
      <c r="B3" s="28"/>
      <c r="C3" s="28"/>
      <c r="D3" s="28"/>
      <c r="E3" s="28"/>
      <c r="F3" s="28"/>
      <c r="G3" s="28"/>
      <c r="H3" s="28"/>
      <c r="I3" s="28"/>
      <c r="J3" s="28"/>
      <c r="K3" s="28"/>
      <c r="L3" s="28"/>
      <c r="M3" s="28"/>
      <c r="N3" s="28"/>
      <c r="O3" s="28"/>
      <c r="P3" s="28"/>
      <c r="Q3" s="28"/>
      <c r="R3" s="28"/>
      <c r="S3" s="28"/>
      <c r="T3" s="28"/>
      <c r="U3" s="28"/>
      <c r="V3" s="28"/>
      <c r="W3" s="28"/>
      <c r="X3" s="28"/>
      <c r="Y3" s="28"/>
      <c r="Z3" s="28"/>
      <c r="AA3" s="28"/>
      <c r="AB3" s="28"/>
      <c r="AC3" s="28"/>
      <c r="AD3" s="28"/>
      <c r="AE3" s="28"/>
      <c r="AF3" s="28"/>
      <c r="AG3" s="28"/>
      <c r="AH3" s="28"/>
      <c r="AI3" s="28"/>
      <c r="AJ3" s="28"/>
      <c r="AK3" s="28"/>
      <c r="AL3" s="28"/>
      <c r="AM3" s="28"/>
      <c r="AN3" s="28"/>
      <c r="AO3" s="28"/>
      <c r="AP3" s="28"/>
      <c r="AQ3" s="28"/>
      <c r="AR3" s="28"/>
      <c r="AS3" s="28"/>
      <c r="AT3" s="28"/>
      <c r="AU3" s="28"/>
      <c r="AV3" s="28"/>
      <c r="AW3" s="28"/>
      <c r="AX3" s="28"/>
      <c r="AY3" s="28"/>
      <c r="AZ3" s="28"/>
    </row>
    <row r="4" spans="1:52" x14ac:dyDescent="0.35">
      <c r="A4" t="s">
        <v>161</v>
      </c>
      <c r="B4" s="28"/>
      <c r="C4" s="28"/>
      <c r="D4" s="28"/>
      <c r="E4" s="28"/>
      <c r="F4" s="28"/>
      <c r="G4" s="28"/>
      <c r="H4" s="28"/>
      <c r="I4" s="28"/>
      <c r="J4" s="28"/>
      <c r="K4" s="28"/>
      <c r="L4" s="28"/>
      <c r="M4" s="28"/>
      <c r="N4" s="28"/>
      <c r="O4" s="28"/>
      <c r="P4" s="28"/>
      <c r="Q4" s="28"/>
      <c r="R4" s="28"/>
      <c r="S4" s="28"/>
      <c r="T4" s="28"/>
      <c r="U4" s="28"/>
      <c r="V4" s="28"/>
      <c r="W4" s="28"/>
      <c r="X4" s="28"/>
      <c r="Y4" s="28"/>
      <c r="Z4" s="28"/>
      <c r="AA4" s="28"/>
      <c r="AB4" s="28"/>
      <c r="AC4" s="28"/>
      <c r="AD4" s="28"/>
      <c r="AE4" s="28"/>
      <c r="AF4" s="28"/>
      <c r="AG4" s="28"/>
      <c r="AH4" s="28"/>
      <c r="AI4" s="28"/>
      <c r="AJ4" s="28"/>
      <c r="AK4" s="28"/>
      <c r="AL4" s="28"/>
      <c r="AM4" s="28"/>
      <c r="AN4" s="28"/>
      <c r="AO4" s="28"/>
      <c r="AP4" s="28"/>
      <c r="AQ4" s="28"/>
      <c r="AR4" s="28"/>
      <c r="AS4" s="28"/>
      <c r="AT4" s="28"/>
      <c r="AU4" s="28"/>
      <c r="AV4" s="28"/>
      <c r="AW4" s="28"/>
      <c r="AX4" s="28"/>
      <c r="AY4" s="28"/>
      <c r="AZ4" s="28"/>
    </row>
    <row r="5" spans="1:52" x14ac:dyDescent="0.35">
      <c r="A5" t="s">
        <v>160</v>
      </c>
      <c r="B5" s="28"/>
      <c r="C5" s="28"/>
      <c r="D5" s="28"/>
      <c r="E5" s="28"/>
      <c r="F5" s="28"/>
      <c r="G5" s="28"/>
      <c r="H5" s="28"/>
      <c r="I5" s="28"/>
      <c r="J5" s="28"/>
      <c r="K5" s="28"/>
      <c r="L5" s="28"/>
      <c r="M5" s="28"/>
      <c r="N5" s="28"/>
      <c r="O5" s="28"/>
      <c r="P5" s="28"/>
      <c r="Q5" s="28"/>
      <c r="R5" s="28"/>
      <c r="S5" s="28"/>
      <c r="T5" s="28"/>
      <c r="U5" s="28"/>
      <c r="V5" s="28"/>
      <c r="W5" s="28"/>
      <c r="X5" s="28"/>
      <c r="Y5" s="28"/>
      <c r="Z5" s="28"/>
      <c r="AA5" s="28"/>
      <c r="AB5" s="28"/>
      <c r="AC5" s="28"/>
      <c r="AD5" s="28"/>
      <c r="AE5" s="28"/>
      <c r="AF5" s="28"/>
      <c r="AG5" s="28"/>
      <c r="AH5" s="28"/>
      <c r="AI5" s="28"/>
      <c r="AJ5" s="28"/>
      <c r="AK5" s="28"/>
      <c r="AL5" s="28"/>
      <c r="AM5" s="28"/>
      <c r="AN5" s="28"/>
      <c r="AO5" s="28"/>
      <c r="AP5" s="28"/>
      <c r="AQ5" s="28"/>
      <c r="AR5" s="28"/>
      <c r="AS5" s="28"/>
      <c r="AT5" s="28"/>
      <c r="AU5" s="28"/>
      <c r="AV5" s="28"/>
      <c r="AW5" s="28"/>
      <c r="AX5" s="28"/>
      <c r="AY5" s="28"/>
      <c r="AZ5" s="28"/>
    </row>
    <row r="6" spans="1:52" x14ac:dyDescent="0.35">
      <c r="A6" t="s">
        <v>159</v>
      </c>
      <c r="B6" s="28"/>
      <c r="C6" s="28"/>
      <c r="D6" s="28"/>
      <c r="E6" s="28"/>
      <c r="F6" s="28"/>
      <c r="G6" s="28"/>
      <c r="H6" s="28"/>
      <c r="I6" s="28"/>
      <c r="J6" s="28"/>
      <c r="K6" s="28"/>
      <c r="L6" s="28"/>
      <c r="M6" s="28"/>
      <c r="N6" s="28"/>
      <c r="O6" s="28"/>
      <c r="P6" s="28"/>
      <c r="Q6" s="28"/>
      <c r="R6" s="28"/>
      <c r="S6" s="28"/>
      <c r="T6" s="28"/>
      <c r="U6" s="28"/>
      <c r="V6" s="28"/>
      <c r="W6" s="28"/>
      <c r="X6" s="28"/>
      <c r="Y6" s="28"/>
      <c r="Z6" s="28"/>
      <c r="AA6" s="28"/>
      <c r="AB6" s="28"/>
      <c r="AC6" s="28"/>
      <c r="AD6" s="28"/>
      <c r="AE6" s="28"/>
      <c r="AF6" s="28"/>
      <c r="AG6" s="28"/>
      <c r="AH6" s="28"/>
      <c r="AI6" s="28"/>
      <c r="AJ6" s="28"/>
      <c r="AK6" s="28"/>
      <c r="AL6" s="28"/>
      <c r="AM6" s="28"/>
      <c r="AN6" s="28"/>
      <c r="AO6" s="28"/>
      <c r="AP6" s="28"/>
      <c r="AQ6" s="28"/>
      <c r="AR6" s="28"/>
      <c r="AS6" s="28"/>
      <c r="AT6" s="28"/>
      <c r="AU6" s="28"/>
      <c r="AV6" s="28"/>
      <c r="AW6" s="28"/>
      <c r="AX6" s="28"/>
      <c r="AY6" s="28"/>
      <c r="AZ6" s="28"/>
    </row>
    <row r="7" spans="1:52" x14ac:dyDescent="0.35">
      <c r="A7" t="s">
        <v>158</v>
      </c>
      <c r="B7" s="28"/>
      <c r="C7" s="28"/>
      <c r="D7" s="28"/>
      <c r="E7" s="28"/>
      <c r="F7" s="28"/>
      <c r="G7" s="28"/>
      <c r="H7" s="28"/>
      <c r="I7" s="28"/>
      <c r="J7" s="28"/>
      <c r="K7" s="28"/>
      <c r="L7" s="28"/>
      <c r="M7" s="28"/>
      <c r="N7" s="28"/>
      <c r="O7" s="28"/>
      <c r="P7" s="28"/>
      <c r="Q7" s="28"/>
      <c r="R7" s="28"/>
      <c r="S7" s="28"/>
      <c r="T7" s="28"/>
      <c r="U7" s="28"/>
      <c r="V7" s="28"/>
      <c r="W7" s="28"/>
      <c r="X7" s="28"/>
      <c r="Y7" s="28"/>
      <c r="Z7" s="28"/>
      <c r="AA7" s="28"/>
      <c r="AB7" s="28"/>
      <c r="AC7" s="28"/>
      <c r="AD7" s="28"/>
      <c r="AE7" s="28"/>
      <c r="AF7" s="28"/>
      <c r="AG7" s="28"/>
      <c r="AH7" s="28"/>
      <c r="AI7" s="28"/>
      <c r="AJ7" s="28"/>
      <c r="AK7" s="28"/>
      <c r="AL7" s="28"/>
      <c r="AM7" s="28"/>
      <c r="AN7" s="28"/>
      <c r="AO7" s="28"/>
      <c r="AP7" s="28"/>
      <c r="AQ7" s="28"/>
      <c r="AR7" s="28"/>
      <c r="AS7" s="28"/>
      <c r="AT7" s="28"/>
      <c r="AU7" s="28"/>
      <c r="AV7" s="28"/>
      <c r="AW7" s="28"/>
      <c r="AX7" s="28"/>
      <c r="AY7" s="28"/>
      <c r="AZ7" s="28"/>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439C3E-0E80-409B-AAEE-45E767677B6E}">
  <dimension ref="B3:U57"/>
  <sheetViews>
    <sheetView workbookViewId="0">
      <selection activeCell="B18" sqref="B18"/>
    </sheetView>
  </sheetViews>
  <sheetFormatPr defaultColWidth="9.1796875" defaultRowHeight="14.5" x14ac:dyDescent="0.35"/>
  <cols>
    <col min="1" max="1" width="9.1796875" style="1"/>
    <col min="2" max="2" width="134.7265625" style="1" customWidth="1"/>
    <col min="3" max="12" width="9.1796875" style="1"/>
    <col min="13" max="13" width="18.7265625" style="1" customWidth="1"/>
    <col min="14" max="14" width="15.453125" style="1" customWidth="1"/>
    <col min="15" max="16384" width="9.1796875" style="1"/>
  </cols>
  <sheetData>
    <row r="3" spans="2:2" x14ac:dyDescent="0.35">
      <c r="B3" s="1" t="s">
        <v>85</v>
      </c>
    </row>
    <row r="4" spans="2:2" x14ac:dyDescent="0.35">
      <c r="B4" s="1" t="s">
        <v>86</v>
      </c>
    </row>
    <row r="5" spans="2:2" x14ac:dyDescent="0.35">
      <c r="B5" s="1" t="s">
        <v>87</v>
      </c>
    </row>
    <row r="6" spans="2:2" x14ac:dyDescent="0.35">
      <c r="B6" s="1" t="s">
        <v>92</v>
      </c>
    </row>
    <row r="7" spans="2:2" x14ac:dyDescent="0.35">
      <c r="B7" s="1" t="s">
        <v>88</v>
      </c>
    </row>
    <row r="9" spans="2:2" x14ac:dyDescent="0.35">
      <c r="B9" s="1" t="s">
        <v>89</v>
      </c>
    </row>
    <row r="13" spans="2:2" x14ac:dyDescent="0.35">
      <c r="B13" s="1" t="s">
        <v>90</v>
      </c>
    </row>
    <row r="14" spans="2:2" x14ac:dyDescent="0.35">
      <c r="B14" s="1" t="s">
        <v>91</v>
      </c>
    </row>
    <row r="18" spans="2:2" x14ac:dyDescent="0.35">
      <c r="B18" s="1" t="s">
        <v>93</v>
      </c>
    </row>
    <row r="37" spans="2:14" x14ac:dyDescent="0.35">
      <c r="B37" s="1" t="s">
        <v>94</v>
      </c>
    </row>
    <row r="41" spans="2:14" x14ac:dyDescent="0.35">
      <c r="C41" s="1" t="s">
        <v>95</v>
      </c>
    </row>
    <row r="42" spans="2:14" x14ac:dyDescent="0.35">
      <c r="D42" s="1" t="s">
        <v>98</v>
      </c>
      <c r="E42" s="1" t="s">
        <v>99</v>
      </c>
    </row>
    <row r="43" spans="2:14" x14ac:dyDescent="0.35">
      <c r="C43" s="1" t="s">
        <v>96</v>
      </c>
      <c r="D43" s="26">
        <v>0.03</v>
      </c>
      <c r="E43" s="26">
        <v>0.01</v>
      </c>
      <c r="H43" s="1">
        <v>2025</v>
      </c>
      <c r="I43" s="1">
        <v>2026</v>
      </c>
      <c r="J43" s="1">
        <v>2027</v>
      </c>
      <c r="M43" s="34" t="s">
        <v>100</v>
      </c>
      <c r="N43" s="35" t="s">
        <v>101</v>
      </c>
    </row>
    <row r="44" spans="2:14" x14ac:dyDescent="0.35">
      <c r="C44" s="1" t="s">
        <v>97</v>
      </c>
      <c r="D44" s="26">
        <v>0.1</v>
      </c>
      <c r="E44" s="26">
        <v>0.03</v>
      </c>
      <c r="H44" s="26">
        <v>0.03</v>
      </c>
      <c r="I44" s="26">
        <v>0.04</v>
      </c>
      <c r="J44" s="26">
        <v>0.06</v>
      </c>
      <c r="K44" s="26">
        <v>7.0000000000000007E-2</v>
      </c>
      <c r="L44" s="26">
        <v>0.1</v>
      </c>
      <c r="M44" s="34"/>
      <c r="N44" s="35"/>
    </row>
    <row r="45" spans="2:14" x14ac:dyDescent="0.35">
      <c r="M45" s="34"/>
      <c r="N45" s="35"/>
    </row>
    <row r="46" spans="2:14" x14ac:dyDescent="0.35">
      <c r="H46" s="26">
        <f>AVERAGE(H44:L44)</f>
        <v>6.0000000000000012E-2</v>
      </c>
      <c r="I46" s="26">
        <f>AVERAGE(I44:L44)</f>
        <v>6.7500000000000004E-2</v>
      </c>
      <c r="M46" s="34"/>
      <c r="N46" s="35"/>
    </row>
    <row r="51" spans="2:21" x14ac:dyDescent="0.35">
      <c r="J51" s="1" t="s">
        <v>102</v>
      </c>
      <c r="L51" s="1" t="s">
        <v>103</v>
      </c>
    </row>
    <row r="53" spans="2:21" x14ac:dyDescent="0.35">
      <c r="J53" s="1">
        <v>2025</v>
      </c>
      <c r="K53" s="1">
        <v>2026</v>
      </c>
      <c r="L53" s="1">
        <v>2027</v>
      </c>
      <c r="M53" s="1">
        <v>2028</v>
      </c>
      <c r="N53" s="1">
        <v>2029</v>
      </c>
      <c r="O53" s="1">
        <v>2030</v>
      </c>
      <c r="P53" s="1">
        <v>2031</v>
      </c>
      <c r="Q53" s="1">
        <v>2032</v>
      </c>
      <c r="R53" s="1">
        <v>2033</v>
      </c>
      <c r="S53" s="1">
        <v>2034</v>
      </c>
      <c r="U53" s="1" t="s">
        <v>104</v>
      </c>
    </row>
    <row r="54" spans="2:21" x14ac:dyDescent="0.35">
      <c r="J54" s="27">
        <f t="shared" ref="J54:S54" si="0">$U$54*10%</f>
        <v>200000</v>
      </c>
      <c r="K54" s="27">
        <f t="shared" si="0"/>
        <v>200000</v>
      </c>
      <c r="L54" s="27">
        <f t="shared" si="0"/>
        <v>200000</v>
      </c>
      <c r="M54" s="27">
        <f t="shared" si="0"/>
        <v>200000</v>
      </c>
      <c r="N54" s="27">
        <f t="shared" si="0"/>
        <v>200000</v>
      </c>
      <c r="O54" s="27">
        <f t="shared" si="0"/>
        <v>200000</v>
      </c>
      <c r="P54" s="27">
        <f t="shared" si="0"/>
        <v>200000</v>
      </c>
      <c r="Q54" s="27">
        <f t="shared" si="0"/>
        <v>200000</v>
      </c>
      <c r="R54" s="27">
        <f t="shared" si="0"/>
        <v>200000</v>
      </c>
      <c r="S54" s="27">
        <f t="shared" si="0"/>
        <v>200000</v>
      </c>
      <c r="T54" s="27"/>
      <c r="U54" s="1">
        <v>2000000</v>
      </c>
    </row>
    <row r="57" spans="2:21" x14ac:dyDescent="0.35">
      <c r="B57" s="27" t="s">
        <v>105</v>
      </c>
    </row>
  </sheetData>
  <mergeCells count="2">
    <mergeCell ref="M43:M46"/>
    <mergeCell ref="N43:N46"/>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BCF605-A567-418D-810B-893BBCEAF35A}">
  <dimension ref="A1:AZ5"/>
  <sheetViews>
    <sheetView workbookViewId="0">
      <selection activeCell="B5" sqref="B2:AZ5"/>
    </sheetView>
  </sheetViews>
  <sheetFormatPr defaultRowHeight="14.5" x14ac:dyDescent="0.35"/>
  <sheetData>
    <row r="1" spans="1:52" x14ac:dyDescent="0.35">
      <c r="B1" t="s">
        <v>108</v>
      </c>
      <c r="C1" t="s">
        <v>109</v>
      </c>
      <c r="D1" t="s">
        <v>110</v>
      </c>
      <c r="E1" t="s">
        <v>111</v>
      </c>
      <c r="F1" t="s">
        <v>112</v>
      </c>
      <c r="G1" t="s">
        <v>113</v>
      </c>
      <c r="H1" t="s">
        <v>114</v>
      </c>
      <c r="I1" t="s">
        <v>115</v>
      </c>
      <c r="J1" t="s">
        <v>116</v>
      </c>
      <c r="K1" t="s">
        <v>117</v>
      </c>
      <c r="L1" t="s">
        <v>118</v>
      </c>
      <c r="M1" t="s">
        <v>119</v>
      </c>
      <c r="N1" t="s">
        <v>120</v>
      </c>
      <c r="O1" t="s">
        <v>121</v>
      </c>
      <c r="P1" t="s">
        <v>122</v>
      </c>
      <c r="Q1" t="s">
        <v>123</v>
      </c>
      <c r="R1" t="s">
        <v>124</v>
      </c>
      <c r="S1" t="s">
        <v>125</v>
      </c>
      <c r="T1" t="s">
        <v>126</v>
      </c>
      <c r="U1" t="s">
        <v>127</v>
      </c>
      <c r="V1" t="s">
        <v>128</v>
      </c>
      <c r="W1" t="s">
        <v>129</v>
      </c>
      <c r="X1" t="s">
        <v>130</v>
      </c>
      <c r="Y1" t="s">
        <v>131</v>
      </c>
      <c r="Z1" t="s">
        <v>132</v>
      </c>
      <c r="AA1" t="s">
        <v>133</v>
      </c>
      <c r="AB1" t="s">
        <v>134</v>
      </c>
      <c r="AC1" t="s">
        <v>135</v>
      </c>
      <c r="AD1" t="s">
        <v>136</v>
      </c>
      <c r="AE1" t="s">
        <v>137</v>
      </c>
      <c r="AF1" t="s">
        <v>138</v>
      </c>
      <c r="AG1" t="s">
        <v>139</v>
      </c>
      <c r="AH1" t="s">
        <v>140</v>
      </c>
      <c r="AI1" t="s">
        <v>141</v>
      </c>
      <c r="AJ1" t="s">
        <v>142</v>
      </c>
      <c r="AK1" t="s">
        <v>143</v>
      </c>
      <c r="AL1" t="s">
        <v>144</v>
      </c>
      <c r="AM1" t="s">
        <v>145</v>
      </c>
      <c r="AN1" t="s">
        <v>146</v>
      </c>
      <c r="AO1" t="s">
        <v>147</v>
      </c>
      <c r="AP1" t="s">
        <v>148</v>
      </c>
      <c r="AQ1" t="s">
        <v>149</v>
      </c>
      <c r="AR1" t="s">
        <v>150</v>
      </c>
      <c r="AS1" t="s">
        <v>151</v>
      </c>
      <c r="AT1" t="s">
        <v>152</v>
      </c>
      <c r="AU1" t="s">
        <v>153</v>
      </c>
      <c r="AV1" t="s">
        <v>154</v>
      </c>
      <c r="AW1" t="s">
        <v>155</v>
      </c>
      <c r="AX1" t="s">
        <v>156</v>
      </c>
      <c r="AY1" t="s">
        <v>157</v>
      </c>
      <c r="AZ1" s="33" t="s">
        <v>173</v>
      </c>
    </row>
    <row r="2" spans="1:52" x14ac:dyDescent="0.35">
      <c r="A2" t="s">
        <v>169</v>
      </c>
      <c r="B2" s="28"/>
      <c r="C2" s="28"/>
      <c r="D2" s="28"/>
      <c r="E2" s="28"/>
      <c r="F2" s="28"/>
      <c r="G2" s="28"/>
      <c r="H2" s="28"/>
      <c r="I2" s="28"/>
      <c r="J2" s="28"/>
      <c r="K2" s="28"/>
      <c r="L2" s="28"/>
      <c r="M2" s="28"/>
      <c r="N2" s="28"/>
      <c r="O2" s="28"/>
      <c r="P2" s="28"/>
      <c r="Q2" s="28"/>
      <c r="R2" s="28"/>
      <c r="S2" s="28"/>
      <c r="T2" s="28"/>
      <c r="U2" s="28"/>
      <c r="V2" s="28"/>
      <c r="W2" s="28"/>
      <c r="X2" s="28"/>
      <c r="Y2" s="28"/>
      <c r="Z2" s="28"/>
      <c r="AA2" s="28"/>
      <c r="AB2" s="28"/>
      <c r="AC2" s="28"/>
      <c r="AD2" s="28"/>
      <c r="AE2" s="28"/>
      <c r="AF2" s="28"/>
      <c r="AG2" s="28"/>
      <c r="AH2" s="28"/>
      <c r="AI2" s="28"/>
      <c r="AJ2" s="28"/>
      <c r="AK2" s="28"/>
      <c r="AL2" s="28"/>
      <c r="AM2" s="28"/>
      <c r="AN2" s="28"/>
      <c r="AO2" s="28"/>
      <c r="AP2" s="28"/>
      <c r="AQ2" s="28"/>
      <c r="AR2" s="28"/>
      <c r="AS2" s="28"/>
      <c r="AT2" s="28"/>
      <c r="AU2" s="28"/>
      <c r="AV2" s="28"/>
      <c r="AW2" s="28"/>
      <c r="AX2" s="28"/>
      <c r="AY2" s="28"/>
      <c r="AZ2" s="28"/>
    </row>
    <row r="3" spans="1:52" x14ac:dyDescent="0.35">
      <c r="A3" t="s">
        <v>170</v>
      </c>
      <c r="B3" s="28"/>
      <c r="C3" s="28"/>
      <c r="D3" s="28"/>
      <c r="E3" s="28"/>
      <c r="F3" s="28"/>
      <c r="G3" s="28"/>
      <c r="H3" s="28"/>
      <c r="I3" s="28"/>
      <c r="J3" s="28"/>
      <c r="K3" s="28"/>
      <c r="L3" s="28"/>
      <c r="M3" s="28"/>
      <c r="N3" s="28"/>
      <c r="O3" s="28"/>
      <c r="P3" s="28"/>
      <c r="Q3" s="28"/>
      <c r="R3" s="28"/>
      <c r="S3" s="28"/>
      <c r="T3" s="28"/>
      <c r="U3" s="28"/>
      <c r="V3" s="28"/>
      <c r="W3" s="28"/>
      <c r="X3" s="28"/>
      <c r="Y3" s="28"/>
      <c r="Z3" s="28"/>
      <c r="AA3" s="28"/>
      <c r="AB3" s="28"/>
      <c r="AC3" s="28"/>
      <c r="AD3" s="28"/>
      <c r="AE3" s="28"/>
      <c r="AF3" s="28"/>
      <c r="AG3" s="28"/>
      <c r="AH3" s="28"/>
      <c r="AI3" s="28"/>
      <c r="AJ3" s="28"/>
      <c r="AK3" s="28"/>
      <c r="AL3" s="28"/>
      <c r="AM3" s="28"/>
      <c r="AN3" s="28"/>
      <c r="AO3" s="28"/>
      <c r="AP3" s="28"/>
      <c r="AQ3" s="28"/>
      <c r="AR3" s="28"/>
      <c r="AS3" s="28"/>
      <c r="AT3" s="28"/>
      <c r="AU3" s="28"/>
      <c r="AV3" s="28"/>
      <c r="AW3" s="28"/>
      <c r="AX3" s="28"/>
      <c r="AY3" s="28"/>
      <c r="AZ3" s="28"/>
    </row>
    <row r="4" spans="1:52" x14ac:dyDescent="0.35">
      <c r="A4" t="s">
        <v>171</v>
      </c>
      <c r="B4" s="28"/>
      <c r="C4" s="28"/>
      <c r="D4" s="28"/>
      <c r="E4" s="28"/>
      <c r="F4" s="28"/>
      <c r="G4" s="28"/>
      <c r="H4" s="28"/>
      <c r="I4" s="28"/>
      <c r="J4" s="28"/>
      <c r="K4" s="28"/>
      <c r="L4" s="28"/>
      <c r="M4" s="28"/>
      <c r="N4" s="28"/>
      <c r="O4" s="28"/>
      <c r="P4" s="28"/>
      <c r="Q4" s="28"/>
      <c r="R4" s="28"/>
      <c r="S4" s="28"/>
      <c r="T4" s="28"/>
      <c r="U4" s="28"/>
      <c r="V4" s="28"/>
      <c r="W4" s="28"/>
      <c r="X4" s="28"/>
      <c r="Y4" s="28"/>
      <c r="Z4" s="28"/>
      <c r="AA4" s="28"/>
      <c r="AB4" s="28"/>
      <c r="AC4" s="28"/>
      <c r="AD4" s="28"/>
      <c r="AE4" s="28"/>
      <c r="AF4" s="28"/>
      <c r="AG4" s="28"/>
      <c r="AH4" s="28"/>
      <c r="AI4" s="28"/>
      <c r="AJ4" s="28"/>
      <c r="AK4" s="28"/>
      <c r="AL4" s="28"/>
      <c r="AM4" s="28"/>
      <c r="AN4" s="28"/>
      <c r="AO4" s="28"/>
      <c r="AP4" s="28"/>
      <c r="AQ4" s="28"/>
      <c r="AR4" s="28"/>
      <c r="AS4" s="28"/>
      <c r="AT4" s="28"/>
      <c r="AU4" s="28"/>
      <c r="AV4" s="28"/>
      <c r="AW4" s="28"/>
      <c r="AX4" s="28"/>
      <c r="AY4" s="28"/>
      <c r="AZ4" s="28"/>
    </row>
    <row r="5" spans="1:52" x14ac:dyDescent="0.35">
      <c r="A5" t="s">
        <v>172</v>
      </c>
      <c r="B5" s="28"/>
      <c r="C5" s="28"/>
      <c r="D5" s="28"/>
      <c r="E5" s="28"/>
      <c r="F5" s="28"/>
      <c r="G5" s="28"/>
      <c r="H5" s="28"/>
      <c r="I5" s="28"/>
      <c r="J5" s="28"/>
      <c r="K5" s="28"/>
      <c r="L5" s="28"/>
      <c r="M5" s="28"/>
      <c r="N5" s="28"/>
      <c r="O5" s="28"/>
      <c r="P5" s="28"/>
      <c r="Q5" s="28"/>
      <c r="R5" s="28"/>
      <c r="S5" s="28"/>
      <c r="T5" s="28"/>
      <c r="U5" s="28"/>
      <c r="V5" s="28"/>
      <c r="W5" s="28"/>
      <c r="X5" s="28"/>
      <c r="Y5" s="28"/>
      <c r="Z5" s="28"/>
      <c r="AA5" s="28"/>
      <c r="AB5" s="28"/>
      <c r="AC5" s="28"/>
      <c r="AD5" s="28"/>
      <c r="AE5" s="28"/>
      <c r="AF5" s="28"/>
      <c r="AG5" s="28"/>
      <c r="AH5" s="28"/>
      <c r="AI5" s="28"/>
      <c r="AJ5" s="28"/>
      <c r="AK5" s="28"/>
      <c r="AL5" s="28"/>
      <c r="AM5" s="28"/>
      <c r="AN5" s="28"/>
      <c r="AO5" s="28"/>
      <c r="AP5" s="28"/>
      <c r="AQ5" s="28"/>
      <c r="AR5" s="28"/>
      <c r="AS5" s="28"/>
      <c r="AT5" s="28"/>
      <c r="AU5" s="28"/>
      <c r="AV5" s="28"/>
      <c r="AW5" s="28"/>
      <c r="AX5" s="28"/>
      <c r="AY5" s="28"/>
      <c r="AZ5" s="28"/>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252F22-C8A5-407A-93D2-23C238A2F808}">
  <dimension ref="A1:AY7"/>
  <sheetViews>
    <sheetView workbookViewId="0">
      <selection activeCell="E10" sqref="E10"/>
    </sheetView>
  </sheetViews>
  <sheetFormatPr defaultRowHeight="14.5" x14ac:dyDescent="0.35"/>
  <cols>
    <col min="1" max="1" width="31.453125" bestFit="1" customWidth="1"/>
    <col min="2" max="2" width="12.453125" bestFit="1" customWidth="1"/>
    <col min="3" max="3" width="11.81640625" bestFit="1" customWidth="1"/>
    <col min="4" max="11" width="12.453125" bestFit="1" customWidth="1"/>
    <col min="12" max="12" width="11.81640625" bestFit="1" customWidth="1"/>
    <col min="13" max="20" width="12.453125" bestFit="1" customWidth="1"/>
    <col min="21" max="21" width="11.81640625" bestFit="1" customWidth="1"/>
    <col min="22" max="22" width="12.453125" bestFit="1" customWidth="1"/>
    <col min="23" max="23" width="11.81640625" bestFit="1" customWidth="1"/>
    <col min="24" max="26" width="12.453125" bestFit="1" customWidth="1"/>
    <col min="27" max="27" width="11.81640625" bestFit="1" customWidth="1"/>
    <col min="28" max="31" width="12.453125" bestFit="1" customWidth="1"/>
    <col min="32" max="32" width="11.81640625" bestFit="1" customWidth="1"/>
    <col min="33" max="34" width="12.453125" bestFit="1" customWidth="1"/>
    <col min="35" max="36" width="11.81640625" bestFit="1" customWidth="1"/>
    <col min="37" max="43" width="12.453125" bestFit="1" customWidth="1"/>
    <col min="44" max="46" width="11.81640625" bestFit="1" customWidth="1"/>
    <col min="47" max="47" width="12.453125" bestFit="1" customWidth="1"/>
    <col min="48" max="49" width="11.81640625" bestFit="1" customWidth="1"/>
    <col min="50" max="50" width="12.453125" bestFit="1" customWidth="1"/>
    <col min="51" max="51" width="11.81640625" bestFit="1" customWidth="1"/>
  </cols>
  <sheetData>
    <row r="1" spans="1:51" x14ac:dyDescent="0.35">
      <c r="B1" t="s">
        <v>108</v>
      </c>
      <c r="C1" t="s">
        <v>109</v>
      </c>
      <c r="D1" t="s">
        <v>110</v>
      </c>
      <c r="E1" t="s">
        <v>111</v>
      </c>
      <c r="F1" t="s">
        <v>112</v>
      </c>
      <c r="G1" t="s">
        <v>113</v>
      </c>
      <c r="H1" t="s">
        <v>114</v>
      </c>
      <c r="I1" t="s">
        <v>115</v>
      </c>
      <c r="J1" t="s">
        <v>116</v>
      </c>
      <c r="K1" t="s">
        <v>117</v>
      </c>
      <c r="L1" t="s">
        <v>118</v>
      </c>
      <c r="M1" t="s">
        <v>119</v>
      </c>
      <c r="N1" t="s">
        <v>120</v>
      </c>
      <c r="O1" t="s">
        <v>121</v>
      </c>
      <c r="P1" t="s">
        <v>122</v>
      </c>
      <c r="Q1" t="s">
        <v>123</v>
      </c>
      <c r="R1" t="s">
        <v>124</v>
      </c>
      <c r="S1" t="s">
        <v>125</v>
      </c>
      <c r="T1" t="s">
        <v>126</v>
      </c>
      <c r="U1" t="s">
        <v>127</v>
      </c>
      <c r="V1" t="s">
        <v>128</v>
      </c>
      <c r="W1" t="s">
        <v>129</v>
      </c>
      <c r="X1" t="s">
        <v>130</v>
      </c>
      <c r="Y1" t="s">
        <v>131</v>
      </c>
      <c r="Z1" t="s">
        <v>132</v>
      </c>
      <c r="AA1" t="s">
        <v>133</v>
      </c>
      <c r="AB1" t="s">
        <v>134</v>
      </c>
      <c r="AC1" t="s">
        <v>135</v>
      </c>
      <c r="AD1" t="s">
        <v>136</v>
      </c>
      <c r="AE1" t="s">
        <v>137</v>
      </c>
      <c r="AF1" t="s">
        <v>138</v>
      </c>
      <c r="AG1" t="s">
        <v>139</v>
      </c>
      <c r="AH1" t="s">
        <v>140</v>
      </c>
      <c r="AI1" t="s">
        <v>141</v>
      </c>
      <c r="AJ1" t="s">
        <v>142</v>
      </c>
      <c r="AK1" t="s">
        <v>143</v>
      </c>
      <c r="AL1" t="s">
        <v>144</v>
      </c>
      <c r="AM1" t="s">
        <v>145</v>
      </c>
      <c r="AN1" t="s">
        <v>146</v>
      </c>
      <c r="AO1" t="s">
        <v>147</v>
      </c>
      <c r="AP1" t="s">
        <v>148</v>
      </c>
      <c r="AQ1" t="s">
        <v>149</v>
      </c>
      <c r="AR1" t="s">
        <v>150</v>
      </c>
      <c r="AS1" t="s">
        <v>151</v>
      </c>
      <c r="AT1" t="s">
        <v>152</v>
      </c>
      <c r="AU1" t="s">
        <v>153</v>
      </c>
      <c r="AV1" t="s">
        <v>154</v>
      </c>
      <c r="AW1" t="s">
        <v>155</v>
      </c>
      <c r="AX1" t="s">
        <v>156</v>
      </c>
      <c r="AY1" t="s">
        <v>157</v>
      </c>
    </row>
    <row r="2" spans="1:51" x14ac:dyDescent="0.35">
      <c r="A2" t="s">
        <v>163</v>
      </c>
    </row>
    <row r="3" spans="1:51" x14ac:dyDescent="0.35">
      <c r="A3" t="s">
        <v>164</v>
      </c>
    </row>
    <row r="4" spans="1:51" x14ac:dyDescent="0.35">
      <c r="A4" t="s">
        <v>165</v>
      </c>
    </row>
    <row r="5" spans="1:51" x14ac:dyDescent="0.35">
      <c r="A5" t="s">
        <v>166</v>
      </c>
    </row>
    <row r="6" spans="1:51" x14ac:dyDescent="0.35">
      <c r="A6" t="s">
        <v>167</v>
      </c>
    </row>
    <row r="7" spans="1:51" x14ac:dyDescent="0.35">
      <c r="A7" t="s">
        <v>168</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DB4ACF-8769-4D41-B361-0B24E4C47EDE}">
  <dimension ref="A1:AZ7"/>
  <sheetViews>
    <sheetView topLeftCell="AH1" workbookViewId="0">
      <selection activeCell="AZ2" sqref="AZ2"/>
    </sheetView>
  </sheetViews>
  <sheetFormatPr defaultRowHeight="14.5" x14ac:dyDescent="0.35"/>
  <cols>
    <col min="1" max="1" width="31.453125" bestFit="1" customWidth="1"/>
    <col min="2" max="2" width="12.453125" bestFit="1" customWidth="1"/>
    <col min="3" max="3" width="11.81640625" bestFit="1" customWidth="1"/>
    <col min="4" max="11" width="12.453125" bestFit="1" customWidth="1"/>
    <col min="12" max="12" width="11.81640625" bestFit="1" customWidth="1"/>
    <col min="13" max="20" width="12.453125" bestFit="1" customWidth="1"/>
    <col min="21" max="21" width="11.81640625" bestFit="1" customWidth="1"/>
    <col min="22" max="22" width="12.453125" bestFit="1" customWidth="1"/>
    <col min="23" max="23" width="11.81640625" bestFit="1" customWidth="1"/>
    <col min="24" max="26" width="12.453125" bestFit="1" customWidth="1"/>
    <col min="27" max="27" width="11.81640625" bestFit="1" customWidth="1"/>
    <col min="28" max="31" width="12.453125" bestFit="1" customWidth="1"/>
    <col min="32" max="32" width="11.81640625" bestFit="1" customWidth="1"/>
    <col min="33" max="34" width="12.453125" bestFit="1" customWidth="1"/>
    <col min="35" max="36" width="11.81640625" bestFit="1" customWidth="1"/>
    <col min="37" max="43" width="12.453125" bestFit="1" customWidth="1"/>
    <col min="44" max="46" width="11.81640625" bestFit="1" customWidth="1"/>
    <col min="47" max="47" width="12.453125" bestFit="1" customWidth="1"/>
    <col min="48" max="49" width="11.81640625" bestFit="1" customWidth="1"/>
    <col min="50" max="50" width="12.453125" bestFit="1" customWidth="1"/>
    <col min="51" max="51" width="11.81640625" bestFit="1" customWidth="1"/>
  </cols>
  <sheetData>
    <row r="1" spans="1:52" x14ac:dyDescent="0.35">
      <c r="B1" t="s">
        <v>108</v>
      </c>
      <c r="C1" t="s">
        <v>109</v>
      </c>
      <c r="D1" t="s">
        <v>110</v>
      </c>
      <c r="E1" t="s">
        <v>111</v>
      </c>
      <c r="F1" t="s">
        <v>112</v>
      </c>
      <c r="G1" t="s">
        <v>113</v>
      </c>
      <c r="H1" t="s">
        <v>114</v>
      </c>
      <c r="I1" t="s">
        <v>115</v>
      </c>
      <c r="J1" t="s">
        <v>116</v>
      </c>
      <c r="K1" t="s">
        <v>117</v>
      </c>
      <c r="L1" t="s">
        <v>118</v>
      </c>
      <c r="M1" t="s">
        <v>119</v>
      </c>
      <c r="N1" t="s">
        <v>120</v>
      </c>
      <c r="O1" t="s">
        <v>121</v>
      </c>
      <c r="P1" t="s">
        <v>122</v>
      </c>
      <c r="Q1" t="s">
        <v>123</v>
      </c>
      <c r="R1" t="s">
        <v>124</v>
      </c>
      <c r="S1" t="s">
        <v>125</v>
      </c>
      <c r="T1" t="s">
        <v>126</v>
      </c>
      <c r="U1" t="s">
        <v>127</v>
      </c>
      <c r="V1" t="s">
        <v>128</v>
      </c>
      <c r="W1" t="s">
        <v>129</v>
      </c>
      <c r="X1" t="s">
        <v>130</v>
      </c>
      <c r="Y1" t="s">
        <v>131</v>
      </c>
      <c r="Z1" t="s">
        <v>132</v>
      </c>
      <c r="AA1" t="s">
        <v>133</v>
      </c>
      <c r="AB1" t="s">
        <v>134</v>
      </c>
      <c r="AC1" t="s">
        <v>135</v>
      </c>
      <c r="AD1" t="s">
        <v>136</v>
      </c>
      <c r="AE1" t="s">
        <v>137</v>
      </c>
      <c r="AF1" t="s">
        <v>138</v>
      </c>
      <c r="AG1" t="s">
        <v>139</v>
      </c>
      <c r="AH1" t="s">
        <v>140</v>
      </c>
      <c r="AI1" t="s">
        <v>141</v>
      </c>
      <c r="AJ1" t="s">
        <v>142</v>
      </c>
      <c r="AK1" t="s">
        <v>143</v>
      </c>
      <c r="AL1" t="s">
        <v>144</v>
      </c>
      <c r="AM1" t="s">
        <v>145</v>
      </c>
      <c r="AN1" t="s">
        <v>146</v>
      </c>
      <c r="AO1" t="s">
        <v>147</v>
      </c>
      <c r="AP1" t="s">
        <v>148</v>
      </c>
      <c r="AQ1" t="s">
        <v>149</v>
      </c>
      <c r="AR1" t="s">
        <v>150</v>
      </c>
      <c r="AS1" t="s">
        <v>151</v>
      </c>
      <c r="AT1" t="s">
        <v>152</v>
      </c>
      <c r="AU1" t="s">
        <v>153</v>
      </c>
      <c r="AV1" t="s">
        <v>154</v>
      </c>
      <c r="AW1" t="s">
        <v>155</v>
      </c>
      <c r="AX1" t="s">
        <v>156</v>
      </c>
      <c r="AY1" t="s">
        <v>157</v>
      </c>
      <c r="AZ1" s="33" t="s">
        <v>173</v>
      </c>
    </row>
    <row r="2" spans="1:52" x14ac:dyDescent="0.35">
      <c r="A2" t="s">
        <v>106</v>
      </c>
      <c r="B2">
        <v>-4.6374624539303522E-2</v>
      </c>
      <c r="C2">
        <v>0.25193929244792046</v>
      </c>
      <c r="D2">
        <v>0.25632261453563498</v>
      </c>
      <c r="E2">
        <v>-5.9773063379075286E-2</v>
      </c>
      <c r="F2">
        <v>0.4037825622478608</v>
      </c>
      <c r="G2">
        <v>0.31172393348028482</v>
      </c>
      <c r="H2">
        <v>5.9218288104509353E-2</v>
      </c>
      <c r="I2">
        <v>0.10707307173309566</v>
      </c>
      <c r="J2">
        <v>0.1143557726991431</v>
      </c>
      <c r="K2">
        <v>0.12346019482714743</v>
      </c>
      <c r="L2">
        <v>9.0155243291453413E-2</v>
      </c>
      <c r="M2">
        <v>0.16489957003965827</v>
      </c>
      <c r="N2">
        <v>-3.2891724441363568E-2</v>
      </c>
      <c r="O2">
        <v>-2.8709220895397625E-2</v>
      </c>
      <c r="P2">
        <v>-2.9700592918326052E-2</v>
      </c>
      <c r="Q2">
        <v>5.3046739497358164E-2</v>
      </c>
      <c r="R2">
        <v>4.0017378805269122E-2</v>
      </c>
      <c r="S2">
        <v>0.31809496159743089</v>
      </c>
      <c r="T2">
        <v>-3.0274921180414083E-2</v>
      </c>
      <c r="U2">
        <v>0.42106698481842941</v>
      </c>
      <c r="V2">
        <v>-0.15114640093107001</v>
      </c>
      <c r="W2">
        <v>0.11903432201536934</v>
      </c>
      <c r="X2">
        <v>-0.14501133771544472</v>
      </c>
      <c r="Y2">
        <v>-9.8981450678448213E-2</v>
      </c>
      <c r="Z2">
        <v>-0.28480526143549512</v>
      </c>
      <c r="AA2">
        <v>0.16386844102281728</v>
      </c>
      <c r="AB2">
        <v>-4.9048038763010116E-2</v>
      </c>
      <c r="AC2">
        <v>0.10968519365888074</v>
      </c>
      <c r="AD2">
        <v>-7.9101954782518469E-2</v>
      </c>
      <c r="AE2">
        <v>0.11709658947834378</v>
      </c>
      <c r="AF2">
        <v>0.42713820722628815</v>
      </c>
      <c r="AG2">
        <v>-0.26668674586449892</v>
      </c>
      <c r="AH2">
        <v>-0.1530648452641632</v>
      </c>
      <c r="AI2">
        <v>0.23493864763154781</v>
      </c>
      <c r="AJ2">
        <v>6.041256988737298E-2</v>
      </c>
      <c r="AK2">
        <v>1.4204164172181066E-2</v>
      </c>
      <c r="AL2">
        <v>-6.9574101825511381E-2</v>
      </c>
      <c r="AM2">
        <v>7.3240333938557445E-2</v>
      </c>
      <c r="AN2">
        <v>0.10362599817724494</v>
      </c>
      <c r="AO2">
        <v>5.1557175598106575E-2</v>
      </c>
      <c r="AP2">
        <v>-5.2116699156352086E-2</v>
      </c>
      <c r="AQ2">
        <v>-0.23205744218937063</v>
      </c>
      <c r="AR2">
        <v>0.46613427903603921</v>
      </c>
      <c r="AS2">
        <v>7.4472391324156284E-2</v>
      </c>
      <c r="AT2">
        <v>0.71150702464550397</v>
      </c>
      <c r="AU2">
        <v>2.0245654526625412E-2</v>
      </c>
      <c r="AV2">
        <v>0.27735916529071791</v>
      </c>
      <c r="AW2">
        <v>0.11781713077091949</v>
      </c>
      <c r="AX2">
        <v>-4.1329986166300792E-3</v>
      </c>
      <c r="AY2">
        <v>7.0092809209421958E-2</v>
      </c>
      <c r="AZ2">
        <v>0</v>
      </c>
    </row>
    <row r="3" spans="1:52" x14ac:dyDescent="0.35">
      <c r="A3" t="s">
        <v>107</v>
      </c>
      <c r="B3">
        <v>-3.4134004457981759E-2</v>
      </c>
      <c r="C3">
        <v>0.19511077137000687</v>
      </c>
      <c r="D3">
        <v>6.9691772197972179E-2</v>
      </c>
      <c r="E3">
        <v>0.1033057450186734</v>
      </c>
      <c r="F3">
        <v>7.6016162916965113E-2</v>
      </c>
      <c r="G3">
        <v>0.23027144965944113</v>
      </c>
      <c r="H3">
        <v>3.2689217671517445E-2</v>
      </c>
      <c r="I3">
        <v>-8.8332981043660608E-2</v>
      </c>
      <c r="J3">
        <v>-0.10923190033107699</v>
      </c>
      <c r="K3">
        <v>-4.3963023434883675E-2</v>
      </c>
      <c r="L3">
        <v>0.20956142406649048</v>
      </c>
      <c r="M3">
        <v>-1.5205665643450494E-2</v>
      </c>
      <c r="N3">
        <v>-5.9960028782211405E-2</v>
      </c>
      <c r="O3">
        <v>5.7027602095488295E-2</v>
      </c>
      <c r="P3">
        <v>-3.5388428115954884E-2</v>
      </c>
      <c r="Q3">
        <v>-4.1584959494241347E-2</v>
      </c>
      <c r="R3">
        <v>-6.6624170345609413E-3</v>
      </c>
      <c r="S3">
        <v>0.21043093873515328</v>
      </c>
      <c r="T3">
        <v>6.8683867347799188E-2</v>
      </c>
      <c r="U3">
        <v>0.37689316574426335</v>
      </c>
      <c r="V3">
        <v>4.2532040403342908E-2</v>
      </c>
      <c r="W3">
        <v>0.18667478780794977</v>
      </c>
      <c r="X3">
        <v>-2.3315533646275588E-2</v>
      </c>
      <c r="Y3">
        <v>2.0929003130567336E-2</v>
      </c>
      <c r="Z3">
        <v>-3.3223354241563752E-2</v>
      </c>
      <c r="AA3">
        <v>0.14205355388071439</v>
      </c>
      <c r="AB3">
        <v>-3.1351511198571491E-2</v>
      </c>
      <c r="AC3">
        <v>7.7272300158451657E-2</v>
      </c>
      <c r="AD3">
        <v>-7.6933006132187454E-2</v>
      </c>
      <c r="AE3">
        <v>4.2148946498898887E-3</v>
      </c>
      <c r="AF3">
        <v>0.39390059080264517</v>
      </c>
      <c r="AG3">
        <v>-9.848900274038308E-2</v>
      </c>
      <c r="AH3">
        <v>-9.6519892653231909E-2</v>
      </c>
      <c r="AI3">
        <v>0.17365697809383684</v>
      </c>
      <c r="AJ3">
        <v>0.13561299161585239</v>
      </c>
      <c r="AK3">
        <v>6.2760250987418553E-2</v>
      </c>
      <c r="AL3">
        <v>-1.9523505554479681E-2</v>
      </c>
      <c r="AM3">
        <v>0.13169239029263036</v>
      </c>
      <c r="AN3">
        <v>0.16529749354644085</v>
      </c>
      <c r="AO3">
        <v>6.9245797760353556E-2</v>
      </c>
      <c r="AP3">
        <v>-0.13108725517574527</v>
      </c>
      <c r="AQ3">
        <v>-0.12086994313042287</v>
      </c>
      <c r="AR3">
        <v>0.26810918058794209</v>
      </c>
      <c r="AS3">
        <v>2.1392416323751551E-2</v>
      </c>
      <c r="AT3">
        <v>0.29513880715473073</v>
      </c>
      <c r="AU3">
        <v>-1.6946598826961257E-3</v>
      </c>
      <c r="AV3">
        <v>7.6425522373073873E-2</v>
      </c>
      <c r="AW3">
        <v>0.10705452816213645</v>
      </c>
      <c r="AX3">
        <v>-1.1778299652929536E-2</v>
      </c>
      <c r="AY3">
        <v>0.12849202499791512</v>
      </c>
      <c r="AZ3">
        <v>0</v>
      </c>
    </row>
    <row r="4" spans="1:52" x14ac:dyDescent="0.35">
      <c r="A4" t="s">
        <v>161</v>
      </c>
      <c r="B4">
        <v>-2.4348050660809251E-2</v>
      </c>
      <c r="C4">
        <v>0.17899997942074442</v>
      </c>
      <c r="D4">
        <v>5.3592043458880134E-2</v>
      </c>
      <c r="E4">
        <v>-9.7456791152005784E-2</v>
      </c>
      <c r="F4">
        <v>9.9075542917716142E-2</v>
      </c>
      <c r="G4">
        <v>-1.2404188671498617E-2</v>
      </c>
      <c r="H4">
        <v>-2.0112401297278204E-2</v>
      </c>
      <c r="I4">
        <v>8.8319812711201706E-4</v>
      </c>
      <c r="J4">
        <v>0.13739337408998864</v>
      </c>
      <c r="K4">
        <v>4.93102042936715E-2</v>
      </c>
      <c r="L4">
        <v>0.16346340391895264</v>
      </c>
      <c r="M4">
        <v>0.15165498697161639</v>
      </c>
      <c r="N4">
        <v>-3.7833919205281896E-2</v>
      </c>
      <c r="O4">
        <v>-3.2854561153112916E-2</v>
      </c>
      <c r="P4">
        <v>8.8478774729274345E-2</v>
      </c>
      <c r="Q4">
        <v>5.2819549037135038E-2</v>
      </c>
      <c r="R4">
        <v>7.9197987324172381E-2</v>
      </c>
      <c r="S4">
        <v>2.0094932630428275E-2</v>
      </c>
      <c r="T4">
        <v>0.1675414410016085</v>
      </c>
      <c r="U4">
        <v>0.1310381975414967</v>
      </c>
      <c r="V4">
        <v>5.2266955821262284E-2</v>
      </c>
      <c r="W4">
        <v>1.4832552895459594E-2</v>
      </c>
      <c r="X4">
        <v>-1.9128735871546287E-2</v>
      </c>
      <c r="Y4">
        <v>-0.10185033256489218</v>
      </c>
      <c r="Z4">
        <v>-0.10937817346668721</v>
      </c>
      <c r="AA4">
        <v>5.4434209891755625E-2</v>
      </c>
      <c r="AB4">
        <v>3.2901852569451107E-2</v>
      </c>
      <c r="AC4">
        <v>0.13941133867926814</v>
      </c>
      <c r="AD4">
        <v>-1.9714931120616841E-3</v>
      </c>
      <c r="AE4">
        <v>9.5073761389524059E-2</v>
      </c>
      <c r="AF4">
        <v>0.23102348181169319</v>
      </c>
      <c r="AG4">
        <v>-5.5404051968755641E-2</v>
      </c>
      <c r="AH4">
        <v>-1.6079316485009265E-2</v>
      </c>
      <c r="AI4">
        <v>0.17435244591535337</v>
      </c>
      <c r="AJ4">
        <v>6.8288645445059748E-2</v>
      </c>
      <c r="AK4">
        <v>-0.10568757583847876</v>
      </c>
      <c r="AL4">
        <v>7.7890760169976314E-3</v>
      </c>
      <c r="AM4">
        <v>-9.7682374094033908E-2</v>
      </c>
      <c r="AN4">
        <v>-4.8483464601972281E-2</v>
      </c>
      <c r="AO4">
        <v>-3.0515458984663457E-3</v>
      </c>
      <c r="AP4">
        <v>2.7520955675692793E-3</v>
      </c>
      <c r="AQ4">
        <v>3.4665731121924281E-2</v>
      </c>
      <c r="AR4">
        <v>0.16682695641162315</v>
      </c>
      <c r="AS4">
        <v>3.9148103395052702E-2</v>
      </c>
      <c r="AT4">
        <v>0.19318839075466232</v>
      </c>
      <c r="AU4">
        <v>-6.6513778884906838E-3</v>
      </c>
      <c r="AV4">
        <v>0.15805628543610295</v>
      </c>
      <c r="AW4">
        <v>6.1989057853666374E-2</v>
      </c>
      <c r="AX4">
        <v>-0.10102989980336718</v>
      </c>
      <c r="AY4">
        <v>4.7570480242633773E-2</v>
      </c>
      <c r="AZ4">
        <v>0</v>
      </c>
    </row>
    <row r="5" spans="1:52" x14ac:dyDescent="0.35">
      <c r="A5" t="s">
        <v>160</v>
      </c>
      <c r="B5">
        <v>2.0947373043940232E-3</v>
      </c>
      <c r="C5">
        <v>0.16863527274992385</v>
      </c>
      <c r="D5">
        <v>-4.3988899549594396E-2</v>
      </c>
      <c r="E5">
        <v>9.2439085080484595E-3</v>
      </c>
      <c r="F5">
        <v>-5.8187200655120397E-2</v>
      </c>
      <c r="G5">
        <v>6.393462710665343E-2</v>
      </c>
      <c r="H5">
        <v>3.9390304980641E-2</v>
      </c>
      <c r="I5">
        <v>-4.8821518700243871E-3</v>
      </c>
      <c r="J5">
        <v>-1.0087751091934383E-2</v>
      </c>
      <c r="K5">
        <v>-4.0523476546512227E-2</v>
      </c>
      <c r="L5">
        <v>0.22293804810000961</v>
      </c>
      <c r="M5">
        <v>0.17926818565699532</v>
      </c>
      <c r="N5">
        <v>-1.3958242070529314E-2</v>
      </c>
      <c r="O5">
        <v>6.29207364008606E-2</v>
      </c>
      <c r="P5">
        <v>-5.8488370474529816E-4</v>
      </c>
      <c r="Q5">
        <v>-2.4558541927591326E-2</v>
      </c>
      <c r="R5">
        <v>9.9825643984252199E-2</v>
      </c>
      <c r="S5">
        <v>9.5745177078208954E-2</v>
      </c>
      <c r="T5">
        <v>0.18763394710053749</v>
      </c>
      <c r="U5">
        <v>0.25076435289002275</v>
      </c>
      <c r="V5">
        <v>4.3184299723693531E-2</v>
      </c>
      <c r="W5">
        <v>1.4553844236743441E-2</v>
      </c>
      <c r="X5">
        <v>-6.46543044094261E-2</v>
      </c>
      <c r="Y5">
        <v>-6.8264578060728831E-2</v>
      </c>
      <c r="Z5">
        <v>-6.1684509125154663E-2</v>
      </c>
      <c r="AA5">
        <v>9.5210856186225046E-2</v>
      </c>
      <c r="AB5">
        <v>0.11893617882276653</v>
      </c>
      <c r="AC5">
        <v>-3.1171782286205985E-2</v>
      </c>
      <c r="AD5">
        <v>1.8900135651397809E-2</v>
      </c>
      <c r="AE5">
        <v>1.2824898959576503E-2</v>
      </c>
      <c r="AF5">
        <v>0.21820203216987899</v>
      </c>
      <c r="AG5">
        <v>-2.4014377471840653E-2</v>
      </c>
      <c r="AH5">
        <v>3.8296852003223636E-2</v>
      </c>
      <c r="AI5">
        <v>1.9952541657046741E-2</v>
      </c>
      <c r="AJ5">
        <v>0.15024427853413069</v>
      </c>
      <c r="AK5">
        <v>-9.0532127248145189E-3</v>
      </c>
      <c r="AL5">
        <v>7.8239784778870725E-3</v>
      </c>
      <c r="AM5">
        <v>1.2720264634141998E-2</v>
      </c>
      <c r="AN5">
        <v>0.11698172627821091</v>
      </c>
      <c r="AO5">
        <v>1.3563192783854205E-2</v>
      </c>
      <c r="AP5">
        <v>-3.1307857227137026E-2</v>
      </c>
      <c r="AQ5">
        <v>-1.7042856163464459E-2</v>
      </c>
      <c r="AR5">
        <v>0.20639671534077375</v>
      </c>
      <c r="AS5">
        <v>5.989281647284872E-2</v>
      </c>
      <c r="AT5">
        <v>0.15184773869153112</v>
      </c>
      <c r="AU5">
        <v>5.3546078104615979E-3</v>
      </c>
      <c r="AV5">
        <v>6.5052611824913953E-2</v>
      </c>
      <c r="AW5">
        <v>7.8823819307450416E-2</v>
      </c>
      <c r="AX5">
        <v>-0.14338179349370206</v>
      </c>
      <c r="AY5">
        <v>0.11585202582222953</v>
      </c>
      <c r="AZ5">
        <v>0</v>
      </c>
    </row>
    <row r="6" spans="1:52" x14ac:dyDescent="0.35">
      <c r="A6" t="s">
        <v>159</v>
      </c>
      <c r="B6">
        <v>2.030658361074611E-2</v>
      </c>
      <c r="C6">
        <v>0.17407088736482224</v>
      </c>
      <c r="D6">
        <v>-4.6518788571582204E-2</v>
      </c>
      <c r="E6">
        <v>8.6784081187656348E-3</v>
      </c>
      <c r="F6">
        <v>-1.094991646316601E-2</v>
      </c>
      <c r="G6">
        <v>4.2874326827782028E-2</v>
      </c>
      <c r="H6">
        <v>4.2086601997496809E-2</v>
      </c>
      <c r="I6">
        <v>-1.7316859701690612E-2</v>
      </c>
      <c r="J6">
        <v>5.8994448996374516E-3</v>
      </c>
      <c r="K6">
        <v>1.566046272107835E-2</v>
      </c>
      <c r="L6">
        <v>0.13556024037343284</v>
      </c>
      <c r="M6">
        <v>9.9561145246060745E-2</v>
      </c>
      <c r="N6">
        <v>-1.1234137156741375E-2</v>
      </c>
      <c r="O6">
        <v>7.7927824267948642E-2</v>
      </c>
      <c r="P6">
        <v>7.6843927674916657E-2</v>
      </c>
      <c r="Q6">
        <v>-2.3689760318698072E-2</v>
      </c>
      <c r="R6">
        <v>9.5850567757821414E-2</v>
      </c>
      <c r="S6">
        <v>-1.6291818495720589E-3</v>
      </c>
      <c r="T6">
        <v>0.15662866258483188</v>
      </c>
      <c r="U6">
        <v>0.11023687113533853</v>
      </c>
      <c r="V6">
        <v>2.3511467000357333E-2</v>
      </c>
      <c r="W6">
        <v>3.6602317517634653E-2</v>
      </c>
      <c r="X6">
        <v>-4.8538279095632464E-2</v>
      </c>
      <c r="Y6">
        <v>-3.0067359701889673E-2</v>
      </c>
      <c r="Z6">
        <v>-3.4510361971969217E-2</v>
      </c>
      <c r="AA6">
        <v>9.5364119469438791E-2</v>
      </c>
      <c r="AB6">
        <v>1.4863393955985682E-2</v>
      </c>
      <c r="AC6">
        <v>-2.9047233095698566E-2</v>
      </c>
      <c r="AD6">
        <v>-1.5385537587214504E-2</v>
      </c>
      <c r="AE6">
        <v>-7.3986273175308259E-4</v>
      </c>
      <c r="AF6">
        <v>0.11899469604747615</v>
      </c>
      <c r="AG6">
        <v>7.204786691262699E-2</v>
      </c>
      <c r="AH6">
        <v>5.7388718776625325E-3</v>
      </c>
      <c r="AI6">
        <v>0.13027792547223549</v>
      </c>
      <c r="AJ6">
        <v>0.1133545730503398</v>
      </c>
      <c r="AK6">
        <v>6.023182481219802E-3</v>
      </c>
      <c r="AL6">
        <v>2.5378987462348235E-2</v>
      </c>
      <c r="AM6">
        <v>-3.319730127062881E-3</v>
      </c>
      <c r="AN6">
        <v>3.5408805121952325E-2</v>
      </c>
      <c r="AO6">
        <v>-1.1836192945465451E-2</v>
      </c>
      <c r="AP6">
        <v>3.4041737409844508E-3</v>
      </c>
      <c r="AQ6">
        <v>-1.5798285098030274E-2</v>
      </c>
      <c r="AR6">
        <v>0.12280627257731114</v>
      </c>
      <c r="AS6">
        <v>4.3636186103408248E-2</v>
      </c>
      <c r="AT6">
        <v>0.11189226414190867</v>
      </c>
      <c r="AU6">
        <v>4.2019732941085852E-2</v>
      </c>
      <c r="AV6">
        <v>4.830090038191881E-2</v>
      </c>
      <c r="AW6">
        <v>1.195386399278342E-2</v>
      </c>
      <c r="AX6">
        <v>-5.9960932960714364E-2</v>
      </c>
      <c r="AY6">
        <v>3.6272181257773983E-2</v>
      </c>
      <c r="AZ6">
        <v>0</v>
      </c>
    </row>
    <row r="7" spans="1:52" x14ac:dyDescent="0.35">
      <c r="A7" t="s">
        <v>158</v>
      </c>
      <c r="B7">
        <v>4.2149821151798994E-2</v>
      </c>
      <c r="C7">
        <v>0.10310123378760072</v>
      </c>
      <c r="D7">
        <v>3.1754403971268275E-2</v>
      </c>
      <c r="E7">
        <v>2.5015652143324685E-2</v>
      </c>
      <c r="F7">
        <v>1.9348110955474951E-2</v>
      </c>
      <c r="G7">
        <v>1.0157775343372144E-2</v>
      </c>
      <c r="H7">
        <v>4.9364963256446348E-2</v>
      </c>
      <c r="I7">
        <v>-1.0190624127589532E-2</v>
      </c>
      <c r="J7">
        <v>3.9711314704807599E-2</v>
      </c>
      <c r="K7">
        <v>1.7363413659658988E-3</v>
      </c>
      <c r="L7">
        <v>5.2922022453726125E-2</v>
      </c>
      <c r="M7">
        <v>7.1070860032021566E-2</v>
      </c>
      <c r="N7">
        <v>-1.7577139890127547E-2</v>
      </c>
      <c r="O7">
        <v>3.0519435576796816E-3</v>
      </c>
      <c r="P7">
        <v>7.7577743992467196E-2</v>
      </c>
      <c r="Q7">
        <v>3.0400247471855657E-3</v>
      </c>
      <c r="R7">
        <v>8.3761181406708518E-2</v>
      </c>
      <c r="S7">
        <v>-2.5010586373327315E-2</v>
      </c>
      <c r="T7">
        <v>0.11157190887237256</v>
      </c>
      <c r="U7">
        <v>3.9371753544031662E-2</v>
      </c>
      <c r="V7">
        <v>2.0310458220712091E-2</v>
      </c>
      <c r="W7">
        <v>5.9640325461275623E-2</v>
      </c>
      <c r="X7">
        <v>5.9617911935997192E-2</v>
      </c>
      <c r="Y7">
        <v>4.2957097710987213E-3</v>
      </c>
      <c r="Z7">
        <v>1.6193350720530519E-2</v>
      </c>
      <c r="AA7">
        <v>5.8660680685023614E-2</v>
      </c>
      <c r="AB7">
        <v>-1.4014379546415157E-2</v>
      </c>
      <c r="AC7">
        <v>3.1370644912172452E-2</v>
      </c>
      <c r="AD7">
        <v>-8.982946330022834E-3</v>
      </c>
      <c r="AE7">
        <v>1.6586273497583459E-2</v>
      </c>
      <c r="AF7">
        <v>6.4740848808989337E-2</v>
      </c>
      <c r="AG7">
        <v>1.0540152102622935E-2</v>
      </c>
      <c r="AH7">
        <v>3.9379022970009503E-2</v>
      </c>
      <c r="AI7">
        <v>6.5580331063234354E-2</v>
      </c>
      <c r="AJ7">
        <v>7.6254379826020013E-2</v>
      </c>
      <c r="AK7">
        <v>-2.4022284728990151E-2</v>
      </c>
      <c r="AL7">
        <v>7.6718608750679707E-2</v>
      </c>
      <c r="AM7">
        <v>-5.1493088273791843E-3</v>
      </c>
      <c r="AN7">
        <v>-1.1449030297456586E-2</v>
      </c>
      <c r="AO7">
        <v>2.57450236135921E-2</v>
      </c>
      <c r="AP7">
        <v>2.0794227346421668E-2</v>
      </c>
      <c r="AQ7">
        <v>7.6564054535642301E-2</v>
      </c>
      <c r="AR7">
        <v>1.2164388978604501E-2</v>
      </c>
      <c r="AS7">
        <v>5.9620057740045418E-2</v>
      </c>
      <c r="AT7">
        <v>2.0534110572525854E-2</v>
      </c>
      <c r="AU7">
        <v>2.6882986772883921E-2</v>
      </c>
      <c r="AV7">
        <v>3.2178990974434107E-2</v>
      </c>
      <c r="AW7">
        <v>3.5080280965447574E-2</v>
      </c>
      <c r="AX7">
        <v>7.7056709367708809E-3</v>
      </c>
      <c r="AY7">
        <v>2.4774392298001047E-2</v>
      </c>
      <c r="AZ7">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DA362A-7ACB-4E20-9C77-3DAC52A0B042}">
  <dimension ref="A1:B7"/>
  <sheetViews>
    <sheetView workbookViewId="0">
      <selection activeCell="C8" sqref="C8:C15"/>
    </sheetView>
  </sheetViews>
  <sheetFormatPr defaultColWidth="8.7265625" defaultRowHeight="14.5" x14ac:dyDescent="0.35"/>
  <cols>
    <col min="1" max="1" width="31.453125" style="1" bestFit="1" customWidth="1"/>
    <col min="2" max="2" width="29.7265625" style="1" bestFit="1" customWidth="1"/>
    <col min="3" max="16384" width="8.7265625" style="1"/>
  </cols>
  <sheetData>
    <row r="1" spans="1:2" x14ac:dyDescent="0.35">
      <c r="B1" s="1" t="s">
        <v>162</v>
      </c>
    </row>
    <row r="2" spans="1:2" x14ac:dyDescent="0.35">
      <c r="A2" s="1" t="s">
        <v>163</v>
      </c>
      <c r="B2" s="1">
        <v>0.17</v>
      </c>
    </row>
    <row r="3" spans="1:2" x14ac:dyDescent="0.35">
      <c r="A3" s="1" t="s">
        <v>164</v>
      </c>
      <c r="B3" s="1">
        <v>0.05</v>
      </c>
    </row>
    <row r="4" spans="1:2" x14ac:dyDescent="0.35">
      <c r="A4" s="1" t="s">
        <v>165</v>
      </c>
      <c r="B4" s="1">
        <v>0.19</v>
      </c>
    </row>
    <row r="5" spans="1:2" x14ac:dyDescent="0.35">
      <c r="A5" s="1" t="s">
        <v>166</v>
      </c>
      <c r="B5" s="1">
        <v>0.28000000000000003</v>
      </c>
    </row>
    <row r="6" spans="1:2" x14ac:dyDescent="0.35">
      <c r="A6" s="1" t="s">
        <v>167</v>
      </c>
      <c r="B6" s="1">
        <v>0.3</v>
      </c>
    </row>
    <row r="7" spans="1:2" x14ac:dyDescent="0.35">
      <c r="A7" s="1" t="s">
        <v>168</v>
      </c>
      <c r="B7" s="1">
        <v>0.82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2FE45-F3C8-4B14-93F1-88A34142D148}">
  <dimension ref="A1:B7"/>
  <sheetViews>
    <sheetView workbookViewId="0">
      <selection activeCell="C8" sqref="C8:C15"/>
    </sheetView>
  </sheetViews>
  <sheetFormatPr defaultColWidth="8.7265625" defaultRowHeight="14.5" x14ac:dyDescent="0.35"/>
  <cols>
    <col min="1" max="1" width="31.453125" style="1" bestFit="1" customWidth="1"/>
    <col min="2" max="2" width="29.7265625" style="1" bestFit="1" customWidth="1"/>
    <col min="3" max="16384" width="8.7265625" style="1"/>
  </cols>
  <sheetData>
    <row r="1" spans="1:2" x14ac:dyDescent="0.35">
      <c r="B1" s="1" t="s">
        <v>162</v>
      </c>
    </row>
    <row r="2" spans="1:2" x14ac:dyDescent="0.35">
      <c r="A2" s="1" t="s">
        <v>106</v>
      </c>
      <c r="B2" s="1">
        <v>8.5999999999999993E-2</v>
      </c>
    </row>
    <row r="3" spans="1:2" x14ac:dyDescent="0.35">
      <c r="A3" s="1" t="s">
        <v>107</v>
      </c>
      <c r="B3" s="1">
        <v>7.0000000000000007E-2</v>
      </c>
    </row>
    <row r="4" spans="1:2" x14ac:dyDescent="0.35">
      <c r="A4" s="1" t="s">
        <v>161</v>
      </c>
      <c r="B4" s="1">
        <v>4.9000000000000002E-2</v>
      </c>
    </row>
    <row r="5" spans="1:2" x14ac:dyDescent="0.35">
      <c r="A5" s="1" t="s">
        <v>160</v>
      </c>
      <c r="B5" s="1">
        <v>0.05</v>
      </c>
    </row>
    <row r="6" spans="1:2" x14ac:dyDescent="0.35">
      <c r="A6" s="1" t="s">
        <v>159</v>
      </c>
      <c r="B6" s="1">
        <v>3.6999999999999998E-2</v>
      </c>
    </row>
    <row r="7" spans="1:2" x14ac:dyDescent="0.35">
      <c r="A7" s="1" t="s">
        <v>158</v>
      </c>
      <c r="B7" s="1">
        <v>2.9000000000000001E-2</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2CA200-A429-4284-9EC3-C8CE8923F868}">
  <dimension ref="A1:G7"/>
  <sheetViews>
    <sheetView workbookViewId="0">
      <selection activeCell="C8" sqref="C8:C15"/>
    </sheetView>
  </sheetViews>
  <sheetFormatPr defaultRowHeight="14.5" x14ac:dyDescent="0.35"/>
  <cols>
    <col min="1" max="1" width="31.453125" bestFit="1" customWidth="1"/>
    <col min="2" max="2" width="29.54296875" bestFit="1" customWidth="1"/>
    <col min="3" max="3" width="31.453125" bestFit="1" customWidth="1"/>
    <col min="4" max="4" width="24.81640625" bestFit="1" customWidth="1"/>
    <col min="5" max="5" width="30.81640625" bestFit="1" customWidth="1"/>
    <col min="6" max="6" width="24.453125" bestFit="1" customWidth="1"/>
    <col min="7" max="7" width="23.26953125" bestFit="1" customWidth="1"/>
  </cols>
  <sheetData>
    <row r="1" spans="1:7" x14ac:dyDescent="0.35">
      <c r="B1" t="s">
        <v>158</v>
      </c>
      <c r="C1" t="s">
        <v>159</v>
      </c>
      <c r="D1" t="s">
        <v>160</v>
      </c>
      <c r="E1" t="s">
        <v>161</v>
      </c>
      <c r="F1" t="s">
        <v>107</v>
      </c>
      <c r="G1" t="s">
        <v>106</v>
      </c>
    </row>
    <row r="2" spans="1:7" x14ac:dyDescent="0.35">
      <c r="A2" t="s">
        <v>158</v>
      </c>
      <c r="B2">
        <v>1</v>
      </c>
      <c r="C2">
        <v>0.6</v>
      </c>
      <c r="D2">
        <v>0.2</v>
      </c>
      <c r="E2">
        <v>0.4</v>
      </c>
      <c r="F2">
        <v>0</v>
      </c>
      <c r="G2">
        <v>0</v>
      </c>
    </row>
    <row r="3" spans="1:7" x14ac:dyDescent="0.35">
      <c r="A3" t="s">
        <v>159</v>
      </c>
      <c r="B3">
        <v>0.6</v>
      </c>
      <c r="C3">
        <v>1</v>
      </c>
      <c r="D3">
        <v>0.7</v>
      </c>
      <c r="E3">
        <v>0.6</v>
      </c>
      <c r="F3">
        <v>0.3</v>
      </c>
      <c r="G3">
        <v>0.3</v>
      </c>
    </row>
    <row r="4" spans="1:7" x14ac:dyDescent="0.35">
      <c r="A4" t="s">
        <v>160</v>
      </c>
      <c r="B4">
        <v>0.2</v>
      </c>
      <c r="C4">
        <v>0.7</v>
      </c>
      <c r="D4">
        <v>1</v>
      </c>
      <c r="E4">
        <v>0.7</v>
      </c>
      <c r="F4">
        <v>0.7</v>
      </c>
      <c r="G4">
        <v>0.6</v>
      </c>
    </row>
    <row r="5" spans="1:7" x14ac:dyDescent="0.35">
      <c r="A5" t="s">
        <v>161</v>
      </c>
      <c r="B5">
        <v>0.4</v>
      </c>
      <c r="C5">
        <v>0.6</v>
      </c>
      <c r="D5">
        <v>0.7</v>
      </c>
      <c r="E5">
        <v>1</v>
      </c>
      <c r="F5">
        <v>0.5</v>
      </c>
      <c r="G5">
        <v>0.7</v>
      </c>
    </row>
    <row r="6" spans="1:7" x14ac:dyDescent="0.35">
      <c r="A6" t="s">
        <v>107</v>
      </c>
      <c r="B6">
        <v>0</v>
      </c>
      <c r="C6">
        <v>0.3</v>
      </c>
      <c r="D6">
        <v>0.7</v>
      </c>
      <c r="E6">
        <v>0.5</v>
      </c>
      <c r="F6">
        <v>1</v>
      </c>
      <c r="G6">
        <v>0.7</v>
      </c>
    </row>
    <row r="7" spans="1:7" x14ac:dyDescent="0.35">
      <c r="A7" t="s">
        <v>106</v>
      </c>
      <c r="B7">
        <v>0</v>
      </c>
      <c r="C7">
        <v>0.3</v>
      </c>
      <c r="D7">
        <v>0.6</v>
      </c>
      <c r="E7">
        <v>0.7</v>
      </c>
      <c r="F7">
        <v>0.7</v>
      </c>
      <c r="G7">
        <v>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F7A95-B188-4DD8-8CC8-933010413F8F}">
  <dimension ref="A1:G7"/>
  <sheetViews>
    <sheetView workbookViewId="0">
      <selection activeCell="C8" sqref="C8:C15"/>
    </sheetView>
  </sheetViews>
  <sheetFormatPr defaultRowHeight="14.5" x14ac:dyDescent="0.35"/>
  <cols>
    <col min="1" max="1" width="31.453125" bestFit="1" customWidth="1"/>
    <col min="2" max="2" width="29.54296875" bestFit="1" customWidth="1"/>
    <col min="3" max="3" width="31.453125" bestFit="1" customWidth="1"/>
    <col min="4" max="4" width="24.81640625" bestFit="1" customWidth="1"/>
    <col min="5" max="5" width="30.81640625" bestFit="1" customWidth="1"/>
    <col min="6" max="6" width="24.453125" bestFit="1" customWidth="1"/>
    <col min="7" max="7" width="23.26953125" bestFit="1" customWidth="1"/>
  </cols>
  <sheetData>
    <row r="1" spans="1:7" x14ac:dyDescent="0.35">
      <c r="B1" t="str" cm="1">
        <f t="array" ref="B1:G1">TRANSPOSE(A2:A7)</f>
        <v>Small Cap</v>
      </c>
      <c r="C1" t="str">
        <v>US Agg Bond</v>
      </c>
      <c r="D1" t="str">
        <v>Gold</v>
      </c>
      <c r="E1" t="str">
        <v>Private Equity</v>
      </c>
      <c r="F1" t="str">
        <v>Venture Capital</v>
      </c>
      <c r="G1" t="str">
        <v>Angel Venture</v>
      </c>
    </row>
    <row r="2" spans="1:7" x14ac:dyDescent="0.35">
      <c r="A2" t="s">
        <v>163</v>
      </c>
      <c r="B2">
        <v>1</v>
      </c>
      <c r="C2">
        <v>-8.6999999999999994E-2</v>
      </c>
      <c r="D2">
        <v>-0.01</v>
      </c>
      <c r="E2">
        <v>0.78600000000000003</v>
      </c>
      <c r="F2">
        <v>0.68700000000000006</v>
      </c>
      <c r="G2">
        <v>0.45800000000000002</v>
      </c>
    </row>
    <row r="3" spans="1:7" x14ac:dyDescent="0.35">
      <c r="A3" t="s">
        <v>164</v>
      </c>
      <c r="B3">
        <v>-8.6999999999999994E-2</v>
      </c>
      <c r="C3">
        <v>1</v>
      </c>
      <c r="D3">
        <v>0.40799999999999997</v>
      </c>
      <c r="E3">
        <v>3.4000000000000002E-2</v>
      </c>
      <c r="F3">
        <v>-0.11</v>
      </c>
      <c r="G3">
        <v>-0.01</v>
      </c>
    </row>
    <row r="4" spans="1:7" x14ac:dyDescent="0.35">
      <c r="A4" t="s">
        <v>165</v>
      </c>
      <c r="B4">
        <v>-0.01</v>
      </c>
      <c r="C4">
        <v>0.40799999999999997</v>
      </c>
      <c r="D4">
        <v>1</v>
      </c>
      <c r="E4">
        <v>0.03</v>
      </c>
      <c r="F4">
        <v>2.5999999999999999E-2</v>
      </c>
      <c r="G4">
        <v>-0.01</v>
      </c>
    </row>
    <row r="5" spans="1:7" x14ac:dyDescent="0.35">
      <c r="A5" t="s">
        <v>166</v>
      </c>
      <c r="B5">
        <v>0.78600000000000003</v>
      </c>
      <c r="C5">
        <v>3.4000000000000002E-2</v>
      </c>
      <c r="D5">
        <v>0.03</v>
      </c>
      <c r="E5">
        <v>1</v>
      </c>
      <c r="F5">
        <v>0.56999999999999995</v>
      </c>
      <c r="G5">
        <v>0.92200000000000004</v>
      </c>
    </row>
    <row r="6" spans="1:7" x14ac:dyDescent="0.35">
      <c r="A6" t="s">
        <v>167</v>
      </c>
      <c r="B6">
        <v>0.68700000000000006</v>
      </c>
      <c r="C6">
        <v>-0.11</v>
      </c>
      <c r="D6">
        <v>2.5999999999999999E-2</v>
      </c>
      <c r="E6">
        <v>0.56999999999999995</v>
      </c>
      <c r="F6">
        <v>1</v>
      </c>
      <c r="G6">
        <v>0.82499999999999996</v>
      </c>
    </row>
    <row r="7" spans="1:7" x14ac:dyDescent="0.35">
      <c r="A7" t="s">
        <v>168</v>
      </c>
      <c r="B7">
        <v>0.45800000000000002</v>
      </c>
      <c r="C7">
        <v>-0.01</v>
      </c>
      <c r="D7">
        <v>-0.01</v>
      </c>
      <c r="E7">
        <v>0.92200000000000004</v>
      </c>
      <c r="F7">
        <v>0.82499999999999996</v>
      </c>
      <c r="G7">
        <v>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5D6B7F-EC28-43DF-AEC2-665EA1610B0E}">
  <sheetPr>
    <tabColor theme="4" tint="0.79998168889431442"/>
  </sheetPr>
  <dimension ref="B2:G10"/>
  <sheetViews>
    <sheetView tabSelected="1" workbookViewId="0">
      <selection activeCell="C6" sqref="C6"/>
    </sheetView>
  </sheetViews>
  <sheetFormatPr defaultColWidth="8.7265625" defaultRowHeight="14.5" x14ac:dyDescent="0.35"/>
  <cols>
    <col min="1" max="1" width="3.1796875" style="1" customWidth="1"/>
    <col min="2" max="2" width="18.1796875" style="1" bestFit="1" customWidth="1"/>
    <col min="3" max="4" width="13.26953125" style="1" bestFit="1" customWidth="1"/>
    <col min="5" max="5" width="13.81640625" style="1" bestFit="1" customWidth="1"/>
    <col min="6" max="6" width="13.26953125" style="1" bestFit="1" customWidth="1"/>
    <col min="7" max="16384" width="8.7265625" style="1"/>
  </cols>
  <sheetData>
    <row r="2" spans="2:7" x14ac:dyDescent="0.35">
      <c r="B2" t="s">
        <v>79</v>
      </c>
      <c r="C2" t="s">
        <v>75</v>
      </c>
      <c r="D2" t="s">
        <v>76</v>
      </c>
      <c r="E2" t="s">
        <v>77</v>
      </c>
      <c r="F2" t="s">
        <v>78</v>
      </c>
      <c r="G2" s="36" t="s">
        <v>81</v>
      </c>
    </row>
    <row r="3" spans="2:7" x14ac:dyDescent="0.35">
      <c r="B3" t="s">
        <v>72</v>
      </c>
      <c r="C3">
        <v>0.6</v>
      </c>
      <c r="D3">
        <v>0.45</v>
      </c>
      <c r="E3">
        <v>0</v>
      </c>
      <c r="F3">
        <v>1</v>
      </c>
      <c r="G3" s="36"/>
    </row>
    <row r="4" spans="2:7" x14ac:dyDescent="0.35">
      <c r="B4" t="s">
        <v>73</v>
      </c>
      <c r="C4" s="23">
        <v>400000</v>
      </c>
      <c r="D4" s="23">
        <v>75000</v>
      </c>
      <c r="E4" s="23">
        <v>0</v>
      </c>
      <c r="F4" s="23">
        <v>7500000</v>
      </c>
      <c r="G4" s="36"/>
    </row>
    <row r="5" spans="2:7" x14ac:dyDescent="0.35">
      <c r="B5" t="s">
        <v>74</v>
      </c>
      <c r="C5">
        <v>3</v>
      </c>
      <c r="D5">
        <v>30</v>
      </c>
      <c r="E5">
        <v>0</v>
      </c>
      <c r="F5">
        <v>35</v>
      </c>
      <c r="G5" s="36"/>
    </row>
    <row r="7" spans="2:7" x14ac:dyDescent="0.35">
      <c r="B7" t="s">
        <v>79</v>
      </c>
      <c r="C7" t="s">
        <v>75</v>
      </c>
      <c r="D7" t="s">
        <v>76</v>
      </c>
      <c r="E7" t="s">
        <v>77</v>
      </c>
      <c r="F7" t="s">
        <v>78</v>
      </c>
      <c r="G7" s="36" t="s">
        <v>80</v>
      </c>
    </row>
    <row r="8" spans="2:7" x14ac:dyDescent="0.35">
      <c r="B8" t="s">
        <v>72</v>
      </c>
      <c r="C8">
        <v>1</v>
      </c>
      <c r="D8">
        <v>0.45</v>
      </c>
      <c r="E8">
        <v>0.5</v>
      </c>
      <c r="F8">
        <v>0.57999999999999996</v>
      </c>
      <c r="G8" s="36"/>
    </row>
    <row r="9" spans="2:7" x14ac:dyDescent="0.35">
      <c r="B9" t="s">
        <v>73</v>
      </c>
      <c r="C9" s="23">
        <v>1000000</v>
      </c>
      <c r="D9" s="23">
        <v>2000000</v>
      </c>
      <c r="E9" s="23">
        <v>20000</v>
      </c>
      <c r="F9" s="23">
        <v>100000</v>
      </c>
      <c r="G9" s="36"/>
    </row>
    <row r="10" spans="2:7" x14ac:dyDescent="0.35">
      <c r="B10" t="s">
        <v>74</v>
      </c>
      <c r="C10">
        <v>10</v>
      </c>
      <c r="D10">
        <v>30</v>
      </c>
      <c r="E10">
        <v>4</v>
      </c>
      <c r="F10">
        <v>18</v>
      </c>
      <c r="G10" s="36"/>
    </row>
  </sheetData>
  <mergeCells count="2">
    <mergeCell ref="G7:G10"/>
    <mergeCell ref="G2:G5"/>
  </mergeCells>
  <pageMargins left="0.7" right="0.7" top="0.75" bottom="0.75" header="0.3" footer="0.3"/>
  <drawing r:id="rId1"/>
  <tableParts count="2">
    <tablePart r:id="rId2"/>
    <tablePart r:id="rId3"/>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D19F4-A05D-45D0-B8F0-DC7FDC307651}">
  <sheetPr>
    <tabColor theme="7" tint="0.79998168889431442"/>
  </sheetPr>
  <dimension ref="B2:P48"/>
  <sheetViews>
    <sheetView topLeftCell="A2" zoomScale="115" zoomScaleNormal="115" workbookViewId="0">
      <selection activeCell="E6" sqref="E6"/>
    </sheetView>
  </sheetViews>
  <sheetFormatPr defaultColWidth="8.7265625" defaultRowHeight="14.5" x14ac:dyDescent="0.35"/>
  <cols>
    <col min="1" max="1" width="3.453125" style="1" customWidth="1"/>
    <col min="2" max="2" width="13.1796875" style="1" customWidth="1"/>
    <col min="3" max="3" width="16.26953125" style="1" customWidth="1"/>
    <col min="4" max="4" width="18.26953125" style="1" bestFit="1" customWidth="1"/>
    <col min="5" max="6" width="18.26953125" style="1" customWidth="1"/>
    <col min="7" max="7" width="14.453125" style="1" customWidth="1"/>
    <col min="8" max="8" width="34.81640625" style="1" bestFit="1" customWidth="1"/>
    <col min="9" max="11" width="8.7265625" style="1"/>
    <col min="12" max="12" width="11.453125" style="1" bestFit="1" customWidth="1"/>
    <col min="13" max="14" width="21.54296875" style="1" customWidth="1"/>
    <col min="15" max="16" width="14.1796875" style="1" bestFit="1" customWidth="1"/>
    <col min="17" max="16384" width="8.7265625" style="1"/>
  </cols>
  <sheetData>
    <row r="2" spans="2:16" x14ac:dyDescent="0.35">
      <c r="B2" s="2" t="s">
        <v>1</v>
      </c>
      <c r="C2" s="2" t="s">
        <v>5</v>
      </c>
      <c r="D2" s="2" t="s">
        <v>6</v>
      </c>
      <c r="E2" s="2" t="s">
        <v>83</v>
      </c>
      <c r="F2" s="2" t="s">
        <v>84</v>
      </c>
      <c r="G2" s="22"/>
      <c r="H2" s="18" t="s">
        <v>68</v>
      </c>
      <c r="I2" s="19">
        <v>0.04</v>
      </c>
      <c r="M2" s="5" t="s">
        <v>7</v>
      </c>
      <c r="N2" s="5" t="s">
        <v>8</v>
      </c>
      <c r="O2" s="5" t="s">
        <v>62</v>
      </c>
      <c r="P2" s="5" t="s">
        <v>63</v>
      </c>
    </row>
    <row r="3" spans="2:16" x14ac:dyDescent="0.35">
      <c r="B3" s="2">
        <v>2025</v>
      </c>
      <c r="C3" s="3">
        <f>(TableIncomeCalculations[[#This Row],[GrossMonthlySalaryP1]]*12)</f>
        <v>526452</v>
      </c>
      <c r="D3" s="24">
        <f>(TableIncomeCalculations[[#This Row],[GrossMonthlySalaryP2]]*12)</f>
        <v>768012</v>
      </c>
      <c r="E3" s="3">
        <f>TableIncome[[#This Row],[SalaryP1]]*$I$6</f>
        <v>52645.200000000004</v>
      </c>
      <c r="F3" s="3">
        <f>TableIncome[[#This Row],[SalaryP2]]*$I$6</f>
        <v>76801.2</v>
      </c>
      <c r="G3" s="22"/>
      <c r="H3" s="18" t="s">
        <v>69</v>
      </c>
      <c r="I3" s="19">
        <v>0.05</v>
      </c>
      <c r="M3" s="21">
        <v>43871</v>
      </c>
      <c r="N3" s="20">
        <v>64001</v>
      </c>
      <c r="O3" t="str">
        <f>_xlfn.XLOOKUP(_xlfn.XLOOKUP(TableIncome[[#This Row],[Year]],Loop!C:C,Loop!D:D),'Job Hopping'!B:B,'Job Hopping'!F:F)</f>
        <v>N</v>
      </c>
      <c r="P3" t="str">
        <f>_xlfn.XLOOKUP(_xlfn.XLOOKUP(TableIncome[[#This Row],[Year]],Loop!C:C,Loop!E:E),'Job Hopping'!B:B,'Job Hopping'!G:G)</f>
        <v>N</v>
      </c>
    </row>
    <row r="4" spans="2:16" x14ac:dyDescent="0.35">
      <c r="B4" s="2">
        <v>2026</v>
      </c>
      <c r="C4" s="4">
        <f>(TableIncomeCalculations[[#This Row],[GrossMonthlySalaryP1]]*12)</f>
        <v>531716.52</v>
      </c>
      <c r="D4" s="24">
        <f>(TableIncomeCalculations[[#This Row],[GrossMonthlySalaryP2]]*12)</f>
        <v>775692.12</v>
      </c>
      <c r="E4" s="3">
        <f>TableIncome[[#This Row],[SalaryP1]]*$I$6</f>
        <v>53171.652000000002</v>
      </c>
      <c r="F4" s="3">
        <f>TableIncome[[#This Row],[SalaryP2]]*$I$6</f>
        <v>77569.212</v>
      </c>
      <c r="G4" s="22"/>
      <c r="H4" s="18" t="s">
        <v>71</v>
      </c>
      <c r="I4" s="19">
        <f>I3-I2</f>
        <v>1.0000000000000002E-2</v>
      </c>
      <c r="M4" s="21">
        <f>IF(_xlfn.XLOOKUP(TableIncome[[#This Row],[Year]],Loop!C:C,Loop!D:D)&lt;70,(M3*(1+$I$4))+IF(TableIncomeCalculations[[#This Row],[SwitchP1]]="Y",M3*$I$5,0),0)</f>
        <v>44309.71</v>
      </c>
      <c r="N4" s="21">
        <f>IF(_xlfn.XLOOKUP(TableIncome[[#This Row],[Year]],Loop!C:C,Loop!E:E)&lt;70,(N3*(1+$I$4))+IF(TableIncomeCalculations[[#This Row],[SwitchP2]]="Y",N3*$I$5,0),0)</f>
        <v>64641.01</v>
      </c>
      <c r="O4" t="str">
        <f>_xlfn.XLOOKUP(_xlfn.XLOOKUP(TableIncome[[#This Row],[Year]],Loop!C:C,Loop!D:D),'Job Hopping'!B:B,'Job Hopping'!F:F)</f>
        <v>N</v>
      </c>
      <c r="P4" t="str">
        <f>_xlfn.XLOOKUP(_xlfn.XLOOKUP(TableIncome[[#This Row],[Year]],Loop!C:C,Loop!E:E),'Job Hopping'!B:B,'Job Hopping'!G:G)</f>
        <v>N</v>
      </c>
    </row>
    <row r="5" spans="2:16" x14ac:dyDescent="0.35">
      <c r="B5" s="2">
        <v>2027</v>
      </c>
      <c r="C5" s="4">
        <f>(TableIncomeCalculations[[#This Row],[GrossMonthlySalaryP1]]*12)</f>
        <v>590205.33719999995</v>
      </c>
      <c r="D5" s="24">
        <f>(TableIncomeCalculations[[#This Row],[GrossMonthlySalaryP2]]*12)</f>
        <v>783449.04120000009</v>
      </c>
      <c r="E5" s="3">
        <f>TableIncome[[#This Row],[SalaryP1]]*$I$6</f>
        <v>59020.533719999999</v>
      </c>
      <c r="F5" s="3">
        <f>TableIncome[[#This Row],[SalaryP2]]*$I$6</f>
        <v>78344.904120000007</v>
      </c>
      <c r="G5" s="22"/>
      <c r="H5" s="18" t="s">
        <v>70</v>
      </c>
      <c r="I5" s="19">
        <v>0.1</v>
      </c>
      <c r="M5" s="21">
        <f>IF(_xlfn.XLOOKUP(TableIncome[[#This Row],[Year]],Loop!C:C,Loop!D:D)&lt;70,(M4*(1+$I$4))+IF(TableIncomeCalculations[[#This Row],[SwitchP1]]="Y",M4*$I$5,0),0)</f>
        <v>49183.778099999996</v>
      </c>
      <c r="N5" s="21">
        <f>IF(_xlfn.XLOOKUP(TableIncome[[#This Row],[Year]],Loop!C:C,Loop!E:E)&lt;70,(N4*(1+$I$4))+IF(TableIncomeCalculations[[#This Row],[SwitchP2]]="Y",N4*$I$5,0),0)</f>
        <v>65287.420100000003</v>
      </c>
      <c r="O5" t="str">
        <f>_xlfn.XLOOKUP(_xlfn.XLOOKUP(TableIncome[[#This Row],[Year]],Loop!C:C,Loop!D:D),'Job Hopping'!B:B,'Job Hopping'!F:F)</f>
        <v>Y</v>
      </c>
      <c r="P5" t="str">
        <f>_xlfn.XLOOKUP(_xlfn.XLOOKUP(TableIncome[[#This Row],[Year]],Loop!C:C,Loop!E:E),'Job Hopping'!B:B,'Job Hopping'!G:G)</f>
        <v>N</v>
      </c>
    </row>
    <row r="6" spans="2:16" x14ac:dyDescent="0.35">
      <c r="B6" s="2">
        <v>2028</v>
      </c>
      <c r="C6" s="4">
        <f>(TableIncomeCalculations[[#This Row],[GrossMonthlySalaryP1]]*12)</f>
        <v>596107.39057199995</v>
      </c>
      <c r="D6" s="24">
        <f>(TableIncomeCalculations[[#This Row],[GrossMonthlySalaryP2]]*12)</f>
        <v>869628.43573200004</v>
      </c>
      <c r="E6" s="3">
        <f>TableIncome[[#This Row],[SalaryP1]]*$I$6</f>
        <v>59610.7390572</v>
      </c>
      <c r="F6" s="3">
        <f>TableIncome[[#This Row],[SalaryP2]]*$I$6</f>
        <v>86962.843573200007</v>
      </c>
      <c r="G6" s="22"/>
      <c r="H6" s="18" t="s">
        <v>82</v>
      </c>
      <c r="I6" s="19">
        <v>0.1</v>
      </c>
      <c r="M6" s="21">
        <f>IF(_xlfn.XLOOKUP(TableIncome[[#This Row],[Year]],Loop!C:C,Loop!D:D)&lt;70,(M5*(1+$I$4))+IF(TableIncomeCalculations[[#This Row],[SwitchP1]]="Y",M5*$I$5,0),0)</f>
        <v>49675.615880999998</v>
      </c>
      <c r="N6" s="21">
        <f>IF(_xlfn.XLOOKUP(TableIncome[[#This Row],[Year]],Loop!C:C,Loop!E:E)&lt;70,(N5*(1+$I$4))+IF(TableIncomeCalculations[[#This Row],[SwitchP2]]="Y",N5*$I$5,0),0)</f>
        <v>72469.036311000003</v>
      </c>
      <c r="O6" t="str">
        <f>_xlfn.XLOOKUP(_xlfn.XLOOKUP(TableIncome[[#This Row],[Year]],Loop!C:C,Loop!D:D),'Job Hopping'!B:B,'Job Hopping'!F:F)</f>
        <v>N</v>
      </c>
      <c r="P6" t="str">
        <f>_xlfn.XLOOKUP(_xlfn.XLOOKUP(TableIncome[[#This Row],[Year]],Loop!C:C,Loop!E:E),'Job Hopping'!B:B,'Job Hopping'!G:G)</f>
        <v>Y</v>
      </c>
    </row>
    <row r="7" spans="2:16" x14ac:dyDescent="0.35">
      <c r="B7" s="2">
        <v>2029</v>
      </c>
      <c r="C7" s="4">
        <f>(TableIncomeCalculations[[#This Row],[GrossMonthlySalaryP1]]*12)</f>
        <v>602068.46447771997</v>
      </c>
      <c r="D7" s="24">
        <f>(TableIncomeCalculations[[#This Row],[GrossMonthlySalaryP2]]*12)</f>
        <v>878324.72008932009</v>
      </c>
      <c r="E7" s="3">
        <f>TableIncome[[#This Row],[SalaryP1]]*$I$6</f>
        <v>60206.846447771997</v>
      </c>
      <c r="F7" s="3">
        <f>TableIncome[[#This Row],[SalaryP2]]*$I$6</f>
        <v>87832.472008932018</v>
      </c>
      <c r="G7" s="22"/>
      <c r="H7" s="25"/>
      <c r="M7" s="21">
        <f>IF(_xlfn.XLOOKUP(TableIncome[[#This Row],[Year]],Loop!C:C,Loop!D:D)&lt;70,(M6*(1+$I$4))+IF(TableIncomeCalculations[[#This Row],[SwitchP1]]="Y",M6*$I$5,0),0)</f>
        <v>50172.372039809998</v>
      </c>
      <c r="N7" s="21">
        <f>IF(_xlfn.XLOOKUP(TableIncome[[#This Row],[Year]],Loop!C:C,Loop!E:E)&lt;70,(N6*(1+$I$4))+IF(TableIncomeCalculations[[#This Row],[SwitchP2]]="Y",N6*$I$5,0),0)</f>
        <v>73193.726674110003</v>
      </c>
      <c r="O7" t="str">
        <f>_xlfn.XLOOKUP(_xlfn.XLOOKUP(TableIncome[[#This Row],[Year]],Loop!C:C,Loop!D:D),'Job Hopping'!B:B,'Job Hopping'!F:F)</f>
        <v>N</v>
      </c>
      <c r="P7" t="str">
        <f>_xlfn.XLOOKUP(_xlfn.XLOOKUP(TableIncome[[#This Row],[Year]],Loop!C:C,Loop!E:E),'Job Hopping'!B:B,'Job Hopping'!G:G)</f>
        <v>N</v>
      </c>
    </row>
    <row r="8" spans="2:16" x14ac:dyDescent="0.35">
      <c r="B8" s="2">
        <v>2030</v>
      </c>
      <c r="C8" s="4">
        <f>(TableIncomeCalculations[[#This Row],[GrossMonthlySalaryP1]]*12)</f>
        <v>608089.14912249718</v>
      </c>
      <c r="D8" s="24">
        <f>(TableIncomeCalculations[[#This Row],[GrossMonthlySalaryP2]]*12)</f>
        <v>887107.9672902131</v>
      </c>
      <c r="E8" s="3">
        <f>TableIncome[[#This Row],[SalaryP1]]*$I$6</f>
        <v>60808.914912249718</v>
      </c>
      <c r="F8" s="3">
        <f>TableIncome[[#This Row],[SalaryP2]]*$I$6</f>
        <v>88710.796729021313</v>
      </c>
      <c r="G8" s="22"/>
      <c r="M8" s="21">
        <f>IF(_xlfn.XLOOKUP(TableIncome[[#This Row],[Year]],Loop!C:C,Loop!D:D)&lt;70,(M7*(1+$I$4))+IF(TableIncomeCalculations[[#This Row],[SwitchP1]]="Y",M7*$I$5,0),0)</f>
        <v>50674.095760208096</v>
      </c>
      <c r="N8" s="21">
        <f>IF(_xlfn.XLOOKUP(TableIncome[[#This Row],[Year]],Loop!C:C,Loop!E:E)&lt;70,(N7*(1+$I$4))+IF(TableIncomeCalculations[[#This Row],[SwitchP2]]="Y",N7*$I$5,0),0)</f>
        <v>73925.663940851096</v>
      </c>
      <c r="O8" t="str">
        <f>_xlfn.XLOOKUP(_xlfn.XLOOKUP(TableIncome[[#This Row],[Year]],Loop!C:C,Loop!D:D),'Job Hopping'!B:B,'Job Hopping'!F:F)</f>
        <v>N</v>
      </c>
      <c r="P8" t="str">
        <f>_xlfn.XLOOKUP(_xlfn.XLOOKUP(TableIncome[[#This Row],[Year]],Loop!C:C,Loop!E:E),'Job Hopping'!B:B,'Job Hopping'!G:G)</f>
        <v>N</v>
      </c>
    </row>
    <row r="9" spans="2:16" x14ac:dyDescent="0.35">
      <c r="B9" s="2">
        <v>2031</v>
      </c>
      <c r="C9" s="4">
        <f>(TableIncomeCalculations[[#This Row],[GrossMonthlySalaryP1]]*12)</f>
        <v>674978.95552597183</v>
      </c>
      <c r="D9" s="24">
        <f>(TableIncomeCalculations[[#This Row],[GrossMonthlySalaryP2]]*12)</f>
        <v>895979.04696311534</v>
      </c>
      <c r="E9" s="3">
        <f>TableIncome[[#This Row],[SalaryP1]]*$I$6</f>
        <v>67497.895552597183</v>
      </c>
      <c r="F9" s="3">
        <f>TableIncome[[#This Row],[SalaryP2]]*$I$6</f>
        <v>89597.90469631154</v>
      </c>
      <c r="G9" s="22"/>
      <c r="M9" s="21">
        <f>IF(_xlfn.XLOOKUP(TableIncome[[#This Row],[Year]],Loop!C:C,Loop!D:D)&lt;70,(M8*(1+$I$4))+IF(TableIncomeCalculations[[#This Row],[SwitchP1]]="Y",M8*$I$5,0),0)</f>
        <v>56248.246293830984</v>
      </c>
      <c r="N9" s="21">
        <f>IF(_xlfn.XLOOKUP(TableIncome[[#This Row],[Year]],Loop!C:C,Loop!E:E)&lt;70,(N8*(1+$I$4))+IF(TableIncomeCalculations[[#This Row],[SwitchP2]]="Y",N8*$I$5,0),0)</f>
        <v>74664.920580259612</v>
      </c>
      <c r="O9" t="str">
        <f>_xlfn.XLOOKUP(_xlfn.XLOOKUP(TableIncome[[#This Row],[Year]],Loop!C:C,Loop!D:D),'Job Hopping'!B:B,'Job Hopping'!F:F)</f>
        <v>Y</v>
      </c>
      <c r="P9" t="str">
        <f>_xlfn.XLOOKUP(_xlfn.XLOOKUP(TableIncome[[#This Row],[Year]],Loop!C:C,Loop!E:E),'Job Hopping'!B:B,'Job Hopping'!G:G)</f>
        <v>N</v>
      </c>
    </row>
    <row r="10" spans="2:16" x14ac:dyDescent="0.35">
      <c r="B10" s="2">
        <v>2032</v>
      </c>
      <c r="C10" s="4">
        <f>(TableIncomeCalculations[[#This Row],[GrossMonthlySalaryP1]]*12)</f>
        <v>681728.74508123146</v>
      </c>
      <c r="D10" s="24">
        <f>(TableIncomeCalculations[[#This Row],[GrossMonthlySalaryP2]]*12)</f>
        <v>994536.742129058</v>
      </c>
      <c r="E10" s="3">
        <f>TableIncome[[#This Row],[SalaryP1]]*$I$6</f>
        <v>68172.874508123146</v>
      </c>
      <c r="F10" s="3">
        <f>TableIncome[[#This Row],[SalaryP2]]*$I$6</f>
        <v>99453.674212905811</v>
      </c>
      <c r="G10" s="22"/>
      <c r="M10" s="21">
        <f>IF(_xlfn.XLOOKUP(TableIncome[[#This Row],[Year]],Loop!C:C,Loop!D:D)&lt;70,(M9*(1+$I$4))+IF(TableIncomeCalculations[[#This Row],[SwitchP1]]="Y",M9*$I$5,0),0)</f>
        <v>56810.728756769291</v>
      </c>
      <c r="N10" s="21">
        <f>IF(_xlfn.XLOOKUP(TableIncome[[#This Row],[Year]],Loop!C:C,Loop!E:E)&lt;70,(N9*(1+$I$4))+IF(TableIncomeCalculations[[#This Row],[SwitchP2]]="Y",N9*$I$5,0),0)</f>
        <v>82878.061844088166</v>
      </c>
      <c r="O10" t="str">
        <f>_xlfn.XLOOKUP(_xlfn.XLOOKUP(TableIncome[[#This Row],[Year]],Loop!C:C,Loop!D:D),'Job Hopping'!B:B,'Job Hopping'!F:F)</f>
        <v>N</v>
      </c>
      <c r="P10" t="str">
        <f>_xlfn.XLOOKUP(_xlfn.XLOOKUP(TableIncome[[#This Row],[Year]],Loop!C:C,Loop!E:E),'Job Hopping'!B:B,'Job Hopping'!G:G)</f>
        <v>Y</v>
      </c>
    </row>
    <row r="11" spans="2:16" x14ac:dyDescent="0.35">
      <c r="B11" s="2">
        <v>2033</v>
      </c>
      <c r="C11" s="4">
        <f>(TableIncomeCalculations[[#This Row],[GrossMonthlySalaryP1]]*12)</f>
        <v>688546.03253204376</v>
      </c>
      <c r="D11" s="24">
        <f>(TableIncomeCalculations[[#This Row],[GrossMonthlySalaryP2]]*12)</f>
        <v>1004482.1095503486</v>
      </c>
      <c r="E11" s="3">
        <f>TableIncome[[#This Row],[SalaryP1]]*$I$6</f>
        <v>68854.603253204376</v>
      </c>
      <c r="F11" s="3">
        <f>TableIncome[[#This Row],[SalaryP2]]*$I$6</f>
        <v>100448.21095503487</v>
      </c>
      <c r="G11" s="22"/>
      <c r="M11" s="21">
        <f>IF(_xlfn.XLOOKUP(TableIncome[[#This Row],[Year]],Loop!C:C,Loop!D:D)&lt;70,(M10*(1+$I$4))+IF(TableIncomeCalculations[[#This Row],[SwitchP1]]="Y",M10*$I$5,0),0)</f>
        <v>57378.836044336982</v>
      </c>
      <c r="N11" s="21">
        <f>IF(_xlfn.XLOOKUP(TableIncome[[#This Row],[Year]],Loop!C:C,Loop!E:E)&lt;70,(N10*(1+$I$4))+IF(TableIncomeCalculations[[#This Row],[SwitchP2]]="Y",N10*$I$5,0),0)</f>
        <v>83706.84246252905</v>
      </c>
      <c r="O11" t="str">
        <f>_xlfn.XLOOKUP(_xlfn.XLOOKUP(TableIncome[[#This Row],[Year]],Loop!C:C,Loop!D:D),'Job Hopping'!B:B,'Job Hopping'!F:F)</f>
        <v>N</v>
      </c>
      <c r="P11" t="str">
        <f>_xlfn.XLOOKUP(_xlfn.XLOOKUP(TableIncome[[#This Row],[Year]],Loop!C:C,Loop!E:E),'Job Hopping'!B:B,'Job Hopping'!G:G)</f>
        <v>N</v>
      </c>
    </row>
    <row r="12" spans="2:16" x14ac:dyDescent="0.35">
      <c r="B12" s="2">
        <v>2034</v>
      </c>
      <c r="C12" s="4">
        <f>(TableIncomeCalculations[[#This Row],[GrossMonthlySalaryP1]]*12)</f>
        <v>695431.49285736424</v>
      </c>
      <c r="D12" s="24">
        <f>(TableIncomeCalculations[[#This Row],[GrossMonthlySalaryP2]]*12)</f>
        <v>1014526.9306458521</v>
      </c>
      <c r="E12" s="3">
        <f>TableIncome[[#This Row],[SalaryP1]]*$I$6</f>
        <v>69543.149285736421</v>
      </c>
      <c r="F12" s="3">
        <f>TableIncome[[#This Row],[SalaryP2]]*$I$6</f>
        <v>101452.69306458521</v>
      </c>
      <c r="G12" s="22"/>
      <c r="M12" s="21">
        <f>IF(_xlfn.XLOOKUP(TableIncome[[#This Row],[Year]],Loop!C:C,Loop!D:D)&lt;70,(M11*(1+$I$4))+IF(TableIncomeCalculations[[#This Row],[SwitchP1]]="Y",M11*$I$5,0),0)</f>
        <v>57952.624404780356</v>
      </c>
      <c r="N12" s="21">
        <f>IF(_xlfn.XLOOKUP(TableIncome[[#This Row],[Year]],Loop!C:C,Loop!E:E)&lt;70,(N11*(1+$I$4))+IF(TableIncomeCalculations[[#This Row],[SwitchP2]]="Y",N11*$I$5,0),0)</f>
        <v>84543.910887154343</v>
      </c>
      <c r="O12" t="str">
        <f>_xlfn.XLOOKUP(_xlfn.XLOOKUP(TableIncome[[#This Row],[Year]],Loop!C:C,Loop!D:D),'Job Hopping'!B:B,'Job Hopping'!F:F)</f>
        <v>N</v>
      </c>
      <c r="P12" t="str">
        <f>_xlfn.XLOOKUP(_xlfn.XLOOKUP(TableIncome[[#This Row],[Year]],Loop!C:C,Loop!E:E),'Job Hopping'!B:B,'Job Hopping'!G:G)</f>
        <v>N</v>
      </c>
    </row>
    <row r="13" spans="2:16" x14ac:dyDescent="0.35">
      <c r="B13" s="2">
        <v>2035</v>
      </c>
      <c r="C13" s="4">
        <f>(TableIncomeCalculations[[#This Row],[GrossMonthlySalaryP1]]*12)</f>
        <v>771928.95707167429</v>
      </c>
      <c r="D13" s="24">
        <f>(TableIncomeCalculations[[#This Row],[GrossMonthlySalaryP2]]*12)</f>
        <v>1024672.1999523106</v>
      </c>
      <c r="E13" s="3">
        <f>TableIncome[[#This Row],[SalaryP1]]*$I$6</f>
        <v>77192.895707167438</v>
      </c>
      <c r="F13" s="3">
        <f>TableIncome[[#This Row],[SalaryP2]]*$I$6</f>
        <v>102467.21999523108</v>
      </c>
      <c r="G13" s="22"/>
      <c r="M13" s="21">
        <f>IF(_xlfn.XLOOKUP(TableIncome[[#This Row],[Year]],Loop!C:C,Loop!D:D)&lt;70,(M12*(1+$I$4))+IF(TableIncomeCalculations[[#This Row],[SwitchP1]]="Y",M12*$I$5,0),0)</f>
        <v>64327.413089306196</v>
      </c>
      <c r="N13" s="21">
        <f>IF(_xlfn.XLOOKUP(TableIncome[[#This Row],[Year]],Loop!C:C,Loop!E:E)&lt;70,(N12*(1+$I$4))+IF(TableIncomeCalculations[[#This Row],[SwitchP2]]="Y",N12*$I$5,0),0)</f>
        <v>85389.349996025892</v>
      </c>
      <c r="O13" t="str">
        <f>_xlfn.XLOOKUP(_xlfn.XLOOKUP(TableIncome[[#This Row],[Year]],Loop!C:C,Loop!D:D),'Job Hopping'!B:B,'Job Hopping'!F:F)</f>
        <v>Y</v>
      </c>
      <c r="P13" t="str">
        <f>_xlfn.XLOOKUP(_xlfn.XLOOKUP(TableIncome[[#This Row],[Year]],Loop!C:C,Loop!E:E),'Job Hopping'!B:B,'Job Hopping'!G:G)</f>
        <v>N</v>
      </c>
    </row>
    <row r="14" spans="2:16" x14ac:dyDescent="0.35">
      <c r="B14" s="2">
        <v>2036</v>
      </c>
      <c r="C14" s="4">
        <f>(TableIncomeCalculations[[#This Row],[GrossMonthlySalaryP1]]*12)</f>
        <v>779648.24664239108</v>
      </c>
      <c r="D14" s="24">
        <f>(TableIncomeCalculations[[#This Row],[GrossMonthlySalaryP2]]*12)</f>
        <v>1034918.9219518339</v>
      </c>
      <c r="E14" s="3">
        <f>TableIncome[[#This Row],[SalaryP1]]*$I$6</f>
        <v>77964.824664239117</v>
      </c>
      <c r="F14" s="3">
        <f>TableIncome[[#This Row],[SalaryP2]]*$I$6</f>
        <v>103491.89219518339</v>
      </c>
      <c r="G14" s="22"/>
      <c r="M14" s="21">
        <f>IF(_xlfn.XLOOKUP(TableIncome[[#This Row],[Year]],Loop!C:C,Loop!D:D)&lt;70,(M13*(1+$I$4))+IF(TableIncomeCalculations[[#This Row],[SwitchP1]]="Y",M13*$I$5,0),0)</f>
        <v>64970.687220199259</v>
      </c>
      <c r="N14" s="21">
        <f>IF(_xlfn.XLOOKUP(TableIncome[[#This Row],[Year]],Loop!C:C,Loop!E:E)&lt;70,(N13*(1+$I$4))+IF(TableIncomeCalculations[[#This Row],[SwitchP2]]="Y",N13*$I$5,0),0)</f>
        <v>86243.243495986157</v>
      </c>
      <c r="O14" t="str">
        <f>_xlfn.XLOOKUP(_xlfn.XLOOKUP(TableIncome[[#This Row],[Year]],Loop!C:C,Loop!D:D),'Job Hopping'!B:B,'Job Hopping'!F:F)</f>
        <v>N</v>
      </c>
      <c r="P14" t="str">
        <f>_xlfn.XLOOKUP(_xlfn.XLOOKUP(TableIncome[[#This Row],[Year]],Loop!C:C,Loop!E:E),'Job Hopping'!B:B,'Job Hopping'!G:G)</f>
        <v>N</v>
      </c>
    </row>
    <row r="15" spans="2:16" x14ac:dyDescent="0.35">
      <c r="B15" s="2">
        <v>2037</v>
      </c>
      <c r="C15" s="4">
        <f>(TableIncomeCalculations[[#This Row],[GrossMonthlySalaryP1]]*12)</f>
        <v>787444.72910881508</v>
      </c>
      <c r="D15" s="24">
        <f>(TableIncomeCalculations[[#This Row],[GrossMonthlySalaryP2]]*12)</f>
        <v>1045268.1111713522</v>
      </c>
      <c r="E15" s="3">
        <f>TableIncome[[#This Row],[SalaryP1]]*$I$6</f>
        <v>78744.472910881508</v>
      </c>
      <c r="F15" s="3">
        <f>TableIncome[[#This Row],[SalaryP2]]*$I$6</f>
        <v>104526.81111713522</v>
      </c>
      <c r="G15" s="22"/>
      <c r="M15" s="21">
        <f>IF(_xlfn.XLOOKUP(TableIncome[[#This Row],[Year]],Loop!C:C,Loop!D:D)&lt;70,(M14*(1+$I$4))+IF(TableIncomeCalculations[[#This Row],[SwitchP1]]="Y",M14*$I$5,0),0)</f>
        <v>65620.394092401257</v>
      </c>
      <c r="N15" s="21">
        <f>IF(_xlfn.XLOOKUP(TableIncome[[#This Row],[Year]],Loop!C:C,Loop!E:E)&lt;70,(N14*(1+$I$4))+IF(TableIncomeCalculations[[#This Row],[SwitchP2]]="Y",N14*$I$5,0),0)</f>
        <v>87105.675930946018</v>
      </c>
      <c r="O15" t="str">
        <f>_xlfn.XLOOKUP(_xlfn.XLOOKUP(TableIncome[[#This Row],[Year]],Loop!C:C,Loop!D:D),'Job Hopping'!B:B,'Job Hopping'!F:F)</f>
        <v>N</v>
      </c>
      <c r="P15" t="str">
        <f>_xlfn.XLOOKUP(_xlfn.XLOOKUP(TableIncome[[#This Row],[Year]],Loop!C:C,Loop!E:E),'Job Hopping'!B:B,'Job Hopping'!G:G)</f>
        <v>N</v>
      </c>
    </row>
    <row r="16" spans="2:16" x14ac:dyDescent="0.35">
      <c r="B16" s="2">
        <v>2038</v>
      </c>
      <c r="C16" s="4">
        <f>(TableIncomeCalculations[[#This Row],[GrossMonthlySalaryP1]]*12)</f>
        <v>795319.17639990314</v>
      </c>
      <c r="D16" s="24">
        <f>(TableIncomeCalculations[[#This Row],[GrossMonthlySalaryP2]]*12)</f>
        <v>1055720.7922830656</v>
      </c>
      <c r="E16" s="3">
        <f>TableIncome[[#This Row],[SalaryP1]]*$I$6</f>
        <v>79531.917639990323</v>
      </c>
      <c r="F16" s="3">
        <f>TableIncome[[#This Row],[SalaryP2]]*$I$6</f>
        <v>105572.07922830657</v>
      </c>
      <c r="G16" s="22"/>
      <c r="M16" s="21">
        <f>IF(_xlfn.XLOOKUP(TableIncome[[#This Row],[Year]],Loop!C:C,Loop!D:D)&lt;70,(M15*(1+$I$4))+IF(TableIncomeCalculations[[#This Row],[SwitchP1]]="Y",M15*$I$5,0),0)</f>
        <v>66276.598033325266</v>
      </c>
      <c r="N16" s="21">
        <f>IF(_xlfn.XLOOKUP(TableIncome[[#This Row],[Year]],Loop!C:C,Loop!E:E)&lt;70,(N15*(1+$I$4))+IF(TableIncomeCalculations[[#This Row],[SwitchP2]]="Y",N15*$I$5,0),0)</f>
        <v>87976.732690255478</v>
      </c>
      <c r="O16" t="str">
        <f>_xlfn.XLOOKUP(_xlfn.XLOOKUP(TableIncome[[#This Row],[Year]],Loop!C:C,Loop!D:D),'Job Hopping'!B:B,'Job Hopping'!F:F)</f>
        <v>N</v>
      </c>
      <c r="P16" t="str">
        <f>_xlfn.XLOOKUP(_xlfn.XLOOKUP(TableIncome[[#This Row],[Year]],Loop!C:C,Loop!E:E),'Job Hopping'!B:B,'Job Hopping'!G:G)</f>
        <v>N</v>
      </c>
    </row>
    <row r="17" spans="2:16" x14ac:dyDescent="0.35">
      <c r="B17" s="2">
        <v>2039</v>
      </c>
      <c r="C17" s="4">
        <f>(TableIncomeCalculations[[#This Row],[GrossMonthlySalaryP1]]*12)</f>
        <v>882804.28580389253</v>
      </c>
      <c r="D17" s="24">
        <f>(TableIncomeCalculations[[#This Row],[GrossMonthlySalaryP2]]*12)</f>
        <v>1066278.0002058963</v>
      </c>
      <c r="E17" s="3">
        <f>TableIncome[[#This Row],[SalaryP1]]*$I$6</f>
        <v>88280.428580389256</v>
      </c>
      <c r="F17" s="3">
        <f>TableIncome[[#This Row],[SalaryP2]]*$I$6</f>
        <v>106627.80002058964</v>
      </c>
      <c r="G17" s="22"/>
      <c r="M17" s="21">
        <f>IF(_xlfn.XLOOKUP(TableIncome[[#This Row],[Year]],Loop!C:C,Loop!D:D)&lt;70,(M16*(1+$I$4))+IF(TableIncomeCalculations[[#This Row],[SwitchP1]]="Y",M16*$I$5,0),0)</f>
        <v>73567.023816991044</v>
      </c>
      <c r="N17" s="21">
        <f>IF(_xlfn.XLOOKUP(TableIncome[[#This Row],[Year]],Loop!C:C,Loop!E:E)&lt;70,(N16*(1+$I$4))+IF(TableIncomeCalculations[[#This Row],[SwitchP2]]="Y",N16*$I$5,0),0)</f>
        <v>88856.500017158032</v>
      </c>
      <c r="O17" t="str">
        <f>_xlfn.XLOOKUP(_xlfn.XLOOKUP(TableIncome[[#This Row],[Year]],Loop!C:C,Loop!D:D),'Job Hopping'!B:B,'Job Hopping'!F:F)</f>
        <v>Y</v>
      </c>
      <c r="P17" t="str">
        <f>_xlfn.XLOOKUP(_xlfn.XLOOKUP(TableIncome[[#This Row],[Year]],Loop!C:C,Loop!E:E),'Job Hopping'!B:B,'Job Hopping'!G:G)</f>
        <v>N</v>
      </c>
    </row>
    <row r="18" spans="2:16" x14ac:dyDescent="0.35">
      <c r="B18" s="2">
        <v>2040</v>
      </c>
      <c r="C18" s="4">
        <f>(TableIncomeCalculations[[#This Row],[GrossMonthlySalaryP1]]*12)</f>
        <v>891632.32866193145</v>
      </c>
      <c r="D18" s="24">
        <f>(TableIncomeCalculations[[#This Row],[GrossMonthlySalaryP2]]*12)</f>
        <v>1076940.7802079553</v>
      </c>
      <c r="E18" s="3">
        <f>TableIncome[[#This Row],[SalaryP1]]*$I$6</f>
        <v>89163.232866193153</v>
      </c>
      <c r="F18" s="3">
        <f>TableIncome[[#This Row],[SalaryP2]]*$I$6</f>
        <v>107694.07802079554</v>
      </c>
      <c r="G18" s="22"/>
      <c r="M18" s="21">
        <f>IF(_xlfn.XLOOKUP(TableIncome[[#This Row],[Year]],Loop!C:C,Loop!D:D)&lt;70,(M17*(1+$I$4))+IF(TableIncomeCalculations[[#This Row],[SwitchP1]]="Y",M17*$I$5,0),0)</f>
        <v>74302.694055160959</v>
      </c>
      <c r="N18" s="21">
        <f>IF(_xlfn.XLOOKUP(TableIncome[[#This Row],[Year]],Loop!C:C,Loop!E:E)&lt;70,(N17*(1+$I$4))+IF(TableIncomeCalculations[[#This Row],[SwitchP2]]="Y",N17*$I$5,0),0)</f>
        <v>89745.065017329616</v>
      </c>
      <c r="O18" t="str">
        <f>_xlfn.XLOOKUP(_xlfn.XLOOKUP(TableIncome[[#This Row],[Year]],Loop!C:C,Loop!D:D),'Job Hopping'!B:B,'Job Hopping'!F:F)</f>
        <v>N</v>
      </c>
      <c r="P18" t="str">
        <f>_xlfn.XLOOKUP(_xlfn.XLOOKUP(TableIncome[[#This Row],[Year]],Loop!C:C,Loop!E:E),'Job Hopping'!B:B,'Job Hopping'!G:G)</f>
        <v>N</v>
      </c>
    </row>
    <row r="19" spans="2:16" x14ac:dyDescent="0.35">
      <c r="B19" s="2">
        <v>2041</v>
      </c>
      <c r="C19" s="4">
        <f>(TableIncomeCalculations[[#This Row],[GrossMonthlySalaryP1]]*12)</f>
        <v>900548.65194855095</v>
      </c>
      <c r="D19" s="24">
        <f>(TableIncomeCalculations[[#This Row],[GrossMonthlySalaryP2]]*12)</f>
        <v>1087710.1880100351</v>
      </c>
      <c r="E19" s="3">
        <f>TableIncome[[#This Row],[SalaryP1]]*$I$6</f>
        <v>90054.865194855098</v>
      </c>
      <c r="F19" s="3">
        <f>TableIncome[[#This Row],[SalaryP2]]*$I$6</f>
        <v>108771.01880100352</v>
      </c>
      <c r="G19" s="22"/>
      <c r="M19" s="21">
        <f>IF(_xlfn.XLOOKUP(TableIncome[[#This Row],[Year]],Loop!C:C,Loop!D:D)&lt;70,(M18*(1+$I$4))+IF(TableIncomeCalculations[[#This Row],[SwitchP1]]="Y",M18*$I$5,0),0)</f>
        <v>75045.720995712574</v>
      </c>
      <c r="N19" s="21">
        <f>IF(_xlfn.XLOOKUP(TableIncome[[#This Row],[Year]],Loop!C:C,Loop!E:E)&lt;70,(N18*(1+$I$4))+IF(TableIncomeCalculations[[#This Row],[SwitchP2]]="Y",N18*$I$5,0),0)</f>
        <v>90642.515667502914</v>
      </c>
      <c r="O19" t="str">
        <f>_xlfn.XLOOKUP(_xlfn.XLOOKUP(TableIncome[[#This Row],[Year]],Loop!C:C,Loop!D:D),'Job Hopping'!B:B,'Job Hopping'!F:F)</f>
        <v>N</v>
      </c>
      <c r="P19" t="str">
        <f>_xlfn.XLOOKUP(_xlfn.XLOOKUP(TableIncome[[#This Row],[Year]],Loop!C:C,Loop!E:E),'Job Hopping'!B:B,'Job Hopping'!G:G)</f>
        <v>N</v>
      </c>
    </row>
    <row r="20" spans="2:16" x14ac:dyDescent="0.35">
      <c r="B20" s="2">
        <v>2042</v>
      </c>
      <c r="C20" s="4">
        <f>(TableIncomeCalculations[[#This Row],[GrossMonthlySalaryP1]]*12)</f>
        <v>909554.13846803643</v>
      </c>
      <c r="D20" s="24">
        <f>(TableIncomeCalculations[[#This Row],[GrossMonthlySalaryP2]]*12)</f>
        <v>1098587.2898901354</v>
      </c>
      <c r="E20" s="3">
        <f>TableIncome[[#This Row],[SalaryP1]]*$I$6</f>
        <v>90955.413846803654</v>
      </c>
      <c r="F20" s="3">
        <f>TableIncome[[#This Row],[SalaryP2]]*$I$6</f>
        <v>109858.72898901354</v>
      </c>
      <c r="G20" s="22"/>
      <c r="M20" s="21">
        <f>IF(_xlfn.XLOOKUP(TableIncome[[#This Row],[Year]],Loop!C:C,Loop!D:D)&lt;70,(M19*(1+$I$4))+IF(TableIncomeCalculations[[#This Row],[SwitchP1]]="Y",M19*$I$5,0),0)</f>
        <v>75796.178205669697</v>
      </c>
      <c r="N20" s="21">
        <f>IF(_xlfn.XLOOKUP(TableIncome[[#This Row],[Year]],Loop!C:C,Loop!E:E)&lt;70,(N19*(1+$I$4))+IF(TableIncomeCalculations[[#This Row],[SwitchP2]]="Y",N19*$I$5,0),0)</f>
        <v>91548.940824177946</v>
      </c>
      <c r="O20" t="str">
        <f>_xlfn.XLOOKUP(_xlfn.XLOOKUP(TableIncome[[#This Row],[Year]],Loop!C:C,Loop!D:D),'Job Hopping'!B:B,'Job Hopping'!F:F)</f>
        <v>N</v>
      </c>
      <c r="P20" t="str">
        <f>_xlfn.XLOOKUP(_xlfn.XLOOKUP(TableIncome[[#This Row],[Year]],Loop!C:C,Loop!E:E),'Job Hopping'!B:B,'Job Hopping'!G:G)</f>
        <v>N</v>
      </c>
    </row>
    <row r="21" spans="2:16" x14ac:dyDescent="0.35">
      <c r="B21" s="2">
        <v>2043</v>
      </c>
      <c r="C21" s="4">
        <f>(TableIncomeCalculations[[#This Row],[GrossMonthlySalaryP1]]*12)</f>
        <v>1009605.0936995203</v>
      </c>
      <c r="D21" s="24">
        <f>(TableIncomeCalculations[[#This Row],[GrossMonthlySalaryP2]]*12)</f>
        <v>1109573.1627890365</v>
      </c>
      <c r="E21" s="3">
        <f>TableIncome[[#This Row],[SalaryP1]]*$I$6</f>
        <v>100960.50936995204</v>
      </c>
      <c r="F21" s="3">
        <f>TableIncome[[#This Row],[SalaryP2]]*$I$6</f>
        <v>110957.31627890366</v>
      </c>
      <c r="G21" s="22"/>
      <c r="M21" s="21">
        <f>IF(_xlfn.XLOOKUP(TableIncome[[#This Row],[Year]],Loop!C:C,Loop!D:D)&lt;70,(M20*(1+$I$4))+IF(TableIncomeCalculations[[#This Row],[SwitchP1]]="Y",M20*$I$5,0),0)</f>
        <v>84133.757808293361</v>
      </c>
      <c r="N21" s="21">
        <f>IF(_xlfn.XLOOKUP(TableIncome[[#This Row],[Year]],Loop!C:C,Loop!E:E)&lt;70,(N20*(1+$I$4))+IF(TableIncomeCalculations[[#This Row],[SwitchP2]]="Y",N20*$I$5,0),0)</f>
        <v>92464.43023241972</v>
      </c>
      <c r="O21" t="str">
        <f>_xlfn.XLOOKUP(_xlfn.XLOOKUP(TableIncome[[#This Row],[Year]],Loop!C:C,Loop!D:D),'Job Hopping'!B:B,'Job Hopping'!F:F)</f>
        <v>Y</v>
      </c>
      <c r="P21" t="str">
        <f>_xlfn.XLOOKUP(_xlfn.XLOOKUP(TableIncome[[#This Row],[Year]],Loop!C:C,Loop!E:E),'Job Hopping'!B:B,'Job Hopping'!G:G)</f>
        <v>N</v>
      </c>
    </row>
    <row r="22" spans="2:16" x14ac:dyDescent="0.35">
      <c r="B22" s="2">
        <v>2044</v>
      </c>
      <c r="C22" s="4">
        <f>(TableIncomeCalculations[[#This Row],[GrossMonthlySalaryP1]]*12)</f>
        <v>1019701.1446365155</v>
      </c>
      <c r="D22" s="24">
        <f>(TableIncomeCalculations[[#This Row],[GrossMonthlySalaryP2]]*12)</f>
        <v>1120668.8944169271</v>
      </c>
      <c r="E22" s="3">
        <f>TableIncome[[#This Row],[SalaryP1]]*$I$6</f>
        <v>101970.11446365155</v>
      </c>
      <c r="F22" s="3">
        <f>TableIncome[[#This Row],[SalaryP2]]*$I$6</f>
        <v>112066.88944169272</v>
      </c>
      <c r="G22" s="22"/>
      <c r="M22" s="21">
        <f>IF(_xlfn.XLOOKUP(TableIncome[[#This Row],[Year]],Loop!C:C,Loop!D:D)&lt;70,(M21*(1+$I$4))+IF(TableIncomeCalculations[[#This Row],[SwitchP1]]="Y",M21*$I$5,0),0)</f>
        <v>84975.095386376299</v>
      </c>
      <c r="N22" s="21">
        <f>IF(_xlfn.XLOOKUP(TableIncome[[#This Row],[Year]],Loop!C:C,Loop!E:E)&lt;70,(N21*(1+$I$4))+IF(TableIncomeCalculations[[#This Row],[SwitchP2]]="Y",N21*$I$5,0),0)</f>
        <v>93389.074534743922</v>
      </c>
      <c r="O22" t="str">
        <f>_xlfn.XLOOKUP(_xlfn.XLOOKUP(TableIncome[[#This Row],[Year]],Loop!C:C,Loop!D:D),'Job Hopping'!B:B,'Job Hopping'!F:F)</f>
        <v>N</v>
      </c>
      <c r="P22" t="str">
        <f>_xlfn.XLOOKUP(_xlfn.XLOOKUP(TableIncome[[#This Row],[Year]],Loop!C:C,Loop!E:E),'Job Hopping'!B:B,'Job Hopping'!G:G)</f>
        <v>N</v>
      </c>
    </row>
    <row r="23" spans="2:16" x14ac:dyDescent="0.35">
      <c r="B23" s="2">
        <v>2045</v>
      </c>
      <c r="C23" s="4">
        <f>(TableIncomeCalculations[[#This Row],[GrossMonthlySalaryP1]]*12)</f>
        <v>1029898.1560828808</v>
      </c>
      <c r="D23" s="24">
        <f>(TableIncomeCalculations[[#This Row],[GrossMonthlySalaryP2]]*12)</f>
        <v>1243942.472802789</v>
      </c>
      <c r="E23" s="3">
        <f>TableIncome[[#This Row],[SalaryP1]]*$I$6</f>
        <v>102989.81560828809</v>
      </c>
      <c r="F23" s="3">
        <f>TableIncome[[#This Row],[SalaryP2]]*$I$6</f>
        <v>124394.2472802789</v>
      </c>
      <c r="G23" s="22"/>
      <c r="M23" s="21">
        <f>IF(_xlfn.XLOOKUP(TableIncome[[#This Row],[Year]],Loop!C:C,Loop!D:D)&lt;70,(M22*(1+$I$4))+IF(TableIncomeCalculations[[#This Row],[SwitchP1]]="Y",M22*$I$5,0),0)</f>
        <v>85824.846340240067</v>
      </c>
      <c r="N23" s="21">
        <f>IF(_xlfn.XLOOKUP(TableIncome[[#This Row],[Year]],Loop!C:C,Loop!E:E)&lt;70,(N22*(1+$I$4))+IF(TableIncomeCalculations[[#This Row],[SwitchP2]]="Y",N22*$I$5,0),0)</f>
        <v>103661.87273356575</v>
      </c>
      <c r="O23" t="str">
        <f>_xlfn.XLOOKUP(_xlfn.XLOOKUP(TableIncome[[#This Row],[Year]],Loop!C:C,Loop!D:D),'Job Hopping'!B:B,'Job Hopping'!F:F)</f>
        <v>N</v>
      </c>
      <c r="P23" t="str">
        <f>_xlfn.XLOOKUP(_xlfn.XLOOKUP(TableIncome[[#This Row],[Year]],Loop!C:C,Loop!E:E),'Job Hopping'!B:B,'Job Hopping'!G:G)</f>
        <v>Y</v>
      </c>
    </row>
    <row r="24" spans="2:16" x14ac:dyDescent="0.35">
      <c r="B24" s="2">
        <v>2046</v>
      </c>
      <c r="C24" s="4">
        <f>(TableIncomeCalculations[[#This Row],[GrossMonthlySalaryP1]]*12)</f>
        <v>1040197.1376437095</v>
      </c>
      <c r="D24" s="24">
        <f>(TableIncomeCalculations[[#This Row],[GrossMonthlySalaryP2]]*12)</f>
        <v>1256381.897530817</v>
      </c>
      <c r="E24" s="3">
        <f>TableIncome[[#This Row],[SalaryP1]]*$I$6</f>
        <v>104019.71376437096</v>
      </c>
      <c r="F24" s="3">
        <f>TableIncome[[#This Row],[SalaryP2]]*$I$6</f>
        <v>125638.18975308171</v>
      </c>
      <c r="G24" s="22"/>
      <c r="M24" s="21">
        <f>IF(_xlfn.XLOOKUP(TableIncome[[#This Row],[Year]],Loop!C:C,Loop!D:D)&lt;70,(M23*(1+$I$4))+IF(TableIncomeCalculations[[#This Row],[SwitchP1]]="Y",M23*$I$5,0),0)</f>
        <v>86683.094803642467</v>
      </c>
      <c r="N24" s="21">
        <f>IF(_xlfn.XLOOKUP(TableIncome[[#This Row],[Year]],Loop!C:C,Loop!E:E)&lt;70,(N23*(1+$I$4))+IF(TableIncomeCalculations[[#This Row],[SwitchP2]]="Y",N23*$I$5,0),0)</f>
        <v>104698.49146090141</v>
      </c>
      <c r="O24" t="str">
        <f>_xlfn.XLOOKUP(_xlfn.XLOOKUP(TableIncome[[#This Row],[Year]],Loop!C:C,Loop!D:D),'Job Hopping'!B:B,'Job Hopping'!F:F)</f>
        <v>N</v>
      </c>
      <c r="P24" t="str">
        <f>_xlfn.XLOOKUP(_xlfn.XLOOKUP(TableIncome[[#This Row],[Year]],Loop!C:C,Loop!E:E),'Job Hopping'!B:B,'Job Hopping'!G:G)</f>
        <v>N</v>
      </c>
    </row>
    <row r="25" spans="2:16" x14ac:dyDescent="0.35">
      <c r="B25" s="2">
        <v>2047</v>
      </c>
      <c r="C25" s="4">
        <f>(TableIncomeCalculations[[#This Row],[GrossMonthlySalaryP1]]*12)</f>
        <v>1154618.8227845177</v>
      </c>
      <c r="D25" s="24">
        <f>(TableIncomeCalculations[[#This Row],[GrossMonthlySalaryP2]]*12)</f>
        <v>1268945.7165061249</v>
      </c>
      <c r="E25" s="3">
        <f>TableIncome[[#This Row],[SalaryP1]]*$I$6</f>
        <v>115461.88227845177</v>
      </c>
      <c r="F25" s="3">
        <f>TableIncome[[#This Row],[SalaryP2]]*$I$6</f>
        <v>126894.5716506125</v>
      </c>
      <c r="G25" s="22"/>
      <c r="M25" s="21">
        <f>IF(_xlfn.XLOOKUP(TableIncome[[#This Row],[Year]],Loop!C:C,Loop!D:D)&lt;70,(M24*(1+$I$4))+IF(TableIncomeCalculations[[#This Row],[SwitchP1]]="Y",M24*$I$5,0),0)</f>
        <v>96218.235232043138</v>
      </c>
      <c r="N25" s="21">
        <f>IF(_xlfn.XLOOKUP(TableIncome[[#This Row],[Year]],Loop!C:C,Loop!E:E)&lt;70,(N24*(1+$I$4))+IF(TableIncomeCalculations[[#This Row],[SwitchP2]]="Y",N24*$I$5,0),0)</f>
        <v>105745.47637551042</v>
      </c>
      <c r="O25" t="str">
        <f>_xlfn.XLOOKUP(_xlfn.XLOOKUP(TableIncome[[#This Row],[Year]],Loop!C:C,Loop!D:D),'Job Hopping'!B:B,'Job Hopping'!F:F)</f>
        <v>Y</v>
      </c>
      <c r="P25" t="str">
        <f>_xlfn.XLOOKUP(_xlfn.XLOOKUP(TableIncome[[#This Row],[Year]],Loop!C:C,Loop!E:E),'Job Hopping'!B:B,'Job Hopping'!G:G)</f>
        <v>N</v>
      </c>
    </row>
    <row r="26" spans="2:16" x14ac:dyDescent="0.35">
      <c r="B26" s="2">
        <v>2048</v>
      </c>
      <c r="C26" s="4">
        <f>(TableIncomeCalculations[[#This Row],[GrossMonthlySalaryP1]]*12)</f>
        <v>1166165.0110123628</v>
      </c>
      <c r="D26" s="24">
        <f>(TableIncomeCalculations[[#This Row],[GrossMonthlySalaryP2]]*12)</f>
        <v>1281635.1736711862</v>
      </c>
      <c r="E26" s="3">
        <f>TableIncome[[#This Row],[SalaryP1]]*$I$6</f>
        <v>116616.50110123628</v>
      </c>
      <c r="F26" s="3">
        <f>TableIncome[[#This Row],[SalaryP2]]*$I$6</f>
        <v>128163.51736711862</v>
      </c>
      <c r="G26" s="22"/>
      <c r="M26" s="21">
        <f>IF(_xlfn.XLOOKUP(TableIncome[[#This Row],[Year]],Loop!C:C,Loop!D:D)&lt;70,(M25*(1+$I$4))+IF(TableIncomeCalculations[[#This Row],[SwitchP1]]="Y",M25*$I$5,0),0)</f>
        <v>97180.417584363575</v>
      </c>
      <c r="N26" s="21">
        <f>IF(_xlfn.XLOOKUP(TableIncome[[#This Row],[Year]],Loop!C:C,Loop!E:E)&lt;70,(N25*(1+$I$4))+IF(TableIncomeCalculations[[#This Row],[SwitchP2]]="Y",N25*$I$5,0),0)</f>
        <v>106802.93113926552</v>
      </c>
      <c r="O26" t="str">
        <f>_xlfn.XLOOKUP(_xlfn.XLOOKUP(TableIncome[[#This Row],[Year]],Loop!C:C,Loop!D:D),'Job Hopping'!B:B,'Job Hopping'!F:F)</f>
        <v>N</v>
      </c>
      <c r="P26" t="str">
        <f>_xlfn.XLOOKUP(_xlfn.XLOOKUP(TableIncome[[#This Row],[Year]],Loop!C:C,Loop!E:E),'Job Hopping'!B:B,'Job Hopping'!G:G)</f>
        <v>N</v>
      </c>
    </row>
    <row r="27" spans="2:16" x14ac:dyDescent="0.35">
      <c r="B27" s="2">
        <v>2049</v>
      </c>
      <c r="C27" s="4">
        <f>(TableIncomeCalculations[[#This Row],[GrossMonthlySalaryP1]]*12)</f>
        <v>1177826.6611224865</v>
      </c>
      <c r="D27" s="24">
        <f>(TableIncomeCalculations[[#This Row],[GrossMonthlySalaryP2]]*12)</f>
        <v>1294451.5254078982</v>
      </c>
      <c r="E27" s="3">
        <f>TableIncome[[#This Row],[SalaryP1]]*$I$6</f>
        <v>117782.66611224865</v>
      </c>
      <c r="F27" s="3">
        <f>TableIncome[[#This Row],[SalaryP2]]*$I$6</f>
        <v>129445.15254078983</v>
      </c>
      <c r="G27" s="22"/>
      <c r="M27" s="21">
        <f>IF(_xlfn.XLOOKUP(TableIncome[[#This Row],[Year]],Loop!C:C,Loop!D:D)&lt;70,(M26*(1+$I$4))+IF(TableIncomeCalculations[[#This Row],[SwitchP1]]="Y",M26*$I$5,0),0)</f>
        <v>98152.221760207205</v>
      </c>
      <c r="N27" s="21">
        <f>IF(_xlfn.XLOOKUP(TableIncome[[#This Row],[Year]],Loop!C:C,Loop!E:E)&lt;70,(N26*(1+$I$4))+IF(TableIncomeCalculations[[#This Row],[SwitchP2]]="Y",N26*$I$5,0),0)</f>
        <v>107870.96045065818</v>
      </c>
      <c r="O27" t="str">
        <f>_xlfn.XLOOKUP(_xlfn.XLOOKUP(TableIncome[[#This Row],[Year]],Loop!C:C,Loop!D:D),'Job Hopping'!B:B,'Job Hopping'!F:F)</f>
        <v>N</v>
      </c>
      <c r="P27" t="str">
        <f>_xlfn.XLOOKUP(_xlfn.XLOOKUP(TableIncome[[#This Row],[Year]],Loop!C:C,Loop!E:E),'Job Hopping'!B:B,'Job Hopping'!G:G)</f>
        <v>N</v>
      </c>
    </row>
    <row r="28" spans="2:16" x14ac:dyDescent="0.35">
      <c r="B28" s="2">
        <v>2050</v>
      </c>
      <c r="C28" s="4">
        <f>(TableIncomeCalculations[[#This Row],[GrossMonthlySalaryP1]]*12)</f>
        <v>1189604.9277337114</v>
      </c>
      <c r="D28" s="24">
        <f>(TableIncomeCalculations[[#This Row],[GrossMonthlySalaryP2]]*12)</f>
        <v>1307396.0406619771</v>
      </c>
      <c r="E28" s="3">
        <f>TableIncome[[#This Row],[SalaryP1]]*$I$6</f>
        <v>118960.49277337115</v>
      </c>
      <c r="F28" s="3">
        <f>TableIncome[[#This Row],[SalaryP2]]*$I$6</f>
        <v>130739.60406619772</v>
      </c>
      <c r="G28" s="22"/>
      <c r="M28" s="21">
        <f>IF(_xlfn.XLOOKUP(TableIncome[[#This Row],[Year]],Loop!C:C,Loop!D:D)&lt;70,(M27*(1+$I$4))+IF(TableIncomeCalculations[[#This Row],[SwitchP1]]="Y",M27*$I$5,0),0)</f>
        <v>99133.743977809281</v>
      </c>
      <c r="N28" s="21">
        <f>IF(_xlfn.XLOOKUP(TableIncome[[#This Row],[Year]],Loop!C:C,Loop!E:E)&lt;70,(N27*(1+$I$4))+IF(TableIncomeCalculations[[#This Row],[SwitchP2]]="Y",N27*$I$5,0),0)</f>
        <v>108949.67005516477</v>
      </c>
      <c r="O28" t="str">
        <f>_xlfn.XLOOKUP(_xlfn.XLOOKUP(TableIncome[[#This Row],[Year]],Loop!C:C,Loop!D:D),'Job Hopping'!B:B,'Job Hopping'!F:F)</f>
        <v>N</v>
      </c>
      <c r="P28" t="str">
        <f>_xlfn.XLOOKUP(_xlfn.XLOOKUP(TableIncome[[#This Row],[Year]],Loop!C:C,Loop!E:E),'Job Hopping'!B:B,'Job Hopping'!G:G)</f>
        <v>N</v>
      </c>
    </row>
    <row r="29" spans="2:16" x14ac:dyDescent="0.35">
      <c r="B29" s="2">
        <v>2051</v>
      </c>
      <c r="C29" s="4">
        <f>(TableIncomeCalculations[[#This Row],[GrossMonthlySalaryP1]]*12)</f>
        <v>1201500.9770110487</v>
      </c>
      <c r="D29" s="24">
        <f>(TableIncomeCalculations[[#This Row],[GrossMonthlySalaryP2]]*12)</f>
        <v>1320470.001068597</v>
      </c>
      <c r="E29" s="3">
        <f>TableIncome[[#This Row],[SalaryP1]]*$I$6</f>
        <v>120150.09770110488</v>
      </c>
      <c r="F29" s="3">
        <f>TableIncome[[#This Row],[SalaryP2]]*$I$6</f>
        <v>132047.00010685969</v>
      </c>
      <c r="G29" s="22"/>
      <c r="M29" s="21">
        <f>IF(_xlfn.XLOOKUP(TableIncome[[#This Row],[Year]],Loop!C:C,Loop!D:D)&lt;70,(M28*(1+$I$4))+IF(TableIncomeCalculations[[#This Row],[SwitchP1]]="Y",M28*$I$5,0),0)</f>
        <v>100125.08141758738</v>
      </c>
      <c r="N29" s="21">
        <f>IF(_xlfn.XLOOKUP(TableIncome[[#This Row],[Year]],Loop!C:C,Loop!E:E)&lt;70,(N28*(1+$I$4))+IF(TableIncomeCalculations[[#This Row],[SwitchP2]]="Y",N28*$I$5,0),0)</f>
        <v>110039.16675571642</v>
      </c>
      <c r="O29" t="str">
        <f>_xlfn.XLOOKUP(_xlfn.XLOOKUP(TableIncome[[#This Row],[Year]],Loop!C:C,Loop!D:D),'Job Hopping'!B:B,'Job Hopping'!F:F)</f>
        <v>N</v>
      </c>
      <c r="P29" t="str">
        <f>_xlfn.XLOOKUP(_xlfn.XLOOKUP(TableIncome[[#This Row],[Year]],Loop!C:C,Loop!E:E),'Job Hopping'!B:B,'Job Hopping'!G:G)</f>
        <v>N</v>
      </c>
    </row>
    <row r="30" spans="2:16" x14ac:dyDescent="0.35">
      <c r="B30" s="2">
        <v>2052</v>
      </c>
      <c r="C30" s="4">
        <f>(TableIncomeCalculations[[#This Row],[GrossMonthlySalaryP1]]*12)</f>
        <v>1213515.986781159</v>
      </c>
      <c r="D30" s="24">
        <f>(TableIncomeCalculations[[#This Row],[GrossMonthlySalaryP2]]*12)</f>
        <v>1333674.7010792829</v>
      </c>
      <c r="E30" s="3">
        <f>TableIncome[[#This Row],[SalaryP1]]*$I$6</f>
        <v>121351.5986781159</v>
      </c>
      <c r="F30" s="3">
        <f>TableIncome[[#This Row],[SalaryP2]]*$I$6</f>
        <v>133367.4701079283</v>
      </c>
      <c r="G30" s="22"/>
      <c r="M30" s="21">
        <f>IF(_xlfn.XLOOKUP(TableIncome[[#This Row],[Year]],Loop!C:C,Loop!D:D)&lt;70,(M29*(1+$I$4))+IF(TableIncomeCalculations[[#This Row],[SwitchP1]]="Y",M29*$I$5,0),0)</f>
        <v>101126.33223176326</v>
      </c>
      <c r="N30" s="21">
        <f>IF(_xlfn.XLOOKUP(TableIncome[[#This Row],[Year]],Loop!C:C,Loop!E:E)&lt;70,(N29*(1+$I$4))+IF(TableIncomeCalculations[[#This Row],[SwitchP2]]="Y",N29*$I$5,0),0)</f>
        <v>111139.55842327359</v>
      </c>
      <c r="O30" t="str">
        <f>_xlfn.XLOOKUP(_xlfn.XLOOKUP(TableIncome[[#This Row],[Year]],Loop!C:C,Loop!D:D),'Job Hopping'!B:B,'Job Hopping'!F:F)</f>
        <v>N</v>
      </c>
      <c r="P30" t="str">
        <f>_xlfn.XLOOKUP(_xlfn.XLOOKUP(TableIncome[[#This Row],[Year]],Loop!C:C,Loop!E:E),'Job Hopping'!B:B,'Job Hopping'!G:G)</f>
        <v>N</v>
      </c>
    </row>
    <row r="31" spans="2:16" x14ac:dyDescent="0.35">
      <c r="B31" s="2">
        <v>2053</v>
      </c>
      <c r="C31" s="4">
        <f>(TableIncomeCalculations[[#This Row],[GrossMonthlySalaryP1]]*12)</f>
        <v>1225651.1466489707</v>
      </c>
      <c r="D31" s="24">
        <f>(TableIncomeCalculations[[#This Row],[GrossMonthlySalaryP2]]*12)</f>
        <v>1347011.448090076</v>
      </c>
      <c r="E31" s="3">
        <f>TableIncome[[#This Row],[SalaryP1]]*$I$6</f>
        <v>122565.11466489708</v>
      </c>
      <c r="F31" s="3">
        <f>TableIncome[[#This Row],[SalaryP2]]*$I$6</f>
        <v>134701.14480900762</v>
      </c>
      <c r="G31" s="22"/>
      <c r="M31" s="21">
        <f>IF(_xlfn.XLOOKUP(TableIncome[[#This Row],[Year]],Loop!C:C,Loop!D:D)&lt;70,(M30*(1+$I$4))+IF(TableIncomeCalculations[[#This Row],[SwitchP1]]="Y",M30*$I$5,0),0)</f>
        <v>102137.59555408089</v>
      </c>
      <c r="N31" s="21">
        <f>IF(_xlfn.XLOOKUP(TableIncome[[#This Row],[Year]],Loop!C:C,Loop!E:E)&lt;70,(N30*(1+$I$4))+IF(TableIncomeCalculations[[#This Row],[SwitchP2]]="Y",N30*$I$5,0),0)</f>
        <v>112250.95400750633</v>
      </c>
      <c r="O31" t="str">
        <f>_xlfn.XLOOKUP(_xlfn.XLOOKUP(TableIncome[[#This Row],[Year]],Loop!C:C,Loop!D:D),'Job Hopping'!B:B,'Job Hopping'!F:F)</f>
        <v>N</v>
      </c>
      <c r="P31" t="str">
        <f>_xlfn.XLOOKUP(_xlfn.XLOOKUP(TableIncome[[#This Row],[Year]],Loop!C:C,Loop!E:E),'Job Hopping'!B:B,'Job Hopping'!G:G)</f>
        <v>N</v>
      </c>
    </row>
    <row r="32" spans="2:16" x14ac:dyDescent="0.35">
      <c r="B32" s="2">
        <v>2054</v>
      </c>
      <c r="C32" s="4">
        <f>(TableIncomeCalculations[[#This Row],[GrossMonthlySalaryP1]]*12)</f>
        <v>1237907.6581154603</v>
      </c>
      <c r="D32" s="24">
        <f>(TableIncomeCalculations[[#This Row],[GrossMonthlySalaryP2]]*12)</f>
        <v>1360481.5625709766</v>
      </c>
      <c r="E32" s="3">
        <f>TableIncome[[#This Row],[SalaryP1]]*$I$6</f>
        <v>123790.76581154604</v>
      </c>
      <c r="F32" s="3">
        <f>TableIncome[[#This Row],[SalaryP2]]*$I$6</f>
        <v>136048.15625709767</v>
      </c>
      <c r="G32" s="22"/>
      <c r="M32" s="21">
        <f>IF(_xlfn.XLOOKUP(TableIncome[[#This Row],[Year]],Loop!C:C,Loop!D:D)&lt;70,(M31*(1+$I$4))+IF(TableIncomeCalculations[[#This Row],[SwitchP1]]="Y",M31*$I$5,0),0)</f>
        <v>103158.9715096217</v>
      </c>
      <c r="N32" s="21">
        <f>IF(_xlfn.XLOOKUP(TableIncome[[#This Row],[Year]],Loop!C:C,Loop!E:E)&lt;70,(N31*(1+$I$4))+IF(TableIncomeCalculations[[#This Row],[SwitchP2]]="Y",N31*$I$5,0),0)</f>
        <v>113373.46354758138</v>
      </c>
      <c r="O32" t="str">
        <f>_xlfn.XLOOKUP(_xlfn.XLOOKUP(TableIncome[[#This Row],[Year]],Loop!C:C,Loop!D:D),'Job Hopping'!B:B,'Job Hopping'!F:F)</f>
        <v>N</v>
      </c>
      <c r="P32" t="str">
        <f>_xlfn.XLOOKUP(_xlfn.XLOOKUP(TableIncome[[#This Row],[Year]],Loop!C:C,Loop!E:E),'Job Hopping'!B:B,'Job Hopping'!G:G)</f>
        <v>N</v>
      </c>
    </row>
    <row r="33" spans="2:16" x14ac:dyDescent="0.35">
      <c r="B33" s="2">
        <v>2055</v>
      </c>
      <c r="C33" s="4">
        <f>(TableIncomeCalculations[[#This Row],[GrossMonthlySalaryP1]]*12)</f>
        <v>1250286.734696615</v>
      </c>
      <c r="D33" s="24">
        <f>(TableIncomeCalculations[[#This Row],[GrossMonthlySalaryP2]]*12)</f>
        <v>0</v>
      </c>
      <c r="E33" s="3">
        <f>TableIncome[[#This Row],[SalaryP1]]*$I$6</f>
        <v>125028.6734696615</v>
      </c>
      <c r="F33" s="3">
        <f>TableIncome[[#This Row],[SalaryP2]]*$I$6</f>
        <v>0</v>
      </c>
      <c r="G33" s="22"/>
      <c r="M33" s="21">
        <f>IF(_xlfn.XLOOKUP(TableIncome[[#This Row],[Year]],Loop!C:C,Loop!D:D)&lt;70,(M32*(1+$I$4))+IF(TableIncomeCalculations[[#This Row],[SwitchP1]]="Y",M32*$I$5,0),0)</f>
        <v>104190.56122471791</v>
      </c>
      <c r="N33" s="21">
        <f>IF(_xlfn.XLOOKUP(TableIncome[[#This Row],[Year]],Loop!C:C,Loop!E:E)&lt;70,(N32*(1+$I$4))+IF(TableIncomeCalculations[[#This Row],[SwitchP2]]="Y",N32*$I$5,0),0)</f>
        <v>0</v>
      </c>
      <c r="O33" t="str">
        <f>_xlfn.XLOOKUP(_xlfn.XLOOKUP(TableIncome[[#This Row],[Year]],Loop!C:C,Loop!D:D),'Job Hopping'!B:B,'Job Hopping'!F:F)</f>
        <v>N</v>
      </c>
      <c r="P33" t="str">
        <f>_xlfn.XLOOKUP(_xlfn.XLOOKUP(TableIncome[[#This Row],[Year]],Loop!C:C,Loop!E:E),'Job Hopping'!B:B,'Job Hopping'!G:G)</f>
        <v>N</v>
      </c>
    </row>
    <row r="34" spans="2:16" x14ac:dyDescent="0.35">
      <c r="B34" s="2">
        <v>2056</v>
      </c>
      <c r="C34" s="4">
        <f>(TableIncomeCalculations[[#This Row],[GrossMonthlySalaryP1]]*12)</f>
        <v>1262789.6020435812</v>
      </c>
      <c r="D34" s="24">
        <f>(TableIncomeCalculations[[#This Row],[GrossMonthlySalaryP2]]*12)</f>
        <v>0</v>
      </c>
      <c r="E34" s="3">
        <f>TableIncome[[#This Row],[SalaryP1]]*$I$6</f>
        <v>126278.96020435813</v>
      </c>
      <c r="F34" s="3">
        <f>TableIncome[[#This Row],[SalaryP2]]*$I$6</f>
        <v>0</v>
      </c>
      <c r="G34" s="22"/>
      <c r="M34" s="21">
        <f>IF(_xlfn.XLOOKUP(TableIncome[[#This Row],[Year]],Loop!C:C,Loop!D:D)&lt;70,(M33*(1+$I$4))+IF(TableIncomeCalculations[[#This Row],[SwitchP1]]="Y",M33*$I$5,0),0)</f>
        <v>105232.46683696509</v>
      </c>
      <c r="N34" s="21">
        <f>IF(_xlfn.XLOOKUP(TableIncome[[#This Row],[Year]],Loop!C:C,Loop!E:E)&lt;70,(N33*(1+$I$4))+IF(TableIncomeCalculations[[#This Row],[SwitchP2]]="Y",N33*$I$5,0),0)</f>
        <v>0</v>
      </c>
      <c r="O34" t="str">
        <f>_xlfn.XLOOKUP(_xlfn.XLOOKUP(TableIncome[[#This Row],[Year]],Loop!C:C,Loop!D:D),'Job Hopping'!B:B,'Job Hopping'!F:F)</f>
        <v>N</v>
      </c>
      <c r="P34" t="str">
        <f>_xlfn.XLOOKUP(_xlfn.XLOOKUP(TableIncome[[#This Row],[Year]],Loop!C:C,Loop!E:E),'Job Hopping'!B:B,'Job Hopping'!G:G)</f>
        <v>N</v>
      </c>
    </row>
    <row r="35" spans="2:16" x14ac:dyDescent="0.35">
      <c r="B35" s="2">
        <v>2057</v>
      </c>
      <c r="C35" s="4">
        <f>(TableIncomeCalculations[[#This Row],[GrossMonthlySalaryP1]]*12)</f>
        <v>1275417.4980640169</v>
      </c>
      <c r="D35" s="24">
        <f>(TableIncomeCalculations[[#This Row],[GrossMonthlySalaryP2]]*12)</f>
        <v>0</v>
      </c>
      <c r="E35" s="3">
        <f>TableIncome[[#This Row],[SalaryP1]]*$I$6</f>
        <v>127541.7498064017</v>
      </c>
      <c r="F35" s="3">
        <f>TableIncome[[#This Row],[SalaryP2]]*$I$6</f>
        <v>0</v>
      </c>
      <c r="G35" s="22"/>
      <c r="M35" s="21">
        <f>IF(_xlfn.XLOOKUP(TableIncome[[#This Row],[Year]],Loop!C:C,Loop!D:D)&lt;70,(M34*(1+$I$4))+IF(TableIncomeCalculations[[#This Row],[SwitchP1]]="Y",M34*$I$5,0),0)</f>
        <v>106284.79150533474</v>
      </c>
      <c r="N35" s="21">
        <f>IF(_xlfn.XLOOKUP(TableIncome[[#This Row],[Year]],Loop!C:C,Loop!E:E)&lt;70,(N34*(1+$I$4))+IF(TableIncomeCalculations[[#This Row],[SwitchP2]]="Y",N34*$I$5,0),0)</f>
        <v>0</v>
      </c>
      <c r="O35" t="str">
        <f>_xlfn.XLOOKUP(_xlfn.XLOOKUP(TableIncome[[#This Row],[Year]],Loop!C:C,Loop!D:D),'Job Hopping'!B:B,'Job Hopping'!F:F)</f>
        <v>N</v>
      </c>
      <c r="P35" t="str">
        <f>_xlfn.XLOOKUP(_xlfn.XLOOKUP(TableIncome[[#This Row],[Year]],Loop!C:C,Loop!E:E),'Job Hopping'!B:B,'Job Hopping'!G:G)</f>
        <v>N</v>
      </c>
    </row>
    <row r="36" spans="2:16" x14ac:dyDescent="0.35">
      <c r="B36" s="2">
        <v>2058</v>
      </c>
      <c r="C36" s="4">
        <f>(TableIncomeCalculations[[#This Row],[GrossMonthlySalaryP1]]*12)</f>
        <v>1288171.6730446571</v>
      </c>
      <c r="D36" s="24">
        <f>(TableIncomeCalculations[[#This Row],[GrossMonthlySalaryP2]]*12)</f>
        <v>0</v>
      </c>
      <c r="E36" s="3">
        <f>TableIncome[[#This Row],[SalaryP1]]*$I$6</f>
        <v>128817.16730446572</v>
      </c>
      <c r="F36" s="3">
        <f>TableIncome[[#This Row],[SalaryP2]]*$I$6</f>
        <v>0</v>
      </c>
      <c r="G36" s="22"/>
      <c r="M36" s="21">
        <f>IF(_xlfn.XLOOKUP(TableIncome[[#This Row],[Year]],Loop!C:C,Loop!D:D)&lt;70,(M35*(1+$I$4))+IF(TableIncomeCalculations[[#This Row],[SwitchP1]]="Y",M35*$I$5,0),0)</f>
        <v>107347.63942038809</v>
      </c>
      <c r="N36" s="21">
        <f>IF(_xlfn.XLOOKUP(TableIncome[[#This Row],[Year]],Loop!C:C,Loop!E:E)&lt;70,(N35*(1+$I$4))+IF(TableIncomeCalculations[[#This Row],[SwitchP2]]="Y",N35*$I$5,0),0)</f>
        <v>0</v>
      </c>
      <c r="O36" t="str">
        <f>_xlfn.XLOOKUP(_xlfn.XLOOKUP(TableIncome[[#This Row],[Year]],Loop!C:C,Loop!D:D),'Job Hopping'!B:B,'Job Hopping'!F:F)</f>
        <v>N</v>
      </c>
      <c r="P36" t="str">
        <f>_xlfn.XLOOKUP(_xlfn.XLOOKUP(TableIncome[[#This Row],[Year]],Loop!C:C,Loop!E:E),'Job Hopping'!B:B,'Job Hopping'!G:G)</f>
        <v>N</v>
      </c>
    </row>
    <row r="37" spans="2:16" x14ac:dyDescent="0.35">
      <c r="B37" s="2">
        <v>2059</v>
      </c>
      <c r="C37" s="4">
        <f>(TableIncomeCalculations[[#This Row],[GrossMonthlySalaryP1]]*12)</f>
        <v>1301053.3897751037</v>
      </c>
      <c r="D37" s="24">
        <f>(TableIncomeCalculations[[#This Row],[GrossMonthlySalaryP2]]*12)</f>
        <v>0</v>
      </c>
      <c r="E37" s="3">
        <f>TableIncome[[#This Row],[SalaryP1]]*$I$6</f>
        <v>130105.33897751037</v>
      </c>
      <c r="F37" s="3">
        <f>TableIncome[[#This Row],[SalaryP2]]*$I$6</f>
        <v>0</v>
      </c>
      <c r="G37" s="22"/>
      <c r="M37" s="21">
        <f>IF(_xlfn.XLOOKUP(TableIncome[[#This Row],[Year]],Loop!C:C,Loop!D:D)&lt;70,(M36*(1+$I$4))+IF(TableIncomeCalculations[[#This Row],[SwitchP1]]="Y",M36*$I$5,0),0)</f>
        <v>108421.11581459198</v>
      </c>
      <c r="N37" s="21">
        <f>IF(_xlfn.XLOOKUP(TableIncome[[#This Row],[Year]],Loop!C:C,Loop!E:E)&lt;70,(N36*(1+$I$4))+IF(TableIncomeCalculations[[#This Row],[SwitchP2]]="Y",N36*$I$5,0),0)</f>
        <v>0</v>
      </c>
      <c r="O37" t="str">
        <f>_xlfn.XLOOKUP(_xlfn.XLOOKUP(TableIncome[[#This Row],[Year]],Loop!C:C,Loop!D:D),'Job Hopping'!B:B,'Job Hopping'!F:F)</f>
        <v>N</v>
      </c>
      <c r="P37" t="str">
        <f>_xlfn.XLOOKUP(_xlfn.XLOOKUP(TableIncome[[#This Row],[Year]],Loop!C:C,Loop!E:E),'Job Hopping'!B:B,'Job Hopping'!G:G)</f>
        <v>N</v>
      </c>
    </row>
    <row r="38" spans="2:16" x14ac:dyDescent="0.35">
      <c r="B38" s="2">
        <v>2060</v>
      </c>
      <c r="C38" s="4">
        <f>(TableIncomeCalculations[[#This Row],[GrossMonthlySalaryP1]]*12)</f>
        <v>1444169.262650365</v>
      </c>
      <c r="D38" s="24">
        <f>(TableIncomeCalculations[[#This Row],[GrossMonthlySalaryP2]]*12)</f>
        <v>0</v>
      </c>
      <c r="E38" s="3">
        <f>TableIncome[[#This Row],[SalaryP1]]*$I$6</f>
        <v>144416.92626503651</v>
      </c>
      <c r="F38" s="3">
        <f>TableIncome[[#This Row],[SalaryP2]]*$I$6</f>
        <v>0</v>
      </c>
      <c r="G38" s="22"/>
      <c r="M38" s="21">
        <f>IF(_xlfn.XLOOKUP(TableIncome[[#This Row],[Year]],Loop!C:C,Loop!D:D)&lt;70,(M37*(1+$I$4))+IF(TableIncomeCalculations[[#This Row],[SwitchP1]]="Y",M37*$I$5,0),0)</f>
        <v>120347.43855419708</v>
      </c>
      <c r="N38" s="21">
        <f>IF(_xlfn.XLOOKUP(TableIncome[[#This Row],[Year]],Loop!C:C,Loop!E:E)&lt;70,(N37*(1+$I$4))+IF(TableIncomeCalculations[[#This Row],[SwitchP2]]="Y",N37*$I$5,0),0)</f>
        <v>0</v>
      </c>
      <c r="O38" t="str">
        <f>_xlfn.XLOOKUP(_xlfn.XLOOKUP(TableIncome[[#This Row],[Year]],Loop!C:C,Loop!D:D),'Job Hopping'!B:B,'Job Hopping'!F:F)</f>
        <v>Y</v>
      </c>
      <c r="P38" t="str">
        <f>_xlfn.XLOOKUP(_xlfn.XLOOKUP(TableIncome[[#This Row],[Year]],Loop!C:C,Loop!E:E),'Job Hopping'!B:B,'Job Hopping'!G:G)</f>
        <v>N</v>
      </c>
    </row>
    <row r="39" spans="2:16" x14ac:dyDescent="0.35">
      <c r="B39" s="2">
        <v>2061</v>
      </c>
      <c r="C39" s="4">
        <f>(TableIncomeCalculations[[#This Row],[GrossMonthlySalaryP1]]*12)</f>
        <v>1458610.9552768685</v>
      </c>
      <c r="D39" s="24">
        <f>(TableIncomeCalculations[[#This Row],[GrossMonthlySalaryP2]]*12)</f>
        <v>0</v>
      </c>
      <c r="E39" s="3">
        <f>TableIncome[[#This Row],[SalaryP1]]*$I$6</f>
        <v>145861.09552768685</v>
      </c>
      <c r="F39" s="3">
        <f>TableIncome[[#This Row],[SalaryP2]]*$I$6</f>
        <v>0</v>
      </c>
      <c r="G39" s="22"/>
      <c r="M39" s="21">
        <f>IF(_xlfn.XLOOKUP(TableIncome[[#This Row],[Year]],Loop!C:C,Loop!D:D)&lt;70,(M38*(1+$I$4))+IF(TableIncomeCalculations[[#This Row],[SwitchP1]]="Y",M38*$I$5,0),0)</f>
        <v>121550.91293973905</v>
      </c>
      <c r="N39" s="21">
        <f>IF(_xlfn.XLOOKUP(TableIncome[[#This Row],[Year]],Loop!C:C,Loop!E:E)&lt;70,(N38*(1+$I$4))+IF(TableIncomeCalculations[[#This Row],[SwitchP2]]="Y",N38*$I$5,0),0)</f>
        <v>0</v>
      </c>
      <c r="O39" t="str">
        <f>_xlfn.XLOOKUP(_xlfn.XLOOKUP(TableIncome[[#This Row],[Year]],Loop!C:C,Loop!D:D),'Job Hopping'!B:B,'Job Hopping'!F:F)</f>
        <v>N</v>
      </c>
      <c r="P39" t="str">
        <f>_xlfn.XLOOKUP(_xlfn.XLOOKUP(TableIncome[[#This Row],[Year]],Loop!C:C,Loop!E:E),'Job Hopping'!B:B,'Job Hopping'!G:G)</f>
        <v>N</v>
      </c>
    </row>
    <row r="40" spans="2:16" x14ac:dyDescent="0.35">
      <c r="B40" s="2">
        <v>2062</v>
      </c>
      <c r="C40" s="4">
        <f>(TableIncomeCalculations[[#This Row],[GrossMonthlySalaryP1]]*12)</f>
        <v>1473197.0648296373</v>
      </c>
      <c r="D40" s="24">
        <f>(TableIncomeCalculations[[#This Row],[GrossMonthlySalaryP2]]*12)</f>
        <v>0</v>
      </c>
      <c r="E40" s="3">
        <f>TableIncome[[#This Row],[SalaryP1]]*$I$6</f>
        <v>147319.70648296372</v>
      </c>
      <c r="F40" s="3">
        <f>TableIncome[[#This Row],[SalaryP2]]*$I$6</f>
        <v>0</v>
      </c>
      <c r="G40" s="22"/>
      <c r="M40" s="21">
        <f>IF(_xlfn.XLOOKUP(TableIncome[[#This Row],[Year]],Loop!C:C,Loop!D:D)&lt;70,(M39*(1+$I$4))+IF(TableIncomeCalculations[[#This Row],[SwitchP1]]="Y",M39*$I$5,0),0)</f>
        <v>122766.42206913645</v>
      </c>
      <c r="N40" s="21">
        <f>IF(_xlfn.XLOOKUP(TableIncome[[#This Row],[Year]],Loop!C:C,Loop!E:E)&lt;70,(N39*(1+$I$4))+IF(TableIncomeCalculations[[#This Row],[SwitchP2]]="Y",N39*$I$5,0),0)</f>
        <v>0</v>
      </c>
      <c r="O40" t="str">
        <f>_xlfn.XLOOKUP(_xlfn.XLOOKUP(TableIncome[[#This Row],[Year]],Loop!C:C,Loop!D:D),'Job Hopping'!B:B,'Job Hopping'!F:F)</f>
        <v>N</v>
      </c>
      <c r="P40" t="str">
        <f>_xlfn.XLOOKUP(_xlfn.XLOOKUP(TableIncome[[#This Row],[Year]],Loop!C:C,Loop!E:E),'Job Hopping'!B:B,'Job Hopping'!G:G)</f>
        <v>N</v>
      </c>
    </row>
    <row r="41" spans="2:16" x14ac:dyDescent="0.35">
      <c r="B41" s="2">
        <v>2063</v>
      </c>
      <c r="C41" s="4">
        <f>(TableIncomeCalculations[[#This Row],[GrossMonthlySalaryP1]]*12)</f>
        <v>1487929.0354779337</v>
      </c>
      <c r="D41" s="24">
        <f>(TableIncomeCalculations[[#This Row],[GrossMonthlySalaryP2]]*12)</f>
        <v>0</v>
      </c>
      <c r="E41" s="3">
        <f>TableIncome[[#This Row],[SalaryP1]]*$I$6</f>
        <v>148792.90354779336</v>
      </c>
      <c r="F41" s="3">
        <f>TableIncome[[#This Row],[SalaryP2]]*$I$6</f>
        <v>0</v>
      </c>
      <c r="G41" s="22"/>
      <c r="M41" s="21">
        <f>IF(_xlfn.XLOOKUP(TableIncome[[#This Row],[Year]],Loop!C:C,Loop!D:D)&lt;70,(M40*(1+$I$4))+IF(TableIncomeCalculations[[#This Row],[SwitchP1]]="Y",M40*$I$5,0),0)</f>
        <v>123994.08628982781</v>
      </c>
      <c r="N41" s="21">
        <f>IF(_xlfn.XLOOKUP(TableIncome[[#This Row],[Year]],Loop!C:C,Loop!E:E)&lt;70,(N40*(1+$I$4))+IF(TableIncomeCalculations[[#This Row],[SwitchP2]]="Y",N40*$I$5,0),0)</f>
        <v>0</v>
      </c>
      <c r="O41" t="str">
        <f>_xlfn.XLOOKUP(_xlfn.XLOOKUP(TableIncome[[#This Row],[Year]],Loop!C:C,Loop!D:D),'Job Hopping'!B:B,'Job Hopping'!F:F)</f>
        <v>N</v>
      </c>
      <c r="P41" t="str">
        <f>_xlfn.XLOOKUP(_xlfn.XLOOKUP(TableIncome[[#This Row],[Year]],Loop!C:C,Loop!E:E),'Job Hopping'!B:B,'Job Hopping'!G:G)</f>
        <v>N</v>
      </c>
    </row>
    <row r="42" spans="2:16" x14ac:dyDescent="0.35">
      <c r="B42" s="2">
        <v>2064</v>
      </c>
      <c r="C42" s="4">
        <f>(TableIncomeCalculations[[#This Row],[GrossMonthlySalaryP1]]*12)</f>
        <v>1502808.3258327132</v>
      </c>
      <c r="D42" s="24">
        <f>(TableIncomeCalculations[[#This Row],[GrossMonthlySalaryP2]]*12)</f>
        <v>0</v>
      </c>
      <c r="E42" s="3">
        <f>TableIncome[[#This Row],[SalaryP1]]*$I$6</f>
        <v>150280.83258327132</v>
      </c>
      <c r="F42" s="3">
        <f>TableIncome[[#This Row],[SalaryP2]]*$I$6</f>
        <v>0</v>
      </c>
      <c r="G42" s="22"/>
      <c r="M42" s="21">
        <f>IF(_xlfn.XLOOKUP(TableIncome[[#This Row],[Year]],Loop!C:C,Loop!D:D)&lt;70,(M41*(1+$I$4))+IF(TableIncomeCalculations[[#This Row],[SwitchP1]]="Y",M41*$I$5,0),0)</f>
        <v>125234.02715272609</v>
      </c>
      <c r="N42" s="21">
        <f>IF(_xlfn.XLOOKUP(TableIncome[[#This Row],[Year]],Loop!C:C,Loop!E:E)&lt;70,(N41*(1+$I$4))+IF(TableIncomeCalculations[[#This Row],[SwitchP2]]="Y",N41*$I$5,0),0)</f>
        <v>0</v>
      </c>
      <c r="O42" t="str">
        <f>_xlfn.XLOOKUP(_xlfn.XLOOKUP(TableIncome[[#This Row],[Year]],Loop!C:C,Loop!D:D),'Job Hopping'!B:B,'Job Hopping'!F:F)</f>
        <v>N</v>
      </c>
      <c r="P42" t="str">
        <f>_xlfn.XLOOKUP(_xlfn.XLOOKUP(TableIncome[[#This Row],[Year]],Loop!C:C,Loop!E:E),'Job Hopping'!B:B,'Job Hopping'!G:G)</f>
        <v>N</v>
      </c>
    </row>
    <row r="43" spans="2:16" x14ac:dyDescent="0.35">
      <c r="B43" s="2">
        <v>2065</v>
      </c>
      <c r="C43" s="4">
        <f>(TableIncomeCalculations[[#This Row],[GrossMonthlySalaryP1]]*12)</f>
        <v>1517836.4090910403</v>
      </c>
      <c r="D43" s="24">
        <f>(TableIncomeCalculations[[#This Row],[GrossMonthlySalaryP2]]*12)</f>
        <v>0</v>
      </c>
      <c r="E43" s="3">
        <f>TableIncome[[#This Row],[SalaryP1]]*$I$6</f>
        <v>151783.64090910403</v>
      </c>
      <c r="F43" s="3">
        <f>TableIncome[[#This Row],[SalaryP2]]*$I$6</f>
        <v>0</v>
      </c>
      <c r="G43" s="22"/>
      <c r="M43" s="21">
        <f>IF(_xlfn.XLOOKUP(TableIncome[[#This Row],[Year]],Loop!C:C,Loop!D:D)&lt;70,(M42*(1+$I$4))+IF(TableIncomeCalculations[[#This Row],[SwitchP1]]="Y",M42*$I$5,0),0)</f>
        <v>126486.36742425336</v>
      </c>
      <c r="N43" s="21">
        <f>IF(_xlfn.XLOOKUP(TableIncome[[#This Row],[Year]],Loop!C:C,Loop!E:E)&lt;70,(N42*(1+$I$4))+IF(TableIncomeCalculations[[#This Row],[SwitchP2]]="Y",N42*$I$5,0),0)</f>
        <v>0</v>
      </c>
      <c r="O43" t="str">
        <f>_xlfn.XLOOKUP(_xlfn.XLOOKUP(TableIncome[[#This Row],[Year]],Loop!C:C,Loop!D:D),'Job Hopping'!B:B,'Job Hopping'!F:F)</f>
        <v>N</v>
      </c>
      <c r="P43" t="str">
        <f>_xlfn.XLOOKUP(_xlfn.XLOOKUP(TableIncome[[#This Row],[Year]],Loop!C:C,Loop!E:E),'Job Hopping'!B:B,'Job Hopping'!G:G)</f>
        <v>N</v>
      </c>
    </row>
    <row r="44" spans="2:16" x14ac:dyDescent="0.35">
      <c r="B44" s="2">
        <v>2066</v>
      </c>
      <c r="C44" s="4">
        <f>(TableIncomeCalculations[[#This Row],[GrossMonthlySalaryP1]]*12)</f>
        <v>1533014.7731819507</v>
      </c>
      <c r="D44" s="24">
        <f>(TableIncomeCalculations[[#This Row],[GrossMonthlySalaryP2]]*12)</f>
        <v>0</v>
      </c>
      <c r="E44" s="3">
        <f>TableIncome[[#This Row],[SalaryP1]]*$I$6</f>
        <v>153301.47731819507</v>
      </c>
      <c r="F44" s="3">
        <f>TableIncome[[#This Row],[SalaryP2]]*$I$6</f>
        <v>0</v>
      </c>
      <c r="G44" s="22"/>
      <c r="M44" s="21">
        <f>IF(_xlfn.XLOOKUP(TableIncome[[#This Row],[Year]],Loop!C:C,Loop!D:D)&lt;70,(M43*(1+$I$4))+IF(TableIncomeCalculations[[#This Row],[SwitchP1]]="Y",M43*$I$5,0),0)</f>
        <v>127751.23109849589</v>
      </c>
      <c r="N44" s="21">
        <f>IF(_xlfn.XLOOKUP(TableIncome[[#This Row],[Year]],Loop!C:C,Loop!E:E)&lt;70,(N43*(1+$I$4))+IF(TableIncomeCalculations[[#This Row],[SwitchP2]]="Y",N43*$I$5,0),0)</f>
        <v>0</v>
      </c>
      <c r="O44" t="str">
        <f>_xlfn.XLOOKUP(_xlfn.XLOOKUP(TableIncome[[#This Row],[Year]],Loop!C:C,Loop!D:D),'Job Hopping'!B:B,'Job Hopping'!F:F)</f>
        <v>N</v>
      </c>
      <c r="P44" t="str">
        <f>_xlfn.XLOOKUP(_xlfn.XLOOKUP(TableIncome[[#This Row],[Year]],Loop!C:C,Loop!E:E),'Job Hopping'!B:B,'Job Hopping'!G:G)</f>
        <v>N</v>
      </c>
    </row>
    <row r="45" spans="2:16" x14ac:dyDescent="0.35">
      <c r="B45" s="2">
        <v>2067</v>
      </c>
      <c r="C45" s="4">
        <f>(TableIncomeCalculations[[#This Row],[GrossMonthlySalaryP1]]*12)</f>
        <v>1548344.9209137703</v>
      </c>
      <c r="D45" s="24">
        <f>(TableIncomeCalculations[[#This Row],[GrossMonthlySalaryP2]]*12)</f>
        <v>0</v>
      </c>
      <c r="E45" s="3">
        <f>TableIncome[[#This Row],[SalaryP1]]*$I$6</f>
        <v>154834.49209137703</v>
      </c>
      <c r="F45" s="3">
        <f>TableIncome[[#This Row],[SalaryP2]]*$I$6</f>
        <v>0</v>
      </c>
      <c r="G45" s="22"/>
      <c r="M45" s="21">
        <f>IF(_xlfn.XLOOKUP(TableIncome[[#This Row],[Year]],Loop!C:C,Loop!D:D)&lt;70,(M44*(1+$I$4))+IF(TableIncomeCalculations[[#This Row],[SwitchP1]]="Y",M44*$I$5,0),0)</f>
        <v>129028.74340948086</v>
      </c>
      <c r="N45" s="21">
        <f>IF(_xlfn.XLOOKUP(TableIncome[[#This Row],[Year]],Loop!C:C,Loop!E:E)&lt;70,(N44*(1+$I$4))+IF(TableIncomeCalculations[[#This Row],[SwitchP2]]="Y",N44*$I$5,0),0)</f>
        <v>0</v>
      </c>
      <c r="O45" t="str">
        <f>_xlfn.XLOOKUP(_xlfn.XLOOKUP(TableIncome[[#This Row],[Year]],Loop!C:C,Loop!D:D),'Job Hopping'!B:B,'Job Hopping'!F:F)</f>
        <v>N</v>
      </c>
      <c r="P45" t="str">
        <f>_xlfn.XLOOKUP(_xlfn.XLOOKUP(TableIncome[[#This Row],[Year]],Loop!C:C,Loop!E:E),'Job Hopping'!B:B,'Job Hopping'!G:G)</f>
        <v>N</v>
      </c>
    </row>
    <row r="46" spans="2:16" x14ac:dyDescent="0.35">
      <c r="B46" s="2">
        <v>2068</v>
      </c>
      <c r="C46" s="4">
        <f>(TableIncomeCalculations[[#This Row],[GrossMonthlySalaryP1]]*12)</f>
        <v>1563828.3701229079</v>
      </c>
      <c r="D46" s="24">
        <f>(TableIncomeCalculations[[#This Row],[GrossMonthlySalaryP2]]*12)</f>
        <v>0</v>
      </c>
      <c r="E46" s="3">
        <f>TableIncome[[#This Row],[SalaryP1]]*$I$6</f>
        <v>156382.83701229081</v>
      </c>
      <c r="F46" s="3">
        <f>TableIncome[[#This Row],[SalaryP2]]*$I$6</f>
        <v>0</v>
      </c>
      <c r="G46" s="22"/>
      <c r="M46" s="21">
        <f>IF(_xlfn.XLOOKUP(TableIncome[[#This Row],[Year]],Loop!C:C,Loop!D:D)&lt;70,(M45*(1+$I$4))+IF(TableIncomeCalculations[[#This Row],[SwitchP1]]="Y",M45*$I$5,0),0)</f>
        <v>130319.03084357566</v>
      </c>
      <c r="N46" s="21">
        <f>IF(_xlfn.XLOOKUP(TableIncome[[#This Row],[Year]],Loop!C:C,Loop!E:E)&lt;70,(N45*(1+$I$4))+IF(TableIncomeCalculations[[#This Row],[SwitchP2]]="Y",N45*$I$5,0),0)</f>
        <v>0</v>
      </c>
      <c r="O46" t="str">
        <f>_xlfn.XLOOKUP(_xlfn.XLOOKUP(TableIncome[[#This Row],[Year]],Loop!C:C,Loop!D:D),'Job Hopping'!B:B,'Job Hopping'!F:F)</f>
        <v>N</v>
      </c>
      <c r="P46" t="str">
        <f>_xlfn.XLOOKUP(_xlfn.XLOOKUP(TableIncome[[#This Row],[Year]],Loop!C:C,Loop!E:E),'Job Hopping'!B:B,'Job Hopping'!G:G)</f>
        <v>N</v>
      </c>
    </row>
    <row r="47" spans="2:16" x14ac:dyDescent="0.35">
      <c r="B47" s="2">
        <v>2069</v>
      </c>
      <c r="C47" s="4">
        <f>(TableIncomeCalculations[[#This Row],[GrossMonthlySalaryP1]]*12)</f>
        <v>1579466.6538241371</v>
      </c>
      <c r="D47" s="24">
        <f>(TableIncomeCalculations[[#This Row],[GrossMonthlySalaryP2]]*12)</f>
        <v>0</v>
      </c>
      <c r="E47" s="3">
        <f>TableIncome[[#This Row],[SalaryP1]]*$I$6</f>
        <v>157946.66538241372</v>
      </c>
      <c r="F47" s="3">
        <f>TableIncome[[#This Row],[SalaryP2]]*$I$6</f>
        <v>0</v>
      </c>
      <c r="G47" s="22"/>
      <c r="M47" s="21">
        <f>IF(_xlfn.XLOOKUP(TableIncome[[#This Row],[Year]],Loop!C:C,Loop!D:D)&lt;70,(M46*(1+$I$4))+IF(TableIncomeCalculations[[#This Row],[SwitchP1]]="Y",M46*$I$5,0),0)</f>
        <v>131622.22115201142</v>
      </c>
      <c r="N47" s="21">
        <f>IF(_xlfn.XLOOKUP(TableIncome[[#This Row],[Year]],Loop!C:C,Loop!E:E)&lt;70,(N46*(1+$I$4))+IF(TableIncomeCalculations[[#This Row],[SwitchP2]]="Y",N46*$I$5,0),0)</f>
        <v>0</v>
      </c>
      <c r="O47" t="str">
        <f>_xlfn.XLOOKUP(_xlfn.XLOOKUP(TableIncome[[#This Row],[Year]],Loop!C:C,Loop!D:D),'Job Hopping'!B:B,'Job Hopping'!F:F)</f>
        <v>N</v>
      </c>
      <c r="P47" t="str">
        <f>_xlfn.XLOOKUP(_xlfn.XLOOKUP(TableIncome[[#This Row],[Year]],Loop!C:C,Loop!E:E),'Job Hopping'!B:B,'Job Hopping'!G:G)</f>
        <v>N</v>
      </c>
    </row>
    <row r="48" spans="2:16" x14ac:dyDescent="0.35">
      <c r="B48" s="2">
        <v>2070</v>
      </c>
      <c r="C48" s="4">
        <f>(TableIncomeCalculations[[#This Row],[GrossMonthlySalaryP1]]*12)</f>
        <v>0</v>
      </c>
      <c r="D48" s="24">
        <f>(TableIncomeCalculations[[#This Row],[GrossMonthlySalaryP2]]*12)</f>
        <v>0</v>
      </c>
      <c r="E48" s="3">
        <f>TableIncome[[#This Row],[SalaryP1]]*$I$6</f>
        <v>0</v>
      </c>
      <c r="F48" s="3">
        <f>TableIncome[[#This Row],[SalaryP2]]*$I$6</f>
        <v>0</v>
      </c>
      <c r="G48" s="22"/>
      <c r="M48" s="21">
        <f>IF(_xlfn.XLOOKUP(TableIncome[[#This Row],[Year]],Loop!C:C,Loop!D:D)&lt;70,(M47*(1+$I$4))+IF(TableIncomeCalculations[[#This Row],[SwitchP1]]="Y",M47*$I$5,0),0)</f>
        <v>0</v>
      </c>
      <c r="N48" s="21">
        <f>IF(_xlfn.XLOOKUP(TableIncome[[#This Row],[Year]],Loop!C:C,Loop!E:E)&lt;70,(N47*(1+$I$4))+IF(TableIncomeCalculations[[#This Row],[SwitchP2]]="Y",N47*$I$5,0),0)</f>
        <v>0</v>
      </c>
      <c r="O48" t="str">
        <f>_xlfn.XLOOKUP(_xlfn.XLOOKUP(TableIncome[[#This Row],[Year]],Loop!C:C,Loop!D:D),'Job Hopping'!B:B,'Job Hopping'!F:F)</f>
        <v>N</v>
      </c>
      <c r="P48" t="str">
        <f>_xlfn.XLOOKUP(_xlfn.XLOOKUP(TableIncome[[#This Row],[Year]],Loop!C:C,Loop!E:E),'Job Hopping'!B:B,'Job Hopping'!G:G)</f>
        <v>N</v>
      </c>
    </row>
  </sheetData>
  <phoneticPr fontId="8" type="noConversion"/>
  <pageMargins left="0.7" right="0.7" top="0.75" bottom="0.75" header="0.3" footer="0.3"/>
  <drawing r:id="rId1"/>
  <tableParts count="2">
    <tablePart r:id="rId2"/>
    <tablePart r:id="rId3"/>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24D0F5-8E8A-4958-9371-73201FAFFCDD}">
  <sheetPr>
    <tabColor theme="4" tint="0.79998168889431442"/>
  </sheetPr>
  <dimension ref="B2:T101"/>
  <sheetViews>
    <sheetView topLeftCell="F1" workbookViewId="0">
      <selection activeCell="C8" sqref="C8:C15"/>
    </sheetView>
  </sheetViews>
  <sheetFormatPr defaultColWidth="8.7265625" defaultRowHeight="14.5" x14ac:dyDescent="0.35"/>
  <cols>
    <col min="1" max="2" width="8.7265625" style="1"/>
    <col min="3" max="3" width="11.26953125" style="1" customWidth="1"/>
    <col min="4" max="4" width="8.453125" style="1" customWidth="1"/>
    <col min="5" max="5" width="12.453125" style="1" customWidth="1"/>
    <col min="6" max="7" width="20.7265625" style="1" bestFit="1" customWidth="1"/>
    <col min="8" max="13" width="8.7265625" style="1"/>
    <col min="14" max="14" width="11.26953125" style="1" customWidth="1"/>
    <col min="15" max="15" width="16.7265625" style="1" customWidth="1"/>
    <col min="16" max="16" width="16.81640625" style="1" customWidth="1"/>
    <col min="17" max="18" width="8.7265625" style="1"/>
    <col min="19" max="19" width="11.26953125" style="1" customWidth="1"/>
    <col min="20" max="16384" width="8.7265625" style="1"/>
  </cols>
  <sheetData>
    <row r="2" spans="2:20" x14ac:dyDescent="0.35">
      <c r="B2" s="5" t="s">
        <v>54</v>
      </c>
      <c r="C2" s="5" t="s">
        <v>55</v>
      </c>
      <c r="D2" s="5" t="s">
        <v>58</v>
      </c>
      <c r="E2" s="5" t="s">
        <v>67</v>
      </c>
      <c r="F2" s="5" t="s">
        <v>65</v>
      </c>
      <c r="G2" s="5" t="s">
        <v>66</v>
      </c>
      <c r="M2" s="5" t="s">
        <v>1</v>
      </c>
      <c r="N2" s="5" t="s">
        <v>55</v>
      </c>
      <c r="O2" s="5" t="s">
        <v>56</v>
      </c>
      <c r="P2" s="5" t="s">
        <v>57</v>
      </c>
      <c r="Q2" s="5" t="s">
        <v>58</v>
      </c>
      <c r="S2" s="5" t="s">
        <v>55</v>
      </c>
      <c r="T2" s="5" t="s">
        <v>59</v>
      </c>
    </row>
    <row r="3" spans="2:20" x14ac:dyDescent="0.35">
      <c r="B3" s="5">
        <v>25</v>
      </c>
      <c r="C3" s="5" t="str">
        <f>IF(B3&lt;30, "25-29 år", IF(B3&lt;35, "30-34 år", IF(B3&lt;40, "35-39 år", IF(B3&lt;45, "40-44 år", IF(B3&lt;50, "45-49 år", IF(B3&lt;55, "50-54 år", IF(B3&lt;60, "55-59 år", IF(B3&lt;65, "60-64 år", "65+ år"))))))))</f>
        <v>25-29 år</v>
      </c>
      <c r="D3" s="16">
        <f t="shared" ref="D3:D34" si="0">_xlfn.XLOOKUP(C3,S:S,T:T)</f>
        <v>0.51651947969596046</v>
      </c>
      <c r="E3" s="5" t="str">
        <f ca="1">IF(OR(JobHopping[[#This Row],[Age]]=25,JobHopping[[#This Row],[Age]]&gt;69),"N",IF(AND(E1="N",E2="N", RAND()&lt;=D3), "Y", "N"))</f>
        <v>N</v>
      </c>
      <c r="F3" s="5" t="s">
        <v>0</v>
      </c>
      <c r="G3" s="5" t="str">
        <f>IF(JobHopping[[#This Row],[Age]]&lt;40,"",JobHopping[[#This Row],[SwitchP1Static]])</f>
        <v/>
      </c>
      <c r="M3" s="5">
        <v>2013</v>
      </c>
      <c r="N3" s="5" t="s">
        <v>16</v>
      </c>
      <c r="O3" s="5">
        <f>_xlfn.XLOOKUP(M3&amp;"-"&amp;N3,'Djøf Finance Workers'!D:D,'Djøf Finance Workers'!C:C,0,1)</f>
        <v>6202</v>
      </c>
      <c r="P3" s="5">
        <f>_xlfn.XLOOKUP(M3&amp;"-"&amp;N3,'Djøf Finance Hoppers'!D:D,'Djøf Finance Hoppers'!C:C,0,1)</f>
        <v>2524</v>
      </c>
      <c r="Q3" s="16">
        <f t="shared" ref="Q3:Q66" si="1">IF(O3&gt;0, P3/O3, 0)</f>
        <v>0.40696549500161239</v>
      </c>
      <c r="S3" s="5" t="s">
        <v>16</v>
      </c>
      <c r="T3" s="5">
        <f t="shared" ref="T3:T11" si="2">SUMIFS(Q:Q,N:N,S3)/(MAX($M$3:$M$101)-MIN($M$3:$M$101))</f>
        <v>0.51651947969596046</v>
      </c>
    </row>
    <row r="4" spans="2:20" x14ac:dyDescent="0.35">
      <c r="B4" s="5">
        <v>26</v>
      </c>
      <c r="C4" s="5" t="str">
        <f>IF(B4&lt;30, "25-29 år", IF(B4&lt;35, "30-34 år", IF(B4&lt;40, "35-39 år", IF(B4&lt;45, "40-44 år", IF(B4&lt;50, "45-49 år", IF(B4&lt;55, "50-54 år", IF(B4&lt;60, "55-59 år", IF(B4&lt;65, "60-64 år", "65+ år"))))))))</f>
        <v>25-29 år</v>
      </c>
      <c r="D4" s="16">
        <f t="shared" si="0"/>
        <v>0.51651947969596046</v>
      </c>
      <c r="E4" s="5" t="str">
        <f ca="1">IF(OR(JobHopping[[#This Row],[Age]]=25,JobHopping[[#This Row],[Age]]&gt;69),"N",IF(AND(E2="N",E3="N", RAND()&lt;=D4), "Y", "N"))</f>
        <v>N</v>
      </c>
      <c r="F4" s="5" t="s">
        <v>0</v>
      </c>
      <c r="G4" s="5" t="str">
        <f>IF(JobHopping[[#This Row],[Age]]&lt;40,"",JobHopping[[#This Row],[SwitchP1Static]])</f>
        <v/>
      </c>
      <c r="M4" s="5">
        <v>2013</v>
      </c>
      <c r="N4" s="5" t="s">
        <v>17</v>
      </c>
      <c r="O4" s="5">
        <f>_xlfn.XLOOKUP(M4&amp;"-"&amp;N4,'Djøf Finance Workers'!D:D,'Djøf Finance Workers'!C:C,0,1)</f>
        <v>8560</v>
      </c>
      <c r="P4" s="5">
        <f>_xlfn.XLOOKUP(M4&amp;"-"&amp;N4,'Djøf Finance Hoppers'!D:D,'Djøf Finance Hoppers'!C:C,0,1)</f>
        <v>2176</v>
      </c>
      <c r="Q4" s="16">
        <f t="shared" si="1"/>
        <v>0.25420560747663551</v>
      </c>
      <c r="S4" s="5" t="s">
        <v>17</v>
      </c>
      <c r="T4" s="5">
        <f t="shared" si="2"/>
        <v>0.33908020385851029</v>
      </c>
    </row>
    <row r="5" spans="2:20" x14ac:dyDescent="0.35">
      <c r="B5" s="5">
        <v>27</v>
      </c>
      <c r="C5" s="5" t="str">
        <f>IF(B5&lt;30, "25-29 år", IF(B5&lt;35, "30-34 år", IF(B5&lt;40, "35-39 år", IF(B5&lt;45, "40-44 år", IF(B5&lt;50, "45-49 år", IF(B5&lt;55, "50-54 år", IF(B5&lt;60, "55-59 år", IF(B5&lt;65, "60-64 år", "65+ år"))))))))</f>
        <v>25-29 år</v>
      </c>
      <c r="D5" s="16">
        <f t="shared" si="0"/>
        <v>0.51651947969596046</v>
      </c>
      <c r="E5" s="5" t="str">
        <f ca="1">IF(OR(JobHopping[[#This Row],[Age]]=25,JobHopping[[#This Row],[Age]]&gt;69),"N",IF(AND(E3="N",E4="N", RAND()&lt;=D5), "Y", "N"))</f>
        <v>Y</v>
      </c>
      <c r="F5" s="5" t="s">
        <v>64</v>
      </c>
      <c r="G5" s="5" t="str">
        <f>IF(JobHopping[[#This Row],[Age]]&lt;40,"",JobHopping[[#This Row],[SwitchP1Static]])</f>
        <v/>
      </c>
      <c r="M5" s="5">
        <v>2013</v>
      </c>
      <c r="N5" s="5" t="s">
        <v>18</v>
      </c>
      <c r="O5" s="5">
        <f>_xlfn.XLOOKUP(M5&amp;"-"&amp;N5,'Djøf Finance Workers'!D:D,'Djøf Finance Workers'!C:C,0,1)</f>
        <v>9790</v>
      </c>
      <c r="P5" s="5">
        <f>_xlfn.XLOOKUP(M5&amp;"-"&amp;N5,'Djøf Finance Hoppers'!D:D,'Djøf Finance Hoppers'!C:C,0,1)</f>
        <v>1896</v>
      </c>
      <c r="Q5" s="16">
        <f t="shared" si="1"/>
        <v>0.19366700715015323</v>
      </c>
      <c r="S5" s="5" t="s">
        <v>18</v>
      </c>
      <c r="T5" s="5">
        <f t="shared" si="2"/>
        <v>0.2624026948424838</v>
      </c>
    </row>
    <row r="6" spans="2:20" x14ac:dyDescent="0.35">
      <c r="B6" s="5">
        <v>28</v>
      </c>
      <c r="C6" s="5" t="str">
        <f t="shared" ref="C6:C48" si="3">IF(B6&lt;30, "25-29 år", IF(B6&lt;35, "30-34 år", IF(B6&lt;40, "35-39 år", IF(B6&lt;45, "40-44 år", IF(B6&lt;50, "45-49 år", IF(B6&lt;55, "50-54 år", IF(B6&lt;60, "55-59 år", IF(B6&lt;65, "60-64 år", "65+ år"))))))))</f>
        <v>25-29 år</v>
      </c>
      <c r="D6" s="16">
        <f t="shared" si="0"/>
        <v>0.51651947969596046</v>
      </c>
      <c r="E6" s="5" t="str">
        <f ca="1">IF(OR(JobHopping[[#This Row],[Age]]=25,JobHopping[[#This Row],[Age]]&gt;69),"N",IF(AND(E4="N",E5="N", RAND()&lt;=D6), "Y", "N"))</f>
        <v>N</v>
      </c>
      <c r="F6" s="5" t="s">
        <v>0</v>
      </c>
      <c r="G6" s="5" t="str">
        <f>IF(JobHopping[[#This Row],[Age]]&lt;40,"",JobHopping[[#This Row],[SwitchP1Static]])</f>
        <v/>
      </c>
      <c r="M6" s="5">
        <v>2013</v>
      </c>
      <c r="N6" s="5" t="s">
        <v>19</v>
      </c>
      <c r="O6" s="5">
        <f>_xlfn.XLOOKUP(M6&amp;"-"&amp;N6,'Djøf Finance Workers'!D:D,'Djøf Finance Workers'!C:C,0,1)</f>
        <v>9383</v>
      </c>
      <c r="P6" s="5">
        <f>_xlfn.XLOOKUP(M6&amp;"-"&amp;N6,'Djøf Finance Hoppers'!D:D,'Djøf Finance Hoppers'!C:C,0,1)</f>
        <v>1579</v>
      </c>
      <c r="Q6" s="16">
        <f t="shared" si="1"/>
        <v>0.16828306511776617</v>
      </c>
      <c r="S6" s="5" t="s">
        <v>19</v>
      </c>
      <c r="T6" s="5">
        <f t="shared" si="2"/>
        <v>0.2213187304833609</v>
      </c>
    </row>
    <row r="7" spans="2:20" x14ac:dyDescent="0.35">
      <c r="B7" s="5">
        <v>29</v>
      </c>
      <c r="C7" s="5" t="str">
        <f t="shared" si="3"/>
        <v>25-29 år</v>
      </c>
      <c r="D7" s="16">
        <f t="shared" si="0"/>
        <v>0.51651947969596046</v>
      </c>
      <c r="E7" s="5" t="str">
        <f ca="1">IF(OR(JobHopping[[#This Row],[Age]]=25,JobHopping[[#This Row],[Age]]&gt;69),"N",IF(AND(E5="N",E6="N", RAND()&lt;=D7), "Y", "N"))</f>
        <v>N</v>
      </c>
      <c r="F7" s="5" t="s">
        <v>0</v>
      </c>
      <c r="G7" s="5" t="str">
        <f>IF(JobHopping[[#This Row],[Age]]&lt;40,"",JobHopping[[#This Row],[SwitchP1Static]])</f>
        <v/>
      </c>
      <c r="M7" s="5">
        <v>2013</v>
      </c>
      <c r="N7" s="5" t="s">
        <v>20</v>
      </c>
      <c r="O7" s="5">
        <f>_xlfn.XLOOKUP(M7&amp;"-"&amp;N7,'Djøf Finance Workers'!D:D,'Djøf Finance Workers'!C:C,0,1)</f>
        <v>12762</v>
      </c>
      <c r="P7" s="5">
        <f>_xlfn.XLOOKUP(M7&amp;"-"&amp;N7,'Djøf Finance Hoppers'!D:D,'Djøf Finance Hoppers'!C:C,0,1)</f>
        <v>1915</v>
      </c>
      <c r="Q7" s="16">
        <f t="shared" si="1"/>
        <v>0.15005485033693777</v>
      </c>
      <c r="S7" s="5" t="s">
        <v>20</v>
      </c>
      <c r="T7" s="5">
        <f t="shared" si="2"/>
        <v>0.19929479981866399</v>
      </c>
    </row>
    <row r="8" spans="2:20" x14ac:dyDescent="0.35">
      <c r="B8" s="5">
        <v>30</v>
      </c>
      <c r="C8" s="5" t="str">
        <f t="shared" si="3"/>
        <v>30-34 år</v>
      </c>
      <c r="D8" s="16">
        <f t="shared" si="0"/>
        <v>0.33908020385851029</v>
      </c>
      <c r="E8" s="5" t="str">
        <f ca="1">IF(OR(JobHopping[[#This Row],[Age]]=25,JobHopping[[#This Row],[Age]]&gt;69),"N",IF(AND(E6="N",E7="N", RAND()&lt;=D8), "Y", "N"))</f>
        <v>N</v>
      </c>
      <c r="F8" s="5" t="s">
        <v>0</v>
      </c>
      <c r="G8" s="5" t="str">
        <f>IF(JobHopping[[#This Row],[Age]]&lt;40,"",JobHopping[[#This Row],[SwitchP1Static]])</f>
        <v/>
      </c>
      <c r="M8" s="5">
        <v>2013</v>
      </c>
      <c r="N8" s="5" t="s">
        <v>21</v>
      </c>
      <c r="O8" s="5">
        <f>_xlfn.XLOOKUP(M8&amp;"-"&amp;N8,'Djøf Finance Workers'!D:D,'Djøf Finance Workers'!C:C,0,1)</f>
        <v>10587</v>
      </c>
      <c r="P8" s="5">
        <f>_xlfn.XLOOKUP(M8&amp;"-"&amp;N8,'Djøf Finance Hoppers'!D:D,'Djøf Finance Hoppers'!C:C,0,1)</f>
        <v>1462</v>
      </c>
      <c r="Q8" s="16">
        <f t="shared" si="1"/>
        <v>0.13809388873146311</v>
      </c>
      <c r="S8" s="5" t="s">
        <v>21</v>
      </c>
      <c r="T8" s="5">
        <f t="shared" si="2"/>
        <v>0.17668929185764676</v>
      </c>
    </row>
    <row r="9" spans="2:20" x14ac:dyDescent="0.35">
      <c r="B9" s="5">
        <v>31</v>
      </c>
      <c r="C9" s="5" t="str">
        <f t="shared" si="3"/>
        <v>30-34 år</v>
      </c>
      <c r="D9" s="16">
        <f t="shared" si="0"/>
        <v>0.33908020385851029</v>
      </c>
      <c r="E9" s="5" t="str">
        <f ca="1">IF(OR(JobHopping[[#This Row],[Age]]=25,JobHopping[[#This Row],[Age]]&gt;69),"N",IF(AND(E7="N",E8="N", RAND()&lt;=D9), "Y", "N"))</f>
        <v>Y</v>
      </c>
      <c r="F9" s="5" t="s">
        <v>64</v>
      </c>
      <c r="G9" s="5" t="str">
        <f>IF(JobHopping[[#This Row],[Age]]&lt;40,"",JobHopping[[#This Row],[SwitchP1Static]])</f>
        <v/>
      </c>
      <c r="M9" s="5">
        <v>2013</v>
      </c>
      <c r="N9" s="5" t="s">
        <v>22</v>
      </c>
      <c r="O9" s="5">
        <f>_xlfn.XLOOKUP(M9&amp;"-"&amp;N9,'Djøf Finance Workers'!D:D,'Djøf Finance Workers'!C:C,0,1)</f>
        <v>8811</v>
      </c>
      <c r="P9" s="5">
        <f>_xlfn.XLOOKUP(M9&amp;"-"&amp;N9,'Djøf Finance Hoppers'!D:D,'Djøf Finance Hoppers'!C:C,0,1)</f>
        <v>1227</v>
      </c>
      <c r="Q9" s="16">
        <f t="shared" si="1"/>
        <v>0.13925774599931903</v>
      </c>
      <c r="S9" s="5" t="s">
        <v>22</v>
      </c>
      <c r="T9" s="5">
        <f t="shared" si="2"/>
        <v>0.15515674597479437</v>
      </c>
    </row>
    <row r="10" spans="2:20" x14ac:dyDescent="0.35">
      <c r="B10" s="5">
        <v>32</v>
      </c>
      <c r="C10" s="5" t="str">
        <f t="shared" si="3"/>
        <v>30-34 år</v>
      </c>
      <c r="D10" s="16">
        <f t="shared" si="0"/>
        <v>0.33908020385851029</v>
      </c>
      <c r="E10" s="5" t="str">
        <f ca="1">IF(OR(JobHopping[[#This Row],[Age]]=25,JobHopping[[#This Row],[Age]]&gt;69),"N",IF(AND(E8="N",E9="N", RAND()&lt;=D10), "Y", "N"))</f>
        <v>N</v>
      </c>
      <c r="F10" s="5" t="s">
        <v>0</v>
      </c>
      <c r="G10" s="5" t="str">
        <f>IF(JobHopping[[#This Row],[Age]]&lt;40,"",JobHopping[[#This Row],[SwitchP1Static]])</f>
        <v/>
      </c>
      <c r="M10" s="5">
        <v>2013</v>
      </c>
      <c r="N10" s="5" t="s">
        <v>23</v>
      </c>
      <c r="O10" s="5">
        <f>_xlfn.XLOOKUP(M10&amp;"-"&amp;N10,'Djøf Finance Workers'!D:D,'Djøf Finance Workers'!C:C,0,1)</f>
        <v>5072</v>
      </c>
      <c r="P10" s="5">
        <f>_xlfn.XLOOKUP(M10&amp;"-"&amp;N10,'Djøf Finance Hoppers'!D:D,'Djøf Finance Hoppers'!C:C,0,1)</f>
        <v>667</v>
      </c>
      <c r="Q10" s="16">
        <f t="shared" si="1"/>
        <v>0.13150630914826497</v>
      </c>
      <c r="S10" s="5" t="s">
        <v>23</v>
      </c>
      <c r="T10" s="5">
        <f t="shared" si="2"/>
        <v>0.13997311637990331</v>
      </c>
    </row>
    <row r="11" spans="2:20" x14ac:dyDescent="0.35">
      <c r="B11" s="5">
        <v>33</v>
      </c>
      <c r="C11" s="5" t="str">
        <f t="shared" si="3"/>
        <v>30-34 år</v>
      </c>
      <c r="D11" s="16">
        <f t="shared" si="0"/>
        <v>0.33908020385851029</v>
      </c>
      <c r="E11" s="5" t="str">
        <f ca="1">IF(OR(JobHopping[[#This Row],[Age]]=25,JobHopping[[#This Row],[Age]]&gt;69),"N",IF(AND(E9="N",E10="N", RAND()&lt;=D11), "Y", "N"))</f>
        <v>N</v>
      </c>
      <c r="F11" s="5" t="s">
        <v>0</v>
      </c>
      <c r="G11" s="5" t="str">
        <f>IF(JobHopping[[#This Row],[Age]]&lt;40,"",JobHopping[[#This Row],[SwitchP1Static]])</f>
        <v/>
      </c>
      <c r="M11" s="5">
        <v>2013</v>
      </c>
      <c r="N11" s="5" t="s">
        <v>24</v>
      </c>
      <c r="O11" s="5">
        <f>_xlfn.XLOOKUP(M11&amp;"-"&amp;N11,'Djøf Finance Workers'!D:D,'Djøf Finance Workers'!C:C,0,1)</f>
        <v>1539</v>
      </c>
      <c r="P11" s="5">
        <f>_xlfn.XLOOKUP(M11&amp;"-"&amp;N11,'Djøf Finance Hoppers'!D:D,'Djøf Finance Hoppers'!C:C,0,1)</f>
        <v>224</v>
      </c>
      <c r="Q11" s="16">
        <f t="shared" si="1"/>
        <v>0.14554905782975958</v>
      </c>
      <c r="S11" s="5" t="s">
        <v>24</v>
      </c>
      <c r="T11" s="5">
        <f t="shared" si="2"/>
        <v>0.11691873000664299</v>
      </c>
    </row>
    <row r="12" spans="2:20" x14ac:dyDescent="0.35">
      <c r="B12" s="5">
        <v>34</v>
      </c>
      <c r="C12" s="5" t="str">
        <f t="shared" si="3"/>
        <v>30-34 år</v>
      </c>
      <c r="D12" s="16">
        <f t="shared" si="0"/>
        <v>0.33908020385851029</v>
      </c>
      <c r="E12" s="5" t="str">
        <f ca="1">IF(OR(JobHopping[[#This Row],[Age]]=25,JobHopping[[#This Row],[Age]]&gt;69),"N",IF(AND(E10="N",E11="N", RAND()&lt;=D12), "Y", "N"))</f>
        <v>N</v>
      </c>
      <c r="F12" s="5" t="s">
        <v>0</v>
      </c>
      <c r="G12" s="5" t="str">
        <f>IF(JobHopping[[#This Row],[Age]]&lt;40,"",JobHopping[[#This Row],[SwitchP1Static]])</f>
        <v/>
      </c>
      <c r="M12" s="5">
        <v>2014</v>
      </c>
      <c r="N12" s="5" t="s">
        <v>16</v>
      </c>
      <c r="O12" s="5">
        <f>_xlfn.XLOOKUP(M12&amp;"-"&amp;N12,'Djøf Finance Workers'!D:D,'Djøf Finance Workers'!C:C,0,1)</f>
        <v>6041</v>
      </c>
      <c r="P12" s="5">
        <f>_xlfn.XLOOKUP(M12&amp;"-"&amp;N12,'Djøf Finance Hoppers'!D:D,'Djøf Finance Hoppers'!C:C,0,1)</f>
        <v>2521</v>
      </c>
      <c r="Q12" s="16">
        <f t="shared" si="1"/>
        <v>0.41731501407051813</v>
      </c>
    </row>
    <row r="13" spans="2:20" x14ac:dyDescent="0.35">
      <c r="B13" s="5">
        <v>35</v>
      </c>
      <c r="C13" s="5" t="str">
        <f t="shared" si="3"/>
        <v>35-39 år</v>
      </c>
      <c r="D13" s="16">
        <f t="shared" si="0"/>
        <v>0.2624026948424838</v>
      </c>
      <c r="E13" s="5" t="str">
        <f ca="1">IF(OR(JobHopping[[#This Row],[Age]]=25,JobHopping[[#This Row],[Age]]&gt;69),"N",IF(AND(E11="N",E12="N", RAND()&lt;=D13), "Y", "N"))</f>
        <v>Y</v>
      </c>
      <c r="F13" s="5" t="s">
        <v>64</v>
      </c>
      <c r="G13" s="5" t="str">
        <f>IF(JobHopping[[#This Row],[Age]]&lt;40,"",JobHopping[[#This Row],[SwitchP1Static]])</f>
        <v/>
      </c>
      <c r="M13" s="5">
        <v>2014</v>
      </c>
      <c r="N13" s="5" t="s">
        <v>17</v>
      </c>
      <c r="O13" s="5">
        <f>_xlfn.XLOOKUP(M13&amp;"-"&amp;N13,'Djøf Finance Workers'!D:D,'Djøf Finance Workers'!C:C,0,1)</f>
        <v>8203</v>
      </c>
      <c r="P13" s="5">
        <f>_xlfn.XLOOKUP(M13&amp;"-"&amp;N13,'Djøf Finance Hoppers'!D:D,'Djøf Finance Hoppers'!C:C,0,1)</f>
        <v>2178</v>
      </c>
      <c r="Q13" s="16">
        <f t="shared" si="1"/>
        <v>0.26551261733512127</v>
      </c>
    </row>
    <row r="14" spans="2:20" x14ac:dyDescent="0.35">
      <c r="B14" s="5">
        <v>36</v>
      </c>
      <c r="C14" s="5" t="str">
        <f t="shared" si="3"/>
        <v>35-39 år</v>
      </c>
      <c r="D14" s="16">
        <f t="shared" si="0"/>
        <v>0.2624026948424838</v>
      </c>
      <c r="E14" s="5" t="str">
        <f ca="1">IF(OR(JobHopping[[#This Row],[Age]]=25,JobHopping[[#This Row],[Age]]&gt;69),"N",IF(AND(E12="N",E13="N", RAND()&lt;=D14), "Y", "N"))</f>
        <v>N</v>
      </c>
      <c r="F14" s="5" t="s">
        <v>0</v>
      </c>
      <c r="G14" s="5" t="str">
        <f>IF(JobHopping[[#This Row],[Age]]&lt;40,"",JobHopping[[#This Row],[SwitchP1Static]])</f>
        <v/>
      </c>
      <c r="M14" s="5">
        <v>2014</v>
      </c>
      <c r="N14" s="5" t="s">
        <v>18</v>
      </c>
      <c r="O14" s="5">
        <f>_xlfn.XLOOKUP(M14&amp;"-"&amp;N14,'Djøf Finance Workers'!D:D,'Djøf Finance Workers'!C:C,0,1)</f>
        <v>9972</v>
      </c>
      <c r="P14" s="5">
        <f>_xlfn.XLOOKUP(M14&amp;"-"&amp;N14,'Djøf Finance Hoppers'!D:D,'Djøf Finance Hoppers'!C:C,0,1)</f>
        <v>2066</v>
      </c>
      <c r="Q14" s="16">
        <f t="shared" si="1"/>
        <v>0.20718010429201764</v>
      </c>
    </row>
    <row r="15" spans="2:20" x14ac:dyDescent="0.35">
      <c r="B15" s="5">
        <v>37</v>
      </c>
      <c r="C15" s="5" t="str">
        <f t="shared" si="3"/>
        <v>35-39 år</v>
      </c>
      <c r="D15" s="16">
        <f t="shared" si="0"/>
        <v>0.2624026948424838</v>
      </c>
      <c r="E15" s="5" t="str">
        <f ca="1">IF(OR(JobHopping[[#This Row],[Age]]=25,JobHopping[[#This Row],[Age]]&gt;69),"N",IF(AND(E13="N",E14="N", RAND()&lt;=D15), "Y", "N"))</f>
        <v>N</v>
      </c>
      <c r="F15" s="5" t="s">
        <v>0</v>
      </c>
      <c r="G15" s="5" t="str">
        <f>IF(JobHopping[[#This Row],[Age]]&lt;40,"",JobHopping[[#This Row],[SwitchP1Static]])</f>
        <v/>
      </c>
      <c r="M15" s="5">
        <v>2014</v>
      </c>
      <c r="N15" s="5" t="s">
        <v>19</v>
      </c>
      <c r="O15" s="5">
        <f>_xlfn.XLOOKUP(M15&amp;"-"&amp;N15,'Djøf Finance Workers'!D:D,'Djøf Finance Workers'!C:C,0,1)</f>
        <v>9409</v>
      </c>
      <c r="P15" s="5">
        <f>_xlfn.XLOOKUP(M15&amp;"-"&amp;N15,'Djøf Finance Hoppers'!D:D,'Djøf Finance Hoppers'!C:C,0,1)</f>
        <v>1647</v>
      </c>
      <c r="Q15" s="16">
        <f t="shared" si="1"/>
        <v>0.17504516951854607</v>
      </c>
    </row>
    <row r="16" spans="2:20" x14ac:dyDescent="0.35">
      <c r="B16" s="5">
        <v>38</v>
      </c>
      <c r="C16" s="5" t="str">
        <f t="shared" si="3"/>
        <v>35-39 år</v>
      </c>
      <c r="D16" s="16">
        <f t="shared" si="0"/>
        <v>0.2624026948424838</v>
      </c>
      <c r="E16" s="5" t="str">
        <f ca="1">IF(OR(JobHopping[[#This Row],[Age]]=25,JobHopping[[#This Row],[Age]]&gt;69),"N",IF(AND(E14="N",E15="N", RAND()&lt;=D16), "Y", "N"))</f>
        <v>N</v>
      </c>
      <c r="F16" s="5" t="s">
        <v>0</v>
      </c>
      <c r="G16" s="5" t="str">
        <f>IF(JobHopping[[#This Row],[Age]]&lt;40,"",JobHopping[[#This Row],[SwitchP1Static]])</f>
        <v/>
      </c>
      <c r="M16" s="5">
        <v>2014</v>
      </c>
      <c r="N16" s="5" t="s">
        <v>20</v>
      </c>
      <c r="O16" s="5">
        <f>_xlfn.XLOOKUP(M16&amp;"-"&amp;N16,'Djøf Finance Workers'!D:D,'Djøf Finance Workers'!C:C,0,1)</f>
        <v>12377</v>
      </c>
      <c r="P16" s="5">
        <f>_xlfn.XLOOKUP(M16&amp;"-"&amp;N16,'Djøf Finance Hoppers'!D:D,'Djøf Finance Hoppers'!C:C,0,1)</f>
        <v>1953</v>
      </c>
      <c r="Q16" s="16">
        <f t="shared" si="1"/>
        <v>0.15779267997091379</v>
      </c>
    </row>
    <row r="17" spans="2:17" x14ac:dyDescent="0.35">
      <c r="B17" s="5">
        <v>39</v>
      </c>
      <c r="C17" s="5" t="str">
        <f t="shared" si="3"/>
        <v>35-39 år</v>
      </c>
      <c r="D17" s="16">
        <f t="shared" si="0"/>
        <v>0.2624026948424838</v>
      </c>
      <c r="E17" s="5" t="str">
        <f ca="1">IF(OR(JobHopping[[#This Row],[Age]]=25,JobHopping[[#This Row],[Age]]&gt;69),"N",IF(AND(E15="N",E16="N", RAND()&lt;=D17), "Y", "N"))</f>
        <v>N</v>
      </c>
      <c r="F17" s="5" t="s">
        <v>64</v>
      </c>
      <c r="G17" s="5" t="str">
        <f>IF(JobHopping[[#This Row],[Age]]&lt;40,"",JobHopping[[#This Row],[SwitchP1Static]])</f>
        <v/>
      </c>
      <c r="M17" s="5">
        <v>2014</v>
      </c>
      <c r="N17" s="5" t="s">
        <v>21</v>
      </c>
      <c r="O17" s="5">
        <f>_xlfn.XLOOKUP(M17&amp;"-"&amp;N17,'Djøf Finance Workers'!D:D,'Djøf Finance Workers'!C:C,0,1)</f>
        <v>10828</v>
      </c>
      <c r="P17" s="5">
        <f>_xlfn.XLOOKUP(M17&amp;"-"&amp;N17,'Djøf Finance Hoppers'!D:D,'Djøf Finance Hoppers'!C:C,0,1)</f>
        <v>1636</v>
      </c>
      <c r="Q17" s="16">
        <f t="shared" si="1"/>
        <v>0.15108976727004064</v>
      </c>
    </row>
    <row r="18" spans="2:17" x14ac:dyDescent="0.35">
      <c r="B18" s="5">
        <v>40</v>
      </c>
      <c r="C18" s="5" t="str">
        <f t="shared" si="3"/>
        <v>40-44 år</v>
      </c>
      <c r="D18" s="16">
        <f t="shared" si="0"/>
        <v>0.2213187304833609</v>
      </c>
      <c r="E18" s="5" t="str">
        <f ca="1">IF(OR(JobHopping[[#This Row],[Age]]=25,JobHopping[[#This Row],[Age]]&gt;69),"N",IF(AND(E16="N",E17="N", RAND()&lt;=D18), "Y", "N"))</f>
        <v>N</v>
      </c>
      <c r="F18" s="5" t="s">
        <v>0</v>
      </c>
      <c r="G18" s="5" t="str">
        <f>IF(JobHopping[[#This Row],[Age]]&lt;40,"",JobHopping[[#This Row],[SwitchP1Static]])</f>
        <v>N</v>
      </c>
      <c r="M18" s="5">
        <v>2014</v>
      </c>
      <c r="N18" s="5" t="s">
        <v>22</v>
      </c>
      <c r="O18" s="5">
        <f>_xlfn.XLOOKUP(M18&amp;"-"&amp;N18,'Djøf Finance Workers'!D:D,'Djøf Finance Workers'!C:C,0,1)</f>
        <v>8888</v>
      </c>
      <c r="P18" s="5">
        <f>_xlfn.XLOOKUP(M18&amp;"-"&amp;N18,'Djøf Finance Hoppers'!D:D,'Djøf Finance Hoppers'!C:C,0,1)</f>
        <v>1231</v>
      </c>
      <c r="Q18" s="16">
        <f t="shared" si="1"/>
        <v>0.1385013501350135</v>
      </c>
    </row>
    <row r="19" spans="2:17" x14ac:dyDescent="0.35">
      <c r="B19" s="5">
        <v>41</v>
      </c>
      <c r="C19" s="5" t="str">
        <f t="shared" si="3"/>
        <v>40-44 år</v>
      </c>
      <c r="D19" s="16">
        <f t="shared" si="0"/>
        <v>0.2213187304833609</v>
      </c>
      <c r="E19" s="5" t="str">
        <f ca="1">IF(OR(JobHopping[[#This Row],[Age]]=25,JobHopping[[#This Row],[Age]]&gt;69),"N",IF(AND(E17="N",E18="N", RAND()&lt;=D19), "Y", "N"))</f>
        <v>N</v>
      </c>
      <c r="F19" s="5" t="s">
        <v>0</v>
      </c>
      <c r="G19" s="5" t="str">
        <f>IF(JobHopping[[#This Row],[Age]]&lt;40,"",JobHopping[[#This Row],[SwitchP1Static]])</f>
        <v>N</v>
      </c>
      <c r="M19" s="5">
        <v>2014</v>
      </c>
      <c r="N19" s="5" t="s">
        <v>23</v>
      </c>
      <c r="O19" s="5">
        <f>_xlfn.XLOOKUP(M19&amp;"-"&amp;N19,'Djøf Finance Workers'!D:D,'Djøf Finance Workers'!C:C,0,1)</f>
        <v>5141</v>
      </c>
      <c r="P19" s="5">
        <f>_xlfn.XLOOKUP(M19&amp;"-"&amp;N19,'Djøf Finance Hoppers'!D:D,'Djøf Finance Hoppers'!C:C,0,1)</f>
        <v>706</v>
      </c>
      <c r="Q19" s="16">
        <f t="shared" si="1"/>
        <v>0.13732736821630034</v>
      </c>
    </row>
    <row r="20" spans="2:17" x14ac:dyDescent="0.35">
      <c r="B20" s="5">
        <v>42</v>
      </c>
      <c r="C20" s="5" t="str">
        <f t="shared" si="3"/>
        <v>40-44 år</v>
      </c>
      <c r="D20" s="16">
        <f t="shared" si="0"/>
        <v>0.2213187304833609</v>
      </c>
      <c r="E20" s="5" t="str">
        <f ca="1">IF(OR(JobHopping[[#This Row],[Age]]=25,JobHopping[[#This Row],[Age]]&gt;69),"N",IF(AND(E18="N",E19="N", RAND()&lt;=D20), "Y", "N"))</f>
        <v>N</v>
      </c>
      <c r="F20" s="5" t="s">
        <v>0</v>
      </c>
      <c r="G20" s="5" t="str">
        <f>IF(JobHopping[[#This Row],[Age]]&lt;40,"",JobHopping[[#This Row],[SwitchP1Static]])</f>
        <v>N</v>
      </c>
      <c r="M20" s="5">
        <v>2014</v>
      </c>
      <c r="N20" s="5" t="s">
        <v>24</v>
      </c>
      <c r="O20" s="5">
        <f>_xlfn.XLOOKUP(M20&amp;"-"&amp;N20,'Djøf Finance Workers'!D:D,'Djøf Finance Workers'!C:C,0,1)</f>
        <v>1600</v>
      </c>
      <c r="P20" s="5">
        <f>_xlfn.XLOOKUP(M20&amp;"-"&amp;N20,'Djøf Finance Hoppers'!D:D,'Djøf Finance Hoppers'!C:C,0,1)</f>
        <v>204</v>
      </c>
      <c r="Q20" s="16">
        <f t="shared" si="1"/>
        <v>0.1275</v>
      </c>
    </row>
    <row r="21" spans="2:17" x14ac:dyDescent="0.35">
      <c r="B21" s="5">
        <v>43</v>
      </c>
      <c r="C21" s="5" t="str">
        <f t="shared" si="3"/>
        <v>40-44 år</v>
      </c>
      <c r="D21" s="16">
        <f t="shared" si="0"/>
        <v>0.2213187304833609</v>
      </c>
      <c r="E21" s="5" t="str">
        <f ca="1">IF(OR(JobHopping[[#This Row],[Age]]=25,JobHopping[[#This Row],[Age]]&gt;69),"N",IF(AND(E19="N",E20="N", RAND()&lt;=D21), "Y", "N"))</f>
        <v>Y</v>
      </c>
      <c r="F21" s="5" t="s">
        <v>64</v>
      </c>
      <c r="G21" s="5" t="str">
        <f>IF(JobHopping[[#This Row],[Age]]&lt;40,"",JobHopping[[#This Row],[SwitchP1Static]])</f>
        <v>Y</v>
      </c>
      <c r="M21" s="5">
        <v>2015</v>
      </c>
      <c r="N21" s="5" t="s">
        <v>16</v>
      </c>
      <c r="O21" s="5">
        <f>_xlfn.XLOOKUP(M21&amp;"-"&amp;N21,'Djøf Finance Workers'!D:D,'Djøf Finance Workers'!C:C,0,1)</f>
        <v>5834</v>
      </c>
      <c r="P21" s="5">
        <f>_xlfn.XLOOKUP(M21&amp;"-"&amp;N21,'Djøf Finance Hoppers'!D:D,'Djøf Finance Hoppers'!C:C,0,1)</f>
        <v>2715</v>
      </c>
      <c r="Q21" s="16">
        <f t="shared" si="1"/>
        <v>0.46537538567020914</v>
      </c>
    </row>
    <row r="22" spans="2:17" x14ac:dyDescent="0.35">
      <c r="B22" s="5">
        <v>44</v>
      </c>
      <c r="C22" s="5" t="str">
        <f t="shared" si="3"/>
        <v>40-44 år</v>
      </c>
      <c r="D22" s="16">
        <f t="shared" si="0"/>
        <v>0.2213187304833609</v>
      </c>
      <c r="E22" s="5" t="str">
        <f ca="1">IF(OR(JobHopping[[#This Row],[Age]]=25,JobHopping[[#This Row],[Age]]&gt;69),"N",IF(AND(E20="N",E21="N", RAND()&lt;=D22), "Y", "N"))</f>
        <v>N</v>
      </c>
      <c r="F22" s="5" t="s">
        <v>0</v>
      </c>
      <c r="G22" s="5" t="str">
        <f>IF(JobHopping[[#This Row],[Age]]&lt;40,"",JobHopping[[#This Row],[SwitchP1Static]])</f>
        <v>N</v>
      </c>
      <c r="M22" s="5">
        <v>2015</v>
      </c>
      <c r="N22" s="5" t="s">
        <v>17</v>
      </c>
      <c r="O22" s="5">
        <f>_xlfn.XLOOKUP(M22&amp;"-"&amp;N22,'Djøf Finance Workers'!D:D,'Djøf Finance Workers'!C:C,0,1)</f>
        <v>7834</v>
      </c>
      <c r="P22" s="5">
        <f>_xlfn.XLOOKUP(M22&amp;"-"&amp;N22,'Djøf Finance Hoppers'!D:D,'Djøf Finance Hoppers'!C:C,0,1)</f>
        <v>2473</v>
      </c>
      <c r="Q22" s="16">
        <f t="shared" si="1"/>
        <v>0.31567526167985704</v>
      </c>
    </row>
    <row r="23" spans="2:17" x14ac:dyDescent="0.35">
      <c r="B23" s="5">
        <v>45</v>
      </c>
      <c r="C23" s="5" t="str">
        <f t="shared" si="3"/>
        <v>45-49 år</v>
      </c>
      <c r="D23" s="16">
        <f t="shared" si="0"/>
        <v>0.19929479981866399</v>
      </c>
      <c r="E23" s="5" t="str">
        <f ca="1">IF(OR(JobHopping[[#This Row],[Age]]=25,JobHopping[[#This Row],[Age]]&gt;69),"N",IF(AND(E21="N",E22="N", RAND()&lt;=D23), "Y", "N"))</f>
        <v>N</v>
      </c>
      <c r="F23" s="5" t="s">
        <v>0</v>
      </c>
      <c r="G23" s="5" t="str">
        <f>IF(JobHopping[[#This Row],[Age]]&lt;40,"",JobHopping[[#This Row],[SwitchP1Static]])</f>
        <v>N</v>
      </c>
      <c r="M23" s="5">
        <v>2015</v>
      </c>
      <c r="N23" s="5" t="s">
        <v>18</v>
      </c>
      <c r="O23" s="5">
        <f>_xlfn.XLOOKUP(M23&amp;"-"&amp;N23,'Djøf Finance Workers'!D:D,'Djøf Finance Workers'!C:C,0,1)</f>
        <v>9897</v>
      </c>
      <c r="P23" s="5">
        <f>_xlfn.XLOOKUP(M23&amp;"-"&amp;N23,'Djøf Finance Hoppers'!D:D,'Djøf Finance Hoppers'!C:C,0,1)</f>
        <v>2378</v>
      </c>
      <c r="Q23" s="16">
        <f t="shared" si="1"/>
        <v>0.24027483075679498</v>
      </c>
    </row>
    <row r="24" spans="2:17" x14ac:dyDescent="0.35">
      <c r="B24" s="5">
        <v>46</v>
      </c>
      <c r="C24" s="5" t="str">
        <f t="shared" si="3"/>
        <v>45-49 år</v>
      </c>
      <c r="D24" s="16">
        <f t="shared" si="0"/>
        <v>0.19929479981866399</v>
      </c>
      <c r="E24" s="5" t="str">
        <f ca="1">IF(OR(JobHopping[[#This Row],[Age]]=25,JobHopping[[#This Row],[Age]]&gt;69),"N",IF(AND(E22="N",E23="N", RAND()&lt;=D24), "Y", "N"))</f>
        <v>N</v>
      </c>
      <c r="F24" s="5" t="s">
        <v>0</v>
      </c>
      <c r="G24" s="5" t="str">
        <f>IF(JobHopping[[#This Row],[Age]]&lt;40,"",JobHopping[[#This Row],[SwitchP1Static]])</f>
        <v>N</v>
      </c>
      <c r="M24" s="5">
        <v>2015</v>
      </c>
      <c r="N24" s="5" t="s">
        <v>19</v>
      </c>
      <c r="O24" s="5">
        <f>_xlfn.XLOOKUP(M24&amp;"-"&amp;N24,'Djøf Finance Workers'!D:D,'Djøf Finance Workers'!C:C,0,1)</f>
        <v>9571</v>
      </c>
      <c r="P24" s="5">
        <f>_xlfn.XLOOKUP(M24&amp;"-"&amp;N24,'Djøf Finance Hoppers'!D:D,'Djøf Finance Hoppers'!C:C,0,1)</f>
        <v>1902</v>
      </c>
      <c r="Q24" s="16">
        <f t="shared" si="1"/>
        <v>0.19872531605892801</v>
      </c>
    </row>
    <row r="25" spans="2:17" x14ac:dyDescent="0.35">
      <c r="B25" s="5">
        <v>47</v>
      </c>
      <c r="C25" s="5" t="str">
        <f t="shared" si="3"/>
        <v>45-49 år</v>
      </c>
      <c r="D25" s="16">
        <f t="shared" si="0"/>
        <v>0.19929479981866399</v>
      </c>
      <c r="E25" s="5" t="str">
        <f ca="1">IF(OR(JobHopping[[#This Row],[Age]]=25,JobHopping[[#This Row],[Age]]&gt;69),"N",IF(AND(E23="N",E24="N", RAND()&lt;=D25), "Y", "N"))</f>
        <v>N</v>
      </c>
      <c r="F25" s="5" t="s">
        <v>64</v>
      </c>
      <c r="G25" s="5" t="str">
        <f>IF(JobHopping[[#This Row],[Age]]&lt;40,"",JobHopping[[#This Row],[SwitchP1Static]])</f>
        <v>Y</v>
      </c>
      <c r="M25" s="5">
        <v>2015</v>
      </c>
      <c r="N25" s="5" t="s">
        <v>20</v>
      </c>
      <c r="O25" s="5">
        <f>_xlfn.XLOOKUP(M25&amp;"-"&amp;N25,'Djøf Finance Workers'!D:D,'Djøf Finance Workers'!C:C,0,1)</f>
        <v>11603</v>
      </c>
      <c r="P25" s="5">
        <f>_xlfn.XLOOKUP(M25&amp;"-"&amp;N25,'Djøf Finance Hoppers'!D:D,'Djøf Finance Hoppers'!C:C,0,1)</f>
        <v>2085</v>
      </c>
      <c r="Q25" s="16">
        <f t="shared" si="1"/>
        <v>0.17969490648970093</v>
      </c>
    </row>
    <row r="26" spans="2:17" x14ac:dyDescent="0.35">
      <c r="B26" s="5">
        <v>48</v>
      </c>
      <c r="C26" s="5" t="str">
        <f t="shared" si="3"/>
        <v>45-49 år</v>
      </c>
      <c r="D26" s="16">
        <f t="shared" si="0"/>
        <v>0.19929479981866399</v>
      </c>
      <c r="E26" s="5" t="str">
        <f ca="1">IF(OR(JobHopping[[#This Row],[Age]]=25,JobHopping[[#This Row],[Age]]&gt;69),"N",IF(AND(E24="N",E25="N", RAND()&lt;=D26), "Y", "N"))</f>
        <v>N</v>
      </c>
      <c r="F26" s="5" t="s">
        <v>0</v>
      </c>
      <c r="G26" s="5" t="str">
        <f>IF(JobHopping[[#This Row],[Age]]&lt;40,"",JobHopping[[#This Row],[SwitchP1Static]])</f>
        <v>N</v>
      </c>
      <c r="M26" s="5">
        <v>2015</v>
      </c>
      <c r="N26" s="5" t="s">
        <v>21</v>
      </c>
      <c r="O26" s="5">
        <f>_xlfn.XLOOKUP(M26&amp;"-"&amp;N26,'Djøf Finance Workers'!D:D,'Djøf Finance Workers'!C:C,0,1)</f>
        <v>11160</v>
      </c>
      <c r="P26" s="5">
        <f>_xlfn.XLOOKUP(M26&amp;"-"&amp;N26,'Djøf Finance Hoppers'!D:D,'Djøf Finance Hoppers'!C:C,0,1)</f>
        <v>1717</v>
      </c>
      <c r="Q26" s="16">
        <f t="shared" si="1"/>
        <v>0.15385304659498208</v>
      </c>
    </row>
    <row r="27" spans="2:17" x14ac:dyDescent="0.35">
      <c r="B27" s="5">
        <v>49</v>
      </c>
      <c r="C27" s="5" t="str">
        <f t="shared" si="3"/>
        <v>45-49 år</v>
      </c>
      <c r="D27" s="16">
        <f t="shared" si="0"/>
        <v>0.19929479981866399</v>
      </c>
      <c r="E27" s="5" t="str">
        <f ca="1">IF(OR(JobHopping[[#This Row],[Age]]=25,JobHopping[[#This Row],[Age]]&gt;69),"N",IF(AND(E25="N",E26="N", RAND()&lt;=D27), "Y", "N"))</f>
        <v>N</v>
      </c>
      <c r="F27" s="5" t="s">
        <v>0</v>
      </c>
      <c r="G27" s="5" t="str">
        <f>IF(JobHopping[[#This Row],[Age]]&lt;40,"",JobHopping[[#This Row],[SwitchP1Static]])</f>
        <v>N</v>
      </c>
      <c r="M27" s="5">
        <v>2015</v>
      </c>
      <c r="N27" s="5" t="s">
        <v>22</v>
      </c>
      <c r="O27" s="5">
        <f>_xlfn.XLOOKUP(M27&amp;"-"&amp;N27,'Djøf Finance Workers'!D:D,'Djøf Finance Workers'!C:C,0,1)</f>
        <v>8969</v>
      </c>
      <c r="P27" s="5">
        <f>_xlfn.XLOOKUP(M27&amp;"-"&amp;N27,'Djøf Finance Hoppers'!D:D,'Djøf Finance Hoppers'!C:C,0,1)</f>
        <v>1226</v>
      </c>
      <c r="Q27" s="16">
        <f t="shared" si="1"/>
        <v>0.13669305385215744</v>
      </c>
    </row>
    <row r="28" spans="2:17" x14ac:dyDescent="0.35">
      <c r="B28" s="5">
        <v>50</v>
      </c>
      <c r="C28" s="5" t="str">
        <f t="shared" si="3"/>
        <v>50-54 år</v>
      </c>
      <c r="D28" s="16">
        <f t="shared" si="0"/>
        <v>0.17668929185764676</v>
      </c>
      <c r="E28" s="5" t="str">
        <f ca="1">IF(OR(JobHopping[[#This Row],[Age]]=25,JobHopping[[#This Row],[Age]]&gt;69),"N",IF(AND(E26="N",E27="N", RAND()&lt;=D28), "Y", "N"))</f>
        <v>N</v>
      </c>
      <c r="F28" s="5" t="s">
        <v>0</v>
      </c>
      <c r="G28" s="5" t="str">
        <f>IF(JobHopping[[#This Row],[Age]]&lt;40,"",JobHopping[[#This Row],[SwitchP1Static]])</f>
        <v>N</v>
      </c>
      <c r="M28" s="5">
        <v>2015</v>
      </c>
      <c r="N28" s="5" t="s">
        <v>23</v>
      </c>
      <c r="O28" s="5">
        <f>_xlfn.XLOOKUP(M28&amp;"-"&amp;N28,'Djøf Finance Workers'!D:D,'Djøf Finance Workers'!C:C,0,1)</f>
        <v>5167</v>
      </c>
      <c r="P28" s="5">
        <f>_xlfn.XLOOKUP(M28&amp;"-"&amp;N28,'Djøf Finance Hoppers'!D:D,'Djøf Finance Hoppers'!C:C,0,1)</f>
        <v>583</v>
      </c>
      <c r="Q28" s="16">
        <f t="shared" si="1"/>
        <v>0.11283143023030773</v>
      </c>
    </row>
    <row r="29" spans="2:17" x14ac:dyDescent="0.35">
      <c r="B29" s="5">
        <v>51</v>
      </c>
      <c r="C29" s="5" t="str">
        <f t="shared" si="3"/>
        <v>50-54 år</v>
      </c>
      <c r="D29" s="16">
        <f t="shared" si="0"/>
        <v>0.17668929185764676</v>
      </c>
      <c r="E29" s="5" t="str">
        <f ca="1">IF(OR(JobHopping[[#This Row],[Age]]=25,JobHopping[[#This Row],[Age]]&gt;69),"N",IF(AND(E27="N",E28="N", RAND()&lt;=D29), "Y", "N"))</f>
        <v>N</v>
      </c>
      <c r="F29" s="5" t="s">
        <v>0</v>
      </c>
      <c r="G29" s="5" t="str">
        <f>IF(JobHopping[[#This Row],[Age]]&lt;40,"",JobHopping[[#This Row],[SwitchP1Static]])</f>
        <v>N</v>
      </c>
      <c r="M29" s="5">
        <v>2015</v>
      </c>
      <c r="N29" s="5" t="s">
        <v>24</v>
      </c>
      <c r="O29" s="5">
        <f>_xlfn.XLOOKUP(M29&amp;"-"&amp;N29,'Djøf Finance Workers'!D:D,'Djøf Finance Workers'!C:C,0,1)</f>
        <v>1642</v>
      </c>
      <c r="P29" s="5">
        <f>_xlfn.XLOOKUP(M29&amp;"-"&amp;N29,'Djøf Finance Hoppers'!D:D,'Djøf Finance Hoppers'!C:C,0,1)</f>
        <v>211</v>
      </c>
      <c r="Q29" s="16">
        <f t="shared" si="1"/>
        <v>0.12850182704019489</v>
      </c>
    </row>
    <row r="30" spans="2:17" x14ac:dyDescent="0.35">
      <c r="B30" s="5">
        <v>52</v>
      </c>
      <c r="C30" s="5" t="str">
        <f t="shared" si="3"/>
        <v>50-54 år</v>
      </c>
      <c r="D30" s="16">
        <f t="shared" si="0"/>
        <v>0.17668929185764676</v>
      </c>
      <c r="E30" s="5" t="str">
        <f ca="1">IF(OR(JobHopping[[#This Row],[Age]]=25,JobHopping[[#This Row],[Age]]&gt;69),"N",IF(AND(E28="N",E29="N", RAND()&lt;=D30), "Y", "N"))</f>
        <v>N</v>
      </c>
      <c r="F30" s="5" t="s">
        <v>0</v>
      </c>
      <c r="G30" s="5" t="str">
        <f>IF(JobHopping[[#This Row],[Age]]&lt;40,"",JobHopping[[#This Row],[SwitchP1Static]])</f>
        <v>N</v>
      </c>
      <c r="M30" s="5">
        <v>2016</v>
      </c>
      <c r="N30" s="5" t="s">
        <v>16</v>
      </c>
      <c r="O30" s="5">
        <f>_xlfn.XLOOKUP(M30&amp;"-"&amp;N30,'Djøf Finance Workers'!D:D,'Djøf Finance Workers'!C:C,0,1)</f>
        <v>5701</v>
      </c>
      <c r="P30" s="5">
        <f>_xlfn.XLOOKUP(M30&amp;"-"&amp;N30,'Djøf Finance Hoppers'!D:D,'Djøf Finance Hoppers'!C:C,0,1)</f>
        <v>3005</v>
      </c>
      <c r="Q30" s="16">
        <f t="shared" si="1"/>
        <v>0.52710050868268721</v>
      </c>
    </row>
    <row r="31" spans="2:17" x14ac:dyDescent="0.35">
      <c r="B31" s="5">
        <v>53</v>
      </c>
      <c r="C31" s="5" t="str">
        <f t="shared" si="3"/>
        <v>50-54 år</v>
      </c>
      <c r="D31" s="16">
        <f t="shared" si="0"/>
        <v>0.17668929185764676</v>
      </c>
      <c r="E31" s="5" t="str">
        <f ca="1">IF(OR(JobHopping[[#This Row],[Age]]=25,JobHopping[[#This Row],[Age]]&gt;69),"N",IF(AND(E29="N",E30="N", RAND()&lt;=D31), "Y", "N"))</f>
        <v>N</v>
      </c>
      <c r="F31" s="5" t="s">
        <v>0</v>
      </c>
      <c r="G31" s="5" t="str">
        <f>IF(JobHopping[[#This Row],[Age]]&lt;40,"",JobHopping[[#This Row],[SwitchP1Static]])</f>
        <v>N</v>
      </c>
      <c r="M31" s="5">
        <v>2016</v>
      </c>
      <c r="N31" s="5" t="s">
        <v>17</v>
      </c>
      <c r="O31" s="5">
        <f>_xlfn.XLOOKUP(M31&amp;"-"&amp;N31,'Djøf Finance Workers'!D:D,'Djøf Finance Workers'!C:C,0,1)</f>
        <v>7831</v>
      </c>
      <c r="P31" s="5">
        <f>_xlfn.XLOOKUP(M31&amp;"-"&amp;N31,'Djøf Finance Hoppers'!D:D,'Djøf Finance Hoppers'!C:C,0,1)</f>
        <v>2584</v>
      </c>
      <c r="Q31" s="16">
        <f t="shared" si="1"/>
        <v>0.32997062954922746</v>
      </c>
    </row>
    <row r="32" spans="2:17" x14ac:dyDescent="0.35">
      <c r="B32" s="5">
        <v>54</v>
      </c>
      <c r="C32" s="5" t="str">
        <f t="shared" si="3"/>
        <v>50-54 år</v>
      </c>
      <c r="D32" s="16">
        <f t="shared" si="0"/>
        <v>0.17668929185764676</v>
      </c>
      <c r="E32" s="5" t="str">
        <f ca="1">IF(OR(JobHopping[[#This Row],[Age]]=25,JobHopping[[#This Row],[Age]]&gt;69),"N",IF(AND(E30="N",E31="N", RAND()&lt;=D32), "Y", "N"))</f>
        <v>N</v>
      </c>
      <c r="F32" s="5" t="s">
        <v>0</v>
      </c>
      <c r="G32" s="5" t="str">
        <f>IF(JobHopping[[#This Row],[Age]]&lt;40,"",JobHopping[[#This Row],[SwitchP1Static]])</f>
        <v>N</v>
      </c>
      <c r="M32" s="5">
        <v>2016</v>
      </c>
      <c r="N32" s="5" t="s">
        <v>18</v>
      </c>
      <c r="O32" s="5">
        <f>_xlfn.XLOOKUP(M32&amp;"-"&amp;N32,'Djøf Finance Workers'!D:D,'Djøf Finance Workers'!C:C,0,1)</f>
        <v>9564</v>
      </c>
      <c r="P32" s="5">
        <f>_xlfn.XLOOKUP(M32&amp;"-"&amp;N32,'Djøf Finance Hoppers'!D:D,'Djøf Finance Hoppers'!C:C,0,1)</f>
        <v>2311</v>
      </c>
      <c r="Q32" s="16">
        <f t="shared" si="1"/>
        <v>0.24163529903805939</v>
      </c>
    </row>
    <row r="33" spans="2:17" x14ac:dyDescent="0.35">
      <c r="B33" s="5">
        <v>55</v>
      </c>
      <c r="C33" s="5" t="str">
        <f t="shared" si="3"/>
        <v>55-59 år</v>
      </c>
      <c r="D33" s="16">
        <f t="shared" si="0"/>
        <v>0.15515674597479437</v>
      </c>
      <c r="E33" s="5" t="str">
        <f ca="1">IF(OR(JobHopping[[#This Row],[Age]]=25,JobHopping[[#This Row],[Age]]&gt;69),"N",IF(AND(E31="N",E32="N", RAND()&lt;=D33), "Y", "N"))</f>
        <v>N</v>
      </c>
      <c r="F33" s="5" t="s">
        <v>0</v>
      </c>
      <c r="G33" s="5" t="str">
        <f>IF(JobHopping[[#This Row],[Age]]&lt;40,"",JobHopping[[#This Row],[SwitchP1Static]])</f>
        <v>N</v>
      </c>
      <c r="M33" s="5">
        <v>2016</v>
      </c>
      <c r="N33" s="5" t="s">
        <v>19</v>
      </c>
      <c r="O33" s="5">
        <f>_xlfn.XLOOKUP(M33&amp;"-"&amp;N33,'Djøf Finance Workers'!D:D,'Djøf Finance Workers'!C:C,0,1)</f>
        <v>9711</v>
      </c>
      <c r="P33" s="5">
        <f>_xlfn.XLOOKUP(M33&amp;"-"&amp;N33,'Djøf Finance Hoppers'!D:D,'Djøf Finance Hoppers'!C:C,0,1)</f>
        <v>2111</v>
      </c>
      <c r="Q33" s="16">
        <f t="shared" si="1"/>
        <v>0.21738234991247041</v>
      </c>
    </row>
    <row r="34" spans="2:17" x14ac:dyDescent="0.35">
      <c r="B34" s="5">
        <v>56</v>
      </c>
      <c r="C34" s="5" t="str">
        <f t="shared" si="3"/>
        <v>55-59 år</v>
      </c>
      <c r="D34" s="16">
        <f t="shared" si="0"/>
        <v>0.15515674597479437</v>
      </c>
      <c r="E34" s="5" t="str">
        <f ca="1">IF(OR(JobHopping[[#This Row],[Age]]=25,JobHopping[[#This Row],[Age]]&gt;69),"N",IF(AND(E32="N",E33="N", RAND()&lt;=D34), "Y", "N"))</f>
        <v>N</v>
      </c>
      <c r="F34" s="5" t="s">
        <v>0</v>
      </c>
      <c r="G34" s="5" t="str">
        <f>IF(JobHopping[[#This Row],[Age]]&lt;40,"",JobHopping[[#This Row],[SwitchP1Static]])</f>
        <v>N</v>
      </c>
      <c r="M34" s="5">
        <v>2016</v>
      </c>
      <c r="N34" s="5" t="s">
        <v>20</v>
      </c>
      <c r="O34" s="5">
        <f>_xlfn.XLOOKUP(M34&amp;"-"&amp;N34,'Djøf Finance Workers'!D:D,'Djøf Finance Workers'!C:C,0,1)</f>
        <v>10533</v>
      </c>
      <c r="P34" s="5">
        <f>_xlfn.XLOOKUP(M34&amp;"-"&amp;N34,'Djøf Finance Hoppers'!D:D,'Djøf Finance Hoppers'!C:C,0,1)</f>
        <v>2000</v>
      </c>
      <c r="Q34" s="16">
        <f t="shared" si="1"/>
        <v>0.18987942656413179</v>
      </c>
    </row>
    <row r="35" spans="2:17" x14ac:dyDescent="0.35">
      <c r="B35" s="5">
        <v>57</v>
      </c>
      <c r="C35" s="5" t="str">
        <f t="shared" si="3"/>
        <v>55-59 år</v>
      </c>
      <c r="D35" s="16">
        <f t="shared" ref="D35:D66" si="4">_xlfn.XLOOKUP(C35,S:S,T:T)</f>
        <v>0.15515674597479437</v>
      </c>
      <c r="E35" s="5" t="str">
        <f ca="1">IF(OR(JobHopping[[#This Row],[Age]]=25,JobHopping[[#This Row],[Age]]&gt;69),"N",IF(AND(E33="N",E34="N", RAND()&lt;=D35), "Y", "N"))</f>
        <v>N</v>
      </c>
      <c r="F35" s="5" t="s">
        <v>0</v>
      </c>
      <c r="G35" s="5" t="str">
        <f>IF(JobHopping[[#This Row],[Age]]&lt;40,"",JobHopping[[#This Row],[SwitchP1Static]])</f>
        <v>N</v>
      </c>
      <c r="M35" s="5">
        <v>2016</v>
      </c>
      <c r="N35" s="5" t="s">
        <v>21</v>
      </c>
      <c r="O35" s="5">
        <f>_xlfn.XLOOKUP(M35&amp;"-"&amp;N35,'Djøf Finance Workers'!D:D,'Djøf Finance Workers'!C:C,0,1)</f>
        <v>11490</v>
      </c>
      <c r="P35" s="5">
        <f>_xlfn.XLOOKUP(M35&amp;"-"&amp;N35,'Djøf Finance Hoppers'!D:D,'Djøf Finance Hoppers'!C:C,0,1)</f>
        <v>1808</v>
      </c>
      <c r="Q35" s="16">
        <f t="shared" si="1"/>
        <v>0.15735422106179286</v>
      </c>
    </row>
    <row r="36" spans="2:17" x14ac:dyDescent="0.35">
      <c r="B36" s="5">
        <v>58</v>
      </c>
      <c r="C36" s="5" t="str">
        <f t="shared" si="3"/>
        <v>55-59 år</v>
      </c>
      <c r="D36" s="16">
        <f t="shared" si="4"/>
        <v>0.15515674597479437</v>
      </c>
      <c r="E36" s="5" t="str">
        <f ca="1">IF(OR(JobHopping[[#This Row],[Age]]=25,JobHopping[[#This Row],[Age]]&gt;69),"N",IF(AND(E34="N",E35="N", RAND()&lt;=D36), "Y", "N"))</f>
        <v>N</v>
      </c>
      <c r="F36" s="5" t="s">
        <v>0</v>
      </c>
      <c r="G36" s="5" t="str">
        <f>IF(JobHopping[[#This Row],[Age]]&lt;40,"",JobHopping[[#This Row],[SwitchP1Static]])</f>
        <v>N</v>
      </c>
      <c r="M36" s="5">
        <v>2016</v>
      </c>
      <c r="N36" s="5" t="s">
        <v>22</v>
      </c>
      <c r="O36" s="5">
        <f>_xlfn.XLOOKUP(M36&amp;"-"&amp;N36,'Djøf Finance Workers'!D:D,'Djøf Finance Workers'!C:C,0,1)</f>
        <v>9121</v>
      </c>
      <c r="P36" s="5">
        <f>_xlfn.XLOOKUP(M36&amp;"-"&amp;N36,'Djøf Finance Hoppers'!D:D,'Djøf Finance Hoppers'!C:C,0,1)</f>
        <v>1301</v>
      </c>
      <c r="Q36" s="16">
        <f t="shared" si="1"/>
        <v>0.14263786865475278</v>
      </c>
    </row>
    <row r="37" spans="2:17" x14ac:dyDescent="0.35">
      <c r="B37" s="5">
        <v>59</v>
      </c>
      <c r="C37" s="5" t="str">
        <f t="shared" si="3"/>
        <v>55-59 år</v>
      </c>
      <c r="D37" s="16">
        <f t="shared" si="4"/>
        <v>0.15515674597479437</v>
      </c>
      <c r="E37" s="5" t="str">
        <f ca="1">IF(OR(JobHopping[[#This Row],[Age]]=25,JobHopping[[#This Row],[Age]]&gt;69),"N",IF(AND(E35="N",E36="N", RAND()&lt;=D37), "Y", "N"))</f>
        <v>N</v>
      </c>
      <c r="F37" s="5" t="s">
        <v>0</v>
      </c>
      <c r="G37" s="5" t="str">
        <f>IF(JobHopping[[#This Row],[Age]]&lt;40,"",JobHopping[[#This Row],[SwitchP1Static]])</f>
        <v>N</v>
      </c>
      <c r="M37" s="5">
        <v>2016</v>
      </c>
      <c r="N37" s="5" t="s">
        <v>23</v>
      </c>
      <c r="O37" s="5">
        <f>_xlfn.XLOOKUP(M37&amp;"-"&amp;N37,'Djøf Finance Workers'!D:D,'Djøf Finance Workers'!C:C,0,1)</f>
        <v>5304</v>
      </c>
      <c r="P37" s="5">
        <f>_xlfn.XLOOKUP(M37&amp;"-"&amp;N37,'Djøf Finance Hoppers'!D:D,'Djøf Finance Hoppers'!C:C,0,1)</f>
        <v>708</v>
      </c>
      <c r="Q37" s="16">
        <f t="shared" si="1"/>
        <v>0.1334841628959276</v>
      </c>
    </row>
    <row r="38" spans="2:17" x14ac:dyDescent="0.35">
      <c r="B38" s="5">
        <v>60</v>
      </c>
      <c r="C38" s="5" t="str">
        <f t="shared" si="3"/>
        <v>60-64 år</v>
      </c>
      <c r="D38" s="16">
        <f t="shared" si="4"/>
        <v>0.13997311637990331</v>
      </c>
      <c r="E38" s="5" t="str">
        <f ca="1">IF(OR(JobHopping[[#This Row],[Age]]=25,JobHopping[[#This Row],[Age]]&gt;69),"N",IF(AND(E36="N",E37="N", RAND()&lt;=D38), "Y", "N"))</f>
        <v>N</v>
      </c>
      <c r="F38" s="5" t="s">
        <v>64</v>
      </c>
      <c r="G38" s="5" t="str">
        <f>IF(JobHopping[[#This Row],[Age]]&lt;40,"",JobHopping[[#This Row],[SwitchP1Static]])</f>
        <v>Y</v>
      </c>
      <c r="M38" s="5">
        <v>2016</v>
      </c>
      <c r="N38" s="5" t="s">
        <v>24</v>
      </c>
      <c r="O38" s="5">
        <f>_xlfn.XLOOKUP(M38&amp;"-"&amp;N38,'Djøf Finance Workers'!D:D,'Djøf Finance Workers'!C:C,0,1)</f>
        <v>1680</v>
      </c>
      <c r="P38" s="5">
        <f>_xlfn.XLOOKUP(M38&amp;"-"&amp;N38,'Djøf Finance Hoppers'!D:D,'Djøf Finance Hoppers'!C:C,0,1)</f>
        <v>183</v>
      </c>
      <c r="Q38" s="16">
        <f t="shared" si="1"/>
        <v>0.10892857142857143</v>
      </c>
    </row>
    <row r="39" spans="2:17" x14ac:dyDescent="0.35">
      <c r="B39" s="5">
        <v>61</v>
      </c>
      <c r="C39" s="5" t="str">
        <f t="shared" si="3"/>
        <v>60-64 år</v>
      </c>
      <c r="D39" s="16">
        <f t="shared" si="4"/>
        <v>0.13997311637990331</v>
      </c>
      <c r="E39" s="5" t="str">
        <f ca="1">IF(OR(JobHopping[[#This Row],[Age]]=25,JobHopping[[#This Row],[Age]]&gt;69),"N",IF(AND(E37="N",E38="N", RAND()&lt;=D39), "Y", "N"))</f>
        <v>N</v>
      </c>
      <c r="F39" s="5" t="s">
        <v>0</v>
      </c>
      <c r="G39" s="5" t="str">
        <f>IF(JobHopping[[#This Row],[Age]]&lt;40,"",JobHopping[[#This Row],[SwitchP1Static]])</f>
        <v>N</v>
      </c>
      <c r="M39" s="5">
        <v>2017</v>
      </c>
      <c r="N39" s="5" t="s">
        <v>16</v>
      </c>
      <c r="O39" s="5">
        <f>_xlfn.XLOOKUP(M39&amp;"-"&amp;N39,'Djøf Finance Workers'!D:D,'Djøf Finance Workers'!C:C,0,1)</f>
        <v>5951</v>
      </c>
      <c r="P39" s="5">
        <f>_xlfn.XLOOKUP(M39&amp;"-"&amp;N39,'Djøf Finance Hoppers'!D:D,'Djøf Finance Hoppers'!C:C,0,1)</f>
        <v>3106</v>
      </c>
      <c r="Q39" s="16">
        <f t="shared" si="1"/>
        <v>0.52192908754831124</v>
      </c>
    </row>
    <row r="40" spans="2:17" x14ac:dyDescent="0.35">
      <c r="B40" s="5">
        <v>62</v>
      </c>
      <c r="C40" s="5" t="str">
        <f t="shared" si="3"/>
        <v>60-64 år</v>
      </c>
      <c r="D40" s="16">
        <f t="shared" si="4"/>
        <v>0.13997311637990331</v>
      </c>
      <c r="E40" s="5" t="str">
        <f ca="1">IF(OR(JobHopping[[#This Row],[Age]]=25,JobHopping[[#This Row],[Age]]&gt;69),"N",IF(AND(E38="N",E39="N", RAND()&lt;=D40), "Y", "N"))</f>
        <v>Y</v>
      </c>
      <c r="F40" s="5" t="s">
        <v>0</v>
      </c>
      <c r="G40" s="5" t="str">
        <f>IF(JobHopping[[#This Row],[Age]]&lt;40,"",JobHopping[[#This Row],[SwitchP1Static]])</f>
        <v>N</v>
      </c>
      <c r="M40" s="5">
        <v>2017</v>
      </c>
      <c r="N40" s="5" t="s">
        <v>17</v>
      </c>
      <c r="O40" s="5">
        <f>_xlfn.XLOOKUP(M40&amp;"-"&amp;N40,'Djøf Finance Workers'!D:D,'Djøf Finance Workers'!C:C,0,1)</f>
        <v>8016</v>
      </c>
      <c r="P40" s="5">
        <f>_xlfn.XLOOKUP(M40&amp;"-"&amp;N40,'Djøf Finance Hoppers'!D:D,'Djøf Finance Hoppers'!C:C,0,1)</f>
        <v>2692</v>
      </c>
      <c r="Q40" s="16">
        <f t="shared" si="1"/>
        <v>0.33582834331337325</v>
      </c>
    </row>
    <row r="41" spans="2:17" x14ac:dyDescent="0.35">
      <c r="B41" s="5">
        <v>63</v>
      </c>
      <c r="C41" s="5" t="str">
        <f t="shared" si="3"/>
        <v>60-64 år</v>
      </c>
      <c r="D41" s="16">
        <f t="shared" si="4"/>
        <v>0.13997311637990331</v>
      </c>
      <c r="E41" s="5" t="str">
        <f ca="1">IF(OR(JobHopping[[#This Row],[Age]]=25,JobHopping[[#This Row],[Age]]&gt;69),"N",IF(AND(E39="N",E40="N", RAND()&lt;=D41), "Y", "N"))</f>
        <v>N</v>
      </c>
      <c r="F41" s="5" t="s">
        <v>0</v>
      </c>
      <c r="G41" s="5" t="str">
        <f>IF(JobHopping[[#This Row],[Age]]&lt;40,"",JobHopping[[#This Row],[SwitchP1Static]])</f>
        <v>N</v>
      </c>
      <c r="M41" s="5">
        <v>2017</v>
      </c>
      <c r="N41" s="5" t="s">
        <v>18</v>
      </c>
      <c r="O41" s="5">
        <f>_xlfn.XLOOKUP(M41&amp;"-"&amp;N41,'Djøf Finance Workers'!D:D,'Djøf Finance Workers'!C:C,0,1)</f>
        <v>9344</v>
      </c>
      <c r="P41" s="5">
        <f>_xlfn.XLOOKUP(M41&amp;"-"&amp;N41,'Djøf Finance Hoppers'!D:D,'Djøf Finance Hoppers'!C:C,0,1)</f>
        <v>2452</v>
      </c>
      <c r="Q41" s="16">
        <f t="shared" si="1"/>
        <v>0.26241438356164382</v>
      </c>
    </row>
    <row r="42" spans="2:17" x14ac:dyDescent="0.35">
      <c r="B42" s="5">
        <v>64</v>
      </c>
      <c r="C42" s="5" t="str">
        <f t="shared" si="3"/>
        <v>60-64 år</v>
      </c>
      <c r="D42" s="16">
        <f t="shared" si="4"/>
        <v>0.13997311637990331</v>
      </c>
      <c r="E42" s="5" t="str">
        <f ca="1">IF(OR(JobHopping[[#This Row],[Age]]=25,JobHopping[[#This Row],[Age]]&gt;69),"N",IF(AND(E40="N",E41="N", RAND()&lt;=D42), "Y", "N"))</f>
        <v>N</v>
      </c>
      <c r="F42" s="5" t="s">
        <v>0</v>
      </c>
      <c r="G42" s="5" t="str">
        <f>IF(JobHopping[[#This Row],[Age]]&lt;40,"",JobHopping[[#This Row],[SwitchP1Static]])</f>
        <v>N</v>
      </c>
      <c r="M42" s="5">
        <v>2017</v>
      </c>
      <c r="N42" s="5" t="s">
        <v>19</v>
      </c>
      <c r="O42" s="5">
        <f>_xlfn.XLOOKUP(M42&amp;"-"&amp;N42,'Djøf Finance Workers'!D:D,'Djøf Finance Workers'!C:C,0,1)</f>
        <v>9699</v>
      </c>
      <c r="P42" s="5">
        <f>_xlfn.XLOOKUP(M42&amp;"-"&amp;N42,'Djøf Finance Hoppers'!D:D,'Djøf Finance Hoppers'!C:C,0,1)</f>
        <v>2105</v>
      </c>
      <c r="Q42" s="16">
        <f t="shared" si="1"/>
        <v>0.21703268378183319</v>
      </c>
    </row>
    <row r="43" spans="2:17" x14ac:dyDescent="0.35">
      <c r="B43" s="5">
        <v>65</v>
      </c>
      <c r="C43" s="5" t="str">
        <f t="shared" si="3"/>
        <v>65+ år</v>
      </c>
      <c r="D43" s="16">
        <f t="shared" si="4"/>
        <v>0.11691873000664299</v>
      </c>
      <c r="E43" s="5" t="str">
        <f ca="1">IF(OR(JobHopping[[#This Row],[Age]]=25,JobHopping[[#This Row],[Age]]&gt;69),"N",IF(AND(E41="N",E42="N", RAND()&lt;=D43), "Y", "N"))</f>
        <v>N</v>
      </c>
      <c r="F43" s="5" t="s">
        <v>0</v>
      </c>
      <c r="G43" s="5" t="str">
        <f>IF(JobHopping[[#This Row],[Age]]&lt;40,"",JobHopping[[#This Row],[SwitchP1Static]])</f>
        <v>N</v>
      </c>
      <c r="M43" s="5">
        <v>2017</v>
      </c>
      <c r="N43" s="5" t="s">
        <v>20</v>
      </c>
      <c r="O43" s="5">
        <f>_xlfn.XLOOKUP(M43&amp;"-"&amp;N43,'Djøf Finance Workers'!D:D,'Djøf Finance Workers'!C:C,0,1)</f>
        <v>9778</v>
      </c>
      <c r="P43" s="5">
        <f>_xlfn.XLOOKUP(M43&amp;"-"&amp;N43,'Djøf Finance Hoppers'!D:D,'Djøf Finance Hoppers'!C:C,0,1)</f>
        <v>1892</v>
      </c>
      <c r="Q43" s="16">
        <f t="shared" si="1"/>
        <v>0.19349560237267335</v>
      </c>
    </row>
    <row r="44" spans="2:17" x14ac:dyDescent="0.35">
      <c r="B44" s="5">
        <v>66</v>
      </c>
      <c r="C44" s="5" t="str">
        <f t="shared" si="3"/>
        <v>65+ år</v>
      </c>
      <c r="D44" s="16">
        <f t="shared" si="4"/>
        <v>0.11691873000664299</v>
      </c>
      <c r="E44" s="5" t="str">
        <f ca="1">IF(OR(JobHopping[[#This Row],[Age]]=25,JobHopping[[#This Row],[Age]]&gt;69),"N",IF(AND(E42="N",E43="N", RAND()&lt;=D44), "Y", "N"))</f>
        <v>N</v>
      </c>
      <c r="F44" s="5" t="s">
        <v>0</v>
      </c>
      <c r="G44" s="5" t="str">
        <f>IF(JobHopping[[#This Row],[Age]]&lt;40,"",JobHopping[[#This Row],[SwitchP1Static]])</f>
        <v>N</v>
      </c>
      <c r="M44" s="5">
        <v>2017</v>
      </c>
      <c r="N44" s="5" t="s">
        <v>21</v>
      </c>
      <c r="O44" s="5">
        <f>_xlfn.XLOOKUP(M44&amp;"-"&amp;N44,'Djøf Finance Workers'!D:D,'Djøf Finance Workers'!C:C,0,1)</f>
        <v>11940</v>
      </c>
      <c r="P44" s="5">
        <f>_xlfn.XLOOKUP(M44&amp;"-"&amp;N44,'Djøf Finance Hoppers'!D:D,'Djøf Finance Hoppers'!C:C,0,1)</f>
        <v>2042</v>
      </c>
      <c r="Q44" s="16">
        <f t="shared" si="1"/>
        <v>0.1710217755443886</v>
      </c>
    </row>
    <row r="45" spans="2:17" x14ac:dyDescent="0.35">
      <c r="B45" s="5">
        <v>67</v>
      </c>
      <c r="C45" s="5" t="str">
        <f t="shared" si="3"/>
        <v>65+ år</v>
      </c>
      <c r="D45" s="16">
        <f t="shared" si="4"/>
        <v>0.11691873000664299</v>
      </c>
      <c r="E45" s="5" t="str">
        <f ca="1">IF(OR(JobHopping[[#This Row],[Age]]=25,JobHopping[[#This Row],[Age]]&gt;69),"N",IF(AND(E43="N",E44="N", RAND()&lt;=D45), "Y", "N"))</f>
        <v>Y</v>
      </c>
      <c r="F45" s="5" t="s">
        <v>0</v>
      </c>
      <c r="G45" s="5" t="str">
        <f>IF(JobHopping[[#This Row],[Age]]&lt;40,"",JobHopping[[#This Row],[SwitchP1Static]])</f>
        <v>N</v>
      </c>
      <c r="M45" s="5">
        <v>2017</v>
      </c>
      <c r="N45" s="5" t="s">
        <v>22</v>
      </c>
      <c r="O45" s="5">
        <f>_xlfn.XLOOKUP(M45&amp;"-"&amp;N45,'Djøf Finance Workers'!D:D,'Djøf Finance Workers'!C:C,0,1)</f>
        <v>9231</v>
      </c>
      <c r="P45" s="5">
        <f>_xlfn.XLOOKUP(M45&amp;"-"&amp;N45,'Djøf Finance Hoppers'!D:D,'Djøf Finance Hoppers'!C:C,0,1)</f>
        <v>1410</v>
      </c>
      <c r="Q45" s="16">
        <f t="shared" si="1"/>
        <v>0.15274618134546636</v>
      </c>
    </row>
    <row r="46" spans="2:17" x14ac:dyDescent="0.35">
      <c r="B46" s="5">
        <v>68</v>
      </c>
      <c r="C46" s="5" t="str">
        <f t="shared" si="3"/>
        <v>65+ år</v>
      </c>
      <c r="D46" s="16">
        <f t="shared" si="4"/>
        <v>0.11691873000664299</v>
      </c>
      <c r="E46" s="5" t="str">
        <f ca="1">IF(OR(JobHopping[[#This Row],[Age]]=25,JobHopping[[#This Row],[Age]]&gt;69),"N",IF(AND(E44="N",E45="N", RAND()&lt;=D46), "Y", "N"))</f>
        <v>N</v>
      </c>
      <c r="F46" s="5" t="s">
        <v>0</v>
      </c>
      <c r="G46" s="5" t="str">
        <f>IF(JobHopping[[#This Row],[Age]]&lt;40,"",JobHopping[[#This Row],[SwitchP1Static]])</f>
        <v>N</v>
      </c>
      <c r="M46" s="5">
        <v>2017</v>
      </c>
      <c r="N46" s="5" t="s">
        <v>23</v>
      </c>
      <c r="O46" s="5">
        <f>_xlfn.XLOOKUP(M46&amp;"-"&amp;N46,'Djøf Finance Workers'!D:D,'Djøf Finance Workers'!C:C,0,1)</f>
        <v>5403</v>
      </c>
      <c r="P46" s="5">
        <f>_xlfn.XLOOKUP(M46&amp;"-"&amp;N46,'Djøf Finance Hoppers'!D:D,'Djøf Finance Hoppers'!C:C,0,1)</f>
        <v>757</v>
      </c>
      <c r="Q46" s="16">
        <f t="shared" si="1"/>
        <v>0.14010734776975753</v>
      </c>
    </row>
    <row r="47" spans="2:17" x14ac:dyDescent="0.35">
      <c r="B47" s="5">
        <v>69</v>
      </c>
      <c r="C47" s="5" t="str">
        <f t="shared" si="3"/>
        <v>65+ år</v>
      </c>
      <c r="D47" s="16">
        <f t="shared" si="4"/>
        <v>0.11691873000664299</v>
      </c>
      <c r="E47" s="5" t="str">
        <f ca="1">IF(OR(JobHopping[[#This Row],[Age]]=25,JobHopping[[#This Row],[Age]]&gt;69),"N",IF(AND(E45="N",E46="N", RAND()&lt;=D47), "Y", "N"))</f>
        <v>N</v>
      </c>
      <c r="F47" s="5" t="s">
        <v>0</v>
      </c>
      <c r="G47" s="5" t="str">
        <f>IF(JobHopping[[#This Row],[Age]]&lt;40,"",JobHopping[[#This Row],[SwitchP1Static]])</f>
        <v>N</v>
      </c>
      <c r="M47" s="5">
        <v>2017</v>
      </c>
      <c r="N47" s="5" t="s">
        <v>24</v>
      </c>
      <c r="O47" s="5">
        <f>_xlfn.XLOOKUP(M47&amp;"-"&amp;N47,'Djøf Finance Workers'!D:D,'Djøf Finance Workers'!C:C,0,1)</f>
        <v>1775</v>
      </c>
      <c r="P47" s="5">
        <f>_xlfn.XLOOKUP(M47&amp;"-"&amp;N47,'Djøf Finance Hoppers'!D:D,'Djøf Finance Hoppers'!C:C,0,1)</f>
        <v>194</v>
      </c>
      <c r="Q47" s="16">
        <f t="shared" si="1"/>
        <v>0.10929577464788733</v>
      </c>
    </row>
    <row r="48" spans="2:17" x14ac:dyDescent="0.35">
      <c r="B48" s="5">
        <v>70</v>
      </c>
      <c r="C48" s="5" t="str">
        <f t="shared" si="3"/>
        <v>65+ år</v>
      </c>
      <c r="D48" s="16">
        <f t="shared" si="4"/>
        <v>0.11691873000664299</v>
      </c>
      <c r="E48" s="5" t="str">
        <f ca="1">IF(OR(JobHopping[[#This Row],[Age]]=25,JobHopping[[#This Row],[Age]]&gt;69),"N",IF(AND(E46="N",E47="N", RAND()&lt;=D48), "Y", "N"))</f>
        <v>N</v>
      </c>
      <c r="F48" s="5" t="s">
        <v>0</v>
      </c>
      <c r="G48" s="5" t="str">
        <f>IF(JobHopping[[#This Row],[Age]]&lt;40,"",JobHopping[[#This Row],[SwitchP1Static]])</f>
        <v>N</v>
      </c>
      <c r="M48" s="5">
        <v>2018</v>
      </c>
      <c r="N48" s="5" t="s">
        <v>16</v>
      </c>
      <c r="O48" s="5">
        <f>_xlfn.XLOOKUP(M48&amp;"-"&amp;N48,'Djøf Finance Workers'!D:D,'Djøf Finance Workers'!C:C,0,1)</f>
        <v>6353</v>
      </c>
      <c r="P48" s="5">
        <f>_xlfn.XLOOKUP(M48&amp;"-"&amp;N48,'Djøf Finance Hoppers'!D:D,'Djøf Finance Hoppers'!C:C,0,1)</f>
        <v>3149</v>
      </c>
      <c r="Q48" s="16">
        <f t="shared" si="1"/>
        <v>0.49567133637651506</v>
      </c>
    </row>
    <row r="49" spans="2:17" x14ac:dyDescent="0.35">
      <c r="B49" s="5">
        <v>71</v>
      </c>
      <c r="C49" s="5" t="str">
        <f t="shared" ref="C49:C54" si="5">IF(B49&lt;30, "25-29 år", IF(B49&lt;35, "30-34 år", IF(B49&lt;40, "35-39 år", IF(B49&lt;45, "40-44 år", IF(B49&lt;50, "45-49 år", IF(B49&lt;55, "50-54 år", IF(B49&lt;60, "55-59 år", IF(B49&lt;65, "60-64 år", "65+ år"))))))))</f>
        <v>65+ år</v>
      </c>
      <c r="D49" s="16">
        <f t="shared" si="4"/>
        <v>0.11691873000664299</v>
      </c>
      <c r="E49" s="5" t="str">
        <f ca="1">IF(OR(JobHopping[[#This Row],[Age]]=25,JobHopping[[#This Row],[Age]]&gt;69),"N",IF(AND(E47="N",E48="N", RAND()&lt;=D49), "Y", "N"))</f>
        <v>N</v>
      </c>
      <c r="F49" s="5" t="s">
        <v>0</v>
      </c>
      <c r="G49" s="5" t="str">
        <f>IF(JobHopping[[#This Row],[Age]]&lt;40,"",JobHopping[[#This Row],[SwitchP1Static]])</f>
        <v>N</v>
      </c>
      <c r="M49" s="5">
        <v>2018</v>
      </c>
      <c r="N49" s="5" t="s">
        <v>17</v>
      </c>
      <c r="O49" s="5">
        <f>_xlfn.XLOOKUP(M49&amp;"-"&amp;N49,'Djøf Finance Workers'!D:D,'Djøf Finance Workers'!C:C,0,1)</f>
        <v>8276</v>
      </c>
      <c r="P49" s="5">
        <f>_xlfn.XLOOKUP(M49&amp;"-"&amp;N49,'Djøf Finance Hoppers'!D:D,'Djøf Finance Hoppers'!C:C,0,1)</f>
        <v>2658</v>
      </c>
      <c r="Q49" s="16">
        <f t="shared" si="1"/>
        <v>0.32116964717254715</v>
      </c>
    </row>
    <row r="50" spans="2:17" x14ac:dyDescent="0.35">
      <c r="B50" s="5">
        <v>72</v>
      </c>
      <c r="C50" s="5" t="str">
        <f t="shared" si="5"/>
        <v>65+ år</v>
      </c>
      <c r="D50" s="16">
        <f t="shared" si="4"/>
        <v>0.11691873000664299</v>
      </c>
      <c r="E50" s="5" t="str">
        <f ca="1">IF(OR(JobHopping[[#This Row],[Age]]=25,JobHopping[[#This Row],[Age]]&gt;69),"N",IF(AND(E48="N",E49="N", RAND()&lt;=D50), "Y", "N"))</f>
        <v>N</v>
      </c>
      <c r="F50" s="5" t="s">
        <v>0</v>
      </c>
      <c r="G50" s="5" t="str">
        <f>IF(JobHopping[[#This Row],[Age]]&lt;40,"",JobHopping[[#This Row],[SwitchP1Static]])</f>
        <v>N</v>
      </c>
      <c r="M50" s="5">
        <v>2018</v>
      </c>
      <c r="N50" s="5" t="s">
        <v>18</v>
      </c>
      <c r="O50" s="5">
        <f>_xlfn.XLOOKUP(M50&amp;"-"&amp;N50,'Djøf Finance Workers'!D:D,'Djøf Finance Workers'!C:C,0,1)</f>
        <v>9245</v>
      </c>
      <c r="P50" s="5">
        <f>_xlfn.XLOOKUP(M50&amp;"-"&amp;N50,'Djøf Finance Hoppers'!D:D,'Djøf Finance Hoppers'!C:C,0,1)</f>
        <v>2333</v>
      </c>
      <c r="Q50" s="16">
        <f t="shared" si="1"/>
        <v>0.25235262303948081</v>
      </c>
    </row>
    <row r="51" spans="2:17" x14ac:dyDescent="0.35">
      <c r="B51" s="5">
        <v>73</v>
      </c>
      <c r="C51" s="5" t="str">
        <f t="shared" si="5"/>
        <v>65+ år</v>
      </c>
      <c r="D51" s="16">
        <f t="shared" si="4"/>
        <v>0.11691873000664299</v>
      </c>
      <c r="E51" s="5" t="str">
        <f ca="1">IF(OR(JobHopping[[#This Row],[Age]]=25,JobHopping[[#This Row],[Age]]&gt;69),"N",IF(AND(E49="N",E50="N", RAND()&lt;=D51), "Y", "N"))</f>
        <v>N</v>
      </c>
      <c r="F51" s="5" t="s">
        <v>0</v>
      </c>
      <c r="G51" s="5" t="str">
        <f>IF(JobHopping[[#This Row],[Age]]&lt;40,"",JobHopping[[#This Row],[SwitchP1Static]])</f>
        <v>N</v>
      </c>
      <c r="M51" s="5">
        <v>2018</v>
      </c>
      <c r="N51" s="5" t="s">
        <v>19</v>
      </c>
      <c r="O51" s="5">
        <f>_xlfn.XLOOKUP(M51&amp;"-"&amp;N51,'Djøf Finance Workers'!D:D,'Djøf Finance Workers'!C:C,0,1)</f>
        <v>9937</v>
      </c>
      <c r="P51" s="5">
        <f>_xlfn.XLOOKUP(M51&amp;"-"&amp;N51,'Djøf Finance Hoppers'!D:D,'Djøf Finance Hoppers'!C:C,0,1)</f>
        <v>2068</v>
      </c>
      <c r="Q51" s="16">
        <f t="shared" si="1"/>
        <v>0.2081110999295562</v>
      </c>
    </row>
    <row r="52" spans="2:17" x14ac:dyDescent="0.35">
      <c r="B52" s="5">
        <v>74</v>
      </c>
      <c r="C52" s="5" t="str">
        <f t="shared" si="5"/>
        <v>65+ år</v>
      </c>
      <c r="D52" s="16">
        <f t="shared" si="4"/>
        <v>0.11691873000664299</v>
      </c>
      <c r="E52" s="5" t="str">
        <f ca="1">IF(OR(JobHopping[[#This Row],[Age]]=25,JobHopping[[#This Row],[Age]]&gt;69),"N",IF(AND(E50="N",E51="N", RAND()&lt;=D52), "Y", "N"))</f>
        <v>N</v>
      </c>
      <c r="F52" s="5" t="s">
        <v>0</v>
      </c>
      <c r="G52" s="5" t="str">
        <f>IF(JobHopping[[#This Row],[Age]]&lt;40,"",JobHopping[[#This Row],[SwitchP1Static]])</f>
        <v>N</v>
      </c>
      <c r="M52" s="5">
        <v>2018</v>
      </c>
      <c r="N52" s="5" t="s">
        <v>20</v>
      </c>
      <c r="O52" s="5">
        <f>_xlfn.XLOOKUP(M52&amp;"-"&amp;N52,'Djøf Finance Workers'!D:D,'Djøf Finance Workers'!C:C,0,1)</f>
        <v>9488</v>
      </c>
      <c r="P52" s="5">
        <f>_xlfn.XLOOKUP(M52&amp;"-"&amp;N52,'Djøf Finance Hoppers'!D:D,'Djøf Finance Hoppers'!C:C,0,1)</f>
        <v>1770</v>
      </c>
      <c r="Q52" s="16">
        <f t="shared" si="1"/>
        <v>0.18655143338954469</v>
      </c>
    </row>
    <row r="53" spans="2:17" x14ac:dyDescent="0.35">
      <c r="B53" s="5">
        <v>75</v>
      </c>
      <c r="C53" s="5" t="str">
        <f t="shared" si="5"/>
        <v>65+ år</v>
      </c>
      <c r="D53" s="16">
        <f t="shared" si="4"/>
        <v>0.11691873000664299</v>
      </c>
      <c r="E53" s="5" t="str">
        <f ca="1">IF(OR(JobHopping[[#This Row],[Age]]=25,JobHopping[[#This Row],[Age]]&gt;69),"N",IF(AND(E51="N",E52="N", RAND()&lt;=D53), "Y", "N"))</f>
        <v>N</v>
      </c>
      <c r="F53" s="5" t="s">
        <v>0</v>
      </c>
      <c r="G53" s="5" t="str">
        <f>IF(JobHopping[[#This Row],[Age]]&lt;40,"",JobHopping[[#This Row],[SwitchP1Static]])</f>
        <v>N</v>
      </c>
      <c r="M53" s="5">
        <v>2018</v>
      </c>
      <c r="N53" s="5" t="s">
        <v>21</v>
      </c>
      <c r="O53" s="5">
        <f>_xlfn.XLOOKUP(M53&amp;"-"&amp;N53,'Djøf Finance Workers'!D:D,'Djøf Finance Workers'!C:C,0,1)</f>
        <v>12171</v>
      </c>
      <c r="P53" s="5">
        <f>_xlfn.XLOOKUP(M53&amp;"-"&amp;N53,'Djøf Finance Hoppers'!D:D,'Djøf Finance Hoppers'!C:C,0,1)</f>
        <v>2055</v>
      </c>
      <c r="Q53" s="16">
        <f t="shared" si="1"/>
        <v>0.16884397337934434</v>
      </c>
    </row>
    <row r="54" spans="2:17" x14ac:dyDescent="0.35">
      <c r="B54" s="5">
        <v>76</v>
      </c>
      <c r="C54" s="5" t="str">
        <f t="shared" si="5"/>
        <v>65+ år</v>
      </c>
      <c r="D54" s="16">
        <f t="shared" si="4"/>
        <v>0.11691873000664299</v>
      </c>
      <c r="E54" s="5" t="str">
        <f ca="1">IF(OR(JobHopping[[#This Row],[Age]]=25,JobHopping[[#This Row],[Age]]&gt;69),"N",IF(AND(E52="N",E53="N", RAND()&lt;=D54), "Y", "N"))</f>
        <v>N</v>
      </c>
      <c r="F54" s="5" t="s">
        <v>0</v>
      </c>
      <c r="G54" s="5" t="str">
        <f>IF(JobHopping[[#This Row],[Age]]&lt;40,"",JobHopping[[#This Row],[SwitchP1Static]])</f>
        <v>N</v>
      </c>
      <c r="M54" s="5">
        <v>2018</v>
      </c>
      <c r="N54" s="5" t="s">
        <v>22</v>
      </c>
      <c r="O54" s="5">
        <f>_xlfn.XLOOKUP(M54&amp;"-"&amp;N54,'Djøf Finance Workers'!D:D,'Djøf Finance Workers'!C:C,0,1)</f>
        <v>9537</v>
      </c>
      <c r="P54" s="5">
        <f>_xlfn.XLOOKUP(M54&amp;"-"&amp;N54,'Djøf Finance Hoppers'!D:D,'Djøf Finance Hoppers'!C:C,0,1)</f>
        <v>1415</v>
      </c>
      <c r="Q54" s="16">
        <f t="shared" si="1"/>
        <v>0.14836950823109993</v>
      </c>
    </row>
    <row r="55" spans="2:17" x14ac:dyDescent="0.35">
      <c r="B55" s="5">
        <v>77</v>
      </c>
      <c r="C55" s="5" t="str">
        <f t="shared" ref="C55:C69" si="6">IF(B55&lt;30, "25-29 år", IF(B55&lt;35, "30-34 år", IF(B55&lt;40, "35-39 år", IF(B55&lt;45, "40-44 år", IF(B55&lt;50, "45-49 år", IF(B55&lt;55, "50-54 år", IF(B55&lt;60, "55-59 år", IF(B55&lt;65, "60-64 år", "65+ år"))))))))</f>
        <v>65+ år</v>
      </c>
      <c r="D55" s="16">
        <f t="shared" si="4"/>
        <v>0.11691873000664299</v>
      </c>
      <c r="E55" s="5" t="str">
        <f ca="1">IF(OR(JobHopping[[#This Row],[Age]]=25,JobHopping[[#This Row],[Age]]&gt;69),"N",IF(AND(E53="N",E54="N", RAND()&lt;=D55), "Y", "N"))</f>
        <v>N</v>
      </c>
      <c r="F55" s="5" t="s">
        <v>0</v>
      </c>
      <c r="G55" s="5" t="str">
        <f>IF(JobHopping[[#This Row],[Age]]&lt;40,"",JobHopping[[#This Row],[SwitchP1Static]])</f>
        <v>N</v>
      </c>
      <c r="M55" s="5">
        <v>2018</v>
      </c>
      <c r="N55" s="5" t="s">
        <v>23</v>
      </c>
      <c r="O55" s="5">
        <f>_xlfn.XLOOKUP(M55&amp;"-"&amp;N55,'Djøf Finance Workers'!D:D,'Djøf Finance Workers'!C:C,0,1)</f>
        <v>5638</v>
      </c>
      <c r="P55" s="5">
        <f>_xlfn.XLOOKUP(M55&amp;"-"&amp;N55,'Djøf Finance Hoppers'!D:D,'Djøf Finance Hoppers'!C:C,0,1)</f>
        <v>681</v>
      </c>
      <c r="Q55" s="16">
        <f t="shared" si="1"/>
        <v>0.12078751330258958</v>
      </c>
    </row>
    <row r="56" spans="2:17" x14ac:dyDescent="0.35">
      <c r="B56" s="5">
        <v>78</v>
      </c>
      <c r="C56" s="5" t="str">
        <f t="shared" si="6"/>
        <v>65+ år</v>
      </c>
      <c r="D56" s="16">
        <f t="shared" si="4"/>
        <v>0.11691873000664299</v>
      </c>
      <c r="E56" s="5" t="str">
        <f ca="1">IF(OR(JobHopping[[#This Row],[Age]]=25,JobHopping[[#This Row],[Age]]&gt;69),"N",IF(AND(E54="N",E55="N", RAND()&lt;=D56), "Y", "N"))</f>
        <v>N</v>
      </c>
      <c r="F56" s="5" t="s">
        <v>0</v>
      </c>
      <c r="G56" s="5" t="str">
        <f>IF(JobHopping[[#This Row],[Age]]&lt;40,"",JobHopping[[#This Row],[SwitchP1Static]])</f>
        <v>N</v>
      </c>
      <c r="M56" s="5">
        <v>2018</v>
      </c>
      <c r="N56" s="5" t="s">
        <v>24</v>
      </c>
      <c r="O56" s="5">
        <f>_xlfn.XLOOKUP(M56&amp;"-"&amp;N56,'Djøf Finance Workers'!D:D,'Djøf Finance Workers'!C:C,0,1)</f>
        <v>1897</v>
      </c>
      <c r="P56" s="5">
        <f>_xlfn.XLOOKUP(M56&amp;"-"&amp;N56,'Djøf Finance Hoppers'!D:D,'Djøf Finance Hoppers'!C:C,0,1)</f>
        <v>174</v>
      </c>
      <c r="Q56" s="16">
        <f t="shared" si="1"/>
        <v>9.1723774380600948E-2</v>
      </c>
    </row>
    <row r="57" spans="2:17" x14ac:dyDescent="0.35">
      <c r="B57" s="5">
        <v>79</v>
      </c>
      <c r="C57" s="5" t="str">
        <f t="shared" si="6"/>
        <v>65+ år</v>
      </c>
      <c r="D57" s="16">
        <f t="shared" si="4"/>
        <v>0.11691873000664299</v>
      </c>
      <c r="E57" s="5" t="str">
        <f ca="1">IF(OR(JobHopping[[#This Row],[Age]]=25,JobHopping[[#This Row],[Age]]&gt;69),"N",IF(AND(E55="N",E56="N", RAND()&lt;=D57), "Y", "N"))</f>
        <v>N</v>
      </c>
      <c r="F57" s="5" t="s">
        <v>0</v>
      </c>
      <c r="G57" s="5" t="str">
        <f>IF(JobHopping[[#This Row],[Age]]&lt;40,"",JobHopping[[#This Row],[SwitchP1Static]])</f>
        <v>N</v>
      </c>
      <c r="M57" s="5">
        <v>2019</v>
      </c>
      <c r="N57" s="5" t="s">
        <v>16</v>
      </c>
      <c r="O57" s="5">
        <f>_xlfn.XLOOKUP(M57&amp;"-"&amp;N57,'Djøf Finance Workers'!D:D,'Djøf Finance Workers'!C:C,0,1)</f>
        <v>6883</v>
      </c>
      <c r="P57" s="5">
        <f>_xlfn.XLOOKUP(M57&amp;"-"&amp;N57,'Djøf Finance Hoppers'!D:D,'Djøf Finance Hoppers'!C:C,0,1)</f>
        <v>3477</v>
      </c>
      <c r="Q57" s="16">
        <f t="shared" si="1"/>
        <v>0.50515763475228825</v>
      </c>
    </row>
    <row r="58" spans="2:17" x14ac:dyDescent="0.35">
      <c r="B58" s="5">
        <v>80</v>
      </c>
      <c r="C58" s="5" t="str">
        <f t="shared" si="6"/>
        <v>65+ år</v>
      </c>
      <c r="D58" s="16">
        <f t="shared" si="4"/>
        <v>0.11691873000664299</v>
      </c>
      <c r="E58" s="5" t="str">
        <f ca="1">IF(OR(JobHopping[[#This Row],[Age]]=25,JobHopping[[#This Row],[Age]]&gt;69),"N",IF(AND(E56="N",E57="N", RAND()&lt;=D58), "Y", "N"))</f>
        <v>N</v>
      </c>
      <c r="F58" s="5" t="s">
        <v>0</v>
      </c>
      <c r="G58" s="5" t="str">
        <f>IF(JobHopping[[#This Row],[Age]]&lt;40,"",JobHopping[[#This Row],[SwitchP1Static]])</f>
        <v>N</v>
      </c>
      <c r="M58" s="5">
        <v>2019</v>
      </c>
      <c r="N58" s="5" t="s">
        <v>17</v>
      </c>
      <c r="O58" s="5">
        <f>_xlfn.XLOOKUP(M58&amp;"-"&amp;N58,'Djøf Finance Workers'!D:D,'Djøf Finance Workers'!C:C,0,1)</f>
        <v>8461</v>
      </c>
      <c r="P58" s="5">
        <f>_xlfn.XLOOKUP(M58&amp;"-"&amp;N58,'Djøf Finance Hoppers'!D:D,'Djøf Finance Hoppers'!C:C,0,1)</f>
        <v>2839</v>
      </c>
      <c r="Q58" s="16">
        <f t="shared" si="1"/>
        <v>0.33553953433400308</v>
      </c>
    </row>
    <row r="59" spans="2:17" x14ac:dyDescent="0.35">
      <c r="B59" s="5">
        <v>81</v>
      </c>
      <c r="C59" s="5" t="str">
        <f t="shared" si="6"/>
        <v>65+ år</v>
      </c>
      <c r="D59" s="16">
        <f t="shared" si="4"/>
        <v>0.11691873000664299</v>
      </c>
      <c r="E59" s="5" t="str">
        <f ca="1">IF(OR(JobHopping[[#This Row],[Age]]=25,JobHopping[[#This Row],[Age]]&gt;69),"N",IF(AND(E57="N",E58="N", RAND()&lt;=D59), "Y", "N"))</f>
        <v>N</v>
      </c>
      <c r="F59" s="5" t="s">
        <v>0</v>
      </c>
      <c r="G59" s="5" t="str">
        <f>IF(JobHopping[[#This Row],[Age]]&lt;40,"",JobHopping[[#This Row],[SwitchP1Static]])</f>
        <v>N</v>
      </c>
      <c r="M59" s="5">
        <v>2019</v>
      </c>
      <c r="N59" s="5" t="s">
        <v>18</v>
      </c>
      <c r="O59" s="5">
        <f>_xlfn.XLOOKUP(M59&amp;"-"&amp;N59,'Djøf Finance Workers'!D:D,'Djøf Finance Workers'!C:C,0,1)</f>
        <v>9057</v>
      </c>
      <c r="P59" s="5">
        <f>_xlfn.XLOOKUP(M59&amp;"-"&amp;N59,'Djøf Finance Hoppers'!D:D,'Djøf Finance Hoppers'!C:C,0,1)</f>
        <v>2298</v>
      </c>
      <c r="Q59" s="16">
        <f t="shared" si="1"/>
        <v>0.25372639947002318</v>
      </c>
    </row>
    <row r="60" spans="2:17" x14ac:dyDescent="0.35">
      <c r="B60" s="5">
        <v>82</v>
      </c>
      <c r="C60" s="5" t="str">
        <f t="shared" si="6"/>
        <v>65+ år</v>
      </c>
      <c r="D60" s="16">
        <f t="shared" si="4"/>
        <v>0.11691873000664299</v>
      </c>
      <c r="E60" s="5" t="str">
        <f ca="1">IF(OR(JobHopping[[#This Row],[Age]]=25,JobHopping[[#This Row],[Age]]&gt;69),"N",IF(AND(E58="N",E59="N", RAND()&lt;=D60), "Y", "N"))</f>
        <v>N</v>
      </c>
      <c r="F60" s="5" t="s">
        <v>0</v>
      </c>
      <c r="G60" s="5" t="str">
        <f>IF(JobHopping[[#This Row],[Age]]&lt;40,"",JobHopping[[#This Row],[SwitchP1Static]])</f>
        <v>N</v>
      </c>
      <c r="M60" s="5">
        <v>2019</v>
      </c>
      <c r="N60" s="5" t="s">
        <v>19</v>
      </c>
      <c r="O60" s="5">
        <f>_xlfn.XLOOKUP(M60&amp;"-"&amp;N60,'Djøf Finance Workers'!D:D,'Djøf Finance Workers'!C:C,0,1)</f>
        <v>10158</v>
      </c>
      <c r="P60" s="5">
        <f>_xlfn.XLOOKUP(M60&amp;"-"&amp;N60,'Djøf Finance Hoppers'!D:D,'Djøf Finance Hoppers'!C:C,0,1)</f>
        <v>2100</v>
      </c>
      <c r="Q60" s="16">
        <f t="shared" si="1"/>
        <v>0.2067336089781453</v>
      </c>
    </row>
    <row r="61" spans="2:17" x14ac:dyDescent="0.35">
      <c r="B61" s="5">
        <v>83</v>
      </c>
      <c r="C61" s="5" t="str">
        <f t="shared" si="6"/>
        <v>65+ år</v>
      </c>
      <c r="D61" s="16">
        <f t="shared" si="4"/>
        <v>0.11691873000664299</v>
      </c>
      <c r="E61" s="5" t="str">
        <f ca="1">IF(OR(JobHopping[[#This Row],[Age]]=25,JobHopping[[#This Row],[Age]]&gt;69),"N",IF(AND(E59="N",E60="N", RAND()&lt;=D61), "Y", "N"))</f>
        <v>N</v>
      </c>
      <c r="F61" s="5" t="s">
        <v>0</v>
      </c>
      <c r="G61" s="5" t="str">
        <f>IF(JobHopping[[#This Row],[Age]]&lt;40,"",JobHopping[[#This Row],[SwitchP1Static]])</f>
        <v>N</v>
      </c>
      <c r="M61" s="5">
        <v>2019</v>
      </c>
      <c r="N61" s="5" t="s">
        <v>20</v>
      </c>
      <c r="O61" s="5">
        <f>_xlfn.XLOOKUP(M61&amp;"-"&amp;N61,'Djøf Finance Workers'!D:D,'Djøf Finance Workers'!C:C,0,1)</f>
        <v>9482</v>
      </c>
      <c r="P61" s="5">
        <f>_xlfn.XLOOKUP(M61&amp;"-"&amp;N61,'Djøf Finance Hoppers'!D:D,'Djøf Finance Hoppers'!C:C,0,1)</f>
        <v>1802</v>
      </c>
      <c r="Q61" s="16">
        <f t="shared" si="1"/>
        <v>0.19004429445264712</v>
      </c>
    </row>
    <row r="62" spans="2:17" x14ac:dyDescent="0.35">
      <c r="B62" s="5">
        <v>84</v>
      </c>
      <c r="C62" s="5" t="str">
        <f t="shared" si="6"/>
        <v>65+ år</v>
      </c>
      <c r="D62" s="16">
        <f t="shared" si="4"/>
        <v>0.11691873000664299</v>
      </c>
      <c r="E62" s="5" t="str">
        <f ca="1">IF(OR(JobHopping[[#This Row],[Age]]=25,JobHopping[[#This Row],[Age]]&gt;69),"N",IF(AND(E60="N",E61="N", RAND()&lt;=D62), "Y", "N"))</f>
        <v>N</v>
      </c>
      <c r="F62" s="5" t="s">
        <v>0</v>
      </c>
      <c r="G62" s="5" t="str">
        <f>IF(JobHopping[[#This Row],[Age]]&lt;40,"",JobHopping[[#This Row],[SwitchP1Static]])</f>
        <v>N</v>
      </c>
      <c r="M62" s="5">
        <v>2019</v>
      </c>
      <c r="N62" s="5" t="s">
        <v>21</v>
      </c>
      <c r="O62" s="5">
        <f>_xlfn.XLOOKUP(M62&amp;"-"&amp;N62,'Djøf Finance Workers'!D:D,'Djøf Finance Workers'!C:C,0,1)</f>
        <v>11866</v>
      </c>
      <c r="P62" s="5">
        <f>_xlfn.XLOOKUP(M62&amp;"-"&amp;N62,'Djøf Finance Hoppers'!D:D,'Djøf Finance Hoppers'!C:C,0,1)</f>
        <v>2054</v>
      </c>
      <c r="Q62" s="16">
        <f t="shared" si="1"/>
        <v>0.1730996123377718</v>
      </c>
    </row>
    <row r="63" spans="2:17" x14ac:dyDescent="0.35">
      <c r="B63" s="5">
        <v>85</v>
      </c>
      <c r="C63" s="5" t="str">
        <f t="shared" si="6"/>
        <v>65+ år</v>
      </c>
      <c r="D63" s="16">
        <f t="shared" si="4"/>
        <v>0.11691873000664299</v>
      </c>
      <c r="E63" s="5" t="str">
        <f ca="1">IF(OR(JobHopping[[#This Row],[Age]]=25,JobHopping[[#This Row],[Age]]&gt;69),"N",IF(AND(E61="N",E62="N", RAND()&lt;=D63), "Y", "N"))</f>
        <v>N</v>
      </c>
      <c r="F63" s="5" t="s">
        <v>0</v>
      </c>
      <c r="G63" s="5" t="str">
        <f>IF(JobHopping[[#This Row],[Age]]&lt;40,"",JobHopping[[#This Row],[SwitchP1Static]])</f>
        <v>N</v>
      </c>
      <c r="M63" s="5">
        <v>2019</v>
      </c>
      <c r="N63" s="5" t="s">
        <v>22</v>
      </c>
      <c r="O63" s="5">
        <f>_xlfn.XLOOKUP(M63&amp;"-"&amp;N63,'Djøf Finance Workers'!D:D,'Djøf Finance Workers'!C:C,0,1)</f>
        <v>9811</v>
      </c>
      <c r="P63" s="5">
        <f>_xlfn.XLOOKUP(M63&amp;"-"&amp;N63,'Djøf Finance Hoppers'!D:D,'Djøf Finance Hoppers'!C:C,0,1)</f>
        <v>1383</v>
      </c>
      <c r="Q63" s="16">
        <f t="shared" si="1"/>
        <v>0.14096422383039445</v>
      </c>
    </row>
    <row r="64" spans="2:17" x14ac:dyDescent="0.35">
      <c r="B64" s="5">
        <v>86</v>
      </c>
      <c r="C64" s="5" t="str">
        <f t="shared" si="6"/>
        <v>65+ år</v>
      </c>
      <c r="D64" s="16">
        <f t="shared" si="4"/>
        <v>0.11691873000664299</v>
      </c>
      <c r="E64" s="5" t="str">
        <f ca="1">IF(OR(JobHopping[[#This Row],[Age]]=25,JobHopping[[#This Row],[Age]]&gt;69),"N",IF(AND(E62="N",E63="N", RAND()&lt;=D64), "Y", "N"))</f>
        <v>N</v>
      </c>
      <c r="F64" s="5" t="s">
        <v>0</v>
      </c>
      <c r="G64" s="5" t="str">
        <f>IF(JobHopping[[#This Row],[Age]]&lt;40,"",JobHopping[[#This Row],[SwitchP1Static]])</f>
        <v>N</v>
      </c>
      <c r="M64" s="5">
        <v>2019</v>
      </c>
      <c r="N64" s="5" t="s">
        <v>23</v>
      </c>
      <c r="O64" s="5">
        <f>_xlfn.XLOOKUP(M64&amp;"-"&amp;N64,'Djøf Finance Workers'!D:D,'Djøf Finance Workers'!C:C,0,1)</f>
        <v>5907</v>
      </c>
      <c r="P64" s="5">
        <f>_xlfn.XLOOKUP(M64&amp;"-"&amp;N64,'Djøf Finance Hoppers'!D:D,'Djøf Finance Hoppers'!C:C,0,1)</f>
        <v>791</v>
      </c>
      <c r="Q64" s="16">
        <f t="shared" si="1"/>
        <v>0.13390892161841883</v>
      </c>
    </row>
    <row r="65" spans="2:17" x14ac:dyDescent="0.35">
      <c r="B65" s="5">
        <v>87</v>
      </c>
      <c r="C65" s="5" t="str">
        <f t="shared" si="6"/>
        <v>65+ år</v>
      </c>
      <c r="D65" s="16">
        <f t="shared" si="4"/>
        <v>0.11691873000664299</v>
      </c>
      <c r="E65" s="5" t="str">
        <f ca="1">IF(OR(JobHopping[[#This Row],[Age]]=25,JobHopping[[#This Row],[Age]]&gt;69),"N",IF(AND(E63="N",E64="N", RAND()&lt;=D65), "Y", "N"))</f>
        <v>N</v>
      </c>
      <c r="F65" s="5" t="s">
        <v>0</v>
      </c>
      <c r="G65" s="5" t="str">
        <f>IF(JobHopping[[#This Row],[Age]]&lt;40,"",JobHopping[[#This Row],[SwitchP1Static]])</f>
        <v>N</v>
      </c>
      <c r="M65" s="5">
        <v>2019</v>
      </c>
      <c r="N65" s="5" t="s">
        <v>24</v>
      </c>
      <c r="O65" s="5">
        <f>_xlfn.XLOOKUP(M65&amp;"-"&amp;N65,'Djøf Finance Workers'!D:D,'Djøf Finance Workers'!C:C,0,1)</f>
        <v>2030</v>
      </c>
      <c r="P65" s="5">
        <f>_xlfn.XLOOKUP(M65&amp;"-"&amp;N65,'Djøf Finance Hoppers'!D:D,'Djøf Finance Hoppers'!C:C,0,1)</f>
        <v>188</v>
      </c>
      <c r="Q65" s="16">
        <f t="shared" si="1"/>
        <v>9.2610837438423646E-2</v>
      </c>
    </row>
    <row r="66" spans="2:17" x14ac:dyDescent="0.35">
      <c r="B66" s="5">
        <v>88</v>
      </c>
      <c r="C66" s="5" t="str">
        <f t="shared" si="6"/>
        <v>65+ år</v>
      </c>
      <c r="D66" s="16">
        <f t="shared" si="4"/>
        <v>0.11691873000664299</v>
      </c>
      <c r="E66" s="5" t="str">
        <f ca="1">IF(OR(JobHopping[[#This Row],[Age]]=25,JobHopping[[#This Row],[Age]]&gt;69),"N",IF(AND(E64="N",E65="N", RAND()&lt;=D66), "Y", "N"))</f>
        <v>N</v>
      </c>
      <c r="F66" s="5" t="s">
        <v>0</v>
      </c>
      <c r="G66" s="5" t="str">
        <f>IF(JobHopping[[#This Row],[Age]]&lt;40,"",JobHopping[[#This Row],[SwitchP1Static]])</f>
        <v>N</v>
      </c>
      <c r="M66" s="5">
        <v>2020</v>
      </c>
      <c r="N66" s="5" t="s">
        <v>16</v>
      </c>
      <c r="O66" s="5">
        <f>_xlfn.XLOOKUP(M66&amp;"-"&amp;N66,'Djøf Finance Workers'!D:D,'Djøf Finance Workers'!C:C,0,1)</f>
        <v>7337</v>
      </c>
      <c r="P66" s="5">
        <f>_xlfn.XLOOKUP(M66&amp;"-"&amp;N66,'Djøf Finance Hoppers'!D:D,'Djøf Finance Hoppers'!C:C,0,1)</f>
        <v>3028</v>
      </c>
      <c r="Q66" s="16">
        <f t="shared" si="1"/>
        <v>0.41270273953932124</v>
      </c>
    </row>
    <row r="67" spans="2:17" x14ac:dyDescent="0.35">
      <c r="B67" s="5">
        <v>89</v>
      </c>
      <c r="C67" s="5" t="str">
        <f t="shared" si="6"/>
        <v>65+ år</v>
      </c>
      <c r="D67" s="16">
        <f t="shared" ref="D67:D78" si="7">_xlfn.XLOOKUP(C67,S:S,T:T)</f>
        <v>0.11691873000664299</v>
      </c>
      <c r="E67" s="5" t="str">
        <f ca="1">IF(OR(JobHopping[[#This Row],[Age]]=25,JobHopping[[#This Row],[Age]]&gt;69),"N",IF(AND(E65="N",E66="N", RAND()&lt;=D67), "Y", "N"))</f>
        <v>N</v>
      </c>
      <c r="F67" s="5" t="s">
        <v>0</v>
      </c>
      <c r="G67" s="5" t="str">
        <f>IF(JobHopping[[#This Row],[Age]]&lt;40,"",JobHopping[[#This Row],[SwitchP1Static]])</f>
        <v>N</v>
      </c>
      <c r="M67" s="5">
        <v>2020</v>
      </c>
      <c r="N67" s="5" t="s">
        <v>17</v>
      </c>
      <c r="O67" s="5">
        <f>_xlfn.XLOOKUP(M67&amp;"-"&amp;N67,'Djøf Finance Workers'!D:D,'Djøf Finance Workers'!C:C,0,1)</f>
        <v>8658</v>
      </c>
      <c r="P67" s="5">
        <f>_xlfn.XLOOKUP(M67&amp;"-"&amp;N67,'Djøf Finance Hoppers'!D:D,'Djøf Finance Hoppers'!C:C,0,1)</f>
        <v>2339</v>
      </c>
      <c r="Q67" s="16">
        <f t="shared" ref="Q67:Q100" si="8">IF(O67&gt;0, P67/O67, 0)</f>
        <v>0.27015477015477013</v>
      </c>
    </row>
    <row r="68" spans="2:17" x14ac:dyDescent="0.35">
      <c r="B68" s="5">
        <v>90</v>
      </c>
      <c r="C68" s="5" t="str">
        <f t="shared" si="6"/>
        <v>65+ år</v>
      </c>
      <c r="D68" s="16">
        <f t="shared" si="7"/>
        <v>0.11691873000664299</v>
      </c>
      <c r="E68" s="5" t="str">
        <f ca="1">IF(OR(JobHopping[[#This Row],[Age]]=25,JobHopping[[#This Row],[Age]]&gt;69),"N",IF(AND(E66="N",E67="N", RAND()&lt;=D68), "Y", "N"))</f>
        <v>N</v>
      </c>
      <c r="F68" s="5" t="s">
        <v>0</v>
      </c>
      <c r="G68" s="5" t="str">
        <f>IF(JobHopping[[#This Row],[Age]]&lt;40,"",JobHopping[[#This Row],[SwitchP1Static]])</f>
        <v>N</v>
      </c>
      <c r="M68" s="5">
        <v>2020</v>
      </c>
      <c r="N68" s="5" t="s">
        <v>18</v>
      </c>
      <c r="O68" s="5">
        <f>_xlfn.XLOOKUP(M68&amp;"-"&amp;N68,'Djøf Finance Workers'!D:D,'Djøf Finance Workers'!C:C,0,1)</f>
        <v>8798</v>
      </c>
      <c r="P68" s="5">
        <f>_xlfn.XLOOKUP(M68&amp;"-"&amp;N68,'Djøf Finance Hoppers'!D:D,'Djøf Finance Hoppers'!C:C,0,1)</f>
        <v>1929</v>
      </c>
      <c r="Q68" s="16">
        <f t="shared" si="8"/>
        <v>0.21925437599454423</v>
      </c>
    </row>
    <row r="69" spans="2:17" x14ac:dyDescent="0.35">
      <c r="B69" s="5">
        <v>91</v>
      </c>
      <c r="C69" s="5" t="str">
        <f t="shared" si="6"/>
        <v>65+ år</v>
      </c>
      <c r="D69" s="16">
        <f t="shared" si="7"/>
        <v>0.11691873000664299</v>
      </c>
      <c r="E69" s="5" t="str">
        <f ca="1">IF(OR(JobHopping[[#This Row],[Age]]=25,JobHopping[[#This Row],[Age]]&gt;69),"N",IF(AND(E67="N",E68="N", RAND()&lt;=D69), "Y", "N"))</f>
        <v>N</v>
      </c>
      <c r="F69" s="5" t="s">
        <v>0</v>
      </c>
      <c r="G69" s="5" t="str">
        <f>IF(JobHopping[[#This Row],[Age]]&lt;40,"",JobHopping[[#This Row],[SwitchP1Static]])</f>
        <v>N</v>
      </c>
      <c r="M69" s="5">
        <v>2020</v>
      </c>
      <c r="N69" s="5" t="s">
        <v>19</v>
      </c>
      <c r="O69" s="5">
        <f>_xlfn.XLOOKUP(M69&amp;"-"&amp;N69,'Djøf Finance Workers'!D:D,'Djøf Finance Workers'!C:C,0,1)</f>
        <v>10129</v>
      </c>
      <c r="P69" s="5">
        <f>_xlfn.XLOOKUP(M69&amp;"-"&amp;N69,'Djøf Finance Hoppers'!D:D,'Djøf Finance Hoppers'!C:C,0,1)</f>
        <v>1758</v>
      </c>
      <c r="Q69" s="16">
        <f t="shared" si="8"/>
        <v>0.17356106229637674</v>
      </c>
    </row>
    <row r="70" spans="2:17" x14ac:dyDescent="0.35">
      <c r="B70" s="5">
        <v>92</v>
      </c>
      <c r="C70" s="5" t="str">
        <f t="shared" ref="C70:C78" si="9">IF(B70&lt;30, "25-29 år", IF(B70&lt;35, "30-34 år", IF(B70&lt;40, "35-39 år", IF(B70&lt;45, "40-44 år", IF(B70&lt;50, "45-49 år", IF(B70&lt;55, "50-54 år", IF(B70&lt;60, "55-59 år", IF(B70&lt;65, "60-64 år", "65+ år"))))))))</f>
        <v>65+ år</v>
      </c>
      <c r="D70" s="16">
        <f t="shared" si="7"/>
        <v>0.11691873000664299</v>
      </c>
      <c r="E70" s="5" t="str">
        <f ca="1">IF(OR(JobHopping[[#This Row],[Age]]=25,JobHopping[[#This Row],[Age]]&gt;69),"N",IF(AND(E68="N",E69="N", RAND()&lt;=D70), "Y", "N"))</f>
        <v>N</v>
      </c>
      <c r="F70" s="5" t="s">
        <v>0</v>
      </c>
      <c r="G70" s="5" t="str">
        <f>IF(JobHopping[[#This Row],[Age]]&lt;40,"",JobHopping[[#This Row],[SwitchP1Static]])</f>
        <v>N</v>
      </c>
      <c r="M70" s="5">
        <v>2020</v>
      </c>
      <c r="N70" s="5" t="s">
        <v>20</v>
      </c>
      <c r="O70" s="5">
        <f>_xlfn.XLOOKUP(M70&amp;"-"&amp;N70,'Djøf Finance Workers'!D:D,'Djøf Finance Workers'!C:C,0,1)</f>
        <v>9740</v>
      </c>
      <c r="P70" s="5">
        <f>_xlfn.XLOOKUP(M70&amp;"-"&amp;N70,'Djøf Finance Hoppers'!D:D,'Djøf Finance Hoppers'!C:C,0,1)</f>
        <v>1654</v>
      </c>
      <c r="Q70" s="16">
        <f t="shared" si="8"/>
        <v>0.1698151950718686</v>
      </c>
    </row>
    <row r="71" spans="2:17" x14ac:dyDescent="0.35">
      <c r="B71" s="5">
        <v>93</v>
      </c>
      <c r="C71" s="5" t="str">
        <f t="shared" si="9"/>
        <v>65+ år</v>
      </c>
      <c r="D71" s="16">
        <f t="shared" si="7"/>
        <v>0.11691873000664299</v>
      </c>
      <c r="E71" s="5" t="str">
        <f ca="1">IF(OR(JobHopping[[#This Row],[Age]]=25,JobHopping[[#This Row],[Age]]&gt;69),"N",IF(AND(E69="N",E70="N", RAND()&lt;=D71), "Y", "N"))</f>
        <v>N</v>
      </c>
      <c r="F71" s="5" t="s">
        <v>0</v>
      </c>
      <c r="G71" s="5" t="str">
        <f>IF(JobHopping[[#This Row],[Age]]&lt;40,"",JobHopping[[#This Row],[SwitchP1Static]])</f>
        <v>N</v>
      </c>
      <c r="M71" s="5">
        <v>2020</v>
      </c>
      <c r="N71" s="5" t="s">
        <v>21</v>
      </c>
      <c r="O71" s="5">
        <f>_xlfn.XLOOKUP(M71&amp;"-"&amp;N71,'Djøf Finance Workers'!D:D,'Djøf Finance Workers'!C:C,0,1)</f>
        <v>11187</v>
      </c>
      <c r="P71" s="5">
        <f>_xlfn.XLOOKUP(M71&amp;"-"&amp;N71,'Djøf Finance Hoppers'!D:D,'Djøf Finance Hoppers'!C:C,0,1)</f>
        <v>1616</v>
      </c>
      <c r="Q71" s="16">
        <f t="shared" si="8"/>
        <v>0.14445338339143649</v>
      </c>
    </row>
    <row r="72" spans="2:17" x14ac:dyDescent="0.35">
      <c r="B72" s="5">
        <v>94</v>
      </c>
      <c r="C72" s="5" t="str">
        <f t="shared" si="9"/>
        <v>65+ år</v>
      </c>
      <c r="D72" s="16">
        <f t="shared" si="7"/>
        <v>0.11691873000664299</v>
      </c>
      <c r="E72" s="5" t="str">
        <f ca="1">IF(OR(JobHopping[[#This Row],[Age]]=25,JobHopping[[#This Row],[Age]]&gt;69),"N",IF(AND(E70="N",E71="N", RAND()&lt;=D72), "Y", "N"))</f>
        <v>N</v>
      </c>
      <c r="F72" s="5" t="s">
        <v>0</v>
      </c>
      <c r="G72" s="5" t="str">
        <f>IF(JobHopping[[#This Row],[Age]]&lt;40,"",JobHopping[[#This Row],[SwitchP1Static]])</f>
        <v>N</v>
      </c>
      <c r="M72" s="5">
        <v>2020</v>
      </c>
      <c r="N72" s="5" t="s">
        <v>22</v>
      </c>
      <c r="O72" s="5">
        <f>_xlfn.XLOOKUP(M72&amp;"-"&amp;N72,'Djøf Finance Workers'!D:D,'Djøf Finance Workers'!C:C,0,1)</f>
        <v>10215</v>
      </c>
      <c r="P72" s="5">
        <f>_xlfn.XLOOKUP(M72&amp;"-"&amp;N72,'Djøf Finance Hoppers'!D:D,'Djøf Finance Hoppers'!C:C,0,1)</f>
        <v>1279</v>
      </c>
      <c r="Q72" s="16">
        <f t="shared" si="8"/>
        <v>0.12520802741067058</v>
      </c>
    </row>
    <row r="73" spans="2:17" x14ac:dyDescent="0.35">
      <c r="B73" s="5">
        <v>95</v>
      </c>
      <c r="C73" s="5" t="str">
        <f t="shared" si="9"/>
        <v>65+ år</v>
      </c>
      <c r="D73" s="16">
        <f t="shared" si="7"/>
        <v>0.11691873000664299</v>
      </c>
      <c r="E73" s="5" t="str">
        <f ca="1">IF(OR(JobHopping[[#This Row],[Age]]=25,JobHopping[[#This Row],[Age]]&gt;69),"N",IF(AND(E71="N",E72="N", RAND()&lt;=D73), "Y", "N"))</f>
        <v>N</v>
      </c>
      <c r="F73" s="5" t="s">
        <v>0</v>
      </c>
      <c r="G73" s="5" t="str">
        <f>IF(JobHopping[[#This Row],[Age]]&lt;40,"",JobHopping[[#This Row],[SwitchP1Static]])</f>
        <v>N</v>
      </c>
      <c r="M73" s="5">
        <v>2020</v>
      </c>
      <c r="N73" s="5" t="s">
        <v>23</v>
      </c>
      <c r="O73" s="5">
        <f>_xlfn.XLOOKUP(M73&amp;"-"&amp;N73,'Djøf Finance Workers'!D:D,'Djøf Finance Workers'!C:C,0,1)</f>
        <v>6305</v>
      </c>
      <c r="P73" s="5">
        <f>_xlfn.XLOOKUP(M73&amp;"-"&amp;N73,'Djøf Finance Hoppers'!D:D,'Djøf Finance Hoppers'!C:C,0,1)</f>
        <v>623</v>
      </c>
      <c r="Q73" s="16">
        <f t="shared" si="8"/>
        <v>9.8810467882632827E-2</v>
      </c>
    </row>
    <row r="74" spans="2:17" x14ac:dyDescent="0.35">
      <c r="B74" s="5">
        <v>96</v>
      </c>
      <c r="C74" s="5" t="str">
        <f t="shared" si="9"/>
        <v>65+ år</v>
      </c>
      <c r="D74" s="16">
        <f t="shared" si="7"/>
        <v>0.11691873000664299</v>
      </c>
      <c r="E74" s="5" t="str">
        <f ca="1">IF(OR(JobHopping[[#This Row],[Age]]=25,JobHopping[[#This Row],[Age]]&gt;69),"N",IF(AND(E72="N",E73="N", RAND()&lt;=D74), "Y", "N"))</f>
        <v>N</v>
      </c>
      <c r="F74" s="5" t="s">
        <v>0</v>
      </c>
      <c r="G74" s="5" t="str">
        <f>IF(JobHopping[[#This Row],[Age]]&lt;40,"",JobHopping[[#This Row],[SwitchP1Static]])</f>
        <v>N</v>
      </c>
      <c r="M74" s="5">
        <v>2020</v>
      </c>
      <c r="N74" s="5" t="s">
        <v>24</v>
      </c>
      <c r="O74" s="5">
        <f>_xlfn.XLOOKUP(M74&amp;"-"&amp;N74,'Djøf Finance Workers'!D:D,'Djøf Finance Workers'!C:C,0,1)</f>
        <v>2231</v>
      </c>
      <c r="P74" s="5">
        <f>_xlfn.XLOOKUP(M74&amp;"-"&amp;N74,'Djøf Finance Hoppers'!D:D,'Djøf Finance Hoppers'!C:C,0,1)</f>
        <v>201</v>
      </c>
      <c r="Q74" s="16">
        <f t="shared" si="8"/>
        <v>9.0094128193635145E-2</v>
      </c>
    </row>
    <row r="75" spans="2:17" x14ac:dyDescent="0.35">
      <c r="B75" s="5">
        <v>97</v>
      </c>
      <c r="C75" s="5" t="str">
        <f t="shared" si="9"/>
        <v>65+ år</v>
      </c>
      <c r="D75" s="16">
        <f t="shared" si="7"/>
        <v>0.11691873000664299</v>
      </c>
      <c r="E75" s="5" t="str">
        <f ca="1">IF(OR(JobHopping[[#This Row],[Age]]=25,JobHopping[[#This Row],[Age]]&gt;69),"N",IF(AND(E73="N",E74="N", RAND()&lt;=D75), "Y", "N"))</f>
        <v>N</v>
      </c>
      <c r="F75" s="5" t="s">
        <v>0</v>
      </c>
      <c r="G75" s="5" t="str">
        <f>IF(JobHopping[[#This Row],[Age]]&lt;40,"",JobHopping[[#This Row],[SwitchP1Static]])</f>
        <v>N</v>
      </c>
      <c r="M75" s="5">
        <v>2021</v>
      </c>
      <c r="N75" s="5" t="s">
        <v>16</v>
      </c>
      <c r="O75" s="5">
        <f>_xlfn.XLOOKUP(M75&amp;"-"&amp;N75,'Djøf Finance Workers'!D:D,'Djøf Finance Workers'!C:C,0,1)</f>
        <v>7687</v>
      </c>
      <c r="P75" s="5">
        <f>_xlfn.XLOOKUP(M75&amp;"-"&amp;N75,'Djøf Finance Hoppers'!D:D,'Djøf Finance Hoppers'!C:C,0,1)</f>
        <v>3854</v>
      </c>
      <c r="Q75" s="16">
        <f t="shared" si="8"/>
        <v>0.50136594250032518</v>
      </c>
    </row>
    <row r="76" spans="2:17" x14ac:dyDescent="0.35">
      <c r="B76" s="5">
        <v>98</v>
      </c>
      <c r="C76" s="5" t="str">
        <f t="shared" si="9"/>
        <v>65+ år</v>
      </c>
      <c r="D76" s="16">
        <f t="shared" si="7"/>
        <v>0.11691873000664299</v>
      </c>
      <c r="E76" s="5" t="str">
        <f ca="1">IF(OR(JobHopping[[#This Row],[Age]]=25,JobHopping[[#This Row],[Age]]&gt;69),"N",IF(AND(E74="N",E75="N", RAND()&lt;=D76), "Y", "N"))</f>
        <v>N</v>
      </c>
      <c r="F76" s="5" t="s">
        <v>0</v>
      </c>
      <c r="G76" s="5" t="str">
        <f>IF(JobHopping[[#This Row],[Age]]&lt;40,"",JobHopping[[#This Row],[SwitchP1Static]])</f>
        <v>N</v>
      </c>
      <c r="M76" s="5">
        <v>2021</v>
      </c>
      <c r="N76" s="5" t="s">
        <v>17</v>
      </c>
      <c r="O76" s="5">
        <f>_xlfn.XLOOKUP(M76&amp;"-"&amp;N76,'Djøf Finance Workers'!D:D,'Djøf Finance Workers'!C:C,0,1)</f>
        <v>8844</v>
      </c>
      <c r="P76" s="5">
        <f>_xlfn.XLOOKUP(M76&amp;"-"&amp;N76,'Djøf Finance Hoppers'!D:D,'Djøf Finance Hoppers'!C:C,0,1)</f>
        <v>3059</v>
      </c>
      <c r="Q76" s="16">
        <f t="shared" si="8"/>
        <v>0.34588421528720037</v>
      </c>
    </row>
    <row r="77" spans="2:17" x14ac:dyDescent="0.35">
      <c r="B77" s="5">
        <v>99</v>
      </c>
      <c r="C77" s="5" t="str">
        <f t="shared" si="9"/>
        <v>65+ år</v>
      </c>
      <c r="D77" s="16">
        <f t="shared" si="7"/>
        <v>0.11691873000664299</v>
      </c>
      <c r="E77" s="5" t="str">
        <f ca="1">IF(OR(JobHopping[[#This Row],[Age]]=25,JobHopping[[#This Row],[Age]]&gt;69),"N",IF(AND(E75="N",E76="N", RAND()&lt;=D77), "Y", "N"))</f>
        <v>N</v>
      </c>
      <c r="F77" s="5" t="s">
        <v>0</v>
      </c>
      <c r="G77" s="5" t="str">
        <f>IF(JobHopping[[#This Row],[Age]]&lt;40,"",JobHopping[[#This Row],[SwitchP1Static]])</f>
        <v>N</v>
      </c>
      <c r="M77" s="5">
        <v>2021</v>
      </c>
      <c r="N77" s="5" t="s">
        <v>18</v>
      </c>
      <c r="O77" s="5">
        <f>_xlfn.XLOOKUP(M77&amp;"-"&amp;N77,'Djøf Finance Workers'!D:D,'Djøf Finance Workers'!C:C,0,1)</f>
        <v>8987</v>
      </c>
      <c r="P77" s="5">
        <f>_xlfn.XLOOKUP(M77&amp;"-"&amp;N77,'Djøf Finance Hoppers'!D:D,'Djøf Finance Hoppers'!C:C,0,1)</f>
        <v>2330</v>
      </c>
      <c r="Q77" s="16">
        <f t="shared" si="8"/>
        <v>0.25926338043841102</v>
      </c>
    </row>
    <row r="78" spans="2:17" x14ac:dyDescent="0.35">
      <c r="B78" s="5">
        <v>100</v>
      </c>
      <c r="C78" s="5" t="str">
        <f t="shared" si="9"/>
        <v>65+ år</v>
      </c>
      <c r="D78" s="16">
        <f t="shared" si="7"/>
        <v>0.11691873000664299</v>
      </c>
      <c r="E78" s="5" t="str">
        <f ca="1">IF(OR(JobHopping[[#This Row],[Age]]=25,JobHopping[[#This Row],[Age]]&gt;69),"N",IF(AND(E76="N",E77="N", RAND()&lt;=D78), "Y", "N"))</f>
        <v>N</v>
      </c>
      <c r="F78" s="5" t="s">
        <v>0</v>
      </c>
      <c r="G78" s="5" t="str">
        <f>IF(JobHopping[[#This Row],[Age]]&lt;40,"",JobHopping[[#This Row],[SwitchP1Static]])</f>
        <v>N</v>
      </c>
      <c r="M78" s="5">
        <v>2021</v>
      </c>
      <c r="N78" s="5" t="s">
        <v>19</v>
      </c>
      <c r="O78" s="5">
        <f>_xlfn.XLOOKUP(M78&amp;"-"&amp;N78,'Djøf Finance Workers'!D:D,'Djøf Finance Workers'!C:C,0,1)</f>
        <v>10002</v>
      </c>
      <c r="P78" s="5">
        <f>_xlfn.XLOOKUP(M78&amp;"-"&amp;N78,'Djøf Finance Hoppers'!D:D,'Djøf Finance Hoppers'!C:C,0,1)</f>
        <v>2220</v>
      </c>
      <c r="Q78" s="16">
        <f t="shared" si="8"/>
        <v>0.22195560887822435</v>
      </c>
    </row>
    <row r="79" spans="2:17" x14ac:dyDescent="0.35">
      <c r="M79" s="5">
        <v>2021</v>
      </c>
      <c r="N79" s="5" t="s">
        <v>20</v>
      </c>
      <c r="O79" s="5">
        <f>_xlfn.XLOOKUP(M79&amp;"-"&amp;N79,'Djøf Finance Workers'!D:D,'Djøf Finance Workers'!C:C,0,1)</f>
        <v>10036</v>
      </c>
      <c r="P79" s="5">
        <f>_xlfn.XLOOKUP(M79&amp;"-"&amp;N79,'Djøf Finance Hoppers'!D:D,'Djøf Finance Hoppers'!C:C,0,1)</f>
        <v>1980</v>
      </c>
      <c r="Q79" s="16">
        <f t="shared" si="8"/>
        <v>0.19728975687524911</v>
      </c>
    </row>
    <row r="80" spans="2:17" x14ac:dyDescent="0.35">
      <c r="M80" s="5">
        <v>2021</v>
      </c>
      <c r="N80" s="5" t="s">
        <v>21</v>
      </c>
      <c r="O80" s="5">
        <f>_xlfn.XLOOKUP(M80&amp;"-"&amp;N80,'Djøf Finance Workers'!D:D,'Djøf Finance Workers'!C:C,0,1)</f>
        <v>10467</v>
      </c>
      <c r="P80" s="5">
        <f>_xlfn.XLOOKUP(M80&amp;"-"&amp;N80,'Djøf Finance Hoppers'!D:D,'Djøf Finance Hoppers'!C:C,0,1)</f>
        <v>1810</v>
      </c>
      <c r="Q80" s="16">
        <f t="shared" si="8"/>
        <v>0.17292442915830705</v>
      </c>
    </row>
    <row r="81" spans="13:17" x14ac:dyDescent="0.35">
      <c r="M81" s="5">
        <v>2021</v>
      </c>
      <c r="N81" s="5" t="s">
        <v>22</v>
      </c>
      <c r="O81" s="5">
        <f>_xlfn.XLOOKUP(M81&amp;"-"&amp;N81,'Djøf Finance Workers'!D:D,'Djøf Finance Workers'!C:C,0,1)</f>
        <v>10749</v>
      </c>
      <c r="P81" s="5">
        <f>_xlfn.XLOOKUP(M81&amp;"-"&amp;N81,'Djøf Finance Hoppers'!D:D,'Djøf Finance Hoppers'!C:C,0,1)</f>
        <v>1631</v>
      </c>
      <c r="Q81" s="16">
        <f t="shared" si="8"/>
        <v>0.15173504512047634</v>
      </c>
    </row>
    <row r="82" spans="13:17" x14ac:dyDescent="0.35">
      <c r="M82" s="5">
        <v>2021</v>
      </c>
      <c r="N82" s="5" t="s">
        <v>23</v>
      </c>
      <c r="O82" s="5">
        <f>_xlfn.XLOOKUP(M82&amp;"-"&amp;N82,'Djøf Finance Workers'!D:D,'Djøf Finance Workers'!C:C,0,1)</f>
        <v>6688</v>
      </c>
      <c r="P82" s="5">
        <f>_xlfn.XLOOKUP(M82&amp;"-"&amp;N82,'Djøf Finance Hoppers'!D:D,'Djøf Finance Hoppers'!C:C,0,1)</f>
        <v>962</v>
      </c>
      <c r="Q82" s="16">
        <f t="shared" si="8"/>
        <v>0.1438397129186603</v>
      </c>
    </row>
    <row r="83" spans="13:17" x14ac:dyDescent="0.35">
      <c r="M83" s="5">
        <v>2021</v>
      </c>
      <c r="N83" s="5" t="s">
        <v>24</v>
      </c>
      <c r="O83" s="5">
        <f>_xlfn.XLOOKUP(M83&amp;"-"&amp;N83,'Djøf Finance Workers'!D:D,'Djøf Finance Workers'!C:C,0,1)</f>
        <v>2522</v>
      </c>
      <c r="P83" s="5">
        <f>_xlfn.XLOOKUP(M83&amp;"-"&amp;N83,'Djøf Finance Hoppers'!D:D,'Djøf Finance Hoppers'!C:C,0,1)</f>
        <v>216</v>
      </c>
      <c r="Q83" s="16">
        <f t="shared" si="8"/>
        <v>8.5646312450436163E-2</v>
      </c>
    </row>
    <row r="84" spans="13:17" x14ac:dyDescent="0.35">
      <c r="M84" s="5">
        <v>2022</v>
      </c>
      <c r="N84" s="5" t="s">
        <v>16</v>
      </c>
      <c r="O84" s="5">
        <f>_xlfn.XLOOKUP(M84&amp;"-"&amp;N84,'Djøf Finance Workers'!D:D,'Djøf Finance Workers'!C:C,0,1)</f>
        <v>8107</v>
      </c>
      <c r="P84" s="5">
        <f>_xlfn.XLOOKUP(M84&amp;"-"&amp;N84,'Djøf Finance Hoppers'!D:D,'Djøf Finance Hoppers'!C:C,0,1)</f>
        <v>3870</v>
      </c>
      <c r="Q84" s="16">
        <f t="shared" si="8"/>
        <v>0.4773652399161219</v>
      </c>
    </row>
    <row r="85" spans="13:17" x14ac:dyDescent="0.35">
      <c r="M85" s="5">
        <v>2022</v>
      </c>
      <c r="N85" s="5" t="s">
        <v>17</v>
      </c>
      <c r="O85" s="5">
        <f>_xlfn.XLOOKUP(M85&amp;"-"&amp;N85,'Djøf Finance Workers'!D:D,'Djøf Finance Workers'!C:C,0,1)</f>
        <v>9307</v>
      </c>
      <c r="P85" s="5">
        <f>_xlfn.XLOOKUP(M85&amp;"-"&amp;N85,'Djøf Finance Hoppers'!D:D,'Djøf Finance Hoppers'!C:C,0,1)</f>
        <v>3004</v>
      </c>
      <c r="Q85" s="16">
        <f t="shared" si="8"/>
        <v>0.3227678091758891</v>
      </c>
    </row>
    <row r="86" spans="13:17" x14ac:dyDescent="0.35">
      <c r="M86" s="5">
        <v>2022</v>
      </c>
      <c r="N86" s="5" t="s">
        <v>18</v>
      </c>
      <c r="O86" s="5">
        <f>_xlfn.XLOOKUP(M86&amp;"-"&amp;N86,'Djøf Finance Workers'!D:D,'Djøf Finance Workers'!C:C,0,1)</f>
        <v>9287</v>
      </c>
      <c r="P86" s="5">
        <f>_xlfn.XLOOKUP(M86&amp;"-"&amp;N86,'Djøf Finance Hoppers'!D:D,'Djøf Finance Hoppers'!C:C,0,1)</f>
        <v>2511</v>
      </c>
      <c r="Q86" s="16">
        <f t="shared" si="8"/>
        <v>0.27037794766878431</v>
      </c>
    </row>
    <row r="87" spans="13:17" x14ac:dyDescent="0.35">
      <c r="M87" s="5">
        <v>2022</v>
      </c>
      <c r="N87" s="5" t="s">
        <v>19</v>
      </c>
      <c r="O87" s="5">
        <f>_xlfn.XLOOKUP(M87&amp;"-"&amp;N87,'Djøf Finance Workers'!D:D,'Djøf Finance Workers'!C:C,0,1)</f>
        <v>9808</v>
      </c>
      <c r="P87" s="5">
        <f>_xlfn.XLOOKUP(M87&amp;"-"&amp;N87,'Djøf Finance Hoppers'!D:D,'Djøf Finance Hoppers'!C:C,0,1)</f>
        <v>2191</v>
      </c>
      <c r="Q87" s="16">
        <f t="shared" si="8"/>
        <v>0.22338907014681891</v>
      </c>
    </row>
    <row r="88" spans="13:17" x14ac:dyDescent="0.35">
      <c r="M88" s="5">
        <v>2022</v>
      </c>
      <c r="N88" s="5" t="s">
        <v>20</v>
      </c>
      <c r="O88" s="5">
        <f>_xlfn.XLOOKUP(M88&amp;"-"&amp;N88,'Djøf Finance Workers'!D:D,'Djøf Finance Workers'!C:C,0,1)</f>
        <v>10063</v>
      </c>
      <c r="P88" s="5">
        <f>_xlfn.XLOOKUP(M88&amp;"-"&amp;N88,'Djøf Finance Hoppers'!D:D,'Djøf Finance Hoppers'!C:C,0,1)</f>
        <v>2044</v>
      </c>
      <c r="Q88" s="16">
        <f t="shared" si="8"/>
        <v>0.20312034184636787</v>
      </c>
    </row>
    <row r="89" spans="13:17" x14ac:dyDescent="0.35">
      <c r="M89" s="5">
        <v>2022</v>
      </c>
      <c r="N89" s="5" t="s">
        <v>21</v>
      </c>
      <c r="O89" s="5">
        <f>_xlfn.XLOOKUP(M89&amp;"-"&amp;N89,'Djøf Finance Workers'!D:D,'Djøf Finance Workers'!C:C,0,1)</f>
        <v>9799</v>
      </c>
      <c r="P89" s="5">
        <f>_xlfn.XLOOKUP(M89&amp;"-"&amp;N89,'Djøf Finance Hoppers'!D:D,'Djøf Finance Hoppers'!C:C,0,1)</f>
        <v>1683</v>
      </c>
      <c r="Q89" s="16">
        <f t="shared" si="8"/>
        <v>0.17175221961424636</v>
      </c>
    </row>
    <row r="90" spans="13:17" x14ac:dyDescent="0.35">
      <c r="M90" s="5">
        <v>2022</v>
      </c>
      <c r="N90" s="5" t="s">
        <v>22</v>
      </c>
      <c r="O90" s="5">
        <f>_xlfn.XLOOKUP(M90&amp;"-"&amp;N90,'Djøf Finance Workers'!D:D,'Djøf Finance Workers'!C:C,0,1)</f>
        <v>11340</v>
      </c>
      <c r="P90" s="5">
        <f>_xlfn.XLOOKUP(M90&amp;"-"&amp;N90,'Djøf Finance Hoppers'!D:D,'Djøf Finance Hoppers'!C:C,0,1)</f>
        <v>1578</v>
      </c>
      <c r="Q90" s="16">
        <f t="shared" si="8"/>
        <v>0.13915343915343914</v>
      </c>
    </row>
    <row r="91" spans="13:17" x14ac:dyDescent="0.35">
      <c r="M91" s="5">
        <v>2022</v>
      </c>
      <c r="N91" s="5" t="s">
        <v>23</v>
      </c>
      <c r="O91" s="5">
        <f>_xlfn.XLOOKUP(M91&amp;"-"&amp;N91,'Djøf Finance Workers'!D:D,'Djøf Finance Workers'!C:C,0,1)</f>
        <v>6943</v>
      </c>
      <c r="P91" s="5">
        <f>_xlfn.XLOOKUP(M91&amp;"-"&amp;N91,'Djøf Finance Hoppers'!D:D,'Djøf Finance Hoppers'!C:C,0,1)</f>
        <v>880</v>
      </c>
      <c r="Q91" s="16">
        <f t="shared" si="8"/>
        <v>0.12674636324355465</v>
      </c>
    </row>
    <row r="92" spans="13:17" x14ac:dyDescent="0.35">
      <c r="M92" s="5">
        <v>2022</v>
      </c>
      <c r="N92" s="5" t="s">
        <v>24</v>
      </c>
      <c r="O92" s="5">
        <f>_xlfn.XLOOKUP(M92&amp;"-"&amp;N92,'Djøf Finance Workers'!D:D,'Djøf Finance Workers'!C:C,0,1)</f>
        <v>2779</v>
      </c>
      <c r="P92" s="5">
        <f>_xlfn.XLOOKUP(M92&amp;"-"&amp;N92,'Djøf Finance Hoppers'!D:D,'Djøf Finance Hoppers'!C:C,0,1)</f>
        <v>265</v>
      </c>
      <c r="Q92" s="16">
        <f t="shared" si="8"/>
        <v>9.5358042461317016E-2</v>
      </c>
    </row>
    <row r="93" spans="13:17" x14ac:dyDescent="0.35">
      <c r="M93" s="5">
        <v>2023</v>
      </c>
      <c r="N93" s="5" t="s">
        <v>16</v>
      </c>
      <c r="O93" s="5">
        <f>_xlfn.XLOOKUP(M93&amp;"-"&amp;N93,'Djøf Finance Workers'!D:D,'Djøf Finance Workers'!C:C,0,1)</f>
        <v>8433</v>
      </c>
      <c r="P93" s="5">
        <f>_xlfn.XLOOKUP(M93&amp;"-"&amp;N93,'Djøf Finance Hoppers'!D:D,'Djøf Finance Hoppers'!C:C,0,1)</f>
        <v>3662</v>
      </c>
      <c r="Q93" s="16">
        <f t="shared" si="8"/>
        <v>0.43424641290169574</v>
      </c>
    </row>
    <row r="94" spans="13:17" x14ac:dyDescent="0.35">
      <c r="M94" s="5">
        <v>2023</v>
      </c>
      <c r="N94" s="5" t="s">
        <v>17</v>
      </c>
      <c r="O94" s="5">
        <f>_xlfn.XLOOKUP(M94&amp;"-"&amp;N94,'Djøf Finance Workers'!D:D,'Djøf Finance Workers'!C:C,0,1)</f>
        <v>9786</v>
      </c>
      <c r="P94" s="5">
        <f>_xlfn.XLOOKUP(M94&amp;"-"&amp;N94,'Djøf Finance Hoppers'!D:D,'Djøf Finance Hoppers'!C:C,0,1)</f>
        <v>2878</v>
      </c>
      <c r="Q94" s="16">
        <f t="shared" si="8"/>
        <v>0.29409360310647864</v>
      </c>
    </row>
    <row r="95" spans="13:17" x14ac:dyDescent="0.35">
      <c r="M95" s="5">
        <v>2023</v>
      </c>
      <c r="N95" s="5" t="s">
        <v>18</v>
      </c>
      <c r="O95" s="5">
        <f>_xlfn.XLOOKUP(M95&amp;"-"&amp;N95,'Djøf Finance Workers'!D:D,'Djøf Finance Workers'!C:C,0,1)</f>
        <v>9648</v>
      </c>
      <c r="P95" s="5">
        <f>_xlfn.XLOOKUP(M95&amp;"-"&amp;N95,'Djøf Finance Hoppers'!D:D,'Djøf Finance Hoppers'!C:C,0,1)</f>
        <v>2160</v>
      </c>
      <c r="Q95" s="16">
        <f t="shared" si="8"/>
        <v>0.22388059701492538</v>
      </c>
    </row>
    <row r="96" spans="13:17" x14ac:dyDescent="0.35">
      <c r="M96" s="5">
        <v>2023</v>
      </c>
      <c r="N96" s="5" t="s">
        <v>19</v>
      </c>
      <c r="O96" s="5">
        <f>_xlfn.XLOOKUP(M96&amp;"-"&amp;N96,'Djøf Finance Workers'!D:D,'Djøf Finance Workers'!C:C,0,1)</f>
        <v>9770</v>
      </c>
      <c r="P96" s="5">
        <f>_xlfn.XLOOKUP(M96&amp;"-"&amp;N96,'Djøf Finance Hoppers'!D:D,'Djøf Finance Hoppers'!C:C,0,1)</f>
        <v>1983</v>
      </c>
      <c r="Q96" s="16">
        <f t="shared" si="8"/>
        <v>0.20296827021494371</v>
      </c>
    </row>
    <row r="97" spans="13:17" x14ac:dyDescent="0.35">
      <c r="M97" s="5">
        <v>2023</v>
      </c>
      <c r="N97" s="5" t="s">
        <v>20</v>
      </c>
      <c r="O97" s="5">
        <f>_xlfn.XLOOKUP(M97&amp;"-"&amp;N97,'Djøf Finance Workers'!D:D,'Djøf Finance Workers'!C:C,0,1)</f>
        <v>10262</v>
      </c>
      <c r="P97" s="5">
        <f>_xlfn.XLOOKUP(M97&amp;"-"&amp;N97,'Djøf Finance Hoppers'!D:D,'Djøf Finance Hoppers'!C:C,0,1)</f>
        <v>1798</v>
      </c>
      <c r="Q97" s="16">
        <f t="shared" si="8"/>
        <v>0.17520951081660496</v>
      </c>
    </row>
    <row r="98" spans="13:17" x14ac:dyDescent="0.35">
      <c r="M98" s="5">
        <v>2023</v>
      </c>
      <c r="N98" s="5" t="s">
        <v>21</v>
      </c>
      <c r="O98" s="5">
        <f>_xlfn.XLOOKUP(M98&amp;"-"&amp;N98,'Djøf Finance Workers'!D:D,'Djøf Finance Workers'!C:C,0,1)</f>
        <v>9513</v>
      </c>
      <c r="P98" s="5">
        <f>_xlfn.XLOOKUP(M98&amp;"-"&amp;N98,'Djøf Finance Hoppers'!D:D,'Djøf Finance Hoppers'!C:C,0,1)</f>
        <v>1564</v>
      </c>
      <c r="Q98" s="16">
        <f t="shared" si="8"/>
        <v>0.1644066014926942</v>
      </c>
    </row>
    <row r="99" spans="13:17" x14ac:dyDescent="0.35">
      <c r="M99" s="5">
        <v>2023</v>
      </c>
      <c r="N99" s="5" t="s">
        <v>22</v>
      </c>
      <c r="O99" s="5">
        <f>_xlfn.XLOOKUP(M99&amp;"-"&amp;N99,'Djøf Finance Workers'!D:D,'Djøf Finance Workers'!C:C,0,1)</f>
        <v>11614</v>
      </c>
      <c r="P99" s="5">
        <f>_xlfn.XLOOKUP(M99&amp;"-"&amp;N99,'Djøf Finance Hoppers'!D:D,'Djøf Finance Hoppers'!C:C,0,1)</f>
        <v>1583</v>
      </c>
      <c r="Q99" s="16">
        <f t="shared" si="8"/>
        <v>0.13630101601515413</v>
      </c>
    </row>
    <row r="100" spans="13:17" x14ac:dyDescent="0.35">
      <c r="M100" s="5">
        <v>2023</v>
      </c>
      <c r="N100" s="5" t="s">
        <v>23</v>
      </c>
      <c r="O100" s="5">
        <f>_xlfn.XLOOKUP(M100&amp;"-"&amp;N100,'Djøf Finance Workers'!D:D,'Djøf Finance Workers'!C:C,0,1)</f>
        <v>7443</v>
      </c>
      <c r="P100" s="5">
        <f>_xlfn.XLOOKUP(M100&amp;"-"&amp;N100,'Djøf Finance Hoppers'!D:D,'Djøf Finance Hoppers'!C:C,0,1)</f>
        <v>896</v>
      </c>
      <c r="Q100" s="16">
        <f t="shared" si="8"/>
        <v>0.12038156657261857</v>
      </c>
    </row>
    <row r="101" spans="13:17" x14ac:dyDescent="0.35">
      <c r="M101" s="5">
        <v>2023</v>
      </c>
      <c r="N101" s="5" t="s">
        <v>24</v>
      </c>
      <c r="O101" s="5">
        <f>_xlfn.XLOOKUP(M101&amp;"-"&amp;N101,'Djøf Finance Workers'!D:D,'Djøf Finance Workers'!C:C,0,1)</f>
        <v>3139</v>
      </c>
      <c r="P101" s="5">
        <f>_xlfn.XLOOKUP(M101&amp;"-"&amp;N101,'Djøf Finance Hoppers'!D:D,'Djøf Finance Hoppers'!C:C,0,1)</f>
        <v>295</v>
      </c>
      <c r="Q101" s="16">
        <f>IF(O101&gt;0, P101/O101, 0)</f>
        <v>9.3978974195603693E-2</v>
      </c>
    </row>
  </sheetData>
  <phoneticPr fontId="8" type="noConversion"/>
  <pageMargins left="0.7" right="0.7" top="0.75" bottom="0.75" header="0.3" footer="0.3"/>
  <tableParts count="3">
    <tablePart r:id="rId1"/>
    <tablePart r:id="rId2"/>
    <tablePart r:id="rId3"/>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4F7E5-D381-4B3C-9673-A177186DF652}">
  <sheetPr>
    <tabColor theme="9" tint="0.79998168889431442"/>
  </sheetPr>
  <dimension ref="A1:D163"/>
  <sheetViews>
    <sheetView workbookViewId="0">
      <selection activeCell="C8" sqref="C8:C15"/>
    </sheetView>
  </sheetViews>
  <sheetFormatPr defaultRowHeight="14.5" x14ac:dyDescent="0.35"/>
  <cols>
    <col min="2" max="2" width="13" customWidth="1"/>
    <col min="3" max="3" width="56" customWidth="1"/>
  </cols>
  <sheetData>
    <row r="1" spans="1:4" ht="24" thickBot="1" x14ac:dyDescent="0.6">
      <c r="A1" s="6" t="s">
        <v>9</v>
      </c>
      <c r="B1" s="7"/>
      <c r="C1" s="7"/>
    </row>
    <row r="2" spans="1:4" ht="15" thickTop="1" x14ac:dyDescent="0.35">
      <c r="C2" s="8" t="s">
        <v>10</v>
      </c>
    </row>
    <row r="3" spans="1:4" x14ac:dyDescent="0.35">
      <c r="C3" s="8" t="s">
        <v>11</v>
      </c>
    </row>
    <row r="4" spans="1:4" x14ac:dyDescent="0.35">
      <c r="C4" s="8" t="s">
        <v>12</v>
      </c>
    </row>
    <row r="5" spans="1:4" x14ac:dyDescent="0.35">
      <c r="C5" s="8" t="s">
        <v>13</v>
      </c>
    </row>
    <row r="6" spans="1:4" x14ac:dyDescent="0.35">
      <c r="C6" s="8" t="s">
        <v>14</v>
      </c>
    </row>
    <row r="7" spans="1:4" x14ac:dyDescent="0.35">
      <c r="A7" s="8" t="s">
        <v>15</v>
      </c>
      <c r="B7" s="8" t="s">
        <v>16</v>
      </c>
      <c r="C7" s="9">
        <v>6876</v>
      </c>
      <c r="D7" t="str">
        <f t="shared" ref="D7:D70" si="0">A7&amp;"-"&amp;B7</f>
        <v>2008-25-29 år</v>
      </c>
    </row>
    <row r="8" spans="1:4" x14ac:dyDescent="0.35">
      <c r="A8" s="8" t="s">
        <v>15</v>
      </c>
      <c r="B8" s="8" t="s">
        <v>17</v>
      </c>
      <c r="C8" s="9">
        <v>8541</v>
      </c>
      <c r="D8" t="str">
        <f t="shared" si="0"/>
        <v>2008-30-34 år</v>
      </c>
    </row>
    <row r="9" spans="1:4" x14ac:dyDescent="0.35">
      <c r="A9" s="8" t="s">
        <v>15</v>
      </c>
      <c r="B9" s="8" t="s">
        <v>18</v>
      </c>
      <c r="C9" s="9">
        <v>8222</v>
      </c>
      <c r="D9" t="str">
        <f t="shared" si="0"/>
        <v>2008-35-39 år</v>
      </c>
    </row>
    <row r="10" spans="1:4" x14ac:dyDescent="0.35">
      <c r="A10" s="8" t="s">
        <v>15</v>
      </c>
      <c r="B10" s="8" t="s">
        <v>19</v>
      </c>
      <c r="C10" s="9">
        <v>11172</v>
      </c>
      <c r="D10" t="str">
        <f t="shared" si="0"/>
        <v>2008-40-44 år</v>
      </c>
    </row>
    <row r="11" spans="1:4" x14ac:dyDescent="0.35">
      <c r="A11" s="8" t="s">
        <v>15</v>
      </c>
      <c r="B11" s="8" t="s">
        <v>20</v>
      </c>
      <c r="C11" s="9">
        <v>9399</v>
      </c>
      <c r="D11" t="str">
        <f t="shared" si="0"/>
        <v>2008-45-49 år</v>
      </c>
    </row>
    <row r="12" spans="1:4" x14ac:dyDescent="0.35">
      <c r="A12" s="8" t="s">
        <v>15</v>
      </c>
      <c r="B12" s="8" t="s">
        <v>21</v>
      </c>
      <c r="C12" s="9">
        <v>8459</v>
      </c>
      <c r="D12" t="str">
        <f t="shared" si="0"/>
        <v>2008-50-54 år</v>
      </c>
    </row>
    <row r="13" spans="1:4" x14ac:dyDescent="0.35">
      <c r="A13" s="8" t="s">
        <v>15</v>
      </c>
      <c r="B13" s="8" t="s">
        <v>22</v>
      </c>
      <c r="C13" s="9">
        <v>7916</v>
      </c>
      <c r="D13" t="str">
        <f t="shared" si="0"/>
        <v>2008-55-59 år</v>
      </c>
    </row>
    <row r="14" spans="1:4" x14ac:dyDescent="0.35">
      <c r="A14" s="8" t="s">
        <v>15</v>
      </c>
      <c r="B14" s="8" t="s">
        <v>23</v>
      </c>
      <c r="C14" s="9">
        <v>4371</v>
      </c>
      <c r="D14" t="str">
        <f t="shared" si="0"/>
        <v>2008-60-64 år</v>
      </c>
    </row>
    <row r="15" spans="1:4" x14ac:dyDescent="0.35">
      <c r="A15" s="8" t="s">
        <v>15</v>
      </c>
      <c r="B15" s="8" t="s">
        <v>24</v>
      </c>
      <c r="C15" s="9">
        <v>857</v>
      </c>
      <c r="D15" t="str">
        <f t="shared" si="0"/>
        <v>2008-65+ år</v>
      </c>
    </row>
    <row r="16" spans="1:4" x14ac:dyDescent="0.35">
      <c r="A16" s="8" t="s">
        <v>25</v>
      </c>
      <c r="B16" s="8" t="s">
        <v>16</v>
      </c>
      <c r="C16" s="9">
        <v>7284</v>
      </c>
      <c r="D16" t="str">
        <f t="shared" si="0"/>
        <v>2009-25-29 år</v>
      </c>
    </row>
    <row r="17" spans="1:4" x14ac:dyDescent="0.35">
      <c r="A17" s="8" t="s">
        <v>25</v>
      </c>
      <c r="B17" s="8" t="s">
        <v>17</v>
      </c>
      <c r="C17" s="9">
        <v>9750</v>
      </c>
      <c r="D17" t="str">
        <f t="shared" si="0"/>
        <v>2009-30-34 år</v>
      </c>
    </row>
    <row r="18" spans="1:4" x14ac:dyDescent="0.35">
      <c r="A18" s="8" t="s">
        <v>25</v>
      </c>
      <c r="B18" s="8" t="s">
        <v>18</v>
      </c>
      <c r="C18" s="9">
        <v>9328</v>
      </c>
      <c r="D18" t="str">
        <f t="shared" si="0"/>
        <v>2009-35-39 år</v>
      </c>
    </row>
    <row r="19" spans="1:4" x14ac:dyDescent="0.35">
      <c r="A19" s="8" t="s">
        <v>25</v>
      </c>
      <c r="B19" s="8" t="s">
        <v>19</v>
      </c>
      <c r="C19" s="9">
        <v>12571</v>
      </c>
      <c r="D19" t="str">
        <f t="shared" si="0"/>
        <v>2009-40-44 år</v>
      </c>
    </row>
    <row r="20" spans="1:4" x14ac:dyDescent="0.35">
      <c r="A20" s="8" t="s">
        <v>25</v>
      </c>
      <c r="B20" s="8" t="s">
        <v>20</v>
      </c>
      <c r="C20" s="9">
        <v>11248</v>
      </c>
      <c r="D20" t="str">
        <f t="shared" si="0"/>
        <v>2009-45-49 år</v>
      </c>
    </row>
    <row r="21" spans="1:4" x14ac:dyDescent="0.35">
      <c r="A21" s="8" t="s">
        <v>25</v>
      </c>
      <c r="B21" s="8" t="s">
        <v>21</v>
      </c>
      <c r="C21" s="9">
        <v>9862</v>
      </c>
      <c r="D21" t="str">
        <f t="shared" si="0"/>
        <v>2009-50-54 år</v>
      </c>
    </row>
    <row r="22" spans="1:4" x14ac:dyDescent="0.35">
      <c r="A22" s="8" t="s">
        <v>25</v>
      </c>
      <c r="B22" s="8" t="s">
        <v>22</v>
      </c>
      <c r="C22" s="9">
        <v>9081</v>
      </c>
      <c r="D22" t="str">
        <f t="shared" si="0"/>
        <v>2009-55-59 år</v>
      </c>
    </row>
    <row r="23" spans="1:4" x14ac:dyDescent="0.35">
      <c r="A23" s="8" t="s">
        <v>25</v>
      </c>
      <c r="B23" s="8" t="s">
        <v>23</v>
      </c>
      <c r="C23" s="9">
        <v>5056</v>
      </c>
      <c r="D23" t="str">
        <f t="shared" si="0"/>
        <v>2009-60-64 år</v>
      </c>
    </row>
    <row r="24" spans="1:4" x14ac:dyDescent="0.35">
      <c r="A24" s="8" t="s">
        <v>25</v>
      </c>
      <c r="B24" s="8" t="s">
        <v>24</v>
      </c>
      <c r="C24" s="9">
        <v>984</v>
      </c>
      <c r="D24" t="str">
        <f t="shared" si="0"/>
        <v>2009-65+ år</v>
      </c>
    </row>
    <row r="25" spans="1:4" x14ac:dyDescent="0.35">
      <c r="A25" s="8" t="s">
        <v>26</v>
      </c>
      <c r="B25" s="8" t="s">
        <v>16</v>
      </c>
      <c r="C25" s="9">
        <v>6802</v>
      </c>
      <c r="D25" t="str">
        <f t="shared" si="0"/>
        <v>2010-25-29 år</v>
      </c>
    </row>
    <row r="26" spans="1:4" x14ac:dyDescent="0.35">
      <c r="A26" s="8" t="s">
        <v>26</v>
      </c>
      <c r="B26" s="8" t="s">
        <v>17</v>
      </c>
      <c r="C26" s="9">
        <v>9673</v>
      </c>
      <c r="D26" t="str">
        <f t="shared" si="0"/>
        <v>2010-30-34 år</v>
      </c>
    </row>
    <row r="27" spans="1:4" x14ac:dyDescent="0.35">
      <c r="A27" s="8" t="s">
        <v>26</v>
      </c>
      <c r="B27" s="8" t="s">
        <v>18</v>
      </c>
      <c r="C27" s="9">
        <v>9565</v>
      </c>
      <c r="D27" t="str">
        <f t="shared" si="0"/>
        <v>2010-35-39 år</v>
      </c>
    </row>
    <row r="28" spans="1:4" x14ac:dyDescent="0.35">
      <c r="A28" s="8" t="s">
        <v>26</v>
      </c>
      <c r="B28" s="8" t="s">
        <v>19</v>
      </c>
      <c r="C28" s="9">
        <v>11893</v>
      </c>
      <c r="D28" t="str">
        <f t="shared" si="0"/>
        <v>2010-40-44 år</v>
      </c>
    </row>
    <row r="29" spans="1:4" x14ac:dyDescent="0.35">
      <c r="A29" s="8" t="s">
        <v>26</v>
      </c>
      <c r="B29" s="8" t="s">
        <v>20</v>
      </c>
      <c r="C29" s="9">
        <v>11808</v>
      </c>
      <c r="D29" t="str">
        <f t="shared" si="0"/>
        <v>2010-45-49 år</v>
      </c>
    </row>
    <row r="30" spans="1:4" x14ac:dyDescent="0.35">
      <c r="A30" s="8" t="s">
        <v>26</v>
      </c>
      <c r="B30" s="8" t="s">
        <v>21</v>
      </c>
      <c r="C30" s="9">
        <v>10091</v>
      </c>
      <c r="D30" t="str">
        <f t="shared" si="0"/>
        <v>2010-50-54 år</v>
      </c>
    </row>
    <row r="31" spans="1:4" x14ac:dyDescent="0.35">
      <c r="A31" s="8" t="s">
        <v>26</v>
      </c>
      <c r="B31" s="8" t="s">
        <v>22</v>
      </c>
      <c r="C31" s="9">
        <v>9186</v>
      </c>
      <c r="D31" t="str">
        <f t="shared" si="0"/>
        <v>2010-55-59 år</v>
      </c>
    </row>
    <row r="32" spans="1:4" x14ac:dyDescent="0.35">
      <c r="A32" s="8" t="s">
        <v>26</v>
      </c>
      <c r="B32" s="8" t="s">
        <v>23</v>
      </c>
      <c r="C32" s="9">
        <v>5175</v>
      </c>
      <c r="D32" t="str">
        <f t="shared" si="0"/>
        <v>2010-60-64 år</v>
      </c>
    </row>
    <row r="33" spans="1:4" x14ac:dyDescent="0.35">
      <c r="A33" s="8" t="s">
        <v>26</v>
      </c>
      <c r="B33" s="8" t="s">
        <v>24</v>
      </c>
      <c r="C33" s="9">
        <v>1161</v>
      </c>
      <c r="D33" t="str">
        <f t="shared" si="0"/>
        <v>2010-65+ år</v>
      </c>
    </row>
    <row r="34" spans="1:4" x14ac:dyDescent="0.35">
      <c r="A34" s="8" t="s">
        <v>27</v>
      </c>
      <c r="B34" s="8" t="s">
        <v>16</v>
      </c>
      <c r="C34" s="9">
        <v>6619</v>
      </c>
      <c r="D34" t="str">
        <f t="shared" si="0"/>
        <v>2011-25-29 år</v>
      </c>
    </row>
    <row r="35" spans="1:4" x14ac:dyDescent="0.35">
      <c r="A35" s="8" t="s">
        <v>27</v>
      </c>
      <c r="B35" s="8" t="s">
        <v>17</v>
      </c>
      <c r="C35" s="9">
        <v>9409</v>
      </c>
      <c r="D35" t="str">
        <f t="shared" si="0"/>
        <v>2011-30-34 år</v>
      </c>
    </row>
    <row r="36" spans="1:4" x14ac:dyDescent="0.35">
      <c r="A36" s="8" t="s">
        <v>27</v>
      </c>
      <c r="B36" s="8" t="s">
        <v>18</v>
      </c>
      <c r="C36" s="9">
        <v>9809</v>
      </c>
      <c r="D36" t="str">
        <f t="shared" si="0"/>
        <v>2011-35-39 år</v>
      </c>
    </row>
    <row r="37" spans="1:4" x14ac:dyDescent="0.35">
      <c r="A37" s="8" t="s">
        <v>27</v>
      </c>
      <c r="B37" s="8" t="s">
        <v>19</v>
      </c>
      <c r="C37" s="9">
        <v>10924</v>
      </c>
      <c r="D37" t="str">
        <f t="shared" si="0"/>
        <v>2011-40-44 år</v>
      </c>
    </row>
    <row r="38" spans="1:4" x14ac:dyDescent="0.35">
      <c r="A38" s="8" t="s">
        <v>27</v>
      </c>
      <c r="B38" s="8" t="s">
        <v>20</v>
      </c>
      <c r="C38" s="9">
        <v>12323</v>
      </c>
      <c r="D38" t="str">
        <f t="shared" si="0"/>
        <v>2011-45-49 år</v>
      </c>
    </row>
    <row r="39" spans="1:4" x14ac:dyDescent="0.35">
      <c r="A39" s="8" t="s">
        <v>27</v>
      </c>
      <c r="B39" s="8" t="s">
        <v>21</v>
      </c>
      <c r="C39" s="9">
        <v>10305</v>
      </c>
      <c r="D39" t="str">
        <f t="shared" si="0"/>
        <v>2011-50-54 år</v>
      </c>
    </row>
    <row r="40" spans="1:4" x14ac:dyDescent="0.35">
      <c r="A40" s="8" t="s">
        <v>27</v>
      </c>
      <c r="B40" s="8" t="s">
        <v>22</v>
      </c>
      <c r="C40" s="9">
        <v>9210</v>
      </c>
      <c r="D40" t="str">
        <f t="shared" si="0"/>
        <v>2011-55-59 år</v>
      </c>
    </row>
    <row r="41" spans="1:4" x14ac:dyDescent="0.35">
      <c r="A41" s="8" t="s">
        <v>27</v>
      </c>
      <c r="B41" s="8" t="s">
        <v>23</v>
      </c>
      <c r="C41" s="9">
        <v>5200</v>
      </c>
      <c r="D41" t="str">
        <f t="shared" si="0"/>
        <v>2011-60-64 år</v>
      </c>
    </row>
    <row r="42" spans="1:4" x14ac:dyDescent="0.35">
      <c r="A42" s="8" t="s">
        <v>27</v>
      </c>
      <c r="B42" s="8" t="s">
        <v>24</v>
      </c>
      <c r="C42" s="9">
        <v>1320</v>
      </c>
      <c r="D42" t="str">
        <f t="shared" si="0"/>
        <v>2011-65+ år</v>
      </c>
    </row>
    <row r="43" spans="1:4" x14ac:dyDescent="0.35">
      <c r="A43" s="8" t="s">
        <v>28</v>
      </c>
      <c r="B43" s="8" t="s">
        <v>16</v>
      </c>
      <c r="C43" s="9">
        <v>6332</v>
      </c>
      <c r="D43" t="str">
        <f t="shared" si="0"/>
        <v>2012-25-29 år</v>
      </c>
    </row>
    <row r="44" spans="1:4" x14ac:dyDescent="0.35">
      <c r="A44" s="8" t="s">
        <v>28</v>
      </c>
      <c r="B44" s="8" t="s">
        <v>17</v>
      </c>
      <c r="C44" s="9">
        <v>8887</v>
      </c>
      <c r="D44" t="str">
        <f t="shared" si="0"/>
        <v>2012-30-34 år</v>
      </c>
    </row>
    <row r="45" spans="1:4" x14ac:dyDescent="0.35">
      <c r="A45" s="8" t="s">
        <v>28</v>
      </c>
      <c r="B45" s="8" t="s">
        <v>18</v>
      </c>
      <c r="C45" s="9">
        <v>9638</v>
      </c>
      <c r="D45" t="str">
        <f t="shared" si="0"/>
        <v>2012-35-39 år</v>
      </c>
    </row>
    <row r="46" spans="1:4" x14ac:dyDescent="0.35">
      <c r="A46" s="8" t="s">
        <v>28</v>
      </c>
      <c r="B46" s="8" t="s">
        <v>19</v>
      </c>
      <c r="C46" s="9">
        <v>9823</v>
      </c>
      <c r="D46" t="str">
        <f t="shared" si="0"/>
        <v>2012-40-44 år</v>
      </c>
    </row>
    <row r="47" spans="1:4" x14ac:dyDescent="0.35">
      <c r="A47" s="8" t="s">
        <v>28</v>
      </c>
      <c r="B47" s="8" t="s">
        <v>20</v>
      </c>
      <c r="C47" s="9">
        <v>12680</v>
      </c>
      <c r="D47" t="str">
        <f t="shared" si="0"/>
        <v>2012-45-49 år</v>
      </c>
    </row>
    <row r="48" spans="1:4" x14ac:dyDescent="0.35">
      <c r="A48" s="8" t="s">
        <v>28</v>
      </c>
      <c r="B48" s="8" t="s">
        <v>21</v>
      </c>
      <c r="C48" s="9">
        <v>10381</v>
      </c>
      <c r="D48" t="str">
        <f t="shared" si="0"/>
        <v>2012-50-54 år</v>
      </c>
    </row>
    <row r="49" spans="1:4" x14ac:dyDescent="0.35">
      <c r="A49" s="8" t="s">
        <v>28</v>
      </c>
      <c r="B49" s="8" t="s">
        <v>22</v>
      </c>
      <c r="C49" s="9">
        <v>9032</v>
      </c>
      <c r="D49" t="str">
        <f t="shared" si="0"/>
        <v>2012-55-59 år</v>
      </c>
    </row>
    <row r="50" spans="1:4" x14ac:dyDescent="0.35">
      <c r="A50" s="8" t="s">
        <v>28</v>
      </c>
      <c r="B50" s="8" t="s">
        <v>23</v>
      </c>
      <c r="C50" s="9">
        <v>5237</v>
      </c>
      <c r="D50" t="str">
        <f t="shared" si="0"/>
        <v>2012-60-64 år</v>
      </c>
    </row>
    <row r="51" spans="1:4" x14ac:dyDescent="0.35">
      <c r="A51" s="8" t="s">
        <v>28</v>
      </c>
      <c r="B51" s="8" t="s">
        <v>24</v>
      </c>
      <c r="C51" s="9">
        <v>1446</v>
      </c>
      <c r="D51" t="str">
        <f t="shared" si="0"/>
        <v>2012-65+ år</v>
      </c>
    </row>
    <row r="52" spans="1:4" x14ac:dyDescent="0.35">
      <c r="A52" s="8" t="s">
        <v>29</v>
      </c>
      <c r="B52" s="8" t="s">
        <v>16</v>
      </c>
      <c r="C52" s="9">
        <v>6202</v>
      </c>
      <c r="D52" t="str">
        <f t="shared" si="0"/>
        <v>2013-25-29 år</v>
      </c>
    </row>
    <row r="53" spans="1:4" x14ac:dyDescent="0.35">
      <c r="A53" s="8" t="s">
        <v>29</v>
      </c>
      <c r="B53" s="8" t="s">
        <v>17</v>
      </c>
      <c r="C53" s="9">
        <v>8560</v>
      </c>
      <c r="D53" t="str">
        <f t="shared" si="0"/>
        <v>2013-30-34 år</v>
      </c>
    </row>
    <row r="54" spans="1:4" x14ac:dyDescent="0.35">
      <c r="A54" s="8" t="s">
        <v>29</v>
      </c>
      <c r="B54" s="8" t="s">
        <v>18</v>
      </c>
      <c r="C54" s="9">
        <v>9790</v>
      </c>
      <c r="D54" t="str">
        <f t="shared" si="0"/>
        <v>2013-35-39 år</v>
      </c>
    </row>
    <row r="55" spans="1:4" x14ac:dyDescent="0.35">
      <c r="A55" s="8" t="s">
        <v>29</v>
      </c>
      <c r="B55" s="8" t="s">
        <v>19</v>
      </c>
      <c r="C55" s="9">
        <v>9383</v>
      </c>
      <c r="D55" t="str">
        <f t="shared" si="0"/>
        <v>2013-40-44 år</v>
      </c>
    </row>
    <row r="56" spans="1:4" x14ac:dyDescent="0.35">
      <c r="A56" s="8" t="s">
        <v>29</v>
      </c>
      <c r="B56" s="8" t="s">
        <v>20</v>
      </c>
      <c r="C56" s="9">
        <v>12762</v>
      </c>
      <c r="D56" t="str">
        <f t="shared" si="0"/>
        <v>2013-45-49 år</v>
      </c>
    </row>
    <row r="57" spans="1:4" x14ac:dyDescent="0.35">
      <c r="A57" s="8" t="s">
        <v>29</v>
      </c>
      <c r="B57" s="8" t="s">
        <v>21</v>
      </c>
      <c r="C57" s="9">
        <v>10587</v>
      </c>
      <c r="D57" t="str">
        <f t="shared" si="0"/>
        <v>2013-50-54 år</v>
      </c>
    </row>
    <row r="58" spans="1:4" x14ac:dyDescent="0.35">
      <c r="A58" s="8" t="s">
        <v>29</v>
      </c>
      <c r="B58" s="8" t="s">
        <v>22</v>
      </c>
      <c r="C58" s="9">
        <v>8811</v>
      </c>
      <c r="D58" t="str">
        <f t="shared" si="0"/>
        <v>2013-55-59 år</v>
      </c>
    </row>
    <row r="59" spans="1:4" x14ac:dyDescent="0.35">
      <c r="A59" s="8" t="s">
        <v>29</v>
      </c>
      <c r="B59" s="8" t="s">
        <v>23</v>
      </c>
      <c r="C59" s="9">
        <v>5072</v>
      </c>
      <c r="D59" t="str">
        <f t="shared" si="0"/>
        <v>2013-60-64 år</v>
      </c>
    </row>
    <row r="60" spans="1:4" x14ac:dyDescent="0.35">
      <c r="A60" s="8" t="s">
        <v>29</v>
      </c>
      <c r="B60" s="8" t="s">
        <v>24</v>
      </c>
      <c r="C60" s="9">
        <v>1539</v>
      </c>
      <c r="D60" t="str">
        <f t="shared" si="0"/>
        <v>2013-65+ år</v>
      </c>
    </row>
    <row r="61" spans="1:4" x14ac:dyDescent="0.35">
      <c r="A61" s="8" t="s">
        <v>30</v>
      </c>
      <c r="B61" s="8" t="s">
        <v>16</v>
      </c>
      <c r="C61" s="9">
        <v>6041</v>
      </c>
      <c r="D61" t="str">
        <f t="shared" si="0"/>
        <v>2014-25-29 år</v>
      </c>
    </row>
    <row r="62" spans="1:4" x14ac:dyDescent="0.35">
      <c r="A62" s="8" t="s">
        <v>30</v>
      </c>
      <c r="B62" s="8" t="s">
        <v>17</v>
      </c>
      <c r="C62" s="9">
        <v>8203</v>
      </c>
      <c r="D62" t="str">
        <f t="shared" si="0"/>
        <v>2014-30-34 år</v>
      </c>
    </row>
    <row r="63" spans="1:4" x14ac:dyDescent="0.35">
      <c r="A63" s="8" t="s">
        <v>30</v>
      </c>
      <c r="B63" s="8" t="s">
        <v>18</v>
      </c>
      <c r="C63" s="9">
        <v>9972</v>
      </c>
      <c r="D63" t="str">
        <f t="shared" si="0"/>
        <v>2014-35-39 år</v>
      </c>
    </row>
    <row r="64" spans="1:4" x14ac:dyDescent="0.35">
      <c r="A64" s="8" t="s">
        <v>30</v>
      </c>
      <c r="B64" s="8" t="s">
        <v>19</v>
      </c>
      <c r="C64" s="9">
        <v>9409</v>
      </c>
      <c r="D64" t="str">
        <f t="shared" si="0"/>
        <v>2014-40-44 år</v>
      </c>
    </row>
    <row r="65" spans="1:4" x14ac:dyDescent="0.35">
      <c r="A65" s="8" t="s">
        <v>30</v>
      </c>
      <c r="B65" s="8" t="s">
        <v>20</v>
      </c>
      <c r="C65" s="9">
        <v>12377</v>
      </c>
      <c r="D65" t="str">
        <f t="shared" si="0"/>
        <v>2014-45-49 år</v>
      </c>
    </row>
    <row r="66" spans="1:4" x14ac:dyDescent="0.35">
      <c r="A66" s="8" t="s">
        <v>30</v>
      </c>
      <c r="B66" s="8" t="s">
        <v>21</v>
      </c>
      <c r="C66" s="9">
        <v>10828</v>
      </c>
      <c r="D66" t="str">
        <f t="shared" si="0"/>
        <v>2014-50-54 år</v>
      </c>
    </row>
    <row r="67" spans="1:4" x14ac:dyDescent="0.35">
      <c r="A67" s="8" t="s">
        <v>30</v>
      </c>
      <c r="B67" s="8" t="s">
        <v>22</v>
      </c>
      <c r="C67" s="9">
        <v>8888</v>
      </c>
      <c r="D67" t="str">
        <f t="shared" si="0"/>
        <v>2014-55-59 år</v>
      </c>
    </row>
    <row r="68" spans="1:4" x14ac:dyDescent="0.35">
      <c r="A68" s="8" t="s">
        <v>30</v>
      </c>
      <c r="B68" s="8" t="s">
        <v>23</v>
      </c>
      <c r="C68" s="9">
        <v>5141</v>
      </c>
      <c r="D68" t="str">
        <f t="shared" si="0"/>
        <v>2014-60-64 år</v>
      </c>
    </row>
    <row r="69" spans="1:4" x14ac:dyDescent="0.35">
      <c r="A69" s="8" t="s">
        <v>30</v>
      </c>
      <c r="B69" s="8" t="s">
        <v>24</v>
      </c>
      <c r="C69" s="9">
        <v>1600</v>
      </c>
      <c r="D69" t="str">
        <f t="shared" si="0"/>
        <v>2014-65+ år</v>
      </c>
    </row>
    <row r="70" spans="1:4" x14ac:dyDescent="0.35">
      <c r="A70" s="8" t="s">
        <v>31</v>
      </c>
      <c r="B70" s="8" t="s">
        <v>16</v>
      </c>
      <c r="C70" s="9">
        <v>5834</v>
      </c>
      <c r="D70" t="str">
        <f t="shared" si="0"/>
        <v>2015-25-29 år</v>
      </c>
    </row>
    <row r="71" spans="1:4" x14ac:dyDescent="0.35">
      <c r="A71" s="8" t="s">
        <v>31</v>
      </c>
      <c r="B71" s="8" t="s">
        <v>17</v>
      </c>
      <c r="C71" s="9">
        <v>7834</v>
      </c>
      <c r="D71" t="str">
        <f t="shared" ref="D71:D134" si="1">A71&amp;"-"&amp;B71</f>
        <v>2015-30-34 år</v>
      </c>
    </row>
    <row r="72" spans="1:4" x14ac:dyDescent="0.35">
      <c r="A72" s="8" t="s">
        <v>31</v>
      </c>
      <c r="B72" s="8" t="s">
        <v>18</v>
      </c>
      <c r="C72" s="9">
        <v>9897</v>
      </c>
      <c r="D72" t="str">
        <f t="shared" si="1"/>
        <v>2015-35-39 år</v>
      </c>
    </row>
    <row r="73" spans="1:4" x14ac:dyDescent="0.35">
      <c r="A73" s="8" t="s">
        <v>31</v>
      </c>
      <c r="B73" s="8" t="s">
        <v>19</v>
      </c>
      <c r="C73" s="9">
        <v>9571</v>
      </c>
      <c r="D73" t="str">
        <f t="shared" si="1"/>
        <v>2015-40-44 år</v>
      </c>
    </row>
    <row r="74" spans="1:4" x14ac:dyDescent="0.35">
      <c r="A74" s="8" t="s">
        <v>31</v>
      </c>
      <c r="B74" s="8" t="s">
        <v>20</v>
      </c>
      <c r="C74" s="9">
        <v>11603</v>
      </c>
      <c r="D74" t="str">
        <f t="shared" si="1"/>
        <v>2015-45-49 år</v>
      </c>
    </row>
    <row r="75" spans="1:4" x14ac:dyDescent="0.35">
      <c r="A75" s="8" t="s">
        <v>31</v>
      </c>
      <c r="B75" s="8" t="s">
        <v>21</v>
      </c>
      <c r="C75" s="9">
        <v>11160</v>
      </c>
      <c r="D75" t="str">
        <f t="shared" si="1"/>
        <v>2015-50-54 år</v>
      </c>
    </row>
    <row r="76" spans="1:4" x14ac:dyDescent="0.35">
      <c r="A76" s="8" t="s">
        <v>31</v>
      </c>
      <c r="B76" s="8" t="s">
        <v>22</v>
      </c>
      <c r="C76" s="9">
        <v>8969</v>
      </c>
      <c r="D76" t="str">
        <f t="shared" si="1"/>
        <v>2015-55-59 år</v>
      </c>
    </row>
    <row r="77" spans="1:4" x14ac:dyDescent="0.35">
      <c r="A77" s="8" t="s">
        <v>31</v>
      </c>
      <c r="B77" s="8" t="s">
        <v>23</v>
      </c>
      <c r="C77" s="9">
        <v>5167</v>
      </c>
      <c r="D77" t="str">
        <f t="shared" si="1"/>
        <v>2015-60-64 år</v>
      </c>
    </row>
    <row r="78" spans="1:4" x14ac:dyDescent="0.35">
      <c r="A78" s="8" t="s">
        <v>31</v>
      </c>
      <c r="B78" s="8" t="s">
        <v>24</v>
      </c>
      <c r="C78" s="9">
        <v>1642</v>
      </c>
      <c r="D78" t="str">
        <f t="shared" si="1"/>
        <v>2015-65+ år</v>
      </c>
    </row>
    <row r="79" spans="1:4" x14ac:dyDescent="0.35">
      <c r="A79" s="8" t="s">
        <v>32</v>
      </c>
      <c r="B79" s="8" t="s">
        <v>16</v>
      </c>
      <c r="C79" s="9">
        <v>5701</v>
      </c>
      <c r="D79" t="str">
        <f t="shared" si="1"/>
        <v>2016-25-29 år</v>
      </c>
    </row>
    <row r="80" spans="1:4" x14ac:dyDescent="0.35">
      <c r="A80" s="8" t="s">
        <v>32</v>
      </c>
      <c r="B80" s="8" t="s">
        <v>17</v>
      </c>
      <c r="C80" s="9">
        <v>7831</v>
      </c>
      <c r="D80" t="str">
        <f t="shared" si="1"/>
        <v>2016-30-34 år</v>
      </c>
    </row>
    <row r="81" spans="1:4" x14ac:dyDescent="0.35">
      <c r="A81" s="8" t="s">
        <v>32</v>
      </c>
      <c r="B81" s="8" t="s">
        <v>18</v>
      </c>
      <c r="C81" s="9">
        <v>9564</v>
      </c>
      <c r="D81" t="str">
        <f t="shared" si="1"/>
        <v>2016-35-39 år</v>
      </c>
    </row>
    <row r="82" spans="1:4" x14ac:dyDescent="0.35">
      <c r="A82" s="8" t="s">
        <v>32</v>
      </c>
      <c r="B82" s="8" t="s">
        <v>19</v>
      </c>
      <c r="C82" s="9">
        <v>9711</v>
      </c>
      <c r="D82" t="str">
        <f t="shared" si="1"/>
        <v>2016-40-44 år</v>
      </c>
    </row>
    <row r="83" spans="1:4" x14ac:dyDescent="0.35">
      <c r="A83" s="8" t="s">
        <v>32</v>
      </c>
      <c r="B83" s="8" t="s">
        <v>20</v>
      </c>
      <c r="C83" s="9">
        <v>10533</v>
      </c>
      <c r="D83" t="str">
        <f t="shared" si="1"/>
        <v>2016-45-49 år</v>
      </c>
    </row>
    <row r="84" spans="1:4" x14ac:dyDescent="0.35">
      <c r="A84" s="8" t="s">
        <v>32</v>
      </c>
      <c r="B84" s="8" t="s">
        <v>21</v>
      </c>
      <c r="C84" s="9">
        <v>11490</v>
      </c>
      <c r="D84" t="str">
        <f t="shared" si="1"/>
        <v>2016-50-54 år</v>
      </c>
    </row>
    <row r="85" spans="1:4" x14ac:dyDescent="0.35">
      <c r="A85" s="8" t="s">
        <v>32</v>
      </c>
      <c r="B85" s="8" t="s">
        <v>22</v>
      </c>
      <c r="C85" s="9">
        <v>9121</v>
      </c>
      <c r="D85" t="str">
        <f t="shared" si="1"/>
        <v>2016-55-59 år</v>
      </c>
    </row>
    <row r="86" spans="1:4" x14ac:dyDescent="0.35">
      <c r="A86" s="8" t="s">
        <v>32</v>
      </c>
      <c r="B86" s="8" t="s">
        <v>23</v>
      </c>
      <c r="C86" s="9">
        <v>5304</v>
      </c>
      <c r="D86" t="str">
        <f t="shared" si="1"/>
        <v>2016-60-64 år</v>
      </c>
    </row>
    <row r="87" spans="1:4" x14ac:dyDescent="0.35">
      <c r="A87" s="8" t="s">
        <v>32</v>
      </c>
      <c r="B87" s="8" t="s">
        <v>24</v>
      </c>
      <c r="C87" s="9">
        <v>1680</v>
      </c>
      <c r="D87" t="str">
        <f t="shared" si="1"/>
        <v>2016-65+ år</v>
      </c>
    </row>
    <row r="88" spans="1:4" x14ac:dyDescent="0.35">
      <c r="A88" s="8" t="s">
        <v>33</v>
      </c>
      <c r="B88" s="8" t="s">
        <v>16</v>
      </c>
      <c r="C88" s="9">
        <v>5951</v>
      </c>
      <c r="D88" t="str">
        <f t="shared" si="1"/>
        <v>2017-25-29 år</v>
      </c>
    </row>
    <row r="89" spans="1:4" x14ac:dyDescent="0.35">
      <c r="A89" s="8" t="s">
        <v>33</v>
      </c>
      <c r="B89" s="8" t="s">
        <v>17</v>
      </c>
      <c r="C89" s="9">
        <v>8016</v>
      </c>
      <c r="D89" t="str">
        <f t="shared" si="1"/>
        <v>2017-30-34 år</v>
      </c>
    </row>
    <row r="90" spans="1:4" x14ac:dyDescent="0.35">
      <c r="A90" s="8" t="s">
        <v>33</v>
      </c>
      <c r="B90" s="8" t="s">
        <v>18</v>
      </c>
      <c r="C90" s="9">
        <v>9344</v>
      </c>
      <c r="D90" t="str">
        <f t="shared" si="1"/>
        <v>2017-35-39 år</v>
      </c>
    </row>
    <row r="91" spans="1:4" x14ac:dyDescent="0.35">
      <c r="A91" s="8" t="s">
        <v>33</v>
      </c>
      <c r="B91" s="8" t="s">
        <v>19</v>
      </c>
      <c r="C91" s="9">
        <v>9699</v>
      </c>
      <c r="D91" t="str">
        <f t="shared" si="1"/>
        <v>2017-40-44 år</v>
      </c>
    </row>
    <row r="92" spans="1:4" x14ac:dyDescent="0.35">
      <c r="A92" s="8" t="s">
        <v>33</v>
      </c>
      <c r="B92" s="8" t="s">
        <v>20</v>
      </c>
      <c r="C92" s="9">
        <v>9778</v>
      </c>
      <c r="D92" t="str">
        <f t="shared" si="1"/>
        <v>2017-45-49 år</v>
      </c>
    </row>
    <row r="93" spans="1:4" x14ac:dyDescent="0.35">
      <c r="A93" s="8" t="s">
        <v>33</v>
      </c>
      <c r="B93" s="8" t="s">
        <v>21</v>
      </c>
      <c r="C93" s="9">
        <v>11940</v>
      </c>
      <c r="D93" t="str">
        <f t="shared" si="1"/>
        <v>2017-50-54 år</v>
      </c>
    </row>
    <row r="94" spans="1:4" x14ac:dyDescent="0.35">
      <c r="A94" s="8" t="s">
        <v>33</v>
      </c>
      <c r="B94" s="8" t="s">
        <v>22</v>
      </c>
      <c r="C94" s="9">
        <v>9231</v>
      </c>
      <c r="D94" t="str">
        <f t="shared" si="1"/>
        <v>2017-55-59 år</v>
      </c>
    </row>
    <row r="95" spans="1:4" x14ac:dyDescent="0.35">
      <c r="A95" s="8" t="s">
        <v>33</v>
      </c>
      <c r="B95" s="8" t="s">
        <v>23</v>
      </c>
      <c r="C95" s="9">
        <v>5403</v>
      </c>
      <c r="D95" t="str">
        <f t="shared" si="1"/>
        <v>2017-60-64 år</v>
      </c>
    </row>
    <row r="96" spans="1:4" x14ac:dyDescent="0.35">
      <c r="A96" s="8" t="s">
        <v>33</v>
      </c>
      <c r="B96" s="8" t="s">
        <v>24</v>
      </c>
      <c r="C96" s="9">
        <v>1775</v>
      </c>
      <c r="D96" t="str">
        <f t="shared" si="1"/>
        <v>2017-65+ år</v>
      </c>
    </row>
    <row r="97" spans="1:4" x14ac:dyDescent="0.35">
      <c r="A97" s="8" t="s">
        <v>34</v>
      </c>
      <c r="B97" s="8" t="s">
        <v>16</v>
      </c>
      <c r="C97" s="9">
        <v>6353</v>
      </c>
      <c r="D97" t="str">
        <f t="shared" si="1"/>
        <v>2018-25-29 år</v>
      </c>
    </row>
    <row r="98" spans="1:4" x14ac:dyDescent="0.35">
      <c r="A98" s="8" t="s">
        <v>34</v>
      </c>
      <c r="B98" s="8" t="s">
        <v>17</v>
      </c>
      <c r="C98" s="9">
        <v>8276</v>
      </c>
      <c r="D98" t="str">
        <f t="shared" si="1"/>
        <v>2018-30-34 år</v>
      </c>
    </row>
    <row r="99" spans="1:4" x14ac:dyDescent="0.35">
      <c r="A99" s="8" t="s">
        <v>34</v>
      </c>
      <c r="B99" s="8" t="s">
        <v>18</v>
      </c>
      <c r="C99" s="9">
        <v>9245</v>
      </c>
      <c r="D99" t="str">
        <f t="shared" si="1"/>
        <v>2018-35-39 år</v>
      </c>
    </row>
    <row r="100" spans="1:4" x14ac:dyDescent="0.35">
      <c r="A100" s="8" t="s">
        <v>34</v>
      </c>
      <c r="B100" s="8" t="s">
        <v>19</v>
      </c>
      <c r="C100" s="9">
        <v>9937</v>
      </c>
      <c r="D100" t="str">
        <f t="shared" si="1"/>
        <v>2018-40-44 år</v>
      </c>
    </row>
    <row r="101" spans="1:4" x14ac:dyDescent="0.35">
      <c r="A101" s="8" t="s">
        <v>34</v>
      </c>
      <c r="B101" s="8" t="s">
        <v>20</v>
      </c>
      <c r="C101" s="9">
        <v>9488</v>
      </c>
      <c r="D101" t="str">
        <f t="shared" si="1"/>
        <v>2018-45-49 år</v>
      </c>
    </row>
    <row r="102" spans="1:4" x14ac:dyDescent="0.35">
      <c r="A102" s="8" t="s">
        <v>34</v>
      </c>
      <c r="B102" s="8" t="s">
        <v>21</v>
      </c>
      <c r="C102" s="9">
        <v>12171</v>
      </c>
      <c r="D102" t="str">
        <f t="shared" si="1"/>
        <v>2018-50-54 år</v>
      </c>
    </row>
    <row r="103" spans="1:4" x14ac:dyDescent="0.35">
      <c r="A103" s="8" t="s">
        <v>34</v>
      </c>
      <c r="B103" s="8" t="s">
        <v>22</v>
      </c>
      <c r="C103" s="9">
        <v>9537</v>
      </c>
      <c r="D103" t="str">
        <f t="shared" si="1"/>
        <v>2018-55-59 år</v>
      </c>
    </row>
    <row r="104" spans="1:4" x14ac:dyDescent="0.35">
      <c r="A104" s="8" t="s">
        <v>34</v>
      </c>
      <c r="B104" s="8" t="s">
        <v>23</v>
      </c>
      <c r="C104" s="9">
        <v>5638</v>
      </c>
      <c r="D104" t="str">
        <f t="shared" si="1"/>
        <v>2018-60-64 år</v>
      </c>
    </row>
    <row r="105" spans="1:4" x14ac:dyDescent="0.35">
      <c r="A105" s="8" t="s">
        <v>34</v>
      </c>
      <c r="B105" s="8" t="s">
        <v>24</v>
      </c>
      <c r="C105" s="9">
        <v>1897</v>
      </c>
      <c r="D105" t="str">
        <f t="shared" si="1"/>
        <v>2018-65+ år</v>
      </c>
    </row>
    <row r="106" spans="1:4" x14ac:dyDescent="0.35">
      <c r="A106" s="8" t="s">
        <v>35</v>
      </c>
      <c r="B106" s="8" t="s">
        <v>16</v>
      </c>
      <c r="C106" s="9">
        <v>6883</v>
      </c>
      <c r="D106" t="str">
        <f t="shared" si="1"/>
        <v>2019-25-29 år</v>
      </c>
    </row>
    <row r="107" spans="1:4" x14ac:dyDescent="0.35">
      <c r="A107" s="8" t="s">
        <v>35</v>
      </c>
      <c r="B107" s="8" t="s">
        <v>17</v>
      </c>
      <c r="C107" s="9">
        <v>8461</v>
      </c>
      <c r="D107" t="str">
        <f t="shared" si="1"/>
        <v>2019-30-34 år</v>
      </c>
    </row>
    <row r="108" spans="1:4" x14ac:dyDescent="0.35">
      <c r="A108" s="8" t="s">
        <v>35</v>
      </c>
      <c r="B108" s="8" t="s">
        <v>18</v>
      </c>
      <c r="C108" s="9">
        <v>9057</v>
      </c>
      <c r="D108" t="str">
        <f t="shared" si="1"/>
        <v>2019-35-39 år</v>
      </c>
    </row>
    <row r="109" spans="1:4" x14ac:dyDescent="0.35">
      <c r="A109" s="8" t="s">
        <v>35</v>
      </c>
      <c r="B109" s="8" t="s">
        <v>19</v>
      </c>
      <c r="C109" s="9">
        <v>10158</v>
      </c>
      <c r="D109" t="str">
        <f t="shared" si="1"/>
        <v>2019-40-44 år</v>
      </c>
    </row>
    <row r="110" spans="1:4" x14ac:dyDescent="0.35">
      <c r="A110" s="8" t="s">
        <v>35</v>
      </c>
      <c r="B110" s="8" t="s">
        <v>20</v>
      </c>
      <c r="C110" s="9">
        <v>9482</v>
      </c>
      <c r="D110" t="str">
        <f t="shared" si="1"/>
        <v>2019-45-49 år</v>
      </c>
    </row>
    <row r="111" spans="1:4" x14ac:dyDescent="0.35">
      <c r="A111" s="8" t="s">
        <v>35</v>
      </c>
      <c r="B111" s="8" t="s">
        <v>21</v>
      </c>
      <c r="C111" s="9">
        <v>11866</v>
      </c>
      <c r="D111" t="str">
        <f t="shared" si="1"/>
        <v>2019-50-54 år</v>
      </c>
    </row>
    <row r="112" spans="1:4" x14ac:dyDescent="0.35">
      <c r="A112" s="8" t="s">
        <v>35</v>
      </c>
      <c r="B112" s="8" t="s">
        <v>22</v>
      </c>
      <c r="C112" s="9">
        <v>9811</v>
      </c>
      <c r="D112" t="str">
        <f t="shared" si="1"/>
        <v>2019-55-59 år</v>
      </c>
    </row>
    <row r="113" spans="1:4" x14ac:dyDescent="0.35">
      <c r="A113" s="8" t="s">
        <v>35</v>
      </c>
      <c r="B113" s="8" t="s">
        <v>23</v>
      </c>
      <c r="C113" s="9">
        <v>5907</v>
      </c>
      <c r="D113" t="str">
        <f t="shared" si="1"/>
        <v>2019-60-64 år</v>
      </c>
    </row>
    <row r="114" spans="1:4" x14ac:dyDescent="0.35">
      <c r="A114" s="8" t="s">
        <v>35</v>
      </c>
      <c r="B114" s="8" t="s">
        <v>24</v>
      </c>
      <c r="C114" s="9">
        <v>2030</v>
      </c>
      <c r="D114" t="str">
        <f t="shared" si="1"/>
        <v>2019-65+ år</v>
      </c>
    </row>
    <row r="115" spans="1:4" x14ac:dyDescent="0.35">
      <c r="A115" s="8" t="s">
        <v>36</v>
      </c>
      <c r="B115" s="8" t="s">
        <v>16</v>
      </c>
      <c r="C115" s="9">
        <v>7337</v>
      </c>
      <c r="D115" t="str">
        <f t="shared" si="1"/>
        <v>2020-25-29 år</v>
      </c>
    </row>
    <row r="116" spans="1:4" x14ac:dyDescent="0.35">
      <c r="A116" s="8" t="s">
        <v>36</v>
      </c>
      <c r="B116" s="8" t="s">
        <v>17</v>
      </c>
      <c r="C116" s="9">
        <v>8658</v>
      </c>
      <c r="D116" t="str">
        <f t="shared" si="1"/>
        <v>2020-30-34 år</v>
      </c>
    </row>
    <row r="117" spans="1:4" x14ac:dyDescent="0.35">
      <c r="A117" s="8" t="s">
        <v>36</v>
      </c>
      <c r="B117" s="8" t="s">
        <v>18</v>
      </c>
      <c r="C117" s="9">
        <v>8798</v>
      </c>
      <c r="D117" t="str">
        <f t="shared" si="1"/>
        <v>2020-35-39 år</v>
      </c>
    </row>
    <row r="118" spans="1:4" x14ac:dyDescent="0.35">
      <c r="A118" s="8" t="s">
        <v>36</v>
      </c>
      <c r="B118" s="8" t="s">
        <v>19</v>
      </c>
      <c r="C118" s="9">
        <v>10129</v>
      </c>
      <c r="D118" t="str">
        <f t="shared" si="1"/>
        <v>2020-40-44 år</v>
      </c>
    </row>
    <row r="119" spans="1:4" x14ac:dyDescent="0.35">
      <c r="A119" s="8" t="s">
        <v>36</v>
      </c>
      <c r="B119" s="8" t="s">
        <v>20</v>
      </c>
      <c r="C119" s="9">
        <v>9740</v>
      </c>
      <c r="D119" t="str">
        <f t="shared" si="1"/>
        <v>2020-45-49 år</v>
      </c>
    </row>
    <row r="120" spans="1:4" x14ac:dyDescent="0.35">
      <c r="A120" s="8" t="s">
        <v>36</v>
      </c>
      <c r="B120" s="8" t="s">
        <v>21</v>
      </c>
      <c r="C120" s="9">
        <v>11187</v>
      </c>
      <c r="D120" t="str">
        <f t="shared" si="1"/>
        <v>2020-50-54 år</v>
      </c>
    </row>
    <row r="121" spans="1:4" x14ac:dyDescent="0.35">
      <c r="A121" s="8" t="s">
        <v>36</v>
      </c>
      <c r="B121" s="8" t="s">
        <v>22</v>
      </c>
      <c r="C121" s="9">
        <v>10215</v>
      </c>
      <c r="D121" t="str">
        <f t="shared" si="1"/>
        <v>2020-55-59 år</v>
      </c>
    </row>
    <row r="122" spans="1:4" x14ac:dyDescent="0.35">
      <c r="A122" s="8" t="s">
        <v>36</v>
      </c>
      <c r="B122" s="8" t="s">
        <v>23</v>
      </c>
      <c r="C122" s="9">
        <v>6305</v>
      </c>
      <c r="D122" t="str">
        <f t="shared" si="1"/>
        <v>2020-60-64 år</v>
      </c>
    </row>
    <row r="123" spans="1:4" x14ac:dyDescent="0.35">
      <c r="A123" s="8" t="s">
        <v>36</v>
      </c>
      <c r="B123" s="8" t="s">
        <v>24</v>
      </c>
      <c r="C123" s="9">
        <v>2231</v>
      </c>
      <c r="D123" t="str">
        <f t="shared" si="1"/>
        <v>2020-65+ år</v>
      </c>
    </row>
    <row r="124" spans="1:4" x14ac:dyDescent="0.35">
      <c r="A124" s="8" t="s">
        <v>37</v>
      </c>
      <c r="B124" s="8" t="s">
        <v>16</v>
      </c>
      <c r="C124" s="9">
        <v>7687</v>
      </c>
      <c r="D124" t="str">
        <f t="shared" si="1"/>
        <v>2021-25-29 år</v>
      </c>
    </row>
    <row r="125" spans="1:4" x14ac:dyDescent="0.35">
      <c r="A125" s="8" t="s">
        <v>37</v>
      </c>
      <c r="B125" s="8" t="s">
        <v>17</v>
      </c>
      <c r="C125" s="9">
        <v>8844</v>
      </c>
      <c r="D125" t="str">
        <f t="shared" si="1"/>
        <v>2021-30-34 år</v>
      </c>
    </row>
    <row r="126" spans="1:4" x14ac:dyDescent="0.35">
      <c r="A126" s="8" t="s">
        <v>37</v>
      </c>
      <c r="B126" s="8" t="s">
        <v>18</v>
      </c>
      <c r="C126" s="9">
        <v>8987</v>
      </c>
      <c r="D126" t="str">
        <f t="shared" si="1"/>
        <v>2021-35-39 år</v>
      </c>
    </row>
    <row r="127" spans="1:4" x14ac:dyDescent="0.35">
      <c r="A127" s="8" t="s">
        <v>37</v>
      </c>
      <c r="B127" s="8" t="s">
        <v>19</v>
      </c>
      <c r="C127" s="9">
        <v>10002</v>
      </c>
      <c r="D127" t="str">
        <f t="shared" si="1"/>
        <v>2021-40-44 år</v>
      </c>
    </row>
    <row r="128" spans="1:4" x14ac:dyDescent="0.35">
      <c r="A128" s="8" t="s">
        <v>37</v>
      </c>
      <c r="B128" s="8" t="s">
        <v>20</v>
      </c>
      <c r="C128" s="9">
        <v>10036</v>
      </c>
      <c r="D128" t="str">
        <f t="shared" si="1"/>
        <v>2021-45-49 år</v>
      </c>
    </row>
    <row r="129" spans="1:4" x14ac:dyDescent="0.35">
      <c r="A129" s="8" t="s">
        <v>37</v>
      </c>
      <c r="B129" s="8" t="s">
        <v>21</v>
      </c>
      <c r="C129" s="9">
        <v>10467</v>
      </c>
      <c r="D129" t="str">
        <f t="shared" si="1"/>
        <v>2021-50-54 år</v>
      </c>
    </row>
    <row r="130" spans="1:4" x14ac:dyDescent="0.35">
      <c r="A130" s="8" t="s">
        <v>37</v>
      </c>
      <c r="B130" s="8" t="s">
        <v>22</v>
      </c>
      <c r="C130" s="9">
        <v>10749</v>
      </c>
      <c r="D130" t="str">
        <f t="shared" si="1"/>
        <v>2021-55-59 år</v>
      </c>
    </row>
    <row r="131" spans="1:4" x14ac:dyDescent="0.35">
      <c r="A131" s="8" t="s">
        <v>37</v>
      </c>
      <c r="B131" s="8" t="s">
        <v>23</v>
      </c>
      <c r="C131" s="9">
        <v>6688</v>
      </c>
      <c r="D131" t="str">
        <f t="shared" si="1"/>
        <v>2021-60-64 år</v>
      </c>
    </row>
    <row r="132" spans="1:4" x14ac:dyDescent="0.35">
      <c r="A132" s="8" t="s">
        <v>37</v>
      </c>
      <c r="B132" s="8" t="s">
        <v>24</v>
      </c>
      <c r="C132" s="9">
        <v>2522</v>
      </c>
      <c r="D132" t="str">
        <f t="shared" si="1"/>
        <v>2021-65+ år</v>
      </c>
    </row>
    <row r="133" spans="1:4" x14ac:dyDescent="0.35">
      <c r="A133" s="8" t="s">
        <v>38</v>
      </c>
      <c r="B133" s="8" t="s">
        <v>16</v>
      </c>
      <c r="C133" s="9">
        <v>8107</v>
      </c>
      <c r="D133" t="str">
        <f t="shared" si="1"/>
        <v>2022-25-29 år</v>
      </c>
    </row>
    <row r="134" spans="1:4" x14ac:dyDescent="0.35">
      <c r="A134" s="8" t="s">
        <v>38</v>
      </c>
      <c r="B134" s="8" t="s">
        <v>17</v>
      </c>
      <c r="C134" s="9">
        <v>9307</v>
      </c>
      <c r="D134" t="str">
        <f t="shared" si="1"/>
        <v>2022-30-34 år</v>
      </c>
    </row>
    <row r="135" spans="1:4" x14ac:dyDescent="0.35">
      <c r="A135" s="8" t="s">
        <v>38</v>
      </c>
      <c r="B135" s="8" t="s">
        <v>18</v>
      </c>
      <c r="C135" s="9">
        <v>9287</v>
      </c>
      <c r="D135" t="str">
        <f t="shared" ref="D135:D158" si="2">A135&amp;"-"&amp;B135</f>
        <v>2022-35-39 år</v>
      </c>
    </row>
    <row r="136" spans="1:4" x14ac:dyDescent="0.35">
      <c r="A136" s="8" t="s">
        <v>38</v>
      </c>
      <c r="B136" s="8" t="s">
        <v>19</v>
      </c>
      <c r="C136" s="9">
        <v>9808</v>
      </c>
      <c r="D136" t="str">
        <f t="shared" si="2"/>
        <v>2022-40-44 år</v>
      </c>
    </row>
    <row r="137" spans="1:4" x14ac:dyDescent="0.35">
      <c r="A137" s="8" t="s">
        <v>38</v>
      </c>
      <c r="B137" s="8" t="s">
        <v>20</v>
      </c>
      <c r="C137" s="9">
        <v>10063</v>
      </c>
      <c r="D137" t="str">
        <f t="shared" si="2"/>
        <v>2022-45-49 år</v>
      </c>
    </row>
    <row r="138" spans="1:4" x14ac:dyDescent="0.35">
      <c r="A138" s="8" t="s">
        <v>38</v>
      </c>
      <c r="B138" s="8" t="s">
        <v>21</v>
      </c>
      <c r="C138" s="9">
        <v>9799</v>
      </c>
      <c r="D138" t="str">
        <f t="shared" si="2"/>
        <v>2022-50-54 år</v>
      </c>
    </row>
    <row r="139" spans="1:4" x14ac:dyDescent="0.35">
      <c r="A139" s="8" t="s">
        <v>38</v>
      </c>
      <c r="B139" s="8" t="s">
        <v>22</v>
      </c>
      <c r="C139" s="9">
        <v>11340</v>
      </c>
      <c r="D139" t="str">
        <f t="shared" si="2"/>
        <v>2022-55-59 år</v>
      </c>
    </row>
    <row r="140" spans="1:4" x14ac:dyDescent="0.35">
      <c r="A140" s="8" t="s">
        <v>38</v>
      </c>
      <c r="B140" s="8" t="s">
        <v>23</v>
      </c>
      <c r="C140" s="9">
        <v>6943</v>
      </c>
      <c r="D140" t="str">
        <f t="shared" si="2"/>
        <v>2022-60-64 år</v>
      </c>
    </row>
    <row r="141" spans="1:4" x14ac:dyDescent="0.35">
      <c r="A141" s="8" t="s">
        <v>38</v>
      </c>
      <c r="B141" s="8" t="s">
        <v>24</v>
      </c>
      <c r="C141" s="9">
        <v>2779</v>
      </c>
      <c r="D141" t="str">
        <f t="shared" si="2"/>
        <v>2022-65+ år</v>
      </c>
    </row>
    <row r="142" spans="1:4" x14ac:dyDescent="0.35">
      <c r="A142" s="8" t="s">
        <v>39</v>
      </c>
      <c r="B142" s="8" t="s">
        <v>16</v>
      </c>
      <c r="C142" s="9">
        <v>8433</v>
      </c>
      <c r="D142" t="str">
        <f t="shared" si="2"/>
        <v>2023-25-29 år</v>
      </c>
    </row>
    <row r="143" spans="1:4" x14ac:dyDescent="0.35">
      <c r="A143" s="8" t="s">
        <v>39</v>
      </c>
      <c r="B143" s="8" t="s">
        <v>17</v>
      </c>
      <c r="C143" s="9">
        <v>9786</v>
      </c>
      <c r="D143" t="str">
        <f t="shared" si="2"/>
        <v>2023-30-34 år</v>
      </c>
    </row>
    <row r="144" spans="1:4" x14ac:dyDescent="0.35">
      <c r="A144" s="8" t="s">
        <v>39</v>
      </c>
      <c r="B144" s="8" t="s">
        <v>18</v>
      </c>
      <c r="C144" s="9">
        <v>9648</v>
      </c>
      <c r="D144" t="str">
        <f t="shared" si="2"/>
        <v>2023-35-39 år</v>
      </c>
    </row>
    <row r="145" spans="1:4" x14ac:dyDescent="0.35">
      <c r="A145" s="8" t="s">
        <v>39</v>
      </c>
      <c r="B145" s="8" t="s">
        <v>19</v>
      </c>
      <c r="C145" s="9">
        <v>9770</v>
      </c>
      <c r="D145" t="str">
        <f t="shared" si="2"/>
        <v>2023-40-44 år</v>
      </c>
    </row>
    <row r="146" spans="1:4" x14ac:dyDescent="0.35">
      <c r="A146" s="8" t="s">
        <v>39</v>
      </c>
      <c r="B146" s="8" t="s">
        <v>20</v>
      </c>
      <c r="C146" s="9">
        <v>10262</v>
      </c>
      <c r="D146" t="str">
        <f t="shared" si="2"/>
        <v>2023-45-49 år</v>
      </c>
    </row>
    <row r="147" spans="1:4" x14ac:dyDescent="0.35">
      <c r="A147" s="8" t="s">
        <v>39</v>
      </c>
      <c r="B147" s="8" t="s">
        <v>21</v>
      </c>
      <c r="C147" s="9">
        <v>9513</v>
      </c>
      <c r="D147" t="str">
        <f t="shared" si="2"/>
        <v>2023-50-54 år</v>
      </c>
    </row>
    <row r="148" spans="1:4" x14ac:dyDescent="0.35">
      <c r="A148" s="8" t="s">
        <v>39</v>
      </c>
      <c r="B148" s="8" t="s">
        <v>22</v>
      </c>
      <c r="C148" s="9">
        <v>11614</v>
      </c>
      <c r="D148" t="str">
        <f t="shared" si="2"/>
        <v>2023-55-59 år</v>
      </c>
    </row>
    <row r="149" spans="1:4" x14ac:dyDescent="0.35">
      <c r="A149" s="8" t="s">
        <v>39</v>
      </c>
      <c r="B149" s="8" t="s">
        <v>23</v>
      </c>
      <c r="C149" s="9">
        <v>7443</v>
      </c>
      <c r="D149" t="str">
        <f t="shared" si="2"/>
        <v>2023-60-64 år</v>
      </c>
    </row>
    <row r="150" spans="1:4" x14ac:dyDescent="0.35">
      <c r="A150" s="8" t="s">
        <v>39</v>
      </c>
      <c r="B150" s="8" t="s">
        <v>24</v>
      </c>
      <c r="C150" s="9">
        <v>3139</v>
      </c>
      <c r="D150" t="str">
        <f t="shared" si="2"/>
        <v>2023-65+ år</v>
      </c>
    </row>
    <row r="151" spans="1:4" x14ac:dyDescent="0.35">
      <c r="A151" s="8" t="s">
        <v>40</v>
      </c>
      <c r="B151" s="8" t="s">
        <v>16</v>
      </c>
      <c r="C151" s="9">
        <v>8560</v>
      </c>
      <c r="D151" t="str">
        <f t="shared" si="2"/>
        <v>2024-25-29 år</v>
      </c>
    </row>
    <row r="152" spans="1:4" x14ac:dyDescent="0.35">
      <c r="A152" s="8" t="s">
        <v>40</v>
      </c>
      <c r="B152" s="8" t="s">
        <v>17</v>
      </c>
      <c r="C152" s="9">
        <v>10150</v>
      </c>
      <c r="D152" t="str">
        <f t="shared" si="2"/>
        <v>2024-30-34 år</v>
      </c>
    </row>
    <row r="153" spans="1:4" x14ac:dyDescent="0.35">
      <c r="A153" s="8" t="s">
        <v>40</v>
      </c>
      <c r="B153" s="8" t="s">
        <v>18</v>
      </c>
      <c r="C153" s="9">
        <v>9885</v>
      </c>
      <c r="D153" t="str">
        <f t="shared" si="2"/>
        <v>2024-35-39 år</v>
      </c>
    </row>
    <row r="154" spans="1:4" x14ac:dyDescent="0.35">
      <c r="A154" s="8" t="s">
        <v>40</v>
      </c>
      <c r="B154" s="8" t="s">
        <v>19</v>
      </c>
      <c r="C154" s="9">
        <v>9594</v>
      </c>
      <c r="D154" t="str">
        <f t="shared" si="2"/>
        <v>2024-40-44 år</v>
      </c>
    </row>
    <row r="155" spans="1:4" x14ac:dyDescent="0.35">
      <c r="A155" s="8" t="s">
        <v>40</v>
      </c>
      <c r="B155" s="8" t="s">
        <v>20</v>
      </c>
      <c r="C155" s="9">
        <v>10483</v>
      </c>
      <c r="D155" t="str">
        <f t="shared" si="2"/>
        <v>2024-45-49 år</v>
      </c>
    </row>
    <row r="156" spans="1:4" x14ac:dyDescent="0.35">
      <c r="A156" s="8" t="s">
        <v>40</v>
      </c>
      <c r="B156" s="8" t="s">
        <v>21</v>
      </c>
      <c r="C156" s="9">
        <v>9604</v>
      </c>
      <c r="D156" t="str">
        <f t="shared" si="2"/>
        <v>2024-50-54 år</v>
      </c>
    </row>
    <row r="157" spans="1:4" x14ac:dyDescent="0.35">
      <c r="A157" s="8" t="s">
        <v>40</v>
      </c>
      <c r="B157" s="8" t="s">
        <v>22</v>
      </c>
      <c r="C157" s="9">
        <v>11402</v>
      </c>
      <c r="D157" t="str">
        <f t="shared" si="2"/>
        <v>2024-55-59 år</v>
      </c>
    </row>
    <row r="158" spans="1:4" x14ac:dyDescent="0.35">
      <c r="A158" s="8" t="s">
        <v>40</v>
      </c>
      <c r="B158" s="8" t="s">
        <v>23</v>
      </c>
      <c r="C158" s="9">
        <v>7871</v>
      </c>
      <c r="D158" t="str">
        <f t="shared" si="2"/>
        <v>2024-60-64 år</v>
      </c>
    </row>
    <row r="159" spans="1:4" ht="15" thickBot="1" x14ac:dyDescent="0.4">
      <c r="A159" s="8" t="s">
        <v>40</v>
      </c>
      <c r="B159" s="8" t="s">
        <v>24</v>
      </c>
      <c r="C159" s="9">
        <v>3573</v>
      </c>
      <c r="D159" t="str">
        <f>A159&amp;"-"&amp;B159</f>
        <v>2024-65+ år</v>
      </c>
    </row>
    <row r="160" spans="1:4" ht="15" thickTop="1" x14ac:dyDescent="0.35">
      <c r="A160" s="10"/>
      <c r="B160" s="10"/>
      <c r="C160" s="10"/>
    </row>
    <row r="162" spans="1:1" x14ac:dyDescent="0.35">
      <c r="A162" t="s">
        <v>41</v>
      </c>
    </row>
    <row r="163" spans="1:1" x14ac:dyDescent="0.35">
      <c r="A163" t="s">
        <v>42</v>
      </c>
    </row>
  </sheetData>
  <pageMargins left="0.7" right="0.7" top="0.75" bottom="0.75" header="0.3" footer="0.3"/>
  <pageSetup orientation="portrait" horizontalDpi="4294967295" verticalDpi="429496729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C4F9C8-6D12-4BCB-A3D1-086DAA0F4CF8}">
  <sheetPr>
    <tabColor theme="9" tint="0.79998168889431442"/>
  </sheetPr>
  <dimension ref="A1:D146"/>
  <sheetViews>
    <sheetView workbookViewId="0">
      <selection activeCell="C8" sqref="C8:C13"/>
    </sheetView>
  </sheetViews>
  <sheetFormatPr defaultRowHeight="14.5" x14ac:dyDescent="0.35"/>
  <cols>
    <col min="2" max="2" width="13" customWidth="1"/>
    <col min="3" max="3" width="31" customWidth="1"/>
  </cols>
  <sheetData>
    <row r="1" spans="1:4" ht="24" thickBot="1" x14ac:dyDescent="0.6">
      <c r="A1" s="6" t="s">
        <v>43</v>
      </c>
      <c r="B1" s="7"/>
      <c r="C1" s="7"/>
    </row>
    <row r="2" spans="1:4" ht="15" thickTop="1" x14ac:dyDescent="0.35">
      <c r="C2" s="8" t="s">
        <v>10</v>
      </c>
    </row>
    <row r="3" spans="1:4" x14ac:dyDescent="0.35">
      <c r="C3" s="8" t="s">
        <v>44</v>
      </c>
    </row>
    <row r="4" spans="1:4" x14ac:dyDescent="0.35">
      <c r="C4" s="8" t="s">
        <v>11</v>
      </c>
    </row>
    <row r="5" spans="1:4" x14ac:dyDescent="0.35">
      <c r="C5" s="8" t="s">
        <v>12</v>
      </c>
    </row>
    <row r="6" spans="1:4" x14ac:dyDescent="0.35">
      <c r="C6" s="8" t="s">
        <v>13</v>
      </c>
    </row>
    <row r="7" spans="1:4" x14ac:dyDescent="0.35">
      <c r="C7" s="8" t="s">
        <v>45</v>
      </c>
    </row>
    <row r="8" spans="1:4" x14ac:dyDescent="0.35">
      <c r="A8" s="8" t="s">
        <v>25</v>
      </c>
      <c r="B8" s="8" t="s">
        <v>16</v>
      </c>
      <c r="C8" s="9">
        <v>3410</v>
      </c>
      <c r="D8" t="str">
        <f t="shared" ref="D8:D71" si="0">A8&amp;"-"&amp;B8</f>
        <v>2009-25-29 år</v>
      </c>
    </row>
    <row r="9" spans="1:4" x14ac:dyDescent="0.35">
      <c r="A9" s="8" t="s">
        <v>25</v>
      </c>
      <c r="B9" s="8" t="s">
        <v>17</v>
      </c>
      <c r="C9" s="9">
        <v>3525</v>
      </c>
      <c r="D9" t="str">
        <f t="shared" si="0"/>
        <v>2009-30-34 år</v>
      </c>
    </row>
    <row r="10" spans="1:4" x14ac:dyDescent="0.35">
      <c r="A10" s="8" t="s">
        <v>25</v>
      </c>
      <c r="B10" s="8" t="s">
        <v>18</v>
      </c>
      <c r="C10" s="9">
        <v>3090</v>
      </c>
      <c r="D10" t="str">
        <f t="shared" si="0"/>
        <v>2009-35-39 år</v>
      </c>
    </row>
    <row r="11" spans="1:4" x14ac:dyDescent="0.35">
      <c r="A11" s="8" t="s">
        <v>25</v>
      </c>
      <c r="B11" s="8" t="s">
        <v>19</v>
      </c>
      <c r="C11" s="9">
        <v>4180</v>
      </c>
      <c r="D11" t="str">
        <f t="shared" si="0"/>
        <v>2009-40-44 år</v>
      </c>
    </row>
    <row r="12" spans="1:4" x14ac:dyDescent="0.35">
      <c r="A12" s="8" t="s">
        <v>25</v>
      </c>
      <c r="B12" s="8" t="s">
        <v>20</v>
      </c>
      <c r="C12" s="9">
        <v>3533</v>
      </c>
      <c r="D12" t="str">
        <f t="shared" si="0"/>
        <v>2009-45-49 år</v>
      </c>
    </row>
    <row r="13" spans="1:4" x14ac:dyDescent="0.35">
      <c r="A13" s="8" t="s">
        <v>25</v>
      </c>
      <c r="B13" s="8" t="s">
        <v>21</v>
      </c>
      <c r="C13" s="9">
        <v>2940</v>
      </c>
      <c r="D13" t="str">
        <f t="shared" si="0"/>
        <v>2009-50-54 år</v>
      </c>
    </row>
    <row r="14" spans="1:4" x14ac:dyDescent="0.35">
      <c r="A14" s="8" t="s">
        <v>25</v>
      </c>
      <c r="B14" s="8" t="s">
        <v>22</v>
      </c>
      <c r="C14" s="9">
        <v>2419</v>
      </c>
      <c r="D14" t="str">
        <f t="shared" si="0"/>
        <v>2009-55-59 år</v>
      </c>
    </row>
    <row r="15" spans="1:4" x14ac:dyDescent="0.35">
      <c r="A15" s="8" t="s">
        <v>25</v>
      </c>
      <c r="B15" s="8" t="s">
        <v>23</v>
      </c>
      <c r="C15" s="9">
        <v>1263</v>
      </c>
      <c r="D15" t="str">
        <f t="shared" si="0"/>
        <v>2009-60-64 år</v>
      </c>
    </row>
    <row r="16" spans="1:4" x14ac:dyDescent="0.35">
      <c r="A16" s="8" t="s">
        <v>25</v>
      </c>
      <c r="B16" s="8" t="s">
        <v>46</v>
      </c>
      <c r="C16" s="9">
        <v>196</v>
      </c>
      <c r="D16" t="str">
        <f t="shared" si="0"/>
        <v>2009-65-69 år</v>
      </c>
    </row>
    <row r="17" spans="1:4" x14ac:dyDescent="0.35">
      <c r="A17" s="8" t="s">
        <v>26</v>
      </c>
      <c r="B17" s="8" t="s">
        <v>16</v>
      </c>
      <c r="C17" s="9">
        <v>2457</v>
      </c>
      <c r="D17" t="str">
        <f t="shared" si="0"/>
        <v>2010-25-29 år</v>
      </c>
    </row>
    <row r="18" spans="1:4" x14ac:dyDescent="0.35">
      <c r="A18" s="8" t="s">
        <v>26</v>
      </c>
      <c r="B18" s="8" t="s">
        <v>17</v>
      </c>
      <c r="C18" s="9">
        <v>2382</v>
      </c>
      <c r="D18" t="str">
        <f t="shared" si="0"/>
        <v>2010-30-34 år</v>
      </c>
    </row>
    <row r="19" spans="1:4" x14ac:dyDescent="0.35">
      <c r="A19" s="8" t="s">
        <v>26</v>
      </c>
      <c r="B19" s="8" t="s">
        <v>18</v>
      </c>
      <c r="C19" s="9">
        <v>1880</v>
      </c>
      <c r="D19" t="str">
        <f t="shared" si="0"/>
        <v>2010-35-39 år</v>
      </c>
    </row>
    <row r="20" spans="1:4" x14ac:dyDescent="0.35">
      <c r="A20" s="8" t="s">
        <v>26</v>
      </c>
      <c r="B20" s="8" t="s">
        <v>19</v>
      </c>
      <c r="C20" s="9">
        <v>2045</v>
      </c>
      <c r="D20" t="str">
        <f t="shared" si="0"/>
        <v>2010-40-44 år</v>
      </c>
    </row>
    <row r="21" spans="1:4" x14ac:dyDescent="0.35">
      <c r="A21" s="8" t="s">
        <v>26</v>
      </c>
      <c r="B21" s="8" t="s">
        <v>20</v>
      </c>
      <c r="C21" s="9">
        <v>1826</v>
      </c>
      <c r="D21" t="str">
        <f t="shared" si="0"/>
        <v>2010-45-49 år</v>
      </c>
    </row>
    <row r="22" spans="1:4" x14ac:dyDescent="0.35">
      <c r="A22" s="8" t="s">
        <v>26</v>
      </c>
      <c r="B22" s="8" t="s">
        <v>21</v>
      </c>
      <c r="C22" s="9">
        <v>1417</v>
      </c>
      <c r="D22" t="str">
        <f t="shared" si="0"/>
        <v>2010-50-54 år</v>
      </c>
    </row>
    <row r="23" spans="1:4" x14ac:dyDescent="0.35">
      <c r="A23" s="8" t="s">
        <v>26</v>
      </c>
      <c r="B23" s="8" t="s">
        <v>22</v>
      </c>
      <c r="C23" s="9">
        <v>1229</v>
      </c>
      <c r="D23" t="str">
        <f t="shared" si="0"/>
        <v>2010-55-59 år</v>
      </c>
    </row>
    <row r="24" spans="1:4" x14ac:dyDescent="0.35">
      <c r="A24" s="8" t="s">
        <v>26</v>
      </c>
      <c r="B24" s="8" t="s">
        <v>23</v>
      </c>
      <c r="C24" s="9">
        <v>712</v>
      </c>
      <c r="D24" t="str">
        <f t="shared" si="0"/>
        <v>2010-60-64 år</v>
      </c>
    </row>
    <row r="25" spans="1:4" x14ac:dyDescent="0.35">
      <c r="A25" s="8" t="s">
        <v>26</v>
      </c>
      <c r="B25" s="8" t="s">
        <v>46</v>
      </c>
      <c r="C25" s="9">
        <v>220</v>
      </c>
      <c r="D25" t="str">
        <f t="shared" si="0"/>
        <v>2010-65-69 år</v>
      </c>
    </row>
    <row r="26" spans="1:4" x14ac:dyDescent="0.35">
      <c r="A26" s="8" t="s">
        <v>27</v>
      </c>
      <c r="B26" s="8" t="s">
        <v>16</v>
      </c>
      <c r="C26" s="9">
        <v>2791</v>
      </c>
      <c r="D26" t="str">
        <f t="shared" si="0"/>
        <v>2011-25-29 år</v>
      </c>
    </row>
    <row r="27" spans="1:4" x14ac:dyDescent="0.35">
      <c r="A27" s="8" t="s">
        <v>27</v>
      </c>
      <c r="B27" s="8" t="s">
        <v>17</v>
      </c>
      <c r="C27" s="9">
        <v>2600</v>
      </c>
      <c r="D27" t="str">
        <f t="shared" si="0"/>
        <v>2011-30-34 år</v>
      </c>
    </row>
    <row r="28" spans="1:4" x14ac:dyDescent="0.35">
      <c r="A28" s="8" t="s">
        <v>27</v>
      </c>
      <c r="B28" s="8" t="s">
        <v>18</v>
      </c>
      <c r="C28" s="9">
        <v>2164</v>
      </c>
      <c r="D28" t="str">
        <f t="shared" si="0"/>
        <v>2011-35-39 år</v>
      </c>
    </row>
    <row r="29" spans="1:4" x14ac:dyDescent="0.35">
      <c r="A29" s="8" t="s">
        <v>27</v>
      </c>
      <c r="B29" s="8" t="s">
        <v>19</v>
      </c>
      <c r="C29" s="9">
        <v>2134</v>
      </c>
      <c r="D29" t="str">
        <f t="shared" si="0"/>
        <v>2011-40-44 år</v>
      </c>
    </row>
    <row r="30" spans="1:4" x14ac:dyDescent="0.35">
      <c r="A30" s="8" t="s">
        <v>27</v>
      </c>
      <c r="B30" s="8" t="s">
        <v>20</v>
      </c>
      <c r="C30" s="9">
        <v>2030</v>
      </c>
      <c r="D30" t="str">
        <f t="shared" si="0"/>
        <v>2011-45-49 år</v>
      </c>
    </row>
    <row r="31" spans="1:4" x14ac:dyDescent="0.35">
      <c r="A31" s="8" t="s">
        <v>27</v>
      </c>
      <c r="B31" s="8" t="s">
        <v>21</v>
      </c>
      <c r="C31" s="9">
        <v>1660</v>
      </c>
      <c r="D31" t="str">
        <f t="shared" si="0"/>
        <v>2011-50-54 år</v>
      </c>
    </row>
    <row r="32" spans="1:4" x14ac:dyDescent="0.35">
      <c r="A32" s="8" t="s">
        <v>27</v>
      </c>
      <c r="B32" s="8" t="s">
        <v>22</v>
      </c>
      <c r="C32" s="9">
        <v>1415</v>
      </c>
      <c r="D32" t="str">
        <f t="shared" si="0"/>
        <v>2011-55-59 år</v>
      </c>
    </row>
    <row r="33" spans="1:4" x14ac:dyDescent="0.35">
      <c r="A33" s="8" t="s">
        <v>27</v>
      </c>
      <c r="B33" s="8" t="s">
        <v>23</v>
      </c>
      <c r="C33" s="9">
        <v>726</v>
      </c>
      <c r="D33" t="str">
        <f t="shared" si="0"/>
        <v>2011-60-64 år</v>
      </c>
    </row>
    <row r="34" spans="1:4" x14ac:dyDescent="0.35">
      <c r="A34" s="8" t="s">
        <v>27</v>
      </c>
      <c r="B34" s="8" t="s">
        <v>46</v>
      </c>
      <c r="C34" s="9">
        <v>197</v>
      </c>
      <c r="D34" t="str">
        <f t="shared" si="0"/>
        <v>2011-65-69 år</v>
      </c>
    </row>
    <row r="35" spans="1:4" x14ac:dyDescent="0.35">
      <c r="A35" s="8" t="s">
        <v>28</v>
      </c>
      <c r="B35" s="8" t="s">
        <v>16</v>
      </c>
      <c r="C35" s="9">
        <v>2457</v>
      </c>
      <c r="D35" t="str">
        <f t="shared" si="0"/>
        <v>2012-25-29 år</v>
      </c>
    </row>
    <row r="36" spans="1:4" x14ac:dyDescent="0.35">
      <c r="A36" s="8" t="s">
        <v>28</v>
      </c>
      <c r="B36" s="8" t="s">
        <v>17</v>
      </c>
      <c r="C36" s="9">
        <v>2116</v>
      </c>
      <c r="D36" t="str">
        <f t="shared" si="0"/>
        <v>2012-30-34 år</v>
      </c>
    </row>
    <row r="37" spans="1:4" x14ac:dyDescent="0.35">
      <c r="A37" s="8" t="s">
        <v>28</v>
      </c>
      <c r="B37" s="8" t="s">
        <v>18</v>
      </c>
      <c r="C37" s="9">
        <v>1935</v>
      </c>
      <c r="D37" t="str">
        <f t="shared" si="0"/>
        <v>2012-35-39 år</v>
      </c>
    </row>
    <row r="38" spans="1:4" x14ac:dyDescent="0.35">
      <c r="A38" s="8" t="s">
        <v>28</v>
      </c>
      <c r="B38" s="8" t="s">
        <v>19</v>
      </c>
      <c r="C38" s="9">
        <v>1734</v>
      </c>
      <c r="D38" t="str">
        <f t="shared" si="0"/>
        <v>2012-40-44 år</v>
      </c>
    </row>
    <row r="39" spans="1:4" x14ac:dyDescent="0.35">
      <c r="A39" s="8" t="s">
        <v>28</v>
      </c>
      <c r="B39" s="8" t="s">
        <v>20</v>
      </c>
      <c r="C39" s="9">
        <v>1913</v>
      </c>
      <c r="D39" t="str">
        <f t="shared" si="0"/>
        <v>2012-45-49 år</v>
      </c>
    </row>
    <row r="40" spans="1:4" x14ac:dyDescent="0.35">
      <c r="A40" s="8" t="s">
        <v>28</v>
      </c>
      <c r="B40" s="8" t="s">
        <v>21</v>
      </c>
      <c r="C40" s="9">
        <v>1465</v>
      </c>
      <c r="D40" t="str">
        <f t="shared" si="0"/>
        <v>2012-50-54 år</v>
      </c>
    </row>
    <row r="41" spans="1:4" x14ac:dyDescent="0.35">
      <c r="A41" s="8" t="s">
        <v>28</v>
      </c>
      <c r="B41" s="8" t="s">
        <v>22</v>
      </c>
      <c r="C41" s="9">
        <v>1254</v>
      </c>
      <c r="D41" t="str">
        <f t="shared" si="0"/>
        <v>2012-55-59 år</v>
      </c>
    </row>
    <row r="42" spans="1:4" x14ac:dyDescent="0.35">
      <c r="A42" s="8" t="s">
        <v>28</v>
      </c>
      <c r="B42" s="8" t="s">
        <v>23</v>
      </c>
      <c r="C42" s="9">
        <v>718</v>
      </c>
      <c r="D42" t="str">
        <f t="shared" si="0"/>
        <v>2012-60-64 år</v>
      </c>
    </row>
    <row r="43" spans="1:4" x14ac:dyDescent="0.35">
      <c r="A43" s="8" t="s">
        <v>28</v>
      </c>
      <c r="B43" s="8" t="s">
        <v>46</v>
      </c>
      <c r="C43" s="9">
        <v>208</v>
      </c>
      <c r="D43" t="str">
        <f t="shared" si="0"/>
        <v>2012-65-69 år</v>
      </c>
    </row>
    <row r="44" spans="1:4" x14ac:dyDescent="0.35">
      <c r="A44" s="8" t="s">
        <v>29</v>
      </c>
      <c r="B44" s="8" t="s">
        <v>16</v>
      </c>
      <c r="C44" s="9">
        <v>2524</v>
      </c>
      <c r="D44" t="str">
        <f t="shared" si="0"/>
        <v>2013-25-29 år</v>
      </c>
    </row>
    <row r="45" spans="1:4" x14ac:dyDescent="0.35">
      <c r="A45" s="8" t="s">
        <v>29</v>
      </c>
      <c r="B45" s="8" t="s">
        <v>17</v>
      </c>
      <c r="C45" s="9">
        <v>2176</v>
      </c>
      <c r="D45" t="str">
        <f t="shared" si="0"/>
        <v>2013-30-34 år</v>
      </c>
    </row>
    <row r="46" spans="1:4" x14ac:dyDescent="0.35">
      <c r="A46" s="8" t="s">
        <v>29</v>
      </c>
      <c r="B46" s="8" t="s">
        <v>18</v>
      </c>
      <c r="C46" s="9">
        <v>1896</v>
      </c>
      <c r="D46" t="str">
        <f t="shared" si="0"/>
        <v>2013-35-39 år</v>
      </c>
    </row>
    <row r="47" spans="1:4" x14ac:dyDescent="0.35">
      <c r="A47" s="8" t="s">
        <v>29</v>
      </c>
      <c r="B47" s="8" t="s">
        <v>19</v>
      </c>
      <c r="C47" s="9">
        <v>1579</v>
      </c>
      <c r="D47" t="str">
        <f t="shared" si="0"/>
        <v>2013-40-44 år</v>
      </c>
    </row>
    <row r="48" spans="1:4" x14ac:dyDescent="0.35">
      <c r="A48" s="8" t="s">
        <v>29</v>
      </c>
      <c r="B48" s="8" t="s">
        <v>20</v>
      </c>
      <c r="C48" s="9">
        <v>1915</v>
      </c>
      <c r="D48" t="str">
        <f t="shared" si="0"/>
        <v>2013-45-49 år</v>
      </c>
    </row>
    <row r="49" spans="1:4" x14ac:dyDescent="0.35">
      <c r="A49" s="8" t="s">
        <v>29</v>
      </c>
      <c r="B49" s="8" t="s">
        <v>21</v>
      </c>
      <c r="C49" s="9">
        <v>1462</v>
      </c>
      <c r="D49" t="str">
        <f t="shared" si="0"/>
        <v>2013-50-54 år</v>
      </c>
    </row>
    <row r="50" spans="1:4" x14ac:dyDescent="0.35">
      <c r="A50" s="8" t="s">
        <v>29</v>
      </c>
      <c r="B50" s="8" t="s">
        <v>22</v>
      </c>
      <c r="C50" s="9">
        <v>1227</v>
      </c>
      <c r="D50" t="str">
        <f t="shared" si="0"/>
        <v>2013-55-59 år</v>
      </c>
    </row>
    <row r="51" spans="1:4" x14ac:dyDescent="0.35">
      <c r="A51" s="8" t="s">
        <v>29</v>
      </c>
      <c r="B51" s="8" t="s">
        <v>23</v>
      </c>
      <c r="C51" s="9">
        <v>667</v>
      </c>
      <c r="D51" t="str">
        <f t="shared" si="0"/>
        <v>2013-60-64 år</v>
      </c>
    </row>
    <row r="52" spans="1:4" x14ac:dyDescent="0.35">
      <c r="A52" s="8" t="s">
        <v>29</v>
      </c>
      <c r="B52" s="8" t="s">
        <v>46</v>
      </c>
      <c r="C52" s="9">
        <v>224</v>
      </c>
      <c r="D52" t="str">
        <f t="shared" si="0"/>
        <v>2013-65-69 år</v>
      </c>
    </row>
    <row r="53" spans="1:4" x14ac:dyDescent="0.35">
      <c r="A53" s="8" t="s">
        <v>30</v>
      </c>
      <c r="B53" s="8" t="s">
        <v>16</v>
      </c>
      <c r="C53" s="9">
        <v>2521</v>
      </c>
      <c r="D53" t="str">
        <f t="shared" si="0"/>
        <v>2014-25-29 år</v>
      </c>
    </row>
    <row r="54" spans="1:4" x14ac:dyDescent="0.35">
      <c r="A54" s="8" t="s">
        <v>30</v>
      </c>
      <c r="B54" s="8" t="s">
        <v>17</v>
      </c>
      <c r="C54" s="9">
        <v>2178</v>
      </c>
      <c r="D54" t="str">
        <f t="shared" si="0"/>
        <v>2014-30-34 år</v>
      </c>
    </row>
    <row r="55" spans="1:4" x14ac:dyDescent="0.35">
      <c r="A55" s="8" t="s">
        <v>30</v>
      </c>
      <c r="B55" s="8" t="s">
        <v>18</v>
      </c>
      <c r="C55" s="9">
        <v>2066</v>
      </c>
      <c r="D55" t="str">
        <f t="shared" si="0"/>
        <v>2014-35-39 år</v>
      </c>
    </row>
    <row r="56" spans="1:4" x14ac:dyDescent="0.35">
      <c r="A56" s="8" t="s">
        <v>30</v>
      </c>
      <c r="B56" s="8" t="s">
        <v>19</v>
      </c>
      <c r="C56" s="9">
        <v>1647</v>
      </c>
      <c r="D56" t="str">
        <f t="shared" si="0"/>
        <v>2014-40-44 år</v>
      </c>
    </row>
    <row r="57" spans="1:4" x14ac:dyDescent="0.35">
      <c r="A57" s="8" t="s">
        <v>30</v>
      </c>
      <c r="B57" s="8" t="s">
        <v>20</v>
      </c>
      <c r="C57" s="9">
        <v>1953</v>
      </c>
      <c r="D57" t="str">
        <f t="shared" si="0"/>
        <v>2014-45-49 år</v>
      </c>
    </row>
    <row r="58" spans="1:4" x14ac:dyDescent="0.35">
      <c r="A58" s="8" t="s">
        <v>30</v>
      </c>
      <c r="B58" s="8" t="s">
        <v>21</v>
      </c>
      <c r="C58" s="9">
        <v>1636</v>
      </c>
      <c r="D58" t="str">
        <f t="shared" si="0"/>
        <v>2014-50-54 år</v>
      </c>
    </row>
    <row r="59" spans="1:4" x14ac:dyDescent="0.35">
      <c r="A59" s="8" t="s">
        <v>30</v>
      </c>
      <c r="B59" s="8" t="s">
        <v>22</v>
      </c>
      <c r="C59" s="9">
        <v>1231</v>
      </c>
      <c r="D59" t="str">
        <f t="shared" si="0"/>
        <v>2014-55-59 år</v>
      </c>
    </row>
    <row r="60" spans="1:4" x14ac:dyDescent="0.35">
      <c r="A60" s="8" t="s">
        <v>30</v>
      </c>
      <c r="B60" s="8" t="s">
        <v>23</v>
      </c>
      <c r="C60" s="9">
        <v>706</v>
      </c>
      <c r="D60" t="str">
        <f t="shared" si="0"/>
        <v>2014-60-64 år</v>
      </c>
    </row>
    <row r="61" spans="1:4" x14ac:dyDescent="0.35">
      <c r="A61" s="8" t="s">
        <v>30</v>
      </c>
      <c r="B61" s="8" t="s">
        <v>46</v>
      </c>
      <c r="C61" s="9">
        <v>204</v>
      </c>
      <c r="D61" t="str">
        <f t="shared" si="0"/>
        <v>2014-65-69 år</v>
      </c>
    </row>
    <row r="62" spans="1:4" x14ac:dyDescent="0.35">
      <c r="A62" s="8" t="s">
        <v>31</v>
      </c>
      <c r="B62" s="8" t="s">
        <v>16</v>
      </c>
      <c r="C62" s="9">
        <v>2715</v>
      </c>
      <c r="D62" t="str">
        <f t="shared" si="0"/>
        <v>2015-25-29 år</v>
      </c>
    </row>
    <row r="63" spans="1:4" x14ac:dyDescent="0.35">
      <c r="A63" s="8" t="s">
        <v>31</v>
      </c>
      <c r="B63" s="8" t="s">
        <v>17</v>
      </c>
      <c r="C63" s="9">
        <v>2473</v>
      </c>
      <c r="D63" t="str">
        <f t="shared" si="0"/>
        <v>2015-30-34 år</v>
      </c>
    </row>
    <row r="64" spans="1:4" x14ac:dyDescent="0.35">
      <c r="A64" s="8" t="s">
        <v>31</v>
      </c>
      <c r="B64" s="8" t="s">
        <v>18</v>
      </c>
      <c r="C64" s="9">
        <v>2378</v>
      </c>
      <c r="D64" t="str">
        <f t="shared" si="0"/>
        <v>2015-35-39 år</v>
      </c>
    </row>
    <row r="65" spans="1:4" x14ac:dyDescent="0.35">
      <c r="A65" s="8" t="s">
        <v>31</v>
      </c>
      <c r="B65" s="8" t="s">
        <v>19</v>
      </c>
      <c r="C65" s="9">
        <v>1902</v>
      </c>
      <c r="D65" t="str">
        <f t="shared" si="0"/>
        <v>2015-40-44 år</v>
      </c>
    </row>
    <row r="66" spans="1:4" x14ac:dyDescent="0.35">
      <c r="A66" s="8" t="s">
        <v>31</v>
      </c>
      <c r="B66" s="8" t="s">
        <v>20</v>
      </c>
      <c r="C66" s="9">
        <v>2085</v>
      </c>
      <c r="D66" t="str">
        <f t="shared" si="0"/>
        <v>2015-45-49 år</v>
      </c>
    </row>
    <row r="67" spans="1:4" x14ac:dyDescent="0.35">
      <c r="A67" s="8" t="s">
        <v>31</v>
      </c>
      <c r="B67" s="8" t="s">
        <v>21</v>
      </c>
      <c r="C67" s="9">
        <v>1717</v>
      </c>
      <c r="D67" t="str">
        <f t="shared" si="0"/>
        <v>2015-50-54 år</v>
      </c>
    </row>
    <row r="68" spans="1:4" x14ac:dyDescent="0.35">
      <c r="A68" s="8" t="s">
        <v>31</v>
      </c>
      <c r="B68" s="8" t="s">
        <v>22</v>
      </c>
      <c r="C68" s="9">
        <v>1226</v>
      </c>
      <c r="D68" t="str">
        <f t="shared" si="0"/>
        <v>2015-55-59 år</v>
      </c>
    </row>
    <row r="69" spans="1:4" x14ac:dyDescent="0.35">
      <c r="A69" s="8" t="s">
        <v>31</v>
      </c>
      <c r="B69" s="8" t="s">
        <v>23</v>
      </c>
      <c r="C69" s="9">
        <v>583</v>
      </c>
      <c r="D69" t="str">
        <f t="shared" si="0"/>
        <v>2015-60-64 år</v>
      </c>
    </row>
    <row r="70" spans="1:4" x14ac:dyDescent="0.35">
      <c r="A70" s="8" t="s">
        <v>31</v>
      </c>
      <c r="B70" s="8" t="s">
        <v>46</v>
      </c>
      <c r="C70" s="9">
        <v>211</v>
      </c>
      <c r="D70" t="str">
        <f t="shared" si="0"/>
        <v>2015-65-69 år</v>
      </c>
    </row>
    <row r="71" spans="1:4" x14ac:dyDescent="0.35">
      <c r="A71" s="8" t="s">
        <v>32</v>
      </c>
      <c r="B71" s="8" t="s">
        <v>16</v>
      </c>
      <c r="C71" s="9">
        <v>3005</v>
      </c>
      <c r="D71" t="str">
        <f t="shared" si="0"/>
        <v>2016-25-29 år</v>
      </c>
    </row>
    <row r="72" spans="1:4" x14ac:dyDescent="0.35">
      <c r="A72" s="8" t="s">
        <v>32</v>
      </c>
      <c r="B72" s="8" t="s">
        <v>17</v>
      </c>
      <c r="C72" s="9">
        <v>2584</v>
      </c>
      <c r="D72" t="str">
        <f t="shared" ref="D72:D135" si="1">A72&amp;"-"&amp;B72</f>
        <v>2016-30-34 år</v>
      </c>
    </row>
    <row r="73" spans="1:4" x14ac:dyDescent="0.35">
      <c r="A73" s="8" t="s">
        <v>32</v>
      </c>
      <c r="B73" s="8" t="s">
        <v>18</v>
      </c>
      <c r="C73" s="9">
        <v>2311</v>
      </c>
      <c r="D73" t="str">
        <f t="shared" si="1"/>
        <v>2016-35-39 år</v>
      </c>
    </row>
    <row r="74" spans="1:4" x14ac:dyDescent="0.35">
      <c r="A74" s="8" t="s">
        <v>32</v>
      </c>
      <c r="B74" s="8" t="s">
        <v>19</v>
      </c>
      <c r="C74" s="9">
        <v>2111</v>
      </c>
      <c r="D74" t="str">
        <f t="shared" si="1"/>
        <v>2016-40-44 år</v>
      </c>
    </row>
    <row r="75" spans="1:4" x14ac:dyDescent="0.35">
      <c r="A75" s="8" t="s">
        <v>32</v>
      </c>
      <c r="B75" s="8" t="s">
        <v>20</v>
      </c>
      <c r="C75" s="9">
        <v>2000</v>
      </c>
      <c r="D75" t="str">
        <f t="shared" si="1"/>
        <v>2016-45-49 år</v>
      </c>
    </row>
    <row r="76" spans="1:4" x14ac:dyDescent="0.35">
      <c r="A76" s="8" t="s">
        <v>32</v>
      </c>
      <c r="B76" s="8" t="s">
        <v>21</v>
      </c>
      <c r="C76" s="9">
        <v>1808</v>
      </c>
      <c r="D76" t="str">
        <f t="shared" si="1"/>
        <v>2016-50-54 år</v>
      </c>
    </row>
    <row r="77" spans="1:4" x14ac:dyDescent="0.35">
      <c r="A77" s="8" t="s">
        <v>32</v>
      </c>
      <c r="B77" s="8" t="s">
        <v>22</v>
      </c>
      <c r="C77" s="9">
        <v>1301</v>
      </c>
      <c r="D77" t="str">
        <f t="shared" si="1"/>
        <v>2016-55-59 år</v>
      </c>
    </row>
    <row r="78" spans="1:4" x14ac:dyDescent="0.35">
      <c r="A78" s="8" t="s">
        <v>32</v>
      </c>
      <c r="B78" s="8" t="s">
        <v>23</v>
      </c>
      <c r="C78" s="9">
        <v>708</v>
      </c>
      <c r="D78" t="str">
        <f t="shared" si="1"/>
        <v>2016-60-64 år</v>
      </c>
    </row>
    <row r="79" spans="1:4" x14ac:dyDescent="0.35">
      <c r="A79" s="8" t="s">
        <v>32</v>
      </c>
      <c r="B79" s="8" t="s">
        <v>46</v>
      </c>
      <c r="C79" s="9">
        <v>183</v>
      </c>
      <c r="D79" t="str">
        <f t="shared" si="1"/>
        <v>2016-65-69 år</v>
      </c>
    </row>
    <row r="80" spans="1:4" x14ac:dyDescent="0.35">
      <c r="A80" s="8" t="s">
        <v>33</v>
      </c>
      <c r="B80" s="8" t="s">
        <v>16</v>
      </c>
      <c r="C80" s="9">
        <v>3106</v>
      </c>
      <c r="D80" t="str">
        <f t="shared" si="1"/>
        <v>2017-25-29 år</v>
      </c>
    </row>
    <row r="81" spans="1:4" x14ac:dyDescent="0.35">
      <c r="A81" s="8" t="s">
        <v>33</v>
      </c>
      <c r="B81" s="8" t="s">
        <v>17</v>
      </c>
      <c r="C81" s="9">
        <v>2692</v>
      </c>
      <c r="D81" t="str">
        <f t="shared" si="1"/>
        <v>2017-30-34 år</v>
      </c>
    </row>
    <row r="82" spans="1:4" x14ac:dyDescent="0.35">
      <c r="A82" s="8" t="s">
        <v>33</v>
      </c>
      <c r="B82" s="8" t="s">
        <v>18</v>
      </c>
      <c r="C82" s="9">
        <v>2452</v>
      </c>
      <c r="D82" t="str">
        <f t="shared" si="1"/>
        <v>2017-35-39 år</v>
      </c>
    </row>
    <row r="83" spans="1:4" x14ac:dyDescent="0.35">
      <c r="A83" s="8" t="s">
        <v>33</v>
      </c>
      <c r="B83" s="8" t="s">
        <v>19</v>
      </c>
      <c r="C83" s="9">
        <v>2105</v>
      </c>
      <c r="D83" t="str">
        <f t="shared" si="1"/>
        <v>2017-40-44 år</v>
      </c>
    </row>
    <row r="84" spans="1:4" x14ac:dyDescent="0.35">
      <c r="A84" s="8" t="s">
        <v>33</v>
      </c>
      <c r="B84" s="8" t="s">
        <v>20</v>
      </c>
      <c r="C84" s="9">
        <v>1892</v>
      </c>
      <c r="D84" t="str">
        <f t="shared" si="1"/>
        <v>2017-45-49 år</v>
      </c>
    </row>
    <row r="85" spans="1:4" x14ac:dyDescent="0.35">
      <c r="A85" s="8" t="s">
        <v>33</v>
      </c>
      <c r="B85" s="8" t="s">
        <v>21</v>
      </c>
      <c r="C85" s="9">
        <v>2042</v>
      </c>
      <c r="D85" t="str">
        <f t="shared" si="1"/>
        <v>2017-50-54 år</v>
      </c>
    </row>
    <row r="86" spans="1:4" x14ac:dyDescent="0.35">
      <c r="A86" s="8" t="s">
        <v>33</v>
      </c>
      <c r="B86" s="8" t="s">
        <v>22</v>
      </c>
      <c r="C86" s="9">
        <v>1410</v>
      </c>
      <c r="D86" t="str">
        <f t="shared" si="1"/>
        <v>2017-55-59 år</v>
      </c>
    </row>
    <row r="87" spans="1:4" x14ac:dyDescent="0.35">
      <c r="A87" s="8" t="s">
        <v>33</v>
      </c>
      <c r="B87" s="8" t="s">
        <v>23</v>
      </c>
      <c r="C87" s="9">
        <v>757</v>
      </c>
      <c r="D87" t="str">
        <f t="shared" si="1"/>
        <v>2017-60-64 år</v>
      </c>
    </row>
    <row r="88" spans="1:4" x14ac:dyDescent="0.35">
      <c r="A88" s="8" t="s">
        <v>33</v>
      </c>
      <c r="B88" s="8" t="s">
        <v>46</v>
      </c>
      <c r="C88" s="9">
        <v>194</v>
      </c>
      <c r="D88" t="str">
        <f t="shared" si="1"/>
        <v>2017-65-69 år</v>
      </c>
    </row>
    <row r="89" spans="1:4" x14ac:dyDescent="0.35">
      <c r="A89" s="8" t="s">
        <v>34</v>
      </c>
      <c r="B89" s="8" t="s">
        <v>16</v>
      </c>
      <c r="C89" s="9">
        <v>3149</v>
      </c>
      <c r="D89" t="str">
        <f t="shared" si="1"/>
        <v>2018-25-29 år</v>
      </c>
    </row>
    <row r="90" spans="1:4" x14ac:dyDescent="0.35">
      <c r="A90" s="8" t="s">
        <v>34</v>
      </c>
      <c r="B90" s="8" t="s">
        <v>17</v>
      </c>
      <c r="C90" s="9">
        <v>2658</v>
      </c>
      <c r="D90" t="str">
        <f t="shared" si="1"/>
        <v>2018-30-34 år</v>
      </c>
    </row>
    <row r="91" spans="1:4" x14ac:dyDescent="0.35">
      <c r="A91" s="8" t="s">
        <v>34</v>
      </c>
      <c r="B91" s="8" t="s">
        <v>18</v>
      </c>
      <c r="C91" s="9">
        <v>2333</v>
      </c>
      <c r="D91" t="str">
        <f t="shared" si="1"/>
        <v>2018-35-39 år</v>
      </c>
    </row>
    <row r="92" spans="1:4" x14ac:dyDescent="0.35">
      <c r="A92" s="8" t="s">
        <v>34</v>
      </c>
      <c r="B92" s="8" t="s">
        <v>19</v>
      </c>
      <c r="C92" s="9">
        <v>2068</v>
      </c>
      <c r="D92" t="str">
        <f t="shared" si="1"/>
        <v>2018-40-44 år</v>
      </c>
    </row>
    <row r="93" spans="1:4" x14ac:dyDescent="0.35">
      <c r="A93" s="8" t="s">
        <v>34</v>
      </c>
      <c r="B93" s="8" t="s">
        <v>20</v>
      </c>
      <c r="C93" s="9">
        <v>1770</v>
      </c>
      <c r="D93" t="str">
        <f t="shared" si="1"/>
        <v>2018-45-49 år</v>
      </c>
    </row>
    <row r="94" spans="1:4" x14ac:dyDescent="0.35">
      <c r="A94" s="8" t="s">
        <v>34</v>
      </c>
      <c r="B94" s="8" t="s">
        <v>21</v>
      </c>
      <c r="C94" s="9">
        <v>2055</v>
      </c>
      <c r="D94" t="str">
        <f t="shared" si="1"/>
        <v>2018-50-54 år</v>
      </c>
    </row>
    <row r="95" spans="1:4" x14ac:dyDescent="0.35">
      <c r="A95" s="8" t="s">
        <v>34</v>
      </c>
      <c r="B95" s="8" t="s">
        <v>22</v>
      </c>
      <c r="C95" s="9">
        <v>1415</v>
      </c>
      <c r="D95" t="str">
        <f t="shared" si="1"/>
        <v>2018-55-59 år</v>
      </c>
    </row>
    <row r="96" spans="1:4" x14ac:dyDescent="0.35">
      <c r="A96" s="8" t="s">
        <v>34</v>
      </c>
      <c r="B96" s="8" t="s">
        <v>23</v>
      </c>
      <c r="C96" s="9">
        <v>681</v>
      </c>
      <c r="D96" t="str">
        <f t="shared" si="1"/>
        <v>2018-60-64 år</v>
      </c>
    </row>
    <row r="97" spans="1:4" x14ac:dyDescent="0.35">
      <c r="A97" s="8" t="s">
        <v>34</v>
      </c>
      <c r="B97" s="8" t="s">
        <v>46</v>
      </c>
      <c r="C97" s="9">
        <v>174</v>
      </c>
      <c r="D97" t="str">
        <f t="shared" si="1"/>
        <v>2018-65-69 år</v>
      </c>
    </row>
    <row r="98" spans="1:4" x14ac:dyDescent="0.35">
      <c r="A98" s="8" t="s">
        <v>35</v>
      </c>
      <c r="B98" s="8" t="s">
        <v>16</v>
      </c>
      <c r="C98" s="9">
        <v>3477</v>
      </c>
      <c r="D98" t="str">
        <f t="shared" si="1"/>
        <v>2019-25-29 år</v>
      </c>
    </row>
    <row r="99" spans="1:4" x14ac:dyDescent="0.35">
      <c r="A99" s="8" t="s">
        <v>35</v>
      </c>
      <c r="B99" s="8" t="s">
        <v>17</v>
      </c>
      <c r="C99" s="9">
        <v>2839</v>
      </c>
      <c r="D99" t="str">
        <f t="shared" si="1"/>
        <v>2019-30-34 år</v>
      </c>
    </row>
    <row r="100" spans="1:4" x14ac:dyDescent="0.35">
      <c r="A100" s="8" t="s">
        <v>35</v>
      </c>
      <c r="B100" s="8" t="s">
        <v>18</v>
      </c>
      <c r="C100" s="9">
        <v>2298</v>
      </c>
      <c r="D100" t="str">
        <f t="shared" si="1"/>
        <v>2019-35-39 år</v>
      </c>
    </row>
    <row r="101" spans="1:4" x14ac:dyDescent="0.35">
      <c r="A101" s="8" t="s">
        <v>35</v>
      </c>
      <c r="B101" s="8" t="s">
        <v>19</v>
      </c>
      <c r="C101" s="9">
        <v>2100</v>
      </c>
      <c r="D101" t="str">
        <f t="shared" si="1"/>
        <v>2019-40-44 år</v>
      </c>
    </row>
    <row r="102" spans="1:4" x14ac:dyDescent="0.35">
      <c r="A102" s="8" t="s">
        <v>35</v>
      </c>
      <c r="B102" s="8" t="s">
        <v>20</v>
      </c>
      <c r="C102" s="9">
        <v>1802</v>
      </c>
      <c r="D102" t="str">
        <f t="shared" si="1"/>
        <v>2019-45-49 år</v>
      </c>
    </row>
    <row r="103" spans="1:4" x14ac:dyDescent="0.35">
      <c r="A103" s="8" t="s">
        <v>35</v>
      </c>
      <c r="B103" s="8" t="s">
        <v>21</v>
      </c>
      <c r="C103" s="9">
        <v>2054</v>
      </c>
      <c r="D103" t="str">
        <f t="shared" si="1"/>
        <v>2019-50-54 år</v>
      </c>
    </row>
    <row r="104" spans="1:4" x14ac:dyDescent="0.35">
      <c r="A104" s="8" t="s">
        <v>35</v>
      </c>
      <c r="B104" s="8" t="s">
        <v>22</v>
      </c>
      <c r="C104" s="9">
        <v>1383</v>
      </c>
      <c r="D104" t="str">
        <f t="shared" si="1"/>
        <v>2019-55-59 år</v>
      </c>
    </row>
    <row r="105" spans="1:4" x14ac:dyDescent="0.35">
      <c r="A105" s="8" t="s">
        <v>35</v>
      </c>
      <c r="B105" s="8" t="s">
        <v>23</v>
      </c>
      <c r="C105" s="9">
        <v>791</v>
      </c>
      <c r="D105" t="str">
        <f t="shared" si="1"/>
        <v>2019-60-64 år</v>
      </c>
    </row>
    <row r="106" spans="1:4" x14ac:dyDescent="0.35">
      <c r="A106" s="8" t="s">
        <v>35</v>
      </c>
      <c r="B106" s="8" t="s">
        <v>46</v>
      </c>
      <c r="C106" s="9">
        <v>188</v>
      </c>
      <c r="D106" t="str">
        <f t="shared" si="1"/>
        <v>2019-65-69 år</v>
      </c>
    </row>
    <row r="107" spans="1:4" x14ac:dyDescent="0.35">
      <c r="A107" s="8" t="s">
        <v>36</v>
      </c>
      <c r="B107" s="8" t="s">
        <v>16</v>
      </c>
      <c r="C107" s="9">
        <v>3028</v>
      </c>
      <c r="D107" t="str">
        <f t="shared" si="1"/>
        <v>2020-25-29 år</v>
      </c>
    </row>
    <row r="108" spans="1:4" x14ac:dyDescent="0.35">
      <c r="A108" s="8" t="s">
        <v>36</v>
      </c>
      <c r="B108" s="8" t="s">
        <v>17</v>
      </c>
      <c r="C108" s="9">
        <v>2339</v>
      </c>
      <c r="D108" t="str">
        <f t="shared" si="1"/>
        <v>2020-30-34 år</v>
      </c>
    </row>
    <row r="109" spans="1:4" x14ac:dyDescent="0.35">
      <c r="A109" s="8" t="s">
        <v>36</v>
      </c>
      <c r="B109" s="8" t="s">
        <v>18</v>
      </c>
      <c r="C109" s="9">
        <v>1929</v>
      </c>
      <c r="D109" t="str">
        <f t="shared" si="1"/>
        <v>2020-35-39 år</v>
      </c>
    </row>
    <row r="110" spans="1:4" x14ac:dyDescent="0.35">
      <c r="A110" s="8" t="s">
        <v>36</v>
      </c>
      <c r="B110" s="8" t="s">
        <v>19</v>
      </c>
      <c r="C110" s="9">
        <v>1758</v>
      </c>
      <c r="D110" t="str">
        <f t="shared" si="1"/>
        <v>2020-40-44 år</v>
      </c>
    </row>
    <row r="111" spans="1:4" x14ac:dyDescent="0.35">
      <c r="A111" s="8" t="s">
        <v>36</v>
      </c>
      <c r="B111" s="8" t="s">
        <v>20</v>
      </c>
      <c r="C111" s="9">
        <v>1654</v>
      </c>
      <c r="D111" t="str">
        <f t="shared" si="1"/>
        <v>2020-45-49 år</v>
      </c>
    </row>
    <row r="112" spans="1:4" x14ac:dyDescent="0.35">
      <c r="A112" s="8" t="s">
        <v>36</v>
      </c>
      <c r="B112" s="8" t="s">
        <v>21</v>
      </c>
      <c r="C112" s="9">
        <v>1616</v>
      </c>
      <c r="D112" t="str">
        <f t="shared" si="1"/>
        <v>2020-50-54 år</v>
      </c>
    </row>
    <row r="113" spans="1:4" x14ac:dyDescent="0.35">
      <c r="A113" s="8" t="s">
        <v>36</v>
      </c>
      <c r="B113" s="8" t="s">
        <v>22</v>
      </c>
      <c r="C113" s="9">
        <v>1279</v>
      </c>
      <c r="D113" t="str">
        <f t="shared" si="1"/>
        <v>2020-55-59 år</v>
      </c>
    </row>
    <row r="114" spans="1:4" x14ac:dyDescent="0.35">
      <c r="A114" s="8" t="s">
        <v>36</v>
      </c>
      <c r="B114" s="8" t="s">
        <v>23</v>
      </c>
      <c r="C114" s="9">
        <v>623</v>
      </c>
      <c r="D114" t="str">
        <f t="shared" si="1"/>
        <v>2020-60-64 år</v>
      </c>
    </row>
    <row r="115" spans="1:4" x14ac:dyDescent="0.35">
      <c r="A115" s="8" t="s">
        <v>36</v>
      </c>
      <c r="B115" s="8" t="s">
        <v>46</v>
      </c>
      <c r="C115" s="9">
        <v>201</v>
      </c>
      <c r="D115" t="str">
        <f t="shared" si="1"/>
        <v>2020-65-69 år</v>
      </c>
    </row>
    <row r="116" spans="1:4" x14ac:dyDescent="0.35">
      <c r="A116" s="8" t="s">
        <v>37</v>
      </c>
      <c r="B116" s="8" t="s">
        <v>16</v>
      </c>
      <c r="C116" s="9">
        <v>3854</v>
      </c>
      <c r="D116" t="str">
        <f t="shared" si="1"/>
        <v>2021-25-29 år</v>
      </c>
    </row>
    <row r="117" spans="1:4" x14ac:dyDescent="0.35">
      <c r="A117" s="8" t="s">
        <v>37</v>
      </c>
      <c r="B117" s="8" t="s">
        <v>17</v>
      </c>
      <c r="C117" s="9">
        <v>3059</v>
      </c>
      <c r="D117" t="str">
        <f t="shared" si="1"/>
        <v>2021-30-34 år</v>
      </c>
    </row>
    <row r="118" spans="1:4" x14ac:dyDescent="0.35">
      <c r="A118" s="8" t="s">
        <v>37</v>
      </c>
      <c r="B118" s="8" t="s">
        <v>18</v>
      </c>
      <c r="C118" s="9">
        <v>2330</v>
      </c>
      <c r="D118" t="str">
        <f t="shared" si="1"/>
        <v>2021-35-39 år</v>
      </c>
    </row>
    <row r="119" spans="1:4" x14ac:dyDescent="0.35">
      <c r="A119" s="8" t="s">
        <v>37</v>
      </c>
      <c r="B119" s="8" t="s">
        <v>19</v>
      </c>
      <c r="C119" s="9">
        <v>2220</v>
      </c>
      <c r="D119" t="str">
        <f t="shared" si="1"/>
        <v>2021-40-44 år</v>
      </c>
    </row>
    <row r="120" spans="1:4" x14ac:dyDescent="0.35">
      <c r="A120" s="8" t="s">
        <v>37</v>
      </c>
      <c r="B120" s="8" t="s">
        <v>20</v>
      </c>
      <c r="C120" s="9">
        <v>1980</v>
      </c>
      <c r="D120" t="str">
        <f t="shared" si="1"/>
        <v>2021-45-49 år</v>
      </c>
    </row>
    <row r="121" spans="1:4" x14ac:dyDescent="0.35">
      <c r="A121" s="8" t="s">
        <v>37</v>
      </c>
      <c r="B121" s="8" t="s">
        <v>21</v>
      </c>
      <c r="C121" s="9">
        <v>1810</v>
      </c>
      <c r="D121" t="str">
        <f t="shared" si="1"/>
        <v>2021-50-54 år</v>
      </c>
    </row>
    <row r="122" spans="1:4" x14ac:dyDescent="0.35">
      <c r="A122" s="8" t="s">
        <v>37</v>
      </c>
      <c r="B122" s="8" t="s">
        <v>22</v>
      </c>
      <c r="C122" s="9">
        <v>1631</v>
      </c>
      <c r="D122" t="str">
        <f t="shared" si="1"/>
        <v>2021-55-59 år</v>
      </c>
    </row>
    <row r="123" spans="1:4" x14ac:dyDescent="0.35">
      <c r="A123" s="8" t="s">
        <v>37</v>
      </c>
      <c r="B123" s="8" t="s">
        <v>23</v>
      </c>
      <c r="C123" s="9">
        <v>962</v>
      </c>
      <c r="D123" t="str">
        <f t="shared" si="1"/>
        <v>2021-60-64 år</v>
      </c>
    </row>
    <row r="124" spans="1:4" x14ac:dyDescent="0.35">
      <c r="A124" s="8" t="s">
        <v>37</v>
      </c>
      <c r="B124" s="8" t="s">
        <v>46</v>
      </c>
      <c r="C124" s="9">
        <v>216</v>
      </c>
      <c r="D124" t="str">
        <f t="shared" si="1"/>
        <v>2021-65-69 år</v>
      </c>
    </row>
    <row r="125" spans="1:4" x14ac:dyDescent="0.35">
      <c r="A125" s="8" t="s">
        <v>38</v>
      </c>
      <c r="B125" s="8" t="s">
        <v>16</v>
      </c>
      <c r="C125" s="9">
        <v>3870</v>
      </c>
      <c r="D125" t="str">
        <f t="shared" si="1"/>
        <v>2022-25-29 år</v>
      </c>
    </row>
    <row r="126" spans="1:4" x14ac:dyDescent="0.35">
      <c r="A126" s="8" t="s">
        <v>38</v>
      </c>
      <c r="B126" s="8" t="s">
        <v>17</v>
      </c>
      <c r="C126" s="9">
        <v>3004</v>
      </c>
      <c r="D126" t="str">
        <f t="shared" si="1"/>
        <v>2022-30-34 år</v>
      </c>
    </row>
    <row r="127" spans="1:4" x14ac:dyDescent="0.35">
      <c r="A127" s="8" t="s">
        <v>38</v>
      </c>
      <c r="B127" s="8" t="s">
        <v>18</v>
      </c>
      <c r="C127" s="9">
        <v>2511</v>
      </c>
      <c r="D127" t="str">
        <f t="shared" si="1"/>
        <v>2022-35-39 år</v>
      </c>
    </row>
    <row r="128" spans="1:4" x14ac:dyDescent="0.35">
      <c r="A128" s="8" t="s">
        <v>38</v>
      </c>
      <c r="B128" s="8" t="s">
        <v>19</v>
      </c>
      <c r="C128" s="9">
        <v>2191</v>
      </c>
      <c r="D128" t="str">
        <f t="shared" si="1"/>
        <v>2022-40-44 år</v>
      </c>
    </row>
    <row r="129" spans="1:4" x14ac:dyDescent="0.35">
      <c r="A129" s="8" t="s">
        <v>38</v>
      </c>
      <c r="B129" s="8" t="s">
        <v>20</v>
      </c>
      <c r="C129" s="9">
        <v>2044</v>
      </c>
      <c r="D129" t="str">
        <f t="shared" si="1"/>
        <v>2022-45-49 år</v>
      </c>
    </row>
    <row r="130" spans="1:4" x14ac:dyDescent="0.35">
      <c r="A130" s="8" t="s">
        <v>38</v>
      </c>
      <c r="B130" s="8" t="s">
        <v>21</v>
      </c>
      <c r="C130" s="9">
        <v>1683</v>
      </c>
      <c r="D130" t="str">
        <f t="shared" si="1"/>
        <v>2022-50-54 år</v>
      </c>
    </row>
    <row r="131" spans="1:4" x14ac:dyDescent="0.35">
      <c r="A131" s="8" t="s">
        <v>38</v>
      </c>
      <c r="B131" s="8" t="s">
        <v>22</v>
      </c>
      <c r="C131" s="9">
        <v>1578</v>
      </c>
      <c r="D131" t="str">
        <f t="shared" si="1"/>
        <v>2022-55-59 år</v>
      </c>
    </row>
    <row r="132" spans="1:4" x14ac:dyDescent="0.35">
      <c r="A132" s="8" t="s">
        <v>38</v>
      </c>
      <c r="B132" s="8" t="s">
        <v>23</v>
      </c>
      <c r="C132" s="9">
        <v>880</v>
      </c>
      <c r="D132" t="str">
        <f t="shared" si="1"/>
        <v>2022-60-64 år</v>
      </c>
    </row>
    <row r="133" spans="1:4" x14ac:dyDescent="0.35">
      <c r="A133" s="8" t="s">
        <v>38</v>
      </c>
      <c r="B133" s="8" t="s">
        <v>46</v>
      </c>
      <c r="C133" s="9">
        <v>265</v>
      </c>
      <c r="D133" t="str">
        <f t="shared" si="1"/>
        <v>2022-65-69 år</v>
      </c>
    </row>
    <row r="134" spans="1:4" x14ac:dyDescent="0.35">
      <c r="A134" s="8" t="s">
        <v>39</v>
      </c>
      <c r="B134" s="8" t="s">
        <v>16</v>
      </c>
      <c r="C134" s="9">
        <v>3662</v>
      </c>
      <c r="D134" t="str">
        <f t="shared" si="1"/>
        <v>2023-25-29 år</v>
      </c>
    </row>
    <row r="135" spans="1:4" x14ac:dyDescent="0.35">
      <c r="A135" s="8" t="s">
        <v>39</v>
      </c>
      <c r="B135" s="8" t="s">
        <v>17</v>
      </c>
      <c r="C135" s="9">
        <v>2878</v>
      </c>
      <c r="D135" t="str">
        <f t="shared" si="1"/>
        <v>2023-30-34 år</v>
      </c>
    </row>
    <row r="136" spans="1:4" x14ac:dyDescent="0.35">
      <c r="A136" s="8" t="s">
        <v>39</v>
      </c>
      <c r="B136" s="8" t="s">
        <v>18</v>
      </c>
      <c r="C136" s="9">
        <v>2160</v>
      </c>
      <c r="D136" t="str">
        <f t="shared" ref="D136:D141" si="2">A136&amp;"-"&amp;B136</f>
        <v>2023-35-39 år</v>
      </c>
    </row>
    <row r="137" spans="1:4" x14ac:dyDescent="0.35">
      <c r="A137" s="8" t="s">
        <v>39</v>
      </c>
      <c r="B137" s="8" t="s">
        <v>19</v>
      </c>
      <c r="C137" s="9">
        <v>1983</v>
      </c>
      <c r="D137" t="str">
        <f t="shared" si="2"/>
        <v>2023-40-44 år</v>
      </c>
    </row>
    <row r="138" spans="1:4" x14ac:dyDescent="0.35">
      <c r="A138" s="8" t="s">
        <v>39</v>
      </c>
      <c r="B138" s="8" t="s">
        <v>20</v>
      </c>
      <c r="C138" s="9">
        <v>1798</v>
      </c>
      <c r="D138" t="str">
        <f t="shared" si="2"/>
        <v>2023-45-49 år</v>
      </c>
    </row>
    <row r="139" spans="1:4" x14ac:dyDescent="0.35">
      <c r="A139" s="8" t="s">
        <v>39</v>
      </c>
      <c r="B139" s="8" t="s">
        <v>21</v>
      </c>
      <c r="C139" s="9">
        <v>1564</v>
      </c>
      <c r="D139" t="str">
        <f t="shared" si="2"/>
        <v>2023-50-54 år</v>
      </c>
    </row>
    <row r="140" spans="1:4" x14ac:dyDescent="0.35">
      <c r="A140" s="8" t="s">
        <v>39</v>
      </c>
      <c r="B140" s="8" t="s">
        <v>22</v>
      </c>
      <c r="C140" s="9">
        <v>1583</v>
      </c>
      <c r="D140" t="str">
        <f t="shared" si="2"/>
        <v>2023-55-59 år</v>
      </c>
    </row>
    <row r="141" spans="1:4" x14ac:dyDescent="0.35">
      <c r="A141" s="8" t="s">
        <v>39</v>
      </c>
      <c r="B141" s="8" t="s">
        <v>23</v>
      </c>
      <c r="C141" s="9">
        <v>896</v>
      </c>
      <c r="D141" t="str">
        <f t="shared" si="2"/>
        <v>2023-60-64 år</v>
      </c>
    </row>
    <row r="142" spans="1:4" ht="15" thickBot="1" x14ac:dyDescent="0.4">
      <c r="A142" s="8" t="s">
        <v>39</v>
      </c>
      <c r="B142" s="8" t="s">
        <v>46</v>
      </c>
      <c r="C142" s="9">
        <v>295</v>
      </c>
      <c r="D142" t="str">
        <f t="shared" ref="D142" si="3">A142&amp;"-"&amp;B142</f>
        <v>2023-65-69 år</v>
      </c>
    </row>
    <row r="143" spans="1:4" ht="15" thickTop="1" x14ac:dyDescent="0.35">
      <c r="A143" s="10"/>
      <c r="B143" s="10"/>
      <c r="C143" s="10"/>
    </row>
    <row r="145" spans="1:1" x14ac:dyDescent="0.35">
      <c r="A145" t="s">
        <v>41</v>
      </c>
    </row>
    <row r="146" spans="1:1" x14ac:dyDescent="0.35">
      <c r="A146" t="s">
        <v>42</v>
      </c>
    </row>
  </sheetData>
  <pageMargins left="0.7" right="0.7" top="0.75" bottom="0.75" header="0.3" footer="0.3"/>
  <pageSetup orientation="portrait" horizontalDpi="4294967295" verticalDpi="429496729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747C7E06F68594C832843A2A297E6B8" ma:contentTypeVersion="12" ma:contentTypeDescription="Create a new document." ma:contentTypeScope="" ma:versionID="bf4d9be53f28fa48be3d4f8525463ac9">
  <xsd:schema xmlns:xsd="http://www.w3.org/2001/XMLSchema" xmlns:xs="http://www.w3.org/2001/XMLSchema" xmlns:p="http://schemas.microsoft.com/office/2006/metadata/properties" xmlns:ns2="64f53783-b5a5-4d99-8a2b-abe1fa7247d9" xmlns:ns3="de2c18d1-4ac4-4843-b059-04cdc20ce7e6" targetNamespace="http://schemas.microsoft.com/office/2006/metadata/properties" ma:root="true" ma:fieldsID="cff3a27e14b6e5b34e42e73e2eda303c" ns2:_="" ns3:_="">
    <xsd:import namespace="64f53783-b5a5-4d99-8a2b-abe1fa7247d9"/>
    <xsd:import namespace="de2c18d1-4ac4-4843-b059-04cdc20ce7e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4f53783-b5a5-4d99-8a2b-abe1fa7247d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62caacc-edf8-42da-adb8-e01fde2280f4"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de2c18d1-4ac4-4843-b059-04cdc20ce7e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5a784c0-37d8-4c06-9a28-1e798b77a756}" ma:internalName="TaxCatchAll" ma:showField="CatchAllData" ma:web="de2c18d1-4ac4-4843-b059-04cdc20ce7e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de2c18d1-4ac4-4843-b059-04cdc20ce7e6" xsi:nil="true"/>
    <lcf76f155ced4ddcb4097134ff3c332f xmlns="64f53783-b5a5-4d99-8a2b-abe1fa7247d9">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F72042E3-5FEB-4E07-89F4-AD90E5835FF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4f53783-b5a5-4d99-8a2b-abe1fa7247d9"/>
    <ds:schemaRef ds:uri="de2c18d1-4ac4-4843-b059-04cdc20ce7e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A8CD3132-F5D7-44C2-99AC-298B8E426299}">
  <ds:schemaRefs>
    <ds:schemaRef ds:uri="http://schemas.microsoft.com/office/2006/metadata/properties"/>
    <ds:schemaRef ds:uri="http://schemas.microsoft.com/office/infopath/2007/PartnerControls"/>
    <ds:schemaRef ds:uri="de2c18d1-4ac4-4843-b059-04cdc20ce7e6"/>
    <ds:schemaRef ds:uri="64f53783-b5a5-4d99-8a2b-abe1fa7247d9"/>
  </ds:schemaRefs>
</ds:datastoreItem>
</file>

<file path=customXml/itemProps3.xml><?xml version="1.0" encoding="utf-8"?>
<ds:datastoreItem xmlns:ds="http://schemas.openxmlformats.org/officeDocument/2006/customXml" ds:itemID="{5E06E7C1-9404-4A4A-B964-A85FD9F3B2E6}">
  <ds:schemaRefs>
    <ds:schemaRef ds:uri="http://schemas.microsoft.com/sharepoint/v3/contenttype/forms"/>
  </ds:schemaRefs>
</ds:datastoreItem>
</file>

<file path=customXml/itemProps4.xml><?xml version="1.0" encoding="utf-8"?>
<ds:datastoreItem xmlns:ds="http://schemas.openxmlformats.org/officeDocument/2006/customXml" ds:itemID="{EEA68922-5A48-4B96-9E98-5EC81105CF13}">
  <ds:schemaRefs>
    <ds:schemaRef ds:uri="http://www.w3.org/2001/XMLSchema"/>
    <ds:schemaRef ds:uri="http://www.boozallen.com/argo/gui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Index</vt:lpstr>
      <vt:lpstr>Loop</vt:lpstr>
      <vt:lpstr>Salary</vt:lpstr>
      <vt:lpstr>Wealth</vt:lpstr>
      <vt:lpstr>GBI Investment</vt:lpstr>
      <vt:lpstr>Aktiesparekonto</vt:lpstr>
      <vt:lpstr>GBI Allocations P1</vt:lpstr>
      <vt:lpstr>GBI Goals P1</vt:lpstr>
      <vt:lpstr>GBI Allocations P2</vt:lpstr>
      <vt:lpstr>notes next time talk</vt:lpstr>
      <vt:lpstr>GBI Goals P2</vt:lpstr>
      <vt:lpstr>Returns2</vt:lpstr>
      <vt:lpstr>Returns</vt:lpstr>
      <vt:lpstr>Volatilities2</vt:lpstr>
      <vt:lpstr>Volatilities</vt:lpstr>
      <vt:lpstr>Correlation</vt:lpstr>
      <vt:lpstr>Correlation2</vt:lpstr>
      <vt:lpstr>Goals</vt:lpstr>
      <vt:lpstr>Income</vt:lpstr>
      <vt:lpstr>Job Hopping</vt:lpstr>
      <vt:lpstr>Djøf Finance Workers</vt:lpstr>
      <vt:lpstr>Djøf Finance Hoppers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Justo Ezequiel Retorta</dc:creator>
  <cp:lastModifiedBy>Justo Ezequiel Retorta</cp:lastModifiedBy>
  <dcterms:created xsi:type="dcterms:W3CDTF">2025-02-13T10:09:46Z</dcterms:created>
  <dcterms:modified xsi:type="dcterms:W3CDTF">2025-04-09T13:32:40Z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0x0101000747C7E06F68594C832843A2A297E6B8</vt:lpwstr>
  </property>
  <property fmtid="{D5CDD505-2E9C-101B-9397-08002B2CF9AE}" pid="3" name="MediaServiceImageTags">
    <vt:lpwstr/>
  </property>
</Properties>
</file>