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23CC8906-BC9A-47B3-9A6F-D72137EA5C5E}" xr6:coauthVersionLast="47" xr6:coauthVersionMax="47" xr10:uidLastSave="{00000000-0000-0000-0000-000000000000}"/>
  <bookViews>
    <workbookView xWindow="-120" yWindow="-120" windowWidth="29040" windowHeight="15720" activeTab="2" xr2:uid="{31CD02D4-91DC-4A3F-AC52-23F22D133229}"/>
  </bookViews>
  <sheets>
    <sheet name="Loop" sheetId="45" r:id="rId1"/>
    <sheet name="Index" sheetId="7" r:id="rId2"/>
    <sheet name="Income" sheetId="2" r:id="rId3"/>
    <sheet name="Pensions P1" sheetId="46" r:id="rId4"/>
    <sheet name="Net Salary P1" sheetId="47" r:id="rId5"/>
    <sheet name="Net Salary P2" sheetId="48" r:id="rId6"/>
    <sheet name="Aktiesparekonto Increase" sheetId="43" r:id="rId7"/>
    <sheet name="Goals" sheetId="10" r:id="rId8"/>
    <sheet name="Salary" sheetId="30" r:id="rId9"/>
    <sheet name="Wealth" sheetId="33" r:id="rId10"/>
    <sheet name="notes next time talk" sheetId="18" state="hidden" r:id="rId11"/>
    <sheet name="Real Returns" sheetId="44" r:id="rId12"/>
    <sheet name="Returns" sheetId="23" r:id="rId13"/>
    <sheet name="BasisPointCost" sheetId="38" r:id="rId14"/>
    <sheet name="Returns2" sheetId="39" r:id="rId15"/>
    <sheet name="Volatilities" sheetId="20" r:id="rId16"/>
    <sheet name="Volatilities2" sheetId="24" r:id="rId17"/>
    <sheet name="Correlation" sheetId="22" r:id="rId18"/>
    <sheet name="Correlation2" sheetId="25" r:id="rId19"/>
    <sheet name="Job Hopping" sheetId="8" r:id="rId20"/>
    <sheet name="Djøf Finance Workers" sheetId="5" r:id="rId21"/>
    <sheet name="Djøf Finance Hoppers" sheetId="6" r:id="rId22"/>
  </sheets>
  <externalReferences>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0" hidden="1">{#N/A,#N/A,FALSE,"One Pager";#N/A,#N/A,FALSE,"Technical"}</definedName>
    <definedName name="_wrn111" hidden="1">{#N/A,#N/A,FALSE,"One Pager";#N/A,#N/A,FALSE,"Technical"}</definedName>
    <definedName name="_wrn2" localSheetId="0" hidden="1">{#N/A,#N/A,TRUE,"Financials";#N/A,#N/A,TRUE,"Operating Statistics";#N/A,#N/A,TRUE,"Capex &amp; Depreciation";#N/A,#N/A,TRUE,"Debt"}</definedName>
    <definedName name="_wrn2" hidden="1">{#N/A,#N/A,TRUE,"Financials";#N/A,#N/A,TRUE,"Operating Statistics";#N/A,#N/A,TRUE,"Capex &amp; Depreciation";#N/A,#N/A,TRUE,"Debt"}</definedName>
    <definedName name="_wrn3" localSheetId="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0" hidden="1">{#N/A,#N/A,FALSE,"One Pager";#N/A,#N/A,FALSE,"Technical"}</definedName>
    <definedName name="wrn.One._.Pager._.plus._.Technicals." hidden="1">{#N/A,#N/A,FALSE,"One Pager";#N/A,#N/A,FALSE,"Technical"}</definedName>
    <definedName name="wrn1.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48" l="1" a="1"/>
  <c r="E2" i="48" s="1"/>
  <c r="AC28" i="48"/>
  <c r="AB28" i="48"/>
  <c r="AA28" i="48"/>
  <c r="Z28" i="48"/>
  <c r="Y28" i="48"/>
  <c r="X28" i="48"/>
  <c r="W28" i="48"/>
  <c r="V28" i="48"/>
  <c r="U28" i="48"/>
  <c r="T28" i="48"/>
  <c r="S28" i="48"/>
  <c r="R28" i="48"/>
  <c r="Q28" i="48"/>
  <c r="P28" i="48"/>
  <c r="O28" i="48"/>
  <c r="N28" i="48"/>
  <c r="M28" i="48"/>
  <c r="L28" i="48"/>
  <c r="K28" i="48"/>
  <c r="J28" i="48"/>
  <c r="I28" i="48"/>
  <c r="H28" i="48"/>
  <c r="G28" i="48"/>
  <c r="F28" i="48"/>
  <c r="E28" i="48"/>
  <c r="Q24" i="48"/>
  <c r="Z22" i="48"/>
  <c r="Y22" i="48"/>
  <c r="Y23" i="48" s="1"/>
  <c r="W22" i="48"/>
  <c r="W24" i="48" s="1"/>
  <c r="Q22" i="48"/>
  <c r="Q23" i="48" s="1"/>
  <c r="J22" i="48"/>
  <c r="I22" i="48"/>
  <c r="I24" i="48" s="1"/>
  <c r="G22" i="48"/>
  <c r="G24" i="48" s="1"/>
  <c r="AC20" i="48"/>
  <c r="AC22" i="48" s="1"/>
  <c r="AB20" i="48"/>
  <c r="AB22" i="48" s="1"/>
  <c r="AA20" i="48"/>
  <c r="AA22" i="48" s="1"/>
  <c r="Z20" i="48"/>
  <c r="Y20" i="48"/>
  <c r="X20" i="48"/>
  <c r="X22" i="48" s="1"/>
  <c r="W20" i="48"/>
  <c r="V20" i="48"/>
  <c r="V22" i="48" s="1"/>
  <c r="U20" i="48"/>
  <c r="U22" i="48" s="1"/>
  <c r="T20" i="48"/>
  <c r="T22" i="48" s="1"/>
  <c r="S20" i="48"/>
  <c r="S22" i="48" s="1"/>
  <c r="R20" i="48"/>
  <c r="R22" i="48" s="1"/>
  <c r="Q20" i="48"/>
  <c r="P20" i="48"/>
  <c r="P22" i="48" s="1"/>
  <c r="P25" i="48" s="1"/>
  <c r="O20" i="48"/>
  <c r="O22" i="48" s="1"/>
  <c r="N20" i="48"/>
  <c r="N22" i="48" s="1"/>
  <c r="M20" i="48"/>
  <c r="M22" i="48" s="1"/>
  <c r="L20" i="48"/>
  <c r="L22" i="48" s="1"/>
  <c r="K20" i="48"/>
  <c r="K22" i="48" s="1"/>
  <c r="J20" i="48"/>
  <c r="I20" i="48"/>
  <c r="H20" i="48"/>
  <c r="H22" i="48" s="1"/>
  <c r="G20" i="48"/>
  <c r="F20" i="48"/>
  <c r="F22" i="48" s="1"/>
  <c r="E20" i="48"/>
  <c r="E22" i="48" s="1"/>
  <c r="S12" i="48"/>
  <c r="B8" i="48"/>
  <c r="W12" i="48" s="1"/>
  <c r="AH4" i="48"/>
  <c r="AG4" i="48"/>
  <c r="AF4" i="48"/>
  <c r="AE4" i="48"/>
  <c r="AD4" i="48"/>
  <c r="AC4" i="48"/>
  <c r="AB4" i="48"/>
  <c r="AA4" i="48"/>
  <c r="Z4" i="48"/>
  <c r="Y4" i="48"/>
  <c r="X4" i="48"/>
  <c r="W4" i="48"/>
  <c r="V4" i="48"/>
  <c r="U4" i="48"/>
  <c r="T4" i="48"/>
  <c r="S4" i="48"/>
  <c r="R4" i="48"/>
  <c r="Q4" i="48"/>
  <c r="P4" i="48"/>
  <c r="O4" i="48"/>
  <c r="N4" i="48"/>
  <c r="M4" i="48"/>
  <c r="L4" i="48"/>
  <c r="K4" i="48"/>
  <c r="J4" i="48"/>
  <c r="I4" i="48"/>
  <c r="H4" i="48"/>
  <c r="G4" i="48"/>
  <c r="F4" i="48"/>
  <c r="E4" i="48"/>
  <c r="AF3" i="48"/>
  <c r="AE3" i="48"/>
  <c r="AE5" i="48" s="1"/>
  <c r="AE6" i="48" s="1"/>
  <c r="AD3" i="48"/>
  <c r="AB3" i="48"/>
  <c r="AB5" i="48" s="1"/>
  <c r="AB6" i="48" s="1"/>
  <c r="X3" i="48"/>
  <c r="X5" i="48" s="1"/>
  <c r="X6" i="48" s="1"/>
  <c r="W3" i="48"/>
  <c r="W5" i="48" s="1"/>
  <c r="W6" i="48" s="1"/>
  <c r="V3" i="48"/>
  <c r="V5" i="48" s="1"/>
  <c r="V6" i="48" s="1"/>
  <c r="T3" i="48"/>
  <c r="T5" i="48" s="1"/>
  <c r="T6" i="48" s="1"/>
  <c r="P3" i="48"/>
  <c r="O3" i="48"/>
  <c r="O5" i="48" s="1"/>
  <c r="O6" i="48" s="1"/>
  <c r="N3" i="48"/>
  <c r="L3" i="48"/>
  <c r="L5" i="48" s="1"/>
  <c r="L6" i="48" s="1"/>
  <c r="H3" i="48"/>
  <c r="H5" i="48" s="1"/>
  <c r="H6" i="48" s="1"/>
  <c r="G3" i="48"/>
  <c r="G5" i="48" s="1"/>
  <c r="G6" i="48" s="1"/>
  <c r="F3" i="48"/>
  <c r="F5" i="48" s="1"/>
  <c r="F6" i="48" s="1"/>
  <c r="E36" i="47"/>
  <c r="E32" i="47"/>
  <c r="AC33" i="47"/>
  <c r="AB33" i="47"/>
  <c r="AA33" i="47"/>
  <c r="Z33" i="47"/>
  <c r="Y33" i="47"/>
  <c r="X33" i="47"/>
  <c r="W33" i="47"/>
  <c r="V33" i="47"/>
  <c r="U33" i="47"/>
  <c r="T33" i="47"/>
  <c r="S33" i="47"/>
  <c r="R33" i="47"/>
  <c r="Q33" i="47"/>
  <c r="P33" i="47"/>
  <c r="O33" i="47"/>
  <c r="N33" i="47"/>
  <c r="M33" i="47"/>
  <c r="L33" i="47"/>
  <c r="K33" i="47"/>
  <c r="J33" i="47"/>
  <c r="I33" i="47"/>
  <c r="H33" i="47"/>
  <c r="G33" i="47"/>
  <c r="F33" i="47"/>
  <c r="E33" i="47"/>
  <c r="E27" i="47"/>
  <c r="E26" i="47"/>
  <c r="E25" i="47"/>
  <c r="E24" i="47"/>
  <c r="E23" i="47"/>
  <c r="AC22" i="47"/>
  <c r="AB22" i="47"/>
  <c r="AA22" i="47"/>
  <c r="Z22" i="47"/>
  <c r="Y22" i="47"/>
  <c r="X22" i="47"/>
  <c r="W22" i="47"/>
  <c r="V22" i="47"/>
  <c r="U22" i="47"/>
  <c r="T22" i="47"/>
  <c r="S22" i="47"/>
  <c r="R22" i="47"/>
  <c r="Q22" i="47"/>
  <c r="P22" i="47"/>
  <c r="O22" i="47"/>
  <c r="N22" i="47"/>
  <c r="M22" i="47"/>
  <c r="L22" i="47"/>
  <c r="K22" i="47"/>
  <c r="J22" i="47"/>
  <c r="I22" i="47"/>
  <c r="H22" i="47"/>
  <c r="G22" i="47"/>
  <c r="F22" i="47"/>
  <c r="E22" i="47"/>
  <c r="AC20" i="47"/>
  <c r="AB20" i="47"/>
  <c r="AA20" i="47"/>
  <c r="Z20" i="47"/>
  <c r="Y20" i="47"/>
  <c r="X20" i="47"/>
  <c r="W20" i="47"/>
  <c r="V20" i="47"/>
  <c r="U20" i="47"/>
  <c r="T20" i="47"/>
  <c r="S20" i="47"/>
  <c r="R20" i="47"/>
  <c r="Q20" i="47"/>
  <c r="P20" i="47"/>
  <c r="O20" i="47"/>
  <c r="N20" i="47"/>
  <c r="M20" i="47"/>
  <c r="L20" i="47"/>
  <c r="K20" i="47"/>
  <c r="J20" i="47"/>
  <c r="I20" i="47"/>
  <c r="H20" i="47"/>
  <c r="G20" i="47"/>
  <c r="F20" i="47"/>
  <c r="E20" i="47"/>
  <c r="L3" i="2"/>
  <c r="L4" i="2"/>
  <c r="L5" i="2"/>
  <c r="L6" i="2"/>
  <c r="L7" i="2"/>
  <c r="L8" i="2"/>
  <c r="L9" i="2"/>
  <c r="L10" i="2"/>
  <c r="L11" i="2"/>
  <c r="L12" i="2"/>
  <c r="L13" i="2"/>
  <c r="C13" i="2" s="1"/>
  <c r="L14" i="2"/>
  <c r="L15" i="2"/>
  <c r="L16" i="2"/>
  <c r="L17" i="2"/>
  <c r="L18" i="2"/>
  <c r="C18" i="2" s="1"/>
  <c r="L19" i="2"/>
  <c r="L20" i="2"/>
  <c r="L21" i="2"/>
  <c r="C21" i="2" s="1"/>
  <c r="L22" i="2"/>
  <c r="L23" i="2"/>
  <c r="L24" i="2"/>
  <c r="L25" i="2"/>
  <c r="L26" i="2"/>
  <c r="C26" i="2" s="1"/>
  <c r="L27" i="2"/>
  <c r="L28" i="2"/>
  <c r="L29" i="2"/>
  <c r="L30" i="2"/>
  <c r="L31" i="2"/>
  <c r="L32" i="2"/>
  <c r="L33" i="2"/>
  <c r="L34" i="2"/>
  <c r="C34" i="2" s="1"/>
  <c r="L35" i="2"/>
  <c r="L36" i="2"/>
  <c r="L37" i="2"/>
  <c r="C37" i="2" s="1"/>
  <c r="L38" i="2"/>
  <c r="L39" i="2"/>
  <c r="L40" i="2"/>
  <c r="L41" i="2"/>
  <c r="L42" i="2"/>
  <c r="C42" i="2" s="1"/>
  <c r="L43" i="2"/>
  <c r="L44" i="2"/>
  <c r="L45" i="2"/>
  <c r="C45" i="2" s="1"/>
  <c r="L46" i="2"/>
  <c r="L47" i="2"/>
  <c r="L48" i="2"/>
  <c r="BI2" i="47" a="1"/>
  <c r="BI2" i="47" s="1"/>
  <c r="C10" i="2"/>
  <c r="C29" i="2"/>
  <c r="C4" i="2"/>
  <c r="C5" i="2"/>
  <c r="C12" i="2"/>
  <c r="C36" i="2"/>
  <c r="C44" i="2"/>
  <c r="C3" i="2"/>
  <c r="AC31" i="47"/>
  <c r="AB31" i="47"/>
  <c r="AA31" i="47"/>
  <c r="Z31" i="47"/>
  <c r="Y31" i="47"/>
  <c r="X31" i="47"/>
  <c r="W31" i="47"/>
  <c r="V31" i="47"/>
  <c r="U31" i="47"/>
  <c r="T31" i="47"/>
  <c r="S31" i="47"/>
  <c r="R31" i="47"/>
  <c r="Q31" i="47"/>
  <c r="P31" i="47"/>
  <c r="O31" i="47"/>
  <c r="N31" i="47"/>
  <c r="M31" i="47"/>
  <c r="L31" i="47"/>
  <c r="K31" i="47"/>
  <c r="J31" i="47"/>
  <c r="I31" i="47"/>
  <c r="H31" i="47"/>
  <c r="G31" i="47"/>
  <c r="F31" i="47"/>
  <c r="E31" i="47"/>
  <c r="AW12" i="47"/>
  <c r="AV12" i="47"/>
  <c r="AU12" i="47"/>
  <c r="AT12" i="47"/>
  <c r="AS12" i="47"/>
  <c r="AR12" i="47"/>
  <c r="AQ12" i="47"/>
  <c r="AP12" i="47"/>
  <c r="AO12" i="47"/>
  <c r="AN12" i="47"/>
  <c r="AM12" i="47"/>
  <c r="AL12" i="47"/>
  <c r="AK12" i="47"/>
  <c r="AJ12" i="47"/>
  <c r="AI12" i="47"/>
  <c r="AH12" i="47"/>
  <c r="AG12" i="47"/>
  <c r="AF12" i="47"/>
  <c r="AE12" i="47"/>
  <c r="AD12" i="47"/>
  <c r="AC12" i="47"/>
  <c r="AB12" i="47"/>
  <c r="AA12" i="47"/>
  <c r="Z12" i="47"/>
  <c r="Y12" i="47"/>
  <c r="X12" i="47"/>
  <c r="W12" i="47"/>
  <c r="V12" i="47"/>
  <c r="U12" i="47"/>
  <c r="T12" i="47"/>
  <c r="S12" i="47"/>
  <c r="R12" i="47"/>
  <c r="Q12" i="47"/>
  <c r="P12" i="47"/>
  <c r="O12" i="47"/>
  <c r="N12" i="47"/>
  <c r="M12" i="47"/>
  <c r="L12" i="47"/>
  <c r="K12" i="47"/>
  <c r="J12" i="47"/>
  <c r="I12" i="47"/>
  <c r="H12" i="47"/>
  <c r="G12" i="47"/>
  <c r="F12" i="47"/>
  <c r="E12" i="47"/>
  <c r="E13" i="47"/>
  <c r="E11" i="47"/>
  <c r="E10" i="47"/>
  <c r="E9" i="47"/>
  <c r="E8" i="47"/>
  <c r="E7" i="47"/>
  <c r="E6" i="47"/>
  <c r="E5" i="47"/>
  <c r="E4" i="47"/>
  <c r="B24" i="46"/>
  <c r="B22" i="46"/>
  <c r="B8" i="47"/>
  <c r="AF5" i="47"/>
  <c r="AF6" i="47" s="1"/>
  <c r="AV5" i="47"/>
  <c r="AV6" i="47" s="1"/>
  <c r="AR5" i="47"/>
  <c r="AR6" i="47" s="1"/>
  <c r="AR8" i="47" s="1"/>
  <c r="AN5" i="47"/>
  <c r="AN6" i="47" s="1"/>
  <c r="AJ5" i="47"/>
  <c r="AJ6" i="47" s="1"/>
  <c r="AJ8" i="47" s="1"/>
  <c r="AE5" i="47"/>
  <c r="AE6" i="47" s="1"/>
  <c r="AA5" i="47"/>
  <c r="AA6" i="47" s="1"/>
  <c r="AA7" i="47" s="1"/>
  <c r="W5" i="47"/>
  <c r="W6" i="47" s="1"/>
  <c r="S5" i="47"/>
  <c r="S6" i="47" s="1"/>
  <c r="S7" i="47" s="1"/>
  <c r="O5" i="47"/>
  <c r="O6" i="47" s="1"/>
  <c r="K5" i="47"/>
  <c r="K6" i="47" s="1"/>
  <c r="K7" i="47" s="1"/>
  <c r="G5" i="47"/>
  <c r="G6" i="47" s="1"/>
  <c r="E3" i="47"/>
  <c r="AV4" i="47"/>
  <c r="AU4" i="47"/>
  <c r="AU5" i="47" s="1"/>
  <c r="AU6" i="47" s="1"/>
  <c r="AT4" i="47"/>
  <c r="AT5" i="47" s="1"/>
  <c r="AT6" i="47" s="1"/>
  <c r="AS4" i="47"/>
  <c r="AS5" i="47" s="1"/>
  <c r="AS6" i="47" s="1"/>
  <c r="AR4" i="47"/>
  <c r="AQ4" i="47"/>
  <c r="AQ5" i="47" s="1"/>
  <c r="AQ6" i="47" s="1"/>
  <c r="AP4" i="47"/>
  <c r="AP5" i="47" s="1"/>
  <c r="AP6" i="47" s="1"/>
  <c r="AO4" i="47"/>
  <c r="AO5" i="47" s="1"/>
  <c r="AO6" i="47" s="1"/>
  <c r="AN4" i="47"/>
  <c r="AM4" i="47"/>
  <c r="AM5" i="47" s="1"/>
  <c r="AM6" i="47" s="1"/>
  <c r="AL4" i="47"/>
  <c r="AL5" i="47" s="1"/>
  <c r="AL6" i="47" s="1"/>
  <c r="AK4" i="47"/>
  <c r="AK5" i="47" s="1"/>
  <c r="AK6" i="47" s="1"/>
  <c r="AJ4" i="47"/>
  <c r="AI4" i="47"/>
  <c r="AI5" i="47" s="1"/>
  <c r="AI6" i="47" s="1"/>
  <c r="AH4" i="47"/>
  <c r="AH5" i="47" s="1"/>
  <c r="AH6" i="47" s="1"/>
  <c r="AG4" i="47"/>
  <c r="AG5" i="47" s="1"/>
  <c r="AG6" i="47" s="1"/>
  <c r="AF4" i="47"/>
  <c r="AE4" i="47"/>
  <c r="AD4" i="47"/>
  <c r="AD5" i="47" s="1"/>
  <c r="AD6" i="47" s="1"/>
  <c r="AC4" i="47"/>
  <c r="AC5" i="47" s="1"/>
  <c r="AC6" i="47" s="1"/>
  <c r="AB4" i="47"/>
  <c r="AB5" i="47" s="1"/>
  <c r="AB6" i="47" s="1"/>
  <c r="AA4" i="47"/>
  <c r="Z4" i="47"/>
  <c r="Z5" i="47" s="1"/>
  <c r="Z6" i="47" s="1"/>
  <c r="Y4" i="47"/>
  <c r="Y5" i="47" s="1"/>
  <c r="Y6" i="47" s="1"/>
  <c r="X4" i="47"/>
  <c r="X5" i="47" s="1"/>
  <c r="X6" i="47" s="1"/>
  <c r="W4" i="47"/>
  <c r="V4" i="47"/>
  <c r="V5" i="47" s="1"/>
  <c r="V6" i="47" s="1"/>
  <c r="U4" i="47"/>
  <c r="U5" i="47" s="1"/>
  <c r="U6" i="47" s="1"/>
  <c r="T4" i="47"/>
  <c r="T5" i="47" s="1"/>
  <c r="T6" i="47" s="1"/>
  <c r="S4" i="47"/>
  <c r="R4" i="47"/>
  <c r="R5" i="47" s="1"/>
  <c r="R6" i="47" s="1"/>
  <c r="Q4" i="47"/>
  <c r="Q5" i="47" s="1"/>
  <c r="Q6" i="47" s="1"/>
  <c r="P4" i="47"/>
  <c r="P5" i="47" s="1"/>
  <c r="P6" i="47" s="1"/>
  <c r="O4" i="47"/>
  <c r="N4" i="47"/>
  <c r="N5" i="47" s="1"/>
  <c r="N6" i="47" s="1"/>
  <c r="M4" i="47"/>
  <c r="M5" i="47" s="1"/>
  <c r="M6" i="47" s="1"/>
  <c r="L4" i="47"/>
  <c r="L5" i="47" s="1"/>
  <c r="L6" i="47" s="1"/>
  <c r="K4" i="47"/>
  <c r="J4" i="47"/>
  <c r="J5" i="47" s="1"/>
  <c r="J6" i="47" s="1"/>
  <c r="I4" i="47"/>
  <c r="I5" i="47" s="1"/>
  <c r="I6" i="47" s="1"/>
  <c r="H4" i="47"/>
  <c r="H5" i="47" s="1"/>
  <c r="H6" i="47" s="1"/>
  <c r="G4" i="47"/>
  <c r="F4" i="47"/>
  <c r="F5" i="47" s="1"/>
  <c r="F6" i="47" s="1"/>
  <c r="AW4" i="47"/>
  <c r="AW5" i="47" s="1"/>
  <c r="AW6" i="47" s="1"/>
  <c r="E2" i="47" a="1"/>
  <c r="E2" i="47" s="1"/>
  <c r="B13" i="46"/>
  <c r="B11" i="46"/>
  <c r="B12" i="46" s="1"/>
  <c r="AT7" i="46"/>
  <c r="AS7" i="46"/>
  <c r="AR7" i="46"/>
  <c r="AQ7" i="46"/>
  <c r="AP7" i="46"/>
  <c r="AO7" i="46"/>
  <c r="AN7" i="46"/>
  <c r="AM7" i="46"/>
  <c r="AL7" i="46"/>
  <c r="AK7" i="46"/>
  <c r="AJ7" i="46"/>
  <c r="AI7" i="46"/>
  <c r="AH7" i="46"/>
  <c r="AG7" i="46"/>
  <c r="AF7" i="46"/>
  <c r="AE7" i="46"/>
  <c r="AD7" i="46"/>
  <c r="AC7" i="46"/>
  <c r="AB7" i="46"/>
  <c r="AA7" i="46"/>
  <c r="Z7" i="46"/>
  <c r="Y7" i="46"/>
  <c r="X7" i="46"/>
  <c r="W7" i="46"/>
  <c r="V7" i="46"/>
  <c r="U7" i="46"/>
  <c r="T7" i="46"/>
  <c r="S7" i="46"/>
  <c r="R7" i="46"/>
  <c r="Q7" i="46"/>
  <c r="P7" i="46"/>
  <c r="O7" i="46"/>
  <c r="N7" i="46"/>
  <c r="M7" i="46"/>
  <c r="L7" i="46"/>
  <c r="K7" i="46"/>
  <c r="J7" i="46"/>
  <c r="I7" i="46"/>
  <c r="H7" i="46"/>
  <c r="G7" i="46"/>
  <c r="F7" i="46"/>
  <c r="E7" i="46"/>
  <c r="D7" i="46"/>
  <c r="C7" i="46"/>
  <c r="B7" i="46"/>
  <c r="AT6" i="46"/>
  <c r="AS6" i="46"/>
  <c r="AR6" i="46"/>
  <c r="AQ6" i="46"/>
  <c r="AP6" i="46"/>
  <c r="AO6" i="46"/>
  <c r="AN6" i="46"/>
  <c r="AM6" i="46"/>
  <c r="AL6" i="46"/>
  <c r="AK6" i="46"/>
  <c r="AJ6" i="46"/>
  <c r="AI6" i="46"/>
  <c r="AH6" i="46"/>
  <c r="AG6" i="46"/>
  <c r="AF6" i="46"/>
  <c r="AE6" i="46"/>
  <c r="AD6" i="46"/>
  <c r="AC6" i="46"/>
  <c r="AB6" i="46"/>
  <c r="AA6" i="46"/>
  <c r="Z6" i="46"/>
  <c r="Y6" i="46"/>
  <c r="X6" i="46"/>
  <c r="W6" i="46"/>
  <c r="V6" i="46"/>
  <c r="U6" i="46"/>
  <c r="T6" i="46"/>
  <c r="S6" i="46"/>
  <c r="R6" i="46"/>
  <c r="Q6" i="46"/>
  <c r="P6" i="46"/>
  <c r="O6" i="46"/>
  <c r="N6" i="46"/>
  <c r="M6" i="46"/>
  <c r="L6" i="46"/>
  <c r="K6" i="46"/>
  <c r="J6" i="46"/>
  <c r="I6" i="46"/>
  <c r="H6" i="46"/>
  <c r="G6" i="46"/>
  <c r="F6" i="46"/>
  <c r="E6" i="46"/>
  <c r="D6" i="46"/>
  <c r="C6" i="46"/>
  <c r="B6" i="46"/>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4" i="46"/>
  <c r="AS4" i="46"/>
  <c r="AR4" i="46"/>
  <c r="AQ4" i="46"/>
  <c r="AP4" i="46"/>
  <c r="AO4" i="46"/>
  <c r="AN4" i="46"/>
  <c r="AM4" i="46"/>
  <c r="AL4" i="46"/>
  <c r="AK4" i="46"/>
  <c r="AJ4" i="46"/>
  <c r="AI4" i="46"/>
  <c r="AH4" i="46"/>
  <c r="AG4" i="46"/>
  <c r="AF4" i="46"/>
  <c r="AE4" i="46"/>
  <c r="AD4" i="46"/>
  <c r="AC4" i="46"/>
  <c r="AB4" i="46"/>
  <c r="AA4" i="46"/>
  <c r="Z4" i="46"/>
  <c r="Y4" i="46"/>
  <c r="X4" i="46"/>
  <c r="W4" i="46"/>
  <c r="V4" i="46"/>
  <c r="U4" i="46"/>
  <c r="T4" i="46"/>
  <c r="S4" i="46"/>
  <c r="R4" i="46"/>
  <c r="Q4" i="46"/>
  <c r="P4" i="46"/>
  <c r="O4" i="46"/>
  <c r="N4" i="46"/>
  <c r="M4" i="46"/>
  <c r="L4" i="46"/>
  <c r="K4" i="46"/>
  <c r="J4" i="46"/>
  <c r="I4" i="46"/>
  <c r="H4" i="46"/>
  <c r="G4" i="46"/>
  <c r="F4" i="46"/>
  <c r="E4" i="46"/>
  <c r="D4" i="46"/>
  <c r="C4" i="46"/>
  <c r="B4" i="46"/>
  <c r="B2" i="46" a="1"/>
  <c r="B2" i="46" s="1"/>
  <c r="N48" i="2"/>
  <c r="Q4" i="2"/>
  <c r="Q5" i="2" s="1"/>
  <c r="Q6" i="2" s="1"/>
  <c r="Q7" i="2" s="1"/>
  <c r="Q8" i="2" s="1"/>
  <c r="Q9" i="2" s="1"/>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O48" i="2"/>
  <c r="O47" i="2"/>
  <c r="O46" i="2"/>
  <c r="O45" i="2"/>
  <c r="O44" i="2"/>
  <c r="O43" i="2"/>
  <c r="O42" i="2"/>
  <c r="O41" i="2"/>
  <c r="O40" i="2"/>
  <c r="O39" i="2"/>
  <c r="O38" i="2"/>
  <c r="O37" i="2"/>
  <c r="O36" i="2"/>
  <c r="O35" i="2"/>
  <c r="O34" i="2"/>
  <c r="O33" i="2"/>
  <c r="P4" i="2"/>
  <c r="P5" i="2" s="1"/>
  <c r="P6" i="2" s="1"/>
  <c r="P7" i="2" s="1"/>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Q48" i="2"/>
  <c r="Q47" i="2"/>
  <c r="Q46" i="2"/>
  <c r="Q45" i="2"/>
  <c r="Q44" i="2"/>
  <c r="Q43" i="2"/>
  <c r="Q42" i="2"/>
  <c r="Q41" i="2"/>
  <c r="Q40" i="2"/>
  <c r="Q39" i="2"/>
  <c r="Q38" i="2"/>
  <c r="Q37" i="2"/>
  <c r="Q36" i="2"/>
  <c r="Q35" i="2"/>
  <c r="Q34" i="2"/>
  <c r="Q33" i="2"/>
  <c r="P48" i="2"/>
  <c r="I6"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R6" i="2"/>
  <c r="R5" i="2"/>
  <c r="R10" i="2"/>
  <c r="R9" i="2"/>
  <c r="R8" i="2"/>
  <c r="R3" i="2"/>
  <c r="R4" i="2"/>
  <c r="R7"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C6" i="2"/>
  <c r="C7" i="2"/>
  <c r="C8" i="2"/>
  <c r="C9" i="2"/>
  <c r="C11" i="2"/>
  <c r="C14" i="2"/>
  <c r="C15" i="2"/>
  <c r="C16" i="2"/>
  <c r="C17" i="2"/>
  <c r="C19" i="2"/>
  <c r="C20" i="2"/>
  <c r="C22" i="2"/>
  <c r="C23" i="2"/>
  <c r="C24" i="2"/>
  <c r="C25" i="2"/>
  <c r="C27" i="2"/>
  <c r="C28" i="2"/>
  <c r="C30" i="2"/>
  <c r="C31" i="2"/>
  <c r="C32" i="2"/>
  <c r="C33" i="2"/>
  <c r="C35" i="2"/>
  <c r="C38" i="2"/>
  <c r="C39" i="2"/>
  <c r="C40" i="2"/>
  <c r="C41" i="2"/>
  <c r="C43" i="2"/>
  <c r="C46" i="2"/>
  <c r="C47" i="2"/>
  <c r="C48" i="2"/>
  <c r="L7" i="23"/>
  <c r="L6" i="23"/>
  <c r="L5" i="23"/>
  <c r="L4" i="23"/>
  <c r="L3" i="23"/>
  <c r="L2" i="23"/>
  <c r="B7" i="23"/>
  <c r="B6" i="23"/>
  <c r="B5" i="23"/>
  <c r="B4" i="23"/>
  <c r="B3" i="23"/>
  <c r="B2" i="23"/>
  <c r="O24" i="48" l="1"/>
  <c r="O25" i="48"/>
  <c r="Y24" i="48"/>
  <c r="N5" i="48"/>
  <c r="N6" i="48" s="1"/>
  <c r="P5" i="48"/>
  <c r="P6" i="48" s="1"/>
  <c r="P7" i="48" s="1"/>
  <c r="AF5" i="48"/>
  <c r="AF6" i="48" s="1"/>
  <c r="AF8" i="48" s="1"/>
  <c r="I23" i="48"/>
  <c r="W25" i="48"/>
  <c r="AD5" i="48"/>
  <c r="AD6" i="48" s="1"/>
  <c r="G25" i="48"/>
  <c r="G12" i="48"/>
  <c r="G7" i="48"/>
  <c r="G8" i="48"/>
  <c r="G9" i="48"/>
  <c r="W7" i="48"/>
  <c r="W9" i="48"/>
  <c r="W8" i="48"/>
  <c r="O7" i="48"/>
  <c r="O8" i="48"/>
  <c r="O9" i="48"/>
  <c r="X7" i="48"/>
  <c r="X8" i="48"/>
  <c r="X9" i="48"/>
  <c r="L9" i="48"/>
  <c r="L7" i="48"/>
  <c r="L8" i="48"/>
  <c r="AB9" i="48"/>
  <c r="AB7" i="48"/>
  <c r="AB8" i="48"/>
  <c r="AE9" i="48"/>
  <c r="AE7" i="48"/>
  <c r="AE8" i="48"/>
  <c r="H7" i="48"/>
  <c r="H8" i="48"/>
  <c r="H9" i="48"/>
  <c r="F7" i="48"/>
  <c r="F8" i="48"/>
  <c r="F9" i="48"/>
  <c r="N7" i="48"/>
  <c r="N9" i="48"/>
  <c r="N8" i="48"/>
  <c r="AF9" i="48"/>
  <c r="V7" i="48"/>
  <c r="V9" i="48"/>
  <c r="V8" i="48"/>
  <c r="T9" i="48"/>
  <c r="T8" i="48"/>
  <c r="T7" i="48"/>
  <c r="T10" i="48" s="1"/>
  <c r="T11" i="48" s="1"/>
  <c r="T13" i="48" s="1"/>
  <c r="T14" i="48" s="1"/>
  <c r="AD7" i="48"/>
  <c r="AD8" i="48"/>
  <c r="AD9" i="48"/>
  <c r="R25" i="48"/>
  <c r="R24" i="48"/>
  <c r="R23" i="48"/>
  <c r="J25" i="48"/>
  <c r="J24" i="48"/>
  <c r="K25" i="48"/>
  <c r="K24" i="48"/>
  <c r="K23" i="48"/>
  <c r="K26" i="48" s="1"/>
  <c r="K27" i="48" s="1"/>
  <c r="K29" i="48" s="1"/>
  <c r="K30" i="48" s="1"/>
  <c r="AA25" i="48"/>
  <c r="AA24" i="48"/>
  <c r="AA23" i="48"/>
  <c r="AA26" i="48" s="1"/>
  <c r="AA27" i="48" s="1"/>
  <c r="AA29" i="48" s="1"/>
  <c r="AA30" i="48" s="1"/>
  <c r="I3" i="48"/>
  <c r="I5" i="48" s="1"/>
  <c r="I6" i="48" s="1"/>
  <c r="Q3" i="48"/>
  <c r="Q5" i="48" s="1"/>
  <c r="Q6" i="48" s="1"/>
  <c r="Y3" i="48"/>
  <c r="Y5" i="48" s="1"/>
  <c r="Y6" i="48" s="1"/>
  <c r="AG3" i="48"/>
  <c r="AG5" i="48" s="1"/>
  <c r="AG6" i="48" s="1"/>
  <c r="I12" i="48"/>
  <c r="Y12" i="48"/>
  <c r="P24" i="48"/>
  <c r="X23" i="48"/>
  <c r="E3" i="48"/>
  <c r="E5" i="48" s="1"/>
  <c r="E6" i="48" s="1"/>
  <c r="J3" i="48"/>
  <c r="J5" i="48" s="1"/>
  <c r="J6" i="48" s="1"/>
  <c r="R3" i="48"/>
  <c r="R5" i="48" s="1"/>
  <c r="R6" i="48" s="1"/>
  <c r="Z3" i="48"/>
  <c r="Z5" i="48" s="1"/>
  <c r="Z6" i="48" s="1"/>
  <c r="AH3" i="48"/>
  <c r="AH5" i="48" s="1"/>
  <c r="AH6" i="48" s="1"/>
  <c r="J12" i="48"/>
  <c r="Z12" i="48"/>
  <c r="J23" i="48"/>
  <c r="X25" i="48"/>
  <c r="H23" i="48"/>
  <c r="K3" i="48"/>
  <c r="K5" i="48" s="1"/>
  <c r="K6" i="48" s="1"/>
  <c r="S3" i="48"/>
  <c r="S5" i="48" s="1"/>
  <c r="S6" i="48" s="1"/>
  <c r="AA3" i="48"/>
  <c r="AA5" i="48" s="1"/>
  <c r="AA6" i="48" s="1"/>
  <c r="K12" i="48"/>
  <c r="AA12" i="48"/>
  <c r="L25" i="48"/>
  <c r="L24" i="48"/>
  <c r="L23" i="48"/>
  <c r="T25" i="48"/>
  <c r="T24" i="48"/>
  <c r="T23" i="48"/>
  <c r="AB25" i="48"/>
  <c r="AB24" i="48"/>
  <c r="AB23" i="48"/>
  <c r="X24" i="48"/>
  <c r="AF12" i="48"/>
  <c r="X12" i="48"/>
  <c r="P12" i="48"/>
  <c r="H12" i="48"/>
  <c r="AD12" i="48"/>
  <c r="V12" i="48"/>
  <c r="N12" i="48"/>
  <c r="F12" i="48"/>
  <c r="AC12" i="48"/>
  <c r="U12" i="48"/>
  <c r="M12" i="48"/>
  <c r="E12" i="48"/>
  <c r="AB12" i="48"/>
  <c r="T12" i="48"/>
  <c r="L12" i="48"/>
  <c r="O12" i="48"/>
  <c r="AE12" i="48"/>
  <c r="E25" i="48"/>
  <c r="E24" i="48"/>
  <c r="E23" i="48"/>
  <c r="M25" i="48"/>
  <c r="M24" i="48"/>
  <c r="M23" i="48"/>
  <c r="M26" i="48" s="1"/>
  <c r="M27" i="48" s="1"/>
  <c r="M29" i="48" s="1"/>
  <c r="M30" i="48" s="1"/>
  <c r="U25" i="48"/>
  <c r="U24" i="48"/>
  <c r="U23" i="48"/>
  <c r="U26" i="48" s="1"/>
  <c r="U27" i="48" s="1"/>
  <c r="U29" i="48" s="1"/>
  <c r="U30" i="48" s="1"/>
  <c r="AC25" i="48"/>
  <c r="AC24" i="48"/>
  <c r="AC23" i="48"/>
  <c r="S25" i="48"/>
  <c r="S24" i="48"/>
  <c r="S23" i="48"/>
  <c r="S26" i="48" s="1"/>
  <c r="S27" i="48" s="1"/>
  <c r="S29" i="48" s="1"/>
  <c r="S30" i="48" s="1"/>
  <c r="Z25" i="48"/>
  <c r="Z24" i="48"/>
  <c r="M3" i="48"/>
  <c r="M5" i="48" s="1"/>
  <c r="M6" i="48" s="1"/>
  <c r="U3" i="48"/>
  <c r="U5" i="48" s="1"/>
  <c r="U6" i="48" s="1"/>
  <c r="AC3" i="48"/>
  <c r="AC5" i="48" s="1"/>
  <c r="AC6" i="48" s="1"/>
  <c r="Q12" i="48"/>
  <c r="AG12" i="48"/>
  <c r="F25" i="48"/>
  <c r="F24" i="48"/>
  <c r="F23" i="48"/>
  <c r="F26" i="48" s="1"/>
  <c r="F27" i="48" s="1"/>
  <c r="F29" i="48" s="1"/>
  <c r="F30" i="48" s="1"/>
  <c r="N25" i="48"/>
  <c r="N24" i="48"/>
  <c r="N23" i="48"/>
  <c r="V25" i="48"/>
  <c r="V24" i="48"/>
  <c r="V23" i="48"/>
  <c r="V26" i="48" s="1"/>
  <c r="V27" i="48" s="1"/>
  <c r="V29" i="48" s="1"/>
  <c r="V30" i="48" s="1"/>
  <c r="P23" i="48"/>
  <c r="P26" i="48" s="1"/>
  <c r="P27" i="48"/>
  <c r="P29" i="48" s="1"/>
  <c r="P30" i="48" s="1"/>
  <c r="H24" i="48"/>
  <c r="R12" i="48"/>
  <c r="AH12" i="48"/>
  <c r="Z23" i="48"/>
  <c r="H25" i="48"/>
  <c r="I25" i="48"/>
  <c r="Q25" i="48"/>
  <c r="Q26" i="48" s="1"/>
  <c r="Q27" i="48" s="1"/>
  <c r="Q29" i="48" s="1"/>
  <c r="Q30" i="48" s="1"/>
  <c r="Y25" i="48"/>
  <c r="Y26" i="48" s="1"/>
  <c r="Y27" i="48" s="1"/>
  <c r="Y29" i="48" s="1"/>
  <c r="Y30" i="48" s="1"/>
  <c r="G23" i="48"/>
  <c r="G26" i="48" s="1"/>
  <c r="G27" i="48" s="1"/>
  <c r="G29" i="48" s="1"/>
  <c r="G30" i="48" s="1"/>
  <c r="O23" i="48"/>
  <c r="O26" i="48" s="1"/>
  <c r="O27" i="48" s="1"/>
  <c r="O29" i="48" s="1"/>
  <c r="O30" i="48" s="1"/>
  <c r="W23" i="48"/>
  <c r="W7" i="47"/>
  <c r="W8" i="47"/>
  <c r="H7" i="47"/>
  <c r="H8" i="47"/>
  <c r="P7" i="47"/>
  <c r="P8" i="47"/>
  <c r="X7" i="47"/>
  <c r="X8" i="47"/>
  <c r="AU8" i="47"/>
  <c r="AU7" i="47"/>
  <c r="I8" i="47"/>
  <c r="I7" i="47"/>
  <c r="Q8" i="47"/>
  <c r="Q7" i="47"/>
  <c r="Y8" i="47"/>
  <c r="Y7" i="47"/>
  <c r="AG8" i="47"/>
  <c r="AG7" i="47"/>
  <c r="AO8" i="47"/>
  <c r="AO7" i="47"/>
  <c r="AE7" i="47"/>
  <c r="AE8" i="47"/>
  <c r="R8" i="47"/>
  <c r="R7" i="47"/>
  <c r="AH8" i="47"/>
  <c r="AH7" i="47"/>
  <c r="AP7" i="47"/>
  <c r="AP8" i="47"/>
  <c r="Z8" i="47"/>
  <c r="Z7" i="47"/>
  <c r="AI8" i="47"/>
  <c r="AI7" i="47"/>
  <c r="AQ8" i="47"/>
  <c r="AQ7" i="47"/>
  <c r="G7" i="47"/>
  <c r="G8" i="47"/>
  <c r="AN8" i="47"/>
  <c r="AN7" i="47"/>
  <c r="L7" i="47"/>
  <c r="L8" i="47"/>
  <c r="T7" i="47"/>
  <c r="T8" i="47"/>
  <c r="AB7" i="47"/>
  <c r="AB8" i="47"/>
  <c r="AB10" i="47" s="1"/>
  <c r="AB11" i="47" s="1"/>
  <c r="AB13" i="47" s="1"/>
  <c r="AB14" i="47" s="1"/>
  <c r="AM8" i="47"/>
  <c r="AM7" i="47"/>
  <c r="AW8" i="47"/>
  <c r="AW7" i="47"/>
  <c r="M9" i="47"/>
  <c r="M7" i="47"/>
  <c r="M8" i="47"/>
  <c r="U7" i="47"/>
  <c r="U8" i="47"/>
  <c r="U9" i="47"/>
  <c r="AC7" i="47"/>
  <c r="AC8" i="47"/>
  <c r="AC9" i="47"/>
  <c r="AK8" i="47"/>
  <c r="AK7" i="47"/>
  <c r="AK9" i="47"/>
  <c r="AK10" i="47" s="1"/>
  <c r="AK11" i="47" s="1"/>
  <c r="AK13" i="47" s="1"/>
  <c r="AK14" i="47" s="1"/>
  <c r="AS8" i="47"/>
  <c r="AS7" i="47"/>
  <c r="AS9" i="47"/>
  <c r="AS10" i="47" s="1"/>
  <c r="AS11" i="47" s="1"/>
  <c r="AS13" i="47" s="1"/>
  <c r="AS14" i="47" s="1"/>
  <c r="O7" i="47"/>
  <c r="O8" i="47"/>
  <c r="AV8" i="47"/>
  <c r="AV7" i="47"/>
  <c r="J8" i="47"/>
  <c r="J7" i="47"/>
  <c r="F7" i="47"/>
  <c r="F10" i="47" s="1"/>
  <c r="F11" i="47" s="1"/>
  <c r="F13" i="47" s="1"/>
  <c r="F14" i="47" s="1"/>
  <c r="F8" i="47"/>
  <c r="N7" i="47"/>
  <c r="N8" i="47"/>
  <c r="V7" i="47"/>
  <c r="V8" i="47"/>
  <c r="AD7" i="47"/>
  <c r="AD8" i="47"/>
  <c r="AL8" i="47"/>
  <c r="AL7" i="47"/>
  <c r="AT8" i="47"/>
  <c r="AT7" i="47"/>
  <c r="AF8" i="47"/>
  <c r="AF7" i="47"/>
  <c r="K8" i="47"/>
  <c r="S8" i="47"/>
  <c r="AA8" i="47"/>
  <c r="AJ7" i="47"/>
  <c r="AR7" i="47"/>
  <c r="AR10" i="47" s="1"/>
  <c r="AR11" i="47" s="1"/>
  <c r="AR13" i="47" s="1"/>
  <c r="AR14" i="47" s="1"/>
  <c r="B16" i="46"/>
  <c r="B17" i="46" s="1"/>
  <c r="Y9" i="47"/>
  <c r="AA9" i="47"/>
  <c r="AI9" i="47"/>
  <c r="AQ9" i="47"/>
  <c r="L9" i="47"/>
  <c r="T9" i="47"/>
  <c r="AB9" i="47"/>
  <c r="AJ9" i="47"/>
  <c r="AR9" i="47"/>
  <c r="I9" i="47"/>
  <c r="K9" i="47"/>
  <c r="AO9" i="47"/>
  <c r="S9" i="47"/>
  <c r="Q9" i="47"/>
  <c r="AG10" i="47"/>
  <c r="AG11" i="47" s="1"/>
  <c r="AG13" i="47" s="1"/>
  <c r="AG14" i="47" s="1"/>
  <c r="AG9" i="47"/>
  <c r="J9" i="47"/>
  <c r="R9" i="47"/>
  <c r="Z9" i="47"/>
  <c r="AH9" i="47"/>
  <c r="AP9" i="47"/>
  <c r="N9" i="47"/>
  <c r="O9" i="47"/>
  <c r="AD10" i="47"/>
  <c r="AD11" i="47" s="1"/>
  <c r="AD13" i="47" s="1"/>
  <c r="AD14" i="47" s="1"/>
  <c r="H9" i="47"/>
  <c r="H10" i="47" s="1"/>
  <c r="H11" i="47" s="1"/>
  <c r="H13" i="47" s="1"/>
  <c r="H14" i="47" s="1"/>
  <c r="P9" i="47"/>
  <c r="P10" i="47" s="1"/>
  <c r="P11" i="47" s="1"/>
  <c r="P13" i="47" s="1"/>
  <c r="P14" i="47" s="1"/>
  <c r="X9" i="47"/>
  <c r="AF9" i="47"/>
  <c r="AF10" i="47" s="1"/>
  <c r="AF11" i="47" s="1"/>
  <c r="AF13" i="47" s="1"/>
  <c r="AF14" i="47" s="1"/>
  <c r="AN9" i="47"/>
  <c r="AV9" i="47"/>
  <c r="AV10" i="47" s="1"/>
  <c r="AV11" i="47" s="1"/>
  <c r="AV13" i="47" s="1"/>
  <c r="AV14" i="47" s="1"/>
  <c r="V9" i="47"/>
  <c r="AE9" i="47"/>
  <c r="O10" i="47"/>
  <c r="O11" i="47" s="1"/>
  <c r="O13" i="47" s="1"/>
  <c r="O14" i="47" s="1"/>
  <c r="AL9" i="47"/>
  <c r="W9" i="47"/>
  <c r="W10" i="47" s="1"/>
  <c r="W11" i="47" s="1"/>
  <c r="W13" i="47" s="1"/>
  <c r="W14" i="47" s="1"/>
  <c r="AU9" i="47"/>
  <c r="M10" i="47"/>
  <c r="M11" i="47" s="1"/>
  <c r="M13" i="47" s="1"/>
  <c r="M14" i="47" s="1"/>
  <c r="U10" i="47"/>
  <c r="U11" i="47" s="1"/>
  <c r="U13" i="47" s="1"/>
  <c r="U14" i="47" s="1"/>
  <c r="AC10" i="47"/>
  <c r="AC11" i="47" s="1"/>
  <c r="AC13" i="47" s="1"/>
  <c r="AC14" i="47" s="1"/>
  <c r="F9" i="47"/>
  <c r="AM9" i="47"/>
  <c r="AM10" i="47" s="1"/>
  <c r="AM11" i="47" s="1"/>
  <c r="AM13" i="47" s="1"/>
  <c r="AM14" i="47" s="1"/>
  <c r="AD9" i="47"/>
  <c r="AT9" i="47"/>
  <c r="G9" i="47"/>
  <c r="G10" i="47" s="1"/>
  <c r="G11" i="47" s="1"/>
  <c r="G13" i="47" s="1"/>
  <c r="G14" i="47" s="1"/>
  <c r="AW9" i="47"/>
  <c r="M3" i="47"/>
  <c r="U3" i="47"/>
  <c r="AC3" i="47"/>
  <c r="AK3" i="47"/>
  <c r="AS3" i="47"/>
  <c r="F3" i="47"/>
  <c r="N3" i="47"/>
  <c r="V3" i="47"/>
  <c r="AD3" i="47"/>
  <c r="AL3" i="47"/>
  <c r="AT3" i="47"/>
  <c r="G3" i="47"/>
  <c r="O3" i="47"/>
  <c r="W3" i="47"/>
  <c r="AU3" i="47"/>
  <c r="H3" i="47"/>
  <c r="P3" i="47"/>
  <c r="X3" i="47"/>
  <c r="AF3" i="47"/>
  <c r="AN3" i="47"/>
  <c r="AV3" i="47"/>
  <c r="I3" i="47"/>
  <c r="Q3" i="47"/>
  <c r="Y3" i="47"/>
  <c r="AG3" i="47"/>
  <c r="AO3" i="47"/>
  <c r="AE3" i="47"/>
  <c r="J3" i="47"/>
  <c r="R3" i="47"/>
  <c r="Z3" i="47"/>
  <c r="AH3" i="47"/>
  <c r="AP3" i="47"/>
  <c r="AM3" i="47"/>
  <c r="K3" i="47"/>
  <c r="S3" i="47"/>
  <c r="AA3" i="47"/>
  <c r="AI3" i="47"/>
  <c r="AQ3" i="47"/>
  <c r="AW3" i="47"/>
  <c r="L3" i="47"/>
  <c r="T3" i="47"/>
  <c r="AB3" i="47"/>
  <c r="AJ3" i="47"/>
  <c r="AR3" i="47"/>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4" i="45"/>
  <c r="E5" i="45" s="1"/>
  <c r="E6" i="45" s="1"/>
  <c r="E7" i="45" s="1"/>
  <c r="E8" i="45" s="1"/>
  <c r="E9" i="45" s="1"/>
  <c r="E10" i="45" s="1"/>
  <c r="E11" i="45" s="1"/>
  <c r="E12" i="45" s="1"/>
  <c r="E13" i="45" s="1"/>
  <c r="E14" i="45" s="1"/>
  <c r="E15" i="45" s="1"/>
  <c r="E16" i="45" s="1"/>
  <c r="E17" i="45" s="1"/>
  <c r="E18" i="45" s="1"/>
  <c r="E19" i="45" s="1"/>
  <c r="E20" i="45" s="1"/>
  <c r="E21" i="45" s="1"/>
  <c r="E22" i="45" s="1"/>
  <c r="E23" i="45" s="1"/>
  <c r="E24" i="45" s="1"/>
  <c r="E25" i="45" s="1"/>
  <c r="E26" i="45" s="1"/>
  <c r="E27" i="45" s="1"/>
  <c r="E28" i="45" s="1"/>
  <c r="E29" i="45" s="1"/>
  <c r="E30" i="45" s="1"/>
  <c r="E31" i="45" s="1"/>
  <c r="E32" i="45" s="1"/>
  <c r="E33" i="45" s="1"/>
  <c r="E34" i="45" s="1"/>
  <c r="E35" i="45" s="1"/>
  <c r="E36" i="45" s="1"/>
  <c r="E37" i="45" s="1"/>
  <c r="E38" i="45" s="1"/>
  <c r="E39" i="45" s="1"/>
  <c r="E40" i="45" s="1"/>
  <c r="E41" i="45" s="1"/>
  <c r="E42" i="45" s="1"/>
  <c r="E43" i="45" s="1"/>
  <c r="E44" i="45" s="1"/>
  <c r="E45" i="45" s="1"/>
  <c r="E46" i="45" s="1"/>
  <c r="E47" i="45" s="1"/>
  <c r="E48" i="45" s="1"/>
  <c r="E49" i="45" s="1"/>
  <c r="E50" i="45" s="1"/>
  <c r="E51" i="45" s="1"/>
  <c r="E52" i="45" s="1"/>
  <c r="E53" i="45" s="1"/>
  <c r="D4" i="45"/>
  <c r="D5" i="45" s="1"/>
  <c r="D6" i="45" s="1"/>
  <c r="D7" i="45" s="1"/>
  <c r="D8" i="45" s="1"/>
  <c r="D9" i="45" s="1"/>
  <c r="D10" i="45" s="1"/>
  <c r="D11" i="45" s="1"/>
  <c r="D12" i="45" s="1"/>
  <c r="D13" i="45" s="1"/>
  <c r="D14" i="45" s="1"/>
  <c r="D15" i="45" s="1"/>
  <c r="D16" i="45" s="1"/>
  <c r="D17" i="45" s="1"/>
  <c r="D18" i="45" s="1"/>
  <c r="D19" i="45" s="1"/>
  <c r="D20" i="45" s="1"/>
  <c r="D21" i="45" s="1"/>
  <c r="D22" i="45" s="1"/>
  <c r="D23" i="45" s="1"/>
  <c r="D24" i="45" s="1"/>
  <c r="D25" i="45" s="1"/>
  <c r="D26" i="45" s="1"/>
  <c r="D27" i="45" s="1"/>
  <c r="D28" i="45" s="1"/>
  <c r="D29" i="45" s="1"/>
  <c r="D30" i="45" s="1"/>
  <c r="D31" i="45" s="1"/>
  <c r="D32" i="45" s="1"/>
  <c r="D33" i="45" s="1"/>
  <c r="D34" i="45" s="1"/>
  <c r="D35" i="45" s="1"/>
  <c r="D36" i="45" s="1"/>
  <c r="D37" i="45" s="1"/>
  <c r="D38" i="45" s="1"/>
  <c r="D39" i="45" s="1"/>
  <c r="D40" i="45" s="1"/>
  <c r="D41" i="45" s="1"/>
  <c r="D42" i="45" s="1"/>
  <c r="D43" i="45" s="1"/>
  <c r="D44" i="45" s="1"/>
  <c r="D45" i="45" s="1"/>
  <c r="D46" i="45" s="1"/>
  <c r="D47" i="45" s="1"/>
  <c r="D48" i="45" s="1"/>
  <c r="D49" i="45" s="1"/>
  <c r="D50" i="45" s="1"/>
  <c r="D51" i="45" s="1"/>
  <c r="D52" i="45" s="1"/>
  <c r="D53" i="45" s="1"/>
  <c r="I26" i="48" l="1"/>
  <c r="I27" i="48" s="1"/>
  <c r="I29" i="48" s="1"/>
  <c r="I30" i="48" s="1"/>
  <c r="AF7" i="48"/>
  <c r="P9" i="48"/>
  <c r="W26" i="48"/>
  <c r="W27" i="48" s="1"/>
  <c r="W29" i="48" s="1"/>
  <c r="W30" i="48" s="1"/>
  <c r="Z26" i="48"/>
  <c r="Z27" i="48" s="1"/>
  <c r="Z29" i="48" s="1"/>
  <c r="Z30" i="48" s="1"/>
  <c r="J26" i="48"/>
  <c r="J27" i="48" s="1"/>
  <c r="J29" i="48" s="1"/>
  <c r="J30" i="48" s="1"/>
  <c r="P8" i="48"/>
  <c r="P10" i="48" s="1"/>
  <c r="P11" i="48" s="1"/>
  <c r="P13" i="48" s="1"/>
  <c r="P14" i="48" s="1"/>
  <c r="R8" i="48"/>
  <c r="R9" i="48"/>
  <c r="R7" i="48"/>
  <c r="V10" i="48"/>
  <c r="V11" i="48" s="1"/>
  <c r="V13" i="48" s="1"/>
  <c r="V14" i="48" s="1"/>
  <c r="J8" i="48"/>
  <c r="J9" i="48"/>
  <c r="J7" i="48"/>
  <c r="J10" i="48" s="1"/>
  <c r="J11" i="48" s="1"/>
  <c r="J13" i="48" s="1"/>
  <c r="J14" i="48" s="1"/>
  <c r="AB10" i="48"/>
  <c r="AB11" i="48" s="1"/>
  <c r="AB13" i="48" s="1"/>
  <c r="AB14" i="48" s="1"/>
  <c r="M9" i="48"/>
  <c r="M7" i="48"/>
  <c r="M8" i="48"/>
  <c r="T26" i="48"/>
  <c r="T27" i="48" s="1"/>
  <c r="T29" i="48" s="1"/>
  <c r="T30" i="48" s="1"/>
  <c r="H26" i="48"/>
  <c r="H27" i="48" s="1"/>
  <c r="H29" i="48" s="1"/>
  <c r="H30" i="48" s="1"/>
  <c r="E9" i="48"/>
  <c r="E8" i="48"/>
  <c r="E7" i="48"/>
  <c r="X10" i="48"/>
  <c r="X11" i="48" s="1"/>
  <c r="X13" i="48" s="1"/>
  <c r="X14" i="48" s="1"/>
  <c r="W10" i="48"/>
  <c r="W11" i="48" s="1"/>
  <c r="W13" i="48" s="1"/>
  <c r="W14" i="48" s="1"/>
  <c r="AC9" i="48"/>
  <c r="AC8" i="48"/>
  <c r="AC7" i="48"/>
  <c r="K9" i="48"/>
  <c r="K7" i="48"/>
  <c r="K8" i="48"/>
  <c r="Q8" i="48"/>
  <c r="Q9" i="48"/>
  <c r="Q7" i="48"/>
  <c r="I8" i="48"/>
  <c r="I9" i="48"/>
  <c r="I7" i="48"/>
  <c r="U9" i="48"/>
  <c r="U8" i="48"/>
  <c r="U7" i="48"/>
  <c r="U10" i="48" s="1"/>
  <c r="U11" i="48" s="1"/>
  <c r="U13" i="48" s="1"/>
  <c r="U14" i="48" s="1"/>
  <c r="AE10" i="48"/>
  <c r="AE11" i="48" s="1"/>
  <c r="AE13" i="48" s="1"/>
  <c r="AE14" i="48" s="1"/>
  <c r="AF10" i="48"/>
  <c r="AF11" i="48" s="1"/>
  <c r="AF13" i="48" s="1"/>
  <c r="AF14" i="48" s="1"/>
  <c r="N10" i="48"/>
  <c r="N11" i="48" s="1"/>
  <c r="N13" i="48" s="1"/>
  <c r="N14" i="48" s="1"/>
  <c r="F10" i="48"/>
  <c r="F11" i="48" s="1"/>
  <c r="F13" i="48" s="1"/>
  <c r="F14" i="48" s="1"/>
  <c r="Z8" i="48"/>
  <c r="Z7" i="48"/>
  <c r="Z9" i="48"/>
  <c r="AC26" i="48"/>
  <c r="AC27" i="48" s="1"/>
  <c r="AC29" i="48" s="1"/>
  <c r="AC30" i="48" s="1"/>
  <c r="AG8" i="48"/>
  <c r="AG9" i="48"/>
  <c r="AG7" i="48"/>
  <c r="AD10" i="48"/>
  <c r="AD11" i="48" s="1"/>
  <c r="AD13" i="48" s="1"/>
  <c r="AD14" i="48" s="1"/>
  <c r="L10" i="48"/>
  <c r="L11" i="48" s="1"/>
  <c r="L13" i="48" s="1"/>
  <c r="L14" i="48" s="1"/>
  <c r="S9" i="48"/>
  <c r="S8" i="48"/>
  <c r="S7" i="48"/>
  <c r="N26" i="48"/>
  <c r="N27" i="48" s="1"/>
  <c r="N29" i="48" s="1"/>
  <c r="N30" i="48" s="1"/>
  <c r="E26" i="48"/>
  <c r="E27" i="48" s="1"/>
  <c r="E29" i="48" s="1"/>
  <c r="E30" i="48" s="1"/>
  <c r="AB26" i="48"/>
  <c r="AB27" i="48" s="1"/>
  <c r="AB29" i="48" s="1"/>
  <c r="AB30" i="48" s="1"/>
  <c r="L26" i="48"/>
  <c r="L27" i="48" s="1"/>
  <c r="L29" i="48" s="1"/>
  <c r="L30" i="48" s="1"/>
  <c r="AA9" i="48"/>
  <c r="AA7" i="48"/>
  <c r="AA8" i="48"/>
  <c r="AH8" i="48"/>
  <c r="AH9" i="48"/>
  <c r="AH7" i="48"/>
  <c r="AH10" i="48" s="1"/>
  <c r="AH11" i="48" s="1"/>
  <c r="AH13" i="48" s="1"/>
  <c r="AH14" i="48" s="1"/>
  <c r="X26" i="48"/>
  <c r="X27" i="48" s="1"/>
  <c r="X29" i="48" s="1"/>
  <c r="X30" i="48" s="1"/>
  <c r="Y8" i="48"/>
  <c r="Y9" i="48"/>
  <c r="Y7" i="48"/>
  <c r="R26" i="48"/>
  <c r="R27" i="48" s="1"/>
  <c r="R29" i="48" s="1"/>
  <c r="R30" i="48" s="1"/>
  <c r="H10" i="48"/>
  <c r="H11" i="48" s="1"/>
  <c r="H13" i="48" s="1"/>
  <c r="H14" i="48" s="1"/>
  <c r="O10" i="48"/>
  <c r="O11" i="48" s="1"/>
  <c r="O13" i="48" s="1"/>
  <c r="O14" i="48" s="1"/>
  <c r="G10" i="48"/>
  <c r="G11" i="48" s="1"/>
  <c r="G13" i="48" s="1"/>
  <c r="G14" i="48" s="1"/>
  <c r="AC28" i="47"/>
  <c r="U28" i="47"/>
  <c r="M28" i="47"/>
  <c r="E28" i="47"/>
  <c r="AB28" i="47"/>
  <c r="T28" i="47"/>
  <c r="L28" i="47"/>
  <c r="AA28" i="47"/>
  <c r="S28" i="47"/>
  <c r="K28" i="47"/>
  <c r="Z28" i="47"/>
  <c r="R28" i="47"/>
  <c r="J28" i="47"/>
  <c r="F28" i="47"/>
  <c r="Y28" i="47"/>
  <c r="Q28" i="47"/>
  <c r="I28" i="47"/>
  <c r="X28" i="47"/>
  <c r="P28" i="47"/>
  <c r="H28" i="47"/>
  <c r="N28" i="47"/>
  <c r="W28" i="47"/>
  <c r="O28" i="47"/>
  <c r="G28" i="47"/>
  <c r="V28" i="47"/>
  <c r="B18" i="46"/>
  <c r="AN10" i="47"/>
  <c r="AN11" i="47" s="1"/>
  <c r="AN13" i="47" s="1"/>
  <c r="AN14" i="47" s="1"/>
  <c r="X10" i="47"/>
  <c r="X11" i="47" s="1"/>
  <c r="X13" i="47" s="1"/>
  <c r="X14" i="47" s="1"/>
  <c r="AT10" i="47"/>
  <c r="AT11" i="47" s="1"/>
  <c r="AT13" i="47" s="1"/>
  <c r="AT14" i="47" s="1"/>
  <c r="AH10" i="47"/>
  <c r="AH11" i="47" s="1"/>
  <c r="AH13" i="47" s="1"/>
  <c r="AH14" i="47" s="1"/>
  <c r="R10" i="47"/>
  <c r="R11" i="47" s="1"/>
  <c r="R13" i="47" s="1"/>
  <c r="R14" i="47" s="1"/>
  <c r="Q10" i="47"/>
  <c r="Q11" i="47" s="1"/>
  <c r="Q13" i="47" s="1"/>
  <c r="Q14" i="47" s="1"/>
  <c r="S10" i="47"/>
  <c r="S11" i="47" s="1"/>
  <c r="S13" i="47" s="1"/>
  <c r="S14" i="47" s="1"/>
  <c r="I10" i="47"/>
  <c r="I11" i="47" s="1"/>
  <c r="I13" i="47" s="1"/>
  <c r="I14" i="47" s="1"/>
  <c r="L10" i="47"/>
  <c r="L11" i="47" s="1"/>
  <c r="L13" i="47" s="1"/>
  <c r="L14" i="47" s="1"/>
  <c r="AQ10" i="47"/>
  <c r="AQ11" i="47" s="1"/>
  <c r="AQ13" i="47" s="1"/>
  <c r="AQ14" i="47" s="1"/>
  <c r="AA10" i="47"/>
  <c r="AA11" i="47" s="1"/>
  <c r="AA13" i="47" s="1"/>
  <c r="AA14" i="47" s="1"/>
  <c r="AL10" i="47"/>
  <c r="AL11" i="47" s="1"/>
  <c r="AL13" i="47" s="1"/>
  <c r="AL14" i="47" s="1"/>
  <c r="AU10" i="47"/>
  <c r="AU11" i="47" s="1"/>
  <c r="AU13" i="47" s="1"/>
  <c r="AU14" i="47" s="1"/>
  <c r="AI10" i="47"/>
  <c r="AI11" i="47" s="1"/>
  <c r="AI13" i="47" s="1"/>
  <c r="AI14" i="47" s="1"/>
  <c r="V10" i="47"/>
  <c r="V11" i="47" s="1"/>
  <c r="V13" i="47" s="1"/>
  <c r="V14" i="47" s="1"/>
  <c r="AJ10" i="47"/>
  <c r="AJ11" i="47" s="1"/>
  <c r="AJ13" i="47" s="1"/>
  <c r="AJ14" i="47" s="1"/>
  <c r="AW10" i="47"/>
  <c r="AW11" i="47" s="1"/>
  <c r="AW13" i="47" s="1"/>
  <c r="AW14" i="47" s="1"/>
  <c r="AE10" i="47"/>
  <c r="AE11" i="47" s="1"/>
  <c r="AE13" i="47" s="1"/>
  <c r="AE14" i="47" s="1"/>
  <c r="N10" i="47"/>
  <c r="N11" i="47" s="1"/>
  <c r="N13" i="47" s="1"/>
  <c r="N14" i="47" s="1"/>
  <c r="AP10" i="47"/>
  <c r="AP11" i="47" s="1"/>
  <c r="AP13" i="47" s="1"/>
  <c r="AP14" i="47" s="1"/>
  <c r="Z10" i="47"/>
  <c r="Z11" i="47" s="1"/>
  <c r="Z13" i="47" s="1"/>
  <c r="Z14" i="47" s="1"/>
  <c r="J10" i="47"/>
  <c r="J11" i="47" s="1"/>
  <c r="J13" i="47" s="1"/>
  <c r="J14" i="47" s="1"/>
  <c r="AO10" i="47"/>
  <c r="AO11" i="47" s="1"/>
  <c r="AO13" i="47" s="1"/>
  <c r="AO14" i="47" s="1"/>
  <c r="K10" i="47"/>
  <c r="K11" i="47" s="1"/>
  <c r="K13" i="47" s="1"/>
  <c r="K14" i="47" s="1"/>
  <c r="T10" i="47"/>
  <c r="T11" i="47" s="1"/>
  <c r="T13" i="47" s="1"/>
  <c r="T14" i="47" s="1"/>
  <c r="Y10" i="47"/>
  <c r="Y11" i="47" s="1"/>
  <c r="Y13" i="47" s="1"/>
  <c r="Y14" i="47"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F7" i="43"/>
  <c r="E7" i="43"/>
  <c r="C9" i="43"/>
  <c r="C8" i="43"/>
  <c r="C7" i="43"/>
  <c r="C6" i="43"/>
  <c r="C5" i="43"/>
  <c r="C4" i="43"/>
  <c r="B4" i="43"/>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6" i="23"/>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C2" i="23"/>
  <c r="D2" i="23" s="1"/>
  <c r="E2" i="23" s="1"/>
  <c r="F2" i="23" s="1"/>
  <c r="G2" i="23" s="1"/>
  <c r="H2" i="23" s="1"/>
  <c r="I2" i="23" s="1"/>
  <c r="J2" i="23" s="1"/>
  <c r="K2" i="23" s="1"/>
  <c r="C3" i="23"/>
  <c r="D3" i="23" s="1"/>
  <c r="E3" i="23" s="1"/>
  <c r="F3" i="23" s="1"/>
  <c r="G3" i="23" s="1"/>
  <c r="H3" i="23" s="1"/>
  <c r="I3" i="23" s="1"/>
  <c r="J3" i="23" s="1"/>
  <c r="K3" i="23" s="1"/>
  <c r="C4" i="23"/>
  <c r="D4" i="23" s="1"/>
  <c r="E4" i="23" s="1"/>
  <c r="F4" i="23" s="1"/>
  <c r="G4" i="23" s="1"/>
  <c r="H4" i="23" s="1"/>
  <c r="I4" i="23" s="1"/>
  <c r="J4" i="23" s="1"/>
  <c r="K4" i="23" s="1"/>
  <c r="C5" i="23"/>
  <c r="D5" i="23" s="1"/>
  <c r="E5" i="23" s="1"/>
  <c r="F5" i="23" s="1"/>
  <c r="G5" i="23" s="1"/>
  <c r="H5" i="23" s="1"/>
  <c r="I5" i="23" s="1"/>
  <c r="J5" i="23" s="1"/>
  <c r="K5" i="23" s="1"/>
  <c r="C6" i="23"/>
  <c r="D6" i="23" s="1"/>
  <c r="E6" i="23" s="1"/>
  <c r="F6" i="23" s="1"/>
  <c r="G6" i="23" s="1"/>
  <c r="H6" i="23" s="1"/>
  <c r="I6" i="23" s="1"/>
  <c r="J6" i="23" s="1"/>
  <c r="K6" i="23" s="1"/>
  <c r="C7" i="23"/>
  <c r="D7" i="23" s="1"/>
  <c r="E7" i="23" s="1"/>
  <c r="F7" i="23" s="1"/>
  <c r="G7" i="23" s="1"/>
  <c r="H7" i="23" s="1"/>
  <c r="I7" i="23" s="1"/>
  <c r="J7" i="23" s="1"/>
  <c r="K7" i="23" s="1"/>
  <c r="A2" i="25" a="1"/>
  <c r="A2" i="25" s="1"/>
  <c r="L3" i="39"/>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M2" i="39"/>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L2" i="39"/>
  <c r="B2" i="39"/>
  <c r="B3" i="39"/>
  <c r="C2" i="39"/>
  <c r="D2" i="39" s="1"/>
  <c r="E2" i="39" s="1"/>
  <c r="F2" i="39" s="1"/>
  <c r="G2" i="39" s="1"/>
  <c r="H2" i="39" s="1"/>
  <c r="I2" i="39" s="1"/>
  <c r="J2" i="39" s="1"/>
  <c r="K2" i="39" s="1"/>
  <c r="C3" i="39"/>
  <c r="D3" i="39" s="1"/>
  <c r="E3" i="39" s="1"/>
  <c r="F3" i="39" s="1"/>
  <c r="G3" i="39" s="1"/>
  <c r="H3" i="39" s="1"/>
  <c r="I3" i="39" s="1"/>
  <c r="J3" i="39" s="1"/>
  <c r="K3" i="39" s="1"/>
  <c r="B7" i="38"/>
  <c r="B6" i="38"/>
  <c r="B5" i="38"/>
  <c r="B4" i="38"/>
  <c r="B3" i="38"/>
  <c r="B2" i="38"/>
  <c r="E3" i="2"/>
  <c r="B2" i="33" s="1"/>
  <c r="F3" i="2"/>
  <c r="B3" i="33"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AC31" i="48" l="1"/>
  <c r="U31" i="48"/>
  <c r="M31" i="48"/>
  <c r="E31" i="48"/>
  <c r="F31" i="48"/>
  <c r="AB31" i="48"/>
  <c r="T31" i="48"/>
  <c r="L31" i="48"/>
  <c r="AA31" i="48"/>
  <c r="S31" i="48"/>
  <c r="K31" i="48"/>
  <c r="P31" i="48"/>
  <c r="W31" i="48"/>
  <c r="N31" i="48"/>
  <c r="Z31" i="48"/>
  <c r="R31" i="48"/>
  <c r="J31" i="48"/>
  <c r="X31" i="48"/>
  <c r="O31" i="48"/>
  <c r="V31" i="48"/>
  <c r="Y31" i="48"/>
  <c r="Q31" i="48"/>
  <c r="I31" i="48"/>
  <c r="H31" i="48"/>
  <c r="G31" i="48"/>
  <c r="Q10" i="48"/>
  <c r="Q11" i="48" s="1"/>
  <c r="Q13" i="48" s="1"/>
  <c r="Q14" i="48" s="1"/>
  <c r="R10" i="48"/>
  <c r="R11" i="48" s="1"/>
  <c r="R13" i="48" s="1"/>
  <c r="R14" i="48" s="1"/>
  <c r="Y10" i="48"/>
  <c r="Y11" i="48" s="1"/>
  <c r="Y13" i="48" s="1"/>
  <c r="Y14" i="48" s="1"/>
  <c r="Z10" i="48"/>
  <c r="Z11" i="48" s="1"/>
  <c r="Z13" i="48" s="1"/>
  <c r="Z14" i="48" s="1"/>
  <c r="K10" i="48"/>
  <c r="K11" i="48" s="1"/>
  <c r="K13" i="48" s="1"/>
  <c r="K14" i="48" s="1"/>
  <c r="AG10" i="48"/>
  <c r="AG11" i="48" s="1"/>
  <c r="AG13" i="48" s="1"/>
  <c r="AG14" i="48" s="1"/>
  <c r="M10" i="48"/>
  <c r="M11" i="48" s="1"/>
  <c r="M13" i="48" s="1"/>
  <c r="M14" i="48" s="1"/>
  <c r="AA10" i="48"/>
  <c r="AA11" i="48" s="1"/>
  <c r="AA13" i="48" s="1"/>
  <c r="AA14" i="48" s="1"/>
  <c r="S10" i="48"/>
  <c r="S11" i="48" s="1"/>
  <c r="S13" i="48" s="1"/>
  <c r="S14" i="48" s="1"/>
  <c r="I10" i="48"/>
  <c r="I11" i="48" s="1"/>
  <c r="I13" i="48" s="1"/>
  <c r="I14" i="48" s="1"/>
  <c r="AC10" i="48"/>
  <c r="AC11" i="48" s="1"/>
  <c r="AC13" i="48" s="1"/>
  <c r="AC14" i="48" s="1"/>
  <c r="E10" i="48"/>
  <c r="E11" i="48" s="1"/>
  <c r="E13" i="48" s="1"/>
  <c r="E14" i="48" s="1"/>
  <c r="N4" i="2"/>
  <c r="N5" i="2" s="1"/>
  <c r="N6" i="2" s="1"/>
  <c r="N7" i="2" s="1"/>
  <c r="N8" i="2" s="1"/>
  <c r="N9" i="2" s="1"/>
  <c r="N10" i="2" s="1"/>
  <c r="N11" i="2" s="1"/>
  <c r="N12" i="2" s="1"/>
  <c r="N13" i="2" s="1"/>
  <c r="N14" i="2" s="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O4" i="2"/>
  <c r="O5" i="2" s="1"/>
  <c r="O6" i="2" s="1"/>
  <c r="O7" i="2" s="1"/>
  <c r="O8" i="2" s="1"/>
  <c r="O9" i="2" s="1"/>
  <c r="O10" i="2" s="1"/>
  <c r="O11" i="2" s="1"/>
  <c r="O12" i="2" s="1"/>
  <c r="O13" i="2" s="1"/>
  <c r="O14" i="2" s="1"/>
  <c r="O15" i="2" s="1"/>
  <c r="O16" i="2" s="1"/>
  <c r="O17" i="2" s="1"/>
  <c r="O18" i="2" s="1"/>
  <c r="O19" i="2" s="1"/>
  <c r="O20" i="2" s="1"/>
  <c r="O21" i="2" s="1"/>
  <c r="O22" i="2" s="1"/>
  <c r="O23" i="2" s="1"/>
  <c r="O24" i="2" s="1"/>
  <c r="O25" i="2" s="1"/>
  <c r="O26" i="2" s="1"/>
  <c r="O27" i="2" s="1"/>
  <c r="O28" i="2" s="1"/>
  <c r="O29" i="2" s="1"/>
  <c r="O30" i="2" s="1"/>
  <c r="O31" i="2" s="1"/>
  <c r="O32" i="2" s="1"/>
  <c r="O96" i="8"/>
  <c r="P60" i="8"/>
  <c r="P100" i="8"/>
  <c r="O85" i="8"/>
  <c r="P101" i="8"/>
  <c r="P18" i="8"/>
  <c r="P84" i="8"/>
  <c r="O19" i="8"/>
  <c r="O37" i="8"/>
  <c r="O55" i="8"/>
  <c r="O73" i="8"/>
  <c r="O91" i="8"/>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F40" i="2"/>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F48" i="2"/>
  <c r="F41" i="2"/>
  <c r="F37" i="2"/>
  <c r="F45" i="2"/>
  <c r="F38" i="2"/>
  <c r="F46" i="2"/>
  <c r="F39" i="2"/>
  <c r="F47" i="2"/>
  <c r="F33" i="2"/>
  <c r="F34" i="2"/>
  <c r="F42" i="2"/>
  <c r="F35" i="2"/>
  <c r="F43" i="2"/>
  <c r="F36" i="2"/>
  <c r="F44" i="2"/>
  <c r="Q73" i="8"/>
  <c r="Q81" i="8"/>
  <c r="Q75" i="8"/>
  <c r="Q7" i="8"/>
  <c r="Q15" i="8"/>
  <c r="Q27" i="8"/>
  <c r="Q31" i="8"/>
  <c r="Q8" i="8"/>
  <c r="Q60" i="8"/>
  <c r="Q80" i="8"/>
  <c r="Q88" i="8"/>
  <c r="Q37" i="8"/>
  <c r="Q45" i="8"/>
  <c r="Q18" i="8"/>
  <c r="Q26" i="8"/>
  <c r="Q50" i="8"/>
  <c r="X32" i="48" l="1"/>
  <c r="X33" i="48" s="1"/>
  <c r="P32" i="48"/>
  <c r="P33" i="48" s="1"/>
  <c r="H32" i="48"/>
  <c r="H33" i="48" s="1"/>
  <c r="W32" i="48"/>
  <c r="W33" i="48" s="1"/>
  <c r="O32" i="48"/>
  <c r="O33" i="48" s="1"/>
  <c r="G32" i="48"/>
  <c r="G33" i="48" s="1"/>
  <c r="V32" i="48"/>
  <c r="V33" i="48" s="1"/>
  <c r="N32" i="48"/>
  <c r="N33" i="48" s="1"/>
  <c r="F32" i="48"/>
  <c r="F33" i="48" s="1"/>
  <c r="AC32" i="48"/>
  <c r="AC33" i="48" s="1"/>
  <c r="U32" i="48"/>
  <c r="U33" i="48" s="1"/>
  <c r="M32" i="48"/>
  <c r="M33" i="48" s="1"/>
  <c r="E32" i="48"/>
  <c r="E33" i="48" s="1"/>
  <c r="AB32" i="48"/>
  <c r="AB33" i="48" s="1"/>
  <c r="T32" i="48"/>
  <c r="T33" i="48" s="1"/>
  <c r="L32" i="48"/>
  <c r="L33" i="48" s="1"/>
  <c r="AA32" i="48"/>
  <c r="AA33" i="48" s="1"/>
  <c r="S32" i="48"/>
  <c r="S33" i="48" s="1"/>
  <c r="K32" i="48"/>
  <c r="K33" i="48" s="1"/>
  <c r="J32" i="48"/>
  <c r="J33" i="48" s="1"/>
  <c r="I32" i="48"/>
  <c r="I33" i="48" s="1"/>
  <c r="Q32" i="48"/>
  <c r="Q33" i="48" s="1"/>
  <c r="Z32" i="48"/>
  <c r="Z33" i="48" s="1"/>
  <c r="Y32" i="48"/>
  <c r="Y33" i="48" s="1"/>
  <c r="R32" i="48"/>
  <c r="R33" i="48" s="1"/>
  <c r="AT2" i="48" a="1"/>
  <c r="AT2" i="48" s="1"/>
  <c r="T25" i="47"/>
  <c r="T24" i="47"/>
  <c r="T23" i="47"/>
  <c r="T26" i="47" s="1"/>
  <c r="T27" i="47" s="1"/>
  <c r="T29" i="47" s="1"/>
  <c r="T30" i="47" s="1"/>
  <c r="T32" i="47" s="1"/>
  <c r="V25" i="47"/>
  <c r="V24" i="47"/>
  <c r="V23" i="47"/>
  <c r="H25" i="47"/>
  <c r="H24" i="47"/>
  <c r="H23" i="47"/>
  <c r="J23" i="47"/>
  <c r="J24" i="47"/>
  <c r="J25" i="47"/>
  <c r="AB23" i="47"/>
  <c r="AB24" i="47"/>
  <c r="AB25" i="47"/>
  <c r="P25" i="47"/>
  <c r="P23" i="47"/>
  <c r="P24" i="47"/>
  <c r="R25" i="47"/>
  <c r="R23" i="47"/>
  <c r="R24" i="47"/>
  <c r="X25" i="47"/>
  <c r="X23" i="47"/>
  <c r="X24" i="47"/>
  <c r="Z25" i="47"/>
  <c r="Z23" i="47"/>
  <c r="Z24" i="47"/>
  <c r="M23" i="47"/>
  <c r="M25" i="47"/>
  <c r="M24" i="47"/>
  <c r="G24" i="47"/>
  <c r="G25" i="47"/>
  <c r="G23" i="47"/>
  <c r="L23" i="47"/>
  <c r="L24" i="47"/>
  <c r="L25" i="47"/>
  <c r="U23" i="47"/>
  <c r="U25" i="47"/>
  <c r="U24" i="47"/>
  <c r="Y23" i="47"/>
  <c r="Y25" i="47"/>
  <c r="Y24" i="47"/>
  <c r="AA23" i="47"/>
  <c r="AA24" i="47"/>
  <c r="AA25" i="47"/>
  <c r="W24" i="47"/>
  <c r="W25" i="47"/>
  <c r="W23" i="47"/>
  <c r="O25" i="47"/>
  <c r="O23" i="47"/>
  <c r="O24" i="47"/>
  <c r="AC25" i="47"/>
  <c r="AC24" i="47"/>
  <c r="AC23" i="47"/>
  <c r="AC26" i="47" s="1"/>
  <c r="AC27" i="47" s="1"/>
  <c r="AC29" i="47" s="1"/>
  <c r="AC30" i="47" s="1"/>
  <c r="AC32" i="47" s="1"/>
  <c r="I24" i="47"/>
  <c r="I25" i="47"/>
  <c r="I23" i="47"/>
  <c r="K23" i="47"/>
  <c r="K24" i="47"/>
  <c r="K25" i="47"/>
  <c r="F24" i="47"/>
  <c r="F25" i="47"/>
  <c r="F23" i="47"/>
  <c r="Q24" i="47"/>
  <c r="Q25" i="47"/>
  <c r="Q23" i="47"/>
  <c r="S23" i="47"/>
  <c r="S24" i="47"/>
  <c r="S25" i="47"/>
  <c r="N23" i="47"/>
  <c r="N24" i="47"/>
  <c r="N25" i="47"/>
  <c r="E14" i="47"/>
  <c r="F4" i="2"/>
  <c r="E4" i="2"/>
  <c r="C3" i="33"/>
  <c r="C2" i="33"/>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T9" i="8"/>
  <c r="D37" i="8" s="1"/>
  <c r="T10" i="8"/>
  <c r="T5" i="8"/>
  <c r="T4" i="8"/>
  <c r="T11" i="8"/>
  <c r="T7" i="8"/>
  <c r="T6" i="8"/>
  <c r="T8" i="8"/>
  <c r="E36" i="48" l="1"/>
  <c r="S26" i="47"/>
  <c r="S27" i="47" s="1"/>
  <c r="S29" i="47" s="1"/>
  <c r="S30" i="47" s="1"/>
  <c r="S32" i="47" s="1"/>
  <c r="AA26" i="47"/>
  <c r="AA27" i="47" s="1"/>
  <c r="AA29" i="47" s="1"/>
  <c r="AA30" i="47" s="1"/>
  <c r="AA32" i="47" s="1"/>
  <c r="W26" i="47"/>
  <c r="W27" i="47" s="1"/>
  <c r="W29" i="47" s="1"/>
  <c r="W30" i="47" s="1"/>
  <c r="W32" i="47" s="1"/>
  <c r="F26" i="47"/>
  <c r="F27" i="47" s="1"/>
  <c r="F29" i="47" s="1"/>
  <c r="F30" i="47" s="1"/>
  <c r="F32" i="47" s="1"/>
  <c r="V26" i="47"/>
  <c r="V27" i="47" s="1"/>
  <c r="V29" i="47" s="1"/>
  <c r="V30" i="47" s="1"/>
  <c r="V32" i="47" s="1"/>
  <c r="M26" i="47"/>
  <c r="M27" i="47" s="1"/>
  <c r="M29" i="47" s="1"/>
  <c r="M30" i="47" s="1"/>
  <c r="M32" i="47" s="1"/>
  <c r="K26" i="47"/>
  <c r="K27" i="47" s="1"/>
  <c r="K29" i="47" s="1"/>
  <c r="K30" i="47" s="1"/>
  <c r="K32" i="47" s="1"/>
  <c r="Q26" i="47"/>
  <c r="Q27" i="47" s="1"/>
  <c r="Q29" i="47" s="1"/>
  <c r="Q30" i="47" s="1"/>
  <c r="Q32" i="47" s="1"/>
  <c r="I26" i="47"/>
  <c r="I27" i="47" s="1"/>
  <c r="I29" i="47" s="1"/>
  <c r="I30" i="47" s="1"/>
  <c r="I32" i="47" s="1"/>
  <c r="G26" i="47"/>
  <c r="G27" i="47" s="1"/>
  <c r="G29" i="47" s="1"/>
  <c r="G30" i="47" s="1"/>
  <c r="G32" i="47" s="1"/>
  <c r="R26" i="47"/>
  <c r="R27" i="47" s="1"/>
  <c r="R29" i="47" s="1"/>
  <c r="R30" i="47" s="1"/>
  <c r="R32" i="47" s="1"/>
  <c r="L26" i="47"/>
  <c r="L27" i="47" s="1"/>
  <c r="L29" i="47" s="1"/>
  <c r="L30" i="47" s="1"/>
  <c r="L32" i="47" s="1"/>
  <c r="Z26" i="47"/>
  <c r="Z27" i="47" s="1"/>
  <c r="Z29" i="47" s="1"/>
  <c r="Z30" i="47" s="1"/>
  <c r="Z32" i="47" s="1"/>
  <c r="Y26" i="47"/>
  <c r="Y27" i="47" s="1"/>
  <c r="Y29" i="47" s="1"/>
  <c r="Y30" i="47" s="1"/>
  <c r="Y32" i="47" s="1"/>
  <c r="AB26" i="47"/>
  <c r="AB27" i="47" s="1"/>
  <c r="AB29" i="47" s="1"/>
  <c r="AB30" i="47" s="1"/>
  <c r="AB32" i="47" s="1"/>
  <c r="N26" i="47"/>
  <c r="N27" i="47" s="1"/>
  <c r="N29" i="47" s="1"/>
  <c r="N30" i="47" s="1"/>
  <c r="N32" i="47" s="1"/>
  <c r="X26" i="47"/>
  <c r="X27" i="47" s="1"/>
  <c r="X29" i="47" s="1"/>
  <c r="X30" i="47" s="1"/>
  <c r="X32" i="47" s="1"/>
  <c r="U26" i="47"/>
  <c r="U27" i="47" s="1"/>
  <c r="U29" i="47" s="1"/>
  <c r="U30" i="47" s="1"/>
  <c r="U32" i="47" s="1"/>
  <c r="J26" i="47"/>
  <c r="J27" i="47" s="1"/>
  <c r="J29" i="47" s="1"/>
  <c r="J30" i="47" s="1"/>
  <c r="J32" i="47" s="1"/>
  <c r="O26" i="47"/>
  <c r="O27" i="47" s="1"/>
  <c r="O29" i="47" s="1"/>
  <c r="O30" i="47" s="1"/>
  <c r="O32" i="47" s="1"/>
  <c r="E29" i="47"/>
  <c r="E30" i="47" s="1"/>
  <c r="P26" i="47"/>
  <c r="P27" i="47" s="1"/>
  <c r="P29" i="47" s="1"/>
  <c r="P30" i="47" s="1"/>
  <c r="P32" i="47" s="1"/>
  <c r="H26" i="47"/>
  <c r="H27" i="47" s="1"/>
  <c r="H29" i="47" s="1"/>
  <c r="H30" i="47" s="1"/>
  <c r="H32" i="47" s="1"/>
  <c r="E6" i="2"/>
  <c r="E5" i="2"/>
  <c r="F5" i="2"/>
  <c r="E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C4" i="10" l="1"/>
  <c r="D3" i="33"/>
  <c r="D2" i="33"/>
  <c r="F2" i="33"/>
  <c r="E2" i="33"/>
  <c r="F6" i="2"/>
  <c r="E8" i="2"/>
  <c r="E5" i="8"/>
  <c r="E3" i="33" l="1"/>
  <c r="G2" i="33"/>
  <c r="F7" i="2"/>
  <c r="E9" i="2"/>
  <c r="E6" i="8"/>
  <c r="E7" i="8" s="1"/>
  <c r="H2" i="33" l="1"/>
  <c r="F3" i="33"/>
  <c r="F8" i="2"/>
  <c r="E10" i="2"/>
  <c r="E8" i="8"/>
  <c r="E9" i="8" s="1"/>
  <c r="I2" i="33" l="1"/>
  <c r="G3" i="33"/>
  <c r="F9" i="2"/>
  <c r="E11" i="2"/>
  <c r="E10" i="8"/>
  <c r="E11" i="8" s="1"/>
  <c r="J2" i="33" l="1"/>
  <c r="H3" i="33"/>
  <c r="F10" i="2"/>
  <c r="I3" i="33" s="1"/>
  <c r="E12" i="2"/>
  <c r="E12" i="8"/>
  <c r="F11" i="2" l="1"/>
  <c r="E13" i="2"/>
  <c r="E13" i="8"/>
  <c r="F12" i="2" l="1"/>
  <c r="E14" i="2"/>
  <c r="E14" i="8"/>
  <c r="F13" i="2" l="1"/>
  <c r="E15" i="2"/>
  <c r="E15" i="8"/>
  <c r="E16" i="8" s="1"/>
  <c r="F14" i="2" l="1"/>
  <c r="E16" i="2"/>
  <c r="E17" i="8"/>
  <c r="E18" i="8" s="1"/>
  <c r="F15" i="2" l="1"/>
  <c r="E17" i="2"/>
  <c r="E19" i="8"/>
  <c r="F16" i="2" l="1"/>
  <c r="E18" i="2"/>
  <c r="E20" i="8"/>
  <c r="F17" i="2" l="1"/>
  <c r="E19" i="2"/>
  <c r="E21" i="8"/>
  <c r="F18" i="2" l="1"/>
  <c r="E20" i="2"/>
  <c r="E22" i="8"/>
  <c r="E23" i="8" s="1"/>
  <c r="F19" i="2" l="1"/>
  <c r="E21" i="2"/>
  <c r="E24" i="8"/>
  <c r="E25" i="8" s="1"/>
  <c r="F20" i="2" l="1"/>
  <c r="E22" i="2"/>
  <c r="E26" i="8"/>
  <c r="F21" i="2" l="1"/>
  <c r="E23" i="2"/>
  <c r="E27" i="8"/>
  <c r="E28" i="8" s="1"/>
  <c r="F22" i="2" l="1"/>
  <c r="E24" i="2"/>
  <c r="E29" i="8"/>
  <c r="E30" i="8" s="1"/>
  <c r="F23" i="2" l="1"/>
  <c r="E25" i="2"/>
  <c r="E31" i="8"/>
  <c r="E32" i="8" s="1"/>
  <c r="E33" i="8" s="1"/>
  <c r="F24" i="2" l="1"/>
  <c r="E26" i="2"/>
  <c r="E34" i="8"/>
  <c r="E35" i="8" s="1"/>
  <c r="F25" i="2" l="1"/>
  <c r="E27" i="2"/>
  <c r="E36" i="8"/>
  <c r="F26" i="2" l="1"/>
  <c r="E28" i="2"/>
  <c r="E37" i="8"/>
  <c r="F27" i="2" l="1"/>
  <c r="E29" i="2"/>
  <c r="E38" i="8"/>
  <c r="F28" i="2" l="1"/>
  <c r="E30" i="2"/>
  <c r="E39" i="8"/>
  <c r="F29" i="2" l="1"/>
  <c r="E31" i="2"/>
  <c r="E40" i="8"/>
  <c r="F30" i="2" l="1"/>
  <c r="E32" i="2"/>
  <c r="E41" i="8"/>
  <c r="F32" i="2" l="1"/>
  <c r="F31" i="2"/>
  <c r="E33" i="2"/>
  <c r="E42" i="8"/>
  <c r="L3" i="33" l="1"/>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E34" i="2"/>
  <c r="E43" i="8"/>
  <c r="E35" i="2" l="1"/>
  <c r="E44" i="8"/>
  <c r="E36" i="2" l="1"/>
  <c r="E45" i="8"/>
  <c r="E37" i="2" l="1"/>
  <c r="E46" i="8"/>
  <c r="E47" i="8" s="1"/>
  <c r="E38" i="2" l="1"/>
  <c r="E39" i="2" l="1"/>
  <c r="E40" i="2" l="1"/>
  <c r="E41" i="2" l="1"/>
  <c r="E42" i="2" l="1"/>
  <c r="E43" i="2" l="1"/>
  <c r="E44" i="2" l="1"/>
  <c r="E45" i="2" l="1"/>
  <c r="E46" i="2" l="1"/>
  <c r="E47" i="2" l="1"/>
  <c r="E48" i="2" l="1"/>
  <c r="Y2" i="33" l="1"/>
  <c r="AI2" i="33"/>
  <c r="AC2" i="33"/>
  <c r="AF2" i="33"/>
  <c r="T2" i="33"/>
  <c r="AK2" i="33"/>
  <c r="L2" i="33"/>
  <c r="AD2" i="33"/>
  <c r="S2" i="33"/>
  <c r="O2" i="33"/>
  <c r="AV2" i="33"/>
  <c r="U2" i="33"/>
  <c r="X2" i="33"/>
  <c r="AS2" i="33"/>
  <c r="AU2" i="33"/>
  <c r="AR2" i="33"/>
  <c r="N2" i="33"/>
  <c r="K2" i="33"/>
  <c r="V2" i="33"/>
  <c r="R2" i="33"/>
  <c r="AB2" i="33"/>
  <c r="P2" i="33"/>
  <c r="AL2" i="33"/>
  <c r="Z2" i="33"/>
  <c r="AJ2" i="33"/>
  <c r="AW2" i="33"/>
  <c r="Q2" i="33"/>
  <c r="M2" i="33"/>
  <c r="AX2" i="33"/>
  <c r="AZ2" i="33"/>
  <c r="AG2" i="33"/>
  <c r="C2" i="30" a="1"/>
  <c r="C2" i="30" s="1"/>
  <c r="AO2" i="33"/>
  <c r="AN2" i="33"/>
  <c r="AM2" i="33"/>
  <c r="AQ2" i="33"/>
  <c r="AA2" i="33"/>
  <c r="W2" i="33"/>
  <c r="AH2" i="33"/>
  <c r="AP2" i="33"/>
  <c r="AE2" i="33"/>
  <c r="AT2" i="33"/>
  <c r="AY2" i="3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<sst xmlns="http://schemas.openxmlformats.org/spreadsheetml/2006/main" count="1315" uniqueCount="224">
  <si>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</si>
  <si>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</si>
  <si>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</si>
  <si>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</si>
  <si>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</si>
  <si>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</si>
  <si>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</si>
  <si>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</si>
  <si>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</si>
  <si>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</si>
  <si>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</si>
  <si>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</si>
  <si>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</si>
  <si>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</si>
  <si>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</si>
  <si>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</si>
  <si>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</si>
  <si>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</si>
  <si>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</si>
  <si>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</si>
  <si>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</si>
  <si>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</si>
  <si>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</si>
  <si>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</si>
  <si>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</si>
  <si>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</si>
  <si>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</si>
  <si>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</si>
  <si>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</si>
  <si>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</si>
  <si>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</si>
  <si>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</si>
  <si>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</si>
  <si>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</si>
  <si>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</si>
  <si>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</si>
  <si>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</si>
  <si>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</si>
  <si>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</si>
  <si>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</si>
  <si>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</si>
  <si>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</si>
  <si>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</si>
  <si>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</si>
  <si>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</si>
  <si>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</si>
  <si>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</si>
  <si>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</si>
  <si>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</si>
  <si>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</si>
  <si>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</si>
  <si>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</si>
  <si>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</si>
  <si>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</si>
  <si>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</si>
  <si>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</si>
  <si>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</si>
  <si>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</si>
  <si>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</si>
  <si>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</si>
  <si>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</si>
  <si>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</si>
  <si>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</si>
  <si>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</si>
  <si>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</si>
  <si>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</si>
  <si>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</si>
  <si>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</si>
  <si>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</si>
  <si>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</si>
  <si>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</si>
  <si>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</si>
  <si>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</si>
  <si>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</si>
  <si>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</si>
  <si>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</si>
  <si>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</si>
  <si>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</si>
  <si>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</si>
  <si>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</si>
  <si>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</si>
  <si>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</si>
  <si>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</si>
  <si>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</si>
  <si>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</si>
  <si>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</si>
  <si>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</si>
  <si>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</si>
  <si>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</si>
  <si>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</si>
  <si>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</si>
  <si>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</si>
  <si>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</si>
  <si>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</si>
  <si>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</si>
  <si>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</si>
  <si>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</si>
  <si>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</si>
  <si>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</si>
  <si>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</si>
  <si>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</si>
  <si>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</si>
  <si>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</si>
  <si>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</si>
  <si>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</si>
  <si>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</si>
  <si>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</si>
  <si>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</si>
  <si>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</si>
  <si>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</si>
  <si>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</si>
  <si>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</si>
  <si>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</si>
  <si>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</si>
  <si>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</si>
  <si>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</si>
  <si>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</si>
  <si>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</si>
  <si>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</si>
  <si>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</si>
  <si>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</si>
  <si>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</si>
  <si>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</si>
  <si>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</si>
  <si>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</si>
  <si>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</si>
  <si>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</si>
  <si>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</si>
  <si>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</si>
  <si>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</si>
  <si>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</si>
  <si>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</si>
  <si>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</si>
  <si>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</si>
  <si>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</si>
  <si>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</si>
  <si>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</si>
  <si>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</si>
  <si>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</si>
  <si>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</si>
  <si>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</si>
  <si>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</si>
  <si>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</si>
  <si>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</si>
  <si>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</si>
  <si>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</si>
  <si>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</si>
  <si>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</si>
  <si>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</si>
  <si>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</si>
  <si>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</si>
  <si>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</si>
  <si>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</si>
  <si>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</si>
  <si>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</si>
  <si>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</si>
  <si>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</si>
  <si>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</si>
  <si>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</si>
  <si>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</si>
  <si>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</si>
  <si>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</si>
  <si>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</si>
  <si>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</si>
  <si>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</si>
  <si>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</si>
  <si>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</si>
  <si>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</si>
  <si>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</si>
  <si>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</si>
  <si>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</si>
  <si>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</si>
  <si>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</si>
  <si>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</si>
  <si>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</si>
  <si>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</si>
  <si>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</si>
  <si>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</si>
  <si>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</si>
  <si>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</si>
  <si>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</si>
  <si>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</si>
  <si>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</si>
  <si>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</si>
  <si>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</si>
  <si>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</si>
  <si>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</si>
  <si>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</si>
  <si>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</si>
  <si>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</si>
  <si>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</si>
  <si>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</si>
  <si>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</si>
  <si>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</si>
  <si>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Post AM</t>
  </si>
  <si>
    <t>Municipal (%)</t>
  </si>
  <si>
    <t>Bottom State Tax rate (%)</t>
  </si>
  <si>
    <t>Top State Tax rate (%)</t>
  </si>
  <si>
    <t>Top Tax threshold</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</si>
  <si>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</si>
  <si>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</si>
  <si>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</si>
  <si>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</si>
  <si>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</si>
  <si>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</si>
  <si>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</si>
  <si>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</si>
  <si>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</si>
  <si>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</si>
  <si>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</si>
  <si>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</si>
  <si>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</si>
  <si>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</si>
  <si>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</si>
  <si>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</si>
  <si>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</si>
  <si>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</si>
  <si>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</si>
  <si>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</si>
  <si>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</si>
  <si>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</si>
  <si>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</si>
  <si>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MODIFY WITH PENSION2 STUFF</t>
  </si>
  <si>
    <t>taken from sum of Net Salary P1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</si>
</sst>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46">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0" borderId="0" xfId="0" applyNumberFormat="1"/>
    <xf numFmtId="43" fontId="0" fillId="2" borderId="0" xfId="1" applyFont="1" applyFill="1"/>
    <xf numFmtId="43" fontId="0" fillId="2" borderId="0" xfId="0" applyNumberFormat="1" applyFill="1"/>
    <xf numFmtId="43" fontId="7" fillId="2" borderId="0" xfId="0" applyNumberFormat="1" applyFon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43" fontId="0" fillId="2" borderId="0" xfId="0" applyNumberFormat="1" applyFont="1" applyFill="1"/>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fgColor indexed="64"/>
          <bgColor auto="1"/>
        </patternFill>
      </fill>
    </dxf>
    <dxf>
      <numFmt numFmtId="35" formatCode="_-* #,##0.00_-;\-* #,##0.00_-;_-* &quot;-&quot;??_-;_-@_-"/>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externalLink" Target="externalLinks/externalLink12.xml"/><Relationship Id="rId42" Type="http://schemas.openxmlformats.org/officeDocument/2006/relationships/externalLink" Target="externalLinks/externalLink20.xml"/><Relationship Id="rId47" Type="http://schemas.openxmlformats.org/officeDocument/2006/relationships/externalLink" Target="externalLinks/externalLink25.xml"/><Relationship Id="rId50" Type="http://schemas.openxmlformats.org/officeDocument/2006/relationships/externalLink" Target="externalLinks/externalLink28.xml"/><Relationship Id="rId55" Type="http://schemas.openxmlformats.org/officeDocument/2006/relationships/externalLink" Target="externalLinks/externalLink33.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7.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externalLink" Target="externalLinks/externalLink10.xml"/><Relationship Id="rId37" Type="http://schemas.openxmlformats.org/officeDocument/2006/relationships/externalLink" Target="externalLinks/externalLink15.xml"/><Relationship Id="rId40" Type="http://schemas.openxmlformats.org/officeDocument/2006/relationships/externalLink" Target="externalLinks/externalLink18.xml"/><Relationship Id="rId45" Type="http://schemas.openxmlformats.org/officeDocument/2006/relationships/externalLink" Target="externalLinks/externalLink23.xml"/><Relationship Id="rId53" Type="http://schemas.openxmlformats.org/officeDocument/2006/relationships/externalLink" Target="externalLinks/externalLink31.xml"/><Relationship Id="rId58" Type="http://schemas.openxmlformats.org/officeDocument/2006/relationships/externalLink" Target="externalLinks/externalLink36.xml"/><Relationship Id="rId66" Type="http://schemas.openxmlformats.org/officeDocument/2006/relationships/customXml" Target="../customXml/item3.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5.xml"/><Relationship Id="rId30" Type="http://schemas.openxmlformats.org/officeDocument/2006/relationships/externalLink" Target="externalLinks/externalLink8.xml"/><Relationship Id="rId35" Type="http://schemas.openxmlformats.org/officeDocument/2006/relationships/externalLink" Target="externalLinks/externalLink13.xml"/><Relationship Id="rId43" Type="http://schemas.openxmlformats.org/officeDocument/2006/relationships/externalLink" Target="externalLinks/externalLink21.xml"/><Relationship Id="rId48" Type="http://schemas.openxmlformats.org/officeDocument/2006/relationships/externalLink" Target="externalLinks/externalLink26.xml"/><Relationship Id="rId56" Type="http://schemas.openxmlformats.org/officeDocument/2006/relationships/externalLink" Target="externalLinks/externalLink34.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externalLink" Target="externalLinks/externalLink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33" Type="http://schemas.openxmlformats.org/officeDocument/2006/relationships/externalLink" Target="externalLinks/externalLink11.xml"/><Relationship Id="rId38" Type="http://schemas.openxmlformats.org/officeDocument/2006/relationships/externalLink" Target="externalLinks/externalLink16.xml"/><Relationship Id="rId46" Type="http://schemas.openxmlformats.org/officeDocument/2006/relationships/externalLink" Target="externalLinks/externalLink24.xml"/><Relationship Id="rId59" Type="http://schemas.openxmlformats.org/officeDocument/2006/relationships/theme" Target="theme/theme1.xml"/><Relationship Id="rId67"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19.xml"/><Relationship Id="rId54" Type="http://schemas.openxmlformats.org/officeDocument/2006/relationships/externalLink" Target="externalLinks/externalLink32.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externalLink" Target="externalLinks/externalLink6.xml"/><Relationship Id="rId36" Type="http://schemas.openxmlformats.org/officeDocument/2006/relationships/externalLink" Target="externalLinks/externalLink14.xml"/><Relationship Id="rId49" Type="http://schemas.openxmlformats.org/officeDocument/2006/relationships/externalLink" Target="externalLinks/externalLink27.xml"/><Relationship Id="rId57" Type="http://schemas.openxmlformats.org/officeDocument/2006/relationships/externalLink" Target="externalLinks/externalLink35.xml"/><Relationship Id="rId10" Type="http://schemas.openxmlformats.org/officeDocument/2006/relationships/worksheet" Target="worksheets/sheet10.xml"/><Relationship Id="rId31" Type="http://schemas.openxmlformats.org/officeDocument/2006/relationships/externalLink" Target="externalLinks/externalLink9.xml"/><Relationship Id="rId44" Type="http://schemas.openxmlformats.org/officeDocument/2006/relationships/externalLink" Target="externalLinks/externalLink22.xml"/><Relationship Id="rId52" Type="http://schemas.openxmlformats.org/officeDocument/2006/relationships/externalLink" Target="externalLinks/externalLink30.xml"/><Relationship Id="rId60" Type="http://schemas.openxmlformats.org/officeDocument/2006/relationships/styles" Target="styles.xml"/><Relationship Id="rId65"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56" dataDxfId="55">
  <autoFilter ref="B2:F53" xr:uid="{FCF7B272-2B0E-4976-9393-E73F3487686E}"/>
  <tableColumns count="5">
    <tableColumn id="1" xr3:uid="{D58C7B30-A492-4B74-BDE4-021BA5FDD463}" name="N" dataDxfId="54"/>
    <tableColumn id="2" xr3:uid="{9476476E-39E2-48A9-976E-32DDB37BA54B}" name="Year" dataDxfId="53"/>
    <tableColumn id="3" xr3:uid="{32E1CBDE-916A-4A47-B5C5-B62DE0AFD6F2}" name="AgeP1" dataDxfId="52">
      <calculatedColumnFormula>D2+1</calculatedColumnFormula>
    </tableColumn>
    <tableColumn id="4" xr3:uid="{6AC3787E-719B-482A-96B1-472E58822CE9}" name="AgeP2" dataDxfId="51">
      <calculatedColumnFormula>E2+1</calculatedColumnFormula>
    </tableColumn>
    <tableColumn id="5" xr3:uid="{5A11FA80-8E16-4604-BB85-0D6642EE67E7}" name="LoopStatus" dataDxfId="5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49" dataDxfId="48">
  <autoFilter ref="B2:F48" xr:uid="{FCF7B272-2B0E-4976-9393-E73F3487686E}"/>
  <tableColumns count="5">
    <tableColumn id="2" xr3:uid="{0498A719-AEC9-446E-8B8E-0AB0C44DDED3}" name="Year" dataDxfId="47"/>
    <tableColumn id="5" xr3:uid="{CC8B1647-0351-43F5-A9B1-47A7C65801F2}" name="SalaryP1" dataDxfId="46">
      <calculatedColumnFormula>(TableIncomeCalculations[[#This Row],[NetMonthlySalaryP1]]*12)</calculatedColumnFormula>
    </tableColumn>
    <tableColumn id="6" xr3:uid="{D9247035-5056-46B8-9FE0-90DD69539CD9}" name="SalaryP2" dataDxfId="45" dataCellStyle="Comma">
      <calculatedColumnFormula>(TableIncomeCalculations[[#This Row],[NetMonthlySalaryP2]]*12)</calculatedColumnFormula>
    </tableColumn>
    <tableColumn id="1" xr3:uid="{00C8C4D5-91FF-46B4-A492-F0182F8DA0F4}" name="InvestmentP1" dataDxfId="44">
      <calculatedColumnFormula>TableIncome[[#This Row],[SalaryP1]]*$I$7</calculatedColumnFormula>
    </tableColumn>
    <tableColumn id="3" xr3:uid="{FB2E9633-4667-4315-B59A-930552C59B31}" name="InvestmentP2" dataDxfId="43">
      <calculatedColumnFormula>TableIncome[[#This Row],[SalaryP2]]*$I$7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2" dataDxfId="41">
  <autoFilter ref="L2:S48" xr:uid="{66C60019-787B-4EAD-BA34-E0802DDFB733}"/>
  <tableColumns count="8">
    <tableColumn id="2" xr3:uid="{597EF245-E0B4-45E7-84DC-2E03B8DBE357}" name="NetMonthlySalaryP1" dataDxfId="40">
      <calculatedColumnFormula>'Net Salary P1'!BI2</calculatedColumnFormula>
    </tableColumn>
    <tableColumn id="4" xr3:uid="{8A82F2FC-F2AD-4354-9FB7-60D07BF5DE26}" name="NetMonthlySalaryP2" dataDxfId="39"/>
    <tableColumn id="8" xr3:uid="{6469E6A3-AC69-4952-9321-8FE8162EAAF5}" name="GrossMonthlyInflationAdjustedP1" dataDxfId="38" dataCellStyle="Comma"/>
    <tableColumn id="7" xr3:uid="{CFDE7FCC-D951-4C66-8933-9D7A2554B969}" name="GrossMonthlyInflationAdjustedP2" dataDxfId="37" dataCellStyle="Comma"/>
    <tableColumn id="1" xr3:uid="{C0C732EC-361A-46E0-89E3-08CAE72DBD66}" name="GrossMonthlySalaryP1" dataDxfId="36" dataCellStyle="Comma"/>
    <tableColumn id="3" xr3:uid="{C5CF3F3B-E102-4C03-AE19-3CC173DDD008}" name="GrossMonthlySalaryP2" dataDxfId="35"/>
    <tableColumn id="5" xr3:uid="{FC28F95D-C1B7-458D-BD0C-E085DE566194}" name="SwitchP1" dataDxfId="34">
      <calculatedColumnFormula>_xlfn.XLOOKUP(_xlfn.XLOOKUP(TableIncome[[#This Row],[Year]],Loop!C:C,Loop!D:D),'Job Hopping'!B:B,'Job Hopping'!F:F)</calculatedColumnFormula>
    </tableColumn>
    <tableColumn id="6" xr3:uid="{85FE9DAF-5AA1-4B37-AB45-C3AD3B6E6CC3}" name="SwitchP2" dataDxfId="33">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32" dataDxfId="31">
  <autoFilter ref="B2:F5" xr:uid="{E6188FC4-483E-4C27-BFF6-3D5A9BEC7A02}"/>
  <tableColumns count="5">
    <tableColumn id="1" xr3:uid="{B2C6C0FB-6BCC-4A61-B677-3B10161A53EF}" name="Goal Info" dataDxfId="30"/>
    <tableColumn id="2" xr3:uid="{C536957A-8C0E-4218-9336-E98D68589B96}" name="GOAL A" dataDxfId="29"/>
    <tableColumn id="3" xr3:uid="{119B5EE3-3581-4D04-BB55-BCC2E702193C}" name="GOAL B" dataDxfId="28"/>
    <tableColumn id="4" xr3:uid="{6D7BF2C5-D2EB-4CDD-A1E3-639A94B04FB3}" name="GOAL C" dataDxfId="27"/>
    <tableColumn id="5" xr3:uid="{FC141F07-39CA-4E36-BE88-AE8259A28409}" name="GOAL D" dataDxfId="2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25" dataDxfId="24">
  <autoFilter ref="B7:F10" xr:uid="{06296D22-18E1-44D3-A59A-E5E6D672089D}"/>
  <tableColumns count="5">
    <tableColumn id="1" xr3:uid="{B3C79FB9-971E-4621-BADB-62E0B6C842D7}" name="Goal Info" dataDxfId="23"/>
    <tableColumn id="2" xr3:uid="{08F0C2B6-02D7-4431-924D-D9E7C41049B7}" name="GOAL A" dataDxfId="22"/>
    <tableColumn id="3" xr3:uid="{7D5C117D-0D45-489D-81E8-DBEB6FE69CF3}" name="GOAL B" dataDxfId="21"/>
    <tableColumn id="4" xr3:uid="{900DE77F-2D16-4E30-8E7F-638FF98F2CDB}" name="GOAL C" dataDxfId="20"/>
    <tableColumn id="5" xr3:uid="{B0C50B12-C738-4419-9074-3A1A9E37C8AC}" name="GOAL D" dataDxfId="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7" tint="0.79998168889431442"/>
  </sheetPr>
  <dimension ref="B2:F53"/>
  <sheetViews>
    <sheetView workbookViewId="0">
      <selection activeCell="C7" sqref="C7"/>
    </sheetView>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171</v>
      </c>
      <c r="E2" s="2" t="s">
        <v>172</v>
      </c>
      <c r="F2" s="2" t="s">
        <v>173</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109375" defaultRowHeight="15" x14ac:dyDescent="0.25"/>
  <cols>
    <col min="1" max="1" width="8.7109375" style="1"/>
    <col min="2" max="2" width="20.5703125" style="1" bestFit="1" customWidth="1"/>
    <col min="3" max="16384" width="8.7109375" style="1"/>
  </cols>
  <sheetData>
    <row r="3" spans="2:3" ht="24" x14ac:dyDescent="0.4">
      <c r="B3" s="13" t="s">
        <v>44</v>
      </c>
    </row>
    <row r="4" spans="2:3" x14ac:dyDescent="0.25">
      <c r="B4" s="11" t="s">
        <v>49</v>
      </c>
    </row>
    <row r="5" spans="2:3" x14ac:dyDescent="0.25">
      <c r="B5" s="12" t="s">
        <v>48</v>
      </c>
      <c r="C5" s="1" t="s">
        <v>45</v>
      </c>
    </row>
    <row r="6" spans="2:3" x14ac:dyDescent="0.25">
      <c r="B6" s="17" t="s">
        <v>57</v>
      </c>
      <c r="C6" s="1" t="s">
        <v>58</v>
      </c>
    </row>
    <row r="8" spans="2:3" ht="24" x14ac:dyDescent="0.4">
      <c r="B8" s="13" t="s">
        <v>46</v>
      </c>
    </row>
    <row r="9" spans="2:3" x14ac:dyDescent="0.25">
      <c r="B9" s="14" t="s">
        <v>47</v>
      </c>
    </row>
    <row r="10" spans="2:3" x14ac:dyDescent="0.25">
      <c r="B10" s="15"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S48"/>
  <sheetViews>
    <sheetView tabSelected="1" topLeftCell="C1" zoomScale="75" zoomScaleNormal="115" workbookViewId="0">
      <selection activeCell="O22" sqref="O22"/>
    </sheetView>
  </sheetViews>
  <sheetFormatPr defaultColWidth="8.7109375" defaultRowHeight="15" x14ac:dyDescent="0.25"/>
  <cols>
    <col min="1" max="1" width="3.42578125" style="1" customWidth="1"/>
    <col min="2" max="2" width="13.140625" style="1" customWidth="1"/>
    <col min="3" max="3" width="16.28515625" style="1" customWidth="1"/>
    <col min="4" max="4" width="18.28515625" style="1" bestFit="1" customWidth="1"/>
    <col min="5" max="6" width="18.28515625" style="1" customWidth="1"/>
    <col min="7" max="7" width="14.42578125" style="1" customWidth="1"/>
    <col min="8" max="8" width="34.85546875" style="1" bestFit="1" customWidth="1"/>
    <col min="9" max="11" width="8.7109375" style="1"/>
    <col min="12" max="13" width="25.7109375" style="1" bestFit="1" customWidth="1"/>
    <col min="14" max="15" width="38.28515625" style="1" bestFit="1" customWidth="1"/>
    <col min="16" max="17" width="21.5703125" style="1" customWidth="1"/>
    <col min="18" max="19" width="14.140625" style="1" bestFit="1" customWidth="1"/>
    <col min="20" max="16384" width="8.7109375" style="1"/>
  </cols>
  <sheetData>
    <row r="2" spans="2:19" x14ac:dyDescent="0.25">
      <c r="B2" s="2" t="s">
        <v>1</v>
      </c>
      <c r="C2" s="2" t="s">
        <v>2</v>
      </c>
      <c r="D2" s="2" t="s">
        <v>3</v>
      </c>
      <c r="E2" s="2" t="s">
        <v>80</v>
      </c>
      <c r="F2" s="2" t="s">
        <v>81</v>
      </c>
      <c r="G2" s="22"/>
      <c r="H2" s="18" t="s">
        <v>65</v>
      </c>
      <c r="I2" s="19">
        <v>0.02</v>
      </c>
      <c r="L2" s="5" t="s">
        <v>174</v>
      </c>
      <c r="M2" s="5" t="s">
        <v>175</v>
      </c>
      <c r="N2" s="5" t="s">
        <v>177</v>
      </c>
      <c r="O2" s="5" t="s">
        <v>176</v>
      </c>
      <c r="P2" s="5" t="s">
        <v>4</v>
      </c>
      <c r="Q2" s="5" t="s">
        <v>5</v>
      </c>
      <c r="R2" s="5" t="s">
        <v>59</v>
      </c>
      <c r="S2" s="5" t="s">
        <v>60</v>
      </c>
    </row>
    <row r="3" spans="2:19" x14ac:dyDescent="0.25">
      <c r="B3" s="2">
        <v>2025</v>
      </c>
      <c r="C3" s="3">
        <f>(TableIncomeCalculations[[#This Row],[NetMonthlySalaryP1]]*12)</f>
        <v>279784.82166800008</v>
      </c>
      <c r="D3" s="24">
        <f>(TableIncomeCalculations[[#This Row],[NetMonthlySalaryP2]]*12)</f>
        <v>0</v>
      </c>
      <c r="E3" s="3">
        <f>TableIncome[[#This Row],[SalaryP1]]*$I$7</f>
        <v>27978.482166800008</v>
      </c>
      <c r="F3" s="3">
        <f>TableIncome[[#This Row],[SalaryP2]]*$I$7</f>
        <v>0</v>
      </c>
      <c r="G3" s="22"/>
      <c r="H3" s="18" t="s">
        <v>66</v>
      </c>
      <c r="I3" s="19">
        <v>0.03</v>
      </c>
      <c r="L3" s="23">
        <f>'Net Salary P1'!BI2</f>
        <v>23315.401805666672</v>
      </c>
      <c r="M3" s="21"/>
      <c r="N3" s="21">
        <v>43871</v>
      </c>
      <c r="O3" s="20">
        <v>64001</v>
      </c>
      <c r="P3" s="21">
        <v>43871</v>
      </c>
      <c r="Q3" s="20">
        <v>64001</v>
      </c>
      <c r="R3" t="str">
        <f>_xlfn.XLOOKUP(_xlfn.XLOOKUP(TableIncome[[#This Row],[Year]],Loop!C:C,Loop!D:D),'Job Hopping'!B:B,'Job Hopping'!F:F)</f>
        <v>N</v>
      </c>
      <c r="S3" t="str">
        <f>_xlfn.XLOOKUP(_xlfn.XLOOKUP(TableIncome[[#This Row],[Year]],Loop!C:C,Loop!E:E),'Job Hopping'!B:B,'Job Hopping'!G:G)</f>
        <v>N</v>
      </c>
    </row>
    <row r="4" spans="2:19" x14ac:dyDescent="0.25">
      <c r="B4" s="2">
        <v>2026</v>
      </c>
      <c r="C4" s="4">
        <f>(TableIncomeCalculations[[#This Row],[NetMonthlySalaryP1]]*12)</f>
        <v>282860.98361017025</v>
      </c>
      <c r="D4" s="24">
        <f>(TableIncomeCalculations[[#This Row],[NetMonthlySalaryP2]]*12)</f>
        <v>0</v>
      </c>
      <c r="E4" s="3">
        <f>TableIncome[[#This Row],[SalaryP1]]*$I$7</f>
        <v>28286.098361017026</v>
      </c>
      <c r="F4" s="3">
        <f>TableIncome[[#This Row],[SalaryP2]]*$I$7</f>
        <v>0</v>
      </c>
      <c r="G4" s="22"/>
      <c r="H4" s="18" t="s">
        <v>68</v>
      </c>
      <c r="I4" s="19">
        <f>I3-I2</f>
        <v>9.9999999999999985E-3</v>
      </c>
      <c r="L4" s="23">
        <f>'Net Salary P1'!BI3</f>
        <v>23571.748634180854</v>
      </c>
      <c r="M4" s="21"/>
      <c r="N4" s="21">
        <f>IF(_xlfn.XLOOKUP(TableIncome[[#This Row],[Year]],Loop!C:C,Loop!D:D)&lt;70,(N3*(1+$I$4))+IF(TableIncomeCalculations[[#This Row],[SwitchP1]]="Y",N3*$I$6,0),0)</f>
        <v>44309.71</v>
      </c>
      <c r="O4" s="21">
        <f>IF(_xlfn.XLOOKUP(TableIncome[[#This Row],[Year]],Loop!C:C,Loop!E:E)&lt;70,(O3*(1+$I$4))+IF(TableIncomeCalculations[[#This Row],[SwitchP2]]="Y",Q3*$I$6,0),0)</f>
        <v>64641.01</v>
      </c>
      <c r="P4" s="21">
        <f>IF(_xlfn.XLOOKUP(TableIncome[[#This Row],[Year]],Loop!C:C,Loop!D:D)&lt;70,(P3*(1+$I$3))+IF(TableIncomeCalculations[[#This Row],[SwitchP1]]="Y",P3*$I$5,0),0)</f>
        <v>45187.130000000005</v>
      </c>
      <c r="Q4" s="21">
        <f>IF(_xlfn.XLOOKUP(TableIncome[[#This Row],[Year]],Loop!C:C,Loop!E:E)&lt;70,(Q3*(1+$I$3))+IF(TableIncomeCalculations[[#This Row],[SwitchP2]]="Y",Q3*$I$5,0),0)</f>
        <v>65921.03</v>
      </c>
      <c r="R4" t="str">
        <f>_xlfn.XLOOKUP(_xlfn.XLOOKUP(TableIncome[[#This Row],[Year]],Loop!C:C,Loop!D:D),'Job Hopping'!B:B,'Job Hopping'!F:F)</f>
        <v>N</v>
      </c>
      <c r="S4" t="str">
        <f>_xlfn.XLOOKUP(_xlfn.XLOOKUP(TableIncome[[#This Row],[Year]],Loop!C:C,Loop!E:E),'Job Hopping'!B:B,'Job Hopping'!G:G)</f>
        <v>N</v>
      </c>
    </row>
    <row r="5" spans="2:19" x14ac:dyDescent="0.25">
      <c r="B5" s="2">
        <v>2027</v>
      </c>
      <c r="C5" s="4">
        <f>(TableIncomeCalculations[[#This Row],[NetMonthlySalaryP1]]*12)</f>
        <v>297645.51683527685</v>
      </c>
      <c r="D5" s="24">
        <f>(TableIncomeCalculations[[#This Row],[NetMonthlySalaryP2]]*12)</f>
        <v>0</v>
      </c>
      <c r="E5" s="3">
        <f>TableIncome[[#This Row],[SalaryP1]]*$I$7</f>
        <v>29764.551683527687</v>
      </c>
      <c r="F5" s="3">
        <f>TableIncome[[#This Row],[SalaryP2]]*$I$7</f>
        <v>0</v>
      </c>
      <c r="G5" s="22"/>
      <c r="H5" s="18" t="s">
        <v>67</v>
      </c>
      <c r="I5" s="19">
        <v>0.06</v>
      </c>
      <c r="L5" s="23">
        <f>'Net Salary P1'!BI4</f>
        <v>24803.793069606403</v>
      </c>
      <c r="M5" s="21"/>
      <c r="N5" s="21">
        <f>IF(_xlfn.XLOOKUP(TableIncome[[#This Row],[Year]],Loop!C:C,Loop!D:D)&lt;70,(N4*(1+$I$4))+IF(TableIncomeCalculations[[#This Row],[SwitchP1]]="Y",N4*$I$6,0),0)</f>
        <v>46525.195499999994</v>
      </c>
      <c r="O5" s="21">
        <f>IF(_xlfn.XLOOKUP(TableIncome[[#This Row],[Year]],Loop!C:C,Loop!E:E)&lt;70,(O4*(1+$I$4))+IF(TableIncomeCalculations[[#This Row],[SwitchP2]]="Y",Q4*$I$6,0),0)</f>
        <v>65287.420100000003</v>
      </c>
      <c r="P5" s="21">
        <f>IF(_xlfn.XLOOKUP(TableIncome[[#This Row],[Year]],Loop!C:C,Loop!D:D)&lt;70,(P4*(1+$I$3))+IF(TableIncomeCalculations[[#This Row],[SwitchP1]]="Y",P4*$I$5,0),0)</f>
        <v>49253.971700000009</v>
      </c>
      <c r="Q5" s="21">
        <f>IF(_xlfn.XLOOKUP(TableIncome[[#This Row],[Year]],Loop!C:C,Loop!E:E)&lt;70,(Q4*(1+$I$3))+IF(TableIncomeCalculations[[#This Row],[SwitchP2]]="Y",Q4*$I$5,0),0)</f>
        <v>67898.660900000003</v>
      </c>
      <c r="R5" t="str">
        <f>_xlfn.XLOOKUP(_xlfn.XLOOKUP(TableIncome[[#This Row],[Year]],Loop!C:C,Loop!D:D),'Job Hopping'!B:B,'Job Hopping'!F:F)</f>
        <v>Y</v>
      </c>
      <c r="S5" t="str">
        <f>_xlfn.XLOOKUP(_xlfn.XLOOKUP(TableIncome[[#This Row],[Year]],Loop!C:C,Loop!E:E),'Job Hopping'!B:B,'Job Hopping'!G:G)</f>
        <v>N</v>
      </c>
    </row>
    <row r="6" spans="2:19" x14ac:dyDescent="0.25">
      <c r="B6" s="2">
        <v>2028</v>
      </c>
      <c r="C6" s="4">
        <f>(TableIncomeCalculations[[#This Row],[NetMonthlySalaryP1]]*12)</f>
        <v>300889.4784679609</v>
      </c>
      <c r="D6" s="24">
        <f>(TableIncomeCalculations[[#This Row],[NetMonthlySalaryP2]]*12)</f>
        <v>0</v>
      </c>
      <c r="E6" s="3">
        <f>TableIncome[[#This Row],[SalaryP1]]*$I$7</f>
        <v>30088.947846796091</v>
      </c>
      <c r="F6" s="3">
        <f>TableIncome[[#This Row],[SalaryP2]]*$I$7</f>
        <v>0</v>
      </c>
      <c r="G6" s="22"/>
      <c r="H6" s="18" t="s">
        <v>178</v>
      </c>
      <c r="I6" s="19">
        <f>I5-I2</f>
        <v>3.9999999999999994E-2</v>
      </c>
      <c r="L6" s="23">
        <f>'Net Salary P1'!BI5</f>
        <v>25074.123205663407</v>
      </c>
      <c r="M6" s="21"/>
      <c r="N6" s="21">
        <f>IF(_xlfn.XLOOKUP(TableIncome[[#This Row],[Year]],Loop!C:C,Loop!D:D)&lt;70,(N5*(1+$I$4))+IF(TableIncomeCalculations[[#This Row],[SwitchP1]]="Y",N5*$I$6,0),0)</f>
        <v>46990.447454999994</v>
      </c>
      <c r="O6" s="21">
        <f>IF(_xlfn.XLOOKUP(TableIncome[[#This Row],[Year]],Loop!C:C,Loop!E:E)&lt;70,(O5*(1+$I$4))+IF(TableIncomeCalculations[[#This Row],[SwitchP2]]="Y",Q5*$I$6,0),0)</f>
        <v>68656.240737</v>
      </c>
      <c r="P6" s="21">
        <f>IF(_xlfn.XLOOKUP(TableIncome[[#This Row],[Year]],Loop!C:C,Loop!D:D)&lt;70,(P5*(1+$I$3))+IF(TableIncomeCalculations[[#This Row],[SwitchP1]]="Y",P5*$I$5,0),0)</f>
        <v>50731.590851000008</v>
      </c>
      <c r="Q6" s="21">
        <f>IF(_xlfn.XLOOKUP(TableIncome[[#This Row],[Year]],Loop!C:C,Loop!E:E)&lt;70,(Q5*(1+$I$3))+IF(TableIncomeCalculations[[#This Row],[SwitchP2]]="Y",Q5*$I$5,0),0)</f>
        <v>74009.540380999999</v>
      </c>
      <c r="R6" t="str">
        <f>_xlfn.XLOOKUP(_xlfn.XLOOKUP(TableIncome[[#This Row],[Year]],Loop!C:C,Loop!D:D),'Job Hopping'!B:B,'Job Hopping'!F:F)</f>
        <v>N</v>
      </c>
      <c r="S6" t="str">
        <f>_xlfn.XLOOKUP(_xlfn.XLOOKUP(TableIncome[[#This Row],[Year]],Loop!C:C,Loop!E:E),'Job Hopping'!B:B,'Job Hopping'!G:G)</f>
        <v>Y</v>
      </c>
    </row>
    <row r="7" spans="2:19" x14ac:dyDescent="0.25">
      <c r="B7" s="2">
        <v>2029</v>
      </c>
      <c r="C7" s="4">
        <f>(TableIncomeCalculations[[#This Row],[NetMonthlySalaryP1]]*12)</f>
        <v>304160.63449218095</v>
      </c>
      <c r="D7" s="24">
        <f>(TableIncomeCalculations[[#This Row],[NetMonthlySalaryP2]]*12)</f>
        <v>0</v>
      </c>
      <c r="E7" s="3">
        <f>TableIncome[[#This Row],[SalaryP1]]*$I$7</f>
        <v>30416.063449218098</v>
      </c>
      <c r="F7" s="3">
        <f>TableIncome[[#This Row],[SalaryP2]]*$I$7</f>
        <v>0</v>
      </c>
      <c r="G7" s="22"/>
      <c r="H7" s="18" t="s">
        <v>79</v>
      </c>
      <c r="I7" s="19">
        <v>0.1</v>
      </c>
      <c r="L7" s="23">
        <f>'Net Salary P1'!BI6</f>
        <v>25346.719541015078</v>
      </c>
      <c r="M7" s="21"/>
      <c r="N7" s="21">
        <f>IF(_xlfn.XLOOKUP(TableIncome[[#This Row],[Year]],Loop!C:C,Loop!D:D)&lt;70,(N6*(1+$I$4))+IF(TableIncomeCalculations[[#This Row],[SwitchP1]]="Y",N6*$I$6,0),0)</f>
        <v>47460.351929549994</v>
      </c>
      <c r="O7" s="21">
        <f>IF(_xlfn.XLOOKUP(TableIncome[[#This Row],[Year]],Loop!C:C,Loop!E:E)&lt;70,(O6*(1+$I$4))+IF(TableIncomeCalculations[[#This Row],[SwitchP2]]="Y",Q6*$I$6,0),0)</f>
        <v>69342.803144370002</v>
      </c>
      <c r="P7" s="21">
        <f>IF(_xlfn.XLOOKUP(TableIncome[[#This Row],[Year]],Loop!C:C,Loop!D:D)&lt;70,(P6*(1+$I$3))+IF(TableIncomeCalculations[[#This Row],[SwitchP1]]="Y",P6*$I$5,0),0)</f>
        <v>52253.538576530009</v>
      </c>
      <c r="Q7" s="21">
        <f>IF(_xlfn.XLOOKUP(TableIncome[[#This Row],[Year]],Loop!C:C,Loop!E:E)&lt;70,(Q6*(1+$I$3))+IF(TableIncomeCalculations[[#This Row],[SwitchP2]]="Y",Q6*$I$5,0),0)</f>
        <v>76229.826592430007</v>
      </c>
      <c r="R7" t="str">
        <f>_xlfn.XLOOKUP(_xlfn.XLOOKUP(TableIncome[[#This Row],[Year]],Loop!C:C,Loop!D:D),'Job Hopping'!B:B,'Job Hopping'!F:F)</f>
        <v>N</v>
      </c>
      <c r="S7" t="str">
        <f>_xlfn.XLOOKUP(_xlfn.XLOOKUP(TableIncome[[#This Row],[Year]],Loop!C:C,Loop!E:E),'Job Hopping'!B:B,'Job Hopping'!G:G)</f>
        <v>N</v>
      </c>
    </row>
    <row r="8" spans="2:19" x14ac:dyDescent="0.25">
      <c r="B8" s="2">
        <v>2030</v>
      </c>
      <c r="C8" s="4">
        <f>(TableIncomeCalculations[[#This Row],[NetMonthlySalaryP1]]*12)</f>
        <v>307459.35969939723</v>
      </c>
      <c r="D8" s="24">
        <f>(TableIncomeCalculations[[#This Row],[NetMonthlySalaryP2]]*12)</f>
        <v>0</v>
      </c>
      <c r="E8" s="3">
        <f>TableIncome[[#This Row],[SalaryP1]]*$I$7</f>
        <v>30745.935969939725</v>
      </c>
      <c r="F8" s="3">
        <f>TableIncome[[#This Row],[SalaryP2]]*$I$7</f>
        <v>0</v>
      </c>
      <c r="G8" s="22"/>
      <c r="I8" s="25"/>
      <c r="L8" s="23">
        <f>'Net Salary P1'!BI7</f>
        <v>25621.613308283104</v>
      </c>
      <c r="M8" s="21"/>
      <c r="N8" s="21">
        <f>IF(_xlfn.XLOOKUP(TableIncome[[#This Row],[Year]],Loop!C:C,Loop!D:D)&lt;70,(N7*(1+$I$4))+IF(TableIncomeCalculations[[#This Row],[SwitchP1]]="Y",N7*$I$6,0),0)</f>
        <v>47934.955448845496</v>
      </c>
      <c r="O8" s="21">
        <f>IF(_xlfn.XLOOKUP(TableIncome[[#This Row],[Year]],Loop!C:C,Loop!E:E)&lt;70,(O7*(1+$I$4))+IF(TableIncomeCalculations[[#This Row],[SwitchP2]]="Y",Q7*$I$6,0),0)</f>
        <v>70036.231175813708</v>
      </c>
      <c r="P8" s="21">
        <f>IF(_xlfn.XLOOKUP(TableIncome[[#This Row],[Year]],Loop!C:C,Loop!D:D)&lt;70,(P7*(1+$I$3))+IF(TableIncomeCalculations[[#This Row],[SwitchP1]]="Y",P7*$I$5,0),0)</f>
        <v>53821.144733825909</v>
      </c>
      <c r="Q8" s="21">
        <f>IF(_xlfn.XLOOKUP(TableIncome[[#This Row],[Year]],Loop!C:C,Loop!E:E)&lt;70,(Q7*(1+$I$3))+IF(TableIncomeCalculations[[#This Row],[SwitchP2]]="Y",Q7*$I$5,0),0)</f>
        <v>78516.721390202903</v>
      </c>
      <c r="R8" t="str">
        <f>_xlfn.XLOOKUP(_xlfn.XLOOKUP(TableIncome[[#This Row],[Year]],Loop!C:C,Loop!D:D),'Job Hopping'!B:B,'Job Hopping'!F:F)</f>
        <v>N</v>
      </c>
      <c r="S8" t="str">
        <f>_xlfn.XLOOKUP(_xlfn.XLOOKUP(TableIncome[[#This Row],[Year]],Loop!C:C,Loop!E:E),'Job Hopping'!B:B,'Job Hopping'!G:G)</f>
        <v>N</v>
      </c>
    </row>
    <row r="9" spans="2:19" x14ac:dyDescent="0.25">
      <c r="B9" s="2">
        <v>2031</v>
      </c>
      <c r="C9" s="4">
        <f>(TableIncomeCalculations[[#This Row],[NetMonthlySalaryP1]]*12)</f>
        <v>323424.9597848382</v>
      </c>
      <c r="D9" s="24">
        <f>(TableIncomeCalculations[[#This Row],[NetMonthlySalaryP2]]*12)</f>
        <v>0</v>
      </c>
      <c r="E9" s="3">
        <f>TableIncome[[#This Row],[SalaryP1]]*$I$7</f>
        <v>32342.495978483821</v>
      </c>
      <c r="F9" s="3">
        <f>TableIncome[[#This Row],[SalaryP2]]*$I$7</f>
        <v>0</v>
      </c>
      <c r="G9" s="22"/>
      <c r="L9" s="23">
        <f>'Net Salary P1'!BI8</f>
        <v>26952.079982069848</v>
      </c>
      <c r="M9" s="21"/>
      <c r="N9" s="21">
        <f>IF(_xlfn.XLOOKUP(TableIncome[[#This Row],[Year]],Loop!C:C,Loop!D:D)&lt;70,(N8*(1+$I$4))+IF(TableIncomeCalculations[[#This Row],[SwitchP1]]="Y",N8*$I$6,0),0)</f>
        <v>50331.703221287775</v>
      </c>
      <c r="O9" s="21">
        <f>IF(_xlfn.XLOOKUP(TableIncome[[#This Row],[Year]],Loop!C:C,Loop!E:E)&lt;70,(O8*(1+$I$4))+IF(TableIncomeCalculations[[#This Row],[SwitchP2]]="Y",Q8*$I$6,0),0)</f>
        <v>70736.593487571852</v>
      </c>
      <c r="P9" s="21">
        <f>IF(_xlfn.XLOOKUP(TableIncome[[#This Row],[Year]],Loop!C:C,Loop!D:D)&lt;70,(P8*(1+$I$3))+IF(TableIncomeCalculations[[#This Row],[SwitchP1]]="Y",P8*$I$5,0),0)</f>
        <v>58665.047759870249</v>
      </c>
      <c r="Q9" s="21">
        <f>IF(_xlfn.XLOOKUP(TableIncome[[#This Row],[Year]],Loop!C:C,Loop!E:E)&lt;70,(Q8*(1+$I$3))+IF(TableIncomeCalculations[[#This Row],[SwitchP2]]="Y",Q8*$I$5,0),0)</f>
        <v>80872.223031908987</v>
      </c>
      <c r="R9" t="str">
        <f>_xlfn.XLOOKUP(_xlfn.XLOOKUP(TableIncome[[#This Row],[Year]],Loop!C:C,Loop!D:D),'Job Hopping'!B:B,'Job Hopping'!F:F)</f>
        <v>Y</v>
      </c>
      <c r="S9" t="str">
        <f>_xlfn.XLOOKUP(_xlfn.XLOOKUP(TableIncome[[#This Row],[Year]],Loop!C:C,Loop!E:E),'Job Hopping'!B:B,'Job Hopping'!G:G)</f>
        <v>N</v>
      </c>
    </row>
    <row r="10" spans="2:19" x14ac:dyDescent="0.25">
      <c r="B10" s="2">
        <v>2032</v>
      </c>
      <c r="C10" s="4">
        <f>(TableIncomeCalculations[[#This Row],[NetMonthlySalaryP1]]*12)</f>
        <v>326906.34400619142</v>
      </c>
      <c r="D10" s="24">
        <f>(TableIncomeCalculations[[#This Row],[NetMonthlySalaryP2]]*12)</f>
        <v>0</v>
      </c>
      <c r="E10" s="3">
        <f>TableIncome[[#This Row],[SalaryP1]]*$I$7</f>
        <v>32690.634400619143</v>
      </c>
      <c r="F10" s="3">
        <f>TableIncome[[#This Row],[SalaryP2]]*$I$7</f>
        <v>0</v>
      </c>
      <c r="G10" s="22"/>
      <c r="L10" s="23">
        <f>'Net Salary P1'!BI9</f>
        <v>27242.195333849286</v>
      </c>
      <c r="M10" s="21"/>
      <c r="N10" s="21">
        <f>IF(_xlfn.XLOOKUP(TableIncome[[#This Row],[Year]],Loop!C:C,Loop!D:D)&lt;70,(N9*(1+$I$4))+IF(TableIncomeCalculations[[#This Row],[SwitchP1]]="Y",N9*$I$6,0),0)</f>
        <v>50835.020253500654</v>
      </c>
      <c r="O10" s="21">
        <f>IF(_xlfn.XLOOKUP(TableIncome[[#This Row],[Year]],Loop!C:C,Loop!E:E)&lt;70,(O9*(1+$I$4))+IF(TableIncomeCalculations[[#This Row],[SwitchP2]]="Y",Q9*$I$6,0),0)</f>
        <v>74678.848343723934</v>
      </c>
      <c r="P10" s="21">
        <f>IF(_xlfn.XLOOKUP(TableIncome[[#This Row],[Year]],Loop!C:C,Loop!D:D)&lt;70,(P9*(1+$I$3))+IF(TableIncomeCalculations[[#This Row],[SwitchP1]]="Y",P9*$I$5,0),0)</f>
        <v>60424.999192666357</v>
      </c>
      <c r="Q10" s="21">
        <f>IF(_xlfn.XLOOKUP(TableIncome[[#This Row],[Year]],Loop!C:C,Loop!E:E)&lt;70,(Q9*(1+$I$3))+IF(TableIncomeCalculations[[#This Row],[SwitchP2]]="Y",Q9*$I$5,0),0)</f>
        <v>88150.723104780787</v>
      </c>
      <c r="R10" t="str">
        <f>_xlfn.XLOOKUP(_xlfn.XLOOKUP(TableIncome[[#This Row],[Year]],Loop!C:C,Loop!D:D),'Job Hopping'!B:B,'Job Hopping'!F:F)</f>
        <v>N</v>
      </c>
      <c r="S10" t="str">
        <f>_xlfn.XLOOKUP(_xlfn.XLOOKUP(TableIncome[[#This Row],[Year]],Loop!C:C,Loop!E:E),'Job Hopping'!B:B,'Job Hopping'!G:G)</f>
        <v>Y</v>
      </c>
    </row>
    <row r="11" spans="2:19" x14ac:dyDescent="0.25">
      <c r="B11" s="2">
        <v>2033</v>
      </c>
      <c r="C11" s="4">
        <f>(TableIncomeCalculations[[#This Row],[NetMonthlySalaryP1]]*12)</f>
        <v>330417.69629282696</v>
      </c>
      <c r="D11" s="24">
        <f>(TableIncomeCalculations[[#This Row],[NetMonthlySalaryP2]]*12)</f>
        <v>0</v>
      </c>
      <c r="E11" s="3">
        <f>TableIncome[[#This Row],[SalaryP1]]*$I$7</f>
        <v>33041.769629282695</v>
      </c>
      <c r="F11" s="3">
        <f>TableIncome[[#This Row],[SalaryP2]]*$I$7</f>
        <v>0</v>
      </c>
      <c r="G11" s="22"/>
      <c r="L11" s="23">
        <f>'Net Salary P1'!BI10</f>
        <v>27534.808024402246</v>
      </c>
      <c r="M11" s="21"/>
      <c r="N11" s="21">
        <f>IF(_xlfn.XLOOKUP(TableIncome[[#This Row],[Year]],Loop!C:C,Loop!D:D)&lt;70,(N10*(1+$I$4))+IF(TableIncomeCalculations[[#This Row],[SwitchP1]]="Y",N10*$I$6,0),0)</f>
        <v>51343.370456035664</v>
      </c>
      <c r="O11" s="21">
        <f>IF(_xlfn.XLOOKUP(TableIncome[[#This Row],[Year]],Loop!C:C,Loop!E:E)&lt;70,(O10*(1+$I$4))+IF(TableIncomeCalculations[[#This Row],[SwitchP2]]="Y",Q10*$I$6,0),0)</f>
        <v>75425.636827161172</v>
      </c>
      <c r="P11" s="21">
        <f>IF(_xlfn.XLOOKUP(TableIncome[[#This Row],[Year]],Loop!C:C,Loop!D:D)&lt;70,(P10*(1+$I$3))+IF(TableIncomeCalculations[[#This Row],[SwitchP1]]="Y",P10*$I$5,0),0)</f>
        <v>62237.749168446346</v>
      </c>
      <c r="Q11" s="21">
        <f>IF(_xlfn.XLOOKUP(TableIncome[[#This Row],[Year]],Loop!C:C,Loop!E:E)&lt;70,(Q10*(1+$I$3))+IF(TableIncomeCalculations[[#This Row],[SwitchP2]]="Y",Q10*$I$5,0),0)</f>
        <v>90795.244797924213</v>
      </c>
      <c r="R11" t="str">
        <f>_xlfn.XLOOKUP(_xlfn.XLOOKUP(TableIncome[[#This Row],[Year]],Loop!C:C,Loop!D:D),'Job Hopping'!B:B,'Job Hopping'!F:F)</f>
        <v>N</v>
      </c>
      <c r="S11" t="str">
        <f>_xlfn.XLOOKUP(_xlfn.XLOOKUP(TableIncome[[#This Row],[Year]],Loop!C:C,Loop!E:E),'Job Hopping'!B:B,'Job Hopping'!G:G)</f>
        <v>N</v>
      </c>
    </row>
    <row r="12" spans="2:19" x14ac:dyDescent="0.25">
      <c r="B12" s="2">
        <v>2034</v>
      </c>
      <c r="C12" s="4">
        <f>(TableIncomeCalculations[[#This Row],[NetMonthlySalaryP1]]*12)</f>
        <v>333959.41134063114</v>
      </c>
      <c r="D12" s="24">
        <f>(TableIncomeCalculations[[#This Row],[NetMonthlySalaryP2]]*12)</f>
        <v>0</v>
      </c>
      <c r="E12" s="3">
        <f>TableIncome[[#This Row],[SalaryP1]]*$I$7</f>
        <v>33395.941134063112</v>
      </c>
      <c r="F12" s="3">
        <f>TableIncome[[#This Row],[SalaryP2]]*$I$7</f>
        <v>0</v>
      </c>
      <c r="G12" s="22"/>
      <c r="L12" s="23">
        <f>'Net Salary P1'!BI11</f>
        <v>27829.950945052595</v>
      </c>
      <c r="M12" s="21"/>
      <c r="N12" s="21">
        <f>IF(_xlfn.XLOOKUP(TableIncome[[#This Row],[Year]],Loop!C:C,Loop!D:D)&lt;70,(N11*(1+$I$4))+IF(TableIncomeCalculations[[#This Row],[SwitchP1]]="Y",N11*$I$6,0),0)</f>
        <v>51856.804160596024</v>
      </c>
      <c r="O12" s="21">
        <f>IF(_xlfn.XLOOKUP(TableIncome[[#This Row],[Year]],Loop!C:C,Loop!E:E)&lt;70,(O11*(1+$I$4))+IF(TableIncomeCalculations[[#This Row],[SwitchP2]]="Y",Q11*$I$6,0),0)</f>
        <v>76179.893195432785</v>
      </c>
      <c r="P12" s="21">
        <f>IF(_xlfn.XLOOKUP(TableIncome[[#This Row],[Year]],Loop!C:C,Loop!D:D)&lt;70,(P11*(1+$I$3))+IF(TableIncomeCalculations[[#This Row],[SwitchP1]]="Y",P11*$I$5,0),0)</f>
        <v>64104.881643499735</v>
      </c>
      <c r="Q12" s="21">
        <f>IF(_xlfn.XLOOKUP(TableIncome[[#This Row],[Year]],Loop!C:C,Loop!E:E)&lt;70,(Q11*(1+$I$3))+IF(TableIncomeCalculations[[#This Row],[SwitchP2]]="Y",Q11*$I$5,0),0)</f>
        <v>93519.102141861949</v>
      </c>
      <c r="R12" t="str">
        <f>_xlfn.XLOOKUP(_xlfn.XLOOKUP(TableIncome[[#This Row],[Year]],Loop!C:C,Loop!D:D),'Job Hopping'!B:B,'Job Hopping'!F:F)</f>
        <v>N</v>
      </c>
      <c r="S12" t="str">
        <f>_xlfn.XLOOKUP(_xlfn.XLOOKUP(TableIncome[[#This Row],[Year]],Loop!C:C,Loop!E:E),'Job Hopping'!B:B,'Job Hopping'!G:G)</f>
        <v>N</v>
      </c>
    </row>
    <row r="13" spans="2:19" x14ac:dyDescent="0.25">
      <c r="B13" s="2">
        <v>2035</v>
      </c>
      <c r="C13" s="4">
        <f>(TableIncomeCalculations[[#This Row],[NetMonthlySalaryP1]]*12)</f>
        <v>351204.88236299937</v>
      </c>
      <c r="D13" s="24">
        <f>(TableIncomeCalculations[[#This Row],[NetMonthlySalaryP2]]*12)</f>
        <v>0</v>
      </c>
      <c r="E13" s="3">
        <f>TableIncome[[#This Row],[SalaryP1]]*$I$7</f>
        <v>35120.488236299941</v>
      </c>
      <c r="F13" s="3">
        <f>TableIncome[[#This Row],[SalaryP2]]*$I$7</f>
        <v>0</v>
      </c>
      <c r="G13" s="22"/>
      <c r="L13" s="23">
        <f>'Net Salary P1'!BI12</f>
        <v>29267.073530249949</v>
      </c>
      <c r="M13" s="21"/>
      <c r="N13" s="21">
        <f>IF(_xlfn.XLOOKUP(TableIncome[[#This Row],[Year]],Loop!C:C,Loop!D:D)&lt;70,(N12*(1+$I$4))+IF(TableIncomeCalculations[[#This Row],[SwitchP1]]="Y",N12*$I$6,0),0)</f>
        <v>54449.644368625828</v>
      </c>
      <c r="O13" s="21">
        <f>IF(_xlfn.XLOOKUP(TableIncome[[#This Row],[Year]],Loop!C:C,Loop!E:E)&lt;70,(O12*(1+$I$4))+IF(TableIncomeCalculations[[#This Row],[SwitchP2]]="Y",Q12*$I$6,0),0)</f>
        <v>76941.692127387112</v>
      </c>
      <c r="P13" s="21">
        <f>IF(_xlfn.XLOOKUP(TableIncome[[#This Row],[Year]],Loop!C:C,Loop!D:D)&lt;70,(P12*(1+$I$3))+IF(TableIncomeCalculations[[#This Row],[SwitchP1]]="Y",P12*$I$5,0),0)</f>
        <v>69874.320991414716</v>
      </c>
      <c r="Q13" s="21">
        <f>IF(_xlfn.XLOOKUP(TableIncome[[#This Row],[Year]],Loop!C:C,Loop!E:E)&lt;70,(Q12*(1+$I$3))+IF(TableIncomeCalculations[[#This Row],[SwitchP2]]="Y",Q12*$I$5,0),0)</f>
        <v>96324.675206117812</v>
      </c>
      <c r="R13" t="str">
        <f>_xlfn.XLOOKUP(_xlfn.XLOOKUP(TableIncome[[#This Row],[Year]],Loop!C:C,Loop!D:D),'Job Hopping'!B:B,'Job Hopping'!F:F)</f>
        <v>Y</v>
      </c>
      <c r="S13" t="str">
        <f>_xlfn.XLOOKUP(_xlfn.XLOOKUP(TableIncome[[#This Row],[Year]],Loop!C:C,Loop!E:E),'Job Hopping'!B:B,'Job Hopping'!G:G)</f>
        <v>N</v>
      </c>
    </row>
    <row r="14" spans="2:19" x14ac:dyDescent="0.25">
      <c r="B14" s="2">
        <v>2036</v>
      </c>
      <c r="C14" s="4">
        <f>(TableIncomeCalculations[[#This Row],[NetMonthlySalaryP1]]*12)</f>
        <v>354945.24537816714</v>
      </c>
      <c r="D14" s="24">
        <f>(TableIncomeCalculations[[#This Row],[NetMonthlySalaryP2]]*12)</f>
        <v>0</v>
      </c>
      <c r="E14" s="3">
        <f>TableIncome[[#This Row],[SalaryP1]]*$I$7</f>
        <v>35494.524537816716</v>
      </c>
      <c r="F14" s="3">
        <f>TableIncome[[#This Row],[SalaryP2]]*$I$7</f>
        <v>0</v>
      </c>
      <c r="G14" s="22"/>
      <c r="L14" s="23">
        <f>'Net Salary P1'!BI13</f>
        <v>29578.770448180596</v>
      </c>
      <c r="M14" s="21"/>
      <c r="N14" s="21">
        <f>IF(_xlfn.XLOOKUP(TableIncome[[#This Row],[Year]],Loop!C:C,Loop!D:D)&lt;70,(N13*(1+$I$4))+IF(TableIncomeCalculations[[#This Row],[SwitchP1]]="Y",N13*$I$6,0),0)</f>
        <v>54994.140812312085</v>
      </c>
      <c r="O14" s="21">
        <f>IF(_xlfn.XLOOKUP(TableIncome[[#This Row],[Year]],Loop!C:C,Loop!E:E)&lt;70,(O13*(1+$I$4))+IF(TableIncomeCalculations[[#This Row],[SwitchP2]]="Y",Q13*$I$6,0),0)</f>
        <v>77711.10904866099</v>
      </c>
      <c r="P14" s="21">
        <f>IF(_xlfn.XLOOKUP(TableIncome[[#This Row],[Year]],Loop!C:C,Loop!D:D)&lt;70,(P13*(1+$I$3))+IF(TableIncomeCalculations[[#This Row],[SwitchP1]]="Y",P13*$I$5,0),0)</f>
        <v>71970.550621157163</v>
      </c>
      <c r="Q14" s="21">
        <f>IF(_xlfn.XLOOKUP(TableIncome[[#This Row],[Year]],Loop!C:C,Loop!E:E)&lt;70,(Q13*(1+$I$3))+IF(TableIncomeCalculations[[#This Row],[SwitchP2]]="Y",Q13*$I$5,0),0)</f>
        <v>99214.415462301346</v>
      </c>
      <c r="R14" t="str">
        <f>_xlfn.XLOOKUP(_xlfn.XLOOKUP(TableIncome[[#This Row],[Year]],Loop!C:C,Loop!D:D),'Job Hopping'!B:B,'Job Hopping'!F:F)</f>
        <v>N</v>
      </c>
      <c r="S14" t="str">
        <f>_xlfn.XLOOKUP(_xlfn.XLOOKUP(TableIncome[[#This Row],[Year]],Loop!C:C,Loop!E:E),'Job Hopping'!B:B,'Job Hopping'!G:G)</f>
        <v>N</v>
      </c>
    </row>
    <row r="15" spans="2:19" x14ac:dyDescent="0.25">
      <c r="B15" s="2">
        <v>2037</v>
      </c>
      <c r="C15" s="4">
        <f>(TableIncomeCalculations[[#This Row],[NetMonthlySalaryP1]]*12)</f>
        <v>358718.53527463303</v>
      </c>
      <c r="D15" s="24">
        <f>(TableIncomeCalculations[[#This Row],[NetMonthlySalaryP2]]*12)</f>
        <v>0</v>
      </c>
      <c r="E15" s="3">
        <f>TableIncome[[#This Row],[SalaryP1]]*$I$7</f>
        <v>35871.853527463303</v>
      </c>
      <c r="F15" s="3">
        <f>TableIncome[[#This Row],[SalaryP2]]*$I$7</f>
        <v>0</v>
      </c>
      <c r="G15" s="22"/>
      <c r="L15" s="23">
        <f>'Net Salary P1'!BI14</f>
        <v>29893.211272886085</v>
      </c>
      <c r="M15" s="21"/>
      <c r="N15" s="21">
        <f>IF(_xlfn.XLOOKUP(TableIncome[[#This Row],[Year]],Loop!C:C,Loop!D:D)&lt;70,(N14*(1+$I$4))+IF(TableIncomeCalculations[[#This Row],[SwitchP1]]="Y",N14*$I$6,0),0)</f>
        <v>55544.082220435208</v>
      </c>
      <c r="O15" s="21">
        <f>IF(_xlfn.XLOOKUP(TableIncome[[#This Row],[Year]],Loop!C:C,Loop!E:E)&lt;70,(O14*(1+$I$4))+IF(TableIncomeCalculations[[#This Row],[SwitchP2]]="Y",Q14*$I$6,0),0)</f>
        <v>78488.220139147597</v>
      </c>
      <c r="P15" s="21">
        <f>IF(_xlfn.XLOOKUP(TableIncome[[#This Row],[Year]],Loop!C:C,Loop!D:D)&lt;70,(P14*(1+$I$3))+IF(TableIncomeCalculations[[#This Row],[SwitchP1]]="Y",P14*$I$5,0),0)</f>
        <v>74129.667139791884</v>
      </c>
      <c r="Q15" s="21">
        <f>IF(_xlfn.XLOOKUP(TableIncome[[#This Row],[Year]],Loop!C:C,Loop!E:E)&lt;70,(Q14*(1+$I$3))+IF(TableIncomeCalculations[[#This Row],[SwitchP2]]="Y",Q14*$I$5,0),0)</f>
        <v>102190.84792617039</v>
      </c>
      <c r="R15" t="str">
        <f>_xlfn.XLOOKUP(_xlfn.XLOOKUP(TableIncome[[#This Row],[Year]],Loop!C:C,Loop!D:D),'Job Hopping'!B:B,'Job Hopping'!F:F)</f>
        <v>N</v>
      </c>
      <c r="S15" t="str">
        <f>_xlfn.XLOOKUP(_xlfn.XLOOKUP(TableIncome[[#This Row],[Year]],Loop!C:C,Loop!E:E),'Job Hopping'!B:B,'Job Hopping'!G:G)</f>
        <v>N</v>
      </c>
    </row>
    <row r="16" spans="2:19" x14ac:dyDescent="0.25">
      <c r="B16" s="2">
        <v>2038</v>
      </c>
      <c r="C16" s="4">
        <f>(TableIncomeCalculations[[#This Row],[NetMonthlySalaryP1]]*12)</f>
        <v>362525.16910059913</v>
      </c>
      <c r="D16" s="24">
        <f>(TableIncomeCalculations[[#This Row],[NetMonthlySalaryP2]]*12)</f>
        <v>0</v>
      </c>
      <c r="E16" s="3">
        <f>TableIncome[[#This Row],[SalaryP1]]*$I$7</f>
        <v>36252.516910059916</v>
      </c>
      <c r="F16" s="3">
        <f>TableIncome[[#This Row],[SalaryP2]]*$I$7</f>
        <v>0</v>
      </c>
      <c r="G16" s="22"/>
      <c r="L16" s="23">
        <f>'Net Salary P1'!BI15</f>
        <v>30210.43075838326</v>
      </c>
      <c r="M16" s="21"/>
      <c r="N16" s="21">
        <f>IF(_xlfn.XLOOKUP(TableIncome[[#This Row],[Year]],Loop!C:C,Loop!D:D)&lt;70,(N15*(1+$I$4))+IF(TableIncomeCalculations[[#This Row],[SwitchP1]]="Y",N15*$I$6,0),0)</f>
        <v>56099.523042639557</v>
      </c>
      <c r="O16" s="21">
        <f>IF(_xlfn.XLOOKUP(TableIncome[[#This Row],[Year]],Loop!C:C,Loop!E:E)&lt;70,(O15*(1+$I$4))+IF(TableIncomeCalculations[[#This Row],[SwitchP2]]="Y",Q15*$I$6,0),0)</f>
        <v>79273.102340539073</v>
      </c>
      <c r="P16" s="21">
        <f>IF(_xlfn.XLOOKUP(TableIncome[[#This Row],[Year]],Loop!C:C,Loop!D:D)&lt;70,(P15*(1+$I$3))+IF(TableIncomeCalculations[[#This Row],[SwitchP1]]="Y",P15*$I$5,0),0)</f>
        <v>76353.557153985646</v>
      </c>
      <c r="Q16" s="21">
        <f>IF(_xlfn.XLOOKUP(TableIncome[[#This Row],[Year]],Loop!C:C,Loop!E:E)&lt;70,(Q15*(1+$I$3))+IF(TableIncomeCalculations[[#This Row],[SwitchP2]]="Y",Q15*$I$5,0),0)</f>
        <v>105256.57336395551</v>
      </c>
      <c r="R16" t="str">
        <f>_xlfn.XLOOKUP(_xlfn.XLOOKUP(TableIncome[[#This Row],[Year]],Loop!C:C,Loop!D:D),'Job Hopping'!B:B,'Job Hopping'!F:F)</f>
        <v>N</v>
      </c>
      <c r="S16" t="str">
        <f>_xlfn.XLOOKUP(_xlfn.XLOOKUP(TableIncome[[#This Row],[Year]],Loop!C:C,Loop!E:E),'Job Hopping'!B:B,'Job Hopping'!G:G)</f>
        <v>N</v>
      </c>
    </row>
    <row r="17" spans="2:19" x14ac:dyDescent="0.25">
      <c r="B17" s="2">
        <v>2039</v>
      </c>
      <c r="C17" s="4">
        <f>(TableIncomeCalculations[[#This Row],[NetMonthlySalaryP1]]*12)</f>
        <v>381157.23334703926</v>
      </c>
      <c r="D17" s="24">
        <f>(TableIncomeCalculations[[#This Row],[NetMonthlySalaryP2]]*12)</f>
        <v>0</v>
      </c>
      <c r="E17" s="3">
        <f>TableIncome[[#This Row],[SalaryP1]]*$I$7</f>
        <v>38115.723334703929</v>
      </c>
      <c r="F17" s="3">
        <f>TableIncome[[#This Row],[SalaryP2]]*$I$7</f>
        <v>0</v>
      </c>
      <c r="G17" s="22"/>
      <c r="L17" s="23">
        <f>'Net Salary P1'!BI16</f>
        <v>31763.10277891994</v>
      </c>
      <c r="M17" s="21"/>
      <c r="N17" s="21">
        <f>IF(_xlfn.XLOOKUP(TableIncome[[#This Row],[Year]],Loop!C:C,Loop!D:D)&lt;70,(N16*(1+$I$4))+IF(TableIncomeCalculations[[#This Row],[SwitchP1]]="Y",N16*$I$6,0),0)</f>
        <v>58904.499194771532</v>
      </c>
      <c r="O17" s="21">
        <f>IF(_xlfn.XLOOKUP(TableIncome[[#This Row],[Year]],Loop!C:C,Loop!E:E)&lt;70,(O16*(1+$I$4))+IF(TableIncomeCalculations[[#This Row],[SwitchP2]]="Y",Q16*$I$6,0),0)</f>
        <v>80065.833363944461</v>
      </c>
      <c r="P17" s="21">
        <f>IF(_xlfn.XLOOKUP(TableIncome[[#This Row],[Year]],Loop!C:C,Loop!D:D)&lt;70,(P16*(1+$I$3))+IF(TableIncomeCalculations[[#This Row],[SwitchP1]]="Y",P16*$I$5,0),0)</f>
        <v>83225.377297844359</v>
      </c>
      <c r="Q17" s="21">
        <f>IF(_xlfn.XLOOKUP(TableIncome[[#This Row],[Year]],Loop!C:C,Loop!E:E)&lt;70,(Q16*(1+$I$3))+IF(TableIncomeCalculations[[#This Row],[SwitchP2]]="Y",Q16*$I$5,0),0)</f>
        <v>108414.27056487418</v>
      </c>
      <c r="R17" t="str">
        <f>_xlfn.XLOOKUP(_xlfn.XLOOKUP(TableIncome[[#This Row],[Year]],Loop!C:C,Loop!D:D),'Job Hopping'!B:B,'Job Hopping'!F:F)</f>
        <v>Y</v>
      </c>
      <c r="S17" t="str">
        <f>_xlfn.XLOOKUP(_xlfn.XLOOKUP(TableIncome[[#This Row],[Year]],Loop!C:C,Loop!E:E),'Job Hopping'!B:B,'Job Hopping'!G:G)</f>
        <v>N</v>
      </c>
    </row>
    <row r="18" spans="2:19" x14ac:dyDescent="0.25">
      <c r="B18" s="2">
        <v>2040</v>
      </c>
      <c r="C18" s="4">
        <f>(TableIncomeCalculations[[#This Row],[NetMonthlySalaryP1]]*12)</f>
        <v>384344.48898751196</v>
      </c>
      <c r="D18" s="24">
        <f>(TableIncomeCalculations[[#This Row],[NetMonthlySalaryP2]]*12)</f>
        <v>0</v>
      </c>
      <c r="E18" s="3">
        <f>TableIncome[[#This Row],[SalaryP1]]*$I$7</f>
        <v>38434.448898751194</v>
      </c>
      <c r="F18" s="3">
        <f>TableIncome[[#This Row],[SalaryP2]]*$I$7</f>
        <v>0</v>
      </c>
      <c r="G18" s="22"/>
      <c r="L18" s="23">
        <f>'Net Salary P1'!BI17</f>
        <v>32028.707415625995</v>
      </c>
      <c r="M18" s="21"/>
      <c r="N18" s="21">
        <f>IF(_xlfn.XLOOKUP(TableIncome[[#This Row],[Year]],Loop!C:C,Loop!D:D)&lt;70,(N17*(1+$I$4))+IF(TableIncomeCalculations[[#This Row],[SwitchP1]]="Y",N17*$I$6,0),0)</f>
        <v>59493.544186719249</v>
      </c>
      <c r="O18" s="21">
        <f>IF(_xlfn.XLOOKUP(TableIncome[[#This Row],[Year]],Loop!C:C,Loop!E:E)&lt;70,(O17*(1+$I$4))+IF(TableIncomeCalculations[[#This Row],[SwitchP2]]="Y",Q17*$I$6,0),0)</f>
        <v>80866.491697583901</v>
      </c>
      <c r="P18" s="21">
        <f>IF(_xlfn.XLOOKUP(TableIncome[[#This Row],[Year]],Loop!C:C,Loop!D:D)&lt;70,(P17*(1+$I$3))+IF(TableIncomeCalculations[[#This Row],[SwitchP1]]="Y",P17*$I$5,0),0)</f>
        <v>85722.138616779688</v>
      </c>
      <c r="Q18" s="21">
        <f>IF(_xlfn.XLOOKUP(TableIncome[[#This Row],[Year]],Loop!C:C,Loop!E:E)&lt;70,(Q17*(1+$I$3))+IF(TableIncomeCalculations[[#This Row],[SwitchP2]]="Y",Q17*$I$5,0),0)</f>
        <v>111666.69868182042</v>
      </c>
      <c r="R18" t="str">
        <f>_xlfn.XLOOKUP(_xlfn.XLOOKUP(TableIncome[[#This Row],[Year]],Loop!C:C,Loop!D:D),'Job Hopping'!B:B,'Job Hopping'!F:F)</f>
        <v>N</v>
      </c>
      <c r="S18" t="str">
        <f>_xlfn.XLOOKUP(_xlfn.XLOOKUP(TableIncome[[#This Row],[Year]],Loop!C:C,Loop!E:E),'Job Hopping'!B:B,'Job Hopping'!G:G)</f>
        <v>N</v>
      </c>
    </row>
    <row r="19" spans="2:19" x14ac:dyDescent="0.25">
      <c r="B19" s="2">
        <v>2041</v>
      </c>
      <c r="C19" s="4">
        <f>(TableIncomeCalculations[[#This Row],[NetMonthlySalaryP1]]*12)</f>
        <v>387467.12507498433</v>
      </c>
      <c r="D19" s="24">
        <f>(TableIncomeCalculations[[#This Row],[NetMonthlySalaryP2]]*12)</f>
        <v>0</v>
      </c>
      <c r="E19" s="3">
        <f>TableIncome[[#This Row],[SalaryP1]]*$I$7</f>
        <v>38746.712507498436</v>
      </c>
      <c r="F19" s="3">
        <f>TableIncome[[#This Row],[SalaryP2]]*$I$7</f>
        <v>0</v>
      </c>
      <c r="G19" s="22"/>
      <c r="L19" s="23">
        <f>'Net Salary P1'!BI18</f>
        <v>32288.927089582026</v>
      </c>
      <c r="M19" s="21"/>
      <c r="N19" s="21">
        <f>IF(_xlfn.XLOOKUP(TableIncome[[#This Row],[Year]],Loop!C:C,Loop!D:D)&lt;70,(N18*(1+$I$4))+IF(TableIncomeCalculations[[#This Row],[SwitchP1]]="Y",N18*$I$6,0),0)</f>
        <v>60088.479628586443</v>
      </c>
      <c r="O19" s="21">
        <f>IF(_xlfn.XLOOKUP(TableIncome[[#This Row],[Year]],Loop!C:C,Loop!E:E)&lt;70,(O18*(1+$I$4))+IF(TableIncomeCalculations[[#This Row],[SwitchP2]]="Y",Q18*$I$6,0),0)</f>
        <v>81675.156614559746</v>
      </c>
      <c r="P19" s="21">
        <f>IF(_xlfn.XLOOKUP(TableIncome[[#This Row],[Year]],Loop!C:C,Loop!D:D)&lt;70,(P18*(1+$I$3))+IF(TableIncomeCalculations[[#This Row],[SwitchP1]]="Y",P18*$I$5,0),0)</f>
        <v>88293.802775283082</v>
      </c>
      <c r="Q19" s="21">
        <f>IF(_xlfn.XLOOKUP(TableIncome[[#This Row],[Year]],Loop!C:C,Loop!E:E)&lt;70,(Q18*(1+$I$3))+IF(TableIncomeCalculations[[#This Row],[SwitchP2]]="Y",Q18*$I$5,0),0)</f>
        <v>115016.69964227504</v>
      </c>
      <c r="R19" t="str">
        <f>_xlfn.XLOOKUP(_xlfn.XLOOKUP(TableIncome[[#This Row],[Year]],Loop!C:C,Loop!D:D),'Job Hopping'!B:B,'Job Hopping'!F:F)</f>
        <v>N</v>
      </c>
      <c r="S19" t="str">
        <f>_xlfn.XLOOKUP(_xlfn.XLOOKUP(TableIncome[[#This Row],[Year]],Loop!C:C,Loop!E:E),'Job Hopping'!B:B,'Job Hopping'!G:G)</f>
        <v>N</v>
      </c>
    </row>
    <row r="20" spans="2:19" x14ac:dyDescent="0.25">
      <c r="B20" s="2">
        <v>2042</v>
      </c>
      <c r="C20" s="4">
        <f>(TableIncomeCalculations[[#This Row],[NetMonthlySalaryP1]]*12)</f>
        <v>390616.93279396667</v>
      </c>
      <c r="D20" s="24">
        <f>(TableIncomeCalculations[[#This Row],[NetMonthlySalaryP2]]*12)</f>
        <v>0</v>
      </c>
      <c r="E20" s="3">
        <f>TableIncome[[#This Row],[SalaryP1]]*$I$7</f>
        <v>39061.69327939667</v>
      </c>
      <c r="F20" s="3">
        <f>TableIncome[[#This Row],[SalaryP2]]*$I$7</f>
        <v>0</v>
      </c>
      <c r="G20" s="22"/>
      <c r="L20" s="23">
        <f>'Net Salary P1'!BI19</f>
        <v>32551.411066163888</v>
      </c>
      <c r="M20" s="21"/>
      <c r="N20" s="21">
        <f>IF(_xlfn.XLOOKUP(TableIncome[[#This Row],[Year]],Loop!C:C,Loop!D:D)&lt;70,(N19*(1+$I$4))+IF(TableIncomeCalculations[[#This Row],[SwitchP1]]="Y",N19*$I$6,0),0)</f>
        <v>60689.364424872307</v>
      </c>
      <c r="O20" s="21">
        <f>IF(_xlfn.XLOOKUP(TableIncome[[#This Row],[Year]],Loop!C:C,Loop!E:E)&lt;70,(O19*(1+$I$4))+IF(TableIncomeCalculations[[#This Row],[SwitchP2]]="Y",Q19*$I$6,0),0)</f>
        <v>82491.908180705344</v>
      </c>
      <c r="P20" s="21">
        <f>IF(_xlfn.XLOOKUP(TableIncome[[#This Row],[Year]],Loop!C:C,Loop!D:D)&lt;70,(P19*(1+$I$3))+IF(TableIncomeCalculations[[#This Row],[SwitchP1]]="Y",P19*$I$5,0),0)</f>
        <v>90942.616858541573</v>
      </c>
      <c r="Q20" s="21">
        <f>IF(_xlfn.XLOOKUP(TableIncome[[#This Row],[Year]],Loop!C:C,Loop!E:E)&lt;70,(Q19*(1+$I$3))+IF(TableIncomeCalculations[[#This Row],[SwitchP2]]="Y",Q19*$I$5,0),0)</f>
        <v>118467.2006315433</v>
      </c>
      <c r="R20" t="str">
        <f>_xlfn.XLOOKUP(_xlfn.XLOOKUP(TableIncome[[#This Row],[Year]],Loop!C:C,Loop!D:D),'Job Hopping'!B:B,'Job Hopping'!F:F)</f>
        <v>N</v>
      </c>
      <c r="S20" t="str">
        <f>_xlfn.XLOOKUP(_xlfn.XLOOKUP(TableIncome[[#This Row],[Year]],Loop!C:C,Loop!E:E),'Job Hopping'!B:B,'Job Hopping'!G:G)</f>
        <v>N</v>
      </c>
    </row>
    <row r="21" spans="2:19" x14ac:dyDescent="0.25">
      <c r="B21" s="2">
        <v>2043</v>
      </c>
      <c r="C21" s="4">
        <f>(TableIncomeCalculations[[#This Row],[NetMonthlySalaryP1]]*12)</f>
        <v>405977.0658005171</v>
      </c>
      <c r="D21" s="24">
        <f>(TableIncomeCalculations[[#This Row],[NetMonthlySalaryP2]]*12)</f>
        <v>0</v>
      </c>
      <c r="E21" s="3">
        <f>TableIncome[[#This Row],[SalaryP1]]*$I$7</f>
        <v>40597.706580051716</v>
      </c>
      <c r="F21" s="3">
        <f>TableIncome[[#This Row],[SalaryP2]]*$I$7</f>
        <v>0</v>
      </c>
      <c r="G21" s="22"/>
      <c r="L21" s="23">
        <f>'Net Salary P1'!BI20</f>
        <v>33831.422150043094</v>
      </c>
      <c r="M21" s="21"/>
      <c r="N21" s="21">
        <f>IF(_xlfn.XLOOKUP(TableIncome[[#This Row],[Year]],Loop!C:C,Loop!D:D)&lt;70,(N20*(1+$I$4))+IF(TableIncomeCalculations[[#This Row],[SwitchP1]]="Y",N20*$I$6,0),0)</f>
        <v>63723.832646115923</v>
      </c>
      <c r="O21" s="21">
        <f>IF(_xlfn.XLOOKUP(TableIncome[[#This Row],[Year]],Loop!C:C,Loop!E:E)&lt;70,(O20*(1+$I$4))+IF(TableIncomeCalculations[[#This Row],[SwitchP2]]="Y",Q20*$I$6,0),0)</f>
        <v>83316.827262512394</v>
      </c>
      <c r="P21" s="21">
        <f>IF(_xlfn.XLOOKUP(TableIncome[[#This Row],[Year]],Loop!C:C,Loop!D:D)&lt;70,(P20*(1+$I$3))+IF(TableIncomeCalculations[[#This Row],[SwitchP1]]="Y",P20*$I$5,0),0)</f>
        <v>99127.452375810302</v>
      </c>
      <c r="Q21" s="21">
        <f>IF(_xlfn.XLOOKUP(TableIncome[[#This Row],[Year]],Loop!C:C,Loop!E:E)&lt;70,(Q20*(1+$I$3))+IF(TableIncomeCalculations[[#This Row],[SwitchP2]]="Y",Q20*$I$5,0),0)</f>
        <v>122021.2166504896</v>
      </c>
      <c r="R21" t="str">
        <f>_xlfn.XLOOKUP(_xlfn.XLOOKUP(TableIncome[[#This Row],[Year]],Loop!C:C,Loop!D:D),'Job Hopping'!B:B,'Job Hopping'!F:F)</f>
        <v>Y</v>
      </c>
      <c r="S21" t="str">
        <f>_xlfn.XLOOKUP(_xlfn.XLOOKUP(TableIncome[[#This Row],[Year]],Loop!C:C,Loop!E:E),'Job Hopping'!B:B,'Job Hopping'!G:G)</f>
        <v>N</v>
      </c>
    </row>
    <row r="22" spans="2:19" x14ac:dyDescent="0.25">
      <c r="B22" s="2">
        <v>2044</v>
      </c>
      <c r="C22" s="4">
        <f>(TableIncomeCalculations[[#This Row],[NetMonthlySalaryP1]]*12)</f>
        <v>409304.10042260581</v>
      </c>
      <c r="D22" s="24">
        <f>(TableIncomeCalculations[[#This Row],[NetMonthlySalaryP2]]*12)</f>
        <v>0</v>
      </c>
      <c r="E22" s="3">
        <f>TableIncome[[#This Row],[SalaryP1]]*$I$7</f>
        <v>40930.410042260584</v>
      </c>
      <c r="F22" s="3">
        <f>TableIncome[[#This Row],[SalaryP2]]*$I$7</f>
        <v>0</v>
      </c>
      <c r="G22" s="22"/>
      <c r="L22" s="23">
        <f>'Net Salary P1'!BI21</f>
        <v>34108.675035217151</v>
      </c>
      <c r="M22" s="21"/>
      <c r="N22" s="21">
        <f>IF(_xlfn.XLOOKUP(TableIncome[[#This Row],[Year]],Loop!C:C,Loop!D:D)&lt;70,(N21*(1+$I$4))+IF(TableIncomeCalculations[[#This Row],[SwitchP1]]="Y",N21*$I$6,0),0)</f>
        <v>64361.070972577079</v>
      </c>
      <c r="O22" s="21">
        <f>IF(_xlfn.XLOOKUP(TableIncome[[#This Row],[Year]],Loop!C:C,Loop!E:E)&lt;70,(O21*(1+$I$4))+IF(TableIncomeCalculations[[#This Row],[SwitchP2]]="Y",Q21*$I$6,0),0)</f>
        <v>84149.995535137525</v>
      </c>
      <c r="P22" s="21">
        <f>IF(_xlfn.XLOOKUP(TableIncome[[#This Row],[Year]],Loop!C:C,Loop!D:D)&lt;70,(P21*(1+$I$3))+IF(TableIncomeCalculations[[#This Row],[SwitchP1]]="Y",P21*$I$5,0),0)</f>
        <v>102101.27594708462</v>
      </c>
      <c r="Q22" s="21">
        <f>IF(_xlfn.XLOOKUP(TableIncome[[#This Row],[Year]],Loop!C:C,Loop!E:E)&lt;70,(Q21*(1+$I$3))+IF(TableIncomeCalculations[[#This Row],[SwitchP2]]="Y",Q21*$I$5,0),0)</f>
        <v>125681.85315000429</v>
      </c>
      <c r="R22" t="str">
        <f>_xlfn.XLOOKUP(_xlfn.XLOOKUP(TableIncome[[#This Row],[Year]],Loop!C:C,Loop!D:D),'Job Hopping'!B:B,'Job Hopping'!F:F)</f>
        <v>N</v>
      </c>
      <c r="S22" t="str">
        <f>_xlfn.XLOOKUP(_xlfn.XLOOKUP(TableIncome[[#This Row],[Year]],Loop!C:C,Loop!E:E),'Job Hopping'!B:B,'Job Hopping'!G:G)</f>
        <v>N</v>
      </c>
    </row>
    <row r="23" spans="2:19" x14ac:dyDescent="0.25">
      <c r="B23" s="2">
        <v>2045</v>
      </c>
      <c r="C23" s="4">
        <f>(TableIncomeCalculations[[#This Row],[NetMonthlySalaryP1]]*12)</f>
        <v>412660.58452887461</v>
      </c>
      <c r="D23" s="24">
        <f>(TableIncomeCalculations[[#This Row],[NetMonthlySalaryP2]]*12)</f>
        <v>0</v>
      </c>
      <c r="E23" s="3">
        <f>TableIncome[[#This Row],[SalaryP1]]*$I$7</f>
        <v>41266.058452887461</v>
      </c>
      <c r="F23" s="3">
        <f>TableIncome[[#This Row],[SalaryP2]]*$I$7</f>
        <v>0</v>
      </c>
      <c r="G23" s="22"/>
      <c r="L23" s="23">
        <f>'Net Salary P1'!BI22</f>
        <v>34388.382044072881</v>
      </c>
      <c r="M23" s="21"/>
      <c r="N23" s="21">
        <f>IF(_xlfn.XLOOKUP(TableIncome[[#This Row],[Year]],Loop!C:C,Loop!D:D)&lt;70,(N22*(1+$I$4))+IF(TableIncomeCalculations[[#This Row],[SwitchP1]]="Y",N22*$I$6,0),0)</f>
        <v>65004.681682302849</v>
      </c>
      <c r="O23" s="21">
        <f>IF(_xlfn.XLOOKUP(TableIncome[[#This Row],[Year]],Loop!C:C,Loop!E:E)&lt;70,(O22*(1+$I$4))+IF(TableIncomeCalculations[[#This Row],[SwitchP2]]="Y",Q22*$I$6,0),0)</f>
        <v>90018.769616489066</v>
      </c>
      <c r="P23" s="21">
        <f>IF(_xlfn.XLOOKUP(TableIncome[[#This Row],[Year]],Loop!C:C,Loop!D:D)&lt;70,(P22*(1+$I$3))+IF(TableIncomeCalculations[[#This Row],[SwitchP1]]="Y",P22*$I$5,0),0)</f>
        <v>105164.31422549716</v>
      </c>
      <c r="Q23" s="21">
        <f>IF(_xlfn.XLOOKUP(TableIncome[[#This Row],[Year]],Loop!C:C,Loop!E:E)&lt;70,(Q22*(1+$I$3))+IF(TableIncomeCalculations[[#This Row],[SwitchP2]]="Y",Q22*$I$5,0),0)</f>
        <v>136993.21993350468</v>
      </c>
      <c r="R23" t="str">
        <f>_xlfn.XLOOKUP(_xlfn.XLOOKUP(TableIncome[[#This Row],[Year]],Loop!C:C,Loop!D:D),'Job Hopping'!B:B,'Job Hopping'!F:F)</f>
        <v>N</v>
      </c>
      <c r="S23" t="str">
        <f>_xlfn.XLOOKUP(_xlfn.XLOOKUP(TableIncome[[#This Row],[Year]],Loop!C:C,Loop!E:E),'Job Hopping'!B:B,'Job Hopping'!G:G)</f>
        <v>Y</v>
      </c>
    </row>
    <row r="24" spans="2:19" x14ac:dyDescent="0.25">
      <c r="B24" s="2">
        <v>2046</v>
      </c>
      <c r="C24" s="4">
        <f>(TableIncomeCalculations[[#This Row],[NetMonthlySalaryP1]]*12)</f>
        <v>416046.88753302873</v>
      </c>
      <c r="D24" s="24">
        <f>(TableIncomeCalculations[[#This Row],[NetMonthlySalaryP2]]*12)</f>
        <v>0</v>
      </c>
      <c r="E24" s="3">
        <f>TableIncome[[#This Row],[SalaryP1]]*$I$7</f>
        <v>41604.688753302878</v>
      </c>
      <c r="F24" s="3">
        <f>TableIncome[[#This Row],[SalaryP2]]*$I$7</f>
        <v>0</v>
      </c>
      <c r="G24" s="22"/>
      <c r="L24" s="23">
        <f>'Net Salary P1'!BI23</f>
        <v>34670.573961085727</v>
      </c>
      <c r="M24" s="21"/>
      <c r="N24" s="21">
        <f>IF(_xlfn.XLOOKUP(TableIncome[[#This Row],[Year]],Loop!C:C,Loop!D:D)&lt;70,(N23*(1+$I$4))+IF(TableIncomeCalculations[[#This Row],[SwitchP1]]="Y",N23*$I$6,0),0)</f>
        <v>65654.728499125878</v>
      </c>
      <c r="O24" s="21">
        <f>IF(_xlfn.XLOOKUP(TableIncome[[#This Row],[Year]],Loop!C:C,Loop!E:E)&lt;70,(O23*(1+$I$4))+IF(TableIncomeCalculations[[#This Row],[SwitchP2]]="Y",Q23*$I$6,0),0)</f>
        <v>90918.957312653962</v>
      </c>
      <c r="P24" s="21">
        <f>IF(_xlfn.XLOOKUP(TableIncome[[#This Row],[Year]],Loop!C:C,Loop!D:D)&lt;70,(P23*(1+$I$3))+IF(TableIncomeCalculations[[#This Row],[SwitchP1]]="Y",P23*$I$5,0),0)</f>
        <v>108319.24365226208</v>
      </c>
      <c r="Q24" s="21">
        <f>IF(_xlfn.XLOOKUP(TableIncome[[#This Row],[Year]],Loop!C:C,Loop!E:E)&lt;70,(Q23*(1+$I$3))+IF(TableIncomeCalculations[[#This Row],[SwitchP2]]="Y",Q23*$I$5,0),0)</f>
        <v>141103.01653150981</v>
      </c>
      <c r="R24" t="str">
        <f>_xlfn.XLOOKUP(_xlfn.XLOOKUP(TableIncome[[#This Row],[Year]],Loop!C:C,Loop!D:D),'Job Hopping'!B:B,'Job Hopping'!F:F)</f>
        <v>N</v>
      </c>
      <c r="S24" t="str">
        <f>_xlfn.XLOOKUP(_xlfn.XLOOKUP(TableIncome[[#This Row],[Year]],Loop!C:C,Loop!E:E),'Job Hopping'!B:B,'Job Hopping'!G:G)</f>
        <v>N</v>
      </c>
    </row>
    <row r="25" spans="2:19" x14ac:dyDescent="0.25">
      <c r="B25" s="2">
        <v>2047</v>
      </c>
      <c r="C25" s="4">
        <f>(TableIncomeCalculations[[#This Row],[NetMonthlySalaryP1]]*12)</f>
        <v>432642.93228234095</v>
      </c>
      <c r="D25" s="24">
        <f>(TableIncomeCalculations[[#This Row],[NetMonthlySalaryP2]]*12)</f>
        <v>0</v>
      </c>
      <c r="E25" s="3">
        <f>TableIncome[[#This Row],[SalaryP1]]*$I$7</f>
        <v>43264.293228234099</v>
      </c>
      <c r="F25" s="3">
        <f>TableIncome[[#This Row],[SalaryP2]]*$I$7</f>
        <v>0</v>
      </c>
      <c r="G25" s="22"/>
      <c r="L25" s="23">
        <f>'Net Salary P1'!BI24</f>
        <v>36053.577690195081</v>
      </c>
      <c r="M25" s="21"/>
      <c r="N25" s="21">
        <f>IF(_xlfn.XLOOKUP(TableIncome[[#This Row],[Year]],Loop!C:C,Loop!D:D)&lt;70,(N24*(1+$I$4))+IF(TableIncomeCalculations[[#This Row],[SwitchP1]]="Y",N24*$I$6,0),0)</f>
        <v>68937.464924082175</v>
      </c>
      <c r="O25" s="21">
        <f>IF(_xlfn.XLOOKUP(TableIncome[[#This Row],[Year]],Loop!C:C,Loop!E:E)&lt;70,(O24*(1+$I$4))+IF(TableIncomeCalculations[[#This Row],[SwitchP2]]="Y",Q24*$I$6,0),0)</f>
        <v>91828.146885780501</v>
      </c>
      <c r="P25" s="21">
        <f>IF(_xlfn.XLOOKUP(TableIncome[[#This Row],[Year]],Loop!C:C,Loop!D:D)&lt;70,(P24*(1+$I$3))+IF(TableIncomeCalculations[[#This Row],[SwitchP1]]="Y",P24*$I$5,0),0)</f>
        <v>118067.97558096566</v>
      </c>
      <c r="Q25" s="21">
        <f>IF(_xlfn.XLOOKUP(TableIncome[[#This Row],[Year]],Loop!C:C,Loop!E:E)&lt;70,(Q24*(1+$I$3))+IF(TableIncomeCalculations[[#This Row],[SwitchP2]]="Y",Q24*$I$5,0),0)</f>
        <v>145336.10702745512</v>
      </c>
      <c r="R25" t="str">
        <f>_xlfn.XLOOKUP(_xlfn.XLOOKUP(TableIncome[[#This Row],[Year]],Loop!C:C,Loop!D:D),'Job Hopping'!B:B,'Job Hopping'!F:F)</f>
        <v>Y</v>
      </c>
      <c r="S25" t="str">
        <f>_xlfn.XLOOKUP(_xlfn.XLOOKUP(TableIncome[[#This Row],[Year]],Loop!C:C,Loop!E:E),'Job Hopping'!B:B,'Job Hopping'!G:G)</f>
        <v>N</v>
      </c>
    </row>
    <row r="26" spans="2:19" x14ac:dyDescent="0.25">
      <c r="B26" s="2">
        <v>2048</v>
      </c>
      <c r="C26" s="4">
        <f>(TableIncomeCalculations[[#This Row],[NetMonthlySalaryP1]]*12)</f>
        <v>436221.78578708041</v>
      </c>
      <c r="D26" s="24">
        <f>(TableIncomeCalculations[[#This Row],[NetMonthlySalaryP2]]*12)</f>
        <v>0</v>
      </c>
      <c r="E26" s="3">
        <f>TableIncome[[#This Row],[SalaryP1]]*$I$7</f>
        <v>43622.178578708044</v>
      </c>
      <c r="F26" s="3">
        <f>TableIncome[[#This Row],[SalaryP2]]*$I$7</f>
        <v>0</v>
      </c>
      <c r="G26" s="22"/>
      <c r="L26" s="23">
        <f>'Net Salary P1'!BI25</f>
        <v>36351.815482256701</v>
      </c>
      <c r="M26" s="21"/>
      <c r="N26" s="21">
        <f>IF(_xlfn.XLOOKUP(TableIncome[[#This Row],[Year]],Loop!C:C,Loop!D:D)&lt;70,(N25*(1+$I$4))+IF(TableIncomeCalculations[[#This Row],[SwitchP1]]="Y",N25*$I$6,0),0)</f>
        <v>69626.839573322999</v>
      </c>
      <c r="O26" s="21">
        <f>IF(_xlfn.XLOOKUP(TableIncome[[#This Row],[Year]],Loop!C:C,Loop!E:E)&lt;70,(O25*(1+$I$4))+IF(TableIncomeCalculations[[#This Row],[SwitchP2]]="Y",Q25*$I$6,0),0)</f>
        <v>92746.428354638309</v>
      </c>
      <c r="P26" s="21">
        <f>IF(_xlfn.XLOOKUP(TableIncome[[#This Row],[Year]],Loop!C:C,Loop!D:D)&lt;70,(P25*(1+$I$3))+IF(TableIncomeCalculations[[#This Row],[SwitchP1]]="Y",P25*$I$5,0),0)</f>
        <v>121610.01484839464</v>
      </c>
      <c r="Q26" s="21">
        <f>IF(_xlfn.XLOOKUP(TableIncome[[#This Row],[Year]],Loop!C:C,Loop!E:E)&lt;70,(Q25*(1+$I$3))+IF(TableIncomeCalculations[[#This Row],[SwitchP2]]="Y",Q25*$I$5,0),0)</f>
        <v>149696.19023827877</v>
      </c>
      <c r="R26" t="str">
        <f>_xlfn.XLOOKUP(_xlfn.XLOOKUP(TableIncome[[#This Row],[Year]],Loop!C:C,Loop!D:D),'Job Hopping'!B:B,'Job Hopping'!F:F)</f>
        <v>N</v>
      </c>
      <c r="S26" t="str">
        <f>_xlfn.XLOOKUP(_xlfn.XLOOKUP(TableIncome[[#This Row],[Year]],Loop!C:C,Loop!E:E),'Job Hopping'!B:B,'Job Hopping'!G:G)</f>
        <v>N</v>
      </c>
    </row>
    <row r="27" spans="2:19" x14ac:dyDescent="0.25">
      <c r="B27" s="2">
        <v>2049</v>
      </c>
      <c r="C27" s="4">
        <f>(TableIncomeCalculations[[#This Row],[NetMonthlySalaryP1]]*12)</f>
        <v>439832.89794094732</v>
      </c>
      <c r="D27" s="24">
        <f>(TableIncomeCalculations[[#This Row],[NetMonthlySalaryP2]]*12)</f>
        <v>0</v>
      </c>
      <c r="E27" s="3">
        <f>TableIncome[[#This Row],[SalaryP1]]*$I$7</f>
        <v>43983.289794094737</v>
      </c>
      <c r="F27" s="3">
        <f>TableIncome[[#This Row],[SalaryP2]]*$I$7</f>
        <v>0</v>
      </c>
      <c r="G27" s="22"/>
      <c r="L27" s="23">
        <f>'Net Salary P1'!BI26</f>
        <v>36652.741495078946</v>
      </c>
      <c r="M27" s="21"/>
      <c r="N27" s="21">
        <f>IF(_xlfn.XLOOKUP(TableIncome[[#This Row],[Year]],Loop!C:C,Loop!D:D)&lt;70,(N26*(1+$I$4))+IF(TableIncomeCalculations[[#This Row],[SwitchP1]]="Y",N26*$I$6,0),0)</f>
        <v>70323.107969056233</v>
      </c>
      <c r="O27" s="21">
        <f>IF(_xlfn.XLOOKUP(TableIncome[[#This Row],[Year]],Loop!C:C,Loop!E:E)&lt;70,(O26*(1+$I$4))+IF(TableIncomeCalculations[[#This Row],[SwitchP2]]="Y",Q26*$I$6,0),0)</f>
        <v>93673.892638184698</v>
      </c>
      <c r="P27" s="21">
        <f>IF(_xlfn.XLOOKUP(TableIncome[[#This Row],[Year]],Loop!C:C,Loop!D:D)&lt;70,(P26*(1+$I$3))+IF(TableIncomeCalculations[[#This Row],[SwitchP1]]="Y",P26*$I$5,0),0)</f>
        <v>125258.31529384648</v>
      </c>
      <c r="Q27" s="21">
        <f>IF(_xlfn.XLOOKUP(TableIncome[[#This Row],[Year]],Loop!C:C,Loop!E:E)&lt;70,(Q26*(1+$I$3))+IF(TableIncomeCalculations[[#This Row],[SwitchP2]]="Y",Q26*$I$5,0),0)</f>
        <v>154187.07594542715</v>
      </c>
      <c r="R27" t="str">
        <f>_xlfn.XLOOKUP(_xlfn.XLOOKUP(TableIncome[[#This Row],[Year]],Loop!C:C,Loop!D:D),'Job Hopping'!B:B,'Job Hopping'!F:F)</f>
        <v>N</v>
      </c>
      <c r="S27" t="str">
        <f>_xlfn.XLOOKUP(_xlfn.XLOOKUP(TableIncome[[#This Row],[Year]],Loop!C:C,Loop!E:E),'Job Hopping'!B:B,'Job Hopping'!G:G)</f>
        <v>N</v>
      </c>
    </row>
    <row r="28" spans="2:19" x14ac:dyDescent="0.25">
      <c r="B28" s="2">
        <v>2050</v>
      </c>
      <c r="C28" s="4">
        <f>(TableIncomeCalculations[[#This Row],[NetMonthlySalaryP1]]*12)</f>
        <v>443476.66054388235</v>
      </c>
      <c r="D28" s="24">
        <f>(TableIncomeCalculations[[#This Row],[NetMonthlySalaryP2]]*12)</f>
        <v>0</v>
      </c>
      <c r="E28" s="3">
        <f>TableIncome[[#This Row],[SalaryP1]]*$I$7</f>
        <v>44347.666054388239</v>
      </c>
      <c r="F28" s="3">
        <f>TableIncome[[#This Row],[SalaryP2]]*$I$7</f>
        <v>0</v>
      </c>
      <c r="G28" s="22"/>
      <c r="L28" s="23">
        <f>'Net Salary P1'!BI27</f>
        <v>36956.388378656862</v>
      </c>
      <c r="M28" s="21"/>
      <c r="N28" s="21">
        <f>IF(_xlfn.XLOOKUP(TableIncome[[#This Row],[Year]],Loop!C:C,Loop!D:D)&lt;70,(N27*(1+$I$4))+IF(TableIncomeCalculations[[#This Row],[SwitchP1]]="Y",N27*$I$6,0),0)</f>
        <v>71026.339048746799</v>
      </c>
      <c r="O28" s="21">
        <f>IF(_xlfn.XLOOKUP(TableIncome[[#This Row],[Year]],Loop!C:C,Loop!E:E)&lt;70,(O27*(1+$I$4))+IF(TableIncomeCalculations[[#This Row],[SwitchP2]]="Y",Q27*$I$6,0),0)</f>
        <v>94610.631564566545</v>
      </c>
      <c r="P28" s="21">
        <f>IF(_xlfn.XLOOKUP(TableIncome[[#This Row],[Year]],Loop!C:C,Loop!D:D)&lt;70,(P27*(1+$I$3))+IF(TableIncomeCalculations[[#This Row],[SwitchP1]]="Y",P27*$I$5,0),0)</f>
        <v>129016.06475266187</v>
      </c>
      <c r="Q28" s="21">
        <f>IF(_xlfn.XLOOKUP(TableIncome[[#This Row],[Year]],Loop!C:C,Loop!E:E)&lt;70,(Q27*(1+$I$3))+IF(TableIncomeCalculations[[#This Row],[SwitchP2]]="Y",Q27*$I$5,0),0)</f>
        <v>158812.68822378997</v>
      </c>
      <c r="R28" t="str">
        <f>_xlfn.XLOOKUP(_xlfn.XLOOKUP(TableIncome[[#This Row],[Year]],Loop!C:C,Loop!D:D),'Job Hopping'!B:B,'Job Hopping'!F:F)</f>
        <v>N</v>
      </c>
      <c r="S28" t="str">
        <f>_xlfn.XLOOKUP(_xlfn.XLOOKUP(TableIncome[[#This Row],[Year]],Loop!C:C,Loop!E:E),'Job Hopping'!B:B,'Job Hopping'!G:G)</f>
        <v>N</v>
      </c>
    </row>
    <row r="29" spans="2:19" x14ac:dyDescent="0.25">
      <c r="B29" s="2">
        <v>2051</v>
      </c>
      <c r="C29" s="4">
        <f>(TableIncomeCalculations[[#This Row],[NetMonthlySalaryP1]]*12)</f>
        <v>447153.4679566992</v>
      </c>
      <c r="D29" s="24">
        <f>(TableIncomeCalculations[[#This Row],[NetMonthlySalaryP2]]*12)</f>
        <v>0</v>
      </c>
      <c r="E29" s="3">
        <f>TableIncome[[#This Row],[SalaryP1]]*$I$7</f>
        <v>44715.346795669924</v>
      </c>
      <c r="F29" s="3">
        <f>TableIncome[[#This Row],[SalaryP2]]*$I$7</f>
        <v>0</v>
      </c>
      <c r="G29" s="22"/>
      <c r="L29" s="23">
        <f>'Net Salary P1'!BI28</f>
        <v>37262.788996391602</v>
      </c>
      <c r="M29" s="21"/>
      <c r="N29" s="21">
        <f>IF(_xlfn.XLOOKUP(TableIncome[[#This Row],[Year]],Loop!C:C,Loop!D:D)&lt;70,(N28*(1+$I$4))+IF(TableIncomeCalculations[[#This Row],[SwitchP1]]="Y",N28*$I$6,0),0)</f>
        <v>71736.602439234266</v>
      </c>
      <c r="O29" s="21">
        <f>IF(_xlfn.XLOOKUP(TableIncome[[#This Row],[Year]],Loop!C:C,Loop!E:E)&lt;70,(O28*(1+$I$4))+IF(TableIncomeCalculations[[#This Row],[SwitchP2]]="Y",Q28*$I$6,0),0)</f>
        <v>95556.737880212211</v>
      </c>
      <c r="P29" s="21">
        <f>IF(_xlfn.XLOOKUP(TableIncome[[#This Row],[Year]],Loop!C:C,Loop!D:D)&lt;70,(P28*(1+$I$3))+IF(TableIncomeCalculations[[#This Row],[SwitchP1]]="Y",P28*$I$5,0),0)</f>
        <v>132886.54669524173</v>
      </c>
      <c r="Q29" s="21">
        <f>IF(_xlfn.XLOOKUP(TableIncome[[#This Row],[Year]],Loop!C:C,Loop!E:E)&lt;70,(Q28*(1+$I$3))+IF(TableIncomeCalculations[[#This Row],[SwitchP2]]="Y",Q28*$I$5,0),0)</f>
        <v>163577.06887050366</v>
      </c>
      <c r="R29" t="str">
        <f>_xlfn.XLOOKUP(_xlfn.XLOOKUP(TableIncome[[#This Row],[Year]],Loop!C:C,Loop!D:D),'Job Hopping'!B:B,'Job Hopping'!F:F)</f>
        <v>N</v>
      </c>
      <c r="S29" t="str">
        <f>_xlfn.XLOOKUP(_xlfn.XLOOKUP(TableIncome[[#This Row],[Year]],Loop!C:C,Loop!E:E),'Job Hopping'!B:B,'Job Hopping'!G:G)</f>
        <v>N</v>
      </c>
    </row>
    <row r="30" spans="2:19" x14ac:dyDescent="0.25">
      <c r="B30" s="2">
        <v>2052</v>
      </c>
      <c r="C30" s="4">
        <f>(TableIncomeCalculations[[#This Row],[NetMonthlySalaryP1]]*12)</f>
        <v>450863.7171533035</v>
      </c>
      <c r="D30" s="24">
        <f>(TableIncomeCalculations[[#This Row],[NetMonthlySalaryP2]]*12)</f>
        <v>0</v>
      </c>
      <c r="E30" s="3">
        <f>TableIncome[[#This Row],[SalaryP1]]*$I$7</f>
        <v>45086.371715330351</v>
      </c>
      <c r="F30" s="3">
        <f>TableIncome[[#This Row],[SalaryP2]]*$I$7</f>
        <v>0</v>
      </c>
      <c r="G30" s="22"/>
      <c r="L30" s="23">
        <f>'Net Salary P1'!BI29</f>
        <v>37571.976429441958</v>
      </c>
      <c r="M30" s="21"/>
      <c r="N30" s="21">
        <f>IF(_xlfn.XLOOKUP(TableIncome[[#This Row],[Year]],Loop!C:C,Loop!D:D)&lt;70,(N29*(1+$I$4))+IF(TableIncomeCalculations[[#This Row],[SwitchP1]]="Y",N29*$I$6,0),0)</f>
        <v>72453.968463626603</v>
      </c>
      <c r="O30" s="21">
        <f>IF(_xlfn.XLOOKUP(TableIncome[[#This Row],[Year]],Loop!C:C,Loop!E:E)&lt;70,(O29*(1+$I$4))+IF(TableIncomeCalculations[[#This Row],[SwitchP2]]="Y",Q29*$I$6,0),0)</f>
        <v>96512.305259014334</v>
      </c>
      <c r="P30" s="21">
        <f>IF(_xlfn.XLOOKUP(TableIncome[[#This Row],[Year]],Loop!C:C,Loop!D:D)&lt;70,(P29*(1+$I$3))+IF(TableIncomeCalculations[[#This Row],[SwitchP1]]="Y",P29*$I$5,0),0)</f>
        <v>136873.143096099</v>
      </c>
      <c r="Q30" s="21">
        <f>IF(_xlfn.XLOOKUP(TableIncome[[#This Row],[Year]],Loop!C:C,Loop!E:E)&lt;70,(Q29*(1+$I$3))+IF(TableIncomeCalculations[[#This Row],[SwitchP2]]="Y",Q29*$I$5,0),0)</f>
        <v>168484.38093661878</v>
      </c>
      <c r="R30" t="str">
        <f>_xlfn.XLOOKUP(_xlfn.XLOOKUP(TableIncome[[#This Row],[Year]],Loop!C:C,Loop!D:D),'Job Hopping'!B:B,'Job Hopping'!F:F)</f>
        <v>N</v>
      </c>
      <c r="S30" t="str">
        <f>_xlfn.XLOOKUP(_xlfn.XLOOKUP(TableIncome[[#This Row],[Year]],Loop!C:C,Loop!E:E),'Job Hopping'!B:B,'Job Hopping'!G:G)</f>
        <v>N</v>
      </c>
    </row>
    <row r="31" spans="2:19" x14ac:dyDescent="0.25">
      <c r="B31" s="2">
        <v>2053</v>
      </c>
      <c r="C31" s="4">
        <f>(TableIncomeCalculations[[#This Row],[NetMonthlySalaryP1]]*12)</f>
        <v>454607.80777291232</v>
      </c>
      <c r="D31" s="24">
        <f>(TableIncomeCalculations[[#This Row],[NetMonthlySalaryP2]]*12)</f>
        <v>0</v>
      </c>
      <c r="E31" s="3">
        <f>TableIncome[[#This Row],[SalaryP1]]*$I$7</f>
        <v>45460.780777291235</v>
      </c>
      <c r="F31" s="3">
        <f>TableIncome[[#This Row],[SalaryP2]]*$I$7</f>
        <v>0</v>
      </c>
      <c r="G31" s="22"/>
      <c r="L31" s="23">
        <f>'Net Salary P1'!BI30</f>
        <v>37883.983981076024</v>
      </c>
      <c r="M31" s="21"/>
      <c r="N31" s="21">
        <f>IF(_xlfn.XLOOKUP(TableIncome[[#This Row],[Year]],Loop!C:C,Loop!D:D)&lt;70,(N30*(1+$I$4))+IF(TableIncomeCalculations[[#This Row],[SwitchP1]]="Y",N30*$I$6,0),0)</f>
        <v>73178.508148262874</v>
      </c>
      <c r="O31" s="21">
        <f>IF(_xlfn.XLOOKUP(TableIncome[[#This Row],[Year]],Loop!C:C,Loop!E:E)&lt;70,(O30*(1+$I$4))+IF(TableIncomeCalculations[[#This Row],[SwitchP2]]="Y",Q30*$I$6,0),0)</f>
        <v>97477.428311604483</v>
      </c>
      <c r="P31" s="21">
        <f>IF(_xlfn.XLOOKUP(TableIncome[[#This Row],[Year]],Loop!C:C,Loop!D:D)&lt;70,(P30*(1+$I$3))+IF(TableIncomeCalculations[[#This Row],[SwitchP1]]="Y",P30*$I$5,0),0)</f>
        <v>140979.33738898198</v>
      </c>
      <c r="Q31" s="21">
        <f>IF(_xlfn.XLOOKUP(TableIncome[[#This Row],[Year]],Loop!C:C,Loop!E:E)&lt;70,(Q30*(1+$I$3))+IF(TableIncomeCalculations[[#This Row],[SwitchP2]]="Y",Q30*$I$5,0),0)</f>
        <v>173538.91236471734</v>
      </c>
      <c r="R31" t="str">
        <f>_xlfn.XLOOKUP(_xlfn.XLOOKUP(TableIncome[[#This Row],[Year]],Loop!C:C,Loop!D:D),'Job Hopping'!B:B,'Job Hopping'!F:F)</f>
        <v>N</v>
      </c>
      <c r="S31" t="str">
        <f>_xlfn.XLOOKUP(_xlfn.XLOOKUP(TableIncome[[#This Row],[Year]],Loop!C:C,Loop!E:E),'Job Hopping'!B:B,'Job Hopping'!G:G)</f>
        <v>N</v>
      </c>
    </row>
    <row r="32" spans="2:19" x14ac:dyDescent="0.25">
      <c r="B32" s="2">
        <v>2054</v>
      </c>
      <c r="C32" s="4">
        <f>(TableIncomeCalculations[[#This Row],[NetMonthlySalaryP1]]*12)</f>
        <v>458386.14217228425</v>
      </c>
      <c r="D32" s="24">
        <f>(TableIncomeCalculations[[#This Row],[NetMonthlySalaryP2]]*12)</f>
        <v>0</v>
      </c>
      <c r="E32" s="3">
        <f>TableIncome[[#This Row],[SalaryP1]]*$I$7</f>
        <v>45838.614217228431</v>
      </c>
      <c r="F32" s="3">
        <f>TableIncome[[#This Row],[SalaryP2]]*$I$7</f>
        <v>0</v>
      </c>
      <c r="G32" s="22"/>
      <c r="L32" s="23">
        <f>'Net Salary P1'!BI31</f>
        <v>38198.845181023687</v>
      </c>
      <c r="M32" s="21"/>
      <c r="N32" s="21">
        <f>IF(_xlfn.XLOOKUP(TableIncome[[#This Row],[Year]],Loop!C:C,Loop!D:D)&lt;70,(N31*(1+$I$4))+IF(TableIncomeCalculations[[#This Row],[SwitchP1]]="Y",N31*$I$6,0),0)</f>
        <v>73910.293229745497</v>
      </c>
      <c r="O32" s="21">
        <f>IF(_xlfn.XLOOKUP(TableIncome[[#This Row],[Year]],Loop!C:C,Loop!E:E)&lt;70,(O31*(1+$I$4))+IF(TableIncomeCalculations[[#This Row],[SwitchP2]]="Y",Q31*$I$6,0),0)</f>
        <v>98452.202594720526</v>
      </c>
      <c r="P32" s="21">
        <f>IF(_xlfn.XLOOKUP(TableIncome[[#This Row],[Year]],Loop!C:C,Loop!D:D)&lt;70,(P31*(1+$I$3))+IF(TableIncomeCalculations[[#This Row],[SwitchP1]]="Y",P31*$I$5,0),0)</f>
        <v>145208.71751065145</v>
      </c>
      <c r="Q32" s="21">
        <f>IF(_xlfn.XLOOKUP(TableIncome[[#This Row],[Year]],Loop!C:C,Loop!E:E)&lt;70,(Q31*(1+$I$3))+IF(TableIncomeCalculations[[#This Row],[SwitchP2]]="Y",Q31*$I$5,0),0)</f>
        <v>178745.07973565886</v>
      </c>
      <c r="R32" t="str">
        <f>_xlfn.XLOOKUP(_xlfn.XLOOKUP(TableIncome[[#This Row],[Year]],Loop!C:C,Loop!D:D),'Job Hopping'!B:B,'Job Hopping'!F:F)</f>
        <v>N</v>
      </c>
      <c r="S32" t="str">
        <f>_xlfn.XLOOKUP(_xlfn.XLOOKUP(TableIncome[[#This Row],[Year]],Loop!C:C,Loop!E:E),'Job Hopping'!B:B,'Job Hopping'!G:G)</f>
        <v>N</v>
      </c>
    </row>
    <row r="33" spans="2:19" x14ac:dyDescent="0.25">
      <c r="B33" s="2">
        <v>2055</v>
      </c>
      <c r="C33" s="4">
        <f>(TableIncomeCalculations[[#This Row],[NetMonthlySalaryP1]]*12)</f>
        <v>462199.12547797069</v>
      </c>
      <c r="D33" s="24">
        <f>(TableIncomeCalculations[[#This Row],[NetMonthlySalaryP2]]*12)</f>
        <v>0</v>
      </c>
      <c r="E33" s="3">
        <f>TableIncome[[#This Row],[SalaryP1]]*$I$7</f>
        <v>46219.912547797074</v>
      </c>
      <c r="F33" s="3">
        <f>TableIncome[[#This Row],[SalaryP2]]*$I$7</f>
        <v>0</v>
      </c>
      <c r="G33" s="22"/>
      <c r="L33" s="23">
        <f>'Net Salary P1'!BI32</f>
        <v>38516.593789830891</v>
      </c>
      <c r="M33" s="21"/>
      <c r="N33" s="21">
        <f>IF(_xlfn.XLOOKUP(TableIncome[[#This Row],[Year]],Loop!C:C,Loop!D:D)&lt;70,(N32*(1+$I$4))+IF(TableIncomeCalculations[[#This Row],[SwitchP1]]="Y",N32*$I$6,0),0)</f>
        <v>74649.396162042947</v>
      </c>
      <c r="O33" s="21">
        <f>IF(_xlfn.XLOOKUP(TableIncome[[#This Row],[Year]],Loop!C:C,Loop!E:E)&lt;70,(O32*(1+$I$4))+IF(TableIncomeCalculations[[#This Row],[SwitchP2]]="Y",Q32*$I$6,0),0)</f>
        <v>0</v>
      </c>
      <c r="P33" s="21">
        <f>IF(_xlfn.XLOOKUP(TableIncome[[#This Row],[Year]],Loop!C:C,Loop!D:D)&lt;70,(P32*(1+$I$3))+IF(TableIncomeCalculations[[#This Row],[SwitchP1]]="Y",P32*$I$5,0),0)</f>
        <v>149564.97903597099</v>
      </c>
      <c r="Q33" s="21">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25">
      <c r="B34" s="2">
        <v>2056</v>
      </c>
      <c r="C34" s="4">
        <f>(TableIncomeCalculations[[#This Row],[NetMonthlySalaryP1]]*12)</f>
        <v>466047.16563859722</v>
      </c>
      <c r="D34" s="24">
        <f>(TableIncomeCalculations[[#This Row],[NetMonthlySalaryP2]]*12)</f>
        <v>0</v>
      </c>
      <c r="E34" s="3">
        <f>TableIncome[[#This Row],[SalaryP1]]*$I$7</f>
        <v>46604.716563859722</v>
      </c>
      <c r="F34" s="3">
        <f>TableIncome[[#This Row],[SalaryP2]]*$I$7</f>
        <v>0</v>
      </c>
      <c r="G34" s="22"/>
      <c r="L34" s="23">
        <f>'Net Salary P1'!BI33</f>
        <v>38837.263803216432</v>
      </c>
      <c r="M34" s="21"/>
      <c r="N34" s="21">
        <f>IF(_xlfn.XLOOKUP(TableIncome[[#This Row],[Year]],Loop!C:C,Loop!D:D)&lt;70,(N33*(1+$I$4))+IF(TableIncomeCalculations[[#This Row],[SwitchP1]]="Y",N33*$I$6,0),0)</f>
        <v>75395.890123663383</v>
      </c>
      <c r="O34" s="21">
        <f>IF(_xlfn.XLOOKUP(TableIncome[[#This Row],[Year]],Loop!C:C,Loop!E:E)&lt;70,(O33*(1+$I$4))+IF(TableIncomeCalculations[[#This Row],[SwitchP2]]="Y",Q33*$I$6,0),0)</f>
        <v>0</v>
      </c>
      <c r="P34" s="21">
        <f>IF(_xlfn.XLOOKUP(TableIncome[[#This Row],[Year]],Loop!C:C,Loop!D:D)&lt;70,(P33*(1+$I$3))+IF(TableIncomeCalculations[[#This Row],[SwitchP1]]="Y",P33*$I$5,0),0)</f>
        <v>154051.92840705012</v>
      </c>
      <c r="Q34" s="21">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25">
      <c r="B35" s="2">
        <v>2057</v>
      </c>
      <c r="C35" s="4">
        <f>(TableIncomeCalculations[[#This Row],[NetMonthlySalaryP1]]*12)</f>
        <v>469930.67347718577</v>
      </c>
      <c r="D35" s="24">
        <f>(TableIncomeCalculations[[#This Row],[NetMonthlySalaryP2]]*12)</f>
        <v>0</v>
      </c>
      <c r="E35" s="3">
        <f>TableIncome[[#This Row],[SalaryP1]]*$I$7</f>
        <v>46993.067347718577</v>
      </c>
      <c r="F35" s="3">
        <f>TableIncome[[#This Row],[SalaryP2]]*$I$7</f>
        <v>0</v>
      </c>
      <c r="G35" s="22"/>
      <c r="L35" s="23">
        <f>'Net Salary P1'!BI34</f>
        <v>39160.889456432145</v>
      </c>
      <c r="M35" s="21"/>
      <c r="N35" s="21">
        <f>IF(_xlfn.XLOOKUP(TableIncome[[#This Row],[Year]],Loop!C:C,Loop!D:D)&lt;70,(N34*(1+$I$4))+IF(TableIncomeCalculations[[#This Row],[SwitchP1]]="Y",N34*$I$6,0),0)</f>
        <v>76149.849024900017</v>
      </c>
      <c r="O35" s="21">
        <f>IF(_xlfn.XLOOKUP(TableIncome[[#This Row],[Year]],Loop!C:C,Loop!E:E)&lt;70,(O34*(1+$I$4))+IF(TableIncomeCalculations[[#This Row],[SwitchP2]]="Y",Q34*$I$6,0),0)</f>
        <v>0</v>
      </c>
      <c r="P35" s="21">
        <f>IF(_xlfn.XLOOKUP(TableIncome[[#This Row],[Year]],Loop!C:C,Loop!D:D)&lt;70,(P34*(1+$I$3))+IF(TableIncomeCalculations[[#This Row],[SwitchP1]]="Y",P34*$I$5,0),0)</f>
        <v>158673.48625926161</v>
      </c>
      <c r="Q35" s="21">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25">
      <c r="B36" s="2">
        <v>2058</v>
      </c>
      <c r="C36" s="4">
        <f>(TableIncomeCalculations[[#This Row],[NetMonthlySalaryP1]]*12)</f>
        <v>473850.06274352875</v>
      </c>
      <c r="D36" s="24">
        <f>(TableIncomeCalculations[[#This Row],[NetMonthlySalaryP2]]*12)</f>
        <v>0</v>
      </c>
      <c r="E36" s="3">
        <f>TableIncome[[#This Row],[SalaryP1]]*$I$7</f>
        <v>47385.006274352876</v>
      </c>
      <c r="F36" s="3">
        <f>TableIncome[[#This Row],[SalaryP2]]*$I$7</f>
        <v>0</v>
      </c>
      <c r="G36" s="22"/>
      <c r="L36" s="23">
        <f>'Net Salary P1'!BI35</f>
        <v>39487.505228627393</v>
      </c>
      <c r="M36" s="21"/>
      <c r="N36" s="21">
        <f>IF(_xlfn.XLOOKUP(TableIncome[[#This Row],[Year]],Loop!C:C,Loop!D:D)&lt;70,(N35*(1+$I$4))+IF(TableIncomeCalculations[[#This Row],[SwitchP1]]="Y",N35*$I$6,0),0)</f>
        <v>76911.347515149013</v>
      </c>
      <c r="O36" s="21">
        <f>IF(_xlfn.XLOOKUP(TableIncome[[#This Row],[Year]],Loop!C:C,Loop!E:E)&lt;70,(O35*(1+$I$4))+IF(TableIncomeCalculations[[#This Row],[SwitchP2]]="Y",Q35*$I$6,0),0)</f>
        <v>0</v>
      </c>
      <c r="P36" s="21">
        <f>IF(_xlfn.XLOOKUP(TableIncome[[#This Row],[Year]],Loop!C:C,Loop!D:D)&lt;70,(P35*(1+$I$3))+IF(TableIncomeCalculations[[#This Row],[SwitchP1]]="Y",P35*$I$5,0),0)</f>
        <v>163433.69084703946</v>
      </c>
      <c r="Q36" s="21">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25">
      <c r="B37" s="2">
        <v>2059</v>
      </c>
      <c r="C37" s="4">
        <f>(TableIncomeCalculations[[#This Row],[NetMonthlySalaryP1]]*12)</f>
        <v>477805.75016662199</v>
      </c>
      <c r="D37" s="24">
        <f>(TableIncomeCalculations[[#This Row],[NetMonthlySalaryP2]]*12)</f>
        <v>0</v>
      </c>
      <c r="E37" s="3">
        <f>TableIncome[[#This Row],[SalaryP1]]*$I$7</f>
        <v>47780.575016662202</v>
      </c>
      <c r="F37" s="3">
        <f>TableIncome[[#This Row],[SalaryP2]]*$I$7</f>
        <v>0</v>
      </c>
      <c r="G37" s="22"/>
      <c r="L37" s="23">
        <f>'Net Salary P1'!BI36</f>
        <v>39817.145847218497</v>
      </c>
      <c r="M37" s="21"/>
      <c r="N37" s="21">
        <f>IF(_xlfn.XLOOKUP(TableIncome[[#This Row],[Year]],Loop!C:C,Loop!D:D)&lt;70,(N36*(1+$I$4))+IF(TableIncomeCalculations[[#This Row],[SwitchP1]]="Y",N36*$I$6,0),0)</f>
        <v>77680.460990300504</v>
      </c>
      <c r="O37" s="21">
        <f>IF(_xlfn.XLOOKUP(TableIncome[[#This Row],[Year]],Loop!C:C,Loop!E:E)&lt;70,(O36*(1+$I$4))+IF(TableIncomeCalculations[[#This Row],[SwitchP2]]="Y",Q36*$I$6,0),0)</f>
        <v>0</v>
      </c>
      <c r="P37" s="21">
        <f>IF(_xlfn.XLOOKUP(TableIncome[[#This Row],[Year]],Loop!C:C,Loop!D:D)&lt;70,(P36*(1+$I$3))+IF(TableIncomeCalculations[[#This Row],[SwitchP1]]="Y",P36*$I$5,0),0)</f>
        <v>168336.70157245063</v>
      </c>
      <c r="Q37" s="21">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25">
      <c r="B38" s="2">
        <v>2060</v>
      </c>
      <c r="C38" s="4">
        <f>(TableIncomeCalculations[[#This Row],[NetMonthlySalaryP1]]*12)</f>
        <v>497391.75610410911</v>
      </c>
      <c r="D38" s="24">
        <f>(TableIncomeCalculations[[#This Row],[NetMonthlySalaryP2]]*12)</f>
        <v>0</v>
      </c>
      <c r="E38" s="3">
        <f>TableIncome[[#This Row],[SalaryP1]]*$I$7</f>
        <v>49739.175610410915</v>
      </c>
      <c r="F38" s="3">
        <f>TableIncome[[#This Row],[SalaryP2]]*$I$7</f>
        <v>0</v>
      </c>
      <c r="G38" s="22"/>
      <c r="L38" s="23">
        <f>'Net Salary P1'!BI37</f>
        <v>41449.313008675759</v>
      </c>
      <c r="M38" s="21"/>
      <c r="N38" s="21">
        <f>IF(_xlfn.XLOOKUP(TableIncome[[#This Row],[Year]],Loop!C:C,Loop!D:D)&lt;70,(N37*(1+$I$4))+IF(TableIncomeCalculations[[#This Row],[SwitchP1]]="Y",N37*$I$6,0),0)</f>
        <v>81564.484039815521</v>
      </c>
      <c r="O38" s="21">
        <f>IF(_xlfn.XLOOKUP(TableIncome[[#This Row],[Year]],Loop!C:C,Loop!E:E)&lt;70,(O37*(1+$I$4))+IF(TableIncomeCalculations[[#This Row],[SwitchP2]]="Y",Q37*$I$6,0),0)</f>
        <v>0</v>
      </c>
      <c r="P38" s="21">
        <f>IF(_xlfn.XLOOKUP(TableIncome[[#This Row],[Year]],Loop!C:C,Loop!D:D)&lt;70,(P37*(1+$I$3))+IF(TableIncomeCalculations[[#This Row],[SwitchP1]]="Y",P37*$I$5,0),0)</f>
        <v>183487.0047139712</v>
      </c>
      <c r="Q38" s="21">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25">
      <c r="B39" s="2">
        <v>2061</v>
      </c>
      <c r="C39" s="4">
        <f>(TableIncomeCalculations[[#This Row],[NetMonthlySalaryP1]]*12)</f>
        <v>501577.2382130723</v>
      </c>
      <c r="D39" s="24">
        <f>(TableIncomeCalculations[[#This Row],[NetMonthlySalaryP2]]*12)</f>
        <v>0</v>
      </c>
      <c r="E39" s="3">
        <f>TableIncome[[#This Row],[SalaryP1]]*$I$7</f>
        <v>50157.723821307234</v>
      </c>
      <c r="F39" s="3">
        <f>TableIncome[[#This Row],[SalaryP2]]*$I$7</f>
        <v>0</v>
      </c>
      <c r="G39" s="22"/>
      <c r="L39" s="23">
        <f>'Net Salary P1'!BI38</f>
        <v>41798.103184422689</v>
      </c>
      <c r="M39" s="21"/>
      <c r="N39" s="21">
        <f>IF(_xlfn.XLOOKUP(TableIncome[[#This Row],[Year]],Loop!C:C,Loop!D:D)&lt;70,(N38*(1+$I$4))+IF(TableIncomeCalculations[[#This Row],[SwitchP1]]="Y",N38*$I$6,0),0)</f>
        <v>82380.128880213684</v>
      </c>
      <c r="O39" s="21">
        <f>IF(_xlfn.XLOOKUP(TableIncome[[#This Row],[Year]],Loop!C:C,Loop!E:E)&lt;70,(O38*(1+$I$4))+IF(TableIncomeCalculations[[#This Row],[SwitchP2]]="Y",Q38*$I$6,0),0)</f>
        <v>0</v>
      </c>
      <c r="P39" s="21">
        <f>IF(_xlfn.XLOOKUP(TableIncome[[#This Row],[Year]],Loop!C:C,Loop!D:D)&lt;70,(P38*(1+$I$3))+IF(TableIncomeCalculations[[#This Row],[SwitchP1]]="Y",P38*$I$5,0),0)</f>
        <v>188991.61485539033</v>
      </c>
      <c r="Q39" s="21">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25">
      <c r="B40" s="2">
        <v>2062</v>
      </c>
      <c r="C40" s="4">
        <f>(TableIncomeCalculations[[#This Row],[NetMonthlySalaryP1]]*12)</f>
        <v>505801.84642649908</v>
      </c>
      <c r="D40" s="24">
        <f>(TableIncomeCalculations[[#This Row],[NetMonthlySalaryP2]]*12)</f>
        <v>0</v>
      </c>
      <c r="E40" s="3">
        <f>TableIncome[[#This Row],[SalaryP1]]*$I$7</f>
        <v>50580.184642649911</v>
      </c>
      <c r="F40" s="3">
        <f>TableIncome[[#This Row],[SalaryP2]]*$I$7</f>
        <v>0</v>
      </c>
      <c r="G40" s="22"/>
      <c r="L40" s="23">
        <f>'Net Salary P1'!BI39</f>
        <v>42150.153868874921</v>
      </c>
      <c r="M40" s="21"/>
      <c r="N40" s="21">
        <f>IF(_xlfn.XLOOKUP(TableIncome[[#This Row],[Year]],Loop!C:C,Loop!D:D)&lt;70,(N39*(1+$I$4))+IF(TableIncomeCalculations[[#This Row],[SwitchP1]]="Y",N39*$I$6,0),0)</f>
        <v>83203.930169015817</v>
      </c>
      <c r="O40" s="21">
        <f>IF(_xlfn.XLOOKUP(TableIncome[[#This Row],[Year]],Loop!C:C,Loop!E:E)&lt;70,(O39*(1+$I$4))+IF(TableIncomeCalculations[[#This Row],[SwitchP2]]="Y",Q39*$I$6,0),0)</f>
        <v>0</v>
      </c>
      <c r="P40" s="21">
        <f>IF(_xlfn.XLOOKUP(TableIncome[[#This Row],[Year]],Loop!C:C,Loop!D:D)&lt;70,(P39*(1+$I$3))+IF(TableIncomeCalculations[[#This Row],[SwitchP1]]="Y",P39*$I$5,0),0)</f>
        <v>194661.36330105204</v>
      </c>
      <c r="Q40" s="21">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25">
      <c r="B41" s="2">
        <v>2063</v>
      </c>
      <c r="C41" s="4">
        <f>(TableIncomeCalculations[[#This Row],[NetMonthlySalaryP1]]*12)</f>
        <v>510066.02550968179</v>
      </c>
      <c r="D41" s="24">
        <f>(TableIncomeCalculations[[#This Row],[NetMonthlySalaryP2]]*12)</f>
        <v>0</v>
      </c>
      <c r="E41" s="3">
        <f>TableIncome[[#This Row],[SalaryP1]]*$I$7</f>
        <v>51006.602550968179</v>
      </c>
      <c r="F41" s="3">
        <f>TableIncome[[#This Row],[SalaryP2]]*$I$7</f>
        <v>0</v>
      </c>
      <c r="G41" s="22"/>
      <c r="L41" s="23">
        <f>'Net Salary P1'!BI40</f>
        <v>42505.502125806815</v>
      </c>
      <c r="M41" s="21"/>
      <c r="N41" s="21">
        <f>IF(_xlfn.XLOOKUP(TableIncome[[#This Row],[Year]],Loop!C:C,Loop!D:D)&lt;70,(N40*(1+$I$4))+IF(TableIncomeCalculations[[#This Row],[SwitchP1]]="Y",N40*$I$6,0),0)</f>
        <v>84035.969470705983</v>
      </c>
      <c r="O41" s="21">
        <f>IF(_xlfn.XLOOKUP(TableIncome[[#This Row],[Year]],Loop!C:C,Loop!E:E)&lt;70,(O40*(1+$I$4))+IF(TableIncomeCalculations[[#This Row],[SwitchP2]]="Y",Q40*$I$6,0),0)</f>
        <v>0</v>
      </c>
      <c r="P41" s="21">
        <f>IF(_xlfn.XLOOKUP(TableIncome[[#This Row],[Year]],Loop!C:C,Loop!D:D)&lt;70,(P40*(1+$I$3))+IF(TableIncomeCalculations[[#This Row],[SwitchP1]]="Y",P40*$I$5,0),0)</f>
        <v>200501.20420008362</v>
      </c>
      <c r="Q41" s="21">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25">
      <c r="B42" s="2">
        <v>2064</v>
      </c>
      <c r="C42" s="4">
        <f>(TableIncomeCalculations[[#This Row],[NetMonthlySalaryP1]]*12)</f>
        <v>514370.22362646268</v>
      </c>
      <c r="D42" s="24">
        <f>(TableIncomeCalculations[[#This Row],[NetMonthlySalaryP2]]*12)</f>
        <v>0</v>
      </c>
      <c r="E42" s="3">
        <f>TableIncome[[#This Row],[SalaryP1]]*$I$7</f>
        <v>51437.022362646268</v>
      </c>
      <c r="F42" s="3">
        <f>TableIncome[[#This Row],[SalaryP2]]*$I$7</f>
        <v>0</v>
      </c>
      <c r="G42" s="22"/>
      <c r="L42" s="23">
        <f>'Net Salary P1'!BI41</f>
        <v>42864.185302205224</v>
      </c>
      <c r="M42" s="21"/>
      <c r="N42" s="21">
        <f>IF(_xlfn.XLOOKUP(TableIncome[[#This Row],[Year]],Loop!C:C,Loop!D:D)&lt;70,(N41*(1+$I$4))+IF(TableIncomeCalculations[[#This Row],[SwitchP1]]="Y",N41*$I$6,0),0)</f>
        <v>84876.329165413044</v>
      </c>
      <c r="O42" s="21">
        <f>IF(_xlfn.XLOOKUP(TableIncome[[#This Row],[Year]],Loop!C:C,Loop!E:E)&lt;70,(O41*(1+$I$4))+IF(TableIncomeCalculations[[#This Row],[SwitchP2]]="Y",Q41*$I$6,0),0)</f>
        <v>0</v>
      </c>
      <c r="P42" s="21">
        <f>IF(_xlfn.XLOOKUP(TableIncome[[#This Row],[Year]],Loop!C:C,Loop!D:D)&lt;70,(P41*(1+$I$3))+IF(TableIncomeCalculations[[#This Row],[SwitchP1]]="Y",P41*$I$5,0),0)</f>
        <v>206516.24032608615</v>
      </c>
      <c r="Q42" s="21">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25">
      <c r="B43" s="2">
        <v>2065</v>
      </c>
      <c r="C43" s="4">
        <f>(TableIncomeCalculations[[#This Row],[NetMonthlySalaryP1]]*12)</f>
        <v>518714.89239379013</v>
      </c>
      <c r="D43" s="24">
        <f>(TableIncomeCalculations[[#This Row],[NetMonthlySalaryP2]]*12)</f>
        <v>0</v>
      </c>
      <c r="E43" s="3">
        <f>TableIncome[[#This Row],[SalaryP1]]*$I$7</f>
        <v>51871.489239379014</v>
      </c>
      <c r="F43" s="3">
        <f>TableIncome[[#This Row],[SalaryP2]]*$I$7</f>
        <v>0</v>
      </c>
      <c r="G43" s="22"/>
      <c r="L43" s="23">
        <f>'Net Salary P1'!BI42</f>
        <v>43226.241032815844</v>
      </c>
      <c r="M43" s="21"/>
      <c r="N43" s="21">
        <f>IF(_xlfn.XLOOKUP(TableIncome[[#This Row],[Year]],Loop!C:C,Loop!D:D)&lt;70,(N42*(1+$I$4))+IF(TableIncomeCalculations[[#This Row],[SwitchP1]]="Y",N42*$I$6,0),0)</f>
        <v>85725.092457067178</v>
      </c>
      <c r="O43" s="21">
        <f>IF(_xlfn.XLOOKUP(TableIncome[[#This Row],[Year]],Loop!C:C,Loop!E:E)&lt;70,(O42*(1+$I$4))+IF(TableIncomeCalculations[[#This Row],[SwitchP2]]="Y",Q42*$I$6,0),0)</f>
        <v>0</v>
      </c>
      <c r="P43" s="21">
        <f>IF(_xlfn.XLOOKUP(TableIncome[[#This Row],[Year]],Loop!C:C,Loop!D:D)&lt;70,(P42*(1+$I$3))+IF(TableIncomeCalculations[[#This Row],[SwitchP1]]="Y",P42*$I$5,0),0)</f>
        <v>212711.72753586873</v>
      </c>
      <c r="Q43" s="21">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25">
      <c r="B44" s="2">
        <v>2066</v>
      </c>
      <c r="C44" s="4">
        <f>(TableIncomeCalculations[[#This Row],[NetMonthlySalaryP1]]*12)</f>
        <v>523100.48693641706</v>
      </c>
      <c r="D44" s="24">
        <f>(TableIncomeCalculations[[#This Row],[NetMonthlySalaryP2]]*12)</f>
        <v>0</v>
      </c>
      <c r="E44" s="3">
        <f>TableIncome[[#This Row],[SalaryP1]]*$I$7</f>
        <v>52310.048693641707</v>
      </c>
      <c r="F44" s="3">
        <f>TableIncome[[#This Row],[SalaryP2]]*$I$7</f>
        <v>0</v>
      </c>
      <c r="G44" s="22"/>
      <c r="L44" s="23">
        <f>'Net Salary P1'!BI43</f>
        <v>43591.707244701422</v>
      </c>
      <c r="M44" s="21"/>
      <c r="N44" s="21">
        <f>IF(_xlfn.XLOOKUP(TableIncome[[#This Row],[Year]],Loop!C:C,Loop!D:D)&lt;70,(N43*(1+$I$4))+IF(TableIncomeCalculations[[#This Row],[SwitchP1]]="Y",N43*$I$6,0),0)</f>
        <v>86582.343381637853</v>
      </c>
      <c r="O44" s="21">
        <f>IF(_xlfn.XLOOKUP(TableIncome[[#This Row],[Year]],Loop!C:C,Loop!E:E)&lt;70,(O43*(1+$I$4))+IF(TableIncomeCalculations[[#This Row],[SwitchP2]]="Y",Q43*$I$6,0),0)</f>
        <v>0</v>
      </c>
      <c r="P44" s="21">
        <f>IF(_xlfn.XLOOKUP(TableIncome[[#This Row],[Year]],Loop!C:C,Loop!D:D)&lt;70,(P43*(1+$I$3))+IF(TableIncomeCalculations[[#This Row],[SwitchP1]]="Y",P43*$I$5,0),0)</f>
        <v>219093.07936194481</v>
      </c>
      <c r="Q44" s="21">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25">
      <c r="B45" s="2">
        <v>2067</v>
      </c>
      <c r="C45" s="4">
        <f>(TableIncomeCalculations[[#This Row],[NetMonthlySalaryP1]]*12)</f>
        <v>527527.46594175068</v>
      </c>
      <c r="D45" s="24">
        <f>(TableIncomeCalculations[[#This Row],[NetMonthlySalaryP2]]*12)</f>
        <v>0</v>
      </c>
      <c r="E45" s="3">
        <f>TableIncome[[#This Row],[SalaryP1]]*$I$7</f>
        <v>52752.746594175071</v>
      </c>
      <c r="F45" s="3">
        <f>TableIncome[[#This Row],[SalaryP2]]*$I$7</f>
        <v>0</v>
      </c>
      <c r="G45" s="22"/>
      <c r="L45" s="23">
        <f>'Net Salary P1'!BI44</f>
        <v>43960.622161812556</v>
      </c>
      <c r="M45" s="21"/>
      <c r="N45" s="21">
        <f>IF(_xlfn.XLOOKUP(TableIncome[[#This Row],[Year]],Loop!C:C,Loop!D:D)&lt;70,(N44*(1+$I$4))+IF(TableIncomeCalculations[[#This Row],[SwitchP1]]="Y",N44*$I$6,0),0)</f>
        <v>87448.166815454228</v>
      </c>
      <c r="O45" s="21">
        <f>IF(_xlfn.XLOOKUP(TableIncome[[#This Row],[Year]],Loop!C:C,Loop!E:E)&lt;70,(O44*(1+$I$4))+IF(TableIncomeCalculations[[#This Row],[SwitchP2]]="Y",Q44*$I$6,0),0)</f>
        <v>0</v>
      </c>
      <c r="P45" s="21">
        <f>IF(_xlfn.XLOOKUP(TableIncome[[#This Row],[Year]],Loop!C:C,Loop!D:D)&lt;70,(P44*(1+$I$3))+IF(TableIncomeCalculations[[#This Row],[SwitchP1]]="Y",P44*$I$5,0),0)</f>
        <v>225665.87174280317</v>
      </c>
      <c r="Q45" s="21">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25">
      <c r="B46" s="2">
        <v>2068</v>
      </c>
      <c r="C46" s="4">
        <f>(TableIncomeCalculations[[#This Row],[NetMonthlySalaryP1]]*12)</f>
        <v>531996.29171486397</v>
      </c>
      <c r="D46" s="24">
        <f>(TableIncomeCalculations[[#This Row],[NetMonthlySalaryP2]]*12)</f>
        <v>0</v>
      </c>
      <c r="E46" s="3">
        <f>TableIncome[[#This Row],[SalaryP1]]*$I$7</f>
        <v>53199.629171486398</v>
      </c>
      <c r="F46" s="3">
        <f>TableIncome[[#This Row],[SalaryP2]]*$I$7</f>
        <v>0</v>
      </c>
      <c r="G46" s="22"/>
      <c r="L46" s="23">
        <f>'Net Salary P1'!BI45</f>
        <v>44333.024309572</v>
      </c>
      <c r="M46" s="21"/>
      <c r="N46" s="21">
        <f>IF(_xlfn.XLOOKUP(TableIncome[[#This Row],[Year]],Loop!C:C,Loop!D:D)&lt;70,(N45*(1+$I$4))+IF(TableIncomeCalculations[[#This Row],[SwitchP1]]="Y",N45*$I$6,0),0)</f>
        <v>88322.648483608777</v>
      </c>
      <c r="O46" s="21">
        <f>IF(_xlfn.XLOOKUP(TableIncome[[#This Row],[Year]],Loop!C:C,Loop!E:E)&lt;70,(O45*(1+$I$4))+IF(TableIncomeCalculations[[#This Row],[SwitchP2]]="Y",Q45*$I$6,0),0)</f>
        <v>0</v>
      </c>
      <c r="P46" s="21">
        <f>IF(_xlfn.XLOOKUP(TableIncome[[#This Row],[Year]],Loop!C:C,Loop!D:D)&lt;70,(P45*(1+$I$3))+IF(TableIncomeCalculations[[#This Row],[SwitchP1]]="Y",P45*$I$5,0),0)</f>
        <v>232435.84789508727</v>
      </c>
      <c r="Q46" s="21">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25">
      <c r="B47" s="2">
        <v>2069</v>
      </c>
      <c r="C47" s="4">
        <f>(TableIncomeCalculations[[#This Row],[NetMonthlySalaryP1]]*12)</f>
        <v>536507.43023367517</v>
      </c>
      <c r="D47" s="24">
        <f>(TableIncomeCalculations[[#This Row],[NetMonthlySalaryP2]]*12)</f>
        <v>0</v>
      </c>
      <c r="E47" s="3">
        <f>TableIncome[[#This Row],[SalaryP1]]*$I$7</f>
        <v>53650.743023367519</v>
      </c>
      <c r="F47" s="3">
        <f>TableIncome[[#This Row],[SalaryP2]]*$I$7</f>
        <v>0</v>
      </c>
      <c r="G47" s="22"/>
      <c r="L47" s="23">
        <f>'Net Salary P1'!BI46</f>
        <v>44708.952519472929</v>
      </c>
      <c r="M47" s="21"/>
      <c r="N47" s="21">
        <f>IF(_xlfn.XLOOKUP(TableIncome[[#This Row],[Year]],Loop!C:C,Loop!D:D)&lt;70,(N46*(1+$I$4))+IF(TableIncomeCalculations[[#This Row],[SwitchP1]]="Y",N46*$I$6,0),0)</f>
        <v>89205.87496844487</v>
      </c>
      <c r="O47" s="21">
        <f>IF(_xlfn.XLOOKUP(TableIncome[[#This Row],[Year]],Loop!C:C,Loop!E:E)&lt;70,(O46*(1+$I$4))+IF(TableIncomeCalculations[[#This Row],[SwitchP2]]="Y",Q46*$I$6,0),0)</f>
        <v>0</v>
      </c>
      <c r="P47" s="21">
        <f>IF(_xlfn.XLOOKUP(TableIncome[[#This Row],[Year]],Loop!C:C,Loop!D:D)&lt;70,(P46*(1+$I$3))+IF(TableIncomeCalculations[[#This Row],[SwitchP1]]="Y",P46*$I$5,0),0)</f>
        <v>239408.92333193988</v>
      </c>
      <c r="Q47" s="21">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25">
      <c r="B48" s="2">
        <v>2070</v>
      </c>
      <c r="C48" s="4">
        <f>(TableIncomeCalculations[[#This Row],[NetMonthlySalaryP1]]*12)</f>
        <v>0</v>
      </c>
      <c r="D48" s="24">
        <f>(TableIncomeCalculations[[#This Row],[NetMonthlySalaryP2]]*12)</f>
        <v>0</v>
      </c>
      <c r="E48" s="3">
        <f>TableIncome[[#This Row],[SalaryP1]]*$I$7</f>
        <v>0</v>
      </c>
      <c r="F48" s="3">
        <f>TableIncome[[#This Row],[SalaryP2]]*$I$7</f>
        <v>0</v>
      </c>
      <c r="G48" s="22"/>
      <c r="L48" s="38">
        <f>'Net Salary P1'!BI47</f>
        <v>0</v>
      </c>
      <c r="M48" s="21"/>
      <c r="N48" s="21">
        <f>IF(_xlfn.XLOOKUP(TableIncome[[#This Row],[Year]],Loop!C:C,Loop!D:D)&lt;70,(N47*(1+$I$4))+IF(TableIncomeCalculations[[#This Row],[SwitchP1]]="Y",N47*$I$6,0),0)</f>
        <v>0</v>
      </c>
      <c r="O48" s="21">
        <f>IF(_xlfn.XLOOKUP(TableIncome[[#This Row],[Year]],Loop!C:C,Loop!E:E)&lt;70,(O47*(1+$I$4))+IF(TableIncomeCalculations[[#This Row],[SwitchP2]]="Y",Q47*$I$6,0),0)</f>
        <v>0</v>
      </c>
      <c r="P48" s="21">
        <f>IF(_xlfn.XLOOKUP(TableIncome[[#This Row],[Year]],Loop!C:C,Loop!D:D)&lt;70,(P47*(1+$I$3))+IF(TableIncomeCalculations[[#This Row],[SwitchP1]]="Y",P47*$I$5,0),0)</f>
        <v>0</v>
      </c>
      <c r="Q48" s="21">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dimension ref="A1:AT28"/>
  <sheetViews>
    <sheetView workbookViewId="0">
      <selection activeCell="B24" sqref="B24"/>
    </sheetView>
  </sheetViews>
  <sheetFormatPr defaultRowHeight="15" x14ac:dyDescent="0.25"/>
  <cols>
    <col min="1" max="1" width="30" style="1" bestFit="1" customWidth="1"/>
    <col min="2" max="2" width="13.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179</v>
      </c>
      <c r="B2" s="1" cm="1">
        <f t="array" ref="B2:AT2">TRANSPOSE(Income!N3:N47)</f>
        <v>43871</v>
      </c>
      <c r="C2" s="1">
        <v>44309.71</v>
      </c>
      <c r="D2" s="1">
        <v>46525.195499999994</v>
      </c>
      <c r="E2" s="1">
        <v>46990.447454999994</v>
      </c>
      <c r="F2" s="1">
        <v>47460.351929549994</v>
      </c>
      <c r="G2" s="1">
        <v>47934.955448845496</v>
      </c>
      <c r="H2" s="1">
        <v>50331.703221287775</v>
      </c>
      <c r="I2" s="1">
        <v>50835.020253500654</v>
      </c>
      <c r="J2" s="1">
        <v>51343.370456035664</v>
      </c>
      <c r="K2" s="1">
        <v>51856.804160596024</v>
      </c>
      <c r="L2" s="1">
        <v>54449.644368625828</v>
      </c>
      <c r="M2" s="1">
        <v>54994.140812312085</v>
      </c>
      <c r="N2" s="1">
        <v>55544.082220435208</v>
      </c>
      <c r="O2" s="1">
        <v>56099.523042639557</v>
      </c>
      <c r="P2" s="1">
        <v>58904.499194771532</v>
      </c>
      <c r="Q2" s="1">
        <v>59493.544186719249</v>
      </c>
      <c r="R2" s="1">
        <v>60088.479628586443</v>
      </c>
      <c r="S2" s="1">
        <v>60689.364424872307</v>
      </c>
      <c r="T2" s="1">
        <v>63723.832646115923</v>
      </c>
      <c r="U2" s="1">
        <v>64361.070972577079</v>
      </c>
      <c r="V2" s="1">
        <v>65004.681682302849</v>
      </c>
      <c r="W2" s="1">
        <v>65654.728499125878</v>
      </c>
      <c r="X2" s="1">
        <v>68937.464924082175</v>
      </c>
      <c r="Y2" s="1">
        <v>69626.839573322999</v>
      </c>
      <c r="Z2" s="1">
        <v>70323.107969056233</v>
      </c>
      <c r="AA2" s="1">
        <v>71026.339048746799</v>
      </c>
      <c r="AB2" s="1">
        <v>71736.602439234266</v>
      </c>
      <c r="AC2" s="1">
        <v>72453.968463626603</v>
      </c>
      <c r="AD2" s="1">
        <v>73178.508148262874</v>
      </c>
      <c r="AE2" s="1">
        <v>73910.293229745497</v>
      </c>
      <c r="AF2" s="1">
        <v>74649.396162042947</v>
      </c>
      <c r="AG2" s="1">
        <v>75395.890123663383</v>
      </c>
      <c r="AH2" s="1">
        <v>76149.849024900017</v>
      </c>
      <c r="AI2" s="1">
        <v>76911.347515149013</v>
      </c>
      <c r="AJ2" s="1">
        <v>77680.460990300504</v>
      </c>
      <c r="AK2" s="1">
        <v>81564.484039815521</v>
      </c>
      <c r="AL2" s="1">
        <v>82380.128880213684</v>
      </c>
      <c r="AM2" s="1">
        <v>83203.930169015817</v>
      </c>
      <c r="AN2" s="1">
        <v>84035.969470705983</v>
      </c>
      <c r="AO2" s="1">
        <v>84876.329165413044</v>
      </c>
      <c r="AP2" s="1">
        <v>85725.092457067178</v>
      </c>
      <c r="AQ2" s="1">
        <v>86582.343381637853</v>
      </c>
      <c r="AR2" s="1">
        <v>87448.166815454228</v>
      </c>
      <c r="AS2" s="1">
        <v>88322.648483608777</v>
      </c>
      <c r="AT2" s="1">
        <v>89205.87496844487</v>
      </c>
    </row>
    <row r="3" spans="1:46" x14ac:dyDescent="0.25">
      <c r="A3" s="1" t="s">
        <v>181</v>
      </c>
      <c r="B3" s="25">
        <v>0.05</v>
      </c>
      <c r="C3" s="25">
        <v>0.05</v>
      </c>
      <c r="D3" s="25">
        <v>0.05</v>
      </c>
      <c r="E3" s="25">
        <v>0.05</v>
      </c>
      <c r="F3" s="25">
        <v>0.05</v>
      </c>
      <c r="G3" s="25">
        <v>0.05</v>
      </c>
      <c r="H3" s="25">
        <v>0.05</v>
      </c>
      <c r="I3" s="25">
        <v>0.05</v>
      </c>
      <c r="J3" s="25">
        <v>0.05</v>
      </c>
      <c r="K3" s="25">
        <v>0.05</v>
      </c>
      <c r="L3" s="25">
        <v>0.05</v>
      </c>
      <c r="M3" s="25">
        <v>0.05</v>
      </c>
      <c r="N3" s="25">
        <v>0.05</v>
      </c>
      <c r="O3" s="25">
        <v>0.05</v>
      </c>
      <c r="P3" s="25">
        <v>0.05</v>
      </c>
      <c r="Q3" s="25">
        <v>0.05</v>
      </c>
      <c r="R3" s="25">
        <v>0.05</v>
      </c>
      <c r="S3" s="25">
        <v>0.05</v>
      </c>
      <c r="T3" s="25">
        <v>0.05</v>
      </c>
      <c r="U3" s="25">
        <v>0.05</v>
      </c>
      <c r="V3" s="25">
        <v>0.05</v>
      </c>
      <c r="W3" s="25">
        <v>0.05</v>
      </c>
      <c r="X3" s="25">
        <v>0.05</v>
      </c>
      <c r="Y3" s="25">
        <v>0.05</v>
      </c>
      <c r="Z3" s="25">
        <v>0.05</v>
      </c>
      <c r="AA3" s="25">
        <v>0.05</v>
      </c>
      <c r="AB3" s="25">
        <v>0.05</v>
      </c>
      <c r="AC3" s="25">
        <v>0.05</v>
      </c>
      <c r="AD3" s="25">
        <v>0.05</v>
      </c>
      <c r="AE3" s="25">
        <v>0.05</v>
      </c>
      <c r="AF3" s="25">
        <v>0.05</v>
      </c>
      <c r="AG3" s="25">
        <v>0.05</v>
      </c>
      <c r="AH3" s="25">
        <v>0.05</v>
      </c>
      <c r="AI3" s="25">
        <v>0.05</v>
      </c>
      <c r="AJ3" s="25">
        <v>0.05</v>
      </c>
      <c r="AK3" s="25">
        <v>0.05</v>
      </c>
      <c r="AL3" s="25">
        <v>0.05</v>
      </c>
      <c r="AM3" s="25">
        <v>0.05</v>
      </c>
      <c r="AN3" s="25">
        <v>0.05</v>
      </c>
      <c r="AO3" s="25">
        <v>0.05</v>
      </c>
      <c r="AP3" s="25">
        <v>0.05</v>
      </c>
      <c r="AQ3" s="25">
        <v>0.05</v>
      </c>
      <c r="AR3" s="25">
        <v>0.05</v>
      </c>
      <c r="AS3" s="25">
        <v>0.05</v>
      </c>
      <c r="AT3" s="25">
        <v>0.05</v>
      </c>
    </row>
    <row r="4" spans="1:46" x14ac:dyDescent="0.25">
      <c r="A4" s="1" t="s">
        <v>180</v>
      </c>
      <c r="B4" s="1">
        <f>B3*B2</f>
        <v>2193.5500000000002</v>
      </c>
      <c r="C4" s="1">
        <f t="shared" ref="C4:AT4" si="0">C3*C2</f>
        <v>2215.4855000000002</v>
      </c>
      <c r="D4" s="1">
        <f t="shared" si="0"/>
        <v>2326.259775</v>
      </c>
      <c r="E4" s="1">
        <f t="shared" si="0"/>
        <v>2349.5223727499997</v>
      </c>
      <c r="F4" s="1">
        <f t="shared" si="0"/>
        <v>2373.0175964774999</v>
      </c>
      <c r="G4" s="1">
        <f t="shared" si="0"/>
        <v>2396.7477724422747</v>
      </c>
      <c r="H4" s="1">
        <f t="shared" si="0"/>
        <v>2516.585161064389</v>
      </c>
      <c r="I4" s="1">
        <f t="shared" si="0"/>
        <v>2541.7510126750331</v>
      </c>
      <c r="J4" s="1">
        <f t="shared" si="0"/>
        <v>2567.1685228017832</v>
      </c>
      <c r="K4" s="1">
        <f t="shared" si="0"/>
        <v>2592.8402080298015</v>
      </c>
      <c r="L4" s="1">
        <f t="shared" si="0"/>
        <v>2722.4822184312916</v>
      </c>
      <c r="M4" s="1">
        <f t="shared" si="0"/>
        <v>2749.7070406156045</v>
      </c>
      <c r="N4" s="1">
        <f t="shared" si="0"/>
        <v>2777.2041110217606</v>
      </c>
      <c r="O4" s="1">
        <f t="shared" si="0"/>
        <v>2804.9761521319779</v>
      </c>
      <c r="P4" s="1">
        <f t="shared" si="0"/>
        <v>2945.2249597385767</v>
      </c>
      <c r="Q4" s="1">
        <f t="shared" si="0"/>
        <v>2974.6772093359627</v>
      </c>
      <c r="R4" s="1">
        <f t="shared" si="0"/>
        <v>3004.4239814293223</v>
      </c>
      <c r="S4" s="1">
        <f t="shared" si="0"/>
        <v>3034.4682212436155</v>
      </c>
      <c r="T4" s="1">
        <f t="shared" si="0"/>
        <v>3186.1916323057962</v>
      </c>
      <c r="U4" s="1">
        <f t="shared" si="0"/>
        <v>3218.0535486288541</v>
      </c>
      <c r="V4" s="1">
        <f t="shared" si="0"/>
        <v>3250.2340841151427</v>
      </c>
      <c r="W4" s="1">
        <f t="shared" si="0"/>
        <v>3282.7364249562943</v>
      </c>
      <c r="X4" s="1">
        <f t="shared" si="0"/>
        <v>3446.8732462041089</v>
      </c>
      <c r="Y4" s="1">
        <f t="shared" si="0"/>
        <v>3481.3419786661502</v>
      </c>
      <c r="Z4" s="1">
        <f t="shared" si="0"/>
        <v>3516.1553984528118</v>
      </c>
      <c r="AA4" s="1">
        <f t="shared" si="0"/>
        <v>3551.3169524373402</v>
      </c>
      <c r="AB4" s="1">
        <f t="shared" si="0"/>
        <v>3586.8301219617133</v>
      </c>
      <c r="AC4" s="1">
        <f t="shared" si="0"/>
        <v>3622.6984231813303</v>
      </c>
      <c r="AD4" s="1">
        <f t="shared" si="0"/>
        <v>3658.9254074131441</v>
      </c>
      <c r="AE4" s="1">
        <f t="shared" si="0"/>
        <v>3695.5146614872751</v>
      </c>
      <c r="AF4" s="1">
        <f t="shared" si="0"/>
        <v>3732.4698081021475</v>
      </c>
      <c r="AG4" s="1">
        <f t="shared" si="0"/>
        <v>3769.7945061831692</v>
      </c>
      <c r="AH4" s="1">
        <f t="shared" si="0"/>
        <v>3807.4924512450011</v>
      </c>
      <c r="AI4" s="1">
        <f t="shared" si="0"/>
        <v>3845.5673757574509</v>
      </c>
      <c r="AJ4" s="1">
        <f t="shared" si="0"/>
        <v>3884.0230495150254</v>
      </c>
      <c r="AK4" s="1">
        <f t="shared" si="0"/>
        <v>4078.2242019907762</v>
      </c>
      <c r="AL4" s="1">
        <f t="shared" si="0"/>
        <v>4119.0064440106844</v>
      </c>
      <c r="AM4" s="1">
        <f t="shared" si="0"/>
        <v>4160.196508450791</v>
      </c>
      <c r="AN4" s="1">
        <f t="shared" si="0"/>
        <v>4201.7984735352993</v>
      </c>
      <c r="AO4" s="1">
        <f t="shared" si="0"/>
        <v>4243.8164582706522</v>
      </c>
      <c r="AP4" s="1">
        <f t="shared" si="0"/>
        <v>4286.2546228533593</v>
      </c>
      <c r="AQ4" s="1">
        <f t="shared" si="0"/>
        <v>4329.1171690818928</v>
      </c>
      <c r="AR4" s="1">
        <f t="shared" si="0"/>
        <v>4372.4083407727112</v>
      </c>
      <c r="AS4" s="1">
        <f t="shared" si="0"/>
        <v>4416.1324241804386</v>
      </c>
      <c r="AT4" s="1">
        <f t="shared" si="0"/>
        <v>4460.2937484222439</v>
      </c>
    </row>
    <row r="5" spans="1:46" x14ac:dyDescent="0.25">
      <c r="A5" s="1" t="s">
        <v>182</v>
      </c>
      <c r="B5" s="1">
        <f>B4*2</f>
        <v>4387.1000000000004</v>
      </c>
      <c r="C5" s="1">
        <f t="shared" ref="C5:AT5" si="1">C4*2</f>
        <v>4430.9710000000005</v>
      </c>
      <c r="D5" s="1">
        <f t="shared" si="1"/>
        <v>4652.51955</v>
      </c>
      <c r="E5" s="1">
        <f t="shared" si="1"/>
        <v>4699.0447454999994</v>
      </c>
      <c r="F5" s="1">
        <f t="shared" si="1"/>
        <v>4746.0351929549997</v>
      </c>
      <c r="G5" s="1">
        <f t="shared" si="1"/>
        <v>4793.4955448845494</v>
      </c>
      <c r="H5" s="1">
        <f t="shared" si="1"/>
        <v>5033.170322128778</v>
      </c>
      <c r="I5" s="1">
        <f t="shared" si="1"/>
        <v>5083.5020253500661</v>
      </c>
      <c r="J5" s="1">
        <f t="shared" si="1"/>
        <v>5134.3370456035664</v>
      </c>
      <c r="K5" s="1">
        <f t="shared" si="1"/>
        <v>5185.680416059603</v>
      </c>
      <c r="L5" s="1">
        <f t="shared" si="1"/>
        <v>5444.9644368625832</v>
      </c>
      <c r="M5" s="1">
        <f t="shared" si="1"/>
        <v>5499.4140812312089</v>
      </c>
      <c r="N5" s="1">
        <f t="shared" si="1"/>
        <v>5554.4082220435212</v>
      </c>
      <c r="O5" s="1">
        <f t="shared" si="1"/>
        <v>5609.9523042639557</v>
      </c>
      <c r="P5" s="1">
        <f t="shared" si="1"/>
        <v>5890.4499194771533</v>
      </c>
      <c r="Q5" s="1">
        <f t="shared" si="1"/>
        <v>5949.3544186719255</v>
      </c>
      <c r="R5" s="1">
        <f t="shared" si="1"/>
        <v>6008.8479628586447</v>
      </c>
      <c r="S5" s="1">
        <f t="shared" si="1"/>
        <v>6068.936442487231</v>
      </c>
      <c r="T5" s="1">
        <f t="shared" si="1"/>
        <v>6372.3832646115925</v>
      </c>
      <c r="U5" s="1">
        <f t="shared" si="1"/>
        <v>6436.1070972577081</v>
      </c>
      <c r="V5" s="1">
        <f t="shared" si="1"/>
        <v>6500.4681682302853</v>
      </c>
      <c r="W5" s="1">
        <f t="shared" si="1"/>
        <v>6565.4728499125886</v>
      </c>
      <c r="X5" s="1">
        <f t="shared" si="1"/>
        <v>6893.7464924082178</v>
      </c>
      <c r="Y5" s="1">
        <f t="shared" si="1"/>
        <v>6962.6839573323005</v>
      </c>
      <c r="Z5" s="1">
        <f t="shared" si="1"/>
        <v>7032.3107969056236</v>
      </c>
      <c r="AA5" s="1">
        <f t="shared" si="1"/>
        <v>7102.6339048746804</v>
      </c>
      <c r="AB5" s="1">
        <f t="shared" si="1"/>
        <v>7173.6602439234266</v>
      </c>
      <c r="AC5" s="1">
        <f t="shared" si="1"/>
        <v>7245.3968463626607</v>
      </c>
      <c r="AD5" s="1">
        <f t="shared" si="1"/>
        <v>7317.8508148262881</v>
      </c>
      <c r="AE5" s="1">
        <f t="shared" si="1"/>
        <v>7391.0293229745503</v>
      </c>
      <c r="AF5" s="1">
        <f t="shared" si="1"/>
        <v>7464.9396162042949</v>
      </c>
      <c r="AG5" s="1">
        <f t="shared" si="1"/>
        <v>7539.5890123663385</v>
      </c>
      <c r="AH5" s="1">
        <f t="shared" si="1"/>
        <v>7614.9849024900022</v>
      </c>
      <c r="AI5" s="1">
        <f t="shared" si="1"/>
        <v>7691.1347515149018</v>
      </c>
      <c r="AJ5" s="1">
        <f t="shared" si="1"/>
        <v>7768.0460990300508</v>
      </c>
      <c r="AK5" s="1">
        <f t="shared" si="1"/>
        <v>8156.4484039815525</v>
      </c>
      <c r="AL5" s="1">
        <f t="shared" si="1"/>
        <v>8238.0128880213688</v>
      </c>
      <c r="AM5" s="1">
        <f t="shared" si="1"/>
        <v>8320.3930169015821</v>
      </c>
      <c r="AN5" s="1">
        <f t="shared" si="1"/>
        <v>8403.5969470705986</v>
      </c>
      <c r="AO5" s="1">
        <f t="shared" si="1"/>
        <v>8487.6329165413044</v>
      </c>
      <c r="AP5" s="1">
        <f t="shared" si="1"/>
        <v>8572.5092457067185</v>
      </c>
      <c r="AQ5" s="1">
        <f t="shared" si="1"/>
        <v>8658.2343381637857</v>
      </c>
      <c r="AR5" s="1">
        <f t="shared" si="1"/>
        <v>8744.8166815454224</v>
      </c>
      <c r="AS5" s="1">
        <f t="shared" si="1"/>
        <v>8832.2648483608773</v>
      </c>
      <c r="AT5" s="1">
        <f t="shared" si="1"/>
        <v>8920.5874968444878</v>
      </c>
    </row>
    <row r="6" spans="1:46" x14ac:dyDescent="0.25">
      <c r="A6" s="1" t="s">
        <v>183</v>
      </c>
      <c r="B6" s="39">
        <f>SUM(B4:B5)</f>
        <v>6580.6500000000005</v>
      </c>
      <c r="C6" s="39">
        <f t="shared" ref="C6:AT6" si="2">SUM(C4:C5)</f>
        <v>6646.4565000000002</v>
      </c>
      <c r="D6" s="39">
        <f t="shared" si="2"/>
        <v>6978.7793249999995</v>
      </c>
      <c r="E6" s="39">
        <f t="shared" si="2"/>
        <v>7048.5671182499991</v>
      </c>
      <c r="F6" s="39">
        <f t="shared" si="2"/>
        <v>7119.0527894324996</v>
      </c>
      <c r="G6" s="39">
        <f t="shared" si="2"/>
        <v>7190.2433173268237</v>
      </c>
      <c r="H6" s="39">
        <f t="shared" si="2"/>
        <v>7549.7554831931666</v>
      </c>
      <c r="I6" s="39">
        <f t="shared" si="2"/>
        <v>7625.2530380250992</v>
      </c>
      <c r="J6" s="39">
        <f t="shared" si="2"/>
        <v>7701.5055684053495</v>
      </c>
      <c r="K6" s="39">
        <f t="shared" si="2"/>
        <v>7778.520624089404</v>
      </c>
      <c r="L6" s="39">
        <f t="shared" si="2"/>
        <v>8167.4466552938748</v>
      </c>
      <c r="M6" s="39">
        <f t="shared" si="2"/>
        <v>8249.1211218468125</v>
      </c>
      <c r="N6" s="39">
        <f t="shared" si="2"/>
        <v>8331.6123330652808</v>
      </c>
      <c r="O6" s="39">
        <f t="shared" si="2"/>
        <v>8414.9284563959336</v>
      </c>
      <c r="P6" s="39">
        <f t="shared" si="2"/>
        <v>8835.6748792157305</v>
      </c>
      <c r="Q6" s="39">
        <f t="shared" si="2"/>
        <v>8924.0316280078878</v>
      </c>
      <c r="R6" s="39">
        <f t="shared" si="2"/>
        <v>9013.2719442879679</v>
      </c>
      <c r="S6" s="39">
        <f t="shared" si="2"/>
        <v>9103.4046637308456</v>
      </c>
      <c r="T6" s="39">
        <f t="shared" si="2"/>
        <v>9558.5748969173892</v>
      </c>
      <c r="U6" s="39">
        <f t="shared" si="2"/>
        <v>9654.1606458865626</v>
      </c>
      <c r="V6" s="39">
        <f t="shared" si="2"/>
        <v>9750.7022523454289</v>
      </c>
      <c r="W6" s="39">
        <f t="shared" si="2"/>
        <v>9848.2092748688829</v>
      </c>
      <c r="X6" s="39">
        <f t="shared" si="2"/>
        <v>10340.619738612328</v>
      </c>
      <c r="Y6" s="39">
        <f t="shared" si="2"/>
        <v>10444.02593599845</v>
      </c>
      <c r="Z6" s="39">
        <f t="shared" si="2"/>
        <v>10548.466195358436</v>
      </c>
      <c r="AA6" s="39">
        <f t="shared" si="2"/>
        <v>10653.95085731202</v>
      </c>
      <c r="AB6" s="39">
        <f t="shared" si="2"/>
        <v>10760.49036588514</v>
      </c>
      <c r="AC6" s="39">
        <f t="shared" si="2"/>
        <v>10868.095269543992</v>
      </c>
      <c r="AD6" s="39">
        <f t="shared" si="2"/>
        <v>10976.776222239432</v>
      </c>
      <c r="AE6" s="39">
        <f t="shared" si="2"/>
        <v>11086.543984461825</v>
      </c>
      <c r="AF6" s="39">
        <f t="shared" si="2"/>
        <v>11197.409424306443</v>
      </c>
      <c r="AG6" s="39">
        <f t="shared" si="2"/>
        <v>11309.383518549508</v>
      </c>
      <c r="AH6" s="39">
        <f t="shared" si="2"/>
        <v>11422.477353735003</v>
      </c>
      <c r="AI6" s="39">
        <f t="shared" si="2"/>
        <v>11536.702127272352</v>
      </c>
      <c r="AJ6" s="39">
        <f t="shared" si="2"/>
        <v>11652.069148545077</v>
      </c>
      <c r="AK6" s="39">
        <f t="shared" si="2"/>
        <v>12234.67260597233</v>
      </c>
      <c r="AL6" s="39">
        <f t="shared" si="2"/>
        <v>12357.019332032054</v>
      </c>
      <c r="AM6" s="39">
        <f t="shared" si="2"/>
        <v>12480.589525352374</v>
      </c>
      <c r="AN6" s="39">
        <f t="shared" si="2"/>
        <v>12605.395420605899</v>
      </c>
      <c r="AO6" s="39">
        <f t="shared" si="2"/>
        <v>12731.449374811957</v>
      </c>
      <c r="AP6" s="39">
        <f t="shared" si="2"/>
        <v>12858.763868560078</v>
      </c>
      <c r="AQ6" s="39">
        <f t="shared" si="2"/>
        <v>12987.351507245679</v>
      </c>
      <c r="AR6" s="39">
        <f t="shared" si="2"/>
        <v>13117.225022318133</v>
      </c>
      <c r="AS6" s="39">
        <f t="shared" si="2"/>
        <v>13248.397272541315</v>
      </c>
      <c r="AT6" s="39">
        <f t="shared" si="2"/>
        <v>13380.881245266732</v>
      </c>
    </row>
    <row r="7" spans="1:46" x14ac:dyDescent="0.25">
      <c r="A7" s="1" t="s">
        <v>184</v>
      </c>
      <c r="B7" s="40">
        <f>B6*12</f>
        <v>78967.8</v>
      </c>
      <c r="C7" s="40">
        <f t="shared" ref="C7:AT7" si="3">C6*12</f>
        <v>79757.478000000003</v>
      </c>
      <c r="D7" s="40">
        <f t="shared" si="3"/>
        <v>83745.351899999994</v>
      </c>
      <c r="E7" s="40">
        <f t="shared" si="3"/>
        <v>84582.805418999982</v>
      </c>
      <c r="F7" s="40">
        <f t="shared" si="3"/>
        <v>85428.633473189999</v>
      </c>
      <c r="G7" s="40">
        <f t="shared" si="3"/>
        <v>86282.919807921891</v>
      </c>
      <c r="H7" s="40">
        <f t="shared" si="3"/>
        <v>90597.065798317999</v>
      </c>
      <c r="I7" s="40">
        <f t="shared" si="3"/>
        <v>91503.036456301197</v>
      </c>
      <c r="J7" s="40">
        <f t="shared" si="3"/>
        <v>92418.066820864187</v>
      </c>
      <c r="K7" s="40">
        <f t="shared" si="3"/>
        <v>93342.247489072848</v>
      </c>
      <c r="L7" s="40">
        <f t="shared" si="3"/>
        <v>98009.359863526493</v>
      </c>
      <c r="M7" s="40">
        <f t="shared" si="3"/>
        <v>98989.453462161749</v>
      </c>
      <c r="N7" s="40">
        <f t="shared" si="3"/>
        <v>99979.34799678337</v>
      </c>
      <c r="O7" s="40">
        <f t="shared" si="3"/>
        <v>100979.1414767512</v>
      </c>
      <c r="P7" s="40">
        <f t="shared" si="3"/>
        <v>106028.09855058877</v>
      </c>
      <c r="Q7" s="40">
        <f t="shared" si="3"/>
        <v>107088.37953609465</v>
      </c>
      <c r="R7" s="40">
        <f t="shared" si="3"/>
        <v>108159.26333145562</v>
      </c>
      <c r="S7" s="40">
        <f t="shared" si="3"/>
        <v>109240.85596477015</v>
      </c>
      <c r="T7" s="40">
        <f t="shared" si="3"/>
        <v>114702.89876300868</v>
      </c>
      <c r="U7" s="40">
        <f t="shared" si="3"/>
        <v>115849.92775063874</v>
      </c>
      <c r="V7" s="40">
        <f t="shared" si="3"/>
        <v>117008.42702814515</v>
      </c>
      <c r="W7" s="40">
        <f t="shared" si="3"/>
        <v>118178.5112984266</v>
      </c>
      <c r="X7" s="40">
        <f t="shared" si="3"/>
        <v>124087.43686334793</v>
      </c>
      <c r="Y7" s="40">
        <f t="shared" si="3"/>
        <v>125328.31123198141</v>
      </c>
      <c r="Z7" s="40">
        <f t="shared" si="3"/>
        <v>126581.59434430124</v>
      </c>
      <c r="AA7" s="40">
        <f t="shared" si="3"/>
        <v>127847.41028774425</v>
      </c>
      <c r="AB7" s="40">
        <f t="shared" si="3"/>
        <v>129125.88439062168</v>
      </c>
      <c r="AC7" s="40">
        <f t="shared" si="3"/>
        <v>130417.1432345279</v>
      </c>
      <c r="AD7" s="40">
        <f t="shared" si="3"/>
        <v>131721.31466687319</v>
      </c>
      <c r="AE7" s="40">
        <f t="shared" si="3"/>
        <v>133038.52781354191</v>
      </c>
      <c r="AF7" s="40">
        <f t="shared" si="3"/>
        <v>134368.9130916773</v>
      </c>
      <c r="AG7" s="40">
        <f t="shared" si="3"/>
        <v>135712.60222259408</v>
      </c>
      <c r="AH7" s="40">
        <f t="shared" si="3"/>
        <v>137069.72824482003</v>
      </c>
      <c r="AI7" s="40">
        <f t="shared" si="3"/>
        <v>138440.42552726823</v>
      </c>
      <c r="AJ7" s="40">
        <f t="shared" si="3"/>
        <v>139824.82978254091</v>
      </c>
      <c r="AK7" s="40">
        <f t="shared" si="3"/>
        <v>146816.07127166796</v>
      </c>
      <c r="AL7" s="40">
        <f t="shared" si="3"/>
        <v>148284.23198438465</v>
      </c>
      <c r="AM7" s="40">
        <f t="shared" si="3"/>
        <v>149767.07430422847</v>
      </c>
      <c r="AN7" s="40">
        <f t="shared" si="3"/>
        <v>151264.74504727079</v>
      </c>
      <c r="AO7" s="40">
        <f t="shared" si="3"/>
        <v>152777.39249774348</v>
      </c>
      <c r="AP7" s="40">
        <f t="shared" si="3"/>
        <v>154305.16642272094</v>
      </c>
      <c r="AQ7" s="40">
        <f t="shared" si="3"/>
        <v>155848.21808694815</v>
      </c>
      <c r="AR7" s="40">
        <f t="shared" si="3"/>
        <v>157406.70026781759</v>
      </c>
      <c r="AS7" s="40">
        <f t="shared" si="3"/>
        <v>158980.76727049577</v>
      </c>
      <c r="AT7" s="40">
        <f t="shared" si="3"/>
        <v>160570.57494320077</v>
      </c>
    </row>
    <row r="11" spans="1:46" x14ac:dyDescent="0.25">
      <c r="A11" s="1" t="s">
        <v>188</v>
      </c>
      <c r="B11" s="40">
        <f>SUM(B7:AT7)</f>
        <v>5410424.1339853378</v>
      </c>
    </row>
    <row r="12" spans="1:46" x14ac:dyDescent="0.25">
      <c r="A12" s="1" t="s">
        <v>187</v>
      </c>
      <c r="B12" s="40">
        <f>B11/25</f>
        <v>216416.9653594135</v>
      </c>
      <c r="C12" s="1" t="s">
        <v>185</v>
      </c>
    </row>
    <row r="13" spans="1:46" x14ac:dyDescent="0.25">
      <c r="A13" s="1" t="s">
        <v>186</v>
      </c>
      <c r="B13" s="40">
        <f>B12/12</f>
        <v>18034.747113284458</v>
      </c>
      <c r="C13" s="1" t="s">
        <v>189</v>
      </c>
    </row>
    <row r="14" spans="1:46" x14ac:dyDescent="0.25">
      <c r="A14" s="1" t="s">
        <v>210</v>
      </c>
      <c r="B14" s="1" t="s">
        <v>212</v>
      </c>
      <c r="C14" s="1" t="s">
        <v>213</v>
      </c>
    </row>
    <row r="16" spans="1:46" x14ac:dyDescent="0.25">
      <c r="A16" s="1" t="s">
        <v>204</v>
      </c>
      <c r="B16" s="39">
        <f>SUM('Net Salary P1'!E12:AW12)</f>
        <v>282751.6528767391</v>
      </c>
      <c r="C16" s="26" t="s">
        <v>223</v>
      </c>
    </row>
    <row r="17" spans="1:26" x14ac:dyDescent="0.25">
      <c r="A17" s="1" t="s">
        <v>187</v>
      </c>
      <c r="B17" s="40">
        <f>B16/25</f>
        <v>11310.066115069563</v>
      </c>
    </row>
    <row r="18" spans="1:26" x14ac:dyDescent="0.25">
      <c r="A18" s="1" t="s">
        <v>186</v>
      </c>
      <c r="B18" s="40">
        <f>B17/12</f>
        <v>942.50550958913027</v>
      </c>
    </row>
    <row r="19" spans="1:26" x14ac:dyDescent="0.25">
      <c r="A19" s="1" t="s">
        <v>210</v>
      </c>
      <c r="B19" s="1" t="s">
        <v>211</v>
      </c>
    </row>
    <row r="21" spans="1:26" x14ac:dyDescent="0.25">
      <c r="A21" s="1" t="s">
        <v>209</v>
      </c>
      <c r="B21" s="1">
        <v>9500</v>
      </c>
    </row>
    <row r="22" spans="1:26" x14ac:dyDescent="0.25">
      <c r="A22" s="1" t="s">
        <v>214</v>
      </c>
      <c r="B22" s="1">
        <f>B21*12</f>
        <v>114000</v>
      </c>
    </row>
    <row r="23" spans="1:26" x14ac:dyDescent="0.25">
      <c r="A23" s="1" t="s">
        <v>210</v>
      </c>
      <c r="B23" s="1" t="s">
        <v>212</v>
      </c>
    </row>
    <row r="24" spans="1:26" x14ac:dyDescent="0.25">
      <c r="A24" s="1" t="s">
        <v>65</v>
      </c>
      <c r="B24" s="25">
        <f>'Net Salary P1'!B8</f>
        <v>0.02</v>
      </c>
    </row>
    <row r="26" spans="1:26" x14ac:dyDescent="0.25">
      <c r="A26" s="1" t="s">
        <v>1</v>
      </c>
      <c r="B26" s="1">
        <v>2070</v>
      </c>
      <c r="C26" s="1">
        <v>2071</v>
      </c>
      <c r="D26" s="1">
        <v>2072</v>
      </c>
      <c r="E26" s="1">
        <v>2073</v>
      </c>
      <c r="F26" s="1">
        <v>2074</v>
      </c>
      <c r="G26" s="1">
        <v>2075</v>
      </c>
      <c r="H26" s="1">
        <v>2076</v>
      </c>
      <c r="I26" s="1">
        <v>2077</v>
      </c>
      <c r="J26" s="1">
        <v>2078</v>
      </c>
      <c r="K26" s="1">
        <v>2079</v>
      </c>
      <c r="L26" s="1">
        <v>2080</v>
      </c>
      <c r="M26" s="1">
        <v>2081</v>
      </c>
      <c r="N26" s="1">
        <v>2082</v>
      </c>
      <c r="O26" s="1">
        <v>2083</v>
      </c>
      <c r="P26" s="1">
        <v>2084</v>
      </c>
      <c r="Q26" s="1">
        <v>2085</v>
      </c>
      <c r="R26" s="1">
        <v>2086</v>
      </c>
      <c r="S26" s="1">
        <v>2087</v>
      </c>
      <c r="T26" s="1">
        <v>2088</v>
      </c>
      <c r="U26" s="1">
        <v>2089</v>
      </c>
      <c r="V26" s="1">
        <v>2090</v>
      </c>
      <c r="W26" s="1">
        <v>2091</v>
      </c>
      <c r="X26" s="1">
        <v>2092</v>
      </c>
      <c r="Y26" s="1">
        <v>2093</v>
      </c>
      <c r="Z26" s="1">
        <v>2094</v>
      </c>
    </row>
    <row r="27" spans="1:26" x14ac:dyDescent="0.25">
      <c r="B27" s="40"/>
    </row>
    <row r="28" spans="1:26" x14ac:dyDescent="0.25">
      <c r="B28" s="4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dimension ref="A1:BI46"/>
  <sheetViews>
    <sheetView workbookViewId="0">
      <selection activeCell="E12" sqref="E12"/>
    </sheetView>
  </sheetViews>
  <sheetFormatPr defaultRowHeight="15" x14ac:dyDescent="0.25"/>
  <cols>
    <col min="1" max="1" width="23.140625" style="1" bestFit="1" customWidth="1"/>
    <col min="2" max="3" width="9.140625" style="1"/>
    <col min="4" max="4" width="30.5703125" style="1" bestFit="1" customWidth="1"/>
    <col min="5" max="5" width="13.28515625" style="1" bestFit="1" customWidth="1"/>
    <col min="6" max="7" width="11.5703125" style="1" bestFit="1" customWidth="1"/>
    <col min="8" max="49" width="19" style="1" bestFit="1" customWidth="1"/>
    <col min="50" max="59" width="9.140625" style="1"/>
    <col min="60" max="60" width="38.85546875" style="1" bestFit="1" customWidth="1"/>
    <col min="61" max="16384" width="9.140625" style="1"/>
  </cols>
  <sheetData>
    <row r="1" spans="1:61" x14ac:dyDescent="0.25">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193</v>
      </c>
      <c r="B2" s="25">
        <v>0.08</v>
      </c>
      <c r="D2" s="1" t="s">
        <v>206</v>
      </c>
      <c r="E2" s="39" cm="1">
        <f t="array" ref="E2:AW2">TRANSPOSE(Income!N3:N47)</f>
        <v>43871</v>
      </c>
      <c r="F2" s="39">
        <v>44309.71</v>
      </c>
      <c r="G2" s="39">
        <v>46525.195499999994</v>
      </c>
      <c r="H2" s="39">
        <v>46990.447454999994</v>
      </c>
      <c r="I2" s="39">
        <v>47460.351929549994</v>
      </c>
      <c r="J2" s="39">
        <v>47934.955448845496</v>
      </c>
      <c r="K2" s="39">
        <v>50331.703221287775</v>
      </c>
      <c r="L2" s="39">
        <v>50835.020253500654</v>
      </c>
      <c r="M2" s="39">
        <v>51343.370456035664</v>
      </c>
      <c r="N2" s="39">
        <v>51856.804160596024</v>
      </c>
      <c r="O2" s="39">
        <v>54449.644368625828</v>
      </c>
      <c r="P2" s="39">
        <v>54994.140812312085</v>
      </c>
      <c r="Q2" s="39">
        <v>55544.082220435208</v>
      </c>
      <c r="R2" s="39">
        <v>56099.523042639557</v>
      </c>
      <c r="S2" s="39">
        <v>58904.499194771532</v>
      </c>
      <c r="T2" s="39">
        <v>59493.544186719249</v>
      </c>
      <c r="U2" s="39">
        <v>60088.479628586443</v>
      </c>
      <c r="V2" s="39">
        <v>60689.364424872307</v>
      </c>
      <c r="W2" s="39">
        <v>63723.832646115923</v>
      </c>
      <c r="X2" s="39">
        <v>64361.070972577079</v>
      </c>
      <c r="Y2" s="39">
        <v>65004.681682302849</v>
      </c>
      <c r="Z2" s="39">
        <v>65654.728499125878</v>
      </c>
      <c r="AA2" s="39">
        <v>68937.464924082175</v>
      </c>
      <c r="AB2" s="39">
        <v>69626.839573322999</v>
      </c>
      <c r="AC2" s="39">
        <v>70323.107969056233</v>
      </c>
      <c r="AD2" s="39">
        <v>71026.339048746799</v>
      </c>
      <c r="AE2" s="39">
        <v>71736.602439234266</v>
      </c>
      <c r="AF2" s="39">
        <v>72453.968463626603</v>
      </c>
      <c r="AG2" s="39">
        <v>73178.508148262874</v>
      </c>
      <c r="AH2" s="39">
        <v>73910.293229745497</v>
      </c>
      <c r="AI2" s="39">
        <v>74649.396162042947</v>
      </c>
      <c r="AJ2" s="39">
        <v>75395.890123663383</v>
      </c>
      <c r="AK2" s="39">
        <v>76149.849024900017</v>
      </c>
      <c r="AL2" s="39">
        <v>76911.347515149013</v>
      </c>
      <c r="AM2" s="39">
        <v>77680.460990300504</v>
      </c>
      <c r="AN2" s="39">
        <v>81564.484039815521</v>
      </c>
      <c r="AO2" s="39">
        <v>82380.128880213684</v>
      </c>
      <c r="AP2" s="39">
        <v>83203.930169015817</v>
      </c>
      <c r="AQ2" s="39">
        <v>84035.969470705983</v>
      </c>
      <c r="AR2" s="39">
        <v>84876.329165413044</v>
      </c>
      <c r="AS2" s="39">
        <v>85725.092457067178</v>
      </c>
      <c r="AT2" s="39">
        <v>86582.343381637853</v>
      </c>
      <c r="AU2" s="39">
        <v>87448.166815454228</v>
      </c>
      <c r="AV2" s="39">
        <v>88322.648483608777</v>
      </c>
      <c r="AW2" s="39">
        <v>89205.87496844487</v>
      </c>
      <c r="BH2" s="1" t="s">
        <v>221</v>
      </c>
      <c r="BI2" s="1" cm="1">
        <f t="array" ref="BI2:BI46">TRANSPOSE(E14:AW14)</f>
        <v>23315.401805666672</v>
      </c>
    </row>
    <row r="3" spans="1:61" x14ac:dyDescent="0.25">
      <c r="A3" s="1" t="s">
        <v>195</v>
      </c>
      <c r="B3" s="25">
        <v>0.25</v>
      </c>
      <c r="D3" s="1" t="s">
        <v>191</v>
      </c>
      <c r="E3" s="39">
        <f>E2*12</f>
        <v>526452</v>
      </c>
      <c r="F3" s="39">
        <f t="shared" ref="F3:AV3" si="0">F2*12</f>
        <v>531716.52</v>
      </c>
      <c r="G3" s="39">
        <f t="shared" si="0"/>
        <v>558302.3459999999</v>
      </c>
      <c r="H3" s="39">
        <f t="shared" si="0"/>
        <v>563885.36945999996</v>
      </c>
      <c r="I3" s="39">
        <f t="shared" si="0"/>
        <v>569524.22315459989</v>
      </c>
      <c r="J3" s="39">
        <f t="shared" si="0"/>
        <v>575219.46538614598</v>
      </c>
      <c r="K3" s="39">
        <f t="shared" si="0"/>
        <v>603980.43865545327</v>
      </c>
      <c r="L3" s="39">
        <f t="shared" si="0"/>
        <v>610020.24304200779</v>
      </c>
      <c r="M3" s="39">
        <f t="shared" si="0"/>
        <v>616120.44547242799</v>
      </c>
      <c r="N3" s="39">
        <f t="shared" si="0"/>
        <v>622281.64992715232</v>
      </c>
      <c r="O3" s="39">
        <f t="shared" si="0"/>
        <v>653395.73242350994</v>
      </c>
      <c r="P3" s="39">
        <f t="shared" si="0"/>
        <v>659929.68974774505</v>
      </c>
      <c r="Q3" s="39">
        <f t="shared" si="0"/>
        <v>666528.98664522253</v>
      </c>
      <c r="R3" s="39">
        <f t="shared" si="0"/>
        <v>673194.27651167475</v>
      </c>
      <c r="S3" s="39">
        <f t="shared" si="0"/>
        <v>706853.99033725844</v>
      </c>
      <c r="T3" s="39">
        <f t="shared" si="0"/>
        <v>713922.53024063096</v>
      </c>
      <c r="U3" s="39">
        <f t="shared" si="0"/>
        <v>721061.75554303732</v>
      </c>
      <c r="V3" s="39">
        <f t="shared" si="0"/>
        <v>728272.37309846771</v>
      </c>
      <c r="W3" s="39">
        <f t="shared" si="0"/>
        <v>764685.99175339111</v>
      </c>
      <c r="X3" s="39">
        <f t="shared" si="0"/>
        <v>772332.85167092492</v>
      </c>
      <c r="Y3" s="39">
        <f t="shared" si="0"/>
        <v>780056.18018763419</v>
      </c>
      <c r="Z3" s="39">
        <f t="shared" si="0"/>
        <v>787856.7419895106</v>
      </c>
      <c r="AA3" s="39">
        <f t="shared" si="0"/>
        <v>827249.57908898615</v>
      </c>
      <c r="AB3" s="39">
        <f t="shared" si="0"/>
        <v>835522.07487987599</v>
      </c>
      <c r="AC3" s="39">
        <f t="shared" si="0"/>
        <v>843877.29562867479</v>
      </c>
      <c r="AD3" s="39">
        <f t="shared" si="0"/>
        <v>852316.06858496158</v>
      </c>
      <c r="AE3" s="39">
        <f t="shared" si="0"/>
        <v>860839.22927081119</v>
      </c>
      <c r="AF3" s="39">
        <f t="shared" si="0"/>
        <v>869447.62156351923</v>
      </c>
      <c r="AG3" s="39">
        <f t="shared" si="0"/>
        <v>878142.09777915454</v>
      </c>
      <c r="AH3" s="39">
        <f t="shared" si="0"/>
        <v>886923.51875694597</v>
      </c>
      <c r="AI3" s="39">
        <f t="shared" si="0"/>
        <v>895792.75394451537</v>
      </c>
      <c r="AJ3" s="39">
        <f t="shared" si="0"/>
        <v>904750.68148396059</v>
      </c>
      <c r="AK3" s="39">
        <f t="shared" si="0"/>
        <v>913798.18829880026</v>
      </c>
      <c r="AL3" s="39">
        <f t="shared" si="0"/>
        <v>922936.17018178815</v>
      </c>
      <c r="AM3" s="39">
        <f t="shared" si="0"/>
        <v>932165.53188360599</v>
      </c>
      <c r="AN3" s="39">
        <f t="shared" si="0"/>
        <v>978773.80847778625</v>
      </c>
      <c r="AO3" s="39">
        <f t="shared" si="0"/>
        <v>988561.54656256421</v>
      </c>
      <c r="AP3" s="39">
        <f t="shared" si="0"/>
        <v>998447.16202818975</v>
      </c>
      <c r="AQ3" s="39">
        <f t="shared" si="0"/>
        <v>1008431.6336484718</v>
      </c>
      <c r="AR3" s="39">
        <f t="shared" si="0"/>
        <v>1018515.9499849565</v>
      </c>
      <c r="AS3" s="39">
        <f t="shared" si="0"/>
        <v>1028701.1094848062</v>
      </c>
      <c r="AT3" s="39">
        <f t="shared" si="0"/>
        <v>1038988.1205796542</v>
      </c>
      <c r="AU3" s="39">
        <f t="shared" si="0"/>
        <v>1049378.0017854506</v>
      </c>
      <c r="AV3" s="39">
        <f t="shared" si="0"/>
        <v>1059871.7818033053</v>
      </c>
      <c r="AW3" s="39">
        <f>AW2*12</f>
        <v>1070470.4996213384</v>
      </c>
      <c r="BI3" s="1">
        <v>23571.748634180854</v>
      </c>
    </row>
    <row r="4" spans="1:61" x14ac:dyDescent="0.25">
      <c r="A4" s="1" t="s">
        <v>196</v>
      </c>
      <c r="B4" s="36">
        <v>0.1215</v>
      </c>
      <c r="D4" s="1" t="s">
        <v>190</v>
      </c>
      <c r="E4" s="39">
        <f>'Pensions P1'!B4*12</f>
        <v>26322.600000000002</v>
      </c>
      <c r="F4" s="39">
        <f>'Pensions P1'!C4*12</f>
        <v>26585.826000000001</v>
      </c>
      <c r="G4" s="39">
        <f>'Pensions P1'!D4*12</f>
        <v>27915.117299999998</v>
      </c>
      <c r="H4" s="39">
        <f>'Pensions P1'!E4*12</f>
        <v>28194.268472999996</v>
      </c>
      <c r="I4" s="39">
        <f>'Pensions P1'!F4*12</f>
        <v>28476.211157729998</v>
      </c>
      <c r="J4" s="39">
        <f>'Pensions P1'!G4*12</f>
        <v>28760.973269307295</v>
      </c>
      <c r="K4" s="39">
        <f>'Pensions P1'!H4*12</f>
        <v>30199.021932772666</v>
      </c>
      <c r="L4" s="39">
        <f>'Pensions P1'!I4*12</f>
        <v>30501.012152100397</v>
      </c>
      <c r="M4" s="39">
        <f>'Pensions P1'!J4*12</f>
        <v>30806.022273621398</v>
      </c>
      <c r="N4" s="39">
        <f>'Pensions P1'!K4*12</f>
        <v>31114.082496357616</v>
      </c>
      <c r="O4" s="39">
        <f>'Pensions P1'!L4*12</f>
        <v>32669.786621175499</v>
      </c>
      <c r="P4" s="39">
        <f>'Pensions P1'!M4*12</f>
        <v>32996.48448738725</v>
      </c>
      <c r="Q4" s="39">
        <f>'Pensions P1'!N4*12</f>
        <v>33326.449332261123</v>
      </c>
      <c r="R4" s="39">
        <f>'Pensions P1'!O4*12</f>
        <v>33659.713825583734</v>
      </c>
      <c r="S4" s="39">
        <f>'Pensions P1'!P4*12</f>
        <v>35342.699516862922</v>
      </c>
      <c r="T4" s="39">
        <f>'Pensions P1'!Q4*12</f>
        <v>35696.126512031551</v>
      </c>
      <c r="U4" s="39">
        <f>'Pensions P1'!R4*12</f>
        <v>36053.087777151872</v>
      </c>
      <c r="V4" s="39">
        <f>'Pensions P1'!S4*12</f>
        <v>36413.618654923383</v>
      </c>
      <c r="W4" s="39">
        <f>'Pensions P1'!T4*12</f>
        <v>38234.299587669557</v>
      </c>
      <c r="X4" s="39">
        <f>'Pensions P1'!U4*12</f>
        <v>38616.642583546251</v>
      </c>
      <c r="Y4" s="39">
        <f>'Pensions P1'!V4*12</f>
        <v>39002.809009381715</v>
      </c>
      <c r="Z4" s="39">
        <f>'Pensions P1'!W4*12</f>
        <v>39392.837099475531</v>
      </c>
      <c r="AA4" s="39">
        <f>'Pensions P1'!X4*12</f>
        <v>41362.478954449311</v>
      </c>
      <c r="AB4" s="39">
        <f>'Pensions P1'!Y4*12</f>
        <v>41776.103743993801</v>
      </c>
      <c r="AC4" s="39">
        <f>'Pensions P1'!Z4*12</f>
        <v>42193.864781433746</v>
      </c>
      <c r="AD4" s="39">
        <f>'Pensions P1'!AA4*12</f>
        <v>42615.803429248081</v>
      </c>
      <c r="AE4" s="39">
        <f>'Pensions P1'!AB4*12</f>
        <v>43041.96146354056</v>
      </c>
      <c r="AF4" s="39">
        <f>'Pensions P1'!AC4*12</f>
        <v>43472.381078175968</v>
      </c>
      <c r="AG4" s="39">
        <f>'Pensions P1'!AD4*12</f>
        <v>43907.104888957729</v>
      </c>
      <c r="AH4" s="39">
        <f>'Pensions P1'!AE4*12</f>
        <v>44346.1759378473</v>
      </c>
      <c r="AI4" s="39">
        <f>'Pensions P1'!AF4*12</f>
        <v>44789.637697225771</v>
      </c>
      <c r="AJ4" s="39">
        <f>'Pensions P1'!AG4*12</f>
        <v>45237.534074198033</v>
      </c>
      <c r="AK4" s="39">
        <f>'Pensions P1'!AH4*12</f>
        <v>45689.909414940012</v>
      </c>
      <c r="AL4" s="39">
        <f>'Pensions P1'!AI4*12</f>
        <v>46146.808509089409</v>
      </c>
      <c r="AM4" s="39">
        <f>'Pensions P1'!AJ4*12</f>
        <v>46608.276594180308</v>
      </c>
      <c r="AN4" s="39">
        <f>'Pensions P1'!AK4*12</f>
        <v>48938.690423889318</v>
      </c>
      <c r="AO4" s="39">
        <f>'Pensions P1'!AL4*12</f>
        <v>49428.077328128216</v>
      </c>
      <c r="AP4" s="39">
        <f>'Pensions P1'!AM4*12</f>
        <v>49922.358101409496</v>
      </c>
      <c r="AQ4" s="39">
        <f>'Pensions P1'!AN4*12</f>
        <v>50421.581682423595</v>
      </c>
      <c r="AR4" s="39">
        <f>'Pensions P1'!AO4*12</f>
        <v>50925.797499247827</v>
      </c>
      <c r="AS4" s="39">
        <f>'Pensions P1'!AP4*12</f>
        <v>51435.055474240311</v>
      </c>
      <c r="AT4" s="39">
        <f>'Pensions P1'!AQ4*12</f>
        <v>51949.406028982718</v>
      </c>
      <c r="AU4" s="39">
        <f>'Pensions P1'!AR4*12</f>
        <v>52468.900089272531</v>
      </c>
      <c r="AV4" s="39">
        <f>'Pensions P1'!AS4*12</f>
        <v>52993.58909016526</v>
      </c>
      <c r="AW4" s="39">
        <f>'Pensions P1'!AT4*12</f>
        <v>53523.524981066927</v>
      </c>
      <c r="BI4" s="1">
        <v>24803.793069606403</v>
      </c>
    </row>
    <row r="5" spans="1:61" x14ac:dyDescent="0.25">
      <c r="A5" s="1" t="s">
        <v>197</v>
      </c>
      <c r="B5" s="25">
        <v>0.15</v>
      </c>
      <c r="D5" s="1" t="s">
        <v>192</v>
      </c>
      <c r="E5" s="39">
        <f>E3-E4</f>
        <v>500129.4</v>
      </c>
      <c r="F5" s="39">
        <f t="shared" ref="F5:AV5" si="1">F3-F4</f>
        <v>505130.69400000002</v>
      </c>
      <c r="G5" s="39">
        <f t="shared" si="1"/>
        <v>530387.22869999986</v>
      </c>
      <c r="H5" s="39">
        <f t="shared" si="1"/>
        <v>535691.10098699993</v>
      </c>
      <c r="I5" s="39">
        <f t="shared" si="1"/>
        <v>541048.01199686993</v>
      </c>
      <c r="J5" s="39">
        <f t="shared" si="1"/>
        <v>546458.49211683869</v>
      </c>
      <c r="K5" s="39">
        <f t="shared" si="1"/>
        <v>573781.41672268056</v>
      </c>
      <c r="L5" s="39">
        <f t="shared" si="1"/>
        <v>579519.23088990734</v>
      </c>
      <c r="M5" s="39">
        <f t="shared" si="1"/>
        <v>585314.42319880659</v>
      </c>
      <c r="N5" s="39">
        <f t="shared" si="1"/>
        <v>591167.5674307947</v>
      </c>
      <c r="O5" s="39">
        <f t="shared" si="1"/>
        <v>620725.94580233446</v>
      </c>
      <c r="P5" s="39">
        <f t="shared" si="1"/>
        <v>626933.20526035782</v>
      </c>
      <c r="Q5" s="39">
        <f t="shared" si="1"/>
        <v>633202.53731296142</v>
      </c>
      <c r="R5" s="39">
        <f t="shared" si="1"/>
        <v>639534.56268609106</v>
      </c>
      <c r="S5" s="39">
        <f t="shared" si="1"/>
        <v>671511.29082039557</v>
      </c>
      <c r="T5" s="39">
        <f t="shared" si="1"/>
        <v>678226.40372859943</v>
      </c>
      <c r="U5" s="39">
        <f t="shared" si="1"/>
        <v>685008.66776588548</v>
      </c>
      <c r="V5" s="39">
        <f t="shared" si="1"/>
        <v>691858.75444354431</v>
      </c>
      <c r="W5" s="39">
        <f t="shared" si="1"/>
        <v>726451.69216572156</v>
      </c>
      <c r="X5" s="39">
        <f t="shared" si="1"/>
        <v>733716.20908737869</v>
      </c>
      <c r="Y5" s="39">
        <f t="shared" si="1"/>
        <v>741053.37117825251</v>
      </c>
      <c r="Z5" s="39">
        <f t="shared" si="1"/>
        <v>748463.90489003505</v>
      </c>
      <c r="AA5" s="39">
        <f t="shared" si="1"/>
        <v>785887.10013453686</v>
      </c>
      <c r="AB5" s="39">
        <f t="shared" si="1"/>
        <v>793745.9711358822</v>
      </c>
      <c r="AC5" s="39">
        <f t="shared" si="1"/>
        <v>801683.43084724108</v>
      </c>
      <c r="AD5" s="39">
        <f t="shared" si="1"/>
        <v>809700.26515571354</v>
      </c>
      <c r="AE5" s="39">
        <f t="shared" si="1"/>
        <v>817797.26780727063</v>
      </c>
      <c r="AF5" s="39">
        <f>AF3-AF4</f>
        <v>825975.24048534327</v>
      </c>
      <c r="AG5" s="39">
        <f t="shared" si="1"/>
        <v>834234.99289019685</v>
      </c>
      <c r="AH5" s="39">
        <f t="shared" si="1"/>
        <v>842577.34281909862</v>
      </c>
      <c r="AI5" s="39">
        <f t="shared" si="1"/>
        <v>851003.11624728958</v>
      </c>
      <c r="AJ5" s="39">
        <f t="shared" si="1"/>
        <v>859513.14740976261</v>
      </c>
      <c r="AK5" s="39">
        <f t="shared" si="1"/>
        <v>868108.27888386021</v>
      </c>
      <c r="AL5" s="39">
        <f t="shared" si="1"/>
        <v>876789.36167269875</v>
      </c>
      <c r="AM5" s="39">
        <f t="shared" si="1"/>
        <v>885557.25528942572</v>
      </c>
      <c r="AN5" s="39">
        <f t="shared" si="1"/>
        <v>929835.11805389693</v>
      </c>
      <c r="AO5" s="39">
        <f t="shared" si="1"/>
        <v>939133.46923443605</v>
      </c>
      <c r="AP5" s="39">
        <f t="shared" si="1"/>
        <v>948524.80392678024</v>
      </c>
      <c r="AQ5" s="39">
        <f t="shared" si="1"/>
        <v>958010.0519660482</v>
      </c>
      <c r="AR5" s="39">
        <f t="shared" si="1"/>
        <v>967590.15248570871</v>
      </c>
      <c r="AS5" s="39">
        <f t="shared" si="1"/>
        <v>977266.05401056586</v>
      </c>
      <c r="AT5" s="39">
        <f t="shared" si="1"/>
        <v>987038.71455067152</v>
      </c>
      <c r="AU5" s="39">
        <f t="shared" si="1"/>
        <v>996909.10169617808</v>
      </c>
      <c r="AV5" s="39">
        <f t="shared" si="1"/>
        <v>1006878.19271314</v>
      </c>
      <c r="AW5" s="39">
        <f>AW3-AW4</f>
        <v>1016946.9746402715</v>
      </c>
      <c r="BI5" s="1">
        <v>25074.123205663407</v>
      </c>
    </row>
    <row r="6" spans="1:61" x14ac:dyDescent="0.25">
      <c r="A6" s="1" t="s">
        <v>198</v>
      </c>
      <c r="B6" s="1">
        <v>618400</v>
      </c>
      <c r="D6" s="1" t="s">
        <v>194</v>
      </c>
      <c r="E6" s="40">
        <f>E5*(1-$B$2)</f>
        <v>460119.04800000007</v>
      </c>
      <c r="F6" s="40">
        <f t="shared" ref="F6:AV6" si="2">F5*(1-$B$2)</f>
        <v>464720.23848000006</v>
      </c>
      <c r="G6" s="40">
        <f t="shared" si="2"/>
        <v>487956.25040399987</v>
      </c>
      <c r="H6" s="40">
        <f t="shared" si="2"/>
        <v>492835.81290803995</v>
      </c>
      <c r="I6" s="40">
        <f t="shared" si="2"/>
        <v>497764.17103712034</v>
      </c>
      <c r="J6" s="40">
        <f t="shared" si="2"/>
        <v>502741.81274749164</v>
      </c>
      <c r="K6" s="40">
        <f t="shared" si="2"/>
        <v>527878.90338486619</v>
      </c>
      <c r="L6" s="40">
        <f t="shared" si="2"/>
        <v>533157.69241871475</v>
      </c>
      <c r="M6" s="40">
        <f t="shared" si="2"/>
        <v>538489.26934290212</v>
      </c>
      <c r="N6" s="40">
        <f t="shared" si="2"/>
        <v>543874.16203633114</v>
      </c>
      <c r="O6" s="40">
        <f t="shared" si="2"/>
        <v>571067.87013814773</v>
      </c>
      <c r="P6" s="40">
        <f t="shared" si="2"/>
        <v>576778.54883952916</v>
      </c>
      <c r="Q6" s="40">
        <f t="shared" si="2"/>
        <v>582546.33432792453</v>
      </c>
      <c r="R6" s="40">
        <f t="shared" si="2"/>
        <v>588371.79767120385</v>
      </c>
      <c r="S6" s="40">
        <f t="shared" si="2"/>
        <v>617790.38755476393</v>
      </c>
      <c r="T6" s="40">
        <f t="shared" si="2"/>
        <v>623968.29143031151</v>
      </c>
      <c r="U6" s="40">
        <f t="shared" si="2"/>
        <v>630207.97434461466</v>
      </c>
      <c r="V6" s="40">
        <f t="shared" si="2"/>
        <v>636510.05408806074</v>
      </c>
      <c r="W6" s="40">
        <f t="shared" si="2"/>
        <v>668335.55679246387</v>
      </c>
      <c r="X6" s="40">
        <f t="shared" si="2"/>
        <v>675018.91236038844</v>
      </c>
      <c r="Y6" s="40">
        <f t="shared" si="2"/>
        <v>681769.1014839923</v>
      </c>
      <c r="Z6" s="40">
        <f t="shared" si="2"/>
        <v>688586.79249883222</v>
      </c>
      <c r="AA6" s="40">
        <f t="shared" si="2"/>
        <v>723016.13212377392</v>
      </c>
      <c r="AB6" s="40">
        <f t="shared" si="2"/>
        <v>730246.2934450116</v>
      </c>
      <c r="AC6" s="40">
        <f t="shared" si="2"/>
        <v>737548.75637946185</v>
      </c>
      <c r="AD6" s="40">
        <f t="shared" si="2"/>
        <v>744924.24394325644</v>
      </c>
      <c r="AE6" s="40">
        <f t="shared" si="2"/>
        <v>752373.48638268898</v>
      </c>
      <c r="AF6" s="40">
        <f>AF5*(1-$B$2)</f>
        <v>759897.22124651587</v>
      </c>
      <c r="AG6" s="40">
        <f t="shared" si="2"/>
        <v>767496.19345898111</v>
      </c>
      <c r="AH6" s="40">
        <f t="shared" si="2"/>
        <v>775171.15539357078</v>
      </c>
      <c r="AI6" s="40">
        <f t="shared" si="2"/>
        <v>782922.86694750644</v>
      </c>
      <c r="AJ6" s="40">
        <f t="shared" si="2"/>
        <v>790752.09561698162</v>
      </c>
      <c r="AK6" s="40">
        <f t="shared" si="2"/>
        <v>798659.61657315143</v>
      </c>
      <c r="AL6" s="40">
        <f t="shared" si="2"/>
        <v>806646.21273888287</v>
      </c>
      <c r="AM6" s="40">
        <f t="shared" si="2"/>
        <v>814712.67486627167</v>
      </c>
      <c r="AN6" s="40">
        <f t="shared" si="2"/>
        <v>855448.30860958516</v>
      </c>
      <c r="AO6" s="40">
        <f t="shared" si="2"/>
        <v>864002.79169568117</v>
      </c>
      <c r="AP6" s="40">
        <f t="shared" si="2"/>
        <v>872642.81961263786</v>
      </c>
      <c r="AQ6" s="40">
        <f t="shared" si="2"/>
        <v>881369.24780876434</v>
      </c>
      <c r="AR6" s="40">
        <f t="shared" si="2"/>
        <v>890182.94028685207</v>
      </c>
      <c r="AS6" s="40">
        <f t="shared" si="2"/>
        <v>899084.76968972059</v>
      </c>
      <c r="AT6" s="40">
        <f t="shared" si="2"/>
        <v>908075.61738661781</v>
      </c>
      <c r="AU6" s="40">
        <f t="shared" si="2"/>
        <v>917156.37356048392</v>
      </c>
      <c r="AV6" s="40">
        <f t="shared" si="2"/>
        <v>926327.9372960889</v>
      </c>
      <c r="AW6" s="40">
        <f>AW5*(1-$B$2)</f>
        <v>935591.21666904981</v>
      </c>
      <c r="BI6" s="1">
        <v>25346.719541015078</v>
      </c>
    </row>
    <row r="7" spans="1:61" x14ac:dyDescent="0.25">
      <c r="A7" s="1" t="s">
        <v>205</v>
      </c>
      <c r="B7" s="1">
        <v>9400</v>
      </c>
      <c r="D7" s="1" t="s">
        <v>199</v>
      </c>
      <c r="E7" s="40">
        <f>E6*$B$3</f>
        <v>115029.76200000002</v>
      </c>
      <c r="F7" s="40">
        <f t="shared" ref="F7:AW7" si="3">F6*$B$3</f>
        <v>116180.05962000001</v>
      </c>
      <c r="G7" s="40">
        <f t="shared" si="3"/>
        <v>121989.06260099997</v>
      </c>
      <c r="H7" s="40">
        <f t="shared" si="3"/>
        <v>123208.95322700999</v>
      </c>
      <c r="I7" s="40">
        <f t="shared" si="3"/>
        <v>124441.04275928008</v>
      </c>
      <c r="J7" s="40">
        <f t="shared" si="3"/>
        <v>125685.45318687291</v>
      </c>
      <c r="K7" s="40">
        <f t="shared" si="3"/>
        <v>131969.72584621655</v>
      </c>
      <c r="L7" s="40">
        <f t="shared" si="3"/>
        <v>133289.42310467869</v>
      </c>
      <c r="M7" s="40">
        <f t="shared" si="3"/>
        <v>134622.31733572553</v>
      </c>
      <c r="N7" s="40">
        <f t="shared" si="3"/>
        <v>135968.54050908278</v>
      </c>
      <c r="O7" s="40">
        <f t="shared" si="3"/>
        <v>142766.96753453693</v>
      </c>
      <c r="P7" s="40">
        <f t="shared" si="3"/>
        <v>144194.63720988229</v>
      </c>
      <c r="Q7" s="40">
        <f t="shared" si="3"/>
        <v>145636.58358198113</v>
      </c>
      <c r="R7" s="40">
        <f t="shared" si="3"/>
        <v>147092.94941780096</v>
      </c>
      <c r="S7" s="40">
        <f t="shared" si="3"/>
        <v>154447.59688869098</v>
      </c>
      <c r="T7" s="40">
        <f t="shared" si="3"/>
        <v>155992.07285757788</v>
      </c>
      <c r="U7" s="40">
        <f t="shared" si="3"/>
        <v>157551.99358615367</v>
      </c>
      <c r="V7" s="40">
        <f t="shared" si="3"/>
        <v>159127.51352201519</v>
      </c>
      <c r="W7" s="40">
        <f t="shared" si="3"/>
        <v>167083.88919811597</v>
      </c>
      <c r="X7" s="40">
        <f t="shared" si="3"/>
        <v>168754.72809009711</v>
      </c>
      <c r="Y7" s="40">
        <f t="shared" si="3"/>
        <v>170442.27537099808</v>
      </c>
      <c r="Z7" s="40">
        <f t="shared" si="3"/>
        <v>172146.69812470805</v>
      </c>
      <c r="AA7" s="40">
        <f t="shared" si="3"/>
        <v>180754.03303094348</v>
      </c>
      <c r="AB7" s="40">
        <f t="shared" si="3"/>
        <v>182561.5733612529</v>
      </c>
      <c r="AC7" s="40">
        <f t="shared" si="3"/>
        <v>184387.18909486546</v>
      </c>
      <c r="AD7" s="40">
        <f t="shared" si="3"/>
        <v>186231.06098581411</v>
      </c>
      <c r="AE7" s="40">
        <f t="shared" si="3"/>
        <v>188093.37159567224</v>
      </c>
      <c r="AF7" s="40">
        <f>AF6*$B$3</f>
        <v>189974.30531162897</v>
      </c>
      <c r="AG7" s="40">
        <f t="shared" si="3"/>
        <v>191874.04836474528</v>
      </c>
      <c r="AH7" s="40">
        <f t="shared" si="3"/>
        <v>193792.78884839269</v>
      </c>
      <c r="AI7" s="40">
        <f t="shared" si="3"/>
        <v>195730.71673687661</v>
      </c>
      <c r="AJ7" s="40">
        <f t="shared" si="3"/>
        <v>197688.0239042454</v>
      </c>
      <c r="AK7" s="40">
        <f t="shared" si="3"/>
        <v>199664.90414328786</v>
      </c>
      <c r="AL7" s="40">
        <f t="shared" si="3"/>
        <v>201661.55318472072</v>
      </c>
      <c r="AM7" s="40">
        <f t="shared" si="3"/>
        <v>203678.16871656792</v>
      </c>
      <c r="AN7" s="40">
        <f t="shared" si="3"/>
        <v>213862.07715239629</v>
      </c>
      <c r="AO7" s="40">
        <f t="shared" si="3"/>
        <v>216000.69792392029</v>
      </c>
      <c r="AP7" s="40">
        <f t="shared" si="3"/>
        <v>218160.70490315947</v>
      </c>
      <c r="AQ7" s="40">
        <f t="shared" si="3"/>
        <v>220342.31195219108</v>
      </c>
      <c r="AR7" s="40">
        <f t="shared" si="3"/>
        <v>222545.73507171302</v>
      </c>
      <c r="AS7" s="40">
        <f t="shared" si="3"/>
        <v>224771.19242243015</v>
      </c>
      <c r="AT7" s="40">
        <f t="shared" si="3"/>
        <v>227018.90434665445</v>
      </c>
      <c r="AU7" s="40">
        <f t="shared" si="3"/>
        <v>229289.09339012098</v>
      </c>
      <c r="AV7" s="40">
        <f t="shared" si="3"/>
        <v>231581.98432402223</v>
      </c>
      <c r="AW7" s="40">
        <f t="shared" si="3"/>
        <v>233897.80416726245</v>
      </c>
      <c r="BI7" s="1">
        <v>25621.613308283104</v>
      </c>
    </row>
    <row r="8" spans="1:61" x14ac:dyDescent="0.25">
      <c r="A8" s="1" t="s">
        <v>65</v>
      </c>
      <c r="B8" s="25">
        <f>Income!I2</f>
        <v>0.02</v>
      </c>
      <c r="D8" s="1" t="s">
        <v>200</v>
      </c>
      <c r="E8" s="40">
        <f>MAX(E6-$B$6,0)*$B$5</f>
        <v>0</v>
      </c>
      <c r="F8" s="40">
        <f t="shared" ref="F8:AW8" si="4">MAX(F6-$B$6,0)*$B$5</f>
        <v>0</v>
      </c>
      <c r="G8" s="40">
        <f t="shared" si="4"/>
        <v>0</v>
      </c>
      <c r="H8" s="40">
        <f t="shared" si="4"/>
        <v>0</v>
      </c>
      <c r="I8" s="40">
        <f t="shared" si="4"/>
        <v>0</v>
      </c>
      <c r="J8" s="40">
        <f t="shared" si="4"/>
        <v>0</v>
      </c>
      <c r="K8" s="40">
        <f t="shared" si="4"/>
        <v>0</v>
      </c>
      <c r="L8" s="40">
        <f t="shared" si="4"/>
        <v>0</v>
      </c>
      <c r="M8" s="40">
        <f t="shared" si="4"/>
        <v>0</v>
      </c>
      <c r="N8" s="40">
        <f t="shared" si="4"/>
        <v>0</v>
      </c>
      <c r="O8" s="40">
        <f t="shared" si="4"/>
        <v>0</v>
      </c>
      <c r="P8" s="40">
        <f t="shared" si="4"/>
        <v>0</v>
      </c>
      <c r="Q8" s="40">
        <f t="shared" si="4"/>
        <v>0</v>
      </c>
      <c r="R8" s="40">
        <f t="shared" si="4"/>
        <v>0</v>
      </c>
      <c r="S8" s="40">
        <f t="shared" si="4"/>
        <v>0</v>
      </c>
      <c r="T8" s="40">
        <f t="shared" si="4"/>
        <v>835.24371454672655</v>
      </c>
      <c r="U8" s="40">
        <f t="shared" si="4"/>
        <v>1771.196151692199</v>
      </c>
      <c r="V8" s="40">
        <f t="shared" si="4"/>
        <v>2716.5081132091113</v>
      </c>
      <c r="W8" s="40">
        <f t="shared" si="4"/>
        <v>7490.333518869581</v>
      </c>
      <c r="X8" s="40">
        <f t="shared" si="4"/>
        <v>8492.8368540582651</v>
      </c>
      <c r="Y8" s="40">
        <f t="shared" si="4"/>
        <v>9505.3652225988444</v>
      </c>
      <c r="Z8" s="40">
        <f t="shared" si="4"/>
        <v>10528.018874824833</v>
      </c>
      <c r="AA8" s="40">
        <f t="shared" si="4"/>
        <v>15692.419818566086</v>
      </c>
      <c r="AB8" s="40">
        <f t="shared" si="4"/>
        <v>16776.944016751739</v>
      </c>
      <c r="AC8" s="40">
        <f t="shared" si="4"/>
        <v>17872.313456919277</v>
      </c>
      <c r="AD8" s="40">
        <f t="shared" si="4"/>
        <v>18978.636591488466</v>
      </c>
      <c r="AE8" s="40">
        <f t="shared" si="4"/>
        <v>20096.022957403347</v>
      </c>
      <c r="AF8" s="40">
        <f t="shared" si="4"/>
        <v>21224.583186977379</v>
      </c>
      <c r="AG8" s="40">
        <f t="shared" si="4"/>
        <v>22364.429018847168</v>
      </c>
      <c r="AH8" s="40">
        <f t="shared" si="4"/>
        <v>23515.673309035617</v>
      </c>
      <c r="AI8" s="40">
        <f t="shared" si="4"/>
        <v>24678.430042125965</v>
      </c>
      <c r="AJ8" s="40">
        <f t="shared" si="4"/>
        <v>25852.814342547241</v>
      </c>
      <c r="AK8" s="40">
        <f t="shared" si="4"/>
        <v>27038.942485972715</v>
      </c>
      <c r="AL8" s="40">
        <f t="shared" si="4"/>
        <v>28236.931910832431</v>
      </c>
      <c r="AM8" s="40">
        <f t="shared" si="4"/>
        <v>29446.901229940751</v>
      </c>
      <c r="AN8" s="40">
        <f t="shared" si="4"/>
        <v>35557.246291437776</v>
      </c>
      <c r="AO8" s="40">
        <f t="shared" si="4"/>
        <v>36840.418754352177</v>
      </c>
      <c r="AP8" s="40">
        <f t="shared" si="4"/>
        <v>38136.422941895675</v>
      </c>
      <c r="AQ8" s="40">
        <f t="shared" si="4"/>
        <v>39445.387171314651</v>
      </c>
      <c r="AR8" s="40">
        <f t="shared" si="4"/>
        <v>40767.441043027808</v>
      </c>
      <c r="AS8" s="40">
        <f t="shared" si="4"/>
        <v>42102.715453458084</v>
      </c>
      <c r="AT8" s="40">
        <f t="shared" si="4"/>
        <v>43451.342607992672</v>
      </c>
      <c r="AU8" s="40">
        <f t="shared" si="4"/>
        <v>44813.456034072587</v>
      </c>
      <c r="AV8" s="40">
        <f t="shared" si="4"/>
        <v>46189.190594413332</v>
      </c>
      <c r="AW8" s="40">
        <f t="shared" si="4"/>
        <v>47578.68250035747</v>
      </c>
      <c r="BI8" s="1">
        <v>26952.079982069848</v>
      </c>
    </row>
    <row r="9" spans="1:61" x14ac:dyDescent="0.25">
      <c r="D9" s="1" t="s">
        <v>201</v>
      </c>
      <c r="E9" s="40">
        <f>E6*$B$4</f>
        <v>55904.464332000003</v>
      </c>
      <c r="F9" s="40">
        <f t="shared" ref="F9:AV9" si="5">F6*$B$4</f>
        <v>56463.508975320008</v>
      </c>
      <c r="G9" s="40">
        <f t="shared" si="5"/>
        <v>59286.684424085986</v>
      </c>
      <c r="H9" s="40">
        <f t="shared" si="5"/>
        <v>59879.551268326853</v>
      </c>
      <c r="I9" s="40">
        <f t="shared" si="5"/>
        <v>60478.346781010121</v>
      </c>
      <c r="J9" s="40">
        <f t="shared" si="5"/>
        <v>61083.130248820235</v>
      </c>
      <c r="K9" s="40">
        <f t="shared" si="5"/>
        <v>64137.286761261239</v>
      </c>
      <c r="L9" s="40">
        <f t="shared" si="5"/>
        <v>64778.659628873844</v>
      </c>
      <c r="M9" s="40">
        <f t="shared" si="5"/>
        <v>65426.446225162603</v>
      </c>
      <c r="N9" s="40">
        <f t="shared" si="5"/>
        <v>66080.710687414234</v>
      </c>
      <c r="O9" s="40">
        <f t="shared" si="5"/>
        <v>69384.746221784953</v>
      </c>
      <c r="P9" s="40">
        <f t="shared" si="5"/>
        <v>70078.593684002786</v>
      </c>
      <c r="Q9" s="40">
        <f t="shared" si="5"/>
        <v>70779.379620842825</v>
      </c>
      <c r="R9" s="40">
        <f t="shared" si="5"/>
        <v>71487.173417051265</v>
      </c>
      <c r="S9" s="40">
        <f t="shared" si="5"/>
        <v>75061.532087903819</v>
      </c>
      <c r="T9" s="40">
        <f t="shared" si="5"/>
        <v>75812.147408782854</v>
      </c>
      <c r="U9" s="40">
        <f t="shared" si="5"/>
        <v>76570.268882870674</v>
      </c>
      <c r="V9" s="40">
        <f t="shared" si="5"/>
        <v>77335.971571699381</v>
      </c>
      <c r="W9" s="40">
        <f t="shared" si="5"/>
        <v>81202.770150284356</v>
      </c>
      <c r="X9" s="40">
        <f t="shared" si="5"/>
        <v>82014.797851787196</v>
      </c>
      <c r="Y9" s="40">
        <f t="shared" si="5"/>
        <v>82834.945830305063</v>
      </c>
      <c r="Z9" s="40">
        <f t="shared" si="5"/>
        <v>83663.295288608118</v>
      </c>
      <c r="AA9" s="40">
        <f t="shared" si="5"/>
        <v>87846.460053038536</v>
      </c>
      <c r="AB9" s="40">
        <f t="shared" si="5"/>
        <v>88724.924653568902</v>
      </c>
      <c r="AC9" s="40">
        <f t="shared" si="5"/>
        <v>89612.173900104608</v>
      </c>
      <c r="AD9" s="40">
        <f t="shared" si="5"/>
        <v>90508.29563910565</v>
      </c>
      <c r="AE9" s="40">
        <f t="shared" si="5"/>
        <v>91413.378595496702</v>
      </c>
      <c r="AF9" s="40">
        <f t="shared" si="5"/>
        <v>92327.51238145167</v>
      </c>
      <c r="AG9" s="40">
        <f t="shared" si="5"/>
        <v>93250.787505266198</v>
      </c>
      <c r="AH9" s="40">
        <f t="shared" si="5"/>
        <v>94183.295380318843</v>
      </c>
      <c r="AI9" s="40">
        <f t="shared" si="5"/>
        <v>95125.128334122026</v>
      </c>
      <c r="AJ9" s="40">
        <f t="shared" si="5"/>
        <v>96076.379617463259</v>
      </c>
      <c r="AK9" s="40">
        <f t="shared" si="5"/>
        <v>97037.143413637896</v>
      </c>
      <c r="AL9" s="40">
        <f t="shared" si="5"/>
        <v>98007.514847774262</v>
      </c>
      <c r="AM9" s="40">
        <f t="shared" si="5"/>
        <v>98987.589996252005</v>
      </c>
      <c r="AN9" s="40">
        <f t="shared" si="5"/>
        <v>103936.9694960646</v>
      </c>
      <c r="AO9" s="40">
        <f t="shared" si="5"/>
        <v>104976.33919102525</v>
      </c>
      <c r="AP9" s="40">
        <f t="shared" si="5"/>
        <v>106026.10258293549</v>
      </c>
      <c r="AQ9" s="40">
        <f t="shared" si="5"/>
        <v>107086.36360876486</v>
      </c>
      <c r="AR9" s="40">
        <f t="shared" si="5"/>
        <v>108157.22724485252</v>
      </c>
      <c r="AS9" s="40">
        <f t="shared" si="5"/>
        <v>109238.79951730104</v>
      </c>
      <c r="AT9" s="40">
        <f t="shared" si="5"/>
        <v>110331.18751247406</v>
      </c>
      <c r="AU9" s="40">
        <f t="shared" si="5"/>
        <v>111434.4993875988</v>
      </c>
      <c r="AV9" s="40">
        <f t="shared" si="5"/>
        <v>112548.8443814748</v>
      </c>
      <c r="AW9" s="40">
        <f>AW6*$B$4</f>
        <v>113674.33282528954</v>
      </c>
      <c r="BI9" s="1">
        <v>27242.195333849286</v>
      </c>
    </row>
    <row r="10" spans="1:61" x14ac:dyDescent="0.25">
      <c r="D10" s="1" t="s">
        <v>202</v>
      </c>
      <c r="E10" s="40">
        <f>SUM(E7:E9)</f>
        <v>170934.22633200002</v>
      </c>
      <c r="F10" s="40">
        <f t="shared" ref="F10:AV10" si="6">SUM(F7:F9)</f>
        <v>172643.56859532002</v>
      </c>
      <c r="G10" s="40">
        <f t="shared" si="6"/>
        <v>181275.74702508596</v>
      </c>
      <c r="H10" s="40">
        <f t="shared" si="6"/>
        <v>183088.50449533685</v>
      </c>
      <c r="I10" s="40">
        <f t="shared" si="6"/>
        <v>184919.3895402902</v>
      </c>
      <c r="J10" s="40">
        <f t="shared" si="6"/>
        <v>186768.58343569314</v>
      </c>
      <c r="K10" s="40">
        <f t="shared" si="6"/>
        <v>196107.01260747778</v>
      </c>
      <c r="L10" s="40">
        <f t="shared" si="6"/>
        <v>198068.08273355252</v>
      </c>
      <c r="M10" s="40">
        <f t="shared" si="6"/>
        <v>200048.76356088812</v>
      </c>
      <c r="N10" s="40">
        <f t="shared" si="6"/>
        <v>202049.251196497</v>
      </c>
      <c r="O10" s="40">
        <f t="shared" si="6"/>
        <v>212151.71375632187</v>
      </c>
      <c r="P10" s="40">
        <f t="shared" si="6"/>
        <v>214273.23089388508</v>
      </c>
      <c r="Q10" s="40">
        <f t="shared" si="6"/>
        <v>216415.96320282394</v>
      </c>
      <c r="R10" s="40">
        <f t="shared" si="6"/>
        <v>218580.12283485223</v>
      </c>
      <c r="S10" s="40">
        <f t="shared" si="6"/>
        <v>229509.1289765948</v>
      </c>
      <c r="T10" s="40">
        <f t="shared" si="6"/>
        <v>232639.46398090746</v>
      </c>
      <c r="U10" s="40">
        <f t="shared" si="6"/>
        <v>235893.45862071653</v>
      </c>
      <c r="V10" s="40">
        <f t="shared" si="6"/>
        <v>239179.99320692365</v>
      </c>
      <c r="W10" s="40">
        <f t="shared" si="6"/>
        <v>255776.9928672699</v>
      </c>
      <c r="X10" s="40">
        <f t="shared" si="6"/>
        <v>259262.36279594258</v>
      </c>
      <c r="Y10" s="40">
        <f t="shared" si="6"/>
        <v>262782.58642390196</v>
      </c>
      <c r="Z10" s="40">
        <f t="shared" si="6"/>
        <v>266338.01228814101</v>
      </c>
      <c r="AA10" s="40">
        <f t="shared" si="6"/>
        <v>284292.91290254809</v>
      </c>
      <c r="AB10" s="40">
        <f t="shared" si="6"/>
        <v>288063.44203157356</v>
      </c>
      <c r="AC10" s="40">
        <f t="shared" si="6"/>
        <v>291871.67645188933</v>
      </c>
      <c r="AD10" s="40">
        <f t="shared" si="6"/>
        <v>295717.99321640824</v>
      </c>
      <c r="AE10" s="40">
        <f t="shared" si="6"/>
        <v>299602.77314857231</v>
      </c>
      <c r="AF10" s="40">
        <f t="shared" si="6"/>
        <v>303526.400880058</v>
      </c>
      <c r="AG10" s="40">
        <f t="shared" si="6"/>
        <v>307489.26488885866</v>
      </c>
      <c r="AH10" s="40">
        <f t="shared" si="6"/>
        <v>311491.75753774715</v>
      </c>
      <c r="AI10" s="40">
        <f t="shared" si="6"/>
        <v>315534.27511312458</v>
      </c>
      <c r="AJ10" s="40">
        <f t="shared" si="6"/>
        <v>319617.21786425589</v>
      </c>
      <c r="AK10" s="40">
        <f t="shared" si="6"/>
        <v>323740.99004289845</v>
      </c>
      <c r="AL10" s="40">
        <f t="shared" si="6"/>
        <v>327905.99994332739</v>
      </c>
      <c r="AM10" s="40">
        <f t="shared" si="6"/>
        <v>332112.65994276071</v>
      </c>
      <c r="AN10" s="40">
        <f t="shared" si="6"/>
        <v>353356.29293989867</v>
      </c>
      <c r="AO10" s="40">
        <f t="shared" si="6"/>
        <v>357817.45586929773</v>
      </c>
      <c r="AP10" s="40">
        <f t="shared" si="6"/>
        <v>362323.23042799061</v>
      </c>
      <c r="AQ10" s="40">
        <f t="shared" si="6"/>
        <v>366874.06273227057</v>
      </c>
      <c r="AR10" s="40">
        <f t="shared" si="6"/>
        <v>371470.40335959336</v>
      </c>
      <c r="AS10" s="40">
        <f t="shared" si="6"/>
        <v>376112.70739318925</v>
      </c>
      <c r="AT10" s="40">
        <f t="shared" si="6"/>
        <v>380801.4344671212</v>
      </c>
      <c r="AU10" s="40">
        <f t="shared" si="6"/>
        <v>385537.0488117924</v>
      </c>
      <c r="AV10" s="40">
        <f t="shared" si="6"/>
        <v>390320.0192999104</v>
      </c>
      <c r="AW10" s="40">
        <f>SUM(AW7:AW9)</f>
        <v>395150.81949290948</v>
      </c>
      <c r="BI10" s="1">
        <v>27534.808024402246</v>
      </c>
    </row>
    <row r="11" spans="1:61" x14ac:dyDescent="0.25">
      <c r="D11" s="1" t="s">
        <v>203</v>
      </c>
      <c r="E11" s="40">
        <f>E6-E10</f>
        <v>289184.82166800008</v>
      </c>
      <c r="F11" s="40">
        <f t="shared" ref="F11:AV11" si="7">F6-F10</f>
        <v>292076.66988468007</v>
      </c>
      <c r="G11" s="40">
        <f t="shared" si="7"/>
        <v>306680.50337891391</v>
      </c>
      <c r="H11" s="40">
        <f t="shared" si="7"/>
        <v>309747.3084127031</v>
      </c>
      <c r="I11" s="40">
        <f t="shared" si="7"/>
        <v>312844.78149683017</v>
      </c>
      <c r="J11" s="40">
        <f t="shared" si="7"/>
        <v>315973.22931179847</v>
      </c>
      <c r="K11" s="40">
        <f t="shared" si="7"/>
        <v>331771.89077738841</v>
      </c>
      <c r="L11" s="40">
        <f t="shared" si="7"/>
        <v>335089.6096851622</v>
      </c>
      <c r="M11" s="40">
        <f t="shared" si="7"/>
        <v>338440.50578201399</v>
      </c>
      <c r="N11" s="40">
        <f t="shared" si="7"/>
        <v>341824.91083983413</v>
      </c>
      <c r="O11" s="40">
        <f t="shared" si="7"/>
        <v>358916.15638182586</v>
      </c>
      <c r="P11" s="40">
        <f t="shared" si="7"/>
        <v>362505.31794564408</v>
      </c>
      <c r="Q11" s="40">
        <f t="shared" si="7"/>
        <v>366130.37112510059</v>
      </c>
      <c r="R11" s="40">
        <f t="shared" si="7"/>
        <v>369791.67483635165</v>
      </c>
      <c r="S11" s="40">
        <f t="shared" si="7"/>
        <v>388281.25857816916</v>
      </c>
      <c r="T11" s="40">
        <f t="shared" si="7"/>
        <v>391328.82744940405</v>
      </c>
      <c r="U11" s="40">
        <f t="shared" si="7"/>
        <v>394314.51572389813</v>
      </c>
      <c r="V11" s="40">
        <f t="shared" si="7"/>
        <v>397330.06088113709</v>
      </c>
      <c r="W11" s="40">
        <f t="shared" si="7"/>
        <v>412558.56392519397</v>
      </c>
      <c r="X11" s="40">
        <f t="shared" si="7"/>
        <v>415756.54956444586</v>
      </c>
      <c r="Y11" s="40">
        <f t="shared" si="7"/>
        <v>418986.51506009034</v>
      </c>
      <c r="Z11" s="40">
        <f t="shared" si="7"/>
        <v>422248.78021069121</v>
      </c>
      <c r="AA11" s="40">
        <f t="shared" si="7"/>
        <v>438723.21922122582</v>
      </c>
      <c r="AB11" s="40">
        <f t="shared" si="7"/>
        <v>442182.85141343804</v>
      </c>
      <c r="AC11" s="40">
        <f t="shared" si="7"/>
        <v>445677.07992757251</v>
      </c>
      <c r="AD11" s="40">
        <f t="shared" si="7"/>
        <v>449206.2507268482</v>
      </c>
      <c r="AE11" s="40">
        <f t="shared" si="7"/>
        <v>452770.71323411667</v>
      </c>
      <c r="AF11" s="40">
        <f t="shared" si="7"/>
        <v>456370.82036645786</v>
      </c>
      <c r="AG11" s="40">
        <f t="shared" si="7"/>
        <v>460006.92857012246</v>
      </c>
      <c r="AH11" s="40">
        <f t="shared" si="7"/>
        <v>463679.39785582363</v>
      </c>
      <c r="AI11" s="40">
        <f t="shared" si="7"/>
        <v>467388.59183438186</v>
      </c>
      <c r="AJ11" s="40">
        <f t="shared" si="7"/>
        <v>471134.87775272573</v>
      </c>
      <c r="AK11" s="40">
        <f t="shared" si="7"/>
        <v>474918.62653025298</v>
      </c>
      <c r="AL11" s="40">
        <f t="shared" si="7"/>
        <v>478740.21279555548</v>
      </c>
      <c r="AM11" s="40">
        <f t="shared" si="7"/>
        <v>482600.01492351096</v>
      </c>
      <c r="AN11" s="40">
        <f t="shared" si="7"/>
        <v>502092.01566968649</v>
      </c>
      <c r="AO11" s="40">
        <f t="shared" si="7"/>
        <v>506185.33582638344</v>
      </c>
      <c r="AP11" s="40">
        <f t="shared" si="7"/>
        <v>510319.58918464725</v>
      </c>
      <c r="AQ11" s="40">
        <f t="shared" si="7"/>
        <v>514495.18507649377</v>
      </c>
      <c r="AR11" s="40">
        <f t="shared" si="7"/>
        <v>518712.53692725871</v>
      </c>
      <c r="AS11" s="40">
        <f t="shared" si="7"/>
        <v>522972.06229653134</v>
      </c>
      <c r="AT11" s="40">
        <f t="shared" si="7"/>
        <v>527274.18291949667</v>
      </c>
      <c r="AU11" s="40">
        <f t="shared" si="7"/>
        <v>531619.32474869152</v>
      </c>
      <c r="AV11" s="40">
        <f t="shared" si="7"/>
        <v>536007.9179961785</v>
      </c>
      <c r="AW11" s="40">
        <f>AW6-AW10</f>
        <v>540440.39717614034</v>
      </c>
      <c r="BI11" s="1">
        <v>27829.950945052595</v>
      </c>
    </row>
    <row r="12" spans="1:61" x14ac:dyDescent="0.25">
      <c r="D12" s="1" t="s">
        <v>204</v>
      </c>
      <c r="E12" s="1">
        <f>$B$7/(1+$B$8)^(E1-$E$1)</f>
        <v>9400</v>
      </c>
      <c r="F12" s="1">
        <f t="shared" ref="F12:AW12" si="8">$B$7/(1+$B$8)^(F1-$E$1)</f>
        <v>9215.6862745098042</v>
      </c>
      <c r="G12" s="1">
        <f t="shared" si="8"/>
        <v>9034.9865436370619</v>
      </c>
      <c r="H12" s="1">
        <f t="shared" si="8"/>
        <v>8857.8299447422196</v>
      </c>
      <c r="I12" s="1">
        <f t="shared" si="8"/>
        <v>8684.1470046492341</v>
      </c>
      <c r="J12" s="1">
        <f t="shared" si="8"/>
        <v>8513.8696124012095</v>
      </c>
      <c r="K12" s="1">
        <f t="shared" si="8"/>
        <v>8346.9309925502057</v>
      </c>
      <c r="L12" s="1">
        <f t="shared" si="8"/>
        <v>8183.2656789707908</v>
      </c>
      <c r="M12" s="1">
        <f t="shared" si="8"/>
        <v>8022.8094891870487</v>
      </c>
      <c r="N12" s="1">
        <f t="shared" si="8"/>
        <v>7865.4994992029897</v>
      </c>
      <c r="O12" s="1">
        <f t="shared" si="8"/>
        <v>7711.2740188264597</v>
      </c>
      <c r="P12" s="1">
        <f t="shared" si="8"/>
        <v>7560.0725674769228</v>
      </c>
      <c r="Q12" s="1">
        <f t="shared" si="8"/>
        <v>7411.8358504675698</v>
      </c>
      <c r="R12" s="1">
        <f t="shared" si="8"/>
        <v>7266.5057357525202</v>
      </c>
      <c r="S12" s="1">
        <f t="shared" si="8"/>
        <v>7124.0252311299209</v>
      </c>
      <c r="T12" s="1">
        <f t="shared" si="8"/>
        <v>6984.3384618920809</v>
      </c>
      <c r="U12" s="1">
        <f t="shared" si="8"/>
        <v>6847.3906489138044</v>
      </c>
      <c r="V12" s="1">
        <f t="shared" si="8"/>
        <v>6713.1280871703957</v>
      </c>
      <c r="W12" s="1">
        <f t="shared" si="8"/>
        <v>6581.4981246768593</v>
      </c>
      <c r="X12" s="1">
        <f t="shared" si="8"/>
        <v>6452.4491418400585</v>
      </c>
      <c r="Y12" s="1">
        <f t="shared" si="8"/>
        <v>6325.930531215743</v>
      </c>
      <c r="Z12" s="1">
        <f t="shared" si="8"/>
        <v>6201.892677662493</v>
      </c>
      <c r="AA12" s="1">
        <f t="shared" si="8"/>
        <v>6080.2869388847967</v>
      </c>
      <c r="AB12" s="1">
        <f t="shared" si="8"/>
        <v>5961.0656263576448</v>
      </c>
      <c r="AC12" s="1">
        <f t="shared" si="8"/>
        <v>5844.1819866251417</v>
      </c>
      <c r="AD12" s="1">
        <f t="shared" si="8"/>
        <v>5729.590182965826</v>
      </c>
      <c r="AE12" s="1">
        <f t="shared" si="8"/>
        <v>5617.2452774174753</v>
      </c>
      <c r="AF12" s="1">
        <f t="shared" si="8"/>
        <v>5507.1032131543889</v>
      </c>
      <c r="AG12" s="1">
        <f t="shared" si="8"/>
        <v>5399.1207972101838</v>
      </c>
      <c r="AH12" s="1">
        <f t="shared" si="8"/>
        <v>5293.2556835393971</v>
      </c>
      <c r="AI12" s="1">
        <f t="shared" si="8"/>
        <v>5189.4663564111725</v>
      </c>
      <c r="AJ12" s="1">
        <f t="shared" si="8"/>
        <v>5087.7121141286025</v>
      </c>
      <c r="AK12" s="1">
        <f t="shared" si="8"/>
        <v>4987.9530530672555</v>
      </c>
      <c r="AL12" s="1">
        <f t="shared" si="8"/>
        <v>4890.1500520267209</v>
      </c>
      <c r="AM12" s="1">
        <f t="shared" si="8"/>
        <v>4794.2647568889424</v>
      </c>
      <c r="AN12" s="1">
        <f t="shared" si="8"/>
        <v>4700.2595655773948</v>
      </c>
      <c r="AO12" s="1">
        <f t="shared" si="8"/>
        <v>4608.0976133111717</v>
      </c>
      <c r="AP12" s="1">
        <f t="shared" si="8"/>
        <v>4517.742758148207</v>
      </c>
      <c r="AQ12" s="1">
        <f t="shared" si="8"/>
        <v>4429.1595668119671</v>
      </c>
      <c r="AR12" s="1">
        <f t="shared" si="8"/>
        <v>4342.3133007960478</v>
      </c>
      <c r="AS12" s="1">
        <f t="shared" si="8"/>
        <v>4257.1699027412224</v>
      </c>
      <c r="AT12" s="1">
        <f t="shared" si="8"/>
        <v>4173.6959830796295</v>
      </c>
      <c r="AU12" s="1">
        <f t="shared" si="8"/>
        <v>4091.8588069408138</v>
      </c>
      <c r="AV12" s="1">
        <f t="shared" si="8"/>
        <v>4011.6262813145236</v>
      </c>
      <c r="AW12" s="1">
        <f t="shared" si="8"/>
        <v>3932.9669424652184</v>
      </c>
      <c r="BI12" s="1">
        <v>29267.073530249949</v>
      </c>
    </row>
    <row r="13" spans="1:61" x14ac:dyDescent="0.25">
      <c r="D13" s="1" t="s">
        <v>207</v>
      </c>
      <c r="E13" s="40">
        <f>E11-E12</f>
        <v>279784.82166800008</v>
      </c>
      <c r="F13" s="40">
        <f t="shared" ref="F13:AV13" si="9">F11-F12</f>
        <v>282860.98361017025</v>
      </c>
      <c r="G13" s="40">
        <f t="shared" si="9"/>
        <v>297645.51683527685</v>
      </c>
      <c r="H13" s="40">
        <f t="shared" si="9"/>
        <v>300889.4784679609</v>
      </c>
      <c r="I13" s="40">
        <f t="shared" si="9"/>
        <v>304160.63449218095</v>
      </c>
      <c r="J13" s="40">
        <f t="shared" si="9"/>
        <v>307459.35969939723</v>
      </c>
      <c r="K13" s="40">
        <f t="shared" si="9"/>
        <v>323424.9597848382</v>
      </c>
      <c r="L13" s="40">
        <f t="shared" si="9"/>
        <v>326906.34400619142</v>
      </c>
      <c r="M13" s="40">
        <f t="shared" si="9"/>
        <v>330417.69629282696</v>
      </c>
      <c r="N13" s="40">
        <f t="shared" si="9"/>
        <v>333959.41134063114</v>
      </c>
      <c r="O13" s="40">
        <f t="shared" si="9"/>
        <v>351204.88236299937</v>
      </c>
      <c r="P13" s="40">
        <f t="shared" si="9"/>
        <v>354945.24537816714</v>
      </c>
      <c r="Q13" s="40">
        <f t="shared" si="9"/>
        <v>358718.53527463303</v>
      </c>
      <c r="R13" s="40">
        <f t="shared" si="9"/>
        <v>362525.16910059913</v>
      </c>
      <c r="S13" s="40">
        <f t="shared" si="9"/>
        <v>381157.23334703926</v>
      </c>
      <c r="T13" s="40">
        <f t="shared" si="9"/>
        <v>384344.48898751196</v>
      </c>
      <c r="U13" s="40">
        <f t="shared" si="9"/>
        <v>387467.12507498433</v>
      </c>
      <c r="V13" s="40">
        <f t="shared" si="9"/>
        <v>390616.93279396667</v>
      </c>
      <c r="W13" s="40">
        <f t="shared" si="9"/>
        <v>405977.0658005171</v>
      </c>
      <c r="X13" s="40">
        <f t="shared" si="9"/>
        <v>409304.10042260581</v>
      </c>
      <c r="Y13" s="40">
        <f t="shared" si="9"/>
        <v>412660.58452887461</v>
      </c>
      <c r="Z13" s="40">
        <f t="shared" si="9"/>
        <v>416046.88753302873</v>
      </c>
      <c r="AA13" s="40">
        <f t="shared" si="9"/>
        <v>432642.932282341</v>
      </c>
      <c r="AB13" s="40">
        <f t="shared" si="9"/>
        <v>436221.78578708041</v>
      </c>
      <c r="AC13" s="40">
        <f t="shared" si="9"/>
        <v>439832.89794094738</v>
      </c>
      <c r="AD13" s="40">
        <f t="shared" si="9"/>
        <v>443476.66054388235</v>
      </c>
      <c r="AE13" s="40">
        <f t="shared" si="9"/>
        <v>447153.4679566992</v>
      </c>
      <c r="AF13" s="40">
        <f t="shared" si="9"/>
        <v>450863.7171533035</v>
      </c>
      <c r="AG13" s="40">
        <f t="shared" si="9"/>
        <v>454607.80777291226</v>
      </c>
      <c r="AH13" s="40">
        <f t="shared" si="9"/>
        <v>458386.14217228425</v>
      </c>
      <c r="AI13" s="40">
        <f t="shared" si="9"/>
        <v>462199.12547797069</v>
      </c>
      <c r="AJ13" s="40">
        <f t="shared" si="9"/>
        <v>466047.16563859716</v>
      </c>
      <c r="AK13" s="40">
        <f t="shared" si="9"/>
        <v>469930.67347718572</v>
      </c>
      <c r="AL13" s="40">
        <f t="shared" si="9"/>
        <v>473850.06274352875</v>
      </c>
      <c r="AM13" s="40">
        <f t="shared" si="9"/>
        <v>477805.75016662199</v>
      </c>
      <c r="AN13" s="40">
        <f t="shared" si="9"/>
        <v>497391.75610410911</v>
      </c>
      <c r="AO13" s="40">
        <f t="shared" si="9"/>
        <v>501577.23821307224</v>
      </c>
      <c r="AP13" s="40">
        <f t="shared" si="9"/>
        <v>505801.84642649902</v>
      </c>
      <c r="AQ13" s="40">
        <f t="shared" si="9"/>
        <v>510066.02550968179</v>
      </c>
      <c r="AR13" s="40">
        <f t="shared" si="9"/>
        <v>514370.22362646268</v>
      </c>
      <c r="AS13" s="40">
        <f t="shared" si="9"/>
        <v>518714.89239379013</v>
      </c>
      <c r="AT13" s="40">
        <f t="shared" si="9"/>
        <v>523100.48693641706</v>
      </c>
      <c r="AU13" s="40">
        <f t="shared" si="9"/>
        <v>527527.46594175068</v>
      </c>
      <c r="AV13" s="40">
        <f t="shared" si="9"/>
        <v>531996.29171486397</v>
      </c>
      <c r="AW13" s="40">
        <f>AW11-AW12</f>
        <v>536507.43023367517</v>
      </c>
      <c r="BI13" s="1">
        <v>29578.770448180596</v>
      </c>
    </row>
    <row r="14" spans="1:61" x14ac:dyDescent="0.25">
      <c r="D14" s="1" t="s">
        <v>208</v>
      </c>
      <c r="E14" s="40">
        <f>E13/12</f>
        <v>23315.401805666672</v>
      </c>
      <c r="F14" s="40">
        <f t="shared" ref="F14:AW14" si="10">F13/12</f>
        <v>23571.748634180854</v>
      </c>
      <c r="G14" s="40">
        <f t="shared" si="10"/>
        <v>24803.793069606403</v>
      </c>
      <c r="H14" s="40">
        <f t="shared" si="10"/>
        <v>25074.123205663407</v>
      </c>
      <c r="I14" s="40">
        <f t="shared" si="10"/>
        <v>25346.719541015078</v>
      </c>
      <c r="J14" s="40">
        <f t="shared" si="10"/>
        <v>25621.613308283104</v>
      </c>
      <c r="K14" s="40">
        <f t="shared" si="10"/>
        <v>26952.079982069848</v>
      </c>
      <c r="L14" s="40">
        <f t="shared" si="10"/>
        <v>27242.195333849286</v>
      </c>
      <c r="M14" s="40">
        <f t="shared" si="10"/>
        <v>27534.808024402246</v>
      </c>
      <c r="N14" s="40">
        <f t="shared" si="10"/>
        <v>27829.950945052595</v>
      </c>
      <c r="O14" s="40">
        <f t="shared" si="10"/>
        <v>29267.073530249949</v>
      </c>
      <c r="P14" s="40">
        <f t="shared" si="10"/>
        <v>29578.770448180596</v>
      </c>
      <c r="Q14" s="40">
        <f t="shared" si="10"/>
        <v>29893.211272886085</v>
      </c>
      <c r="R14" s="40">
        <f t="shared" si="10"/>
        <v>30210.43075838326</v>
      </c>
      <c r="S14" s="40">
        <f t="shared" si="10"/>
        <v>31763.10277891994</v>
      </c>
      <c r="T14" s="40">
        <f t="shared" si="10"/>
        <v>32028.707415625995</v>
      </c>
      <c r="U14" s="40">
        <f t="shared" si="10"/>
        <v>32288.927089582026</v>
      </c>
      <c r="V14" s="40">
        <f t="shared" si="10"/>
        <v>32551.411066163888</v>
      </c>
      <c r="W14" s="40">
        <f t="shared" si="10"/>
        <v>33831.422150043094</v>
      </c>
      <c r="X14" s="40">
        <f t="shared" si="10"/>
        <v>34108.675035217151</v>
      </c>
      <c r="Y14" s="40">
        <f t="shared" si="10"/>
        <v>34388.382044072881</v>
      </c>
      <c r="Z14" s="40">
        <f t="shared" si="10"/>
        <v>34670.573961085727</v>
      </c>
      <c r="AA14" s="40">
        <f t="shared" si="10"/>
        <v>36053.577690195081</v>
      </c>
      <c r="AB14" s="40">
        <f t="shared" si="10"/>
        <v>36351.815482256701</v>
      </c>
      <c r="AC14" s="40">
        <f t="shared" si="10"/>
        <v>36652.741495078946</v>
      </c>
      <c r="AD14" s="40">
        <f t="shared" si="10"/>
        <v>36956.388378656862</v>
      </c>
      <c r="AE14" s="40">
        <f t="shared" si="10"/>
        <v>37262.788996391602</v>
      </c>
      <c r="AF14" s="40">
        <f t="shared" si="10"/>
        <v>37571.976429441958</v>
      </c>
      <c r="AG14" s="40">
        <f t="shared" si="10"/>
        <v>37883.983981076024</v>
      </c>
      <c r="AH14" s="40">
        <f t="shared" si="10"/>
        <v>38198.845181023687</v>
      </c>
      <c r="AI14" s="40">
        <f t="shared" si="10"/>
        <v>38516.593789830891</v>
      </c>
      <c r="AJ14" s="40">
        <f t="shared" si="10"/>
        <v>38837.263803216432</v>
      </c>
      <c r="AK14" s="40">
        <f t="shared" si="10"/>
        <v>39160.889456432145</v>
      </c>
      <c r="AL14" s="40">
        <f t="shared" si="10"/>
        <v>39487.505228627393</v>
      </c>
      <c r="AM14" s="40">
        <f t="shared" si="10"/>
        <v>39817.145847218497</v>
      </c>
      <c r="AN14" s="40">
        <f t="shared" si="10"/>
        <v>41449.313008675759</v>
      </c>
      <c r="AO14" s="40">
        <f t="shared" si="10"/>
        <v>41798.103184422689</v>
      </c>
      <c r="AP14" s="40">
        <f t="shared" si="10"/>
        <v>42150.153868874921</v>
      </c>
      <c r="AQ14" s="40">
        <f t="shared" si="10"/>
        <v>42505.502125806815</v>
      </c>
      <c r="AR14" s="40">
        <f t="shared" si="10"/>
        <v>42864.185302205224</v>
      </c>
      <c r="AS14" s="40">
        <f t="shared" si="10"/>
        <v>43226.241032815844</v>
      </c>
      <c r="AT14" s="40">
        <f t="shared" si="10"/>
        <v>43591.707244701422</v>
      </c>
      <c r="AU14" s="40">
        <f t="shared" si="10"/>
        <v>43960.622161812556</v>
      </c>
      <c r="AV14" s="40">
        <f t="shared" si="10"/>
        <v>44333.024309572</v>
      </c>
      <c r="AW14" s="40">
        <f t="shared" si="10"/>
        <v>44708.952519472929</v>
      </c>
      <c r="BI14" s="1">
        <v>29893.211272886085</v>
      </c>
    </row>
    <row r="15" spans="1:61" x14ac:dyDescent="0.25">
      <c r="BI15" s="1">
        <v>30210.43075838326</v>
      </c>
    </row>
    <row r="16" spans="1:61" x14ac:dyDescent="0.25">
      <c r="BI16" s="1">
        <v>31763.10277891994</v>
      </c>
    </row>
    <row r="17" spans="4:61" x14ac:dyDescent="0.25">
      <c r="BI17" s="1">
        <v>32028.707415625995</v>
      </c>
    </row>
    <row r="18" spans="4:61" x14ac:dyDescent="0.25">
      <c r="D18" s="40"/>
      <c r="BI18" s="1">
        <v>32288.927089582026</v>
      </c>
    </row>
    <row r="19" spans="4:61" x14ac:dyDescent="0.25">
      <c r="D19" s="1" t="s">
        <v>1</v>
      </c>
      <c r="E19" s="1">
        <v>2070</v>
      </c>
      <c r="F19" s="1">
        <v>2071</v>
      </c>
      <c r="G19" s="1">
        <v>2072</v>
      </c>
      <c r="H19" s="1">
        <v>2073</v>
      </c>
      <c r="I19" s="1">
        <v>2074</v>
      </c>
      <c r="J19" s="1">
        <v>2075</v>
      </c>
      <c r="K19" s="1">
        <v>2076</v>
      </c>
      <c r="L19" s="1">
        <v>2077</v>
      </c>
      <c r="M19" s="1">
        <v>2078</v>
      </c>
      <c r="N19" s="1">
        <v>2079</v>
      </c>
      <c r="O19" s="1">
        <v>2080</v>
      </c>
      <c r="P19" s="1">
        <v>2081</v>
      </c>
      <c r="Q19" s="1">
        <v>2082</v>
      </c>
      <c r="R19" s="1">
        <v>2083</v>
      </c>
      <c r="S19" s="1">
        <v>2084</v>
      </c>
      <c r="T19" s="1">
        <v>2085</v>
      </c>
      <c r="U19" s="1">
        <v>2086</v>
      </c>
      <c r="V19" s="1">
        <v>2087</v>
      </c>
      <c r="W19" s="1">
        <v>2088</v>
      </c>
      <c r="X19" s="1">
        <v>2089</v>
      </c>
      <c r="Y19" s="1">
        <v>2090</v>
      </c>
      <c r="Z19" s="1">
        <v>2091</v>
      </c>
      <c r="AA19" s="1">
        <v>2092</v>
      </c>
      <c r="AB19" s="1">
        <v>2093</v>
      </c>
      <c r="AC19" s="1">
        <v>2094</v>
      </c>
      <c r="BI19" s="1">
        <v>32551.411066163888</v>
      </c>
    </row>
    <row r="20" spans="4:61" x14ac:dyDescent="0.25">
      <c r="D20" s="1" t="s">
        <v>215</v>
      </c>
      <c r="E20" s="40">
        <f>'Pensions P1'!$B$13+'Pensions P1'!$B$21</f>
        <v>27534.747113284458</v>
      </c>
      <c r="F20" s="40">
        <f>'Pensions P1'!$B$13+'Pensions P1'!$B$21</f>
        <v>27534.747113284458</v>
      </c>
      <c r="G20" s="40">
        <f>'Pensions P1'!$B$13+'Pensions P1'!$B$21</f>
        <v>27534.747113284458</v>
      </c>
      <c r="H20" s="40">
        <f>'Pensions P1'!$B$13+'Pensions P1'!$B$21</f>
        <v>27534.747113284458</v>
      </c>
      <c r="I20" s="40">
        <f>'Pensions P1'!$B$13+'Pensions P1'!$B$21</f>
        <v>27534.747113284458</v>
      </c>
      <c r="J20" s="40">
        <f>'Pensions P1'!$B$13+'Pensions P1'!$B$21</f>
        <v>27534.747113284458</v>
      </c>
      <c r="K20" s="40">
        <f>'Pensions P1'!$B$13+'Pensions P1'!$B$21</f>
        <v>27534.747113284458</v>
      </c>
      <c r="L20" s="40">
        <f>'Pensions P1'!$B$13+'Pensions P1'!$B$21</f>
        <v>27534.747113284458</v>
      </c>
      <c r="M20" s="40">
        <f>'Pensions P1'!$B$13+'Pensions P1'!$B$21</f>
        <v>27534.747113284458</v>
      </c>
      <c r="N20" s="40">
        <f>'Pensions P1'!$B$13+'Pensions P1'!$B$21</f>
        <v>27534.747113284458</v>
      </c>
      <c r="O20" s="40">
        <f>'Pensions P1'!$B$13+'Pensions P1'!$B$21</f>
        <v>27534.747113284458</v>
      </c>
      <c r="P20" s="40">
        <f>'Pensions P1'!$B$13+'Pensions P1'!$B$21</f>
        <v>27534.747113284458</v>
      </c>
      <c r="Q20" s="40">
        <f>'Pensions P1'!$B$13+'Pensions P1'!$B$21</f>
        <v>27534.747113284458</v>
      </c>
      <c r="R20" s="40">
        <f>'Pensions P1'!$B$13+'Pensions P1'!$B$21</f>
        <v>27534.747113284458</v>
      </c>
      <c r="S20" s="40">
        <f>'Pensions P1'!$B$13+'Pensions P1'!$B$21</f>
        <v>27534.747113284458</v>
      </c>
      <c r="T20" s="40">
        <f>'Pensions P1'!$B$13+'Pensions P1'!$B$21</f>
        <v>27534.747113284458</v>
      </c>
      <c r="U20" s="40">
        <f>'Pensions P1'!$B$13+'Pensions P1'!$B$21</f>
        <v>27534.747113284458</v>
      </c>
      <c r="V20" s="40">
        <f>'Pensions P1'!$B$13+'Pensions P1'!$B$21</f>
        <v>27534.747113284458</v>
      </c>
      <c r="W20" s="40">
        <f>'Pensions P1'!$B$13+'Pensions P1'!$B$21</f>
        <v>27534.747113284458</v>
      </c>
      <c r="X20" s="40">
        <f>'Pensions P1'!$B$13+'Pensions P1'!$B$21</f>
        <v>27534.747113284458</v>
      </c>
      <c r="Y20" s="40">
        <f>'Pensions P1'!$B$13+'Pensions P1'!$B$21</f>
        <v>27534.747113284458</v>
      </c>
      <c r="Z20" s="40">
        <f>'Pensions P1'!$B$13+'Pensions P1'!$B$21</f>
        <v>27534.747113284458</v>
      </c>
      <c r="AA20" s="40">
        <f>'Pensions P1'!$B$13+'Pensions P1'!$B$21</f>
        <v>27534.747113284458</v>
      </c>
      <c r="AB20" s="40">
        <f>'Pensions P1'!$B$13+'Pensions P1'!$B$21</f>
        <v>27534.747113284458</v>
      </c>
      <c r="AC20" s="40">
        <f>'Pensions P1'!$B$13+'Pensions P1'!$B$21</f>
        <v>27534.747113284458</v>
      </c>
      <c r="BI20" s="1">
        <v>33831.422150043094</v>
      </c>
    </row>
    <row r="21" spans="4:61" x14ac:dyDescent="0.25">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BI21" s="1">
        <v>34108.675035217151</v>
      </c>
    </row>
    <row r="22" spans="4:61" x14ac:dyDescent="0.25">
      <c r="D22" s="1" t="s">
        <v>216</v>
      </c>
      <c r="E22" s="40">
        <f>E20*12</f>
        <v>330416.96535941353</v>
      </c>
      <c r="F22" s="40">
        <f t="shared" ref="F22:AC22" si="11">F20*12</f>
        <v>330416.96535941353</v>
      </c>
      <c r="G22" s="40">
        <f t="shared" si="11"/>
        <v>330416.96535941353</v>
      </c>
      <c r="H22" s="40">
        <f t="shared" si="11"/>
        <v>330416.96535941353</v>
      </c>
      <c r="I22" s="40">
        <f t="shared" si="11"/>
        <v>330416.96535941353</v>
      </c>
      <c r="J22" s="40">
        <f t="shared" si="11"/>
        <v>330416.96535941353</v>
      </c>
      <c r="K22" s="40">
        <f t="shared" si="11"/>
        <v>330416.96535941353</v>
      </c>
      <c r="L22" s="40">
        <f t="shared" si="11"/>
        <v>330416.96535941353</v>
      </c>
      <c r="M22" s="40">
        <f t="shared" si="11"/>
        <v>330416.96535941353</v>
      </c>
      <c r="N22" s="40">
        <f t="shared" si="11"/>
        <v>330416.96535941353</v>
      </c>
      <c r="O22" s="40">
        <f t="shared" si="11"/>
        <v>330416.96535941353</v>
      </c>
      <c r="P22" s="40">
        <f t="shared" si="11"/>
        <v>330416.96535941353</v>
      </c>
      <c r="Q22" s="40">
        <f t="shared" si="11"/>
        <v>330416.96535941353</v>
      </c>
      <c r="R22" s="40">
        <f t="shared" si="11"/>
        <v>330416.96535941353</v>
      </c>
      <c r="S22" s="40">
        <f t="shared" si="11"/>
        <v>330416.96535941353</v>
      </c>
      <c r="T22" s="40">
        <f t="shared" si="11"/>
        <v>330416.96535941353</v>
      </c>
      <c r="U22" s="40">
        <f t="shared" si="11"/>
        <v>330416.96535941353</v>
      </c>
      <c r="V22" s="40">
        <f t="shared" si="11"/>
        <v>330416.96535941353</v>
      </c>
      <c r="W22" s="40">
        <f t="shared" si="11"/>
        <v>330416.96535941353</v>
      </c>
      <c r="X22" s="40">
        <f t="shared" si="11"/>
        <v>330416.96535941353</v>
      </c>
      <c r="Y22" s="40">
        <f t="shared" si="11"/>
        <v>330416.96535941353</v>
      </c>
      <c r="Z22" s="40">
        <f t="shared" si="11"/>
        <v>330416.96535941353</v>
      </c>
      <c r="AA22" s="40">
        <f t="shared" si="11"/>
        <v>330416.96535941353</v>
      </c>
      <c r="AB22" s="40">
        <f t="shared" si="11"/>
        <v>330416.96535941353</v>
      </c>
      <c r="AC22" s="40">
        <f t="shared" si="11"/>
        <v>330416.96535941353</v>
      </c>
      <c r="BI22" s="1">
        <v>34388.382044072881</v>
      </c>
    </row>
    <row r="23" spans="4:61" x14ac:dyDescent="0.25">
      <c r="D23" s="1" t="s">
        <v>199</v>
      </c>
      <c r="E23" s="40">
        <f>E22*$B$3</f>
        <v>82604.241339853383</v>
      </c>
      <c r="F23" s="40">
        <f>F22*$B$3</f>
        <v>82604.241339853383</v>
      </c>
      <c r="G23" s="40">
        <f t="shared" ref="G23:AC23" si="12">G22*$B$3</f>
        <v>82604.241339853383</v>
      </c>
      <c r="H23" s="40">
        <f t="shared" si="12"/>
        <v>82604.241339853383</v>
      </c>
      <c r="I23" s="40">
        <f t="shared" si="12"/>
        <v>82604.241339853383</v>
      </c>
      <c r="J23" s="40">
        <f t="shared" si="12"/>
        <v>82604.241339853383</v>
      </c>
      <c r="K23" s="40">
        <f t="shared" si="12"/>
        <v>82604.241339853383</v>
      </c>
      <c r="L23" s="40">
        <f t="shared" si="12"/>
        <v>82604.241339853383</v>
      </c>
      <c r="M23" s="40">
        <f t="shared" si="12"/>
        <v>82604.241339853383</v>
      </c>
      <c r="N23" s="40">
        <f t="shared" si="12"/>
        <v>82604.241339853383</v>
      </c>
      <c r="O23" s="40">
        <f t="shared" si="12"/>
        <v>82604.241339853383</v>
      </c>
      <c r="P23" s="40">
        <f t="shared" si="12"/>
        <v>82604.241339853383</v>
      </c>
      <c r="Q23" s="40">
        <f t="shared" si="12"/>
        <v>82604.241339853383</v>
      </c>
      <c r="R23" s="40">
        <f t="shared" si="12"/>
        <v>82604.241339853383</v>
      </c>
      <c r="S23" s="40">
        <f t="shared" si="12"/>
        <v>82604.241339853383</v>
      </c>
      <c r="T23" s="40">
        <f t="shared" si="12"/>
        <v>82604.241339853383</v>
      </c>
      <c r="U23" s="40">
        <f t="shared" si="12"/>
        <v>82604.241339853383</v>
      </c>
      <c r="V23" s="40">
        <f t="shared" si="12"/>
        <v>82604.241339853383</v>
      </c>
      <c r="W23" s="40">
        <f t="shared" si="12"/>
        <v>82604.241339853383</v>
      </c>
      <c r="X23" s="40">
        <f t="shared" si="12"/>
        <v>82604.241339853383</v>
      </c>
      <c r="Y23" s="40">
        <f t="shared" si="12"/>
        <v>82604.241339853383</v>
      </c>
      <c r="Z23" s="40">
        <f t="shared" si="12"/>
        <v>82604.241339853383</v>
      </c>
      <c r="AA23" s="40">
        <f t="shared" si="12"/>
        <v>82604.241339853383</v>
      </c>
      <c r="AB23" s="40">
        <f t="shared" si="12"/>
        <v>82604.241339853383</v>
      </c>
      <c r="AC23" s="40">
        <f t="shared" si="12"/>
        <v>82604.241339853383</v>
      </c>
      <c r="BI23" s="1">
        <v>34670.573961085727</v>
      </c>
    </row>
    <row r="24" spans="4:61" x14ac:dyDescent="0.25">
      <c r="D24" s="1" t="s">
        <v>200</v>
      </c>
      <c r="E24" s="40">
        <f>MAX(E22-$B$6,0)*$B$5</f>
        <v>0</v>
      </c>
      <c r="F24" s="40">
        <f>MAX(F22-$B$6,0)*$B$5</f>
        <v>0</v>
      </c>
      <c r="G24" s="40">
        <f t="shared" ref="G24:AC24" si="13">MAX(G22-$B$6,0)*$B$5</f>
        <v>0</v>
      </c>
      <c r="H24" s="40">
        <f t="shared" si="13"/>
        <v>0</v>
      </c>
      <c r="I24" s="40">
        <f t="shared" si="13"/>
        <v>0</v>
      </c>
      <c r="J24" s="40">
        <f t="shared" si="13"/>
        <v>0</v>
      </c>
      <c r="K24" s="40">
        <f t="shared" si="13"/>
        <v>0</v>
      </c>
      <c r="L24" s="40">
        <f t="shared" si="13"/>
        <v>0</v>
      </c>
      <c r="M24" s="40">
        <f t="shared" si="13"/>
        <v>0</v>
      </c>
      <c r="N24" s="40">
        <f t="shared" si="13"/>
        <v>0</v>
      </c>
      <c r="O24" s="40">
        <f t="shared" si="13"/>
        <v>0</v>
      </c>
      <c r="P24" s="40">
        <f t="shared" si="13"/>
        <v>0</v>
      </c>
      <c r="Q24" s="40">
        <f t="shared" si="13"/>
        <v>0</v>
      </c>
      <c r="R24" s="40">
        <f t="shared" si="13"/>
        <v>0</v>
      </c>
      <c r="S24" s="40">
        <f t="shared" si="13"/>
        <v>0</v>
      </c>
      <c r="T24" s="40">
        <f t="shared" si="13"/>
        <v>0</v>
      </c>
      <c r="U24" s="40">
        <f t="shared" si="13"/>
        <v>0</v>
      </c>
      <c r="V24" s="40">
        <f t="shared" si="13"/>
        <v>0</v>
      </c>
      <c r="W24" s="40">
        <f t="shared" si="13"/>
        <v>0</v>
      </c>
      <c r="X24" s="40">
        <f t="shared" si="13"/>
        <v>0</v>
      </c>
      <c r="Y24" s="40">
        <f t="shared" si="13"/>
        <v>0</v>
      </c>
      <c r="Z24" s="40">
        <f t="shared" si="13"/>
        <v>0</v>
      </c>
      <c r="AA24" s="40">
        <f t="shared" si="13"/>
        <v>0</v>
      </c>
      <c r="AB24" s="40">
        <f t="shared" si="13"/>
        <v>0</v>
      </c>
      <c r="AC24" s="40">
        <f t="shared" si="13"/>
        <v>0</v>
      </c>
      <c r="BI24" s="1">
        <v>36053.577690195081</v>
      </c>
    </row>
    <row r="25" spans="4:61" x14ac:dyDescent="0.25">
      <c r="D25" s="1" t="s">
        <v>201</v>
      </c>
      <c r="E25" s="40">
        <f>E22*$B$4</f>
        <v>40145.661291168741</v>
      </c>
      <c r="F25" s="40">
        <f>F22*$B$4</f>
        <v>40145.661291168741</v>
      </c>
      <c r="G25" s="40">
        <f t="shared" ref="G25:AC25" si="14">G22*$B$4</f>
        <v>40145.661291168741</v>
      </c>
      <c r="H25" s="40">
        <f t="shared" si="14"/>
        <v>40145.661291168741</v>
      </c>
      <c r="I25" s="40">
        <f t="shared" si="14"/>
        <v>40145.661291168741</v>
      </c>
      <c r="J25" s="40">
        <f t="shared" si="14"/>
        <v>40145.661291168741</v>
      </c>
      <c r="K25" s="40">
        <f t="shared" si="14"/>
        <v>40145.661291168741</v>
      </c>
      <c r="L25" s="40">
        <f t="shared" si="14"/>
        <v>40145.661291168741</v>
      </c>
      <c r="M25" s="40">
        <f t="shared" si="14"/>
        <v>40145.661291168741</v>
      </c>
      <c r="N25" s="40">
        <f t="shared" si="14"/>
        <v>40145.661291168741</v>
      </c>
      <c r="O25" s="40">
        <f t="shared" si="14"/>
        <v>40145.661291168741</v>
      </c>
      <c r="P25" s="40">
        <f t="shared" si="14"/>
        <v>40145.661291168741</v>
      </c>
      <c r="Q25" s="40">
        <f t="shared" si="14"/>
        <v>40145.661291168741</v>
      </c>
      <c r="R25" s="40">
        <f t="shared" si="14"/>
        <v>40145.661291168741</v>
      </c>
      <c r="S25" s="40">
        <f t="shared" si="14"/>
        <v>40145.661291168741</v>
      </c>
      <c r="T25" s="40">
        <f t="shared" si="14"/>
        <v>40145.661291168741</v>
      </c>
      <c r="U25" s="40">
        <f t="shared" si="14"/>
        <v>40145.661291168741</v>
      </c>
      <c r="V25" s="40">
        <f t="shared" si="14"/>
        <v>40145.661291168741</v>
      </c>
      <c r="W25" s="40">
        <f t="shared" si="14"/>
        <v>40145.661291168741</v>
      </c>
      <c r="X25" s="40">
        <f t="shared" si="14"/>
        <v>40145.661291168741</v>
      </c>
      <c r="Y25" s="40">
        <f t="shared" si="14"/>
        <v>40145.661291168741</v>
      </c>
      <c r="Z25" s="40">
        <f t="shared" si="14"/>
        <v>40145.661291168741</v>
      </c>
      <c r="AA25" s="40">
        <f t="shared" si="14"/>
        <v>40145.661291168741</v>
      </c>
      <c r="AB25" s="40">
        <f t="shared" si="14"/>
        <v>40145.661291168741</v>
      </c>
      <c r="AC25" s="40">
        <f t="shared" si="14"/>
        <v>40145.661291168741</v>
      </c>
      <c r="BI25" s="1">
        <v>36351.815482256701</v>
      </c>
    </row>
    <row r="26" spans="4:61" x14ac:dyDescent="0.25">
      <c r="D26" s="1" t="s">
        <v>202</v>
      </c>
      <c r="E26" s="40">
        <f>SUM(E23:E25)</f>
        <v>122749.90263102212</v>
      </c>
      <c r="F26" s="40">
        <f>SUM(F23:F25)</f>
        <v>122749.90263102212</v>
      </c>
      <c r="G26" s="40">
        <f t="shared" ref="G26:AC26" si="15">SUM(G23:G25)</f>
        <v>122749.90263102212</v>
      </c>
      <c r="H26" s="40">
        <f t="shared" si="15"/>
        <v>122749.90263102212</v>
      </c>
      <c r="I26" s="40">
        <f t="shared" si="15"/>
        <v>122749.90263102212</v>
      </c>
      <c r="J26" s="40">
        <f t="shared" si="15"/>
        <v>122749.90263102212</v>
      </c>
      <c r="K26" s="40">
        <f t="shared" si="15"/>
        <v>122749.90263102212</v>
      </c>
      <c r="L26" s="40">
        <f t="shared" si="15"/>
        <v>122749.90263102212</v>
      </c>
      <c r="M26" s="40">
        <f t="shared" si="15"/>
        <v>122749.90263102212</v>
      </c>
      <c r="N26" s="40">
        <f t="shared" si="15"/>
        <v>122749.90263102212</v>
      </c>
      <c r="O26" s="40">
        <f t="shared" si="15"/>
        <v>122749.90263102212</v>
      </c>
      <c r="P26" s="40">
        <f t="shared" si="15"/>
        <v>122749.90263102212</v>
      </c>
      <c r="Q26" s="40">
        <f t="shared" si="15"/>
        <v>122749.90263102212</v>
      </c>
      <c r="R26" s="40">
        <f t="shared" si="15"/>
        <v>122749.90263102212</v>
      </c>
      <c r="S26" s="40">
        <f t="shared" si="15"/>
        <v>122749.90263102212</v>
      </c>
      <c r="T26" s="40">
        <f t="shared" si="15"/>
        <v>122749.90263102212</v>
      </c>
      <c r="U26" s="40">
        <f t="shared" si="15"/>
        <v>122749.90263102212</v>
      </c>
      <c r="V26" s="40">
        <f t="shared" si="15"/>
        <v>122749.90263102212</v>
      </c>
      <c r="W26" s="40">
        <f t="shared" si="15"/>
        <v>122749.90263102212</v>
      </c>
      <c r="X26" s="40">
        <f t="shared" si="15"/>
        <v>122749.90263102212</v>
      </c>
      <c r="Y26" s="40">
        <f t="shared" si="15"/>
        <v>122749.90263102212</v>
      </c>
      <c r="Z26" s="40">
        <f t="shared" si="15"/>
        <v>122749.90263102212</v>
      </c>
      <c r="AA26" s="40">
        <f t="shared" si="15"/>
        <v>122749.90263102212</v>
      </c>
      <c r="AB26" s="40">
        <f t="shared" si="15"/>
        <v>122749.90263102212</v>
      </c>
      <c r="AC26" s="40">
        <f t="shared" si="15"/>
        <v>122749.90263102212</v>
      </c>
      <c r="BI26" s="1">
        <v>36652.741495078946</v>
      </c>
    </row>
    <row r="27" spans="4:61" x14ac:dyDescent="0.25">
      <c r="D27" s="1" t="s">
        <v>203</v>
      </c>
      <c r="E27" s="40">
        <f>E22-E26</f>
        <v>207667.06272839141</v>
      </c>
      <c r="F27" s="40">
        <f>F22-F26</f>
        <v>207667.06272839141</v>
      </c>
      <c r="G27" s="40">
        <f t="shared" ref="G27:AC27" si="16">G22-G26</f>
        <v>207667.06272839141</v>
      </c>
      <c r="H27" s="40">
        <f t="shared" si="16"/>
        <v>207667.06272839141</v>
      </c>
      <c r="I27" s="40">
        <f t="shared" si="16"/>
        <v>207667.06272839141</v>
      </c>
      <c r="J27" s="40">
        <f t="shared" si="16"/>
        <v>207667.06272839141</v>
      </c>
      <c r="K27" s="40">
        <f t="shared" si="16"/>
        <v>207667.06272839141</v>
      </c>
      <c r="L27" s="40">
        <f t="shared" si="16"/>
        <v>207667.06272839141</v>
      </c>
      <c r="M27" s="40">
        <f t="shared" si="16"/>
        <v>207667.06272839141</v>
      </c>
      <c r="N27" s="40">
        <f t="shared" si="16"/>
        <v>207667.06272839141</v>
      </c>
      <c r="O27" s="40">
        <f t="shared" si="16"/>
        <v>207667.06272839141</v>
      </c>
      <c r="P27" s="40">
        <f t="shared" si="16"/>
        <v>207667.06272839141</v>
      </c>
      <c r="Q27" s="40">
        <f t="shared" si="16"/>
        <v>207667.06272839141</v>
      </c>
      <c r="R27" s="40">
        <f t="shared" si="16"/>
        <v>207667.06272839141</v>
      </c>
      <c r="S27" s="40">
        <f t="shared" si="16"/>
        <v>207667.06272839141</v>
      </c>
      <c r="T27" s="40">
        <f t="shared" si="16"/>
        <v>207667.06272839141</v>
      </c>
      <c r="U27" s="40">
        <f t="shared" si="16"/>
        <v>207667.06272839141</v>
      </c>
      <c r="V27" s="40">
        <f t="shared" si="16"/>
        <v>207667.06272839141</v>
      </c>
      <c r="W27" s="40">
        <f t="shared" si="16"/>
        <v>207667.06272839141</v>
      </c>
      <c r="X27" s="40">
        <f t="shared" si="16"/>
        <v>207667.06272839141</v>
      </c>
      <c r="Y27" s="40">
        <f t="shared" si="16"/>
        <v>207667.06272839141</v>
      </c>
      <c r="Z27" s="40">
        <f t="shared" si="16"/>
        <v>207667.06272839141</v>
      </c>
      <c r="AA27" s="40">
        <f t="shared" si="16"/>
        <v>207667.06272839141</v>
      </c>
      <c r="AB27" s="40">
        <f t="shared" si="16"/>
        <v>207667.06272839141</v>
      </c>
      <c r="AC27" s="40">
        <f t="shared" si="16"/>
        <v>207667.06272839141</v>
      </c>
      <c r="BI27" s="1">
        <v>36956.388378656862</v>
      </c>
    </row>
    <row r="28" spans="4:61" x14ac:dyDescent="0.25">
      <c r="D28" s="1" t="s">
        <v>217</v>
      </c>
      <c r="E28" s="40">
        <f>'Pensions P1'!$B$17</f>
        <v>11310.066115069563</v>
      </c>
      <c r="F28" s="40">
        <f>'Pensions P1'!$B$17</f>
        <v>11310.066115069563</v>
      </c>
      <c r="G28" s="40">
        <f>'Pensions P1'!$B$17</f>
        <v>11310.066115069563</v>
      </c>
      <c r="H28" s="40">
        <f>'Pensions P1'!$B$17</f>
        <v>11310.066115069563</v>
      </c>
      <c r="I28" s="40">
        <f>'Pensions P1'!$B$17</f>
        <v>11310.066115069563</v>
      </c>
      <c r="J28" s="40">
        <f>'Pensions P1'!$B$17</f>
        <v>11310.066115069563</v>
      </c>
      <c r="K28" s="40">
        <f>'Pensions P1'!$B$17</f>
        <v>11310.066115069563</v>
      </c>
      <c r="L28" s="40">
        <f>'Pensions P1'!$B$17</f>
        <v>11310.066115069563</v>
      </c>
      <c r="M28" s="40">
        <f>'Pensions P1'!$B$17</f>
        <v>11310.066115069563</v>
      </c>
      <c r="N28" s="40">
        <f>'Pensions P1'!$B$17</f>
        <v>11310.066115069563</v>
      </c>
      <c r="O28" s="40">
        <f>'Pensions P1'!$B$17</f>
        <v>11310.066115069563</v>
      </c>
      <c r="P28" s="40">
        <f>'Pensions P1'!$B$17</f>
        <v>11310.066115069563</v>
      </c>
      <c r="Q28" s="40">
        <f>'Pensions P1'!$B$17</f>
        <v>11310.066115069563</v>
      </c>
      <c r="R28" s="40">
        <f>'Pensions P1'!$B$17</f>
        <v>11310.066115069563</v>
      </c>
      <c r="S28" s="40">
        <f>'Pensions P1'!$B$17</f>
        <v>11310.066115069563</v>
      </c>
      <c r="T28" s="40">
        <f>'Pensions P1'!$B$17</f>
        <v>11310.066115069563</v>
      </c>
      <c r="U28" s="40">
        <f>'Pensions P1'!$B$17</f>
        <v>11310.066115069563</v>
      </c>
      <c r="V28" s="40">
        <f>'Pensions P1'!$B$17</f>
        <v>11310.066115069563</v>
      </c>
      <c r="W28" s="40">
        <f>'Pensions P1'!$B$17</f>
        <v>11310.066115069563</v>
      </c>
      <c r="X28" s="40">
        <f>'Pensions P1'!$B$17</f>
        <v>11310.066115069563</v>
      </c>
      <c r="Y28" s="40">
        <f>'Pensions P1'!$B$17</f>
        <v>11310.066115069563</v>
      </c>
      <c r="Z28" s="40">
        <f>'Pensions P1'!$B$17</f>
        <v>11310.066115069563</v>
      </c>
      <c r="AA28" s="40">
        <f>'Pensions P1'!$B$17</f>
        <v>11310.066115069563</v>
      </c>
      <c r="AB28" s="40">
        <f>'Pensions P1'!$B$17</f>
        <v>11310.066115069563</v>
      </c>
      <c r="AC28" s="40">
        <f>'Pensions P1'!$B$17</f>
        <v>11310.066115069563</v>
      </c>
      <c r="BI28" s="1">
        <v>37262.788996391602</v>
      </c>
    </row>
    <row r="29" spans="4:61" x14ac:dyDescent="0.25">
      <c r="D29" s="1" t="s">
        <v>207</v>
      </c>
      <c r="E29" s="40">
        <f>E28+E27</f>
        <v>218977.12884346096</v>
      </c>
      <c r="F29" s="40">
        <f>F28+F27</f>
        <v>218977.12884346096</v>
      </c>
      <c r="G29" s="40">
        <f t="shared" ref="G29:AC29" si="17">G28+G27</f>
        <v>218977.12884346096</v>
      </c>
      <c r="H29" s="40">
        <f t="shared" si="17"/>
        <v>218977.12884346096</v>
      </c>
      <c r="I29" s="40">
        <f t="shared" si="17"/>
        <v>218977.12884346096</v>
      </c>
      <c r="J29" s="40">
        <f t="shared" si="17"/>
        <v>218977.12884346096</v>
      </c>
      <c r="K29" s="40">
        <f t="shared" si="17"/>
        <v>218977.12884346096</v>
      </c>
      <c r="L29" s="40">
        <f t="shared" si="17"/>
        <v>218977.12884346096</v>
      </c>
      <c r="M29" s="40">
        <f t="shared" si="17"/>
        <v>218977.12884346096</v>
      </c>
      <c r="N29" s="40">
        <f t="shared" si="17"/>
        <v>218977.12884346096</v>
      </c>
      <c r="O29" s="40">
        <f t="shared" si="17"/>
        <v>218977.12884346096</v>
      </c>
      <c r="P29" s="40">
        <f t="shared" si="17"/>
        <v>218977.12884346096</v>
      </c>
      <c r="Q29" s="40">
        <f t="shared" si="17"/>
        <v>218977.12884346096</v>
      </c>
      <c r="R29" s="40">
        <f t="shared" si="17"/>
        <v>218977.12884346096</v>
      </c>
      <c r="S29" s="40">
        <f t="shared" si="17"/>
        <v>218977.12884346096</v>
      </c>
      <c r="T29" s="40">
        <f t="shared" si="17"/>
        <v>218977.12884346096</v>
      </c>
      <c r="U29" s="40">
        <f t="shared" si="17"/>
        <v>218977.12884346096</v>
      </c>
      <c r="V29" s="40">
        <f t="shared" si="17"/>
        <v>218977.12884346096</v>
      </c>
      <c r="W29" s="40">
        <f t="shared" si="17"/>
        <v>218977.12884346096</v>
      </c>
      <c r="X29" s="40">
        <f t="shared" si="17"/>
        <v>218977.12884346096</v>
      </c>
      <c r="Y29" s="40">
        <f t="shared" si="17"/>
        <v>218977.12884346096</v>
      </c>
      <c r="Z29" s="40">
        <f t="shared" si="17"/>
        <v>218977.12884346096</v>
      </c>
      <c r="AA29" s="40">
        <f t="shared" si="17"/>
        <v>218977.12884346096</v>
      </c>
      <c r="AB29" s="40">
        <f t="shared" si="17"/>
        <v>218977.12884346096</v>
      </c>
      <c r="AC29" s="40">
        <f t="shared" si="17"/>
        <v>218977.12884346096</v>
      </c>
      <c r="BI29" s="1">
        <v>37571.976429441958</v>
      </c>
    </row>
    <row r="30" spans="4:61" x14ac:dyDescent="0.25">
      <c r="D30" s="1" t="s">
        <v>208</v>
      </c>
      <c r="E30" s="40">
        <f>E29/12</f>
        <v>18248.094070288415</v>
      </c>
      <c r="F30" s="40">
        <f>F29/12</f>
        <v>18248.094070288415</v>
      </c>
      <c r="G30" s="40">
        <f t="shared" ref="G30:AC30" si="18">G29/12</f>
        <v>18248.094070288415</v>
      </c>
      <c r="H30" s="40">
        <f t="shared" si="18"/>
        <v>18248.094070288415</v>
      </c>
      <c r="I30" s="40">
        <f t="shared" si="18"/>
        <v>18248.094070288415</v>
      </c>
      <c r="J30" s="40">
        <f t="shared" si="18"/>
        <v>18248.094070288415</v>
      </c>
      <c r="K30" s="40">
        <f t="shared" si="18"/>
        <v>18248.094070288415</v>
      </c>
      <c r="L30" s="40">
        <f t="shared" si="18"/>
        <v>18248.094070288415</v>
      </c>
      <c r="M30" s="40">
        <f t="shared" si="18"/>
        <v>18248.094070288415</v>
      </c>
      <c r="N30" s="40">
        <f t="shared" si="18"/>
        <v>18248.094070288415</v>
      </c>
      <c r="O30" s="40">
        <f t="shared" si="18"/>
        <v>18248.094070288415</v>
      </c>
      <c r="P30" s="40">
        <f t="shared" si="18"/>
        <v>18248.094070288415</v>
      </c>
      <c r="Q30" s="40">
        <f t="shared" si="18"/>
        <v>18248.094070288415</v>
      </c>
      <c r="R30" s="40">
        <f t="shared" si="18"/>
        <v>18248.094070288415</v>
      </c>
      <c r="S30" s="40">
        <f t="shared" si="18"/>
        <v>18248.094070288415</v>
      </c>
      <c r="T30" s="40">
        <f t="shared" si="18"/>
        <v>18248.094070288415</v>
      </c>
      <c r="U30" s="40">
        <f t="shared" si="18"/>
        <v>18248.094070288415</v>
      </c>
      <c r="V30" s="40">
        <f t="shared" si="18"/>
        <v>18248.094070288415</v>
      </c>
      <c r="W30" s="40">
        <f t="shared" si="18"/>
        <v>18248.094070288415</v>
      </c>
      <c r="X30" s="40">
        <f t="shared" si="18"/>
        <v>18248.094070288415</v>
      </c>
      <c r="Y30" s="40">
        <f t="shared" si="18"/>
        <v>18248.094070288415</v>
      </c>
      <c r="Z30" s="40">
        <f t="shared" si="18"/>
        <v>18248.094070288415</v>
      </c>
      <c r="AA30" s="40">
        <f t="shared" si="18"/>
        <v>18248.094070288415</v>
      </c>
      <c r="AB30" s="40">
        <f t="shared" si="18"/>
        <v>18248.094070288415</v>
      </c>
      <c r="AC30" s="40">
        <f t="shared" si="18"/>
        <v>18248.094070288415</v>
      </c>
      <c r="BI30" s="1">
        <v>37883.983981076024</v>
      </c>
    </row>
    <row r="31" spans="4:61" x14ac:dyDescent="0.25">
      <c r="D31" s="1" t="s">
        <v>218</v>
      </c>
      <c r="E31" s="40">
        <f>$AW$14</f>
        <v>44708.952519472929</v>
      </c>
      <c r="F31" s="40">
        <f t="shared" ref="F31:AC31" si="19">$AW$14</f>
        <v>44708.952519472929</v>
      </c>
      <c r="G31" s="40">
        <f t="shared" si="19"/>
        <v>44708.952519472929</v>
      </c>
      <c r="H31" s="40">
        <f t="shared" si="19"/>
        <v>44708.952519472929</v>
      </c>
      <c r="I31" s="40">
        <f t="shared" si="19"/>
        <v>44708.952519472929</v>
      </c>
      <c r="J31" s="40">
        <f t="shared" si="19"/>
        <v>44708.952519472929</v>
      </c>
      <c r="K31" s="40">
        <f t="shared" si="19"/>
        <v>44708.952519472929</v>
      </c>
      <c r="L31" s="40">
        <f t="shared" si="19"/>
        <v>44708.952519472929</v>
      </c>
      <c r="M31" s="40">
        <f t="shared" si="19"/>
        <v>44708.952519472929</v>
      </c>
      <c r="N31" s="40">
        <f t="shared" si="19"/>
        <v>44708.952519472929</v>
      </c>
      <c r="O31" s="40">
        <f t="shared" si="19"/>
        <v>44708.952519472929</v>
      </c>
      <c r="P31" s="40">
        <f t="shared" si="19"/>
        <v>44708.952519472929</v>
      </c>
      <c r="Q31" s="40">
        <f t="shared" si="19"/>
        <v>44708.952519472929</v>
      </c>
      <c r="R31" s="40">
        <f t="shared" si="19"/>
        <v>44708.952519472929</v>
      </c>
      <c r="S31" s="40">
        <f t="shared" si="19"/>
        <v>44708.952519472929</v>
      </c>
      <c r="T31" s="40">
        <f t="shared" si="19"/>
        <v>44708.952519472929</v>
      </c>
      <c r="U31" s="40">
        <f t="shared" si="19"/>
        <v>44708.952519472929</v>
      </c>
      <c r="V31" s="40">
        <f t="shared" si="19"/>
        <v>44708.952519472929</v>
      </c>
      <c r="W31" s="40">
        <f t="shared" si="19"/>
        <v>44708.952519472929</v>
      </c>
      <c r="X31" s="40">
        <f t="shared" si="19"/>
        <v>44708.952519472929</v>
      </c>
      <c r="Y31" s="40">
        <f t="shared" si="19"/>
        <v>44708.952519472929</v>
      </c>
      <c r="Z31" s="40">
        <f t="shared" si="19"/>
        <v>44708.952519472929</v>
      </c>
      <c r="AA31" s="40">
        <f t="shared" si="19"/>
        <v>44708.952519472929</v>
      </c>
      <c r="AB31" s="40">
        <f t="shared" si="19"/>
        <v>44708.952519472929</v>
      </c>
      <c r="AC31" s="40">
        <f t="shared" si="19"/>
        <v>44708.952519472929</v>
      </c>
      <c r="BI31" s="1">
        <v>38198.845181023687</v>
      </c>
    </row>
    <row r="32" spans="4:61" x14ac:dyDescent="0.25">
      <c r="D32" s="1" t="s">
        <v>219</v>
      </c>
      <c r="E32" s="40">
        <f>E31-E30</f>
        <v>26460.858449184514</v>
      </c>
      <c r="F32" s="40">
        <f t="shared" ref="F32:AC32" si="20">F31-F30</f>
        <v>26460.858449184514</v>
      </c>
      <c r="G32" s="40">
        <f t="shared" si="20"/>
        <v>26460.858449184514</v>
      </c>
      <c r="H32" s="40">
        <f t="shared" si="20"/>
        <v>26460.858449184514</v>
      </c>
      <c r="I32" s="40">
        <f t="shared" si="20"/>
        <v>26460.858449184514</v>
      </c>
      <c r="J32" s="40">
        <f t="shared" si="20"/>
        <v>26460.858449184514</v>
      </c>
      <c r="K32" s="40">
        <f t="shared" si="20"/>
        <v>26460.858449184514</v>
      </c>
      <c r="L32" s="40">
        <f t="shared" si="20"/>
        <v>26460.858449184514</v>
      </c>
      <c r="M32" s="40">
        <f t="shared" si="20"/>
        <v>26460.858449184514</v>
      </c>
      <c r="N32" s="40">
        <f t="shared" si="20"/>
        <v>26460.858449184514</v>
      </c>
      <c r="O32" s="40">
        <f t="shared" si="20"/>
        <v>26460.858449184514</v>
      </c>
      <c r="P32" s="40">
        <f t="shared" si="20"/>
        <v>26460.858449184514</v>
      </c>
      <c r="Q32" s="40">
        <f t="shared" si="20"/>
        <v>26460.858449184514</v>
      </c>
      <c r="R32" s="40">
        <f t="shared" si="20"/>
        <v>26460.858449184514</v>
      </c>
      <c r="S32" s="40">
        <f t="shared" si="20"/>
        <v>26460.858449184514</v>
      </c>
      <c r="T32" s="40">
        <f t="shared" si="20"/>
        <v>26460.858449184514</v>
      </c>
      <c r="U32" s="40">
        <f t="shared" si="20"/>
        <v>26460.858449184514</v>
      </c>
      <c r="V32" s="40">
        <f t="shared" si="20"/>
        <v>26460.858449184514</v>
      </c>
      <c r="W32" s="40">
        <f t="shared" si="20"/>
        <v>26460.858449184514</v>
      </c>
      <c r="X32" s="40">
        <f t="shared" si="20"/>
        <v>26460.858449184514</v>
      </c>
      <c r="Y32" s="40">
        <f t="shared" si="20"/>
        <v>26460.858449184514</v>
      </c>
      <c r="Z32" s="40">
        <f t="shared" si="20"/>
        <v>26460.858449184514</v>
      </c>
      <c r="AA32" s="40">
        <f t="shared" si="20"/>
        <v>26460.858449184514</v>
      </c>
      <c r="AB32" s="40">
        <f t="shared" si="20"/>
        <v>26460.858449184514</v>
      </c>
      <c r="AC32" s="40">
        <f t="shared" si="20"/>
        <v>26460.858449184514</v>
      </c>
      <c r="BI32" s="1">
        <v>38516.593789830891</v>
      </c>
    </row>
    <row r="33" spans="4:61" x14ac:dyDescent="0.25">
      <c r="E33" s="40">
        <f>E32*(1.27)</f>
        <v>33605.290230464336</v>
      </c>
      <c r="F33" s="40">
        <f t="shared" ref="F33:AC33" si="21">F32*(1.27)</f>
        <v>33605.290230464336</v>
      </c>
      <c r="G33" s="40">
        <f t="shared" si="21"/>
        <v>33605.290230464336</v>
      </c>
      <c r="H33" s="40">
        <f t="shared" si="21"/>
        <v>33605.290230464336</v>
      </c>
      <c r="I33" s="40">
        <f t="shared" si="21"/>
        <v>33605.290230464336</v>
      </c>
      <c r="J33" s="40">
        <f t="shared" si="21"/>
        <v>33605.290230464336</v>
      </c>
      <c r="K33" s="40">
        <f t="shared" si="21"/>
        <v>33605.290230464336</v>
      </c>
      <c r="L33" s="40">
        <f t="shared" si="21"/>
        <v>33605.290230464336</v>
      </c>
      <c r="M33" s="40">
        <f t="shared" si="21"/>
        <v>33605.290230464336</v>
      </c>
      <c r="N33" s="40">
        <f t="shared" si="21"/>
        <v>33605.290230464336</v>
      </c>
      <c r="O33" s="40">
        <f t="shared" si="21"/>
        <v>33605.290230464336</v>
      </c>
      <c r="P33" s="40">
        <f t="shared" si="21"/>
        <v>33605.290230464336</v>
      </c>
      <c r="Q33" s="40">
        <f t="shared" si="21"/>
        <v>33605.290230464336</v>
      </c>
      <c r="R33" s="40">
        <f t="shared" si="21"/>
        <v>33605.290230464336</v>
      </c>
      <c r="S33" s="40">
        <f t="shared" si="21"/>
        <v>33605.290230464336</v>
      </c>
      <c r="T33" s="40">
        <f t="shared" si="21"/>
        <v>33605.290230464336</v>
      </c>
      <c r="U33" s="40">
        <f t="shared" si="21"/>
        <v>33605.290230464336</v>
      </c>
      <c r="V33" s="40">
        <f t="shared" si="21"/>
        <v>33605.290230464336</v>
      </c>
      <c r="W33" s="40">
        <f t="shared" si="21"/>
        <v>33605.290230464336</v>
      </c>
      <c r="X33" s="40">
        <f t="shared" si="21"/>
        <v>33605.290230464336</v>
      </c>
      <c r="Y33" s="40">
        <f t="shared" si="21"/>
        <v>33605.290230464336</v>
      </c>
      <c r="Z33" s="40">
        <f t="shared" si="21"/>
        <v>33605.290230464336</v>
      </c>
      <c r="AA33" s="40">
        <f t="shared" si="21"/>
        <v>33605.290230464336</v>
      </c>
      <c r="AB33" s="40">
        <f t="shared" si="21"/>
        <v>33605.290230464336</v>
      </c>
      <c r="AC33" s="40">
        <f t="shared" si="21"/>
        <v>33605.290230464336</v>
      </c>
      <c r="BI33" s="1">
        <v>38837.263803216432</v>
      </c>
    </row>
    <row r="34" spans="4:61" x14ac:dyDescent="0.25">
      <c r="BI34" s="1">
        <v>39160.889456432145</v>
      </c>
    </row>
    <row r="35" spans="4:61" x14ac:dyDescent="0.25">
      <c r="BI35" s="1">
        <v>39487.505228627393</v>
      </c>
    </row>
    <row r="36" spans="4:61" x14ac:dyDescent="0.25">
      <c r="D36" s="1" t="s">
        <v>220</v>
      </c>
      <c r="E36" s="41">
        <f>SUM(E33:AC33)</f>
        <v>840132.2557616079</v>
      </c>
      <c r="BI36" s="1">
        <v>39817.145847218497</v>
      </c>
    </row>
    <row r="37" spans="4:61" x14ac:dyDescent="0.25">
      <c r="E37" s="45"/>
      <c r="BI37" s="1">
        <v>41449.313008675759</v>
      </c>
    </row>
    <row r="38" spans="4:61" x14ac:dyDescent="0.25">
      <c r="BI38" s="1">
        <v>41798.103184422689</v>
      </c>
    </row>
    <row r="39" spans="4:61" x14ac:dyDescent="0.25">
      <c r="BI39" s="1">
        <v>42150.153868874921</v>
      </c>
    </row>
    <row r="40" spans="4:61" x14ac:dyDescent="0.25">
      <c r="BI40" s="1">
        <v>42505.502125806815</v>
      </c>
    </row>
    <row r="41" spans="4:61" x14ac:dyDescent="0.25">
      <c r="BI41" s="1">
        <v>42864.185302205224</v>
      </c>
    </row>
    <row r="42" spans="4:61" x14ac:dyDescent="0.25">
      <c r="BI42" s="1">
        <v>43226.241032815844</v>
      </c>
    </row>
    <row r="43" spans="4:61" x14ac:dyDescent="0.25">
      <c r="BI43" s="1">
        <v>43591.707244701422</v>
      </c>
    </row>
    <row r="44" spans="4:61" x14ac:dyDescent="0.25">
      <c r="BI44" s="1">
        <v>43960.622161812556</v>
      </c>
    </row>
    <row r="45" spans="4:61" x14ac:dyDescent="0.25">
      <c r="BI45" s="1">
        <v>44333.024309572</v>
      </c>
    </row>
    <row r="46" spans="4:61" x14ac:dyDescent="0.25">
      <c r="BI46" s="1">
        <v>44708.952519472929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dimension ref="A1:AT37"/>
  <sheetViews>
    <sheetView workbookViewId="0">
      <selection activeCell="F15" sqref="F15"/>
    </sheetView>
  </sheetViews>
  <sheetFormatPr defaultRowHeight="15" x14ac:dyDescent="0.25"/>
  <cols>
    <col min="1" max="1" width="23.140625" style="1" bestFit="1" customWidth="1"/>
    <col min="2" max="3" width="9.140625" style="1"/>
    <col min="4" max="4" width="30.5703125" style="1" bestFit="1" customWidth="1"/>
    <col min="5" max="5" width="13.28515625" style="1" bestFit="1" customWidth="1"/>
    <col min="6" max="7" width="11.5703125" style="1" bestFit="1" customWidth="1"/>
    <col min="8" max="34" width="19" style="1" bestFit="1" customWidth="1"/>
    <col min="35" max="44" width="9.140625" style="1"/>
    <col min="45" max="45" width="38.85546875" style="1" bestFit="1" customWidth="1"/>
    <col min="46" max="16384" width="9.140625" style="1"/>
  </cols>
  <sheetData>
    <row r="1" spans="1:46" x14ac:dyDescent="0.25">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6" x14ac:dyDescent="0.25">
      <c r="A2" s="1" t="s">
        <v>193</v>
      </c>
      <c r="B2" s="25">
        <v>0.08</v>
      </c>
      <c r="D2" s="1" t="s">
        <v>206</v>
      </c>
      <c r="E2" s="39" cm="1">
        <f t="array" ref="E2:AH2">TRANSPOSE(Income!O3:O32)</f>
        <v>64001</v>
      </c>
      <c r="F2" s="39">
        <v>64641.01</v>
      </c>
      <c r="G2" s="39">
        <v>65287.420100000003</v>
      </c>
      <c r="H2" s="39">
        <v>68656.240737</v>
      </c>
      <c r="I2" s="39">
        <v>69342.803144370002</v>
      </c>
      <c r="J2" s="39">
        <v>70036.231175813708</v>
      </c>
      <c r="K2" s="39">
        <v>70736.593487571852</v>
      </c>
      <c r="L2" s="39">
        <v>74678.848343723934</v>
      </c>
      <c r="M2" s="39">
        <v>75425.636827161172</v>
      </c>
      <c r="N2" s="39">
        <v>76179.893195432785</v>
      </c>
      <c r="O2" s="39">
        <v>76941.692127387112</v>
      </c>
      <c r="P2" s="39">
        <v>77711.10904866099</v>
      </c>
      <c r="Q2" s="39">
        <v>78488.220139147597</v>
      </c>
      <c r="R2" s="39">
        <v>79273.102340539073</v>
      </c>
      <c r="S2" s="39">
        <v>80065.833363944461</v>
      </c>
      <c r="T2" s="39">
        <v>80866.491697583901</v>
      </c>
      <c r="U2" s="39">
        <v>81675.156614559746</v>
      </c>
      <c r="V2" s="39">
        <v>82491.908180705344</v>
      </c>
      <c r="W2" s="39">
        <v>83316.827262512394</v>
      </c>
      <c r="X2" s="39">
        <v>84149.995535137525</v>
      </c>
      <c r="Y2" s="39">
        <v>90018.769616489066</v>
      </c>
      <c r="Z2" s="39">
        <v>90918.957312653962</v>
      </c>
      <c r="AA2" s="39">
        <v>91828.146885780501</v>
      </c>
      <c r="AB2" s="39">
        <v>92746.428354638309</v>
      </c>
      <c r="AC2" s="39">
        <v>93673.892638184698</v>
      </c>
      <c r="AD2" s="39">
        <v>94610.631564566545</v>
      </c>
      <c r="AE2" s="39">
        <v>95556.737880212211</v>
      </c>
      <c r="AF2" s="39">
        <v>96512.305259014334</v>
      </c>
      <c r="AG2" s="39">
        <v>97477.428311604483</v>
      </c>
      <c r="AH2" s="39">
        <v>98452.202594720526</v>
      </c>
      <c r="AS2" s="1" t="s">
        <v>221</v>
      </c>
      <c r="AT2" s="1" cm="1">
        <f t="array" ref="AT2:AT31">TRANSPOSE(E14:AH14)</f>
        <v>34155.54230566667</v>
      </c>
    </row>
    <row r="3" spans="1:46" x14ac:dyDescent="0.25">
      <c r="A3" s="1" t="s">
        <v>195</v>
      </c>
      <c r="B3" s="25">
        <v>0.25</v>
      </c>
      <c r="D3" s="1" t="s">
        <v>191</v>
      </c>
      <c r="E3" s="39">
        <f>E2*12</f>
        <v>768012</v>
      </c>
      <c r="F3" s="39">
        <f t="shared" ref="F3:AH3" si="0">F2*12</f>
        <v>775692.12</v>
      </c>
      <c r="G3" s="39">
        <f t="shared" si="0"/>
        <v>783449.04120000009</v>
      </c>
      <c r="H3" s="39">
        <f t="shared" si="0"/>
        <v>823874.88884399994</v>
      </c>
      <c r="I3" s="39">
        <f t="shared" si="0"/>
        <v>832113.63773244002</v>
      </c>
      <c r="J3" s="39">
        <f t="shared" si="0"/>
        <v>840434.77410976449</v>
      </c>
      <c r="K3" s="39">
        <f t="shared" si="0"/>
        <v>848839.12185086217</v>
      </c>
      <c r="L3" s="39">
        <f t="shared" si="0"/>
        <v>896146.18012468726</v>
      </c>
      <c r="M3" s="39">
        <f t="shared" si="0"/>
        <v>905107.641925934</v>
      </c>
      <c r="N3" s="39">
        <f t="shared" si="0"/>
        <v>914158.71834519343</v>
      </c>
      <c r="O3" s="39">
        <f t="shared" si="0"/>
        <v>923300.3055286454</v>
      </c>
      <c r="P3" s="39">
        <f t="shared" si="0"/>
        <v>932533.30858393188</v>
      </c>
      <c r="Q3" s="39">
        <f t="shared" si="0"/>
        <v>941858.64166977117</v>
      </c>
      <c r="R3" s="39">
        <f t="shared" si="0"/>
        <v>951277.22808646888</v>
      </c>
      <c r="S3" s="39">
        <f t="shared" si="0"/>
        <v>960790.00036733353</v>
      </c>
      <c r="T3" s="39">
        <f t="shared" si="0"/>
        <v>970397.90037100681</v>
      </c>
      <c r="U3" s="39">
        <f t="shared" si="0"/>
        <v>980101.8793747169</v>
      </c>
      <c r="V3" s="39">
        <f t="shared" si="0"/>
        <v>989902.89816846419</v>
      </c>
      <c r="W3" s="39">
        <f t="shared" si="0"/>
        <v>999801.92715014867</v>
      </c>
      <c r="X3" s="39">
        <f t="shared" si="0"/>
        <v>1009799.9464216502</v>
      </c>
      <c r="Y3" s="39">
        <f t="shared" si="0"/>
        <v>1080225.2353978688</v>
      </c>
      <c r="Z3" s="39">
        <f t="shared" si="0"/>
        <v>1091027.4877518476</v>
      </c>
      <c r="AA3" s="39">
        <f t="shared" si="0"/>
        <v>1101937.762629366</v>
      </c>
      <c r="AB3" s="39">
        <f t="shared" si="0"/>
        <v>1112957.1402556598</v>
      </c>
      <c r="AC3" s="39">
        <f t="shared" si="0"/>
        <v>1124086.7116582163</v>
      </c>
      <c r="AD3" s="39">
        <f t="shared" si="0"/>
        <v>1135327.5787747987</v>
      </c>
      <c r="AE3" s="39">
        <f t="shared" si="0"/>
        <v>1146680.8545625466</v>
      </c>
      <c r="AF3" s="39">
        <f t="shared" si="0"/>
        <v>1158147.6631081719</v>
      </c>
      <c r="AG3" s="39">
        <f t="shared" si="0"/>
        <v>1169729.1397392538</v>
      </c>
      <c r="AH3" s="39">
        <f t="shared" si="0"/>
        <v>1181426.4311366463</v>
      </c>
      <c r="AT3" s="1">
        <v>34442.99053918085</v>
      </c>
    </row>
    <row r="4" spans="1:46" x14ac:dyDescent="0.25">
      <c r="A4" s="1" t="s">
        <v>196</v>
      </c>
      <c r="B4" s="36">
        <v>0.1215</v>
      </c>
      <c r="D4" s="1" t="s">
        <v>190</v>
      </c>
      <c r="E4" s="39">
        <f>'Pensions P1'!B4*12</f>
        <v>26322.600000000002</v>
      </c>
      <c r="F4" s="39">
        <f>'Pensions P1'!C4*12</f>
        <v>26585.826000000001</v>
      </c>
      <c r="G4" s="39">
        <f>'Pensions P1'!D4*12</f>
        <v>27915.117299999998</v>
      </c>
      <c r="H4" s="39">
        <f>'Pensions P1'!E4*12</f>
        <v>28194.268472999996</v>
      </c>
      <c r="I4" s="39">
        <f>'Pensions P1'!F4*12</f>
        <v>28476.211157729998</v>
      </c>
      <c r="J4" s="39">
        <f>'Pensions P1'!G4*12</f>
        <v>28760.973269307295</v>
      </c>
      <c r="K4" s="39">
        <f>'Pensions P1'!H4*12</f>
        <v>30199.021932772666</v>
      </c>
      <c r="L4" s="39">
        <f>'Pensions P1'!I4*12</f>
        <v>30501.012152100397</v>
      </c>
      <c r="M4" s="39">
        <f>'Pensions P1'!J4*12</f>
        <v>30806.022273621398</v>
      </c>
      <c r="N4" s="39">
        <f>'Pensions P1'!K4*12</f>
        <v>31114.082496357616</v>
      </c>
      <c r="O4" s="39">
        <f>'Pensions P1'!L4*12</f>
        <v>32669.786621175499</v>
      </c>
      <c r="P4" s="39">
        <f>'Pensions P1'!M4*12</f>
        <v>32996.48448738725</v>
      </c>
      <c r="Q4" s="39">
        <f>'Pensions P1'!N4*12</f>
        <v>33326.449332261123</v>
      </c>
      <c r="R4" s="39">
        <f>'Pensions P1'!O4*12</f>
        <v>33659.713825583734</v>
      </c>
      <c r="S4" s="39">
        <f>'Pensions P1'!P4*12</f>
        <v>35342.699516862922</v>
      </c>
      <c r="T4" s="39">
        <f>'Pensions P1'!Q4*12</f>
        <v>35696.126512031551</v>
      </c>
      <c r="U4" s="39">
        <f>'Pensions P1'!R4*12</f>
        <v>36053.087777151872</v>
      </c>
      <c r="V4" s="39">
        <f>'Pensions P1'!S4*12</f>
        <v>36413.618654923383</v>
      </c>
      <c r="W4" s="39">
        <f>'Pensions P1'!T4*12</f>
        <v>38234.299587669557</v>
      </c>
      <c r="X4" s="39">
        <f>'Pensions P1'!U4*12</f>
        <v>38616.642583546251</v>
      </c>
      <c r="Y4" s="39">
        <f>'Pensions P1'!V4*12</f>
        <v>39002.809009381715</v>
      </c>
      <c r="Z4" s="39">
        <f>'Pensions P1'!W4*12</f>
        <v>39392.837099475531</v>
      </c>
      <c r="AA4" s="39">
        <f>'Pensions P1'!X4*12</f>
        <v>41362.478954449311</v>
      </c>
      <c r="AB4" s="39">
        <f>'Pensions P1'!Y4*12</f>
        <v>41776.103743993801</v>
      </c>
      <c r="AC4" s="39">
        <f>'Pensions P1'!Z4*12</f>
        <v>42193.864781433746</v>
      </c>
      <c r="AD4" s="39">
        <f>'Pensions P1'!AA4*12</f>
        <v>42615.803429248081</v>
      </c>
      <c r="AE4" s="39">
        <f>'Pensions P1'!AB4*12</f>
        <v>43041.96146354056</v>
      </c>
      <c r="AF4" s="39">
        <f>'Pensions P1'!AC4*12</f>
        <v>43472.381078175968</v>
      </c>
      <c r="AG4" s="39">
        <f>'Pensions P1'!AD4*12</f>
        <v>43907.104888957729</v>
      </c>
      <c r="AH4" s="39">
        <f>'Pensions P1'!AE4*12</f>
        <v>44346.1759378473</v>
      </c>
      <c r="AT4" s="1">
        <v>34693.846452968413</v>
      </c>
    </row>
    <row r="5" spans="1:46" x14ac:dyDescent="0.25">
      <c r="A5" s="1" t="s">
        <v>197</v>
      </c>
      <c r="B5" s="25">
        <v>0.15</v>
      </c>
      <c r="D5" s="1" t="s">
        <v>192</v>
      </c>
      <c r="E5" s="39">
        <f>E3-E4</f>
        <v>741689.4</v>
      </c>
      <c r="F5" s="39">
        <f t="shared" ref="F5:AH5" si="1">F3-F4</f>
        <v>749106.29399999999</v>
      </c>
      <c r="G5" s="39">
        <f t="shared" si="1"/>
        <v>755533.92390000005</v>
      </c>
      <c r="H5" s="39">
        <f t="shared" si="1"/>
        <v>795680.62037099991</v>
      </c>
      <c r="I5" s="39">
        <f t="shared" si="1"/>
        <v>803637.42657471006</v>
      </c>
      <c r="J5" s="39">
        <f t="shared" si="1"/>
        <v>811673.8008404572</v>
      </c>
      <c r="K5" s="39">
        <f t="shared" si="1"/>
        <v>818640.09991808946</v>
      </c>
      <c r="L5" s="39">
        <f t="shared" si="1"/>
        <v>865645.16797258682</v>
      </c>
      <c r="M5" s="39">
        <f t="shared" si="1"/>
        <v>874301.6196523126</v>
      </c>
      <c r="N5" s="39">
        <f t="shared" si="1"/>
        <v>883044.63584883581</v>
      </c>
      <c r="O5" s="39">
        <f t="shared" si="1"/>
        <v>890630.51890746993</v>
      </c>
      <c r="P5" s="39">
        <f t="shared" si="1"/>
        <v>899536.82409654465</v>
      </c>
      <c r="Q5" s="39">
        <f t="shared" si="1"/>
        <v>908532.19233751006</v>
      </c>
      <c r="R5" s="39">
        <f t="shared" si="1"/>
        <v>917617.51426088519</v>
      </c>
      <c r="S5" s="39">
        <f t="shared" si="1"/>
        <v>925447.30085047055</v>
      </c>
      <c r="T5" s="39">
        <f t="shared" si="1"/>
        <v>934701.77385897527</v>
      </c>
      <c r="U5" s="39">
        <f t="shared" si="1"/>
        <v>944048.79159756505</v>
      </c>
      <c r="V5" s="39">
        <f t="shared" si="1"/>
        <v>953489.27951354079</v>
      </c>
      <c r="W5" s="39">
        <f t="shared" si="1"/>
        <v>961567.62756247912</v>
      </c>
      <c r="X5" s="39">
        <f t="shared" si="1"/>
        <v>971183.30383810401</v>
      </c>
      <c r="Y5" s="39">
        <f t="shared" si="1"/>
        <v>1041222.4263884871</v>
      </c>
      <c r="Z5" s="39">
        <f t="shared" si="1"/>
        <v>1051634.650652372</v>
      </c>
      <c r="AA5" s="39">
        <f t="shared" si="1"/>
        <v>1060575.2836749167</v>
      </c>
      <c r="AB5" s="39">
        <f t="shared" si="1"/>
        <v>1071181.0365116659</v>
      </c>
      <c r="AC5" s="39">
        <f t="shared" si="1"/>
        <v>1081892.8468767826</v>
      </c>
      <c r="AD5" s="39">
        <f t="shared" si="1"/>
        <v>1092711.7753455506</v>
      </c>
      <c r="AE5" s="39">
        <f t="shared" si="1"/>
        <v>1103638.893099006</v>
      </c>
      <c r="AF5" s="39">
        <f>AF3-AF4</f>
        <v>1114675.2820299959</v>
      </c>
      <c r="AG5" s="39">
        <f t="shared" si="1"/>
        <v>1125822.0348502961</v>
      </c>
      <c r="AH5" s="39">
        <f t="shared" si="1"/>
        <v>1137080.2551987991</v>
      </c>
      <c r="AT5" s="1">
        <v>36181.391062914954</v>
      </c>
    </row>
    <row r="6" spans="1:46" x14ac:dyDescent="0.25">
      <c r="A6" s="1" t="s">
        <v>198</v>
      </c>
      <c r="B6" s="1">
        <v>618400</v>
      </c>
      <c r="D6" s="1" t="s">
        <v>194</v>
      </c>
      <c r="E6" s="40">
        <f>E5*(1-$B$2)</f>
        <v>682354.24800000002</v>
      </c>
      <c r="F6" s="40">
        <f t="shared" ref="F6:AH6" si="2">F5*(1-$B$2)</f>
        <v>689177.79047999997</v>
      </c>
      <c r="G6" s="40">
        <f t="shared" si="2"/>
        <v>695091.2099880001</v>
      </c>
      <c r="H6" s="40">
        <f t="shared" si="2"/>
        <v>732026.17074132001</v>
      </c>
      <c r="I6" s="40">
        <f t="shared" si="2"/>
        <v>739346.43244873325</v>
      </c>
      <c r="J6" s="40">
        <f t="shared" si="2"/>
        <v>746739.89677322062</v>
      </c>
      <c r="K6" s="40">
        <f t="shared" si="2"/>
        <v>753148.89192464238</v>
      </c>
      <c r="L6" s="40">
        <f t="shared" si="2"/>
        <v>796393.55453477986</v>
      </c>
      <c r="M6" s="40">
        <f t="shared" si="2"/>
        <v>804357.49008012761</v>
      </c>
      <c r="N6" s="40">
        <f t="shared" si="2"/>
        <v>812401.06498092902</v>
      </c>
      <c r="O6" s="40">
        <f t="shared" si="2"/>
        <v>819380.07739487232</v>
      </c>
      <c r="P6" s="40">
        <f t="shared" si="2"/>
        <v>827573.8781688211</v>
      </c>
      <c r="Q6" s="40">
        <f t="shared" si="2"/>
        <v>835849.61695050925</v>
      </c>
      <c r="R6" s="40">
        <f t="shared" si="2"/>
        <v>844208.11312001443</v>
      </c>
      <c r="S6" s="40">
        <f t="shared" si="2"/>
        <v>851411.51678243291</v>
      </c>
      <c r="T6" s="40">
        <f t="shared" si="2"/>
        <v>859925.63195025723</v>
      </c>
      <c r="U6" s="40">
        <f t="shared" si="2"/>
        <v>868524.88826975983</v>
      </c>
      <c r="V6" s="40">
        <f t="shared" si="2"/>
        <v>877210.13715245761</v>
      </c>
      <c r="W6" s="40">
        <f t="shared" si="2"/>
        <v>884642.21735748078</v>
      </c>
      <c r="X6" s="40">
        <f t="shared" si="2"/>
        <v>893488.6395310557</v>
      </c>
      <c r="Y6" s="40">
        <f t="shared" si="2"/>
        <v>957924.63227740815</v>
      </c>
      <c r="Z6" s="40">
        <f t="shared" si="2"/>
        <v>967503.87860018236</v>
      </c>
      <c r="AA6" s="40">
        <f t="shared" si="2"/>
        <v>975729.26098092343</v>
      </c>
      <c r="AB6" s="40">
        <f t="shared" si="2"/>
        <v>985486.55359073263</v>
      </c>
      <c r="AC6" s="40">
        <f t="shared" si="2"/>
        <v>995341.41912664007</v>
      </c>
      <c r="AD6" s="40">
        <f t="shared" si="2"/>
        <v>1005294.8333179066</v>
      </c>
      <c r="AE6" s="40">
        <f t="shared" si="2"/>
        <v>1015347.7816510856</v>
      </c>
      <c r="AF6" s="40">
        <f>AF5*(1-$B$2)</f>
        <v>1025501.2594675963</v>
      </c>
      <c r="AG6" s="40">
        <f t="shared" si="2"/>
        <v>1035756.2720622724</v>
      </c>
      <c r="AH6" s="40">
        <f t="shared" si="2"/>
        <v>1046113.8347828952</v>
      </c>
      <c r="AT6" s="1">
        <v>36487.760076839135</v>
      </c>
    </row>
    <row r="7" spans="1:46" x14ac:dyDescent="0.25">
      <c r="A7" s="1" t="s">
        <v>205</v>
      </c>
      <c r="B7" s="1">
        <v>9400</v>
      </c>
      <c r="D7" s="1" t="s">
        <v>199</v>
      </c>
      <c r="E7" s="40">
        <f>E6*$B$3</f>
        <v>170588.56200000001</v>
      </c>
      <c r="F7" s="40">
        <f t="shared" ref="F7:AH7" si="3">F6*$B$3</f>
        <v>172294.44761999999</v>
      </c>
      <c r="G7" s="40">
        <f t="shared" si="3"/>
        <v>173772.80249700003</v>
      </c>
      <c r="H7" s="40">
        <f t="shared" si="3"/>
        <v>183006.54268533</v>
      </c>
      <c r="I7" s="40">
        <f t="shared" si="3"/>
        <v>184836.60811218331</v>
      </c>
      <c r="J7" s="40">
        <f t="shared" si="3"/>
        <v>186684.97419330516</v>
      </c>
      <c r="K7" s="40">
        <f t="shared" si="3"/>
        <v>188287.22298116059</v>
      </c>
      <c r="L7" s="40">
        <f t="shared" si="3"/>
        <v>199098.38863369497</v>
      </c>
      <c r="M7" s="40">
        <f t="shared" si="3"/>
        <v>201089.3725200319</v>
      </c>
      <c r="N7" s="40">
        <f t="shared" si="3"/>
        <v>203100.26624523225</v>
      </c>
      <c r="O7" s="40">
        <f t="shared" si="3"/>
        <v>204845.01934871808</v>
      </c>
      <c r="P7" s="40">
        <f t="shared" si="3"/>
        <v>206893.46954220528</v>
      </c>
      <c r="Q7" s="40">
        <f t="shared" si="3"/>
        <v>208962.40423762731</v>
      </c>
      <c r="R7" s="40">
        <f t="shared" si="3"/>
        <v>211052.02828000361</v>
      </c>
      <c r="S7" s="40">
        <f t="shared" si="3"/>
        <v>212852.87919560823</v>
      </c>
      <c r="T7" s="40">
        <f t="shared" si="3"/>
        <v>214981.40798756431</v>
      </c>
      <c r="U7" s="40">
        <f t="shared" si="3"/>
        <v>217131.22206743996</v>
      </c>
      <c r="V7" s="40">
        <f t="shared" si="3"/>
        <v>219302.5342881144</v>
      </c>
      <c r="W7" s="40">
        <f t="shared" si="3"/>
        <v>221160.5543393702</v>
      </c>
      <c r="X7" s="40">
        <f t="shared" si="3"/>
        <v>223372.15988276392</v>
      </c>
      <c r="Y7" s="40">
        <f t="shared" si="3"/>
        <v>239481.15806935204</v>
      </c>
      <c r="Z7" s="40">
        <f t="shared" si="3"/>
        <v>241875.96965004559</v>
      </c>
      <c r="AA7" s="40">
        <f t="shared" si="3"/>
        <v>243932.31524523086</v>
      </c>
      <c r="AB7" s="40">
        <f t="shared" si="3"/>
        <v>246371.63839768316</v>
      </c>
      <c r="AC7" s="40">
        <f t="shared" si="3"/>
        <v>248835.35478166002</v>
      </c>
      <c r="AD7" s="40">
        <f t="shared" si="3"/>
        <v>251323.70832947665</v>
      </c>
      <c r="AE7" s="40">
        <f t="shared" si="3"/>
        <v>253836.9454127714</v>
      </c>
      <c r="AF7" s="40">
        <f>AF6*$B$3</f>
        <v>256375.31486689908</v>
      </c>
      <c r="AG7" s="40">
        <f t="shared" si="3"/>
        <v>258939.0680155681</v>
      </c>
      <c r="AH7" s="40">
        <f t="shared" si="3"/>
        <v>261528.45869572379</v>
      </c>
      <c r="AT7" s="1">
        <v>36796.764249465406</v>
      </c>
    </row>
    <row r="8" spans="1:46" x14ac:dyDescent="0.25">
      <c r="A8" s="1" t="s">
        <v>65</v>
      </c>
      <c r="B8" s="25">
        <f>Income!I2</f>
        <v>0.02</v>
      </c>
      <c r="D8" s="1" t="s">
        <v>200</v>
      </c>
      <c r="E8" s="40">
        <f>MAX(E6-$B$6,0)*$B$5</f>
        <v>9593.1372000000028</v>
      </c>
      <c r="F8" s="40">
        <f t="shared" ref="F8:AH8" si="4">MAX(F6-$B$6,0)*$B$5</f>
        <v>10616.668571999995</v>
      </c>
      <c r="G8" s="40">
        <f t="shared" si="4"/>
        <v>11503.681498200016</v>
      </c>
      <c r="H8" s="40">
        <f t="shared" si="4"/>
        <v>17043.925611197999</v>
      </c>
      <c r="I8" s="40">
        <f t="shared" si="4"/>
        <v>18141.964867309987</v>
      </c>
      <c r="J8" s="40">
        <f t="shared" si="4"/>
        <v>19250.984515983091</v>
      </c>
      <c r="K8" s="40">
        <f t="shared" si="4"/>
        <v>20212.333788696356</v>
      </c>
      <c r="L8" s="40">
        <f t="shared" si="4"/>
        <v>26699.033180216979</v>
      </c>
      <c r="M8" s="40">
        <f t="shared" si="4"/>
        <v>27893.623512019141</v>
      </c>
      <c r="N8" s="40">
        <f t="shared" si="4"/>
        <v>29100.159747139351</v>
      </c>
      <c r="O8" s="40">
        <f t="shared" si="4"/>
        <v>30147.011609230845</v>
      </c>
      <c r="P8" s="40">
        <f t="shared" si="4"/>
        <v>31376.081725323165</v>
      </c>
      <c r="Q8" s="40">
        <f t="shared" si="4"/>
        <v>32617.442542576387</v>
      </c>
      <c r="R8" s="40">
        <f t="shared" si="4"/>
        <v>33871.216968002162</v>
      </c>
      <c r="S8" s="40">
        <f t="shared" si="4"/>
        <v>34951.727517364932</v>
      </c>
      <c r="T8" s="40">
        <f t="shared" si="4"/>
        <v>36228.844792538584</v>
      </c>
      <c r="U8" s="40">
        <f t="shared" si="4"/>
        <v>37518.733240463975</v>
      </c>
      <c r="V8" s="40">
        <f t="shared" si="4"/>
        <v>38821.520572868641</v>
      </c>
      <c r="W8" s="40">
        <f t="shared" si="4"/>
        <v>39936.332603622119</v>
      </c>
      <c r="X8" s="40">
        <f t="shared" si="4"/>
        <v>41263.29592965835</v>
      </c>
      <c r="Y8" s="40">
        <f t="shared" si="4"/>
        <v>50928.694841611221</v>
      </c>
      <c r="Z8" s="40">
        <f t="shared" si="4"/>
        <v>52365.581790027354</v>
      </c>
      <c r="AA8" s="40">
        <f t="shared" si="4"/>
        <v>53599.389147138514</v>
      </c>
      <c r="AB8" s="40">
        <f t="shared" si="4"/>
        <v>55062.983038609891</v>
      </c>
      <c r="AC8" s="40">
        <f t="shared" si="4"/>
        <v>56541.212868996008</v>
      </c>
      <c r="AD8" s="40">
        <f t="shared" si="4"/>
        <v>58034.224997685989</v>
      </c>
      <c r="AE8" s="40">
        <f t="shared" si="4"/>
        <v>59542.167247662837</v>
      </c>
      <c r="AF8" s="40">
        <f t="shared" si="4"/>
        <v>61065.188920139444</v>
      </c>
      <c r="AG8" s="40">
        <f t="shared" si="4"/>
        <v>62603.440809340857</v>
      </c>
      <c r="AH8" s="40">
        <f t="shared" si="4"/>
        <v>64157.075217434271</v>
      </c>
      <c r="AT8" s="1">
        <v>37066.234482782595</v>
      </c>
    </row>
    <row r="9" spans="1:46" x14ac:dyDescent="0.25">
      <c r="D9" s="1" t="s">
        <v>201</v>
      </c>
      <c r="E9" s="40">
        <f>E6*$B$4</f>
        <v>82906.041131999998</v>
      </c>
      <c r="F9" s="40">
        <f t="shared" ref="F9:AH9" si="5">F6*$B$4</f>
        <v>83735.101543319994</v>
      </c>
      <c r="G9" s="40">
        <f t="shared" si="5"/>
        <v>84453.582013542007</v>
      </c>
      <c r="H9" s="40">
        <f t="shared" si="5"/>
        <v>88941.179745070374</v>
      </c>
      <c r="I9" s="40">
        <f t="shared" si="5"/>
        <v>89830.591542521084</v>
      </c>
      <c r="J9" s="40">
        <f t="shared" si="5"/>
        <v>90728.89745794631</v>
      </c>
      <c r="K9" s="40">
        <f t="shared" si="5"/>
        <v>91507.590368844045</v>
      </c>
      <c r="L9" s="40">
        <f t="shared" si="5"/>
        <v>96761.816875975754</v>
      </c>
      <c r="M9" s="40">
        <f t="shared" si="5"/>
        <v>97729.435044735495</v>
      </c>
      <c r="N9" s="40">
        <f t="shared" si="5"/>
        <v>98706.729395182876</v>
      </c>
      <c r="O9" s="40">
        <f t="shared" si="5"/>
        <v>99554.679403476985</v>
      </c>
      <c r="P9" s="40">
        <f t="shared" si="5"/>
        <v>100550.22619751176</v>
      </c>
      <c r="Q9" s="40">
        <f t="shared" si="5"/>
        <v>101555.72845948687</v>
      </c>
      <c r="R9" s="40">
        <f t="shared" si="5"/>
        <v>102571.28574408175</v>
      </c>
      <c r="S9" s="40">
        <f t="shared" si="5"/>
        <v>103446.4992890656</v>
      </c>
      <c r="T9" s="40">
        <f t="shared" si="5"/>
        <v>104480.96428195626</v>
      </c>
      <c r="U9" s="40">
        <f t="shared" si="5"/>
        <v>105525.77392477581</v>
      </c>
      <c r="V9" s="40">
        <f t="shared" si="5"/>
        <v>106581.0316640236</v>
      </c>
      <c r="W9" s="40">
        <f t="shared" si="5"/>
        <v>107484.02940893391</v>
      </c>
      <c r="X9" s="40">
        <f t="shared" si="5"/>
        <v>108558.86970302326</v>
      </c>
      <c r="Y9" s="40">
        <f t="shared" si="5"/>
        <v>116387.84282170508</v>
      </c>
      <c r="Z9" s="40">
        <f t="shared" si="5"/>
        <v>117551.72124992215</v>
      </c>
      <c r="AA9" s="40">
        <f t="shared" si="5"/>
        <v>118551.10520918219</v>
      </c>
      <c r="AB9" s="40">
        <f t="shared" si="5"/>
        <v>119736.61626127402</v>
      </c>
      <c r="AC9" s="40">
        <f t="shared" si="5"/>
        <v>120933.98242388676</v>
      </c>
      <c r="AD9" s="40">
        <f t="shared" si="5"/>
        <v>122143.32224812565</v>
      </c>
      <c r="AE9" s="40">
        <f t="shared" si="5"/>
        <v>123364.75547060689</v>
      </c>
      <c r="AF9" s="40">
        <f t="shared" si="5"/>
        <v>124598.40302531295</v>
      </c>
      <c r="AG9" s="40">
        <f t="shared" si="5"/>
        <v>125844.3870555661</v>
      </c>
      <c r="AH9" s="40">
        <f t="shared" si="5"/>
        <v>127102.83092612177</v>
      </c>
      <c r="AT9" s="1">
        <v>38804.254180493452</v>
      </c>
    </row>
    <row r="10" spans="1:46" x14ac:dyDescent="0.25">
      <c r="D10" s="1" t="s">
        <v>202</v>
      </c>
      <c r="E10" s="40">
        <f>SUM(E7:E9)</f>
        <v>263087.74033200002</v>
      </c>
      <c r="F10" s="40">
        <f t="shared" ref="F10:AH10" si="6">SUM(F7:F9)</f>
        <v>266646.21773531998</v>
      </c>
      <c r="G10" s="40">
        <f t="shared" si="6"/>
        <v>269730.06600874208</v>
      </c>
      <c r="H10" s="40">
        <f t="shared" si="6"/>
        <v>288991.64804159838</v>
      </c>
      <c r="I10" s="40">
        <f t="shared" si="6"/>
        <v>292809.16452201438</v>
      </c>
      <c r="J10" s="40">
        <f t="shared" si="6"/>
        <v>296664.85616723454</v>
      </c>
      <c r="K10" s="40">
        <f t="shared" si="6"/>
        <v>300007.147138701</v>
      </c>
      <c r="L10" s="40">
        <f t="shared" si="6"/>
        <v>322559.23868988769</v>
      </c>
      <c r="M10" s="40">
        <f t="shared" si="6"/>
        <v>326712.43107678654</v>
      </c>
      <c r="N10" s="40">
        <f t="shared" si="6"/>
        <v>330907.15538755449</v>
      </c>
      <c r="O10" s="40">
        <f t="shared" si="6"/>
        <v>334546.71036142594</v>
      </c>
      <c r="P10" s="40">
        <f t="shared" si="6"/>
        <v>338819.77746504021</v>
      </c>
      <c r="Q10" s="40">
        <f t="shared" si="6"/>
        <v>343135.57523969054</v>
      </c>
      <c r="R10" s="40">
        <f t="shared" si="6"/>
        <v>347494.53099208756</v>
      </c>
      <c r="S10" s="40">
        <f t="shared" si="6"/>
        <v>351251.10600203875</v>
      </c>
      <c r="T10" s="40">
        <f t="shared" si="6"/>
        <v>355691.21706205915</v>
      </c>
      <c r="U10" s="40">
        <f t="shared" si="6"/>
        <v>360175.72923267976</v>
      </c>
      <c r="V10" s="40">
        <f t="shared" si="6"/>
        <v>364705.08652500663</v>
      </c>
      <c r="W10" s="40">
        <f t="shared" si="6"/>
        <v>368580.91635192622</v>
      </c>
      <c r="X10" s="40">
        <f t="shared" si="6"/>
        <v>373194.32551544555</v>
      </c>
      <c r="Y10" s="40">
        <f t="shared" si="6"/>
        <v>406797.69573266833</v>
      </c>
      <c r="Z10" s="40">
        <f t="shared" si="6"/>
        <v>411793.27268999512</v>
      </c>
      <c r="AA10" s="40">
        <f t="shared" si="6"/>
        <v>416082.80960155156</v>
      </c>
      <c r="AB10" s="40">
        <f t="shared" si="6"/>
        <v>421171.23769756709</v>
      </c>
      <c r="AC10" s="40">
        <f t="shared" si="6"/>
        <v>426310.55007454281</v>
      </c>
      <c r="AD10" s="40">
        <f t="shared" si="6"/>
        <v>431501.25557528832</v>
      </c>
      <c r="AE10" s="40">
        <f t="shared" si="6"/>
        <v>436743.86813104112</v>
      </c>
      <c r="AF10" s="40">
        <f t="shared" si="6"/>
        <v>442038.90681235143</v>
      </c>
      <c r="AG10" s="40">
        <f t="shared" si="6"/>
        <v>447386.89588047506</v>
      </c>
      <c r="AH10" s="40">
        <f t="shared" si="6"/>
        <v>452788.36483927979</v>
      </c>
      <c r="AT10" s="1">
        <v>39135.187459512839</v>
      </c>
    </row>
    <row r="11" spans="1:46" x14ac:dyDescent="0.25">
      <c r="D11" s="1" t="s">
        <v>203</v>
      </c>
      <c r="E11" s="40">
        <f>E6-E10</f>
        <v>419266.50766800001</v>
      </c>
      <c r="F11" s="40">
        <f t="shared" ref="F11:AH11" si="7">F6-F10</f>
        <v>422531.57274467999</v>
      </c>
      <c r="G11" s="40">
        <f t="shared" si="7"/>
        <v>425361.14397925802</v>
      </c>
      <c r="H11" s="40">
        <f t="shared" si="7"/>
        <v>443034.52269972162</v>
      </c>
      <c r="I11" s="40">
        <f t="shared" si="7"/>
        <v>446537.26792671887</v>
      </c>
      <c r="J11" s="40">
        <f t="shared" si="7"/>
        <v>450075.04060598608</v>
      </c>
      <c r="K11" s="40">
        <f t="shared" si="7"/>
        <v>453141.74478594138</v>
      </c>
      <c r="L11" s="40">
        <f t="shared" si="7"/>
        <v>473834.31584489217</v>
      </c>
      <c r="M11" s="40">
        <f t="shared" si="7"/>
        <v>477645.05900334107</v>
      </c>
      <c r="N11" s="40">
        <f t="shared" si="7"/>
        <v>481493.90959337453</v>
      </c>
      <c r="O11" s="40">
        <f t="shared" si="7"/>
        <v>484833.36703344638</v>
      </c>
      <c r="P11" s="40">
        <f t="shared" si="7"/>
        <v>488754.10070378089</v>
      </c>
      <c r="Q11" s="40">
        <f t="shared" si="7"/>
        <v>492714.04171081871</v>
      </c>
      <c r="R11" s="40">
        <f t="shared" si="7"/>
        <v>496713.58212792687</v>
      </c>
      <c r="S11" s="40">
        <f t="shared" si="7"/>
        <v>500160.41078039416</v>
      </c>
      <c r="T11" s="40">
        <f t="shared" si="7"/>
        <v>504234.41488819808</v>
      </c>
      <c r="U11" s="40">
        <f t="shared" si="7"/>
        <v>508349.15903708007</v>
      </c>
      <c r="V11" s="40">
        <f t="shared" si="7"/>
        <v>512505.05062745098</v>
      </c>
      <c r="W11" s="40">
        <f t="shared" si="7"/>
        <v>516061.30100555456</v>
      </c>
      <c r="X11" s="40">
        <f t="shared" si="7"/>
        <v>520294.31401561014</v>
      </c>
      <c r="Y11" s="40">
        <f t="shared" si="7"/>
        <v>551126.93654473987</v>
      </c>
      <c r="Z11" s="40">
        <f t="shared" si="7"/>
        <v>555710.60591018724</v>
      </c>
      <c r="AA11" s="40">
        <f t="shared" si="7"/>
        <v>559646.45137937181</v>
      </c>
      <c r="AB11" s="40">
        <f t="shared" si="7"/>
        <v>564315.31589316553</v>
      </c>
      <c r="AC11" s="40">
        <f t="shared" si="7"/>
        <v>569030.8690520972</v>
      </c>
      <c r="AD11" s="40">
        <f t="shared" si="7"/>
        <v>573793.57774261828</v>
      </c>
      <c r="AE11" s="40">
        <f t="shared" si="7"/>
        <v>578603.91352004441</v>
      </c>
      <c r="AF11" s="40">
        <f t="shared" si="7"/>
        <v>583462.35265524487</v>
      </c>
      <c r="AG11" s="40">
        <f t="shared" si="7"/>
        <v>588369.37618179736</v>
      </c>
      <c r="AH11" s="40">
        <f t="shared" si="7"/>
        <v>593325.46994361538</v>
      </c>
      <c r="AT11" s="1">
        <v>39469.034174514294</v>
      </c>
    </row>
    <row r="12" spans="1:46" x14ac:dyDescent="0.25">
      <c r="D12" s="1" t="s">
        <v>204</v>
      </c>
      <c r="E12" s="1">
        <f>$B$7/(1+$B$8)^(E1-$E$1)</f>
        <v>9400</v>
      </c>
      <c r="F12" s="1">
        <f t="shared" ref="F12:AH12" si="8">$B$7/(1+$B$8)^(F1-$E$1)</f>
        <v>9215.6862745098042</v>
      </c>
      <c r="G12" s="1">
        <f t="shared" si="8"/>
        <v>9034.9865436370619</v>
      </c>
      <c r="H12" s="1">
        <f t="shared" si="8"/>
        <v>8857.8299447422196</v>
      </c>
      <c r="I12" s="1">
        <f t="shared" si="8"/>
        <v>8684.1470046492341</v>
      </c>
      <c r="J12" s="1">
        <f t="shared" si="8"/>
        <v>8513.8696124012095</v>
      </c>
      <c r="K12" s="1">
        <f t="shared" si="8"/>
        <v>8346.9309925502057</v>
      </c>
      <c r="L12" s="1">
        <f t="shared" si="8"/>
        <v>8183.2656789707908</v>
      </c>
      <c r="M12" s="1">
        <f t="shared" si="8"/>
        <v>8022.8094891870487</v>
      </c>
      <c r="N12" s="1">
        <f t="shared" si="8"/>
        <v>7865.4994992029897</v>
      </c>
      <c r="O12" s="1">
        <f t="shared" si="8"/>
        <v>7711.2740188264597</v>
      </c>
      <c r="P12" s="1">
        <f t="shared" si="8"/>
        <v>7560.0725674769228</v>
      </c>
      <c r="Q12" s="1">
        <f t="shared" si="8"/>
        <v>7411.8358504675698</v>
      </c>
      <c r="R12" s="1">
        <f t="shared" si="8"/>
        <v>7266.5057357525202</v>
      </c>
      <c r="S12" s="1">
        <f t="shared" si="8"/>
        <v>7124.0252311299209</v>
      </c>
      <c r="T12" s="1">
        <f t="shared" si="8"/>
        <v>6984.3384618920809</v>
      </c>
      <c r="U12" s="1">
        <f t="shared" si="8"/>
        <v>6847.3906489138044</v>
      </c>
      <c r="V12" s="1">
        <f t="shared" si="8"/>
        <v>6713.1280871703957</v>
      </c>
      <c r="W12" s="1">
        <f t="shared" si="8"/>
        <v>6581.4981246768593</v>
      </c>
      <c r="X12" s="1">
        <f t="shared" si="8"/>
        <v>6452.4491418400585</v>
      </c>
      <c r="Y12" s="1">
        <f t="shared" si="8"/>
        <v>6325.930531215743</v>
      </c>
      <c r="Z12" s="1">
        <f t="shared" si="8"/>
        <v>6201.892677662493</v>
      </c>
      <c r="AA12" s="1">
        <f t="shared" si="8"/>
        <v>6080.2869388847967</v>
      </c>
      <c r="AB12" s="1">
        <f t="shared" si="8"/>
        <v>5961.0656263576448</v>
      </c>
      <c r="AC12" s="1">
        <f t="shared" si="8"/>
        <v>5844.1819866251417</v>
      </c>
      <c r="AD12" s="1">
        <f t="shared" si="8"/>
        <v>5729.590182965826</v>
      </c>
      <c r="AE12" s="1">
        <f t="shared" si="8"/>
        <v>5617.2452774174753</v>
      </c>
      <c r="AF12" s="1">
        <f t="shared" si="8"/>
        <v>5507.1032131543889</v>
      </c>
      <c r="AG12" s="1">
        <f t="shared" si="8"/>
        <v>5399.1207972101838</v>
      </c>
      <c r="AH12" s="1">
        <f t="shared" si="8"/>
        <v>5293.2556835393971</v>
      </c>
      <c r="AT12" s="1">
        <v>39760.174417884991</v>
      </c>
    </row>
    <row r="13" spans="1:46" x14ac:dyDescent="0.25">
      <c r="D13" s="1" t="s">
        <v>207</v>
      </c>
      <c r="E13" s="40">
        <f>E11-E12</f>
        <v>409866.50766800001</v>
      </c>
      <c r="F13" s="40">
        <f t="shared" ref="F13:AH13" si="9">F11-F12</f>
        <v>413315.88647017017</v>
      </c>
      <c r="G13" s="40">
        <f t="shared" si="9"/>
        <v>416326.15743562096</v>
      </c>
      <c r="H13" s="40">
        <f t="shared" si="9"/>
        <v>434176.69275497942</v>
      </c>
      <c r="I13" s="40">
        <f t="shared" si="9"/>
        <v>437853.12092206965</v>
      </c>
      <c r="J13" s="40">
        <f t="shared" si="9"/>
        <v>441561.17099358485</v>
      </c>
      <c r="K13" s="40">
        <f t="shared" si="9"/>
        <v>444794.81379339116</v>
      </c>
      <c r="L13" s="40">
        <f t="shared" si="9"/>
        <v>465651.05016592139</v>
      </c>
      <c r="M13" s="40">
        <f t="shared" si="9"/>
        <v>469622.24951415404</v>
      </c>
      <c r="N13" s="40">
        <f t="shared" si="9"/>
        <v>473628.41009417153</v>
      </c>
      <c r="O13" s="40">
        <f t="shared" si="9"/>
        <v>477122.0930146199</v>
      </c>
      <c r="P13" s="40">
        <f t="shared" si="9"/>
        <v>481194.02813630394</v>
      </c>
      <c r="Q13" s="40">
        <f t="shared" si="9"/>
        <v>485302.20586035115</v>
      </c>
      <c r="R13" s="40">
        <f t="shared" si="9"/>
        <v>489447.07639217435</v>
      </c>
      <c r="S13" s="40">
        <f t="shared" si="9"/>
        <v>493036.38554926426</v>
      </c>
      <c r="T13" s="40">
        <f t="shared" si="9"/>
        <v>497250.07642630598</v>
      </c>
      <c r="U13" s="40">
        <f t="shared" si="9"/>
        <v>501501.76838816627</v>
      </c>
      <c r="V13" s="40">
        <f t="shared" si="9"/>
        <v>505791.92254028056</v>
      </c>
      <c r="W13" s="40">
        <f t="shared" si="9"/>
        <v>509479.80288087769</v>
      </c>
      <c r="X13" s="40">
        <f t="shared" si="9"/>
        <v>513841.8648737701</v>
      </c>
      <c r="Y13" s="40">
        <f t="shared" si="9"/>
        <v>544801.00601352414</v>
      </c>
      <c r="Z13" s="40">
        <f t="shared" si="9"/>
        <v>549508.71323252469</v>
      </c>
      <c r="AA13" s="40">
        <f t="shared" si="9"/>
        <v>553566.16444048705</v>
      </c>
      <c r="AB13" s="40">
        <f t="shared" si="9"/>
        <v>558354.25026680785</v>
      </c>
      <c r="AC13" s="40">
        <f t="shared" si="9"/>
        <v>563186.68706547201</v>
      </c>
      <c r="AD13" s="40">
        <f t="shared" si="9"/>
        <v>568063.98755965242</v>
      </c>
      <c r="AE13" s="40">
        <f t="shared" si="9"/>
        <v>572986.66824262694</v>
      </c>
      <c r="AF13" s="40">
        <f t="shared" si="9"/>
        <v>577955.24944209051</v>
      </c>
      <c r="AG13" s="40">
        <f t="shared" si="9"/>
        <v>582970.25538458722</v>
      </c>
      <c r="AH13" s="40">
        <f t="shared" si="9"/>
        <v>588032.21426007594</v>
      </c>
      <c r="AT13" s="1">
        <v>40099.502344691995</v>
      </c>
    </row>
    <row r="14" spans="1:46" x14ac:dyDescent="0.25">
      <c r="D14" s="1" t="s">
        <v>208</v>
      </c>
      <c r="E14" s="40">
        <f>E13/12</f>
        <v>34155.54230566667</v>
      </c>
      <c r="F14" s="40">
        <f t="shared" ref="F14:AH14" si="10">F13/12</f>
        <v>34442.99053918085</v>
      </c>
      <c r="G14" s="40">
        <f t="shared" si="10"/>
        <v>34693.846452968413</v>
      </c>
      <c r="H14" s="40">
        <f t="shared" si="10"/>
        <v>36181.391062914954</v>
      </c>
      <c r="I14" s="40">
        <f t="shared" si="10"/>
        <v>36487.760076839135</v>
      </c>
      <c r="J14" s="40">
        <f t="shared" si="10"/>
        <v>36796.764249465406</v>
      </c>
      <c r="K14" s="40">
        <f t="shared" si="10"/>
        <v>37066.234482782595</v>
      </c>
      <c r="L14" s="40">
        <f t="shared" si="10"/>
        <v>38804.254180493452</v>
      </c>
      <c r="M14" s="40">
        <f t="shared" si="10"/>
        <v>39135.187459512839</v>
      </c>
      <c r="N14" s="40">
        <f t="shared" si="10"/>
        <v>39469.034174514294</v>
      </c>
      <c r="O14" s="40">
        <f t="shared" si="10"/>
        <v>39760.174417884991</v>
      </c>
      <c r="P14" s="40">
        <f t="shared" si="10"/>
        <v>40099.502344691995</v>
      </c>
      <c r="Q14" s="40">
        <f t="shared" si="10"/>
        <v>40441.850488362594</v>
      </c>
      <c r="R14" s="40">
        <f t="shared" si="10"/>
        <v>40787.256366014532</v>
      </c>
      <c r="S14" s="40">
        <f t="shared" si="10"/>
        <v>41086.365462438691</v>
      </c>
      <c r="T14" s="40">
        <f t="shared" si="10"/>
        <v>41437.506368858834</v>
      </c>
      <c r="U14" s="40">
        <f t="shared" si="10"/>
        <v>41791.814032347189</v>
      </c>
      <c r="V14" s="40">
        <f t="shared" si="10"/>
        <v>42149.326878356711</v>
      </c>
      <c r="W14" s="40">
        <f t="shared" si="10"/>
        <v>42456.650240073141</v>
      </c>
      <c r="X14" s="40">
        <f t="shared" si="10"/>
        <v>42820.155406147511</v>
      </c>
      <c r="Y14" s="40">
        <f t="shared" si="10"/>
        <v>45400.083834460347</v>
      </c>
      <c r="Z14" s="40">
        <f t="shared" si="10"/>
        <v>45792.39276937706</v>
      </c>
      <c r="AA14" s="40">
        <f t="shared" si="10"/>
        <v>46130.513703373923</v>
      </c>
      <c r="AB14" s="40">
        <f t="shared" si="10"/>
        <v>46529.520855567323</v>
      </c>
      <c r="AC14" s="40">
        <f t="shared" si="10"/>
        <v>46932.22392212267</v>
      </c>
      <c r="AD14" s="40">
        <f t="shared" si="10"/>
        <v>47338.665629971038</v>
      </c>
      <c r="AE14" s="40">
        <f t="shared" si="10"/>
        <v>47748.889020218914</v>
      </c>
      <c r="AF14" s="40">
        <f t="shared" si="10"/>
        <v>48162.93745350754</v>
      </c>
      <c r="AG14" s="40">
        <f t="shared" si="10"/>
        <v>48580.854615382268</v>
      </c>
      <c r="AH14" s="40">
        <f t="shared" si="10"/>
        <v>49002.684521672993</v>
      </c>
      <c r="AT14" s="1">
        <v>40441.850488362594</v>
      </c>
    </row>
    <row r="15" spans="1:46" x14ac:dyDescent="0.25">
      <c r="AT15" s="1">
        <v>40787.256366014532</v>
      </c>
    </row>
    <row r="16" spans="1:46" x14ac:dyDescent="0.25">
      <c r="AT16" s="1">
        <v>41086.365462438691</v>
      </c>
    </row>
    <row r="17" spans="3:46" x14ac:dyDescent="0.25">
      <c r="C17" s="26" t="s">
        <v>222</v>
      </c>
      <c r="AT17" s="1">
        <v>41437.506368858834</v>
      </c>
    </row>
    <row r="18" spans="3:46" x14ac:dyDescent="0.25">
      <c r="D18" s="40"/>
      <c r="AT18" s="1">
        <v>41791.814032347189</v>
      </c>
    </row>
    <row r="19" spans="3:46" x14ac:dyDescent="0.25">
      <c r="D19" s="1" t="s">
        <v>1</v>
      </c>
      <c r="E19" s="1">
        <v>2055</v>
      </c>
      <c r="F19" s="1">
        <v>2056</v>
      </c>
      <c r="G19" s="1">
        <v>2057</v>
      </c>
      <c r="H19" s="1">
        <v>2058</v>
      </c>
      <c r="I19" s="1">
        <v>2059</v>
      </c>
      <c r="J19" s="1">
        <v>2060</v>
      </c>
      <c r="K19" s="1">
        <v>2061</v>
      </c>
      <c r="L19" s="1">
        <v>2062</v>
      </c>
      <c r="M19" s="1">
        <v>2063</v>
      </c>
      <c r="N19" s="1">
        <v>2064</v>
      </c>
      <c r="O19" s="1">
        <v>2065</v>
      </c>
      <c r="P19" s="1">
        <v>2066</v>
      </c>
      <c r="Q19" s="1">
        <v>2067</v>
      </c>
      <c r="R19" s="1">
        <v>2068</v>
      </c>
      <c r="S19" s="1">
        <v>2069</v>
      </c>
      <c r="T19" s="1">
        <v>2070</v>
      </c>
      <c r="U19" s="1">
        <v>2071</v>
      </c>
      <c r="V19" s="1">
        <v>2072</v>
      </c>
      <c r="W19" s="1">
        <v>2073</v>
      </c>
      <c r="X19" s="1">
        <v>2074</v>
      </c>
      <c r="Y19" s="1">
        <v>2075</v>
      </c>
      <c r="Z19" s="1">
        <v>2076</v>
      </c>
      <c r="AA19" s="1">
        <v>2077</v>
      </c>
      <c r="AB19" s="1">
        <v>2078</v>
      </c>
      <c r="AC19" s="1">
        <v>2079</v>
      </c>
      <c r="AT19" s="1">
        <v>42149.326878356711</v>
      </c>
    </row>
    <row r="20" spans="3:46" x14ac:dyDescent="0.25">
      <c r="D20" s="1" t="s">
        <v>215</v>
      </c>
      <c r="E20" s="40">
        <f>'Pensions P1'!$B$13+'Pensions P1'!$B$21</f>
        <v>27534.747113284458</v>
      </c>
      <c r="F20" s="40">
        <f>'Pensions P1'!$B$13+'Pensions P1'!$B$21</f>
        <v>27534.747113284458</v>
      </c>
      <c r="G20" s="40">
        <f>'Pensions P1'!$B$13+'Pensions P1'!$B$21</f>
        <v>27534.747113284458</v>
      </c>
      <c r="H20" s="40">
        <f>'Pensions P1'!$B$13+'Pensions P1'!$B$21</f>
        <v>27534.747113284458</v>
      </c>
      <c r="I20" s="40">
        <f>'Pensions P1'!$B$13+'Pensions P1'!$B$21</f>
        <v>27534.747113284458</v>
      </c>
      <c r="J20" s="40">
        <f>'Pensions P1'!$B$13+'Pensions P1'!$B$21</f>
        <v>27534.747113284458</v>
      </c>
      <c r="K20" s="40">
        <f>'Pensions P1'!$B$13+'Pensions P1'!$B$21</f>
        <v>27534.747113284458</v>
      </c>
      <c r="L20" s="40">
        <f>'Pensions P1'!$B$13+'Pensions P1'!$B$21</f>
        <v>27534.747113284458</v>
      </c>
      <c r="M20" s="40">
        <f>'Pensions P1'!$B$13+'Pensions P1'!$B$21</f>
        <v>27534.747113284458</v>
      </c>
      <c r="N20" s="40">
        <f>'Pensions P1'!$B$13+'Pensions P1'!$B$21</f>
        <v>27534.747113284458</v>
      </c>
      <c r="O20" s="40">
        <f>'Pensions P1'!$B$13+'Pensions P1'!$B$21</f>
        <v>27534.747113284458</v>
      </c>
      <c r="P20" s="40">
        <f>'Pensions P1'!$B$13+'Pensions P1'!$B$21</f>
        <v>27534.747113284458</v>
      </c>
      <c r="Q20" s="40">
        <f>'Pensions P1'!$B$13+'Pensions P1'!$B$21</f>
        <v>27534.747113284458</v>
      </c>
      <c r="R20" s="40">
        <f>'Pensions P1'!$B$13+'Pensions P1'!$B$21</f>
        <v>27534.747113284458</v>
      </c>
      <c r="S20" s="40">
        <f>'Pensions P1'!$B$13+'Pensions P1'!$B$21</f>
        <v>27534.747113284458</v>
      </c>
      <c r="T20" s="40">
        <f>'Pensions P1'!$B$13+'Pensions P1'!$B$21</f>
        <v>27534.747113284458</v>
      </c>
      <c r="U20" s="40">
        <f>'Pensions P1'!$B$13+'Pensions P1'!$B$21</f>
        <v>27534.747113284458</v>
      </c>
      <c r="V20" s="40">
        <f>'Pensions P1'!$B$13+'Pensions P1'!$B$21</f>
        <v>27534.747113284458</v>
      </c>
      <c r="W20" s="40">
        <f>'Pensions P1'!$B$13+'Pensions P1'!$B$21</f>
        <v>27534.747113284458</v>
      </c>
      <c r="X20" s="40">
        <f>'Pensions P1'!$B$13+'Pensions P1'!$B$21</f>
        <v>27534.747113284458</v>
      </c>
      <c r="Y20" s="40">
        <f>'Pensions P1'!$B$13+'Pensions P1'!$B$21</f>
        <v>27534.747113284458</v>
      </c>
      <c r="Z20" s="40">
        <f>'Pensions P1'!$B$13+'Pensions P1'!$B$21</f>
        <v>27534.747113284458</v>
      </c>
      <c r="AA20" s="40">
        <f>'Pensions P1'!$B$13+'Pensions P1'!$B$21</f>
        <v>27534.747113284458</v>
      </c>
      <c r="AB20" s="40">
        <f>'Pensions P1'!$B$13+'Pensions P1'!$B$21</f>
        <v>27534.747113284458</v>
      </c>
      <c r="AC20" s="40">
        <f>'Pensions P1'!$B$13+'Pensions P1'!$B$21</f>
        <v>27534.747113284458</v>
      </c>
      <c r="AT20" s="1">
        <v>42456.650240073141</v>
      </c>
    </row>
    <row r="21" spans="3:46" x14ac:dyDescent="0.25">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T21" s="1">
        <v>42820.155406147511</v>
      </c>
    </row>
    <row r="22" spans="3:46" x14ac:dyDescent="0.25">
      <c r="D22" s="1" t="s">
        <v>216</v>
      </c>
      <c r="E22" s="40">
        <f>E20*12</f>
        <v>330416.96535941353</v>
      </c>
      <c r="F22" s="40">
        <f t="shared" ref="F22:AC22" si="11">F20*12</f>
        <v>330416.96535941353</v>
      </c>
      <c r="G22" s="40">
        <f t="shared" si="11"/>
        <v>330416.96535941353</v>
      </c>
      <c r="H22" s="40">
        <f t="shared" si="11"/>
        <v>330416.96535941353</v>
      </c>
      <c r="I22" s="40">
        <f t="shared" si="11"/>
        <v>330416.96535941353</v>
      </c>
      <c r="J22" s="40">
        <f t="shared" si="11"/>
        <v>330416.96535941353</v>
      </c>
      <c r="K22" s="40">
        <f t="shared" si="11"/>
        <v>330416.96535941353</v>
      </c>
      <c r="L22" s="40">
        <f t="shared" si="11"/>
        <v>330416.96535941353</v>
      </c>
      <c r="M22" s="40">
        <f t="shared" si="11"/>
        <v>330416.96535941353</v>
      </c>
      <c r="N22" s="40">
        <f t="shared" si="11"/>
        <v>330416.96535941353</v>
      </c>
      <c r="O22" s="40">
        <f t="shared" si="11"/>
        <v>330416.96535941353</v>
      </c>
      <c r="P22" s="40">
        <f t="shared" si="11"/>
        <v>330416.96535941353</v>
      </c>
      <c r="Q22" s="40">
        <f t="shared" si="11"/>
        <v>330416.96535941353</v>
      </c>
      <c r="R22" s="40">
        <f t="shared" si="11"/>
        <v>330416.96535941353</v>
      </c>
      <c r="S22" s="40">
        <f t="shared" si="11"/>
        <v>330416.96535941353</v>
      </c>
      <c r="T22" s="40">
        <f t="shared" si="11"/>
        <v>330416.96535941353</v>
      </c>
      <c r="U22" s="40">
        <f t="shared" si="11"/>
        <v>330416.96535941353</v>
      </c>
      <c r="V22" s="40">
        <f t="shared" si="11"/>
        <v>330416.96535941353</v>
      </c>
      <c r="W22" s="40">
        <f t="shared" si="11"/>
        <v>330416.96535941353</v>
      </c>
      <c r="X22" s="40">
        <f t="shared" si="11"/>
        <v>330416.96535941353</v>
      </c>
      <c r="Y22" s="40">
        <f t="shared" si="11"/>
        <v>330416.96535941353</v>
      </c>
      <c r="Z22" s="40">
        <f t="shared" si="11"/>
        <v>330416.96535941353</v>
      </c>
      <c r="AA22" s="40">
        <f t="shared" si="11"/>
        <v>330416.96535941353</v>
      </c>
      <c r="AB22" s="40">
        <f t="shared" si="11"/>
        <v>330416.96535941353</v>
      </c>
      <c r="AC22" s="40">
        <f t="shared" si="11"/>
        <v>330416.96535941353</v>
      </c>
      <c r="AT22" s="1">
        <v>45400.083834460347</v>
      </c>
    </row>
    <row r="23" spans="3:46" x14ac:dyDescent="0.25">
      <c r="D23" s="1" t="s">
        <v>199</v>
      </c>
      <c r="E23" s="40">
        <f>E22*$B$3</f>
        <v>82604.241339853383</v>
      </c>
      <c r="F23" s="40">
        <f>F22*$B$3</f>
        <v>82604.241339853383</v>
      </c>
      <c r="G23" s="40">
        <f t="shared" ref="G23:AC23" si="12">G22*$B$3</f>
        <v>82604.241339853383</v>
      </c>
      <c r="H23" s="40">
        <f t="shared" si="12"/>
        <v>82604.241339853383</v>
      </c>
      <c r="I23" s="40">
        <f t="shared" si="12"/>
        <v>82604.241339853383</v>
      </c>
      <c r="J23" s="40">
        <f t="shared" si="12"/>
        <v>82604.241339853383</v>
      </c>
      <c r="K23" s="40">
        <f t="shared" si="12"/>
        <v>82604.241339853383</v>
      </c>
      <c r="L23" s="40">
        <f t="shared" si="12"/>
        <v>82604.241339853383</v>
      </c>
      <c r="M23" s="40">
        <f t="shared" si="12"/>
        <v>82604.241339853383</v>
      </c>
      <c r="N23" s="40">
        <f t="shared" si="12"/>
        <v>82604.241339853383</v>
      </c>
      <c r="O23" s="40">
        <f t="shared" si="12"/>
        <v>82604.241339853383</v>
      </c>
      <c r="P23" s="40">
        <f t="shared" si="12"/>
        <v>82604.241339853383</v>
      </c>
      <c r="Q23" s="40">
        <f t="shared" si="12"/>
        <v>82604.241339853383</v>
      </c>
      <c r="R23" s="40">
        <f t="shared" si="12"/>
        <v>82604.241339853383</v>
      </c>
      <c r="S23" s="40">
        <f t="shared" si="12"/>
        <v>82604.241339853383</v>
      </c>
      <c r="T23" s="40">
        <f t="shared" si="12"/>
        <v>82604.241339853383</v>
      </c>
      <c r="U23" s="40">
        <f t="shared" si="12"/>
        <v>82604.241339853383</v>
      </c>
      <c r="V23" s="40">
        <f t="shared" si="12"/>
        <v>82604.241339853383</v>
      </c>
      <c r="W23" s="40">
        <f t="shared" si="12"/>
        <v>82604.241339853383</v>
      </c>
      <c r="X23" s="40">
        <f t="shared" si="12"/>
        <v>82604.241339853383</v>
      </c>
      <c r="Y23" s="40">
        <f t="shared" si="12"/>
        <v>82604.241339853383</v>
      </c>
      <c r="Z23" s="40">
        <f t="shared" si="12"/>
        <v>82604.241339853383</v>
      </c>
      <c r="AA23" s="40">
        <f t="shared" si="12"/>
        <v>82604.241339853383</v>
      </c>
      <c r="AB23" s="40">
        <f t="shared" si="12"/>
        <v>82604.241339853383</v>
      </c>
      <c r="AC23" s="40">
        <f t="shared" si="12"/>
        <v>82604.241339853383</v>
      </c>
      <c r="AT23" s="1">
        <v>45792.39276937706</v>
      </c>
    </row>
    <row r="24" spans="3:46" x14ac:dyDescent="0.25">
      <c r="D24" s="1" t="s">
        <v>200</v>
      </c>
      <c r="E24" s="40">
        <f>MAX(E22-$B$6,0)*$B$5</f>
        <v>0</v>
      </c>
      <c r="F24" s="40">
        <f>MAX(F22-$B$6,0)*$B$5</f>
        <v>0</v>
      </c>
      <c r="G24" s="40">
        <f t="shared" ref="G24:AC24" si="13">MAX(G22-$B$6,0)*$B$5</f>
        <v>0</v>
      </c>
      <c r="H24" s="40">
        <f t="shared" si="13"/>
        <v>0</v>
      </c>
      <c r="I24" s="40">
        <f t="shared" si="13"/>
        <v>0</v>
      </c>
      <c r="J24" s="40">
        <f t="shared" si="13"/>
        <v>0</v>
      </c>
      <c r="K24" s="40">
        <f t="shared" si="13"/>
        <v>0</v>
      </c>
      <c r="L24" s="40">
        <f t="shared" si="13"/>
        <v>0</v>
      </c>
      <c r="M24" s="40">
        <f t="shared" si="13"/>
        <v>0</v>
      </c>
      <c r="N24" s="40">
        <f t="shared" si="13"/>
        <v>0</v>
      </c>
      <c r="O24" s="40">
        <f t="shared" si="13"/>
        <v>0</v>
      </c>
      <c r="P24" s="40">
        <f t="shared" si="13"/>
        <v>0</v>
      </c>
      <c r="Q24" s="40">
        <f t="shared" si="13"/>
        <v>0</v>
      </c>
      <c r="R24" s="40">
        <f t="shared" si="13"/>
        <v>0</v>
      </c>
      <c r="S24" s="40">
        <f t="shared" si="13"/>
        <v>0</v>
      </c>
      <c r="T24" s="40">
        <f t="shared" si="13"/>
        <v>0</v>
      </c>
      <c r="U24" s="40">
        <f t="shared" si="13"/>
        <v>0</v>
      </c>
      <c r="V24" s="40">
        <f t="shared" si="13"/>
        <v>0</v>
      </c>
      <c r="W24" s="40">
        <f t="shared" si="13"/>
        <v>0</v>
      </c>
      <c r="X24" s="40">
        <f t="shared" si="13"/>
        <v>0</v>
      </c>
      <c r="Y24" s="40">
        <f t="shared" si="13"/>
        <v>0</v>
      </c>
      <c r="Z24" s="40">
        <f t="shared" si="13"/>
        <v>0</v>
      </c>
      <c r="AA24" s="40">
        <f t="shared" si="13"/>
        <v>0</v>
      </c>
      <c r="AB24" s="40">
        <f t="shared" si="13"/>
        <v>0</v>
      </c>
      <c r="AC24" s="40">
        <f t="shared" si="13"/>
        <v>0</v>
      </c>
      <c r="AT24" s="1">
        <v>46130.513703373923</v>
      </c>
    </row>
    <row r="25" spans="3:46" x14ac:dyDescent="0.25">
      <c r="D25" s="1" t="s">
        <v>201</v>
      </c>
      <c r="E25" s="40">
        <f>E22*$B$4</f>
        <v>40145.661291168741</v>
      </c>
      <c r="F25" s="40">
        <f>F22*$B$4</f>
        <v>40145.661291168741</v>
      </c>
      <c r="G25" s="40">
        <f t="shared" ref="G25:AC25" si="14">G22*$B$4</f>
        <v>40145.661291168741</v>
      </c>
      <c r="H25" s="40">
        <f t="shared" si="14"/>
        <v>40145.661291168741</v>
      </c>
      <c r="I25" s="40">
        <f t="shared" si="14"/>
        <v>40145.661291168741</v>
      </c>
      <c r="J25" s="40">
        <f t="shared" si="14"/>
        <v>40145.661291168741</v>
      </c>
      <c r="K25" s="40">
        <f t="shared" si="14"/>
        <v>40145.661291168741</v>
      </c>
      <c r="L25" s="40">
        <f t="shared" si="14"/>
        <v>40145.661291168741</v>
      </c>
      <c r="M25" s="40">
        <f t="shared" si="14"/>
        <v>40145.661291168741</v>
      </c>
      <c r="N25" s="40">
        <f t="shared" si="14"/>
        <v>40145.661291168741</v>
      </c>
      <c r="O25" s="40">
        <f t="shared" si="14"/>
        <v>40145.661291168741</v>
      </c>
      <c r="P25" s="40">
        <f t="shared" si="14"/>
        <v>40145.661291168741</v>
      </c>
      <c r="Q25" s="40">
        <f t="shared" si="14"/>
        <v>40145.661291168741</v>
      </c>
      <c r="R25" s="40">
        <f t="shared" si="14"/>
        <v>40145.661291168741</v>
      </c>
      <c r="S25" s="40">
        <f t="shared" si="14"/>
        <v>40145.661291168741</v>
      </c>
      <c r="T25" s="40">
        <f t="shared" si="14"/>
        <v>40145.661291168741</v>
      </c>
      <c r="U25" s="40">
        <f t="shared" si="14"/>
        <v>40145.661291168741</v>
      </c>
      <c r="V25" s="40">
        <f t="shared" si="14"/>
        <v>40145.661291168741</v>
      </c>
      <c r="W25" s="40">
        <f t="shared" si="14"/>
        <v>40145.661291168741</v>
      </c>
      <c r="X25" s="40">
        <f t="shared" si="14"/>
        <v>40145.661291168741</v>
      </c>
      <c r="Y25" s="40">
        <f t="shared" si="14"/>
        <v>40145.661291168741</v>
      </c>
      <c r="Z25" s="40">
        <f t="shared" si="14"/>
        <v>40145.661291168741</v>
      </c>
      <c r="AA25" s="40">
        <f t="shared" si="14"/>
        <v>40145.661291168741</v>
      </c>
      <c r="AB25" s="40">
        <f t="shared" si="14"/>
        <v>40145.661291168741</v>
      </c>
      <c r="AC25" s="40">
        <f t="shared" si="14"/>
        <v>40145.661291168741</v>
      </c>
      <c r="AT25" s="1">
        <v>46529.520855567323</v>
      </c>
    </row>
    <row r="26" spans="3:46" x14ac:dyDescent="0.25">
      <c r="D26" s="1" t="s">
        <v>202</v>
      </c>
      <c r="E26" s="40">
        <f>SUM(E23:E25)</f>
        <v>122749.90263102212</v>
      </c>
      <c r="F26" s="40">
        <f>SUM(F23:F25)</f>
        <v>122749.90263102212</v>
      </c>
      <c r="G26" s="40">
        <f t="shared" ref="G26:AC26" si="15">SUM(G23:G25)</f>
        <v>122749.90263102212</v>
      </c>
      <c r="H26" s="40">
        <f t="shared" si="15"/>
        <v>122749.90263102212</v>
      </c>
      <c r="I26" s="40">
        <f t="shared" si="15"/>
        <v>122749.90263102212</v>
      </c>
      <c r="J26" s="40">
        <f t="shared" si="15"/>
        <v>122749.90263102212</v>
      </c>
      <c r="K26" s="40">
        <f t="shared" si="15"/>
        <v>122749.90263102212</v>
      </c>
      <c r="L26" s="40">
        <f t="shared" si="15"/>
        <v>122749.90263102212</v>
      </c>
      <c r="M26" s="40">
        <f t="shared" si="15"/>
        <v>122749.90263102212</v>
      </c>
      <c r="N26" s="40">
        <f t="shared" si="15"/>
        <v>122749.90263102212</v>
      </c>
      <c r="O26" s="40">
        <f t="shared" si="15"/>
        <v>122749.90263102212</v>
      </c>
      <c r="P26" s="40">
        <f t="shared" si="15"/>
        <v>122749.90263102212</v>
      </c>
      <c r="Q26" s="40">
        <f t="shared" si="15"/>
        <v>122749.90263102212</v>
      </c>
      <c r="R26" s="40">
        <f t="shared" si="15"/>
        <v>122749.90263102212</v>
      </c>
      <c r="S26" s="40">
        <f t="shared" si="15"/>
        <v>122749.90263102212</v>
      </c>
      <c r="T26" s="40">
        <f t="shared" si="15"/>
        <v>122749.90263102212</v>
      </c>
      <c r="U26" s="40">
        <f t="shared" si="15"/>
        <v>122749.90263102212</v>
      </c>
      <c r="V26" s="40">
        <f t="shared" si="15"/>
        <v>122749.90263102212</v>
      </c>
      <c r="W26" s="40">
        <f t="shared" si="15"/>
        <v>122749.90263102212</v>
      </c>
      <c r="X26" s="40">
        <f t="shared" si="15"/>
        <v>122749.90263102212</v>
      </c>
      <c r="Y26" s="40">
        <f t="shared" si="15"/>
        <v>122749.90263102212</v>
      </c>
      <c r="Z26" s="40">
        <f t="shared" si="15"/>
        <v>122749.90263102212</v>
      </c>
      <c r="AA26" s="40">
        <f t="shared" si="15"/>
        <v>122749.90263102212</v>
      </c>
      <c r="AB26" s="40">
        <f t="shared" si="15"/>
        <v>122749.90263102212</v>
      </c>
      <c r="AC26" s="40">
        <f t="shared" si="15"/>
        <v>122749.90263102212</v>
      </c>
      <c r="AT26" s="1">
        <v>46932.22392212267</v>
      </c>
    </row>
    <row r="27" spans="3:46" x14ac:dyDescent="0.25">
      <c r="D27" s="1" t="s">
        <v>203</v>
      </c>
      <c r="E27" s="40">
        <f>E22-E26</f>
        <v>207667.06272839141</v>
      </c>
      <c r="F27" s="40">
        <f>F22-F26</f>
        <v>207667.06272839141</v>
      </c>
      <c r="G27" s="40">
        <f t="shared" ref="G27:AC27" si="16">G22-G26</f>
        <v>207667.06272839141</v>
      </c>
      <c r="H27" s="40">
        <f t="shared" si="16"/>
        <v>207667.06272839141</v>
      </c>
      <c r="I27" s="40">
        <f t="shared" si="16"/>
        <v>207667.06272839141</v>
      </c>
      <c r="J27" s="40">
        <f t="shared" si="16"/>
        <v>207667.06272839141</v>
      </c>
      <c r="K27" s="40">
        <f t="shared" si="16"/>
        <v>207667.06272839141</v>
      </c>
      <c r="L27" s="40">
        <f t="shared" si="16"/>
        <v>207667.06272839141</v>
      </c>
      <c r="M27" s="40">
        <f t="shared" si="16"/>
        <v>207667.06272839141</v>
      </c>
      <c r="N27" s="40">
        <f t="shared" si="16"/>
        <v>207667.06272839141</v>
      </c>
      <c r="O27" s="40">
        <f t="shared" si="16"/>
        <v>207667.06272839141</v>
      </c>
      <c r="P27" s="40">
        <f t="shared" si="16"/>
        <v>207667.06272839141</v>
      </c>
      <c r="Q27" s="40">
        <f t="shared" si="16"/>
        <v>207667.06272839141</v>
      </c>
      <c r="R27" s="40">
        <f t="shared" si="16"/>
        <v>207667.06272839141</v>
      </c>
      <c r="S27" s="40">
        <f t="shared" si="16"/>
        <v>207667.06272839141</v>
      </c>
      <c r="T27" s="40">
        <f t="shared" si="16"/>
        <v>207667.06272839141</v>
      </c>
      <c r="U27" s="40">
        <f t="shared" si="16"/>
        <v>207667.06272839141</v>
      </c>
      <c r="V27" s="40">
        <f t="shared" si="16"/>
        <v>207667.06272839141</v>
      </c>
      <c r="W27" s="40">
        <f t="shared" si="16"/>
        <v>207667.06272839141</v>
      </c>
      <c r="X27" s="40">
        <f t="shared" si="16"/>
        <v>207667.06272839141</v>
      </c>
      <c r="Y27" s="40">
        <f t="shared" si="16"/>
        <v>207667.06272839141</v>
      </c>
      <c r="Z27" s="40">
        <f t="shared" si="16"/>
        <v>207667.06272839141</v>
      </c>
      <c r="AA27" s="40">
        <f t="shared" si="16"/>
        <v>207667.06272839141</v>
      </c>
      <c r="AB27" s="40">
        <f t="shared" si="16"/>
        <v>207667.06272839141</v>
      </c>
      <c r="AC27" s="40">
        <f t="shared" si="16"/>
        <v>207667.06272839141</v>
      </c>
      <c r="AT27" s="1">
        <v>47338.665629971038</v>
      </c>
    </row>
    <row r="28" spans="3:46" x14ac:dyDescent="0.25">
      <c r="D28" s="1" t="s">
        <v>217</v>
      </c>
      <c r="E28" s="40">
        <f>'Pensions P1'!$B$17</f>
        <v>11310.066115069563</v>
      </c>
      <c r="F28" s="40">
        <f>'Pensions P1'!$B$17</f>
        <v>11310.066115069563</v>
      </c>
      <c r="G28" s="40">
        <f>'Pensions P1'!$B$17</f>
        <v>11310.066115069563</v>
      </c>
      <c r="H28" s="40">
        <f>'Pensions P1'!$B$17</f>
        <v>11310.066115069563</v>
      </c>
      <c r="I28" s="40">
        <f>'Pensions P1'!$B$17</f>
        <v>11310.066115069563</v>
      </c>
      <c r="J28" s="40">
        <f>'Pensions P1'!$B$17</f>
        <v>11310.066115069563</v>
      </c>
      <c r="K28" s="40">
        <f>'Pensions P1'!$B$17</f>
        <v>11310.066115069563</v>
      </c>
      <c r="L28" s="40">
        <f>'Pensions P1'!$B$17</f>
        <v>11310.066115069563</v>
      </c>
      <c r="M28" s="40">
        <f>'Pensions P1'!$B$17</f>
        <v>11310.066115069563</v>
      </c>
      <c r="N28" s="40">
        <f>'Pensions P1'!$B$17</f>
        <v>11310.066115069563</v>
      </c>
      <c r="O28" s="40">
        <f>'Pensions P1'!$B$17</f>
        <v>11310.066115069563</v>
      </c>
      <c r="P28" s="40">
        <f>'Pensions P1'!$B$17</f>
        <v>11310.066115069563</v>
      </c>
      <c r="Q28" s="40">
        <f>'Pensions P1'!$B$17</f>
        <v>11310.066115069563</v>
      </c>
      <c r="R28" s="40">
        <f>'Pensions P1'!$B$17</f>
        <v>11310.066115069563</v>
      </c>
      <c r="S28" s="40">
        <f>'Pensions P1'!$B$17</f>
        <v>11310.066115069563</v>
      </c>
      <c r="T28" s="40">
        <f>'Pensions P1'!$B$17</f>
        <v>11310.066115069563</v>
      </c>
      <c r="U28" s="40">
        <f>'Pensions P1'!$B$17</f>
        <v>11310.066115069563</v>
      </c>
      <c r="V28" s="40">
        <f>'Pensions P1'!$B$17</f>
        <v>11310.066115069563</v>
      </c>
      <c r="W28" s="40">
        <f>'Pensions P1'!$B$17</f>
        <v>11310.066115069563</v>
      </c>
      <c r="X28" s="40">
        <f>'Pensions P1'!$B$17</f>
        <v>11310.066115069563</v>
      </c>
      <c r="Y28" s="40">
        <f>'Pensions P1'!$B$17</f>
        <v>11310.066115069563</v>
      </c>
      <c r="Z28" s="40">
        <f>'Pensions P1'!$B$17</f>
        <v>11310.066115069563</v>
      </c>
      <c r="AA28" s="40">
        <f>'Pensions P1'!$B$17</f>
        <v>11310.066115069563</v>
      </c>
      <c r="AB28" s="40">
        <f>'Pensions P1'!$B$17</f>
        <v>11310.066115069563</v>
      </c>
      <c r="AC28" s="40">
        <f>'Pensions P1'!$B$17</f>
        <v>11310.066115069563</v>
      </c>
      <c r="AT28" s="1">
        <v>47748.889020218914</v>
      </c>
    </row>
    <row r="29" spans="3:46" x14ac:dyDescent="0.25">
      <c r="D29" s="1" t="s">
        <v>207</v>
      </c>
      <c r="E29" s="40">
        <f>E28+E27</f>
        <v>218977.12884346096</v>
      </c>
      <c r="F29" s="40">
        <f>F28+F27</f>
        <v>218977.12884346096</v>
      </c>
      <c r="G29" s="40">
        <f t="shared" ref="G29:AC29" si="17">G28+G27</f>
        <v>218977.12884346096</v>
      </c>
      <c r="H29" s="40">
        <f t="shared" si="17"/>
        <v>218977.12884346096</v>
      </c>
      <c r="I29" s="40">
        <f t="shared" si="17"/>
        <v>218977.12884346096</v>
      </c>
      <c r="J29" s="40">
        <f t="shared" si="17"/>
        <v>218977.12884346096</v>
      </c>
      <c r="K29" s="40">
        <f t="shared" si="17"/>
        <v>218977.12884346096</v>
      </c>
      <c r="L29" s="40">
        <f t="shared" si="17"/>
        <v>218977.12884346096</v>
      </c>
      <c r="M29" s="40">
        <f t="shared" si="17"/>
        <v>218977.12884346096</v>
      </c>
      <c r="N29" s="40">
        <f t="shared" si="17"/>
        <v>218977.12884346096</v>
      </c>
      <c r="O29" s="40">
        <f t="shared" si="17"/>
        <v>218977.12884346096</v>
      </c>
      <c r="P29" s="40">
        <f t="shared" si="17"/>
        <v>218977.12884346096</v>
      </c>
      <c r="Q29" s="40">
        <f t="shared" si="17"/>
        <v>218977.12884346096</v>
      </c>
      <c r="R29" s="40">
        <f t="shared" si="17"/>
        <v>218977.12884346096</v>
      </c>
      <c r="S29" s="40">
        <f t="shared" si="17"/>
        <v>218977.12884346096</v>
      </c>
      <c r="T29" s="40">
        <f t="shared" si="17"/>
        <v>218977.12884346096</v>
      </c>
      <c r="U29" s="40">
        <f t="shared" si="17"/>
        <v>218977.12884346096</v>
      </c>
      <c r="V29" s="40">
        <f t="shared" si="17"/>
        <v>218977.12884346096</v>
      </c>
      <c r="W29" s="40">
        <f t="shared" si="17"/>
        <v>218977.12884346096</v>
      </c>
      <c r="X29" s="40">
        <f t="shared" si="17"/>
        <v>218977.12884346096</v>
      </c>
      <c r="Y29" s="40">
        <f t="shared" si="17"/>
        <v>218977.12884346096</v>
      </c>
      <c r="Z29" s="40">
        <f t="shared" si="17"/>
        <v>218977.12884346096</v>
      </c>
      <c r="AA29" s="40">
        <f t="shared" si="17"/>
        <v>218977.12884346096</v>
      </c>
      <c r="AB29" s="40">
        <f t="shared" si="17"/>
        <v>218977.12884346096</v>
      </c>
      <c r="AC29" s="40">
        <f t="shared" si="17"/>
        <v>218977.12884346096</v>
      </c>
      <c r="AT29" s="1">
        <v>48162.93745350754</v>
      </c>
    </row>
    <row r="30" spans="3:46" x14ac:dyDescent="0.25">
      <c r="D30" s="1" t="s">
        <v>208</v>
      </c>
      <c r="E30" s="40">
        <f>E29/12</f>
        <v>18248.094070288415</v>
      </c>
      <c r="F30" s="40">
        <f>F29/12</f>
        <v>18248.094070288415</v>
      </c>
      <c r="G30" s="40">
        <f t="shared" ref="G30:AC30" si="18">G29/12</f>
        <v>18248.094070288415</v>
      </c>
      <c r="H30" s="40">
        <f t="shared" si="18"/>
        <v>18248.094070288415</v>
      </c>
      <c r="I30" s="40">
        <f t="shared" si="18"/>
        <v>18248.094070288415</v>
      </c>
      <c r="J30" s="40">
        <f t="shared" si="18"/>
        <v>18248.094070288415</v>
      </c>
      <c r="K30" s="40">
        <f t="shared" si="18"/>
        <v>18248.094070288415</v>
      </c>
      <c r="L30" s="40">
        <f t="shared" si="18"/>
        <v>18248.094070288415</v>
      </c>
      <c r="M30" s="40">
        <f t="shared" si="18"/>
        <v>18248.094070288415</v>
      </c>
      <c r="N30" s="40">
        <f t="shared" si="18"/>
        <v>18248.094070288415</v>
      </c>
      <c r="O30" s="40">
        <f t="shared" si="18"/>
        <v>18248.094070288415</v>
      </c>
      <c r="P30" s="40">
        <f t="shared" si="18"/>
        <v>18248.094070288415</v>
      </c>
      <c r="Q30" s="40">
        <f t="shared" si="18"/>
        <v>18248.094070288415</v>
      </c>
      <c r="R30" s="40">
        <f t="shared" si="18"/>
        <v>18248.094070288415</v>
      </c>
      <c r="S30" s="40">
        <f t="shared" si="18"/>
        <v>18248.094070288415</v>
      </c>
      <c r="T30" s="40">
        <f t="shared" si="18"/>
        <v>18248.094070288415</v>
      </c>
      <c r="U30" s="40">
        <f t="shared" si="18"/>
        <v>18248.094070288415</v>
      </c>
      <c r="V30" s="40">
        <f t="shared" si="18"/>
        <v>18248.094070288415</v>
      </c>
      <c r="W30" s="40">
        <f t="shared" si="18"/>
        <v>18248.094070288415</v>
      </c>
      <c r="X30" s="40">
        <f t="shared" si="18"/>
        <v>18248.094070288415</v>
      </c>
      <c r="Y30" s="40">
        <f t="shared" si="18"/>
        <v>18248.094070288415</v>
      </c>
      <c r="Z30" s="40">
        <f t="shared" si="18"/>
        <v>18248.094070288415</v>
      </c>
      <c r="AA30" s="40">
        <f t="shared" si="18"/>
        <v>18248.094070288415</v>
      </c>
      <c r="AB30" s="40">
        <f t="shared" si="18"/>
        <v>18248.094070288415</v>
      </c>
      <c r="AC30" s="40">
        <f t="shared" si="18"/>
        <v>18248.094070288415</v>
      </c>
      <c r="AT30" s="1">
        <v>48580.854615382268</v>
      </c>
    </row>
    <row r="31" spans="3:46" x14ac:dyDescent="0.25">
      <c r="D31" s="1" t="s">
        <v>218</v>
      </c>
      <c r="E31" s="40">
        <f>$AH$14</f>
        <v>49002.684521672993</v>
      </c>
      <c r="F31" s="40">
        <f t="shared" ref="F31:AC31" si="19">$AH$14</f>
        <v>49002.684521672993</v>
      </c>
      <c r="G31" s="40">
        <f t="shared" si="19"/>
        <v>49002.684521672993</v>
      </c>
      <c r="H31" s="40">
        <f t="shared" si="19"/>
        <v>49002.684521672993</v>
      </c>
      <c r="I31" s="40">
        <f t="shared" si="19"/>
        <v>49002.684521672993</v>
      </c>
      <c r="J31" s="40">
        <f t="shared" si="19"/>
        <v>49002.684521672993</v>
      </c>
      <c r="K31" s="40">
        <f t="shared" si="19"/>
        <v>49002.684521672993</v>
      </c>
      <c r="L31" s="40">
        <f t="shared" si="19"/>
        <v>49002.684521672993</v>
      </c>
      <c r="M31" s="40">
        <f t="shared" si="19"/>
        <v>49002.684521672993</v>
      </c>
      <c r="N31" s="40">
        <f t="shared" si="19"/>
        <v>49002.684521672993</v>
      </c>
      <c r="O31" s="40">
        <f t="shared" si="19"/>
        <v>49002.684521672993</v>
      </c>
      <c r="P31" s="40">
        <f t="shared" si="19"/>
        <v>49002.684521672993</v>
      </c>
      <c r="Q31" s="40">
        <f t="shared" si="19"/>
        <v>49002.684521672993</v>
      </c>
      <c r="R31" s="40">
        <f t="shared" si="19"/>
        <v>49002.684521672993</v>
      </c>
      <c r="S31" s="40">
        <f t="shared" si="19"/>
        <v>49002.684521672993</v>
      </c>
      <c r="T31" s="40">
        <f t="shared" si="19"/>
        <v>49002.684521672993</v>
      </c>
      <c r="U31" s="40">
        <f t="shared" si="19"/>
        <v>49002.684521672993</v>
      </c>
      <c r="V31" s="40">
        <f t="shared" si="19"/>
        <v>49002.684521672993</v>
      </c>
      <c r="W31" s="40">
        <f t="shared" si="19"/>
        <v>49002.684521672993</v>
      </c>
      <c r="X31" s="40">
        <f t="shared" si="19"/>
        <v>49002.684521672993</v>
      </c>
      <c r="Y31" s="40">
        <f t="shared" si="19"/>
        <v>49002.684521672993</v>
      </c>
      <c r="Z31" s="40">
        <f t="shared" si="19"/>
        <v>49002.684521672993</v>
      </c>
      <c r="AA31" s="40">
        <f t="shared" si="19"/>
        <v>49002.684521672993</v>
      </c>
      <c r="AB31" s="40">
        <f t="shared" si="19"/>
        <v>49002.684521672993</v>
      </c>
      <c r="AC31" s="40">
        <f t="shared" si="19"/>
        <v>49002.684521672993</v>
      </c>
      <c r="AT31" s="1">
        <v>49002.684521672993</v>
      </c>
    </row>
    <row r="32" spans="3:46" x14ac:dyDescent="0.25">
      <c r="D32" s="1" t="s">
        <v>219</v>
      </c>
      <c r="E32" s="40">
        <f>E31-E30</f>
        <v>30754.590451384578</v>
      </c>
      <c r="F32" s="40">
        <f t="shared" ref="F32:AC32" si="20">F31-F30</f>
        <v>30754.590451384578</v>
      </c>
      <c r="G32" s="40">
        <f t="shared" si="20"/>
        <v>30754.590451384578</v>
      </c>
      <c r="H32" s="40">
        <f t="shared" si="20"/>
        <v>30754.590451384578</v>
      </c>
      <c r="I32" s="40">
        <f t="shared" si="20"/>
        <v>30754.590451384578</v>
      </c>
      <c r="J32" s="40">
        <f t="shared" si="20"/>
        <v>30754.590451384578</v>
      </c>
      <c r="K32" s="40">
        <f t="shared" si="20"/>
        <v>30754.590451384578</v>
      </c>
      <c r="L32" s="40">
        <f t="shared" si="20"/>
        <v>30754.590451384578</v>
      </c>
      <c r="M32" s="40">
        <f t="shared" si="20"/>
        <v>30754.590451384578</v>
      </c>
      <c r="N32" s="40">
        <f t="shared" si="20"/>
        <v>30754.590451384578</v>
      </c>
      <c r="O32" s="40">
        <f t="shared" si="20"/>
        <v>30754.590451384578</v>
      </c>
      <c r="P32" s="40">
        <f t="shared" si="20"/>
        <v>30754.590451384578</v>
      </c>
      <c r="Q32" s="40">
        <f t="shared" si="20"/>
        <v>30754.590451384578</v>
      </c>
      <c r="R32" s="40">
        <f t="shared" si="20"/>
        <v>30754.590451384578</v>
      </c>
      <c r="S32" s="40">
        <f t="shared" si="20"/>
        <v>30754.590451384578</v>
      </c>
      <c r="T32" s="40">
        <f t="shared" si="20"/>
        <v>30754.590451384578</v>
      </c>
      <c r="U32" s="40">
        <f t="shared" si="20"/>
        <v>30754.590451384578</v>
      </c>
      <c r="V32" s="40">
        <f t="shared" si="20"/>
        <v>30754.590451384578</v>
      </c>
      <c r="W32" s="40">
        <f t="shared" si="20"/>
        <v>30754.590451384578</v>
      </c>
      <c r="X32" s="40">
        <f t="shared" si="20"/>
        <v>30754.590451384578</v>
      </c>
      <c r="Y32" s="40">
        <f t="shared" si="20"/>
        <v>30754.590451384578</v>
      </c>
      <c r="Z32" s="40">
        <f t="shared" si="20"/>
        <v>30754.590451384578</v>
      </c>
      <c r="AA32" s="40">
        <f t="shared" si="20"/>
        <v>30754.590451384578</v>
      </c>
      <c r="AB32" s="40">
        <f t="shared" si="20"/>
        <v>30754.590451384578</v>
      </c>
      <c r="AC32" s="40">
        <f t="shared" si="20"/>
        <v>30754.590451384578</v>
      </c>
    </row>
    <row r="33" spans="4:29" x14ac:dyDescent="0.25">
      <c r="E33" s="40">
        <f>E32*(1.27)</f>
        <v>39058.329873258415</v>
      </c>
      <c r="F33" s="40">
        <f t="shared" ref="F33:AC33" si="21">F32*(1.27)</f>
        <v>39058.329873258415</v>
      </c>
      <c r="G33" s="40">
        <f t="shared" si="21"/>
        <v>39058.329873258415</v>
      </c>
      <c r="H33" s="40">
        <f t="shared" si="21"/>
        <v>39058.329873258415</v>
      </c>
      <c r="I33" s="40">
        <f t="shared" si="21"/>
        <v>39058.329873258415</v>
      </c>
      <c r="J33" s="40">
        <f t="shared" si="21"/>
        <v>39058.329873258415</v>
      </c>
      <c r="K33" s="40">
        <f t="shared" si="21"/>
        <v>39058.329873258415</v>
      </c>
      <c r="L33" s="40">
        <f t="shared" si="21"/>
        <v>39058.329873258415</v>
      </c>
      <c r="M33" s="40">
        <f t="shared" si="21"/>
        <v>39058.329873258415</v>
      </c>
      <c r="N33" s="40">
        <f t="shared" si="21"/>
        <v>39058.329873258415</v>
      </c>
      <c r="O33" s="40">
        <f t="shared" si="21"/>
        <v>39058.329873258415</v>
      </c>
      <c r="P33" s="40">
        <f t="shared" si="21"/>
        <v>39058.329873258415</v>
      </c>
      <c r="Q33" s="40">
        <f t="shared" si="21"/>
        <v>39058.329873258415</v>
      </c>
      <c r="R33" s="40">
        <f t="shared" si="21"/>
        <v>39058.329873258415</v>
      </c>
      <c r="S33" s="40">
        <f t="shared" si="21"/>
        <v>39058.329873258415</v>
      </c>
      <c r="T33" s="40">
        <f t="shared" si="21"/>
        <v>39058.329873258415</v>
      </c>
      <c r="U33" s="40">
        <f t="shared" si="21"/>
        <v>39058.329873258415</v>
      </c>
      <c r="V33" s="40">
        <f t="shared" si="21"/>
        <v>39058.329873258415</v>
      </c>
      <c r="W33" s="40">
        <f t="shared" si="21"/>
        <v>39058.329873258415</v>
      </c>
      <c r="X33" s="40">
        <f t="shared" si="21"/>
        <v>39058.329873258415</v>
      </c>
      <c r="Y33" s="40">
        <f t="shared" si="21"/>
        <v>39058.329873258415</v>
      </c>
      <c r="Z33" s="40">
        <f t="shared" si="21"/>
        <v>39058.329873258415</v>
      </c>
      <c r="AA33" s="40">
        <f t="shared" si="21"/>
        <v>39058.329873258415</v>
      </c>
      <c r="AB33" s="40">
        <f t="shared" si="21"/>
        <v>39058.329873258415</v>
      </c>
      <c r="AC33" s="40">
        <f t="shared" si="21"/>
        <v>39058.329873258415</v>
      </c>
    </row>
    <row r="36" spans="4:29" x14ac:dyDescent="0.25">
      <c r="D36" s="1" t="s">
        <v>220</v>
      </c>
      <c r="E36" s="41">
        <f>SUM(E33:AC33)</f>
        <v>976458.24683145981</v>
      </c>
    </row>
    <row r="37" spans="4:29" x14ac:dyDescent="0.25">
      <c r="E37" s="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E15" sqref="E15"/>
    </sheetView>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166</v>
      </c>
    </row>
    <row r="2" spans="1:6" x14ac:dyDescent="0.25">
      <c r="A2" s="1" t="s">
        <v>1</v>
      </c>
      <c r="B2" s="1" t="s">
        <v>168</v>
      </c>
      <c r="C2" s="1" t="s">
        <v>169</v>
      </c>
    </row>
    <row r="3" spans="1:6" x14ac:dyDescent="0.25">
      <c r="A3" s="1">
        <v>2019</v>
      </c>
      <c r="B3" s="1">
        <v>50000</v>
      </c>
    </row>
    <row r="4" spans="1:6" x14ac:dyDescent="0.25">
      <c r="A4" s="1">
        <v>2020</v>
      </c>
      <c r="B4" s="1">
        <f>100000</f>
        <v>100000</v>
      </c>
      <c r="C4" s="34">
        <f t="shared" ref="C4:C9" si="0">(B4-B3)/B3</f>
        <v>1</v>
      </c>
    </row>
    <row r="5" spans="1:6" x14ac:dyDescent="0.25">
      <c r="A5" s="1">
        <v>2021</v>
      </c>
      <c r="B5" s="1">
        <v>102300</v>
      </c>
      <c r="C5" s="34">
        <f t="shared" si="0"/>
        <v>2.3E-2</v>
      </c>
    </row>
    <row r="6" spans="1:6" x14ac:dyDescent="0.25">
      <c r="A6" s="1">
        <v>2022</v>
      </c>
      <c r="B6" s="1">
        <v>103500</v>
      </c>
      <c r="C6" s="34">
        <f t="shared" si="0"/>
        <v>1.1730205278592375E-2</v>
      </c>
      <c r="E6" s="1" t="s">
        <v>167</v>
      </c>
      <c r="F6" s="1" t="s">
        <v>170</v>
      </c>
    </row>
    <row r="7" spans="1:6" x14ac:dyDescent="0.25">
      <c r="A7" s="1">
        <v>2023</v>
      </c>
      <c r="B7" s="1">
        <v>106600</v>
      </c>
      <c r="C7" s="34">
        <f t="shared" si="0"/>
        <v>2.9951690821256038E-2</v>
      </c>
      <c r="E7" s="35">
        <f>MEDIAN(C4:C9)</f>
        <v>0.12645487410819978</v>
      </c>
      <c r="F7" s="36">
        <f>MEDIAN(C5:C9)</f>
        <v>2.9951690821256038E-2</v>
      </c>
    </row>
    <row r="8" spans="1:6" x14ac:dyDescent="0.25">
      <c r="A8" s="1">
        <v>2024</v>
      </c>
      <c r="B8" s="1">
        <v>135900</v>
      </c>
      <c r="C8" s="34">
        <f t="shared" si="0"/>
        <v>0.27485928705440899</v>
      </c>
    </row>
    <row r="9" spans="1:6" x14ac:dyDescent="0.25">
      <c r="A9" s="1">
        <v>2025</v>
      </c>
      <c r="B9" s="1">
        <v>166200</v>
      </c>
      <c r="C9" s="34">
        <f t="shared" si="0"/>
        <v>0.22295805739514349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P34" sqref="P34"/>
    </sheetView>
  </sheetViews>
  <sheetFormatPr defaultColWidth="8.7109375" defaultRowHeight="15" x14ac:dyDescent="0.25"/>
  <cols>
    <col min="1" max="1" width="3.140625" style="1" customWidth="1"/>
    <col min="2" max="2" width="18.140625" style="1" bestFit="1" customWidth="1"/>
    <col min="3" max="6" width="13.85546875" style="1" bestFit="1" customWidth="1"/>
    <col min="7" max="16384" width="8.7109375" style="1"/>
  </cols>
  <sheetData>
    <row r="2" spans="2:7" x14ac:dyDescent="0.25">
      <c r="B2" t="s">
        <v>76</v>
      </c>
      <c r="C2" t="s">
        <v>72</v>
      </c>
      <c r="D2" t="s">
        <v>73</v>
      </c>
      <c r="E2" t="s">
        <v>74</v>
      </c>
      <c r="F2" t="s">
        <v>75</v>
      </c>
      <c r="G2" s="42" t="s">
        <v>78</v>
      </c>
    </row>
    <row r="3" spans="2:7" x14ac:dyDescent="0.25">
      <c r="B3" t="s">
        <v>69</v>
      </c>
      <c r="C3">
        <v>1</v>
      </c>
      <c r="D3">
        <v>0.8</v>
      </c>
      <c r="E3">
        <v>0.3</v>
      </c>
      <c r="F3">
        <v>0.6</v>
      </c>
      <c r="G3" s="42"/>
    </row>
    <row r="4" spans="2:7" x14ac:dyDescent="0.25">
      <c r="B4" t="s">
        <v>70</v>
      </c>
      <c r="C4" s="23">
        <f>'Net Salary P1'!E37</f>
        <v>0</v>
      </c>
      <c r="D4" s="23">
        <v>250000</v>
      </c>
      <c r="E4" s="23">
        <v>4000000</v>
      </c>
      <c r="F4" s="23">
        <v>300000</v>
      </c>
      <c r="G4" s="42"/>
    </row>
    <row r="5" spans="2:7" x14ac:dyDescent="0.25">
      <c r="B5" t="s">
        <v>71</v>
      </c>
      <c r="C5">
        <v>50</v>
      </c>
      <c r="D5">
        <v>5</v>
      </c>
      <c r="E5">
        <v>10</v>
      </c>
      <c r="F5">
        <v>15</v>
      </c>
      <c r="G5" s="42"/>
    </row>
    <row r="7" spans="2:7" x14ac:dyDescent="0.25">
      <c r="B7" t="s">
        <v>76</v>
      </c>
      <c r="C7" t="s">
        <v>72</v>
      </c>
      <c r="D7" t="s">
        <v>73</v>
      </c>
      <c r="E7" t="s">
        <v>74</v>
      </c>
      <c r="F7" t="s">
        <v>75</v>
      </c>
      <c r="G7" s="42" t="s">
        <v>77</v>
      </c>
    </row>
    <row r="8" spans="2:7" x14ac:dyDescent="0.25">
      <c r="B8" t="s">
        <v>69</v>
      </c>
      <c r="C8">
        <v>1</v>
      </c>
      <c r="D8">
        <v>0.45</v>
      </c>
      <c r="E8">
        <v>0.5</v>
      </c>
      <c r="F8">
        <v>0.57999999999999996</v>
      </c>
      <c r="G8" s="42"/>
    </row>
    <row r="9" spans="2:7" x14ac:dyDescent="0.25">
      <c r="B9" t="s">
        <v>70</v>
      </c>
      <c r="C9" s="23">
        <v>400000</v>
      </c>
      <c r="D9" s="23">
        <v>75000</v>
      </c>
      <c r="E9" s="23">
        <v>300000</v>
      </c>
      <c r="F9" s="23">
        <v>7500000</v>
      </c>
      <c r="G9" s="42"/>
    </row>
    <row r="10" spans="2:7" x14ac:dyDescent="0.25">
      <c r="B10" t="s">
        <v>71</v>
      </c>
      <c r="C10">
        <v>35</v>
      </c>
      <c r="D10">
        <v>30</v>
      </c>
      <c r="E10">
        <v>4</v>
      </c>
      <c r="F10">
        <v>18</v>
      </c>
      <c r="G10" s="42"/>
    </row>
  </sheetData>
  <mergeCells count="2">
    <mergeCell ref="G7:G10"/>
    <mergeCell ref="G2:G5"/>
  </mergeCells>
  <pageMargins left="0.7" right="0.7" top="0.75" bottom="0.75" header="0.3" footer="0.3"/>
  <drawing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2" sqref="C2"/>
    </sheetView>
  </sheetViews>
  <sheetFormatPr defaultRowHeight="15" x14ac:dyDescent="0.25"/>
  <sheetData>
    <row r="1" spans="1:52" x14ac:dyDescent="0.25">
      <c r="A1" s="27"/>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78</v>
      </c>
      <c r="B2">
        <v>0</v>
      </c>
      <c r="C2" cm="1">
        <f t="array" ref="C2:AV2">TRANSPOSE(TableIncome[InvestmentP1])</f>
        <v>27978.482166800008</v>
      </c>
      <c r="D2">
        <v>28286.098361017026</v>
      </c>
      <c r="E2">
        <v>29764.551683527687</v>
      </c>
      <c r="F2">
        <v>30088.947846796091</v>
      </c>
      <c r="G2">
        <v>30416.063449218098</v>
      </c>
      <c r="H2">
        <v>30745.935969939725</v>
      </c>
      <c r="I2">
        <v>32342.495978483821</v>
      </c>
      <c r="J2">
        <v>32690.634400619143</v>
      </c>
      <c r="K2">
        <v>33041.769629282695</v>
      </c>
      <c r="L2">
        <v>33395.941134063112</v>
      </c>
      <c r="M2">
        <v>35120.488236299941</v>
      </c>
      <c r="N2">
        <v>35494.524537816716</v>
      </c>
      <c r="O2">
        <v>35871.853527463303</v>
      </c>
      <c r="P2">
        <v>36252.516910059916</v>
      </c>
      <c r="Q2">
        <v>38115.723334703929</v>
      </c>
      <c r="R2">
        <v>38434.448898751194</v>
      </c>
      <c r="S2">
        <v>38746.712507498436</v>
      </c>
      <c r="T2">
        <v>39061.69327939667</v>
      </c>
      <c r="U2">
        <v>40597.706580051716</v>
      </c>
      <c r="V2">
        <v>40930.410042260584</v>
      </c>
      <c r="W2">
        <v>41266.058452887461</v>
      </c>
      <c r="X2">
        <v>41604.688753302878</v>
      </c>
      <c r="Y2">
        <v>43264.293228234099</v>
      </c>
      <c r="Z2">
        <v>43622.178578708044</v>
      </c>
      <c r="AA2">
        <v>43983.289794094737</v>
      </c>
      <c r="AB2">
        <v>44347.666054388239</v>
      </c>
      <c r="AC2">
        <v>44715.346795669924</v>
      </c>
      <c r="AD2">
        <v>45086.371715330351</v>
      </c>
      <c r="AE2">
        <v>45460.780777291235</v>
      </c>
      <c r="AF2">
        <v>45838.614217228431</v>
      </c>
      <c r="AG2">
        <v>46219.912547797074</v>
      </c>
      <c r="AH2">
        <v>46604.716563859722</v>
      </c>
      <c r="AI2">
        <v>46993.067347718577</v>
      </c>
      <c r="AJ2">
        <v>47385.006274352876</v>
      </c>
      <c r="AK2">
        <v>47780.575016662202</v>
      </c>
      <c r="AL2">
        <v>49739.175610410915</v>
      </c>
      <c r="AM2">
        <v>50157.723821307234</v>
      </c>
      <c r="AN2">
        <v>50580.184642649911</v>
      </c>
      <c r="AO2">
        <v>51006.602550968179</v>
      </c>
      <c r="AP2">
        <v>51437.022362646268</v>
      </c>
      <c r="AQ2">
        <v>51871.489239379014</v>
      </c>
      <c r="AR2">
        <v>52310.048693641707</v>
      </c>
      <c r="AS2">
        <v>52752.746594175071</v>
      </c>
      <c r="AT2">
        <v>53199.629171486398</v>
      </c>
      <c r="AU2">
        <v>53650.743023367519</v>
      </c>
      <c r="AV2">
        <v>0</v>
      </c>
      <c r="AW2">
        <v>0</v>
      </c>
      <c r="AX2">
        <v>0</v>
      </c>
      <c r="AY2">
        <v>0</v>
      </c>
      <c r="AZ2">
        <v>0</v>
      </c>
    </row>
    <row r="3" spans="1:52" x14ac:dyDescent="0.25">
      <c r="A3" t="s">
        <v>77</v>
      </c>
      <c r="B3">
        <v>200000</v>
      </c>
      <c r="C3" cm="1">
        <f t="array" ref="C3:AV3">TRANSPOSE(TableIncome[InvestmentP2])</f>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8" t="s">
        <v>160</v>
      </c>
    </row>
    <row r="2" spans="1:52" x14ac:dyDescent="0.25">
      <c r="A2" t="s">
        <v>78</v>
      </c>
      <c r="B2" s="21">
        <f>SUMIF(TableIncome[Year], "&lt;=" &amp; B1, TableIncome[InvestmentP1])</f>
        <v>27978.482166800008</v>
      </c>
      <c r="C2" s="21">
        <f>SUMIF(TableIncome[Year], "&lt;=" &amp; C1, TableIncome[InvestmentP1])</f>
        <v>56264.58052781703</v>
      </c>
      <c r="D2" s="21">
        <f>SUMIF(TableIncome[Year], "&lt;=" &amp; D1, TableIncome[InvestmentP1])</f>
        <v>86029.132211344724</v>
      </c>
      <c r="E2" s="21">
        <f>SUMIF(TableIncome[Year], "&lt;=" &amp; E1, TableIncome[InvestmentP1])</f>
        <v>116118.08005814081</v>
      </c>
      <c r="F2" s="21">
        <f>SUMIF(TableIncome[Year], "&lt;=" &amp; F1, TableIncome[InvestmentP1])</f>
        <v>146534.14350735891</v>
      </c>
      <c r="G2" s="21">
        <f>SUMIF(TableIncome[Year], "&lt;=" &amp; G1, TableIncome[InvestmentP1])</f>
        <v>177280.07947729863</v>
      </c>
      <c r="H2" s="21">
        <f>SUMIF(TableIncome[Year], "&lt;=" &amp; H1, TableIncome[InvestmentP1])</f>
        <v>209622.57545578244</v>
      </c>
      <c r="I2" s="21">
        <f>SUMIF(TableIncome[Year], "&lt;=" &amp; I1, TableIncome[InvestmentP1])</f>
        <v>242313.20985640158</v>
      </c>
      <c r="J2" s="21">
        <f>SUMIF(TableIncome[Year], "&lt;=" &amp; J1, TableIncome[InvestmentP1])</f>
        <v>275354.97948568425</v>
      </c>
      <c r="K2" s="21">
        <f>SUMIF(TableIncome[Year], "&lt;=" &amp; K1, TableIncome[InvestmentP1])</f>
        <v>308750.92061974737</v>
      </c>
      <c r="L2" s="21">
        <f>SUMIF(TableIncome[Year], "&lt;=" &amp; L1, TableIncome[InvestmentP1])</f>
        <v>343871.40885604732</v>
      </c>
      <c r="M2" s="21">
        <f>SUMIF(TableIncome[Year], "&lt;=" &amp; M1, TableIncome[InvestmentP1])</f>
        <v>379365.93339386402</v>
      </c>
      <c r="N2" s="21">
        <f>SUMIF(TableIncome[Year], "&lt;=" &amp; N1, TableIncome[InvestmentP1])</f>
        <v>415237.78692132735</v>
      </c>
      <c r="O2" s="21">
        <f>SUMIF(TableIncome[Year], "&lt;=" &amp; O1, TableIncome[InvestmentP1])</f>
        <v>451490.30383138725</v>
      </c>
      <c r="P2" s="21">
        <f>SUMIF(TableIncome[Year], "&lt;=" &amp; P1, TableIncome[InvestmentP1])</f>
        <v>489606.0271660912</v>
      </c>
      <c r="Q2" s="21">
        <f>SUMIF(TableIncome[Year], "&lt;=" &amp; Q1, TableIncome[InvestmentP1])</f>
        <v>528040.47606484243</v>
      </c>
      <c r="R2" s="21">
        <f>SUMIF(TableIncome[Year], "&lt;=" &amp; R1, TableIncome[InvestmentP1])</f>
        <v>566787.18857234088</v>
      </c>
      <c r="S2" s="21">
        <f>SUMIF(TableIncome[Year], "&lt;=" &amp; S1, TableIncome[InvestmentP1])</f>
        <v>605848.8818517375</v>
      </c>
      <c r="T2" s="21">
        <f>SUMIF(TableIncome[Year], "&lt;=" &amp; T1, TableIncome[InvestmentP1])</f>
        <v>646446.58843178919</v>
      </c>
      <c r="U2" s="21">
        <f>SUMIF(TableIncome[Year], "&lt;=" &amp; U1, TableIncome[InvestmentP1])</f>
        <v>687376.99847404973</v>
      </c>
      <c r="V2" s="21">
        <f>SUMIF(TableIncome[Year], "&lt;=" &amp; V1, TableIncome[InvestmentP1])</f>
        <v>728643.05692693719</v>
      </c>
      <c r="W2" s="21">
        <f>SUMIF(TableIncome[Year], "&lt;=" &amp; W1, TableIncome[InvestmentP1])</f>
        <v>770247.7456802401</v>
      </c>
      <c r="X2" s="21">
        <f>SUMIF(TableIncome[Year], "&lt;=" &amp; X1, TableIncome[InvestmentP1])</f>
        <v>813512.03890847415</v>
      </c>
      <c r="Y2" s="21">
        <f>SUMIF(TableIncome[Year], "&lt;=" &amp; Y1, TableIncome[InvestmentP1])</f>
        <v>857134.21748718224</v>
      </c>
      <c r="Z2" s="21">
        <f>SUMIF(TableIncome[Year], "&lt;=" &amp; Z1, TableIncome[InvestmentP1])</f>
        <v>901117.50728127698</v>
      </c>
      <c r="AA2" s="21">
        <f>SUMIF(TableIncome[Year], "&lt;=" &amp; AA1, TableIncome[InvestmentP1])</f>
        <v>945465.17333566525</v>
      </c>
      <c r="AB2" s="21">
        <f>SUMIF(TableIncome[Year], "&lt;=" &amp; AB1, TableIncome[InvestmentP1])</f>
        <v>990180.52013133513</v>
      </c>
      <c r="AC2" s="21">
        <f>SUMIF(TableIncome[Year], "&lt;=" &amp; AC1, TableIncome[InvestmentP1])</f>
        <v>1035266.8918466655</v>
      </c>
      <c r="AD2" s="21">
        <f>SUMIF(TableIncome[Year], "&lt;=" &amp; AD1, TableIncome[InvestmentP1])</f>
        <v>1080727.6726239568</v>
      </c>
      <c r="AE2" s="21">
        <f>SUMIF(TableIncome[Year], "&lt;=" &amp; AE1, TableIncome[InvestmentP1])</f>
        <v>1126566.2868411853</v>
      </c>
      <c r="AF2" s="21">
        <f>SUMIF(TableIncome[Year], "&lt;=" &amp; AF1, TableIncome[InvestmentP1])</f>
        <v>1172786.1993889823</v>
      </c>
      <c r="AG2" s="21">
        <f>SUMIF(TableIncome[Year], "&lt;=" &amp; AG1, TableIncome[InvestmentP1])</f>
        <v>1219390.915952842</v>
      </c>
      <c r="AH2" s="21">
        <f>SUMIF(TableIncome[Year], "&lt;=" &amp; AH1, TableIncome[InvestmentP1])</f>
        <v>1266383.9833005606</v>
      </c>
      <c r="AI2" s="21">
        <f>SUMIF(TableIncome[Year], "&lt;=" &amp; AI1, TableIncome[InvestmentP1])</f>
        <v>1313768.9895749134</v>
      </c>
      <c r="AJ2" s="21">
        <f>SUMIF(TableIncome[Year], "&lt;=" &amp; AJ1, TableIncome[InvestmentP1])</f>
        <v>1361549.5645915756</v>
      </c>
      <c r="AK2" s="21">
        <f>SUMIF(TableIncome[Year], "&lt;=" &amp; AK1, TableIncome[InvestmentP1])</f>
        <v>1411288.7402019866</v>
      </c>
      <c r="AL2" s="21">
        <f>SUMIF(TableIncome[Year], "&lt;=" &amp; AL1, TableIncome[InvestmentP1])</f>
        <v>1461446.4640232939</v>
      </c>
      <c r="AM2" s="21">
        <f>SUMIF(TableIncome[Year], "&lt;=" &amp; AM1, TableIncome[InvestmentP1])</f>
        <v>1512026.6486659439</v>
      </c>
      <c r="AN2" s="21">
        <f>SUMIF(TableIncome[Year], "&lt;=" &amp; AN1, TableIncome[InvestmentP1])</f>
        <v>1563033.2512169122</v>
      </c>
      <c r="AO2" s="21">
        <f>SUMIF(TableIncome[Year], "&lt;=" &amp; AO1, TableIncome[InvestmentP1])</f>
        <v>1614470.2735795584</v>
      </c>
      <c r="AP2" s="21">
        <f>SUMIF(TableIncome[Year], "&lt;=" &amp; AP1, TableIncome[InvestmentP1])</f>
        <v>1666341.7628189374</v>
      </c>
      <c r="AQ2" s="21">
        <f>SUMIF(TableIncome[Year], "&lt;=" &amp; AQ1, TableIncome[InvestmentP1])</f>
        <v>1718651.8115125792</v>
      </c>
      <c r="AR2" s="21">
        <f>SUMIF(TableIncome[Year], "&lt;=" &amp; AR1, TableIncome[InvestmentP1])</f>
        <v>1771404.5581067542</v>
      </c>
      <c r="AS2" s="21">
        <f>SUMIF(TableIncome[Year], "&lt;=" &amp; AS1, TableIncome[InvestmentP1])</f>
        <v>1824604.1872782407</v>
      </c>
      <c r="AT2" s="21">
        <f>SUMIF(TableIncome[Year], "&lt;=" &amp; AT1, TableIncome[InvestmentP1])</f>
        <v>1878254.9303016083</v>
      </c>
      <c r="AU2" s="21">
        <f>SUMIF(TableIncome[Year], "&lt;=" &amp; AU1, TableIncome[InvestmentP1])</f>
        <v>1878254.9303016083</v>
      </c>
      <c r="AV2" s="21">
        <f>SUMIF(TableIncome[Year], "&lt;=" &amp; AV1, TableIncome[InvestmentP1])</f>
        <v>1878254.9303016083</v>
      </c>
      <c r="AW2" s="21">
        <f>SUMIF(TableIncome[Year], "&lt;=" &amp; AW1, TableIncome[InvestmentP1])</f>
        <v>1878254.9303016083</v>
      </c>
      <c r="AX2" s="21">
        <f>SUMIF(TableIncome[Year], "&lt;=" &amp; AX1, TableIncome[InvestmentP1])</f>
        <v>1878254.9303016083</v>
      </c>
      <c r="AY2" s="21">
        <f>SUMIF(TableIncome[Year], "&lt;=" &amp; AY1, TableIncome[InvestmentP1])</f>
        <v>1878254.9303016083</v>
      </c>
      <c r="AZ2" s="21">
        <f>SUMIF(TableIncome[Year], "&lt;=" &amp; AZ1, TableIncome[InvestmentP1])</f>
        <v>1878254.9303016083</v>
      </c>
    </row>
    <row r="3" spans="1:52" x14ac:dyDescent="0.25">
      <c r="A3" t="s">
        <v>77</v>
      </c>
      <c r="B3" s="21">
        <f>SUMIF(TableIncome[Year], "&lt;=" &amp; B1, TableIncome[InvestmentP2])</f>
        <v>0</v>
      </c>
      <c r="C3" s="21">
        <f>SUMIF(TableIncome[Year], "&lt;=" &amp; C1, TableIncome[InvestmentP2])</f>
        <v>0</v>
      </c>
      <c r="D3" s="21">
        <f>SUMIF(TableIncome[Year], "&lt;=" &amp; D1, TableIncome[InvestmentP2])</f>
        <v>0</v>
      </c>
      <c r="E3" s="21">
        <f>SUMIF(TableIncome[Year], "&lt;=" &amp; E1, TableIncome[InvestmentP2])</f>
        <v>0</v>
      </c>
      <c r="F3" s="21">
        <f>SUMIF(TableIncome[Year], "&lt;=" &amp; F1, TableIncome[InvestmentP2])</f>
        <v>0</v>
      </c>
      <c r="G3" s="21">
        <f>SUMIF(TableIncome[Year], "&lt;=" &amp; G1, TableIncome[InvestmentP2])</f>
        <v>0</v>
      </c>
      <c r="H3" s="21">
        <f>SUMIF(TableIncome[Year], "&lt;=" &amp; H1, TableIncome[InvestmentP2])</f>
        <v>0</v>
      </c>
      <c r="I3" s="21">
        <f>SUMIF(TableIncome[Year], "&lt;=" &amp; I1, TableIncome[InvestmentP2])</f>
        <v>0</v>
      </c>
      <c r="J3" s="21">
        <f>SUMIF(TableIncome[Year], "&lt;=" &amp; J1, TableIncome[InvestmentP2])</f>
        <v>0</v>
      </c>
      <c r="K3" s="21">
        <f>SUMIF(TableIncome[Year], "&lt;=" &amp; K1, TableIncome[InvestmentP2])</f>
        <v>0</v>
      </c>
      <c r="L3" s="21">
        <f>SUMIF(TableIncome[Year], "&lt;=" &amp; L1, TableIncome[InvestmentP2])</f>
        <v>0</v>
      </c>
      <c r="M3" s="21">
        <f>SUMIF(TableIncome[Year], "&lt;=" &amp; M1, TableIncome[InvestmentP2])</f>
        <v>0</v>
      </c>
      <c r="N3" s="21">
        <f>SUMIF(TableIncome[Year], "&lt;=" &amp; N1, TableIncome[InvestmentP2])</f>
        <v>0</v>
      </c>
      <c r="O3" s="21">
        <f>SUMIF(TableIncome[Year], "&lt;=" &amp; O1, TableIncome[InvestmentP2])</f>
        <v>0</v>
      </c>
      <c r="P3" s="21">
        <f>SUMIF(TableIncome[Year], "&lt;=" &amp; P1, TableIncome[InvestmentP2])</f>
        <v>0</v>
      </c>
      <c r="Q3" s="21">
        <f>SUMIF(TableIncome[Year], "&lt;=" &amp; Q1, TableIncome[InvestmentP2])</f>
        <v>0</v>
      </c>
      <c r="R3" s="21">
        <f>SUMIF(TableIncome[Year], "&lt;=" &amp; R1, TableIncome[InvestmentP2])</f>
        <v>0</v>
      </c>
      <c r="S3" s="21">
        <f>SUMIF(TableIncome[Year], "&lt;=" &amp; S1, TableIncome[InvestmentP2])</f>
        <v>0</v>
      </c>
      <c r="T3" s="21">
        <f>SUMIF(TableIncome[Year], "&lt;=" &amp; T1, TableIncome[InvestmentP2])</f>
        <v>0</v>
      </c>
      <c r="U3" s="21">
        <f>SUMIF(TableIncome[Year], "&lt;=" &amp; U1, TableIncome[InvestmentP2])</f>
        <v>0</v>
      </c>
      <c r="V3" s="21">
        <f>SUMIF(TableIncome[Year], "&lt;=" &amp; V1, TableIncome[InvestmentP2])</f>
        <v>0</v>
      </c>
      <c r="W3" s="21">
        <f>SUMIF(TableIncome[Year], "&lt;=" &amp; W1, TableIncome[InvestmentP2])</f>
        <v>0</v>
      </c>
      <c r="X3" s="21">
        <f>SUMIF(TableIncome[Year], "&lt;=" &amp; X1, TableIncome[InvestmentP2])</f>
        <v>0</v>
      </c>
      <c r="Y3" s="21">
        <f>SUMIF(TableIncome[Year], "&lt;=" &amp; Y1, TableIncome[InvestmentP2])</f>
        <v>0</v>
      </c>
      <c r="Z3" s="21">
        <f>SUMIF(TableIncome[Year], "&lt;=" &amp; Z1, TableIncome[InvestmentP2])</f>
        <v>0</v>
      </c>
      <c r="AA3" s="21">
        <f>SUMIF(TableIncome[Year], "&lt;=" &amp; AA1, TableIncome[InvestmentP2])</f>
        <v>0</v>
      </c>
      <c r="AB3" s="21">
        <f>SUMIF(TableIncome[Year], "&lt;=" &amp; AB1, TableIncome[InvestmentP2])</f>
        <v>0</v>
      </c>
      <c r="AC3" s="21">
        <f>SUMIF(TableIncome[Year], "&lt;=" &amp; AC1, TableIncome[InvestmentP2])</f>
        <v>0</v>
      </c>
      <c r="AD3" s="21">
        <f>SUMIF(TableIncome[Year], "&lt;=" &amp; AD1, TableIncome[InvestmentP2])</f>
        <v>0</v>
      </c>
      <c r="AE3" s="21">
        <f>SUMIF(TableIncome[Year], "&lt;=" &amp; AE1, TableIncome[InvestmentP2])</f>
        <v>0</v>
      </c>
      <c r="AF3" s="21">
        <f>SUMIF(TableIncome[Year], "&lt;=" &amp; AF1, TableIncome[InvestmentP2])</f>
        <v>0</v>
      </c>
      <c r="AG3" s="21">
        <f>SUMIF(TableIncome[Year], "&lt;=" &amp; AG1, TableIncome[InvestmentP2])</f>
        <v>0</v>
      </c>
      <c r="AH3" s="21">
        <f>SUMIF(TableIncome[Year], "&lt;=" &amp; AH1, TableIncome[InvestmentP2])</f>
        <v>0</v>
      </c>
      <c r="AI3" s="21">
        <f>SUMIF(TableIncome[Year], "&lt;=" &amp; AI1, TableIncome[InvestmentP2])</f>
        <v>0</v>
      </c>
      <c r="AJ3" s="21">
        <f>SUMIF(TableIncome[Year], "&lt;=" &amp; AJ1, TableIncome[InvestmentP2])</f>
        <v>0</v>
      </c>
      <c r="AK3" s="21">
        <f>SUMIF(TableIncome[Year], "&lt;=" &amp; AK1, TableIncome[InvestmentP2])</f>
        <v>0</v>
      </c>
      <c r="AL3" s="21">
        <f>SUMIF(TableIncome[Year], "&lt;=" &amp; AL1, TableIncome[InvestmentP2])</f>
        <v>0</v>
      </c>
      <c r="AM3" s="21">
        <f>SUMIF(TableIncome[Year], "&lt;=" &amp; AM1, TableIncome[InvestmentP2])</f>
        <v>0</v>
      </c>
      <c r="AN3" s="21">
        <f>SUMIF(TableIncome[Year], "&lt;=" &amp; AN1, TableIncome[InvestmentP2])</f>
        <v>0</v>
      </c>
      <c r="AO3" s="21">
        <f>SUMIF(TableIncome[Year], "&lt;=" &amp; AO1, TableIncome[InvestmentP2])</f>
        <v>0</v>
      </c>
      <c r="AP3" s="21">
        <f>SUMIF(TableIncome[Year], "&lt;=" &amp; AP1, TableIncome[InvestmentP2])</f>
        <v>0</v>
      </c>
      <c r="AQ3" s="21">
        <f>SUMIF(TableIncome[Year], "&lt;=" &amp; AQ1, TableIncome[InvestmentP2])</f>
        <v>0</v>
      </c>
      <c r="AR3" s="21">
        <f>SUMIF(TableIncome[Year], "&lt;=" &amp; AR1, TableIncome[InvestmentP2])</f>
        <v>0</v>
      </c>
      <c r="AS3" s="21">
        <f>SUMIF(TableIncome[Year], "&lt;=" &amp; AS1, TableIncome[InvestmentP2])</f>
        <v>0</v>
      </c>
      <c r="AT3" s="21">
        <f>SUMIF(TableIncome[Year], "&lt;=" &amp; AT1, TableIncome[InvestmentP2])</f>
        <v>0</v>
      </c>
      <c r="AU3" s="21">
        <f>SUMIF(TableIncome[Year], "&lt;=" &amp; AU1, TableIncome[InvestmentP2])</f>
        <v>0</v>
      </c>
      <c r="AV3" s="21">
        <f>SUMIF(TableIncome[Year], "&lt;=" &amp; AV1, TableIncome[InvestmentP2])</f>
        <v>0</v>
      </c>
      <c r="AW3" s="21">
        <f>SUMIF(TableIncome[Year], "&lt;=" &amp; AW1, TableIncome[InvestmentP2])</f>
        <v>0</v>
      </c>
      <c r="AX3" s="21">
        <f>SUMIF(TableIncome[Year], "&lt;=" &amp; AX1, TableIncome[InvestmentP2])</f>
        <v>0</v>
      </c>
      <c r="AY3" s="21">
        <f>SUMIF(TableIncome[Year], "&lt;=" &amp; AY1, TableIncome[InvestmentP2])</f>
        <v>0</v>
      </c>
      <c r="AZ3" s="21">
        <f>SUMIF(TableIncome[Year], "&lt;=" &amp; AZ1, TableIncome[InvestmentP2])</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82</v>
      </c>
    </row>
    <row r="4" spans="2:2" x14ac:dyDescent="0.25">
      <c r="B4" s="1" t="s">
        <v>83</v>
      </c>
    </row>
    <row r="5" spans="2:2" x14ac:dyDescent="0.25">
      <c r="B5" s="1" t="s">
        <v>84</v>
      </c>
    </row>
    <row r="6" spans="2:2" x14ac:dyDescent="0.25">
      <c r="B6" s="1" t="s">
        <v>89</v>
      </c>
    </row>
    <row r="7" spans="2:2" x14ac:dyDescent="0.25">
      <c r="B7" s="1" t="s">
        <v>85</v>
      </c>
    </row>
    <row r="9" spans="2:2" x14ac:dyDescent="0.25">
      <c r="B9" s="1" t="s">
        <v>86</v>
      </c>
    </row>
    <row r="13" spans="2:2" x14ac:dyDescent="0.25">
      <c r="B13" s="1" t="s">
        <v>87</v>
      </c>
    </row>
    <row r="14" spans="2:2" x14ac:dyDescent="0.25">
      <c r="B14" s="1" t="s">
        <v>88</v>
      </c>
    </row>
    <row r="18" spans="2:2" x14ac:dyDescent="0.25">
      <c r="B18" s="1" t="s">
        <v>90</v>
      </c>
    </row>
    <row r="37" spans="2:14" x14ac:dyDescent="0.25">
      <c r="B37" s="1" t="s">
        <v>91</v>
      </c>
    </row>
    <row r="41" spans="2:14" x14ac:dyDescent="0.25">
      <c r="C41" s="1" t="s">
        <v>92</v>
      </c>
    </row>
    <row r="42" spans="2:14" x14ac:dyDescent="0.25">
      <c r="D42" s="1" t="s">
        <v>95</v>
      </c>
      <c r="E42" s="1" t="s">
        <v>96</v>
      </c>
    </row>
    <row r="43" spans="2:14" x14ac:dyDescent="0.25">
      <c r="C43" s="1" t="s">
        <v>93</v>
      </c>
      <c r="D43" s="25">
        <v>0.03</v>
      </c>
      <c r="E43" s="25">
        <v>0.01</v>
      </c>
      <c r="H43" s="1">
        <v>2025</v>
      </c>
      <c r="I43" s="1">
        <v>2026</v>
      </c>
      <c r="J43" s="1">
        <v>2027</v>
      </c>
      <c r="M43" s="43" t="s">
        <v>97</v>
      </c>
      <c r="N43" s="44" t="s">
        <v>98</v>
      </c>
    </row>
    <row r="44" spans="2:14" x14ac:dyDescent="0.25">
      <c r="C44" s="1" t="s">
        <v>94</v>
      </c>
      <c r="D44" s="25">
        <v>0.1</v>
      </c>
      <c r="E44" s="25">
        <v>0.03</v>
      </c>
      <c r="H44" s="25">
        <v>0.03</v>
      </c>
      <c r="I44" s="25">
        <v>0.04</v>
      </c>
      <c r="J44" s="25">
        <v>0.06</v>
      </c>
      <c r="K44" s="25">
        <v>7.0000000000000007E-2</v>
      </c>
      <c r="L44" s="25">
        <v>0.1</v>
      </c>
      <c r="M44" s="43"/>
      <c r="N44" s="44"/>
    </row>
    <row r="45" spans="2:14" x14ac:dyDescent="0.25">
      <c r="M45" s="43"/>
      <c r="N45" s="44"/>
    </row>
    <row r="46" spans="2:14" x14ac:dyDescent="0.25">
      <c r="H46" s="25">
        <f>AVERAGE(H44:L44)</f>
        <v>6.0000000000000012E-2</v>
      </c>
      <c r="I46" s="25">
        <f>AVERAGE(I44:L44)</f>
        <v>6.7500000000000004E-2</v>
      </c>
      <c r="M46" s="43"/>
      <c r="N46" s="44"/>
    </row>
    <row r="51" spans="2:21" x14ac:dyDescent="0.25">
      <c r="J51" s="1" t="s">
        <v>99</v>
      </c>
      <c r="L51" s="1" t="s">
        <v>100</v>
      </c>
    </row>
    <row r="53" spans="2:21" x14ac:dyDescent="0.25">
      <c r="J53" s="1">
        <v>2025</v>
      </c>
      <c r="K53" s="1">
        <v>2026</v>
      </c>
      <c r="L53" s="1">
        <v>2027</v>
      </c>
      <c r="M53" s="1">
        <v>2028</v>
      </c>
      <c r="N53" s="1">
        <v>2029</v>
      </c>
      <c r="O53" s="1">
        <v>2030</v>
      </c>
      <c r="P53" s="1">
        <v>2031</v>
      </c>
      <c r="Q53" s="1">
        <v>2032</v>
      </c>
      <c r="R53" s="1">
        <v>2033</v>
      </c>
      <c r="S53" s="1">
        <v>2034</v>
      </c>
      <c r="U53" s="1" t="s">
        <v>101</v>
      </c>
    </row>
    <row r="54" spans="2:21" x14ac:dyDescent="0.25">
      <c r="J54" s="26">
        <f t="shared" ref="J54:S54" si="0">$U$54*10%</f>
        <v>200000</v>
      </c>
      <c r="K54" s="26">
        <f t="shared" si="0"/>
        <v>200000</v>
      </c>
      <c r="L54" s="26">
        <f t="shared" si="0"/>
        <v>200000</v>
      </c>
      <c r="M54" s="26">
        <f t="shared" si="0"/>
        <v>200000</v>
      </c>
      <c r="N54" s="26">
        <f t="shared" si="0"/>
        <v>200000</v>
      </c>
      <c r="O54" s="26">
        <f t="shared" si="0"/>
        <v>200000</v>
      </c>
      <c r="P54" s="26">
        <f t="shared" si="0"/>
        <v>200000</v>
      </c>
      <c r="Q54" s="26">
        <f t="shared" si="0"/>
        <v>200000</v>
      </c>
      <c r="R54" s="26">
        <f t="shared" si="0"/>
        <v>200000</v>
      </c>
      <c r="S54" s="26">
        <f t="shared" si="0"/>
        <v>200000</v>
      </c>
      <c r="T54" s="26"/>
      <c r="U54" s="1">
        <v>2000000</v>
      </c>
    </row>
    <row r="57" spans="2:21" x14ac:dyDescent="0.25">
      <c r="B57" s="26" t="s">
        <v>102</v>
      </c>
    </row>
  </sheetData>
  <mergeCells count="2">
    <mergeCell ref="M43:M46"/>
    <mergeCell ref="N43:N4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v>1E-3</v>
      </c>
      <c r="C2" s="33">
        <f>B2</f>
        <v>1E-3</v>
      </c>
      <c r="D2" s="33">
        <f t="shared" ref="D2:K3" si="0">C2</f>
        <v>1E-3</v>
      </c>
      <c r="E2" s="33">
        <f t="shared" si="0"/>
        <v>1E-3</v>
      </c>
      <c r="F2" s="33">
        <f t="shared" si="0"/>
        <v>1E-3</v>
      </c>
      <c r="G2" s="33">
        <f t="shared" si="0"/>
        <v>1E-3</v>
      </c>
      <c r="H2" s="33">
        <f t="shared" si="0"/>
        <v>1E-3</v>
      </c>
      <c r="I2" s="33">
        <f t="shared" si="0"/>
        <v>1E-3</v>
      </c>
      <c r="J2" s="33">
        <f t="shared" si="0"/>
        <v>1E-3</v>
      </c>
      <c r="K2" s="33">
        <f t="shared" si="0"/>
        <v>1E-3</v>
      </c>
      <c r="L2" s="33">
        <v>0.04</v>
      </c>
      <c r="M2" s="33">
        <f t="shared" ref="M2:AB7" si="1">L2</f>
        <v>0.04</v>
      </c>
      <c r="N2" s="33">
        <f t="shared" si="1"/>
        <v>0.04</v>
      </c>
      <c r="O2" s="33">
        <f t="shared" si="1"/>
        <v>0.04</v>
      </c>
      <c r="P2" s="33">
        <f t="shared" si="1"/>
        <v>0.04</v>
      </c>
      <c r="Q2" s="33">
        <f t="shared" si="1"/>
        <v>0.04</v>
      </c>
      <c r="R2" s="33">
        <f t="shared" si="1"/>
        <v>0.04</v>
      </c>
      <c r="S2" s="33">
        <f t="shared" si="1"/>
        <v>0.04</v>
      </c>
      <c r="T2" s="33">
        <f t="shared" si="1"/>
        <v>0.04</v>
      </c>
      <c r="U2" s="33">
        <f t="shared" si="1"/>
        <v>0.04</v>
      </c>
      <c r="V2" s="33">
        <f t="shared" si="1"/>
        <v>0.04</v>
      </c>
      <c r="W2" s="33">
        <f t="shared" si="1"/>
        <v>0.04</v>
      </c>
      <c r="X2" s="33">
        <f t="shared" si="1"/>
        <v>0.04</v>
      </c>
      <c r="Y2" s="33">
        <f t="shared" si="1"/>
        <v>0.04</v>
      </c>
      <c r="Z2" s="33">
        <f t="shared" si="1"/>
        <v>0.04</v>
      </c>
      <c r="AA2" s="33">
        <f t="shared" si="1"/>
        <v>0.04</v>
      </c>
      <c r="AB2" s="33">
        <f t="shared" si="1"/>
        <v>0.04</v>
      </c>
      <c r="AC2" s="33">
        <f t="shared" ref="AC2:AR7" si="2">AB2</f>
        <v>0.04</v>
      </c>
      <c r="AD2" s="33">
        <f t="shared" si="2"/>
        <v>0.04</v>
      </c>
      <c r="AE2" s="33">
        <f t="shared" si="2"/>
        <v>0.04</v>
      </c>
      <c r="AF2" s="33">
        <f t="shared" si="2"/>
        <v>0.04</v>
      </c>
      <c r="AG2" s="33">
        <f t="shared" si="2"/>
        <v>0.04</v>
      </c>
      <c r="AH2" s="33">
        <f t="shared" si="2"/>
        <v>0.04</v>
      </c>
      <c r="AI2" s="33">
        <f t="shared" si="2"/>
        <v>0.04</v>
      </c>
      <c r="AJ2" s="33">
        <f t="shared" si="2"/>
        <v>0.04</v>
      </c>
      <c r="AK2" s="33">
        <f t="shared" si="2"/>
        <v>0.04</v>
      </c>
      <c r="AL2" s="33">
        <f t="shared" si="2"/>
        <v>0.04</v>
      </c>
      <c r="AM2" s="33">
        <f t="shared" si="2"/>
        <v>0.04</v>
      </c>
      <c r="AN2" s="33">
        <f t="shared" si="2"/>
        <v>0.04</v>
      </c>
      <c r="AO2" s="33">
        <f t="shared" si="2"/>
        <v>0.04</v>
      </c>
      <c r="AP2" s="33">
        <f t="shared" si="2"/>
        <v>0.04</v>
      </c>
      <c r="AQ2" s="33">
        <f t="shared" si="2"/>
        <v>0.04</v>
      </c>
      <c r="AR2" s="33">
        <f t="shared" si="2"/>
        <v>0.04</v>
      </c>
      <c r="AS2" s="33">
        <f t="shared" ref="AS2:AZ7" si="3">AR2</f>
        <v>0.04</v>
      </c>
      <c r="AT2" s="33">
        <f t="shared" si="3"/>
        <v>0.04</v>
      </c>
      <c r="AU2" s="33">
        <f t="shared" si="3"/>
        <v>0.04</v>
      </c>
      <c r="AV2" s="33">
        <f t="shared" si="3"/>
        <v>0.04</v>
      </c>
      <c r="AW2" s="33">
        <f t="shared" si="3"/>
        <v>0.04</v>
      </c>
      <c r="AX2" s="33">
        <f t="shared" si="3"/>
        <v>0.04</v>
      </c>
      <c r="AY2" s="33">
        <f t="shared" si="3"/>
        <v>0.04</v>
      </c>
      <c r="AZ2" s="33">
        <f t="shared" si="3"/>
        <v>0.04</v>
      </c>
    </row>
    <row r="3" spans="1:52" x14ac:dyDescent="0.25">
      <c r="A3" t="s">
        <v>104</v>
      </c>
      <c r="B3" s="33">
        <v>1E-3</v>
      </c>
      <c r="C3" s="33">
        <f>B3</f>
        <v>1E-3</v>
      </c>
      <c r="D3" s="33">
        <f t="shared" si="0"/>
        <v>1E-3</v>
      </c>
      <c r="E3" s="33">
        <f t="shared" si="0"/>
        <v>1E-3</v>
      </c>
      <c r="F3" s="33">
        <f t="shared" si="0"/>
        <v>1E-3</v>
      </c>
      <c r="G3" s="33">
        <f t="shared" si="0"/>
        <v>1E-3</v>
      </c>
      <c r="H3" s="33">
        <f t="shared" si="0"/>
        <v>1E-3</v>
      </c>
      <c r="I3" s="33">
        <f t="shared" si="0"/>
        <v>1E-3</v>
      </c>
      <c r="J3" s="33">
        <f t="shared" si="0"/>
        <v>1E-3</v>
      </c>
      <c r="K3" s="33">
        <f t="shared" si="0"/>
        <v>1E-3</v>
      </c>
      <c r="L3" s="33">
        <v>0.04</v>
      </c>
      <c r="M3" s="33">
        <f t="shared" si="1"/>
        <v>0.04</v>
      </c>
      <c r="N3" s="33">
        <f t="shared" si="1"/>
        <v>0.04</v>
      </c>
      <c r="O3" s="33">
        <f t="shared" si="1"/>
        <v>0.04</v>
      </c>
      <c r="P3" s="33">
        <f t="shared" si="1"/>
        <v>0.04</v>
      </c>
      <c r="Q3" s="33">
        <f t="shared" si="1"/>
        <v>0.04</v>
      </c>
      <c r="R3" s="33">
        <f t="shared" si="1"/>
        <v>0.04</v>
      </c>
      <c r="S3" s="33">
        <f t="shared" si="1"/>
        <v>0.04</v>
      </c>
      <c r="T3" s="33">
        <f t="shared" si="1"/>
        <v>0.04</v>
      </c>
      <c r="U3" s="33">
        <f t="shared" si="1"/>
        <v>0.04</v>
      </c>
      <c r="V3" s="33">
        <f t="shared" si="1"/>
        <v>0.04</v>
      </c>
      <c r="W3" s="33">
        <f t="shared" si="1"/>
        <v>0.04</v>
      </c>
      <c r="X3" s="33">
        <f t="shared" si="1"/>
        <v>0.04</v>
      </c>
      <c r="Y3" s="33">
        <f t="shared" si="1"/>
        <v>0.04</v>
      </c>
      <c r="Z3" s="33">
        <f t="shared" si="1"/>
        <v>0.04</v>
      </c>
      <c r="AA3" s="33">
        <f t="shared" si="1"/>
        <v>0.04</v>
      </c>
      <c r="AB3" s="33">
        <f t="shared" si="1"/>
        <v>0.04</v>
      </c>
      <c r="AC3" s="33">
        <f t="shared" si="2"/>
        <v>0.04</v>
      </c>
      <c r="AD3" s="33">
        <f t="shared" si="2"/>
        <v>0.04</v>
      </c>
      <c r="AE3" s="33">
        <f t="shared" si="2"/>
        <v>0.04</v>
      </c>
      <c r="AF3" s="33">
        <f t="shared" si="2"/>
        <v>0.04</v>
      </c>
      <c r="AG3" s="33">
        <f t="shared" si="2"/>
        <v>0.04</v>
      </c>
      <c r="AH3" s="33">
        <f t="shared" si="2"/>
        <v>0.04</v>
      </c>
      <c r="AI3" s="33">
        <f t="shared" si="2"/>
        <v>0.04</v>
      </c>
      <c r="AJ3" s="33">
        <f t="shared" si="2"/>
        <v>0.04</v>
      </c>
      <c r="AK3" s="33">
        <f t="shared" si="2"/>
        <v>0.04</v>
      </c>
      <c r="AL3" s="33">
        <f t="shared" si="2"/>
        <v>0.04</v>
      </c>
      <c r="AM3" s="33">
        <f t="shared" si="2"/>
        <v>0.04</v>
      </c>
      <c r="AN3" s="33">
        <f t="shared" si="2"/>
        <v>0.04</v>
      </c>
      <c r="AO3" s="33">
        <f t="shared" si="2"/>
        <v>0.04</v>
      </c>
      <c r="AP3" s="33">
        <f t="shared" si="2"/>
        <v>0.04</v>
      </c>
      <c r="AQ3" s="33">
        <f t="shared" si="2"/>
        <v>0.04</v>
      </c>
      <c r="AR3" s="33">
        <f t="shared" si="2"/>
        <v>0.04</v>
      </c>
      <c r="AS3" s="33">
        <f t="shared" si="3"/>
        <v>0.04</v>
      </c>
      <c r="AT3" s="33">
        <f t="shared" si="3"/>
        <v>0.04</v>
      </c>
      <c r="AU3" s="33">
        <f t="shared" si="3"/>
        <v>0.04</v>
      </c>
      <c r="AV3" s="33">
        <f t="shared" si="3"/>
        <v>0.04</v>
      </c>
      <c r="AW3" s="33">
        <f t="shared" si="3"/>
        <v>0.04</v>
      </c>
      <c r="AX3" s="33">
        <f t="shared" si="3"/>
        <v>0.04</v>
      </c>
      <c r="AY3" s="33">
        <f t="shared" si="3"/>
        <v>0.04</v>
      </c>
      <c r="AZ3" s="33">
        <f t="shared" si="3"/>
        <v>0.04</v>
      </c>
    </row>
    <row r="4" spans="1:52" x14ac:dyDescent="0.25">
      <c r="A4" t="s">
        <v>158</v>
      </c>
      <c r="B4" s="33">
        <v>1E-3</v>
      </c>
      <c r="C4" s="33">
        <f t="shared" ref="C4:M7" si="4">B4</f>
        <v>1E-3</v>
      </c>
      <c r="D4" s="33">
        <f t="shared" si="4"/>
        <v>1E-3</v>
      </c>
      <c r="E4" s="33">
        <f t="shared" si="4"/>
        <v>1E-3</v>
      </c>
      <c r="F4" s="33">
        <f t="shared" si="4"/>
        <v>1E-3</v>
      </c>
      <c r="G4" s="33">
        <f t="shared" si="4"/>
        <v>1E-3</v>
      </c>
      <c r="H4" s="33">
        <f t="shared" si="4"/>
        <v>1E-3</v>
      </c>
      <c r="I4" s="33">
        <f t="shared" si="4"/>
        <v>1E-3</v>
      </c>
      <c r="J4" s="33">
        <f t="shared" si="4"/>
        <v>1E-3</v>
      </c>
      <c r="K4" s="33">
        <f t="shared" si="4"/>
        <v>1E-3</v>
      </c>
      <c r="L4" s="33">
        <v>0.04</v>
      </c>
      <c r="M4" s="33">
        <f t="shared" si="4"/>
        <v>0.04</v>
      </c>
      <c r="N4" s="33">
        <f t="shared" si="1"/>
        <v>0.04</v>
      </c>
      <c r="O4" s="33">
        <f t="shared" si="1"/>
        <v>0.04</v>
      </c>
      <c r="P4" s="33">
        <f t="shared" si="1"/>
        <v>0.04</v>
      </c>
      <c r="Q4" s="33">
        <f t="shared" si="1"/>
        <v>0.04</v>
      </c>
      <c r="R4" s="33">
        <f t="shared" si="1"/>
        <v>0.04</v>
      </c>
      <c r="S4" s="33">
        <f t="shared" si="1"/>
        <v>0.04</v>
      </c>
      <c r="T4" s="33">
        <f t="shared" si="1"/>
        <v>0.04</v>
      </c>
      <c r="U4" s="33">
        <f t="shared" si="1"/>
        <v>0.04</v>
      </c>
      <c r="V4" s="33">
        <f t="shared" si="1"/>
        <v>0.04</v>
      </c>
      <c r="W4" s="33">
        <f t="shared" si="1"/>
        <v>0.04</v>
      </c>
      <c r="X4" s="33">
        <f t="shared" si="1"/>
        <v>0.04</v>
      </c>
      <c r="Y4" s="33">
        <f t="shared" si="1"/>
        <v>0.04</v>
      </c>
      <c r="Z4" s="33">
        <f t="shared" si="1"/>
        <v>0.04</v>
      </c>
      <c r="AA4" s="33">
        <f t="shared" si="1"/>
        <v>0.04</v>
      </c>
      <c r="AB4" s="33">
        <f t="shared" si="1"/>
        <v>0.04</v>
      </c>
      <c r="AC4" s="33">
        <f t="shared" si="2"/>
        <v>0.04</v>
      </c>
      <c r="AD4" s="33">
        <f t="shared" si="2"/>
        <v>0.04</v>
      </c>
      <c r="AE4" s="33">
        <f t="shared" si="2"/>
        <v>0.04</v>
      </c>
      <c r="AF4" s="33">
        <f t="shared" si="2"/>
        <v>0.04</v>
      </c>
      <c r="AG4" s="33">
        <f t="shared" si="2"/>
        <v>0.04</v>
      </c>
      <c r="AH4" s="33">
        <f t="shared" si="2"/>
        <v>0.04</v>
      </c>
      <c r="AI4" s="33">
        <f t="shared" si="2"/>
        <v>0.04</v>
      </c>
      <c r="AJ4" s="33">
        <f t="shared" si="2"/>
        <v>0.04</v>
      </c>
      <c r="AK4" s="33">
        <f t="shared" si="2"/>
        <v>0.04</v>
      </c>
      <c r="AL4" s="33">
        <f t="shared" si="2"/>
        <v>0.04</v>
      </c>
      <c r="AM4" s="33">
        <f t="shared" si="2"/>
        <v>0.04</v>
      </c>
      <c r="AN4" s="33">
        <f t="shared" si="2"/>
        <v>0.04</v>
      </c>
      <c r="AO4" s="33">
        <f t="shared" si="2"/>
        <v>0.04</v>
      </c>
      <c r="AP4" s="33">
        <f t="shared" si="2"/>
        <v>0.04</v>
      </c>
      <c r="AQ4" s="33">
        <f t="shared" si="2"/>
        <v>0.04</v>
      </c>
      <c r="AR4" s="33">
        <f t="shared" si="2"/>
        <v>0.04</v>
      </c>
      <c r="AS4" s="33">
        <f t="shared" si="3"/>
        <v>0.04</v>
      </c>
      <c r="AT4" s="33">
        <f t="shared" si="3"/>
        <v>0.04</v>
      </c>
      <c r="AU4" s="33">
        <f t="shared" si="3"/>
        <v>0.04</v>
      </c>
      <c r="AV4" s="33">
        <f t="shared" si="3"/>
        <v>0.04</v>
      </c>
      <c r="AW4" s="33">
        <f t="shared" si="3"/>
        <v>0.04</v>
      </c>
      <c r="AX4" s="33">
        <f t="shared" si="3"/>
        <v>0.04</v>
      </c>
      <c r="AY4" s="33">
        <f t="shared" si="3"/>
        <v>0.04</v>
      </c>
      <c r="AZ4" s="33">
        <f t="shared" si="3"/>
        <v>0.04</v>
      </c>
    </row>
    <row r="5" spans="1:52" x14ac:dyDescent="0.25">
      <c r="A5" t="s">
        <v>157</v>
      </c>
      <c r="B5" s="33">
        <v>1E-3</v>
      </c>
      <c r="C5" s="33">
        <f t="shared" si="4"/>
        <v>1E-3</v>
      </c>
      <c r="D5" s="33">
        <f t="shared" si="4"/>
        <v>1E-3</v>
      </c>
      <c r="E5" s="33">
        <f t="shared" si="4"/>
        <v>1E-3</v>
      </c>
      <c r="F5" s="33">
        <f t="shared" si="4"/>
        <v>1E-3</v>
      </c>
      <c r="G5" s="33">
        <f t="shared" si="4"/>
        <v>1E-3</v>
      </c>
      <c r="H5" s="33">
        <f t="shared" si="4"/>
        <v>1E-3</v>
      </c>
      <c r="I5" s="33">
        <f t="shared" si="4"/>
        <v>1E-3</v>
      </c>
      <c r="J5" s="33">
        <f t="shared" si="4"/>
        <v>1E-3</v>
      </c>
      <c r="K5" s="33">
        <f t="shared" si="4"/>
        <v>1E-3</v>
      </c>
      <c r="L5" s="33">
        <v>0.04</v>
      </c>
      <c r="M5" s="33">
        <f t="shared" si="4"/>
        <v>0.04</v>
      </c>
      <c r="N5" s="33">
        <f t="shared" si="1"/>
        <v>0.04</v>
      </c>
      <c r="O5" s="33">
        <f t="shared" si="1"/>
        <v>0.04</v>
      </c>
      <c r="P5" s="33">
        <f t="shared" si="1"/>
        <v>0.04</v>
      </c>
      <c r="Q5" s="33">
        <f t="shared" si="1"/>
        <v>0.04</v>
      </c>
      <c r="R5" s="33">
        <f t="shared" si="1"/>
        <v>0.04</v>
      </c>
      <c r="S5" s="33">
        <f t="shared" si="1"/>
        <v>0.04</v>
      </c>
      <c r="T5" s="33">
        <f t="shared" si="1"/>
        <v>0.04</v>
      </c>
      <c r="U5" s="33">
        <f t="shared" si="1"/>
        <v>0.04</v>
      </c>
      <c r="V5" s="33">
        <f t="shared" si="1"/>
        <v>0.04</v>
      </c>
      <c r="W5" s="33">
        <f t="shared" si="1"/>
        <v>0.04</v>
      </c>
      <c r="X5" s="33">
        <f t="shared" si="1"/>
        <v>0.04</v>
      </c>
      <c r="Y5" s="33">
        <f t="shared" si="1"/>
        <v>0.04</v>
      </c>
      <c r="Z5" s="33">
        <f t="shared" si="1"/>
        <v>0.04</v>
      </c>
      <c r="AA5" s="33">
        <f t="shared" si="1"/>
        <v>0.04</v>
      </c>
      <c r="AB5" s="33">
        <f t="shared" si="1"/>
        <v>0.04</v>
      </c>
      <c r="AC5" s="33">
        <f t="shared" si="2"/>
        <v>0.04</v>
      </c>
      <c r="AD5" s="33">
        <f t="shared" si="2"/>
        <v>0.04</v>
      </c>
      <c r="AE5" s="33">
        <f t="shared" si="2"/>
        <v>0.04</v>
      </c>
      <c r="AF5" s="33">
        <f t="shared" si="2"/>
        <v>0.04</v>
      </c>
      <c r="AG5" s="33">
        <f t="shared" si="2"/>
        <v>0.04</v>
      </c>
      <c r="AH5" s="33">
        <f t="shared" si="2"/>
        <v>0.04</v>
      </c>
      <c r="AI5" s="33">
        <f t="shared" si="2"/>
        <v>0.04</v>
      </c>
      <c r="AJ5" s="33">
        <f t="shared" si="2"/>
        <v>0.04</v>
      </c>
      <c r="AK5" s="33">
        <f t="shared" si="2"/>
        <v>0.04</v>
      </c>
      <c r="AL5" s="33">
        <f t="shared" si="2"/>
        <v>0.04</v>
      </c>
      <c r="AM5" s="33">
        <f t="shared" si="2"/>
        <v>0.04</v>
      </c>
      <c r="AN5" s="33">
        <f t="shared" si="2"/>
        <v>0.04</v>
      </c>
      <c r="AO5" s="33">
        <f t="shared" si="2"/>
        <v>0.04</v>
      </c>
      <c r="AP5" s="33">
        <f t="shared" si="2"/>
        <v>0.04</v>
      </c>
      <c r="AQ5" s="33">
        <f t="shared" si="2"/>
        <v>0.04</v>
      </c>
      <c r="AR5" s="33">
        <f t="shared" si="2"/>
        <v>0.04</v>
      </c>
      <c r="AS5" s="33">
        <f t="shared" si="3"/>
        <v>0.04</v>
      </c>
      <c r="AT5" s="33">
        <f t="shared" si="3"/>
        <v>0.04</v>
      </c>
      <c r="AU5" s="33">
        <f t="shared" si="3"/>
        <v>0.04</v>
      </c>
      <c r="AV5" s="33">
        <f t="shared" si="3"/>
        <v>0.04</v>
      </c>
      <c r="AW5" s="33">
        <f t="shared" si="3"/>
        <v>0.04</v>
      </c>
      <c r="AX5" s="33">
        <f t="shared" si="3"/>
        <v>0.04</v>
      </c>
      <c r="AY5" s="33">
        <f t="shared" si="3"/>
        <v>0.04</v>
      </c>
      <c r="AZ5" s="33">
        <f t="shared" si="3"/>
        <v>0.04</v>
      </c>
    </row>
    <row r="6" spans="1:52" x14ac:dyDescent="0.25">
      <c r="A6" t="s">
        <v>156</v>
      </c>
      <c r="B6" s="33">
        <v>1E-3</v>
      </c>
      <c r="C6" s="33">
        <f t="shared" si="4"/>
        <v>1E-3</v>
      </c>
      <c r="D6" s="33">
        <f t="shared" si="4"/>
        <v>1E-3</v>
      </c>
      <c r="E6" s="33">
        <f t="shared" si="4"/>
        <v>1E-3</v>
      </c>
      <c r="F6" s="33">
        <f t="shared" si="4"/>
        <v>1E-3</v>
      </c>
      <c r="G6" s="33">
        <f t="shared" si="4"/>
        <v>1E-3</v>
      </c>
      <c r="H6" s="33">
        <f t="shared" si="4"/>
        <v>1E-3</v>
      </c>
      <c r="I6" s="33">
        <f t="shared" si="4"/>
        <v>1E-3</v>
      </c>
      <c r="J6" s="33">
        <f t="shared" si="4"/>
        <v>1E-3</v>
      </c>
      <c r="K6" s="33">
        <f t="shared" si="4"/>
        <v>1E-3</v>
      </c>
      <c r="L6" s="33">
        <v>0.04</v>
      </c>
      <c r="M6" s="33">
        <f t="shared" si="4"/>
        <v>0.04</v>
      </c>
      <c r="N6" s="33">
        <f t="shared" si="1"/>
        <v>0.04</v>
      </c>
      <c r="O6" s="33">
        <f t="shared" si="1"/>
        <v>0.04</v>
      </c>
      <c r="P6" s="33">
        <f t="shared" si="1"/>
        <v>0.04</v>
      </c>
      <c r="Q6" s="33">
        <f t="shared" si="1"/>
        <v>0.04</v>
      </c>
      <c r="R6" s="33">
        <f t="shared" si="1"/>
        <v>0.04</v>
      </c>
      <c r="S6" s="33">
        <f t="shared" si="1"/>
        <v>0.04</v>
      </c>
      <c r="T6" s="33">
        <f t="shared" si="1"/>
        <v>0.04</v>
      </c>
      <c r="U6" s="33">
        <f t="shared" si="1"/>
        <v>0.04</v>
      </c>
      <c r="V6" s="33">
        <f t="shared" si="1"/>
        <v>0.04</v>
      </c>
      <c r="W6" s="33">
        <f t="shared" si="1"/>
        <v>0.04</v>
      </c>
      <c r="X6" s="33">
        <f t="shared" si="1"/>
        <v>0.04</v>
      </c>
      <c r="Y6" s="33">
        <f t="shared" si="1"/>
        <v>0.04</v>
      </c>
      <c r="Z6" s="33">
        <f t="shared" si="1"/>
        <v>0.04</v>
      </c>
      <c r="AA6" s="33">
        <f t="shared" si="1"/>
        <v>0.04</v>
      </c>
      <c r="AB6" s="33">
        <f t="shared" si="1"/>
        <v>0.04</v>
      </c>
      <c r="AC6" s="33">
        <f t="shared" si="2"/>
        <v>0.04</v>
      </c>
      <c r="AD6" s="33">
        <f t="shared" si="2"/>
        <v>0.04</v>
      </c>
      <c r="AE6" s="33">
        <f t="shared" si="2"/>
        <v>0.04</v>
      </c>
      <c r="AF6" s="33">
        <f t="shared" si="2"/>
        <v>0.04</v>
      </c>
      <c r="AG6" s="33">
        <f t="shared" si="2"/>
        <v>0.04</v>
      </c>
      <c r="AH6" s="33">
        <f t="shared" si="2"/>
        <v>0.04</v>
      </c>
      <c r="AI6" s="33">
        <f t="shared" si="2"/>
        <v>0.04</v>
      </c>
      <c r="AJ6" s="33">
        <f t="shared" si="2"/>
        <v>0.04</v>
      </c>
      <c r="AK6" s="33">
        <f t="shared" si="2"/>
        <v>0.04</v>
      </c>
      <c r="AL6" s="33">
        <f t="shared" si="2"/>
        <v>0.04</v>
      </c>
      <c r="AM6" s="33">
        <f t="shared" si="2"/>
        <v>0.04</v>
      </c>
      <c r="AN6" s="33">
        <f t="shared" si="2"/>
        <v>0.04</v>
      </c>
      <c r="AO6" s="33">
        <f t="shared" si="2"/>
        <v>0.04</v>
      </c>
      <c r="AP6" s="33">
        <f t="shared" si="2"/>
        <v>0.04</v>
      </c>
      <c r="AQ6" s="33">
        <f t="shared" si="2"/>
        <v>0.04</v>
      </c>
      <c r="AR6" s="33">
        <f t="shared" si="2"/>
        <v>0.04</v>
      </c>
      <c r="AS6" s="33">
        <f t="shared" si="3"/>
        <v>0.04</v>
      </c>
      <c r="AT6" s="33">
        <f t="shared" si="3"/>
        <v>0.04</v>
      </c>
      <c r="AU6" s="33">
        <f t="shared" si="3"/>
        <v>0.04</v>
      </c>
      <c r="AV6" s="33">
        <f t="shared" si="3"/>
        <v>0.04</v>
      </c>
      <c r="AW6" s="33">
        <f t="shared" si="3"/>
        <v>0.04</v>
      </c>
      <c r="AX6" s="33">
        <f t="shared" si="3"/>
        <v>0.04</v>
      </c>
      <c r="AY6" s="33">
        <f t="shared" si="3"/>
        <v>0.04</v>
      </c>
      <c r="AZ6" s="33">
        <f t="shared" si="3"/>
        <v>0.04</v>
      </c>
    </row>
    <row r="7" spans="1:52" x14ac:dyDescent="0.25">
      <c r="A7" t="s">
        <v>155</v>
      </c>
      <c r="B7" s="33">
        <v>1E-3</v>
      </c>
      <c r="C7" s="33">
        <f t="shared" si="4"/>
        <v>1E-3</v>
      </c>
      <c r="D7" s="33">
        <f t="shared" si="4"/>
        <v>1E-3</v>
      </c>
      <c r="E7" s="33">
        <f t="shared" si="4"/>
        <v>1E-3</v>
      </c>
      <c r="F7" s="33">
        <f t="shared" si="4"/>
        <v>1E-3</v>
      </c>
      <c r="G7" s="33">
        <f t="shared" si="4"/>
        <v>1E-3</v>
      </c>
      <c r="H7" s="33">
        <f t="shared" si="4"/>
        <v>1E-3</v>
      </c>
      <c r="I7" s="33">
        <f t="shared" si="4"/>
        <v>1E-3</v>
      </c>
      <c r="J7" s="33">
        <f t="shared" si="4"/>
        <v>1E-3</v>
      </c>
      <c r="K7" s="33">
        <f t="shared" si="4"/>
        <v>1E-3</v>
      </c>
      <c r="L7" s="33">
        <v>0.04</v>
      </c>
      <c r="M7" s="33">
        <f t="shared" si="4"/>
        <v>0.04</v>
      </c>
      <c r="N7" s="33">
        <f t="shared" si="1"/>
        <v>0.04</v>
      </c>
      <c r="O7" s="33">
        <f t="shared" si="1"/>
        <v>0.04</v>
      </c>
      <c r="P7" s="33">
        <f t="shared" si="1"/>
        <v>0.04</v>
      </c>
      <c r="Q7" s="33">
        <f t="shared" si="1"/>
        <v>0.04</v>
      </c>
      <c r="R7" s="33">
        <f t="shared" si="1"/>
        <v>0.04</v>
      </c>
      <c r="S7" s="33">
        <f t="shared" si="1"/>
        <v>0.04</v>
      </c>
      <c r="T7" s="33">
        <f t="shared" si="1"/>
        <v>0.04</v>
      </c>
      <c r="U7" s="33">
        <f t="shared" si="1"/>
        <v>0.04</v>
      </c>
      <c r="V7" s="33">
        <f t="shared" si="1"/>
        <v>0.04</v>
      </c>
      <c r="W7" s="33">
        <f t="shared" si="1"/>
        <v>0.04</v>
      </c>
      <c r="X7" s="33">
        <f t="shared" si="1"/>
        <v>0.04</v>
      </c>
      <c r="Y7" s="33">
        <f t="shared" si="1"/>
        <v>0.04</v>
      </c>
      <c r="Z7" s="33">
        <f t="shared" si="1"/>
        <v>0.04</v>
      </c>
      <c r="AA7" s="33">
        <f t="shared" si="1"/>
        <v>0.04</v>
      </c>
      <c r="AB7" s="33">
        <f t="shared" si="1"/>
        <v>0.04</v>
      </c>
      <c r="AC7" s="33">
        <f t="shared" si="2"/>
        <v>0.04</v>
      </c>
      <c r="AD7" s="33">
        <f t="shared" si="2"/>
        <v>0.04</v>
      </c>
      <c r="AE7" s="33">
        <f t="shared" si="2"/>
        <v>0.04</v>
      </c>
      <c r="AF7" s="33">
        <f t="shared" si="2"/>
        <v>0.04</v>
      </c>
      <c r="AG7" s="33">
        <f t="shared" si="2"/>
        <v>0.04</v>
      </c>
      <c r="AH7" s="33">
        <f t="shared" si="2"/>
        <v>0.04</v>
      </c>
      <c r="AI7" s="33">
        <f t="shared" si="2"/>
        <v>0.04</v>
      </c>
      <c r="AJ7" s="33">
        <f t="shared" si="2"/>
        <v>0.04</v>
      </c>
      <c r="AK7" s="33">
        <f t="shared" si="2"/>
        <v>0.04</v>
      </c>
      <c r="AL7" s="33">
        <f t="shared" si="2"/>
        <v>0.04</v>
      </c>
      <c r="AM7" s="33">
        <f t="shared" si="2"/>
        <v>0.04</v>
      </c>
      <c r="AN7" s="33">
        <f t="shared" si="2"/>
        <v>0.04</v>
      </c>
      <c r="AO7" s="33">
        <f t="shared" si="2"/>
        <v>0.04</v>
      </c>
      <c r="AP7" s="33">
        <f t="shared" si="2"/>
        <v>0.04</v>
      </c>
      <c r="AQ7" s="33">
        <f t="shared" si="2"/>
        <v>0.04</v>
      </c>
      <c r="AR7" s="33">
        <f t="shared" si="2"/>
        <v>0.04</v>
      </c>
      <c r="AS7" s="33">
        <f t="shared" si="3"/>
        <v>0.04</v>
      </c>
      <c r="AT7" s="33">
        <f t="shared" si="3"/>
        <v>0.04</v>
      </c>
      <c r="AU7" s="33">
        <f t="shared" si="3"/>
        <v>0.04</v>
      </c>
      <c r="AV7" s="33">
        <f t="shared" si="3"/>
        <v>0.04</v>
      </c>
      <c r="AW7" s="33">
        <f t="shared" si="3"/>
        <v>0.04</v>
      </c>
      <c r="AX7" s="33">
        <f t="shared" si="3"/>
        <v>0.04</v>
      </c>
      <c r="AY7" s="33">
        <f t="shared" si="3"/>
        <v>0.04</v>
      </c>
      <c r="AZ7" s="33">
        <f t="shared" si="3"/>
        <v>0.04</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L8" sqref="L8"/>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f>8.6%-_xlfn.XLOOKUP(A2,BasisPointCost!$A:$A,BasisPointCost!$B:$B)</f>
        <v>8.3999999999999991E-2</v>
      </c>
      <c r="C2" s="33">
        <f>B2</f>
        <v>8.3999999999999991E-2</v>
      </c>
      <c r="D2" s="33">
        <f t="shared" ref="D2:K2" si="0">C2</f>
        <v>8.3999999999999991E-2</v>
      </c>
      <c r="E2" s="33">
        <f t="shared" si="0"/>
        <v>8.3999999999999991E-2</v>
      </c>
      <c r="F2" s="33">
        <f t="shared" si="0"/>
        <v>8.3999999999999991E-2</v>
      </c>
      <c r="G2" s="33">
        <f t="shared" si="0"/>
        <v>8.3999999999999991E-2</v>
      </c>
      <c r="H2" s="33">
        <f t="shared" si="0"/>
        <v>8.3999999999999991E-2</v>
      </c>
      <c r="I2" s="33">
        <f t="shared" si="0"/>
        <v>8.3999999999999991E-2</v>
      </c>
      <c r="J2" s="33">
        <f t="shared" si="0"/>
        <v>8.3999999999999991E-2</v>
      </c>
      <c r="K2" s="33">
        <f t="shared" si="0"/>
        <v>8.3999999999999991E-2</v>
      </c>
      <c r="L2" s="37">
        <f>6.5%-0.2%</f>
        <v>6.3E-2</v>
      </c>
      <c r="M2" s="33">
        <f t="shared" ref="C2:M7" si="1">L2</f>
        <v>6.3E-2</v>
      </c>
      <c r="N2" s="33">
        <f t="shared" ref="N2:N7" si="2">M2</f>
        <v>6.3E-2</v>
      </c>
      <c r="O2" s="33">
        <f t="shared" ref="O2:O7" si="3">N2</f>
        <v>6.3E-2</v>
      </c>
      <c r="P2" s="33">
        <f t="shared" ref="P2:P7" si="4">O2</f>
        <v>6.3E-2</v>
      </c>
      <c r="Q2" s="33">
        <f t="shared" ref="Q2:Q7" si="5">P2</f>
        <v>6.3E-2</v>
      </c>
      <c r="R2" s="33">
        <f t="shared" ref="R2:R7" si="6">Q2</f>
        <v>6.3E-2</v>
      </c>
      <c r="S2" s="33">
        <f t="shared" ref="S2:S7" si="7">R2</f>
        <v>6.3E-2</v>
      </c>
      <c r="T2" s="33">
        <f t="shared" ref="T2:T7" si="8">S2</f>
        <v>6.3E-2</v>
      </c>
      <c r="U2" s="33">
        <f t="shared" ref="U2:U7" si="9">T2</f>
        <v>6.3E-2</v>
      </c>
      <c r="V2" s="33">
        <f t="shared" ref="V2:V7" si="10">U2</f>
        <v>6.3E-2</v>
      </c>
      <c r="W2" s="33">
        <f t="shared" ref="W2:W7" si="11">V2</f>
        <v>6.3E-2</v>
      </c>
      <c r="X2" s="33">
        <f t="shared" ref="X2:X7" si="12">W2</f>
        <v>6.3E-2</v>
      </c>
      <c r="Y2" s="33">
        <f t="shared" ref="Y2:Y7" si="13">X2</f>
        <v>6.3E-2</v>
      </c>
      <c r="Z2" s="33">
        <f t="shared" ref="Z2:Z7" si="14">Y2</f>
        <v>6.3E-2</v>
      </c>
      <c r="AA2" s="33">
        <f t="shared" ref="AA2:AA7" si="15">Z2</f>
        <v>6.3E-2</v>
      </c>
      <c r="AB2" s="33">
        <f t="shared" ref="AB2:AB7" si="16">AA2</f>
        <v>6.3E-2</v>
      </c>
      <c r="AC2" s="33">
        <f t="shared" ref="AC2:AC7" si="17">AB2</f>
        <v>6.3E-2</v>
      </c>
      <c r="AD2" s="33">
        <f t="shared" ref="AD2:AD7" si="18">AC2</f>
        <v>6.3E-2</v>
      </c>
      <c r="AE2" s="33">
        <f t="shared" ref="AE2:AE7" si="19">AD2</f>
        <v>6.3E-2</v>
      </c>
      <c r="AF2" s="33">
        <f t="shared" ref="AF2:AF7" si="20">AE2</f>
        <v>6.3E-2</v>
      </c>
      <c r="AG2" s="33">
        <f t="shared" ref="AG2:AG7" si="21">AF2</f>
        <v>6.3E-2</v>
      </c>
      <c r="AH2" s="33">
        <f t="shared" ref="AH2:AH7" si="22">AG2</f>
        <v>6.3E-2</v>
      </c>
      <c r="AI2" s="33">
        <f t="shared" ref="AI2:AI7" si="23">AH2</f>
        <v>6.3E-2</v>
      </c>
      <c r="AJ2" s="33">
        <f t="shared" ref="AJ2:AJ7" si="24">AI2</f>
        <v>6.3E-2</v>
      </c>
      <c r="AK2" s="33">
        <f t="shared" ref="AK2:AK7" si="25">AJ2</f>
        <v>6.3E-2</v>
      </c>
      <c r="AL2" s="33">
        <f t="shared" ref="AL2:AL7" si="26">AK2</f>
        <v>6.3E-2</v>
      </c>
      <c r="AM2" s="33">
        <f t="shared" ref="AM2:AM7" si="27">AL2</f>
        <v>6.3E-2</v>
      </c>
      <c r="AN2" s="33">
        <f t="shared" ref="AN2:AN7" si="28">AM2</f>
        <v>6.3E-2</v>
      </c>
      <c r="AO2" s="33">
        <f t="shared" ref="AO2:AO7" si="29">AN2</f>
        <v>6.3E-2</v>
      </c>
      <c r="AP2" s="33">
        <f t="shared" ref="AP2:AP7" si="30">AO2</f>
        <v>6.3E-2</v>
      </c>
      <c r="AQ2" s="33">
        <f t="shared" ref="AQ2:AQ7" si="31">AP2</f>
        <v>6.3E-2</v>
      </c>
      <c r="AR2" s="33">
        <f t="shared" ref="AR2:AR7" si="32">AQ2</f>
        <v>6.3E-2</v>
      </c>
      <c r="AS2" s="33">
        <f t="shared" ref="AS2:AS7" si="33">AR2</f>
        <v>6.3E-2</v>
      </c>
      <c r="AT2" s="33">
        <f t="shared" ref="AT2:AT7" si="34">AS2</f>
        <v>6.3E-2</v>
      </c>
      <c r="AU2" s="33">
        <f t="shared" ref="AU2:AU7" si="35">AT2</f>
        <v>6.3E-2</v>
      </c>
      <c r="AV2" s="33">
        <f t="shared" ref="AV2:AV7" si="36">AU2</f>
        <v>6.3E-2</v>
      </c>
      <c r="AW2" s="33">
        <f t="shared" ref="AW2:AW7" si="37">AV2</f>
        <v>6.3E-2</v>
      </c>
      <c r="AX2" s="33">
        <f t="shared" ref="AX2:AX7" si="38">AW2</f>
        <v>6.3E-2</v>
      </c>
      <c r="AY2" s="33">
        <f t="shared" ref="AY2:AY7" si="39">AX2</f>
        <v>6.3E-2</v>
      </c>
      <c r="AZ2" s="33">
        <f t="shared" ref="AZ2:AZ7" si="40">AY2</f>
        <v>6.3E-2</v>
      </c>
    </row>
    <row r="3" spans="1:52" x14ac:dyDescent="0.25">
      <c r="A3" t="s">
        <v>104</v>
      </c>
      <c r="B3" s="33">
        <f>7%-_xlfn.XLOOKUP(A3,BasisPointCost!$A:$A,BasisPointCost!$B:$B)</f>
        <v>6.8000000000000005E-2</v>
      </c>
      <c r="C3" s="33">
        <f>B3</f>
        <v>6.8000000000000005E-2</v>
      </c>
      <c r="D3" s="33">
        <f t="shared" ref="D3:K3" si="41">C3</f>
        <v>6.8000000000000005E-2</v>
      </c>
      <c r="E3" s="33">
        <f t="shared" si="41"/>
        <v>6.8000000000000005E-2</v>
      </c>
      <c r="F3" s="33">
        <f t="shared" si="41"/>
        <v>6.8000000000000005E-2</v>
      </c>
      <c r="G3" s="33">
        <f t="shared" si="41"/>
        <v>6.8000000000000005E-2</v>
      </c>
      <c r="H3" s="33">
        <f t="shared" si="41"/>
        <v>6.8000000000000005E-2</v>
      </c>
      <c r="I3" s="33">
        <f t="shared" si="41"/>
        <v>6.8000000000000005E-2</v>
      </c>
      <c r="J3" s="33">
        <f t="shared" si="41"/>
        <v>6.8000000000000005E-2</v>
      </c>
      <c r="K3" s="33">
        <f t="shared" si="41"/>
        <v>6.8000000000000005E-2</v>
      </c>
      <c r="L3" s="37">
        <f>6.5%-0.2%</f>
        <v>6.3E-2</v>
      </c>
      <c r="M3" s="33">
        <f t="shared" si="1"/>
        <v>6.3E-2</v>
      </c>
      <c r="N3" s="33">
        <f t="shared" si="2"/>
        <v>6.3E-2</v>
      </c>
      <c r="O3" s="33">
        <f t="shared" si="3"/>
        <v>6.3E-2</v>
      </c>
      <c r="P3" s="33">
        <f t="shared" si="4"/>
        <v>6.3E-2</v>
      </c>
      <c r="Q3" s="33">
        <f t="shared" si="5"/>
        <v>6.3E-2</v>
      </c>
      <c r="R3" s="33">
        <f t="shared" si="6"/>
        <v>6.3E-2</v>
      </c>
      <c r="S3" s="33">
        <f t="shared" si="7"/>
        <v>6.3E-2</v>
      </c>
      <c r="T3" s="33">
        <f t="shared" si="8"/>
        <v>6.3E-2</v>
      </c>
      <c r="U3" s="33">
        <f t="shared" si="9"/>
        <v>6.3E-2</v>
      </c>
      <c r="V3" s="33">
        <f t="shared" si="10"/>
        <v>6.3E-2</v>
      </c>
      <c r="W3" s="33">
        <f t="shared" si="11"/>
        <v>6.3E-2</v>
      </c>
      <c r="X3" s="33">
        <f t="shared" si="12"/>
        <v>6.3E-2</v>
      </c>
      <c r="Y3" s="33">
        <f t="shared" si="13"/>
        <v>6.3E-2</v>
      </c>
      <c r="Z3" s="33">
        <f t="shared" si="14"/>
        <v>6.3E-2</v>
      </c>
      <c r="AA3" s="33">
        <f t="shared" si="15"/>
        <v>6.3E-2</v>
      </c>
      <c r="AB3" s="33">
        <f t="shared" si="16"/>
        <v>6.3E-2</v>
      </c>
      <c r="AC3" s="33">
        <f t="shared" si="17"/>
        <v>6.3E-2</v>
      </c>
      <c r="AD3" s="33">
        <f t="shared" si="18"/>
        <v>6.3E-2</v>
      </c>
      <c r="AE3" s="33">
        <f t="shared" si="19"/>
        <v>6.3E-2</v>
      </c>
      <c r="AF3" s="33">
        <f t="shared" si="20"/>
        <v>6.3E-2</v>
      </c>
      <c r="AG3" s="33">
        <f t="shared" si="21"/>
        <v>6.3E-2</v>
      </c>
      <c r="AH3" s="33">
        <f t="shared" si="22"/>
        <v>6.3E-2</v>
      </c>
      <c r="AI3" s="33">
        <f t="shared" si="23"/>
        <v>6.3E-2</v>
      </c>
      <c r="AJ3" s="33">
        <f t="shared" si="24"/>
        <v>6.3E-2</v>
      </c>
      <c r="AK3" s="33">
        <f t="shared" si="25"/>
        <v>6.3E-2</v>
      </c>
      <c r="AL3" s="33">
        <f t="shared" si="26"/>
        <v>6.3E-2</v>
      </c>
      <c r="AM3" s="33">
        <f t="shared" si="27"/>
        <v>6.3E-2</v>
      </c>
      <c r="AN3" s="33">
        <f t="shared" si="28"/>
        <v>6.3E-2</v>
      </c>
      <c r="AO3" s="33">
        <f t="shared" si="29"/>
        <v>6.3E-2</v>
      </c>
      <c r="AP3" s="33">
        <f t="shared" si="30"/>
        <v>6.3E-2</v>
      </c>
      <c r="AQ3" s="33">
        <f t="shared" si="31"/>
        <v>6.3E-2</v>
      </c>
      <c r="AR3" s="33">
        <f t="shared" si="32"/>
        <v>6.3E-2</v>
      </c>
      <c r="AS3" s="33">
        <f t="shared" si="33"/>
        <v>6.3E-2</v>
      </c>
      <c r="AT3" s="33">
        <f t="shared" si="34"/>
        <v>6.3E-2</v>
      </c>
      <c r="AU3" s="33">
        <f t="shared" si="35"/>
        <v>6.3E-2</v>
      </c>
      <c r="AV3" s="33">
        <f t="shared" si="36"/>
        <v>6.3E-2</v>
      </c>
      <c r="AW3" s="33">
        <f t="shared" si="37"/>
        <v>6.3E-2</v>
      </c>
      <c r="AX3" s="33">
        <f t="shared" si="38"/>
        <v>6.3E-2</v>
      </c>
      <c r="AY3" s="33">
        <f t="shared" si="39"/>
        <v>6.3E-2</v>
      </c>
      <c r="AZ3" s="33">
        <f t="shared" si="40"/>
        <v>6.3E-2</v>
      </c>
    </row>
    <row r="4" spans="1:52" x14ac:dyDescent="0.25">
      <c r="A4" t="s">
        <v>158</v>
      </c>
      <c r="B4" s="33">
        <f>4.9%-_xlfn.XLOOKUP(A4,BasisPointCost!$A:$A,BasisPointCost!$B:$B)</f>
        <v>4.8300000000000003E-2</v>
      </c>
      <c r="C4" s="33">
        <f t="shared" si="1"/>
        <v>4.8300000000000003E-2</v>
      </c>
      <c r="D4" s="33">
        <f t="shared" si="1"/>
        <v>4.8300000000000003E-2</v>
      </c>
      <c r="E4" s="33">
        <f t="shared" si="1"/>
        <v>4.8300000000000003E-2</v>
      </c>
      <c r="F4" s="33">
        <f t="shared" si="1"/>
        <v>4.8300000000000003E-2</v>
      </c>
      <c r="G4" s="33">
        <f t="shared" si="1"/>
        <v>4.8300000000000003E-2</v>
      </c>
      <c r="H4" s="33">
        <f t="shared" si="1"/>
        <v>4.8300000000000003E-2</v>
      </c>
      <c r="I4" s="33">
        <f t="shared" si="1"/>
        <v>4.8300000000000003E-2</v>
      </c>
      <c r="J4" s="33">
        <f t="shared" si="1"/>
        <v>4.8300000000000003E-2</v>
      </c>
      <c r="K4" s="33">
        <f t="shared" si="1"/>
        <v>4.8300000000000003E-2</v>
      </c>
      <c r="L4" s="37">
        <f>3.5%-0.07%</f>
        <v>3.4300000000000004E-2</v>
      </c>
      <c r="M4" s="33">
        <f t="shared" si="1"/>
        <v>3.4300000000000004E-2</v>
      </c>
      <c r="N4" s="33">
        <f t="shared" si="2"/>
        <v>3.4300000000000004E-2</v>
      </c>
      <c r="O4" s="33">
        <f t="shared" si="3"/>
        <v>3.4300000000000004E-2</v>
      </c>
      <c r="P4" s="33">
        <f t="shared" si="4"/>
        <v>3.4300000000000004E-2</v>
      </c>
      <c r="Q4" s="33">
        <f t="shared" si="5"/>
        <v>3.4300000000000004E-2</v>
      </c>
      <c r="R4" s="33">
        <f t="shared" si="6"/>
        <v>3.4300000000000004E-2</v>
      </c>
      <c r="S4" s="33">
        <f t="shared" si="7"/>
        <v>3.4300000000000004E-2</v>
      </c>
      <c r="T4" s="33">
        <f t="shared" si="8"/>
        <v>3.4300000000000004E-2</v>
      </c>
      <c r="U4" s="33">
        <f t="shared" si="9"/>
        <v>3.4300000000000004E-2</v>
      </c>
      <c r="V4" s="33">
        <f t="shared" si="10"/>
        <v>3.4300000000000004E-2</v>
      </c>
      <c r="W4" s="33">
        <f t="shared" si="11"/>
        <v>3.4300000000000004E-2</v>
      </c>
      <c r="X4" s="33">
        <f t="shared" si="12"/>
        <v>3.4300000000000004E-2</v>
      </c>
      <c r="Y4" s="33">
        <f t="shared" si="13"/>
        <v>3.4300000000000004E-2</v>
      </c>
      <c r="Z4" s="33">
        <f t="shared" si="14"/>
        <v>3.4300000000000004E-2</v>
      </c>
      <c r="AA4" s="33">
        <f t="shared" si="15"/>
        <v>3.4300000000000004E-2</v>
      </c>
      <c r="AB4" s="33">
        <f t="shared" si="16"/>
        <v>3.4300000000000004E-2</v>
      </c>
      <c r="AC4" s="33">
        <f t="shared" si="17"/>
        <v>3.4300000000000004E-2</v>
      </c>
      <c r="AD4" s="33">
        <f t="shared" si="18"/>
        <v>3.4300000000000004E-2</v>
      </c>
      <c r="AE4" s="33">
        <f t="shared" si="19"/>
        <v>3.4300000000000004E-2</v>
      </c>
      <c r="AF4" s="33">
        <f t="shared" si="20"/>
        <v>3.4300000000000004E-2</v>
      </c>
      <c r="AG4" s="33">
        <f t="shared" si="21"/>
        <v>3.4300000000000004E-2</v>
      </c>
      <c r="AH4" s="33">
        <f t="shared" si="22"/>
        <v>3.4300000000000004E-2</v>
      </c>
      <c r="AI4" s="33">
        <f t="shared" si="23"/>
        <v>3.4300000000000004E-2</v>
      </c>
      <c r="AJ4" s="33">
        <f t="shared" si="24"/>
        <v>3.4300000000000004E-2</v>
      </c>
      <c r="AK4" s="33">
        <f t="shared" si="25"/>
        <v>3.4300000000000004E-2</v>
      </c>
      <c r="AL4" s="33">
        <f t="shared" si="26"/>
        <v>3.4300000000000004E-2</v>
      </c>
      <c r="AM4" s="33">
        <f t="shared" si="27"/>
        <v>3.4300000000000004E-2</v>
      </c>
      <c r="AN4" s="33">
        <f t="shared" si="28"/>
        <v>3.4300000000000004E-2</v>
      </c>
      <c r="AO4" s="33">
        <f t="shared" si="29"/>
        <v>3.4300000000000004E-2</v>
      </c>
      <c r="AP4" s="33">
        <f t="shared" si="30"/>
        <v>3.4300000000000004E-2</v>
      </c>
      <c r="AQ4" s="33">
        <f t="shared" si="31"/>
        <v>3.4300000000000004E-2</v>
      </c>
      <c r="AR4" s="33">
        <f t="shared" si="32"/>
        <v>3.4300000000000004E-2</v>
      </c>
      <c r="AS4" s="33">
        <f t="shared" si="33"/>
        <v>3.4300000000000004E-2</v>
      </c>
      <c r="AT4" s="33">
        <f t="shared" si="34"/>
        <v>3.4300000000000004E-2</v>
      </c>
      <c r="AU4" s="33">
        <f t="shared" si="35"/>
        <v>3.4300000000000004E-2</v>
      </c>
      <c r="AV4" s="33">
        <f t="shared" si="36"/>
        <v>3.4300000000000004E-2</v>
      </c>
      <c r="AW4" s="33">
        <f t="shared" si="37"/>
        <v>3.4300000000000004E-2</v>
      </c>
      <c r="AX4" s="33">
        <f t="shared" si="38"/>
        <v>3.4300000000000004E-2</v>
      </c>
      <c r="AY4" s="33">
        <f t="shared" si="39"/>
        <v>3.4300000000000004E-2</v>
      </c>
      <c r="AZ4" s="33">
        <f t="shared" si="40"/>
        <v>3.4300000000000004E-2</v>
      </c>
    </row>
    <row r="5" spans="1:52" x14ac:dyDescent="0.25">
      <c r="A5" t="s">
        <v>157</v>
      </c>
      <c r="B5" s="33">
        <f>5%-_xlfn.XLOOKUP(A5,BasisPointCost!$A:$A,BasisPointCost!$B:$B)</f>
        <v>4.9300000000000004E-2</v>
      </c>
      <c r="C5" s="33">
        <f t="shared" si="1"/>
        <v>4.9300000000000004E-2</v>
      </c>
      <c r="D5" s="33">
        <f t="shared" si="1"/>
        <v>4.9300000000000004E-2</v>
      </c>
      <c r="E5" s="33">
        <f t="shared" si="1"/>
        <v>4.9300000000000004E-2</v>
      </c>
      <c r="F5" s="33">
        <f t="shared" si="1"/>
        <v>4.9300000000000004E-2</v>
      </c>
      <c r="G5" s="33">
        <f t="shared" si="1"/>
        <v>4.9300000000000004E-2</v>
      </c>
      <c r="H5" s="33">
        <f t="shared" si="1"/>
        <v>4.9300000000000004E-2</v>
      </c>
      <c r="I5" s="33">
        <f t="shared" si="1"/>
        <v>4.9300000000000004E-2</v>
      </c>
      <c r="J5" s="33">
        <f t="shared" si="1"/>
        <v>4.9300000000000004E-2</v>
      </c>
      <c r="K5" s="33">
        <f t="shared" si="1"/>
        <v>4.9300000000000004E-2</v>
      </c>
      <c r="L5" s="37">
        <f>3.5%-0.07%</f>
        <v>3.4300000000000004E-2</v>
      </c>
      <c r="M5" s="33">
        <f t="shared" si="1"/>
        <v>3.4300000000000004E-2</v>
      </c>
      <c r="N5" s="33">
        <f t="shared" si="2"/>
        <v>3.4300000000000004E-2</v>
      </c>
      <c r="O5" s="33">
        <f t="shared" si="3"/>
        <v>3.4300000000000004E-2</v>
      </c>
      <c r="P5" s="33">
        <f t="shared" si="4"/>
        <v>3.4300000000000004E-2</v>
      </c>
      <c r="Q5" s="33">
        <f t="shared" si="5"/>
        <v>3.4300000000000004E-2</v>
      </c>
      <c r="R5" s="33">
        <f t="shared" si="6"/>
        <v>3.4300000000000004E-2</v>
      </c>
      <c r="S5" s="33">
        <f t="shared" si="7"/>
        <v>3.4300000000000004E-2</v>
      </c>
      <c r="T5" s="33">
        <f t="shared" si="8"/>
        <v>3.4300000000000004E-2</v>
      </c>
      <c r="U5" s="33">
        <f t="shared" si="9"/>
        <v>3.4300000000000004E-2</v>
      </c>
      <c r="V5" s="33">
        <f t="shared" si="10"/>
        <v>3.4300000000000004E-2</v>
      </c>
      <c r="W5" s="33">
        <f t="shared" si="11"/>
        <v>3.4300000000000004E-2</v>
      </c>
      <c r="X5" s="33">
        <f t="shared" si="12"/>
        <v>3.4300000000000004E-2</v>
      </c>
      <c r="Y5" s="33">
        <f t="shared" si="13"/>
        <v>3.4300000000000004E-2</v>
      </c>
      <c r="Z5" s="33">
        <f t="shared" si="14"/>
        <v>3.4300000000000004E-2</v>
      </c>
      <c r="AA5" s="33">
        <f t="shared" si="15"/>
        <v>3.4300000000000004E-2</v>
      </c>
      <c r="AB5" s="33">
        <f t="shared" si="16"/>
        <v>3.4300000000000004E-2</v>
      </c>
      <c r="AC5" s="33">
        <f t="shared" si="17"/>
        <v>3.4300000000000004E-2</v>
      </c>
      <c r="AD5" s="33">
        <f t="shared" si="18"/>
        <v>3.4300000000000004E-2</v>
      </c>
      <c r="AE5" s="33">
        <f t="shared" si="19"/>
        <v>3.4300000000000004E-2</v>
      </c>
      <c r="AF5" s="33">
        <f t="shared" si="20"/>
        <v>3.4300000000000004E-2</v>
      </c>
      <c r="AG5" s="33">
        <f t="shared" si="21"/>
        <v>3.4300000000000004E-2</v>
      </c>
      <c r="AH5" s="33">
        <f t="shared" si="22"/>
        <v>3.4300000000000004E-2</v>
      </c>
      <c r="AI5" s="33">
        <f t="shared" si="23"/>
        <v>3.4300000000000004E-2</v>
      </c>
      <c r="AJ5" s="33">
        <f t="shared" si="24"/>
        <v>3.4300000000000004E-2</v>
      </c>
      <c r="AK5" s="33">
        <f t="shared" si="25"/>
        <v>3.4300000000000004E-2</v>
      </c>
      <c r="AL5" s="33">
        <f t="shared" si="26"/>
        <v>3.4300000000000004E-2</v>
      </c>
      <c r="AM5" s="33">
        <f t="shared" si="27"/>
        <v>3.4300000000000004E-2</v>
      </c>
      <c r="AN5" s="33">
        <f t="shared" si="28"/>
        <v>3.4300000000000004E-2</v>
      </c>
      <c r="AO5" s="33">
        <f t="shared" si="29"/>
        <v>3.4300000000000004E-2</v>
      </c>
      <c r="AP5" s="33">
        <f t="shared" si="30"/>
        <v>3.4300000000000004E-2</v>
      </c>
      <c r="AQ5" s="33">
        <f t="shared" si="31"/>
        <v>3.4300000000000004E-2</v>
      </c>
      <c r="AR5" s="33">
        <f t="shared" si="32"/>
        <v>3.4300000000000004E-2</v>
      </c>
      <c r="AS5" s="33">
        <f t="shared" si="33"/>
        <v>3.4300000000000004E-2</v>
      </c>
      <c r="AT5" s="33">
        <f t="shared" si="34"/>
        <v>3.4300000000000004E-2</v>
      </c>
      <c r="AU5" s="33">
        <f t="shared" si="35"/>
        <v>3.4300000000000004E-2</v>
      </c>
      <c r="AV5" s="33">
        <f t="shared" si="36"/>
        <v>3.4300000000000004E-2</v>
      </c>
      <c r="AW5" s="33">
        <f t="shared" si="37"/>
        <v>3.4300000000000004E-2</v>
      </c>
      <c r="AX5" s="33">
        <f t="shared" si="38"/>
        <v>3.4300000000000004E-2</v>
      </c>
      <c r="AY5" s="33">
        <f t="shared" si="39"/>
        <v>3.4300000000000004E-2</v>
      </c>
      <c r="AZ5" s="33">
        <f t="shared" si="40"/>
        <v>3.4300000000000004E-2</v>
      </c>
    </row>
    <row r="6" spans="1:52" x14ac:dyDescent="0.25">
      <c r="A6" t="s">
        <v>156</v>
      </c>
      <c r="B6" s="33">
        <f>3.7%-_xlfn.XLOOKUP(A6,BasisPointCost!$A:$A,BasisPointCost!$B:$B)</f>
        <v>3.6300000000000006E-2</v>
      </c>
      <c r="C6" s="33">
        <f t="shared" si="1"/>
        <v>3.6300000000000006E-2</v>
      </c>
      <c r="D6" s="33">
        <f t="shared" si="1"/>
        <v>3.6300000000000006E-2</v>
      </c>
      <c r="E6" s="33">
        <f t="shared" si="1"/>
        <v>3.6300000000000006E-2</v>
      </c>
      <c r="F6" s="33">
        <f t="shared" si="1"/>
        <v>3.6300000000000006E-2</v>
      </c>
      <c r="G6" s="33">
        <f t="shared" si="1"/>
        <v>3.6300000000000006E-2</v>
      </c>
      <c r="H6" s="33">
        <f t="shared" si="1"/>
        <v>3.6300000000000006E-2</v>
      </c>
      <c r="I6" s="33">
        <f t="shared" si="1"/>
        <v>3.6300000000000006E-2</v>
      </c>
      <c r="J6" s="33">
        <f t="shared" si="1"/>
        <v>3.6300000000000006E-2</v>
      </c>
      <c r="K6" s="33">
        <f t="shared" si="1"/>
        <v>3.6300000000000006E-2</v>
      </c>
      <c r="L6" s="37">
        <f>3.5%-0.07%</f>
        <v>3.4300000000000004E-2</v>
      </c>
      <c r="M6" s="33">
        <f t="shared" si="1"/>
        <v>3.4300000000000004E-2</v>
      </c>
      <c r="N6" s="33">
        <f t="shared" si="2"/>
        <v>3.4300000000000004E-2</v>
      </c>
      <c r="O6" s="33">
        <f t="shared" si="3"/>
        <v>3.4300000000000004E-2</v>
      </c>
      <c r="P6" s="33">
        <f t="shared" si="4"/>
        <v>3.4300000000000004E-2</v>
      </c>
      <c r="Q6" s="33">
        <f t="shared" si="5"/>
        <v>3.4300000000000004E-2</v>
      </c>
      <c r="R6" s="33">
        <f t="shared" si="6"/>
        <v>3.4300000000000004E-2</v>
      </c>
      <c r="S6" s="33">
        <f t="shared" si="7"/>
        <v>3.4300000000000004E-2</v>
      </c>
      <c r="T6" s="33">
        <f t="shared" si="8"/>
        <v>3.4300000000000004E-2</v>
      </c>
      <c r="U6" s="33">
        <f t="shared" si="9"/>
        <v>3.4300000000000004E-2</v>
      </c>
      <c r="V6" s="33">
        <f t="shared" si="10"/>
        <v>3.4300000000000004E-2</v>
      </c>
      <c r="W6" s="33">
        <f t="shared" si="11"/>
        <v>3.4300000000000004E-2</v>
      </c>
      <c r="X6" s="33">
        <f t="shared" si="12"/>
        <v>3.4300000000000004E-2</v>
      </c>
      <c r="Y6" s="33">
        <f t="shared" si="13"/>
        <v>3.4300000000000004E-2</v>
      </c>
      <c r="Z6" s="33">
        <f t="shared" si="14"/>
        <v>3.4300000000000004E-2</v>
      </c>
      <c r="AA6" s="33">
        <f t="shared" si="15"/>
        <v>3.4300000000000004E-2</v>
      </c>
      <c r="AB6" s="33">
        <f t="shared" si="16"/>
        <v>3.4300000000000004E-2</v>
      </c>
      <c r="AC6" s="33">
        <f t="shared" si="17"/>
        <v>3.4300000000000004E-2</v>
      </c>
      <c r="AD6" s="33">
        <f t="shared" si="18"/>
        <v>3.4300000000000004E-2</v>
      </c>
      <c r="AE6" s="33">
        <f t="shared" si="19"/>
        <v>3.4300000000000004E-2</v>
      </c>
      <c r="AF6" s="33">
        <f t="shared" si="20"/>
        <v>3.4300000000000004E-2</v>
      </c>
      <c r="AG6" s="33">
        <f t="shared" si="21"/>
        <v>3.4300000000000004E-2</v>
      </c>
      <c r="AH6" s="33">
        <f t="shared" si="22"/>
        <v>3.4300000000000004E-2</v>
      </c>
      <c r="AI6" s="33">
        <f t="shared" si="23"/>
        <v>3.4300000000000004E-2</v>
      </c>
      <c r="AJ6" s="33">
        <f t="shared" si="24"/>
        <v>3.4300000000000004E-2</v>
      </c>
      <c r="AK6" s="33">
        <f t="shared" si="25"/>
        <v>3.4300000000000004E-2</v>
      </c>
      <c r="AL6" s="33">
        <f t="shared" si="26"/>
        <v>3.4300000000000004E-2</v>
      </c>
      <c r="AM6" s="33">
        <f t="shared" si="27"/>
        <v>3.4300000000000004E-2</v>
      </c>
      <c r="AN6" s="33">
        <f t="shared" si="28"/>
        <v>3.4300000000000004E-2</v>
      </c>
      <c r="AO6" s="33">
        <f t="shared" si="29"/>
        <v>3.4300000000000004E-2</v>
      </c>
      <c r="AP6" s="33">
        <f t="shared" si="30"/>
        <v>3.4300000000000004E-2</v>
      </c>
      <c r="AQ6" s="33">
        <f t="shared" si="31"/>
        <v>3.4300000000000004E-2</v>
      </c>
      <c r="AR6" s="33">
        <f t="shared" si="32"/>
        <v>3.4300000000000004E-2</v>
      </c>
      <c r="AS6" s="33">
        <f t="shared" si="33"/>
        <v>3.4300000000000004E-2</v>
      </c>
      <c r="AT6" s="33">
        <f t="shared" si="34"/>
        <v>3.4300000000000004E-2</v>
      </c>
      <c r="AU6" s="33">
        <f t="shared" si="35"/>
        <v>3.4300000000000004E-2</v>
      </c>
      <c r="AV6" s="33">
        <f t="shared" si="36"/>
        <v>3.4300000000000004E-2</v>
      </c>
      <c r="AW6" s="33">
        <f t="shared" si="37"/>
        <v>3.4300000000000004E-2</v>
      </c>
      <c r="AX6" s="33">
        <f t="shared" si="38"/>
        <v>3.4300000000000004E-2</v>
      </c>
      <c r="AY6" s="33">
        <f t="shared" si="39"/>
        <v>3.4300000000000004E-2</v>
      </c>
      <c r="AZ6" s="33">
        <f t="shared" si="40"/>
        <v>3.4300000000000004E-2</v>
      </c>
    </row>
    <row r="7" spans="1:52" x14ac:dyDescent="0.25">
      <c r="A7" t="s">
        <v>155</v>
      </c>
      <c r="B7" s="33">
        <f>2.9%-_xlfn.XLOOKUP($A7,BasisPointCost!$A:$A,BasisPointCost!$B:$B)</f>
        <v>2.8299999999999999E-2</v>
      </c>
      <c r="C7" s="33">
        <f t="shared" si="1"/>
        <v>2.8299999999999999E-2</v>
      </c>
      <c r="D7" s="33">
        <f t="shared" si="1"/>
        <v>2.8299999999999999E-2</v>
      </c>
      <c r="E7" s="33">
        <f t="shared" si="1"/>
        <v>2.8299999999999999E-2</v>
      </c>
      <c r="F7" s="33">
        <f t="shared" si="1"/>
        <v>2.8299999999999999E-2</v>
      </c>
      <c r="G7" s="33">
        <f t="shared" si="1"/>
        <v>2.8299999999999999E-2</v>
      </c>
      <c r="H7" s="33">
        <f t="shared" si="1"/>
        <v>2.8299999999999999E-2</v>
      </c>
      <c r="I7" s="33">
        <f t="shared" si="1"/>
        <v>2.8299999999999999E-2</v>
      </c>
      <c r="J7" s="33">
        <f t="shared" si="1"/>
        <v>2.8299999999999999E-2</v>
      </c>
      <c r="K7" s="33">
        <f t="shared" si="1"/>
        <v>2.8299999999999999E-2</v>
      </c>
      <c r="L7" s="37">
        <f>3.5%-0.07%</f>
        <v>3.4300000000000004E-2</v>
      </c>
      <c r="M7" s="33">
        <f t="shared" si="1"/>
        <v>3.4300000000000004E-2</v>
      </c>
      <c r="N7" s="33">
        <f t="shared" si="2"/>
        <v>3.4300000000000004E-2</v>
      </c>
      <c r="O7" s="33">
        <f t="shared" si="3"/>
        <v>3.4300000000000004E-2</v>
      </c>
      <c r="P7" s="33">
        <f t="shared" si="4"/>
        <v>3.4300000000000004E-2</v>
      </c>
      <c r="Q7" s="33">
        <f t="shared" si="5"/>
        <v>3.4300000000000004E-2</v>
      </c>
      <c r="R7" s="33">
        <f t="shared" si="6"/>
        <v>3.4300000000000004E-2</v>
      </c>
      <c r="S7" s="33">
        <f t="shared" si="7"/>
        <v>3.4300000000000004E-2</v>
      </c>
      <c r="T7" s="33">
        <f t="shared" si="8"/>
        <v>3.4300000000000004E-2</v>
      </c>
      <c r="U7" s="33">
        <f t="shared" si="9"/>
        <v>3.4300000000000004E-2</v>
      </c>
      <c r="V7" s="33">
        <f t="shared" si="10"/>
        <v>3.4300000000000004E-2</v>
      </c>
      <c r="W7" s="33">
        <f t="shared" si="11"/>
        <v>3.4300000000000004E-2</v>
      </c>
      <c r="X7" s="33">
        <f t="shared" si="12"/>
        <v>3.4300000000000004E-2</v>
      </c>
      <c r="Y7" s="33">
        <f t="shared" si="13"/>
        <v>3.4300000000000004E-2</v>
      </c>
      <c r="Z7" s="33">
        <f t="shared" si="14"/>
        <v>3.4300000000000004E-2</v>
      </c>
      <c r="AA7" s="33">
        <f t="shared" si="15"/>
        <v>3.4300000000000004E-2</v>
      </c>
      <c r="AB7" s="33">
        <f t="shared" si="16"/>
        <v>3.4300000000000004E-2</v>
      </c>
      <c r="AC7" s="33">
        <f t="shared" si="17"/>
        <v>3.4300000000000004E-2</v>
      </c>
      <c r="AD7" s="33">
        <f t="shared" si="18"/>
        <v>3.4300000000000004E-2</v>
      </c>
      <c r="AE7" s="33">
        <f t="shared" si="19"/>
        <v>3.4300000000000004E-2</v>
      </c>
      <c r="AF7" s="33">
        <f t="shared" si="20"/>
        <v>3.4300000000000004E-2</v>
      </c>
      <c r="AG7" s="33">
        <f t="shared" si="21"/>
        <v>3.4300000000000004E-2</v>
      </c>
      <c r="AH7" s="33">
        <f t="shared" si="22"/>
        <v>3.4300000000000004E-2</v>
      </c>
      <c r="AI7" s="33">
        <f t="shared" si="23"/>
        <v>3.4300000000000004E-2</v>
      </c>
      <c r="AJ7" s="33">
        <f t="shared" si="24"/>
        <v>3.4300000000000004E-2</v>
      </c>
      <c r="AK7" s="33">
        <f t="shared" si="25"/>
        <v>3.4300000000000004E-2</v>
      </c>
      <c r="AL7" s="33">
        <f t="shared" si="26"/>
        <v>3.4300000000000004E-2</v>
      </c>
      <c r="AM7" s="33">
        <f t="shared" si="27"/>
        <v>3.4300000000000004E-2</v>
      </c>
      <c r="AN7" s="33">
        <f t="shared" si="28"/>
        <v>3.4300000000000004E-2</v>
      </c>
      <c r="AO7" s="33">
        <f t="shared" si="29"/>
        <v>3.4300000000000004E-2</v>
      </c>
      <c r="AP7" s="33">
        <f t="shared" si="30"/>
        <v>3.4300000000000004E-2</v>
      </c>
      <c r="AQ7" s="33">
        <f t="shared" si="31"/>
        <v>3.4300000000000004E-2</v>
      </c>
      <c r="AR7" s="33">
        <f t="shared" si="32"/>
        <v>3.4300000000000004E-2</v>
      </c>
      <c r="AS7" s="33">
        <f t="shared" si="33"/>
        <v>3.4300000000000004E-2</v>
      </c>
      <c r="AT7" s="33">
        <f t="shared" si="34"/>
        <v>3.4300000000000004E-2</v>
      </c>
      <c r="AU7" s="33">
        <f t="shared" si="35"/>
        <v>3.4300000000000004E-2</v>
      </c>
      <c r="AV7" s="33">
        <f t="shared" si="36"/>
        <v>3.4300000000000004E-2</v>
      </c>
      <c r="AW7" s="33">
        <f t="shared" si="37"/>
        <v>3.4300000000000004E-2</v>
      </c>
      <c r="AX7" s="33">
        <f t="shared" si="38"/>
        <v>3.4300000000000004E-2</v>
      </c>
      <c r="AY7" s="33">
        <f t="shared" si="39"/>
        <v>3.4300000000000004E-2</v>
      </c>
      <c r="AZ7" s="33">
        <f t="shared" si="40"/>
        <v>3.4300000000000004E-2</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5" x14ac:dyDescent="0.25"/>
  <cols>
    <col min="1" max="1" width="31.42578125" bestFit="1" customWidth="1"/>
    <col min="2" max="2" width="15.28515625" bestFit="1" customWidth="1"/>
  </cols>
  <sheetData>
    <row r="1" spans="1:3" x14ac:dyDescent="0.25">
      <c r="A1" t="s">
        <v>161</v>
      </c>
      <c r="B1" t="s">
        <v>162</v>
      </c>
      <c r="C1" t="s">
        <v>163</v>
      </c>
    </row>
    <row r="2" spans="1:3" x14ac:dyDescent="0.25">
      <c r="A2" t="s">
        <v>103</v>
      </c>
      <c r="B2" s="31">
        <f>0.2%</f>
        <v>2E-3</v>
      </c>
    </row>
    <row r="3" spans="1:3" x14ac:dyDescent="0.25">
      <c r="A3" t="s">
        <v>104</v>
      </c>
      <c r="B3" s="31">
        <f>0.2%</f>
        <v>2E-3</v>
      </c>
    </row>
    <row r="4" spans="1:3" x14ac:dyDescent="0.25">
      <c r="A4" t="s">
        <v>158</v>
      </c>
      <c r="B4" s="31">
        <f>0.07%</f>
        <v>7.000000000000001E-4</v>
      </c>
    </row>
    <row r="5" spans="1:3" x14ac:dyDescent="0.25">
      <c r="A5" t="s">
        <v>157</v>
      </c>
      <c r="B5" s="31">
        <f>0.07%</f>
        <v>7.000000000000001E-4</v>
      </c>
    </row>
    <row r="6" spans="1:3" x14ac:dyDescent="0.25">
      <c r="A6" t="s">
        <v>156</v>
      </c>
      <c r="B6" s="31">
        <f>0.07%</f>
        <v>7.000000000000001E-4</v>
      </c>
    </row>
    <row r="7" spans="1:3" x14ac:dyDescent="0.25">
      <c r="A7" t="s">
        <v>155</v>
      </c>
      <c r="B7" s="31">
        <f>0.07%</f>
        <v>7.000000000000001E-4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115</v>
      </c>
      <c r="C1" t="s">
        <v>116</v>
      </c>
      <c r="D1" t="s">
        <v>117</v>
      </c>
      <c r="E1" t="s">
        <v>118</v>
      </c>
      <c r="F1" t="s">
        <v>119</v>
      </c>
      <c r="G1" t="s">
        <v>120</v>
      </c>
      <c r="H1" t="s">
        <v>121</v>
      </c>
      <c r="I1" t="s">
        <v>122</v>
      </c>
      <c r="J1" t="s">
        <v>123</v>
      </c>
      <c r="K1" t="s">
        <v>124</v>
      </c>
      <c r="L1" t="s">
        <v>125</v>
      </c>
      <c r="M1" t="s">
        <v>126</v>
      </c>
      <c r="N1" t="s">
        <v>127</v>
      </c>
      <c r="O1" t="s">
        <v>128</v>
      </c>
      <c r="P1" t="s">
        <v>129</v>
      </c>
      <c r="Q1" t="s">
        <v>130</v>
      </c>
      <c r="R1" t="s">
        <v>131</v>
      </c>
      <c r="S1" t="s">
        <v>132</v>
      </c>
      <c r="T1" t="s">
        <v>133</v>
      </c>
      <c r="U1" t="s">
        <v>134</v>
      </c>
      <c r="V1" t="s">
        <v>135</v>
      </c>
      <c r="W1" t="s">
        <v>136</v>
      </c>
      <c r="X1" t="s">
        <v>137</v>
      </c>
      <c r="Y1" t="s">
        <v>138</v>
      </c>
      <c r="Z1" t="s">
        <v>139</v>
      </c>
      <c r="AA1" t="s">
        <v>140</v>
      </c>
      <c r="AB1" t="s">
        <v>141</v>
      </c>
      <c r="AC1" t="s">
        <v>142</v>
      </c>
      <c r="AD1" t="s">
        <v>143</v>
      </c>
      <c r="AE1" t="s">
        <v>144</v>
      </c>
      <c r="AF1" t="s">
        <v>145</v>
      </c>
      <c r="AG1" t="s">
        <v>146</v>
      </c>
      <c r="AH1" t="s">
        <v>147</v>
      </c>
      <c r="AI1" t="s">
        <v>148</v>
      </c>
      <c r="AJ1" t="s">
        <v>149</v>
      </c>
      <c r="AK1" t="s">
        <v>150</v>
      </c>
      <c r="AL1" t="s">
        <v>151</v>
      </c>
      <c r="AM1" t="s">
        <v>152</v>
      </c>
      <c r="AN1" t="s">
        <v>153</v>
      </c>
      <c r="AO1" t="s">
        <v>154</v>
      </c>
      <c r="AP1" s="29" t="s">
        <v>160</v>
      </c>
    </row>
    <row r="2" spans="1:42" x14ac:dyDescent="0.25">
      <c r="A2" t="s">
        <v>164</v>
      </c>
      <c r="B2" s="32">
        <f>6.5%-0.2%</f>
        <v>6.3E-2</v>
      </c>
      <c r="C2" s="32">
        <f>B2</f>
        <v>6.3E-2</v>
      </c>
      <c r="D2" s="32">
        <f t="shared" ref="D2:S3" si="0">C2</f>
        <v>6.3E-2</v>
      </c>
      <c r="E2" s="32">
        <f t="shared" si="0"/>
        <v>6.3E-2</v>
      </c>
      <c r="F2" s="32">
        <f t="shared" si="0"/>
        <v>6.3E-2</v>
      </c>
      <c r="G2" s="32">
        <f t="shared" si="0"/>
        <v>6.3E-2</v>
      </c>
      <c r="H2" s="32">
        <f t="shared" si="0"/>
        <v>6.3E-2</v>
      </c>
      <c r="I2" s="32">
        <f t="shared" si="0"/>
        <v>6.3E-2</v>
      </c>
      <c r="J2" s="32">
        <f t="shared" si="0"/>
        <v>6.3E-2</v>
      </c>
      <c r="K2" s="32">
        <f t="shared" si="0"/>
        <v>6.3E-2</v>
      </c>
      <c r="L2" s="32">
        <f t="shared" si="0"/>
        <v>6.3E-2</v>
      </c>
      <c r="M2" s="32">
        <f t="shared" si="0"/>
        <v>6.3E-2</v>
      </c>
      <c r="N2" s="32">
        <f t="shared" si="0"/>
        <v>6.3E-2</v>
      </c>
      <c r="O2" s="32">
        <f t="shared" si="0"/>
        <v>6.3E-2</v>
      </c>
      <c r="P2" s="32">
        <f t="shared" si="0"/>
        <v>6.3E-2</v>
      </c>
      <c r="Q2" s="32">
        <f t="shared" si="0"/>
        <v>6.3E-2</v>
      </c>
      <c r="R2" s="32">
        <f t="shared" si="0"/>
        <v>6.3E-2</v>
      </c>
      <c r="S2" s="32">
        <f t="shared" si="0"/>
        <v>6.3E-2</v>
      </c>
      <c r="T2" s="32">
        <f t="shared" ref="T2:AO3" si="1">S2</f>
        <v>6.3E-2</v>
      </c>
      <c r="U2" s="32">
        <f t="shared" si="1"/>
        <v>6.3E-2</v>
      </c>
      <c r="V2" s="32">
        <f t="shared" si="1"/>
        <v>6.3E-2</v>
      </c>
      <c r="W2" s="32">
        <f t="shared" si="1"/>
        <v>6.3E-2</v>
      </c>
      <c r="X2" s="32">
        <f t="shared" si="1"/>
        <v>6.3E-2</v>
      </c>
      <c r="Y2" s="32">
        <f t="shared" si="1"/>
        <v>6.3E-2</v>
      </c>
      <c r="Z2" s="32">
        <f t="shared" si="1"/>
        <v>6.3E-2</v>
      </c>
      <c r="AA2" s="32">
        <f t="shared" si="1"/>
        <v>6.3E-2</v>
      </c>
      <c r="AB2" s="32">
        <f t="shared" si="1"/>
        <v>6.3E-2</v>
      </c>
      <c r="AC2" s="32">
        <f t="shared" si="1"/>
        <v>6.3E-2</v>
      </c>
      <c r="AD2" s="32">
        <f t="shared" si="1"/>
        <v>6.3E-2</v>
      </c>
      <c r="AE2" s="32">
        <f t="shared" si="1"/>
        <v>6.3E-2</v>
      </c>
      <c r="AF2" s="32">
        <f t="shared" si="1"/>
        <v>6.3E-2</v>
      </c>
      <c r="AG2" s="32">
        <f t="shared" si="1"/>
        <v>6.3E-2</v>
      </c>
      <c r="AH2" s="32">
        <f t="shared" si="1"/>
        <v>6.3E-2</v>
      </c>
      <c r="AI2" s="32">
        <f t="shared" si="1"/>
        <v>6.3E-2</v>
      </c>
      <c r="AJ2" s="32">
        <f t="shared" si="1"/>
        <v>6.3E-2</v>
      </c>
      <c r="AK2" s="32">
        <f t="shared" si="1"/>
        <v>6.3E-2</v>
      </c>
      <c r="AL2" s="32">
        <f t="shared" si="1"/>
        <v>6.3E-2</v>
      </c>
      <c r="AM2" s="32">
        <f t="shared" si="1"/>
        <v>6.3E-2</v>
      </c>
      <c r="AN2" s="32">
        <f t="shared" si="1"/>
        <v>6.3E-2</v>
      </c>
      <c r="AO2" s="32">
        <f t="shared" si="1"/>
        <v>6.3E-2</v>
      </c>
      <c r="AP2" s="32">
        <f t="shared" ref="AP2" si="2">AO2</f>
        <v>6.3E-2</v>
      </c>
    </row>
    <row r="3" spans="1:42" x14ac:dyDescent="0.25">
      <c r="A3" t="s">
        <v>165</v>
      </c>
      <c r="B3" s="32">
        <f>3.5%-0.07%</f>
        <v>3.4300000000000004E-2</v>
      </c>
      <c r="C3" s="32">
        <f>B3</f>
        <v>3.4300000000000004E-2</v>
      </c>
      <c r="D3" s="32">
        <f t="shared" si="0"/>
        <v>3.4300000000000004E-2</v>
      </c>
      <c r="E3" s="32">
        <f t="shared" si="0"/>
        <v>3.4300000000000004E-2</v>
      </c>
      <c r="F3" s="32">
        <f t="shared" si="0"/>
        <v>3.4300000000000004E-2</v>
      </c>
      <c r="G3" s="32">
        <f t="shared" si="0"/>
        <v>3.4300000000000004E-2</v>
      </c>
      <c r="H3" s="32">
        <f t="shared" si="0"/>
        <v>3.4300000000000004E-2</v>
      </c>
      <c r="I3" s="32">
        <f t="shared" si="0"/>
        <v>3.4300000000000004E-2</v>
      </c>
      <c r="J3" s="32">
        <f t="shared" si="0"/>
        <v>3.4300000000000004E-2</v>
      </c>
      <c r="K3" s="32">
        <f t="shared" si="0"/>
        <v>3.4300000000000004E-2</v>
      </c>
      <c r="L3" s="32">
        <f t="shared" si="0"/>
        <v>3.4300000000000004E-2</v>
      </c>
      <c r="M3" s="32">
        <f t="shared" si="0"/>
        <v>3.4300000000000004E-2</v>
      </c>
      <c r="N3" s="32">
        <f t="shared" si="0"/>
        <v>3.4300000000000004E-2</v>
      </c>
      <c r="O3" s="32">
        <f t="shared" si="0"/>
        <v>3.4300000000000004E-2</v>
      </c>
      <c r="P3" s="32">
        <f t="shared" si="0"/>
        <v>3.4300000000000004E-2</v>
      </c>
      <c r="Q3" s="32">
        <f t="shared" si="0"/>
        <v>3.4300000000000004E-2</v>
      </c>
      <c r="R3" s="32">
        <f t="shared" si="0"/>
        <v>3.4300000000000004E-2</v>
      </c>
      <c r="S3" s="32">
        <f t="shared" si="0"/>
        <v>3.4300000000000004E-2</v>
      </c>
      <c r="T3" s="32">
        <f t="shared" si="1"/>
        <v>3.4300000000000004E-2</v>
      </c>
      <c r="U3" s="32">
        <f t="shared" si="1"/>
        <v>3.4300000000000004E-2</v>
      </c>
      <c r="V3" s="32">
        <f t="shared" si="1"/>
        <v>3.4300000000000004E-2</v>
      </c>
      <c r="W3" s="32">
        <f t="shared" si="1"/>
        <v>3.4300000000000004E-2</v>
      </c>
      <c r="X3" s="32">
        <f t="shared" si="1"/>
        <v>3.4300000000000004E-2</v>
      </c>
      <c r="Y3" s="32">
        <f t="shared" si="1"/>
        <v>3.4300000000000004E-2</v>
      </c>
      <c r="Z3" s="32">
        <f t="shared" si="1"/>
        <v>3.4300000000000004E-2</v>
      </c>
      <c r="AA3" s="32">
        <f t="shared" si="1"/>
        <v>3.4300000000000004E-2</v>
      </c>
      <c r="AB3" s="32">
        <f t="shared" si="1"/>
        <v>3.4300000000000004E-2</v>
      </c>
      <c r="AC3" s="32">
        <f t="shared" si="1"/>
        <v>3.4300000000000004E-2</v>
      </c>
      <c r="AD3" s="32">
        <f t="shared" si="1"/>
        <v>3.4300000000000004E-2</v>
      </c>
      <c r="AE3" s="32">
        <f t="shared" si="1"/>
        <v>3.4300000000000004E-2</v>
      </c>
      <c r="AF3" s="32">
        <f t="shared" si="1"/>
        <v>3.4300000000000004E-2</v>
      </c>
      <c r="AG3" s="32">
        <f t="shared" si="1"/>
        <v>3.4300000000000004E-2</v>
      </c>
      <c r="AH3" s="32">
        <f t="shared" si="1"/>
        <v>3.4300000000000004E-2</v>
      </c>
      <c r="AI3" s="32">
        <f t="shared" si="1"/>
        <v>3.4300000000000004E-2</v>
      </c>
      <c r="AJ3" s="32">
        <f t="shared" si="1"/>
        <v>3.4300000000000004E-2</v>
      </c>
      <c r="AK3" s="32">
        <f t="shared" si="1"/>
        <v>3.4300000000000004E-2</v>
      </c>
      <c r="AL3" s="32">
        <f t="shared" si="1"/>
        <v>3.4300000000000004E-2</v>
      </c>
      <c r="AM3" s="32">
        <f t="shared" si="1"/>
        <v>3.4300000000000004E-2</v>
      </c>
      <c r="AN3" s="32">
        <f t="shared" si="1"/>
        <v>3.4300000000000004E-2</v>
      </c>
      <c r="AO3" s="32">
        <f t="shared" si="1"/>
        <v>3.4300000000000004E-2</v>
      </c>
      <c r="AP3" s="32">
        <f t="shared" ref="AP3" si="3">AO3</f>
        <v>3.4300000000000004E-2</v>
      </c>
    </row>
    <row r="4" spans="1:42" x14ac:dyDescent="0.25">
      <c r="B4" s="30"/>
      <c r="C4" s="30"/>
      <c r="D4" s="30"/>
      <c r="E4" s="30"/>
      <c r="F4" s="30"/>
      <c r="G4" s="30"/>
      <c r="H4" s="30"/>
      <c r="I4" s="30"/>
      <c r="J4" s="30"/>
      <c r="K4" s="30"/>
    </row>
    <row r="5" spans="1:42" x14ac:dyDescent="0.25">
      <c r="B5" s="30"/>
      <c r="C5" s="30"/>
      <c r="D5" s="30"/>
      <c r="E5" s="30"/>
      <c r="F5" s="30"/>
      <c r="G5" s="30"/>
      <c r="H5" s="30"/>
      <c r="I5" s="30"/>
      <c r="J5" s="30"/>
      <c r="K5" s="30"/>
    </row>
    <row r="6" spans="1:42" x14ac:dyDescent="0.25">
      <c r="B6" s="30"/>
      <c r="C6" s="30"/>
      <c r="D6" s="30"/>
      <c r="E6" s="30"/>
      <c r="F6" s="30"/>
      <c r="G6" s="30"/>
      <c r="H6" s="30"/>
      <c r="I6" s="30"/>
      <c r="J6" s="30"/>
      <c r="K6" s="30"/>
    </row>
    <row r="7" spans="1:42" x14ac:dyDescent="0.25">
      <c r="B7" s="30"/>
      <c r="C7" s="30"/>
      <c r="D7" s="30"/>
      <c r="E7" s="30"/>
      <c r="F7" s="30"/>
      <c r="G7" s="30"/>
      <c r="H7" s="30"/>
      <c r="I7" s="30"/>
      <c r="J7" s="30"/>
      <c r="K7" s="3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103</v>
      </c>
      <c r="B2" s="1">
        <v>8.5999999999999993E-2</v>
      </c>
    </row>
    <row r="3" spans="1:2" x14ac:dyDescent="0.25">
      <c r="A3" s="1" t="s">
        <v>104</v>
      </c>
      <c r="B3" s="1">
        <v>7.0000000000000007E-2</v>
      </c>
    </row>
    <row r="4" spans="1:2" x14ac:dyDescent="0.25">
      <c r="A4" s="1" t="s">
        <v>158</v>
      </c>
      <c r="B4" s="1">
        <v>4.9000000000000002E-2</v>
      </c>
    </row>
    <row r="5" spans="1:2" x14ac:dyDescent="0.25">
      <c r="A5" s="1" t="s">
        <v>157</v>
      </c>
      <c r="B5" s="1">
        <v>0.05</v>
      </c>
    </row>
    <row r="6" spans="1:2" x14ac:dyDescent="0.25">
      <c r="A6" s="1" t="s">
        <v>156</v>
      </c>
      <c r="B6" s="1">
        <v>3.6999999999999998E-2</v>
      </c>
    </row>
    <row r="7" spans="1:2" x14ac:dyDescent="0.25">
      <c r="A7" s="1" t="s">
        <v>155</v>
      </c>
      <c r="B7" s="1">
        <v>2.9000000000000001E-2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164</v>
      </c>
      <c r="B2" s="1">
        <v>0.18</v>
      </c>
    </row>
    <row r="3" spans="1:2" x14ac:dyDescent="0.25">
      <c r="A3" s="1" t="s">
        <v>165</v>
      </c>
      <c r="B3" s="1">
        <v>0.08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155</v>
      </c>
      <c r="C1" t="s">
        <v>156</v>
      </c>
      <c r="D1" t="s">
        <v>157</v>
      </c>
      <c r="E1" t="s">
        <v>158</v>
      </c>
      <c r="F1" t="s">
        <v>104</v>
      </c>
      <c r="G1" t="s">
        <v>103</v>
      </c>
    </row>
    <row r="2" spans="1:7" x14ac:dyDescent="0.25">
      <c r="A2" t="s">
        <v>155</v>
      </c>
      <c r="B2">
        <v>1</v>
      </c>
      <c r="C2">
        <v>0.6</v>
      </c>
      <c r="D2">
        <v>0.2</v>
      </c>
      <c r="E2">
        <v>0.4</v>
      </c>
      <c r="F2">
        <v>0</v>
      </c>
      <c r="G2">
        <v>0</v>
      </c>
    </row>
    <row r="3" spans="1:7" x14ac:dyDescent="0.25">
      <c r="A3" t="s">
        <v>156</v>
      </c>
      <c r="B3">
        <v>0.6</v>
      </c>
      <c r="C3">
        <v>1</v>
      </c>
      <c r="D3">
        <v>0.7</v>
      </c>
      <c r="E3">
        <v>0.6</v>
      </c>
      <c r="F3">
        <v>0.3</v>
      </c>
      <c r="G3">
        <v>0.3</v>
      </c>
    </row>
    <row r="4" spans="1:7" x14ac:dyDescent="0.25">
      <c r="A4" t="s">
        <v>157</v>
      </c>
      <c r="B4">
        <v>0.2</v>
      </c>
      <c r="C4">
        <v>0.7</v>
      </c>
      <c r="D4">
        <v>1</v>
      </c>
      <c r="E4">
        <v>0.7</v>
      </c>
      <c r="F4">
        <v>0.7</v>
      </c>
      <c r="G4">
        <v>0.6</v>
      </c>
    </row>
    <row r="5" spans="1:7" x14ac:dyDescent="0.25">
      <c r="A5" t="s">
        <v>158</v>
      </c>
      <c r="B5">
        <v>0.4</v>
      </c>
      <c r="C5">
        <v>0.6</v>
      </c>
      <c r="D5">
        <v>0.7</v>
      </c>
      <c r="E5">
        <v>1</v>
      </c>
      <c r="F5">
        <v>0.5</v>
      </c>
      <c r="G5">
        <v>0.7</v>
      </c>
    </row>
    <row r="6" spans="1:7" x14ac:dyDescent="0.25">
      <c r="A6" t="s">
        <v>104</v>
      </c>
      <c r="B6">
        <v>0</v>
      </c>
      <c r="C6">
        <v>0.3</v>
      </c>
      <c r="D6">
        <v>0.7</v>
      </c>
      <c r="E6">
        <v>0.5</v>
      </c>
      <c r="F6">
        <v>1</v>
      </c>
      <c r="G6">
        <v>0.7</v>
      </c>
    </row>
    <row r="7" spans="1:7" x14ac:dyDescent="0.25">
      <c r="A7" t="s">
        <v>103</v>
      </c>
      <c r="B7">
        <v>0</v>
      </c>
      <c r="C7">
        <v>0.3</v>
      </c>
      <c r="D7">
        <v>0.6</v>
      </c>
      <c r="E7">
        <v>0.7</v>
      </c>
      <c r="F7">
        <v>0.7</v>
      </c>
      <c r="G7">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165</v>
      </c>
      <c r="C1" t="s">
        <v>164</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workbookViewId="0">
      <selection activeCell="Q3" sqref="Q3"/>
    </sheetView>
  </sheetViews>
  <sheetFormatPr defaultColWidth="8.7109375" defaultRowHeight="15" x14ac:dyDescent="0.25"/>
  <cols>
    <col min="1" max="2" width="8.7109375" style="1"/>
    <col min="3" max="3" width="11.28515625" style="1" customWidth="1"/>
    <col min="4" max="4" width="8.425781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5" t="s">
        <v>51</v>
      </c>
      <c r="C2" s="5" t="s">
        <v>52</v>
      </c>
      <c r="D2" s="5" t="s">
        <v>55</v>
      </c>
      <c r="E2" s="5" t="s">
        <v>64</v>
      </c>
      <c r="F2" s="5" t="s">
        <v>62</v>
      </c>
      <c r="G2" s="5" t="s">
        <v>63</v>
      </c>
      <c r="M2" s="5" t="s">
        <v>1</v>
      </c>
      <c r="N2" s="5" t="s">
        <v>52</v>
      </c>
      <c r="O2" s="5" t="s">
        <v>53</v>
      </c>
      <c r="P2" s="5" t="s">
        <v>54</v>
      </c>
      <c r="Q2" s="5" t="s">
        <v>55</v>
      </c>
      <c r="S2" s="5" t="s">
        <v>52</v>
      </c>
      <c r="T2" s="5" t="s">
        <v>56</v>
      </c>
    </row>
    <row r="3" spans="2:20" x14ac:dyDescent="0.2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13</v>
      </c>
      <c r="O3" s="5">
        <f>_xlfn.XLOOKUP(M3&amp;"-"&amp;N3,'Djøf Finance Workers'!D:D,'Djøf Finance Workers'!C:C,0,1)</f>
        <v>6202</v>
      </c>
      <c r="P3" s="5">
        <f>_xlfn.XLOOKUP(M3&amp;"-"&amp;N3,'Djøf Finance Hoppers'!D:D,'Djøf Finance Hoppers'!C:C,0,1)</f>
        <v>2524</v>
      </c>
      <c r="Q3" s="16">
        <f t="shared" ref="Q3:Q66" si="1">IF(O3&gt;0, P3/O3, 0)</f>
        <v>0.40696549500161239</v>
      </c>
      <c r="S3" s="5" t="s">
        <v>13</v>
      </c>
      <c r="T3" s="5">
        <f t="shared" ref="T3:T11" si="2">SUMIFS(Q:Q,N:N,S3)/(MAX($M$3:$M$101)-MIN($M$3:$M$101))</f>
        <v>0.51651947969596046</v>
      </c>
    </row>
    <row r="4" spans="2:20" x14ac:dyDescent="0.2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14</v>
      </c>
      <c r="O4" s="5">
        <f>_xlfn.XLOOKUP(M4&amp;"-"&amp;N4,'Djøf Finance Workers'!D:D,'Djøf Finance Workers'!C:C,0,1)</f>
        <v>8560</v>
      </c>
      <c r="P4" s="5">
        <f>_xlfn.XLOOKUP(M4&amp;"-"&amp;N4,'Djøf Finance Hoppers'!D:D,'Djøf Finance Hoppers'!C:C,0,1)</f>
        <v>2176</v>
      </c>
      <c r="Q4" s="16">
        <f t="shared" si="1"/>
        <v>0.25420560747663551</v>
      </c>
      <c r="S4" s="5" t="s">
        <v>14</v>
      </c>
      <c r="T4" s="5">
        <f t="shared" si="2"/>
        <v>0.33908020385851029</v>
      </c>
    </row>
    <row r="5" spans="2:20" x14ac:dyDescent="0.2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N</v>
      </c>
      <c r="F5" s="5" t="s">
        <v>61</v>
      </c>
      <c r="G5" s="5" t="str">
        <f>IF(JobHopping[[#This Row],[Age]]&lt;40,"",JobHopping[[#This Row],[SwitchP1Static]])</f>
        <v/>
      </c>
      <c r="M5" s="5">
        <v>2013</v>
      </c>
      <c r="N5" s="5" t="s">
        <v>15</v>
      </c>
      <c r="O5" s="5">
        <f>_xlfn.XLOOKUP(M5&amp;"-"&amp;N5,'Djøf Finance Workers'!D:D,'Djøf Finance Workers'!C:C,0,1)</f>
        <v>9790</v>
      </c>
      <c r="P5" s="5">
        <f>_xlfn.XLOOKUP(M5&amp;"-"&amp;N5,'Djøf Finance Hoppers'!D:D,'Djøf Finance Hoppers'!C:C,0,1)</f>
        <v>1896</v>
      </c>
      <c r="Q5" s="16">
        <f t="shared" si="1"/>
        <v>0.19366700715015323</v>
      </c>
      <c r="S5" s="5" t="s">
        <v>15</v>
      </c>
      <c r="T5" s="5">
        <f t="shared" si="2"/>
        <v>0.2624026948424838</v>
      </c>
    </row>
    <row r="6" spans="2:20" x14ac:dyDescent="0.2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16</v>
      </c>
      <c r="O6" s="5">
        <f>_xlfn.XLOOKUP(M6&amp;"-"&amp;N6,'Djøf Finance Workers'!D:D,'Djøf Finance Workers'!C:C,0,1)</f>
        <v>9383</v>
      </c>
      <c r="P6" s="5">
        <f>_xlfn.XLOOKUP(M6&amp;"-"&amp;N6,'Djøf Finance Hoppers'!D:D,'Djøf Finance Hoppers'!C:C,0,1)</f>
        <v>1579</v>
      </c>
      <c r="Q6" s="16">
        <f t="shared" si="1"/>
        <v>0.16828306511776617</v>
      </c>
      <c r="S6" s="5" t="s">
        <v>16</v>
      </c>
      <c r="T6" s="5">
        <f t="shared" si="2"/>
        <v>0.2213187304833609</v>
      </c>
    </row>
    <row r="7" spans="2:20" x14ac:dyDescent="0.2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17</v>
      </c>
      <c r="O7" s="5">
        <f>_xlfn.XLOOKUP(M7&amp;"-"&amp;N7,'Djøf Finance Workers'!D:D,'Djøf Finance Workers'!C:C,0,1)</f>
        <v>12762</v>
      </c>
      <c r="P7" s="5">
        <f>_xlfn.XLOOKUP(M7&amp;"-"&amp;N7,'Djøf Finance Hoppers'!D:D,'Djøf Finance Hoppers'!C:C,0,1)</f>
        <v>1915</v>
      </c>
      <c r="Q7" s="16">
        <f t="shared" si="1"/>
        <v>0.15005485033693777</v>
      </c>
      <c r="S7" s="5" t="s">
        <v>17</v>
      </c>
      <c r="T7" s="5">
        <f t="shared" si="2"/>
        <v>0.19929479981866399</v>
      </c>
    </row>
    <row r="8" spans="2:20" x14ac:dyDescent="0.2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18</v>
      </c>
      <c r="O8" s="5">
        <f>_xlfn.XLOOKUP(M8&amp;"-"&amp;N8,'Djøf Finance Workers'!D:D,'Djøf Finance Workers'!C:C,0,1)</f>
        <v>10587</v>
      </c>
      <c r="P8" s="5">
        <f>_xlfn.XLOOKUP(M8&amp;"-"&amp;N8,'Djøf Finance Hoppers'!D:D,'Djøf Finance Hoppers'!C:C,0,1)</f>
        <v>1462</v>
      </c>
      <c r="Q8" s="16">
        <f t="shared" si="1"/>
        <v>0.13809388873146311</v>
      </c>
      <c r="S8" s="5" t="s">
        <v>18</v>
      </c>
      <c r="T8" s="5">
        <f t="shared" si="2"/>
        <v>0.17668929185764676</v>
      </c>
    </row>
    <row r="9" spans="2:20" x14ac:dyDescent="0.25">
      <c r="B9" s="5">
        <v>31</v>
      </c>
      <c r="C9" s="5" t="str">
        <f t="shared" si="3"/>
        <v>30-34 år</v>
      </c>
      <c r="D9" s="16">
        <f t="shared" si="0"/>
        <v>0.33908020385851029</v>
      </c>
      <c r="E9" s="5" t="str">
        <f ca="1">IF(OR(JobHopping[[#This Row],[Age]]=25,JobHopping[[#This Row],[Age]]&gt;69),"N",IF(AND(E7="N",E8="N", RAND()&lt;=D9), "Y", "N"))</f>
        <v>N</v>
      </c>
      <c r="F9" s="5" t="s">
        <v>61</v>
      </c>
      <c r="G9" s="5" t="str">
        <f>IF(JobHopping[[#This Row],[Age]]&lt;40,"",JobHopping[[#This Row],[SwitchP1Static]])</f>
        <v/>
      </c>
      <c r="M9" s="5">
        <v>2013</v>
      </c>
      <c r="N9" s="5" t="s">
        <v>19</v>
      </c>
      <c r="O9" s="5">
        <f>_xlfn.XLOOKUP(M9&amp;"-"&amp;N9,'Djøf Finance Workers'!D:D,'Djøf Finance Workers'!C:C,0,1)</f>
        <v>8811</v>
      </c>
      <c r="P9" s="5">
        <f>_xlfn.XLOOKUP(M9&amp;"-"&amp;N9,'Djøf Finance Hoppers'!D:D,'Djøf Finance Hoppers'!C:C,0,1)</f>
        <v>1227</v>
      </c>
      <c r="Q9" s="16">
        <f t="shared" si="1"/>
        <v>0.13925774599931903</v>
      </c>
      <c r="S9" s="5" t="s">
        <v>19</v>
      </c>
      <c r="T9" s="5">
        <f t="shared" si="2"/>
        <v>0.15515674597479437</v>
      </c>
    </row>
    <row r="10" spans="2:20" x14ac:dyDescent="0.25">
      <c r="B10" s="5">
        <v>32</v>
      </c>
      <c r="C10" s="5" t="str">
        <f t="shared" si="3"/>
        <v>30-34 år</v>
      </c>
      <c r="D10" s="16">
        <f t="shared" si="0"/>
        <v>0.33908020385851029</v>
      </c>
      <c r="E10" s="5" t="str">
        <f ca="1">IF(OR(JobHopping[[#This Row],[Age]]=25,JobHopping[[#This Row],[Age]]&gt;69),"N",IF(AND(E8="N",E9="N", RAND()&lt;=D10), "Y", "N"))</f>
        <v>Y</v>
      </c>
      <c r="F10" s="5" t="s">
        <v>0</v>
      </c>
      <c r="G10" s="5" t="str">
        <f>IF(JobHopping[[#This Row],[Age]]&lt;40,"",JobHopping[[#This Row],[SwitchP1Static]])</f>
        <v/>
      </c>
      <c r="M10" s="5">
        <v>2013</v>
      </c>
      <c r="N10" s="5" t="s">
        <v>20</v>
      </c>
      <c r="O10" s="5">
        <f>_xlfn.XLOOKUP(M10&amp;"-"&amp;N10,'Djøf Finance Workers'!D:D,'Djøf Finance Workers'!C:C,0,1)</f>
        <v>5072</v>
      </c>
      <c r="P10" s="5">
        <f>_xlfn.XLOOKUP(M10&amp;"-"&amp;N10,'Djøf Finance Hoppers'!D:D,'Djøf Finance Hoppers'!C:C,0,1)</f>
        <v>667</v>
      </c>
      <c r="Q10" s="16">
        <f t="shared" si="1"/>
        <v>0.13150630914826497</v>
      </c>
      <c r="S10" s="5" t="s">
        <v>20</v>
      </c>
      <c r="T10" s="5">
        <f t="shared" si="2"/>
        <v>0.13997311637990331</v>
      </c>
    </row>
    <row r="11" spans="2:20" x14ac:dyDescent="0.2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21</v>
      </c>
      <c r="O11" s="5">
        <f>_xlfn.XLOOKUP(M11&amp;"-"&amp;N11,'Djøf Finance Workers'!D:D,'Djøf Finance Workers'!C:C,0,1)</f>
        <v>1539</v>
      </c>
      <c r="P11" s="5">
        <f>_xlfn.XLOOKUP(M11&amp;"-"&amp;N11,'Djøf Finance Hoppers'!D:D,'Djøf Finance Hoppers'!C:C,0,1)</f>
        <v>224</v>
      </c>
      <c r="Q11" s="16">
        <f t="shared" si="1"/>
        <v>0.14554905782975958</v>
      </c>
      <c r="S11" s="5" t="s">
        <v>21</v>
      </c>
      <c r="T11" s="5">
        <f t="shared" si="2"/>
        <v>0.11691873000664299</v>
      </c>
    </row>
    <row r="12" spans="2:20" x14ac:dyDescent="0.2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13</v>
      </c>
      <c r="O12" s="5">
        <f>_xlfn.XLOOKUP(M12&amp;"-"&amp;N12,'Djøf Finance Workers'!D:D,'Djøf Finance Workers'!C:C,0,1)</f>
        <v>6041</v>
      </c>
      <c r="P12" s="5">
        <f>_xlfn.XLOOKUP(M12&amp;"-"&amp;N12,'Djøf Finance Hoppers'!D:D,'Djøf Finance Hoppers'!C:C,0,1)</f>
        <v>2521</v>
      </c>
      <c r="Q12" s="16">
        <f t="shared" si="1"/>
        <v>0.41731501407051813</v>
      </c>
    </row>
    <row r="13" spans="2:20" x14ac:dyDescent="0.25">
      <c r="B13" s="5">
        <v>35</v>
      </c>
      <c r="C13" s="5" t="str">
        <f t="shared" si="3"/>
        <v>35-39 år</v>
      </c>
      <c r="D13" s="16">
        <f t="shared" si="0"/>
        <v>0.2624026948424838</v>
      </c>
      <c r="E13" s="5" t="str">
        <f ca="1">IF(OR(JobHopping[[#This Row],[Age]]=25,JobHopping[[#This Row],[Age]]&gt;69),"N",IF(AND(E11="N",E12="N", RAND()&lt;=D13), "Y", "N"))</f>
        <v>Y</v>
      </c>
      <c r="F13" s="5" t="s">
        <v>61</v>
      </c>
      <c r="G13" s="5" t="str">
        <f>IF(JobHopping[[#This Row],[Age]]&lt;40,"",JobHopping[[#This Row],[SwitchP1Static]])</f>
        <v/>
      </c>
      <c r="M13" s="5">
        <v>2014</v>
      </c>
      <c r="N13" s="5" t="s">
        <v>14</v>
      </c>
      <c r="O13" s="5">
        <f>_xlfn.XLOOKUP(M13&amp;"-"&amp;N13,'Djøf Finance Workers'!D:D,'Djøf Finance Workers'!C:C,0,1)</f>
        <v>8203</v>
      </c>
      <c r="P13" s="5">
        <f>_xlfn.XLOOKUP(M13&amp;"-"&amp;N13,'Djøf Finance Hoppers'!D:D,'Djøf Finance Hoppers'!C:C,0,1)</f>
        <v>2178</v>
      </c>
      <c r="Q13" s="16">
        <f t="shared" si="1"/>
        <v>0.26551261733512127</v>
      </c>
    </row>
    <row r="14" spans="2:20" x14ac:dyDescent="0.2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15</v>
      </c>
      <c r="O14" s="5">
        <f>_xlfn.XLOOKUP(M14&amp;"-"&amp;N14,'Djøf Finance Workers'!D:D,'Djøf Finance Workers'!C:C,0,1)</f>
        <v>9972</v>
      </c>
      <c r="P14" s="5">
        <f>_xlfn.XLOOKUP(M14&amp;"-"&amp;N14,'Djøf Finance Hoppers'!D:D,'Djøf Finance Hoppers'!C:C,0,1)</f>
        <v>2066</v>
      </c>
      <c r="Q14" s="16">
        <f t="shared" si="1"/>
        <v>0.20718010429201764</v>
      </c>
    </row>
    <row r="15" spans="2:20" x14ac:dyDescent="0.2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16</v>
      </c>
      <c r="O15" s="5">
        <f>_xlfn.XLOOKUP(M15&amp;"-"&amp;N15,'Djøf Finance Workers'!D:D,'Djøf Finance Workers'!C:C,0,1)</f>
        <v>9409</v>
      </c>
      <c r="P15" s="5">
        <f>_xlfn.XLOOKUP(M15&amp;"-"&amp;N15,'Djøf Finance Hoppers'!D:D,'Djøf Finance Hoppers'!C:C,0,1)</f>
        <v>1647</v>
      </c>
      <c r="Q15" s="16">
        <f t="shared" si="1"/>
        <v>0.17504516951854607</v>
      </c>
    </row>
    <row r="16" spans="2:20" x14ac:dyDescent="0.2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17</v>
      </c>
      <c r="O16" s="5">
        <f>_xlfn.XLOOKUP(M16&amp;"-"&amp;N16,'Djøf Finance Workers'!D:D,'Djøf Finance Workers'!C:C,0,1)</f>
        <v>12377</v>
      </c>
      <c r="P16" s="5">
        <f>_xlfn.XLOOKUP(M16&amp;"-"&amp;N16,'Djøf Finance Hoppers'!D:D,'Djøf Finance Hoppers'!C:C,0,1)</f>
        <v>1953</v>
      </c>
      <c r="Q16" s="16">
        <f t="shared" si="1"/>
        <v>0.15779267997091379</v>
      </c>
    </row>
    <row r="17" spans="2:17" x14ac:dyDescent="0.25">
      <c r="B17" s="5">
        <v>39</v>
      </c>
      <c r="C17" s="5" t="str">
        <f t="shared" si="3"/>
        <v>35-39 år</v>
      </c>
      <c r="D17" s="16">
        <f t="shared" si="0"/>
        <v>0.2624026948424838</v>
      </c>
      <c r="E17" s="5" t="str">
        <f ca="1">IF(OR(JobHopping[[#This Row],[Age]]=25,JobHopping[[#This Row],[Age]]&gt;69),"N",IF(AND(E15="N",E16="N", RAND()&lt;=D17), "Y", "N"))</f>
        <v>N</v>
      </c>
      <c r="F17" s="5" t="s">
        <v>61</v>
      </c>
      <c r="G17" s="5" t="str">
        <f>IF(JobHopping[[#This Row],[Age]]&lt;40,"",JobHopping[[#This Row],[SwitchP1Static]])</f>
        <v/>
      </c>
      <c r="M17" s="5">
        <v>2014</v>
      </c>
      <c r="N17" s="5" t="s">
        <v>18</v>
      </c>
      <c r="O17" s="5">
        <f>_xlfn.XLOOKUP(M17&amp;"-"&amp;N17,'Djøf Finance Workers'!D:D,'Djøf Finance Workers'!C:C,0,1)</f>
        <v>10828</v>
      </c>
      <c r="P17" s="5">
        <f>_xlfn.XLOOKUP(M17&amp;"-"&amp;N17,'Djøf Finance Hoppers'!D:D,'Djøf Finance Hoppers'!C:C,0,1)</f>
        <v>1636</v>
      </c>
      <c r="Q17" s="16">
        <f t="shared" si="1"/>
        <v>0.15108976727004064</v>
      </c>
    </row>
    <row r="18" spans="2:17" x14ac:dyDescent="0.2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19</v>
      </c>
      <c r="O18" s="5">
        <f>_xlfn.XLOOKUP(M18&amp;"-"&amp;N18,'Djøf Finance Workers'!D:D,'Djøf Finance Workers'!C:C,0,1)</f>
        <v>8888</v>
      </c>
      <c r="P18" s="5">
        <f>_xlfn.XLOOKUP(M18&amp;"-"&amp;N18,'Djøf Finance Hoppers'!D:D,'Djøf Finance Hoppers'!C:C,0,1)</f>
        <v>1231</v>
      </c>
      <c r="Q18" s="16">
        <f t="shared" si="1"/>
        <v>0.1385013501350135</v>
      </c>
    </row>
    <row r="19" spans="2:17" x14ac:dyDescent="0.2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20</v>
      </c>
      <c r="O19" s="5">
        <f>_xlfn.XLOOKUP(M19&amp;"-"&amp;N19,'Djøf Finance Workers'!D:D,'Djøf Finance Workers'!C:C,0,1)</f>
        <v>5141</v>
      </c>
      <c r="P19" s="5">
        <f>_xlfn.XLOOKUP(M19&amp;"-"&amp;N19,'Djøf Finance Hoppers'!D:D,'Djøf Finance Hoppers'!C:C,0,1)</f>
        <v>706</v>
      </c>
      <c r="Q19" s="16">
        <f t="shared" si="1"/>
        <v>0.13732736821630034</v>
      </c>
    </row>
    <row r="20" spans="2:17" x14ac:dyDescent="0.2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21</v>
      </c>
      <c r="O20" s="5">
        <f>_xlfn.XLOOKUP(M20&amp;"-"&amp;N20,'Djøf Finance Workers'!D:D,'Djøf Finance Workers'!C:C,0,1)</f>
        <v>1600</v>
      </c>
      <c r="P20" s="5">
        <f>_xlfn.XLOOKUP(M20&amp;"-"&amp;N20,'Djøf Finance Hoppers'!D:D,'Djøf Finance Hoppers'!C:C,0,1)</f>
        <v>204</v>
      </c>
      <c r="Q20" s="16">
        <f t="shared" si="1"/>
        <v>0.1275</v>
      </c>
    </row>
    <row r="21" spans="2:17" x14ac:dyDescent="0.25">
      <c r="B21" s="5">
        <v>43</v>
      </c>
      <c r="C21" s="5" t="str">
        <f t="shared" si="3"/>
        <v>40-44 år</v>
      </c>
      <c r="D21" s="16">
        <f t="shared" si="0"/>
        <v>0.2213187304833609</v>
      </c>
      <c r="E21" s="5" t="str">
        <f ca="1">IF(OR(JobHopping[[#This Row],[Age]]=25,JobHopping[[#This Row],[Age]]&gt;69),"N",IF(AND(E19="N",E20="N", RAND()&lt;=D21), "Y", "N"))</f>
        <v>N</v>
      </c>
      <c r="F21" s="5" t="s">
        <v>61</v>
      </c>
      <c r="G21" s="5" t="str">
        <f>IF(JobHopping[[#This Row],[Age]]&lt;40,"",JobHopping[[#This Row],[SwitchP1Static]])</f>
        <v>Y</v>
      </c>
      <c r="M21" s="5">
        <v>2015</v>
      </c>
      <c r="N21" s="5" t="s">
        <v>13</v>
      </c>
      <c r="O21" s="5">
        <f>_xlfn.XLOOKUP(M21&amp;"-"&amp;N21,'Djøf Finance Workers'!D:D,'Djøf Finance Workers'!C:C,0,1)</f>
        <v>5834</v>
      </c>
      <c r="P21" s="5">
        <f>_xlfn.XLOOKUP(M21&amp;"-"&amp;N21,'Djøf Finance Hoppers'!D:D,'Djøf Finance Hoppers'!C:C,0,1)</f>
        <v>2715</v>
      </c>
      <c r="Q21" s="16">
        <f t="shared" si="1"/>
        <v>0.46537538567020914</v>
      </c>
    </row>
    <row r="22" spans="2:17" x14ac:dyDescent="0.2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14</v>
      </c>
      <c r="O22" s="5">
        <f>_xlfn.XLOOKUP(M22&amp;"-"&amp;N22,'Djøf Finance Workers'!D:D,'Djøf Finance Workers'!C:C,0,1)</f>
        <v>7834</v>
      </c>
      <c r="P22" s="5">
        <f>_xlfn.XLOOKUP(M22&amp;"-"&amp;N22,'Djøf Finance Hoppers'!D:D,'Djøf Finance Hoppers'!C:C,0,1)</f>
        <v>2473</v>
      </c>
      <c r="Q22" s="16">
        <f t="shared" si="1"/>
        <v>0.31567526167985704</v>
      </c>
    </row>
    <row r="23" spans="2:17" x14ac:dyDescent="0.2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15</v>
      </c>
      <c r="O23" s="5">
        <f>_xlfn.XLOOKUP(M23&amp;"-"&amp;N23,'Djøf Finance Workers'!D:D,'Djøf Finance Workers'!C:C,0,1)</f>
        <v>9897</v>
      </c>
      <c r="P23" s="5">
        <f>_xlfn.XLOOKUP(M23&amp;"-"&amp;N23,'Djøf Finance Hoppers'!D:D,'Djøf Finance Hoppers'!C:C,0,1)</f>
        <v>2378</v>
      </c>
      <c r="Q23" s="16">
        <f t="shared" si="1"/>
        <v>0.24027483075679498</v>
      </c>
    </row>
    <row r="24" spans="2:17" x14ac:dyDescent="0.2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16</v>
      </c>
      <c r="O24" s="5">
        <f>_xlfn.XLOOKUP(M24&amp;"-"&amp;N24,'Djøf Finance Workers'!D:D,'Djøf Finance Workers'!C:C,0,1)</f>
        <v>9571</v>
      </c>
      <c r="P24" s="5">
        <f>_xlfn.XLOOKUP(M24&amp;"-"&amp;N24,'Djøf Finance Hoppers'!D:D,'Djøf Finance Hoppers'!C:C,0,1)</f>
        <v>1902</v>
      </c>
      <c r="Q24" s="16">
        <f t="shared" si="1"/>
        <v>0.19872531605892801</v>
      </c>
    </row>
    <row r="25" spans="2:17" x14ac:dyDescent="0.25">
      <c r="B25" s="5">
        <v>47</v>
      </c>
      <c r="C25" s="5" t="str">
        <f t="shared" si="3"/>
        <v>45-49 år</v>
      </c>
      <c r="D25" s="16">
        <f t="shared" si="0"/>
        <v>0.19929479981866399</v>
      </c>
      <c r="E25" s="5" t="str">
        <f ca="1">IF(OR(JobHopping[[#This Row],[Age]]=25,JobHopping[[#This Row],[Age]]&gt;69),"N",IF(AND(E23="N",E24="N", RAND()&lt;=D25), "Y", "N"))</f>
        <v>N</v>
      </c>
      <c r="F25" s="5" t="s">
        <v>61</v>
      </c>
      <c r="G25" s="5" t="str">
        <f>IF(JobHopping[[#This Row],[Age]]&lt;40,"",JobHopping[[#This Row],[SwitchP1Static]])</f>
        <v>Y</v>
      </c>
      <c r="M25" s="5">
        <v>2015</v>
      </c>
      <c r="N25" s="5" t="s">
        <v>17</v>
      </c>
      <c r="O25" s="5">
        <f>_xlfn.XLOOKUP(M25&amp;"-"&amp;N25,'Djøf Finance Workers'!D:D,'Djøf Finance Workers'!C:C,0,1)</f>
        <v>11603</v>
      </c>
      <c r="P25" s="5">
        <f>_xlfn.XLOOKUP(M25&amp;"-"&amp;N25,'Djøf Finance Hoppers'!D:D,'Djøf Finance Hoppers'!C:C,0,1)</f>
        <v>2085</v>
      </c>
      <c r="Q25" s="16">
        <f t="shared" si="1"/>
        <v>0.17969490648970093</v>
      </c>
    </row>
    <row r="26" spans="2:17" x14ac:dyDescent="0.2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18</v>
      </c>
      <c r="O26" s="5">
        <f>_xlfn.XLOOKUP(M26&amp;"-"&amp;N26,'Djøf Finance Workers'!D:D,'Djøf Finance Workers'!C:C,0,1)</f>
        <v>11160</v>
      </c>
      <c r="P26" s="5">
        <f>_xlfn.XLOOKUP(M26&amp;"-"&amp;N26,'Djøf Finance Hoppers'!D:D,'Djøf Finance Hoppers'!C:C,0,1)</f>
        <v>1717</v>
      </c>
      <c r="Q26" s="16">
        <f t="shared" si="1"/>
        <v>0.15385304659498208</v>
      </c>
    </row>
    <row r="27" spans="2:17" x14ac:dyDescent="0.2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19</v>
      </c>
      <c r="O27" s="5">
        <f>_xlfn.XLOOKUP(M27&amp;"-"&amp;N27,'Djøf Finance Workers'!D:D,'Djøf Finance Workers'!C:C,0,1)</f>
        <v>8969</v>
      </c>
      <c r="P27" s="5">
        <f>_xlfn.XLOOKUP(M27&amp;"-"&amp;N27,'Djøf Finance Hoppers'!D:D,'Djøf Finance Hoppers'!C:C,0,1)</f>
        <v>1226</v>
      </c>
      <c r="Q27" s="16">
        <f t="shared" si="1"/>
        <v>0.13669305385215744</v>
      </c>
    </row>
    <row r="28" spans="2:17" x14ac:dyDescent="0.2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20</v>
      </c>
      <c r="O28" s="5">
        <f>_xlfn.XLOOKUP(M28&amp;"-"&amp;N28,'Djøf Finance Workers'!D:D,'Djøf Finance Workers'!C:C,0,1)</f>
        <v>5167</v>
      </c>
      <c r="P28" s="5">
        <f>_xlfn.XLOOKUP(M28&amp;"-"&amp;N28,'Djøf Finance Hoppers'!D:D,'Djøf Finance Hoppers'!C:C,0,1)</f>
        <v>583</v>
      </c>
      <c r="Q28" s="16">
        <f t="shared" si="1"/>
        <v>0.11283143023030773</v>
      </c>
    </row>
    <row r="29" spans="2:17" x14ac:dyDescent="0.2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21</v>
      </c>
      <c r="O29" s="5">
        <f>_xlfn.XLOOKUP(M29&amp;"-"&amp;N29,'Djøf Finance Workers'!D:D,'Djøf Finance Workers'!C:C,0,1)</f>
        <v>1642</v>
      </c>
      <c r="P29" s="5">
        <f>_xlfn.XLOOKUP(M29&amp;"-"&amp;N29,'Djøf Finance Hoppers'!D:D,'Djøf Finance Hoppers'!C:C,0,1)</f>
        <v>211</v>
      </c>
      <c r="Q29" s="16">
        <f t="shared" si="1"/>
        <v>0.12850182704019489</v>
      </c>
    </row>
    <row r="30" spans="2:17" x14ac:dyDescent="0.25">
      <c r="B30" s="5">
        <v>52</v>
      </c>
      <c r="C30" s="5" t="str">
        <f t="shared" si="3"/>
        <v>50-54 år</v>
      </c>
      <c r="D30" s="16">
        <f t="shared" si="0"/>
        <v>0.17668929185764676</v>
      </c>
      <c r="E30" s="5" t="str">
        <f ca="1">IF(OR(JobHopping[[#This Row],[Age]]=25,JobHopping[[#This Row],[Age]]&gt;69),"N",IF(AND(E28="N",E29="N", RAND()&lt;=D30), "Y", "N"))</f>
        <v>Y</v>
      </c>
      <c r="F30" s="5" t="s">
        <v>0</v>
      </c>
      <c r="G30" s="5" t="str">
        <f>IF(JobHopping[[#This Row],[Age]]&lt;40,"",JobHopping[[#This Row],[SwitchP1Static]])</f>
        <v>N</v>
      </c>
      <c r="M30" s="5">
        <v>2016</v>
      </c>
      <c r="N30" s="5" t="s">
        <v>13</v>
      </c>
      <c r="O30" s="5">
        <f>_xlfn.XLOOKUP(M30&amp;"-"&amp;N30,'Djøf Finance Workers'!D:D,'Djøf Finance Workers'!C:C,0,1)</f>
        <v>5701</v>
      </c>
      <c r="P30" s="5">
        <f>_xlfn.XLOOKUP(M30&amp;"-"&amp;N30,'Djøf Finance Hoppers'!D:D,'Djøf Finance Hoppers'!C:C,0,1)</f>
        <v>3005</v>
      </c>
      <c r="Q30" s="16">
        <f t="shared" si="1"/>
        <v>0.52710050868268721</v>
      </c>
    </row>
    <row r="31" spans="2:17" x14ac:dyDescent="0.2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14</v>
      </c>
      <c r="O31" s="5">
        <f>_xlfn.XLOOKUP(M31&amp;"-"&amp;N31,'Djøf Finance Workers'!D:D,'Djøf Finance Workers'!C:C,0,1)</f>
        <v>7831</v>
      </c>
      <c r="P31" s="5">
        <f>_xlfn.XLOOKUP(M31&amp;"-"&amp;N31,'Djøf Finance Hoppers'!D:D,'Djøf Finance Hoppers'!C:C,0,1)</f>
        <v>2584</v>
      </c>
      <c r="Q31" s="16">
        <f t="shared" si="1"/>
        <v>0.32997062954922746</v>
      </c>
    </row>
    <row r="32" spans="2:17" x14ac:dyDescent="0.2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15</v>
      </c>
      <c r="O32" s="5">
        <f>_xlfn.XLOOKUP(M32&amp;"-"&amp;N32,'Djøf Finance Workers'!D:D,'Djøf Finance Workers'!C:C,0,1)</f>
        <v>9564</v>
      </c>
      <c r="P32" s="5">
        <f>_xlfn.XLOOKUP(M32&amp;"-"&amp;N32,'Djøf Finance Hoppers'!D:D,'Djøf Finance Hoppers'!C:C,0,1)</f>
        <v>2311</v>
      </c>
      <c r="Q32" s="16">
        <f t="shared" si="1"/>
        <v>0.24163529903805939</v>
      </c>
    </row>
    <row r="33" spans="2:17" x14ac:dyDescent="0.2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16</v>
      </c>
      <c r="O33" s="5">
        <f>_xlfn.XLOOKUP(M33&amp;"-"&amp;N33,'Djøf Finance Workers'!D:D,'Djøf Finance Workers'!C:C,0,1)</f>
        <v>9711</v>
      </c>
      <c r="P33" s="5">
        <f>_xlfn.XLOOKUP(M33&amp;"-"&amp;N33,'Djøf Finance Hoppers'!D:D,'Djøf Finance Hoppers'!C:C,0,1)</f>
        <v>2111</v>
      </c>
      <c r="Q33" s="16">
        <f t="shared" si="1"/>
        <v>0.21738234991247041</v>
      </c>
    </row>
    <row r="34" spans="2:17" x14ac:dyDescent="0.25">
      <c r="B34" s="5">
        <v>56</v>
      </c>
      <c r="C34" s="5" t="str">
        <f t="shared" si="3"/>
        <v>55-59 år</v>
      </c>
      <c r="D34" s="16">
        <f t="shared" si="0"/>
        <v>0.15515674597479437</v>
      </c>
      <c r="E34" s="5" t="str">
        <f ca="1">IF(OR(JobHopping[[#This Row],[Age]]=25,JobHopping[[#This Row],[Age]]&gt;69),"N",IF(AND(E32="N",E33="N", RAND()&lt;=D34), "Y", "N"))</f>
        <v>Y</v>
      </c>
      <c r="F34" s="5" t="s">
        <v>0</v>
      </c>
      <c r="G34" s="5" t="str">
        <f>IF(JobHopping[[#This Row],[Age]]&lt;40,"",JobHopping[[#This Row],[SwitchP1Static]])</f>
        <v>N</v>
      </c>
      <c r="M34" s="5">
        <v>2016</v>
      </c>
      <c r="N34" s="5" t="s">
        <v>17</v>
      </c>
      <c r="O34" s="5">
        <f>_xlfn.XLOOKUP(M34&amp;"-"&amp;N34,'Djøf Finance Workers'!D:D,'Djøf Finance Workers'!C:C,0,1)</f>
        <v>10533</v>
      </c>
      <c r="P34" s="5">
        <f>_xlfn.XLOOKUP(M34&amp;"-"&amp;N34,'Djøf Finance Hoppers'!D:D,'Djøf Finance Hoppers'!C:C,0,1)</f>
        <v>2000</v>
      </c>
      <c r="Q34" s="16">
        <f t="shared" si="1"/>
        <v>0.18987942656413179</v>
      </c>
    </row>
    <row r="35" spans="2:17" x14ac:dyDescent="0.2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18</v>
      </c>
      <c r="O35" s="5">
        <f>_xlfn.XLOOKUP(M35&amp;"-"&amp;N35,'Djøf Finance Workers'!D:D,'Djøf Finance Workers'!C:C,0,1)</f>
        <v>11490</v>
      </c>
      <c r="P35" s="5">
        <f>_xlfn.XLOOKUP(M35&amp;"-"&amp;N35,'Djøf Finance Hoppers'!D:D,'Djøf Finance Hoppers'!C:C,0,1)</f>
        <v>1808</v>
      </c>
      <c r="Q35" s="16">
        <f t="shared" si="1"/>
        <v>0.15735422106179286</v>
      </c>
    </row>
    <row r="36" spans="2:17" x14ac:dyDescent="0.2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19</v>
      </c>
      <c r="O36" s="5">
        <f>_xlfn.XLOOKUP(M36&amp;"-"&amp;N36,'Djøf Finance Workers'!D:D,'Djøf Finance Workers'!C:C,0,1)</f>
        <v>9121</v>
      </c>
      <c r="P36" s="5">
        <f>_xlfn.XLOOKUP(M36&amp;"-"&amp;N36,'Djøf Finance Hoppers'!D:D,'Djøf Finance Hoppers'!C:C,0,1)</f>
        <v>1301</v>
      </c>
      <c r="Q36" s="16">
        <f t="shared" si="1"/>
        <v>0.14263786865475278</v>
      </c>
    </row>
    <row r="37" spans="2:17" x14ac:dyDescent="0.25">
      <c r="B37" s="5">
        <v>59</v>
      </c>
      <c r="C37" s="5" t="str">
        <f t="shared" si="3"/>
        <v>55-59 år</v>
      </c>
      <c r="D37" s="16">
        <f t="shared" si="4"/>
        <v>0.15515674597479437</v>
      </c>
      <c r="E37" s="5" t="str">
        <f ca="1">IF(OR(JobHopping[[#This Row],[Age]]=25,JobHopping[[#This Row],[Age]]&gt;69),"N",IF(AND(E35="N",E36="N", RAND()&lt;=D37), "Y", "N"))</f>
        <v>Y</v>
      </c>
      <c r="F37" s="5" t="s">
        <v>0</v>
      </c>
      <c r="G37" s="5" t="str">
        <f>IF(JobHopping[[#This Row],[Age]]&lt;40,"",JobHopping[[#This Row],[SwitchP1Static]])</f>
        <v>N</v>
      </c>
      <c r="M37" s="5">
        <v>2016</v>
      </c>
      <c r="N37" s="5" t="s">
        <v>20</v>
      </c>
      <c r="O37" s="5">
        <f>_xlfn.XLOOKUP(M37&amp;"-"&amp;N37,'Djøf Finance Workers'!D:D,'Djøf Finance Workers'!C:C,0,1)</f>
        <v>5304</v>
      </c>
      <c r="P37" s="5">
        <f>_xlfn.XLOOKUP(M37&amp;"-"&amp;N37,'Djøf Finance Hoppers'!D:D,'Djøf Finance Hoppers'!C:C,0,1)</f>
        <v>708</v>
      </c>
      <c r="Q37" s="16">
        <f t="shared" si="1"/>
        <v>0.1334841628959276</v>
      </c>
    </row>
    <row r="38" spans="2:17" x14ac:dyDescent="0.25">
      <c r="B38" s="5">
        <v>60</v>
      </c>
      <c r="C38" s="5" t="str">
        <f t="shared" si="3"/>
        <v>60-64 år</v>
      </c>
      <c r="D38" s="16">
        <f t="shared" si="4"/>
        <v>0.13997311637990331</v>
      </c>
      <c r="E38" s="5" t="str">
        <f ca="1">IF(OR(JobHopping[[#This Row],[Age]]=25,JobHopping[[#This Row],[Age]]&gt;69),"N",IF(AND(E36="N",E37="N", RAND()&lt;=D38), "Y", "N"))</f>
        <v>N</v>
      </c>
      <c r="F38" s="5" t="s">
        <v>61</v>
      </c>
      <c r="G38" s="5" t="str">
        <f>IF(JobHopping[[#This Row],[Age]]&lt;40,"",JobHopping[[#This Row],[SwitchP1Static]])</f>
        <v>Y</v>
      </c>
      <c r="M38" s="5">
        <v>2016</v>
      </c>
      <c r="N38" s="5" t="s">
        <v>21</v>
      </c>
      <c r="O38" s="5">
        <f>_xlfn.XLOOKUP(M38&amp;"-"&amp;N38,'Djøf Finance Workers'!D:D,'Djøf Finance Workers'!C:C,0,1)</f>
        <v>1680</v>
      </c>
      <c r="P38" s="5">
        <f>_xlfn.XLOOKUP(M38&amp;"-"&amp;N38,'Djøf Finance Hoppers'!D:D,'Djøf Finance Hoppers'!C:C,0,1)</f>
        <v>183</v>
      </c>
      <c r="Q38" s="16">
        <f t="shared" si="1"/>
        <v>0.10892857142857143</v>
      </c>
    </row>
    <row r="39" spans="2:17" x14ac:dyDescent="0.2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13</v>
      </c>
      <c r="O39" s="5">
        <f>_xlfn.XLOOKUP(M39&amp;"-"&amp;N39,'Djøf Finance Workers'!D:D,'Djøf Finance Workers'!C:C,0,1)</f>
        <v>5951</v>
      </c>
      <c r="P39" s="5">
        <f>_xlfn.XLOOKUP(M39&amp;"-"&amp;N39,'Djøf Finance Hoppers'!D:D,'Djøf Finance Hoppers'!C:C,0,1)</f>
        <v>3106</v>
      </c>
      <c r="Q39" s="16">
        <f t="shared" si="1"/>
        <v>0.52192908754831124</v>
      </c>
    </row>
    <row r="40" spans="2:17" x14ac:dyDescent="0.2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14</v>
      </c>
      <c r="O40" s="5">
        <f>_xlfn.XLOOKUP(M40&amp;"-"&amp;N40,'Djøf Finance Workers'!D:D,'Djøf Finance Workers'!C:C,0,1)</f>
        <v>8016</v>
      </c>
      <c r="P40" s="5">
        <f>_xlfn.XLOOKUP(M40&amp;"-"&amp;N40,'Djøf Finance Hoppers'!D:D,'Djøf Finance Hoppers'!C:C,0,1)</f>
        <v>2692</v>
      </c>
      <c r="Q40" s="16">
        <f t="shared" si="1"/>
        <v>0.33582834331337325</v>
      </c>
    </row>
    <row r="41" spans="2:17" x14ac:dyDescent="0.2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15</v>
      </c>
      <c r="O41" s="5">
        <f>_xlfn.XLOOKUP(M41&amp;"-"&amp;N41,'Djøf Finance Workers'!D:D,'Djøf Finance Workers'!C:C,0,1)</f>
        <v>9344</v>
      </c>
      <c r="P41" s="5">
        <f>_xlfn.XLOOKUP(M41&amp;"-"&amp;N41,'Djøf Finance Hoppers'!D:D,'Djøf Finance Hoppers'!C:C,0,1)</f>
        <v>2452</v>
      </c>
      <c r="Q41" s="16">
        <f t="shared" si="1"/>
        <v>0.26241438356164382</v>
      </c>
    </row>
    <row r="42" spans="2:17" x14ac:dyDescent="0.2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16</v>
      </c>
      <c r="O42" s="5">
        <f>_xlfn.XLOOKUP(M42&amp;"-"&amp;N42,'Djøf Finance Workers'!D:D,'Djøf Finance Workers'!C:C,0,1)</f>
        <v>9699</v>
      </c>
      <c r="P42" s="5">
        <f>_xlfn.XLOOKUP(M42&amp;"-"&amp;N42,'Djøf Finance Hoppers'!D:D,'Djøf Finance Hoppers'!C:C,0,1)</f>
        <v>2105</v>
      </c>
      <c r="Q42" s="16">
        <f t="shared" si="1"/>
        <v>0.21703268378183319</v>
      </c>
    </row>
    <row r="43" spans="2:17" x14ac:dyDescent="0.2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17</v>
      </c>
      <c r="O43" s="5">
        <f>_xlfn.XLOOKUP(M43&amp;"-"&amp;N43,'Djøf Finance Workers'!D:D,'Djøf Finance Workers'!C:C,0,1)</f>
        <v>9778</v>
      </c>
      <c r="P43" s="5">
        <f>_xlfn.XLOOKUP(M43&amp;"-"&amp;N43,'Djøf Finance Hoppers'!D:D,'Djøf Finance Hoppers'!C:C,0,1)</f>
        <v>1892</v>
      </c>
      <c r="Q43" s="16">
        <f t="shared" si="1"/>
        <v>0.19349560237267335</v>
      </c>
    </row>
    <row r="44" spans="2:17" x14ac:dyDescent="0.2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18</v>
      </c>
      <c r="O44" s="5">
        <f>_xlfn.XLOOKUP(M44&amp;"-"&amp;N44,'Djøf Finance Workers'!D:D,'Djøf Finance Workers'!C:C,0,1)</f>
        <v>11940</v>
      </c>
      <c r="P44" s="5">
        <f>_xlfn.XLOOKUP(M44&amp;"-"&amp;N44,'Djøf Finance Hoppers'!D:D,'Djøf Finance Hoppers'!C:C,0,1)</f>
        <v>2042</v>
      </c>
      <c r="Q44" s="16">
        <f t="shared" si="1"/>
        <v>0.1710217755443886</v>
      </c>
    </row>
    <row r="45" spans="2:17" x14ac:dyDescent="0.2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19</v>
      </c>
      <c r="O45" s="5">
        <f>_xlfn.XLOOKUP(M45&amp;"-"&amp;N45,'Djøf Finance Workers'!D:D,'Djøf Finance Workers'!C:C,0,1)</f>
        <v>9231</v>
      </c>
      <c r="P45" s="5">
        <f>_xlfn.XLOOKUP(M45&amp;"-"&amp;N45,'Djøf Finance Hoppers'!D:D,'Djøf Finance Hoppers'!C:C,0,1)</f>
        <v>1410</v>
      </c>
      <c r="Q45" s="16">
        <f t="shared" si="1"/>
        <v>0.15274618134546636</v>
      </c>
    </row>
    <row r="46" spans="2:17" x14ac:dyDescent="0.2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20</v>
      </c>
      <c r="O46" s="5">
        <f>_xlfn.XLOOKUP(M46&amp;"-"&amp;N46,'Djøf Finance Workers'!D:D,'Djøf Finance Workers'!C:C,0,1)</f>
        <v>5403</v>
      </c>
      <c r="P46" s="5">
        <f>_xlfn.XLOOKUP(M46&amp;"-"&amp;N46,'Djøf Finance Hoppers'!D:D,'Djøf Finance Hoppers'!C:C,0,1)</f>
        <v>757</v>
      </c>
      <c r="Q46" s="16">
        <f t="shared" si="1"/>
        <v>0.14010734776975753</v>
      </c>
    </row>
    <row r="47" spans="2:17" x14ac:dyDescent="0.2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21</v>
      </c>
      <c r="O47" s="5">
        <f>_xlfn.XLOOKUP(M47&amp;"-"&amp;N47,'Djøf Finance Workers'!D:D,'Djøf Finance Workers'!C:C,0,1)</f>
        <v>1775</v>
      </c>
      <c r="P47" s="5">
        <f>_xlfn.XLOOKUP(M47&amp;"-"&amp;N47,'Djøf Finance Hoppers'!D:D,'Djøf Finance Hoppers'!C:C,0,1)</f>
        <v>194</v>
      </c>
      <c r="Q47" s="16">
        <f t="shared" si="1"/>
        <v>0.10929577464788733</v>
      </c>
    </row>
    <row r="48" spans="2:17" x14ac:dyDescent="0.2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13</v>
      </c>
      <c r="O48" s="5">
        <f>_xlfn.XLOOKUP(M48&amp;"-"&amp;N48,'Djøf Finance Workers'!D:D,'Djøf Finance Workers'!C:C,0,1)</f>
        <v>6353</v>
      </c>
      <c r="P48" s="5">
        <f>_xlfn.XLOOKUP(M48&amp;"-"&amp;N48,'Djøf Finance Hoppers'!D:D,'Djøf Finance Hoppers'!C:C,0,1)</f>
        <v>3149</v>
      </c>
      <c r="Q48" s="16">
        <f t="shared" si="1"/>
        <v>0.49567133637651506</v>
      </c>
    </row>
    <row r="49" spans="2:17" x14ac:dyDescent="0.2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14</v>
      </c>
      <c r="O49" s="5">
        <f>_xlfn.XLOOKUP(M49&amp;"-"&amp;N49,'Djøf Finance Workers'!D:D,'Djøf Finance Workers'!C:C,0,1)</f>
        <v>8276</v>
      </c>
      <c r="P49" s="5">
        <f>_xlfn.XLOOKUP(M49&amp;"-"&amp;N49,'Djøf Finance Hoppers'!D:D,'Djøf Finance Hoppers'!C:C,0,1)</f>
        <v>2658</v>
      </c>
      <c r="Q49" s="16">
        <f t="shared" si="1"/>
        <v>0.32116964717254715</v>
      </c>
    </row>
    <row r="50" spans="2:17" x14ac:dyDescent="0.2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15</v>
      </c>
      <c r="O50" s="5">
        <f>_xlfn.XLOOKUP(M50&amp;"-"&amp;N50,'Djøf Finance Workers'!D:D,'Djøf Finance Workers'!C:C,0,1)</f>
        <v>9245</v>
      </c>
      <c r="P50" s="5">
        <f>_xlfn.XLOOKUP(M50&amp;"-"&amp;N50,'Djøf Finance Hoppers'!D:D,'Djøf Finance Hoppers'!C:C,0,1)</f>
        <v>2333</v>
      </c>
      <c r="Q50" s="16">
        <f t="shared" si="1"/>
        <v>0.25235262303948081</v>
      </c>
    </row>
    <row r="51" spans="2:17" x14ac:dyDescent="0.2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16</v>
      </c>
      <c r="O51" s="5">
        <f>_xlfn.XLOOKUP(M51&amp;"-"&amp;N51,'Djøf Finance Workers'!D:D,'Djøf Finance Workers'!C:C,0,1)</f>
        <v>9937</v>
      </c>
      <c r="P51" s="5">
        <f>_xlfn.XLOOKUP(M51&amp;"-"&amp;N51,'Djøf Finance Hoppers'!D:D,'Djøf Finance Hoppers'!C:C,0,1)</f>
        <v>2068</v>
      </c>
      <c r="Q51" s="16">
        <f t="shared" si="1"/>
        <v>0.2081110999295562</v>
      </c>
    </row>
    <row r="52" spans="2:17" x14ac:dyDescent="0.2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17</v>
      </c>
      <c r="O52" s="5">
        <f>_xlfn.XLOOKUP(M52&amp;"-"&amp;N52,'Djøf Finance Workers'!D:D,'Djøf Finance Workers'!C:C,0,1)</f>
        <v>9488</v>
      </c>
      <c r="P52" s="5">
        <f>_xlfn.XLOOKUP(M52&amp;"-"&amp;N52,'Djøf Finance Hoppers'!D:D,'Djøf Finance Hoppers'!C:C,0,1)</f>
        <v>1770</v>
      </c>
      <c r="Q52" s="16">
        <f t="shared" si="1"/>
        <v>0.18655143338954469</v>
      </c>
    </row>
    <row r="53" spans="2:17" x14ac:dyDescent="0.2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18</v>
      </c>
      <c r="O53" s="5">
        <f>_xlfn.XLOOKUP(M53&amp;"-"&amp;N53,'Djøf Finance Workers'!D:D,'Djøf Finance Workers'!C:C,0,1)</f>
        <v>12171</v>
      </c>
      <c r="P53" s="5">
        <f>_xlfn.XLOOKUP(M53&amp;"-"&amp;N53,'Djøf Finance Hoppers'!D:D,'Djøf Finance Hoppers'!C:C,0,1)</f>
        <v>2055</v>
      </c>
      <c r="Q53" s="16">
        <f t="shared" si="1"/>
        <v>0.16884397337934434</v>
      </c>
    </row>
    <row r="54" spans="2:17" x14ac:dyDescent="0.2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19</v>
      </c>
      <c r="O54" s="5">
        <f>_xlfn.XLOOKUP(M54&amp;"-"&amp;N54,'Djøf Finance Workers'!D:D,'Djøf Finance Workers'!C:C,0,1)</f>
        <v>9537</v>
      </c>
      <c r="P54" s="5">
        <f>_xlfn.XLOOKUP(M54&amp;"-"&amp;N54,'Djøf Finance Hoppers'!D:D,'Djøf Finance Hoppers'!C:C,0,1)</f>
        <v>1415</v>
      </c>
      <c r="Q54" s="16">
        <f t="shared" si="1"/>
        <v>0.14836950823109993</v>
      </c>
    </row>
    <row r="55" spans="2:17" x14ac:dyDescent="0.2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20</v>
      </c>
      <c r="O55" s="5">
        <f>_xlfn.XLOOKUP(M55&amp;"-"&amp;N55,'Djøf Finance Workers'!D:D,'Djøf Finance Workers'!C:C,0,1)</f>
        <v>5638</v>
      </c>
      <c r="P55" s="5">
        <f>_xlfn.XLOOKUP(M55&amp;"-"&amp;N55,'Djøf Finance Hoppers'!D:D,'Djøf Finance Hoppers'!C:C,0,1)</f>
        <v>681</v>
      </c>
      <c r="Q55" s="16">
        <f t="shared" si="1"/>
        <v>0.12078751330258958</v>
      </c>
    </row>
    <row r="56" spans="2:17" x14ac:dyDescent="0.2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21</v>
      </c>
      <c r="O56" s="5">
        <f>_xlfn.XLOOKUP(M56&amp;"-"&amp;N56,'Djøf Finance Workers'!D:D,'Djøf Finance Workers'!C:C,0,1)</f>
        <v>1897</v>
      </c>
      <c r="P56" s="5">
        <f>_xlfn.XLOOKUP(M56&amp;"-"&amp;N56,'Djøf Finance Hoppers'!D:D,'Djøf Finance Hoppers'!C:C,0,1)</f>
        <v>174</v>
      </c>
      <c r="Q56" s="16">
        <f t="shared" si="1"/>
        <v>9.1723774380600948E-2</v>
      </c>
    </row>
    <row r="57" spans="2:17" x14ac:dyDescent="0.2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13</v>
      </c>
      <c r="O57" s="5">
        <f>_xlfn.XLOOKUP(M57&amp;"-"&amp;N57,'Djøf Finance Workers'!D:D,'Djøf Finance Workers'!C:C,0,1)</f>
        <v>6883</v>
      </c>
      <c r="P57" s="5">
        <f>_xlfn.XLOOKUP(M57&amp;"-"&amp;N57,'Djøf Finance Hoppers'!D:D,'Djøf Finance Hoppers'!C:C,0,1)</f>
        <v>3477</v>
      </c>
      <c r="Q57" s="16">
        <f t="shared" si="1"/>
        <v>0.50515763475228825</v>
      </c>
    </row>
    <row r="58" spans="2:17" x14ac:dyDescent="0.2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14</v>
      </c>
      <c r="O58" s="5">
        <f>_xlfn.XLOOKUP(M58&amp;"-"&amp;N58,'Djøf Finance Workers'!D:D,'Djøf Finance Workers'!C:C,0,1)</f>
        <v>8461</v>
      </c>
      <c r="P58" s="5">
        <f>_xlfn.XLOOKUP(M58&amp;"-"&amp;N58,'Djøf Finance Hoppers'!D:D,'Djøf Finance Hoppers'!C:C,0,1)</f>
        <v>2839</v>
      </c>
      <c r="Q58" s="16">
        <f t="shared" si="1"/>
        <v>0.33553953433400308</v>
      </c>
    </row>
    <row r="59" spans="2:17" x14ac:dyDescent="0.2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15</v>
      </c>
      <c r="O59" s="5">
        <f>_xlfn.XLOOKUP(M59&amp;"-"&amp;N59,'Djøf Finance Workers'!D:D,'Djøf Finance Workers'!C:C,0,1)</f>
        <v>9057</v>
      </c>
      <c r="P59" s="5">
        <f>_xlfn.XLOOKUP(M59&amp;"-"&amp;N59,'Djøf Finance Hoppers'!D:D,'Djøf Finance Hoppers'!C:C,0,1)</f>
        <v>2298</v>
      </c>
      <c r="Q59" s="16">
        <f t="shared" si="1"/>
        <v>0.25372639947002318</v>
      </c>
    </row>
    <row r="60" spans="2:17" x14ac:dyDescent="0.2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16</v>
      </c>
      <c r="O60" s="5">
        <f>_xlfn.XLOOKUP(M60&amp;"-"&amp;N60,'Djøf Finance Workers'!D:D,'Djøf Finance Workers'!C:C,0,1)</f>
        <v>10158</v>
      </c>
      <c r="P60" s="5">
        <f>_xlfn.XLOOKUP(M60&amp;"-"&amp;N60,'Djøf Finance Hoppers'!D:D,'Djøf Finance Hoppers'!C:C,0,1)</f>
        <v>2100</v>
      </c>
      <c r="Q60" s="16">
        <f t="shared" si="1"/>
        <v>0.2067336089781453</v>
      </c>
    </row>
    <row r="61" spans="2:17" x14ac:dyDescent="0.2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17</v>
      </c>
      <c r="O61" s="5">
        <f>_xlfn.XLOOKUP(M61&amp;"-"&amp;N61,'Djøf Finance Workers'!D:D,'Djøf Finance Workers'!C:C,0,1)</f>
        <v>9482</v>
      </c>
      <c r="P61" s="5">
        <f>_xlfn.XLOOKUP(M61&amp;"-"&amp;N61,'Djøf Finance Hoppers'!D:D,'Djøf Finance Hoppers'!C:C,0,1)</f>
        <v>1802</v>
      </c>
      <c r="Q61" s="16">
        <f t="shared" si="1"/>
        <v>0.19004429445264712</v>
      </c>
    </row>
    <row r="62" spans="2:17" x14ac:dyDescent="0.2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18</v>
      </c>
      <c r="O62" s="5">
        <f>_xlfn.XLOOKUP(M62&amp;"-"&amp;N62,'Djøf Finance Workers'!D:D,'Djøf Finance Workers'!C:C,0,1)</f>
        <v>11866</v>
      </c>
      <c r="P62" s="5">
        <f>_xlfn.XLOOKUP(M62&amp;"-"&amp;N62,'Djøf Finance Hoppers'!D:D,'Djøf Finance Hoppers'!C:C,0,1)</f>
        <v>2054</v>
      </c>
      <c r="Q62" s="16">
        <f t="shared" si="1"/>
        <v>0.1730996123377718</v>
      </c>
    </row>
    <row r="63" spans="2:17" x14ac:dyDescent="0.2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19</v>
      </c>
      <c r="O63" s="5">
        <f>_xlfn.XLOOKUP(M63&amp;"-"&amp;N63,'Djøf Finance Workers'!D:D,'Djøf Finance Workers'!C:C,0,1)</f>
        <v>9811</v>
      </c>
      <c r="P63" s="5">
        <f>_xlfn.XLOOKUP(M63&amp;"-"&amp;N63,'Djøf Finance Hoppers'!D:D,'Djøf Finance Hoppers'!C:C,0,1)</f>
        <v>1383</v>
      </c>
      <c r="Q63" s="16">
        <f t="shared" si="1"/>
        <v>0.14096422383039445</v>
      </c>
    </row>
    <row r="64" spans="2:17" x14ac:dyDescent="0.2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20</v>
      </c>
      <c r="O64" s="5">
        <f>_xlfn.XLOOKUP(M64&amp;"-"&amp;N64,'Djøf Finance Workers'!D:D,'Djøf Finance Workers'!C:C,0,1)</f>
        <v>5907</v>
      </c>
      <c r="P64" s="5">
        <f>_xlfn.XLOOKUP(M64&amp;"-"&amp;N64,'Djøf Finance Hoppers'!D:D,'Djøf Finance Hoppers'!C:C,0,1)</f>
        <v>791</v>
      </c>
      <c r="Q64" s="16">
        <f t="shared" si="1"/>
        <v>0.13390892161841883</v>
      </c>
    </row>
    <row r="65" spans="2:17" x14ac:dyDescent="0.2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21</v>
      </c>
      <c r="O65" s="5">
        <f>_xlfn.XLOOKUP(M65&amp;"-"&amp;N65,'Djøf Finance Workers'!D:D,'Djøf Finance Workers'!C:C,0,1)</f>
        <v>2030</v>
      </c>
      <c r="P65" s="5">
        <f>_xlfn.XLOOKUP(M65&amp;"-"&amp;N65,'Djøf Finance Hoppers'!D:D,'Djøf Finance Hoppers'!C:C,0,1)</f>
        <v>188</v>
      </c>
      <c r="Q65" s="16">
        <f t="shared" si="1"/>
        <v>9.2610837438423646E-2</v>
      </c>
    </row>
    <row r="66" spans="2:17" x14ac:dyDescent="0.2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13</v>
      </c>
      <c r="O66" s="5">
        <f>_xlfn.XLOOKUP(M66&amp;"-"&amp;N66,'Djøf Finance Workers'!D:D,'Djøf Finance Workers'!C:C,0,1)</f>
        <v>7337</v>
      </c>
      <c r="P66" s="5">
        <f>_xlfn.XLOOKUP(M66&amp;"-"&amp;N66,'Djøf Finance Hoppers'!D:D,'Djøf Finance Hoppers'!C:C,0,1)</f>
        <v>3028</v>
      </c>
      <c r="Q66" s="16">
        <f t="shared" si="1"/>
        <v>0.41270273953932124</v>
      </c>
    </row>
    <row r="67" spans="2:17" x14ac:dyDescent="0.2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14</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2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15</v>
      </c>
      <c r="O68" s="5">
        <f>_xlfn.XLOOKUP(M68&amp;"-"&amp;N68,'Djøf Finance Workers'!D:D,'Djøf Finance Workers'!C:C,0,1)</f>
        <v>8798</v>
      </c>
      <c r="P68" s="5">
        <f>_xlfn.XLOOKUP(M68&amp;"-"&amp;N68,'Djøf Finance Hoppers'!D:D,'Djøf Finance Hoppers'!C:C,0,1)</f>
        <v>1929</v>
      </c>
      <c r="Q68" s="16">
        <f t="shared" si="8"/>
        <v>0.21925437599454423</v>
      </c>
    </row>
    <row r="69" spans="2:17" x14ac:dyDescent="0.2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16</v>
      </c>
      <c r="O69" s="5">
        <f>_xlfn.XLOOKUP(M69&amp;"-"&amp;N69,'Djøf Finance Workers'!D:D,'Djøf Finance Workers'!C:C,0,1)</f>
        <v>10129</v>
      </c>
      <c r="P69" s="5">
        <f>_xlfn.XLOOKUP(M69&amp;"-"&amp;N69,'Djøf Finance Hoppers'!D:D,'Djøf Finance Hoppers'!C:C,0,1)</f>
        <v>1758</v>
      </c>
      <c r="Q69" s="16">
        <f t="shared" si="8"/>
        <v>0.17356106229637674</v>
      </c>
    </row>
    <row r="70" spans="2:17" x14ac:dyDescent="0.2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17</v>
      </c>
      <c r="O70" s="5">
        <f>_xlfn.XLOOKUP(M70&amp;"-"&amp;N70,'Djøf Finance Workers'!D:D,'Djøf Finance Workers'!C:C,0,1)</f>
        <v>9740</v>
      </c>
      <c r="P70" s="5">
        <f>_xlfn.XLOOKUP(M70&amp;"-"&amp;N70,'Djøf Finance Hoppers'!D:D,'Djøf Finance Hoppers'!C:C,0,1)</f>
        <v>1654</v>
      </c>
      <c r="Q70" s="16">
        <f t="shared" si="8"/>
        <v>0.1698151950718686</v>
      </c>
    </row>
    <row r="71" spans="2:17" x14ac:dyDescent="0.2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18</v>
      </c>
      <c r="O71" s="5">
        <f>_xlfn.XLOOKUP(M71&amp;"-"&amp;N71,'Djøf Finance Workers'!D:D,'Djøf Finance Workers'!C:C,0,1)</f>
        <v>11187</v>
      </c>
      <c r="P71" s="5">
        <f>_xlfn.XLOOKUP(M71&amp;"-"&amp;N71,'Djøf Finance Hoppers'!D:D,'Djøf Finance Hoppers'!C:C,0,1)</f>
        <v>1616</v>
      </c>
      <c r="Q71" s="16">
        <f t="shared" si="8"/>
        <v>0.14445338339143649</v>
      </c>
    </row>
    <row r="72" spans="2:17" x14ac:dyDescent="0.2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19</v>
      </c>
      <c r="O72" s="5">
        <f>_xlfn.XLOOKUP(M72&amp;"-"&amp;N72,'Djøf Finance Workers'!D:D,'Djøf Finance Workers'!C:C,0,1)</f>
        <v>10215</v>
      </c>
      <c r="P72" s="5">
        <f>_xlfn.XLOOKUP(M72&amp;"-"&amp;N72,'Djøf Finance Hoppers'!D:D,'Djøf Finance Hoppers'!C:C,0,1)</f>
        <v>1279</v>
      </c>
      <c r="Q72" s="16">
        <f t="shared" si="8"/>
        <v>0.12520802741067058</v>
      </c>
    </row>
    <row r="73" spans="2:17" x14ac:dyDescent="0.2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20</v>
      </c>
      <c r="O73" s="5">
        <f>_xlfn.XLOOKUP(M73&amp;"-"&amp;N73,'Djøf Finance Workers'!D:D,'Djøf Finance Workers'!C:C,0,1)</f>
        <v>6305</v>
      </c>
      <c r="P73" s="5">
        <f>_xlfn.XLOOKUP(M73&amp;"-"&amp;N73,'Djøf Finance Hoppers'!D:D,'Djøf Finance Hoppers'!C:C,0,1)</f>
        <v>623</v>
      </c>
      <c r="Q73" s="16">
        <f t="shared" si="8"/>
        <v>9.8810467882632827E-2</v>
      </c>
    </row>
    <row r="74" spans="2:17" x14ac:dyDescent="0.2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21</v>
      </c>
      <c r="O74" s="5">
        <f>_xlfn.XLOOKUP(M74&amp;"-"&amp;N74,'Djøf Finance Workers'!D:D,'Djøf Finance Workers'!C:C,0,1)</f>
        <v>2231</v>
      </c>
      <c r="P74" s="5">
        <f>_xlfn.XLOOKUP(M74&amp;"-"&amp;N74,'Djøf Finance Hoppers'!D:D,'Djøf Finance Hoppers'!C:C,0,1)</f>
        <v>201</v>
      </c>
      <c r="Q74" s="16">
        <f t="shared" si="8"/>
        <v>9.0094128193635145E-2</v>
      </c>
    </row>
    <row r="75" spans="2:17" x14ac:dyDescent="0.2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13</v>
      </c>
      <c r="O75" s="5">
        <f>_xlfn.XLOOKUP(M75&amp;"-"&amp;N75,'Djøf Finance Workers'!D:D,'Djøf Finance Workers'!C:C,0,1)</f>
        <v>7687</v>
      </c>
      <c r="P75" s="5">
        <f>_xlfn.XLOOKUP(M75&amp;"-"&amp;N75,'Djøf Finance Hoppers'!D:D,'Djøf Finance Hoppers'!C:C,0,1)</f>
        <v>3854</v>
      </c>
      <c r="Q75" s="16">
        <f t="shared" si="8"/>
        <v>0.50136594250032518</v>
      </c>
    </row>
    <row r="76" spans="2:17" x14ac:dyDescent="0.2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14</v>
      </c>
      <c r="O76" s="5">
        <f>_xlfn.XLOOKUP(M76&amp;"-"&amp;N76,'Djøf Finance Workers'!D:D,'Djøf Finance Workers'!C:C,0,1)</f>
        <v>8844</v>
      </c>
      <c r="P76" s="5">
        <f>_xlfn.XLOOKUP(M76&amp;"-"&amp;N76,'Djøf Finance Hoppers'!D:D,'Djøf Finance Hoppers'!C:C,0,1)</f>
        <v>3059</v>
      </c>
      <c r="Q76" s="16">
        <f t="shared" si="8"/>
        <v>0.34588421528720037</v>
      </c>
    </row>
    <row r="77" spans="2:17" x14ac:dyDescent="0.2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15</v>
      </c>
      <c r="O77" s="5">
        <f>_xlfn.XLOOKUP(M77&amp;"-"&amp;N77,'Djøf Finance Workers'!D:D,'Djøf Finance Workers'!C:C,0,1)</f>
        <v>8987</v>
      </c>
      <c r="P77" s="5">
        <f>_xlfn.XLOOKUP(M77&amp;"-"&amp;N77,'Djøf Finance Hoppers'!D:D,'Djøf Finance Hoppers'!C:C,0,1)</f>
        <v>2330</v>
      </c>
      <c r="Q77" s="16">
        <f t="shared" si="8"/>
        <v>0.25926338043841102</v>
      </c>
    </row>
    <row r="78" spans="2:17" x14ac:dyDescent="0.2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16</v>
      </c>
      <c r="O78" s="5">
        <f>_xlfn.XLOOKUP(M78&amp;"-"&amp;N78,'Djøf Finance Workers'!D:D,'Djøf Finance Workers'!C:C,0,1)</f>
        <v>10002</v>
      </c>
      <c r="P78" s="5">
        <f>_xlfn.XLOOKUP(M78&amp;"-"&amp;N78,'Djøf Finance Hoppers'!D:D,'Djøf Finance Hoppers'!C:C,0,1)</f>
        <v>2220</v>
      </c>
      <c r="Q78" s="16">
        <f t="shared" si="8"/>
        <v>0.22195560887822435</v>
      </c>
    </row>
    <row r="79" spans="2:17" x14ac:dyDescent="0.25">
      <c r="M79" s="5">
        <v>2021</v>
      </c>
      <c r="N79" s="5" t="s">
        <v>17</v>
      </c>
      <c r="O79" s="5">
        <f>_xlfn.XLOOKUP(M79&amp;"-"&amp;N79,'Djøf Finance Workers'!D:D,'Djøf Finance Workers'!C:C,0,1)</f>
        <v>10036</v>
      </c>
      <c r="P79" s="5">
        <f>_xlfn.XLOOKUP(M79&amp;"-"&amp;N79,'Djøf Finance Hoppers'!D:D,'Djøf Finance Hoppers'!C:C,0,1)</f>
        <v>1980</v>
      </c>
      <c r="Q79" s="16">
        <f t="shared" si="8"/>
        <v>0.19728975687524911</v>
      </c>
    </row>
    <row r="80" spans="2:17" x14ac:dyDescent="0.25">
      <c r="M80" s="5">
        <v>2021</v>
      </c>
      <c r="N80" s="5" t="s">
        <v>18</v>
      </c>
      <c r="O80" s="5">
        <f>_xlfn.XLOOKUP(M80&amp;"-"&amp;N80,'Djøf Finance Workers'!D:D,'Djøf Finance Workers'!C:C,0,1)</f>
        <v>10467</v>
      </c>
      <c r="P80" s="5">
        <f>_xlfn.XLOOKUP(M80&amp;"-"&amp;N80,'Djøf Finance Hoppers'!D:D,'Djøf Finance Hoppers'!C:C,0,1)</f>
        <v>1810</v>
      </c>
      <c r="Q80" s="16">
        <f t="shared" si="8"/>
        <v>0.17292442915830705</v>
      </c>
    </row>
    <row r="81" spans="13:17" x14ac:dyDescent="0.25">
      <c r="M81" s="5">
        <v>2021</v>
      </c>
      <c r="N81" s="5" t="s">
        <v>19</v>
      </c>
      <c r="O81" s="5">
        <f>_xlfn.XLOOKUP(M81&amp;"-"&amp;N81,'Djøf Finance Workers'!D:D,'Djøf Finance Workers'!C:C,0,1)</f>
        <v>10749</v>
      </c>
      <c r="P81" s="5">
        <f>_xlfn.XLOOKUP(M81&amp;"-"&amp;N81,'Djøf Finance Hoppers'!D:D,'Djøf Finance Hoppers'!C:C,0,1)</f>
        <v>1631</v>
      </c>
      <c r="Q81" s="16">
        <f t="shared" si="8"/>
        <v>0.15173504512047634</v>
      </c>
    </row>
    <row r="82" spans="13:17" x14ac:dyDescent="0.25">
      <c r="M82" s="5">
        <v>2021</v>
      </c>
      <c r="N82" s="5" t="s">
        <v>20</v>
      </c>
      <c r="O82" s="5">
        <f>_xlfn.XLOOKUP(M82&amp;"-"&amp;N82,'Djøf Finance Workers'!D:D,'Djøf Finance Workers'!C:C,0,1)</f>
        <v>6688</v>
      </c>
      <c r="P82" s="5">
        <f>_xlfn.XLOOKUP(M82&amp;"-"&amp;N82,'Djøf Finance Hoppers'!D:D,'Djøf Finance Hoppers'!C:C,0,1)</f>
        <v>962</v>
      </c>
      <c r="Q82" s="16">
        <f t="shared" si="8"/>
        <v>0.1438397129186603</v>
      </c>
    </row>
    <row r="83" spans="13:17" x14ac:dyDescent="0.25">
      <c r="M83" s="5">
        <v>2021</v>
      </c>
      <c r="N83" s="5" t="s">
        <v>21</v>
      </c>
      <c r="O83" s="5">
        <f>_xlfn.XLOOKUP(M83&amp;"-"&amp;N83,'Djøf Finance Workers'!D:D,'Djøf Finance Workers'!C:C,0,1)</f>
        <v>2522</v>
      </c>
      <c r="P83" s="5">
        <f>_xlfn.XLOOKUP(M83&amp;"-"&amp;N83,'Djøf Finance Hoppers'!D:D,'Djøf Finance Hoppers'!C:C,0,1)</f>
        <v>216</v>
      </c>
      <c r="Q83" s="16">
        <f t="shared" si="8"/>
        <v>8.5646312450436163E-2</v>
      </c>
    </row>
    <row r="84" spans="13:17" x14ac:dyDescent="0.25">
      <c r="M84" s="5">
        <v>2022</v>
      </c>
      <c r="N84" s="5" t="s">
        <v>13</v>
      </c>
      <c r="O84" s="5">
        <f>_xlfn.XLOOKUP(M84&amp;"-"&amp;N84,'Djøf Finance Workers'!D:D,'Djøf Finance Workers'!C:C,0,1)</f>
        <v>8107</v>
      </c>
      <c r="P84" s="5">
        <f>_xlfn.XLOOKUP(M84&amp;"-"&amp;N84,'Djøf Finance Hoppers'!D:D,'Djøf Finance Hoppers'!C:C,0,1)</f>
        <v>3870</v>
      </c>
      <c r="Q84" s="16">
        <f t="shared" si="8"/>
        <v>0.4773652399161219</v>
      </c>
    </row>
    <row r="85" spans="13:17" x14ac:dyDescent="0.25">
      <c r="M85" s="5">
        <v>2022</v>
      </c>
      <c r="N85" s="5" t="s">
        <v>14</v>
      </c>
      <c r="O85" s="5">
        <f>_xlfn.XLOOKUP(M85&amp;"-"&amp;N85,'Djøf Finance Workers'!D:D,'Djøf Finance Workers'!C:C,0,1)</f>
        <v>9307</v>
      </c>
      <c r="P85" s="5">
        <f>_xlfn.XLOOKUP(M85&amp;"-"&amp;N85,'Djøf Finance Hoppers'!D:D,'Djøf Finance Hoppers'!C:C,0,1)</f>
        <v>3004</v>
      </c>
      <c r="Q85" s="16">
        <f t="shared" si="8"/>
        <v>0.3227678091758891</v>
      </c>
    </row>
    <row r="86" spans="13:17" x14ac:dyDescent="0.25">
      <c r="M86" s="5">
        <v>2022</v>
      </c>
      <c r="N86" s="5" t="s">
        <v>15</v>
      </c>
      <c r="O86" s="5">
        <f>_xlfn.XLOOKUP(M86&amp;"-"&amp;N86,'Djøf Finance Workers'!D:D,'Djøf Finance Workers'!C:C,0,1)</f>
        <v>9287</v>
      </c>
      <c r="P86" s="5">
        <f>_xlfn.XLOOKUP(M86&amp;"-"&amp;N86,'Djøf Finance Hoppers'!D:D,'Djøf Finance Hoppers'!C:C,0,1)</f>
        <v>2511</v>
      </c>
      <c r="Q86" s="16">
        <f t="shared" si="8"/>
        <v>0.27037794766878431</v>
      </c>
    </row>
    <row r="87" spans="13:17" x14ac:dyDescent="0.25">
      <c r="M87" s="5">
        <v>2022</v>
      </c>
      <c r="N87" s="5" t="s">
        <v>16</v>
      </c>
      <c r="O87" s="5">
        <f>_xlfn.XLOOKUP(M87&amp;"-"&amp;N87,'Djøf Finance Workers'!D:D,'Djøf Finance Workers'!C:C,0,1)</f>
        <v>9808</v>
      </c>
      <c r="P87" s="5">
        <f>_xlfn.XLOOKUP(M87&amp;"-"&amp;N87,'Djøf Finance Hoppers'!D:D,'Djøf Finance Hoppers'!C:C,0,1)</f>
        <v>2191</v>
      </c>
      <c r="Q87" s="16">
        <f t="shared" si="8"/>
        <v>0.22338907014681891</v>
      </c>
    </row>
    <row r="88" spans="13:17" x14ac:dyDescent="0.25">
      <c r="M88" s="5">
        <v>2022</v>
      </c>
      <c r="N88" s="5" t="s">
        <v>17</v>
      </c>
      <c r="O88" s="5">
        <f>_xlfn.XLOOKUP(M88&amp;"-"&amp;N88,'Djøf Finance Workers'!D:D,'Djøf Finance Workers'!C:C,0,1)</f>
        <v>10063</v>
      </c>
      <c r="P88" s="5">
        <f>_xlfn.XLOOKUP(M88&amp;"-"&amp;N88,'Djøf Finance Hoppers'!D:D,'Djøf Finance Hoppers'!C:C,0,1)</f>
        <v>2044</v>
      </c>
      <c r="Q88" s="16">
        <f t="shared" si="8"/>
        <v>0.20312034184636787</v>
      </c>
    </row>
    <row r="89" spans="13:17" x14ac:dyDescent="0.25">
      <c r="M89" s="5">
        <v>2022</v>
      </c>
      <c r="N89" s="5" t="s">
        <v>18</v>
      </c>
      <c r="O89" s="5">
        <f>_xlfn.XLOOKUP(M89&amp;"-"&amp;N89,'Djøf Finance Workers'!D:D,'Djøf Finance Workers'!C:C,0,1)</f>
        <v>9799</v>
      </c>
      <c r="P89" s="5">
        <f>_xlfn.XLOOKUP(M89&amp;"-"&amp;N89,'Djøf Finance Hoppers'!D:D,'Djøf Finance Hoppers'!C:C,0,1)</f>
        <v>1683</v>
      </c>
      <c r="Q89" s="16">
        <f t="shared" si="8"/>
        <v>0.17175221961424636</v>
      </c>
    </row>
    <row r="90" spans="13:17" x14ac:dyDescent="0.25">
      <c r="M90" s="5">
        <v>2022</v>
      </c>
      <c r="N90" s="5" t="s">
        <v>19</v>
      </c>
      <c r="O90" s="5">
        <f>_xlfn.XLOOKUP(M90&amp;"-"&amp;N90,'Djøf Finance Workers'!D:D,'Djøf Finance Workers'!C:C,0,1)</f>
        <v>11340</v>
      </c>
      <c r="P90" s="5">
        <f>_xlfn.XLOOKUP(M90&amp;"-"&amp;N90,'Djøf Finance Hoppers'!D:D,'Djøf Finance Hoppers'!C:C,0,1)</f>
        <v>1578</v>
      </c>
      <c r="Q90" s="16">
        <f t="shared" si="8"/>
        <v>0.13915343915343914</v>
      </c>
    </row>
    <row r="91" spans="13:17" x14ac:dyDescent="0.25">
      <c r="M91" s="5">
        <v>2022</v>
      </c>
      <c r="N91" s="5" t="s">
        <v>20</v>
      </c>
      <c r="O91" s="5">
        <f>_xlfn.XLOOKUP(M91&amp;"-"&amp;N91,'Djøf Finance Workers'!D:D,'Djøf Finance Workers'!C:C,0,1)</f>
        <v>6943</v>
      </c>
      <c r="P91" s="5">
        <f>_xlfn.XLOOKUP(M91&amp;"-"&amp;N91,'Djøf Finance Hoppers'!D:D,'Djøf Finance Hoppers'!C:C,0,1)</f>
        <v>880</v>
      </c>
      <c r="Q91" s="16">
        <f t="shared" si="8"/>
        <v>0.12674636324355465</v>
      </c>
    </row>
    <row r="92" spans="13:17" x14ac:dyDescent="0.25">
      <c r="M92" s="5">
        <v>2022</v>
      </c>
      <c r="N92" s="5" t="s">
        <v>21</v>
      </c>
      <c r="O92" s="5">
        <f>_xlfn.XLOOKUP(M92&amp;"-"&amp;N92,'Djøf Finance Workers'!D:D,'Djøf Finance Workers'!C:C,0,1)</f>
        <v>2779</v>
      </c>
      <c r="P92" s="5">
        <f>_xlfn.XLOOKUP(M92&amp;"-"&amp;N92,'Djøf Finance Hoppers'!D:D,'Djøf Finance Hoppers'!C:C,0,1)</f>
        <v>265</v>
      </c>
      <c r="Q92" s="16">
        <f t="shared" si="8"/>
        <v>9.5358042461317016E-2</v>
      </c>
    </row>
    <row r="93" spans="13:17" x14ac:dyDescent="0.25">
      <c r="M93" s="5">
        <v>2023</v>
      </c>
      <c r="N93" s="5" t="s">
        <v>13</v>
      </c>
      <c r="O93" s="5">
        <f>_xlfn.XLOOKUP(M93&amp;"-"&amp;N93,'Djøf Finance Workers'!D:D,'Djøf Finance Workers'!C:C,0,1)</f>
        <v>8433</v>
      </c>
      <c r="P93" s="5">
        <f>_xlfn.XLOOKUP(M93&amp;"-"&amp;N93,'Djøf Finance Hoppers'!D:D,'Djøf Finance Hoppers'!C:C,0,1)</f>
        <v>3662</v>
      </c>
      <c r="Q93" s="16">
        <f t="shared" si="8"/>
        <v>0.43424641290169574</v>
      </c>
    </row>
    <row r="94" spans="13:17" x14ac:dyDescent="0.25">
      <c r="M94" s="5">
        <v>2023</v>
      </c>
      <c r="N94" s="5" t="s">
        <v>14</v>
      </c>
      <c r="O94" s="5">
        <f>_xlfn.XLOOKUP(M94&amp;"-"&amp;N94,'Djøf Finance Workers'!D:D,'Djøf Finance Workers'!C:C,0,1)</f>
        <v>9786</v>
      </c>
      <c r="P94" s="5">
        <f>_xlfn.XLOOKUP(M94&amp;"-"&amp;N94,'Djøf Finance Hoppers'!D:D,'Djøf Finance Hoppers'!C:C,0,1)</f>
        <v>2878</v>
      </c>
      <c r="Q94" s="16">
        <f t="shared" si="8"/>
        <v>0.29409360310647864</v>
      </c>
    </row>
    <row r="95" spans="13:17" x14ac:dyDescent="0.25">
      <c r="M95" s="5">
        <v>2023</v>
      </c>
      <c r="N95" s="5" t="s">
        <v>15</v>
      </c>
      <c r="O95" s="5">
        <f>_xlfn.XLOOKUP(M95&amp;"-"&amp;N95,'Djøf Finance Workers'!D:D,'Djøf Finance Workers'!C:C,0,1)</f>
        <v>9648</v>
      </c>
      <c r="P95" s="5">
        <f>_xlfn.XLOOKUP(M95&amp;"-"&amp;N95,'Djøf Finance Hoppers'!D:D,'Djøf Finance Hoppers'!C:C,0,1)</f>
        <v>2160</v>
      </c>
      <c r="Q95" s="16">
        <f t="shared" si="8"/>
        <v>0.22388059701492538</v>
      </c>
    </row>
    <row r="96" spans="13:17" x14ac:dyDescent="0.25">
      <c r="M96" s="5">
        <v>2023</v>
      </c>
      <c r="N96" s="5" t="s">
        <v>16</v>
      </c>
      <c r="O96" s="5">
        <f>_xlfn.XLOOKUP(M96&amp;"-"&amp;N96,'Djøf Finance Workers'!D:D,'Djøf Finance Workers'!C:C,0,1)</f>
        <v>9770</v>
      </c>
      <c r="P96" s="5">
        <f>_xlfn.XLOOKUP(M96&amp;"-"&amp;N96,'Djøf Finance Hoppers'!D:D,'Djøf Finance Hoppers'!C:C,0,1)</f>
        <v>1983</v>
      </c>
      <c r="Q96" s="16">
        <f t="shared" si="8"/>
        <v>0.20296827021494371</v>
      </c>
    </row>
    <row r="97" spans="13:17" x14ac:dyDescent="0.25">
      <c r="M97" s="5">
        <v>2023</v>
      </c>
      <c r="N97" s="5" t="s">
        <v>17</v>
      </c>
      <c r="O97" s="5">
        <f>_xlfn.XLOOKUP(M97&amp;"-"&amp;N97,'Djøf Finance Workers'!D:D,'Djøf Finance Workers'!C:C,0,1)</f>
        <v>10262</v>
      </c>
      <c r="P97" s="5">
        <f>_xlfn.XLOOKUP(M97&amp;"-"&amp;N97,'Djøf Finance Hoppers'!D:D,'Djøf Finance Hoppers'!C:C,0,1)</f>
        <v>1798</v>
      </c>
      <c r="Q97" s="16">
        <f t="shared" si="8"/>
        <v>0.17520951081660496</v>
      </c>
    </row>
    <row r="98" spans="13:17" x14ac:dyDescent="0.25">
      <c r="M98" s="5">
        <v>2023</v>
      </c>
      <c r="N98" s="5" t="s">
        <v>18</v>
      </c>
      <c r="O98" s="5">
        <f>_xlfn.XLOOKUP(M98&amp;"-"&amp;N98,'Djøf Finance Workers'!D:D,'Djøf Finance Workers'!C:C,0,1)</f>
        <v>9513</v>
      </c>
      <c r="P98" s="5">
        <f>_xlfn.XLOOKUP(M98&amp;"-"&amp;N98,'Djøf Finance Hoppers'!D:D,'Djøf Finance Hoppers'!C:C,0,1)</f>
        <v>1564</v>
      </c>
      <c r="Q98" s="16">
        <f t="shared" si="8"/>
        <v>0.1644066014926942</v>
      </c>
    </row>
    <row r="99" spans="13:17" x14ac:dyDescent="0.25">
      <c r="M99" s="5">
        <v>2023</v>
      </c>
      <c r="N99" s="5" t="s">
        <v>19</v>
      </c>
      <c r="O99" s="5">
        <f>_xlfn.XLOOKUP(M99&amp;"-"&amp;N99,'Djøf Finance Workers'!D:D,'Djøf Finance Workers'!C:C,0,1)</f>
        <v>11614</v>
      </c>
      <c r="P99" s="5">
        <f>_xlfn.XLOOKUP(M99&amp;"-"&amp;N99,'Djøf Finance Hoppers'!D:D,'Djøf Finance Hoppers'!C:C,0,1)</f>
        <v>1583</v>
      </c>
      <c r="Q99" s="16">
        <f t="shared" si="8"/>
        <v>0.13630101601515413</v>
      </c>
    </row>
    <row r="100" spans="13:17" x14ac:dyDescent="0.25">
      <c r="M100" s="5">
        <v>2023</v>
      </c>
      <c r="N100" s="5" t="s">
        <v>20</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25">
      <c r="M101" s="5">
        <v>2023</v>
      </c>
      <c r="N101" s="5" t="s">
        <v>21</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5" x14ac:dyDescent="0.25"/>
  <cols>
    <col min="2" max="2" width="13" customWidth="1"/>
    <col min="3" max="3" width="56" customWidth="1"/>
  </cols>
  <sheetData>
    <row r="1" spans="1:4" ht="24" thickBot="1" x14ac:dyDescent="0.4">
      <c r="A1" s="6" t="s">
        <v>6</v>
      </c>
      <c r="B1" s="7"/>
      <c r="C1" s="7"/>
    </row>
    <row r="2" spans="1:4" ht="15.75" thickTop="1" x14ac:dyDescent="0.25">
      <c r="C2" s="8" t="s">
        <v>7</v>
      </c>
    </row>
    <row r="3" spans="1:4" x14ac:dyDescent="0.25">
      <c r="C3" s="8" t="s">
        <v>8</v>
      </c>
    </row>
    <row r="4" spans="1:4" x14ac:dyDescent="0.25">
      <c r="C4" s="8" t="s">
        <v>9</v>
      </c>
    </row>
    <row r="5" spans="1:4" x14ac:dyDescent="0.25">
      <c r="C5" s="8" t="s">
        <v>10</v>
      </c>
    </row>
    <row r="6" spans="1:4" x14ac:dyDescent="0.25">
      <c r="C6" s="8" t="s">
        <v>11</v>
      </c>
    </row>
    <row r="7" spans="1:4" x14ac:dyDescent="0.25">
      <c r="A7" s="8" t="s">
        <v>12</v>
      </c>
      <c r="B7" s="8" t="s">
        <v>13</v>
      </c>
      <c r="C7" s="9">
        <v>6876</v>
      </c>
      <c r="D7" t="str">
        <f t="shared" ref="D7:D70" si="0">A7&amp;"-"&amp;B7</f>
        <v>2008-25-29 år</v>
      </c>
    </row>
    <row r="8" spans="1:4" x14ac:dyDescent="0.25">
      <c r="A8" s="8" t="s">
        <v>12</v>
      </c>
      <c r="B8" s="8" t="s">
        <v>14</v>
      </c>
      <c r="C8" s="9">
        <v>8541</v>
      </c>
      <c r="D8" t="str">
        <f t="shared" si="0"/>
        <v>2008-30-34 år</v>
      </c>
    </row>
    <row r="9" spans="1:4" x14ac:dyDescent="0.25">
      <c r="A9" s="8" t="s">
        <v>12</v>
      </c>
      <c r="B9" s="8" t="s">
        <v>15</v>
      </c>
      <c r="C9" s="9">
        <v>8222</v>
      </c>
      <c r="D9" t="str">
        <f t="shared" si="0"/>
        <v>2008-35-39 år</v>
      </c>
    </row>
    <row r="10" spans="1:4" x14ac:dyDescent="0.25">
      <c r="A10" s="8" t="s">
        <v>12</v>
      </c>
      <c r="B10" s="8" t="s">
        <v>16</v>
      </c>
      <c r="C10" s="9">
        <v>11172</v>
      </c>
      <c r="D10" t="str">
        <f t="shared" si="0"/>
        <v>2008-40-44 år</v>
      </c>
    </row>
    <row r="11" spans="1:4" x14ac:dyDescent="0.25">
      <c r="A11" s="8" t="s">
        <v>12</v>
      </c>
      <c r="B11" s="8" t="s">
        <v>17</v>
      </c>
      <c r="C11" s="9">
        <v>9399</v>
      </c>
      <c r="D11" t="str">
        <f t="shared" si="0"/>
        <v>2008-45-49 år</v>
      </c>
    </row>
    <row r="12" spans="1:4" x14ac:dyDescent="0.25">
      <c r="A12" s="8" t="s">
        <v>12</v>
      </c>
      <c r="B12" s="8" t="s">
        <v>18</v>
      </c>
      <c r="C12" s="9">
        <v>8459</v>
      </c>
      <c r="D12" t="str">
        <f t="shared" si="0"/>
        <v>2008-50-54 år</v>
      </c>
    </row>
    <row r="13" spans="1:4" x14ac:dyDescent="0.25">
      <c r="A13" s="8" t="s">
        <v>12</v>
      </c>
      <c r="B13" s="8" t="s">
        <v>19</v>
      </c>
      <c r="C13" s="9">
        <v>7916</v>
      </c>
      <c r="D13" t="str">
        <f t="shared" si="0"/>
        <v>2008-55-59 år</v>
      </c>
    </row>
    <row r="14" spans="1:4" x14ac:dyDescent="0.25">
      <c r="A14" s="8" t="s">
        <v>12</v>
      </c>
      <c r="B14" s="8" t="s">
        <v>20</v>
      </c>
      <c r="C14" s="9">
        <v>4371</v>
      </c>
      <c r="D14" t="str">
        <f t="shared" si="0"/>
        <v>2008-60-64 år</v>
      </c>
    </row>
    <row r="15" spans="1:4" x14ac:dyDescent="0.25">
      <c r="A15" s="8" t="s">
        <v>12</v>
      </c>
      <c r="B15" s="8" t="s">
        <v>21</v>
      </c>
      <c r="C15" s="9">
        <v>857</v>
      </c>
      <c r="D15" t="str">
        <f t="shared" si="0"/>
        <v>2008-65+ år</v>
      </c>
    </row>
    <row r="16" spans="1:4" x14ac:dyDescent="0.25">
      <c r="A16" s="8" t="s">
        <v>22</v>
      </c>
      <c r="B16" s="8" t="s">
        <v>13</v>
      </c>
      <c r="C16" s="9">
        <v>7284</v>
      </c>
      <c r="D16" t="str">
        <f t="shared" si="0"/>
        <v>2009-25-29 år</v>
      </c>
    </row>
    <row r="17" spans="1:4" x14ac:dyDescent="0.25">
      <c r="A17" s="8" t="s">
        <v>22</v>
      </c>
      <c r="B17" s="8" t="s">
        <v>14</v>
      </c>
      <c r="C17" s="9">
        <v>9750</v>
      </c>
      <c r="D17" t="str">
        <f t="shared" si="0"/>
        <v>2009-30-34 år</v>
      </c>
    </row>
    <row r="18" spans="1:4" x14ac:dyDescent="0.25">
      <c r="A18" s="8" t="s">
        <v>22</v>
      </c>
      <c r="B18" s="8" t="s">
        <v>15</v>
      </c>
      <c r="C18" s="9">
        <v>9328</v>
      </c>
      <c r="D18" t="str">
        <f t="shared" si="0"/>
        <v>2009-35-39 år</v>
      </c>
    </row>
    <row r="19" spans="1:4" x14ac:dyDescent="0.25">
      <c r="A19" s="8" t="s">
        <v>22</v>
      </c>
      <c r="B19" s="8" t="s">
        <v>16</v>
      </c>
      <c r="C19" s="9">
        <v>12571</v>
      </c>
      <c r="D19" t="str">
        <f t="shared" si="0"/>
        <v>2009-40-44 år</v>
      </c>
    </row>
    <row r="20" spans="1:4" x14ac:dyDescent="0.25">
      <c r="A20" s="8" t="s">
        <v>22</v>
      </c>
      <c r="B20" s="8" t="s">
        <v>17</v>
      </c>
      <c r="C20" s="9">
        <v>11248</v>
      </c>
      <c r="D20" t="str">
        <f t="shared" si="0"/>
        <v>2009-45-49 år</v>
      </c>
    </row>
    <row r="21" spans="1:4" x14ac:dyDescent="0.25">
      <c r="A21" s="8" t="s">
        <v>22</v>
      </c>
      <c r="B21" s="8" t="s">
        <v>18</v>
      </c>
      <c r="C21" s="9">
        <v>9862</v>
      </c>
      <c r="D21" t="str">
        <f t="shared" si="0"/>
        <v>2009-50-54 år</v>
      </c>
    </row>
    <row r="22" spans="1:4" x14ac:dyDescent="0.25">
      <c r="A22" s="8" t="s">
        <v>22</v>
      </c>
      <c r="B22" s="8" t="s">
        <v>19</v>
      </c>
      <c r="C22" s="9">
        <v>9081</v>
      </c>
      <c r="D22" t="str">
        <f t="shared" si="0"/>
        <v>2009-55-59 år</v>
      </c>
    </row>
    <row r="23" spans="1:4" x14ac:dyDescent="0.25">
      <c r="A23" s="8" t="s">
        <v>22</v>
      </c>
      <c r="B23" s="8" t="s">
        <v>20</v>
      </c>
      <c r="C23" s="9">
        <v>5056</v>
      </c>
      <c r="D23" t="str">
        <f t="shared" si="0"/>
        <v>2009-60-64 år</v>
      </c>
    </row>
    <row r="24" spans="1:4" x14ac:dyDescent="0.25">
      <c r="A24" s="8" t="s">
        <v>22</v>
      </c>
      <c r="B24" s="8" t="s">
        <v>21</v>
      </c>
      <c r="C24" s="9">
        <v>984</v>
      </c>
      <c r="D24" t="str">
        <f t="shared" si="0"/>
        <v>2009-65+ år</v>
      </c>
    </row>
    <row r="25" spans="1:4" x14ac:dyDescent="0.25">
      <c r="A25" s="8" t="s">
        <v>23</v>
      </c>
      <c r="B25" s="8" t="s">
        <v>13</v>
      </c>
      <c r="C25" s="9">
        <v>6802</v>
      </c>
      <c r="D25" t="str">
        <f t="shared" si="0"/>
        <v>2010-25-29 år</v>
      </c>
    </row>
    <row r="26" spans="1:4" x14ac:dyDescent="0.25">
      <c r="A26" s="8" t="s">
        <v>23</v>
      </c>
      <c r="B26" s="8" t="s">
        <v>14</v>
      </c>
      <c r="C26" s="9">
        <v>9673</v>
      </c>
      <c r="D26" t="str">
        <f t="shared" si="0"/>
        <v>2010-30-34 år</v>
      </c>
    </row>
    <row r="27" spans="1:4" x14ac:dyDescent="0.25">
      <c r="A27" s="8" t="s">
        <v>23</v>
      </c>
      <c r="B27" s="8" t="s">
        <v>15</v>
      </c>
      <c r="C27" s="9">
        <v>9565</v>
      </c>
      <c r="D27" t="str">
        <f t="shared" si="0"/>
        <v>2010-35-39 år</v>
      </c>
    </row>
    <row r="28" spans="1:4" x14ac:dyDescent="0.25">
      <c r="A28" s="8" t="s">
        <v>23</v>
      </c>
      <c r="B28" s="8" t="s">
        <v>16</v>
      </c>
      <c r="C28" s="9">
        <v>11893</v>
      </c>
      <c r="D28" t="str">
        <f t="shared" si="0"/>
        <v>2010-40-44 år</v>
      </c>
    </row>
    <row r="29" spans="1:4" x14ac:dyDescent="0.25">
      <c r="A29" s="8" t="s">
        <v>23</v>
      </c>
      <c r="B29" s="8" t="s">
        <v>17</v>
      </c>
      <c r="C29" s="9">
        <v>11808</v>
      </c>
      <c r="D29" t="str">
        <f t="shared" si="0"/>
        <v>2010-45-49 år</v>
      </c>
    </row>
    <row r="30" spans="1:4" x14ac:dyDescent="0.25">
      <c r="A30" s="8" t="s">
        <v>23</v>
      </c>
      <c r="B30" s="8" t="s">
        <v>18</v>
      </c>
      <c r="C30" s="9">
        <v>10091</v>
      </c>
      <c r="D30" t="str">
        <f t="shared" si="0"/>
        <v>2010-50-54 år</v>
      </c>
    </row>
    <row r="31" spans="1:4" x14ac:dyDescent="0.25">
      <c r="A31" s="8" t="s">
        <v>23</v>
      </c>
      <c r="B31" s="8" t="s">
        <v>19</v>
      </c>
      <c r="C31" s="9">
        <v>9186</v>
      </c>
      <c r="D31" t="str">
        <f t="shared" si="0"/>
        <v>2010-55-59 år</v>
      </c>
    </row>
    <row r="32" spans="1:4" x14ac:dyDescent="0.25">
      <c r="A32" s="8" t="s">
        <v>23</v>
      </c>
      <c r="B32" s="8" t="s">
        <v>20</v>
      </c>
      <c r="C32" s="9">
        <v>5175</v>
      </c>
      <c r="D32" t="str">
        <f t="shared" si="0"/>
        <v>2010-60-64 år</v>
      </c>
    </row>
    <row r="33" spans="1:4" x14ac:dyDescent="0.25">
      <c r="A33" s="8" t="s">
        <v>23</v>
      </c>
      <c r="B33" s="8" t="s">
        <v>21</v>
      </c>
      <c r="C33" s="9">
        <v>1161</v>
      </c>
      <c r="D33" t="str">
        <f t="shared" si="0"/>
        <v>2010-65+ år</v>
      </c>
    </row>
    <row r="34" spans="1:4" x14ac:dyDescent="0.25">
      <c r="A34" s="8" t="s">
        <v>24</v>
      </c>
      <c r="B34" s="8" t="s">
        <v>13</v>
      </c>
      <c r="C34" s="9">
        <v>6619</v>
      </c>
      <c r="D34" t="str">
        <f t="shared" si="0"/>
        <v>2011-25-29 år</v>
      </c>
    </row>
    <row r="35" spans="1:4" x14ac:dyDescent="0.25">
      <c r="A35" s="8" t="s">
        <v>24</v>
      </c>
      <c r="B35" s="8" t="s">
        <v>14</v>
      </c>
      <c r="C35" s="9">
        <v>9409</v>
      </c>
      <c r="D35" t="str">
        <f t="shared" si="0"/>
        <v>2011-30-34 år</v>
      </c>
    </row>
    <row r="36" spans="1:4" x14ac:dyDescent="0.25">
      <c r="A36" s="8" t="s">
        <v>24</v>
      </c>
      <c r="B36" s="8" t="s">
        <v>15</v>
      </c>
      <c r="C36" s="9">
        <v>9809</v>
      </c>
      <c r="D36" t="str">
        <f t="shared" si="0"/>
        <v>2011-35-39 år</v>
      </c>
    </row>
    <row r="37" spans="1:4" x14ac:dyDescent="0.25">
      <c r="A37" s="8" t="s">
        <v>24</v>
      </c>
      <c r="B37" s="8" t="s">
        <v>16</v>
      </c>
      <c r="C37" s="9">
        <v>10924</v>
      </c>
      <c r="D37" t="str">
        <f t="shared" si="0"/>
        <v>2011-40-44 år</v>
      </c>
    </row>
    <row r="38" spans="1:4" x14ac:dyDescent="0.25">
      <c r="A38" s="8" t="s">
        <v>24</v>
      </c>
      <c r="B38" s="8" t="s">
        <v>17</v>
      </c>
      <c r="C38" s="9">
        <v>12323</v>
      </c>
      <c r="D38" t="str">
        <f t="shared" si="0"/>
        <v>2011-45-49 år</v>
      </c>
    </row>
    <row r="39" spans="1:4" x14ac:dyDescent="0.25">
      <c r="A39" s="8" t="s">
        <v>24</v>
      </c>
      <c r="B39" s="8" t="s">
        <v>18</v>
      </c>
      <c r="C39" s="9">
        <v>10305</v>
      </c>
      <c r="D39" t="str">
        <f t="shared" si="0"/>
        <v>2011-50-54 år</v>
      </c>
    </row>
    <row r="40" spans="1:4" x14ac:dyDescent="0.25">
      <c r="A40" s="8" t="s">
        <v>24</v>
      </c>
      <c r="B40" s="8" t="s">
        <v>19</v>
      </c>
      <c r="C40" s="9">
        <v>9210</v>
      </c>
      <c r="D40" t="str">
        <f t="shared" si="0"/>
        <v>2011-55-59 år</v>
      </c>
    </row>
    <row r="41" spans="1:4" x14ac:dyDescent="0.25">
      <c r="A41" s="8" t="s">
        <v>24</v>
      </c>
      <c r="B41" s="8" t="s">
        <v>20</v>
      </c>
      <c r="C41" s="9">
        <v>5200</v>
      </c>
      <c r="D41" t="str">
        <f t="shared" si="0"/>
        <v>2011-60-64 år</v>
      </c>
    </row>
    <row r="42" spans="1:4" x14ac:dyDescent="0.25">
      <c r="A42" s="8" t="s">
        <v>24</v>
      </c>
      <c r="B42" s="8" t="s">
        <v>21</v>
      </c>
      <c r="C42" s="9">
        <v>1320</v>
      </c>
      <c r="D42" t="str">
        <f t="shared" si="0"/>
        <v>2011-65+ år</v>
      </c>
    </row>
    <row r="43" spans="1:4" x14ac:dyDescent="0.25">
      <c r="A43" s="8" t="s">
        <v>25</v>
      </c>
      <c r="B43" s="8" t="s">
        <v>13</v>
      </c>
      <c r="C43" s="9">
        <v>6332</v>
      </c>
      <c r="D43" t="str">
        <f t="shared" si="0"/>
        <v>2012-25-29 år</v>
      </c>
    </row>
    <row r="44" spans="1:4" x14ac:dyDescent="0.25">
      <c r="A44" s="8" t="s">
        <v>25</v>
      </c>
      <c r="B44" s="8" t="s">
        <v>14</v>
      </c>
      <c r="C44" s="9">
        <v>8887</v>
      </c>
      <c r="D44" t="str">
        <f t="shared" si="0"/>
        <v>2012-30-34 år</v>
      </c>
    </row>
    <row r="45" spans="1:4" x14ac:dyDescent="0.25">
      <c r="A45" s="8" t="s">
        <v>25</v>
      </c>
      <c r="B45" s="8" t="s">
        <v>15</v>
      </c>
      <c r="C45" s="9">
        <v>9638</v>
      </c>
      <c r="D45" t="str">
        <f t="shared" si="0"/>
        <v>2012-35-39 år</v>
      </c>
    </row>
    <row r="46" spans="1:4" x14ac:dyDescent="0.25">
      <c r="A46" s="8" t="s">
        <v>25</v>
      </c>
      <c r="B46" s="8" t="s">
        <v>16</v>
      </c>
      <c r="C46" s="9">
        <v>9823</v>
      </c>
      <c r="D46" t="str">
        <f t="shared" si="0"/>
        <v>2012-40-44 år</v>
      </c>
    </row>
    <row r="47" spans="1:4" x14ac:dyDescent="0.25">
      <c r="A47" s="8" t="s">
        <v>25</v>
      </c>
      <c r="B47" s="8" t="s">
        <v>17</v>
      </c>
      <c r="C47" s="9">
        <v>12680</v>
      </c>
      <c r="D47" t="str">
        <f t="shared" si="0"/>
        <v>2012-45-49 år</v>
      </c>
    </row>
    <row r="48" spans="1:4" x14ac:dyDescent="0.25">
      <c r="A48" s="8" t="s">
        <v>25</v>
      </c>
      <c r="B48" s="8" t="s">
        <v>18</v>
      </c>
      <c r="C48" s="9">
        <v>10381</v>
      </c>
      <c r="D48" t="str">
        <f t="shared" si="0"/>
        <v>2012-50-54 år</v>
      </c>
    </row>
    <row r="49" spans="1:4" x14ac:dyDescent="0.25">
      <c r="A49" s="8" t="s">
        <v>25</v>
      </c>
      <c r="B49" s="8" t="s">
        <v>19</v>
      </c>
      <c r="C49" s="9">
        <v>9032</v>
      </c>
      <c r="D49" t="str">
        <f t="shared" si="0"/>
        <v>2012-55-59 år</v>
      </c>
    </row>
    <row r="50" spans="1:4" x14ac:dyDescent="0.25">
      <c r="A50" s="8" t="s">
        <v>25</v>
      </c>
      <c r="B50" s="8" t="s">
        <v>20</v>
      </c>
      <c r="C50" s="9">
        <v>5237</v>
      </c>
      <c r="D50" t="str">
        <f t="shared" si="0"/>
        <v>2012-60-64 år</v>
      </c>
    </row>
    <row r="51" spans="1:4" x14ac:dyDescent="0.25">
      <c r="A51" s="8" t="s">
        <v>25</v>
      </c>
      <c r="B51" s="8" t="s">
        <v>21</v>
      </c>
      <c r="C51" s="9">
        <v>1446</v>
      </c>
      <c r="D51" t="str">
        <f t="shared" si="0"/>
        <v>2012-65+ år</v>
      </c>
    </row>
    <row r="52" spans="1:4" x14ac:dyDescent="0.25">
      <c r="A52" s="8" t="s">
        <v>26</v>
      </c>
      <c r="B52" s="8" t="s">
        <v>13</v>
      </c>
      <c r="C52" s="9">
        <v>6202</v>
      </c>
      <c r="D52" t="str">
        <f t="shared" si="0"/>
        <v>2013-25-29 år</v>
      </c>
    </row>
    <row r="53" spans="1:4" x14ac:dyDescent="0.25">
      <c r="A53" s="8" t="s">
        <v>26</v>
      </c>
      <c r="B53" s="8" t="s">
        <v>14</v>
      </c>
      <c r="C53" s="9">
        <v>8560</v>
      </c>
      <c r="D53" t="str">
        <f t="shared" si="0"/>
        <v>2013-30-34 år</v>
      </c>
    </row>
    <row r="54" spans="1:4" x14ac:dyDescent="0.25">
      <c r="A54" s="8" t="s">
        <v>26</v>
      </c>
      <c r="B54" s="8" t="s">
        <v>15</v>
      </c>
      <c r="C54" s="9">
        <v>9790</v>
      </c>
      <c r="D54" t="str">
        <f t="shared" si="0"/>
        <v>2013-35-39 år</v>
      </c>
    </row>
    <row r="55" spans="1:4" x14ac:dyDescent="0.25">
      <c r="A55" s="8" t="s">
        <v>26</v>
      </c>
      <c r="B55" s="8" t="s">
        <v>16</v>
      </c>
      <c r="C55" s="9">
        <v>9383</v>
      </c>
      <c r="D55" t="str">
        <f t="shared" si="0"/>
        <v>2013-40-44 år</v>
      </c>
    </row>
    <row r="56" spans="1:4" x14ac:dyDescent="0.25">
      <c r="A56" s="8" t="s">
        <v>26</v>
      </c>
      <c r="B56" s="8" t="s">
        <v>17</v>
      </c>
      <c r="C56" s="9">
        <v>12762</v>
      </c>
      <c r="D56" t="str">
        <f t="shared" si="0"/>
        <v>2013-45-49 år</v>
      </c>
    </row>
    <row r="57" spans="1:4" x14ac:dyDescent="0.25">
      <c r="A57" s="8" t="s">
        <v>26</v>
      </c>
      <c r="B57" s="8" t="s">
        <v>18</v>
      </c>
      <c r="C57" s="9">
        <v>10587</v>
      </c>
      <c r="D57" t="str">
        <f t="shared" si="0"/>
        <v>2013-50-54 år</v>
      </c>
    </row>
    <row r="58" spans="1:4" x14ac:dyDescent="0.25">
      <c r="A58" s="8" t="s">
        <v>26</v>
      </c>
      <c r="B58" s="8" t="s">
        <v>19</v>
      </c>
      <c r="C58" s="9">
        <v>8811</v>
      </c>
      <c r="D58" t="str">
        <f t="shared" si="0"/>
        <v>2013-55-59 år</v>
      </c>
    </row>
    <row r="59" spans="1:4" x14ac:dyDescent="0.25">
      <c r="A59" s="8" t="s">
        <v>26</v>
      </c>
      <c r="B59" s="8" t="s">
        <v>20</v>
      </c>
      <c r="C59" s="9">
        <v>5072</v>
      </c>
      <c r="D59" t="str">
        <f t="shared" si="0"/>
        <v>2013-60-64 år</v>
      </c>
    </row>
    <row r="60" spans="1:4" x14ac:dyDescent="0.25">
      <c r="A60" s="8" t="s">
        <v>26</v>
      </c>
      <c r="B60" s="8" t="s">
        <v>21</v>
      </c>
      <c r="C60" s="9">
        <v>1539</v>
      </c>
      <c r="D60" t="str">
        <f t="shared" si="0"/>
        <v>2013-65+ år</v>
      </c>
    </row>
    <row r="61" spans="1:4" x14ac:dyDescent="0.25">
      <c r="A61" s="8" t="s">
        <v>27</v>
      </c>
      <c r="B61" s="8" t="s">
        <v>13</v>
      </c>
      <c r="C61" s="9">
        <v>6041</v>
      </c>
      <c r="D61" t="str">
        <f t="shared" si="0"/>
        <v>2014-25-29 år</v>
      </c>
    </row>
    <row r="62" spans="1:4" x14ac:dyDescent="0.25">
      <c r="A62" s="8" t="s">
        <v>27</v>
      </c>
      <c r="B62" s="8" t="s">
        <v>14</v>
      </c>
      <c r="C62" s="9">
        <v>8203</v>
      </c>
      <c r="D62" t="str">
        <f t="shared" si="0"/>
        <v>2014-30-34 år</v>
      </c>
    </row>
    <row r="63" spans="1:4" x14ac:dyDescent="0.25">
      <c r="A63" s="8" t="s">
        <v>27</v>
      </c>
      <c r="B63" s="8" t="s">
        <v>15</v>
      </c>
      <c r="C63" s="9">
        <v>9972</v>
      </c>
      <c r="D63" t="str">
        <f t="shared" si="0"/>
        <v>2014-35-39 år</v>
      </c>
    </row>
    <row r="64" spans="1:4" x14ac:dyDescent="0.25">
      <c r="A64" s="8" t="s">
        <v>27</v>
      </c>
      <c r="B64" s="8" t="s">
        <v>16</v>
      </c>
      <c r="C64" s="9">
        <v>9409</v>
      </c>
      <c r="D64" t="str">
        <f t="shared" si="0"/>
        <v>2014-40-44 år</v>
      </c>
    </row>
    <row r="65" spans="1:4" x14ac:dyDescent="0.25">
      <c r="A65" s="8" t="s">
        <v>27</v>
      </c>
      <c r="B65" s="8" t="s">
        <v>17</v>
      </c>
      <c r="C65" s="9">
        <v>12377</v>
      </c>
      <c r="D65" t="str">
        <f t="shared" si="0"/>
        <v>2014-45-49 år</v>
      </c>
    </row>
    <row r="66" spans="1:4" x14ac:dyDescent="0.25">
      <c r="A66" s="8" t="s">
        <v>27</v>
      </c>
      <c r="B66" s="8" t="s">
        <v>18</v>
      </c>
      <c r="C66" s="9">
        <v>10828</v>
      </c>
      <c r="D66" t="str">
        <f t="shared" si="0"/>
        <v>2014-50-54 år</v>
      </c>
    </row>
    <row r="67" spans="1:4" x14ac:dyDescent="0.25">
      <c r="A67" s="8" t="s">
        <v>27</v>
      </c>
      <c r="B67" s="8" t="s">
        <v>19</v>
      </c>
      <c r="C67" s="9">
        <v>8888</v>
      </c>
      <c r="D67" t="str">
        <f t="shared" si="0"/>
        <v>2014-55-59 år</v>
      </c>
    </row>
    <row r="68" spans="1:4" x14ac:dyDescent="0.25">
      <c r="A68" s="8" t="s">
        <v>27</v>
      </c>
      <c r="B68" s="8" t="s">
        <v>20</v>
      </c>
      <c r="C68" s="9">
        <v>5141</v>
      </c>
      <c r="D68" t="str">
        <f t="shared" si="0"/>
        <v>2014-60-64 år</v>
      </c>
    </row>
    <row r="69" spans="1:4" x14ac:dyDescent="0.25">
      <c r="A69" s="8" t="s">
        <v>27</v>
      </c>
      <c r="B69" s="8" t="s">
        <v>21</v>
      </c>
      <c r="C69" s="9">
        <v>1600</v>
      </c>
      <c r="D69" t="str">
        <f t="shared" si="0"/>
        <v>2014-65+ år</v>
      </c>
    </row>
    <row r="70" spans="1:4" x14ac:dyDescent="0.25">
      <c r="A70" s="8" t="s">
        <v>28</v>
      </c>
      <c r="B70" s="8" t="s">
        <v>13</v>
      </c>
      <c r="C70" s="9">
        <v>5834</v>
      </c>
      <c r="D70" t="str">
        <f t="shared" si="0"/>
        <v>2015-25-29 år</v>
      </c>
    </row>
    <row r="71" spans="1:4" x14ac:dyDescent="0.25">
      <c r="A71" s="8" t="s">
        <v>28</v>
      </c>
      <c r="B71" s="8" t="s">
        <v>14</v>
      </c>
      <c r="C71" s="9">
        <v>7834</v>
      </c>
      <c r="D71" t="str">
        <f t="shared" ref="D71:D134" si="1">A71&amp;"-"&amp;B71</f>
        <v>2015-30-34 år</v>
      </c>
    </row>
    <row r="72" spans="1:4" x14ac:dyDescent="0.25">
      <c r="A72" s="8" t="s">
        <v>28</v>
      </c>
      <c r="B72" s="8" t="s">
        <v>15</v>
      </c>
      <c r="C72" s="9">
        <v>9897</v>
      </c>
      <c r="D72" t="str">
        <f t="shared" si="1"/>
        <v>2015-35-39 år</v>
      </c>
    </row>
    <row r="73" spans="1:4" x14ac:dyDescent="0.25">
      <c r="A73" s="8" t="s">
        <v>28</v>
      </c>
      <c r="B73" s="8" t="s">
        <v>16</v>
      </c>
      <c r="C73" s="9">
        <v>9571</v>
      </c>
      <c r="D73" t="str">
        <f t="shared" si="1"/>
        <v>2015-40-44 år</v>
      </c>
    </row>
    <row r="74" spans="1:4" x14ac:dyDescent="0.25">
      <c r="A74" s="8" t="s">
        <v>28</v>
      </c>
      <c r="B74" s="8" t="s">
        <v>17</v>
      </c>
      <c r="C74" s="9">
        <v>11603</v>
      </c>
      <c r="D74" t="str">
        <f t="shared" si="1"/>
        <v>2015-45-49 år</v>
      </c>
    </row>
    <row r="75" spans="1:4" x14ac:dyDescent="0.25">
      <c r="A75" s="8" t="s">
        <v>28</v>
      </c>
      <c r="B75" s="8" t="s">
        <v>18</v>
      </c>
      <c r="C75" s="9">
        <v>11160</v>
      </c>
      <c r="D75" t="str">
        <f t="shared" si="1"/>
        <v>2015-50-54 år</v>
      </c>
    </row>
    <row r="76" spans="1:4" x14ac:dyDescent="0.25">
      <c r="A76" s="8" t="s">
        <v>28</v>
      </c>
      <c r="B76" s="8" t="s">
        <v>19</v>
      </c>
      <c r="C76" s="9">
        <v>8969</v>
      </c>
      <c r="D76" t="str">
        <f t="shared" si="1"/>
        <v>2015-55-59 år</v>
      </c>
    </row>
    <row r="77" spans="1:4" x14ac:dyDescent="0.25">
      <c r="A77" s="8" t="s">
        <v>28</v>
      </c>
      <c r="B77" s="8" t="s">
        <v>20</v>
      </c>
      <c r="C77" s="9">
        <v>5167</v>
      </c>
      <c r="D77" t="str">
        <f t="shared" si="1"/>
        <v>2015-60-64 år</v>
      </c>
    </row>
    <row r="78" spans="1:4" x14ac:dyDescent="0.25">
      <c r="A78" s="8" t="s">
        <v>28</v>
      </c>
      <c r="B78" s="8" t="s">
        <v>21</v>
      </c>
      <c r="C78" s="9">
        <v>1642</v>
      </c>
      <c r="D78" t="str">
        <f t="shared" si="1"/>
        <v>2015-65+ år</v>
      </c>
    </row>
    <row r="79" spans="1:4" x14ac:dyDescent="0.25">
      <c r="A79" s="8" t="s">
        <v>29</v>
      </c>
      <c r="B79" s="8" t="s">
        <v>13</v>
      </c>
      <c r="C79" s="9">
        <v>5701</v>
      </c>
      <c r="D79" t="str">
        <f t="shared" si="1"/>
        <v>2016-25-29 år</v>
      </c>
    </row>
    <row r="80" spans="1:4" x14ac:dyDescent="0.25">
      <c r="A80" s="8" t="s">
        <v>29</v>
      </c>
      <c r="B80" s="8" t="s">
        <v>14</v>
      </c>
      <c r="C80" s="9">
        <v>7831</v>
      </c>
      <c r="D80" t="str">
        <f t="shared" si="1"/>
        <v>2016-30-34 år</v>
      </c>
    </row>
    <row r="81" spans="1:4" x14ac:dyDescent="0.25">
      <c r="A81" s="8" t="s">
        <v>29</v>
      </c>
      <c r="B81" s="8" t="s">
        <v>15</v>
      </c>
      <c r="C81" s="9">
        <v>9564</v>
      </c>
      <c r="D81" t="str">
        <f t="shared" si="1"/>
        <v>2016-35-39 år</v>
      </c>
    </row>
    <row r="82" spans="1:4" x14ac:dyDescent="0.25">
      <c r="A82" s="8" t="s">
        <v>29</v>
      </c>
      <c r="B82" s="8" t="s">
        <v>16</v>
      </c>
      <c r="C82" s="9">
        <v>9711</v>
      </c>
      <c r="D82" t="str">
        <f t="shared" si="1"/>
        <v>2016-40-44 år</v>
      </c>
    </row>
    <row r="83" spans="1:4" x14ac:dyDescent="0.25">
      <c r="A83" s="8" t="s">
        <v>29</v>
      </c>
      <c r="B83" s="8" t="s">
        <v>17</v>
      </c>
      <c r="C83" s="9">
        <v>10533</v>
      </c>
      <c r="D83" t="str">
        <f t="shared" si="1"/>
        <v>2016-45-49 år</v>
      </c>
    </row>
    <row r="84" spans="1:4" x14ac:dyDescent="0.25">
      <c r="A84" s="8" t="s">
        <v>29</v>
      </c>
      <c r="B84" s="8" t="s">
        <v>18</v>
      </c>
      <c r="C84" s="9">
        <v>11490</v>
      </c>
      <c r="D84" t="str">
        <f t="shared" si="1"/>
        <v>2016-50-54 år</v>
      </c>
    </row>
    <row r="85" spans="1:4" x14ac:dyDescent="0.25">
      <c r="A85" s="8" t="s">
        <v>29</v>
      </c>
      <c r="B85" s="8" t="s">
        <v>19</v>
      </c>
      <c r="C85" s="9">
        <v>9121</v>
      </c>
      <c r="D85" t="str">
        <f t="shared" si="1"/>
        <v>2016-55-59 år</v>
      </c>
    </row>
    <row r="86" spans="1:4" x14ac:dyDescent="0.25">
      <c r="A86" s="8" t="s">
        <v>29</v>
      </c>
      <c r="B86" s="8" t="s">
        <v>20</v>
      </c>
      <c r="C86" s="9">
        <v>5304</v>
      </c>
      <c r="D86" t="str">
        <f t="shared" si="1"/>
        <v>2016-60-64 år</v>
      </c>
    </row>
    <row r="87" spans="1:4" x14ac:dyDescent="0.25">
      <c r="A87" s="8" t="s">
        <v>29</v>
      </c>
      <c r="B87" s="8" t="s">
        <v>21</v>
      </c>
      <c r="C87" s="9">
        <v>1680</v>
      </c>
      <c r="D87" t="str">
        <f t="shared" si="1"/>
        <v>2016-65+ år</v>
      </c>
    </row>
    <row r="88" spans="1:4" x14ac:dyDescent="0.25">
      <c r="A88" s="8" t="s">
        <v>30</v>
      </c>
      <c r="B88" s="8" t="s">
        <v>13</v>
      </c>
      <c r="C88" s="9">
        <v>5951</v>
      </c>
      <c r="D88" t="str">
        <f t="shared" si="1"/>
        <v>2017-25-29 år</v>
      </c>
    </row>
    <row r="89" spans="1:4" x14ac:dyDescent="0.25">
      <c r="A89" s="8" t="s">
        <v>30</v>
      </c>
      <c r="B89" s="8" t="s">
        <v>14</v>
      </c>
      <c r="C89" s="9">
        <v>8016</v>
      </c>
      <c r="D89" t="str">
        <f t="shared" si="1"/>
        <v>2017-30-34 år</v>
      </c>
    </row>
    <row r="90" spans="1:4" x14ac:dyDescent="0.25">
      <c r="A90" s="8" t="s">
        <v>30</v>
      </c>
      <c r="B90" s="8" t="s">
        <v>15</v>
      </c>
      <c r="C90" s="9">
        <v>9344</v>
      </c>
      <c r="D90" t="str">
        <f t="shared" si="1"/>
        <v>2017-35-39 år</v>
      </c>
    </row>
    <row r="91" spans="1:4" x14ac:dyDescent="0.25">
      <c r="A91" s="8" t="s">
        <v>30</v>
      </c>
      <c r="B91" s="8" t="s">
        <v>16</v>
      </c>
      <c r="C91" s="9">
        <v>9699</v>
      </c>
      <c r="D91" t="str">
        <f t="shared" si="1"/>
        <v>2017-40-44 år</v>
      </c>
    </row>
    <row r="92" spans="1:4" x14ac:dyDescent="0.25">
      <c r="A92" s="8" t="s">
        <v>30</v>
      </c>
      <c r="B92" s="8" t="s">
        <v>17</v>
      </c>
      <c r="C92" s="9">
        <v>9778</v>
      </c>
      <c r="D92" t="str">
        <f t="shared" si="1"/>
        <v>2017-45-49 år</v>
      </c>
    </row>
    <row r="93" spans="1:4" x14ac:dyDescent="0.25">
      <c r="A93" s="8" t="s">
        <v>30</v>
      </c>
      <c r="B93" s="8" t="s">
        <v>18</v>
      </c>
      <c r="C93" s="9">
        <v>11940</v>
      </c>
      <c r="D93" t="str">
        <f t="shared" si="1"/>
        <v>2017-50-54 år</v>
      </c>
    </row>
    <row r="94" spans="1:4" x14ac:dyDescent="0.25">
      <c r="A94" s="8" t="s">
        <v>30</v>
      </c>
      <c r="B94" s="8" t="s">
        <v>19</v>
      </c>
      <c r="C94" s="9">
        <v>9231</v>
      </c>
      <c r="D94" t="str">
        <f t="shared" si="1"/>
        <v>2017-55-59 år</v>
      </c>
    </row>
    <row r="95" spans="1:4" x14ac:dyDescent="0.25">
      <c r="A95" s="8" t="s">
        <v>30</v>
      </c>
      <c r="B95" s="8" t="s">
        <v>20</v>
      </c>
      <c r="C95" s="9">
        <v>5403</v>
      </c>
      <c r="D95" t="str">
        <f t="shared" si="1"/>
        <v>2017-60-64 år</v>
      </c>
    </row>
    <row r="96" spans="1:4" x14ac:dyDescent="0.25">
      <c r="A96" s="8" t="s">
        <v>30</v>
      </c>
      <c r="B96" s="8" t="s">
        <v>21</v>
      </c>
      <c r="C96" s="9">
        <v>1775</v>
      </c>
      <c r="D96" t="str">
        <f t="shared" si="1"/>
        <v>2017-65+ år</v>
      </c>
    </row>
    <row r="97" spans="1:4" x14ac:dyDescent="0.25">
      <c r="A97" s="8" t="s">
        <v>31</v>
      </c>
      <c r="B97" s="8" t="s">
        <v>13</v>
      </c>
      <c r="C97" s="9">
        <v>6353</v>
      </c>
      <c r="D97" t="str">
        <f t="shared" si="1"/>
        <v>2018-25-29 år</v>
      </c>
    </row>
    <row r="98" spans="1:4" x14ac:dyDescent="0.25">
      <c r="A98" s="8" t="s">
        <v>31</v>
      </c>
      <c r="B98" s="8" t="s">
        <v>14</v>
      </c>
      <c r="C98" s="9">
        <v>8276</v>
      </c>
      <c r="D98" t="str">
        <f t="shared" si="1"/>
        <v>2018-30-34 år</v>
      </c>
    </row>
    <row r="99" spans="1:4" x14ac:dyDescent="0.25">
      <c r="A99" s="8" t="s">
        <v>31</v>
      </c>
      <c r="B99" s="8" t="s">
        <v>15</v>
      </c>
      <c r="C99" s="9">
        <v>9245</v>
      </c>
      <c r="D99" t="str">
        <f t="shared" si="1"/>
        <v>2018-35-39 år</v>
      </c>
    </row>
    <row r="100" spans="1:4" x14ac:dyDescent="0.25">
      <c r="A100" s="8" t="s">
        <v>31</v>
      </c>
      <c r="B100" s="8" t="s">
        <v>16</v>
      </c>
      <c r="C100" s="9">
        <v>9937</v>
      </c>
      <c r="D100" t="str">
        <f t="shared" si="1"/>
        <v>2018-40-44 år</v>
      </c>
    </row>
    <row r="101" spans="1:4" x14ac:dyDescent="0.25">
      <c r="A101" s="8" t="s">
        <v>31</v>
      </c>
      <c r="B101" s="8" t="s">
        <v>17</v>
      </c>
      <c r="C101" s="9">
        <v>9488</v>
      </c>
      <c r="D101" t="str">
        <f t="shared" si="1"/>
        <v>2018-45-49 år</v>
      </c>
    </row>
    <row r="102" spans="1:4" x14ac:dyDescent="0.25">
      <c r="A102" s="8" t="s">
        <v>31</v>
      </c>
      <c r="B102" s="8" t="s">
        <v>18</v>
      </c>
      <c r="C102" s="9">
        <v>12171</v>
      </c>
      <c r="D102" t="str">
        <f t="shared" si="1"/>
        <v>2018-50-54 år</v>
      </c>
    </row>
    <row r="103" spans="1:4" x14ac:dyDescent="0.25">
      <c r="A103" s="8" t="s">
        <v>31</v>
      </c>
      <c r="B103" s="8" t="s">
        <v>19</v>
      </c>
      <c r="C103" s="9">
        <v>9537</v>
      </c>
      <c r="D103" t="str">
        <f t="shared" si="1"/>
        <v>2018-55-59 år</v>
      </c>
    </row>
    <row r="104" spans="1:4" x14ac:dyDescent="0.25">
      <c r="A104" s="8" t="s">
        <v>31</v>
      </c>
      <c r="B104" s="8" t="s">
        <v>20</v>
      </c>
      <c r="C104" s="9">
        <v>5638</v>
      </c>
      <c r="D104" t="str">
        <f t="shared" si="1"/>
        <v>2018-60-64 år</v>
      </c>
    </row>
    <row r="105" spans="1:4" x14ac:dyDescent="0.25">
      <c r="A105" s="8" t="s">
        <v>31</v>
      </c>
      <c r="B105" s="8" t="s">
        <v>21</v>
      </c>
      <c r="C105" s="9">
        <v>1897</v>
      </c>
      <c r="D105" t="str">
        <f t="shared" si="1"/>
        <v>2018-65+ år</v>
      </c>
    </row>
    <row r="106" spans="1:4" x14ac:dyDescent="0.25">
      <c r="A106" s="8" t="s">
        <v>32</v>
      </c>
      <c r="B106" s="8" t="s">
        <v>13</v>
      </c>
      <c r="C106" s="9">
        <v>6883</v>
      </c>
      <c r="D106" t="str">
        <f t="shared" si="1"/>
        <v>2019-25-29 år</v>
      </c>
    </row>
    <row r="107" spans="1:4" x14ac:dyDescent="0.25">
      <c r="A107" s="8" t="s">
        <v>32</v>
      </c>
      <c r="B107" s="8" t="s">
        <v>14</v>
      </c>
      <c r="C107" s="9">
        <v>8461</v>
      </c>
      <c r="D107" t="str">
        <f t="shared" si="1"/>
        <v>2019-30-34 år</v>
      </c>
    </row>
    <row r="108" spans="1:4" x14ac:dyDescent="0.25">
      <c r="A108" s="8" t="s">
        <v>32</v>
      </c>
      <c r="B108" s="8" t="s">
        <v>15</v>
      </c>
      <c r="C108" s="9">
        <v>9057</v>
      </c>
      <c r="D108" t="str">
        <f t="shared" si="1"/>
        <v>2019-35-39 år</v>
      </c>
    </row>
    <row r="109" spans="1:4" x14ac:dyDescent="0.25">
      <c r="A109" s="8" t="s">
        <v>32</v>
      </c>
      <c r="B109" s="8" t="s">
        <v>16</v>
      </c>
      <c r="C109" s="9">
        <v>10158</v>
      </c>
      <c r="D109" t="str">
        <f t="shared" si="1"/>
        <v>2019-40-44 år</v>
      </c>
    </row>
    <row r="110" spans="1:4" x14ac:dyDescent="0.25">
      <c r="A110" s="8" t="s">
        <v>32</v>
      </c>
      <c r="B110" s="8" t="s">
        <v>17</v>
      </c>
      <c r="C110" s="9">
        <v>9482</v>
      </c>
      <c r="D110" t="str">
        <f t="shared" si="1"/>
        <v>2019-45-49 år</v>
      </c>
    </row>
    <row r="111" spans="1:4" x14ac:dyDescent="0.25">
      <c r="A111" s="8" t="s">
        <v>32</v>
      </c>
      <c r="B111" s="8" t="s">
        <v>18</v>
      </c>
      <c r="C111" s="9">
        <v>11866</v>
      </c>
      <c r="D111" t="str">
        <f t="shared" si="1"/>
        <v>2019-50-54 år</v>
      </c>
    </row>
    <row r="112" spans="1:4" x14ac:dyDescent="0.25">
      <c r="A112" s="8" t="s">
        <v>32</v>
      </c>
      <c r="B112" s="8" t="s">
        <v>19</v>
      </c>
      <c r="C112" s="9">
        <v>9811</v>
      </c>
      <c r="D112" t="str">
        <f t="shared" si="1"/>
        <v>2019-55-59 år</v>
      </c>
    </row>
    <row r="113" spans="1:4" x14ac:dyDescent="0.25">
      <c r="A113" s="8" t="s">
        <v>32</v>
      </c>
      <c r="B113" s="8" t="s">
        <v>20</v>
      </c>
      <c r="C113" s="9">
        <v>5907</v>
      </c>
      <c r="D113" t="str">
        <f t="shared" si="1"/>
        <v>2019-60-64 år</v>
      </c>
    </row>
    <row r="114" spans="1:4" x14ac:dyDescent="0.25">
      <c r="A114" s="8" t="s">
        <v>32</v>
      </c>
      <c r="B114" s="8" t="s">
        <v>21</v>
      </c>
      <c r="C114" s="9">
        <v>2030</v>
      </c>
      <c r="D114" t="str">
        <f t="shared" si="1"/>
        <v>2019-65+ år</v>
      </c>
    </row>
    <row r="115" spans="1:4" x14ac:dyDescent="0.25">
      <c r="A115" s="8" t="s">
        <v>33</v>
      </c>
      <c r="B115" s="8" t="s">
        <v>13</v>
      </c>
      <c r="C115" s="9">
        <v>7337</v>
      </c>
      <c r="D115" t="str">
        <f t="shared" si="1"/>
        <v>2020-25-29 år</v>
      </c>
    </row>
    <row r="116" spans="1:4" x14ac:dyDescent="0.25">
      <c r="A116" s="8" t="s">
        <v>33</v>
      </c>
      <c r="B116" s="8" t="s">
        <v>14</v>
      </c>
      <c r="C116" s="9">
        <v>8658</v>
      </c>
      <c r="D116" t="str">
        <f t="shared" si="1"/>
        <v>2020-30-34 år</v>
      </c>
    </row>
    <row r="117" spans="1:4" x14ac:dyDescent="0.25">
      <c r="A117" s="8" t="s">
        <v>33</v>
      </c>
      <c r="B117" s="8" t="s">
        <v>15</v>
      </c>
      <c r="C117" s="9">
        <v>8798</v>
      </c>
      <c r="D117" t="str">
        <f t="shared" si="1"/>
        <v>2020-35-39 år</v>
      </c>
    </row>
    <row r="118" spans="1:4" x14ac:dyDescent="0.25">
      <c r="A118" s="8" t="s">
        <v>33</v>
      </c>
      <c r="B118" s="8" t="s">
        <v>16</v>
      </c>
      <c r="C118" s="9">
        <v>10129</v>
      </c>
      <c r="D118" t="str">
        <f t="shared" si="1"/>
        <v>2020-40-44 år</v>
      </c>
    </row>
    <row r="119" spans="1:4" x14ac:dyDescent="0.25">
      <c r="A119" s="8" t="s">
        <v>33</v>
      </c>
      <c r="B119" s="8" t="s">
        <v>17</v>
      </c>
      <c r="C119" s="9">
        <v>9740</v>
      </c>
      <c r="D119" t="str">
        <f t="shared" si="1"/>
        <v>2020-45-49 år</v>
      </c>
    </row>
    <row r="120" spans="1:4" x14ac:dyDescent="0.25">
      <c r="A120" s="8" t="s">
        <v>33</v>
      </c>
      <c r="B120" s="8" t="s">
        <v>18</v>
      </c>
      <c r="C120" s="9">
        <v>11187</v>
      </c>
      <c r="D120" t="str">
        <f t="shared" si="1"/>
        <v>2020-50-54 år</v>
      </c>
    </row>
    <row r="121" spans="1:4" x14ac:dyDescent="0.25">
      <c r="A121" s="8" t="s">
        <v>33</v>
      </c>
      <c r="B121" s="8" t="s">
        <v>19</v>
      </c>
      <c r="C121" s="9">
        <v>10215</v>
      </c>
      <c r="D121" t="str">
        <f t="shared" si="1"/>
        <v>2020-55-59 år</v>
      </c>
    </row>
    <row r="122" spans="1:4" x14ac:dyDescent="0.25">
      <c r="A122" s="8" t="s">
        <v>33</v>
      </c>
      <c r="B122" s="8" t="s">
        <v>20</v>
      </c>
      <c r="C122" s="9">
        <v>6305</v>
      </c>
      <c r="D122" t="str">
        <f t="shared" si="1"/>
        <v>2020-60-64 år</v>
      </c>
    </row>
    <row r="123" spans="1:4" x14ac:dyDescent="0.25">
      <c r="A123" s="8" t="s">
        <v>33</v>
      </c>
      <c r="B123" s="8" t="s">
        <v>21</v>
      </c>
      <c r="C123" s="9">
        <v>2231</v>
      </c>
      <c r="D123" t="str">
        <f t="shared" si="1"/>
        <v>2020-65+ år</v>
      </c>
    </row>
    <row r="124" spans="1:4" x14ac:dyDescent="0.25">
      <c r="A124" s="8" t="s">
        <v>34</v>
      </c>
      <c r="B124" s="8" t="s">
        <v>13</v>
      </c>
      <c r="C124" s="9">
        <v>7687</v>
      </c>
      <c r="D124" t="str">
        <f t="shared" si="1"/>
        <v>2021-25-29 år</v>
      </c>
    </row>
    <row r="125" spans="1:4" x14ac:dyDescent="0.25">
      <c r="A125" s="8" t="s">
        <v>34</v>
      </c>
      <c r="B125" s="8" t="s">
        <v>14</v>
      </c>
      <c r="C125" s="9">
        <v>8844</v>
      </c>
      <c r="D125" t="str">
        <f t="shared" si="1"/>
        <v>2021-30-34 år</v>
      </c>
    </row>
    <row r="126" spans="1:4" x14ac:dyDescent="0.25">
      <c r="A126" s="8" t="s">
        <v>34</v>
      </c>
      <c r="B126" s="8" t="s">
        <v>15</v>
      </c>
      <c r="C126" s="9">
        <v>8987</v>
      </c>
      <c r="D126" t="str">
        <f t="shared" si="1"/>
        <v>2021-35-39 år</v>
      </c>
    </row>
    <row r="127" spans="1:4" x14ac:dyDescent="0.25">
      <c r="A127" s="8" t="s">
        <v>34</v>
      </c>
      <c r="B127" s="8" t="s">
        <v>16</v>
      </c>
      <c r="C127" s="9">
        <v>10002</v>
      </c>
      <c r="D127" t="str">
        <f t="shared" si="1"/>
        <v>2021-40-44 år</v>
      </c>
    </row>
    <row r="128" spans="1:4" x14ac:dyDescent="0.25">
      <c r="A128" s="8" t="s">
        <v>34</v>
      </c>
      <c r="B128" s="8" t="s">
        <v>17</v>
      </c>
      <c r="C128" s="9">
        <v>10036</v>
      </c>
      <c r="D128" t="str">
        <f t="shared" si="1"/>
        <v>2021-45-49 år</v>
      </c>
    </row>
    <row r="129" spans="1:4" x14ac:dyDescent="0.25">
      <c r="A129" s="8" t="s">
        <v>34</v>
      </c>
      <c r="B129" s="8" t="s">
        <v>18</v>
      </c>
      <c r="C129" s="9">
        <v>10467</v>
      </c>
      <c r="D129" t="str">
        <f t="shared" si="1"/>
        <v>2021-50-54 år</v>
      </c>
    </row>
    <row r="130" spans="1:4" x14ac:dyDescent="0.25">
      <c r="A130" s="8" t="s">
        <v>34</v>
      </c>
      <c r="B130" s="8" t="s">
        <v>19</v>
      </c>
      <c r="C130" s="9">
        <v>10749</v>
      </c>
      <c r="D130" t="str">
        <f t="shared" si="1"/>
        <v>2021-55-59 år</v>
      </c>
    </row>
    <row r="131" spans="1:4" x14ac:dyDescent="0.25">
      <c r="A131" s="8" t="s">
        <v>34</v>
      </c>
      <c r="B131" s="8" t="s">
        <v>20</v>
      </c>
      <c r="C131" s="9">
        <v>6688</v>
      </c>
      <c r="D131" t="str">
        <f t="shared" si="1"/>
        <v>2021-60-64 år</v>
      </c>
    </row>
    <row r="132" spans="1:4" x14ac:dyDescent="0.25">
      <c r="A132" s="8" t="s">
        <v>34</v>
      </c>
      <c r="B132" s="8" t="s">
        <v>21</v>
      </c>
      <c r="C132" s="9">
        <v>2522</v>
      </c>
      <c r="D132" t="str">
        <f t="shared" si="1"/>
        <v>2021-65+ år</v>
      </c>
    </row>
    <row r="133" spans="1:4" x14ac:dyDescent="0.25">
      <c r="A133" s="8" t="s">
        <v>35</v>
      </c>
      <c r="B133" s="8" t="s">
        <v>13</v>
      </c>
      <c r="C133" s="9">
        <v>8107</v>
      </c>
      <c r="D133" t="str">
        <f t="shared" si="1"/>
        <v>2022-25-29 år</v>
      </c>
    </row>
    <row r="134" spans="1:4" x14ac:dyDescent="0.25">
      <c r="A134" s="8" t="s">
        <v>35</v>
      </c>
      <c r="B134" s="8" t="s">
        <v>14</v>
      </c>
      <c r="C134" s="9">
        <v>9307</v>
      </c>
      <c r="D134" t="str">
        <f t="shared" si="1"/>
        <v>2022-30-34 år</v>
      </c>
    </row>
    <row r="135" spans="1:4" x14ac:dyDescent="0.25">
      <c r="A135" s="8" t="s">
        <v>35</v>
      </c>
      <c r="B135" s="8" t="s">
        <v>15</v>
      </c>
      <c r="C135" s="9">
        <v>9287</v>
      </c>
      <c r="D135" t="str">
        <f t="shared" ref="D135:D158" si="2">A135&amp;"-"&amp;B135</f>
        <v>2022-35-39 år</v>
      </c>
    </row>
    <row r="136" spans="1:4" x14ac:dyDescent="0.25">
      <c r="A136" s="8" t="s">
        <v>35</v>
      </c>
      <c r="B136" s="8" t="s">
        <v>16</v>
      </c>
      <c r="C136" s="9">
        <v>9808</v>
      </c>
      <c r="D136" t="str">
        <f t="shared" si="2"/>
        <v>2022-40-44 år</v>
      </c>
    </row>
    <row r="137" spans="1:4" x14ac:dyDescent="0.25">
      <c r="A137" s="8" t="s">
        <v>35</v>
      </c>
      <c r="B137" s="8" t="s">
        <v>17</v>
      </c>
      <c r="C137" s="9">
        <v>10063</v>
      </c>
      <c r="D137" t="str">
        <f t="shared" si="2"/>
        <v>2022-45-49 år</v>
      </c>
    </row>
    <row r="138" spans="1:4" x14ac:dyDescent="0.25">
      <c r="A138" s="8" t="s">
        <v>35</v>
      </c>
      <c r="B138" s="8" t="s">
        <v>18</v>
      </c>
      <c r="C138" s="9">
        <v>9799</v>
      </c>
      <c r="D138" t="str">
        <f t="shared" si="2"/>
        <v>2022-50-54 år</v>
      </c>
    </row>
    <row r="139" spans="1:4" x14ac:dyDescent="0.25">
      <c r="A139" s="8" t="s">
        <v>35</v>
      </c>
      <c r="B139" s="8" t="s">
        <v>19</v>
      </c>
      <c r="C139" s="9">
        <v>11340</v>
      </c>
      <c r="D139" t="str">
        <f t="shared" si="2"/>
        <v>2022-55-59 år</v>
      </c>
    </row>
    <row r="140" spans="1:4" x14ac:dyDescent="0.25">
      <c r="A140" s="8" t="s">
        <v>35</v>
      </c>
      <c r="B140" s="8" t="s">
        <v>20</v>
      </c>
      <c r="C140" s="9">
        <v>6943</v>
      </c>
      <c r="D140" t="str">
        <f t="shared" si="2"/>
        <v>2022-60-64 år</v>
      </c>
    </row>
    <row r="141" spans="1:4" x14ac:dyDescent="0.25">
      <c r="A141" s="8" t="s">
        <v>35</v>
      </c>
      <c r="B141" s="8" t="s">
        <v>21</v>
      </c>
      <c r="C141" s="9">
        <v>2779</v>
      </c>
      <c r="D141" t="str">
        <f t="shared" si="2"/>
        <v>2022-65+ år</v>
      </c>
    </row>
    <row r="142" spans="1:4" x14ac:dyDescent="0.25">
      <c r="A142" s="8" t="s">
        <v>36</v>
      </c>
      <c r="B142" s="8" t="s">
        <v>13</v>
      </c>
      <c r="C142" s="9">
        <v>8433</v>
      </c>
      <c r="D142" t="str">
        <f t="shared" si="2"/>
        <v>2023-25-29 år</v>
      </c>
    </row>
    <row r="143" spans="1:4" x14ac:dyDescent="0.25">
      <c r="A143" s="8" t="s">
        <v>36</v>
      </c>
      <c r="B143" s="8" t="s">
        <v>14</v>
      </c>
      <c r="C143" s="9">
        <v>9786</v>
      </c>
      <c r="D143" t="str">
        <f t="shared" si="2"/>
        <v>2023-30-34 år</v>
      </c>
    </row>
    <row r="144" spans="1:4" x14ac:dyDescent="0.25">
      <c r="A144" s="8" t="s">
        <v>36</v>
      </c>
      <c r="B144" s="8" t="s">
        <v>15</v>
      </c>
      <c r="C144" s="9">
        <v>9648</v>
      </c>
      <c r="D144" t="str">
        <f t="shared" si="2"/>
        <v>2023-35-39 år</v>
      </c>
    </row>
    <row r="145" spans="1:4" x14ac:dyDescent="0.25">
      <c r="A145" s="8" t="s">
        <v>36</v>
      </c>
      <c r="B145" s="8" t="s">
        <v>16</v>
      </c>
      <c r="C145" s="9">
        <v>9770</v>
      </c>
      <c r="D145" t="str">
        <f t="shared" si="2"/>
        <v>2023-40-44 år</v>
      </c>
    </row>
    <row r="146" spans="1:4" x14ac:dyDescent="0.25">
      <c r="A146" s="8" t="s">
        <v>36</v>
      </c>
      <c r="B146" s="8" t="s">
        <v>17</v>
      </c>
      <c r="C146" s="9">
        <v>10262</v>
      </c>
      <c r="D146" t="str">
        <f t="shared" si="2"/>
        <v>2023-45-49 år</v>
      </c>
    </row>
    <row r="147" spans="1:4" x14ac:dyDescent="0.25">
      <c r="A147" s="8" t="s">
        <v>36</v>
      </c>
      <c r="B147" s="8" t="s">
        <v>18</v>
      </c>
      <c r="C147" s="9">
        <v>9513</v>
      </c>
      <c r="D147" t="str">
        <f t="shared" si="2"/>
        <v>2023-50-54 år</v>
      </c>
    </row>
    <row r="148" spans="1:4" x14ac:dyDescent="0.25">
      <c r="A148" s="8" t="s">
        <v>36</v>
      </c>
      <c r="B148" s="8" t="s">
        <v>19</v>
      </c>
      <c r="C148" s="9">
        <v>11614</v>
      </c>
      <c r="D148" t="str">
        <f t="shared" si="2"/>
        <v>2023-55-59 år</v>
      </c>
    </row>
    <row r="149" spans="1:4" x14ac:dyDescent="0.25">
      <c r="A149" s="8" t="s">
        <v>36</v>
      </c>
      <c r="B149" s="8" t="s">
        <v>20</v>
      </c>
      <c r="C149" s="9">
        <v>7443</v>
      </c>
      <c r="D149" t="str">
        <f t="shared" si="2"/>
        <v>2023-60-64 år</v>
      </c>
    </row>
    <row r="150" spans="1:4" x14ac:dyDescent="0.25">
      <c r="A150" s="8" t="s">
        <v>36</v>
      </c>
      <c r="B150" s="8" t="s">
        <v>21</v>
      </c>
      <c r="C150" s="9">
        <v>3139</v>
      </c>
      <c r="D150" t="str">
        <f t="shared" si="2"/>
        <v>2023-65+ år</v>
      </c>
    </row>
    <row r="151" spans="1:4" x14ac:dyDescent="0.25">
      <c r="A151" s="8" t="s">
        <v>37</v>
      </c>
      <c r="B151" s="8" t="s">
        <v>13</v>
      </c>
      <c r="C151" s="9">
        <v>8560</v>
      </c>
      <c r="D151" t="str">
        <f t="shared" si="2"/>
        <v>2024-25-29 år</v>
      </c>
    </row>
    <row r="152" spans="1:4" x14ac:dyDescent="0.25">
      <c r="A152" s="8" t="s">
        <v>37</v>
      </c>
      <c r="B152" s="8" t="s">
        <v>14</v>
      </c>
      <c r="C152" s="9">
        <v>10150</v>
      </c>
      <c r="D152" t="str">
        <f t="shared" si="2"/>
        <v>2024-30-34 år</v>
      </c>
    </row>
    <row r="153" spans="1:4" x14ac:dyDescent="0.25">
      <c r="A153" s="8" t="s">
        <v>37</v>
      </c>
      <c r="B153" s="8" t="s">
        <v>15</v>
      </c>
      <c r="C153" s="9">
        <v>9885</v>
      </c>
      <c r="D153" t="str">
        <f t="shared" si="2"/>
        <v>2024-35-39 år</v>
      </c>
    </row>
    <row r="154" spans="1:4" x14ac:dyDescent="0.25">
      <c r="A154" s="8" t="s">
        <v>37</v>
      </c>
      <c r="B154" s="8" t="s">
        <v>16</v>
      </c>
      <c r="C154" s="9">
        <v>9594</v>
      </c>
      <c r="D154" t="str">
        <f t="shared" si="2"/>
        <v>2024-40-44 år</v>
      </c>
    </row>
    <row r="155" spans="1:4" x14ac:dyDescent="0.25">
      <c r="A155" s="8" t="s">
        <v>37</v>
      </c>
      <c r="B155" s="8" t="s">
        <v>17</v>
      </c>
      <c r="C155" s="9">
        <v>10483</v>
      </c>
      <c r="D155" t="str">
        <f t="shared" si="2"/>
        <v>2024-45-49 år</v>
      </c>
    </row>
    <row r="156" spans="1:4" x14ac:dyDescent="0.25">
      <c r="A156" s="8" t="s">
        <v>37</v>
      </c>
      <c r="B156" s="8" t="s">
        <v>18</v>
      </c>
      <c r="C156" s="9">
        <v>9604</v>
      </c>
      <c r="D156" t="str">
        <f t="shared" si="2"/>
        <v>2024-50-54 år</v>
      </c>
    </row>
    <row r="157" spans="1:4" x14ac:dyDescent="0.25">
      <c r="A157" s="8" t="s">
        <v>37</v>
      </c>
      <c r="B157" s="8" t="s">
        <v>19</v>
      </c>
      <c r="C157" s="9">
        <v>11402</v>
      </c>
      <c r="D157" t="str">
        <f t="shared" si="2"/>
        <v>2024-55-59 år</v>
      </c>
    </row>
    <row r="158" spans="1:4" x14ac:dyDescent="0.25">
      <c r="A158" s="8" t="s">
        <v>37</v>
      </c>
      <c r="B158" s="8" t="s">
        <v>20</v>
      </c>
      <c r="C158" s="9">
        <v>7871</v>
      </c>
      <c r="D158" t="str">
        <f t="shared" si="2"/>
        <v>2024-60-64 år</v>
      </c>
    </row>
    <row r="159" spans="1:4" ht="15.75" thickBot="1" x14ac:dyDescent="0.3">
      <c r="A159" s="8" t="s">
        <v>37</v>
      </c>
      <c r="B159" s="8" t="s">
        <v>21</v>
      </c>
      <c r="C159" s="9">
        <v>3573</v>
      </c>
      <c r="D159" t="str">
        <f>A159&amp;"-"&amp;B159</f>
        <v>2024-65+ år</v>
      </c>
    </row>
    <row r="160" spans="1:4" ht="15.75" thickTop="1" x14ac:dyDescent="0.25">
      <c r="A160" s="10"/>
      <c r="B160" s="10"/>
      <c r="C160" s="10"/>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5" x14ac:dyDescent="0.25"/>
  <cols>
    <col min="2" max="2" width="13" customWidth="1"/>
    <col min="3" max="3" width="31" customWidth="1"/>
  </cols>
  <sheetData>
    <row r="1" spans="1:4" ht="24" thickBot="1" x14ac:dyDescent="0.4">
      <c r="A1" s="6" t="s">
        <v>40</v>
      </c>
      <c r="B1" s="7"/>
      <c r="C1" s="7"/>
    </row>
    <row r="2" spans="1:4" ht="15.75" thickTop="1" x14ac:dyDescent="0.25">
      <c r="C2" s="8" t="s">
        <v>7</v>
      </c>
    </row>
    <row r="3" spans="1:4" x14ac:dyDescent="0.25">
      <c r="C3" s="8" t="s">
        <v>41</v>
      </c>
    </row>
    <row r="4" spans="1:4" x14ac:dyDescent="0.25">
      <c r="C4" s="8" t="s">
        <v>8</v>
      </c>
    </row>
    <row r="5" spans="1:4" x14ac:dyDescent="0.25">
      <c r="C5" s="8" t="s">
        <v>9</v>
      </c>
    </row>
    <row r="6" spans="1:4" x14ac:dyDescent="0.25">
      <c r="C6" s="8" t="s">
        <v>10</v>
      </c>
    </row>
    <row r="7" spans="1:4" x14ac:dyDescent="0.25">
      <c r="C7" s="8" t="s">
        <v>42</v>
      </c>
    </row>
    <row r="8" spans="1:4" x14ac:dyDescent="0.25">
      <c r="A8" s="8" t="s">
        <v>22</v>
      </c>
      <c r="B8" s="8" t="s">
        <v>13</v>
      </c>
      <c r="C8" s="9">
        <v>3410</v>
      </c>
      <c r="D8" t="str">
        <f t="shared" ref="D8:D71" si="0">A8&amp;"-"&amp;B8</f>
        <v>2009-25-29 år</v>
      </c>
    </row>
    <row r="9" spans="1:4" x14ac:dyDescent="0.25">
      <c r="A9" s="8" t="s">
        <v>22</v>
      </c>
      <c r="B9" s="8" t="s">
        <v>14</v>
      </c>
      <c r="C9" s="9">
        <v>3525</v>
      </c>
      <c r="D9" t="str">
        <f t="shared" si="0"/>
        <v>2009-30-34 år</v>
      </c>
    </row>
    <row r="10" spans="1:4" x14ac:dyDescent="0.25">
      <c r="A10" s="8" t="s">
        <v>22</v>
      </c>
      <c r="B10" s="8" t="s">
        <v>15</v>
      </c>
      <c r="C10" s="9">
        <v>3090</v>
      </c>
      <c r="D10" t="str">
        <f t="shared" si="0"/>
        <v>2009-35-39 år</v>
      </c>
    </row>
    <row r="11" spans="1:4" x14ac:dyDescent="0.25">
      <c r="A11" s="8" t="s">
        <v>22</v>
      </c>
      <c r="B11" s="8" t="s">
        <v>16</v>
      </c>
      <c r="C11" s="9">
        <v>4180</v>
      </c>
      <c r="D11" t="str">
        <f t="shared" si="0"/>
        <v>2009-40-44 år</v>
      </c>
    </row>
    <row r="12" spans="1:4" x14ac:dyDescent="0.25">
      <c r="A12" s="8" t="s">
        <v>22</v>
      </c>
      <c r="B12" s="8" t="s">
        <v>17</v>
      </c>
      <c r="C12" s="9">
        <v>3533</v>
      </c>
      <c r="D12" t="str">
        <f t="shared" si="0"/>
        <v>2009-45-49 år</v>
      </c>
    </row>
    <row r="13" spans="1:4" x14ac:dyDescent="0.25">
      <c r="A13" s="8" t="s">
        <v>22</v>
      </c>
      <c r="B13" s="8" t="s">
        <v>18</v>
      </c>
      <c r="C13" s="9">
        <v>2940</v>
      </c>
      <c r="D13" t="str">
        <f t="shared" si="0"/>
        <v>2009-50-54 år</v>
      </c>
    </row>
    <row r="14" spans="1:4" x14ac:dyDescent="0.25">
      <c r="A14" s="8" t="s">
        <v>22</v>
      </c>
      <c r="B14" s="8" t="s">
        <v>19</v>
      </c>
      <c r="C14" s="9">
        <v>2419</v>
      </c>
      <c r="D14" t="str">
        <f t="shared" si="0"/>
        <v>2009-55-59 år</v>
      </c>
    </row>
    <row r="15" spans="1:4" x14ac:dyDescent="0.25">
      <c r="A15" s="8" t="s">
        <v>22</v>
      </c>
      <c r="B15" s="8" t="s">
        <v>20</v>
      </c>
      <c r="C15" s="9">
        <v>1263</v>
      </c>
      <c r="D15" t="str">
        <f t="shared" si="0"/>
        <v>2009-60-64 år</v>
      </c>
    </row>
    <row r="16" spans="1:4" x14ac:dyDescent="0.25">
      <c r="A16" s="8" t="s">
        <v>22</v>
      </c>
      <c r="B16" s="8" t="s">
        <v>43</v>
      </c>
      <c r="C16" s="9">
        <v>196</v>
      </c>
      <c r="D16" t="str">
        <f t="shared" si="0"/>
        <v>2009-65-69 år</v>
      </c>
    </row>
    <row r="17" spans="1:4" x14ac:dyDescent="0.25">
      <c r="A17" s="8" t="s">
        <v>23</v>
      </c>
      <c r="B17" s="8" t="s">
        <v>13</v>
      </c>
      <c r="C17" s="9">
        <v>2457</v>
      </c>
      <c r="D17" t="str">
        <f t="shared" si="0"/>
        <v>2010-25-29 år</v>
      </c>
    </row>
    <row r="18" spans="1:4" x14ac:dyDescent="0.25">
      <c r="A18" s="8" t="s">
        <v>23</v>
      </c>
      <c r="B18" s="8" t="s">
        <v>14</v>
      </c>
      <c r="C18" s="9">
        <v>2382</v>
      </c>
      <c r="D18" t="str">
        <f t="shared" si="0"/>
        <v>2010-30-34 år</v>
      </c>
    </row>
    <row r="19" spans="1:4" x14ac:dyDescent="0.25">
      <c r="A19" s="8" t="s">
        <v>23</v>
      </c>
      <c r="B19" s="8" t="s">
        <v>15</v>
      </c>
      <c r="C19" s="9">
        <v>1880</v>
      </c>
      <c r="D19" t="str">
        <f t="shared" si="0"/>
        <v>2010-35-39 år</v>
      </c>
    </row>
    <row r="20" spans="1:4" x14ac:dyDescent="0.25">
      <c r="A20" s="8" t="s">
        <v>23</v>
      </c>
      <c r="B20" s="8" t="s">
        <v>16</v>
      </c>
      <c r="C20" s="9">
        <v>2045</v>
      </c>
      <c r="D20" t="str">
        <f t="shared" si="0"/>
        <v>2010-40-44 år</v>
      </c>
    </row>
    <row r="21" spans="1:4" x14ac:dyDescent="0.25">
      <c r="A21" s="8" t="s">
        <v>23</v>
      </c>
      <c r="B21" s="8" t="s">
        <v>17</v>
      </c>
      <c r="C21" s="9">
        <v>1826</v>
      </c>
      <c r="D21" t="str">
        <f t="shared" si="0"/>
        <v>2010-45-49 år</v>
      </c>
    </row>
    <row r="22" spans="1:4" x14ac:dyDescent="0.25">
      <c r="A22" s="8" t="s">
        <v>23</v>
      </c>
      <c r="B22" s="8" t="s">
        <v>18</v>
      </c>
      <c r="C22" s="9">
        <v>1417</v>
      </c>
      <c r="D22" t="str">
        <f t="shared" si="0"/>
        <v>2010-50-54 år</v>
      </c>
    </row>
    <row r="23" spans="1:4" x14ac:dyDescent="0.25">
      <c r="A23" s="8" t="s">
        <v>23</v>
      </c>
      <c r="B23" s="8" t="s">
        <v>19</v>
      </c>
      <c r="C23" s="9">
        <v>1229</v>
      </c>
      <c r="D23" t="str">
        <f t="shared" si="0"/>
        <v>2010-55-59 år</v>
      </c>
    </row>
    <row r="24" spans="1:4" x14ac:dyDescent="0.25">
      <c r="A24" s="8" t="s">
        <v>23</v>
      </c>
      <c r="B24" s="8" t="s">
        <v>20</v>
      </c>
      <c r="C24" s="9">
        <v>712</v>
      </c>
      <c r="D24" t="str">
        <f t="shared" si="0"/>
        <v>2010-60-64 år</v>
      </c>
    </row>
    <row r="25" spans="1:4" x14ac:dyDescent="0.25">
      <c r="A25" s="8" t="s">
        <v>23</v>
      </c>
      <c r="B25" s="8" t="s">
        <v>43</v>
      </c>
      <c r="C25" s="9">
        <v>220</v>
      </c>
      <c r="D25" t="str">
        <f t="shared" si="0"/>
        <v>2010-65-69 år</v>
      </c>
    </row>
    <row r="26" spans="1:4" x14ac:dyDescent="0.25">
      <c r="A26" s="8" t="s">
        <v>24</v>
      </c>
      <c r="B26" s="8" t="s">
        <v>13</v>
      </c>
      <c r="C26" s="9">
        <v>2791</v>
      </c>
      <c r="D26" t="str">
        <f t="shared" si="0"/>
        <v>2011-25-29 år</v>
      </c>
    </row>
    <row r="27" spans="1:4" x14ac:dyDescent="0.25">
      <c r="A27" s="8" t="s">
        <v>24</v>
      </c>
      <c r="B27" s="8" t="s">
        <v>14</v>
      </c>
      <c r="C27" s="9">
        <v>2600</v>
      </c>
      <c r="D27" t="str">
        <f t="shared" si="0"/>
        <v>2011-30-34 år</v>
      </c>
    </row>
    <row r="28" spans="1:4" x14ac:dyDescent="0.25">
      <c r="A28" s="8" t="s">
        <v>24</v>
      </c>
      <c r="B28" s="8" t="s">
        <v>15</v>
      </c>
      <c r="C28" s="9">
        <v>2164</v>
      </c>
      <c r="D28" t="str">
        <f t="shared" si="0"/>
        <v>2011-35-39 år</v>
      </c>
    </row>
    <row r="29" spans="1:4" x14ac:dyDescent="0.25">
      <c r="A29" s="8" t="s">
        <v>24</v>
      </c>
      <c r="B29" s="8" t="s">
        <v>16</v>
      </c>
      <c r="C29" s="9">
        <v>2134</v>
      </c>
      <c r="D29" t="str">
        <f t="shared" si="0"/>
        <v>2011-40-44 år</v>
      </c>
    </row>
    <row r="30" spans="1:4" x14ac:dyDescent="0.25">
      <c r="A30" s="8" t="s">
        <v>24</v>
      </c>
      <c r="B30" s="8" t="s">
        <v>17</v>
      </c>
      <c r="C30" s="9">
        <v>2030</v>
      </c>
      <c r="D30" t="str">
        <f t="shared" si="0"/>
        <v>2011-45-49 år</v>
      </c>
    </row>
    <row r="31" spans="1:4" x14ac:dyDescent="0.25">
      <c r="A31" s="8" t="s">
        <v>24</v>
      </c>
      <c r="B31" s="8" t="s">
        <v>18</v>
      </c>
      <c r="C31" s="9">
        <v>1660</v>
      </c>
      <c r="D31" t="str">
        <f t="shared" si="0"/>
        <v>2011-50-54 år</v>
      </c>
    </row>
    <row r="32" spans="1:4" x14ac:dyDescent="0.25">
      <c r="A32" s="8" t="s">
        <v>24</v>
      </c>
      <c r="B32" s="8" t="s">
        <v>19</v>
      </c>
      <c r="C32" s="9">
        <v>1415</v>
      </c>
      <c r="D32" t="str">
        <f t="shared" si="0"/>
        <v>2011-55-59 år</v>
      </c>
    </row>
    <row r="33" spans="1:4" x14ac:dyDescent="0.25">
      <c r="A33" s="8" t="s">
        <v>24</v>
      </c>
      <c r="B33" s="8" t="s">
        <v>20</v>
      </c>
      <c r="C33" s="9">
        <v>726</v>
      </c>
      <c r="D33" t="str">
        <f t="shared" si="0"/>
        <v>2011-60-64 år</v>
      </c>
    </row>
    <row r="34" spans="1:4" x14ac:dyDescent="0.25">
      <c r="A34" s="8" t="s">
        <v>24</v>
      </c>
      <c r="B34" s="8" t="s">
        <v>43</v>
      </c>
      <c r="C34" s="9">
        <v>197</v>
      </c>
      <c r="D34" t="str">
        <f t="shared" si="0"/>
        <v>2011-65-69 år</v>
      </c>
    </row>
    <row r="35" spans="1:4" x14ac:dyDescent="0.25">
      <c r="A35" s="8" t="s">
        <v>25</v>
      </c>
      <c r="B35" s="8" t="s">
        <v>13</v>
      </c>
      <c r="C35" s="9">
        <v>2457</v>
      </c>
      <c r="D35" t="str">
        <f t="shared" si="0"/>
        <v>2012-25-29 år</v>
      </c>
    </row>
    <row r="36" spans="1:4" x14ac:dyDescent="0.25">
      <c r="A36" s="8" t="s">
        <v>25</v>
      </c>
      <c r="B36" s="8" t="s">
        <v>14</v>
      </c>
      <c r="C36" s="9">
        <v>2116</v>
      </c>
      <c r="D36" t="str">
        <f t="shared" si="0"/>
        <v>2012-30-34 år</v>
      </c>
    </row>
    <row r="37" spans="1:4" x14ac:dyDescent="0.25">
      <c r="A37" s="8" t="s">
        <v>25</v>
      </c>
      <c r="B37" s="8" t="s">
        <v>15</v>
      </c>
      <c r="C37" s="9">
        <v>1935</v>
      </c>
      <c r="D37" t="str">
        <f t="shared" si="0"/>
        <v>2012-35-39 år</v>
      </c>
    </row>
    <row r="38" spans="1:4" x14ac:dyDescent="0.25">
      <c r="A38" s="8" t="s">
        <v>25</v>
      </c>
      <c r="B38" s="8" t="s">
        <v>16</v>
      </c>
      <c r="C38" s="9">
        <v>1734</v>
      </c>
      <c r="D38" t="str">
        <f t="shared" si="0"/>
        <v>2012-40-44 år</v>
      </c>
    </row>
    <row r="39" spans="1:4" x14ac:dyDescent="0.25">
      <c r="A39" s="8" t="s">
        <v>25</v>
      </c>
      <c r="B39" s="8" t="s">
        <v>17</v>
      </c>
      <c r="C39" s="9">
        <v>1913</v>
      </c>
      <c r="D39" t="str">
        <f t="shared" si="0"/>
        <v>2012-45-49 år</v>
      </c>
    </row>
    <row r="40" spans="1:4" x14ac:dyDescent="0.25">
      <c r="A40" s="8" t="s">
        <v>25</v>
      </c>
      <c r="B40" s="8" t="s">
        <v>18</v>
      </c>
      <c r="C40" s="9">
        <v>1465</v>
      </c>
      <c r="D40" t="str">
        <f t="shared" si="0"/>
        <v>2012-50-54 år</v>
      </c>
    </row>
    <row r="41" spans="1:4" x14ac:dyDescent="0.25">
      <c r="A41" s="8" t="s">
        <v>25</v>
      </c>
      <c r="B41" s="8" t="s">
        <v>19</v>
      </c>
      <c r="C41" s="9">
        <v>1254</v>
      </c>
      <c r="D41" t="str">
        <f t="shared" si="0"/>
        <v>2012-55-59 år</v>
      </c>
    </row>
    <row r="42" spans="1:4" x14ac:dyDescent="0.25">
      <c r="A42" s="8" t="s">
        <v>25</v>
      </c>
      <c r="B42" s="8" t="s">
        <v>20</v>
      </c>
      <c r="C42" s="9">
        <v>718</v>
      </c>
      <c r="D42" t="str">
        <f t="shared" si="0"/>
        <v>2012-60-64 år</v>
      </c>
    </row>
    <row r="43" spans="1:4" x14ac:dyDescent="0.25">
      <c r="A43" s="8" t="s">
        <v>25</v>
      </c>
      <c r="B43" s="8" t="s">
        <v>43</v>
      </c>
      <c r="C43" s="9">
        <v>208</v>
      </c>
      <c r="D43" t="str">
        <f t="shared" si="0"/>
        <v>2012-65-69 år</v>
      </c>
    </row>
    <row r="44" spans="1:4" x14ac:dyDescent="0.25">
      <c r="A44" s="8" t="s">
        <v>26</v>
      </c>
      <c r="B44" s="8" t="s">
        <v>13</v>
      </c>
      <c r="C44" s="9">
        <v>2524</v>
      </c>
      <c r="D44" t="str">
        <f t="shared" si="0"/>
        <v>2013-25-29 år</v>
      </c>
    </row>
    <row r="45" spans="1:4" x14ac:dyDescent="0.25">
      <c r="A45" s="8" t="s">
        <v>26</v>
      </c>
      <c r="B45" s="8" t="s">
        <v>14</v>
      </c>
      <c r="C45" s="9">
        <v>2176</v>
      </c>
      <c r="D45" t="str">
        <f t="shared" si="0"/>
        <v>2013-30-34 år</v>
      </c>
    </row>
    <row r="46" spans="1:4" x14ac:dyDescent="0.25">
      <c r="A46" s="8" t="s">
        <v>26</v>
      </c>
      <c r="B46" s="8" t="s">
        <v>15</v>
      </c>
      <c r="C46" s="9">
        <v>1896</v>
      </c>
      <c r="D46" t="str">
        <f t="shared" si="0"/>
        <v>2013-35-39 år</v>
      </c>
    </row>
    <row r="47" spans="1:4" x14ac:dyDescent="0.25">
      <c r="A47" s="8" t="s">
        <v>26</v>
      </c>
      <c r="B47" s="8" t="s">
        <v>16</v>
      </c>
      <c r="C47" s="9">
        <v>1579</v>
      </c>
      <c r="D47" t="str">
        <f t="shared" si="0"/>
        <v>2013-40-44 år</v>
      </c>
    </row>
    <row r="48" spans="1:4" x14ac:dyDescent="0.25">
      <c r="A48" s="8" t="s">
        <v>26</v>
      </c>
      <c r="B48" s="8" t="s">
        <v>17</v>
      </c>
      <c r="C48" s="9">
        <v>1915</v>
      </c>
      <c r="D48" t="str">
        <f t="shared" si="0"/>
        <v>2013-45-49 år</v>
      </c>
    </row>
    <row r="49" spans="1:4" x14ac:dyDescent="0.25">
      <c r="A49" s="8" t="s">
        <v>26</v>
      </c>
      <c r="B49" s="8" t="s">
        <v>18</v>
      </c>
      <c r="C49" s="9">
        <v>1462</v>
      </c>
      <c r="D49" t="str">
        <f t="shared" si="0"/>
        <v>2013-50-54 år</v>
      </c>
    </row>
    <row r="50" spans="1:4" x14ac:dyDescent="0.25">
      <c r="A50" s="8" t="s">
        <v>26</v>
      </c>
      <c r="B50" s="8" t="s">
        <v>19</v>
      </c>
      <c r="C50" s="9">
        <v>1227</v>
      </c>
      <c r="D50" t="str">
        <f t="shared" si="0"/>
        <v>2013-55-59 år</v>
      </c>
    </row>
    <row r="51" spans="1:4" x14ac:dyDescent="0.25">
      <c r="A51" s="8" t="s">
        <v>26</v>
      </c>
      <c r="B51" s="8" t="s">
        <v>20</v>
      </c>
      <c r="C51" s="9">
        <v>667</v>
      </c>
      <c r="D51" t="str">
        <f t="shared" si="0"/>
        <v>2013-60-64 år</v>
      </c>
    </row>
    <row r="52" spans="1:4" x14ac:dyDescent="0.25">
      <c r="A52" s="8" t="s">
        <v>26</v>
      </c>
      <c r="B52" s="8" t="s">
        <v>43</v>
      </c>
      <c r="C52" s="9">
        <v>224</v>
      </c>
      <c r="D52" t="str">
        <f t="shared" si="0"/>
        <v>2013-65-69 år</v>
      </c>
    </row>
    <row r="53" spans="1:4" x14ac:dyDescent="0.25">
      <c r="A53" s="8" t="s">
        <v>27</v>
      </c>
      <c r="B53" s="8" t="s">
        <v>13</v>
      </c>
      <c r="C53" s="9">
        <v>2521</v>
      </c>
      <c r="D53" t="str">
        <f t="shared" si="0"/>
        <v>2014-25-29 år</v>
      </c>
    </row>
    <row r="54" spans="1:4" x14ac:dyDescent="0.25">
      <c r="A54" s="8" t="s">
        <v>27</v>
      </c>
      <c r="B54" s="8" t="s">
        <v>14</v>
      </c>
      <c r="C54" s="9">
        <v>2178</v>
      </c>
      <c r="D54" t="str">
        <f t="shared" si="0"/>
        <v>2014-30-34 år</v>
      </c>
    </row>
    <row r="55" spans="1:4" x14ac:dyDescent="0.25">
      <c r="A55" s="8" t="s">
        <v>27</v>
      </c>
      <c r="B55" s="8" t="s">
        <v>15</v>
      </c>
      <c r="C55" s="9">
        <v>2066</v>
      </c>
      <c r="D55" t="str">
        <f t="shared" si="0"/>
        <v>2014-35-39 år</v>
      </c>
    </row>
    <row r="56" spans="1:4" x14ac:dyDescent="0.25">
      <c r="A56" s="8" t="s">
        <v>27</v>
      </c>
      <c r="B56" s="8" t="s">
        <v>16</v>
      </c>
      <c r="C56" s="9">
        <v>1647</v>
      </c>
      <c r="D56" t="str">
        <f t="shared" si="0"/>
        <v>2014-40-44 år</v>
      </c>
    </row>
    <row r="57" spans="1:4" x14ac:dyDescent="0.25">
      <c r="A57" s="8" t="s">
        <v>27</v>
      </c>
      <c r="B57" s="8" t="s">
        <v>17</v>
      </c>
      <c r="C57" s="9">
        <v>1953</v>
      </c>
      <c r="D57" t="str">
        <f t="shared" si="0"/>
        <v>2014-45-49 år</v>
      </c>
    </row>
    <row r="58" spans="1:4" x14ac:dyDescent="0.25">
      <c r="A58" s="8" t="s">
        <v>27</v>
      </c>
      <c r="B58" s="8" t="s">
        <v>18</v>
      </c>
      <c r="C58" s="9">
        <v>1636</v>
      </c>
      <c r="D58" t="str">
        <f t="shared" si="0"/>
        <v>2014-50-54 år</v>
      </c>
    </row>
    <row r="59" spans="1:4" x14ac:dyDescent="0.25">
      <c r="A59" s="8" t="s">
        <v>27</v>
      </c>
      <c r="B59" s="8" t="s">
        <v>19</v>
      </c>
      <c r="C59" s="9">
        <v>1231</v>
      </c>
      <c r="D59" t="str">
        <f t="shared" si="0"/>
        <v>2014-55-59 år</v>
      </c>
    </row>
    <row r="60" spans="1:4" x14ac:dyDescent="0.25">
      <c r="A60" s="8" t="s">
        <v>27</v>
      </c>
      <c r="B60" s="8" t="s">
        <v>20</v>
      </c>
      <c r="C60" s="9">
        <v>706</v>
      </c>
      <c r="D60" t="str">
        <f t="shared" si="0"/>
        <v>2014-60-64 år</v>
      </c>
    </row>
    <row r="61" spans="1:4" x14ac:dyDescent="0.25">
      <c r="A61" s="8" t="s">
        <v>27</v>
      </c>
      <c r="B61" s="8" t="s">
        <v>43</v>
      </c>
      <c r="C61" s="9">
        <v>204</v>
      </c>
      <c r="D61" t="str">
        <f t="shared" si="0"/>
        <v>2014-65-69 år</v>
      </c>
    </row>
    <row r="62" spans="1:4" x14ac:dyDescent="0.25">
      <c r="A62" s="8" t="s">
        <v>28</v>
      </c>
      <c r="B62" s="8" t="s">
        <v>13</v>
      </c>
      <c r="C62" s="9">
        <v>2715</v>
      </c>
      <c r="D62" t="str">
        <f t="shared" si="0"/>
        <v>2015-25-29 år</v>
      </c>
    </row>
    <row r="63" spans="1:4" x14ac:dyDescent="0.25">
      <c r="A63" s="8" t="s">
        <v>28</v>
      </c>
      <c r="B63" s="8" t="s">
        <v>14</v>
      </c>
      <c r="C63" s="9">
        <v>2473</v>
      </c>
      <c r="D63" t="str">
        <f t="shared" si="0"/>
        <v>2015-30-34 år</v>
      </c>
    </row>
    <row r="64" spans="1:4" x14ac:dyDescent="0.25">
      <c r="A64" s="8" t="s">
        <v>28</v>
      </c>
      <c r="B64" s="8" t="s">
        <v>15</v>
      </c>
      <c r="C64" s="9">
        <v>2378</v>
      </c>
      <c r="D64" t="str">
        <f t="shared" si="0"/>
        <v>2015-35-39 år</v>
      </c>
    </row>
    <row r="65" spans="1:4" x14ac:dyDescent="0.25">
      <c r="A65" s="8" t="s">
        <v>28</v>
      </c>
      <c r="B65" s="8" t="s">
        <v>16</v>
      </c>
      <c r="C65" s="9">
        <v>1902</v>
      </c>
      <c r="D65" t="str">
        <f t="shared" si="0"/>
        <v>2015-40-44 år</v>
      </c>
    </row>
    <row r="66" spans="1:4" x14ac:dyDescent="0.25">
      <c r="A66" s="8" t="s">
        <v>28</v>
      </c>
      <c r="B66" s="8" t="s">
        <v>17</v>
      </c>
      <c r="C66" s="9">
        <v>2085</v>
      </c>
      <c r="D66" t="str">
        <f t="shared" si="0"/>
        <v>2015-45-49 år</v>
      </c>
    </row>
    <row r="67" spans="1:4" x14ac:dyDescent="0.25">
      <c r="A67" s="8" t="s">
        <v>28</v>
      </c>
      <c r="B67" s="8" t="s">
        <v>18</v>
      </c>
      <c r="C67" s="9">
        <v>1717</v>
      </c>
      <c r="D67" t="str">
        <f t="shared" si="0"/>
        <v>2015-50-54 år</v>
      </c>
    </row>
    <row r="68" spans="1:4" x14ac:dyDescent="0.25">
      <c r="A68" s="8" t="s">
        <v>28</v>
      </c>
      <c r="B68" s="8" t="s">
        <v>19</v>
      </c>
      <c r="C68" s="9">
        <v>1226</v>
      </c>
      <c r="D68" t="str">
        <f t="shared" si="0"/>
        <v>2015-55-59 år</v>
      </c>
    </row>
    <row r="69" spans="1:4" x14ac:dyDescent="0.25">
      <c r="A69" s="8" t="s">
        <v>28</v>
      </c>
      <c r="B69" s="8" t="s">
        <v>20</v>
      </c>
      <c r="C69" s="9">
        <v>583</v>
      </c>
      <c r="D69" t="str">
        <f t="shared" si="0"/>
        <v>2015-60-64 år</v>
      </c>
    </row>
    <row r="70" spans="1:4" x14ac:dyDescent="0.25">
      <c r="A70" s="8" t="s">
        <v>28</v>
      </c>
      <c r="B70" s="8" t="s">
        <v>43</v>
      </c>
      <c r="C70" s="9">
        <v>211</v>
      </c>
      <c r="D70" t="str">
        <f t="shared" si="0"/>
        <v>2015-65-69 år</v>
      </c>
    </row>
    <row r="71" spans="1:4" x14ac:dyDescent="0.25">
      <c r="A71" s="8" t="s">
        <v>29</v>
      </c>
      <c r="B71" s="8" t="s">
        <v>13</v>
      </c>
      <c r="C71" s="9">
        <v>3005</v>
      </c>
      <c r="D71" t="str">
        <f t="shared" si="0"/>
        <v>2016-25-29 år</v>
      </c>
    </row>
    <row r="72" spans="1:4" x14ac:dyDescent="0.25">
      <c r="A72" s="8" t="s">
        <v>29</v>
      </c>
      <c r="B72" s="8" t="s">
        <v>14</v>
      </c>
      <c r="C72" s="9">
        <v>2584</v>
      </c>
      <c r="D72" t="str">
        <f t="shared" ref="D72:D135" si="1">A72&amp;"-"&amp;B72</f>
        <v>2016-30-34 år</v>
      </c>
    </row>
    <row r="73" spans="1:4" x14ac:dyDescent="0.25">
      <c r="A73" s="8" t="s">
        <v>29</v>
      </c>
      <c r="B73" s="8" t="s">
        <v>15</v>
      </c>
      <c r="C73" s="9">
        <v>2311</v>
      </c>
      <c r="D73" t="str">
        <f t="shared" si="1"/>
        <v>2016-35-39 år</v>
      </c>
    </row>
    <row r="74" spans="1:4" x14ac:dyDescent="0.25">
      <c r="A74" s="8" t="s">
        <v>29</v>
      </c>
      <c r="B74" s="8" t="s">
        <v>16</v>
      </c>
      <c r="C74" s="9">
        <v>2111</v>
      </c>
      <c r="D74" t="str">
        <f t="shared" si="1"/>
        <v>2016-40-44 år</v>
      </c>
    </row>
    <row r="75" spans="1:4" x14ac:dyDescent="0.25">
      <c r="A75" s="8" t="s">
        <v>29</v>
      </c>
      <c r="B75" s="8" t="s">
        <v>17</v>
      </c>
      <c r="C75" s="9">
        <v>2000</v>
      </c>
      <c r="D75" t="str">
        <f t="shared" si="1"/>
        <v>2016-45-49 år</v>
      </c>
    </row>
    <row r="76" spans="1:4" x14ac:dyDescent="0.25">
      <c r="A76" s="8" t="s">
        <v>29</v>
      </c>
      <c r="B76" s="8" t="s">
        <v>18</v>
      </c>
      <c r="C76" s="9">
        <v>1808</v>
      </c>
      <c r="D76" t="str">
        <f t="shared" si="1"/>
        <v>2016-50-54 år</v>
      </c>
    </row>
    <row r="77" spans="1:4" x14ac:dyDescent="0.25">
      <c r="A77" s="8" t="s">
        <v>29</v>
      </c>
      <c r="B77" s="8" t="s">
        <v>19</v>
      </c>
      <c r="C77" s="9">
        <v>1301</v>
      </c>
      <c r="D77" t="str">
        <f t="shared" si="1"/>
        <v>2016-55-59 år</v>
      </c>
    </row>
    <row r="78" spans="1:4" x14ac:dyDescent="0.25">
      <c r="A78" s="8" t="s">
        <v>29</v>
      </c>
      <c r="B78" s="8" t="s">
        <v>20</v>
      </c>
      <c r="C78" s="9">
        <v>708</v>
      </c>
      <c r="D78" t="str">
        <f t="shared" si="1"/>
        <v>2016-60-64 år</v>
      </c>
    </row>
    <row r="79" spans="1:4" x14ac:dyDescent="0.25">
      <c r="A79" s="8" t="s">
        <v>29</v>
      </c>
      <c r="B79" s="8" t="s">
        <v>43</v>
      </c>
      <c r="C79" s="9">
        <v>183</v>
      </c>
      <c r="D79" t="str">
        <f t="shared" si="1"/>
        <v>2016-65-69 år</v>
      </c>
    </row>
    <row r="80" spans="1:4" x14ac:dyDescent="0.25">
      <c r="A80" s="8" t="s">
        <v>30</v>
      </c>
      <c r="B80" s="8" t="s">
        <v>13</v>
      </c>
      <c r="C80" s="9">
        <v>3106</v>
      </c>
      <c r="D80" t="str">
        <f t="shared" si="1"/>
        <v>2017-25-29 år</v>
      </c>
    </row>
    <row r="81" spans="1:4" x14ac:dyDescent="0.25">
      <c r="A81" s="8" t="s">
        <v>30</v>
      </c>
      <c r="B81" s="8" t="s">
        <v>14</v>
      </c>
      <c r="C81" s="9">
        <v>2692</v>
      </c>
      <c r="D81" t="str">
        <f t="shared" si="1"/>
        <v>2017-30-34 år</v>
      </c>
    </row>
    <row r="82" spans="1:4" x14ac:dyDescent="0.25">
      <c r="A82" s="8" t="s">
        <v>30</v>
      </c>
      <c r="B82" s="8" t="s">
        <v>15</v>
      </c>
      <c r="C82" s="9">
        <v>2452</v>
      </c>
      <c r="D82" t="str">
        <f t="shared" si="1"/>
        <v>2017-35-39 år</v>
      </c>
    </row>
    <row r="83" spans="1:4" x14ac:dyDescent="0.25">
      <c r="A83" s="8" t="s">
        <v>30</v>
      </c>
      <c r="B83" s="8" t="s">
        <v>16</v>
      </c>
      <c r="C83" s="9">
        <v>2105</v>
      </c>
      <c r="D83" t="str">
        <f t="shared" si="1"/>
        <v>2017-40-44 år</v>
      </c>
    </row>
    <row r="84" spans="1:4" x14ac:dyDescent="0.25">
      <c r="A84" s="8" t="s">
        <v>30</v>
      </c>
      <c r="B84" s="8" t="s">
        <v>17</v>
      </c>
      <c r="C84" s="9">
        <v>1892</v>
      </c>
      <c r="D84" t="str">
        <f t="shared" si="1"/>
        <v>2017-45-49 år</v>
      </c>
    </row>
    <row r="85" spans="1:4" x14ac:dyDescent="0.25">
      <c r="A85" s="8" t="s">
        <v>30</v>
      </c>
      <c r="B85" s="8" t="s">
        <v>18</v>
      </c>
      <c r="C85" s="9">
        <v>2042</v>
      </c>
      <c r="D85" t="str">
        <f t="shared" si="1"/>
        <v>2017-50-54 år</v>
      </c>
    </row>
    <row r="86" spans="1:4" x14ac:dyDescent="0.25">
      <c r="A86" s="8" t="s">
        <v>30</v>
      </c>
      <c r="B86" s="8" t="s">
        <v>19</v>
      </c>
      <c r="C86" s="9">
        <v>1410</v>
      </c>
      <c r="D86" t="str">
        <f t="shared" si="1"/>
        <v>2017-55-59 år</v>
      </c>
    </row>
    <row r="87" spans="1:4" x14ac:dyDescent="0.25">
      <c r="A87" s="8" t="s">
        <v>30</v>
      </c>
      <c r="B87" s="8" t="s">
        <v>20</v>
      </c>
      <c r="C87" s="9">
        <v>757</v>
      </c>
      <c r="D87" t="str">
        <f t="shared" si="1"/>
        <v>2017-60-64 år</v>
      </c>
    </row>
    <row r="88" spans="1:4" x14ac:dyDescent="0.25">
      <c r="A88" s="8" t="s">
        <v>30</v>
      </c>
      <c r="B88" s="8" t="s">
        <v>43</v>
      </c>
      <c r="C88" s="9">
        <v>194</v>
      </c>
      <c r="D88" t="str">
        <f t="shared" si="1"/>
        <v>2017-65-69 år</v>
      </c>
    </row>
    <row r="89" spans="1:4" x14ac:dyDescent="0.25">
      <c r="A89" s="8" t="s">
        <v>31</v>
      </c>
      <c r="B89" s="8" t="s">
        <v>13</v>
      </c>
      <c r="C89" s="9">
        <v>3149</v>
      </c>
      <c r="D89" t="str">
        <f t="shared" si="1"/>
        <v>2018-25-29 år</v>
      </c>
    </row>
    <row r="90" spans="1:4" x14ac:dyDescent="0.25">
      <c r="A90" s="8" t="s">
        <v>31</v>
      </c>
      <c r="B90" s="8" t="s">
        <v>14</v>
      </c>
      <c r="C90" s="9">
        <v>2658</v>
      </c>
      <c r="D90" t="str">
        <f t="shared" si="1"/>
        <v>2018-30-34 år</v>
      </c>
    </row>
    <row r="91" spans="1:4" x14ac:dyDescent="0.25">
      <c r="A91" s="8" t="s">
        <v>31</v>
      </c>
      <c r="B91" s="8" t="s">
        <v>15</v>
      </c>
      <c r="C91" s="9">
        <v>2333</v>
      </c>
      <c r="D91" t="str">
        <f t="shared" si="1"/>
        <v>2018-35-39 år</v>
      </c>
    </row>
    <row r="92" spans="1:4" x14ac:dyDescent="0.25">
      <c r="A92" s="8" t="s">
        <v>31</v>
      </c>
      <c r="B92" s="8" t="s">
        <v>16</v>
      </c>
      <c r="C92" s="9">
        <v>2068</v>
      </c>
      <c r="D92" t="str">
        <f t="shared" si="1"/>
        <v>2018-40-44 år</v>
      </c>
    </row>
    <row r="93" spans="1:4" x14ac:dyDescent="0.25">
      <c r="A93" s="8" t="s">
        <v>31</v>
      </c>
      <c r="B93" s="8" t="s">
        <v>17</v>
      </c>
      <c r="C93" s="9">
        <v>1770</v>
      </c>
      <c r="D93" t="str">
        <f t="shared" si="1"/>
        <v>2018-45-49 år</v>
      </c>
    </row>
    <row r="94" spans="1:4" x14ac:dyDescent="0.25">
      <c r="A94" s="8" t="s">
        <v>31</v>
      </c>
      <c r="B94" s="8" t="s">
        <v>18</v>
      </c>
      <c r="C94" s="9">
        <v>2055</v>
      </c>
      <c r="D94" t="str">
        <f t="shared" si="1"/>
        <v>2018-50-54 år</v>
      </c>
    </row>
    <row r="95" spans="1:4" x14ac:dyDescent="0.25">
      <c r="A95" s="8" t="s">
        <v>31</v>
      </c>
      <c r="B95" s="8" t="s">
        <v>19</v>
      </c>
      <c r="C95" s="9">
        <v>1415</v>
      </c>
      <c r="D95" t="str">
        <f t="shared" si="1"/>
        <v>2018-55-59 år</v>
      </c>
    </row>
    <row r="96" spans="1:4" x14ac:dyDescent="0.25">
      <c r="A96" s="8" t="s">
        <v>31</v>
      </c>
      <c r="B96" s="8" t="s">
        <v>20</v>
      </c>
      <c r="C96" s="9">
        <v>681</v>
      </c>
      <c r="D96" t="str">
        <f t="shared" si="1"/>
        <v>2018-60-64 år</v>
      </c>
    </row>
    <row r="97" spans="1:4" x14ac:dyDescent="0.25">
      <c r="A97" s="8" t="s">
        <v>31</v>
      </c>
      <c r="B97" s="8" t="s">
        <v>43</v>
      </c>
      <c r="C97" s="9">
        <v>174</v>
      </c>
      <c r="D97" t="str">
        <f t="shared" si="1"/>
        <v>2018-65-69 år</v>
      </c>
    </row>
    <row r="98" spans="1:4" x14ac:dyDescent="0.25">
      <c r="A98" s="8" t="s">
        <v>32</v>
      </c>
      <c r="B98" s="8" t="s">
        <v>13</v>
      </c>
      <c r="C98" s="9">
        <v>3477</v>
      </c>
      <c r="D98" t="str">
        <f t="shared" si="1"/>
        <v>2019-25-29 år</v>
      </c>
    </row>
    <row r="99" spans="1:4" x14ac:dyDescent="0.25">
      <c r="A99" s="8" t="s">
        <v>32</v>
      </c>
      <c r="B99" s="8" t="s">
        <v>14</v>
      </c>
      <c r="C99" s="9">
        <v>2839</v>
      </c>
      <c r="D99" t="str">
        <f t="shared" si="1"/>
        <v>2019-30-34 år</v>
      </c>
    </row>
    <row r="100" spans="1:4" x14ac:dyDescent="0.25">
      <c r="A100" s="8" t="s">
        <v>32</v>
      </c>
      <c r="B100" s="8" t="s">
        <v>15</v>
      </c>
      <c r="C100" s="9">
        <v>2298</v>
      </c>
      <c r="D100" t="str">
        <f t="shared" si="1"/>
        <v>2019-35-39 år</v>
      </c>
    </row>
    <row r="101" spans="1:4" x14ac:dyDescent="0.25">
      <c r="A101" s="8" t="s">
        <v>32</v>
      </c>
      <c r="B101" s="8" t="s">
        <v>16</v>
      </c>
      <c r="C101" s="9">
        <v>2100</v>
      </c>
      <c r="D101" t="str">
        <f t="shared" si="1"/>
        <v>2019-40-44 år</v>
      </c>
    </row>
    <row r="102" spans="1:4" x14ac:dyDescent="0.25">
      <c r="A102" s="8" t="s">
        <v>32</v>
      </c>
      <c r="B102" s="8" t="s">
        <v>17</v>
      </c>
      <c r="C102" s="9">
        <v>1802</v>
      </c>
      <c r="D102" t="str">
        <f t="shared" si="1"/>
        <v>2019-45-49 år</v>
      </c>
    </row>
    <row r="103" spans="1:4" x14ac:dyDescent="0.25">
      <c r="A103" s="8" t="s">
        <v>32</v>
      </c>
      <c r="B103" s="8" t="s">
        <v>18</v>
      </c>
      <c r="C103" s="9">
        <v>2054</v>
      </c>
      <c r="D103" t="str">
        <f t="shared" si="1"/>
        <v>2019-50-54 år</v>
      </c>
    </row>
    <row r="104" spans="1:4" x14ac:dyDescent="0.25">
      <c r="A104" s="8" t="s">
        <v>32</v>
      </c>
      <c r="B104" s="8" t="s">
        <v>19</v>
      </c>
      <c r="C104" s="9">
        <v>1383</v>
      </c>
      <c r="D104" t="str">
        <f t="shared" si="1"/>
        <v>2019-55-59 år</v>
      </c>
    </row>
    <row r="105" spans="1:4" x14ac:dyDescent="0.25">
      <c r="A105" s="8" t="s">
        <v>32</v>
      </c>
      <c r="B105" s="8" t="s">
        <v>20</v>
      </c>
      <c r="C105" s="9">
        <v>791</v>
      </c>
      <c r="D105" t="str">
        <f t="shared" si="1"/>
        <v>2019-60-64 år</v>
      </c>
    </row>
    <row r="106" spans="1:4" x14ac:dyDescent="0.25">
      <c r="A106" s="8" t="s">
        <v>32</v>
      </c>
      <c r="B106" s="8" t="s">
        <v>43</v>
      </c>
      <c r="C106" s="9">
        <v>188</v>
      </c>
      <c r="D106" t="str">
        <f t="shared" si="1"/>
        <v>2019-65-69 år</v>
      </c>
    </row>
    <row r="107" spans="1:4" x14ac:dyDescent="0.25">
      <c r="A107" s="8" t="s">
        <v>33</v>
      </c>
      <c r="B107" s="8" t="s">
        <v>13</v>
      </c>
      <c r="C107" s="9">
        <v>3028</v>
      </c>
      <c r="D107" t="str">
        <f t="shared" si="1"/>
        <v>2020-25-29 år</v>
      </c>
    </row>
    <row r="108" spans="1:4" x14ac:dyDescent="0.25">
      <c r="A108" s="8" t="s">
        <v>33</v>
      </c>
      <c r="B108" s="8" t="s">
        <v>14</v>
      </c>
      <c r="C108" s="9">
        <v>2339</v>
      </c>
      <c r="D108" t="str">
        <f t="shared" si="1"/>
        <v>2020-30-34 år</v>
      </c>
    </row>
    <row r="109" spans="1:4" x14ac:dyDescent="0.25">
      <c r="A109" s="8" t="s">
        <v>33</v>
      </c>
      <c r="B109" s="8" t="s">
        <v>15</v>
      </c>
      <c r="C109" s="9">
        <v>1929</v>
      </c>
      <c r="D109" t="str">
        <f t="shared" si="1"/>
        <v>2020-35-39 år</v>
      </c>
    </row>
    <row r="110" spans="1:4" x14ac:dyDescent="0.25">
      <c r="A110" s="8" t="s">
        <v>33</v>
      </c>
      <c r="B110" s="8" t="s">
        <v>16</v>
      </c>
      <c r="C110" s="9">
        <v>1758</v>
      </c>
      <c r="D110" t="str">
        <f t="shared" si="1"/>
        <v>2020-40-44 år</v>
      </c>
    </row>
    <row r="111" spans="1:4" x14ac:dyDescent="0.25">
      <c r="A111" s="8" t="s">
        <v>33</v>
      </c>
      <c r="B111" s="8" t="s">
        <v>17</v>
      </c>
      <c r="C111" s="9">
        <v>1654</v>
      </c>
      <c r="D111" t="str">
        <f t="shared" si="1"/>
        <v>2020-45-49 år</v>
      </c>
    </row>
    <row r="112" spans="1:4" x14ac:dyDescent="0.25">
      <c r="A112" s="8" t="s">
        <v>33</v>
      </c>
      <c r="B112" s="8" t="s">
        <v>18</v>
      </c>
      <c r="C112" s="9">
        <v>1616</v>
      </c>
      <c r="D112" t="str">
        <f t="shared" si="1"/>
        <v>2020-50-54 år</v>
      </c>
    </row>
    <row r="113" spans="1:4" x14ac:dyDescent="0.25">
      <c r="A113" s="8" t="s">
        <v>33</v>
      </c>
      <c r="B113" s="8" t="s">
        <v>19</v>
      </c>
      <c r="C113" s="9">
        <v>1279</v>
      </c>
      <c r="D113" t="str">
        <f t="shared" si="1"/>
        <v>2020-55-59 år</v>
      </c>
    </row>
    <row r="114" spans="1:4" x14ac:dyDescent="0.25">
      <c r="A114" s="8" t="s">
        <v>33</v>
      </c>
      <c r="B114" s="8" t="s">
        <v>20</v>
      </c>
      <c r="C114" s="9">
        <v>623</v>
      </c>
      <c r="D114" t="str">
        <f t="shared" si="1"/>
        <v>2020-60-64 år</v>
      </c>
    </row>
    <row r="115" spans="1:4" x14ac:dyDescent="0.25">
      <c r="A115" s="8" t="s">
        <v>33</v>
      </c>
      <c r="B115" s="8" t="s">
        <v>43</v>
      </c>
      <c r="C115" s="9">
        <v>201</v>
      </c>
      <c r="D115" t="str">
        <f t="shared" si="1"/>
        <v>2020-65-69 år</v>
      </c>
    </row>
    <row r="116" spans="1:4" x14ac:dyDescent="0.25">
      <c r="A116" s="8" t="s">
        <v>34</v>
      </c>
      <c r="B116" s="8" t="s">
        <v>13</v>
      </c>
      <c r="C116" s="9">
        <v>3854</v>
      </c>
      <c r="D116" t="str">
        <f t="shared" si="1"/>
        <v>2021-25-29 år</v>
      </c>
    </row>
    <row r="117" spans="1:4" x14ac:dyDescent="0.25">
      <c r="A117" s="8" t="s">
        <v>34</v>
      </c>
      <c r="B117" s="8" t="s">
        <v>14</v>
      </c>
      <c r="C117" s="9">
        <v>3059</v>
      </c>
      <c r="D117" t="str">
        <f t="shared" si="1"/>
        <v>2021-30-34 år</v>
      </c>
    </row>
    <row r="118" spans="1:4" x14ac:dyDescent="0.25">
      <c r="A118" s="8" t="s">
        <v>34</v>
      </c>
      <c r="B118" s="8" t="s">
        <v>15</v>
      </c>
      <c r="C118" s="9">
        <v>2330</v>
      </c>
      <c r="D118" t="str">
        <f t="shared" si="1"/>
        <v>2021-35-39 år</v>
      </c>
    </row>
    <row r="119" spans="1:4" x14ac:dyDescent="0.25">
      <c r="A119" s="8" t="s">
        <v>34</v>
      </c>
      <c r="B119" s="8" t="s">
        <v>16</v>
      </c>
      <c r="C119" s="9">
        <v>2220</v>
      </c>
      <c r="D119" t="str">
        <f t="shared" si="1"/>
        <v>2021-40-44 år</v>
      </c>
    </row>
    <row r="120" spans="1:4" x14ac:dyDescent="0.25">
      <c r="A120" s="8" t="s">
        <v>34</v>
      </c>
      <c r="B120" s="8" t="s">
        <v>17</v>
      </c>
      <c r="C120" s="9">
        <v>1980</v>
      </c>
      <c r="D120" t="str">
        <f t="shared" si="1"/>
        <v>2021-45-49 år</v>
      </c>
    </row>
    <row r="121" spans="1:4" x14ac:dyDescent="0.25">
      <c r="A121" s="8" t="s">
        <v>34</v>
      </c>
      <c r="B121" s="8" t="s">
        <v>18</v>
      </c>
      <c r="C121" s="9">
        <v>1810</v>
      </c>
      <c r="D121" t="str">
        <f t="shared" si="1"/>
        <v>2021-50-54 år</v>
      </c>
    </row>
    <row r="122" spans="1:4" x14ac:dyDescent="0.25">
      <c r="A122" s="8" t="s">
        <v>34</v>
      </c>
      <c r="B122" s="8" t="s">
        <v>19</v>
      </c>
      <c r="C122" s="9">
        <v>1631</v>
      </c>
      <c r="D122" t="str">
        <f t="shared" si="1"/>
        <v>2021-55-59 år</v>
      </c>
    </row>
    <row r="123" spans="1:4" x14ac:dyDescent="0.25">
      <c r="A123" s="8" t="s">
        <v>34</v>
      </c>
      <c r="B123" s="8" t="s">
        <v>20</v>
      </c>
      <c r="C123" s="9">
        <v>962</v>
      </c>
      <c r="D123" t="str">
        <f t="shared" si="1"/>
        <v>2021-60-64 år</v>
      </c>
    </row>
    <row r="124" spans="1:4" x14ac:dyDescent="0.25">
      <c r="A124" s="8" t="s">
        <v>34</v>
      </c>
      <c r="B124" s="8" t="s">
        <v>43</v>
      </c>
      <c r="C124" s="9">
        <v>216</v>
      </c>
      <c r="D124" t="str">
        <f t="shared" si="1"/>
        <v>2021-65-69 år</v>
      </c>
    </row>
    <row r="125" spans="1:4" x14ac:dyDescent="0.25">
      <c r="A125" s="8" t="s">
        <v>35</v>
      </c>
      <c r="B125" s="8" t="s">
        <v>13</v>
      </c>
      <c r="C125" s="9">
        <v>3870</v>
      </c>
      <c r="D125" t="str">
        <f t="shared" si="1"/>
        <v>2022-25-29 år</v>
      </c>
    </row>
    <row r="126" spans="1:4" x14ac:dyDescent="0.25">
      <c r="A126" s="8" t="s">
        <v>35</v>
      </c>
      <c r="B126" s="8" t="s">
        <v>14</v>
      </c>
      <c r="C126" s="9">
        <v>3004</v>
      </c>
      <c r="D126" t="str">
        <f t="shared" si="1"/>
        <v>2022-30-34 år</v>
      </c>
    </row>
    <row r="127" spans="1:4" x14ac:dyDescent="0.25">
      <c r="A127" s="8" t="s">
        <v>35</v>
      </c>
      <c r="B127" s="8" t="s">
        <v>15</v>
      </c>
      <c r="C127" s="9">
        <v>2511</v>
      </c>
      <c r="D127" t="str">
        <f t="shared" si="1"/>
        <v>2022-35-39 år</v>
      </c>
    </row>
    <row r="128" spans="1:4" x14ac:dyDescent="0.25">
      <c r="A128" s="8" t="s">
        <v>35</v>
      </c>
      <c r="B128" s="8" t="s">
        <v>16</v>
      </c>
      <c r="C128" s="9">
        <v>2191</v>
      </c>
      <c r="D128" t="str">
        <f t="shared" si="1"/>
        <v>2022-40-44 år</v>
      </c>
    </row>
    <row r="129" spans="1:4" x14ac:dyDescent="0.25">
      <c r="A129" s="8" t="s">
        <v>35</v>
      </c>
      <c r="B129" s="8" t="s">
        <v>17</v>
      </c>
      <c r="C129" s="9">
        <v>2044</v>
      </c>
      <c r="D129" t="str">
        <f t="shared" si="1"/>
        <v>2022-45-49 år</v>
      </c>
    </row>
    <row r="130" spans="1:4" x14ac:dyDescent="0.25">
      <c r="A130" s="8" t="s">
        <v>35</v>
      </c>
      <c r="B130" s="8" t="s">
        <v>18</v>
      </c>
      <c r="C130" s="9">
        <v>1683</v>
      </c>
      <c r="D130" t="str">
        <f t="shared" si="1"/>
        <v>2022-50-54 år</v>
      </c>
    </row>
    <row r="131" spans="1:4" x14ac:dyDescent="0.25">
      <c r="A131" s="8" t="s">
        <v>35</v>
      </c>
      <c r="B131" s="8" t="s">
        <v>19</v>
      </c>
      <c r="C131" s="9">
        <v>1578</v>
      </c>
      <c r="D131" t="str">
        <f t="shared" si="1"/>
        <v>2022-55-59 år</v>
      </c>
    </row>
    <row r="132" spans="1:4" x14ac:dyDescent="0.25">
      <c r="A132" s="8" t="s">
        <v>35</v>
      </c>
      <c r="B132" s="8" t="s">
        <v>20</v>
      </c>
      <c r="C132" s="9">
        <v>880</v>
      </c>
      <c r="D132" t="str">
        <f t="shared" si="1"/>
        <v>2022-60-64 år</v>
      </c>
    </row>
    <row r="133" spans="1:4" x14ac:dyDescent="0.25">
      <c r="A133" s="8" t="s">
        <v>35</v>
      </c>
      <c r="B133" s="8" t="s">
        <v>43</v>
      </c>
      <c r="C133" s="9">
        <v>265</v>
      </c>
      <c r="D133" t="str">
        <f t="shared" si="1"/>
        <v>2022-65-69 år</v>
      </c>
    </row>
    <row r="134" spans="1:4" x14ac:dyDescent="0.25">
      <c r="A134" s="8" t="s">
        <v>36</v>
      </c>
      <c r="B134" s="8" t="s">
        <v>13</v>
      </c>
      <c r="C134" s="9">
        <v>3662</v>
      </c>
      <c r="D134" t="str">
        <f t="shared" si="1"/>
        <v>2023-25-29 år</v>
      </c>
    </row>
    <row r="135" spans="1:4" x14ac:dyDescent="0.25">
      <c r="A135" s="8" t="s">
        <v>36</v>
      </c>
      <c r="B135" s="8" t="s">
        <v>14</v>
      </c>
      <c r="C135" s="9">
        <v>2878</v>
      </c>
      <c r="D135" t="str">
        <f t="shared" si="1"/>
        <v>2023-30-34 år</v>
      </c>
    </row>
    <row r="136" spans="1:4" x14ac:dyDescent="0.25">
      <c r="A136" s="8" t="s">
        <v>36</v>
      </c>
      <c r="B136" s="8" t="s">
        <v>15</v>
      </c>
      <c r="C136" s="9">
        <v>2160</v>
      </c>
      <c r="D136" t="str">
        <f t="shared" ref="D136:D141" si="2">A136&amp;"-"&amp;B136</f>
        <v>2023-35-39 år</v>
      </c>
    </row>
    <row r="137" spans="1:4" x14ac:dyDescent="0.25">
      <c r="A137" s="8" t="s">
        <v>36</v>
      </c>
      <c r="B137" s="8" t="s">
        <v>16</v>
      </c>
      <c r="C137" s="9">
        <v>1983</v>
      </c>
      <c r="D137" t="str">
        <f t="shared" si="2"/>
        <v>2023-40-44 år</v>
      </c>
    </row>
    <row r="138" spans="1:4" x14ac:dyDescent="0.25">
      <c r="A138" s="8" t="s">
        <v>36</v>
      </c>
      <c r="B138" s="8" t="s">
        <v>17</v>
      </c>
      <c r="C138" s="9">
        <v>1798</v>
      </c>
      <c r="D138" t="str">
        <f t="shared" si="2"/>
        <v>2023-45-49 år</v>
      </c>
    </row>
    <row r="139" spans="1:4" x14ac:dyDescent="0.25">
      <c r="A139" s="8" t="s">
        <v>36</v>
      </c>
      <c r="B139" s="8" t="s">
        <v>18</v>
      </c>
      <c r="C139" s="9">
        <v>1564</v>
      </c>
      <c r="D139" t="str">
        <f t="shared" si="2"/>
        <v>2023-50-54 år</v>
      </c>
    </row>
    <row r="140" spans="1:4" x14ac:dyDescent="0.25">
      <c r="A140" s="8" t="s">
        <v>36</v>
      </c>
      <c r="B140" s="8" t="s">
        <v>19</v>
      </c>
      <c r="C140" s="9">
        <v>1583</v>
      </c>
      <c r="D140" t="str">
        <f t="shared" si="2"/>
        <v>2023-55-59 år</v>
      </c>
    </row>
    <row r="141" spans="1:4" x14ac:dyDescent="0.25">
      <c r="A141" s="8" t="s">
        <v>36</v>
      </c>
      <c r="B141" s="8" t="s">
        <v>20</v>
      </c>
      <c r="C141" s="9">
        <v>896</v>
      </c>
      <c r="D141" t="str">
        <f t="shared" si="2"/>
        <v>2023-60-64 år</v>
      </c>
    </row>
    <row r="142" spans="1:4" ht="15.75" thickBot="1" x14ac:dyDescent="0.3">
      <c r="A142" s="8" t="s">
        <v>36</v>
      </c>
      <c r="B142" s="8" t="s">
        <v>43</v>
      </c>
      <c r="C142" s="9">
        <v>295</v>
      </c>
      <c r="D142" t="str">
        <f t="shared" ref="D142" si="3">A142&amp;"-"&amp;B142</f>
        <v>2023-65-69 år</v>
      </c>
    </row>
    <row r="143" spans="1:4" ht="15.75" thickTop="1" x14ac:dyDescent="0.25">
      <c r="A143" s="10"/>
      <c r="B143" s="10"/>
      <c r="C143" s="10"/>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E06E7C1-9404-4A4A-B964-A85FD9F3B2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Loop</vt:lpstr>
      <vt:lpstr>Index</vt:lpstr>
      <vt:lpstr>Income</vt:lpstr>
      <vt:lpstr>Pensions P1</vt:lpstr>
      <vt:lpstr>Net Salary P1</vt:lpstr>
      <vt:lpstr>Net Salary P2</vt:lpstr>
      <vt:lpstr>Aktiesparekonto Increase</vt:lpstr>
      <vt:lpstr>Goals</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2025-04-29T18:16:53Z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