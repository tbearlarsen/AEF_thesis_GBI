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2.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admin\Desktop\Thesis New\AEF_thesis_GBI\GBI Optimisation\Data\"/>
    </mc:Choice>
  </mc:AlternateContent>
  <xr:revisionPtr revIDLastSave="0" documentId="13_ncr:1_{6FB8363B-BB8E-4A7F-AB40-9CB6A9778A6D}" xr6:coauthVersionLast="47" xr6:coauthVersionMax="47" xr10:uidLastSave="{00000000-0000-0000-0000-000000000000}"/>
  <bookViews>
    <workbookView xWindow="-110" yWindow="-110" windowWidth="19420" windowHeight="10300" firstSheet="3" activeTab="7" xr2:uid="{4E182251-F803-4366-87DB-239E9FF40EE2}"/>
  </bookViews>
  <sheets>
    <sheet name="Front Page" sheetId="7" r:id="rId1"/>
    <sheet name="Salary Variables" sheetId="51" r:id="rId2"/>
    <sheet name="Income" sheetId="2" r:id="rId3"/>
    <sheet name="Pensions P1 (2)" sheetId="52" r:id="rId4"/>
    <sheet name="Pensions P2" sheetId="49" r:id="rId5"/>
    <sheet name="Net Salary P2" sheetId="48" r:id="rId6"/>
    <sheet name="Pensions P1" sheetId="46" r:id="rId7"/>
    <sheet name="Net Salary P1" sheetId="47" r:id="rId8"/>
    <sheet name="Job Hopping" sheetId="8" r:id="rId9"/>
    <sheet name="Djøf Finance Hoppers" sheetId="6" r:id="rId10"/>
    <sheet name="Djøf Finance Workers" sheetId="5" r:id="rId11"/>
    <sheet name="Loop" sheetId="45" r:id="rId12"/>
    <sheet name="Goals" sheetId="10" r:id="rId13"/>
    <sheet name="Aktiesparekonto Increase" sheetId="43" r:id="rId14"/>
    <sheet name="Salary" sheetId="30" r:id="rId15"/>
    <sheet name="Wealth" sheetId="33" r:id="rId16"/>
    <sheet name="notes next time talk" sheetId="18" state="hidden" r:id="rId17"/>
    <sheet name="Real Returns" sheetId="44" r:id="rId18"/>
    <sheet name="Returns" sheetId="23" r:id="rId19"/>
    <sheet name="BasisPointCost" sheetId="38" r:id="rId20"/>
    <sheet name="Returns2" sheetId="39" r:id="rId21"/>
    <sheet name="Volatilities" sheetId="20" r:id="rId22"/>
    <sheet name="Volatilities2" sheetId="24" r:id="rId23"/>
    <sheet name="Correlation" sheetId="22" r:id="rId24"/>
    <sheet name="Correlation2" sheetId="25"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11" hidden="1">{#N/A,#N/A,FALSE,"One Pager";#N/A,#N/A,FALSE,"Technical"}</definedName>
    <definedName name="_wrn111" hidden="1">{#N/A,#N/A,FALSE,"One Pager";#N/A,#N/A,FALSE,"Technical"}</definedName>
    <definedName name="_wrn2" localSheetId="11" hidden="1">{#N/A,#N/A,TRUE,"Financials";#N/A,#N/A,TRUE,"Operating Statistics";#N/A,#N/A,TRUE,"Capex &amp; Depreciation";#N/A,#N/A,TRUE,"Debt"}</definedName>
    <definedName name="_wrn2" hidden="1">{#N/A,#N/A,TRUE,"Financials";#N/A,#N/A,TRUE,"Operating Statistics";#N/A,#N/A,TRUE,"Capex &amp; Depreciation";#N/A,#N/A,TRUE,"Debt"}</definedName>
    <definedName name="_wrn3" localSheetId="11"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11"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11"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11"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11" hidden="1">{#N/A,#N/A,FALSE,"One Pager";#N/A,#N/A,FALSE,"Technical"}</definedName>
    <definedName name="wrn.One._.Pager._.plus._.Technicals." hidden="1">{#N/A,#N/A,FALSE,"One Pager";#N/A,#N/A,FALSE,"Technical"}</definedName>
    <definedName name="wrn1.all" localSheetId="1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 i="48" l="1"/>
  <c r="E29" i="48"/>
  <c r="E28" i="48"/>
  <c r="E27" i="48"/>
  <c r="E26" i="48"/>
  <c r="E25" i="48"/>
  <c r="E24" i="48"/>
  <c r="AC33" i="48"/>
  <c r="AB33" i="48"/>
  <c r="AA33" i="48"/>
  <c r="Z33" i="48"/>
  <c r="Y33" i="48"/>
  <c r="X33" i="48"/>
  <c r="W33" i="48"/>
  <c r="V33" i="48"/>
  <c r="U33" i="48"/>
  <c r="T33" i="48"/>
  <c r="S33" i="48"/>
  <c r="R33" i="48"/>
  <c r="Q33" i="48"/>
  <c r="P33" i="48"/>
  <c r="O33" i="48"/>
  <c r="N33" i="48"/>
  <c r="M33" i="48"/>
  <c r="L33" i="48"/>
  <c r="K33" i="48"/>
  <c r="J33" i="48"/>
  <c r="I33" i="48"/>
  <c r="H33" i="48"/>
  <c r="G33" i="48"/>
  <c r="F33" i="48"/>
  <c r="E33" i="48"/>
  <c r="E22" i="48"/>
  <c r="AC30" i="48"/>
  <c r="AB30" i="48"/>
  <c r="AA30" i="48"/>
  <c r="Z30" i="48"/>
  <c r="Y30" i="48"/>
  <c r="X30" i="48"/>
  <c r="W30" i="48"/>
  <c r="V30" i="48"/>
  <c r="U30" i="48"/>
  <c r="T30" i="48"/>
  <c r="S30" i="48"/>
  <c r="R30" i="48"/>
  <c r="Q30" i="48"/>
  <c r="P30" i="48"/>
  <c r="O30" i="48"/>
  <c r="N30" i="48"/>
  <c r="M30" i="48"/>
  <c r="L30" i="48"/>
  <c r="K30" i="48"/>
  <c r="J30" i="48"/>
  <c r="I30" i="48"/>
  <c r="H30" i="48"/>
  <c r="G30" i="48"/>
  <c r="F30" i="48"/>
  <c r="AC24" i="48"/>
  <c r="AB24" i="48"/>
  <c r="AA24" i="48"/>
  <c r="Z24" i="48"/>
  <c r="Y24" i="48"/>
  <c r="X24" i="48"/>
  <c r="W24" i="48"/>
  <c r="V24" i="48"/>
  <c r="V27" i="48" s="1"/>
  <c r="U24" i="48"/>
  <c r="T24" i="48"/>
  <c r="S24" i="48"/>
  <c r="R24" i="48"/>
  <c r="Q24" i="48"/>
  <c r="P24" i="48"/>
  <c r="O24" i="48"/>
  <c r="N24" i="48"/>
  <c r="N26" i="48" s="1"/>
  <c r="M24" i="48"/>
  <c r="L24" i="48"/>
  <c r="K24" i="48"/>
  <c r="J24" i="48"/>
  <c r="I24" i="48"/>
  <c r="H24" i="48"/>
  <c r="G24" i="48"/>
  <c r="F24" i="48"/>
  <c r="AC22" i="48"/>
  <c r="AB22" i="48"/>
  <c r="AA22" i="48"/>
  <c r="Z22" i="48"/>
  <c r="Y22" i="48"/>
  <c r="X22" i="48"/>
  <c r="W22" i="48"/>
  <c r="V22" i="48"/>
  <c r="U22" i="48"/>
  <c r="T22" i="48"/>
  <c r="S22" i="48"/>
  <c r="R22" i="48"/>
  <c r="Q22" i="48"/>
  <c r="P22" i="48"/>
  <c r="O22" i="48"/>
  <c r="N22" i="48"/>
  <c r="M22" i="48"/>
  <c r="L22" i="48"/>
  <c r="K22" i="48"/>
  <c r="J22" i="48"/>
  <c r="I22" i="48"/>
  <c r="H22" i="48"/>
  <c r="G22" i="48"/>
  <c r="F22" i="48"/>
  <c r="B23" i="52"/>
  <c r="B22" i="52"/>
  <c r="B12" i="52"/>
  <c r="B17" i="52"/>
  <c r="B29" i="52"/>
  <c r="B54" i="52"/>
  <c r="B53" i="52"/>
  <c r="B52" i="52"/>
  <c r="B51" i="52"/>
  <c r="B47" i="52"/>
  <c r="B46" i="52"/>
  <c r="B45" i="52"/>
  <c r="B44" i="52"/>
  <c r="B38" i="52"/>
  <c r="B37" i="52"/>
  <c r="B36" i="52"/>
  <c r="B35" i="52"/>
  <c r="B34" i="52"/>
  <c r="B43" i="52"/>
  <c r="B14" i="48"/>
  <c r="B8" i="52"/>
  <c r="B7" i="52"/>
  <c r="B6" i="52"/>
  <c r="B5" i="52"/>
  <c r="B4" i="52"/>
  <c r="B3" i="52"/>
  <c r="B2" i="52" a="1"/>
  <c r="B2" i="52" s="1"/>
  <c r="AE52" i="52"/>
  <c r="AD52" i="52"/>
  <c r="AC52" i="52"/>
  <c r="AB52" i="52"/>
  <c r="AA52" i="52"/>
  <c r="Z52" i="52"/>
  <c r="Y52" i="52"/>
  <c r="X52" i="52"/>
  <c r="W52" i="52"/>
  <c r="V52" i="52"/>
  <c r="U52" i="52"/>
  <c r="T52" i="52"/>
  <c r="S52" i="52"/>
  <c r="R52" i="52"/>
  <c r="Q52" i="52"/>
  <c r="P52" i="52"/>
  <c r="O52" i="52"/>
  <c r="N52" i="52"/>
  <c r="M52" i="52"/>
  <c r="L52" i="52"/>
  <c r="K52" i="52"/>
  <c r="J52" i="52"/>
  <c r="I52" i="52"/>
  <c r="H52" i="52"/>
  <c r="G52" i="52"/>
  <c r="F52" i="52"/>
  <c r="E52" i="52"/>
  <c r="D52" i="52"/>
  <c r="C52" i="52"/>
  <c r="AE44" i="52"/>
  <c r="AD44" i="52"/>
  <c r="AC44" i="52"/>
  <c r="AB44" i="52"/>
  <c r="AA44" i="52"/>
  <c r="Z44" i="52"/>
  <c r="Y44" i="52"/>
  <c r="X44" i="52"/>
  <c r="W44" i="52"/>
  <c r="V44" i="52"/>
  <c r="U44" i="52"/>
  <c r="T44" i="52"/>
  <c r="S44" i="52"/>
  <c r="R44" i="52"/>
  <c r="Q44" i="52"/>
  <c r="P44" i="52"/>
  <c r="O44" i="52"/>
  <c r="N44" i="52"/>
  <c r="M44" i="52"/>
  <c r="L44" i="52"/>
  <c r="K44" i="52"/>
  <c r="J44" i="52"/>
  <c r="I44" i="52"/>
  <c r="H44" i="52"/>
  <c r="G44" i="52"/>
  <c r="F44" i="52"/>
  <c r="E44" i="52"/>
  <c r="D44" i="52"/>
  <c r="C44" i="52"/>
  <c r="AE35" i="52"/>
  <c r="AD35" i="52"/>
  <c r="AC35" i="52"/>
  <c r="AB35" i="52"/>
  <c r="AA35" i="52"/>
  <c r="Z35" i="52"/>
  <c r="Y35" i="52"/>
  <c r="X35" i="52"/>
  <c r="W35" i="52"/>
  <c r="V35" i="52"/>
  <c r="U35" i="52"/>
  <c r="T35" i="52"/>
  <c r="S35" i="52"/>
  <c r="R35" i="52"/>
  <c r="Q35" i="52"/>
  <c r="P35" i="52"/>
  <c r="O35" i="52"/>
  <c r="N35" i="52"/>
  <c r="M35" i="52"/>
  <c r="L35" i="52"/>
  <c r="K35" i="52"/>
  <c r="J35" i="52"/>
  <c r="I35" i="52"/>
  <c r="H35" i="52"/>
  <c r="G35" i="52"/>
  <c r="F35" i="52"/>
  <c r="E35" i="52"/>
  <c r="D35" i="52"/>
  <c r="C35" i="52"/>
  <c r="B25" i="52"/>
  <c r="D22" i="52"/>
  <c r="D6" i="52"/>
  <c r="D7" i="52" s="1"/>
  <c r="D8" i="52" s="1"/>
  <c r="AE5" i="52"/>
  <c r="AD5" i="52"/>
  <c r="AC5" i="52"/>
  <c r="AB5" i="52"/>
  <c r="AA5" i="52"/>
  <c r="Z5" i="52"/>
  <c r="Y5" i="52"/>
  <c r="X5" i="52"/>
  <c r="W5" i="52"/>
  <c r="V5" i="52"/>
  <c r="U5" i="52"/>
  <c r="T5" i="52"/>
  <c r="S5" i="52"/>
  <c r="R5" i="52"/>
  <c r="Q5" i="52"/>
  <c r="P5" i="52"/>
  <c r="O5" i="52"/>
  <c r="N5" i="52"/>
  <c r="M5" i="52"/>
  <c r="L5" i="52"/>
  <c r="K5" i="52"/>
  <c r="J5" i="52"/>
  <c r="I5" i="52"/>
  <c r="H5" i="52"/>
  <c r="G5" i="52"/>
  <c r="F5" i="52"/>
  <c r="E5" i="52"/>
  <c r="D5" i="52"/>
  <c r="C5" i="52"/>
  <c r="AD4" i="52"/>
  <c r="AD6" i="52" s="1"/>
  <c r="AD7" i="52" s="1"/>
  <c r="AD8" i="52" s="1"/>
  <c r="AB4" i="52"/>
  <c r="AB6" i="52" s="1"/>
  <c r="AB7" i="52" s="1"/>
  <c r="AB8" i="52" s="1"/>
  <c r="X4" i="52"/>
  <c r="X6" i="52" s="1"/>
  <c r="X7" i="52" s="1"/>
  <c r="X8" i="52" s="1"/>
  <c r="V4" i="52"/>
  <c r="V6" i="52" s="1"/>
  <c r="V7" i="52" s="1"/>
  <c r="V8" i="52" s="1"/>
  <c r="T4" i="52"/>
  <c r="T6" i="52" s="1"/>
  <c r="T7" i="52" s="1"/>
  <c r="T8" i="52" s="1"/>
  <c r="P4" i="52"/>
  <c r="P6" i="52" s="1"/>
  <c r="P7" i="52" s="1"/>
  <c r="P8" i="52" s="1"/>
  <c r="N4" i="52"/>
  <c r="N6" i="52" s="1"/>
  <c r="N7" i="52" s="1"/>
  <c r="N8" i="52" s="1"/>
  <c r="L4" i="52"/>
  <c r="L6" i="52" s="1"/>
  <c r="L7" i="52" s="1"/>
  <c r="L8" i="52" s="1"/>
  <c r="H4" i="52"/>
  <c r="H6" i="52" s="1"/>
  <c r="H7" i="52" s="1"/>
  <c r="H8" i="52" s="1"/>
  <c r="F4" i="52"/>
  <c r="F6" i="52" s="1"/>
  <c r="F7" i="52" s="1"/>
  <c r="F8" i="52" s="1"/>
  <c r="D4" i="52"/>
  <c r="AE3" i="52"/>
  <c r="AE4" i="52" s="1"/>
  <c r="AE6" i="52" s="1"/>
  <c r="AE7" i="52" s="1"/>
  <c r="AE8" i="52" s="1"/>
  <c r="AD3" i="52"/>
  <c r="AC3" i="52"/>
  <c r="AC4" i="52" s="1"/>
  <c r="AC6" i="52" s="1"/>
  <c r="AC7" i="52" s="1"/>
  <c r="AC8" i="52" s="1"/>
  <c r="AB3" i="52"/>
  <c r="AA3" i="52"/>
  <c r="AA4" i="52" s="1"/>
  <c r="AA6" i="52" s="1"/>
  <c r="AA7" i="52" s="1"/>
  <c r="AA8" i="52" s="1"/>
  <c r="Z3" i="52"/>
  <c r="Z4" i="52" s="1"/>
  <c r="Z6" i="52" s="1"/>
  <c r="Z7" i="52" s="1"/>
  <c r="Z8" i="52" s="1"/>
  <c r="Y3" i="52"/>
  <c r="Y4" i="52" s="1"/>
  <c r="Y6" i="52" s="1"/>
  <c r="Y7" i="52" s="1"/>
  <c r="Y8" i="52" s="1"/>
  <c r="X3" i="52"/>
  <c r="W3" i="52"/>
  <c r="W4" i="52" s="1"/>
  <c r="W6" i="52" s="1"/>
  <c r="W7" i="52" s="1"/>
  <c r="W8" i="52" s="1"/>
  <c r="V3" i="52"/>
  <c r="U3" i="52"/>
  <c r="U4" i="52" s="1"/>
  <c r="U6" i="52" s="1"/>
  <c r="U7" i="52" s="1"/>
  <c r="U8" i="52" s="1"/>
  <c r="T3" i="52"/>
  <c r="S3" i="52"/>
  <c r="S4" i="52" s="1"/>
  <c r="S6" i="52" s="1"/>
  <c r="S7" i="52" s="1"/>
  <c r="S8" i="52" s="1"/>
  <c r="R3" i="52"/>
  <c r="R4" i="52" s="1"/>
  <c r="R6" i="52" s="1"/>
  <c r="R7" i="52" s="1"/>
  <c r="R8" i="52" s="1"/>
  <c r="Q3" i="52"/>
  <c r="Q4" i="52" s="1"/>
  <c r="Q6" i="52" s="1"/>
  <c r="Q7" i="52" s="1"/>
  <c r="Q8" i="52" s="1"/>
  <c r="P3" i="52"/>
  <c r="O3" i="52"/>
  <c r="O4" i="52" s="1"/>
  <c r="O6" i="52" s="1"/>
  <c r="O7" i="52" s="1"/>
  <c r="O8" i="52" s="1"/>
  <c r="N3" i="52"/>
  <c r="M3" i="52"/>
  <c r="M4" i="52" s="1"/>
  <c r="M6" i="52" s="1"/>
  <c r="M7" i="52" s="1"/>
  <c r="M8" i="52" s="1"/>
  <c r="L3" i="52"/>
  <c r="K3" i="52"/>
  <c r="K4" i="52" s="1"/>
  <c r="K6" i="52" s="1"/>
  <c r="K7" i="52" s="1"/>
  <c r="K8" i="52" s="1"/>
  <c r="J3" i="52"/>
  <c r="J4" i="52" s="1"/>
  <c r="J6" i="52" s="1"/>
  <c r="J7" i="52" s="1"/>
  <c r="J8" i="52" s="1"/>
  <c r="I3" i="52"/>
  <c r="I4" i="52" s="1"/>
  <c r="I6" i="52" s="1"/>
  <c r="I7" i="52" s="1"/>
  <c r="I8" i="52" s="1"/>
  <c r="H3" i="52"/>
  <c r="G3" i="52"/>
  <c r="G4" i="52" s="1"/>
  <c r="G6" i="52" s="1"/>
  <c r="G7" i="52" s="1"/>
  <c r="G8" i="52" s="1"/>
  <c r="F3" i="52"/>
  <c r="E3" i="52"/>
  <c r="E4" i="52" s="1"/>
  <c r="E6" i="52" s="1"/>
  <c r="E7" i="52" s="1"/>
  <c r="E8" i="52" s="1"/>
  <c r="D3" i="52"/>
  <c r="C3" i="52"/>
  <c r="C4" i="52" s="1"/>
  <c r="C6" i="52" s="1"/>
  <c r="C7" i="52" s="1"/>
  <c r="C8" i="52" s="1"/>
  <c r="E38" i="47"/>
  <c r="AC22" i="47"/>
  <c r="AB22" i="47"/>
  <c r="AA22" i="47"/>
  <c r="Z22" i="47"/>
  <c r="Y22" i="47"/>
  <c r="X22" i="47"/>
  <c r="W22" i="47"/>
  <c r="V22" i="47"/>
  <c r="U22" i="47"/>
  <c r="T22" i="47"/>
  <c r="S22" i="47"/>
  <c r="R22" i="47"/>
  <c r="Q22" i="47"/>
  <c r="P22" i="47"/>
  <c r="O22" i="47"/>
  <c r="N22" i="47"/>
  <c r="M22" i="47"/>
  <c r="L22" i="47"/>
  <c r="K22" i="47"/>
  <c r="J22" i="47"/>
  <c r="I22" i="47"/>
  <c r="H22" i="47"/>
  <c r="G22" i="47"/>
  <c r="F22" i="47"/>
  <c r="E22" i="47"/>
  <c r="B31" i="46"/>
  <c r="AS52" i="46"/>
  <c r="AR52" i="46"/>
  <c r="AQ52" i="46"/>
  <c r="AP52" i="46"/>
  <c r="AO52" i="46"/>
  <c r="AN52" i="46"/>
  <c r="AM52" i="46"/>
  <c r="AL52" i="46"/>
  <c r="AK52" i="46"/>
  <c r="AJ52" i="46"/>
  <c r="AI52" i="46"/>
  <c r="AH52" i="46"/>
  <c r="AG52" i="46"/>
  <c r="AF52" i="46"/>
  <c r="AE52" i="46"/>
  <c r="AD52" i="46"/>
  <c r="AC52" i="46"/>
  <c r="AB52" i="46"/>
  <c r="AA52" i="46"/>
  <c r="Z52" i="46"/>
  <c r="Y52" i="46"/>
  <c r="X52" i="46"/>
  <c r="W52" i="46"/>
  <c r="V52" i="46"/>
  <c r="U52" i="46"/>
  <c r="T52" i="46"/>
  <c r="S52" i="46"/>
  <c r="R52" i="46"/>
  <c r="Q52" i="46"/>
  <c r="P52" i="46"/>
  <c r="O52" i="46"/>
  <c r="N52" i="46"/>
  <c r="M52" i="46"/>
  <c r="L52" i="46"/>
  <c r="K52" i="46"/>
  <c r="J52" i="46"/>
  <c r="I52" i="46"/>
  <c r="H52" i="46"/>
  <c r="G52" i="46"/>
  <c r="F52" i="46"/>
  <c r="E52" i="46"/>
  <c r="D52" i="46"/>
  <c r="AT52" i="46"/>
  <c r="C52" i="46"/>
  <c r="B52" i="46"/>
  <c r="AS44" i="46"/>
  <c r="AR44" i="46"/>
  <c r="AQ44" i="46"/>
  <c r="AP44" i="46"/>
  <c r="AO44" i="46"/>
  <c r="AN44" i="46"/>
  <c r="AM44" i="46"/>
  <c r="AL44" i="46"/>
  <c r="AK44" i="46"/>
  <c r="AJ44" i="46"/>
  <c r="AI44" i="46"/>
  <c r="AH44" i="46"/>
  <c r="AG44" i="46"/>
  <c r="AF44" i="46"/>
  <c r="AE44" i="46"/>
  <c r="AD44" i="46"/>
  <c r="AC44" i="46"/>
  <c r="AB44" i="46"/>
  <c r="AA44" i="46"/>
  <c r="Z44" i="46"/>
  <c r="Y44" i="46"/>
  <c r="X44" i="46"/>
  <c r="W44" i="46"/>
  <c r="V44" i="46"/>
  <c r="U44" i="46"/>
  <c r="T44" i="46"/>
  <c r="S44" i="46"/>
  <c r="R44" i="46"/>
  <c r="Q44" i="46"/>
  <c r="P44" i="46"/>
  <c r="O44" i="46"/>
  <c r="N44" i="46"/>
  <c r="M44" i="46"/>
  <c r="L44" i="46"/>
  <c r="K44" i="46"/>
  <c r="J44" i="46"/>
  <c r="I44" i="46"/>
  <c r="H44" i="46"/>
  <c r="G44" i="46"/>
  <c r="F44" i="46"/>
  <c r="E44" i="46"/>
  <c r="D44" i="46"/>
  <c r="AT44" i="46"/>
  <c r="C44" i="46"/>
  <c r="B44" i="46"/>
  <c r="B43" i="46"/>
  <c r="E8" i="47"/>
  <c r="B14" i="47"/>
  <c r="B22" i="46"/>
  <c r="E40" i="47"/>
  <c r="F40" i="47" s="1"/>
  <c r="AT35" i="46"/>
  <c r="AS35" i="46"/>
  <c r="AR35" i="46"/>
  <c r="AQ35" i="46"/>
  <c r="AP35" i="46"/>
  <c r="AO35" i="46"/>
  <c r="AN35" i="46"/>
  <c r="AM35" i="46"/>
  <c r="AL35" i="46"/>
  <c r="AK35" i="46"/>
  <c r="AJ35" i="46"/>
  <c r="AI35" i="46"/>
  <c r="AH35" i="46"/>
  <c r="AG35" i="46"/>
  <c r="AF35" i="46"/>
  <c r="AE35" i="46"/>
  <c r="AD35" i="46"/>
  <c r="AC35" i="46"/>
  <c r="AB35" i="46"/>
  <c r="AA35" i="46"/>
  <c r="Z35" i="46"/>
  <c r="Y35" i="46"/>
  <c r="X35" i="46"/>
  <c r="W35" i="46"/>
  <c r="V35" i="46"/>
  <c r="U35" i="46"/>
  <c r="T35" i="46"/>
  <c r="S35" i="46"/>
  <c r="R35" i="46"/>
  <c r="Q35" i="46"/>
  <c r="P35" i="46"/>
  <c r="O35" i="46"/>
  <c r="N35" i="46"/>
  <c r="M35" i="46"/>
  <c r="L35" i="46"/>
  <c r="K35" i="46"/>
  <c r="J35" i="46"/>
  <c r="I35" i="46"/>
  <c r="H35" i="46"/>
  <c r="G35" i="46"/>
  <c r="F35" i="46"/>
  <c r="E35" i="46"/>
  <c r="D35" i="46"/>
  <c r="C35" i="46"/>
  <c r="B35" i="46"/>
  <c r="B25" i="49"/>
  <c r="B7" i="49"/>
  <c r="B6" i="49"/>
  <c r="D22" i="46"/>
  <c r="B22" i="49"/>
  <c r="D22" i="49"/>
  <c r="V26" i="48" l="1"/>
  <c r="G25" i="48"/>
  <c r="G28" i="48" s="1"/>
  <c r="G29" i="48" s="1"/>
  <c r="G31" i="48" s="1"/>
  <c r="G32" i="48" s="1"/>
  <c r="O25" i="48"/>
  <c r="W25" i="48"/>
  <c r="G26" i="48"/>
  <c r="O26" i="48"/>
  <c r="W26" i="48"/>
  <c r="G27" i="48"/>
  <c r="O27" i="48"/>
  <c r="W27" i="48"/>
  <c r="E31" i="48"/>
  <c r="E32" i="48" s="1"/>
  <c r="E34" i="48" s="1"/>
  <c r="E35" i="48" s="1"/>
  <c r="E38" i="48" s="1"/>
  <c r="H25" i="48"/>
  <c r="P25" i="48"/>
  <c r="X25" i="48"/>
  <c r="H26" i="48"/>
  <c r="P26" i="48"/>
  <c r="X26" i="48"/>
  <c r="H27" i="48"/>
  <c r="P27" i="48"/>
  <c r="X27" i="48"/>
  <c r="N25" i="48"/>
  <c r="I25" i="48"/>
  <c r="Q25" i="48"/>
  <c r="Y25" i="48"/>
  <c r="Y28" i="48" s="1"/>
  <c r="Y29" i="48" s="1"/>
  <c r="Y31" i="48" s="1"/>
  <c r="Y32" i="48" s="1"/>
  <c r="I26" i="48"/>
  <c r="Q26" i="48"/>
  <c r="Y26" i="48"/>
  <c r="I27" i="48"/>
  <c r="Q27" i="48"/>
  <c r="Y27" i="48"/>
  <c r="F27" i="48"/>
  <c r="J25" i="48"/>
  <c r="J28" i="48" s="1"/>
  <c r="J29" i="48" s="1"/>
  <c r="J31" i="48" s="1"/>
  <c r="J32" i="48" s="1"/>
  <c r="R25" i="48"/>
  <c r="R28" i="48" s="1"/>
  <c r="R29" i="48" s="1"/>
  <c r="R31" i="48" s="1"/>
  <c r="R32" i="48" s="1"/>
  <c r="Z25" i="48"/>
  <c r="J26" i="48"/>
  <c r="R26" i="48"/>
  <c r="Z26" i="48"/>
  <c r="J27" i="48"/>
  <c r="R27" i="48"/>
  <c r="Z27" i="48"/>
  <c r="F26" i="48"/>
  <c r="N27" i="48"/>
  <c r="K25" i="48"/>
  <c r="S25" i="48"/>
  <c r="AA25" i="48"/>
  <c r="K26" i="48"/>
  <c r="S26" i="48"/>
  <c r="AA26" i="48"/>
  <c r="K27" i="48"/>
  <c r="S27" i="48"/>
  <c r="AA27" i="48"/>
  <c r="F25" i="48"/>
  <c r="L25" i="48"/>
  <c r="T25" i="48"/>
  <c r="AB25" i="48"/>
  <c r="AB28" i="48" s="1"/>
  <c r="AB29" i="48" s="1"/>
  <c r="AB31" i="48" s="1"/>
  <c r="AB32" i="48" s="1"/>
  <c r="L26" i="48"/>
  <c r="T26" i="48"/>
  <c r="AB26" i="48"/>
  <c r="L27" i="48"/>
  <c r="T27" i="48"/>
  <c r="AB27" i="48"/>
  <c r="V25" i="48"/>
  <c r="M25" i="48"/>
  <c r="M28" i="48" s="1"/>
  <c r="M29" i="48" s="1"/>
  <c r="M31" i="48" s="1"/>
  <c r="M32" i="48" s="1"/>
  <c r="U25" i="48"/>
  <c r="U28" i="48" s="1"/>
  <c r="U29" i="48" s="1"/>
  <c r="U31" i="48" s="1"/>
  <c r="U32" i="48" s="1"/>
  <c r="AC25" i="48"/>
  <c r="AC28" i="48" s="1"/>
  <c r="AC29" i="48" s="1"/>
  <c r="AC31" i="48" s="1"/>
  <c r="AC32" i="48" s="1"/>
  <c r="M26" i="48"/>
  <c r="U26" i="48"/>
  <c r="AC26" i="48"/>
  <c r="M27" i="48"/>
  <c r="U27" i="48"/>
  <c r="AC27" i="48"/>
  <c r="B45" i="46"/>
  <c r="B46" i="46" s="1"/>
  <c r="B47" i="46" s="1"/>
  <c r="C43" i="46" s="1"/>
  <c r="F9" i="10"/>
  <c r="F4" i="10"/>
  <c r="D9" i="10"/>
  <c r="D4" i="10"/>
  <c r="A4" i="47" a="1"/>
  <c r="A4" i="47" s="1"/>
  <c r="A4" i="48" a="1"/>
  <c r="I2" i="2"/>
  <c r="O3" i="2" s="1"/>
  <c r="AT5" i="49"/>
  <c r="AS5" i="49"/>
  <c r="AR5" i="49"/>
  <c r="AQ5" i="49"/>
  <c r="AP5" i="49"/>
  <c r="AO5" i="49"/>
  <c r="AN5" i="49"/>
  <c r="AM5" i="49"/>
  <c r="AL5" i="49"/>
  <c r="AK5" i="49"/>
  <c r="AJ5" i="49"/>
  <c r="AI5" i="49"/>
  <c r="AH5" i="49"/>
  <c r="AG5" i="49"/>
  <c r="AF5" i="49"/>
  <c r="AE5" i="49"/>
  <c r="AD5" i="49"/>
  <c r="AC5" i="49"/>
  <c r="AB5" i="49"/>
  <c r="AA5" i="49"/>
  <c r="Z5" i="49"/>
  <c r="Y5" i="49"/>
  <c r="X5" i="49"/>
  <c r="W5" i="49"/>
  <c r="V5" i="49"/>
  <c r="U5" i="49"/>
  <c r="T5" i="49"/>
  <c r="S5" i="49"/>
  <c r="R5" i="49"/>
  <c r="Q5" i="49"/>
  <c r="P5" i="49"/>
  <c r="O5" i="49"/>
  <c r="N5" i="49"/>
  <c r="M5" i="49"/>
  <c r="L5" i="49"/>
  <c r="K5" i="49"/>
  <c r="J5" i="49"/>
  <c r="I5" i="49"/>
  <c r="H5" i="49"/>
  <c r="G5" i="49"/>
  <c r="F5" i="49"/>
  <c r="E5" i="49"/>
  <c r="D5" i="49"/>
  <c r="C5" i="49"/>
  <c r="B5" i="49"/>
  <c r="AT3" i="49"/>
  <c r="AS3" i="49"/>
  <c r="AS4" i="49" s="1"/>
  <c r="AR3" i="49"/>
  <c r="AQ3" i="49"/>
  <c r="AP3" i="49"/>
  <c r="AO3" i="49"/>
  <c r="AN3" i="49"/>
  <c r="AM3" i="49"/>
  <c r="AL3" i="49"/>
  <c r="AK3" i="49"/>
  <c r="AJ3" i="49"/>
  <c r="AI3" i="49"/>
  <c r="AH3" i="49"/>
  <c r="AG3" i="49"/>
  <c r="AF3" i="49"/>
  <c r="AE3" i="49"/>
  <c r="AD3" i="49"/>
  <c r="AC3" i="49"/>
  <c r="AB3" i="49"/>
  <c r="AA3" i="49"/>
  <c r="Z3" i="49"/>
  <c r="Y3" i="49"/>
  <c r="X3" i="49"/>
  <c r="W3" i="49"/>
  <c r="V3" i="49"/>
  <c r="U3" i="49"/>
  <c r="T3" i="49"/>
  <c r="S3" i="49"/>
  <c r="R3" i="49"/>
  <c r="Q3" i="49"/>
  <c r="P3" i="49"/>
  <c r="O3" i="49"/>
  <c r="N3" i="49"/>
  <c r="M3" i="49"/>
  <c r="L3" i="49"/>
  <c r="K3" i="49"/>
  <c r="J3" i="49"/>
  <c r="I3" i="49"/>
  <c r="H3" i="49"/>
  <c r="G3" i="49"/>
  <c r="F3" i="49"/>
  <c r="E3" i="49"/>
  <c r="D3" i="49"/>
  <c r="C3" i="49"/>
  <c r="B3" i="49"/>
  <c r="B1" i="47"/>
  <c r="B2" i="47"/>
  <c r="AS15" i="47" s="1"/>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B5" i="46"/>
  <c r="AT3" i="46"/>
  <c r="AS3" i="46"/>
  <c r="AR3" i="46"/>
  <c r="AQ3" i="46"/>
  <c r="AP3" i="46"/>
  <c r="AO3" i="46"/>
  <c r="AN3" i="46"/>
  <c r="AM3" i="46"/>
  <c r="AL3" i="46"/>
  <c r="AK3" i="46"/>
  <c r="AJ3" i="46"/>
  <c r="AI3" i="46"/>
  <c r="AH3" i="46"/>
  <c r="AG3" i="46"/>
  <c r="AF3" i="46"/>
  <c r="AE3" i="46"/>
  <c r="AD3" i="46"/>
  <c r="AC3" i="46"/>
  <c r="AB3" i="46"/>
  <c r="AA3" i="46"/>
  <c r="Z3" i="46"/>
  <c r="Y3" i="46"/>
  <c r="X3" i="46"/>
  <c r="W3" i="46"/>
  <c r="V3" i="46"/>
  <c r="U3" i="46"/>
  <c r="T3" i="46"/>
  <c r="S3" i="46"/>
  <c r="R3" i="46"/>
  <c r="Q3" i="46"/>
  <c r="P3" i="46"/>
  <c r="O3" i="46"/>
  <c r="N3" i="46"/>
  <c r="M3" i="46"/>
  <c r="L3" i="46"/>
  <c r="K3" i="46"/>
  <c r="J3" i="46"/>
  <c r="I3" i="46"/>
  <c r="H3" i="46"/>
  <c r="G3" i="46"/>
  <c r="F3" i="46"/>
  <c r="E3" i="46"/>
  <c r="D3" i="46"/>
  <c r="C3" i="46"/>
  <c r="B3" i="46"/>
  <c r="B25" i="46"/>
  <c r="C7" i="51"/>
  <c r="C5" i="51"/>
  <c r="M33" i="2"/>
  <c r="D33" i="2" s="1"/>
  <c r="M34" i="2"/>
  <c r="D34" i="2" s="1"/>
  <c r="M35" i="2"/>
  <c r="D35" i="2" s="1"/>
  <c r="M36" i="2"/>
  <c r="D36" i="2" s="1"/>
  <c r="M37" i="2"/>
  <c r="D37" i="2" s="1"/>
  <c r="M38" i="2"/>
  <c r="D38" i="2" s="1"/>
  <c r="M39" i="2"/>
  <c r="D39" i="2" s="1"/>
  <c r="M40" i="2"/>
  <c r="D40" i="2" s="1"/>
  <c r="M41" i="2"/>
  <c r="D41" i="2" s="1"/>
  <c r="M42" i="2"/>
  <c r="D42" i="2" s="1"/>
  <c r="M43" i="2"/>
  <c r="D43" i="2" s="1"/>
  <c r="M44" i="2"/>
  <c r="D44" i="2" s="1"/>
  <c r="M45" i="2"/>
  <c r="D45" i="2" s="1"/>
  <c r="M46" i="2"/>
  <c r="D46" i="2" s="1"/>
  <c r="M47" i="2"/>
  <c r="D47" i="2" s="1"/>
  <c r="M48" i="2"/>
  <c r="D48" i="2" s="1"/>
  <c r="B23" i="49"/>
  <c r="B1" i="48"/>
  <c r="L48" i="2"/>
  <c r="C48" i="2" s="1"/>
  <c r="B23" i="46"/>
  <c r="R3" i="2"/>
  <c r="L7" i="23"/>
  <c r="L6" i="23"/>
  <c r="L5" i="23"/>
  <c r="L4" i="23"/>
  <c r="L3" i="23"/>
  <c r="L2" i="23"/>
  <c r="V28" i="48" l="1"/>
  <c r="V29" i="48" s="1"/>
  <c r="V31" i="48" s="1"/>
  <c r="V32" i="48" s="1"/>
  <c r="T28" i="48"/>
  <c r="T29" i="48" s="1"/>
  <c r="T31" i="48" s="1"/>
  <c r="T32" i="48" s="1"/>
  <c r="Q28" i="48"/>
  <c r="Q29" i="48" s="1"/>
  <c r="Q31" i="48" s="1"/>
  <c r="Q32" i="48" s="1"/>
  <c r="L28" i="48"/>
  <c r="L29" i="48" s="1"/>
  <c r="L31" i="48" s="1"/>
  <c r="L32" i="48" s="1"/>
  <c r="AA28" i="48"/>
  <c r="AA29" i="48" s="1"/>
  <c r="AA31" i="48" s="1"/>
  <c r="AA32" i="48" s="1"/>
  <c r="I28" i="48"/>
  <c r="I29" i="48" s="1"/>
  <c r="I31" i="48" s="1"/>
  <c r="I32" i="48" s="1"/>
  <c r="X28" i="48"/>
  <c r="X29" i="48" s="1"/>
  <c r="X31" i="48" s="1"/>
  <c r="X32" i="48" s="1"/>
  <c r="F28" i="48"/>
  <c r="F29" i="48" s="1"/>
  <c r="F31" i="48" s="1"/>
  <c r="F32" i="48" s="1"/>
  <c r="S28" i="48"/>
  <c r="S29" i="48" s="1"/>
  <c r="S31" i="48" s="1"/>
  <c r="S32" i="48" s="1"/>
  <c r="N28" i="48"/>
  <c r="N29" i="48" s="1"/>
  <c r="N31" i="48" s="1"/>
  <c r="N32" i="48" s="1"/>
  <c r="P28" i="48"/>
  <c r="P29" i="48" s="1"/>
  <c r="P31" i="48" s="1"/>
  <c r="P32" i="48" s="1"/>
  <c r="K28" i="48"/>
  <c r="K29" i="48" s="1"/>
  <c r="K31" i="48" s="1"/>
  <c r="K32" i="48" s="1"/>
  <c r="H28" i="48"/>
  <c r="H29" i="48" s="1"/>
  <c r="H31" i="48" s="1"/>
  <c r="H32" i="48" s="1"/>
  <c r="W28" i="48"/>
  <c r="W29" i="48" s="1"/>
  <c r="W31" i="48" s="1"/>
  <c r="W32" i="48" s="1"/>
  <c r="Z28" i="48"/>
  <c r="Z29" i="48" s="1"/>
  <c r="Z31" i="48" s="1"/>
  <c r="Z32" i="48" s="1"/>
  <c r="O28" i="48"/>
  <c r="O29" i="48" s="1"/>
  <c r="O31" i="48" s="1"/>
  <c r="O32" i="48" s="1"/>
  <c r="B55" i="52"/>
  <c r="C51" i="52" s="1"/>
  <c r="C53" i="52" s="1"/>
  <c r="C54" i="52" s="1"/>
  <c r="C43" i="52"/>
  <c r="C45" i="52" s="1"/>
  <c r="C46" i="52" s="1"/>
  <c r="C45" i="46"/>
  <c r="C46" i="46" s="1"/>
  <c r="C47" i="46" s="1"/>
  <c r="D43" i="46" s="1"/>
  <c r="A4" i="48"/>
  <c r="E7" i="48"/>
  <c r="AJ15" i="47"/>
  <c r="X14" i="48"/>
  <c r="E14" i="48"/>
  <c r="AI15" i="47"/>
  <c r="AT15" i="47"/>
  <c r="AU15" i="47"/>
  <c r="W15" i="47"/>
  <c r="X15" i="47"/>
  <c r="AH15" i="47"/>
  <c r="AV15" i="47"/>
  <c r="J15" i="47"/>
  <c r="M14" i="48"/>
  <c r="K15" i="47"/>
  <c r="Y14" i="48"/>
  <c r="L15" i="47"/>
  <c r="I3" i="2" a="1"/>
  <c r="I3" i="2" s="1"/>
  <c r="V15" i="47"/>
  <c r="Z14" i="48"/>
  <c r="M15" i="47"/>
  <c r="Y15" i="47"/>
  <c r="AK15" i="47"/>
  <c r="AW15" i="47"/>
  <c r="P14" i="48"/>
  <c r="AB14" i="48"/>
  <c r="N3" i="2"/>
  <c r="N15" i="47"/>
  <c r="Z15" i="47"/>
  <c r="AL15" i="47"/>
  <c r="Q14" i="48"/>
  <c r="AC14" i="48"/>
  <c r="O15" i="47"/>
  <c r="AA15" i="47"/>
  <c r="AM15" i="47"/>
  <c r="F14" i="48"/>
  <c r="R14" i="48"/>
  <c r="AD14" i="48"/>
  <c r="P15" i="47"/>
  <c r="AB15" i="47"/>
  <c r="AN15" i="47"/>
  <c r="G14" i="48"/>
  <c r="S14" i="48"/>
  <c r="AE14" i="48"/>
  <c r="E15" i="47"/>
  <c r="B51" i="46" s="1"/>
  <c r="B53" i="46" s="1"/>
  <c r="B54" i="46" s="1"/>
  <c r="B55" i="46" s="1"/>
  <c r="C51" i="46" s="1"/>
  <c r="C53" i="46" s="1"/>
  <c r="C54" i="46" s="1"/>
  <c r="Q15" i="47"/>
  <c r="AC15" i="47"/>
  <c r="AO15" i="47"/>
  <c r="H14" i="48"/>
  <c r="T14" i="48"/>
  <c r="AF14" i="48"/>
  <c r="AA14" i="48"/>
  <c r="F15" i="47"/>
  <c r="R15" i="47"/>
  <c r="AD15" i="47"/>
  <c r="AP15" i="47"/>
  <c r="I14" i="48"/>
  <c r="U14" i="48"/>
  <c r="AG14" i="48"/>
  <c r="N14" i="48"/>
  <c r="G15" i="47"/>
  <c r="S15" i="47"/>
  <c r="AE15" i="47"/>
  <c r="AQ15" i="47"/>
  <c r="J14" i="48"/>
  <c r="V14" i="48"/>
  <c r="AH14" i="48"/>
  <c r="H15" i="47"/>
  <c r="T15" i="47"/>
  <c r="AF15" i="47"/>
  <c r="AR15" i="47"/>
  <c r="K14" i="48"/>
  <c r="W14" i="48"/>
  <c r="O14" i="48"/>
  <c r="I15" i="47"/>
  <c r="U15" i="47"/>
  <c r="AG15" i="47"/>
  <c r="L14" i="48"/>
  <c r="Z8" i="47"/>
  <c r="AA8" i="47"/>
  <c r="AL8" i="47"/>
  <c r="AM8" i="47"/>
  <c r="N8" i="47"/>
  <c r="O8" i="47"/>
  <c r="M8" i="47"/>
  <c r="Y8" i="47"/>
  <c r="AK8" i="47"/>
  <c r="AW8" i="47"/>
  <c r="I7" i="48"/>
  <c r="U7" i="48"/>
  <c r="AG7" i="48"/>
  <c r="J7" i="48"/>
  <c r="V7" i="48"/>
  <c r="AH7" i="48"/>
  <c r="K7" i="48"/>
  <c r="W7" i="48"/>
  <c r="P8" i="47"/>
  <c r="AB8" i="47"/>
  <c r="AN8" i="47"/>
  <c r="L7" i="48"/>
  <c r="X7" i="48"/>
  <c r="Q8" i="47"/>
  <c r="AC8" i="47"/>
  <c r="AO8" i="47"/>
  <c r="M7" i="48"/>
  <c r="Y7" i="48"/>
  <c r="F8" i="47"/>
  <c r="R8" i="47"/>
  <c r="AD8" i="47"/>
  <c r="AP8" i="47"/>
  <c r="N7" i="48"/>
  <c r="Z7" i="48"/>
  <c r="G8" i="47"/>
  <c r="S8" i="47"/>
  <c r="AE8" i="47"/>
  <c r="AQ8" i="47"/>
  <c r="O7" i="48"/>
  <c r="AA7" i="48"/>
  <c r="H8" i="47"/>
  <c r="T8" i="47"/>
  <c r="AF8" i="47"/>
  <c r="AR8" i="47"/>
  <c r="P7" i="48"/>
  <c r="AB7" i="48"/>
  <c r="I8" i="47"/>
  <c r="U8" i="47"/>
  <c r="AG8" i="47"/>
  <c r="AS8" i="47"/>
  <c r="Q7" i="48"/>
  <c r="AC7" i="48"/>
  <c r="J8" i="47"/>
  <c r="V8" i="47"/>
  <c r="AH8" i="47"/>
  <c r="AT8" i="47"/>
  <c r="F7" i="48"/>
  <c r="R7" i="48"/>
  <c r="AD7" i="48"/>
  <c r="K8" i="47"/>
  <c r="W8" i="47"/>
  <c r="AI8" i="47"/>
  <c r="AU8" i="47"/>
  <c r="G7" i="48"/>
  <c r="S7" i="48"/>
  <c r="AE7" i="48"/>
  <c r="L8" i="47"/>
  <c r="X8" i="47"/>
  <c r="AJ8" i="47"/>
  <c r="AV8" i="47"/>
  <c r="H7" i="48"/>
  <c r="T7" i="48"/>
  <c r="AF7" i="48"/>
  <c r="AS6" i="49"/>
  <c r="AT4" i="49"/>
  <c r="AH4" i="49"/>
  <c r="AK4" i="49"/>
  <c r="AL4" i="49"/>
  <c r="AM4" i="49"/>
  <c r="AN4" i="49"/>
  <c r="AJ4" i="49"/>
  <c r="AP4" i="49"/>
  <c r="AQ4" i="49"/>
  <c r="AI4" i="49"/>
  <c r="AO4" i="49"/>
  <c r="AF4" i="49"/>
  <c r="AR4" i="49"/>
  <c r="AG4" i="49"/>
  <c r="E4" i="45"/>
  <c r="D4" i="45"/>
  <c r="C47" i="52" l="1"/>
  <c r="D43" i="52" s="1"/>
  <c r="D45" i="52" s="1"/>
  <c r="D46" i="52" s="1"/>
  <c r="C34" i="52"/>
  <c r="C55" i="52"/>
  <c r="D51" i="52" s="1"/>
  <c r="C55" i="46"/>
  <c r="D45" i="46"/>
  <c r="D46" i="46" s="1"/>
  <c r="AS7" i="49"/>
  <c r="AS8" i="49" s="1"/>
  <c r="AL6" i="49"/>
  <c r="AF6" i="49"/>
  <c r="AF7" i="49" s="1"/>
  <c r="AF8" i="49" s="1"/>
  <c r="AM6" i="49"/>
  <c r="AH6" i="49"/>
  <c r="AG6" i="49"/>
  <c r="AT6" i="49"/>
  <c r="AN6" i="49"/>
  <c r="AK6" i="49"/>
  <c r="AR6" i="49"/>
  <c r="AO6" i="49"/>
  <c r="AQ6" i="49"/>
  <c r="AP6" i="49"/>
  <c r="AP7" i="49" s="1"/>
  <c r="AP8" i="49" s="1"/>
  <c r="AI6" i="49"/>
  <c r="AJ6" i="49"/>
  <c r="E5" i="45"/>
  <c r="D5" i="45"/>
  <c r="R4" i="2"/>
  <c r="P4" i="2" s="1"/>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C9" i="43"/>
  <c r="C8" i="43"/>
  <c r="C7" i="43"/>
  <c r="C6" i="43"/>
  <c r="B4" i="43"/>
  <c r="C5" i="43" s="1"/>
  <c r="M6" i="23"/>
  <c r="N6" i="23" s="1"/>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N7" i="23" s="1"/>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A2" i="25" a="1"/>
  <c r="A2" i="25" s="1"/>
  <c r="B2" i="39"/>
  <c r="C2" i="39" s="1"/>
  <c r="D2" i="39" s="1"/>
  <c r="E2" i="39" s="1"/>
  <c r="F2" i="39" s="1"/>
  <c r="G2" i="39" s="1"/>
  <c r="H2" i="39" s="1"/>
  <c r="I2" i="39" s="1"/>
  <c r="J2" i="39" s="1"/>
  <c r="K2" i="39" s="1"/>
  <c r="L2" i="39" s="1"/>
  <c r="M2" i="39" s="1"/>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B3" i="39"/>
  <c r="C3" i="39" s="1"/>
  <c r="D3" i="39" s="1"/>
  <c r="E3" i="39" s="1"/>
  <c r="F3" i="39" s="1"/>
  <c r="G3" i="39" s="1"/>
  <c r="H3" i="39" s="1"/>
  <c r="I3" i="39" s="1"/>
  <c r="J3" i="39" s="1"/>
  <c r="K3" i="39" s="1"/>
  <c r="L3" i="39" s="1"/>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B7" i="38"/>
  <c r="B7" i="23" s="1"/>
  <c r="C7" i="23" s="1"/>
  <c r="D7" i="23" s="1"/>
  <c r="E7" i="23" s="1"/>
  <c r="F7" i="23" s="1"/>
  <c r="G7" i="23" s="1"/>
  <c r="H7" i="23" s="1"/>
  <c r="I7" i="23" s="1"/>
  <c r="J7" i="23" s="1"/>
  <c r="K7" i="23" s="1"/>
  <c r="B6" i="38"/>
  <c r="B6" i="23" s="1"/>
  <c r="C6" i="23" s="1"/>
  <c r="D6" i="23" s="1"/>
  <c r="E6" i="23" s="1"/>
  <c r="F6" i="23" s="1"/>
  <c r="G6" i="23" s="1"/>
  <c r="H6" i="23" s="1"/>
  <c r="I6" i="23" s="1"/>
  <c r="J6" i="23" s="1"/>
  <c r="K6" i="23" s="1"/>
  <c r="B5" i="38"/>
  <c r="B5" i="23" s="1"/>
  <c r="C5" i="23" s="1"/>
  <c r="D5" i="23" s="1"/>
  <c r="E5" i="23" s="1"/>
  <c r="F5" i="23" s="1"/>
  <c r="G5" i="23" s="1"/>
  <c r="H5" i="23" s="1"/>
  <c r="I5" i="23" s="1"/>
  <c r="J5" i="23" s="1"/>
  <c r="K5" i="23" s="1"/>
  <c r="B4" i="38"/>
  <c r="B4" i="23" s="1"/>
  <c r="C4" i="23" s="1"/>
  <c r="D4" i="23" s="1"/>
  <c r="E4" i="23" s="1"/>
  <c r="F4" i="23" s="1"/>
  <c r="G4" i="23" s="1"/>
  <c r="H4" i="23" s="1"/>
  <c r="I4" i="23" s="1"/>
  <c r="J4" i="23" s="1"/>
  <c r="K4" i="23" s="1"/>
  <c r="B3" i="38"/>
  <c r="B3" i="23" s="1"/>
  <c r="C3" i="23" s="1"/>
  <c r="D3" i="23" s="1"/>
  <c r="E3" i="23" s="1"/>
  <c r="F3" i="23" s="1"/>
  <c r="G3" i="23" s="1"/>
  <c r="H3" i="23" s="1"/>
  <c r="I3" i="23" s="1"/>
  <c r="J3" i="23" s="1"/>
  <c r="K3" i="23" s="1"/>
  <c r="B2" i="38"/>
  <c r="B2" i="23" s="1"/>
  <c r="C2" i="23" s="1"/>
  <c r="D2" i="23" s="1"/>
  <c r="E2" i="23" s="1"/>
  <c r="F2" i="23" s="1"/>
  <c r="G2" i="23" s="1"/>
  <c r="H2" i="23" s="1"/>
  <c r="I2" i="23" s="1"/>
  <c r="J2" i="23" s="1"/>
  <c r="K2" i="23" s="1"/>
  <c r="J54" i="18"/>
  <c r="K54" i="18"/>
  <c r="L54" i="18"/>
  <c r="M54" i="18"/>
  <c r="N54" i="18"/>
  <c r="O54" i="18"/>
  <c r="P54" i="18"/>
  <c r="Q54" i="18"/>
  <c r="R54" i="18"/>
  <c r="S54" i="18"/>
  <c r="I46" i="18"/>
  <c r="H46" i="18"/>
  <c r="E3" i="8"/>
  <c r="G78" i="8"/>
  <c r="G77" i="8"/>
  <c r="G76" i="8"/>
  <c r="G75" i="8"/>
  <c r="G74" i="8"/>
  <c r="G73" i="8"/>
  <c r="G72" i="8"/>
  <c r="G71" i="8"/>
  <c r="G70" i="8"/>
  <c r="G69" i="8"/>
  <c r="G68" i="8"/>
  <c r="G67" i="8"/>
  <c r="G66" i="8"/>
  <c r="G65" i="8"/>
  <c r="G64" i="8"/>
  <c r="G63" i="8"/>
  <c r="G62" i="8"/>
  <c r="G61" i="8"/>
  <c r="G60" i="8"/>
  <c r="G59" i="8"/>
  <c r="G58" i="8"/>
  <c r="G57" i="8"/>
  <c r="G56" i="8"/>
  <c r="G55" i="8"/>
  <c r="G54" i="8"/>
  <c r="G53" i="8"/>
  <c r="G52" i="8"/>
  <c r="G51" i="8"/>
  <c r="G50" i="8"/>
  <c r="G49" i="8"/>
  <c r="G48" i="8"/>
  <c r="G47" i="8"/>
  <c r="G46" i="8"/>
  <c r="G45" i="8"/>
  <c r="G44" i="8"/>
  <c r="G43" i="8"/>
  <c r="G42" i="8"/>
  <c r="G41" i="8"/>
  <c r="G40" i="8"/>
  <c r="G39" i="8"/>
  <c r="G38" i="8"/>
  <c r="G37" i="8"/>
  <c r="G36" i="8"/>
  <c r="G35" i="8"/>
  <c r="G34" i="8"/>
  <c r="G33" i="8"/>
  <c r="G32" i="8"/>
  <c r="G31" i="8"/>
  <c r="G30" i="8"/>
  <c r="G29" i="8"/>
  <c r="G28" i="8"/>
  <c r="G27" i="8"/>
  <c r="G26" i="8"/>
  <c r="G25" i="8"/>
  <c r="G24" i="8"/>
  <c r="G23" i="8"/>
  <c r="G22" i="8"/>
  <c r="G21" i="8"/>
  <c r="G20" i="8"/>
  <c r="G19" i="8"/>
  <c r="S4" i="2" s="1"/>
  <c r="Q4" i="2" s="1"/>
  <c r="G18" i="8"/>
  <c r="S3" i="2" s="1"/>
  <c r="G17" i="8"/>
  <c r="G16" i="8"/>
  <c r="G15" i="8"/>
  <c r="G14" i="8"/>
  <c r="G13" i="8"/>
  <c r="G12" i="8"/>
  <c r="G11" i="8"/>
  <c r="G10" i="8"/>
  <c r="G9" i="8"/>
  <c r="G8" i="8"/>
  <c r="G7" i="8"/>
  <c r="G6" i="8"/>
  <c r="G5" i="8"/>
  <c r="G4" i="8"/>
  <c r="G3" i="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C36" i="52" l="1"/>
  <c r="C37" i="52" s="1"/>
  <c r="D47" i="52"/>
  <c r="E43" i="52" s="1"/>
  <c r="D53" i="52"/>
  <c r="D54" i="52" s="1"/>
  <c r="D47" i="46"/>
  <c r="E43" i="46" s="1"/>
  <c r="E45" i="46" s="1"/>
  <c r="E46" i="46" s="1"/>
  <c r="E47" i="46" s="1"/>
  <c r="F43" i="46" s="1"/>
  <c r="D51" i="46"/>
  <c r="N4" i="2"/>
  <c r="AN7" i="49"/>
  <c r="AN8" i="49" s="1"/>
  <c r="AT7" i="49"/>
  <c r="AT8" i="49" s="1"/>
  <c r="AG7" i="49"/>
  <c r="AG8" i="49" s="1"/>
  <c r="AH7" i="49"/>
  <c r="AH8" i="49" s="1"/>
  <c r="AJ7" i="49"/>
  <c r="AJ8" i="49" s="1"/>
  <c r="AM7" i="49"/>
  <c r="AM8" i="49" s="1"/>
  <c r="AI7" i="49"/>
  <c r="AI8" i="49" s="1"/>
  <c r="AK7" i="49"/>
  <c r="AK8" i="49" s="1"/>
  <c r="AL7" i="49"/>
  <c r="AL8" i="49" s="1"/>
  <c r="AQ7" i="49"/>
  <c r="AQ8" i="49" s="1"/>
  <c r="AO7" i="49"/>
  <c r="AO8" i="49" s="1"/>
  <c r="AR7" i="49"/>
  <c r="AR8" i="49" s="1"/>
  <c r="F7" i="43"/>
  <c r="C4" i="43"/>
  <c r="E7" i="43" s="1"/>
  <c r="D6" i="45"/>
  <c r="R5" i="2"/>
  <c r="P5" i="2" s="1"/>
  <c r="E6" i="45"/>
  <c r="S5" i="2"/>
  <c r="Q5" i="2" s="1"/>
  <c r="O4" i="2"/>
  <c r="O96" i="8"/>
  <c r="P60" i="8"/>
  <c r="P100" i="8"/>
  <c r="O85" i="8"/>
  <c r="P101" i="8"/>
  <c r="P18" i="8"/>
  <c r="P84" i="8"/>
  <c r="O19" i="8"/>
  <c r="O37" i="8"/>
  <c r="O55" i="8"/>
  <c r="O73" i="8"/>
  <c r="O91" i="8"/>
  <c r="P7" i="8"/>
  <c r="P13" i="8"/>
  <c r="P19" i="8"/>
  <c r="P25" i="8"/>
  <c r="P31" i="8"/>
  <c r="P37" i="8"/>
  <c r="P43" i="8"/>
  <c r="P49" i="8"/>
  <c r="P55" i="8"/>
  <c r="P61" i="8"/>
  <c r="P67" i="8"/>
  <c r="P73" i="8"/>
  <c r="P79" i="8"/>
  <c r="P85" i="8"/>
  <c r="P91" i="8"/>
  <c r="P97" i="8"/>
  <c r="P42" i="8"/>
  <c r="O13" i="8"/>
  <c r="O31" i="8"/>
  <c r="O49" i="8"/>
  <c r="O67" i="8"/>
  <c r="O79" i="8"/>
  <c r="O97" i="8"/>
  <c r="O8" i="8"/>
  <c r="O14" i="8"/>
  <c r="O20" i="8"/>
  <c r="O26" i="8"/>
  <c r="O32" i="8"/>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Q27" i="8" s="1"/>
  <c r="O33" i="8"/>
  <c r="O39" i="8"/>
  <c r="O45" i="8"/>
  <c r="O51" i="8"/>
  <c r="O57" i="8"/>
  <c r="O63" i="8"/>
  <c r="O69" i="8"/>
  <c r="O75" i="8"/>
  <c r="O81" i="8"/>
  <c r="O87" i="8"/>
  <c r="O93" i="8"/>
  <c r="O99" i="8"/>
  <c r="F40" i="2"/>
  <c r="P48" i="8"/>
  <c r="P26" i="8"/>
  <c r="P44" i="8"/>
  <c r="P62" i="8"/>
  <c r="P74" i="8"/>
  <c r="Q74" i="8" s="1"/>
  <c r="P86" i="8"/>
  <c r="Q86" i="8" s="1"/>
  <c r="P98" i="8"/>
  <c r="P3" i="8"/>
  <c r="P9" i="8"/>
  <c r="P15" i="8"/>
  <c r="P21" i="8"/>
  <c r="P27" i="8"/>
  <c r="P33" i="8"/>
  <c r="P39" i="8"/>
  <c r="P45" i="8"/>
  <c r="P51" i="8"/>
  <c r="P57" i="8"/>
  <c r="P63" i="8"/>
  <c r="P69" i="8"/>
  <c r="P75" i="8"/>
  <c r="P81" i="8"/>
  <c r="P87" i="8"/>
  <c r="Q87" i="8" s="1"/>
  <c r="P93" i="8"/>
  <c r="P99" i="8"/>
  <c r="P54" i="8"/>
  <c r="O10" i="8"/>
  <c r="O34" i="8"/>
  <c r="O52" i="8"/>
  <c r="O70" i="8"/>
  <c r="Q70" i="8" s="1"/>
  <c r="O94" i="8"/>
  <c r="P36" i="8"/>
  <c r="O4" i="8"/>
  <c r="O22" i="8"/>
  <c r="O40" i="8"/>
  <c r="O46" i="8"/>
  <c r="O64" i="8"/>
  <c r="O76" i="8"/>
  <c r="O82" i="8"/>
  <c r="O88" i="8"/>
  <c r="O100" i="8"/>
  <c r="P4" i="8"/>
  <c r="P10" i="8"/>
  <c r="Q10" i="8" s="1"/>
  <c r="P16" i="8"/>
  <c r="P22" i="8"/>
  <c r="P28" i="8"/>
  <c r="P34" i="8"/>
  <c r="P40" i="8"/>
  <c r="P46" i="8"/>
  <c r="P52" i="8"/>
  <c r="P58" i="8"/>
  <c r="P64" i="8"/>
  <c r="P70" i="8"/>
  <c r="P76" i="8"/>
  <c r="P82" i="8"/>
  <c r="Q82" i="8" s="1"/>
  <c r="P88" i="8"/>
  <c r="Q88" i="8" s="1"/>
  <c r="P94" i="8"/>
  <c r="P30" i="8"/>
  <c r="P90" i="8"/>
  <c r="O16" i="8"/>
  <c r="O28" i="8"/>
  <c r="O58" i="8"/>
  <c r="O5" i="8"/>
  <c r="O11" i="8"/>
  <c r="O17" i="8"/>
  <c r="O23" i="8"/>
  <c r="O29" i="8"/>
  <c r="O35" i="8"/>
  <c r="O41" i="8"/>
  <c r="O47" i="8"/>
  <c r="O53" i="8"/>
  <c r="O59" i="8"/>
  <c r="O65" i="8"/>
  <c r="O71" i="8"/>
  <c r="O77" i="8"/>
  <c r="O83" i="8"/>
  <c r="O89" i="8"/>
  <c r="O95" i="8"/>
  <c r="O101" i="8"/>
  <c r="P66" i="8"/>
  <c r="P20" i="8"/>
  <c r="Q20" i="8" s="1"/>
  <c r="P5" i="8"/>
  <c r="P11" i="8"/>
  <c r="Q11" i="8" s="1"/>
  <c r="P17" i="8"/>
  <c r="P23" i="8"/>
  <c r="P29" i="8"/>
  <c r="Q29" i="8" s="1"/>
  <c r="P35" i="8"/>
  <c r="P41" i="8"/>
  <c r="P47" i="8"/>
  <c r="Q47" i="8" s="1"/>
  <c r="P53" i="8"/>
  <c r="P59" i="8"/>
  <c r="P65" i="8"/>
  <c r="Q65" i="8" s="1"/>
  <c r="P71" i="8"/>
  <c r="P77" i="8"/>
  <c r="P83" i="8"/>
  <c r="Q83" i="8" s="1"/>
  <c r="P89" i="8"/>
  <c r="P95" i="8"/>
  <c r="P24" i="8"/>
  <c r="P96" i="8"/>
  <c r="O6" i="8"/>
  <c r="Q6" i="8" s="1"/>
  <c r="O12" i="8"/>
  <c r="O18" i="8"/>
  <c r="O24" i="8"/>
  <c r="O30" i="8"/>
  <c r="O36" i="8"/>
  <c r="Q36" i="8" s="1"/>
  <c r="O42" i="8"/>
  <c r="O48" i="8"/>
  <c r="O54" i="8"/>
  <c r="O60" i="8"/>
  <c r="O66" i="8"/>
  <c r="O72" i="8"/>
  <c r="O78" i="8"/>
  <c r="O84" i="8"/>
  <c r="Q84" i="8" s="1"/>
  <c r="O90" i="8"/>
  <c r="O7" i="8"/>
  <c r="O25" i="8"/>
  <c r="O43" i="8"/>
  <c r="O61" i="8"/>
  <c r="F48" i="2"/>
  <c r="F41" i="2"/>
  <c r="F37" i="2"/>
  <c r="F45" i="2"/>
  <c r="F38" i="2"/>
  <c r="F46" i="2"/>
  <c r="F39" i="2"/>
  <c r="F47" i="2"/>
  <c r="F33" i="2"/>
  <c r="F34" i="2"/>
  <c r="F42" i="2"/>
  <c r="F35" i="2"/>
  <c r="F43" i="2"/>
  <c r="F36" i="2"/>
  <c r="F44" i="2"/>
  <c r="Q8" i="8"/>
  <c r="C38" i="52" l="1"/>
  <c r="D34" i="52" s="1"/>
  <c r="D36" i="52" s="1"/>
  <c r="D37" i="52" s="1"/>
  <c r="D55" i="52"/>
  <c r="E51" i="52" s="1"/>
  <c r="E45" i="52"/>
  <c r="E46" i="52" s="1"/>
  <c r="D53" i="46"/>
  <c r="D54" i="46" s="1"/>
  <c r="F45" i="46"/>
  <c r="F46" i="46" s="1"/>
  <c r="Q23" i="8"/>
  <c r="Q57" i="8"/>
  <c r="Q7" i="8"/>
  <c r="Q78" i="8"/>
  <c r="Q30" i="8"/>
  <c r="Q31" i="8"/>
  <c r="Q95" i="8"/>
  <c r="Q43" i="8"/>
  <c r="Q50" i="8"/>
  <c r="Q63" i="8"/>
  <c r="Q15" i="8"/>
  <c r="Q26" i="8"/>
  <c r="Q73" i="8"/>
  <c r="Q60" i="8"/>
  <c r="Q80" i="8"/>
  <c r="Q12" i="8"/>
  <c r="Q100" i="8"/>
  <c r="Q54" i="8"/>
  <c r="Q81" i="8"/>
  <c r="Q4" i="8"/>
  <c r="T4" i="8" s="1"/>
  <c r="Q41" i="8"/>
  <c r="T5" i="8" s="1"/>
  <c r="Q75" i="8"/>
  <c r="Q18" i="8"/>
  <c r="Q46" i="8"/>
  <c r="Q37" i="8"/>
  <c r="Q52" i="8"/>
  <c r="Q45" i="8"/>
  <c r="Q33" i="8"/>
  <c r="Q89" i="8"/>
  <c r="Q62" i="8"/>
  <c r="Q71" i="8"/>
  <c r="Q58" i="8"/>
  <c r="Q39" i="8"/>
  <c r="Q67" i="8"/>
  <c r="N5" i="2"/>
  <c r="Q72" i="8"/>
  <c r="Q96" i="8"/>
  <c r="Q35" i="8"/>
  <c r="O5" i="2"/>
  <c r="Q66" i="8"/>
  <c r="Q79" i="8"/>
  <c r="Q69" i="8"/>
  <c r="Q16" i="8"/>
  <c r="E7" i="45"/>
  <c r="S6" i="2"/>
  <c r="Q6" i="2" s="1"/>
  <c r="Q34" i="8"/>
  <c r="Q42" i="8"/>
  <c r="Q77" i="8"/>
  <c r="Q5" i="8"/>
  <c r="Q3" i="8"/>
  <c r="Q13" i="8"/>
  <c r="D7" i="45"/>
  <c r="R6" i="2"/>
  <c r="P6" i="2" s="1"/>
  <c r="Q32" i="8"/>
  <c r="Q19" i="8"/>
  <c r="Q53" i="8"/>
  <c r="Q90" i="8"/>
  <c r="Q93" i="8"/>
  <c r="Q99" i="8"/>
  <c r="Q55" i="8"/>
  <c r="Q14" i="8"/>
  <c r="Q64" i="8"/>
  <c r="Q94" i="8"/>
  <c r="Q44" i="8"/>
  <c r="Q98" i="8"/>
  <c r="Q48" i="8"/>
  <c r="Q40" i="8"/>
  <c r="Q68" i="8"/>
  <c r="Q61" i="8"/>
  <c r="T7" i="8" s="1"/>
  <c r="Q28" i="8"/>
  <c r="Q22" i="8"/>
  <c r="Q9" i="8"/>
  <c r="Q59" i="8"/>
  <c r="Q21" i="8"/>
  <c r="Q97" i="8"/>
  <c r="Q91" i="8"/>
  <c r="Q85" i="8"/>
  <c r="Q17" i="8"/>
  <c r="Q76" i="8"/>
  <c r="Q51" i="8"/>
  <c r="Q24" i="8"/>
  <c r="Q101" i="8"/>
  <c r="T3" i="8"/>
  <c r="D3" i="8" s="1"/>
  <c r="Q49" i="8"/>
  <c r="Q25" i="8"/>
  <c r="T10" i="8"/>
  <c r="T11" i="8"/>
  <c r="D38" i="52" l="1"/>
  <c r="E34" i="52" s="1"/>
  <c r="E36" i="52" s="1"/>
  <c r="E37" i="52" s="1"/>
  <c r="E47" i="52"/>
  <c r="F43" i="52" s="1"/>
  <c r="E53" i="52"/>
  <c r="E54" i="52" s="1"/>
  <c r="D55" i="46"/>
  <c r="E51" i="46" s="1"/>
  <c r="E53" i="46" s="1"/>
  <c r="E54" i="46" s="1"/>
  <c r="F47" i="46"/>
  <c r="G43" i="46" s="1"/>
  <c r="T6" i="8"/>
  <c r="D20" i="8" s="1"/>
  <c r="T8" i="8"/>
  <c r="D32" i="8" s="1"/>
  <c r="T9" i="8"/>
  <c r="D37" i="8" s="1"/>
  <c r="N6" i="2"/>
  <c r="E8" i="45"/>
  <c r="S7" i="2"/>
  <c r="Q7" i="2" s="1"/>
  <c r="D8" i="45"/>
  <c r="R7" i="2"/>
  <c r="P7" i="2" s="1"/>
  <c r="O6" i="2"/>
  <c r="O7" i="2" s="1"/>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35" i="8"/>
  <c r="D36" i="8"/>
  <c r="D48" i="8"/>
  <c r="D47" i="8"/>
  <c r="D46" i="8"/>
  <c r="D45" i="8"/>
  <c r="D44" i="8"/>
  <c r="D43" i="8"/>
  <c r="D8" i="8"/>
  <c r="D12" i="8"/>
  <c r="D11" i="8"/>
  <c r="D10" i="8"/>
  <c r="D9" i="8"/>
  <c r="D40" i="8"/>
  <c r="D39" i="8"/>
  <c r="D38" i="8"/>
  <c r="D42" i="8"/>
  <c r="D41" i="8"/>
  <c r="D7" i="8"/>
  <c r="D6" i="8"/>
  <c r="D5" i="8"/>
  <c r="D4" i="8"/>
  <c r="E4" i="8" s="1"/>
  <c r="D22" i="8"/>
  <c r="D21" i="8"/>
  <c r="D19" i="8"/>
  <c r="D18" i="8"/>
  <c r="D16" i="8"/>
  <c r="D15" i="8"/>
  <c r="D14" i="8"/>
  <c r="D13" i="8"/>
  <c r="D17" i="8"/>
  <c r="D24" i="8"/>
  <c r="D23" i="8"/>
  <c r="D27" i="8"/>
  <c r="D26" i="8"/>
  <c r="D25" i="8"/>
  <c r="E38" i="52" l="1"/>
  <c r="F34" i="52" s="1"/>
  <c r="F36" i="52"/>
  <c r="F37" i="52" s="1"/>
  <c r="E55" i="52"/>
  <c r="F51" i="52" s="1"/>
  <c r="F45" i="52"/>
  <c r="F46" i="52" s="1"/>
  <c r="E55" i="46"/>
  <c r="F51" i="46" s="1"/>
  <c r="F53" i="46" s="1"/>
  <c r="F54" i="46" s="1"/>
  <c r="G45" i="46"/>
  <c r="G46" i="46" s="1"/>
  <c r="D31" i="8"/>
  <c r="D28" i="8"/>
  <c r="D30" i="8"/>
  <c r="D33" i="8"/>
  <c r="D34" i="8"/>
  <c r="D29" i="8"/>
  <c r="D9" i="45"/>
  <c r="R8" i="2"/>
  <c r="P8" i="2" s="1"/>
  <c r="E9" i="45"/>
  <c r="S8" i="2"/>
  <c r="Q8" i="2" s="1"/>
  <c r="N7" i="2"/>
  <c r="E5" i="8"/>
  <c r="F38" i="52" l="1"/>
  <c r="G34" i="52" s="1"/>
  <c r="G36" i="52" s="1"/>
  <c r="G37" i="52" s="1"/>
  <c r="F47" i="52"/>
  <c r="G43" i="52" s="1"/>
  <c r="F53" i="52"/>
  <c r="F54" i="52" s="1"/>
  <c r="F55" i="46"/>
  <c r="G51" i="46" s="1"/>
  <c r="G47" i="46"/>
  <c r="H43" i="46" s="1"/>
  <c r="N8" i="2"/>
  <c r="E10" i="45"/>
  <c r="S9" i="2"/>
  <c r="Q9" i="2" s="1"/>
  <c r="D10" i="45"/>
  <c r="R9" i="2"/>
  <c r="P9" i="2" s="1"/>
  <c r="O8" i="2"/>
  <c r="E6" i="8"/>
  <c r="E7" i="8" s="1"/>
  <c r="G38" i="52" l="1"/>
  <c r="H34" i="52" s="1"/>
  <c r="F55" i="52"/>
  <c r="G51" i="52" s="1"/>
  <c r="G45" i="52"/>
  <c r="G46" i="52" s="1"/>
  <c r="H45" i="46"/>
  <c r="H46" i="46" s="1"/>
  <c r="G53" i="46"/>
  <c r="G54" i="46" s="1"/>
  <c r="D11" i="45"/>
  <c r="R10" i="2"/>
  <c r="P10" i="2" s="1"/>
  <c r="E11" i="45"/>
  <c r="S10" i="2"/>
  <c r="Q10" i="2" s="1"/>
  <c r="N9" i="2"/>
  <c r="O9" i="2"/>
  <c r="E8" i="8"/>
  <c r="E9" i="8" s="1"/>
  <c r="H36" i="52" l="1"/>
  <c r="H37" i="52" s="1"/>
  <c r="G47" i="52"/>
  <c r="H43" i="52" s="1"/>
  <c r="G53" i="52"/>
  <c r="G54" i="52" s="1"/>
  <c r="G55" i="46"/>
  <c r="H51" i="46" s="1"/>
  <c r="H47" i="46"/>
  <c r="I43" i="46" s="1"/>
  <c r="O10" i="2"/>
  <c r="N10" i="2"/>
  <c r="E12" i="45"/>
  <c r="S11" i="2"/>
  <c r="Q11" i="2" s="1"/>
  <c r="D12" i="45"/>
  <c r="R11" i="2"/>
  <c r="P11" i="2" s="1"/>
  <c r="E10" i="8"/>
  <c r="E11" i="8" s="1"/>
  <c r="H38" i="52" l="1"/>
  <c r="I34" i="52" s="1"/>
  <c r="I36" i="52" s="1"/>
  <c r="I37" i="52" s="1"/>
  <c r="G55" i="52"/>
  <c r="H51" i="52" s="1"/>
  <c r="H45" i="52"/>
  <c r="H46" i="52" s="1"/>
  <c r="I45" i="46"/>
  <c r="I46" i="46" s="1"/>
  <c r="H53" i="46"/>
  <c r="H54" i="46" s="1"/>
  <c r="D13" i="45"/>
  <c r="R12" i="2"/>
  <c r="P12" i="2" s="1"/>
  <c r="O11" i="2"/>
  <c r="E13" i="45"/>
  <c r="S12" i="2"/>
  <c r="Q12" i="2" s="1"/>
  <c r="N11" i="2"/>
  <c r="E12" i="8"/>
  <c r="H53" i="52" l="1"/>
  <c r="H54" i="52" s="1"/>
  <c r="H47" i="52"/>
  <c r="I43" i="52" s="1"/>
  <c r="I38" i="52"/>
  <c r="J34" i="52" s="1"/>
  <c r="H55" i="46"/>
  <c r="I51" i="46" s="1"/>
  <c r="I53" i="46"/>
  <c r="I54" i="46" s="1"/>
  <c r="I47" i="46"/>
  <c r="J43" i="46" s="1"/>
  <c r="N12" i="2"/>
  <c r="E14" i="45"/>
  <c r="S13" i="2"/>
  <c r="Q13" i="2" s="1"/>
  <c r="D14" i="45"/>
  <c r="R13" i="2"/>
  <c r="P13" i="2" s="1"/>
  <c r="O12" i="2"/>
  <c r="E13" i="8"/>
  <c r="H55" i="52" l="1"/>
  <c r="I51" i="52" s="1"/>
  <c r="I53" i="52" s="1"/>
  <c r="I54" i="52" s="1"/>
  <c r="J36" i="52"/>
  <c r="J37" i="52" s="1"/>
  <c r="I45" i="52"/>
  <c r="I46" i="52" s="1"/>
  <c r="I55" i="46"/>
  <c r="J51" i="46" s="1"/>
  <c r="J45" i="46"/>
  <c r="J46" i="46" s="1"/>
  <c r="O13" i="2"/>
  <c r="E15" i="45"/>
  <c r="S14" i="2"/>
  <c r="Q14" i="2" s="1"/>
  <c r="N13" i="2"/>
  <c r="D15" i="45"/>
  <c r="R14" i="2"/>
  <c r="P14" i="2" s="1"/>
  <c r="E14" i="8"/>
  <c r="I47" i="52" l="1"/>
  <c r="J43" i="52" s="1"/>
  <c r="J38" i="52"/>
  <c r="K34" i="52" s="1"/>
  <c r="I55" i="52"/>
  <c r="J51" i="52" s="1"/>
  <c r="J47" i="46"/>
  <c r="K43" i="46" s="1"/>
  <c r="K45" i="46" s="1"/>
  <c r="J53" i="46"/>
  <c r="J54" i="46" s="1"/>
  <c r="O14" i="2"/>
  <c r="E16" i="45"/>
  <c r="S15" i="2"/>
  <c r="Q15" i="2" s="1"/>
  <c r="D16" i="45"/>
  <c r="R15" i="2"/>
  <c r="P15" i="2" s="1"/>
  <c r="N14" i="2"/>
  <c r="E15" i="8"/>
  <c r="E16" i="8" s="1"/>
  <c r="J53" i="52" l="1"/>
  <c r="J54" i="52" s="1"/>
  <c r="K36" i="52"/>
  <c r="K37" i="52" s="1"/>
  <c r="J45" i="52"/>
  <c r="J46" i="52" s="1"/>
  <c r="K46" i="46"/>
  <c r="K47" i="46" s="1"/>
  <c r="L43" i="46" s="1"/>
  <c r="L45" i="46" s="1"/>
  <c r="L46" i="46" s="1"/>
  <c r="J55" i="46"/>
  <c r="N15" i="2"/>
  <c r="O15" i="2"/>
  <c r="D17" i="45"/>
  <c r="R16" i="2"/>
  <c r="P16" i="2" s="1"/>
  <c r="E17" i="45"/>
  <c r="S16" i="2"/>
  <c r="Q16" i="2" s="1"/>
  <c r="E17" i="8"/>
  <c r="E18" i="8" s="1"/>
  <c r="J47" i="52" l="1"/>
  <c r="K43" i="52" s="1"/>
  <c r="K38" i="52"/>
  <c r="L34" i="52" s="1"/>
  <c r="J55" i="52"/>
  <c r="K51" i="52" s="1"/>
  <c r="K51" i="46"/>
  <c r="K53" i="46" s="1"/>
  <c r="K54" i="46" s="1"/>
  <c r="K55" i="46" s="1"/>
  <c r="L47" i="46"/>
  <c r="M43" i="46" s="1"/>
  <c r="D18" i="45"/>
  <c r="R17" i="2"/>
  <c r="P17" i="2" s="1"/>
  <c r="O16" i="2"/>
  <c r="E18" i="45"/>
  <c r="S17" i="2"/>
  <c r="Q17" i="2" s="1"/>
  <c r="N16" i="2"/>
  <c r="E19" i="8"/>
  <c r="K53" i="52" l="1"/>
  <c r="K54" i="52" s="1"/>
  <c r="L36" i="52"/>
  <c r="L37" i="52" s="1"/>
  <c r="K45" i="52"/>
  <c r="K46" i="52" s="1"/>
  <c r="L51" i="46"/>
  <c r="M45" i="46"/>
  <c r="M46" i="46" s="1"/>
  <c r="E19" i="45"/>
  <c r="S18" i="2"/>
  <c r="Q18" i="2" s="1"/>
  <c r="O17" i="2"/>
  <c r="D19" i="45"/>
  <c r="R18" i="2"/>
  <c r="P18" i="2" s="1"/>
  <c r="N17" i="2"/>
  <c r="N18" i="2" s="1"/>
  <c r="E20" i="8"/>
  <c r="L38" i="52" l="1"/>
  <c r="M34" i="52" s="1"/>
  <c r="M36" i="52" s="1"/>
  <c r="M37" i="52" s="1"/>
  <c r="K47" i="52"/>
  <c r="L43" i="52" s="1"/>
  <c r="K55" i="52"/>
  <c r="L51" i="52" s="1"/>
  <c r="L53" i="46"/>
  <c r="L54" i="46" s="1"/>
  <c r="L55" i="46" s="1"/>
  <c r="M51" i="46" s="1"/>
  <c r="M47" i="46"/>
  <c r="N43" i="46" s="1"/>
  <c r="D20" i="45"/>
  <c r="R19" i="2"/>
  <c r="P19" i="2" s="1"/>
  <c r="O18" i="2"/>
  <c r="E20" i="45"/>
  <c r="S19" i="2"/>
  <c r="Q19" i="2" s="1"/>
  <c r="E21" i="8"/>
  <c r="M38" i="52" l="1"/>
  <c r="N34" i="52" s="1"/>
  <c r="L53" i="52"/>
  <c r="L54" i="52" s="1"/>
  <c r="L45" i="52"/>
  <c r="L46" i="52" s="1"/>
  <c r="M53" i="46"/>
  <c r="M54" i="46" s="1"/>
  <c r="N45" i="46"/>
  <c r="N46" i="46" s="1"/>
  <c r="O19" i="2"/>
  <c r="E21" i="45"/>
  <c r="S20" i="2"/>
  <c r="Q20" i="2" s="1"/>
  <c r="D21" i="45"/>
  <c r="R20" i="2"/>
  <c r="P20" i="2" s="1"/>
  <c r="N19" i="2"/>
  <c r="E22" i="8"/>
  <c r="E23" i="8" s="1"/>
  <c r="N36" i="52" l="1"/>
  <c r="N37" i="52" s="1"/>
  <c r="L47" i="52"/>
  <c r="M43" i="52" s="1"/>
  <c r="L55" i="52"/>
  <c r="M51" i="52" s="1"/>
  <c r="M55" i="46"/>
  <c r="N51" i="46" s="1"/>
  <c r="N47" i="46"/>
  <c r="O43" i="46" s="1"/>
  <c r="N20" i="2"/>
  <c r="O20" i="2"/>
  <c r="D22" i="45"/>
  <c r="R21" i="2"/>
  <c r="P21" i="2" s="1"/>
  <c r="E22" i="45"/>
  <c r="S21" i="2"/>
  <c r="Q21" i="2" s="1"/>
  <c r="E24" i="8"/>
  <c r="E25" i="8" s="1"/>
  <c r="M53" i="52" l="1"/>
  <c r="M54" i="52" s="1"/>
  <c r="M45" i="52"/>
  <c r="M46" i="52" s="1"/>
  <c r="N38" i="52"/>
  <c r="O34" i="52" s="1"/>
  <c r="N53" i="46"/>
  <c r="N54" i="46" s="1"/>
  <c r="O45" i="46"/>
  <c r="O46" i="46" s="1"/>
  <c r="N21" i="2"/>
  <c r="E23" i="45"/>
  <c r="S22" i="2"/>
  <c r="Q22" i="2" s="1"/>
  <c r="O21" i="2"/>
  <c r="D23" i="45"/>
  <c r="R22" i="2"/>
  <c r="P22" i="2" s="1"/>
  <c r="E26" i="8"/>
  <c r="M47" i="52" l="1"/>
  <c r="N43" i="52" s="1"/>
  <c r="N45" i="52" s="1"/>
  <c r="N46" i="52" s="1"/>
  <c r="O36" i="52"/>
  <c r="O37" i="52" s="1"/>
  <c r="M55" i="52"/>
  <c r="N51" i="52" s="1"/>
  <c r="O47" i="46"/>
  <c r="P43" i="46" s="1"/>
  <c r="P45" i="46" s="1"/>
  <c r="P46" i="46" s="1"/>
  <c r="N55" i="46"/>
  <c r="O51" i="46" s="1"/>
  <c r="O22" i="2"/>
  <c r="N22" i="2"/>
  <c r="D24" i="45"/>
  <c r="R23" i="2"/>
  <c r="P23" i="2" s="1"/>
  <c r="E24" i="45"/>
  <c r="S23" i="2"/>
  <c r="E27" i="8"/>
  <c r="E28" i="8" s="1"/>
  <c r="N53" i="52" l="1"/>
  <c r="N54" i="52" s="1"/>
  <c r="O38" i="52"/>
  <c r="P34" i="52" s="1"/>
  <c r="N47" i="52"/>
  <c r="O43" i="52" s="1"/>
  <c r="O53" i="46"/>
  <c r="O54" i="46" s="1"/>
  <c r="P47" i="46"/>
  <c r="Q43" i="46" s="1"/>
  <c r="O23" i="2"/>
  <c r="D25" i="45"/>
  <c r="R24" i="2"/>
  <c r="P24" i="2" s="1"/>
  <c r="N23" i="2"/>
  <c r="Q23" i="2"/>
  <c r="E25" i="45"/>
  <c r="S24" i="2"/>
  <c r="O24" i="2" s="1"/>
  <c r="E29" i="8"/>
  <c r="E30" i="8" s="1"/>
  <c r="O45" i="52" l="1"/>
  <c r="O46" i="52" s="1"/>
  <c r="P36" i="52"/>
  <c r="P37" i="52" s="1"/>
  <c r="N55" i="52"/>
  <c r="O51" i="52" s="1"/>
  <c r="O55" i="46"/>
  <c r="P51" i="46"/>
  <c r="Q45" i="46"/>
  <c r="Q46" i="46" s="1"/>
  <c r="N24" i="2"/>
  <c r="Q24" i="2"/>
  <c r="D26" i="45"/>
  <c r="R25" i="2"/>
  <c r="P25" i="2" s="1"/>
  <c r="E26" i="45"/>
  <c r="S25" i="2"/>
  <c r="O25" i="2" s="1"/>
  <c r="E31" i="8"/>
  <c r="E32" i="8" s="1"/>
  <c r="E33" i="8" s="1"/>
  <c r="O47" i="52" l="1"/>
  <c r="P43" i="52" s="1"/>
  <c r="P45" i="52" s="1"/>
  <c r="P46" i="52" s="1"/>
  <c r="P38" i="52"/>
  <c r="Q34" i="52" s="1"/>
  <c r="Q36" i="52" s="1"/>
  <c r="Q37" i="52" s="1"/>
  <c r="O53" i="52"/>
  <c r="O54" i="52" s="1"/>
  <c r="P53" i="46"/>
  <c r="P54" i="46" s="1"/>
  <c r="Q47" i="46"/>
  <c r="R43" i="46" s="1"/>
  <c r="D27" i="45"/>
  <c r="R26" i="2"/>
  <c r="P26" i="2" s="1"/>
  <c r="N25" i="2"/>
  <c r="E27" i="45"/>
  <c r="S26" i="2"/>
  <c r="O26" i="2" s="1"/>
  <c r="Q25" i="2"/>
  <c r="E34" i="8"/>
  <c r="E35" i="8" s="1"/>
  <c r="P47" i="52" l="1"/>
  <c r="Q43" i="52" s="1"/>
  <c r="O55" i="52"/>
  <c r="P51" i="52" s="1"/>
  <c r="Q38" i="52"/>
  <c r="R34" i="52" s="1"/>
  <c r="P55" i="46"/>
  <c r="Q51" i="46" s="1"/>
  <c r="R45" i="46"/>
  <c r="R46" i="46" s="1"/>
  <c r="R47" i="46" s="1"/>
  <c r="S43" i="46" s="1"/>
  <c r="S45" i="46" s="1"/>
  <c r="S46" i="46" s="1"/>
  <c r="Q26" i="2"/>
  <c r="N26" i="2"/>
  <c r="E28" i="45"/>
  <c r="S27" i="2"/>
  <c r="O27" i="2" s="1"/>
  <c r="D28" i="45"/>
  <c r="R27" i="2"/>
  <c r="P27" i="2" s="1"/>
  <c r="E36" i="8"/>
  <c r="R36" i="52" l="1"/>
  <c r="R37" i="52" s="1"/>
  <c r="P53" i="52"/>
  <c r="P54" i="52" s="1"/>
  <c r="Q45" i="52"/>
  <c r="Q46" i="52" s="1"/>
  <c r="Q53" i="46"/>
  <c r="Q54" i="46" s="1"/>
  <c r="S47" i="46"/>
  <c r="T43" i="46" s="1"/>
  <c r="T45" i="46" s="1"/>
  <c r="T46" i="46" s="1"/>
  <c r="E29" i="45"/>
  <c r="S28" i="2"/>
  <c r="O28" i="2" s="1"/>
  <c r="N27" i="2"/>
  <c r="D29" i="45"/>
  <c r="R28" i="2"/>
  <c r="P28" i="2" s="1"/>
  <c r="Q27" i="2"/>
  <c r="E37" i="8"/>
  <c r="Q47" i="52" l="1"/>
  <c r="R43" i="52" s="1"/>
  <c r="P55" i="52"/>
  <c r="Q51" i="52" s="1"/>
  <c r="R38" i="52"/>
  <c r="S34" i="52" s="1"/>
  <c r="Q55" i="46"/>
  <c r="R51" i="46" s="1"/>
  <c r="T47" i="46"/>
  <c r="U43" i="46" s="1"/>
  <c r="Q28" i="2"/>
  <c r="N28" i="2"/>
  <c r="D30" i="45"/>
  <c r="R29" i="2"/>
  <c r="P29" i="2" s="1"/>
  <c r="E30" i="45"/>
  <c r="S29" i="2"/>
  <c r="Q29" i="2" s="1"/>
  <c r="E38" i="8"/>
  <c r="Q53" i="52" l="1"/>
  <c r="Q54" i="52" s="1"/>
  <c r="S36" i="52"/>
  <c r="S37" i="52" s="1"/>
  <c r="R45" i="52"/>
  <c r="R46" i="52" s="1"/>
  <c r="R53" i="46"/>
  <c r="R54" i="46" s="1"/>
  <c r="U45" i="46"/>
  <c r="U46" i="46" s="1"/>
  <c r="N29" i="2"/>
  <c r="E31" i="45"/>
  <c r="S30" i="2"/>
  <c r="Q30" i="2" s="1"/>
  <c r="D31" i="45"/>
  <c r="R30" i="2"/>
  <c r="P30" i="2" s="1"/>
  <c r="O29" i="2"/>
  <c r="E39" i="8"/>
  <c r="R47" i="52" l="1"/>
  <c r="S43" i="52" s="1"/>
  <c r="S45" i="52" s="1"/>
  <c r="S46" i="52" s="1"/>
  <c r="S38" i="52"/>
  <c r="T34" i="52" s="1"/>
  <c r="Q55" i="52"/>
  <c r="R51" i="52" s="1"/>
  <c r="R55" i="46"/>
  <c r="S51" i="46" s="1"/>
  <c r="S53" i="46" s="1"/>
  <c r="U47" i="46"/>
  <c r="V43" i="46" s="1"/>
  <c r="V45" i="46" s="1"/>
  <c r="O30" i="2"/>
  <c r="D32" i="45"/>
  <c r="R31" i="2"/>
  <c r="P31" i="2" s="1"/>
  <c r="E32" i="45"/>
  <c r="S31" i="2"/>
  <c r="Q31" i="2" s="1"/>
  <c r="N30" i="2"/>
  <c r="E40" i="8"/>
  <c r="R53" i="52" l="1"/>
  <c r="R54" i="52" s="1"/>
  <c r="S47" i="52"/>
  <c r="T43" i="52" s="1"/>
  <c r="T36" i="52"/>
  <c r="T37" i="52" s="1"/>
  <c r="S54" i="46"/>
  <c r="S55" i="46" s="1"/>
  <c r="T51" i="46" s="1"/>
  <c r="V46" i="46"/>
  <c r="V47" i="46" s="1"/>
  <c r="W43" i="46" s="1"/>
  <c r="W45" i="46" s="1"/>
  <c r="W46" i="46" s="1"/>
  <c r="N31" i="2"/>
  <c r="O31" i="2"/>
  <c r="D33" i="45"/>
  <c r="R32" i="2"/>
  <c r="P32" i="2" s="1"/>
  <c r="E33" i="45"/>
  <c r="S32" i="2"/>
  <c r="Q32" i="2" s="1"/>
  <c r="E41" i="8"/>
  <c r="T38" i="52" l="1"/>
  <c r="U34" i="52" s="1"/>
  <c r="T45" i="52"/>
  <c r="T46" i="52" s="1"/>
  <c r="R55" i="52"/>
  <c r="S51" i="52" s="1"/>
  <c r="T53" i="46"/>
  <c r="T54" i="46" s="1"/>
  <c r="W47" i="46"/>
  <c r="X43" i="46" s="1"/>
  <c r="E34" i="45"/>
  <c r="Q33" i="2"/>
  <c r="O33" i="2"/>
  <c r="S33" i="2"/>
  <c r="D34" i="45"/>
  <c r="R33" i="2"/>
  <c r="P33" i="2" s="1"/>
  <c r="N32" i="2"/>
  <c r="O32" i="2"/>
  <c r="E2" i="48" s="1" a="1"/>
  <c r="E2" i="48" s="1"/>
  <c r="E3" i="48" s="1"/>
  <c r="E42" i="8"/>
  <c r="T47" i="52" l="1"/>
  <c r="U43" i="52" s="1"/>
  <c r="S53" i="52"/>
  <c r="S54" i="52" s="1"/>
  <c r="U36" i="52"/>
  <c r="U37" i="52" s="1"/>
  <c r="T55" i="46"/>
  <c r="U51" i="46" s="1"/>
  <c r="U53" i="46" s="1"/>
  <c r="U54" i="46" s="1"/>
  <c r="X45" i="46"/>
  <c r="X46" i="46" s="1"/>
  <c r="N33" i="2"/>
  <c r="AE3" i="48"/>
  <c r="B2" i="49" a="1"/>
  <c r="D35" i="45"/>
  <c r="R34" i="2"/>
  <c r="P34" i="2" s="1"/>
  <c r="E35" i="45"/>
  <c r="O34" i="2"/>
  <c r="Q34" i="2"/>
  <c r="S34" i="2"/>
  <c r="E43" i="8"/>
  <c r="U38" i="52" l="1"/>
  <c r="V34" i="52" s="1"/>
  <c r="V36" i="52" s="1"/>
  <c r="V37" i="52" s="1"/>
  <c r="S55" i="52"/>
  <c r="T51" i="52" s="1"/>
  <c r="U45" i="52"/>
  <c r="U46" i="52" s="1"/>
  <c r="U55" i="46"/>
  <c r="V51" i="46" s="1"/>
  <c r="V53" i="46" s="1"/>
  <c r="V54" i="46" s="1"/>
  <c r="X47" i="46"/>
  <c r="Y43" i="46" s="1"/>
  <c r="M3" i="48"/>
  <c r="S3" i="48"/>
  <c r="K3" i="48"/>
  <c r="AF3" i="48"/>
  <c r="AD3" i="48"/>
  <c r="H3" i="48"/>
  <c r="Z3" i="48"/>
  <c r="L3" i="48"/>
  <c r="N3" i="48"/>
  <c r="R3" i="48"/>
  <c r="O3" i="48"/>
  <c r="P3" i="48"/>
  <c r="U3" i="48"/>
  <c r="AA3" i="48"/>
  <c r="V3" i="48"/>
  <c r="W3" i="48"/>
  <c r="AB3" i="48"/>
  <c r="AG3" i="48"/>
  <c r="Y3" i="48"/>
  <c r="T3" i="48"/>
  <c r="AH3" i="48"/>
  <c r="Q3" i="48"/>
  <c r="I3" i="48"/>
  <c r="X3" i="48"/>
  <c r="AC3" i="48"/>
  <c r="J3" i="48"/>
  <c r="F3" i="48"/>
  <c r="G3" i="48"/>
  <c r="B2" i="49"/>
  <c r="L4" i="49"/>
  <c r="H4" i="49"/>
  <c r="T4" i="49"/>
  <c r="D4" i="49"/>
  <c r="F4" i="49"/>
  <c r="AA4" i="49"/>
  <c r="J4" i="49"/>
  <c r="V4" i="49"/>
  <c r="P4" i="49"/>
  <c r="C4" i="49"/>
  <c r="Q4" i="49"/>
  <c r="R4" i="49"/>
  <c r="Y4" i="49"/>
  <c r="E4" i="49"/>
  <c r="S4" i="49"/>
  <c r="AE4" i="49"/>
  <c r="O4" i="49"/>
  <c r="W4" i="49"/>
  <c r="G4" i="49"/>
  <c r="X4" i="49"/>
  <c r="I4" i="49"/>
  <c r="AB4" i="49"/>
  <c r="AD4" i="49"/>
  <c r="U4" i="49"/>
  <c r="K4" i="49"/>
  <c r="AC4" i="49"/>
  <c r="M4" i="49"/>
  <c r="N4" i="49"/>
  <c r="Z4" i="49"/>
  <c r="E36" i="45"/>
  <c r="O35" i="2"/>
  <c r="Q35" i="2"/>
  <c r="S35" i="2"/>
  <c r="D36" i="45"/>
  <c r="R35" i="2"/>
  <c r="P35" i="2" s="1"/>
  <c r="N34" i="2"/>
  <c r="E44" i="8"/>
  <c r="U47" i="52" l="1"/>
  <c r="V43" i="52" s="1"/>
  <c r="T53" i="52"/>
  <c r="T54" i="52" s="1"/>
  <c r="V38" i="52"/>
  <c r="W34" i="52" s="1"/>
  <c r="V55" i="46"/>
  <c r="W51" i="46" s="1"/>
  <c r="W53" i="46"/>
  <c r="W54" i="46" s="1"/>
  <c r="Y45" i="46"/>
  <c r="Y46" i="46" s="1"/>
  <c r="J4" i="48"/>
  <c r="G6" i="49"/>
  <c r="Z4" i="48"/>
  <c r="W6" i="49"/>
  <c r="AC4" i="48"/>
  <c r="Z6" i="49"/>
  <c r="W4" i="48"/>
  <c r="T6" i="49"/>
  <c r="T4" i="48"/>
  <c r="Q6" i="49"/>
  <c r="L4" i="48"/>
  <c r="I6" i="49"/>
  <c r="S4" i="48"/>
  <c r="P6" i="49"/>
  <c r="Y4" i="48"/>
  <c r="V6" i="49"/>
  <c r="M4" i="48"/>
  <c r="J6" i="49"/>
  <c r="AD4" i="48"/>
  <c r="AA6" i="49"/>
  <c r="R4" i="48"/>
  <c r="O6" i="49"/>
  <c r="I4" i="48"/>
  <c r="F6" i="49"/>
  <c r="Q4" i="48"/>
  <c r="N6" i="49"/>
  <c r="AH4" i="48"/>
  <c r="AE6" i="49"/>
  <c r="P4" i="48"/>
  <c r="M6" i="49"/>
  <c r="AF4" i="48"/>
  <c r="AC6" i="49"/>
  <c r="H4" i="48"/>
  <c r="E6" i="49"/>
  <c r="K4" i="48"/>
  <c r="H6" i="49"/>
  <c r="AG4" i="48"/>
  <c r="AD6" i="49"/>
  <c r="AE4" i="48"/>
  <c r="AB6" i="49"/>
  <c r="AA4" i="48"/>
  <c r="X6" i="49"/>
  <c r="G4" i="48"/>
  <c r="D6" i="49"/>
  <c r="N4" i="48"/>
  <c r="K6" i="49"/>
  <c r="AB4" i="48"/>
  <c r="Y6" i="49"/>
  <c r="O4" i="48"/>
  <c r="L6" i="49"/>
  <c r="F4" i="48"/>
  <c r="C6" i="49"/>
  <c r="V4" i="48"/>
  <c r="S6" i="49"/>
  <c r="X4" i="48"/>
  <c r="U6" i="49"/>
  <c r="U4" i="48"/>
  <c r="R6" i="49"/>
  <c r="B4" i="49"/>
  <c r="E4" i="48" s="1"/>
  <c r="E5" i="48" s="1"/>
  <c r="E6" i="48" s="1"/>
  <c r="E37" i="45"/>
  <c r="Q36" i="2"/>
  <c r="O36" i="2"/>
  <c r="S36" i="2"/>
  <c r="N35" i="2"/>
  <c r="D37" i="45"/>
  <c r="R36" i="2"/>
  <c r="P36" i="2" s="1"/>
  <c r="E45" i="8"/>
  <c r="T55" i="52" l="1"/>
  <c r="U51" i="52" s="1"/>
  <c r="U53" i="52" s="1"/>
  <c r="U54" i="52" s="1"/>
  <c r="W36" i="52"/>
  <c r="W37" i="52" s="1"/>
  <c r="V45" i="52"/>
  <c r="V46" i="52" s="1"/>
  <c r="Y47" i="46"/>
  <c r="Z43" i="46" s="1"/>
  <c r="Z45" i="46" s="1"/>
  <c r="Z46" i="46" s="1"/>
  <c r="W55" i="46"/>
  <c r="X51" i="46" s="1"/>
  <c r="X53" i="46" s="1"/>
  <c r="X54" i="46" s="1"/>
  <c r="E8" i="48"/>
  <c r="E9" i="48"/>
  <c r="H7" i="49"/>
  <c r="H8" i="49" s="1"/>
  <c r="Y7" i="49"/>
  <c r="Y8" i="49" s="1"/>
  <c r="AC7" i="49"/>
  <c r="AC8" i="49" s="1"/>
  <c r="U7" i="49"/>
  <c r="U8" i="49" s="1"/>
  <c r="F7" i="49"/>
  <c r="F8" i="49" s="1"/>
  <c r="T7" i="49"/>
  <c r="T8" i="49" s="1"/>
  <c r="D7" i="49"/>
  <c r="D8" i="49" s="1"/>
  <c r="S7" i="49"/>
  <c r="S8" i="49" s="1"/>
  <c r="X7" i="49"/>
  <c r="X8" i="49" s="1"/>
  <c r="Z7" i="49"/>
  <c r="Z8" i="49" s="1"/>
  <c r="AB7" i="49"/>
  <c r="AB8" i="49" s="1"/>
  <c r="AE7" i="49"/>
  <c r="AE8" i="49" s="1"/>
  <c r="V7" i="49"/>
  <c r="V8" i="49" s="1"/>
  <c r="W7" i="49"/>
  <c r="W8" i="49" s="1"/>
  <c r="O7" i="49"/>
  <c r="O8" i="49" s="1"/>
  <c r="J7" i="49"/>
  <c r="J8" i="49" s="1"/>
  <c r="C7" i="49"/>
  <c r="C8" i="49" s="1"/>
  <c r="I7" i="49"/>
  <c r="I8" i="49" s="1"/>
  <c r="R7" i="49"/>
  <c r="R8" i="49" s="1"/>
  <c r="K7" i="49"/>
  <c r="K8" i="49" s="1"/>
  <c r="E7" i="49"/>
  <c r="E8" i="49" s="1"/>
  <c r="Q7" i="49"/>
  <c r="Q8" i="49" s="1"/>
  <c r="AA7" i="49"/>
  <c r="AA8" i="49" s="1"/>
  <c r="M7" i="49"/>
  <c r="M8" i="49" s="1"/>
  <c r="L7" i="49"/>
  <c r="L8" i="49" s="1"/>
  <c r="AD7" i="49"/>
  <c r="AD8" i="49" s="1"/>
  <c r="N7" i="49"/>
  <c r="N8" i="49" s="1"/>
  <c r="P7" i="49"/>
  <c r="P8" i="49" s="1"/>
  <c r="G7" i="49"/>
  <c r="G8" i="49" s="1"/>
  <c r="N36" i="2"/>
  <c r="B8" i="49"/>
  <c r="E38" i="45"/>
  <c r="O37" i="2"/>
  <c r="Q37" i="2"/>
  <c r="S37" i="2"/>
  <c r="D38" i="45"/>
  <c r="R37" i="2"/>
  <c r="P37" i="2" s="1"/>
  <c r="E46" i="8"/>
  <c r="E47" i="8" s="1"/>
  <c r="V47" i="52" l="1"/>
  <c r="W43" i="52" s="1"/>
  <c r="U55" i="52"/>
  <c r="V51" i="52" s="1"/>
  <c r="W38" i="52"/>
  <c r="X34" i="52" s="1"/>
  <c r="X55" i="46"/>
  <c r="Z47" i="46"/>
  <c r="AA43" i="46" s="1"/>
  <c r="AA45" i="46" s="1"/>
  <c r="AA46" i="46" s="1"/>
  <c r="E10" i="48"/>
  <c r="E11" i="48"/>
  <c r="B12" i="49"/>
  <c r="B13" i="49" s="1"/>
  <c r="B14" i="49" s="1"/>
  <c r="D39" i="45"/>
  <c r="R38" i="2"/>
  <c r="P38" i="2" s="1"/>
  <c r="E39" i="45"/>
  <c r="Q38" i="2"/>
  <c r="O38" i="2"/>
  <c r="S38" i="2"/>
  <c r="N37" i="2"/>
  <c r="V53" i="52" l="1"/>
  <c r="V54" i="52" s="1"/>
  <c r="X36" i="52"/>
  <c r="X37" i="52" s="1"/>
  <c r="W45" i="52"/>
  <c r="W46" i="52" s="1"/>
  <c r="Y51" i="46"/>
  <c r="Y53" i="46" s="1"/>
  <c r="AA47" i="46"/>
  <c r="AB43" i="46" s="1"/>
  <c r="E12" i="48"/>
  <c r="E13" i="48" s="1"/>
  <c r="E15" i="48" s="1"/>
  <c r="N38" i="2"/>
  <c r="E40" i="45"/>
  <c r="O39" i="2"/>
  <c r="Q39" i="2"/>
  <c r="S39" i="2"/>
  <c r="D40" i="45"/>
  <c r="R39" i="2"/>
  <c r="P39" i="2" s="1"/>
  <c r="W47" i="52" l="1"/>
  <c r="X43" i="52" s="1"/>
  <c r="X38" i="52"/>
  <c r="Y34" i="52" s="1"/>
  <c r="V55" i="52"/>
  <c r="W51" i="52" s="1"/>
  <c r="Y54" i="46"/>
  <c r="Y55" i="46" s="1"/>
  <c r="Z51" i="46" s="1"/>
  <c r="Z53" i="46" s="1"/>
  <c r="Z54" i="46" s="1"/>
  <c r="AB45" i="46"/>
  <c r="AB46" i="46" s="1"/>
  <c r="D41" i="45"/>
  <c r="R40" i="2"/>
  <c r="P40" i="2" s="1"/>
  <c r="E41" i="45"/>
  <c r="O40" i="2"/>
  <c r="Q40" i="2"/>
  <c r="S40" i="2"/>
  <c r="N39" i="2"/>
  <c r="W53" i="52" l="1"/>
  <c r="W54" i="52" s="1"/>
  <c r="Y36" i="52"/>
  <c r="Y37" i="52" s="1"/>
  <c r="X45" i="52"/>
  <c r="X46" i="52" s="1"/>
  <c r="Z55" i="46"/>
  <c r="AA51" i="46" s="1"/>
  <c r="AB47" i="46"/>
  <c r="AC43" i="46" s="1"/>
  <c r="N40" i="2"/>
  <c r="E42" i="45"/>
  <c r="Q41" i="2"/>
  <c r="O41" i="2"/>
  <c r="S41" i="2"/>
  <c r="D42" i="45"/>
  <c r="R41" i="2"/>
  <c r="P41" i="2" s="1"/>
  <c r="X47" i="52" l="1"/>
  <c r="Y43" i="52" s="1"/>
  <c r="Y38" i="52"/>
  <c r="Z34" i="52" s="1"/>
  <c r="W55" i="52"/>
  <c r="X51" i="52" s="1"/>
  <c r="AA53" i="46"/>
  <c r="AA54" i="46" s="1"/>
  <c r="AC45" i="46"/>
  <c r="AC46" i="46" s="1"/>
  <c r="D43" i="45"/>
  <c r="R42" i="2"/>
  <c r="P42" i="2" s="1"/>
  <c r="N41" i="2"/>
  <c r="E43" i="45"/>
  <c r="Q42" i="2"/>
  <c r="O42" i="2"/>
  <c r="S42" i="2"/>
  <c r="Z36" i="52" l="1"/>
  <c r="Z37" i="52" s="1"/>
  <c r="X53" i="52"/>
  <c r="X54" i="52" s="1"/>
  <c r="Y45" i="52"/>
  <c r="Y46" i="52" s="1"/>
  <c r="AA55" i="46"/>
  <c r="AB51" i="46" s="1"/>
  <c r="AC47" i="46"/>
  <c r="AD43" i="46" s="1"/>
  <c r="E44" i="45"/>
  <c r="Q43" i="2"/>
  <c r="O43" i="2"/>
  <c r="S43" i="2"/>
  <c r="N42" i="2"/>
  <c r="D44" i="45"/>
  <c r="R43" i="2"/>
  <c r="P43" i="2" s="1"/>
  <c r="Y47" i="52" l="1"/>
  <c r="Z43" i="52" s="1"/>
  <c r="X55" i="52"/>
  <c r="Y51" i="52" s="1"/>
  <c r="Z38" i="52"/>
  <c r="AA34" i="52" s="1"/>
  <c r="AB53" i="46"/>
  <c r="AB54" i="46" s="1"/>
  <c r="AD45" i="46"/>
  <c r="AD46" i="46" s="1"/>
  <c r="N43" i="2"/>
  <c r="D45" i="45"/>
  <c r="R44" i="2"/>
  <c r="P44" i="2" s="1"/>
  <c r="E45" i="45"/>
  <c r="Q44" i="2"/>
  <c r="O44" i="2"/>
  <c r="S44" i="2"/>
  <c r="Y53" i="52" l="1"/>
  <c r="Y54" i="52" s="1"/>
  <c r="Y55" i="52" s="1"/>
  <c r="Z51" i="52" s="1"/>
  <c r="AA36" i="52"/>
  <c r="AA37" i="52" s="1"/>
  <c r="Z45" i="52"/>
  <c r="Z46" i="52" s="1"/>
  <c r="Z47" i="52" s="1"/>
  <c r="AA43" i="52" s="1"/>
  <c r="AB55" i="46"/>
  <c r="AC51" i="46" s="1"/>
  <c r="AD47" i="46"/>
  <c r="AE43" i="46" s="1"/>
  <c r="D46" i="45"/>
  <c r="R45" i="2"/>
  <c r="P45" i="2" s="1"/>
  <c r="N44" i="2"/>
  <c r="E46" i="45"/>
  <c r="Q45" i="2"/>
  <c r="O45" i="2"/>
  <c r="S45" i="2"/>
  <c r="AA45" i="52" l="1"/>
  <c r="AA46" i="52" s="1"/>
  <c r="AA38" i="52"/>
  <c r="AB34" i="52" s="1"/>
  <c r="Z53" i="52"/>
  <c r="Z54" i="52" s="1"/>
  <c r="AC53" i="46"/>
  <c r="AC54" i="46" s="1"/>
  <c r="AE45" i="46"/>
  <c r="AE46" i="46" s="1"/>
  <c r="N45" i="2"/>
  <c r="E47" i="45"/>
  <c r="O46" i="2"/>
  <c r="Q46" i="2"/>
  <c r="S46" i="2"/>
  <c r="D47" i="45"/>
  <c r="R46" i="2"/>
  <c r="P46" i="2" s="1"/>
  <c r="Z55" i="52" l="1"/>
  <c r="AA51" i="52" s="1"/>
  <c r="AB36" i="52"/>
  <c r="AB37" i="52" s="1"/>
  <c r="AA47" i="52"/>
  <c r="AB43" i="52" s="1"/>
  <c r="AE47" i="46"/>
  <c r="AF43" i="46" s="1"/>
  <c r="AF45" i="46" s="1"/>
  <c r="AF46" i="46" s="1"/>
  <c r="AC55" i="46"/>
  <c r="AD51" i="46" s="1"/>
  <c r="N46" i="2"/>
  <c r="E48" i="45"/>
  <c r="O47" i="2"/>
  <c r="Q47" i="2"/>
  <c r="S47" i="2"/>
  <c r="D48" i="45"/>
  <c r="R47" i="2"/>
  <c r="P47" i="2" s="1"/>
  <c r="AB38" i="52" l="1"/>
  <c r="AC34" i="52" s="1"/>
  <c r="AC36" i="52" s="1"/>
  <c r="AC37" i="52" s="1"/>
  <c r="AB45" i="52"/>
  <c r="AB46" i="52" s="1"/>
  <c r="AA53" i="52"/>
  <c r="AA54" i="52" s="1"/>
  <c r="AD53" i="46"/>
  <c r="AD54" i="46" s="1"/>
  <c r="AF47" i="46"/>
  <c r="AG43" i="46" s="1"/>
  <c r="D49" i="45"/>
  <c r="D50" i="45" s="1"/>
  <c r="D51" i="45" s="1"/>
  <c r="D52" i="45" s="1"/>
  <c r="D53" i="45" s="1"/>
  <c r="P48" i="2"/>
  <c r="N48" i="2"/>
  <c r="R48" i="2"/>
  <c r="N47" i="2"/>
  <c r="E2" i="47" s="1" a="1"/>
  <c r="E2" i="47" s="1"/>
  <c r="E49" i="45"/>
  <c r="E50" i="45" s="1"/>
  <c r="E51" i="45" s="1"/>
  <c r="E52" i="45" s="1"/>
  <c r="E53" i="45" s="1"/>
  <c r="O48" i="2"/>
  <c r="Q48" i="2"/>
  <c r="S48" i="2"/>
  <c r="E48" i="2"/>
  <c r="AC38" i="52" l="1"/>
  <c r="AD34" i="52" s="1"/>
  <c r="AA55" i="52"/>
  <c r="AB51" i="52" s="1"/>
  <c r="AB47" i="52"/>
  <c r="AC43" i="52" s="1"/>
  <c r="AD55" i="46"/>
  <c r="AE51" i="46" s="1"/>
  <c r="AG45" i="46"/>
  <c r="AG46" i="46" s="1"/>
  <c r="AG47" i="46"/>
  <c r="AH43" i="46" s="1"/>
  <c r="B2" i="46" a="1"/>
  <c r="AC45" i="52" l="1"/>
  <c r="AC46" i="52" s="1"/>
  <c r="AB53" i="52"/>
  <c r="AB54" i="52" s="1"/>
  <c r="AD36" i="52"/>
  <c r="AD37" i="52" s="1"/>
  <c r="AE53" i="46"/>
  <c r="AE54" i="46" s="1"/>
  <c r="AH45" i="46"/>
  <c r="AH46" i="46" s="1"/>
  <c r="E3" i="47"/>
  <c r="U3" i="47"/>
  <c r="W3" i="47"/>
  <c r="AO3" i="47"/>
  <c r="AQ3" i="47"/>
  <c r="AC3" i="47"/>
  <c r="AU3" i="47"/>
  <c r="AE3" i="47"/>
  <c r="AW3" i="47"/>
  <c r="X3" i="47"/>
  <c r="AT3" i="47"/>
  <c r="S3" i="47"/>
  <c r="AK3" i="47"/>
  <c r="H3" i="47"/>
  <c r="J3" i="47"/>
  <c r="L3" i="47"/>
  <c r="AS3" i="47"/>
  <c r="P3" i="47"/>
  <c r="R3" i="47"/>
  <c r="T3" i="47"/>
  <c r="AB3" i="47"/>
  <c r="F3" i="47"/>
  <c r="Z3" i="47"/>
  <c r="Q3" i="47"/>
  <c r="N3" i="47"/>
  <c r="AF3" i="47"/>
  <c r="AH3" i="47"/>
  <c r="AJ3" i="47"/>
  <c r="V3" i="47"/>
  <c r="AN3" i="47"/>
  <c r="AP3" i="47"/>
  <c r="AR3" i="47"/>
  <c r="AD3" i="47"/>
  <c r="AV3" i="47"/>
  <c r="AM3" i="47"/>
  <c r="Y3" i="47"/>
  <c r="AL3" i="47"/>
  <c r="I3" i="47"/>
  <c r="K3" i="47"/>
  <c r="M3" i="47"/>
  <c r="O3" i="47"/>
  <c r="AG3" i="47"/>
  <c r="AI3" i="47"/>
  <c r="G3" i="47"/>
  <c r="AA3" i="47"/>
  <c r="B2" i="46"/>
  <c r="AL4" i="46"/>
  <c r="Z4" i="46"/>
  <c r="N4" i="46"/>
  <c r="AK4" i="46"/>
  <c r="Y4" i="46"/>
  <c r="M4" i="46"/>
  <c r="AJ4" i="46"/>
  <c r="X4" i="46"/>
  <c r="L4" i="46"/>
  <c r="AI4" i="46"/>
  <c r="W4" i="46"/>
  <c r="K4" i="46"/>
  <c r="AT4" i="46"/>
  <c r="AH4" i="46"/>
  <c r="V4" i="46"/>
  <c r="J4" i="46"/>
  <c r="AS4" i="46"/>
  <c r="AG4" i="46"/>
  <c r="U4" i="46"/>
  <c r="I4" i="46"/>
  <c r="AR4" i="46"/>
  <c r="AF4" i="46"/>
  <c r="T4" i="46"/>
  <c r="H4" i="46"/>
  <c r="AQ4" i="46"/>
  <c r="AE4" i="46"/>
  <c r="S4" i="46"/>
  <c r="G4" i="46"/>
  <c r="AP4" i="46"/>
  <c r="AD4" i="46"/>
  <c r="R4" i="46"/>
  <c r="F4" i="46"/>
  <c r="AO4" i="46"/>
  <c r="AC4" i="46"/>
  <c r="Q4" i="46"/>
  <c r="E4" i="46"/>
  <c r="AN4" i="46"/>
  <c r="AB4" i="46"/>
  <c r="P4" i="46"/>
  <c r="D4" i="46"/>
  <c r="AM4" i="46"/>
  <c r="AA4" i="46"/>
  <c r="O4" i="46"/>
  <c r="C4" i="46"/>
  <c r="AD38" i="52" l="1"/>
  <c r="AE34" i="52" s="1"/>
  <c r="AB55" i="52"/>
  <c r="AC51" i="52" s="1"/>
  <c r="AC47" i="52"/>
  <c r="AD43" i="52" s="1"/>
  <c r="AE55" i="46"/>
  <c r="AH47" i="46"/>
  <c r="AI43" i="46" s="1"/>
  <c r="B4" i="46"/>
  <c r="E4" i="47" s="1"/>
  <c r="E5" i="47" s="1"/>
  <c r="B6" i="46"/>
  <c r="AT6" i="46"/>
  <c r="AT7" i="46" s="1"/>
  <c r="AT8" i="46" s="1"/>
  <c r="AW4" i="47"/>
  <c r="AW5" i="47" s="1"/>
  <c r="AW6" i="47" s="1"/>
  <c r="AW7" i="47" s="1"/>
  <c r="AL6" i="46"/>
  <c r="AO4" i="47"/>
  <c r="AO5" i="47" s="1"/>
  <c r="AO6" i="47" s="1"/>
  <c r="AO7" i="47" s="1"/>
  <c r="Z4" i="47"/>
  <c r="Z5" i="47" s="1"/>
  <c r="Z6" i="47" s="1"/>
  <c r="Z7" i="47" s="1"/>
  <c r="W6" i="46"/>
  <c r="Z5" i="48"/>
  <c r="Z6" i="48" s="1"/>
  <c r="K5" i="48"/>
  <c r="K6" i="48" s="1"/>
  <c r="K4" i="47"/>
  <c r="K5" i="47" s="1"/>
  <c r="K6" i="47" s="1"/>
  <c r="K7" i="47" s="1"/>
  <c r="H6" i="46"/>
  <c r="AL4" i="47"/>
  <c r="AL5" i="47" s="1"/>
  <c r="AL6" i="47" s="1"/>
  <c r="AL7" i="47" s="1"/>
  <c r="AI6" i="46"/>
  <c r="AB6" i="46"/>
  <c r="AE5" i="48"/>
  <c r="AE6" i="48" s="1"/>
  <c r="AE4" i="47"/>
  <c r="AE5" i="47" s="1"/>
  <c r="AE6" i="47" s="1"/>
  <c r="AE7" i="47" s="1"/>
  <c r="AT4" i="47"/>
  <c r="AT5" i="47" s="1"/>
  <c r="AT6" i="47" s="1"/>
  <c r="AT7" i="47" s="1"/>
  <c r="AQ6" i="46"/>
  <c r="W5" i="48"/>
  <c r="W6" i="48" s="1"/>
  <c r="W4" i="47"/>
  <c r="W5" i="47" s="1"/>
  <c r="W6" i="47" s="1"/>
  <c r="W7" i="47" s="1"/>
  <c r="T6" i="46"/>
  <c r="AI4" i="47"/>
  <c r="AI5" i="47" s="1"/>
  <c r="AI6" i="47" s="1"/>
  <c r="AI7" i="47" s="1"/>
  <c r="AF6" i="46"/>
  <c r="Q6" i="46"/>
  <c r="T5" i="48"/>
  <c r="T6" i="48" s="1"/>
  <c r="T4" i="47"/>
  <c r="T5" i="47" s="1"/>
  <c r="T6" i="47" s="1"/>
  <c r="T7" i="47" s="1"/>
  <c r="AC6" i="46"/>
  <c r="AF5" i="48"/>
  <c r="AF6" i="48" s="1"/>
  <c r="AF4" i="47"/>
  <c r="AF5" i="47" s="1"/>
  <c r="AF6" i="47" s="1"/>
  <c r="AF7" i="47" s="1"/>
  <c r="U5" i="48"/>
  <c r="U6" i="48" s="1"/>
  <c r="U4" i="47"/>
  <c r="U5" i="47" s="1"/>
  <c r="U6" i="47" s="1"/>
  <c r="U7" i="47" s="1"/>
  <c r="R6" i="46"/>
  <c r="AK4" i="47"/>
  <c r="AK5" i="47" s="1"/>
  <c r="AK6" i="47" s="1"/>
  <c r="AK7" i="47" s="1"/>
  <c r="AH6" i="46"/>
  <c r="E6" i="46"/>
  <c r="H5" i="48"/>
  <c r="H6" i="48" s="1"/>
  <c r="H4" i="47"/>
  <c r="H5" i="47" s="1"/>
  <c r="H6" i="47" s="1"/>
  <c r="H7" i="47" s="1"/>
  <c r="AJ4" i="47"/>
  <c r="AJ5" i="47" s="1"/>
  <c r="AJ6" i="47" s="1"/>
  <c r="AJ7" i="47" s="1"/>
  <c r="AG6" i="46"/>
  <c r="Z6" i="46"/>
  <c r="AC5" i="48"/>
  <c r="AC6" i="48" s="1"/>
  <c r="AC4" i="47"/>
  <c r="AC5" i="47" s="1"/>
  <c r="AC6" i="47" s="1"/>
  <c r="AC7" i="47" s="1"/>
  <c r="AO6" i="46"/>
  <c r="AR4" i="47"/>
  <c r="AR5" i="47" s="1"/>
  <c r="AR6" i="47" s="1"/>
  <c r="AR7" i="47" s="1"/>
  <c r="AU4" i="47"/>
  <c r="AU5" i="47" s="1"/>
  <c r="AU6" i="47" s="1"/>
  <c r="AU7" i="47" s="1"/>
  <c r="AR6" i="46"/>
  <c r="L6" i="46"/>
  <c r="O5" i="48"/>
  <c r="O6" i="48" s="1"/>
  <c r="O4" i="47"/>
  <c r="O5" i="47" s="1"/>
  <c r="O6" i="47" s="1"/>
  <c r="O7" i="47" s="1"/>
  <c r="AA6" i="46"/>
  <c r="AD5" i="48"/>
  <c r="AD6" i="48" s="1"/>
  <c r="AD4" i="47"/>
  <c r="AD5" i="47" s="1"/>
  <c r="AD6" i="47" s="1"/>
  <c r="AD7" i="47" s="1"/>
  <c r="M6" i="46"/>
  <c r="P5" i="48"/>
  <c r="P6" i="48" s="1"/>
  <c r="P4" i="47"/>
  <c r="P5" i="47" s="1"/>
  <c r="P6" i="47" s="1"/>
  <c r="P7" i="47" s="1"/>
  <c r="AM6" i="46"/>
  <c r="AP4" i="47"/>
  <c r="AP5" i="47" s="1"/>
  <c r="AP6" i="47" s="1"/>
  <c r="AP7" i="47" s="1"/>
  <c r="AS4" i="47"/>
  <c r="AS5" i="47" s="1"/>
  <c r="AS6" i="47" s="1"/>
  <c r="AS7" i="47" s="1"/>
  <c r="AP6" i="46"/>
  <c r="AV4" i="47"/>
  <c r="AV5" i="47" s="1"/>
  <c r="AV6" i="47" s="1"/>
  <c r="AV7" i="47" s="1"/>
  <c r="AS6" i="46"/>
  <c r="Y6" i="46"/>
  <c r="AB5" i="48"/>
  <c r="AB6" i="48" s="1"/>
  <c r="AB4" i="47"/>
  <c r="AB5" i="47" s="1"/>
  <c r="AB6" i="47" s="1"/>
  <c r="AB7" i="47" s="1"/>
  <c r="AH5" i="48"/>
  <c r="AH6" i="48" s="1"/>
  <c r="AH4" i="47"/>
  <c r="AH5" i="47" s="1"/>
  <c r="AH6" i="47" s="1"/>
  <c r="AH7" i="47" s="1"/>
  <c r="AE6" i="46"/>
  <c r="AN6" i="46"/>
  <c r="AQ4" i="47"/>
  <c r="AQ5" i="47" s="1"/>
  <c r="AQ6" i="47" s="1"/>
  <c r="AQ7" i="47" s="1"/>
  <c r="I5" i="48"/>
  <c r="I6" i="48" s="1"/>
  <c r="I4" i="47"/>
  <c r="I5" i="47" s="1"/>
  <c r="I6" i="47" s="1"/>
  <c r="I7" i="47" s="1"/>
  <c r="F6" i="46"/>
  <c r="O6" i="46"/>
  <c r="R5" i="48"/>
  <c r="R6" i="48" s="1"/>
  <c r="R4" i="47"/>
  <c r="R5" i="47" s="1"/>
  <c r="R6" i="47" s="1"/>
  <c r="R7" i="47" s="1"/>
  <c r="AJ6" i="46"/>
  <c r="AM4" i="47"/>
  <c r="AM5" i="47" s="1"/>
  <c r="AM6" i="47" s="1"/>
  <c r="AM7" i="47" s="1"/>
  <c r="D6" i="46"/>
  <c r="G5" i="48"/>
  <c r="G6" i="48" s="1"/>
  <c r="G4" i="47"/>
  <c r="G5" i="47" s="1"/>
  <c r="G6" i="47" s="1"/>
  <c r="G7" i="47" s="1"/>
  <c r="J5" i="48"/>
  <c r="J6" i="48" s="1"/>
  <c r="J4" i="47"/>
  <c r="J5" i="47" s="1"/>
  <c r="J6" i="47" s="1"/>
  <c r="J7" i="47" s="1"/>
  <c r="G6" i="46"/>
  <c r="M4" i="47"/>
  <c r="M5" i="47" s="1"/>
  <c r="M6" i="47" s="1"/>
  <c r="M7" i="47" s="1"/>
  <c r="J6" i="46"/>
  <c r="M5" i="48"/>
  <c r="M6" i="48" s="1"/>
  <c r="AK6" i="46"/>
  <c r="AN4" i="47"/>
  <c r="AN5" i="47" s="1"/>
  <c r="AN6" i="47" s="1"/>
  <c r="AN7" i="47" s="1"/>
  <c r="N4" i="47"/>
  <c r="N5" i="47" s="1"/>
  <c r="N6" i="47" s="1"/>
  <c r="N7" i="47" s="1"/>
  <c r="K6" i="46"/>
  <c r="N5" i="48"/>
  <c r="N6" i="48" s="1"/>
  <c r="C6" i="46"/>
  <c r="F5" i="48"/>
  <c r="F6" i="48" s="1"/>
  <c r="F4" i="47"/>
  <c r="F5" i="47" s="1"/>
  <c r="F6" i="47" s="1"/>
  <c r="F7" i="47" s="1"/>
  <c r="L4" i="47"/>
  <c r="L5" i="47" s="1"/>
  <c r="L6" i="47" s="1"/>
  <c r="L7" i="47" s="1"/>
  <c r="I6" i="46"/>
  <c r="L5" i="48"/>
  <c r="L6" i="48" s="1"/>
  <c r="X6" i="46"/>
  <c r="AA5" i="48"/>
  <c r="AA6" i="48" s="1"/>
  <c r="AA4" i="47"/>
  <c r="AA5" i="47" s="1"/>
  <c r="AA6" i="47" s="1"/>
  <c r="AA7" i="47" s="1"/>
  <c r="X4" i="47"/>
  <c r="X5" i="47" s="1"/>
  <c r="X6" i="47" s="1"/>
  <c r="X7" i="47" s="1"/>
  <c r="U6" i="46"/>
  <c r="X5" i="48"/>
  <c r="X6" i="48" s="1"/>
  <c r="AG5" i="48"/>
  <c r="AG6" i="48" s="1"/>
  <c r="AG4" i="47"/>
  <c r="AG5" i="47" s="1"/>
  <c r="AG6" i="47" s="1"/>
  <c r="AG7" i="47" s="1"/>
  <c r="AD6" i="46"/>
  <c r="P6" i="46"/>
  <c r="S5" i="48"/>
  <c r="S6" i="48" s="1"/>
  <c r="S4" i="47"/>
  <c r="S5" i="47" s="1"/>
  <c r="S6" i="47" s="1"/>
  <c r="S7" i="47" s="1"/>
  <c r="V5" i="48"/>
  <c r="V6" i="48" s="1"/>
  <c r="V4" i="47"/>
  <c r="V5" i="47" s="1"/>
  <c r="V6" i="47" s="1"/>
  <c r="V7" i="47" s="1"/>
  <c r="S6" i="46"/>
  <c r="Y4" i="47"/>
  <c r="Y5" i="47" s="1"/>
  <c r="Y6" i="47" s="1"/>
  <c r="Y7" i="47" s="1"/>
  <c r="V6" i="46"/>
  <c r="Y5" i="48"/>
  <c r="Y6" i="48" s="1"/>
  <c r="N6" i="46"/>
  <c r="Q5" i="48"/>
  <c r="Q6" i="48" s="1"/>
  <c r="Q4" i="47"/>
  <c r="Q5" i="47" s="1"/>
  <c r="Q6" i="47" s="1"/>
  <c r="Q7" i="47" s="1"/>
  <c r="AD45" i="52" l="1"/>
  <c r="AD46" i="52" s="1"/>
  <c r="AC53" i="52"/>
  <c r="AC54" i="52" s="1"/>
  <c r="AE36" i="52"/>
  <c r="AE37" i="52" s="1"/>
  <c r="E6" i="47"/>
  <c r="E7" i="47" s="1"/>
  <c r="E9" i="47" s="1"/>
  <c r="AF51" i="46"/>
  <c r="AF53" i="46" s="1"/>
  <c r="AF54" i="46" s="1"/>
  <c r="AI45" i="46"/>
  <c r="AI46" i="46" s="1"/>
  <c r="AG10" i="47"/>
  <c r="AG9" i="47"/>
  <c r="AG8" i="48"/>
  <c r="AG9" i="48"/>
  <c r="AR10" i="47"/>
  <c r="AR9" i="47"/>
  <c r="W10" i="47"/>
  <c r="W9" i="47"/>
  <c r="Z9" i="48"/>
  <c r="Z8" i="48"/>
  <c r="U10" i="47"/>
  <c r="U9" i="47"/>
  <c r="W9" i="48"/>
  <c r="W8" i="48"/>
  <c r="U9" i="48"/>
  <c r="U8" i="48"/>
  <c r="Z9" i="47"/>
  <c r="Z10" i="47"/>
  <c r="J8" i="48"/>
  <c r="J9" i="48"/>
  <c r="Y9" i="48"/>
  <c r="Y8" i="48"/>
  <c r="N9" i="48"/>
  <c r="N8" i="48"/>
  <c r="AC9" i="48"/>
  <c r="AC8" i="48"/>
  <c r="AF10" i="47"/>
  <c r="AF9" i="47"/>
  <c r="AT10" i="47"/>
  <c r="AT9" i="47"/>
  <c r="AK10" i="47"/>
  <c r="AK9" i="47"/>
  <c r="X9" i="48"/>
  <c r="X8" i="48"/>
  <c r="Y10" i="47"/>
  <c r="Y9" i="47"/>
  <c r="AD9" i="47"/>
  <c r="AD10" i="47"/>
  <c r="AF9" i="48"/>
  <c r="AF8" i="48"/>
  <c r="AE10" i="47"/>
  <c r="AE9" i="47"/>
  <c r="P9" i="47"/>
  <c r="P10" i="47"/>
  <c r="P9" i="48"/>
  <c r="P8" i="48"/>
  <c r="AH8" i="48"/>
  <c r="AH9" i="48"/>
  <c r="AN9" i="47"/>
  <c r="AN10" i="47"/>
  <c r="AA9" i="48"/>
  <c r="AA8" i="48"/>
  <c r="R9" i="47"/>
  <c r="R10" i="47"/>
  <c r="AB9" i="48"/>
  <c r="AB8" i="48"/>
  <c r="AD9" i="48"/>
  <c r="AD8" i="48"/>
  <c r="AE9" i="48"/>
  <c r="AE8" i="48"/>
  <c r="AO10" i="47"/>
  <c r="AO9" i="47"/>
  <c r="AQ10" i="47"/>
  <c r="AQ9" i="47"/>
  <c r="AJ10" i="47"/>
  <c r="AJ9" i="47"/>
  <c r="T10" i="47"/>
  <c r="T9" i="47"/>
  <c r="Q9" i="48"/>
  <c r="Q8" i="48"/>
  <c r="AH10" i="47"/>
  <c r="AH9" i="47"/>
  <c r="L8" i="48"/>
  <c r="L9" i="48"/>
  <c r="O9" i="47"/>
  <c r="O10" i="47"/>
  <c r="H10" i="47"/>
  <c r="H9" i="47"/>
  <c r="T9" i="48"/>
  <c r="T8" i="48"/>
  <c r="AW10" i="47"/>
  <c r="AW9" i="47"/>
  <c r="F9" i="48"/>
  <c r="F8" i="48"/>
  <c r="K8" i="48"/>
  <c r="K9" i="48"/>
  <c r="G9" i="48"/>
  <c r="G8" i="48"/>
  <c r="X10" i="47"/>
  <c r="X9" i="47"/>
  <c r="AB9" i="47"/>
  <c r="AB10" i="47"/>
  <c r="R9" i="48"/>
  <c r="R8" i="48"/>
  <c r="S10" i="47"/>
  <c r="S9" i="47"/>
  <c r="AV10" i="47"/>
  <c r="AV9" i="47"/>
  <c r="O9" i="48"/>
  <c r="O8" i="48"/>
  <c r="H9" i="48"/>
  <c r="H8" i="48"/>
  <c r="AL10" i="47"/>
  <c r="AL9" i="47"/>
  <c r="AU10" i="47"/>
  <c r="AU9" i="47"/>
  <c r="N9" i="47"/>
  <c r="N10" i="47"/>
  <c r="S9" i="48"/>
  <c r="S8" i="48"/>
  <c r="M10" i="47"/>
  <c r="M9" i="47"/>
  <c r="L10" i="47"/>
  <c r="L9" i="47"/>
  <c r="I10" i="47"/>
  <c r="I9" i="47"/>
  <c r="AP10" i="47"/>
  <c r="AP9" i="47"/>
  <c r="G10" i="47"/>
  <c r="G9" i="47"/>
  <c r="AC9" i="47"/>
  <c r="AC10" i="47"/>
  <c r="AM10" i="47"/>
  <c r="AM9" i="47"/>
  <c r="AA9" i="47"/>
  <c r="AA10" i="47"/>
  <c r="V10" i="47"/>
  <c r="V9" i="47"/>
  <c r="V9" i="48"/>
  <c r="V8" i="48"/>
  <c r="M9" i="48"/>
  <c r="M8" i="48"/>
  <c r="Q9" i="47"/>
  <c r="Q10" i="47"/>
  <c r="F10" i="47"/>
  <c r="F9" i="47"/>
  <c r="J10" i="47"/>
  <c r="J9" i="47"/>
  <c r="I8" i="48"/>
  <c r="I9" i="48"/>
  <c r="AS10" i="47"/>
  <c r="AS9" i="47"/>
  <c r="AI10" i="47"/>
  <c r="AI9" i="47"/>
  <c r="K10" i="47"/>
  <c r="K9" i="47"/>
  <c r="B7" i="46"/>
  <c r="B8" i="46" s="1"/>
  <c r="B34" i="46" s="1"/>
  <c r="B36" i="46" s="1"/>
  <c r="B37" i="46" s="1"/>
  <c r="B38" i="46" s="1"/>
  <c r="D7" i="46"/>
  <c r="D8" i="46" s="1"/>
  <c r="AJ7" i="46"/>
  <c r="AJ8" i="46" s="1"/>
  <c r="Z7" i="46"/>
  <c r="Z8" i="46" s="1"/>
  <c r="U7" i="46"/>
  <c r="U8" i="46" s="1"/>
  <c r="Y7" i="46"/>
  <c r="Y8" i="46" s="1"/>
  <c r="AA7" i="46"/>
  <c r="AA8" i="46" s="1"/>
  <c r="AG7" i="46"/>
  <c r="AG8" i="46" s="1"/>
  <c r="AC7" i="46"/>
  <c r="AC8" i="46" s="1"/>
  <c r="M7" i="46"/>
  <c r="M8" i="46" s="1"/>
  <c r="O7" i="46"/>
  <c r="O8" i="46" s="1"/>
  <c r="AS7" i="46"/>
  <c r="AS8" i="46" s="1"/>
  <c r="AB7" i="46"/>
  <c r="AB8" i="46" s="1"/>
  <c r="AQ7" i="46"/>
  <c r="AQ8" i="46" s="1"/>
  <c r="F7" i="46"/>
  <c r="F8" i="46" s="1"/>
  <c r="AI7" i="46"/>
  <c r="AI8" i="46" s="1"/>
  <c r="AL7" i="46"/>
  <c r="AL8" i="46" s="1"/>
  <c r="J7" i="46"/>
  <c r="J8" i="46" s="1"/>
  <c r="G7" i="46"/>
  <c r="G8" i="46" s="1"/>
  <c r="AP7" i="46"/>
  <c r="AP8" i="46" s="1"/>
  <c r="L7" i="46"/>
  <c r="L8" i="46" s="1"/>
  <c r="Q7" i="46"/>
  <c r="Q8" i="46" s="1"/>
  <c r="S7" i="46"/>
  <c r="S8" i="46" s="1"/>
  <c r="AR7" i="46"/>
  <c r="AR8" i="46" s="1"/>
  <c r="E7" i="46"/>
  <c r="E8" i="46" s="1"/>
  <c r="AF7" i="46"/>
  <c r="AF8" i="46" s="1"/>
  <c r="H7" i="46"/>
  <c r="H8" i="46" s="1"/>
  <c r="K7" i="46"/>
  <c r="K8" i="46" s="1"/>
  <c r="AK7" i="46"/>
  <c r="AK8" i="46" s="1"/>
  <c r="AD7" i="46"/>
  <c r="AD8" i="46" s="1"/>
  <c r="AH7" i="46"/>
  <c r="AH8" i="46" s="1"/>
  <c r="V7" i="46"/>
  <c r="V8" i="46" s="1"/>
  <c r="AN7" i="46"/>
  <c r="AN8" i="46" s="1"/>
  <c r="AM7" i="46"/>
  <c r="AM8" i="46" s="1"/>
  <c r="T7" i="46"/>
  <c r="T8" i="46" s="1"/>
  <c r="W7" i="46"/>
  <c r="W8" i="46" s="1"/>
  <c r="X7" i="46"/>
  <c r="X8" i="46" s="1"/>
  <c r="I7" i="46"/>
  <c r="I8" i="46" s="1"/>
  <c r="P7" i="46"/>
  <c r="P8" i="46" s="1"/>
  <c r="N7" i="46"/>
  <c r="N8" i="46" s="1"/>
  <c r="C7" i="46"/>
  <c r="C8" i="46" s="1"/>
  <c r="AE7" i="46"/>
  <c r="AE8" i="46" s="1"/>
  <c r="AO7" i="46"/>
  <c r="AO8" i="46" s="1"/>
  <c r="R7" i="46"/>
  <c r="R8" i="46" s="1"/>
  <c r="AE38" i="52" l="1"/>
  <c r="AC55" i="52"/>
  <c r="AD51" i="52" s="1"/>
  <c r="AD47" i="52"/>
  <c r="AE43" i="52" s="1"/>
  <c r="E10" i="47"/>
  <c r="C34" i="46"/>
  <c r="C36" i="46" s="1"/>
  <c r="C37" i="46" s="1"/>
  <c r="C38" i="46" s="1"/>
  <c r="D34" i="46" s="1"/>
  <c r="AF55" i="46"/>
  <c r="AG51" i="46" s="1"/>
  <c r="AG53" i="46" s="1"/>
  <c r="AG54" i="46" s="1"/>
  <c r="AI47" i="46"/>
  <c r="AJ43" i="46" s="1"/>
  <c r="M10" i="48"/>
  <c r="M11" i="48"/>
  <c r="O11" i="48"/>
  <c r="O10" i="48"/>
  <c r="O12" i="48" s="1"/>
  <c r="AA11" i="48"/>
  <c r="AA10" i="48"/>
  <c r="E11" i="47"/>
  <c r="E12" i="47"/>
  <c r="U10" i="48"/>
  <c r="U11" i="48"/>
  <c r="I10" i="48"/>
  <c r="I11" i="48"/>
  <c r="AM12" i="47"/>
  <c r="AM11" i="47"/>
  <c r="O11" i="47"/>
  <c r="O12" i="47"/>
  <c r="P11" i="47"/>
  <c r="P12" i="47"/>
  <c r="W12" i="47"/>
  <c r="W11" i="47"/>
  <c r="N12" i="47"/>
  <c r="N11" i="47"/>
  <c r="AB11" i="47"/>
  <c r="AB12" i="47"/>
  <c r="AD11" i="47"/>
  <c r="AD12" i="47"/>
  <c r="N10" i="48"/>
  <c r="N11" i="48"/>
  <c r="K12" i="47"/>
  <c r="K11" i="47"/>
  <c r="J11" i="47"/>
  <c r="J12" i="47"/>
  <c r="V11" i="48"/>
  <c r="V10" i="48"/>
  <c r="L12" i="47"/>
  <c r="L11" i="47"/>
  <c r="AU12" i="47"/>
  <c r="AU11" i="47"/>
  <c r="AV11" i="47"/>
  <c r="AV12" i="47"/>
  <c r="X12" i="47"/>
  <c r="X11" i="47"/>
  <c r="AW12" i="47"/>
  <c r="AW11" i="47"/>
  <c r="AJ11" i="47"/>
  <c r="AJ12" i="47"/>
  <c r="AD11" i="48"/>
  <c r="AD10" i="48"/>
  <c r="Y12" i="47"/>
  <c r="Y11" i="47"/>
  <c r="AT11" i="47"/>
  <c r="AT12" i="47"/>
  <c r="Y10" i="48"/>
  <c r="Y11" i="48"/>
  <c r="AR11" i="47"/>
  <c r="AR12" i="47"/>
  <c r="AE11" i="48"/>
  <c r="AE10" i="48"/>
  <c r="AE12" i="48" s="1"/>
  <c r="AN11" i="47"/>
  <c r="AN12" i="47"/>
  <c r="W10" i="48"/>
  <c r="W11" i="48"/>
  <c r="F10" i="48"/>
  <c r="F11" i="48"/>
  <c r="AI12" i="47"/>
  <c r="AI11" i="47"/>
  <c r="F11" i="47"/>
  <c r="F12" i="47"/>
  <c r="V12" i="47"/>
  <c r="V11" i="47"/>
  <c r="G11" i="47"/>
  <c r="G12" i="47"/>
  <c r="M12" i="47"/>
  <c r="M11" i="47"/>
  <c r="AL12" i="47"/>
  <c r="AL11" i="47"/>
  <c r="S11" i="47"/>
  <c r="S12" i="47"/>
  <c r="G11" i="48"/>
  <c r="G10" i="48"/>
  <c r="AH12" i="47"/>
  <c r="AH11" i="47"/>
  <c r="AQ11" i="47"/>
  <c r="AQ12" i="47"/>
  <c r="AB10" i="48"/>
  <c r="AB11" i="48"/>
  <c r="AE11" i="47"/>
  <c r="AE12" i="47"/>
  <c r="AF11" i="47"/>
  <c r="AF12" i="47"/>
  <c r="U11" i="47"/>
  <c r="U12" i="47"/>
  <c r="AH11" i="48"/>
  <c r="AH10" i="48"/>
  <c r="X10" i="48"/>
  <c r="X11" i="48"/>
  <c r="J11" i="48"/>
  <c r="J10" i="48"/>
  <c r="AG10" i="48"/>
  <c r="AG11" i="48"/>
  <c r="T10" i="48"/>
  <c r="T11" i="48"/>
  <c r="L10" i="48"/>
  <c r="L11" i="48"/>
  <c r="AS11" i="47"/>
  <c r="AS12" i="47"/>
  <c r="AP11" i="47"/>
  <c r="AP12" i="47"/>
  <c r="H10" i="48"/>
  <c r="H11" i="48"/>
  <c r="H12" i="47"/>
  <c r="H11" i="47"/>
  <c r="Q11" i="48"/>
  <c r="Q10" i="48"/>
  <c r="AO11" i="47"/>
  <c r="AO12" i="47"/>
  <c r="P11" i="48"/>
  <c r="P10" i="48"/>
  <c r="AF10" i="48"/>
  <c r="AF11" i="48"/>
  <c r="AK12" i="47"/>
  <c r="AK11" i="47"/>
  <c r="AC11" i="48"/>
  <c r="AC10" i="48"/>
  <c r="AC12" i="48" s="1"/>
  <c r="Z10" i="48"/>
  <c r="Z11" i="48"/>
  <c r="AG12" i="47"/>
  <c r="AG11" i="47"/>
  <c r="I11" i="47"/>
  <c r="I12" i="47"/>
  <c r="T12" i="47"/>
  <c r="T11" i="47"/>
  <c r="Q11" i="47"/>
  <c r="Q12" i="47"/>
  <c r="S10" i="48"/>
  <c r="S11" i="48"/>
  <c r="R10" i="48"/>
  <c r="R11" i="48"/>
  <c r="R11" i="47"/>
  <c r="R12" i="47"/>
  <c r="AC12" i="47"/>
  <c r="AC11" i="47"/>
  <c r="AA12" i="47"/>
  <c r="AA11" i="47"/>
  <c r="K11" i="48"/>
  <c r="K10" i="48"/>
  <c r="Z12" i="47"/>
  <c r="Z11" i="47"/>
  <c r="AE45" i="52" l="1"/>
  <c r="AE46" i="52" s="1"/>
  <c r="AD53" i="52"/>
  <c r="AD54" i="52" s="1"/>
  <c r="D36" i="46"/>
  <c r="D37" i="46" s="1"/>
  <c r="D38" i="46" s="1"/>
  <c r="E34" i="46" s="1"/>
  <c r="AG55" i="46"/>
  <c r="AH51" i="46" s="1"/>
  <c r="AJ45" i="46"/>
  <c r="AJ46" i="46" s="1"/>
  <c r="AM13" i="47"/>
  <c r="AM14" i="47" s="1"/>
  <c r="AM16" i="47" s="1"/>
  <c r="AM17" i="47" s="1"/>
  <c r="AG13" i="47"/>
  <c r="AG14" i="47" s="1"/>
  <c r="AG16" i="47" s="1"/>
  <c r="AG17" i="47" s="1"/>
  <c r="AI13" i="47"/>
  <c r="AI14" i="47" s="1"/>
  <c r="AI16" i="47" s="1"/>
  <c r="AI17" i="47" s="1"/>
  <c r="X12" i="48"/>
  <c r="Y13" i="47"/>
  <c r="Y14" i="47" s="1"/>
  <c r="Y16" i="47" s="1"/>
  <c r="Y17" i="47" s="1"/>
  <c r="AL13" i="47"/>
  <c r="AL14" i="47" s="1"/>
  <c r="AL16" i="47" s="1"/>
  <c r="AL17" i="47" s="1"/>
  <c r="X13" i="47"/>
  <c r="X14" i="47" s="1"/>
  <c r="X16" i="47" s="1"/>
  <c r="X17" i="47" s="1"/>
  <c r="AG12" i="48"/>
  <c r="AG13" i="48" s="1"/>
  <c r="AG15" i="48" s="1"/>
  <c r="AG16" i="48" s="1"/>
  <c r="V12" i="48"/>
  <c r="AR13" i="47"/>
  <c r="AR14" i="47" s="1"/>
  <c r="AR16" i="47" s="1"/>
  <c r="AR17" i="47" s="1"/>
  <c r="Z13" i="47"/>
  <c r="Z14" i="47" s="1"/>
  <c r="Z16" i="47" s="1"/>
  <c r="Z17" i="47" s="1"/>
  <c r="H13" i="47"/>
  <c r="H14" i="47" s="1"/>
  <c r="H16" i="47" s="1"/>
  <c r="H17" i="47" s="1"/>
  <c r="K13" i="47"/>
  <c r="K14" i="47" s="1"/>
  <c r="K16" i="47" s="1"/>
  <c r="K17" i="47" s="1"/>
  <c r="AA12" i="48"/>
  <c r="AA13" i="48" s="1"/>
  <c r="AA15" i="48" s="1"/>
  <c r="AA16" i="48" s="1"/>
  <c r="AS13" i="47"/>
  <c r="AS14" i="47" s="1"/>
  <c r="AS16" i="47" s="1"/>
  <c r="AS17" i="47" s="1"/>
  <c r="V13" i="47"/>
  <c r="V14" i="47" s="1"/>
  <c r="V16" i="47" s="1"/>
  <c r="V17" i="47" s="1"/>
  <c r="I12" i="48"/>
  <c r="I13" i="48" s="1"/>
  <c r="I15" i="48" s="1"/>
  <c r="I16" i="48" s="1"/>
  <c r="G12" i="48"/>
  <c r="G13" i="48" s="1"/>
  <c r="G15" i="48" s="1"/>
  <c r="G16" i="48" s="1"/>
  <c r="Z12" i="48"/>
  <c r="Z13" i="48" s="1"/>
  <c r="Z15" i="48" s="1"/>
  <c r="Z16" i="48" s="1"/>
  <c r="I13" i="47"/>
  <c r="I14" i="47" s="1"/>
  <c r="I16" i="47" s="1"/>
  <c r="I17" i="47" s="1"/>
  <c r="AB12" i="48"/>
  <c r="AB13" i="48" s="1"/>
  <c r="AB15" i="48" s="1"/>
  <c r="AB16" i="48" s="1"/>
  <c r="E16" i="48"/>
  <c r="N13" i="47"/>
  <c r="N14" i="47" s="1"/>
  <c r="N16" i="47" s="1"/>
  <c r="N17" i="47" s="1"/>
  <c r="R12" i="48"/>
  <c r="R13" i="48" s="1"/>
  <c r="R15" i="48" s="1"/>
  <c r="R16" i="48" s="1"/>
  <c r="Q12" i="48"/>
  <c r="Q13" i="48" s="1"/>
  <c r="Q15" i="48" s="1"/>
  <c r="Q16" i="48" s="1"/>
  <c r="S13" i="47"/>
  <c r="S14" i="47" s="1"/>
  <c r="S16" i="47" s="1"/>
  <c r="S17" i="47" s="1"/>
  <c r="K12" i="48"/>
  <c r="K13" i="48" s="1"/>
  <c r="K15" i="48" s="1"/>
  <c r="K16" i="48" s="1"/>
  <c r="Q13" i="47"/>
  <c r="Q14" i="47" s="1"/>
  <c r="Q16" i="47" s="1"/>
  <c r="Q17" i="47" s="1"/>
  <c r="AK13" i="47"/>
  <c r="AK14" i="47" s="1"/>
  <c r="AK16" i="47" s="1"/>
  <c r="AK17" i="47" s="1"/>
  <c r="AT13" i="47"/>
  <c r="AT14" i="47" s="1"/>
  <c r="AT16" i="47" s="1"/>
  <c r="AT17" i="47" s="1"/>
  <c r="P13" i="47"/>
  <c r="P14" i="47" s="1"/>
  <c r="P16" i="47" s="1"/>
  <c r="P17" i="47" s="1"/>
  <c r="AA13" i="47"/>
  <c r="AA14" i="47" s="1"/>
  <c r="AA16" i="47" s="1"/>
  <c r="AA17" i="47" s="1"/>
  <c r="T13" i="47"/>
  <c r="T14" i="47" s="1"/>
  <c r="T16" i="47" s="1"/>
  <c r="T17" i="47" s="1"/>
  <c r="AP13" i="47"/>
  <c r="AP14" i="47" s="1"/>
  <c r="AP16" i="47" s="1"/>
  <c r="AP17" i="47" s="1"/>
  <c r="AD13" i="47"/>
  <c r="AD14" i="47" s="1"/>
  <c r="AD16" i="47" s="1"/>
  <c r="AD17" i="47" s="1"/>
  <c r="AC13" i="47"/>
  <c r="AC14" i="47" s="1"/>
  <c r="AC16" i="47" s="1"/>
  <c r="AC17" i="47" s="1"/>
  <c r="P12" i="48"/>
  <c r="P13" i="48" s="1"/>
  <c r="P15" i="48" s="1"/>
  <c r="P16" i="48" s="1"/>
  <c r="AH13" i="47"/>
  <c r="AH14" i="47" s="1"/>
  <c r="AH16" i="47" s="1"/>
  <c r="AH17" i="47" s="1"/>
  <c r="AD12" i="48"/>
  <c r="AD13" i="48" s="1"/>
  <c r="AD15" i="48" s="1"/>
  <c r="AD16" i="48" s="1"/>
  <c r="O13" i="48"/>
  <c r="O15" i="48" s="1"/>
  <c r="O16" i="48" s="1"/>
  <c r="F12" i="48"/>
  <c r="AW13" i="47"/>
  <c r="J13" i="47"/>
  <c r="AF12" i="48"/>
  <c r="AQ13" i="47"/>
  <c r="G13" i="47"/>
  <c r="U12" i="48"/>
  <c r="AH12" i="48"/>
  <c r="Y12" i="48"/>
  <c r="W13" i="47"/>
  <c r="E13" i="47"/>
  <c r="E14" i="47" s="1"/>
  <c r="E16" i="47" s="1"/>
  <c r="E17" i="47" s="1"/>
  <c r="W12" i="48"/>
  <c r="AV13" i="47"/>
  <c r="N12" i="48"/>
  <c r="U13" i="47"/>
  <c r="F13" i="47"/>
  <c r="X13" i="48"/>
  <c r="X15" i="48" s="1"/>
  <c r="X16" i="48" s="1"/>
  <c r="R13" i="47"/>
  <c r="L12" i="48"/>
  <c r="AU13" i="47"/>
  <c r="AO13" i="47"/>
  <c r="T12" i="48"/>
  <c r="AF13" i="47"/>
  <c r="AE13" i="48"/>
  <c r="AE15" i="48" s="1"/>
  <c r="AE16" i="48" s="1"/>
  <c r="O13" i="47"/>
  <c r="S12" i="48"/>
  <c r="AN13" i="47"/>
  <c r="L13" i="47"/>
  <c r="AE13" i="47"/>
  <c r="V13" i="48"/>
  <c r="V15" i="48" s="1"/>
  <c r="V16" i="48" s="1"/>
  <c r="AB13" i="47"/>
  <c r="AC13" i="48"/>
  <c r="AC15" i="48" s="1"/>
  <c r="AC16" i="48" s="1"/>
  <c r="H12" i="48"/>
  <c r="J12" i="48"/>
  <c r="M13" i="47"/>
  <c r="AJ13" i="47"/>
  <c r="M12" i="48"/>
  <c r="AD55" i="52" l="1"/>
  <c r="AE51" i="52" s="1"/>
  <c r="AE47" i="52"/>
  <c r="E36" i="46"/>
  <c r="E37" i="46" s="1"/>
  <c r="AH53" i="46"/>
  <c r="AH54" i="46" s="1"/>
  <c r="AJ47" i="46"/>
  <c r="AK43" i="46" s="1"/>
  <c r="AV14" i="47"/>
  <c r="AV16" i="47" s="1"/>
  <c r="AV17" i="47" s="1"/>
  <c r="J14" i="47"/>
  <c r="J16" i="47" s="1"/>
  <c r="J17" i="47" s="1"/>
  <c r="AH13" i="48"/>
  <c r="AH15" i="48" s="1"/>
  <c r="AH16" i="48" s="1"/>
  <c r="W13" i="48"/>
  <c r="W15" i="48" s="1"/>
  <c r="W16" i="48" s="1"/>
  <c r="AW14" i="47"/>
  <c r="AW16" i="47" s="1"/>
  <c r="AW17" i="47" s="1"/>
  <c r="O14" i="47"/>
  <c r="O16" i="47" s="1"/>
  <c r="O17" i="47" s="1"/>
  <c r="F14" i="47"/>
  <c r="F16" i="47" s="1"/>
  <c r="F17" i="47" s="1"/>
  <c r="F13" i="48"/>
  <c r="F15" i="48" s="1"/>
  <c r="F16" i="48" s="1"/>
  <c r="M13" i="48"/>
  <c r="M15" i="48" s="1"/>
  <c r="M16" i="48" s="1"/>
  <c r="U14" i="47"/>
  <c r="U16" i="47" s="1"/>
  <c r="U17" i="47" s="1"/>
  <c r="AU14" i="47"/>
  <c r="AU16" i="47" s="1"/>
  <c r="AU17" i="47" s="1"/>
  <c r="AJ14" i="47"/>
  <c r="AJ16" i="47" s="1"/>
  <c r="AJ17" i="47" s="1"/>
  <c r="L13" i="48"/>
  <c r="L15" i="48" s="1"/>
  <c r="L16" i="48" s="1"/>
  <c r="U13" i="48"/>
  <c r="U15" i="48" s="1"/>
  <c r="U16" i="48" s="1"/>
  <c r="M14" i="47"/>
  <c r="M16" i="47" s="1"/>
  <c r="M17" i="47" s="1"/>
  <c r="AB14" i="47"/>
  <c r="AB16" i="47" s="1"/>
  <c r="AB17" i="47" s="1"/>
  <c r="AF14" i="47"/>
  <c r="AF16" i="47" s="1"/>
  <c r="AF17" i="47" s="1"/>
  <c r="R14" i="47"/>
  <c r="R16" i="47" s="1"/>
  <c r="R17" i="47" s="1"/>
  <c r="N13" i="48"/>
  <c r="N15" i="48" s="1"/>
  <c r="N16" i="48" s="1"/>
  <c r="J13" i="48"/>
  <c r="J15" i="48" s="1"/>
  <c r="J16" i="48" s="1"/>
  <c r="S13" i="48"/>
  <c r="S15" i="48" s="1"/>
  <c r="S16" i="48" s="1"/>
  <c r="T13" i="48"/>
  <c r="T15" i="48" s="1"/>
  <c r="T16" i="48" s="1"/>
  <c r="H13" i="48"/>
  <c r="H15" i="48" s="1"/>
  <c r="H16" i="48" s="1"/>
  <c r="G14" i="47"/>
  <c r="G16" i="47" s="1"/>
  <c r="G17" i="47" s="1"/>
  <c r="AE14" i="47"/>
  <c r="AE16" i="47" s="1"/>
  <c r="AE17" i="47" s="1"/>
  <c r="AO14" i="47"/>
  <c r="AO16" i="47" s="1"/>
  <c r="AO17" i="47" s="1"/>
  <c r="AQ14" i="47"/>
  <c r="AQ16" i="47" s="1"/>
  <c r="AQ17" i="47" s="1"/>
  <c r="L14" i="47"/>
  <c r="L16" i="47" s="1"/>
  <c r="L17" i="47" s="1"/>
  <c r="W14" i="47"/>
  <c r="W16" i="47" s="1"/>
  <c r="W17" i="47" s="1"/>
  <c r="AF13" i="48"/>
  <c r="AF15" i="48" s="1"/>
  <c r="AF16" i="48" s="1"/>
  <c r="AN14" i="47"/>
  <c r="AN16" i="47" s="1"/>
  <c r="AN17" i="47" s="1"/>
  <c r="Y13" i="48"/>
  <c r="Y15" i="48" s="1"/>
  <c r="Y16" i="48" s="1"/>
  <c r="L46" i="2"/>
  <c r="C46" i="2" s="1"/>
  <c r="E46" i="2" s="1"/>
  <c r="M31" i="2"/>
  <c r="D31" i="2" s="1"/>
  <c r="F31" i="2" s="1"/>
  <c r="M32" i="2"/>
  <c r="D32" i="2" s="1"/>
  <c r="F32" i="2" s="1"/>
  <c r="L47" i="2"/>
  <c r="C47" i="2" s="1"/>
  <c r="E47" i="2" s="1"/>
  <c r="AE53" i="52" l="1"/>
  <c r="AE54" i="52" s="1"/>
  <c r="E38" i="46"/>
  <c r="F34" i="46" s="1"/>
  <c r="F36" i="46" s="1"/>
  <c r="F37" i="46" s="1"/>
  <c r="F38" i="46" s="1"/>
  <c r="G34" i="46" s="1"/>
  <c r="AH55" i="46"/>
  <c r="AI51" i="46" s="1"/>
  <c r="AK45" i="46"/>
  <c r="AK46" i="46" s="1"/>
  <c r="AT2" i="48" a="1"/>
  <c r="Q33" i="47"/>
  <c r="W33" i="47"/>
  <c r="E33" i="47"/>
  <c r="AB33" i="47"/>
  <c r="P33" i="47"/>
  <c r="J33" i="47"/>
  <c r="I33" i="47"/>
  <c r="Z33" i="47"/>
  <c r="G33" i="47"/>
  <c r="R33" i="47"/>
  <c r="M33" i="47"/>
  <c r="F33" i="47"/>
  <c r="K33" i="47"/>
  <c r="U33" i="47"/>
  <c r="T33" i="47"/>
  <c r="O33" i="47"/>
  <c r="Y33" i="47"/>
  <c r="V33" i="47"/>
  <c r="AA33" i="47"/>
  <c r="S33" i="47"/>
  <c r="AC33" i="47"/>
  <c r="X33" i="47"/>
  <c r="L33" i="47"/>
  <c r="H33" i="47"/>
  <c r="N33" i="47"/>
  <c r="BI2" i="47" a="1"/>
  <c r="AE55" i="52" l="1"/>
  <c r="G36" i="46"/>
  <c r="G37" i="46" s="1"/>
  <c r="AI53" i="46"/>
  <c r="AI54" i="46" s="1"/>
  <c r="AK47" i="46"/>
  <c r="AL43" i="46" s="1"/>
  <c r="BI2" i="47"/>
  <c r="L3" i="2" s="1"/>
  <c r="C3" i="2" s="1"/>
  <c r="E3" i="2" s="1"/>
  <c r="L41" i="2"/>
  <c r="C41" i="2" s="1"/>
  <c r="E41" i="2" s="1"/>
  <c r="L29" i="2"/>
  <c r="C29" i="2" s="1"/>
  <c r="E29" i="2" s="1"/>
  <c r="L19" i="2"/>
  <c r="C19" i="2" s="1"/>
  <c r="E19" i="2" s="1"/>
  <c r="L31" i="2"/>
  <c r="C31" i="2" s="1"/>
  <c r="E31" i="2" s="1"/>
  <c r="L37" i="2"/>
  <c r="C37" i="2" s="1"/>
  <c r="E37" i="2" s="1"/>
  <c r="L42" i="2"/>
  <c r="C42" i="2" s="1"/>
  <c r="E42" i="2" s="1"/>
  <c r="L32" i="2"/>
  <c r="C32" i="2" s="1"/>
  <c r="E32" i="2" s="1"/>
  <c r="L4" i="2"/>
  <c r="C4" i="2" s="1"/>
  <c r="E4" i="2" s="1"/>
  <c r="L22" i="2"/>
  <c r="C22" i="2" s="1"/>
  <c r="E22" i="2" s="1"/>
  <c r="L8" i="2"/>
  <c r="C8" i="2" s="1"/>
  <c r="E8" i="2" s="1"/>
  <c r="L25" i="2"/>
  <c r="C25" i="2" s="1"/>
  <c r="E25" i="2" s="1"/>
  <c r="L33" i="2"/>
  <c r="C33" i="2" s="1"/>
  <c r="E33" i="2" s="1"/>
  <c r="L23" i="2"/>
  <c r="C23" i="2" s="1"/>
  <c r="E23" i="2" s="1"/>
  <c r="L24" i="2"/>
  <c r="C24" i="2" s="1"/>
  <c r="E24" i="2" s="1"/>
  <c r="L14" i="2"/>
  <c r="C14" i="2" s="1"/>
  <c r="E14" i="2" s="1"/>
  <c r="L17" i="2"/>
  <c r="C17" i="2" s="1"/>
  <c r="E17" i="2" s="1"/>
  <c r="L39" i="2"/>
  <c r="C39" i="2" s="1"/>
  <c r="E39" i="2" s="1"/>
  <c r="L10" i="2"/>
  <c r="C10" i="2" s="1"/>
  <c r="E10" i="2" s="1"/>
  <c r="L40" i="2"/>
  <c r="C40" i="2" s="1"/>
  <c r="E40" i="2" s="1"/>
  <c r="L36" i="2"/>
  <c r="C36" i="2" s="1"/>
  <c r="E36" i="2" s="1"/>
  <c r="L7" i="2"/>
  <c r="C7" i="2" s="1"/>
  <c r="E7" i="2" s="1"/>
  <c r="L43" i="2"/>
  <c r="C43" i="2" s="1"/>
  <c r="E43" i="2" s="1"/>
  <c r="L15" i="2"/>
  <c r="C15" i="2" s="1"/>
  <c r="E15" i="2" s="1"/>
  <c r="L6" i="2"/>
  <c r="C6" i="2" s="1"/>
  <c r="E6" i="2" s="1"/>
  <c r="L12" i="2"/>
  <c r="C12" i="2" s="1"/>
  <c r="E12" i="2" s="1"/>
  <c r="L28" i="2"/>
  <c r="C28" i="2" s="1"/>
  <c r="E28" i="2" s="1"/>
  <c r="L11" i="2"/>
  <c r="C11" i="2" s="1"/>
  <c r="E11" i="2" s="1"/>
  <c r="L34" i="2"/>
  <c r="C34" i="2" s="1"/>
  <c r="E34" i="2" s="1"/>
  <c r="L35" i="2"/>
  <c r="C35" i="2" s="1"/>
  <c r="E35" i="2" s="1"/>
  <c r="L44" i="2"/>
  <c r="C44" i="2" s="1"/>
  <c r="E44" i="2" s="1"/>
  <c r="L13" i="2"/>
  <c r="C13" i="2" s="1"/>
  <c r="E13" i="2" s="1"/>
  <c r="L45" i="2"/>
  <c r="C45" i="2" s="1"/>
  <c r="E45" i="2" s="1"/>
  <c r="L27" i="2"/>
  <c r="C27" i="2" s="1"/>
  <c r="E27" i="2" s="1"/>
  <c r="L20" i="2"/>
  <c r="L21" i="2"/>
  <c r="C21" i="2" s="1"/>
  <c r="E21" i="2" s="1"/>
  <c r="L9" i="2"/>
  <c r="C9" i="2" s="1"/>
  <c r="E9" i="2" s="1"/>
  <c r="L5" i="2"/>
  <c r="C5" i="2" s="1"/>
  <c r="E5" i="2" s="1"/>
  <c r="L38" i="2"/>
  <c r="C38" i="2" s="1"/>
  <c r="E38" i="2" s="1"/>
  <c r="L26" i="2"/>
  <c r="C26" i="2" s="1"/>
  <c r="E26" i="2" s="1"/>
  <c r="L18" i="2"/>
  <c r="C18" i="2" s="1"/>
  <c r="E18" i="2" s="1"/>
  <c r="L30" i="2"/>
  <c r="C30" i="2" s="1"/>
  <c r="E30" i="2" s="1"/>
  <c r="L16" i="2"/>
  <c r="C16" i="2" s="1"/>
  <c r="E16" i="2" s="1"/>
  <c r="B17" i="49"/>
  <c r="B18" i="49" s="1"/>
  <c r="M15" i="2"/>
  <c r="D15" i="2" s="1"/>
  <c r="F15" i="2" s="1"/>
  <c r="M19" i="2"/>
  <c r="D19" i="2" s="1"/>
  <c r="F19" i="2" s="1"/>
  <c r="M12" i="2"/>
  <c r="D12" i="2" s="1"/>
  <c r="F12" i="2" s="1"/>
  <c r="M16" i="2"/>
  <c r="D16" i="2" s="1"/>
  <c r="F16" i="2" s="1"/>
  <c r="M29" i="2"/>
  <c r="D29" i="2" s="1"/>
  <c r="F29" i="2" s="1"/>
  <c r="AT2" i="48"/>
  <c r="M3" i="2" s="1"/>
  <c r="D3" i="2" s="1"/>
  <c r="F3" i="2" s="1"/>
  <c r="M7" i="2"/>
  <c r="D7" i="2" s="1"/>
  <c r="F7" i="2" s="1"/>
  <c r="M27" i="2"/>
  <c r="D27" i="2" s="1"/>
  <c r="F27" i="2" s="1"/>
  <c r="M24" i="2"/>
  <c r="D24" i="2" s="1"/>
  <c r="F24" i="2" s="1"/>
  <c r="M5" i="2"/>
  <c r="D5" i="2" s="1"/>
  <c r="F5" i="2" s="1"/>
  <c r="M25" i="2"/>
  <c r="D25" i="2" s="1"/>
  <c r="F25" i="2" s="1"/>
  <c r="M4" i="2"/>
  <c r="D4" i="2" s="1"/>
  <c r="F4" i="2" s="1"/>
  <c r="M8" i="2"/>
  <c r="D8" i="2" s="1"/>
  <c r="F8" i="2" s="1"/>
  <c r="M13" i="2"/>
  <c r="D13" i="2" s="1"/>
  <c r="F13" i="2" s="1"/>
  <c r="M14" i="2"/>
  <c r="D14" i="2" s="1"/>
  <c r="F14" i="2" s="1"/>
  <c r="M26" i="2"/>
  <c r="D26" i="2" s="1"/>
  <c r="F26" i="2" s="1"/>
  <c r="M17" i="2"/>
  <c r="D17" i="2" s="1"/>
  <c r="F17" i="2" s="1"/>
  <c r="M20" i="2"/>
  <c r="D20" i="2" s="1"/>
  <c r="F20" i="2" s="1"/>
  <c r="M28" i="2"/>
  <c r="D28" i="2" s="1"/>
  <c r="F28" i="2" s="1"/>
  <c r="M21" i="2"/>
  <c r="D21" i="2" s="1"/>
  <c r="F21" i="2" s="1"/>
  <c r="M22" i="2"/>
  <c r="D22" i="2" s="1"/>
  <c r="F22" i="2" s="1"/>
  <c r="M9" i="2"/>
  <c r="D9" i="2" s="1"/>
  <c r="F9" i="2" s="1"/>
  <c r="M10" i="2"/>
  <c r="D10" i="2" s="1"/>
  <c r="F10" i="2" s="1"/>
  <c r="M11" i="2"/>
  <c r="D11" i="2" s="1"/>
  <c r="F11" i="2" s="1"/>
  <c r="M6" i="2"/>
  <c r="D6" i="2" s="1"/>
  <c r="F6" i="2" s="1"/>
  <c r="M18" i="2"/>
  <c r="D18" i="2" s="1"/>
  <c r="F18" i="2" s="1"/>
  <c r="M30" i="2"/>
  <c r="D30" i="2" s="1"/>
  <c r="F30" i="2" s="1"/>
  <c r="M23" i="2"/>
  <c r="D23" i="2" s="1"/>
  <c r="F23" i="2" s="1"/>
  <c r="G38" i="46" l="1"/>
  <c r="H34" i="46" s="1"/>
  <c r="H36" i="46"/>
  <c r="H37" i="46" s="1"/>
  <c r="AI55" i="46"/>
  <c r="AJ51" i="46" s="1"/>
  <c r="AL45" i="46"/>
  <c r="AL46" i="46" s="1"/>
  <c r="C20" i="2"/>
  <c r="E20" i="2" s="1"/>
  <c r="K34" i="48"/>
  <c r="K35" i="48" s="1"/>
  <c r="T34" i="48"/>
  <c r="T35" i="48" s="1"/>
  <c r="Z34" i="48"/>
  <c r="Z35" i="48" s="1"/>
  <c r="V34" i="48"/>
  <c r="V35" i="48" s="1"/>
  <c r="B19" i="49"/>
  <c r="J34" i="48"/>
  <c r="J35" i="48" s="1"/>
  <c r="G34" i="48"/>
  <c r="G35" i="48" s="1"/>
  <c r="U34" i="48"/>
  <c r="U35" i="48" s="1"/>
  <c r="F34" i="48"/>
  <c r="F35" i="48" s="1"/>
  <c r="W34" i="48"/>
  <c r="W35" i="48" s="1"/>
  <c r="AA34" i="48"/>
  <c r="AA35" i="48" s="1"/>
  <c r="Q34" i="48"/>
  <c r="Q35" i="48" s="1"/>
  <c r="P34" i="48"/>
  <c r="P35" i="48" s="1"/>
  <c r="O34" i="48"/>
  <c r="O35" i="48" s="1"/>
  <c r="S34" i="48"/>
  <c r="S35" i="48" s="1"/>
  <c r="H34" i="48"/>
  <c r="H35" i="48" s="1"/>
  <c r="Y34" i="48"/>
  <c r="Y35" i="48" s="1"/>
  <c r="M34" i="48"/>
  <c r="M35" i="48" s="1"/>
  <c r="N34" i="48"/>
  <c r="N35" i="48" s="1"/>
  <c r="AB34" i="48"/>
  <c r="AB35" i="48" s="1"/>
  <c r="R34" i="48"/>
  <c r="R35" i="48" s="1"/>
  <c r="I34" i="48"/>
  <c r="I35" i="48" s="1"/>
  <c r="X34" i="48"/>
  <c r="X35" i="48" s="1"/>
  <c r="AC34" i="48"/>
  <c r="AC35" i="48" s="1"/>
  <c r="L34" i="48"/>
  <c r="L35" i="48" s="1"/>
  <c r="F3" i="33"/>
  <c r="J3" i="33"/>
  <c r="W3" i="33"/>
  <c r="U3" i="33"/>
  <c r="I3" i="33"/>
  <c r="G3" i="33"/>
  <c r="L3" i="33"/>
  <c r="AD3" i="33"/>
  <c r="AB3" i="33"/>
  <c r="P3" i="33"/>
  <c r="E3" i="33"/>
  <c r="H3" i="33"/>
  <c r="AN3" i="33"/>
  <c r="AH3" i="33"/>
  <c r="AC3" i="33"/>
  <c r="AQ3" i="33"/>
  <c r="AT3" i="33"/>
  <c r="AV3" i="33"/>
  <c r="AY3" i="33"/>
  <c r="Y3" i="33"/>
  <c r="C3" i="30" a="1"/>
  <c r="C3" i="30" s="1"/>
  <c r="AS3" i="33"/>
  <c r="AE3" i="33"/>
  <c r="AJ3" i="33"/>
  <c r="O3" i="33"/>
  <c r="K3" i="33"/>
  <c r="M3" i="33"/>
  <c r="Q3" i="33"/>
  <c r="Z3" i="33"/>
  <c r="AO3" i="33"/>
  <c r="AF3" i="33"/>
  <c r="C3" i="33"/>
  <c r="AG3" i="33"/>
  <c r="T3" i="33"/>
  <c r="AW3" i="33"/>
  <c r="AP3" i="33"/>
  <c r="AA3" i="33"/>
  <c r="S3" i="33"/>
  <c r="V3" i="33"/>
  <c r="AR3" i="33"/>
  <c r="R3" i="33"/>
  <c r="N3" i="33"/>
  <c r="AZ3" i="33"/>
  <c r="B3" i="33"/>
  <c r="AX3" i="33"/>
  <c r="AU3" i="33"/>
  <c r="AL3" i="33"/>
  <c r="X3" i="33"/>
  <c r="D3" i="33"/>
  <c r="AM3" i="33"/>
  <c r="AK3" i="33"/>
  <c r="AI3" i="33"/>
  <c r="E2" i="33"/>
  <c r="C2" i="33"/>
  <c r="D2" i="33"/>
  <c r="B2" i="33"/>
  <c r="N2" i="33"/>
  <c r="L2" i="33"/>
  <c r="R2" i="33"/>
  <c r="G2" i="33"/>
  <c r="Q2" i="33"/>
  <c r="M2" i="33"/>
  <c r="J2" i="33"/>
  <c r="I2" i="33"/>
  <c r="K2" i="33"/>
  <c r="O2" i="33"/>
  <c r="F2" i="33"/>
  <c r="H2" i="33"/>
  <c r="P2" i="33"/>
  <c r="C9" i="10" l="1"/>
  <c r="H38" i="46"/>
  <c r="I34" i="46" s="1"/>
  <c r="I36" i="46" s="1"/>
  <c r="I37" i="46" s="1"/>
  <c r="AJ53" i="46"/>
  <c r="AJ54" i="46" s="1"/>
  <c r="AL47" i="46"/>
  <c r="AM43" i="46" s="1"/>
  <c r="AK2" i="33"/>
  <c r="AH2" i="33"/>
  <c r="X2" i="33"/>
  <c r="AY2" i="33"/>
  <c r="AX2" i="33"/>
  <c r="AB2" i="33"/>
  <c r="AU2" i="33"/>
  <c r="AZ2" i="33"/>
  <c r="AM2" i="33"/>
  <c r="S2" i="33"/>
  <c r="AC2" i="33"/>
  <c r="AO2" i="33"/>
  <c r="V2" i="33"/>
  <c r="AI2" i="33"/>
  <c r="U2" i="33"/>
  <c r="AA2" i="33"/>
  <c r="AE2" i="33"/>
  <c r="AN2" i="33"/>
  <c r="W2" i="33"/>
  <c r="AJ2" i="33"/>
  <c r="AG2" i="33"/>
  <c r="AL2" i="33"/>
  <c r="AR2" i="33"/>
  <c r="Y2" i="33"/>
  <c r="AV2" i="33"/>
  <c r="Z2" i="33"/>
  <c r="AS2" i="33"/>
  <c r="AP2" i="33"/>
  <c r="AD2" i="33"/>
  <c r="AW2" i="33"/>
  <c r="C2" i="30" a="1"/>
  <c r="C2" i="30" s="1"/>
  <c r="AF2" i="33"/>
  <c r="T2" i="33"/>
  <c r="AT2" i="33"/>
  <c r="AQ2" i="33"/>
  <c r="I38" i="46" l="1"/>
  <c r="J34" i="46" s="1"/>
  <c r="AJ55" i="46"/>
  <c r="AK51" i="46" s="1"/>
  <c r="AM45" i="46"/>
  <c r="AM46" i="46" s="1"/>
  <c r="AM47" i="46" l="1"/>
  <c r="AN43" i="46" s="1"/>
  <c r="J36" i="46"/>
  <c r="J37" i="46" s="1"/>
  <c r="AK53" i="46"/>
  <c r="AK54" i="46" s="1"/>
  <c r="AN45" i="46"/>
  <c r="AN46" i="46" s="1"/>
  <c r="J38" i="46" l="1"/>
  <c r="K34" i="46" s="1"/>
  <c r="K36" i="46" s="1"/>
  <c r="K37" i="46" s="1"/>
  <c r="K38" i="46" s="1"/>
  <c r="L34" i="46" s="1"/>
  <c r="L36" i="46"/>
  <c r="L37" i="46" s="1"/>
  <c r="AK55" i="46"/>
  <c r="AL51" i="46" s="1"/>
  <c r="AN47" i="46"/>
  <c r="AO43" i="46" s="1"/>
  <c r="L38" i="46" l="1"/>
  <c r="M34" i="46" s="1"/>
  <c r="AL53" i="46"/>
  <c r="AL54" i="46" s="1"/>
  <c r="AO45" i="46"/>
  <c r="AO46" i="46" s="1"/>
  <c r="M36" i="46" l="1"/>
  <c r="M37" i="46" s="1"/>
  <c r="AO47" i="46"/>
  <c r="AP43" i="46" s="1"/>
  <c r="AP45" i="46" s="1"/>
  <c r="AP46" i="46" s="1"/>
  <c r="AL55" i="46"/>
  <c r="AM51" i="46" s="1"/>
  <c r="M38" i="46" l="1"/>
  <c r="N34" i="46" s="1"/>
  <c r="AM53" i="46"/>
  <c r="AM54" i="46" s="1"/>
  <c r="AP47" i="46"/>
  <c r="AQ43" i="46" s="1"/>
  <c r="N36" i="46" l="1"/>
  <c r="N37" i="46" s="1"/>
  <c r="AM55" i="46"/>
  <c r="AN51" i="46" s="1"/>
  <c r="AQ45" i="46"/>
  <c r="AQ46" i="46" s="1"/>
  <c r="N38" i="46" l="1"/>
  <c r="O34" i="46" s="1"/>
  <c r="O36" i="46" s="1"/>
  <c r="O37" i="46" s="1"/>
  <c r="AN53" i="46"/>
  <c r="AN54" i="46" s="1"/>
  <c r="AQ47" i="46"/>
  <c r="AR43" i="46" s="1"/>
  <c r="O38" i="46" l="1"/>
  <c r="P34" i="46" s="1"/>
  <c r="AN55" i="46"/>
  <c r="AO51" i="46" s="1"/>
  <c r="AR45" i="46"/>
  <c r="AR46" i="46" s="1"/>
  <c r="P36" i="46" l="1"/>
  <c r="P37" i="46" s="1"/>
  <c r="P38" i="46" s="1"/>
  <c r="Q34" i="46" s="1"/>
  <c r="AO53" i="46"/>
  <c r="AO54" i="46" s="1"/>
  <c r="AR47" i="46"/>
  <c r="AS43" i="46" s="1"/>
  <c r="Q36" i="46" l="1"/>
  <c r="Q37" i="46" s="1"/>
  <c r="AO55" i="46"/>
  <c r="AP51" i="46" s="1"/>
  <c r="AS45" i="46"/>
  <c r="AS46" i="46" s="1"/>
  <c r="Q38" i="46" l="1"/>
  <c r="R34" i="46" s="1"/>
  <c r="AP53" i="46"/>
  <c r="AP54" i="46" s="1"/>
  <c r="AS47" i="46"/>
  <c r="AT43" i="46" s="1"/>
  <c r="R36" i="46" l="1"/>
  <c r="R37" i="46" s="1"/>
  <c r="AP55" i="46"/>
  <c r="AQ51" i="46" s="1"/>
  <c r="AT45" i="46"/>
  <c r="AT46" i="46" s="1"/>
  <c r="AT47" i="46" s="1"/>
  <c r="B29" i="46" s="1"/>
  <c r="B30" i="46" s="1"/>
  <c r="R38" i="46" l="1"/>
  <c r="S34" i="46" s="1"/>
  <c r="AQ53" i="46"/>
  <c r="AQ54" i="46" s="1"/>
  <c r="S36" i="46" l="1"/>
  <c r="S37" i="46" s="1"/>
  <c r="AQ55" i="46"/>
  <c r="AR51" i="46" s="1"/>
  <c r="S38" i="46" l="1"/>
  <c r="T34" i="46" s="1"/>
  <c r="AR53" i="46"/>
  <c r="AR54" i="46" s="1"/>
  <c r="T36" i="46" l="1"/>
  <c r="T37" i="46" s="1"/>
  <c r="AR55" i="46"/>
  <c r="AS51" i="46" s="1"/>
  <c r="T38" i="46" l="1"/>
  <c r="U34" i="46" s="1"/>
  <c r="AS53" i="46"/>
  <c r="AS54" i="46" s="1"/>
  <c r="B13" i="52" l="1"/>
  <c r="B14" i="52" s="1"/>
  <c r="B40" i="52"/>
  <c r="U36" i="46"/>
  <c r="U37" i="46" s="1"/>
  <c r="AS55" i="46"/>
  <c r="AT51" i="46" s="1"/>
  <c r="B18" i="52" l="1"/>
  <c r="B19" i="52" s="1"/>
  <c r="U38" i="46"/>
  <c r="V34" i="46" s="1"/>
  <c r="AT53" i="46"/>
  <c r="AT54" i="46" s="1"/>
  <c r="V36" i="46" l="1"/>
  <c r="V37" i="46" s="1"/>
  <c r="AT55" i="46"/>
  <c r="B17" i="46" s="1"/>
  <c r="B18" i="46" s="1"/>
  <c r="V38" i="46" l="1"/>
  <c r="W34" i="46" s="1"/>
  <c r="W36" i="46" s="1"/>
  <c r="W37" i="46" s="1"/>
  <c r="J30" i="47"/>
  <c r="R30" i="47"/>
  <c r="N30" i="47"/>
  <c r="T30" i="47"/>
  <c r="AB30" i="47"/>
  <c r="AA30" i="47"/>
  <c r="V30" i="47"/>
  <c r="H30" i="47"/>
  <c r="G30" i="47"/>
  <c r="K30" i="47"/>
  <c r="P30" i="47"/>
  <c r="Y30" i="47"/>
  <c r="O30" i="47"/>
  <c r="E30" i="47"/>
  <c r="W30" i="47"/>
  <c r="B19" i="46"/>
  <c r="U30" i="47"/>
  <c r="M30" i="47"/>
  <c r="Z30" i="47"/>
  <c r="Q30" i="47"/>
  <c r="F30" i="47"/>
  <c r="I30" i="47"/>
  <c r="S30" i="47"/>
  <c r="AC30" i="47"/>
  <c r="L30" i="47"/>
  <c r="X30" i="47"/>
  <c r="B30" i="52" l="1"/>
  <c r="B31" i="52" s="1"/>
  <c r="W38" i="46"/>
  <c r="X34" i="46" s="1"/>
  <c r="X36" i="46"/>
  <c r="X37" i="46" s="1"/>
  <c r="X38" i="46" l="1"/>
  <c r="Y34" i="46" s="1"/>
  <c r="Y36" i="46" l="1"/>
  <c r="Y37" i="46" s="1"/>
  <c r="Y38" i="46" l="1"/>
  <c r="Z34" i="46" s="1"/>
  <c r="Z36" i="46"/>
  <c r="Z37" i="46" s="1"/>
  <c r="Z38" i="46" l="1"/>
  <c r="AA34" i="46" s="1"/>
  <c r="AA36" i="46" l="1"/>
  <c r="AA37" i="46" s="1"/>
  <c r="AA38" i="46" l="1"/>
  <c r="AB34" i="46" s="1"/>
  <c r="AB36" i="46" l="1"/>
  <c r="AB37" i="46" s="1"/>
  <c r="AB38" i="46" l="1"/>
  <c r="AC34" i="46" s="1"/>
  <c r="AC36" i="46" l="1"/>
  <c r="AC37" i="46" s="1"/>
  <c r="AC38" i="46" l="1"/>
  <c r="AD34" i="46" s="1"/>
  <c r="AD36" i="46" l="1"/>
  <c r="AD37" i="46" s="1"/>
  <c r="AD38" i="46" l="1"/>
  <c r="AE34" i="46" s="1"/>
  <c r="AE36" i="46"/>
  <c r="AE37" i="46" s="1"/>
  <c r="AE38" i="46" l="1"/>
  <c r="AF34" i="46" s="1"/>
  <c r="AF36" i="46" s="1"/>
  <c r="AF37" i="46" s="1"/>
  <c r="AF38" i="46" l="1"/>
  <c r="AG34" i="46" s="1"/>
  <c r="AG36" i="46" l="1"/>
  <c r="AG37" i="46" s="1"/>
  <c r="AG38" i="46" l="1"/>
  <c r="AH34" i="46" s="1"/>
  <c r="AH36" i="46" l="1"/>
  <c r="AH37" i="46" s="1"/>
  <c r="AH38" i="46" l="1"/>
  <c r="AI34" i="46" s="1"/>
  <c r="AI36" i="46" l="1"/>
  <c r="AI37" i="46" s="1"/>
  <c r="AI38" i="46" l="1"/>
  <c r="AJ34" i="46" s="1"/>
  <c r="AJ36" i="46"/>
  <c r="AJ37" i="46" s="1"/>
  <c r="AJ38" i="46"/>
  <c r="AK34" i="46" s="1"/>
  <c r="AK36" i="46" l="1"/>
  <c r="AK37" i="46" s="1"/>
  <c r="AK38" i="46" l="1"/>
  <c r="AL34" i="46" s="1"/>
  <c r="AL36" i="46"/>
  <c r="AL37" i="46" s="1"/>
  <c r="AL38" i="46" l="1"/>
  <c r="AM34" i="46" s="1"/>
  <c r="AM36" i="46" l="1"/>
  <c r="AM37" i="46" s="1"/>
  <c r="AM38" i="46" l="1"/>
  <c r="AN34" i="46" s="1"/>
  <c r="AN36" i="46" l="1"/>
  <c r="AN37" i="46" s="1"/>
  <c r="AN38" i="46" l="1"/>
  <c r="AO34" i="46" s="1"/>
  <c r="AO36" i="46" l="1"/>
  <c r="AO37" i="46" s="1"/>
  <c r="AO38" i="46" l="1"/>
  <c r="AP34" i="46" s="1"/>
  <c r="AP36" i="46" l="1"/>
  <c r="AP37" i="46" s="1"/>
  <c r="AP38" i="46" l="1"/>
  <c r="AQ34" i="46" s="1"/>
  <c r="AQ36" i="46" l="1"/>
  <c r="AQ37" i="46" s="1"/>
  <c r="AQ38" i="46"/>
  <c r="AR34" i="46" s="1"/>
  <c r="AR36" i="46" l="1"/>
  <c r="AR37" i="46" s="1"/>
  <c r="AR38" i="46" l="1"/>
  <c r="AS34" i="46" s="1"/>
  <c r="AS36" i="46" l="1"/>
  <c r="AS37" i="46" s="1"/>
  <c r="AS38" i="46" l="1"/>
  <c r="AT34" i="46" s="1"/>
  <c r="AT36" i="46" l="1"/>
  <c r="AT37" i="46" s="1"/>
  <c r="AT38" i="46" l="1"/>
  <c r="B12" i="46" s="1"/>
  <c r="B13" i="46" s="1"/>
  <c r="B14" i="46" s="1"/>
  <c r="B40" i="46" l="1"/>
  <c r="H24" i="47"/>
  <c r="J24" i="47"/>
  <c r="AC24" i="47"/>
  <c r="O24" i="47"/>
  <c r="T24" i="47"/>
  <c r="L24" i="47"/>
  <c r="V24" i="47"/>
  <c r="Q24" i="47"/>
  <c r="K24" i="47"/>
  <c r="E24" i="47"/>
  <c r="I24" i="47"/>
  <c r="M24" i="47"/>
  <c r="G24" i="47"/>
  <c r="N24" i="47"/>
  <c r="S24" i="47"/>
  <c r="F24" i="47"/>
  <c r="AB24" i="47"/>
  <c r="R24" i="47"/>
  <c r="X24" i="47"/>
  <c r="Y24" i="47"/>
  <c r="Z24" i="47"/>
  <c r="AA24" i="47"/>
  <c r="W24" i="47"/>
  <c r="P24" i="47"/>
  <c r="U24" i="47"/>
  <c r="V25" i="47" l="1"/>
  <c r="V27" i="47"/>
  <c r="V26" i="47"/>
  <c r="P25" i="47"/>
  <c r="P26" i="47"/>
  <c r="P27" i="47"/>
  <c r="S26" i="47"/>
  <c r="S27" i="47"/>
  <c r="S25" i="47"/>
  <c r="AA26" i="47"/>
  <c r="AA27" i="47"/>
  <c r="AA25" i="47"/>
  <c r="Z27" i="47"/>
  <c r="Z25" i="47"/>
  <c r="Z26" i="47"/>
  <c r="G25" i="47"/>
  <c r="G26" i="47"/>
  <c r="G27" i="47"/>
  <c r="T27" i="47"/>
  <c r="T25" i="47"/>
  <c r="T26" i="47"/>
  <c r="O27" i="47"/>
  <c r="O26" i="47"/>
  <c r="O25" i="47"/>
  <c r="O28" i="47" s="1"/>
  <c r="O29" i="47" s="1"/>
  <c r="O31" i="47" s="1"/>
  <c r="O32" i="47" s="1"/>
  <c r="O34" i="47" s="1"/>
  <c r="O35" i="47" s="1"/>
  <c r="X26" i="47"/>
  <c r="X27" i="47"/>
  <c r="X25" i="47"/>
  <c r="Q25" i="47"/>
  <c r="Q26" i="47"/>
  <c r="Q27" i="47"/>
  <c r="L25" i="47"/>
  <c r="L27" i="47"/>
  <c r="L26" i="47"/>
  <c r="M26" i="47"/>
  <c r="M27" i="47"/>
  <c r="M25" i="47"/>
  <c r="M28" i="47" s="1"/>
  <c r="M29" i="47" s="1"/>
  <c r="M31" i="47" s="1"/>
  <c r="M32" i="47" s="1"/>
  <c r="M34" i="47" s="1"/>
  <c r="M35" i="47" s="1"/>
  <c r="I26" i="47"/>
  <c r="I25" i="47"/>
  <c r="I27" i="47"/>
  <c r="AC27" i="47"/>
  <c r="AC26" i="47"/>
  <c r="AC25" i="47"/>
  <c r="R25" i="47"/>
  <c r="R26" i="47"/>
  <c r="R27" i="47"/>
  <c r="E26" i="47"/>
  <c r="E25" i="47"/>
  <c r="E27" i="47"/>
  <c r="J25" i="47"/>
  <c r="J26" i="47"/>
  <c r="J27" i="47"/>
  <c r="F27" i="47"/>
  <c r="F25" i="47"/>
  <c r="F26" i="47"/>
  <c r="W27" i="47"/>
  <c r="W25" i="47"/>
  <c r="W26" i="47"/>
  <c r="N26" i="47"/>
  <c r="N25" i="47"/>
  <c r="N27" i="47"/>
  <c r="Y25" i="47"/>
  <c r="Y27" i="47"/>
  <c r="Y26" i="47"/>
  <c r="U26" i="47"/>
  <c r="U25" i="47"/>
  <c r="U27" i="47"/>
  <c r="AB27" i="47"/>
  <c r="AB25" i="47"/>
  <c r="AB26" i="47"/>
  <c r="K26" i="47"/>
  <c r="K25" i="47"/>
  <c r="K27" i="47"/>
  <c r="H26" i="47"/>
  <c r="H25" i="47"/>
  <c r="H27" i="47"/>
  <c r="AA28" i="47" l="1"/>
  <c r="AA29" i="47" s="1"/>
  <c r="AA31" i="47" s="1"/>
  <c r="AA32" i="47" s="1"/>
  <c r="AA34" i="47" s="1"/>
  <c r="AA35" i="47" s="1"/>
  <c r="J28" i="47"/>
  <c r="J29" i="47" s="1"/>
  <c r="J31" i="47" s="1"/>
  <c r="J32" i="47" s="1"/>
  <c r="J34" i="47" s="1"/>
  <c r="J35" i="47" s="1"/>
  <c r="U28" i="47"/>
  <c r="U29" i="47" s="1"/>
  <c r="U31" i="47" s="1"/>
  <c r="U32" i="47" s="1"/>
  <c r="U34" i="47" s="1"/>
  <c r="U35" i="47" s="1"/>
  <c r="S28" i="47"/>
  <c r="S29" i="47" s="1"/>
  <c r="S31" i="47" s="1"/>
  <c r="S32" i="47" s="1"/>
  <c r="S34" i="47" s="1"/>
  <c r="S35" i="47" s="1"/>
  <c r="V28" i="47"/>
  <c r="V29" i="47" s="1"/>
  <c r="V31" i="47" s="1"/>
  <c r="V32" i="47" s="1"/>
  <c r="V34" i="47" s="1"/>
  <c r="V35" i="47" s="1"/>
  <c r="K28" i="47"/>
  <c r="K29" i="47" s="1"/>
  <c r="K31" i="47" s="1"/>
  <c r="K32" i="47" s="1"/>
  <c r="K34" i="47" s="1"/>
  <c r="K35" i="47" s="1"/>
  <c r="Z28" i="47"/>
  <c r="Z29" i="47" s="1"/>
  <c r="Z31" i="47" s="1"/>
  <c r="Z32" i="47" s="1"/>
  <c r="Z34" i="47" s="1"/>
  <c r="Z35" i="47" s="1"/>
  <c r="W28" i="47"/>
  <c r="W29" i="47" s="1"/>
  <c r="W31" i="47" s="1"/>
  <c r="W32" i="47" s="1"/>
  <c r="W34" i="47" s="1"/>
  <c r="W35" i="47" s="1"/>
  <c r="L28" i="47"/>
  <c r="L29" i="47" s="1"/>
  <c r="L31" i="47" s="1"/>
  <c r="L32" i="47" s="1"/>
  <c r="L34" i="47" s="1"/>
  <c r="L35" i="47" s="1"/>
  <c r="Y28" i="47"/>
  <c r="Y29" i="47" s="1"/>
  <c r="Y31" i="47" s="1"/>
  <c r="Y32" i="47" s="1"/>
  <c r="Y34" i="47" s="1"/>
  <c r="Y35" i="47" s="1"/>
  <c r="G28" i="47"/>
  <c r="G29" i="47" s="1"/>
  <c r="G31" i="47" s="1"/>
  <c r="G32" i="47" s="1"/>
  <c r="G34" i="47" s="1"/>
  <c r="G35" i="47" s="1"/>
  <c r="F28" i="47"/>
  <c r="F29" i="47" s="1"/>
  <c r="F31" i="47" s="1"/>
  <c r="F32" i="47" s="1"/>
  <c r="F34" i="47" s="1"/>
  <c r="F35" i="47" s="1"/>
  <c r="AB28" i="47"/>
  <c r="AB29" i="47" s="1"/>
  <c r="AB31" i="47" s="1"/>
  <c r="AB32" i="47" s="1"/>
  <c r="AB34" i="47" s="1"/>
  <c r="AB35" i="47" s="1"/>
  <c r="P28" i="47"/>
  <c r="P29" i="47" s="1"/>
  <c r="P31" i="47" s="1"/>
  <c r="P32" i="47" s="1"/>
  <c r="P34" i="47" s="1"/>
  <c r="P35" i="47" s="1"/>
  <c r="N28" i="47"/>
  <c r="N29" i="47" s="1"/>
  <c r="N31" i="47" s="1"/>
  <c r="N32" i="47" s="1"/>
  <c r="N34" i="47" s="1"/>
  <c r="N35" i="47" s="1"/>
  <c r="R28" i="47"/>
  <c r="R29" i="47" s="1"/>
  <c r="R31" i="47" s="1"/>
  <c r="R32" i="47" s="1"/>
  <c r="R34" i="47" s="1"/>
  <c r="R35" i="47" s="1"/>
  <c r="X28" i="47"/>
  <c r="X29" i="47" s="1"/>
  <c r="X31" i="47" s="1"/>
  <c r="X32" i="47" s="1"/>
  <c r="X34" i="47" s="1"/>
  <c r="X35" i="47" s="1"/>
  <c r="E28" i="47"/>
  <c r="E29" i="47" s="1"/>
  <c r="E31" i="47" s="1"/>
  <c r="E32" i="47" s="1"/>
  <c r="E34" i="47" s="1"/>
  <c r="E35" i="47" s="1"/>
  <c r="I28" i="47"/>
  <c r="I29" i="47" s="1"/>
  <c r="I31" i="47" s="1"/>
  <c r="I32" i="47" s="1"/>
  <c r="I34" i="47" s="1"/>
  <c r="I35" i="47" s="1"/>
  <c r="Q28" i="47"/>
  <c r="Q29" i="47" s="1"/>
  <c r="Q31" i="47" s="1"/>
  <c r="Q32" i="47" s="1"/>
  <c r="Q34" i="47" s="1"/>
  <c r="Q35" i="47" s="1"/>
  <c r="T28" i="47"/>
  <c r="T29" i="47" s="1"/>
  <c r="T31" i="47" s="1"/>
  <c r="T32" i="47" s="1"/>
  <c r="T34" i="47" s="1"/>
  <c r="T35" i="47" s="1"/>
  <c r="H28" i="47"/>
  <c r="H29" i="47" s="1"/>
  <c r="H31" i="47" s="1"/>
  <c r="H32" i="47" s="1"/>
  <c r="H34" i="47" s="1"/>
  <c r="H35" i="47" s="1"/>
  <c r="AC28" i="47"/>
  <c r="AC29" i="47" s="1"/>
  <c r="AC31" i="47" s="1"/>
  <c r="AC32" i="47" s="1"/>
  <c r="AC34" i="47" s="1"/>
  <c r="AC35" i="47" s="1"/>
  <c r="C4" i="1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<sst xmlns="http://schemas.openxmlformats.org/spreadsheetml/2006/main" count="1459" uniqueCount="273">
  <si>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</si>
  <si>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</si>
  <si>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</si>
  <si>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</si>
  <si>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</si>
  <si>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</si>
  <si>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</si>
  <si>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</si>
  <si>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</si>
  <si>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</si>
  <si>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</si>
  <si>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</si>
  <si>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</si>
  <si>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</si>
  <si>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</si>
  <si>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</si>
  <si>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</si>
  <si>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</si>
  <si>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</si>
  <si>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</si>
  <si>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</si>
  <si>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</si>
  <si>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</si>
  <si>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</si>
  <si>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</si>
  <si>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</si>
  <si>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</si>
  <si>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</si>
  <si>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</si>
  <si>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</si>
  <si>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</si>
  <si>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</si>
  <si>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</si>
  <si>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</si>
  <si>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</si>
  <si>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</si>
  <si>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</si>
  <si>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</si>
  <si>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</si>
  <si>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</si>
  <si>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</si>
  <si>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</si>
  <si>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</si>
  <si>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</si>
  <si>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</si>
  <si>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</si>
  <si>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</si>
  <si>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</si>
  <si>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</si>
  <si>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</si>
  <si>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</si>
  <si>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</si>
  <si>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</si>
  <si>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</si>
  <si>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</si>
  <si>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</si>
  <si>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</si>
  <si>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</si>
  <si>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</si>
  <si>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</si>
  <si>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</si>
  <si>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</si>
  <si>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</si>
  <si>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</si>
  <si>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</si>
  <si>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</si>
  <si>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</si>
  <si>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</si>
  <si>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</si>
  <si>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</si>
  <si>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</si>
  <si>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</si>
  <si>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</si>
  <si>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</si>
  <si>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</si>
  <si>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</si>
  <si>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</si>
  <si>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</si>
  <si>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</si>
  <si>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</si>
  <si>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</si>
  <si>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</si>
  <si>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</si>
  <si>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</si>
  <si>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</si>
  <si>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</si>
  <si>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</si>
  <si>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</si>
  <si>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</si>
  <si>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</si>
  <si>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</si>
  <si>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</si>
  <si>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</si>
  <si>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</si>
  <si>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</si>
  <si>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</si>
  <si>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</si>
  <si>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</si>
  <si>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</si>
  <si>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</si>
  <si>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</si>
  <si>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</si>
  <si>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</si>
  <si>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</si>
  <si>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</si>
  <si>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</si>
  <si>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</si>
  <si>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</si>
  <si>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</si>
  <si>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</si>
  <si>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</si>
  <si>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</si>
  <si>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</si>
  <si>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</si>
  <si>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</si>
  <si>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</si>
  <si>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</si>
  <si>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</si>
  <si>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</si>
  <si>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</si>
  <si>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</si>
  <si>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</si>
  <si>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</si>
  <si>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</si>
  <si>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</si>
  <si>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</si>
  <si>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</si>
  <si>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</si>
  <si>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</si>
  <si>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</si>
  <si>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</si>
  <si>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</si>
  <si>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</si>
  <si>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</si>
  <si>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</si>
  <si>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</si>
  <si>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</si>
  <si>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</si>
  <si>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</si>
  <si>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</si>
  <si>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</si>
  <si>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</si>
  <si>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</si>
  <si>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</si>
  <si>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</si>
  <si>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</si>
  <si>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</si>
  <si>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</si>
  <si>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</si>
  <si>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</si>
  <si>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</si>
  <si>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</si>
  <si>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</si>
  <si>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</si>
  <si>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</si>
  <si>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</si>
  <si>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</si>
  <si>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</si>
  <si>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</si>
  <si>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</si>
  <si>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</si>
  <si>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</si>
  <si>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</si>
  <si>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</si>
  <si>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</si>
  <si>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</si>
  <si>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</si>
  <si>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</si>
  <si>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</si>
  <si>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</si>
  <si>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</si>
  <si>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</si>
  <si>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</si>
  <si>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</si>
  <si>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</si>
  <si>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</si>
  <si>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</si>
  <si>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</si>
  <si>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</si>
  <si>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</si>
  <si>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</si>
  <si>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</si>
  <si>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</si>
  <si>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</si>
  <si>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</si>
  <si>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</si>
  <si>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</si>
  <si>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Total Contribution (ratepension)</t>
  </si>
  <si>
    <t>per month (gross)</t>
  </si>
  <si>
    <t>Ratepension</t>
  </si>
  <si>
    <t>Yearly Salary</t>
  </si>
  <si>
    <t>Post Pension</t>
  </si>
  <si>
    <t>AM (%)</t>
  </si>
  <si>
    <t>Municipal Tax</t>
  </si>
  <si>
    <t>Top State Tax</t>
  </si>
  <si>
    <t>Bottom State Tax</t>
  </si>
  <si>
    <t>Total Tax</t>
  </si>
  <si>
    <t>Post Tax Salary</t>
  </si>
  <si>
    <t>Aldersopsparing</t>
  </si>
  <si>
    <t xml:space="preserve">Aldersopsparing max </t>
  </si>
  <si>
    <t>Month Salary (Inflation Adjusted)</t>
  </si>
  <si>
    <t>Net Salary (Yearly)</t>
  </si>
  <si>
    <t>Net Salary (Monthly)</t>
  </si>
  <si>
    <t>Public Pension Average Monthly</t>
  </si>
  <si>
    <t>Taxed in Retirement?</t>
  </si>
  <si>
    <t>No</t>
  </si>
  <si>
    <t>Yes</t>
  </si>
  <si>
    <t>Income tax</t>
  </si>
  <si>
    <t>Public Pension Average Yearly</t>
  </si>
  <si>
    <t>Monthly Salary</t>
  </si>
  <si>
    <t>Yearly Salary Inflation Adjusted</t>
  </si>
  <si>
    <t>Aldersopsparing benefit</t>
  </si>
  <si>
    <t>Last Yearly Income from Work</t>
  </si>
  <si>
    <t>Diff</t>
  </si>
  <si>
    <t>To be financed</t>
  </si>
  <si>
    <t>helper for other column, do not remove --&gt;</t>
  </si>
  <si>
    <t>taken from sum of Net Salary P1 page</t>
  </si>
  <si>
    <t>Company Contribution (%)</t>
  </si>
  <si>
    <t>Description</t>
  </si>
  <si>
    <t>Table of Contents</t>
  </si>
  <si>
    <t>Salary Model</t>
  </si>
  <si>
    <t>GBI Model</t>
  </si>
  <si>
    <t>Contribution to pension</t>
  </si>
  <si>
    <t>Personal</t>
  </si>
  <si>
    <t>Company</t>
  </si>
  <si>
    <t>Tax</t>
  </si>
  <si>
    <t>Aldersopsparing maximum contribution</t>
  </si>
  <si>
    <t>Salary Growth</t>
  </si>
  <si>
    <t>Capital Gains &lt; 67,500DKK</t>
  </si>
  <si>
    <t>Capital Gains &gt; 67,500DKK</t>
  </si>
  <si>
    <t>Capital Gains Threshold</t>
  </si>
  <si>
    <t>Initial Salary P1</t>
  </si>
  <si>
    <t>Initial Salary P2</t>
  </si>
  <si>
    <t>Net Salary Calculation for P1</t>
  </si>
  <si>
    <t>Net Salary Calculation for P2</t>
  </si>
  <si>
    <t>Calculating the pension contributions for P1</t>
  </si>
  <si>
    <t>Calculating the pension contributions for P2</t>
  </si>
  <si>
    <t>Modelling the salary path for both investors</t>
  </si>
  <si>
    <t>Model Parameters</t>
  </si>
  <si>
    <t>Personal Allowance</t>
  </si>
  <si>
    <t>Bottom-Bracket State Tax rate (%)</t>
  </si>
  <si>
    <t>Top-bracket State Tax rate (%)</t>
  </si>
  <si>
    <t>State Tax Bracket Threshold</t>
  </si>
  <si>
    <t>Municipal Tax (%)</t>
  </si>
  <si>
    <t>Post AM (Taxable Personal Income)</t>
  </si>
  <si>
    <t>TPI exceed PA</t>
  </si>
  <si>
    <t>Income!A1</t>
  </si>
  <si>
    <t>TOC Colour Coding</t>
  </si>
  <si>
    <t>Loop used when executing the python script</t>
  </si>
  <si>
    <t>Job hopping modelled</t>
  </si>
  <si>
    <t>Data on job hopping</t>
  </si>
  <si>
    <t>Data on employment based on age groups</t>
  </si>
  <si>
    <t>Inputs</t>
  </si>
  <si>
    <t>base</t>
  </si>
  <si>
    <t>supplement (reduced)</t>
  </si>
  <si>
    <t>Pension growth</t>
  </si>
  <si>
    <t>Work Pension growth (%)</t>
  </si>
  <si>
    <t>PAL tax</t>
  </si>
  <si>
    <t>Work pension growth</t>
  </si>
  <si>
    <t>Work Pension End of Year</t>
  </si>
  <si>
    <t>Work Pension Start of Year</t>
  </si>
  <si>
    <t>Total Work Pension</t>
  </si>
  <si>
    <t>ATP</t>
  </si>
  <si>
    <t>https://businessindenmark.virk.dk/guidance/atp-livslang-pension-bid/atp-employer/atp-contribution-rates2024/</t>
  </si>
  <si>
    <t>ATP start of year</t>
  </si>
  <si>
    <t>ATP monthly</t>
  </si>
  <si>
    <t>ATP yearly</t>
  </si>
  <si>
    <t>Post ATP</t>
  </si>
  <si>
    <t>Pension growth (%)</t>
  </si>
  <si>
    <t>Post Tax</t>
  </si>
  <si>
    <t>Start of year</t>
  </si>
  <si>
    <t>ATP Yearly</t>
  </si>
  <si>
    <t>ATP Monthly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</si>
</sst>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0.00000"/>
    <numFmt numFmtId="166" formatCode="0.000000"/>
  </numFmts>
  <fonts count="12"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
      <u/>
      <sz val="11"/>
      <color theme="10"/>
      <name val="Aptos Narrow"/>
      <family val="2"/>
      <scheme val="minor"/>
    </font>
    <font>
      <sz val="11"/>
      <name val="Aptos Narrow"/>
      <family val="2"/>
      <scheme val="minor"/>
    </font>
  </fonts>
  <fills count="13">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
      <patternFill patternType="solid">
        <fgColor theme="8" tint="0.79998168889431442"/>
        <bgColor indexed="64"/>
      </patternFill>
    </fill>
    <fill>
      <patternFill patternType="solid">
        <fgColor theme="9" tint="0.39997558519241921"/>
        <bgColor indexed="64"/>
      </patternFill>
    </fill>
  </fills>
  <borders count="21">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style="thin">
        <color auto="1"/>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thin">
        <color auto="1"/>
      </left>
      <right style="thin">
        <color auto="1"/>
      </right>
      <top style="hair">
        <color indexed="64"/>
      </top>
      <bottom style="hair">
        <color indexed="64"/>
      </bottom>
      <diagonal/>
    </border>
    <border>
      <left style="thin">
        <color auto="1"/>
      </left>
      <right style="thin">
        <color auto="1"/>
      </right>
      <top/>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xf numFmtId="0" fontId="10" fillId="0" borderId="0" applyNumberFormat="0" applyFill="0" applyBorder="0" applyAlignment="0" applyProtection="0"/>
  </cellStyleXfs>
  <cellXfs count="78">
    <xf numFmtId="0" fontId="0" fillId="0" borderId="0" xfId="0"/>
    <xf numFmtId="0" fontId="0" fillId="2" borderId="0" xfId="0" applyFill="1"/>
    <xf numFmtId="0" fontId="0" fillId="0" borderId="0" xfId="0"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6" fillId="10" borderId="7" xfId="4"/>
    <xf numFmtId="9" fontId="5" fillId="9" borderId="6" xfId="3" applyNumberFormat="1" applyAlignment="1">
      <alignment horizontal="center" vertical="center"/>
    </xf>
    <xf numFmtId="43" fontId="0" fillId="0" borderId="0" xfId="1" applyFont="1"/>
    <xf numFmtId="0" fontId="0" fillId="2" borderId="0" xfId="0" applyFill="1" applyAlignment="1">
      <alignment horizontal="center"/>
    </xf>
    <xf numFmtId="9" fontId="0" fillId="2" borderId="0" xfId="0" applyNumberFormat="1" applyFill="1"/>
    <xf numFmtId="0" fontId="7" fillId="2" borderId="0" xfId="0" applyFont="1" applyFill="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4" fontId="0" fillId="0" borderId="0" xfId="0" applyNumberFormat="1"/>
    <xf numFmtId="165" fontId="0" fillId="0" borderId="0" xfId="0" applyNumberFormat="1"/>
    <xf numFmtId="166"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166" fontId="7" fillId="0" borderId="0" xfId="0" applyNumberFormat="1" applyFont="1"/>
    <xf numFmtId="43" fontId="0" fillId="2" borderId="0" xfId="0" applyNumberFormat="1" applyFill="1"/>
    <xf numFmtId="43" fontId="7" fillId="2" borderId="0" xfId="0" applyNumberFormat="1" applyFont="1" applyFill="1"/>
    <xf numFmtId="4" fontId="0" fillId="2" borderId="0" xfId="0" applyNumberFormat="1" applyFill="1"/>
    <xf numFmtId="4" fontId="0" fillId="2" borderId="0" xfId="1" applyNumberFormat="1" applyFont="1" applyFill="1"/>
    <xf numFmtId="4" fontId="7" fillId="2" borderId="0" xfId="0" applyNumberFormat="1" applyFont="1" applyFill="1"/>
    <xf numFmtId="4" fontId="0" fillId="0" borderId="0" xfId="0" applyNumberFormat="1"/>
    <xf numFmtId="10" fontId="0" fillId="0" borderId="0" xfId="0" applyNumberFormat="1"/>
    <xf numFmtId="9" fontId="0" fillId="2" borderId="0" xfId="2" applyFont="1" applyFill="1"/>
    <xf numFmtId="4" fontId="0" fillId="0" borderId="0" xfId="1" applyNumberFormat="1" applyFont="1" applyFill="1"/>
    <xf numFmtId="4" fontId="0" fillId="0" borderId="0" xfId="1" applyNumberFormat="1" applyFont="1"/>
    <xf numFmtId="4" fontId="0" fillId="0" borderId="0" xfId="1" applyNumberFormat="1" applyFont="1" applyFill="1" applyAlignment="1">
      <alignment horizontal="right"/>
    </xf>
    <xf numFmtId="4" fontId="0" fillId="0" borderId="0" xfId="1" applyNumberFormat="1" applyFont="1" applyAlignment="1">
      <alignment horizontal="right"/>
    </xf>
    <xf numFmtId="4" fontId="0" fillId="0" borderId="0" xfId="0" applyNumberFormat="1" applyAlignment="1">
      <alignment horizontal="right"/>
    </xf>
    <xf numFmtId="0" fontId="7" fillId="0" borderId="11" xfId="0" applyFont="1" applyBorder="1"/>
    <xf numFmtId="0" fontId="7" fillId="0" borderId="12" xfId="0" applyFont="1" applyBorder="1"/>
    <xf numFmtId="0" fontId="0" fillId="0" borderId="13" xfId="0" applyBorder="1" applyAlignment="1">
      <alignment horizontal="left" indent="1"/>
    </xf>
    <xf numFmtId="10" fontId="0" fillId="0" borderId="10" xfId="2" applyNumberFormat="1" applyFont="1" applyBorder="1"/>
    <xf numFmtId="10" fontId="0" fillId="0" borderId="14" xfId="0" applyNumberFormat="1" applyBorder="1"/>
    <xf numFmtId="4" fontId="0" fillId="0" borderId="15" xfId="0" applyNumberFormat="1" applyBorder="1"/>
    <xf numFmtId="0" fontId="0" fillId="0" borderId="17" xfId="0" applyBorder="1" applyAlignment="1">
      <alignment horizontal="left" indent="1"/>
    </xf>
    <xf numFmtId="10" fontId="0" fillId="0" borderId="16" xfId="2" applyNumberFormat="1" applyFont="1" applyBorder="1"/>
    <xf numFmtId="0" fontId="0" fillId="0" borderId="18" xfId="0" applyBorder="1" applyAlignment="1">
      <alignment horizontal="left" indent="1"/>
    </xf>
    <xf numFmtId="10" fontId="0" fillId="0" borderId="19" xfId="2" applyNumberFormat="1" applyFont="1" applyBorder="1"/>
    <xf numFmtId="4" fontId="0" fillId="0" borderId="19" xfId="1" applyNumberFormat="1" applyFont="1" applyBorder="1"/>
    <xf numFmtId="4" fontId="0" fillId="0" borderId="19" xfId="0" applyNumberFormat="1" applyBorder="1"/>
    <xf numFmtId="10" fontId="0" fillId="0" borderId="19" xfId="0" applyNumberFormat="1" applyBorder="1"/>
    <xf numFmtId="4" fontId="0" fillId="0" borderId="16" xfId="2" applyNumberFormat="1" applyFont="1" applyBorder="1"/>
    <xf numFmtId="4" fontId="0" fillId="2" borderId="0" xfId="2" applyNumberFormat="1" applyFont="1" applyFill="1"/>
    <xf numFmtId="0" fontId="10" fillId="2" borderId="0" xfId="6" applyFill="1"/>
    <xf numFmtId="0" fontId="0" fillId="2" borderId="20" xfId="0" applyFill="1" applyBorder="1" applyAlignment="1">
      <alignment horizontal="left" indent="1"/>
    </xf>
    <xf numFmtId="0" fontId="0" fillId="2" borderId="20" xfId="0" applyFill="1" applyBorder="1"/>
    <xf numFmtId="0" fontId="0" fillId="2" borderId="15" xfId="0" applyFill="1" applyBorder="1"/>
    <xf numFmtId="0" fontId="7" fillId="11" borderId="10" xfId="0" applyFont="1" applyFill="1" applyBorder="1"/>
    <xf numFmtId="0" fontId="10" fillId="6" borderId="20" xfId="6" applyFill="1" applyBorder="1" applyAlignment="1">
      <alignment horizontal="left" indent="1"/>
    </xf>
    <xf numFmtId="0" fontId="0" fillId="6" borderId="6" xfId="0" applyFill="1" applyBorder="1"/>
    <xf numFmtId="0" fontId="0" fillId="7" borderId="6" xfId="0" applyFill="1" applyBorder="1"/>
    <xf numFmtId="0" fontId="0" fillId="8" borderId="6" xfId="0" applyFill="1" applyBorder="1"/>
    <xf numFmtId="0" fontId="11" fillId="9" borderId="6" xfId="3" applyFont="1"/>
    <xf numFmtId="0" fontId="11" fillId="9" borderId="10" xfId="3" applyFont="1" applyBorder="1" applyAlignment="1">
      <alignment horizontal="left" indent="1"/>
    </xf>
    <xf numFmtId="0" fontId="10" fillId="8" borderId="20" xfId="6" applyFill="1" applyBorder="1" applyAlignment="1">
      <alignment horizontal="left" indent="1"/>
    </xf>
    <xf numFmtId="0" fontId="7" fillId="12" borderId="10" xfId="0" applyFont="1" applyFill="1" applyBorder="1"/>
    <xf numFmtId="0" fontId="4" fillId="2" borderId="0" xfId="0" applyFont="1" applyFill="1" applyAlignment="1">
      <alignment vertical="center"/>
    </xf>
    <xf numFmtId="2" fontId="0" fillId="2" borderId="0" xfId="0" applyNumberFormat="1" applyFill="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xf numFmtId="43" fontId="0" fillId="2" borderId="0" xfId="1" applyFont="1" applyFill="1"/>
    <xf numFmtId="2" fontId="0" fillId="2" borderId="0" xfId="2" applyNumberFormat="1" applyFont="1" applyFill="1"/>
  </cellXfs>
  <cellStyles count="7">
    <cellStyle name="Comma" xfId="1" builtinId="3"/>
    <cellStyle name="Hyperlink" xfId="6" builtinId="8"/>
    <cellStyle name="Input" xfId="3" builtinId="20"/>
    <cellStyle name="Normal" xfId="0" builtinId="0"/>
    <cellStyle name="Normal 2" xfId="5" xr:uid="{41E29A97-4811-40B2-832B-A941F46C3049}"/>
    <cellStyle name="Output" xfId="4" builtinId="21"/>
    <cellStyle name="Percent" xfId="2" builtinId="5"/>
  </cellStyles>
  <dxfs count="57">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ont>
        <b val="0"/>
        <i val="0"/>
        <strike val="0"/>
        <condense val="0"/>
        <extend val="0"/>
        <outline val="0"/>
        <shadow val="0"/>
        <u val="none"/>
        <vertAlign val="baseline"/>
        <sz val="11"/>
        <color theme="1"/>
        <name val="Aptos Narrow"/>
        <family val="2"/>
        <scheme val="minor"/>
      </font>
      <numFmt numFmtId="4" formatCode="#,##0.00"/>
    </dxf>
    <dxf>
      <numFmt numFmtId="4" formatCode="#,##0.00"/>
      <fill>
        <patternFill patternType="none">
          <fgColor indexed="64"/>
          <bgColor auto="1"/>
        </patternFill>
      </fill>
    </dxf>
    <dxf>
      <numFmt numFmtId="4" formatCode="#,##0.00"/>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indexed="64"/>
          <bgColor indexed="65"/>
        </patternFill>
      </fill>
      <alignment horizontal="right"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xml"/><Relationship Id="rId21" Type="http://schemas.openxmlformats.org/officeDocument/2006/relationships/worksheet" Target="worksheets/sheet21.xml"/><Relationship Id="rId42" Type="http://schemas.openxmlformats.org/officeDocument/2006/relationships/externalLink" Target="externalLinks/externalLink17.xml"/><Relationship Id="rId47" Type="http://schemas.openxmlformats.org/officeDocument/2006/relationships/externalLink" Target="externalLinks/externalLink22.xml"/><Relationship Id="rId63" Type="http://schemas.openxmlformats.org/officeDocument/2006/relationships/styles" Target="styles.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externalLink" Target="externalLinks/externalLink20.xml"/><Relationship Id="rId53" Type="http://schemas.openxmlformats.org/officeDocument/2006/relationships/externalLink" Target="externalLinks/externalLink28.xml"/><Relationship Id="rId58" Type="http://schemas.openxmlformats.org/officeDocument/2006/relationships/externalLink" Target="externalLinks/externalLink33.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36.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externalLink" Target="externalLinks/externalLink18.xml"/><Relationship Id="rId48" Type="http://schemas.openxmlformats.org/officeDocument/2006/relationships/externalLink" Target="externalLinks/externalLink23.xml"/><Relationship Id="rId56" Type="http://schemas.openxmlformats.org/officeDocument/2006/relationships/externalLink" Target="externalLinks/externalLink31.xml"/><Relationship Id="rId64" Type="http://schemas.openxmlformats.org/officeDocument/2006/relationships/sharedStrings" Target="sharedStrings.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externalLink" Target="externalLinks/externalLink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externalLink" Target="externalLinks/externalLink21.xml"/><Relationship Id="rId59" Type="http://schemas.openxmlformats.org/officeDocument/2006/relationships/externalLink" Target="externalLinks/externalLink34.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externalLink" Target="externalLinks/externalLink16.xml"/><Relationship Id="rId54" Type="http://schemas.openxmlformats.org/officeDocument/2006/relationships/externalLink" Target="externalLinks/externalLink29.xml"/><Relationship Id="rId62" Type="http://schemas.openxmlformats.org/officeDocument/2006/relationships/theme" Target="theme/theme1.xml"/><Relationship Id="rId7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49" Type="http://schemas.openxmlformats.org/officeDocument/2006/relationships/externalLink" Target="externalLinks/externalLink24.xml"/><Relationship Id="rId57" Type="http://schemas.openxmlformats.org/officeDocument/2006/relationships/externalLink" Target="externalLinks/externalLink32.xml"/><Relationship Id="rId10" Type="http://schemas.openxmlformats.org/officeDocument/2006/relationships/worksheet" Target="worksheets/sheet10.xml"/><Relationship Id="rId31" Type="http://schemas.openxmlformats.org/officeDocument/2006/relationships/externalLink" Target="externalLinks/externalLink6.xml"/><Relationship Id="rId44" Type="http://schemas.openxmlformats.org/officeDocument/2006/relationships/externalLink" Target="externalLinks/externalLink19.xml"/><Relationship Id="rId52" Type="http://schemas.openxmlformats.org/officeDocument/2006/relationships/externalLink" Target="externalLinks/externalLink27.xml"/><Relationship Id="rId60" Type="http://schemas.openxmlformats.org/officeDocument/2006/relationships/externalLink" Target="externalLinks/externalLink35.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4.xml"/><Relationship Id="rId34" Type="http://schemas.openxmlformats.org/officeDocument/2006/relationships/externalLink" Target="externalLinks/externalLink9.xml"/><Relationship Id="rId50" Type="http://schemas.openxmlformats.org/officeDocument/2006/relationships/externalLink" Target="externalLinks/externalLink25.xml"/><Relationship Id="rId55" Type="http://schemas.openxmlformats.org/officeDocument/2006/relationships/externalLink" Target="externalLinks/externalLink30.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19</xdr:col>
      <xdr:colOff>222405</xdr:colOff>
      <xdr:row>3</xdr:row>
      <xdr:rowOff>160385</xdr:rowOff>
    </xdr:from>
    <xdr:to>
      <xdr:col>24</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15</xdr:col>
      <xdr:colOff>1341549</xdr:colOff>
      <xdr:row>1</xdr:row>
      <xdr:rowOff>143098</xdr:rowOff>
    </xdr:from>
    <xdr:to>
      <xdr:col>19</xdr:col>
      <xdr:colOff>304084</xdr:colOff>
      <xdr:row>7</xdr:row>
      <xdr:rowOff>17887</xdr:rowOff>
    </xdr:to>
    <xdr:cxnSp macro="">
      <xdr:nvCxnSpPr>
        <xdr:cNvPr id="5" name="Straight Arrow Connector 4">
          <a:extLst>
            <a:ext uri="{FF2B5EF4-FFF2-40B4-BE49-F238E27FC236}">
              <a16:creationId xmlns:a16="http://schemas.microsoft.com/office/drawing/2014/main" id="{BF0F1574-FB35-545B-0984-B31589A6D8FA}"/>
            </a:ext>
          </a:extLst>
        </xdr:cNvPr>
        <xdr:cNvCxnSpPr/>
      </xdr:nvCxnSpPr>
      <xdr:spPr>
        <a:xfrm flipH="1" flipV="1">
          <a:off x="8442817" y="330915"/>
          <a:ext cx="3935211" cy="1001690"/>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16</xdr:col>
      <xdr:colOff>1439931</xdr:colOff>
      <xdr:row>1</xdr:row>
      <xdr:rowOff>116267</xdr:rowOff>
    </xdr:from>
    <xdr:to>
      <xdr:col>19</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56" dataDxfId="55">
  <autoFilter ref="B2:F48" xr:uid="{FCF7B272-2B0E-4976-9393-E73F3487686E}"/>
  <tableColumns count="5">
    <tableColumn id="2" xr3:uid="{0498A719-AEC9-446E-8B8E-0AB0C44DDED3}" name="Year" dataDxfId="54"/>
    <tableColumn id="5" xr3:uid="{CC8B1647-0351-43F5-A9B1-47A7C65801F2}" name="SalaryP1" dataDxfId="53">
      <calculatedColumnFormula>(TableIncomeCalculations[[#This Row],[NetMonthlySalaryP1]]*12)</calculatedColumnFormula>
    </tableColumn>
    <tableColumn id="6" xr3:uid="{D9247035-5056-46B8-9FE0-90DD69539CD9}" name="SalaryP2" dataDxfId="52" dataCellStyle="Comma">
      <calculatedColumnFormula>(TableIncomeCalculations[[#This Row],[NetMonthlySalaryP2]]*12)</calculatedColumnFormula>
    </tableColumn>
    <tableColumn id="1" xr3:uid="{00C8C4D5-91FF-46B4-A492-F0182F8DA0F4}" name="InvestmentP1" dataDxfId="51">
      <calculatedColumnFormula>TableIncome[[#This Row],[SalaryP1]]*$I$7</calculatedColumnFormula>
    </tableColumn>
    <tableColumn id="3" xr3:uid="{FB2E9633-4667-4315-B59A-930552C59B31}" name="InvestmentP2" dataDxfId="50">
      <calculatedColumnFormula>TableIncome[[#This Row],[SalaryP2]]*$I$7</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L2:S48" totalsRowShown="0" headerRowDxfId="49" dataDxfId="48">
  <autoFilter ref="L2:S48" xr:uid="{66C60019-787B-4EAD-BA34-E0802DDFB733}"/>
  <tableColumns count="8">
    <tableColumn id="2" xr3:uid="{597EF245-E0B4-45E7-84DC-2E03B8DBE357}" name="NetMonthlySalaryP1" dataDxfId="47">
      <calculatedColumnFormula>'Net Salary P1'!BI2</calculatedColumnFormula>
    </tableColumn>
    <tableColumn id="4" xr3:uid="{8A82F2FC-F2AD-4354-9FB7-60D07BF5DE26}" name="NetMonthlySalaryP2" dataDxfId="46">
      <calculatedColumnFormula>'Net Salary P2'!AT2</calculatedColumnFormula>
    </tableColumn>
    <tableColumn id="8" xr3:uid="{6469E6A3-AC69-4952-9321-8FE8162EAAF5}" name="GrossMonthlyInflationAdjustedP1" dataDxfId="45" dataCellStyle="Comma"/>
    <tableColumn id="7" xr3:uid="{CFDE7FCC-D951-4C66-8933-9D7A2554B969}" name="GrossMonthlyInflationAdjustedP2" dataDxfId="44" dataCellStyle="Comma"/>
    <tableColumn id="1" xr3:uid="{C0C732EC-361A-46E0-89E3-08CAE72DBD66}" name="GrossMonthlySalaryP1" dataDxfId="43" dataCellStyle="Comma"/>
    <tableColumn id="3" xr3:uid="{C5CF3F3B-E102-4C03-AE19-3CC173DDD008}" name="GrossMonthlySalaryP2" dataDxfId="42"/>
    <tableColumn id="5" xr3:uid="{FC28F95D-C1B7-458D-BD0C-E085DE566194}" name="SwitchP1" dataDxfId="41">
      <calculatedColumnFormula>_xlfn.XLOOKUP(_xlfn.XLOOKUP(TableIncome[[#This Row],[Year]],Loop!C:C,Loop!D:D),'Job Hopping'!B:B,'Job Hopping'!F:F)</calculatedColumnFormula>
    </tableColumn>
    <tableColumn id="6" xr3:uid="{85FE9DAF-5AA1-4B37-AB45-C3AD3B6E6CC3}" name="SwitchP2" dataDxfId="40">
      <calculatedColumnFormula>_xlfn.XLOOKUP(_xlfn.XLOOKUP(TableIncome[[#This Row],[Year]],Loop!C:C,Loop!E:E),'Job Hopping'!B:B,'Job Hopping'!G:G)</calculatedColumnFormula>
    </tableColumn>
  </tableColumns>
  <tableStyleInfo name="TableStyleLight1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39" dataDxfId="38">
  <autoFilter ref="B2:G78" xr:uid="{F2FF2D4F-428C-466F-8C40-CD97C53327FB}"/>
  <tableColumns count="6">
    <tableColumn id="1" xr3:uid="{693674CC-D425-46E9-84F4-DC2C74DDA885}" name="Age" dataDxfId="37"/>
    <tableColumn id="2" xr3:uid="{0C578F60-3352-4A6E-80A5-4BD450385FDB}" name="Age Group" dataDxfId="36">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35" dataCellStyle="Percent">
      <calculatedColumnFormula>_xlfn.XLOOKUP(C3,S:S,T:T)</calculatedColumnFormula>
    </tableColumn>
    <tableColumn id="6" xr3:uid="{D9FFF900-4664-40B3-8190-EA72525447EA}" name="Switch" dataDxfId="34">
      <calculatedColumnFormula>IF(OR(JobHopping[[#This Row],[Age]]=25,JobHopping[[#This Row],[Age]]&gt;69),"N",IF(AND(E1="N",E2="N", RAND()&lt;=D3), "Y", "N"))</calculatedColumnFormula>
    </tableColumn>
    <tableColumn id="8" xr3:uid="{691319CE-230D-4FBF-BE6A-2D428D532435}" name="SwitchP1Static" dataDxfId="33"/>
    <tableColumn id="9" xr3:uid="{898CE31A-679C-499C-AEA0-26B20AF30FB2}" name="SwitchP2Static" dataDxfId="32">
      <calculatedColumnFormula>IF(JobHopping[[#This Row],[Age]]&lt;40,"",JobHopping[[#This Row],[SwitchP1Static]])</calculatedColumnFormula>
    </tableColumn>
  </tableColumns>
  <tableStyleInfo name="TableStyleLight1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31" dataDxfId="30">
  <autoFilter ref="M2:Q101" xr:uid="{B0FD3679-1FAE-42ED-9371-E916E1BA67DA}"/>
  <tableColumns count="5">
    <tableColumn id="1" xr3:uid="{EED2352B-0CD2-49FA-8E8F-B19F866F9084}" name="Year" dataDxfId="29"/>
    <tableColumn id="2" xr3:uid="{125F1890-3292-40A5-B52B-65BC24DCD8A4}" name="Age Group" dataDxfId="28"/>
    <tableColumn id="3" xr3:uid="{ADFD9F1D-95FD-48CF-AAA7-252CEF08E617}" name="Finance Workers" dataDxfId="27">
      <calculatedColumnFormula>_xlfn.XLOOKUP(M3&amp;"-"&amp;N3,'Djøf Finance Workers'!D:D,'Djøf Finance Workers'!C:C,0,1)</calculatedColumnFormula>
    </tableColumn>
    <tableColumn id="4" xr3:uid="{3B11AAA6-9DF8-45E1-AF3C-A28F474CCCE6}" name="Finance Hoppers" dataDxfId="26">
      <calculatedColumnFormula>_xlfn.XLOOKUP(M3&amp;"-"&amp;N3,'Djøf Finance Hoppers'!D:D,'Djøf Finance Hoppers'!C:C,0,1)</calculatedColumnFormula>
    </tableColumn>
    <tableColumn id="5" xr3:uid="{797F4F22-806C-479D-A67E-5B23C5721AD9}" name="FH/FW" dataDxfId="25" dataCellStyle="Percent">
      <calculatedColumnFormula>IF(O3&gt;0, P3/O3, 0)</calculatedColumnFormula>
    </tableColumn>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24" dataDxfId="23">
  <autoFilter ref="S2:T11" xr:uid="{B4F731F5-9A61-4A3C-A0CD-4F447986E27B}"/>
  <tableColumns count="2">
    <tableColumn id="1" xr3:uid="{1D4D0898-5851-47E3-97D4-09C98B70723D}" name="Age Group" dataDxfId="22"/>
    <tableColumn id="2" xr3:uid="{966F8474-449D-442D-A7AA-ED23DFA6D69D}" name="FH/FV" dataDxfId="21">
      <calculatedColumnFormula>SUMIFS(Q:Q,N:N,S3)/(MAX($M$3:$M$101)-MIN($M$3:$M$101))</calculatedColumnFormula>
    </tableColumn>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20" dataDxfId="19">
  <autoFilter ref="B2:F53" xr:uid="{FCF7B272-2B0E-4976-9393-E73F3487686E}"/>
  <tableColumns count="5">
    <tableColumn id="1" xr3:uid="{D58C7B30-A492-4B74-BDE4-021BA5FDD463}" name="N" dataDxfId="18"/>
    <tableColumn id="2" xr3:uid="{9476476E-39E2-48A9-976E-32DDB37BA54B}" name="Year" dataDxfId="17"/>
    <tableColumn id="3" xr3:uid="{32E1CBDE-916A-4A47-B5C5-B62DE0AFD6F2}" name="AgeP1" dataDxfId="16">
      <calculatedColumnFormula>D2+1</calculatedColumnFormula>
    </tableColumn>
    <tableColumn id="4" xr3:uid="{6AC3787E-719B-482A-96B1-472E58822CE9}" name="AgeP2" dataDxfId="15">
      <calculatedColumnFormula>E2+1</calculatedColumnFormula>
    </tableColumn>
    <tableColumn id="5" xr3:uid="{5A11FA80-8E16-4604-BB85-0D6642EE67E7}" name="LoopStatus"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13" dataDxfId="12">
  <autoFilter ref="B2:F5" xr:uid="{E6188FC4-483E-4C27-BFF6-3D5A9BEC7A02}"/>
  <tableColumns count="5">
    <tableColumn id="1" xr3:uid="{B2C6C0FB-6BCC-4A61-B677-3B10161A53EF}" name="Goal Info" dataDxfId="11"/>
    <tableColumn id="2" xr3:uid="{C536957A-8C0E-4218-9336-E98D68589B96}" name="GOAL A" dataDxfId="10"/>
    <tableColumn id="3" xr3:uid="{119B5EE3-3581-4D04-BB55-BCC2E702193C}" name="GOAL B" dataDxfId="9"/>
    <tableColumn id="4" xr3:uid="{6D7BF2C5-D2EB-4CDD-A1E3-639A94B04FB3}" name="GOAL C" dataDxfId="8"/>
    <tableColumn id="5" xr3:uid="{FC141F07-39CA-4E36-BE88-AE8259A28409}" name="GOAL D" dataDxfId="7"/>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6" dataDxfId="5">
  <autoFilter ref="B7:F10" xr:uid="{06296D22-18E1-44D3-A59A-E5E6D672089D}"/>
  <tableColumns count="5">
    <tableColumn id="1" xr3:uid="{B3C79FB9-971E-4621-BADB-62E0B6C842D7}" name="Goal Info" dataDxfId="4"/>
    <tableColumn id="2" xr3:uid="{08F0C2B6-02D7-4431-924D-D9E7C41049B7}" name="GOAL A" dataDxfId="3"/>
    <tableColumn id="3" xr3:uid="{7D5C117D-0D45-489D-81E8-DBEB6FE69CF3}" name="GOAL B" dataDxfId="2"/>
    <tableColumn id="4" xr3:uid="{900DE77F-2D16-4E30-8E7F-638FF98F2CDB}" name="GOAL C" dataDxfId="1"/>
    <tableColumn id="5" xr3:uid="{B0C50B12-C738-4419-9074-3A1A9E37C8AC}" name="GOAL D"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1:C37"/>
  <sheetViews>
    <sheetView workbookViewId="0">
      <selection activeCell="B22" sqref="B22"/>
    </sheetView>
  </sheetViews>
  <sheetFormatPr defaultColWidth="8.7265625" defaultRowHeight="14.5" x14ac:dyDescent="0.35"/>
  <cols>
    <col min="1" max="1" width="3.26953125" style="1" customWidth="1"/>
    <col min="2" max="2" width="41.7265625" style="1" bestFit="1" customWidth="1"/>
    <col min="3" max="3" width="25.1796875" style="1" customWidth="1"/>
    <col min="4" max="16384" width="8.7265625" style="1"/>
  </cols>
  <sheetData>
    <row r="1" spans="2:3" ht="23.5" x14ac:dyDescent="0.55000000000000004">
      <c r="B1" s="9" t="s">
        <v>218</v>
      </c>
    </row>
    <row r="5" spans="2:3" ht="23.5" x14ac:dyDescent="0.55000000000000004">
      <c r="B5" s="9" t="s">
        <v>247</v>
      </c>
    </row>
    <row r="6" spans="2:3" x14ac:dyDescent="0.35">
      <c r="B6" s="67" t="s">
        <v>252</v>
      </c>
    </row>
    <row r="7" spans="2:3" x14ac:dyDescent="0.35">
      <c r="B7" s="64" t="s">
        <v>48</v>
      </c>
    </row>
    <row r="8" spans="2:3" x14ac:dyDescent="0.35">
      <c r="B8" s="65" t="s">
        <v>47</v>
      </c>
      <c r="C8" s="1" t="s">
        <v>44</v>
      </c>
    </row>
    <row r="9" spans="2:3" x14ac:dyDescent="0.35">
      <c r="B9" s="66" t="s">
        <v>56</v>
      </c>
      <c r="C9" s="1" t="s">
        <v>57</v>
      </c>
    </row>
    <row r="11" spans="2:3" ht="23.5" x14ac:dyDescent="0.55000000000000004">
      <c r="B11" s="9" t="s">
        <v>45</v>
      </c>
    </row>
    <row r="12" spans="2:3" x14ac:dyDescent="0.35">
      <c r="B12" s="10" t="s">
        <v>46</v>
      </c>
    </row>
    <row r="13" spans="2:3" x14ac:dyDescent="0.35">
      <c r="B13" s="11" t="s">
        <v>49</v>
      </c>
    </row>
    <row r="16" spans="2:3" ht="27" customHeight="1" x14ac:dyDescent="0.35">
      <c r="B16" s="71" t="s">
        <v>219</v>
      </c>
    </row>
    <row r="17" spans="2:2" x14ac:dyDescent="0.35">
      <c r="B17" s="62" t="s">
        <v>220</v>
      </c>
    </row>
    <row r="18" spans="2:2" x14ac:dyDescent="0.35">
      <c r="B18" s="68" t="s">
        <v>238</v>
      </c>
    </row>
    <row r="19" spans="2:2" x14ac:dyDescent="0.35">
      <c r="B19" s="63" t="s">
        <v>237</v>
      </c>
    </row>
    <row r="20" spans="2:2" x14ac:dyDescent="0.35">
      <c r="B20" s="63" t="s">
        <v>235</v>
      </c>
    </row>
    <row r="21" spans="2:2" x14ac:dyDescent="0.35">
      <c r="B21" s="63" t="s">
        <v>236</v>
      </c>
    </row>
    <row r="22" spans="2:2" x14ac:dyDescent="0.35">
      <c r="B22" s="63" t="s">
        <v>233</v>
      </c>
    </row>
    <row r="23" spans="2:2" x14ac:dyDescent="0.35">
      <c r="B23" s="63" t="s">
        <v>234</v>
      </c>
    </row>
    <row r="24" spans="2:2" x14ac:dyDescent="0.35">
      <c r="B24" s="63" t="s">
        <v>249</v>
      </c>
    </row>
    <row r="25" spans="2:2" x14ac:dyDescent="0.35">
      <c r="B25" s="69" t="s">
        <v>250</v>
      </c>
    </row>
    <row r="26" spans="2:2" x14ac:dyDescent="0.35">
      <c r="B26" s="69" t="s">
        <v>251</v>
      </c>
    </row>
    <row r="27" spans="2:2" x14ac:dyDescent="0.35">
      <c r="B27" s="70" t="s">
        <v>221</v>
      </c>
    </row>
    <row r="28" spans="2:2" x14ac:dyDescent="0.35">
      <c r="B28" s="59" t="s">
        <v>248</v>
      </c>
    </row>
    <row r="29" spans="2:2" x14ac:dyDescent="0.35">
      <c r="B29" s="60"/>
    </row>
    <row r="30" spans="2:2" x14ac:dyDescent="0.35">
      <c r="B30" s="60"/>
    </row>
    <row r="31" spans="2:2" x14ac:dyDescent="0.35">
      <c r="B31" s="60"/>
    </row>
    <row r="32" spans="2:2" x14ac:dyDescent="0.35">
      <c r="B32" s="60"/>
    </row>
    <row r="33" spans="2:2" x14ac:dyDescent="0.35">
      <c r="B33" s="60"/>
    </row>
    <row r="34" spans="2:2" x14ac:dyDescent="0.35">
      <c r="B34" s="60"/>
    </row>
    <row r="35" spans="2:2" x14ac:dyDescent="0.35">
      <c r="B35" s="60"/>
    </row>
    <row r="36" spans="2:2" x14ac:dyDescent="0.35">
      <c r="B36" s="60"/>
    </row>
    <row r="37" spans="2:2" x14ac:dyDescent="0.35">
      <c r="B37" s="61"/>
    </row>
  </sheetData>
  <hyperlinks>
    <hyperlink ref="B18" location="'Salary Variables'!A1" display="Model Variables" xr:uid="{CBCFE5AC-C884-4B15-A05C-DA0633EF868A}"/>
    <hyperlink ref="B19" location="Income!A1" display="Salary Path" xr:uid="{62D1B8F4-0B65-4D3C-8D4A-1549252A0CCF}"/>
    <hyperlink ref="B20" location="'Pensions P1'!A1" display="Pension P1" xr:uid="{CEDA4F7B-E391-46BE-9D78-A8C787711148}"/>
    <hyperlink ref="B21" location="'Pensions P2'!A1" display="Pension P2" xr:uid="{2E446C46-371C-4D1D-91DE-C71E0756999C}"/>
    <hyperlink ref="B22" location="'Net Salary P1'!A1" display="Net Salary P1" xr:uid="{CD8E412B-B57E-4590-BF7B-98673A33DCCE}"/>
    <hyperlink ref="B23" location="'Net Salary P2'!A1" display="Net Salary P2" xr:uid="{3C8368B8-97CD-4F03-98FB-61E2D79F0324}"/>
    <hyperlink ref="B24" location="'Job Hopping'!A1" display="Job hopping modelled" xr:uid="{D23FA289-BBD2-431F-8D9E-0DE89F327767}"/>
    <hyperlink ref="B25" location="'Djøf Finance Hoppers'!A1" display="Data on job hopping" xr:uid="{68700D83-799A-40CF-97F4-061D1E1002B4}"/>
    <hyperlink ref="B26" location="'Djøf Finance Workers'!A1" display="Data on employment based on age groups" xr:uid="{D83E8D81-B969-4573-9DC3-1DCBF483AED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E89F4-783B-4801-BDF0-93ADCACF1D75}">
  <sheetPr>
    <tabColor theme="8" tint="0.79998168889431442"/>
  </sheetPr>
  <dimension ref="B2:C24"/>
  <sheetViews>
    <sheetView showGridLines="0" topLeftCell="A8" workbookViewId="0">
      <selection activeCell="C11" sqref="C11"/>
    </sheetView>
  </sheetViews>
  <sheetFormatPr defaultRowHeight="14.5" x14ac:dyDescent="0.35"/>
  <cols>
    <col min="1" max="1" width="3.1796875" customWidth="1"/>
    <col min="2" max="2" width="38.453125" bestFit="1" customWidth="1"/>
    <col min="3" max="3" width="12.1796875" style="36" bestFit="1" customWidth="1"/>
  </cols>
  <sheetData>
    <row r="2" spans="2:3" x14ac:dyDescent="0.35">
      <c r="B2" s="43" t="s">
        <v>64</v>
      </c>
      <c r="C2" s="46">
        <v>0.02</v>
      </c>
    </row>
    <row r="3" spans="2:3" x14ac:dyDescent="0.35">
      <c r="B3" s="44" t="s">
        <v>227</v>
      </c>
      <c r="C3" s="47"/>
    </row>
    <row r="4" spans="2:3" x14ac:dyDescent="0.35">
      <c r="B4" s="49" t="s">
        <v>65</v>
      </c>
      <c r="C4" s="50">
        <v>0.03</v>
      </c>
    </row>
    <row r="5" spans="2:3" x14ac:dyDescent="0.35">
      <c r="B5" s="51" t="s">
        <v>67</v>
      </c>
      <c r="C5" s="52">
        <f>C4-C2</f>
        <v>9.9999999999999985E-3</v>
      </c>
    </row>
    <row r="6" spans="2:3" x14ac:dyDescent="0.35">
      <c r="B6" s="51" t="s">
        <v>66</v>
      </c>
      <c r="C6" s="52">
        <v>0.06</v>
      </c>
    </row>
    <row r="7" spans="2:3" x14ac:dyDescent="0.35">
      <c r="B7" s="51" t="s">
        <v>177</v>
      </c>
      <c r="C7" s="52">
        <f>C6-C2</f>
        <v>3.9999999999999994E-2</v>
      </c>
    </row>
    <row r="8" spans="2:3" x14ac:dyDescent="0.35">
      <c r="B8" s="51" t="s">
        <v>78</v>
      </c>
      <c r="C8" s="52">
        <v>0.1</v>
      </c>
    </row>
    <row r="9" spans="2:3" x14ac:dyDescent="0.35">
      <c r="B9" s="51" t="s">
        <v>231</v>
      </c>
      <c r="C9" s="53">
        <v>43871</v>
      </c>
    </row>
    <row r="10" spans="2:3" x14ac:dyDescent="0.35">
      <c r="B10" s="45" t="s">
        <v>232</v>
      </c>
      <c r="C10" s="48">
        <v>72000</v>
      </c>
    </row>
    <row r="11" spans="2:3" x14ac:dyDescent="0.35">
      <c r="B11" s="44" t="s">
        <v>222</v>
      </c>
      <c r="C11" s="47"/>
    </row>
    <row r="12" spans="2:3" x14ac:dyDescent="0.35">
      <c r="B12" s="49" t="s">
        <v>223</v>
      </c>
      <c r="C12" s="50">
        <v>0.05</v>
      </c>
    </row>
    <row r="13" spans="2:3" x14ac:dyDescent="0.35">
      <c r="B13" s="51" t="s">
        <v>224</v>
      </c>
      <c r="C13" s="52">
        <v>0.1</v>
      </c>
    </row>
    <row r="14" spans="2:3" x14ac:dyDescent="0.35">
      <c r="B14" s="45" t="s">
        <v>226</v>
      </c>
      <c r="C14" s="48">
        <v>9400</v>
      </c>
    </row>
    <row r="15" spans="2:3" x14ac:dyDescent="0.35">
      <c r="B15" s="44" t="s">
        <v>225</v>
      </c>
      <c r="C15" s="47"/>
    </row>
    <row r="16" spans="2:3" x14ac:dyDescent="0.35">
      <c r="B16" s="49" t="s">
        <v>192</v>
      </c>
      <c r="C16" s="50">
        <v>0.08</v>
      </c>
    </row>
    <row r="17" spans="2:3" x14ac:dyDescent="0.35">
      <c r="B17" s="49" t="s">
        <v>239</v>
      </c>
      <c r="C17" s="56">
        <v>51600</v>
      </c>
    </row>
    <row r="18" spans="2:3" x14ac:dyDescent="0.35">
      <c r="B18" s="51" t="s">
        <v>240</v>
      </c>
      <c r="C18" s="52">
        <v>0.1201</v>
      </c>
    </row>
    <row r="19" spans="2:3" x14ac:dyDescent="0.35">
      <c r="B19" s="51" t="s">
        <v>241</v>
      </c>
      <c r="C19" s="52">
        <v>0.15</v>
      </c>
    </row>
    <row r="20" spans="2:3" x14ac:dyDescent="0.35">
      <c r="B20" s="51" t="s">
        <v>242</v>
      </c>
      <c r="C20" s="54">
        <v>618400</v>
      </c>
    </row>
    <row r="21" spans="2:3" x14ac:dyDescent="0.35">
      <c r="B21" s="51" t="s">
        <v>243</v>
      </c>
      <c r="C21" s="52">
        <v>0.25</v>
      </c>
    </row>
    <row r="22" spans="2:3" x14ac:dyDescent="0.35">
      <c r="B22" s="51" t="s">
        <v>228</v>
      </c>
      <c r="C22" s="55">
        <v>0.27</v>
      </c>
    </row>
    <row r="23" spans="2:3" x14ac:dyDescent="0.35">
      <c r="B23" s="51" t="s">
        <v>229</v>
      </c>
      <c r="C23" s="55">
        <v>0.42</v>
      </c>
    </row>
    <row r="24" spans="2:3" x14ac:dyDescent="0.35">
      <c r="B24" s="45" t="s">
        <v>230</v>
      </c>
      <c r="C24" s="48">
        <v>67500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8" tint="0.79998168889431442"/>
  </sheetPr>
  <dimension ref="A1:S48"/>
  <sheetViews>
    <sheetView topLeftCell="H1" zoomScale="65" workbookViewId="0">
      <selection activeCell="D5" sqref="D5"/>
    </sheetView>
  </sheetViews>
  <sheetFormatPr defaultColWidth="15.26953125" defaultRowHeight="14.5" x14ac:dyDescent="0.35"/>
  <cols>
    <col min="1" max="1" width="3.81640625" style="1" customWidth="1"/>
    <col min="2" max="2" width="11.453125" style="1" bestFit="1" customWidth="1"/>
    <col min="3" max="3" width="15" style="1" customWidth="1"/>
    <col min="4" max="4" width="15" style="1" bestFit="1" customWidth="1"/>
    <col min="5" max="6" width="20" style="1" bestFit="1" customWidth="1"/>
    <col min="7" max="7" width="4.54296875" style="1" customWidth="1"/>
    <col min="8" max="8" width="34.81640625" style="1" bestFit="1" customWidth="1"/>
    <col min="9" max="11" width="15.26953125" style="1"/>
    <col min="12" max="13" width="25.7265625" style="1" bestFit="1" customWidth="1"/>
    <col min="14" max="15" width="38.26953125" style="1" bestFit="1" customWidth="1"/>
    <col min="16" max="17" width="27.7265625" style="1" bestFit="1" customWidth="1"/>
    <col min="18" max="19" width="15.54296875" style="1" bestFit="1" customWidth="1"/>
    <col min="20" max="16384" width="15.26953125" style="1"/>
  </cols>
  <sheetData>
    <row r="1" spans="1:19" x14ac:dyDescent="0.35">
      <c r="A1" s="58" t="s">
        <v>246</v>
      </c>
    </row>
    <row r="2" spans="1:19" x14ac:dyDescent="0.35">
      <c r="B2" s="2" t="s">
        <v>1</v>
      </c>
      <c r="C2" s="2" t="s">
        <v>2</v>
      </c>
      <c r="D2" s="2" t="s">
        <v>3</v>
      </c>
      <c r="E2" s="2" t="s">
        <v>79</v>
      </c>
      <c r="F2" s="2" t="s">
        <v>80</v>
      </c>
      <c r="G2" s="16"/>
      <c r="H2" s="13" t="s">
        <v>64</v>
      </c>
      <c r="I2" s="14">
        <f>'Salary Variables'!$C$2</f>
        <v>0.02</v>
      </c>
      <c r="L2" s="3" t="s">
        <v>173</v>
      </c>
      <c r="M2" s="3" t="s">
        <v>174</v>
      </c>
      <c r="N2" s="3" t="s">
        <v>176</v>
      </c>
      <c r="O2" s="3" t="s">
        <v>175</v>
      </c>
      <c r="P2" s="3" t="s">
        <v>4</v>
      </c>
      <c r="Q2" s="3" t="s">
        <v>5</v>
      </c>
      <c r="R2" s="3" t="s">
        <v>58</v>
      </c>
      <c r="S2" s="3" t="s">
        <v>59</v>
      </c>
    </row>
    <row r="3" spans="1:19" x14ac:dyDescent="0.35">
      <c r="B3" s="2">
        <v>2025</v>
      </c>
      <c r="C3" s="40">
        <f>(TableIncomeCalculations[[#This Row],[NetMonthlySalaryP1]]*12)</f>
        <v>274797.74528031371</v>
      </c>
      <c r="D3" s="41">
        <f>(TableIncomeCalculations[[#This Row],[NetMonthlySalaryP2]]*12)</f>
        <v>453589.62012784311</v>
      </c>
      <c r="E3" s="40">
        <f>TableIncome[[#This Row],[SalaryP1]]*$I$7</f>
        <v>27479.774528031372</v>
      </c>
      <c r="F3" s="40">
        <f>TableIncome[[#This Row],[SalaryP2]]*$I$7</f>
        <v>45358.962012784315</v>
      </c>
      <c r="G3" s="16"/>
      <c r="H3" s="13" t="s">
        <v>65</v>
      </c>
      <c r="I3" s="14" cm="1">
        <f t="array" ref="I3:I7">'Salary Variables'!$C$4:$C$8</f>
        <v>0.03</v>
      </c>
      <c r="L3" s="38">
        <f>'Net Salary P1'!BI2</f>
        <v>22899.812106692811</v>
      </c>
      <c r="M3" s="39">
        <f>'Net Salary P2'!AT2</f>
        <v>37799.13501065359</v>
      </c>
      <c r="N3" s="39">
        <f>TableIncomeCalculations[[#This Row],[GrossMonthlySalaryP1]]/(1+I2)</f>
        <v>42156.862745098042</v>
      </c>
      <c r="O3" s="35">
        <f>TableIncomeCalculations[[#This Row],[GrossMonthlySalaryP2]]/(1+I2)</f>
        <v>70751.96078431372</v>
      </c>
      <c r="P3" s="39">
        <v>43000</v>
      </c>
      <c r="Q3" s="35">
        <v>72167</v>
      </c>
      <c r="R3" t="str">
        <f>_xlfn.XLOOKUP(_xlfn.XLOOKUP(TableIncome[[#This Row],[Year]],Loop!C:C,Loop!D:D),'Job Hopping'!B:B,'Job Hopping'!F:F)</f>
        <v>N</v>
      </c>
      <c r="S3" t="str">
        <f>_xlfn.XLOOKUP(_xlfn.XLOOKUP(TableIncome[[#This Row],[Year]],Loop!C:C,Loop!E:E),'Job Hopping'!B:B,'Job Hopping'!G:G)</f>
        <v>N</v>
      </c>
    </row>
    <row r="4" spans="1:19" x14ac:dyDescent="0.35">
      <c r="B4" s="2">
        <v>2026</v>
      </c>
      <c r="C4" s="42">
        <f>(TableIncomeCalculations[[#This Row],[NetMonthlySalaryP1]]*12)</f>
        <v>277763.49228177476</v>
      </c>
      <c r="D4" s="41">
        <f>(TableIncomeCalculations[[#This Row],[NetMonthlySalaryP2]]*12)</f>
        <v>457331.40132273937</v>
      </c>
      <c r="E4" s="40">
        <f>TableIncome[[#This Row],[SalaryP1]]*$I$7</f>
        <v>27776.349228177478</v>
      </c>
      <c r="F4" s="40">
        <f>TableIncome[[#This Row],[SalaryP2]]*$I$7</f>
        <v>45733.14013227394</v>
      </c>
      <c r="G4" s="16"/>
      <c r="H4" s="13" t="s">
        <v>67</v>
      </c>
      <c r="I4" s="14">
        <v>9.9999999999999985E-3</v>
      </c>
      <c r="L4" s="38">
        <f>'Net Salary P1'!BI3</f>
        <v>23146.957690147898</v>
      </c>
      <c r="M4" s="39">
        <f>'Net Salary P2'!AT3</f>
        <v>38110.950110228281</v>
      </c>
      <c r="N4" s="39">
        <f>IF(_xlfn.XLOOKUP(TableIncome[[#This Row],[Year]],Loop!C:C,Loop!D:D)&lt;70,(N3*(1+$I$4))+IF(TableIncomeCalculations[[#This Row],[SwitchP1]]="Y",N3*$I$6,0),0)</f>
        <v>42578.431372549021</v>
      </c>
      <c r="O4" s="39">
        <f>IF(_xlfn.XLOOKUP(TableIncome[[#This Row],[Year]],Loop!C:C,Loop!E:E)&lt;70,(O3*(1+$I$4))+IF(TableIncomeCalculations[[#This Row],[SwitchP2]]="Y",Q3*$I$6,0),0)</f>
        <v>71459.480392156853</v>
      </c>
      <c r="P4" s="39">
        <f>IF(_xlfn.XLOOKUP(TableIncome[[#This Row],[Year]],Loop!C:C,Loop!D:D)&lt;70,(P3*(1+$I$3))+IF(TableIncomeCalculations[[#This Row],[SwitchP1]]="Y",P3*$I$5,0),0)</f>
        <v>44290</v>
      </c>
      <c r="Q4" s="39">
        <f>IF(_xlfn.XLOOKUP(TableIncome[[#This Row],[Year]],Loop!C:C,Loop!E:E)&lt;70,(Q3*(1+$I$3))+IF(TableIncomeCalculations[[#This Row],[SwitchP2]]="Y",Q3*$I$5,0),0)</f>
        <v>74332.009999999995</v>
      </c>
      <c r="R4" t="str">
        <f>_xlfn.XLOOKUP(_xlfn.XLOOKUP(TableIncome[[#This Row],[Year]],Loop!C:C,Loop!D:D),'Job Hopping'!B:B,'Job Hopping'!F:F)</f>
        <v>N</v>
      </c>
      <c r="S4" t="str">
        <f>_xlfn.XLOOKUP(_xlfn.XLOOKUP(TableIncome[[#This Row],[Year]],Loop!C:C,Loop!E:E),'Job Hopping'!B:B,'Job Hopping'!G:G)</f>
        <v>N</v>
      </c>
    </row>
    <row r="5" spans="1:19" x14ac:dyDescent="0.35">
      <c r="B5" s="2">
        <v>2027</v>
      </c>
      <c r="C5" s="42">
        <f>(TableIncomeCalculations[[#This Row],[NetMonthlySalaryP1]]*12)</f>
        <v>292005.1375971401</v>
      </c>
      <c r="D5" s="41">
        <f>(TableIncomeCalculations[[#This Row],[NetMonthlySalaryP2]]*12)</f>
        <v>461105.25020029803</v>
      </c>
      <c r="E5" s="40">
        <f>TableIncome[[#This Row],[SalaryP1]]*$I$7</f>
        <v>29200.513759714013</v>
      </c>
      <c r="F5" s="40">
        <f>TableIncome[[#This Row],[SalaryP2]]*$I$7</f>
        <v>46110.525020029803</v>
      </c>
      <c r="G5" s="16"/>
      <c r="H5" s="13" t="s">
        <v>66</v>
      </c>
      <c r="I5" s="14">
        <v>0.06</v>
      </c>
      <c r="L5" s="38">
        <f>'Net Salary P1'!BI4</f>
        <v>24333.761466428343</v>
      </c>
      <c r="M5" s="39">
        <f>'Net Salary P2'!AT4</f>
        <v>38425.437516691505</v>
      </c>
      <c r="N5" s="39">
        <f>IF(_xlfn.XLOOKUP(TableIncome[[#This Row],[Year]],Loop!C:C,Loop!D:D)&lt;70,(N4*(1+$I$4))+IF(TableIncomeCalculations[[#This Row],[SwitchP1]]="Y",N4*$I$6,0),0)</f>
        <v>44707.352941176468</v>
      </c>
      <c r="O5" s="39">
        <f>IF(_xlfn.XLOOKUP(TableIncome[[#This Row],[Year]],Loop!C:C,Loop!E:E)&lt;70,(O4*(1+$I$4))+IF(TableIncomeCalculations[[#This Row],[SwitchP2]]="Y",Q4*$I$6,0),0)</f>
        <v>72174.075196078426</v>
      </c>
      <c r="P5" s="39">
        <f>IF(_xlfn.XLOOKUP(TableIncome[[#This Row],[Year]],Loop!C:C,Loop!D:D)&lt;70,(P4*(1+$I$3))+IF(TableIncomeCalculations[[#This Row],[SwitchP1]]="Y",P4*$I$5,0),0)</f>
        <v>48276.100000000006</v>
      </c>
      <c r="Q5" s="39">
        <f>IF(_xlfn.XLOOKUP(TableIncome[[#This Row],[Year]],Loop!C:C,Loop!E:E)&lt;70,(Q4*(1+$I$3))+IF(TableIncomeCalculations[[#This Row],[SwitchP2]]="Y",Q4*$I$5,0),0)</f>
        <v>76561.970300000001</v>
      </c>
      <c r="R5" t="str">
        <f>_xlfn.XLOOKUP(_xlfn.XLOOKUP(TableIncome[[#This Row],[Year]],Loop!C:C,Loop!D:D),'Job Hopping'!B:B,'Job Hopping'!F:F)</f>
        <v>Y</v>
      </c>
      <c r="S5" t="str">
        <f>_xlfn.XLOOKUP(_xlfn.XLOOKUP(TableIncome[[#This Row],[Year]],Loop!C:C,Loop!E:E),'Job Hopping'!B:B,'Job Hopping'!G:G)</f>
        <v>N</v>
      </c>
    </row>
    <row r="6" spans="1:19" x14ac:dyDescent="0.35">
      <c r="B6" s="2">
        <v>2028</v>
      </c>
      <c r="C6" s="42">
        <f>(TableIncomeCalculations[[#This Row],[NetMonthlySalaryP1]]*12)</f>
        <v>295132.36316769192</v>
      </c>
      <c r="D6" s="41">
        <f>(TableIncomeCalculations[[#This Row],[NetMonthlySalaryP2]]*12)</f>
        <v>480325.63374858629</v>
      </c>
      <c r="E6" s="40">
        <f>TableIncome[[#This Row],[SalaryP1]]*$I$7</f>
        <v>29513.236316769195</v>
      </c>
      <c r="F6" s="40">
        <f>TableIncome[[#This Row],[SalaryP2]]*$I$7</f>
        <v>48032.563374858633</v>
      </c>
      <c r="G6" s="16"/>
      <c r="H6" s="13" t="s">
        <v>177</v>
      </c>
      <c r="I6" s="14">
        <v>3.9999999999999994E-2</v>
      </c>
      <c r="L6" s="38">
        <f>'Net Salary P1'!BI5</f>
        <v>24594.36359730766</v>
      </c>
      <c r="M6" s="39">
        <f>'Net Salary P2'!AT5</f>
        <v>40027.136145715522</v>
      </c>
      <c r="N6" s="39">
        <f>IF(_xlfn.XLOOKUP(TableIncome[[#This Row],[Year]],Loop!C:C,Loop!D:D)&lt;70,(N5*(1+$I$4))+IF(TableIncomeCalculations[[#This Row],[SwitchP1]]="Y",N5*$I$6,0),0)</f>
        <v>45154.426470588231</v>
      </c>
      <c r="O6" s="39">
        <f>IF(_xlfn.XLOOKUP(TableIncome[[#This Row],[Year]],Loop!C:C,Loop!E:E)&lt;70,(O5*(1+$I$4))+IF(TableIncomeCalculations[[#This Row],[SwitchP2]]="Y",Q5*$I$6,0),0)</f>
        <v>75958.294760039207</v>
      </c>
      <c r="P6" s="39">
        <f>IF(_xlfn.XLOOKUP(TableIncome[[#This Row],[Year]],Loop!C:C,Loop!D:D)&lt;70,(P5*(1+$I$3))+IF(TableIncomeCalculations[[#This Row],[SwitchP1]]="Y",P5*$I$5,0),0)</f>
        <v>49724.383000000009</v>
      </c>
      <c r="Q6" s="39">
        <f>IF(_xlfn.XLOOKUP(TableIncome[[#This Row],[Year]],Loop!C:C,Loop!E:E)&lt;70,(Q5*(1+$I$3))+IF(TableIncomeCalculations[[#This Row],[SwitchP2]]="Y",Q5*$I$5,0),0)</f>
        <v>83452.547626999993</v>
      </c>
      <c r="R6" t="str">
        <f>_xlfn.XLOOKUP(_xlfn.XLOOKUP(TableIncome[[#This Row],[Year]],Loop!C:C,Loop!D:D),'Job Hopping'!B:B,'Job Hopping'!F:F)</f>
        <v>N</v>
      </c>
      <c r="S6" t="str">
        <f>_xlfn.XLOOKUP(_xlfn.XLOOKUP(TableIncome[[#This Row],[Year]],Loop!C:C,Loop!E:E),'Job Hopping'!B:B,'Job Hopping'!G:G)</f>
        <v>Y</v>
      </c>
    </row>
    <row r="7" spans="1:19" x14ac:dyDescent="0.35">
      <c r="B7" s="2">
        <v>2029</v>
      </c>
      <c r="C7" s="42">
        <f>(TableIncomeCalculations[[#This Row],[NetMonthlySalaryP1]]*12)</f>
        <v>298285.71861670335</v>
      </c>
      <c r="D7" s="41">
        <f>(TableIncomeCalculations[[#This Row],[NetMonthlySalaryP2]]*12)</f>
        <v>484319.03734836658</v>
      </c>
      <c r="E7" s="40">
        <f>TableIncome[[#This Row],[SalaryP1]]*$I$7</f>
        <v>29828.571861670338</v>
      </c>
      <c r="F7" s="40">
        <f>TableIncome[[#This Row],[SalaryP2]]*$I$7</f>
        <v>48431.903734836662</v>
      </c>
      <c r="G7" s="16"/>
      <c r="H7" s="13" t="s">
        <v>78</v>
      </c>
      <c r="I7" s="14">
        <v>0.1</v>
      </c>
      <c r="L7" s="38">
        <f>'Net Salary P1'!BI6</f>
        <v>24857.143218058613</v>
      </c>
      <c r="M7" s="39">
        <f>'Net Salary P2'!AT6</f>
        <v>40359.919779030548</v>
      </c>
      <c r="N7" s="39">
        <f>IF(_xlfn.XLOOKUP(TableIncome[[#This Row],[Year]],Loop!C:C,Loop!D:D)&lt;70,(N6*(1+$I$4))+IF(TableIncomeCalculations[[#This Row],[SwitchP1]]="Y",N6*$I$6,0),0)</f>
        <v>45605.970735294111</v>
      </c>
      <c r="O7" s="39">
        <f>IF(_xlfn.XLOOKUP(TableIncome[[#This Row],[Year]],Loop!C:C,Loop!E:E)&lt;70,(O6*(1+$I$4))+IF(TableIncomeCalculations[[#This Row],[SwitchP2]]="Y",Q6*$I$6,0),0)</f>
        <v>76717.877707639593</v>
      </c>
      <c r="P7" s="39">
        <f>IF(_xlfn.XLOOKUP(TableIncome[[#This Row],[Year]],Loop!C:C,Loop!D:D)&lt;70,(P6*(1+$I$3))+IF(TableIncomeCalculations[[#This Row],[SwitchP1]]="Y",P6*$I$5,0),0)</f>
        <v>51216.114490000007</v>
      </c>
      <c r="Q7" s="39">
        <f>IF(_xlfn.XLOOKUP(TableIncome[[#This Row],[Year]],Loop!C:C,Loop!E:E)&lt;70,(Q6*(1+$I$3))+IF(TableIncomeCalculations[[#This Row],[SwitchP2]]="Y",Q6*$I$5,0),0)</f>
        <v>85956.124055809996</v>
      </c>
      <c r="R7" t="str">
        <f>_xlfn.XLOOKUP(_xlfn.XLOOKUP(TableIncome[[#This Row],[Year]],Loop!C:C,Loop!D:D),'Job Hopping'!B:B,'Job Hopping'!F:F)</f>
        <v>N</v>
      </c>
      <c r="S7" t="str">
        <f>_xlfn.XLOOKUP(_xlfn.XLOOKUP(TableIncome[[#This Row],[Year]],Loop!C:C,Loop!E:E),'Job Hopping'!B:B,'Job Hopping'!G:G)</f>
        <v>N</v>
      </c>
    </row>
    <row r="8" spans="1:19" x14ac:dyDescent="0.35">
      <c r="B8" s="2">
        <v>2030</v>
      </c>
      <c r="C8" s="42">
        <f>(TableIncomeCalculations[[#This Row],[NetMonthlySalaryP1]]*12)</f>
        <v>320200.06702775997</v>
      </c>
      <c r="D8" s="41">
        <f>(TableIncomeCalculations[[#This Row],[NetMonthlySalaryP2]]*12)</f>
        <v>514869.63649469125</v>
      </c>
      <c r="E8" s="40">
        <f>TableIncome[[#This Row],[SalaryP1]]*$I$7</f>
        <v>32020.006702775998</v>
      </c>
      <c r="F8" s="40">
        <f>TableIncome[[#This Row],[SalaryP2]]*$I$7</f>
        <v>51486.963649469129</v>
      </c>
      <c r="G8" s="16"/>
      <c r="I8" s="17"/>
      <c r="L8" s="38">
        <f>'Net Salary P1'!BI9</f>
        <v>26683.338918979996</v>
      </c>
      <c r="M8" s="39">
        <f>'Net Salary P2'!AT9</f>
        <v>42905.803041224273</v>
      </c>
      <c r="N8" s="39">
        <f>IF(_xlfn.XLOOKUP(TableIncome[[#This Row],[Year]],Loop!C:C,Loop!D:D)&lt;70,(N7*(1+$I$4))+IF(TableIncomeCalculations[[#This Row],[SwitchP1]]="Y",N7*$I$6,0),0)</f>
        <v>46062.030442647054</v>
      </c>
      <c r="O8" s="39">
        <f>IF(_xlfn.XLOOKUP(TableIncome[[#This Row],[Year]],Loop!C:C,Loop!E:E)&lt;70,(O7*(1+$I$4))+IF(TableIncomeCalculations[[#This Row],[SwitchP2]]="Y",Q7*$I$6,0),0)</f>
        <v>77485.056484715984</v>
      </c>
      <c r="P8" s="39">
        <f>IF(_xlfn.XLOOKUP(TableIncome[[#This Row],[Year]],Loop!C:C,Loop!D:D)&lt;70,(P7*(1+$I$3))+IF(TableIncomeCalculations[[#This Row],[SwitchP1]]="Y",P7*$I$5,0),0)</f>
        <v>52752.597924700007</v>
      </c>
      <c r="Q8" s="39">
        <f>IF(_xlfn.XLOOKUP(TableIncome[[#This Row],[Year]],Loop!C:C,Loop!E:E)&lt;70,(Q7*(1+$I$3))+IF(TableIncomeCalculations[[#This Row],[SwitchP2]]="Y",Q7*$I$5,0),0)</f>
        <v>88534.807777484297</v>
      </c>
      <c r="R8" t="str">
        <f>_xlfn.XLOOKUP(_xlfn.XLOOKUP(TableIncome[[#This Row],[Year]],Loop!C:C,Loop!D:D),'Job Hopping'!B:B,'Job Hopping'!F:F)</f>
        <v>N</v>
      </c>
      <c r="S8" t="str">
        <f>_xlfn.XLOOKUP(_xlfn.XLOOKUP(TableIncome[[#This Row],[Year]],Loop!C:C,Loop!E:E),'Job Hopping'!B:B,'Job Hopping'!G:G)</f>
        <v>N</v>
      </c>
    </row>
    <row r="9" spans="1:19" x14ac:dyDescent="0.35">
      <c r="B9" s="2">
        <v>2031</v>
      </c>
      <c r="C9" s="42">
        <f>(TableIncomeCalculations[[#This Row],[NetMonthlySalaryP1]]*12)</f>
        <v>323584.51873795345</v>
      </c>
      <c r="D9" s="41">
        <f>(TableIncomeCalculations[[#This Row],[NetMonthlySalaryP2]]*12)</f>
        <v>519188.89934451401</v>
      </c>
      <c r="E9" s="40">
        <f>TableIncome[[#This Row],[SalaryP1]]*$I$7</f>
        <v>32358.451873795348</v>
      </c>
      <c r="F9" s="40">
        <f>TableIncome[[#This Row],[SalaryP2]]*$I$7</f>
        <v>51918.889934451407</v>
      </c>
      <c r="G9" s="16"/>
      <c r="L9" s="38">
        <f>'Net Salary P1'!BI10</f>
        <v>26965.376561496119</v>
      </c>
      <c r="M9" s="39">
        <f>'Net Salary P2'!AT10</f>
        <v>43265.741612042832</v>
      </c>
      <c r="N9" s="39">
        <f>IF(_xlfn.XLOOKUP(TableIncome[[#This Row],[Year]],Loop!C:C,Loop!D:D)&lt;70,(N8*(1+$I$4))+IF(TableIncomeCalculations[[#This Row],[SwitchP1]]="Y",N8*$I$6,0),0)</f>
        <v>48365.131964779408</v>
      </c>
      <c r="O9" s="39">
        <f>IF(_xlfn.XLOOKUP(TableIncome[[#This Row],[Year]],Loop!C:C,Loop!E:E)&lt;70,(O8*(1+$I$4))+IF(TableIncomeCalculations[[#This Row],[SwitchP2]]="Y",Q8*$I$6,0),0)</f>
        <v>78259.907049563146</v>
      </c>
      <c r="P9" s="39">
        <f>IF(_xlfn.XLOOKUP(TableIncome[[#This Row],[Year]],Loop!C:C,Loop!D:D)&lt;70,(P8*(1+$I$3))+IF(TableIncomeCalculations[[#This Row],[SwitchP1]]="Y",P8*$I$5,0),0)</f>
        <v>57500.331737923007</v>
      </c>
      <c r="Q9" s="39">
        <f>IF(_xlfn.XLOOKUP(TableIncome[[#This Row],[Year]],Loop!C:C,Loop!E:E)&lt;70,(Q8*(1+$I$3))+IF(TableIncomeCalculations[[#This Row],[SwitchP2]]="Y",Q8*$I$5,0),0)</f>
        <v>91190.852010808827</v>
      </c>
      <c r="R9" t="str">
        <f>_xlfn.XLOOKUP(_xlfn.XLOOKUP(TableIncome[[#This Row],[Year]],Loop!C:C,Loop!D:D),'Job Hopping'!B:B,'Job Hopping'!F:F)</f>
        <v>Y</v>
      </c>
      <c r="S9" t="str">
        <f>_xlfn.XLOOKUP(_xlfn.XLOOKUP(TableIncome[[#This Row],[Year]],Loop!C:C,Loop!E:E),'Job Hopping'!B:B,'Job Hopping'!G:G)</f>
        <v>N</v>
      </c>
    </row>
    <row r="10" spans="1:19" x14ac:dyDescent="0.35">
      <c r="B10" s="2">
        <v>2032</v>
      </c>
      <c r="C10" s="42">
        <f>(TableIncomeCalculations[[#This Row],[NetMonthlySalaryP1]]*12)</f>
        <v>326998.15735574154</v>
      </c>
      <c r="D10" s="41">
        <f>(TableIncomeCalculations[[#This Row],[NetMonthlySalaryP2]]*12)</f>
        <v>523546.69721332774</v>
      </c>
      <c r="E10" s="40">
        <f>TableIncome[[#This Row],[SalaryP1]]*$I$7</f>
        <v>32699.815735574157</v>
      </c>
      <c r="F10" s="40">
        <f>TableIncome[[#This Row],[SalaryP2]]*$I$7</f>
        <v>52354.669721332779</v>
      </c>
      <c r="G10" s="16"/>
      <c r="L10" s="38">
        <f>'Net Salary P1'!BI11</f>
        <v>27249.846446311796</v>
      </c>
      <c r="M10" s="39">
        <f>'Net Salary P2'!AT11</f>
        <v>43628.891434443976</v>
      </c>
      <c r="N10" s="39">
        <f>IF(_xlfn.XLOOKUP(TableIncome[[#This Row],[Year]],Loop!C:C,Loop!D:D)&lt;70,(N9*(1+$I$4))+IF(TableIncomeCalculations[[#This Row],[SwitchP1]]="Y",N9*$I$6,0),0)</f>
        <v>48848.783284427205</v>
      </c>
      <c r="O10" s="39">
        <f>IF(_xlfn.XLOOKUP(TableIncome[[#This Row],[Year]],Loop!C:C,Loop!E:E)&lt;70,(O9*(1+$I$4))+IF(TableIncomeCalculations[[#This Row],[SwitchP2]]="Y",Q9*$I$6,0),0)</f>
        <v>82690.140200491136</v>
      </c>
      <c r="P10" s="39">
        <f>IF(_xlfn.XLOOKUP(TableIncome[[#This Row],[Year]],Loop!C:C,Loop!D:D)&lt;70,(P9*(1+$I$3))+IF(TableIncomeCalculations[[#This Row],[SwitchP1]]="Y",P9*$I$5,0),0)</f>
        <v>59225.341690060697</v>
      </c>
      <c r="Q10" s="39">
        <f>IF(_xlfn.XLOOKUP(TableIncome[[#This Row],[Year]],Loop!C:C,Loop!E:E)&lt;70,(Q9*(1+$I$3))+IF(TableIncomeCalculations[[#This Row],[SwitchP2]]="Y",Q9*$I$5,0),0)</f>
        <v>99398.028691781627</v>
      </c>
      <c r="R10" t="str">
        <f>_xlfn.XLOOKUP(_xlfn.XLOOKUP(TableIncome[[#This Row],[Year]],Loop!C:C,Loop!D:D),'Job Hopping'!B:B,'Job Hopping'!F:F)</f>
        <v>N</v>
      </c>
      <c r="S10" t="str">
        <f>_xlfn.XLOOKUP(_xlfn.XLOOKUP(TableIncome[[#This Row],[Year]],Loop!C:C,Loop!E:E),'Job Hopping'!B:B,'Job Hopping'!G:G)</f>
        <v>Y</v>
      </c>
    </row>
    <row r="11" spans="1:19" x14ac:dyDescent="0.35">
      <c r="B11" s="2">
        <v>2033</v>
      </c>
      <c r="C11" s="42">
        <f>(TableIncomeCalculations[[#This Row],[NetMonthlySalaryP1]]*12)</f>
        <v>343609.39515101956</v>
      </c>
      <c r="D11" s="41">
        <f>(TableIncomeCalculations[[#This Row],[NetMonthlySalaryP2]]*12)</f>
        <v>527943.50677699875</v>
      </c>
      <c r="E11" s="40">
        <f>TableIncome[[#This Row],[SalaryP1]]*$I$7</f>
        <v>34360.939515101956</v>
      </c>
      <c r="F11" s="40">
        <f>TableIncome[[#This Row],[SalaryP2]]*$I$7</f>
        <v>52794.350677699877</v>
      </c>
      <c r="G11" s="16"/>
      <c r="L11" s="38">
        <f>'Net Salary P1'!BI12</f>
        <v>28634.116262584965</v>
      </c>
      <c r="M11" s="39">
        <f>'Net Salary P2'!AT12</f>
        <v>43995.292231416563</v>
      </c>
      <c r="N11" s="39">
        <f>IF(_xlfn.XLOOKUP(TableIncome[[#This Row],[Year]],Loop!C:C,Loop!D:D)&lt;70,(N10*(1+$I$4))+IF(TableIncomeCalculations[[#This Row],[SwitchP1]]="Y",N10*$I$6,0),0)</f>
        <v>49337.271117271477</v>
      </c>
      <c r="O11" s="39">
        <f>IF(_xlfn.XLOOKUP(TableIncome[[#This Row],[Year]],Loop!C:C,Loop!E:E)&lt;70,(O10*(1+$I$4))+IF(TableIncomeCalculations[[#This Row],[SwitchP2]]="Y",Q10*$I$6,0),0)</f>
        <v>83517.041602496043</v>
      </c>
      <c r="P11" s="39">
        <f>IF(_xlfn.XLOOKUP(TableIncome[[#This Row],[Year]],Loop!C:C,Loop!D:D)&lt;70,(P10*(1+$I$3))+IF(TableIncomeCalculations[[#This Row],[SwitchP1]]="Y",P10*$I$5,0),0)</f>
        <v>61002.101940762521</v>
      </c>
      <c r="Q11" s="39">
        <f>IF(_xlfn.XLOOKUP(TableIncome[[#This Row],[Year]],Loop!C:C,Loop!E:E)&lt;70,(Q10*(1+$I$3))+IF(TableIncomeCalculations[[#This Row],[SwitchP2]]="Y",Q10*$I$5,0),0)</f>
        <v>102379.96955253508</v>
      </c>
      <c r="R11" t="str">
        <f>_xlfn.XLOOKUP(_xlfn.XLOOKUP(TableIncome[[#This Row],[Year]],Loop!C:C,Loop!D:D),'Job Hopping'!B:B,'Job Hopping'!F:F)</f>
        <v>N</v>
      </c>
      <c r="S11" t="str">
        <f>_xlfn.XLOOKUP(_xlfn.XLOOKUP(TableIncome[[#This Row],[Year]],Loop!C:C,Loop!E:E),'Job Hopping'!B:B,'Job Hopping'!G:G)</f>
        <v>N</v>
      </c>
    </row>
    <row r="12" spans="1:19" x14ac:dyDescent="0.35">
      <c r="B12" s="2">
        <v>2034</v>
      </c>
      <c r="C12" s="42">
        <f>(TableIncomeCalculations[[#This Row],[NetMonthlySalaryP1]]*12)</f>
        <v>347214.23950025381</v>
      </c>
      <c r="D12" s="41">
        <f>(TableIncomeCalculations[[#This Row],[NetMonthlySalaryP2]]*12)</f>
        <v>532379.80768745299</v>
      </c>
      <c r="E12" s="40">
        <f>TableIncome[[#This Row],[SalaryP1]]*$I$7</f>
        <v>34721.423950025383</v>
      </c>
      <c r="F12" s="40">
        <f>TableIncome[[#This Row],[SalaryP2]]*$I$7</f>
        <v>53237.980768745299</v>
      </c>
      <c r="G12" s="16"/>
      <c r="L12" s="38">
        <f>'Net Salary P1'!BI13</f>
        <v>28934.519958354485</v>
      </c>
      <c r="M12" s="39">
        <f>'Net Salary P2'!AT13</f>
        <v>44364.983973954419</v>
      </c>
      <c r="N12" s="39">
        <f>IF(_xlfn.XLOOKUP(TableIncome[[#This Row],[Year]],Loop!C:C,Loop!D:D)&lt;70,(N11*(1+$I$4))+IF(TableIncomeCalculations[[#This Row],[SwitchP1]]="Y",N11*$I$6,0),0)</f>
        <v>49830.64382844419</v>
      </c>
      <c r="O12" s="39">
        <f>IF(_xlfn.XLOOKUP(TableIncome[[#This Row],[Year]],Loop!C:C,Loop!E:E)&lt;70,(O11*(1+$I$4))+IF(TableIncomeCalculations[[#This Row],[SwitchP2]]="Y",Q11*$I$6,0),0)</f>
        <v>84352.212018521008</v>
      </c>
      <c r="P12" s="39">
        <f>IF(_xlfn.XLOOKUP(TableIncome[[#This Row],[Year]],Loop!C:C,Loop!D:D)&lt;70,(P11*(1+$I$3))+IF(TableIncomeCalculations[[#This Row],[SwitchP1]]="Y",P11*$I$5,0),0)</f>
        <v>62832.164998985398</v>
      </c>
      <c r="Q12" s="39">
        <f>IF(_xlfn.XLOOKUP(TableIncome[[#This Row],[Year]],Loop!C:C,Loop!E:E)&lt;70,(Q11*(1+$I$3))+IF(TableIncomeCalculations[[#This Row],[SwitchP2]]="Y",Q11*$I$5,0),0)</f>
        <v>105451.36863911114</v>
      </c>
      <c r="R12" t="str">
        <f>_xlfn.XLOOKUP(_xlfn.XLOOKUP(TableIncome[[#This Row],[Year]],Loop!C:C,Loop!D:D),'Job Hopping'!B:B,'Job Hopping'!F:F)</f>
        <v>N</v>
      </c>
      <c r="S12" t="str">
        <f>_xlfn.XLOOKUP(_xlfn.XLOOKUP(TableIncome[[#This Row],[Year]],Loop!C:C,Loop!E:E),'Job Hopping'!B:B,'Job Hopping'!G:G)</f>
        <v>N</v>
      </c>
    </row>
    <row r="13" spans="1:19" x14ac:dyDescent="0.35">
      <c r="B13" s="2">
        <v>2035</v>
      </c>
      <c r="C13" s="42">
        <f>(TableIncomeCalculations[[#This Row],[NetMonthlySalaryP1]]*12)</f>
        <v>350850.7433235161</v>
      </c>
      <c r="D13" s="41">
        <f>(TableIncomeCalculations[[#This Row],[NetMonthlySalaryP2]]*12)</f>
        <v>536856.08263754717</v>
      </c>
      <c r="E13" s="40">
        <f>TableIncome[[#This Row],[SalaryP1]]*$I$7</f>
        <v>35085.074332351614</v>
      </c>
      <c r="F13" s="40">
        <f>TableIncome[[#This Row],[SalaryP2]]*$I$7</f>
        <v>53685.608263754722</v>
      </c>
      <c r="G13" s="16"/>
      <c r="L13" s="38">
        <f>'Net Salary P1'!BI14</f>
        <v>29237.561943626341</v>
      </c>
      <c r="M13" s="39">
        <f>'Net Salary P2'!AT14</f>
        <v>44738.006886462266</v>
      </c>
      <c r="N13" s="39">
        <f>IF(_xlfn.XLOOKUP(TableIncome[[#This Row],[Year]],Loop!C:C,Loop!D:D)&lt;70,(N12*(1+$I$4))+IF(TableIncomeCalculations[[#This Row],[SwitchP1]]="Y",N12*$I$6,0),0)</f>
        <v>52322.176019866405</v>
      </c>
      <c r="O13" s="39">
        <f>IF(_xlfn.XLOOKUP(TableIncome[[#This Row],[Year]],Loop!C:C,Loop!E:E)&lt;70,(O12*(1+$I$4))+IF(TableIncomeCalculations[[#This Row],[SwitchP2]]="Y",Q12*$I$6,0),0)</f>
        <v>85195.734138706219</v>
      </c>
      <c r="P13" s="39">
        <f>IF(_xlfn.XLOOKUP(TableIncome[[#This Row],[Year]],Loop!C:C,Loop!D:D)&lt;70,(P12*(1+$I$3))+IF(TableIncomeCalculations[[#This Row],[SwitchP1]]="Y",P12*$I$5,0),0)</f>
        <v>68487.059848894089</v>
      </c>
      <c r="Q13" s="39">
        <f>IF(_xlfn.XLOOKUP(TableIncome[[#This Row],[Year]],Loop!C:C,Loop!E:E)&lt;70,(Q12*(1+$I$3))+IF(TableIncomeCalculations[[#This Row],[SwitchP2]]="Y",Q12*$I$5,0),0)</f>
        <v>108614.90969828448</v>
      </c>
      <c r="R13" t="str">
        <f>_xlfn.XLOOKUP(_xlfn.XLOOKUP(TableIncome[[#This Row],[Year]],Loop!C:C,Loop!D:D),'Job Hopping'!B:B,'Job Hopping'!F:F)</f>
        <v>Y</v>
      </c>
      <c r="S13" t="str">
        <f>_xlfn.XLOOKUP(_xlfn.XLOOKUP(TableIncome[[#This Row],[Year]],Loop!C:C,Loop!E:E),'Job Hopping'!B:B,'Job Hopping'!G:G)</f>
        <v>N</v>
      </c>
    </row>
    <row r="14" spans="1:19" x14ac:dyDescent="0.35">
      <c r="B14" s="2">
        <v>2036</v>
      </c>
      <c r="C14" s="42">
        <f>(TableIncomeCalculations[[#This Row],[NetMonthlySalaryP1]]*12)</f>
        <v>354519.30927377142</v>
      </c>
      <c r="D14" s="41">
        <f>(TableIncomeCalculations[[#This Row],[NetMonthlySalaryP2]]*12)</f>
        <v>541372.8174259027</v>
      </c>
      <c r="E14" s="40">
        <f>TableIncome[[#This Row],[SalaryP1]]*$I$7</f>
        <v>35451.930927377143</v>
      </c>
      <c r="F14" s="40">
        <f>TableIncome[[#This Row],[SalaryP2]]*$I$7</f>
        <v>54137.281742590276</v>
      </c>
      <c r="G14" s="16"/>
      <c r="L14" s="38">
        <f>'Net Salary P1'!BI15</f>
        <v>29543.275772814286</v>
      </c>
      <c r="M14" s="39">
        <f>'Net Salary P2'!AT15</f>
        <v>45114.401452158556</v>
      </c>
      <c r="N14" s="39">
        <f>IF(_xlfn.XLOOKUP(TableIncome[[#This Row],[Year]],Loop!C:C,Loop!D:D)&lt;70,(N13*(1+$I$4))+IF(TableIncomeCalculations[[#This Row],[SwitchP1]]="Y",N13*$I$6,0),0)</f>
        <v>52845.397780065068</v>
      </c>
      <c r="O14" s="39">
        <f>IF(_xlfn.XLOOKUP(TableIncome[[#This Row],[Year]],Loop!C:C,Loop!E:E)&lt;70,(O13*(1+$I$4))+IF(TableIncomeCalculations[[#This Row],[SwitchP2]]="Y",Q13*$I$6,0),0)</f>
        <v>86047.691480093286</v>
      </c>
      <c r="P14" s="39">
        <f>IF(_xlfn.XLOOKUP(TableIncome[[#This Row],[Year]],Loop!C:C,Loop!D:D)&lt;70,(P13*(1+$I$3))+IF(TableIncomeCalculations[[#This Row],[SwitchP1]]="Y",P13*$I$5,0),0)</f>
        <v>70541.671644360918</v>
      </c>
      <c r="Q14" s="39">
        <f>IF(_xlfn.XLOOKUP(TableIncome[[#This Row],[Year]],Loop!C:C,Loop!E:E)&lt;70,(Q13*(1+$I$3))+IF(TableIncomeCalculations[[#This Row],[SwitchP2]]="Y",Q13*$I$5,0),0)</f>
        <v>111873.35698923301</v>
      </c>
      <c r="R14" t="str">
        <f>_xlfn.XLOOKUP(_xlfn.XLOOKUP(TableIncome[[#This Row],[Year]],Loop!C:C,Loop!D:D),'Job Hopping'!B:B,'Job Hopping'!F:F)</f>
        <v>N</v>
      </c>
      <c r="S14" t="str">
        <f>_xlfn.XLOOKUP(_xlfn.XLOOKUP(TableIncome[[#This Row],[Year]],Loop!C:C,Loop!E:E),'Job Hopping'!B:B,'Job Hopping'!G:G)</f>
        <v>N</v>
      </c>
    </row>
    <row r="15" spans="1:19" x14ac:dyDescent="0.35">
      <c r="B15" s="2">
        <v>2037</v>
      </c>
      <c r="C15" s="42">
        <f>(TableIncomeCalculations[[#This Row],[NetMonthlySalaryP1]]*12)</f>
        <v>372465.72754345421</v>
      </c>
      <c r="D15" s="41">
        <f>(TableIncomeCalculations[[#This Row],[NetMonthlySalaryP2]]*12)</f>
        <v>545930.50102171104</v>
      </c>
      <c r="E15" s="40">
        <f>TableIncome[[#This Row],[SalaryP1]]*$I$7</f>
        <v>37246.57275434542</v>
      </c>
      <c r="F15" s="40">
        <f>TableIncome[[#This Row],[SalaryP2]]*$I$7</f>
        <v>54593.05010217111</v>
      </c>
      <c r="G15" s="16"/>
      <c r="L15" s="38">
        <f>'Net Salary P1'!BI16</f>
        <v>31038.810628621184</v>
      </c>
      <c r="M15" s="39">
        <f>'Net Salary P2'!AT16</f>
        <v>45494.208418475922</v>
      </c>
      <c r="N15" s="39">
        <f>IF(_xlfn.XLOOKUP(TableIncome[[#This Row],[Year]],Loop!C:C,Loop!D:D)&lt;70,(N14*(1+$I$4))+IF(TableIncomeCalculations[[#This Row],[SwitchP1]]="Y",N14*$I$6,0),0)</f>
        <v>53373.851757865719</v>
      </c>
      <c r="O15" s="39">
        <f>IF(_xlfn.XLOOKUP(TableIncome[[#This Row],[Year]],Loop!C:C,Loop!E:E)&lt;70,(O14*(1+$I$4))+IF(TableIncomeCalculations[[#This Row],[SwitchP2]]="Y",Q14*$I$6,0),0)</f>
        <v>86908.168394894223</v>
      </c>
      <c r="P15" s="39">
        <f>IF(_xlfn.XLOOKUP(TableIncome[[#This Row],[Year]],Loop!C:C,Loop!D:D)&lt;70,(P14*(1+$I$3))+IF(TableIncomeCalculations[[#This Row],[SwitchP1]]="Y",P14*$I$5,0),0)</f>
        <v>72657.921793691741</v>
      </c>
      <c r="Q15" s="39">
        <f>IF(_xlfn.XLOOKUP(TableIncome[[#This Row],[Year]],Loop!C:C,Loop!E:E)&lt;70,(Q14*(1+$I$3))+IF(TableIncomeCalculations[[#This Row],[SwitchP2]]="Y",Q14*$I$5,0),0)</f>
        <v>115229.55769891001</v>
      </c>
      <c r="R15" t="str">
        <f>_xlfn.XLOOKUP(_xlfn.XLOOKUP(TableIncome[[#This Row],[Year]],Loop!C:C,Loop!D:D),'Job Hopping'!B:B,'Job Hopping'!F:F)</f>
        <v>N</v>
      </c>
      <c r="S15" t="str">
        <f>_xlfn.XLOOKUP(_xlfn.XLOOKUP(TableIncome[[#This Row],[Year]],Loop!C:C,Loop!E:E),'Job Hopping'!B:B,'Job Hopping'!G:G)</f>
        <v>N</v>
      </c>
    </row>
    <row r="16" spans="1:19" x14ac:dyDescent="0.35">
      <c r="B16" s="2">
        <v>2038</v>
      </c>
      <c r="C16" s="42">
        <f>(TableIncomeCalculations[[#This Row],[NetMonthlySalaryP1]]*12)</f>
        <v>376342.08897152607</v>
      </c>
      <c r="D16" s="41">
        <f>(TableIncomeCalculations[[#This Row],[NetMonthlySalaryP2]]*12)</f>
        <v>550529.62562952528</v>
      </c>
      <c r="E16" s="40">
        <f>TableIncome[[#This Row],[SalaryP1]]*$I$7</f>
        <v>37634.20889715261</v>
      </c>
      <c r="F16" s="40">
        <f>TableIncome[[#This Row],[SalaryP2]]*$I$7</f>
        <v>55052.962562952533</v>
      </c>
      <c r="G16" s="16"/>
      <c r="L16" s="38">
        <f>'Net Salary P1'!BI17</f>
        <v>31361.840747627171</v>
      </c>
      <c r="M16" s="39">
        <f>'Net Salary P2'!AT17</f>
        <v>45877.46880246044</v>
      </c>
      <c r="N16" s="39">
        <f>IF(_xlfn.XLOOKUP(TableIncome[[#This Row],[Year]],Loop!C:C,Loop!D:D)&lt;70,(N15*(1+$I$4))+IF(TableIncomeCalculations[[#This Row],[SwitchP1]]="Y",N15*$I$6,0),0)</f>
        <v>53907.590275444374</v>
      </c>
      <c r="O16" s="39">
        <f>IF(_xlfn.XLOOKUP(TableIncome[[#This Row],[Year]],Loop!C:C,Loop!E:E)&lt;70,(O15*(1+$I$4))+IF(TableIncomeCalculations[[#This Row],[SwitchP2]]="Y",Q15*$I$6,0),0)</f>
        <v>87777.250078843164</v>
      </c>
      <c r="P16" s="39">
        <f>IF(_xlfn.XLOOKUP(TableIncome[[#This Row],[Year]],Loop!C:C,Loop!D:D)&lt;70,(P15*(1+$I$3))+IF(TableIncomeCalculations[[#This Row],[SwitchP1]]="Y",P15*$I$5,0),0)</f>
        <v>74837.65944750249</v>
      </c>
      <c r="Q16" s="39">
        <f>IF(_xlfn.XLOOKUP(TableIncome[[#This Row],[Year]],Loop!C:C,Loop!E:E)&lt;70,(Q15*(1+$I$3))+IF(TableIncomeCalculations[[#This Row],[SwitchP2]]="Y",Q15*$I$5,0),0)</f>
        <v>118686.44442987732</v>
      </c>
      <c r="R16" t="str">
        <f>_xlfn.XLOOKUP(_xlfn.XLOOKUP(TableIncome[[#This Row],[Year]],Loop!C:C,Loop!D:D),'Job Hopping'!B:B,'Job Hopping'!F:F)</f>
        <v>N</v>
      </c>
      <c r="S16" t="str">
        <f>_xlfn.XLOOKUP(_xlfn.XLOOKUP(TableIncome[[#This Row],[Year]],Loop!C:C,Loop!E:E),'Job Hopping'!B:B,'Job Hopping'!G:G)</f>
        <v>N</v>
      </c>
    </row>
    <row r="17" spans="2:19" x14ac:dyDescent="0.35">
      <c r="B17" s="2">
        <v>2039</v>
      </c>
      <c r="C17" s="42">
        <f>(TableIncomeCalculations[[#This Row],[NetMonthlySalaryP1]]*12)</f>
        <v>380253.15928451368</v>
      </c>
      <c r="D17" s="41">
        <f>(TableIncomeCalculations[[#This Row],[NetMonthlySalaryP2]]*12)</f>
        <v>555170.68675405323</v>
      </c>
      <c r="E17" s="40">
        <f>TableIncome[[#This Row],[SalaryP1]]*$I$7</f>
        <v>38025.315928451368</v>
      </c>
      <c r="F17" s="40">
        <f>TableIncome[[#This Row],[SalaryP2]]*$I$7</f>
        <v>55517.068675405324</v>
      </c>
      <c r="G17" s="16"/>
      <c r="L17" s="38">
        <f>'Net Salary P1'!BI18</f>
        <v>31687.763273709472</v>
      </c>
      <c r="M17" s="39">
        <f>'Net Salary P2'!AT18</f>
        <v>46264.223896171105</v>
      </c>
      <c r="N17" s="39">
        <f>IF(_xlfn.XLOOKUP(TableIncome[[#This Row],[Year]],Loop!C:C,Loop!D:D)&lt;70,(N16*(1+$I$4))+IF(TableIncomeCalculations[[#This Row],[SwitchP1]]="Y",N16*$I$6,0),0)</f>
        <v>56602.969789216586</v>
      </c>
      <c r="O17" s="39">
        <f>IF(_xlfn.XLOOKUP(TableIncome[[#This Row],[Year]],Loop!C:C,Loop!E:E)&lt;70,(O16*(1+$I$4))+IF(TableIncomeCalculations[[#This Row],[SwitchP2]]="Y",Q16*$I$6,0),0)</f>
        <v>88655.022579631594</v>
      </c>
      <c r="P17" s="39">
        <f>IF(_xlfn.XLOOKUP(TableIncome[[#This Row],[Year]],Loop!C:C,Loop!D:D)&lt;70,(P16*(1+$I$3))+IF(TableIncomeCalculations[[#This Row],[SwitchP1]]="Y",P16*$I$5,0),0)</f>
        <v>81573.048797777708</v>
      </c>
      <c r="Q17" s="39">
        <f>IF(_xlfn.XLOOKUP(TableIncome[[#This Row],[Year]],Loop!C:C,Loop!E:E)&lt;70,(Q16*(1+$I$3))+IF(TableIncomeCalculations[[#This Row],[SwitchP2]]="Y",Q16*$I$5,0),0)</f>
        <v>122247.03776277365</v>
      </c>
      <c r="R17" t="str">
        <f>_xlfn.XLOOKUP(_xlfn.XLOOKUP(TableIncome[[#This Row],[Year]],Loop!C:C,Loop!D:D),'Job Hopping'!B:B,'Job Hopping'!F:F)</f>
        <v>Y</v>
      </c>
      <c r="S17" t="str">
        <f>_xlfn.XLOOKUP(_xlfn.XLOOKUP(TableIncome[[#This Row],[Year]],Loop!C:C,Loop!E:E),'Job Hopping'!B:B,'Job Hopping'!G:G)</f>
        <v>N</v>
      </c>
    </row>
    <row r="18" spans="2:19" x14ac:dyDescent="0.35">
      <c r="B18" s="2">
        <v>2040</v>
      </c>
      <c r="C18" s="42">
        <f>(TableIncomeCalculations[[#This Row],[NetMonthlySalaryP1]]*12)</f>
        <v>384199.36507576413</v>
      </c>
      <c r="D18" s="41">
        <f>(TableIncomeCalculations[[#This Row],[NetMonthlySalaryP2]]*12)</f>
        <v>559854.18326495879</v>
      </c>
      <c r="E18" s="40">
        <f>TableIncome[[#This Row],[SalaryP1]]*$I$7</f>
        <v>38419.936507576414</v>
      </c>
      <c r="F18" s="40">
        <f>TableIncome[[#This Row],[SalaryP2]]*$I$7</f>
        <v>55985.418326495885</v>
      </c>
      <c r="G18" s="16"/>
      <c r="L18" s="38">
        <f>'Net Salary P1'!BI19</f>
        <v>32016.613756313676</v>
      </c>
      <c r="M18" s="39">
        <f>'Net Salary P2'!AT19</f>
        <v>46654.515272079901</v>
      </c>
      <c r="N18" s="39">
        <f>IF(_xlfn.XLOOKUP(TableIncome[[#This Row],[Year]],Loop!C:C,Loop!D:D)&lt;70,(N17*(1+$I$4))+IF(TableIncomeCalculations[[#This Row],[SwitchP1]]="Y",N17*$I$6,0),0)</f>
        <v>57168.999487108755</v>
      </c>
      <c r="O18" s="39">
        <f>IF(_xlfn.XLOOKUP(TableIncome[[#This Row],[Year]],Loop!C:C,Loop!E:E)&lt;70,(O17*(1+$I$4))+IF(TableIncomeCalculations[[#This Row],[SwitchP2]]="Y",Q17*$I$6,0),0)</f>
        <v>89541.572805427917</v>
      </c>
      <c r="P18" s="39">
        <f>IF(_xlfn.XLOOKUP(TableIncome[[#This Row],[Year]],Loop!C:C,Loop!D:D)&lt;70,(P17*(1+$I$3))+IF(TableIncomeCalculations[[#This Row],[SwitchP1]]="Y",P17*$I$5,0),0)</f>
        <v>84020.240261711035</v>
      </c>
      <c r="Q18" s="39">
        <f>IF(_xlfn.XLOOKUP(TableIncome[[#This Row],[Year]],Loop!C:C,Loop!E:E)&lt;70,(Q17*(1+$I$3))+IF(TableIncomeCalculations[[#This Row],[SwitchP2]]="Y",Q17*$I$5,0),0)</f>
        <v>125914.44889565685</v>
      </c>
      <c r="R18" t="str">
        <f>_xlfn.XLOOKUP(_xlfn.XLOOKUP(TableIncome[[#This Row],[Year]],Loop!C:C,Loop!D:D),'Job Hopping'!B:B,'Job Hopping'!F:F)</f>
        <v>N</v>
      </c>
      <c r="S18" t="str">
        <f>_xlfn.XLOOKUP(_xlfn.XLOOKUP(TableIncome[[#This Row],[Year]],Loop!C:C,Loop!E:E),'Job Hopping'!B:B,'Job Hopping'!G:G)</f>
        <v>N</v>
      </c>
    </row>
    <row r="19" spans="2:19" x14ac:dyDescent="0.35">
      <c r="B19" s="2">
        <v>2041</v>
      </c>
      <c r="C19" s="42">
        <f>(TableIncomeCalculations[[#This Row],[NetMonthlySalaryP1]]*12)</f>
        <v>403592.02199382306</v>
      </c>
      <c r="D19" s="41">
        <f>(TableIncomeCalculations[[#This Row],[NetMonthlySalaryP2]]*12)</f>
        <v>564580.61746169196</v>
      </c>
      <c r="E19" s="40">
        <f>TableIncome[[#This Row],[SalaryP1]]*$I$7</f>
        <v>40359.202199382307</v>
      </c>
      <c r="F19" s="40">
        <f>TableIncome[[#This Row],[SalaryP2]]*$I$7</f>
        <v>56458.061746169202</v>
      </c>
      <c r="G19" s="16"/>
      <c r="L19" s="38">
        <f>'Net Salary P1'!BI20</f>
        <v>33632.668499485255</v>
      </c>
      <c r="M19" s="39">
        <f>'Net Salary P2'!AT20</f>
        <v>47048.38478847433</v>
      </c>
      <c r="N19" s="39">
        <f>IF(_xlfn.XLOOKUP(TableIncome[[#This Row],[Year]],Loop!C:C,Loop!D:D)&lt;70,(N18*(1+$I$4))+IF(TableIncomeCalculations[[#This Row],[SwitchP1]]="Y",N18*$I$6,0),0)</f>
        <v>57740.68948197984</v>
      </c>
      <c r="O19" s="39">
        <f>IF(_xlfn.XLOOKUP(TableIncome[[#This Row],[Year]],Loop!C:C,Loop!E:E)&lt;70,(O18*(1+$I$4))+IF(TableIncomeCalculations[[#This Row],[SwitchP2]]="Y",Q18*$I$6,0),0)</f>
        <v>90436.988533482203</v>
      </c>
      <c r="P19" s="39">
        <f>IF(_xlfn.XLOOKUP(TableIncome[[#This Row],[Year]],Loop!C:C,Loop!D:D)&lt;70,(P18*(1+$I$3))+IF(TableIncomeCalculations[[#This Row],[SwitchP1]]="Y",P18*$I$5,0),0)</f>
        <v>86540.847469562374</v>
      </c>
      <c r="Q19" s="39">
        <f>IF(_xlfn.XLOOKUP(TableIncome[[#This Row],[Year]],Loop!C:C,Loop!E:E)&lt;70,(Q18*(1+$I$3))+IF(TableIncomeCalculations[[#This Row],[SwitchP2]]="Y",Q18*$I$5,0),0)</f>
        <v>129691.88236252656</v>
      </c>
      <c r="R19" t="str">
        <f>_xlfn.XLOOKUP(_xlfn.XLOOKUP(TableIncome[[#This Row],[Year]],Loop!C:C,Loop!D:D),'Job Hopping'!B:B,'Job Hopping'!F:F)</f>
        <v>N</v>
      </c>
      <c r="S19" t="str">
        <f>_xlfn.XLOOKUP(_xlfn.XLOOKUP(TableIncome[[#This Row],[Year]],Loop!C:C,Loop!E:E),'Job Hopping'!B:B,'Job Hopping'!G:G)</f>
        <v>N</v>
      </c>
    </row>
    <row r="20" spans="2:19" x14ac:dyDescent="0.35">
      <c r="B20" s="2">
        <v>2042</v>
      </c>
      <c r="C20" s="42">
        <f>(TableIncomeCalculations[[#This Row],[NetMonthlySalaryP1]]*12)</f>
        <v>407763.89827084402</v>
      </c>
      <c r="D20" s="41">
        <f>(TableIncomeCalculations[[#This Row],[NetMonthlySalaryP2]]*12)</f>
        <v>569350.49513835169</v>
      </c>
      <c r="E20" s="40">
        <f>TableIncome[[#This Row],[SalaryP1]]*$I$7</f>
        <v>40776.389827084407</v>
      </c>
      <c r="F20" s="40">
        <f>TableIncome[[#This Row],[SalaryP2]]*$I$7</f>
        <v>56935.049513835169</v>
      </c>
      <c r="G20" s="16"/>
      <c r="L20" s="38">
        <f>'Net Salary P1'!BI21</f>
        <v>33980.324855903666</v>
      </c>
      <c r="M20" s="39">
        <f>'Net Salary P2'!AT21</f>
        <v>47445.874594862638</v>
      </c>
      <c r="N20" s="39">
        <f>IF(_xlfn.XLOOKUP(TableIncome[[#This Row],[Year]],Loop!C:C,Loop!D:D)&lt;70,(N19*(1+$I$4))+IF(TableIncomeCalculations[[#This Row],[SwitchP1]]="Y",N19*$I$6,0),0)</f>
        <v>58318.096376799636</v>
      </c>
      <c r="O20" s="39">
        <f>IF(_xlfn.XLOOKUP(TableIncome[[#This Row],[Year]],Loop!C:C,Loop!E:E)&lt;70,(O19*(1+$I$4))+IF(TableIncomeCalculations[[#This Row],[SwitchP2]]="Y",Q19*$I$6,0),0)</f>
        <v>91341.358418817021</v>
      </c>
      <c r="P20" s="39">
        <f>IF(_xlfn.XLOOKUP(TableIncome[[#This Row],[Year]],Loop!C:C,Loop!D:D)&lt;70,(P19*(1+$I$3))+IF(TableIncomeCalculations[[#This Row],[SwitchP1]]="Y",P19*$I$5,0),0)</f>
        <v>89137.072893649252</v>
      </c>
      <c r="Q20" s="39">
        <f>IF(_xlfn.XLOOKUP(TableIncome[[#This Row],[Year]],Loop!C:C,Loop!E:E)&lt;70,(Q19*(1+$I$3))+IF(TableIncomeCalculations[[#This Row],[SwitchP2]]="Y",Q19*$I$5,0),0)</f>
        <v>133582.63883340236</v>
      </c>
      <c r="R20" t="str">
        <f>_xlfn.XLOOKUP(_xlfn.XLOOKUP(TableIncome[[#This Row],[Year]],Loop!C:C,Loop!D:D),'Job Hopping'!B:B,'Job Hopping'!F:F)</f>
        <v>N</v>
      </c>
      <c r="S20" t="str">
        <f>_xlfn.XLOOKUP(_xlfn.XLOOKUP(TableIncome[[#This Row],[Year]],Loop!C:C,Loop!E:E),'Job Hopping'!B:B,'Job Hopping'!G:G)</f>
        <v>N</v>
      </c>
    </row>
    <row r="21" spans="2:19" x14ac:dyDescent="0.35">
      <c r="B21" s="2">
        <v>2043</v>
      </c>
      <c r="C21" s="42">
        <f>(TableIncomeCalculations[[#This Row],[NetMonthlySalaryP1]]*12)</f>
        <v>411973.74736745784</v>
      </c>
      <c r="D21" s="41">
        <f>(TableIncomeCalculations[[#This Row],[NetMonthlySalaryP2]]*12)</f>
        <v>602696.04133860173</v>
      </c>
      <c r="E21" s="40">
        <f>TableIncome[[#This Row],[SalaryP1]]*$I$7</f>
        <v>41197.374736745784</v>
      </c>
      <c r="F21" s="40">
        <f>TableIncome[[#This Row],[SalaryP2]]*$I$7</f>
        <v>60269.604133860179</v>
      </c>
      <c r="G21" s="16"/>
      <c r="L21" s="38">
        <f>'Net Salary P1'!BI22</f>
        <v>34331.145613954817</v>
      </c>
      <c r="M21" s="39">
        <f>'Net Salary P2'!AT22</f>
        <v>50224.670111550142</v>
      </c>
      <c r="N21" s="39">
        <f>IF(_xlfn.XLOOKUP(TableIncome[[#This Row],[Year]],Loop!C:C,Loop!D:D)&lt;70,(N20*(1+$I$4))+IF(TableIncomeCalculations[[#This Row],[SwitchP1]]="Y",N20*$I$6,0),0)</f>
        <v>61234.001195639619</v>
      </c>
      <c r="O21" s="39">
        <f>IF(_xlfn.XLOOKUP(TableIncome[[#This Row],[Year]],Loop!C:C,Loop!E:E)&lt;70,(O20*(1+$I$4))+IF(TableIncomeCalculations[[#This Row],[SwitchP2]]="Y",Q20*$I$6,0),0)</f>
        <v>92254.772003005186</v>
      </c>
      <c r="P21" s="39">
        <f>IF(_xlfn.XLOOKUP(TableIncome[[#This Row],[Year]],Loop!C:C,Loop!D:D)&lt;70,(P20*(1+$I$3))+IF(TableIncomeCalculations[[#This Row],[SwitchP1]]="Y",P20*$I$5,0),0)</f>
        <v>97159.409454077686</v>
      </c>
      <c r="Q21" s="39">
        <f>IF(_xlfn.XLOOKUP(TableIncome[[#This Row],[Year]],Loop!C:C,Loop!E:E)&lt;70,(Q20*(1+$I$3))+IF(TableIncomeCalculations[[#This Row],[SwitchP2]]="Y",Q20*$I$5,0),0)</f>
        <v>137590.11799840443</v>
      </c>
      <c r="R21" t="str">
        <f>_xlfn.XLOOKUP(_xlfn.XLOOKUP(TableIncome[[#This Row],[Year]],Loop!C:C,Loop!D:D),'Job Hopping'!B:B,'Job Hopping'!F:F)</f>
        <v>Y</v>
      </c>
      <c r="S21" t="str">
        <f>_xlfn.XLOOKUP(_xlfn.XLOOKUP(TableIncome[[#This Row],[Year]],Loop!C:C,Loop!E:E),'Job Hopping'!B:B,'Job Hopping'!G:G)</f>
        <v>N</v>
      </c>
    </row>
    <row r="22" spans="2:19" x14ac:dyDescent="0.35">
      <c r="B22" s="2">
        <v>2044</v>
      </c>
      <c r="C22" s="42">
        <f>(TableIncomeCalculations[[#This Row],[NetMonthlySalaryP1]]*12)</f>
        <v>416222.02246172674</v>
      </c>
      <c r="D22" s="41">
        <f>(TableIncomeCalculations[[#This Row],[NetMonthlySalaryP2]]*12)</f>
        <v>607839.65481754206</v>
      </c>
      <c r="E22" s="40">
        <f>TableIncome[[#This Row],[SalaryP1]]*$I$7</f>
        <v>41622.202246172674</v>
      </c>
      <c r="F22" s="40">
        <f>TableIncome[[#This Row],[SalaryP2]]*$I$7</f>
        <v>60783.96548175421</v>
      </c>
      <c r="G22" s="16"/>
      <c r="L22" s="38">
        <f>'Net Salary P1'!BI23</f>
        <v>34685.168538477228</v>
      </c>
      <c r="M22" s="39">
        <f>'Net Salary P2'!AT23</f>
        <v>50653.304568128508</v>
      </c>
      <c r="N22" s="39">
        <f>IF(_xlfn.XLOOKUP(TableIncome[[#This Row],[Year]],Loop!C:C,Loop!D:D)&lt;70,(N21*(1+$I$4))+IF(TableIncomeCalculations[[#This Row],[SwitchP1]]="Y",N21*$I$6,0),0)</f>
        <v>61846.341207596015</v>
      </c>
      <c r="O22" s="39">
        <f>IF(_xlfn.XLOOKUP(TableIncome[[#This Row],[Year]],Loop!C:C,Loop!E:E)&lt;70,(O21*(1+$I$4))+IF(TableIncomeCalculations[[#This Row],[SwitchP2]]="Y",Q21*$I$6,0),0)</f>
        <v>93177.319723035238</v>
      </c>
      <c r="P22" s="39">
        <f>IF(_xlfn.XLOOKUP(TableIncome[[#This Row],[Year]],Loop!C:C,Loop!D:D)&lt;70,(P21*(1+$I$3))+IF(TableIncomeCalculations[[#This Row],[SwitchP1]]="Y",P21*$I$5,0),0)</f>
        <v>100074.19173770002</v>
      </c>
      <c r="Q22" s="39">
        <f>IF(_xlfn.XLOOKUP(TableIncome[[#This Row],[Year]],Loop!C:C,Loop!E:E)&lt;70,(Q21*(1+$I$3))+IF(TableIncomeCalculations[[#This Row],[SwitchP2]]="Y",Q21*$I$5,0),0)</f>
        <v>141717.82153835657</v>
      </c>
      <c r="R22" t="str">
        <f>_xlfn.XLOOKUP(_xlfn.XLOOKUP(TableIncome[[#This Row],[Year]],Loop!C:C,Loop!D:D),'Job Hopping'!B:B,'Job Hopping'!F:F)</f>
        <v>N</v>
      </c>
      <c r="S22" t="str">
        <f>_xlfn.XLOOKUP(_xlfn.XLOOKUP(TableIncome[[#This Row],[Year]],Loop!C:C,Loop!E:E),'Job Hopping'!B:B,'Job Hopping'!G:G)</f>
        <v>N</v>
      </c>
    </row>
    <row r="23" spans="2:19" x14ac:dyDescent="0.35">
      <c r="B23" s="2">
        <v>2045</v>
      </c>
      <c r="C23" s="42">
        <f>(TableIncomeCalculations[[#This Row],[NetMonthlySalaryP1]]*12)</f>
        <v>433629.92473884253</v>
      </c>
      <c r="D23" s="41">
        <f>(TableIncomeCalculations[[#This Row],[NetMonthlySalaryP2]]*12)</f>
        <v>613031.10394763341</v>
      </c>
      <c r="E23" s="40">
        <f>TableIncome[[#This Row],[SalaryP1]]*$I$7</f>
        <v>43362.992473884253</v>
      </c>
      <c r="F23" s="40">
        <f>TableIncome[[#This Row],[SalaryP2]]*$I$7</f>
        <v>61303.110394763346</v>
      </c>
      <c r="G23" s="16"/>
      <c r="L23" s="38">
        <f>'Net Salary P1'!BI24</f>
        <v>36135.827061570213</v>
      </c>
      <c r="M23" s="39">
        <f>'Net Salary P2'!AT24</f>
        <v>51085.925328969453</v>
      </c>
      <c r="N23" s="39">
        <f>IF(_xlfn.XLOOKUP(TableIncome[[#This Row],[Year]],Loop!C:C,Loop!D:D)&lt;70,(N22*(1+$I$4))+IF(TableIncomeCalculations[[#This Row],[SwitchP1]]="Y",N22*$I$6,0),0)</f>
        <v>62464.804619671973</v>
      </c>
      <c r="O23" s="39">
        <f>IF(_xlfn.XLOOKUP(TableIncome[[#This Row],[Year]],Loop!C:C,Loop!E:E)&lt;70,(O22*(1+$I$4))+IF(TableIncomeCalculations[[#This Row],[SwitchP2]]="Y",Q22*$I$6,0),0)</f>
        <v>99777.805781799863</v>
      </c>
      <c r="P23" s="39">
        <f>IF(_xlfn.XLOOKUP(TableIncome[[#This Row],[Year]],Loop!C:C,Loop!D:D)&lt;70,(P22*(1+$I$3))+IF(TableIncomeCalculations[[#This Row],[SwitchP1]]="Y",P22*$I$5,0),0)</f>
        <v>103076.41748983103</v>
      </c>
      <c r="Q23" s="39">
        <f>IF(_xlfn.XLOOKUP(TableIncome[[#This Row],[Year]],Loop!C:C,Loop!E:E)&lt;70,(Q22*(1+$I$3))+IF(TableIncomeCalculations[[#This Row],[SwitchP2]]="Y",Q22*$I$5,0),0)</f>
        <v>154472.42547680868</v>
      </c>
      <c r="R23" t="str">
        <f>_xlfn.XLOOKUP(_xlfn.XLOOKUP(TableIncome[[#This Row],[Year]],Loop!C:C,Loop!D:D),'Job Hopping'!B:B,'Job Hopping'!F:F)</f>
        <v>N</v>
      </c>
      <c r="S23" t="str">
        <f>_xlfn.XLOOKUP(_xlfn.XLOOKUP(TableIncome[[#This Row],[Year]],Loop!C:C,Loop!E:E),'Job Hopping'!B:B,'Job Hopping'!G:G)</f>
        <v>Y</v>
      </c>
    </row>
    <row r="24" spans="2:19" x14ac:dyDescent="0.35">
      <c r="B24" s="2">
        <v>2046</v>
      </c>
      <c r="C24" s="42">
        <f>(TableIncomeCalculations[[#This Row],[NetMonthlySalaryP1]]*12)</f>
        <v>437080.99179726711</v>
      </c>
      <c r="D24" s="41">
        <f>(TableIncomeCalculations[[#This Row],[NetMonthlySalaryP2]]*12)</f>
        <v>618270.93768310582</v>
      </c>
      <c r="E24" s="40">
        <f>TableIncome[[#This Row],[SalaryP1]]*$I$7</f>
        <v>43708.099179726712</v>
      </c>
      <c r="F24" s="40">
        <f>TableIncome[[#This Row],[SalaryP2]]*$I$7</f>
        <v>61827.093768310588</v>
      </c>
      <c r="G24" s="16"/>
      <c r="L24" s="38">
        <f>'Net Salary P1'!BI25</f>
        <v>36423.415983105595</v>
      </c>
      <c r="M24" s="39">
        <f>'Net Salary P2'!AT25</f>
        <v>51522.578140258818</v>
      </c>
      <c r="N24" s="39">
        <f>IF(_xlfn.XLOOKUP(TableIncome[[#This Row],[Year]],Loop!C:C,Loop!D:D)&lt;70,(N23*(1+$I$4))+IF(TableIncomeCalculations[[#This Row],[SwitchP1]]="Y",N23*$I$6,0),0)</f>
        <v>63089.452665868695</v>
      </c>
      <c r="O24" s="39">
        <f>IF(_xlfn.XLOOKUP(TableIncome[[#This Row],[Year]],Loop!C:C,Loop!E:E)&lt;70,(O23*(1+$I$4))+IF(TableIncomeCalculations[[#This Row],[SwitchP2]]="Y",Q23*$I$6,0),0)</f>
        <v>100775.58383961786</v>
      </c>
      <c r="P24" s="39">
        <f>IF(_xlfn.XLOOKUP(TableIncome[[#This Row],[Year]],Loop!C:C,Loop!D:D)&lt;70,(P23*(1+$I$3))+IF(TableIncomeCalculations[[#This Row],[SwitchP1]]="Y",P23*$I$5,0),0)</f>
        <v>106168.71001452596</v>
      </c>
      <c r="Q24" s="39">
        <f>IF(_xlfn.XLOOKUP(TableIncome[[#This Row],[Year]],Loop!C:C,Loop!E:E)&lt;70,(Q23*(1+$I$3))+IF(TableIncomeCalculations[[#This Row],[SwitchP2]]="Y",Q23*$I$5,0),0)</f>
        <v>159106.59824111295</v>
      </c>
      <c r="R24" t="str">
        <f>_xlfn.XLOOKUP(_xlfn.XLOOKUP(TableIncome[[#This Row],[Year]],Loop!C:C,Loop!D:D),'Job Hopping'!B:B,'Job Hopping'!F:F)</f>
        <v>N</v>
      </c>
      <c r="S24" t="str">
        <f>_xlfn.XLOOKUP(_xlfn.XLOOKUP(TableIncome[[#This Row],[Year]],Loop!C:C,Loop!E:E),'Job Hopping'!B:B,'Job Hopping'!G:G)</f>
        <v>N</v>
      </c>
    </row>
    <row r="25" spans="2:19" x14ac:dyDescent="0.35">
      <c r="B25" s="2">
        <v>2047</v>
      </c>
      <c r="C25" s="42">
        <f>(TableIncomeCalculations[[#This Row],[NetMonthlySalaryP1]]*12)</f>
        <v>440563.10885380534</v>
      </c>
      <c r="D25" s="41">
        <f>(TableIncomeCalculations[[#This Row],[NetMonthlySalaryP2]]*12)</f>
        <v>623559.70908346237</v>
      </c>
      <c r="E25" s="40">
        <f>TableIncome[[#This Row],[SalaryP1]]*$I$7</f>
        <v>44056.310885380539</v>
      </c>
      <c r="F25" s="40">
        <f>TableIncome[[#This Row],[SalaryP2]]*$I$7</f>
        <v>62355.970908346237</v>
      </c>
      <c r="G25" s="16"/>
      <c r="L25" s="38">
        <f>'Net Salary P1'!BI26</f>
        <v>36713.592404483781</v>
      </c>
      <c r="M25" s="39">
        <f>'Net Salary P2'!AT26</f>
        <v>51963.309090288531</v>
      </c>
      <c r="N25" s="39">
        <f>IF(_xlfn.XLOOKUP(TableIncome[[#This Row],[Year]],Loop!C:C,Loop!D:D)&lt;70,(N24*(1+$I$4))+IF(TableIncomeCalculations[[#This Row],[SwitchP1]]="Y",N24*$I$6,0),0)</f>
        <v>66243.925299162132</v>
      </c>
      <c r="O25" s="39">
        <f>IF(_xlfn.XLOOKUP(TableIncome[[#This Row],[Year]],Loop!C:C,Loop!E:E)&lt;70,(O24*(1+$I$4))+IF(TableIncomeCalculations[[#This Row],[SwitchP2]]="Y",Q24*$I$6,0),0)</f>
        <v>101783.33967801403</v>
      </c>
      <c r="P25" s="39">
        <f>IF(_xlfn.XLOOKUP(TableIncome[[#This Row],[Year]],Loop!C:C,Loop!D:D)&lt;70,(P24*(1+$I$3))+IF(TableIncomeCalculations[[#This Row],[SwitchP1]]="Y",P24*$I$5,0),0)</f>
        <v>115723.89391583331</v>
      </c>
      <c r="Q25" s="39">
        <f>IF(_xlfn.XLOOKUP(TableIncome[[#This Row],[Year]],Loop!C:C,Loop!E:E)&lt;70,(Q24*(1+$I$3))+IF(TableIncomeCalculations[[#This Row],[SwitchP2]]="Y",Q24*$I$5,0),0)</f>
        <v>163879.79618834634</v>
      </c>
      <c r="R25" t="str">
        <f>_xlfn.XLOOKUP(_xlfn.XLOOKUP(TableIncome[[#This Row],[Year]],Loop!C:C,Loop!D:D),'Job Hopping'!B:B,'Job Hopping'!F:F)</f>
        <v>Y</v>
      </c>
      <c r="S25" t="str">
        <f>_xlfn.XLOOKUP(_xlfn.XLOOKUP(TableIncome[[#This Row],[Year]],Loop!C:C,Loop!E:E),'Job Hopping'!B:B,'Job Hopping'!G:G)</f>
        <v>N</v>
      </c>
    </row>
    <row r="26" spans="2:19" x14ac:dyDescent="0.35">
      <c r="B26" s="2">
        <v>2048</v>
      </c>
      <c r="C26" s="42">
        <f>(TableIncomeCalculations[[#This Row],[NetMonthlySalaryP1]]*12)</f>
        <v>444076.65426476148</v>
      </c>
      <c r="D26" s="41">
        <f>(TableIncomeCalculations[[#This Row],[NetMonthlySalaryP2]]*12)</f>
        <v>628897.97538167506</v>
      </c>
      <c r="E26" s="40">
        <f>TableIncome[[#This Row],[SalaryP1]]*$I$7</f>
        <v>44407.665426476153</v>
      </c>
      <c r="F26" s="40">
        <f>TableIncome[[#This Row],[SalaryP2]]*$I$7</f>
        <v>62889.797538167506</v>
      </c>
      <c r="G26" s="16"/>
      <c r="L26" s="38">
        <f>'Net Salary P1'!BI27</f>
        <v>37006.387855396788</v>
      </c>
      <c r="M26" s="39">
        <f>'Net Salary P2'!AT27</f>
        <v>52408.164615139591</v>
      </c>
      <c r="N26" s="39">
        <f>IF(_xlfn.XLOOKUP(TableIncome[[#This Row],[Year]],Loop!C:C,Loop!D:D)&lt;70,(N25*(1+$I$4))+IF(TableIncomeCalculations[[#This Row],[SwitchP1]]="Y",N25*$I$6,0),0)</f>
        <v>66906.364552153755</v>
      </c>
      <c r="O26" s="39">
        <f>IF(_xlfn.XLOOKUP(TableIncome[[#This Row],[Year]],Loop!C:C,Loop!E:E)&lt;70,(O25*(1+$I$4))+IF(TableIncomeCalculations[[#This Row],[SwitchP2]]="Y",Q25*$I$6,0),0)</f>
        <v>102801.17307479418</v>
      </c>
      <c r="P26" s="39">
        <f>IF(_xlfn.XLOOKUP(TableIncome[[#This Row],[Year]],Loop!C:C,Loop!D:D)&lt;70,(P25*(1+$I$3))+IF(TableIncomeCalculations[[#This Row],[SwitchP1]]="Y",P25*$I$5,0),0)</f>
        <v>119195.61073330831</v>
      </c>
      <c r="Q26" s="39">
        <f>IF(_xlfn.XLOOKUP(TableIncome[[#This Row],[Year]],Loop!C:C,Loop!E:E)&lt;70,(Q25*(1+$I$3))+IF(TableIncomeCalculations[[#This Row],[SwitchP2]]="Y",Q25*$I$5,0),0)</f>
        <v>168796.19007399672</v>
      </c>
      <c r="R26" t="str">
        <f>_xlfn.XLOOKUP(_xlfn.XLOOKUP(TableIncome[[#This Row],[Year]],Loop!C:C,Loop!D:D),'Job Hopping'!B:B,'Job Hopping'!F:F)</f>
        <v>N</v>
      </c>
      <c r="S26" t="str">
        <f>_xlfn.XLOOKUP(_xlfn.XLOOKUP(TableIncome[[#This Row],[Year]],Loop!C:C,Loop!E:E),'Job Hopping'!B:B,'Job Hopping'!G:G)</f>
        <v>N</v>
      </c>
    </row>
    <row r="27" spans="2:19" x14ac:dyDescent="0.35">
      <c r="B27" s="2">
        <v>2049</v>
      </c>
      <c r="C27" s="42">
        <f>(TableIncomeCalculations[[#This Row],[NetMonthlySalaryP1]]*12)</f>
        <v>447622.00883948628</v>
      </c>
      <c r="D27" s="41">
        <f>(TableIncomeCalculations[[#This Row],[NetMonthlySalaryP2]]*12)</f>
        <v>634286.29805252922</v>
      </c>
      <c r="E27" s="40">
        <f>TableIncome[[#This Row],[SalaryP1]]*$I$7</f>
        <v>44762.20088394863</v>
      </c>
      <c r="F27" s="40">
        <f>TableIncome[[#This Row],[SalaryP2]]*$I$7</f>
        <v>63428.629805252924</v>
      </c>
      <c r="G27" s="16"/>
      <c r="L27" s="38">
        <f>'Net Salary P1'!BI28</f>
        <v>37301.834069957193</v>
      </c>
      <c r="M27" s="39">
        <f>'Net Salary P2'!AT28</f>
        <v>52857.191504377435</v>
      </c>
      <c r="N27" s="39">
        <f>IF(_xlfn.XLOOKUP(TableIncome[[#This Row],[Year]],Loop!C:C,Loop!D:D)&lt;70,(N26*(1+$I$4))+IF(TableIncomeCalculations[[#This Row],[SwitchP1]]="Y",N26*$I$6,0),0)</f>
        <v>67575.428197675297</v>
      </c>
      <c r="O27" s="39">
        <f>IF(_xlfn.XLOOKUP(TableIncome[[#This Row],[Year]],Loop!C:C,Loop!E:E)&lt;70,(O26*(1+$I$4))+IF(TableIncomeCalculations[[#This Row],[SwitchP2]]="Y",Q26*$I$6,0),0)</f>
        <v>103829.18480554211</v>
      </c>
      <c r="P27" s="39">
        <f>IF(_xlfn.XLOOKUP(TableIncome[[#This Row],[Year]],Loop!C:C,Loop!D:D)&lt;70,(P26*(1+$I$3))+IF(TableIncomeCalculations[[#This Row],[SwitchP1]]="Y",P26*$I$5,0),0)</f>
        <v>122771.47905530756</v>
      </c>
      <c r="Q27" s="39">
        <f>IF(_xlfn.XLOOKUP(TableIncome[[#This Row],[Year]],Loop!C:C,Loop!E:E)&lt;70,(Q26*(1+$I$3))+IF(TableIncomeCalculations[[#This Row],[SwitchP2]]="Y",Q26*$I$5,0),0)</f>
        <v>173860.07577621663</v>
      </c>
      <c r="R27" t="str">
        <f>_xlfn.XLOOKUP(_xlfn.XLOOKUP(TableIncome[[#This Row],[Year]],Loop!C:C,Loop!D:D),'Job Hopping'!B:B,'Job Hopping'!F:F)</f>
        <v>N</v>
      </c>
      <c r="S27" t="str">
        <f>_xlfn.XLOOKUP(_xlfn.XLOOKUP(TableIncome[[#This Row],[Year]],Loop!C:C,Loop!E:E),'Job Hopping'!B:B,'Job Hopping'!G:G)</f>
        <v>N</v>
      </c>
    </row>
    <row r="28" spans="2:19" x14ac:dyDescent="0.35">
      <c r="B28" s="2">
        <v>2050</v>
      </c>
      <c r="C28" s="42">
        <f>(TableIncomeCalculations[[#This Row],[NetMonthlySalaryP1]]*12)</f>
        <v>451199.55589099688</v>
      </c>
      <c r="D28" s="41">
        <f>(TableIncomeCalculations[[#This Row],[NetMonthlySalaryP2]]*12)</f>
        <v>639725.24288113019</v>
      </c>
      <c r="E28" s="40">
        <f>TableIncome[[#This Row],[SalaryP1]]*$I$7</f>
        <v>45119.955589099693</v>
      </c>
      <c r="F28" s="40">
        <f>TableIncome[[#This Row],[SalaryP2]]*$I$7</f>
        <v>63972.524288113025</v>
      </c>
      <c r="G28" s="16"/>
      <c r="L28" s="38">
        <f>'Net Salary P1'!BI29</f>
        <v>37599.962990916407</v>
      </c>
      <c r="M28" s="39">
        <f>'Net Salary P2'!AT29</f>
        <v>53310.43690676085</v>
      </c>
      <c r="N28" s="39">
        <f>IF(_xlfn.XLOOKUP(TableIncome[[#This Row],[Year]],Loop!C:C,Loop!D:D)&lt;70,(N27*(1+$I$4))+IF(TableIncomeCalculations[[#This Row],[SwitchP1]]="Y",N27*$I$6,0),0)</f>
        <v>68251.182479652052</v>
      </c>
      <c r="O28" s="39">
        <f>IF(_xlfn.XLOOKUP(TableIncome[[#This Row],[Year]],Loop!C:C,Loop!E:E)&lt;70,(O27*(1+$I$4))+IF(TableIncomeCalculations[[#This Row],[SwitchP2]]="Y",Q27*$I$6,0),0)</f>
        <v>104867.47665359754</v>
      </c>
      <c r="P28" s="39">
        <f>IF(_xlfn.XLOOKUP(TableIncome[[#This Row],[Year]],Loop!C:C,Loop!D:D)&lt;70,(P27*(1+$I$3))+IF(TableIncomeCalculations[[#This Row],[SwitchP1]]="Y",P27*$I$5,0),0)</f>
        <v>126454.62342696679</v>
      </c>
      <c r="Q28" s="39">
        <f>IF(_xlfn.XLOOKUP(TableIncome[[#This Row],[Year]],Loop!C:C,Loop!E:E)&lt;70,(Q27*(1+$I$3))+IF(TableIncomeCalculations[[#This Row],[SwitchP2]]="Y",Q27*$I$5,0),0)</f>
        <v>179075.87804950314</v>
      </c>
      <c r="R28" t="str">
        <f>_xlfn.XLOOKUP(_xlfn.XLOOKUP(TableIncome[[#This Row],[Year]],Loop!C:C,Loop!D:D),'Job Hopping'!B:B,'Job Hopping'!F:F)</f>
        <v>N</v>
      </c>
      <c r="S28" t="str">
        <f>_xlfn.XLOOKUP(_xlfn.XLOOKUP(TableIncome[[#This Row],[Year]],Loop!C:C,Loop!E:E),'Job Hopping'!B:B,'Job Hopping'!G:G)</f>
        <v>N</v>
      </c>
    </row>
    <row r="29" spans="2:19" x14ac:dyDescent="0.35">
      <c r="B29" s="2">
        <v>2051</v>
      </c>
      <c r="C29" s="42">
        <f>(TableIncomeCalculations[[#This Row],[NetMonthlySalaryP1]]*12)</f>
        <v>454809.68128658982</v>
      </c>
      <c r="D29" s="41">
        <f>(TableIncomeCalculations[[#This Row],[NetMonthlySalaryP2]]*12)</f>
        <v>645215.3800315843</v>
      </c>
      <c r="E29" s="40">
        <f>TableIncome[[#This Row],[SalaryP1]]*$I$7</f>
        <v>45480.968128658984</v>
      </c>
      <c r="F29" s="40">
        <f>TableIncome[[#This Row],[SalaryP2]]*$I$7</f>
        <v>64521.538003158435</v>
      </c>
      <c r="G29" s="16"/>
      <c r="L29" s="38">
        <f>'Net Salary P1'!BI30</f>
        <v>37900.806773882483</v>
      </c>
      <c r="M29" s="39">
        <f>'Net Salary P2'!AT30</f>
        <v>53767.94833596536</v>
      </c>
      <c r="N29" s="39">
        <f>IF(_xlfn.XLOOKUP(TableIncome[[#This Row],[Year]],Loop!C:C,Loop!D:D)&lt;70,(N28*(1+$I$4))+IF(TableIncomeCalculations[[#This Row],[SwitchP1]]="Y",N28*$I$6,0),0)</f>
        <v>68933.694304448567</v>
      </c>
      <c r="O29" s="39">
        <f>IF(_xlfn.XLOOKUP(TableIncome[[#This Row],[Year]],Loop!C:C,Loop!E:E)&lt;70,(O28*(1+$I$4))+IF(TableIncomeCalculations[[#This Row],[SwitchP2]]="Y",Q28*$I$6,0),0)</f>
        <v>105916.15142013351</v>
      </c>
      <c r="P29" s="39">
        <f>IF(_xlfn.XLOOKUP(TableIncome[[#This Row],[Year]],Loop!C:C,Loop!D:D)&lt;70,(P28*(1+$I$3))+IF(TableIncomeCalculations[[#This Row],[SwitchP1]]="Y",P28*$I$5,0),0)</f>
        <v>130248.2621297758</v>
      </c>
      <c r="Q29" s="39">
        <f>IF(_xlfn.XLOOKUP(TableIncome[[#This Row],[Year]],Loop!C:C,Loop!E:E)&lt;70,(Q28*(1+$I$3))+IF(TableIncomeCalculations[[#This Row],[SwitchP2]]="Y",Q28*$I$5,0),0)</f>
        <v>184448.15439098823</v>
      </c>
      <c r="R29" t="str">
        <f>_xlfn.XLOOKUP(_xlfn.XLOOKUP(TableIncome[[#This Row],[Year]],Loop!C:C,Loop!D:D),'Job Hopping'!B:B,'Job Hopping'!F:F)</f>
        <v>N</v>
      </c>
      <c r="S29" t="str">
        <f>_xlfn.XLOOKUP(_xlfn.XLOOKUP(TableIncome[[#This Row],[Year]],Loop!C:C,Loop!E:E),'Job Hopping'!B:B,'Job Hopping'!G:G)</f>
        <v>N</v>
      </c>
    </row>
    <row r="30" spans="2:19" x14ac:dyDescent="0.35">
      <c r="B30" s="2">
        <v>2052</v>
      </c>
      <c r="C30" s="42">
        <f>(TableIncomeCalculations[[#This Row],[NetMonthlySalaryP1]]*12)</f>
        <v>458452.77349845925</v>
      </c>
      <c r="D30" s="41">
        <f>(TableIncomeCalculations[[#This Row],[NetMonthlySalaryP2]]*12)</f>
        <v>650757.28411586373</v>
      </c>
      <c r="E30" s="40">
        <f>TableIncome[[#This Row],[SalaryP1]]*$I$7</f>
        <v>45845.277349845928</v>
      </c>
      <c r="F30" s="40">
        <f>TableIncome[[#This Row],[SalaryP2]]*$I$7</f>
        <v>65075.728411586373</v>
      </c>
      <c r="G30" s="16"/>
      <c r="L30" s="38">
        <f>'Net Salary P1'!BI31</f>
        <v>38204.397791538271</v>
      </c>
      <c r="M30" s="39">
        <f>'Net Salary P2'!AT31</f>
        <v>54229.77367632198</v>
      </c>
      <c r="N30" s="39">
        <f>IF(_xlfn.XLOOKUP(TableIncome[[#This Row],[Year]],Loop!C:C,Loop!D:D)&lt;70,(N29*(1+$I$4))+IF(TableIncomeCalculations[[#This Row],[SwitchP1]]="Y",N29*$I$6,0),0)</f>
        <v>69623.031247493054</v>
      </c>
      <c r="O30" s="39">
        <f>IF(_xlfn.XLOOKUP(TableIncome[[#This Row],[Year]],Loop!C:C,Loop!E:E)&lt;70,(O29*(1+$I$4))+IF(TableIncomeCalculations[[#This Row],[SwitchP2]]="Y",Q29*$I$6,0),0)</f>
        <v>106975.31293433484</v>
      </c>
      <c r="P30" s="39">
        <f>IF(_xlfn.XLOOKUP(TableIncome[[#This Row],[Year]],Loop!C:C,Loop!D:D)&lt;70,(P29*(1+$I$3))+IF(TableIncomeCalculations[[#This Row],[SwitchP1]]="Y",P29*$I$5,0),0)</f>
        <v>134155.70999366906</v>
      </c>
      <c r="Q30" s="39">
        <f>IF(_xlfn.XLOOKUP(TableIncome[[#This Row],[Year]],Loop!C:C,Loop!E:E)&lt;70,(Q29*(1+$I$3))+IF(TableIncomeCalculations[[#This Row],[SwitchP2]]="Y",Q29*$I$5,0),0)</f>
        <v>189981.59902271788</v>
      </c>
      <c r="R30" t="str">
        <f>_xlfn.XLOOKUP(_xlfn.XLOOKUP(TableIncome[[#This Row],[Year]],Loop!C:C,Loop!D:D),'Job Hopping'!B:B,'Job Hopping'!F:F)</f>
        <v>N</v>
      </c>
      <c r="S30" t="str">
        <f>_xlfn.XLOOKUP(_xlfn.XLOOKUP(TableIncome[[#This Row],[Year]],Loop!C:C,Loop!E:E),'Job Hopping'!B:B,'Job Hopping'!G:G)</f>
        <v>N</v>
      </c>
    </row>
    <row r="31" spans="2:19" x14ac:dyDescent="0.35">
      <c r="B31" s="2">
        <v>2053</v>
      </c>
      <c r="C31" s="42">
        <f>(TableIncomeCalculations[[#This Row],[NetMonthlySalaryP1]]*12)</f>
        <v>462129.22365433059</v>
      </c>
      <c r="D31" s="41">
        <f>(TableIncomeCalculations[[#This Row],[NetMonthlySalaryP2]]*12)</f>
        <v>0</v>
      </c>
      <c r="E31" s="40">
        <f>TableIncome[[#This Row],[SalaryP1]]*$I$7</f>
        <v>46212.922365433064</v>
      </c>
      <c r="F31" s="40">
        <f>TableIncome[[#This Row],[SalaryP2]]*$I$7</f>
        <v>0</v>
      </c>
      <c r="G31" s="16"/>
      <c r="L31" s="38">
        <f>'Net Salary P1'!BI32</f>
        <v>38510.768637860885</v>
      </c>
      <c r="M31" s="39">
        <f>'Net Salary P2'!AT32</f>
        <v>0</v>
      </c>
      <c r="N31" s="39">
        <f>IF(_xlfn.XLOOKUP(TableIncome[[#This Row],[Year]],Loop!C:C,Loop!D:D)&lt;70,(N30*(1+$I$4))+IF(TableIncomeCalculations[[#This Row],[SwitchP1]]="Y",N30*$I$6,0),0)</f>
        <v>70319.261559967985</v>
      </c>
      <c r="O31" s="39">
        <f>IF(_xlfn.XLOOKUP(TableIncome[[#This Row],[Year]],Loop!C:C,Loop!E:E)&lt;70,(O30*(1+$I$4))+IF(TableIncomeCalculations[[#This Row],[SwitchP2]]="Y",Q30*$I$6,0),0)</f>
        <v>108045.06606367818</v>
      </c>
      <c r="P31" s="39">
        <f>IF(_xlfn.XLOOKUP(TableIncome[[#This Row],[Year]],Loop!C:C,Loop!D:D)&lt;70,(P30*(1+$I$3))+IF(TableIncomeCalculations[[#This Row],[SwitchP1]]="Y",P30*$I$5,0),0)</f>
        <v>138180.38129347915</v>
      </c>
      <c r="Q31" s="39">
        <f>IF(_xlfn.XLOOKUP(TableIncome[[#This Row],[Year]],Loop!C:C,Loop!E:E)&lt;70,(Q30*(1+$I$3))+IF(TableIncomeCalculations[[#This Row],[SwitchP2]]="Y",Q30*$I$5,0),0)</f>
        <v>195681.04699339942</v>
      </c>
      <c r="R31" t="str">
        <f>_xlfn.XLOOKUP(_xlfn.XLOOKUP(TableIncome[[#This Row],[Year]],Loop!C:C,Loop!D:D),'Job Hopping'!B:B,'Job Hopping'!F:F)</f>
        <v>N</v>
      </c>
      <c r="S31" t="str">
        <f>_xlfn.XLOOKUP(_xlfn.XLOOKUP(TableIncome[[#This Row],[Year]],Loop!C:C,Loop!E:E),'Job Hopping'!B:B,'Job Hopping'!G:G)</f>
        <v>N</v>
      </c>
    </row>
    <row r="32" spans="2:19" x14ac:dyDescent="0.35">
      <c r="B32" s="2">
        <v>2054</v>
      </c>
      <c r="C32" s="42">
        <f>(TableIncomeCalculations[[#This Row],[NetMonthlySalaryP1]]*12)</f>
        <v>465839.42558811652</v>
      </c>
      <c r="D32" s="41">
        <f>(TableIncomeCalculations[[#This Row],[NetMonthlySalaryP2]]*12)</f>
        <v>0</v>
      </c>
      <c r="E32" s="40">
        <f>TableIncome[[#This Row],[SalaryP1]]*$I$7</f>
        <v>46583.942558811657</v>
      </c>
      <c r="F32" s="40">
        <f>TableIncome[[#This Row],[SalaryP2]]*$I$7</f>
        <v>0</v>
      </c>
      <c r="G32" s="16"/>
      <c r="L32" s="38">
        <f>'Net Salary P1'!BI33</f>
        <v>38819.952132343045</v>
      </c>
      <c r="M32" s="39">
        <f>'Net Salary P2'!AT33</f>
        <v>0</v>
      </c>
      <c r="N32" s="39">
        <f>IF(_xlfn.XLOOKUP(TableIncome[[#This Row],[Year]],Loop!C:C,Loop!D:D)&lt;70,(N31*(1+$I$4))+IF(TableIncomeCalculations[[#This Row],[SwitchP1]]="Y",N31*$I$6,0),0)</f>
        <v>71022.454175567662</v>
      </c>
      <c r="O32" s="39">
        <f>IF(_xlfn.XLOOKUP(TableIncome[[#This Row],[Year]],Loop!C:C,Loop!E:E)&lt;70,(O31*(1+$I$4))+IF(TableIncomeCalculations[[#This Row],[SwitchP2]]="Y",Q31*$I$6,0),0)</f>
        <v>109125.51672431496</v>
      </c>
      <c r="P32" s="39">
        <f>IF(_xlfn.XLOOKUP(TableIncome[[#This Row],[Year]],Loop!C:C,Loop!D:D)&lt;70,(P31*(1+$I$3))+IF(TableIncomeCalculations[[#This Row],[SwitchP1]]="Y",P31*$I$5,0),0)</f>
        <v>142325.79273228353</v>
      </c>
      <c r="Q32" s="39">
        <f>IF(_xlfn.XLOOKUP(TableIncome[[#This Row],[Year]],Loop!C:C,Loop!E:E)&lt;70,(Q31*(1+$I$3))+IF(TableIncomeCalculations[[#This Row],[SwitchP2]]="Y",Q31*$I$5,0),0)</f>
        <v>201551.47840320141</v>
      </c>
      <c r="R32" t="str">
        <f>_xlfn.XLOOKUP(_xlfn.XLOOKUP(TableIncome[[#This Row],[Year]],Loop!C:C,Loop!D:D),'Job Hopping'!B:B,'Job Hopping'!F:F)</f>
        <v>N</v>
      </c>
      <c r="S32" t="str">
        <f>_xlfn.XLOOKUP(_xlfn.XLOOKUP(TableIncome[[#This Row],[Year]],Loop!C:C,Loop!E:E),'Job Hopping'!B:B,'Job Hopping'!G:G)</f>
        <v>N</v>
      </c>
    </row>
    <row r="33" spans="2:19" x14ac:dyDescent="0.35">
      <c r="B33" s="2">
        <v>2055</v>
      </c>
      <c r="C33" s="42">
        <f>(TableIncomeCalculations[[#This Row],[NetMonthlySalaryP1]]*12)</f>
        <v>469583.7758906089</v>
      </c>
      <c r="D33" s="41">
        <f>(TableIncomeCalculations[[#This Row],[NetMonthlySalaryP2]]*12)</f>
        <v>0</v>
      </c>
      <c r="E33" s="40">
        <f>TableIncome[[#This Row],[SalaryP1]]*$I$7</f>
        <v>46958.377589060896</v>
      </c>
      <c r="F33" s="40">
        <f>TableIncome[[#This Row],[SalaryP2]]*$I$7</f>
        <v>0</v>
      </c>
      <c r="G33" s="16"/>
      <c r="L33" s="38">
        <f>'Net Salary P1'!BI34</f>
        <v>39131.981324217406</v>
      </c>
      <c r="M33" s="39">
        <f>'Net Salary P2'!AT34</f>
        <v>0</v>
      </c>
      <c r="N33" s="39">
        <f>IF(_xlfn.XLOOKUP(TableIncome[[#This Row],[Year]],Loop!C:C,Loop!D:D)&lt;70,(N32*(1+$I$4))+IF(TableIncomeCalculations[[#This Row],[SwitchP1]]="Y",N32*$I$6,0),0)</f>
        <v>71732.678717323346</v>
      </c>
      <c r="O33" s="39">
        <f>IF(_xlfn.XLOOKUP(TableIncome[[#This Row],[Year]],Loop!C:C,Loop!E:E)&lt;70,(O32*(1+$I$4))+IF(TableIncomeCalculations[[#This Row],[SwitchP2]]="Y",Q32*$I$6,0),0)</f>
        <v>0</v>
      </c>
      <c r="P33" s="39">
        <f>IF(_xlfn.XLOOKUP(TableIncome[[#This Row],[Year]],Loop!C:C,Loop!D:D)&lt;70,(P32*(1+$I$3))+IF(TableIncomeCalculations[[#This Row],[SwitchP1]]="Y",P32*$I$5,0),0)</f>
        <v>146595.56651425204</v>
      </c>
      <c r="Q33" s="39">
        <f>IF(_xlfn.XLOOKUP(TableIncome[[#This Row],[Year]],Loop!C:C,Loop!E:E)&lt;70,(Q32*(1+$I$3))+IF(TableIncomeCalculations[[#This Row],[SwitchP2]]="Y",Q32*$I$5,0),0)</f>
        <v>0</v>
      </c>
      <c r="R33" t="str">
        <f>_xlfn.XLOOKUP(_xlfn.XLOOKUP(TableIncome[[#This Row],[Year]],Loop!C:C,Loop!D:D),'Job Hopping'!B:B,'Job Hopping'!F:F)</f>
        <v>N</v>
      </c>
      <c r="S33" t="str">
        <f>_xlfn.XLOOKUP(_xlfn.XLOOKUP(TableIncome[[#This Row],[Year]],Loop!C:C,Loop!E:E),'Job Hopping'!B:B,'Job Hopping'!G:G)</f>
        <v>N</v>
      </c>
    </row>
    <row r="34" spans="2:19" x14ac:dyDescent="0.35">
      <c r="B34" s="2">
        <v>2056</v>
      </c>
      <c r="C34" s="42">
        <f>(TableIncomeCalculations[[#This Row],[NetMonthlySalaryP1]]*12)</f>
        <v>473362.67396021297</v>
      </c>
      <c r="D34" s="41">
        <f>(TableIncomeCalculations[[#This Row],[NetMonthlySalaryP2]]*12)</f>
        <v>0</v>
      </c>
      <c r="E34" s="40">
        <f>TableIncome[[#This Row],[SalaryP1]]*$I$7</f>
        <v>47336.2673960213</v>
      </c>
      <c r="F34" s="40">
        <f>TableIncome[[#This Row],[SalaryP2]]*$I$7</f>
        <v>0</v>
      </c>
      <c r="G34" s="16"/>
      <c r="L34" s="38">
        <f>'Net Salary P1'!BI35</f>
        <v>39446.889496684416</v>
      </c>
      <c r="M34" s="39">
        <f>'Net Salary P2'!AT35</f>
        <v>0</v>
      </c>
      <c r="N34" s="39">
        <f>IF(_xlfn.XLOOKUP(TableIncome[[#This Row],[Year]],Loop!C:C,Loop!D:D)&lt;70,(N33*(1+$I$4))+IF(TableIncomeCalculations[[#This Row],[SwitchP1]]="Y",N33*$I$6,0),0)</f>
        <v>72450.005504496585</v>
      </c>
      <c r="O34" s="39">
        <f>IF(_xlfn.XLOOKUP(TableIncome[[#This Row],[Year]],Loop!C:C,Loop!E:E)&lt;70,(O33*(1+$I$4))+IF(TableIncomeCalculations[[#This Row],[SwitchP2]]="Y",Q33*$I$6,0),0)</f>
        <v>0</v>
      </c>
      <c r="P34" s="39">
        <f>IF(_xlfn.XLOOKUP(TableIncome[[#This Row],[Year]],Loop!C:C,Loop!D:D)&lt;70,(P33*(1+$I$3))+IF(TableIncomeCalculations[[#This Row],[SwitchP1]]="Y",P33*$I$5,0),0)</f>
        <v>150993.4335096796</v>
      </c>
      <c r="Q34" s="39">
        <f>IF(_xlfn.XLOOKUP(TableIncome[[#This Row],[Year]],Loop!C:C,Loop!E:E)&lt;70,(Q33*(1+$I$3))+IF(TableIncomeCalculations[[#This Row],[SwitchP2]]="Y",Q33*$I$5,0),0)</f>
        <v>0</v>
      </c>
      <c r="R34" t="str">
        <f>_xlfn.XLOOKUP(_xlfn.XLOOKUP(TableIncome[[#This Row],[Year]],Loop!C:C,Loop!D:D),'Job Hopping'!B:B,'Job Hopping'!F:F)</f>
        <v>N</v>
      </c>
      <c r="S34" t="str">
        <f>_xlfn.XLOOKUP(_xlfn.XLOOKUP(TableIncome[[#This Row],[Year]],Loop!C:C,Loop!E:E),'Job Hopping'!B:B,'Job Hopping'!G:G)</f>
        <v>N</v>
      </c>
    </row>
    <row r="35" spans="2:19" x14ac:dyDescent="0.35">
      <c r="B35" s="2">
        <v>2057</v>
      </c>
      <c r="C35" s="42">
        <f>(TableIncomeCalculations[[#This Row],[NetMonthlySalaryP1]]*12)</f>
        <v>477176.52205373568</v>
      </c>
      <c r="D35" s="41">
        <f>(TableIncomeCalculations[[#This Row],[NetMonthlySalaryP2]]*12)</f>
        <v>0</v>
      </c>
      <c r="E35" s="40">
        <f>TableIncome[[#This Row],[SalaryP1]]*$I$7</f>
        <v>47717.652205373568</v>
      </c>
      <c r="F35" s="40">
        <f>TableIncome[[#This Row],[SalaryP2]]*$I$7</f>
        <v>0</v>
      </c>
      <c r="G35" s="16"/>
      <c r="L35" s="38">
        <f>'Net Salary P1'!BI36</f>
        <v>39764.710171144638</v>
      </c>
      <c r="M35" s="39">
        <f>'Net Salary P2'!AT36</f>
        <v>0</v>
      </c>
      <c r="N35" s="39">
        <f>IF(_xlfn.XLOOKUP(TableIncome[[#This Row],[Year]],Loop!C:C,Loop!D:D)&lt;70,(N34*(1+$I$4))+IF(TableIncomeCalculations[[#This Row],[SwitchP1]]="Y",N34*$I$6,0),0)</f>
        <v>73174.505559541547</v>
      </c>
      <c r="O35" s="39">
        <f>IF(_xlfn.XLOOKUP(TableIncome[[#This Row],[Year]],Loop!C:C,Loop!E:E)&lt;70,(O34*(1+$I$4))+IF(TableIncomeCalculations[[#This Row],[SwitchP2]]="Y",Q34*$I$6,0),0)</f>
        <v>0</v>
      </c>
      <c r="P35" s="39">
        <f>IF(_xlfn.XLOOKUP(TableIncome[[#This Row],[Year]],Loop!C:C,Loop!D:D)&lt;70,(P34*(1+$I$3))+IF(TableIncomeCalculations[[#This Row],[SwitchP1]]="Y",P34*$I$5,0),0)</f>
        <v>155523.23651496999</v>
      </c>
      <c r="Q35" s="39">
        <f>IF(_xlfn.XLOOKUP(TableIncome[[#This Row],[Year]],Loop!C:C,Loop!E:E)&lt;70,(Q34*(1+$I$3))+IF(TableIncomeCalculations[[#This Row],[SwitchP2]]="Y",Q34*$I$5,0),0)</f>
        <v>0</v>
      </c>
      <c r="R35" t="str">
        <f>_xlfn.XLOOKUP(_xlfn.XLOOKUP(TableIncome[[#This Row],[Year]],Loop!C:C,Loop!D:D),'Job Hopping'!B:B,'Job Hopping'!F:F)</f>
        <v>N</v>
      </c>
      <c r="S35" t="str">
        <f>_xlfn.XLOOKUP(_xlfn.XLOOKUP(TableIncome[[#This Row],[Year]],Loop!C:C,Loop!E:E),'Job Hopping'!B:B,'Job Hopping'!G:G)</f>
        <v>N</v>
      </c>
    </row>
    <row r="36" spans="2:19" x14ac:dyDescent="0.35">
      <c r="B36" s="2">
        <v>2058</v>
      </c>
      <c r="C36" s="42">
        <f>(TableIncomeCalculations[[#This Row],[NetMonthlySalaryP1]]*12)</f>
        <v>496053.89066216734</v>
      </c>
      <c r="D36" s="41">
        <f>(TableIncomeCalculations[[#This Row],[NetMonthlySalaryP2]]*12)</f>
        <v>0</v>
      </c>
      <c r="E36" s="40">
        <f>TableIncome[[#This Row],[SalaryP1]]*$I$7</f>
        <v>49605.38906621674</v>
      </c>
      <c r="F36" s="40">
        <f>TableIncome[[#This Row],[SalaryP2]]*$I$7</f>
        <v>0</v>
      </c>
      <c r="G36" s="16"/>
      <c r="L36" s="38">
        <f>'Net Salary P1'!BI37</f>
        <v>41337.824221847281</v>
      </c>
      <c r="M36" s="39">
        <f>'Net Salary P2'!AT37</f>
        <v>0</v>
      </c>
      <c r="N36" s="39">
        <f>IF(_xlfn.XLOOKUP(TableIncome[[#This Row],[Year]],Loop!C:C,Loop!D:D)&lt;70,(N35*(1+$I$4))+IF(TableIncomeCalculations[[#This Row],[SwitchP1]]="Y",N35*$I$6,0),0)</f>
        <v>73906.25061513696</v>
      </c>
      <c r="O36" s="39">
        <f>IF(_xlfn.XLOOKUP(TableIncome[[#This Row],[Year]],Loop!C:C,Loop!E:E)&lt;70,(O35*(1+$I$4))+IF(TableIncomeCalculations[[#This Row],[SwitchP2]]="Y",Q35*$I$6,0),0)</f>
        <v>0</v>
      </c>
      <c r="P36" s="39">
        <f>IF(_xlfn.XLOOKUP(TableIncome[[#This Row],[Year]],Loop!C:C,Loop!D:D)&lt;70,(P35*(1+$I$3))+IF(TableIncomeCalculations[[#This Row],[SwitchP1]]="Y",P35*$I$5,0),0)</f>
        <v>160188.9336104191</v>
      </c>
      <c r="Q36" s="39">
        <f>IF(_xlfn.XLOOKUP(TableIncome[[#This Row],[Year]],Loop!C:C,Loop!E:E)&lt;70,(Q35*(1+$I$3))+IF(TableIncomeCalculations[[#This Row],[SwitchP2]]="Y",Q35*$I$5,0),0)</f>
        <v>0</v>
      </c>
      <c r="R36" t="str">
        <f>_xlfn.XLOOKUP(_xlfn.XLOOKUP(TableIncome[[#This Row],[Year]],Loop!C:C,Loop!D:D),'Job Hopping'!B:B,'Job Hopping'!F:F)</f>
        <v>N</v>
      </c>
      <c r="S36" t="str">
        <f>_xlfn.XLOOKUP(_xlfn.XLOOKUP(TableIncome[[#This Row],[Year]],Loop!C:C,Loop!E:E),'Job Hopping'!B:B,'Job Hopping'!G:G)</f>
        <v>N</v>
      </c>
    </row>
    <row r="37" spans="2:19" x14ac:dyDescent="0.35">
      <c r="B37" s="2">
        <v>2059</v>
      </c>
      <c r="C37" s="42">
        <f>(TableIncomeCalculations[[#This Row],[NetMonthlySalaryP1]]*12)</f>
        <v>500089.13891512516</v>
      </c>
      <c r="D37" s="41">
        <f>(TableIncomeCalculations[[#This Row],[NetMonthlySalaryP2]]*12)</f>
        <v>0</v>
      </c>
      <c r="E37" s="40">
        <f>TableIncome[[#This Row],[SalaryP1]]*$I$7</f>
        <v>50008.913891512522</v>
      </c>
      <c r="F37" s="40">
        <f>TableIncome[[#This Row],[SalaryP2]]*$I$7</f>
        <v>0</v>
      </c>
      <c r="G37" s="16"/>
      <c r="L37" s="38">
        <f>'Net Salary P1'!BI38</f>
        <v>41674.094909593761</v>
      </c>
      <c r="M37" s="39">
        <f>'Net Salary P2'!AT38</f>
        <v>0</v>
      </c>
      <c r="N37" s="39">
        <f>IF(_xlfn.XLOOKUP(TableIncome[[#This Row],[Year]],Loop!C:C,Loop!D:D)&lt;70,(N36*(1+$I$4))+IF(TableIncomeCalculations[[#This Row],[SwitchP1]]="Y",N36*$I$6,0),0)</f>
        <v>74645.313121288331</v>
      </c>
      <c r="O37" s="39">
        <f>IF(_xlfn.XLOOKUP(TableIncome[[#This Row],[Year]],Loop!C:C,Loop!E:E)&lt;70,(O36*(1+$I$4))+IF(TableIncomeCalculations[[#This Row],[SwitchP2]]="Y",Q36*$I$6,0),0)</f>
        <v>0</v>
      </c>
      <c r="P37" s="39">
        <f>IF(_xlfn.XLOOKUP(TableIncome[[#This Row],[Year]],Loop!C:C,Loop!D:D)&lt;70,(P36*(1+$I$3))+IF(TableIncomeCalculations[[#This Row],[SwitchP1]]="Y",P36*$I$5,0),0)</f>
        <v>164994.60161873169</v>
      </c>
      <c r="Q37" s="39">
        <f>IF(_xlfn.XLOOKUP(TableIncome[[#This Row],[Year]],Loop!C:C,Loop!E:E)&lt;70,(Q36*(1+$I$3))+IF(TableIncomeCalculations[[#This Row],[SwitchP2]]="Y",Q36*$I$5,0),0)</f>
        <v>0</v>
      </c>
      <c r="R37" t="str">
        <f>_xlfn.XLOOKUP(_xlfn.XLOOKUP(TableIncome[[#This Row],[Year]],Loop!C:C,Loop!D:D),'Job Hopping'!B:B,'Job Hopping'!F:F)</f>
        <v>N</v>
      </c>
      <c r="S37" t="str">
        <f>_xlfn.XLOOKUP(_xlfn.XLOOKUP(TableIncome[[#This Row],[Year]],Loop!C:C,Loop!E:E),'Job Hopping'!B:B,'Job Hopping'!G:G)</f>
        <v>N</v>
      </c>
    </row>
    <row r="38" spans="2:19" x14ac:dyDescent="0.35">
      <c r="B38" s="2">
        <v>2060</v>
      </c>
      <c r="C38" s="42">
        <f>(TableIncomeCalculations[[#This Row],[NetMonthlySalaryP1]]*12)</f>
        <v>504162.06443823403</v>
      </c>
      <c r="D38" s="41">
        <f>(TableIncomeCalculations[[#This Row],[NetMonthlySalaryP2]]*12)</f>
        <v>0</v>
      </c>
      <c r="E38" s="40">
        <f>TableIncome[[#This Row],[SalaryP1]]*$I$7</f>
        <v>50416.206443823408</v>
      </c>
      <c r="F38" s="40">
        <f>TableIncome[[#This Row],[SalaryP2]]*$I$7</f>
        <v>0</v>
      </c>
      <c r="G38" s="16"/>
      <c r="L38" s="38">
        <f>'Net Salary P1'!BI39</f>
        <v>42013.505369852835</v>
      </c>
      <c r="M38" s="39">
        <f>'Net Salary P2'!AT39</f>
        <v>0</v>
      </c>
      <c r="N38" s="39">
        <f>IF(_xlfn.XLOOKUP(TableIncome[[#This Row],[Year]],Loop!C:C,Loop!D:D)&lt;70,(N37*(1+$I$4))+IF(TableIncomeCalculations[[#This Row],[SwitchP1]]="Y",N37*$I$6,0),0)</f>
        <v>78377.578777352741</v>
      </c>
      <c r="O38" s="39">
        <f>IF(_xlfn.XLOOKUP(TableIncome[[#This Row],[Year]],Loop!C:C,Loop!E:E)&lt;70,(O37*(1+$I$4))+IF(TableIncomeCalculations[[#This Row],[SwitchP2]]="Y",Q37*$I$6,0),0)</f>
        <v>0</v>
      </c>
      <c r="P38" s="39">
        <f>IF(_xlfn.XLOOKUP(TableIncome[[#This Row],[Year]],Loop!C:C,Loop!D:D)&lt;70,(P37*(1+$I$3))+IF(TableIncomeCalculations[[#This Row],[SwitchP1]]="Y",P37*$I$5,0),0)</f>
        <v>179844.11576441754</v>
      </c>
      <c r="Q38" s="39">
        <f>IF(_xlfn.XLOOKUP(TableIncome[[#This Row],[Year]],Loop!C:C,Loop!E:E)&lt;70,(Q37*(1+$I$3))+IF(TableIncomeCalculations[[#This Row],[SwitchP2]]="Y",Q37*$I$5,0),0)</f>
        <v>0</v>
      </c>
      <c r="R38" t="str">
        <f>_xlfn.XLOOKUP(_xlfn.XLOOKUP(TableIncome[[#This Row],[Year]],Loop!C:C,Loop!D:D),'Job Hopping'!B:B,'Job Hopping'!F:F)</f>
        <v>Y</v>
      </c>
      <c r="S38" t="str">
        <f>_xlfn.XLOOKUP(_xlfn.XLOOKUP(TableIncome[[#This Row],[Year]],Loop!C:C,Loop!E:E),'Job Hopping'!B:B,'Job Hopping'!G:G)</f>
        <v>N</v>
      </c>
    </row>
    <row r="39" spans="2:19" x14ac:dyDescent="0.35">
      <c r="B39" s="2">
        <v>2061</v>
      </c>
      <c r="C39" s="42">
        <f>(TableIncomeCalculations[[#This Row],[NetMonthlySalaryP1]]*12)</f>
        <v>508273.09645934054</v>
      </c>
      <c r="D39" s="41">
        <f>(TableIncomeCalculations[[#This Row],[NetMonthlySalaryP2]]*12)</f>
        <v>0</v>
      </c>
      <c r="E39" s="40">
        <f>TableIncome[[#This Row],[SalaryP1]]*$I$7</f>
        <v>50827.30964593406</v>
      </c>
      <c r="F39" s="40">
        <f>TableIncome[[#This Row],[SalaryP2]]*$I$7</f>
        <v>0</v>
      </c>
      <c r="G39" s="16"/>
      <c r="L39" s="38">
        <f>'Net Salary P1'!BI40</f>
        <v>42356.091371611714</v>
      </c>
      <c r="M39" s="39">
        <f>'Net Salary P2'!AT40</f>
        <v>0</v>
      </c>
      <c r="N39" s="39">
        <f>IF(_xlfn.XLOOKUP(TableIncome[[#This Row],[Year]],Loop!C:C,Loop!D:D)&lt;70,(N38*(1+$I$4))+IF(TableIncomeCalculations[[#This Row],[SwitchP1]]="Y",N38*$I$6,0),0)</f>
        <v>79161.354565126268</v>
      </c>
      <c r="O39" s="39">
        <f>IF(_xlfn.XLOOKUP(TableIncome[[#This Row],[Year]],Loop!C:C,Loop!E:E)&lt;70,(O38*(1+$I$4))+IF(TableIncomeCalculations[[#This Row],[SwitchP2]]="Y",Q38*$I$6,0),0)</f>
        <v>0</v>
      </c>
      <c r="P39" s="39">
        <f>IF(_xlfn.XLOOKUP(TableIncome[[#This Row],[Year]],Loop!C:C,Loop!D:D)&lt;70,(P38*(1+$I$3))+IF(TableIncomeCalculations[[#This Row],[SwitchP1]]="Y",P38*$I$5,0),0)</f>
        <v>185239.43923735007</v>
      </c>
      <c r="Q39" s="39">
        <f>IF(_xlfn.XLOOKUP(TableIncome[[#This Row],[Year]],Loop!C:C,Loop!E:E)&lt;70,(Q38*(1+$I$3))+IF(TableIncomeCalculations[[#This Row],[SwitchP2]]="Y",Q38*$I$5,0),0)</f>
        <v>0</v>
      </c>
      <c r="R39" t="str">
        <f>_xlfn.XLOOKUP(_xlfn.XLOOKUP(TableIncome[[#This Row],[Year]],Loop!C:C,Loop!D:D),'Job Hopping'!B:B,'Job Hopping'!F:F)</f>
        <v>N</v>
      </c>
      <c r="S39" t="str">
        <f>_xlfn.XLOOKUP(_xlfn.XLOOKUP(TableIncome[[#This Row],[Year]],Loop!C:C,Loop!E:E),'Job Hopping'!B:B,'Job Hopping'!G:G)</f>
        <v>N</v>
      </c>
    </row>
    <row r="40" spans="2:19" x14ac:dyDescent="0.35">
      <c r="B40" s="2">
        <v>2062</v>
      </c>
      <c r="C40" s="42">
        <f>(TableIncomeCalculations[[#This Row],[NetMonthlySalaryP1]]*12)</f>
        <v>512422.66747003677</v>
      </c>
      <c r="D40" s="41">
        <f>(TableIncomeCalculations[[#This Row],[NetMonthlySalaryP2]]*12)</f>
        <v>0</v>
      </c>
      <c r="E40" s="40">
        <f>TableIncome[[#This Row],[SalaryP1]]*$I$7</f>
        <v>51242.266747003683</v>
      </c>
      <c r="F40" s="40">
        <f>TableIncome[[#This Row],[SalaryP2]]*$I$7</f>
        <v>0</v>
      </c>
      <c r="G40" s="16"/>
      <c r="L40" s="38">
        <f>'Net Salary P1'!BI41</f>
        <v>42701.888955836395</v>
      </c>
      <c r="M40" s="39">
        <f>'Net Salary P2'!AT41</f>
        <v>0</v>
      </c>
      <c r="N40" s="39">
        <f>IF(_xlfn.XLOOKUP(TableIncome[[#This Row],[Year]],Loop!C:C,Loop!D:D)&lt;70,(N39*(1+$I$4))+IF(TableIncomeCalculations[[#This Row],[SwitchP1]]="Y",N39*$I$6,0),0)</f>
        <v>79952.968110777525</v>
      </c>
      <c r="O40" s="39">
        <f>IF(_xlfn.XLOOKUP(TableIncome[[#This Row],[Year]],Loop!C:C,Loop!E:E)&lt;70,(O39*(1+$I$4))+IF(TableIncomeCalculations[[#This Row],[SwitchP2]]="Y",Q39*$I$6,0),0)</f>
        <v>0</v>
      </c>
      <c r="P40" s="39">
        <f>IF(_xlfn.XLOOKUP(TableIncome[[#This Row],[Year]],Loop!C:C,Loop!D:D)&lt;70,(P39*(1+$I$3))+IF(TableIncomeCalculations[[#This Row],[SwitchP1]]="Y",P39*$I$5,0),0)</f>
        <v>190796.62241447059</v>
      </c>
      <c r="Q40" s="39">
        <f>IF(_xlfn.XLOOKUP(TableIncome[[#This Row],[Year]],Loop!C:C,Loop!E:E)&lt;70,(Q39*(1+$I$3))+IF(TableIncomeCalculations[[#This Row],[SwitchP2]]="Y",Q39*$I$5,0),0)</f>
        <v>0</v>
      </c>
      <c r="R40" t="str">
        <f>_xlfn.XLOOKUP(_xlfn.XLOOKUP(TableIncome[[#This Row],[Year]],Loop!C:C,Loop!D:D),'Job Hopping'!B:B,'Job Hopping'!F:F)</f>
        <v>N</v>
      </c>
      <c r="S40" t="str">
        <f>_xlfn.XLOOKUP(_xlfn.XLOOKUP(TableIncome[[#This Row],[Year]],Loop!C:C,Loop!E:E),'Job Hopping'!B:B,'Job Hopping'!G:G)</f>
        <v>N</v>
      </c>
    </row>
    <row r="41" spans="2:19" x14ac:dyDescent="0.35">
      <c r="B41" s="2">
        <v>2063</v>
      </c>
      <c r="C41" s="42">
        <f>(TableIncomeCalculations[[#This Row],[NetMonthlySalaryP1]]*12)</f>
        <v>516611.21327846608</v>
      </c>
      <c r="D41" s="41">
        <f>(TableIncomeCalculations[[#This Row],[NetMonthlySalaryP2]]*12)</f>
        <v>0</v>
      </c>
      <c r="E41" s="40">
        <f>TableIncome[[#This Row],[SalaryP1]]*$I$7</f>
        <v>51661.121327846609</v>
      </c>
      <c r="F41" s="40">
        <f>TableIncome[[#This Row],[SalaryP2]]*$I$7</f>
        <v>0</v>
      </c>
      <c r="G41" s="16"/>
      <c r="L41" s="38">
        <f>'Net Salary P1'!BI42</f>
        <v>43050.934439872173</v>
      </c>
      <c r="M41" s="39">
        <f>'Net Salary P2'!AT42</f>
        <v>0</v>
      </c>
      <c r="N41" s="39">
        <f>IF(_xlfn.XLOOKUP(TableIncome[[#This Row],[Year]],Loop!C:C,Loop!D:D)&lt;70,(N40*(1+$I$4))+IF(TableIncomeCalculations[[#This Row],[SwitchP1]]="Y",N40*$I$6,0),0)</f>
        <v>80752.497791885296</v>
      </c>
      <c r="O41" s="39">
        <f>IF(_xlfn.XLOOKUP(TableIncome[[#This Row],[Year]],Loop!C:C,Loop!E:E)&lt;70,(O40*(1+$I$4))+IF(TableIncomeCalculations[[#This Row],[SwitchP2]]="Y",Q40*$I$6,0),0)</f>
        <v>0</v>
      </c>
      <c r="P41" s="39">
        <f>IF(_xlfn.XLOOKUP(TableIncome[[#This Row],[Year]],Loop!C:C,Loop!D:D)&lt;70,(P40*(1+$I$3))+IF(TableIncomeCalculations[[#This Row],[SwitchP1]]="Y",P40*$I$5,0),0)</f>
        <v>196520.52108690472</v>
      </c>
      <c r="Q41" s="39">
        <f>IF(_xlfn.XLOOKUP(TableIncome[[#This Row],[Year]],Loop!C:C,Loop!E:E)&lt;70,(Q40*(1+$I$3))+IF(TableIncomeCalculations[[#This Row],[SwitchP2]]="Y",Q40*$I$5,0),0)</f>
        <v>0</v>
      </c>
      <c r="R41" t="str">
        <f>_xlfn.XLOOKUP(_xlfn.XLOOKUP(TableIncome[[#This Row],[Year]],Loop!C:C,Loop!D:D),'Job Hopping'!B:B,'Job Hopping'!F:F)</f>
        <v>N</v>
      </c>
      <c r="S41" t="str">
        <f>_xlfn.XLOOKUP(_xlfn.XLOOKUP(TableIncome[[#This Row],[Year]],Loop!C:C,Loop!E:E),'Job Hopping'!B:B,'Job Hopping'!G:G)</f>
        <v>N</v>
      </c>
    </row>
    <row r="42" spans="2:19" x14ac:dyDescent="0.35">
      <c r="B42" s="2">
        <v>2064</v>
      </c>
      <c r="C42" s="42">
        <f>(TableIncomeCalculations[[#This Row],[NetMonthlySalaryP1]]*12)</f>
        <v>520839.17306226038</v>
      </c>
      <c r="D42" s="41">
        <f>(TableIncomeCalculations[[#This Row],[NetMonthlySalaryP2]]*12)</f>
        <v>0</v>
      </c>
      <c r="E42" s="40">
        <f>TableIncome[[#This Row],[SalaryP1]]*$I$7</f>
        <v>52083.917306226038</v>
      </c>
      <c r="F42" s="40">
        <f>TableIncome[[#This Row],[SalaryP2]]*$I$7</f>
        <v>0</v>
      </c>
      <c r="G42" s="16"/>
      <c r="L42" s="38">
        <f>'Net Salary P1'!BI43</f>
        <v>43403.264421855034</v>
      </c>
      <c r="M42" s="39">
        <f>'Net Salary P2'!AT43</f>
        <v>0</v>
      </c>
      <c r="N42" s="39">
        <f>IF(_xlfn.XLOOKUP(TableIncome[[#This Row],[Year]],Loop!C:C,Loop!D:D)&lt;70,(N41*(1+$I$4))+IF(TableIncomeCalculations[[#This Row],[SwitchP1]]="Y",N41*$I$6,0),0)</f>
        <v>81560.022769804156</v>
      </c>
      <c r="O42" s="39">
        <f>IF(_xlfn.XLOOKUP(TableIncome[[#This Row],[Year]],Loop!C:C,Loop!E:E)&lt;70,(O41*(1+$I$4))+IF(TableIncomeCalculations[[#This Row],[SwitchP2]]="Y",Q41*$I$6,0),0)</f>
        <v>0</v>
      </c>
      <c r="P42" s="39">
        <f>IF(_xlfn.XLOOKUP(TableIncome[[#This Row],[Year]],Loop!C:C,Loop!D:D)&lt;70,(P41*(1+$I$3))+IF(TableIncomeCalculations[[#This Row],[SwitchP1]]="Y",P41*$I$5,0),0)</f>
        <v>202416.13671951185</v>
      </c>
      <c r="Q42" s="39">
        <f>IF(_xlfn.XLOOKUP(TableIncome[[#This Row],[Year]],Loop!C:C,Loop!E:E)&lt;70,(Q41*(1+$I$3))+IF(TableIncomeCalculations[[#This Row],[SwitchP2]]="Y",Q41*$I$5,0),0)</f>
        <v>0</v>
      </c>
      <c r="R42" t="str">
        <f>_xlfn.XLOOKUP(_xlfn.XLOOKUP(TableIncome[[#This Row],[Year]],Loop!C:C,Loop!D:D),'Job Hopping'!B:B,'Job Hopping'!F:F)</f>
        <v>N</v>
      </c>
      <c r="S42" t="str">
        <f>_xlfn.XLOOKUP(_xlfn.XLOOKUP(TableIncome[[#This Row],[Year]],Loop!C:C,Loop!E:E),'Job Hopping'!B:B,'Job Hopping'!G:G)</f>
        <v>N</v>
      </c>
    </row>
    <row r="43" spans="2:19" x14ac:dyDescent="0.35">
      <c r="B43" s="2">
        <v>2065</v>
      </c>
      <c r="C43" s="42">
        <f>(TableIncomeCalculations[[#This Row],[NetMonthlySalaryP1]]*12)</f>
        <v>525106.98942161875</v>
      </c>
      <c r="D43" s="41">
        <f>(TableIncomeCalculations[[#This Row],[NetMonthlySalaryP2]]*12)</f>
        <v>0</v>
      </c>
      <c r="E43" s="40">
        <f>TableIncome[[#This Row],[SalaryP1]]*$I$7</f>
        <v>52510.698942161878</v>
      </c>
      <c r="F43" s="40">
        <f>TableIncome[[#This Row],[SalaryP2]]*$I$7</f>
        <v>0</v>
      </c>
      <c r="G43" s="16"/>
      <c r="L43" s="38">
        <f>'Net Salary P1'!BI44</f>
        <v>43758.915785134894</v>
      </c>
      <c r="M43" s="39">
        <f>'Net Salary P2'!AT44</f>
        <v>0</v>
      </c>
      <c r="N43" s="39">
        <f>IF(_xlfn.XLOOKUP(TableIncome[[#This Row],[Year]],Loop!C:C,Loop!D:D)&lt;70,(N42*(1+$I$4))+IF(TableIncomeCalculations[[#This Row],[SwitchP1]]="Y",N42*$I$6,0),0)</f>
        <v>82375.6229975022</v>
      </c>
      <c r="O43" s="39">
        <f>IF(_xlfn.XLOOKUP(TableIncome[[#This Row],[Year]],Loop!C:C,Loop!E:E)&lt;70,(O42*(1+$I$4))+IF(TableIncomeCalculations[[#This Row],[SwitchP2]]="Y",Q42*$I$6,0),0)</f>
        <v>0</v>
      </c>
      <c r="P43" s="39">
        <f>IF(_xlfn.XLOOKUP(TableIncome[[#This Row],[Year]],Loop!C:C,Loop!D:D)&lt;70,(P42*(1+$I$3))+IF(TableIncomeCalculations[[#This Row],[SwitchP1]]="Y",P42*$I$5,0),0)</f>
        <v>208488.62082109723</v>
      </c>
      <c r="Q43" s="39">
        <f>IF(_xlfn.XLOOKUP(TableIncome[[#This Row],[Year]],Loop!C:C,Loop!E:E)&lt;70,(Q42*(1+$I$3))+IF(TableIncomeCalculations[[#This Row],[SwitchP2]]="Y",Q42*$I$5,0),0)</f>
        <v>0</v>
      </c>
      <c r="R43" t="str">
        <f>_xlfn.XLOOKUP(_xlfn.XLOOKUP(TableIncome[[#This Row],[Year]],Loop!C:C,Loop!D:D),'Job Hopping'!B:B,'Job Hopping'!F:F)</f>
        <v>N</v>
      </c>
      <c r="S43" t="str">
        <f>_xlfn.XLOOKUP(_xlfn.XLOOKUP(TableIncome[[#This Row],[Year]],Loop!C:C,Loop!E:E),'Job Hopping'!B:B,'Job Hopping'!G:G)</f>
        <v>N</v>
      </c>
    </row>
    <row r="44" spans="2:19" x14ac:dyDescent="0.35">
      <c r="B44" s="2">
        <v>2066</v>
      </c>
      <c r="C44" s="42">
        <f>(TableIncomeCalculations[[#This Row],[NetMonthlySalaryP1]]*12)</f>
        <v>529415.10843253741</v>
      </c>
      <c r="D44" s="41">
        <f>(TableIncomeCalculations[[#This Row],[NetMonthlySalaryP2]]*12)</f>
        <v>0</v>
      </c>
      <c r="E44" s="40">
        <f>TableIncome[[#This Row],[SalaryP1]]*$I$7</f>
        <v>52941.510843253745</v>
      </c>
      <c r="F44" s="40">
        <f>TableIncome[[#This Row],[SalaryP2]]*$I$7</f>
        <v>0</v>
      </c>
      <c r="G44" s="16"/>
      <c r="L44" s="38">
        <f>'Net Salary P1'!BI45</f>
        <v>44117.925702711451</v>
      </c>
      <c r="M44" s="39">
        <f>'Net Salary P2'!AT45</f>
        <v>0</v>
      </c>
      <c r="N44" s="39">
        <f>IF(_xlfn.XLOOKUP(TableIncome[[#This Row],[Year]],Loop!C:C,Loop!D:D)&lt;70,(N43*(1+$I$4))+IF(TableIncomeCalculations[[#This Row],[SwitchP1]]="Y",N43*$I$6,0),0)</f>
        <v>83199.379227477228</v>
      </c>
      <c r="O44" s="39">
        <f>IF(_xlfn.XLOOKUP(TableIncome[[#This Row],[Year]],Loop!C:C,Loop!E:E)&lt;70,(O43*(1+$I$4))+IF(TableIncomeCalculations[[#This Row],[SwitchP2]]="Y",Q43*$I$6,0),0)</f>
        <v>0</v>
      </c>
      <c r="P44" s="39">
        <f>IF(_xlfn.XLOOKUP(TableIncome[[#This Row],[Year]],Loop!C:C,Loop!D:D)&lt;70,(P43*(1+$I$3))+IF(TableIncomeCalculations[[#This Row],[SwitchP1]]="Y",P43*$I$5,0),0)</f>
        <v>214743.27944573015</v>
      </c>
      <c r="Q44" s="39">
        <f>IF(_xlfn.XLOOKUP(TableIncome[[#This Row],[Year]],Loop!C:C,Loop!E:E)&lt;70,(Q43*(1+$I$3))+IF(TableIncomeCalculations[[#This Row],[SwitchP2]]="Y",Q43*$I$5,0),0)</f>
        <v>0</v>
      </c>
      <c r="R44" t="str">
        <f>_xlfn.XLOOKUP(_xlfn.XLOOKUP(TableIncome[[#This Row],[Year]],Loop!C:C,Loop!D:D),'Job Hopping'!B:B,'Job Hopping'!F:F)</f>
        <v>N</v>
      </c>
      <c r="S44" t="str">
        <f>_xlfn.XLOOKUP(_xlfn.XLOOKUP(TableIncome[[#This Row],[Year]],Loop!C:C,Loop!E:E),'Job Hopping'!B:B,'Job Hopping'!G:G)</f>
        <v>N</v>
      </c>
    </row>
    <row r="45" spans="2:19" x14ac:dyDescent="0.35">
      <c r="B45" s="2">
        <v>2067</v>
      </c>
      <c r="C45" s="42">
        <f>(TableIncomeCalculations[[#This Row],[NetMonthlySalaryP1]]*12)</f>
        <v>533763.97970019921</v>
      </c>
      <c r="D45" s="41">
        <f>(TableIncomeCalculations[[#This Row],[NetMonthlySalaryP2]]*12)</f>
        <v>0</v>
      </c>
      <c r="E45" s="40">
        <f>TableIncome[[#This Row],[SalaryP1]]*$I$7</f>
        <v>53376.397970019927</v>
      </c>
      <c r="F45" s="40">
        <f>TableIncome[[#This Row],[SalaryP2]]*$I$7</f>
        <v>0</v>
      </c>
      <c r="G45" s="16"/>
      <c r="L45" s="38">
        <f>'Net Salary P1'!BI46</f>
        <v>44480.331641683268</v>
      </c>
      <c r="M45" s="39">
        <f>'Net Salary P2'!AT46</f>
        <v>0</v>
      </c>
      <c r="N45" s="39">
        <f>IF(_xlfn.XLOOKUP(TableIncome[[#This Row],[Year]],Loop!C:C,Loop!D:D)&lt;70,(N44*(1+$I$4))+IF(TableIncomeCalculations[[#This Row],[SwitchP1]]="Y",N44*$I$6,0),0)</f>
        <v>84031.373019752005</v>
      </c>
      <c r="O45" s="39">
        <f>IF(_xlfn.XLOOKUP(TableIncome[[#This Row],[Year]],Loop!C:C,Loop!E:E)&lt;70,(O44*(1+$I$4))+IF(TableIncomeCalculations[[#This Row],[SwitchP2]]="Y",Q44*$I$6,0),0)</f>
        <v>0</v>
      </c>
      <c r="P45" s="39">
        <f>IF(_xlfn.XLOOKUP(TableIncome[[#This Row],[Year]],Loop!C:C,Loop!D:D)&lt;70,(P44*(1+$I$3))+IF(TableIncomeCalculations[[#This Row],[SwitchP1]]="Y",P44*$I$5,0),0)</f>
        <v>221185.57782910205</v>
      </c>
      <c r="Q45" s="39">
        <f>IF(_xlfn.XLOOKUP(TableIncome[[#This Row],[Year]],Loop!C:C,Loop!E:E)&lt;70,(Q44*(1+$I$3))+IF(TableIncomeCalculations[[#This Row],[SwitchP2]]="Y",Q44*$I$5,0),0)</f>
        <v>0</v>
      </c>
      <c r="R45" t="str">
        <f>_xlfn.XLOOKUP(_xlfn.XLOOKUP(TableIncome[[#This Row],[Year]],Loop!C:C,Loop!D:D),'Job Hopping'!B:B,'Job Hopping'!F:F)</f>
        <v>N</v>
      </c>
      <c r="S45" t="str">
        <f>_xlfn.XLOOKUP(_xlfn.XLOOKUP(TableIncome[[#This Row],[Year]],Loop!C:C,Loop!E:E),'Job Hopping'!B:B,'Job Hopping'!G:G)</f>
        <v>N</v>
      </c>
    </row>
    <row r="46" spans="2:19" x14ac:dyDescent="0.35">
      <c r="B46" s="2">
        <v>2068</v>
      </c>
      <c r="C46" s="42">
        <f>(TableIncomeCalculations[[#This Row],[NetMonthlySalaryP1]]*12)</f>
        <v>0</v>
      </c>
      <c r="D46" s="41">
        <f>(TableIncomeCalculations[[#This Row],[NetMonthlySalaryP2]]*12)</f>
        <v>0</v>
      </c>
      <c r="E46" s="40">
        <f>TableIncome[[#This Row],[SalaryP1]]*$I$7</f>
        <v>0</v>
      </c>
      <c r="F46" s="40">
        <f>TableIncome[[#This Row],[SalaryP2]]*$I$7</f>
        <v>0</v>
      </c>
      <c r="G46" s="16"/>
      <c r="L46" s="38">
        <f>'Net Salary P1'!BI47</f>
        <v>0</v>
      </c>
      <c r="M46" s="39">
        <f>'Net Salary P2'!AT47</f>
        <v>0</v>
      </c>
      <c r="N46" s="39">
        <f>IF(_xlfn.XLOOKUP(TableIncome[[#This Row],[Year]],Loop!C:C,Loop!D:D)&lt;70,(N45*(1+$I$4))+IF(TableIncomeCalculations[[#This Row],[SwitchP1]]="Y",N45*$I$6,0),0)</f>
        <v>84871.686749949527</v>
      </c>
      <c r="O46" s="39">
        <f>IF(_xlfn.XLOOKUP(TableIncome[[#This Row],[Year]],Loop!C:C,Loop!E:E)&lt;70,(O45*(1+$I$4))+IF(TableIncomeCalculations[[#This Row],[SwitchP2]]="Y",Q45*$I$6,0),0)</f>
        <v>0</v>
      </c>
      <c r="P46" s="39">
        <f>IF(_xlfn.XLOOKUP(TableIncome[[#This Row],[Year]],Loop!C:C,Loop!D:D)&lt;70,(P45*(1+$I$3))+IF(TableIncomeCalculations[[#This Row],[SwitchP1]]="Y",P45*$I$5,0),0)</f>
        <v>227821.14516397513</v>
      </c>
      <c r="Q46" s="39">
        <f>IF(_xlfn.XLOOKUP(TableIncome[[#This Row],[Year]],Loop!C:C,Loop!E:E)&lt;70,(Q45*(1+$I$3))+IF(TableIncomeCalculations[[#This Row],[SwitchP2]]="Y",Q45*$I$5,0),0)</f>
        <v>0</v>
      </c>
      <c r="R46" t="str">
        <f>_xlfn.XLOOKUP(_xlfn.XLOOKUP(TableIncome[[#This Row],[Year]],Loop!C:C,Loop!D:D),'Job Hopping'!B:B,'Job Hopping'!F:F)</f>
        <v>N</v>
      </c>
      <c r="S46" t="str">
        <f>_xlfn.XLOOKUP(_xlfn.XLOOKUP(TableIncome[[#This Row],[Year]],Loop!C:C,Loop!E:E),'Job Hopping'!B:B,'Job Hopping'!G:G)</f>
        <v>N</v>
      </c>
    </row>
    <row r="47" spans="2:19" x14ac:dyDescent="0.35">
      <c r="B47" s="2">
        <v>2069</v>
      </c>
      <c r="C47" s="42">
        <f>(TableIncomeCalculations[[#This Row],[NetMonthlySalaryP1]]*12)</f>
        <v>0</v>
      </c>
      <c r="D47" s="41">
        <f>(TableIncomeCalculations[[#This Row],[NetMonthlySalaryP2]]*12)</f>
        <v>0</v>
      </c>
      <c r="E47" s="40">
        <f>TableIncome[[#This Row],[SalaryP1]]*$I$7</f>
        <v>0</v>
      </c>
      <c r="F47" s="40">
        <f>TableIncome[[#This Row],[SalaryP2]]*$I$7</f>
        <v>0</v>
      </c>
      <c r="G47" s="16"/>
      <c r="L47" s="38">
        <f>'Net Salary P1'!BI48</f>
        <v>0</v>
      </c>
      <c r="M47" s="39">
        <f>'Net Salary P2'!AT48</f>
        <v>0</v>
      </c>
      <c r="N47" s="39">
        <f>IF(_xlfn.XLOOKUP(TableIncome[[#This Row],[Year]],Loop!C:C,Loop!D:D)&lt;70,(N46*(1+$I$4))+IF(TableIncomeCalculations[[#This Row],[SwitchP1]]="Y",N46*$I$6,0),0)</f>
        <v>85720.403617449017</v>
      </c>
      <c r="O47" s="39">
        <f>IF(_xlfn.XLOOKUP(TableIncome[[#This Row],[Year]],Loop!C:C,Loop!E:E)&lt;70,(O46*(1+$I$4))+IF(TableIncomeCalculations[[#This Row],[SwitchP2]]="Y",Q46*$I$6,0),0)</f>
        <v>0</v>
      </c>
      <c r="P47" s="39">
        <f>IF(_xlfn.XLOOKUP(TableIncome[[#This Row],[Year]],Loop!C:C,Loop!D:D)&lt;70,(P46*(1+$I$3))+IF(TableIncomeCalculations[[#This Row],[SwitchP1]]="Y",P46*$I$5,0),0)</f>
        <v>234655.77951889439</v>
      </c>
      <c r="Q47" s="39">
        <f>IF(_xlfn.XLOOKUP(TableIncome[[#This Row],[Year]],Loop!C:C,Loop!E:E)&lt;70,(Q46*(1+$I$3))+IF(TableIncomeCalculations[[#This Row],[SwitchP2]]="Y",Q46*$I$5,0),0)</f>
        <v>0</v>
      </c>
      <c r="R47" t="str">
        <f>_xlfn.XLOOKUP(_xlfn.XLOOKUP(TableIncome[[#This Row],[Year]],Loop!C:C,Loop!D:D),'Job Hopping'!B:B,'Job Hopping'!F:F)</f>
        <v>N</v>
      </c>
      <c r="S47" t="str">
        <f>_xlfn.XLOOKUP(_xlfn.XLOOKUP(TableIncome[[#This Row],[Year]],Loop!C:C,Loop!E:E),'Job Hopping'!B:B,'Job Hopping'!G:G)</f>
        <v>N</v>
      </c>
    </row>
    <row r="48" spans="2:19" x14ac:dyDescent="0.35">
      <c r="B48" s="2">
        <v>2070</v>
      </c>
      <c r="C48" s="42">
        <f>(TableIncomeCalculations[[#This Row],[NetMonthlySalaryP1]]*12)</f>
        <v>0</v>
      </c>
      <c r="D48" s="41">
        <f>(TableIncomeCalculations[[#This Row],[NetMonthlySalaryP2]]*12)</f>
        <v>0</v>
      </c>
      <c r="E48" s="40">
        <f>TableIncome[[#This Row],[SalaryP1]]*$I$7</f>
        <v>0</v>
      </c>
      <c r="F48" s="40">
        <f>TableIncome[[#This Row],[SalaryP2]]*$I$7</f>
        <v>0</v>
      </c>
      <c r="G48" s="16"/>
      <c r="L48" s="35">
        <f>'Net Salary P1'!BI49</f>
        <v>0</v>
      </c>
      <c r="M48" s="39">
        <f>'Net Salary P2'!AT49</f>
        <v>0</v>
      </c>
      <c r="N48" s="39">
        <f>IF(_xlfn.XLOOKUP(TableIncome[[#This Row],[Year]],Loop!C:C,Loop!D:D)&lt;70,(N47*(1+$I$4))+IF(TableIncomeCalculations[[#This Row],[SwitchP1]]="Y",N47*$I$6,0),0)</f>
        <v>0</v>
      </c>
      <c r="O48" s="39">
        <f>IF(_xlfn.XLOOKUP(TableIncome[[#This Row],[Year]],Loop!C:C,Loop!E:E)&lt;70,(O47*(1+$I$4))+IF(TableIncomeCalculations[[#This Row],[SwitchP2]]="Y",Q47*$I$6,0),0)</f>
        <v>0</v>
      </c>
      <c r="P48" s="39">
        <f>IF(_xlfn.XLOOKUP(TableIncome[[#This Row],[Year]],Loop!C:C,Loop!D:D)&lt;70,(P47*(1+$I$3))+IF(TableIncomeCalculations[[#This Row],[SwitchP1]]="Y",P47*$I$5,0),0)</f>
        <v>0</v>
      </c>
      <c r="Q48" s="39">
        <f>IF(_xlfn.XLOOKUP(TableIncome[[#This Row],[Year]],Loop!C:C,Loop!E:E)&lt;70,(Q47*(1+$I$3))+IF(TableIncomeCalculations[[#This Row],[SwitchP2]]="Y",Q47*$I$5,0),0)</f>
        <v>0</v>
      </c>
      <c r="R48" t="str">
        <f>_xlfn.XLOOKUP(_xlfn.XLOOKUP(TableIncome[[#This Row],[Year]],Loop!C:C,Loop!D:D),'Job Hopping'!B:B,'Job Hopping'!F:F)</f>
        <v>N</v>
      </c>
      <c r="S48" t="str">
        <f>_xlfn.XLOOKUP(_xlfn.XLOOKUP(TableIncome[[#This Row],[Year]],Loop!C:C,Loop!E:E),'Job Hopping'!B:B,'Job Hopping'!G:G)</f>
        <v>N</v>
      </c>
    </row>
  </sheetData>
  <phoneticPr fontId="8" type="noConversion"/>
  <hyperlinks>
    <hyperlink ref="A1" location="Income!A1" display="Income!A1" xr:uid="{95211CCE-120C-4FC4-A1CE-F0BDC3C7A193}"/>
  </hyperlinks>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1C2CC-8C90-44A5-9381-AA20C37C7AE8}">
  <sheetPr>
    <tabColor theme="8" tint="0.79998168889431442"/>
  </sheetPr>
  <dimension ref="A1:AW55"/>
  <sheetViews>
    <sheetView topLeftCell="A6" zoomScale="65" workbookViewId="0">
      <selection activeCell="E28" sqref="E28"/>
    </sheetView>
  </sheetViews>
  <sheetFormatPr defaultColWidth="9.1796875" defaultRowHeight="14.5" x14ac:dyDescent="0.35"/>
  <cols>
    <col min="1" max="1" width="30" style="1" bestFit="1" customWidth="1"/>
    <col min="2" max="2" width="94.26953125" style="1" bestFit="1" customWidth="1"/>
    <col min="3" max="3" width="17.54296875" style="1" bestFit="1" customWidth="1"/>
    <col min="4" max="4" width="17.26953125" style="1" bestFit="1" customWidth="1"/>
    <col min="5" max="6" width="17" style="1" bestFit="1" customWidth="1"/>
    <col min="7" max="7" width="17.26953125" style="1" bestFit="1" customWidth="1"/>
    <col min="8" max="8" width="19.453125" style="1" bestFit="1" customWidth="1"/>
    <col min="9" max="9" width="19.1796875" style="1" bestFit="1" customWidth="1"/>
    <col min="10" max="10" width="19.453125" style="1" bestFit="1" customWidth="1"/>
    <col min="11" max="11" width="19.1796875" style="1" bestFit="1" customWidth="1"/>
    <col min="12" max="14" width="19.453125" style="1" bestFit="1" customWidth="1"/>
    <col min="15" max="16" width="19.7265625" style="1" bestFit="1" customWidth="1"/>
    <col min="17" max="17" width="19.453125" style="1" bestFit="1" customWidth="1"/>
    <col min="18" max="27" width="13.08984375" style="1" bestFit="1" customWidth="1"/>
    <col min="28" max="29" width="12" style="1" bestFit="1" customWidth="1"/>
    <col min="30" max="31" width="13.08984375" style="1" bestFit="1" customWidth="1"/>
    <col min="32" max="44" width="12" style="1" bestFit="1" customWidth="1"/>
    <col min="45" max="46" width="14.453125" style="1" bestFit="1" customWidth="1"/>
    <col min="47" max="47" width="9.1796875" style="1"/>
    <col min="48" max="48" width="11.7265625" style="1" bestFit="1" customWidth="1"/>
    <col min="49" max="49" width="13.26953125" style="1" bestFit="1" customWidth="1"/>
    <col min="50" max="16384" width="9.1796875" style="1"/>
  </cols>
  <sheetData>
    <row r="1" spans="1:46" x14ac:dyDescent="0.3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row>
    <row r="2" spans="1:46" x14ac:dyDescent="0.35">
      <c r="A2" s="1" t="s">
        <v>178</v>
      </c>
      <c r="B2" s="32" cm="1">
        <f t="array" ref="B2:AE2">TRANSPOSE(Income!O3:O32)</f>
        <v>70751.96078431372</v>
      </c>
      <c r="C2" s="32">
        <v>71459.480392156853</v>
      </c>
      <c r="D2" s="32">
        <v>72174.075196078426</v>
      </c>
      <c r="E2" s="32">
        <v>75958.294760039207</v>
      </c>
      <c r="F2" s="32">
        <v>76717.877707639593</v>
      </c>
      <c r="G2" s="32">
        <v>77485.056484715984</v>
      </c>
      <c r="H2" s="32">
        <v>78259.907049563146</v>
      </c>
      <c r="I2" s="32">
        <v>82690.140200491136</v>
      </c>
      <c r="J2" s="32">
        <v>83517.041602496043</v>
      </c>
      <c r="K2" s="32">
        <v>84352.212018521008</v>
      </c>
      <c r="L2" s="32">
        <v>85195.734138706219</v>
      </c>
      <c r="M2" s="32">
        <v>86047.691480093286</v>
      </c>
      <c r="N2" s="32">
        <v>86908.168394894223</v>
      </c>
      <c r="O2" s="32">
        <v>87777.250078843164</v>
      </c>
      <c r="P2" s="32">
        <v>88655.022579631594</v>
      </c>
      <c r="Q2" s="32">
        <v>89541.572805427917</v>
      </c>
      <c r="R2" s="32">
        <v>90436.988533482203</v>
      </c>
      <c r="S2" s="32">
        <v>91341.358418817021</v>
      </c>
      <c r="T2" s="32">
        <v>92254.772003005186</v>
      </c>
      <c r="U2" s="32">
        <v>93177.319723035238</v>
      </c>
      <c r="V2" s="32">
        <v>99777.805781799863</v>
      </c>
      <c r="W2" s="32">
        <v>100775.58383961786</v>
      </c>
      <c r="X2" s="32">
        <v>101783.33967801403</v>
      </c>
      <c r="Y2" s="32">
        <v>102801.17307479418</v>
      </c>
      <c r="Z2" s="32">
        <v>103829.18480554211</v>
      </c>
      <c r="AA2" s="32">
        <v>104867.47665359754</v>
      </c>
      <c r="AB2" s="32">
        <v>105916.15142013351</v>
      </c>
      <c r="AC2" s="32">
        <v>106975.31293433484</v>
      </c>
      <c r="AD2" s="32">
        <v>108045.06606367818</v>
      </c>
      <c r="AE2" s="32">
        <v>109125.51672431496</v>
      </c>
      <c r="AF2" s="32"/>
      <c r="AG2" s="32"/>
      <c r="AH2" s="32"/>
      <c r="AI2" s="32"/>
      <c r="AJ2" s="32"/>
      <c r="AK2" s="32"/>
      <c r="AL2" s="32"/>
      <c r="AM2" s="32"/>
      <c r="AN2" s="32"/>
      <c r="AO2" s="32"/>
      <c r="AP2" s="32"/>
      <c r="AQ2" s="32"/>
      <c r="AR2" s="32"/>
      <c r="AS2" s="32"/>
      <c r="AT2" s="32"/>
    </row>
    <row r="3" spans="1:46" x14ac:dyDescent="0.35">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c r="AG3" s="37"/>
      <c r="AH3" s="37"/>
      <c r="AI3" s="37"/>
      <c r="AJ3" s="37"/>
      <c r="AK3" s="37"/>
      <c r="AL3" s="37"/>
      <c r="AM3" s="37"/>
      <c r="AN3" s="37"/>
      <c r="AO3" s="37"/>
      <c r="AP3" s="37"/>
      <c r="AQ3" s="37"/>
      <c r="AR3" s="37"/>
      <c r="AS3" s="37"/>
      <c r="AT3" s="37"/>
    </row>
    <row r="4" spans="1:46" x14ac:dyDescent="0.35">
      <c r="A4" s="1" t="s">
        <v>179</v>
      </c>
      <c r="B4" s="32">
        <f>B3*B2</f>
        <v>3537.5980392156862</v>
      </c>
      <c r="C4" s="32">
        <f t="shared" ref="C4:AT4" si="0">C3*C2</f>
        <v>3572.9740196078428</v>
      </c>
      <c r="D4" s="32">
        <f t="shared" si="0"/>
        <v>3608.7037598039215</v>
      </c>
      <c r="E4" s="32">
        <f t="shared" si="0"/>
        <v>3797.9147380019604</v>
      </c>
      <c r="F4" s="32">
        <f t="shared" si="0"/>
        <v>3835.89388538198</v>
      </c>
      <c r="G4" s="32">
        <f t="shared" si="0"/>
        <v>3874.2528242357994</v>
      </c>
      <c r="H4" s="32">
        <f t="shared" si="0"/>
        <v>3912.9953524781577</v>
      </c>
      <c r="I4" s="32">
        <f t="shared" si="0"/>
        <v>4134.5070100245566</v>
      </c>
      <c r="J4" s="32">
        <f t="shared" si="0"/>
        <v>4175.8520801248023</v>
      </c>
      <c r="K4" s="32">
        <f t="shared" si="0"/>
        <v>4217.6106009260502</v>
      </c>
      <c r="L4" s="32">
        <f t="shared" si="0"/>
        <v>4259.7867069353115</v>
      </c>
      <c r="M4" s="32">
        <f t="shared" si="0"/>
        <v>4302.3845740046645</v>
      </c>
      <c r="N4" s="32">
        <f t="shared" si="0"/>
        <v>4345.408419744711</v>
      </c>
      <c r="O4" s="32">
        <f t="shared" si="0"/>
        <v>4388.8625039421586</v>
      </c>
      <c r="P4" s="32">
        <f t="shared" si="0"/>
        <v>4432.7511289815802</v>
      </c>
      <c r="Q4" s="32">
        <f t="shared" si="0"/>
        <v>4477.0786402713957</v>
      </c>
      <c r="R4" s="32">
        <f t="shared" si="0"/>
        <v>4521.84942667411</v>
      </c>
      <c r="S4" s="32">
        <f t="shared" si="0"/>
        <v>4567.0679209408509</v>
      </c>
      <c r="T4" s="32">
        <f t="shared" si="0"/>
        <v>4612.7386001502591</v>
      </c>
      <c r="U4" s="32">
        <f t="shared" si="0"/>
        <v>4658.8659861517617</v>
      </c>
      <c r="V4" s="32">
        <f t="shared" si="0"/>
        <v>4988.8902890899935</v>
      </c>
      <c r="W4" s="32">
        <f t="shared" si="0"/>
        <v>5038.7791919808933</v>
      </c>
      <c r="X4" s="32">
        <f t="shared" si="0"/>
        <v>5089.1669839007018</v>
      </c>
      <c r="Y4" s="32">
        <f t="shared" si="0"/>
        <v>5140.0586537397094</v>
      </c>
      <c r="Z4" s="32">
        <f t="shared" si="0"/>
        <v>5191.4592402771059</v>
      </c>
      <c r="AA4" s="32">
        <f t="shared" si="0"/>
        <v>5243.3738326798775</v>
      </c>
      <c r="AB4" s="32">
        <f t="shared" si="0"/>
        <v>5295.807571006676</v>
      </c>
      <c r="AC4" s="32">
        <f t="shared" si="0"/>
        <v>5348.7656467167426</v>
      </c>
      <c r="AD4" s="32">
        <f t="shared" si="0"/>
        <v>5402.2533031839093</v>
      </c>
      <c r="AE4" s="32">
        <f t="shared" si="0"/>
        <v>5456.2758362157483</v>
      </c>
      <c r="AF4" s="32"/>
      <c r="AG4" s="32"/>
      <c r="AH4" s="32"/>
      <c r="AI4" s="32"/>
      <c r="AJ4" s="32"/>
      <c r="AK4" s="32"/>
      <c r="AL4" s="32"/>
      <c r="AM4" s="32"/>
      <c r="AN4" s="32"/>
      <c r="AO4" s="32"/>
      <c r="AP4" s="32"/>
      <c r="AQ4" s="32"/>
      <c r="AR4" s="32"/>
      <c r="AS4" s="32"/>
      <c r="AT4" s="32"/>
    </row>
    <row r="5" spans="1:46" x14ac:dyDescent="0.35">
      <c r="A5" s="1" t="s">
        <v>217</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c r="AG5" s="37"/>
      <c r="AH5" s="37"/>
      <c r="AI5" s="37"/>
      <c r="AJ5" s="37"/>
      <c r="AK5" s="37"/>
      <c r="AL5" s="37"/>
      <c r="AM5" s="37"/>
      <c r="AN5" s="37"/>
      <c r="AO5" s="37"/>
      <c r="AP5" s="37"/>
      <c r="AQ5" s="37"/>
      <c r="AR5" s="37"/>
      <c r="AS5" s="37"/>
      <c r="AT5" s="37"/>
    </row>
    <row r="6" spans="1:46" x14ac:dyDescent="0.35">
      <c r="A6" s="1" t="s">
        <v>181</v>
      </c>
      <c r="B6" s="32">
        <f>B2*B5</f>
        <v>7075.1960784313724</v>
      </c>
      <c r="C6" s="32">
        <f t="shared" ref="C6:AT6" si="1">C4*2</f>
        <v>7145.9480392156856</v>
      </c>
      <c r="D6" s="32">
        <f t="shared" si="1"/>
        <v>7217.4075196078429</v>
      </c>
      <c r="E6" s="32">
        <f t="shared" si="1"/>
        <v>7595.8294760039207</v>
      </c>
      <c r="F6" s="32">
        <f t="shared" si="1"/>
        <v>7671.78777076396</v>
      </c>
      <c r="G6" s="32">
        <f t="shared" si="1"/>
        <v>7748.5056484715988</v>
      </c>
      <c r="H6" s="32">
        <f t="shared" si="1"/>
        <v>7825.9907049563153</v>
      </c>
      <c r="I6" s="32">
        <f t="shared" si="1"/>
        <v>8269.0140200491132</v>
      </c>
      <c r="J6" s="32">
        <f t="shared" si="1"/>
        <v>8351.7041602496047</v>
      </c>
      <c r="K6" s="32">
        <f t="shared" si="1"/>
        <v>8435.2212018521004</v>
      </c>
      <c r="L6" s="32">
        <f t="shared" si="1"/>
        <v>8519.573413870623</v>
      </c>
      <c r="M6" s="32">
        <f t="shared" si="1"/>
        <v>8604.769148009329</v>
      </c>
      <c r="N6" s="32">
        <f t="shared" si="1"/>
        <v>8690.8168394894219</v>
      </c>
      <c r="O6" s="32">
        <f t="shared" si="1"/>
        <v>8777.7250078843172</v>
      </c>
      <c r="P6" s="32">
        <f t="shared" si="1"/>
        <v>8865.5022579631604</v>
      </c>
      <c r="Q6" s="32">
        <f t="shared" si="1"/>
        <v>8954.1572805427913</v>
      </c>
      <c r="R6" s="32">
        <f t="shared" si="1"/>
        <v>9043.6988533482199</v>
      </c>
      <c r="S6" s="32">
        <f t="shared" si="1"/>
        <v>9134.1358418817017</v>
      </c>
      <c r="T6" s="32">
        <f t="shared" si="1"/>
        <v>9225.4772003005182</v>
      </c>
      <c r="U6" s="32">
        <f t="shared" si="1"/>
        <v>9317.7319723035234</v>
      </c>
      <c r="V6" s="32">
        <f t="shared" si="1"/>
        <v>9977.7805781799871</v>
      </c>
      <c r="W6" s="32">
        <f t="shared" si="1"/>
        <v>10077.558383961787</v>
      </c>
      <c r="X6" s="32">
        <f t="shared" si="1"/>
        <v>10178.333967801404</v>
      </c>
      <c r="Y6" s="32">
        <f t="shared" si="1"/>
        <v>10280.117307479419</v>
      </c>
      <c r="Z6" s="32">
        <f t="shared" si="1"/>
        <v>10382.918480554212</v>
      </c>
      <c r="AA6" s="32">
        <f t="shared" si="1"/>
        <v>10486.747665359755</v>
      </c>
      <c r="AB6" s="32">
        <f t="shared" si="1"/>
        <v>10591.615142013352</v>
      </c>
      <c r="AC6" s="32">
        <f t="shared" si="1"/>
        <v>10697.531293433485</v>
      </c>
      <c r="AD6" s="32">
        <f t="shared" si="1"/>
        <v>10804.506606367819</v>
      </c>
      <c r="AE6" s="32">
        <f t="shared" si="1"/>
        <v>10912.551672431497</v>
      </c>
      <c r="AF6" s="32"/>
      <c r="AG6" s="32"/>
      <c r="AH6" s="32"/>
      <c r="AI6" s="32"/>
      <c r="AJ6" s="32"/>
      <c r="AK6" s="32"/>
      <c r="AL6" s="32"/>
      <c r="AM6" s="32"/>
      <c r="AN6" s="32"/>
      <c r="AO6" s="32"/>
      <c r="AP6" s="32"/>
      <c r="AQ6" s="32"/>
      <c r="AR6" s="32"/>
      <c r="AS6" s="32"/>
      <c r="AT6" s="32"/>
    </row>
    <row r="7" spans="1:46" x14ac:dyDescent="0.35">
      <c r="A7" s="1" t="s">
        <v>182</v>
      </c>
      <c r="B7" s="33">
        <f>SUM(B6,B4)</f>
        <v>10612.794117647059</v>
      </c>
      <c r="C7" s="33">
        <f t="shared" ref="C7:AT7" si="2">SUM(C6,C4)</f>
        <v>10718.922058823529</v>
      </c>
      <c r="D7" s="33">
        <f t="shared" si="2"/>
        <v>10826.111279411765</v>
      </c>
      <c r="E7" s="33">
        <f t="shared" si="2"/>
        <v>11393.744214005881</v>
      </c>
      <c r="F7" s="33">
        <f t="shared" si="2"/>
        <v>11507.68165614594</v>
      </c>
      <c r="G7" s="33">
        <f t="shared" si="2"/>
        <v>11622.758472707399</v>
      </c>
      <c r="H7" s="33">
        <f t="shared" si="2"/>
        <v>11738.986057434473</v>
      </c>
      <c r="I7" s="33">
        <f t="shared" si="2"/>
        <v>12403.521030073669</v>
      </c>
      <c r="J7" s="33">
        <f t="shared" si="2"/>
        <v>12527.556240374408</v>
      </c>
      <c r="K7" s="33">
        <f t="shared" si="2"/>
        <v>12652.83180277815</v>
      </c>
      <c r="L7" s="33">
        <f t="shared" si="2"/>
        <v>12779.360120805934</v>
      </c>
      <c r="M7" s="33">
        <f t="shared" si="2"/>
        <v>12907.153722013994</v>
      </c>
      <c r="N7" s="33">
        <f t="shared" si="2"/>
        <v>13036.225259234132</v>
      </c>
      <c r="O7" s="33">
        <f t="shared" si="2"/>
        <v>13166.587511826476</v>
      </c>
      <c r="P7" s="33">
        <f t="shared" si="2"/>
        <v>13298.25338694474</v>
      </c>
      <c r="Q7" s="33">
        <f t="shared" si="2"/>
        <v>13431.235920814186</v>
      </c>
      <c r="R7" s="33">
        <f t="shared" si="2"/>
        <v>13565.548280022329</v>
      </c>
      <c r="S7" s="33">
        <f t="shared" si="2"/>
        <v>13701.203762822552</v>
      </c>
      <c r="T7" s="33">
        <f t="shared" si="2"/>
        <v>13838.215800450776</v>
      </c>
      <c r="U7" s="33">
        <f t="shared" si="2"/>
        <v>13976.597958455284</v>
      </c>
      <c r="V7" s="33">
        <f t="shared" si="2"/>
        <v>14966.670867269981</v>
      </c>
      <c r="W7" s="33">
        <f t="shared" si="2"/>
        <v>15116.33757594268</v>
      </c>
      <c r="X7" s="33">
        <f t="shared" si="2"/>
        <v>15267.500951702106</v>
      </c>
      <c r="Y7" s="33">
        <f t="shared" si="2"/>
        <v>15420.175961219127</v>
      </c>
      <c r="Z7" s="33">
        <f t="shared" si="2"/>
        <v>15574.377720831319</v>
      </c>
      <c r="AA7" s="33">
        <f t="shared" si="2"/>
        <v>15730.121498039633</v>
      </c>
      <c r="AB7" s="33">
        <f t="shared" si="2"/>
        <v>15887.422713020027</v>
      </c>
      <c r="AC7" s="33">
        <f t="shared" si="2"/>
        <v>16046.296940150227</v>
      </c>
      <c r="AD7" s="33">
        <f t="shared" si="2"/>
        <v>16206.759909551729</v>
      </c>
      <c r="AE7" s="33">
        <f t="shared" si="2"/>
        <v>16368.827508647246</v>
      </c>
      <c r="AF7" s="33"/>
      <c r="AG7" s="33"/>
      <c r="AH7" s="33"/>
      <c r="AI7" s="33"/>
      <c r="AJ7" s="33"/>
      <c r="AK7" s="33"/>
      <c r="AL7" s="33"/>
      <c r="AM7" s="33"/>
      <c r="AN7" s="33"/>
      <c r="AO7" s="33"/>
      <c r="AP7" s="33"/>
      <c r="AQ7" s="33"/>
      <c r="AR7" s="33"/>
      <c r="AS7" s="33"/>
      <c r="AT7" s="33"/>
    </row>
    <row r="8" spans="1:46" x14ac:dyDescent="0.35">
      <c r="A8" s="1" t="s">
        <v>183</v>
      </c>
      <c r="B8" s="32">
        <f>B7*12</f>
        <v>127353.52941176471</v>
      </c>
      <c r="C8" s="32">
        <f t="shared" ref="C8:AT8" si="3">C7*12</f>
        <v>128627.06470588235</v>
      </c>
      <c r="D8" s="32">
        <f t="shared" si="3"/>
        <v>129913.33535294118</v>
      </c>
      <c r="E8" s="32">
        <f t="shared" si="3"/>
        <v>136724.93056807056</v>
      </c>
      <c r="F8" s="32">
        <f t="shared" si="3"/>
        <v>138092.17987375127</v>
      </c>
      <c r="G8" s="32">
        <f t="shared" si="3"/>
        <v>139473.10167248879</v>
      </c>
      <c r="H8" s="32">
        <f t="shared" si="3"/>
        <v>140867.83268921368</v>
      </c>
      <c r="I8" s="32">
        <f t="shared" si="3"/>
        <v>148842.25236088404</v>
      </c>
      <c r="J8" s="32">
        <f t="shared" si="3"/>
        <v>150330.67488449288</v>
      </c>
      <c r="K8" s="32">
        <f t="shared" si="3"/>
        <v>151833.9816333378</v>
      </c>
      <c r="L8" s="32">
        <f t="shared" si="3"/>
        <v>153352.3214496712</v>
      </c>
      <c r="M8" s="32">
        <f t="shared" si="3"/>
        <v>154885.84466416793</v>
      </c>
      <c r="N8" s="32">
        <f t="shared" si="3"/>
        <v>156434.70311080958</v>
      </c>
      <c r="O8" s="32">
        <f t="shared" si="3"/>
        <v>157999.05014191772</v>
      </c>
      <c r="P8" s="32">
        <f t="shared" si="3"/>
        <v>159579.04064333689</v>
      </c>
      <c r="Q8" s="32">
        <f t="shared" si="3"/>
        <v>161174.83104977023</v>
      </c>
      <c r="R8" s="32">
        <f t="shared" si="3"/>
        <v>162786.57936026796</v>
      </c>
      <c r="S8" s="32">
        <f t="shared" si="3"/>
        <v>164414.44515387062</v>
      </c>
      <c r="T8" s="32">
        <f t="shared" si="3"/>
        <v>166058.5896054093</v>
      </c>
      <c r="U8" s="32">
        <f t="shared" si="3"/>
        <v>167719.17550146341</v>
      </c>
      <c r="V8" s="32">
        <f t="shared" si="3"/>
        <v>179600.05040723976</v>
      </c>
      <c r="W8" s="32">
        <f t="shared" si="3"/>
        <v>181396.05091131217</v>
      </c>
      <c r="X8" s="32">
        <f t="shared" si="3"/>
        <v>183210.01142042526</v>
      </c>
      <c r="Y8" s="32">
        <f t="shared" si="3"/>
        <v>185042.11153462954</v>
      </c>
      <c r="Z8" s="32">
        <f t="shared" si="3"/>
        <v>186892.53264997582</v>
      </c>
      <c r="AA8" s="32">
        <f t="shared" si="3"/>
        <v>188761.45797647559</v>
      </c>
      <c r="AB8" s="32">
        <f t="shared" si="3"/>
        <v>190649.07255624031</v>
      </c>
      <c r="AC8" s="32">
        <f t="shared" si="3"/>
        <v>192555.56328180272</v>
      </c>
      <c r="AD8" s="32">
        <f t="shared" si="3"/>
        <v>194481.11891462075</v>
      </c>
      <c r="AE8" s="32">
        <f t="shared" si="3"/>
        <v>196425.93010376696</v>
      </c>
      <c r="AF8" s="32"/>
      <c r="AG8" s="32"/>
      <c r="AH8" s="32"/>
      <c r="AI8" s="32"/>
      <c r="AJ8" s="32"/>
      <c r="AK8" s="32"/>
      <c r="AL8" s="32"/>
      <c r="AM8" s="32"/>
      <c r="AN8" s="32"/>
      <c r="AO8" s="32"/>
      <c r="AP8" s="32"/>
      <c r="AQ8" s="32"/>
      <c r="AR8" s="32"/>
      <c r="AS8" s="32"/>
      <c r="AT8" s="32"/>
    </row>
    <row r="12" spans="1:46" x14ac:dyDescent="0.35">
      <c r="A12" s="1" t="s">
        <v>187</v>
      </c>
      <c r="B12" s="32">
        <f>AE38</f>
        <v>7161726.5854909783</v>
      </c>
    </row>
    <row r="13" spans="1:46" x14ac:dyDescent="0.35">
      <c r="A13" s="1" t="s">
        <v>186</v>
      </c>
      <c r="B13" s="32">
        <f>B12/25</f>
        <v>286469.06341963913</v>
      </c>
      <c r="C13" s="1" t="s">
        <v>184</v>
      </c>
    </row>
    <row r="14" spans="1:46" x14ac:dyDescent="0.35">
      <c r="A14" s="1" t="s">
        <v>185</v>
      </c>
      <c r="B14" s="34">
        <f>B13/12</f>
        <v>23872.421951636596</v>
      </c>
      <c r="C14" s="1" t="s">
        <v>188</v>
      </c>
    </row>
    <row r="15" spans="1:46" x14ac:dyDescent="0.35">
      <c r="A15" s="1" t="s">
        <v>204</v>
      </c>
      <c r="B15" s="1" t="s">
        <v>206</v>
      </c>
      <c r="C15" s="1" t="s">
        <v>207</v>
      </c>
    </row>
    <row r="17" spans="1:5" x14ac:dyDescent="0.35">
      <c r="A17" s="1" t="s">
        <v>198</v>
      </c>
      <c r="B17" s="33">
        <f>AE55</f>
        <v>329735.20686673187</v>
      </c>
      <c r="C17" s="18" t="s">
        <v>216</v>
      </c>
      <c r="E17" s="32"/>
    </row>
    <row r="18" spans="1:5" x14ac:dyDescent="0.35">
      <c r="A18" s="1" t="s">
        <v>186</v>
      </c>
      <c r="B18" s="32">
        <f>B17/25</f>
        <v>13189.408274669275</v>
      </c>
    </row>
    <row r="19" spans="1:5" x14ac:dyDescent="0.35">
      <c r="A19" s="1" t="s">
        <v>185</v>
      </c>
      <c r="B19" s="32">
        <f>B18/12</f>
        <v>1099.1173562224396</v>
      </c>
    </row>
    <row r="20" spans="1:5" x14ac:dyDescent="0.35">
      <c r="A20" s="1" t="s">
        <v>204</v>
      </c>
      <c r="B20" s="1" t="s">
        <v>205</v>
      </c>
    </row>
    <row r="22" spans="1:5" x14ac:dyDescent="0.35">
      <c r="A22" s="1" t="s">
        <v>203</v>
      </c>
      <c r="B22" s="34">
        <f>C22</f>
        <v>7198</v>
      </c>
      <c r="C22" s="72">
        <v>7198</v>
      </c>
      <c r="D22" s="1">
        <f>8329*(1-30.9%)</f>
        <v>5755.3390000000009</v>
      </c>
    </row>
    <row r="23" spans="1:5" x14ac:dyDescent="0.35">
      <c r="A23" s="1" t="s">
        <v>208</v>
      </c>
      <c r="B23" s="32">
        <f>B22*12</f>
        <v>86376</v>
      </c>
    </row>
    <row r="24" spans="1:5" x14ac:dyDescent="0.35">
      <c r="A24" s="1" t="s">
        <v>204</v>
      </c>
      <c r="B24" s="1" t="s">
        <v>206</v>
      </c>
    </row>
    <row r="25" spans="1:5" x14ac:dyDescent="0.35">
      <c r="A25" s="1" t="s">
        <v>64</v>
      </c>
      <c r="B25" s="17">
        <f>'Salary Variables'!C2</f>
        <v>0.02</v>
      </c>
    </row>
    <row r="26" spans="1:5" x14ac:dyDescent="0.35">
      <c r="A26" s="1" t="s">
        <v>255</v>
      </c>
      <c r="B26" s="17">
        <v>0.03</v>
      </c>
    </row>
    <row r="27" spans="1:5" x14ac:dyDescent="0.35">
      <c r="A27" s="1" t="s">
        <v>257</v>
      </c>
      <c r="B27" s="28">
        <v>0.153</v>
      </c>
    </row>
    <row r="29" spans="1:5" x14ac:dyDescent="0.35">
      <c r="A29" s="1" t="s">
        <v>262</v>
      </c>
      <c r="B29" s="30">
        <f>AE47</f>
        <v>161497.51011707098</v>
      </c>
    </row>
    <row r="30" spans="1:5" x14ac:dyDescent="0.35">
      <c r="A30" s="1" t="s">
        <v>271</v>
      </c>
      <c r="B30" s="30">
        <f>B29/25</f>
        <v>6459.9004046828395</v>
      </c>
    </row>
    <row r="31" spans="1:5" x14ac:dyDescent="0.35">
      <c r="A31" s="1" t="s">
        <v>272</v>
      </c>
      <c r="B31" s="30">
        <f>B30/12</f>
        <v>538.32503372356996</v>
      </c>
    </row>
    <row r="33" spans="1:49" x14ac:dyDescent="0.35">
      <c r="A33" s="1" t="s">
        <v>1</v>
      </c>
      <c r="B33" s="1">
        <v>2025</v>
      </c>
      <c r="C33" s="1">
        <v>2026</v>
      </c>
      <c r="D33" s="1">
        <v>2027</v>
      </c>
      <c r="E33" s="1">
        <v>2028</v>
      </c>
      <c r="F33" s="1">
        <v>2029</v>
      </c>
      <c r="G33" s="1">
        <v>2030</v>
      </c>
      <c r="H33" s="1">
        <v>2031</v>
      </c>
      <c r="I33" s="1">
        <v>2032</v>
      </c>
      <c r="J33" s="1">
        <v>2033</v>
      </c>
      <c r="K33" s="1">
        <v>2034</v>
      </c>
      <c r="L33" s="1">
        <v>2035</v>
      </c>
      <c r="M33" s="1">
        <v>2036</v>
      </c>
      <c r="N33" s="1">
        <v>2037</v>
      </c>
      <c r="O33" s="1">
        <v>2038</v>
      </c>
      <c r="P33" s="1">
        <v>2039</v>
      </c>
      <c r="Q33" s="1">
        <v>2040</v>
      </c>
      <c r="R33" s="1">
        <v>2041</v>
      </c>
      <c r="S33" s="1">
        <v>2042</v>
      </c>
      <c r="T33" s="1">
        <v>2043</v>
      </c>
      <c r="U33" s="1">
        <v>2044</v>
      </c>
      <c r="V33" s="1">
        <v>2045</v>
      </c>
      <c r="W33" s="1">
        <v>2046</v>
      </c>
      <c r="X33" s="1">
        <v>2047</v>
      </c>
      <c r="Y33" s="1">
        <v>2048</v>
      </c>
      <c r="Z33" s="1">
        <v>2049</v>
      </c>
      <c r="AA33" s="1">
        <v>2050</v>
      </c>
      <c r="AB33" s="1">
        <v>2051</v>
      </c>
      <c r="AC33" s="1">
        <v>2052</v>
      </c>
      <c r="AD33" s="1">
        <v>2053</v>
      </c>
      <c r="AE33" s="1">
        <v>2054</v>
      </c>
    </row>
    <row r="34" spans="1:49" x14ac:dyDescent="0.35">
      <c r="A34" s="1" t="s">
        <v>260</v>
      </c>
      <c r="B34" s="30">
        <f>B8</f>
        <v>127353.52941176471</v>
      </c>
      <c r="C34" s="30">
        <f>B38+C8</f>
        <v>259216.64730000001</v>
      </c>
      <c r="D34" s="30">
        <f t="shared" ref="D34:AT34" si="4">C38+D8</f>
        <v>395716.67766083422</v>
      </c>
      <c r="E34" s="30">
        <f t="shared" si="4"/>
        <v>542496.76900826651</v>
      </c>
      <c r="F34" s="30">
        <f t="shared" si="4"/>
        <v>694373.7917825178</v>
      </c>
      <c r="G34" s="30">
        <f t="shared" si="4"/>
        <v>851490.93150420045</v>
      </c>
      <c r="H34" s="30">
        <f t="shared" si="4"/>
        <v>1013995.1487629359</v>
      </c>
      <c r="I34" s="30">
        <f t="shared" si="4"/>
        <v>1188603.0178538861</v>
      </c>
      <c r="J34" s="30">
        <f t="shared" si="4"/>
        <v>1369136.0954220463</v>
      </c>
      <c r="K34" s="30">
        <f t="shared" si="4"/>
        <v>1555759.8252400584</v>
      </c>
      <c r="L34" s="30">
        <f t="shared" si="4"/>
        <v>1748644.0038490794</v>
      </c>
      <c r="M34" s="30">
        <f t="shared" si="4"/>
        <v>1947962.8926510522</v>
      </c>
      <c r="N34" s="30">
        <f t="shared" si="4"/>
        <v>2153895.3328641248</v>
      </c>
      <c r="O34" s="30">
        <f t="shared" si="4"/>
        <v>2366624.8634141199</v>
      </c>
      <c r="P34" s="30">
        <f t="shared" si="4"/>
        <v>2586339.8418368096</v>
      </c>
      <c r="Q34" s="30">
        <f t="shared" si="4"/>
        <v>2813233.5682676532</v>
      </c>
      <c r="R34" s="30">
        <f t="shared" si="4"/>
        <v>3047504.4125976022</v>
      </c>
      <c r="S34" s="30">
        <f t="shared" si="4"/>
        <v>3289355.9448755779</v>
      </c>
      <c r="T34" s="30">
        <f t="shared" si="4"/>
        <v>3538997.0690402756</v>
      </c>
      <c r="U34" s="30">
        <f t="shared" si="4"/>
        <v>3796642.1600660523</v>
      </c>
      <c r="V34" s="30">
        <f t="shared" si="4"/>
        <v>4072714.8877605703</v>
      </c>
      <c r="W34" s="30">
        <f t="shared" si="4"/>
        <v>4357598.623969879</v>
      </c>
      <c r="X34" s="30">
        <f t="shared" si="4"/>
        <v>4651535.2164253788</v>
      </c>
      <c r="Y34" s="30">
        <f t="shared" si="4"/>
        <v>4954772.8378093773</v>
      </c>
      <c r="Z34" s="30">
        <f t="shared" si="4"/>
        <v>5267566.1482680896</v>
      </c>
      <c r="AA34" s="30">
        <f t="shared" si="4"/>
        <v>5590176.4620720567</v>
      </c>
      <c r="AB34" s="30">
        <f t="shared" si="4"/>
        <v>5922871.9185295478</v>
      </c>
      <c r="AC34" s="30">
        <f t="shared" si="4"/>
        <v>6265927.6572611863</v>
      </c>
      <c r="AD34" s="30">
        <f t="shared" si="4"/>
        <v>6619625.9979468137</v>
      </c>
      <c r="AE34" s="30">
        <f t="shared" si="4"/>
        <v>6984256.6246584086</v>
      </c>
    </row>
    <row r="35" spans="1:49" x14ac:dyDescent="0.35">
      <c r="A35" s="1" t="s">
        <v>256</v>
      </c>
      <c r="B35" s="17">
        <f>$B$26</f>
        <v>0.03</v>
      </c>
      <c r="C35" s="17">
        <f>$B$26</f>
        <v>0.03</v>
      </c>
      <c r="D35" s="17">
        <f t="shared" ref="D35:AT35" si="5">$B$26</f>
        <v>0.03</v>
      </c>
      <c r="E35" s="17">
        <f t="shared" si="5"/>
        <v>0.03</v>
      </c>
      <c r="F35" s="17">
        <f t="shared" si="5"/>
        <v>0.03</v>
      </c>
      <c r="G35" s="17">
        <f t="shared" si="5"/>
        <v>0.03</v>
      </c>
      <c r="H35" s="17">
        <f t="shared" si="5"/>
        <v>0.03</v>
      </c>
      <c r="I35" s="17">
        <f t="shared" si="5"/>
        <v>0.03</v>
      </c>
      <c r="J35" s="17">
        <f t="shared" si="5"/>
        <v>0.03</v>
      </c>
      <c r="K35" s="17">
        <f t="shared" si="5"/>
        <v>0.03</v>
      </c>
      <c r="L35" s="17">
        <f t="shared" si="5"/>
        <v>0.03</v>
      </c>
      <c r="M35" s="17">
        <f t="shared" si="5"/>
        <v>0.03</v>
      </c>
      <c r="N35" s="17">
        <f t="shared" si="5"/>
        <v>0.03</v>
      </c>
      <c r="O35" s="17">
        <f t="shared" si="5"/>
        <v>0.03</v>
      </c>
      <c r="P35" s="17">
        <f t="shared" si="5"/>
        <v>0.03</v>
      </c>
      <c r="Q35" s="17">
        <f t="shared" si="5"/>
        <v>0.03</v>
      </c>
      <c r="R35" s="17">
        <f t="shared" si="5"/>
        <v>0.03</v>
      </c>
      <c r="S35" s="17">
        <f t="shared" si="5"/>
        <v>0.03</v>
      </c>
      <c r="T35" s="17">
        <f t="shared" si="5"/>
        <v>0.03</v>
      </c>
      <c r="U35" s="17">
        <f t="shared" si="5"/>
        <v>0.03</v>
      </c>
      <c r="V35" s="17">
        <f t="shared" si="5"/>
        <v>0.03</v>
      </c>
      <c r="W35" s="17">
        <f t="shared" si="5"/>
        <v>0.03</v>
      </c>
      <c r="X35" s="17">
        <f t="shared" si="5"/>
        <v>0.03</v>
      </c>
      <c r="Y35" s="17">
        <f t="shared" si="5"/>
        <v>0.03</v>
      </c>
      <c r="Z35" s="17">
        <f t="shared" si="5"/>
        <v>0.03</v>
      </c>
      <c r="AA35" s="17">
        <f t="shared" si="5"/>
        <v>0.03</v>
      </c>
      <c r="AB35" s="17">
        <f t="shared" si="5"/>
        <v>0.03</v>
      </c>
      <c r="AC35" s="17">
        <f t="shared" si="5"/>
        <v>0.03</v>
      </c>
      <c r="AD35" s="17">
        <f t="shared" si="5"/>
        <v>0.03</v>
      </c>
      <c r="AE35" s="17">
        <f t="shared" si="5"/>
        <v>0.03</v>
      </c>
    </row>
    <row r="36" spans="1:49" x14ac:dyDescent="0.35">
      <c r="A36" s="1" t="s">
        <v>258</v>
      </c>
      <c r="B36" s="30">
        <f>B35*B34</f>
        <v>3820.6058823529411</v>
      </c>
      <c r="C36" s="30">
        <f>C35*C34</f>
        <v>7776.4994189999998</v>
      </c>
      <c r="D36" s="30">
        <f>D35*D34</f>
        <v>11871.500329825027</v>
      </c>
      <c r="E36" s="30">
        <f t="shared" ref="E36:AT36" si="6">E35*E34</f>
        <v>16274.903070247994</v>
      </c>
      <c r="F36" s="30">
        <f t="shared" si="6"/>
        <v>20831.213753475535</v>
      </c>
      <c r="G36" s="30">
        <f t="shared" si="6"/>
        <v>25544.727945126011</v>
      </c>
      <c r="H36" s="30">
        <f t="shared" si="6"/>
        <v>30419.854462888077</v>
      </c>
      <c r="I36" s="30">
        <f t="shared" si="6"/>
        <v>35658.090535616582</v>
      </c>
      <c r="J36" s="30">
        <f t="shared" si="6"/>
        <v>41074.082862661387</v>
      </c>
      <c r="K36" s="30">
        <f t="shared" si="6"/>
        <v>46672.794757201751</v>
      </c>
      <c r="L36" s="30">
        <f t="shared" si="6"/>
        <v>52459.320115472379</v>
      </c>
      <c r="M36" s="30">
        <f t="shared" si="6"/>
        <v>58438.886779531567</v>
      </c>
      <c r="N36" s="30">
        <f t="shared" si="6"/>
        <v>64616.859985923744</v>
      </c>
      <c r="O36" s="30">
        <f t="shared" si="6"/>
        <v>70998.745902423601</v>
      </c>
      <c r="P36" s="30">
        <f t="shared" si="6"/>
        <v>77590.195255104292</v>
      </c>
      <c r="Q36" s="30">
        <f t="shared" si="6"/>
        <v>84397.007048029598</v>
      </c>
      <c r="R36" s="30">
        <f t="shared" si="6"/>
        <v>91425.132377928065</v>
      </c>
      <c r="S36" s="30">
        <f t="shared" si="6"/>
        <v>98680.678346267334</v>
      </c>
      <c r="T36" s="30">
        <f t="shared" si="6"/>
        <v>106169.91207120827</v>
      </c>
      <c r="U36" s="30">
        <f t="shared" si="6"/>
        <v>113899.26480198157</v>
      </c>
      <c r="V36" s="30">
        <f t="shared" si="6"/>
        <v>122181.4466328171</v>
      </c>
      <c r="W36" s="30">
        <f t="shared" si="6"/>
        <v>130727.95871909636</v>
      </c>
      <c r="X36" s="30">
        <f t="shared" si="6"/>
        <v>139546.05649276136</v>
      </c>
      <c r="Y36" s="30">
        <f t="shared" si="6"/>
        <v>148643.18513428132</v>
      </c>
      <c r="Z36" s="30">
        <f t="shared" si="6"/>
        <v>158026.98444804267</v>
      </c>
      <c r="AA36" s="30">
        <f t="shared" si="6"/>
        <v>167705.29386216169</v>
      </c>
      <c r="AB36" s="30">
        <f t="shared" si="6"/>
        <v>177686.15755588643</v>
      </c>
      <c r="AC36" s="30">
        <f t="shared" si="6"/>
        <v>187977.82971783559</v>
      </c>
      <c r="AD36" s="30">
        <f t="shared" si="6"/>
        <v>198588.77993840439</v>
      </c>
      <c r="AE36" s="30">
        <f t="shared" si="6"/>
        <v>209527.69873975226</v>
      </c>
    </row>
    <row r="37" spans="1:49" x14ac:dyDescent="0.35">
      <c r="A37" s="1" t="s">
        <v>225</v>
      </c>
      <c r="B37" s="30">
        <f>B36*$B$27</f>
        <v>584.55269999999996</v>
      </c>
      <c r="C37" s="30">
        <f>C36*$B$27</f>
        <v>1189.8044111069999</v>
      </c>
      <c r="D37" s="30">
        <f t="shared" ref="D37:AT37" si="7">D36*$B$27</f>
        <v>1816.339550463229</v>
      </c>
      <c r="E37" s="30">
        <f t="shared" si="7"/>
        <v>2490.0601697479428</v>
      </c>
      <c r="F37" s="30">
        <f t="shared" si="7"/>
        <v>3187.1757042817567</v>
      </c>
      <c r="G37" s="30">
        <f t="shared" si="7"/>
        <v>3908.3433756042796</v>
      </c>
      <c r="H37" s="30">
        <f t="shared" si="7"/>
        <v>4654.2377328218754</v>
      </c>
      <c r="I37" s="30">
        <f t="shared" si="7"/>
        <v>5455.6878519493366</v>
      </c>
      <c r="J37" s="30">
        <f t="shared" si="7"/>
        <v>6284.3346779871918</v>
      </c>
      <c r="K37" s="30">
        <f t="shared" si="7"/>
        <v>7140.9375978518674</v>
      </c>
      <c r="L37" s="30">
        <f t="shared" si="7"/>
        <v>8026.2759776672738</v>
      </c>
      <c r="M37" s="30">
        <f t="shared" si="7"/>
        <v>8941.1496772683295</v>
      </c>
      <c r="N37" s="30">
        <f t="shared" si="7"/>
        <v>9886.3795778463318</v>
      </c>
      <c r="O37" s="30">
        <f t="shared" si="7"/>
        <v>10862.80812307081</v>
      </c>
      <c r="P37" s="30">
        <f t="shared" si="7"/>
        <v>11871.299874030956</v>
      </c>
      <c r="Q37" s="30">
        <f t="shared" si="7"/>
        <v>12912.742078348529</v>
      </c>
      <c r="R37" s="30">
        <f t="shared" si="7"/>
        <v>13988.045253822993</v>
      </c>
      <c r="S37" s="30">
        <f t="shared" si="7"/>
        <v>15098.143786978902</v>
      </c>
      <c r="T37" s="30">
        <f t="shared" si="7"/>
        <v>16243.996546894865</v>
      </c>
      <c r="U37" s="30">
        <f t="shared" si="7"/>
        <v>17426.58751470318</v>
      </c>
      <c r="V37" s="30">
        <f t="shared" si="7"/>
        <v>18693.761334821014</v>
      </c>
      <c r="W37" s="30">
        <f t="shared" si="7"/>
        <v>20001.377684021743</v>
      </c>
      <c r="X37" s="30">
        <f t="shared" si="7"/>
        <v>21350.546643392488</v>
      </c>
      <c r="Y37" s="30">
        <f t="shared" si="7"/>
        <v>22742.407325545042</v>
      </c>
      <c r="Z37" s="30">
        <f t="shared" si="7"/>
        <v>24178.128620550528</v>
      </c>
      <c r="AA37" s="30">
        <f t="shared" si="7"/>
        <v>25658.90996091074</v>
      </c>
      <c r="AB37" s="30">
        <f t="shared" si="7"/>
        <v>27185.982106050622</v>
      </c>
      <c r="AC37" s="30">
        <f t="shared" si="7"/>
        <v>28760.607946828844</v>
      </c>
      <c r="AD37" s="30">
        <f t="shared" si="7"/>
        <v>30384.083330575872</v>
      </c>
      <c r="AE37" s="30">
        <f t="shared" si="7"/>
        <v>32057.737907182094</v>
      </c>
    </row>
    <row r="38" spans="1:49" s="18" customFormat="1" x14ac:dyDescent="0.35">
      <c r="A38" s="18" t="s">
        <v>259</v>
      </c>
      <c r="B38" s="31">
        <f>B34+(B36-B37)</f>
        <v>130589.58259411766</v>
      </c>
      <c r="C38" s="31">
        <f>C34+(C36-C37)</f>
        <v>265803.34230789304</v>
      </c>
      <c r="D38" s="31">
        <f t="shared" ref="D38:AS38" si="8">D34+(D36-D37)</f>
        <v>405771.83844019601</v>
      </c>
      <c r="E38" s="31">
        <f t="shared" si="8"/>
        <v>556281.61190876656</v>
      </c>
      <c r="F38" s="31">
        <f t="shared" si="8"/>
        <v>712017.8298317116</v>
      </c>
      <c r="G38" s="31">
        <f t="shared" si="8"/>
        <v>873127.31607372221</v>
      </c>
      <c r="H38" s="31">
        <f t="shared" si="8"/>
        <v>1039760.7654930021</v>
      </c>
      <c r="I38" s="31">
        <f t="shared" si="8"/>
        <v>1218805.4205375533</v>
      </c>
      <c r="J38" s="31">
        <f t="shared" si="8"/>
        <v>1403925.8436067204</v>
      </c>
      <c r="K38" s="31">
        <f t="shared" si="8"/>
        <v>1595291.6823994082</v>
      </c>
      <c r="L38" s="31">
        <f t="shared" si="8"/>
        <v>1793077.0479868844</v>
      </c>
      <c r="M38" s="31">
        <f t="shared" si="8"/>
        <v>1997460.6297533154</v>
      </c>
      <c r="N38" s="31">
        <f t="shared" si="8"/>
        <v>2208625.8132722024</v>
      </c>
      <c r="O38" s="31">
        <f t="shared" si="8"/>
        <v>2426760.8011934729</v>
      </c>
      <c r="P38" s="31">
        <f t="shared" si="8"/>
        <v>2652058.7372178831</v>
      </c>
      <c r="Q38" s="31">
        <f t="shared" si="8"/>
        <v>2884717.8332373342</v>
      </c>
      <c r="R38" s="31">
        <f t="shared" si="8"/>
        <v>3124941.4997217073</v>
      </c>
      <c r="S38" s="31">
        <f t="shared" si="8"/>
        <v>3372938.4794348665</v>
      </c>
      <c r="T38" s="31">
        <f t="shared" si="8"/>
        <v>3628922.9845645889</v>
      </c>
      <c r="U38" s="31">
        <f t="shared" si="8"/>
        <v>3893114.8373533306</v>
      </c>
      <c r="V38" s="31">
        <f t="shared" si="8"/>
        <v>4176202.5730585665</v>
      </c>
      <c r="W38" s="31">
        <f t="shared" si="8"/>
        <v>4468325.2050049538</v>
      </c>
      <c r="X38" s="31">
        <f t="shared" si="8"/>
        <v>4769730.7262747474</v>
      </c>
      <c r="Y38" s="31">
        <f t="shared" si="8"/>
        <v>5080673.6156181134</v>
      </c>
      <c r="Z38" s="31">
        <f t="shared" si="8"/>
        <v>5401415.0040955814</v>
      </c>
      <c r="AA38" s="31">
        <f t="shared" si="8"/>
        <v>5732222.8459733073</v>
      </c>
      <c r="AB38" s="31">
        <f t="shared" si="8"/>
        <v>6073372.0939793838</v>
      </c>
      <c r="AC38" s="31">
        <f t="shared" si="8"/>
        <v>6425144.8790321928</v>
      </c>
      <c r="AD38" s="31">
        <f t="shared" si="8"/>
        <v>6787830.6945546418</v>
      </c>
      <c r="AE38" s="31">
        <f t="shared" si="8"/>
        <v>7161726.5854909783</v>
      </c>
      <c r="AF38" s="1"/>
      <c r="AG38" s="1"/>
      <c r="AH38" s="1"/>
      <c r="AI38" s="1"/>
      <c r="AJ38" s="1"/>
      <c r="AK38" s="1"/>
      <c r="AL38" s="1"/>
      <c r="AM38" s="1"/>
      <c r="AN38" s="1"/>
      <c r="AO38" s="1"/>
      <c r="AP38" s="1"/>
      <c r="AQ38" s="1"/>
      <c r="AR38" s="1"/>
      <c r="AS38" s="1"/>
      <c r="AT38" s="1"/>
      <c r="AU38" s="1"/>
      <c r="AV38" s="1"/>
      <c r="AW38" s="1"/>
    </row>
    <row r="40" spans="1:49" x14ac:dyDescent="0.35">
      <c r="A40" s="1" t="s">
        <v>261</v>
      </c>
      <c r="B40" s="30">
        <f>AT38</f>
        <v>0</v>
      </c>
    </row>
    <row r="42" spans="1:49" x14ac:dyDescent="0.35">
      <c r="A42" s="1" t="s">
        <v>262</v>
      </c>
      <c r="B42" s="1" t="s">
        <v>263</v>
      </c>
    </row>
    <row r="43" spans="1:49" x14ac:dyDescent="0.35">
      <c r="A43" s="1" t="s">
        <v>264</v>
      </c>
      <c r="B43" s="1">
        <f>'Net Salary P2'!B14*3</f>
        <v>3564</v>
      </c>
      <c r="C43" s="30">
        <f>B47+$B$43</f>
        <v>7218.56124</v>
      </c>
      <c r="D43" s="30">
        <f>C47+$B$43</f>
        <v>10965.984881108401</v>
      </c>
      <c r="E43" s="30">
        <f>D47+$B$43</f>
        <v>14808.630556937365</v>
      </c>
      <c r="F43" s="30">
        <f>E47+$B$43</f>
        <v>18748.917859389141</v>
      </c>
      <c r="G43" s="30">
        <f>F47+$B$43</f>
        <v>22789.32786219622</v>
      </c>
      <c r="H43" s="30">
        <f>G47+$B$43</f>
        <v>26932.404683174627</v>
      </c>
      <c r="I43" s="30">
        <f>H47+$B$43</f>
        <v>31180.757086174093</v>
      </c>
      <c r="J43" s="30">
        <f>I47+$B$43</f>
        <v>35537.060123733776</v>
      </c>
      <c r="K43" s="30">
        <f>J47+$B$43</f>
        <v>40004.056821477854</v>
      </c>
      <c r="L43" s="30">
        <f>K47+$B$43</f>
        <v>44584.559905311609</v>
      </c>
      <c r="M43" s="30">
        <f>L47+$B$43</f>
        <v>49281.453572505576</v>
      </c>
      <c r="N43" s="30">
        <f>M47+$B$43</f>
        <v>54097.695307782946</v>
      </c>
      <c r="O43" s="30">
        <f>N47+$B$43</f>
        <v>59036.317745553708</v>
      </c>
      <c r="P43" s="30">
        <f>O47+$B$43</f>
        <v>64100.43057946823</v>
      </c>
      <c r="Q43" s="30">
        <f>P47+$B$43</f>
        <v>69293.22252049252</v>
      </c>
      <c r="R43" s="30">
        <f>Q47+$B$43</f>
        <v>74617.963304738238</v>
      </c>
      <c r="S43" s="30">
        <f>R47+$B$43</f>
        <v>80078.005752311641</v>
      </c>
      <c r="T43" s="30">
        <f>S47+$B$43</f>
        <v>85676.787878477873</v>
      </c>
      <c r="U43" s="30">
        <f>T47+$B$43</f>
        <v>91417.835058469995</v>
      </c>
      <c r="V43" s="30">
        <f>U47+$B$43</f>
        <v>97304.762247305713</v>
      </c>
      <c r="W43" s="30">
        <f>V47+$B$43</f>
        <v>103341.27625600975</v>
      </c>
      <c r="X43" s="30">
        <f>W47+$B$43</f>
        <v>109531.17808567495</v>
      </c>
      <c r="Y43" s="30">
        <f>X47+$B$43</f>
        <v>115878.36532083196</v>
      </c>
      <c r="Z43" s="30">
        <f>Y47+$B$43</f>
        <v>122386.83458363429</v>
      </c>
      <c r="AA43" s="30">
        <f>Z47+$B$43</f>
        <v>129060.68405040444</v>
      </c>
      <c r="AB43" s="30">
        <f>AA47+$B$43</f>
        <v>135904.11603212522</v>
      </c>
      <c r="AC43" s="30">
        <f>AB47+$B$43</f>
        <v>142921.43962050154</v>
      </c>
      <c r="AD43" s="30">
        <f>AC47+$B$43</f>
        <v>150117.07340125847</v>
      </c>
      <c r="AE43" s="30">
        <f>AD47+$B$43</f>
        <v>157495.54823638446</v>
      </c>
    </row>
    <row r="44" spans="1:49" x14ac:dyDescent="0.35">
      <c r="A44" s="1" t="s">
        <v>268</v>
      </c>
      <c r="B44" s="17">
        <f>$B$26</f>
        <v>0.03</v>
      </c>
      <c r="C44" s="17">
        <f>$B$26</f>
        <v>0.03</v>
      </c>
      <c r="D44" s="17">
        <f t="shared" ref="D44:AT44" si="9">$B$26</f>
        <v>0.03</v>
      </c>
      <c r="E44" s="17">
        <f t="shared" si="9"/>
        <v>0.03</v>
      </c>
      <c r="F44" s="17">
        <f t="shared" si="9"/>
        <v>0.03</v>
      </c>
      <c r="G44" s="17">
        <f t="shared" si="9"/>
        <v>0.03</v>
      </c>
      <c r="H44" s="17">
        <f t="shared" si="9"/>
        <v>0.03</v>
      </c>
      <c r="I44" s="17">
        <f t="shared" si="9"/>
        <v>0.03</v>
      </c>
      <c r="J44" s="17">
        <f t="shared" si="9"/>
        <v>0.03</v>
      </c>
      <c r="K44" s="17">
        <f t="shared" si="9"/>
        <v>0.03</v>
      </c>
      <c r="L44" s="17">
        <f t="shared" si="9"/>
        <v>0.03</v>
      </c>
      <c r="M44" s="17">
        <f t="shared" si="9"/>
        <v>0.03</v>
      </c>
      <c r="N44" s="17">
        <f t="shared" si="9"/>
        <v>0.03</v>
      </c>
      <c r="O44" s="17">
        <f t="shared" si="9"/>
        <v>0.03</v>
      </c>
      <c r="P44" s="17">
        <f t="shared" si="9"/>
        <v>0.03</v>
      </c>
      <c r="Q44" s="17">
        <f t="shared" si="9"/>
        <v>0.03</v>
      </c>
      <c r="R44" s="17">
        <f t="shared" si="9"/>
        <v>0.03</v>
      </c>
      <c r="S44" s="17">
        <f t="shared" si="9"/>
        <v>0.03</v>
      </c>
      <c r="T44" s="17">
        <f t="shared" si="9"/>
        <v>0.03</v>
      </c>
      <c r="U44" s="17">
        <f t="shared" si="9"/>
        <v>0.03</v>
      </c>
      <c r="V44" s="17">
        <f t="shared" si="9"/>
        <v>0.03</v>
      </c>
      <c r="W44" s="17">
        <f t="shared" si="9"/>
        <v>0.03</v>
      </c>
      <c r="X44" s="17">
        <f t="shared" si="9"/>
        <v>0.03</v>
      </c>
      <c r="Y44" s="17">
        <f t="shared" si="9"/>
        <v>0.03</v>
      </c>
      <c r="Z44" s="17">
        <f t="shared" si="9"/>
        <v>0.03</v>
      </c>
      <c r="AA44" s="17">
        <f t="shared" si="9"/>
        <v>0.03</v>
      </c>
      <c r="AB44" s="17">
        <f t="shared" si="9"/>
        <v>0.03</v>
      </c>
      <c r="AC44" s="17">
        <f t="shared" si="9"/>
        <v>0.03</v>
      </c>
      <c r="AD44" s="17">
        <f t="shared" si="9"/>
        <v>0.03</v>
      </c>
      <c r="AE44" s="17">
        <f t="shared" si="9"/>
        <v>0.03</v>
      </c>
    </row>
    <row r="45" spans="1:49" x14ac:dyDescent="0.35">
      <c r="A45" s="1" t="s">
        <v>255</v>
      </c>
      <c r="B45" s="30">
        <f>B44*B43</f>
        <v>106.92</v>
      </c>
      <c r="C45" s="30">
        <f>C44*C43</f>
        <v>216.55683719999999</v>
      </c>
      <c r="D45" s="30">
        <f t="shared" ref="D45:AS45" si="10">D44*D43</f>
        <v>328.97954643325204</v>
      </c>
      <c r="E45" s="30">
        <f t="shared" si="10"/>
        <v>444.25891670812092</v>
      </c>
      <c r="F45" s="30">
        <f t="shared" si="10"/>
        <v>562.4675357816742</v>
      </c>
      <c r="G45" s="30">
        <f t="shared" si="10"/>
        <v>683.67983586588662</v>
      </c>
      <c r="H45" s="30">
        <f t="shared" si="10"/>
        <v>807.97214049523882</v>
      </c>
      <c r="I45" s="30">
        <f t="shared" si="10"/>
        <v>935.42271258522271</v>
      </c>
      <c r="J45" s="30">
        <f t="shared" si="10"/>
        <v>1066.1118037120132</v>
      </c>
      <c r="K45" s="30">
        <f t="shared" si="10"/>
        <v>1200.1217046443355</v>
      </c>
      <c r="L45" s="30">
        <f t="shared" si="10"/>
        <v>1337.5367971593482</v>
      </c>
      <c r="M45" s="30">
        <f t="shared" si="10"/>
        <v>1478.4436071751672</v>
      </c>
      <c r="N45" s="30">
        <f t="shared" si="10"/>
        <v>1622.9308592334883</v>
      </c>
      <c r="O45" s="30">
        <f t="shared" si="10"/>
        <v>1771.0895323666111</v>
      </c>
      <c r="P45" s="30">
        <f t="shared" si="10"/>
        <v>1923.0129173840469</v>
      </c>
      <c r="Q45" s="30">
        <f t="shared" si="10"/>
        <v>2078.7966756147757</v>
      </c>
      <c r="R45" s="30">
        <f t="shared" si="10"/>
        <v>2238.5388991421469</v>
      </c>
      <c r="S45" s="30">
        <f t="shared" si="10"/>
        <v>2402.3401725693493</v>
      </c>
      <c r="T45" s="30">
        <f t="shared" si="10"/>
        <v>2570.303636354336</v>
      </c>
      <c r="U45" s="30">
        <f t="shared" si="10"/>
        <v>2742.5350517540996</v>
      </c>
      <c r="V45" s="30">
        <f t="shared" si="10"/>
        <v>2919.1428674191711</v>
      </c>
      <c r="W45" s="30">
        <f t="shared" si="10"/>
        <v>3100.2382876802922</v>
      </c>
      <c r="X45" s="30">
        <f t="shared" si="10"/>
        <v>3285.9353425702484</v>
      </c>
      <c r="Y45" s="30">
        <f t="shared" si="10"/>
        <v>3476.3509596249587</v>
      </c>
      <c r="Z45" s="30">
        <f t="shared" si="10"/>
        <v>3671.6050375090285</v>
      </c>
      <c r="AA45" s="30">
        <f t="shared" si="10"/>
        <v>3871.8205215121329</v>
      </c>
      <c r="AB45" s="30">
        <f t="shared" si="10"/>
        <v>4077.1234809637567</v>
      </c>
      <c r="AC45" s="30">
        <f t="shared" si="10"/>
        <v>4287.6431886150458</v>
      </c>
      <c r="AD45" s="30">
        <f t="shared" si="10"/>
        <v>4503.5122020377539</v>
      </c>
      <c r="AE45" s="30">
        <f t="shared" si="10"/>
        <v>4724.8664470915337</v>
      </c>
    </row>
    <row r="46" spans="1:49" x14ac:dyDescent="0.35">
      <c r="A46" s="1" t="s">
        <v>225</v>
      </c>
      <c r="B46" s="30">
        <f>B45*$B$27</f>
        <v>16.35876</v>
      </c>
      <c r="C46" s="30">
        <f>C45*$B$27</f>
        <v>33.133196091599999</v>
      </c>
      <c r="D46" s="30">
        <f t="shared" ref="D46:AS46" si="11">D45*$B$27</f>
        <v>50.333870604287561</v>
      </c>
      <c r="E46" s="30">
        <f t="shared" si="11"/>
        <v>67.971614256342505</v>
      </c>
      <c r="F46" s="30">
        <f t="shared" si="11"/>
        <v>86.057532974596157</v>
      </c>
      <c r="G46" s="30">
        <f t="shared" si="11"/>
        <v>104.60301488748065</v>
      </c>
      <c r="H46" s="30">
        <f t="shared" si="11"/>
        <v>123.61973749577153</v>
      </c>
      <c r="I46" s="30">
        <f t="shared" si="11"/>
        <v>143.11967502553907</v>
      </c>
      <c r="J46" s="30">
        <f t="shared" si="11"/>
        <v>163.11510596793801</v>
      </c>
      <c r="K46" s="30">
        <f t="shared" si="11"/>
        <v>183.61862081058334</v>
      </c>
      <c r="L46" s="30">
        <f t="shared" si="11"/>
        <v>204.64312996538027</v>
      </c>
      <c r="M46" s="30">
        <f t="shared" si="11"/>
        <v>226.20187189780057</v>
      </c>
      <c r="N46" s="30">
        <f t="shared" si="11"/>
        <v>248.30842146272369</v>
      </c>
      <c r="O46" s="30">
        <f t="shared" si="11"/>
        <v>270.97669845209151</v>
      </c>
      <c r="P46" s="30">
        <f t="shared" si="11"/>
        <v>294.22097635975916</v>
      </c>
      <c r="Q46" s="30">
        <f t="shared" si="11"/>
        <v>318.0558913690607</v>
      </c>
      <c r="R46" s="30">
        <f t="shared" si="11"/>
        <v>342.49645156874845</v>
      </c>
      <c r="S46" s="30">
        <f t="shared" si="11"/>
        <v>367.55804640311044</v>
      </c>
      <c r="T46" s="30">
        <f t="shared" si="11"/>
        <v>393.25645636221338</v>
      </c>
      <c r="U46" s="30">
        <f t="shared" si="11"/>
        <v>419.60786291837724</v>
      </c>
      <c r="V46" s="30">
        <f t="shared" si="11"/>
        <v>446.62885871513316</v>
      </c>
      <c r="W46" s="30">
        <f t="shared" si="11"/>
        <v>474.3364580150847</v>
      </c>
      <c r="X46" s="30">
        <f t="shared" si="11"/>
        <v>502.74810741324802</v>
      </c>
      <c r="Y46" s="30">
        <f t="shared" si="11"/>
        <v>531.88169682261866</v>
      </c>
      <c r="Z46" s="30">
        <f t="shared" si="11"/>
        <v>561.75557073888137</v>
      </c>
      <c r="AA46" s="30">
        <f t="shared" si="11"/>
        <v>592.38853979135638</v>
      </c>
      <c r="AB46" s="30">
        <f t="shared" si="11"/>
        <v>623.79989258745479</v>
      </c>
      <c r="AC46" s="30">
        <f t="shared" si="11"/>
        <v>656.00940785810201</v>
      </c>
      <c r="AD46" s="30">
        <f t="shared" si="11"/>
        <v>689.0373669117763</v>
      </c>
      <c r="AE46" s="30">
        <f t="shared" si="11"/>
        <v>722.90456640500463</v>
      </c>
    </row>
    <row r="47" spans="1:49" x14ac:dyDescent="0.35">
      <c r="A47" s="1" t="s">
        <v>269</v>
      </c>
      <c r="B47" s="31">
        <f>B43+(B45-B46)</f>
        <v>3654.56124</v>
      </c>
      <c r="C47" s="31">
        <f>C43+(C45-C46)</f>
        <v>7401.9848811084003</v>
      </c>
      <c r="D47" s="31">
        <f t="shared" ref="D47:AS47" si="12">D43+(D45-D46)</f>
        <v>11244.630556937365</v>
      </c>
      <c r="E47" s="31">
        <f t="shared" si="12"/>
        <v>15184.917859389143</v>
      </c>
      <c r="F47" s="31">
        <f t="shared" si="12"/>
        <v>19225.32786219622</v>
      </c>
      <c r="G47" s="31">
        <f t="shared" si="12"/>
        <v>23368.404683174627</v>
      </c>
      <c r="H47" s="31">
        <f t="shared" si="12"/>
        <v>27616.757086174093</v>
      </c>
      <c r="I47" s="31">
        <f t="shared" si="12"/>
        <v>31973.060123733776</v>
      </c>
      <c r="J47" s="31">
        <f t="shared" si="12"/>
        <v>36440.056821477854</v>
      </c>
      <c r="K47" s="31">
        <f t="shared" si="12"/>
        <v>41020.559905311609</v>
      </c>
      <c r="L47" s="31">
        <f t="shared" si="12"/>
        <v>45717.453572505576</v>
      </c>
      <c r="M47" s="31">
        <f t="shared" si="12"/>
        <v>50533.695307782946</v>
      </c>
      <c r="N47" s="31">
        <f t="shared" si="12"/>
        <v>55472.317745553708</v>
      </c>
      <c r="O47" s="31">
        <f t="shared" si="12"/>
        <v>60536.43057946823</v>
      </c>
      <c r="P47" s="31">
        <f t="shared" si="12"/>
        <v>65729.22252049252</v>
      </c>
      <c r="Q47" s="31">
        <f t="shared" si="12"/>
        <v>71053.963304738238</v>
      </c>
      <c r="R47" s="31">
        <f t="shared" si="12"/>
        <v>76514.005752311641</v>
      </c>
      <c r="S47" s="31">
        <f t="shared" si="12"/>
        <v>82112.787878477873</v>
      </c>
      <c r="T47" s="31">
        <f t="shared" si="12"/>
        <v>87853.835058469995</v>
      </c>
      <c r="U47" s="31">
        <f t="shared" si="12"/>
        <v>93740.762247305713</v>
      </c>
      <c r="V47" s="31">
        <f t="shared" si="12"/>
        <v>99777.276256009747</v>
      </c>
      <c r="W47" s="31">
        <f t="shared" si="12"/>
        <v>105967.17808567495</v>
      </c>
      <c r="X47" s="31">
        <f t="shared" si="12"/>
        <v>112314.36532083196</v>
      </c>
      <c r="Y47" s="31">
        <f t="shared" si="12"/>
        <v>118822.83458363429</v>
      </c>
      <c r="Z47" s="31">
        <f t="shared" si="12"/>
        <v>125496.68405040444</v>
      </c>
      <c r="AA47" s="31">
        <f t="shared" si="12"/>
        <v>132340.11603212522</v>
      </c>
      <c r="AB47" s="31">
        <f t="shared" si="12"/>
        <v>139357.43962050154</v>
      </c>
      <c r="AC47" s="31">
        <f t="shared" si="12"/>
        <v>146553.07340125847</v>
      </c>
      <c r="AD47" s="31">
        <f t="shared" si="12"/>
        <v>153931.54823638446</v>
      </c>
      <c r="AE47" s="31">
        <f t="shared" si="12"/>
        <v>161497.51011707098</v>
      </c>
    </row>
    <row r="50" spans="1:31" x14ac:dyDescent="0.35">
      <c r="A50" s="1" t="s">
        <v>198</v>
      </c>
    </row>
    <row r="51" spans="1:31" x14ac:dyDescent="0.35">
      <c r="A51" s="1" t="s">
        <v>270</v>
      </c>
      <c r="B51" s="32">
        <f>'Net Salary P1'!E15</f>
        <v>9215.6862745098042</v>
      </c>
      <c r="C51" s="30">
        <f>B55+'Net Salary P1'!F15</f>
        <v>18484.843406382162</v>
      </c>
      <c r="D51" s="30">
        <f>C55+'Net Salary P1'!G15</f>
        <v>27812.373222080554</v>
      </c>
      <c r="E51" s="30">
        <f>D55+'Net Salary P1'!H15</f>
        <v>37203.232630302853</v>
      </c>
      <c r="F51" s="30">
        <f>E55+'Net Salary P1'!I15</f>
        <v>46662.43638384006</v>
      </c>
      <c r="G51" s="30">
        <f>F55+'Net Salary P1'!J15</f>
        <v>56195.059884903647</v>
      </c>
      <c r="H51" s="30">
        <f>G55+'Net Salary P1'!K15</f>
        <v>65806.242035549833</v>
      </c>
      <c r="I51" s="30">
        <f>H55+'Net Salary P1'!L15</f>
        <v>75501.188134860189</v>
      </c>
      <c r="J51" s="30">
        <f>I55+'Net Salary P1'!M15</f>
        <v>85285.172824569978</v>
      </c>
      <c r="K51" s="30">
        <f>J55+'Net Salary P1'!N15</f>
        <v>95163.543084868754</v>
      </c>
      <c r="L51" s="30">
        <f>K55+'Net Salary P1'!O15</f>
        <v>105141.72128213219</v>
      </c>
      <c r="M51" s="30">
        <f>L55+'Net Salary P1'!P15</f>
        <v>115225.20827037873</v>
      </c>
      <c r="N51" s="30">
        <f>M55+'Net Salary P1'!Q15</f>
        <v>125419.58654828157</v>
      </c>
      <c r="O51" s="30">
        <f>N55+'Net Salary P1'!R15</f>
        <v>135730.52347360333</v>
      </c>
      <c r="P51" s="30">
        <f>O55+'Net Salary P1'!S15</f>
        <v>146163.77453695965</v>
      </c>
      <c r="Q51" s="30">
        <f>P55+'Net Salary P1'!T15</f>
        <v>156725.18669685759</v>
      </c>
      <c r="R51" s="30">
        <f>Q55+'Net Salary P1'!U15</f>
        <v>167420.70177799513</v>
      </c>
      <c r="S51" s="30">
        <f>R55+'Net Salary P1'!V15</f>
        <v>178256.35993485086</v>
      </c>
      <c r="T51" s="30">
        <f>S55+'Net Salary P1'!W15</f>
        <v>189238.30318263549</v>
      </c>
      <c r="U51" s="30">
        <f>T55+'Net Salary P1'!X15</f>
        <v>200372.77899772199</v>
      </c>
      <c r="V51" s="30">
        <f>U55+'Net Salary P1'!Y15</f>
        <v>211666.1439897166</v>
      </c>
      <c r="W51" s="30">
        <f>V55+'Net Salary P1'!Z15</f>
        <v>223124.86764738007</v>
      </c>
      <c r="X51" s="30">
        <f>W55+'Net Salary P1'!AA15</f>
        <v>234755.53616065765</v>
      </c>
      <c r="Y51" s="30">
        <f>X55+'Net Salary P1'!AB15</f>
        <v>246564.85632112509</v>
      </c>
      <c r="Z51" s="30">
        <f>Y55+'Net Salary P1'!AC15</f>
        <v>258559.65950321071</v>
      </c>
      <c r="AA51" s="30">
        <f>Z55+'Net Salary P1'!AD15</f>
        <v>270746.90572860476</v>
      </c>
      <c r="AB51" s="30">
        <f>AA55+'Net Salary P1'!AE15</f>
        <v>283133.68781632296</v>
      </c>
      <c r="AC51" s="30">
        <f>AB55+'Net Salary P1'!AF15</f>
        <v>295727.23562094592</v>
      </c>
      <c r="AD51" s="30">
        <f>AC55+'Net Salary P1'!AG15</f>
        <v>308534.92036161356</v>
      </c>
      <c r="AE51" s="30">
        <f>AD55+'Net Salary P1'!AH15</f>
        <v>321564.25904441334</v>
      </c>
    </row>
    <row r="52" spans="1:31" x14ac:dyDescent="0.35">
      <c r="A52" s="1" t="s">
        <v>268</v>
      </c>
      <c r="B52" s="17">
        <f>$B$26</f>
        <v>0.03</v>
      </c>
      <c r="C52" s="17">
        <f>$B$26</f>
        <v>0.03</v>
      </c>
      <c r="D52" s="17">
        <f t="shared" ref="D52:AT52" si="13">$B$26</f>
        <v>0.03</v>
      </c>
      <c r="E52" s="17">
        <f t="shared" si="13"/>
        <v>0.03</v>
      </c>
      <c r="F52" s="17">
        <f t="shared" si="13"/>
        <v>0.03</v>
      </c>
      <c r="G52" s="17">
        <f t="shared" si="13"/>
        <v>0.03</v>
      </c>
      <c r="H52" s="17">
        <f t="shared" si="13"/>
        <v>0.03</v>
      </c>
      <c r="I52" s="17">
        <f t="shared" si="13"/>
        <v>0.03</v>
      </c>
      <c r="J52" s="17">
        <f t="shared" si="13"/>
        <v>0.03</v>
      </c>
      <c r="K52" s="17">
        <f t="shared" si="13"/>
        <v>0.03</v>
      </c>
      <c r="L52" s="17">
        <f t="shared" si="13"/>
        <v>0.03</v>
      </c>
      <c r="M52" s="17">
        <f t="shared" si="13"/>
        <v>0.03</v>
      </c>
      <c r="N52" s="17">
        <f t="shared" si="13"/>
        <v>0.03</v>
      </c>
      <c r="O52" s="17">
        <f t="shared" si="13"/>
        <v>0.03</v>
      </c>
      <c r="P52" s="17">
        <f t="shared" si="13"/>
        <v>0.03</v>
      </c>
      <c r="Q52" s="17">
        <f t="shared" si="13"/>
        <v>0.03</v>
      </c>
      <c r="R52" s="17">
        <f t="shared" si="13"/>
        <v>0.03</v>
      </c>
      <c r="S52" s="17">
        <f t="shared" si="13"/>
        <v>0.03</v>
      </c>
      <c r="T52" s="17">
        <f t="shared" si="13"/>
        <v>0.03</v>
      </c>
      <c r="U52" s="17">
        <f t="shared" si="13"/>
        <v>0.03</v>
      </c>
      <c r="V52" s="17">
        <f t="shared" si="13"/>
        <v>0.03</v>
      </c>
      <c r="W52" s="17">
        <f t="shared" si="13"/>
        <v>0.03</v>
      </c>
      <c r="X52" s="17">
        <f t="shared" si="13"/>
        <v>0.03</v>
      </c>
      <c r="Y52" s="17">
        <f t="shared" si="13"/>
        <v>0.03</v>
      </c>
      <c r="Z52" s="17">
        <f t="shared" si="13"/>
        <v>0.03</v>
      </c>
      <c r="AA52" s="17">
        <f t="shared" si="13"/>
        <v>0.03</v>
      </c>
      <c r="AB52" s="17">
        <f t="shared" si="13"/>
        <v>0.03</v>
      </c>
      <c r="AC52" s="17">
        <f t="shared" si="13"/>
        <v>0.03</v>
      </c>
      <c r="AD52" s="17">
        <f t="shared" si="13"/>
        <v>0.03</v>
      </c>
      <c r="AE52" s="17">
        <f t="shared" si="13"/>
        <v>0.03</v>
      </c>
    </row>
    <row r="53" spans="1:31" x14ac:dyDescent="0.35">
      <c r="A53" s="1" t="s">
        <v>255</v>
      </c>
      <c r="B53" s="30">
        <f>B52*B51</f>
        <v>276.47058823529414</v>
      </c>
      <c r="C53" s="30">
        <f>C52*C51</f>
        <v>554.54530219146488</v>
      </c>
      <c r="D53" s="30">
        <f t="shared" ref="D53:AS53" si="14">D52*D51</f>
        <v>834.37119666241654</v>
      </c>
      <c r="E53" s="30">
        <f t="shared" si="14"/>
        <v>1116.0969789090855</v>
      </c>
      <c r="F53" s="30">
        <f t="shared" si="14"/>
        <v>1399.8730915152018</v>
      </c>
      <c r="G53" s="30">
        <f t="shared" si="14"/>
        <v>1685.8517965471094</v>
      </c>
      <c r="H53" s="30">
        <f t="shared" si="14"/>
        <v>1974.187261066495</v>
      </c>
      <c r="I53" s="30">
        <f t="shared" si="14"/>
        <v>2265.0356440458054</v>
      </c>
      <c r="J53" s="30">
        <f t="shared" si="14"/>
        <v>2558.5551847370994</v>
      </c>
      <c r="K53" s="30">
        <f t="shared" si="14"/>
        <v>2854.9062925460626</v>
      </c>
      <c r="L53" s="30">
        <f t="shared" si="14"/>
        <v>3154.2516384639657</v>
      </c>
      <c r="M53" s="30">
        <f t="shared" si="14"/>
        <v>3456.7562481113619</v>
      </c>
      <c r="N53" s="30">
        <f t="shared" si="14"/>
        <v>3762.5875964484471</v>
      </c>
      <c r="O53" s="30">
        <f t="shared" si="14"/>
        <v>4071.9157042080997</v>
      </c>
      <c r="P53" s="30">
        <f t="shared" si="14"/>
        <v>4384.9132361087895</v>
      </c>
      <c r="Q53" s="30">
        <f t="shared" si="14"/>
        <v>4701.755600905728</v>
      </c>
      <c r="R53" s="30">
        <f t="shared" si="14"/>
        <v>5022.6210533398535</v>
      </c>
      <c r="S53" s="30">
        <f t="shared" si="14"/>
        <v>5347.6907980455253</v>
      </c>
      <c r="T53" s="30">
        <f t="shared" si="14"/>
        <v>5677.1490954790643</v>
      </c>
      <c r="U53" s="30">
        <f t="shared" si="14"/>
        <v>6011.1833699316594</v>
      </c>
      <c r="V53" s="30">
        <f t="shared" si="14"/>
        <v>6349.9843196914981</v>
      </c>
      <c r="W53" s="30">
        <f t="shared" si="14"/>
        <v>6693.7460294214015</v>
      </c>
      <c r="X53" s="30">
        <f t="shared" si="14"/>
        <v>7042.6660848197289</v>
      </c>
      <c r="Y53" s="30">
        <f t="shared" si="14"/>
        <v>7396.9456896337524</v>
      </c>
      <c r="Z53" s="30">
        <f t="shared" si="14"/>
        <v>7756.7897850963209</v>
      </c>
      <c r="AA53" s="30">
        <f t="shared" si="14"/>
        <v>8122.4071718581426</v>
      </c>
      <c r="AB53" s="30">
        <f t="shared" si="14"/>
        <v>8494.0106344896885</v>
      </c>
      <c r="AC53" s="30">
        <f t="shared" si="14"/>
        <v>8871.8170686283775</v>
      </c>
      <c r="AD53" s="30">
        <f t="shared" si="14"/>
        <v>9256.0476108484072</v>
      </c>
      <c r="AE53" s="30">
        <f t="shared" si="14"/>
        <v>9646.9277713323991</v>
      </c>
    </row>
    <row r="54" spans="1:31" x14ac:dyDescent="0.35">
      <c r="A54" s="1" t="s">
        <v>225</v>
      </c>
      <c r="B54" s="30">
        <f>B53*$B$27</f>
        <v>42.300000000000004</v>
      </c>
      <c r="C54" s="30">
        <f>C53*$B$27</f>
        <v>84.845431235294129</v>
      </c>
      <c r="D54" s="30">
        <f t="shared" ref="D54:AS54" si="15">D53*$B$27</f>
        <v>127.65879308934973</v>
      </c>
      <c r="E54" s="30">
        <f t="shared" si="15"/>
        <v>170.76283777309007</v>
      </c>
      <c r="F54" s="30">
        <f t="shared" si="15"/>
        <v>214.18058300182588</v>
      </c>
      <c r="G54" s="30">
        <f t="shared" si="15"/>
        <v>257.93532487170773</v>
      </c>
      <c r="H54" s="30">
        <f t="shared" si="15"/>
        <v>302.05065094317371</v>
      </c>
      <c r="I54" s="30">
        <f t="shared" si="15"/>
        <v>346.55045353900823</v>
      </c>
      <c r="J54" s="30">
        <f t="shared" si="15"/>
        <v>391.45894326477617</v>
      </c>
      <c r="K54" s="30">
        <f t="shared" si="15"/>
        <v>436.80066275954755</v>
      </c>
      <c r="L54" s="30">
        <f t="shared" si="15"/>
        <v>482.60050068498674</v>
      </c>
      <c r="M54" s="30">
        <f t="shared" si="15"/>
        <v>528.88370596103834</v>
      </c>
      <c r="N54" s="30">
        <f t="shared" si="15"/>
        <v>575.6759022566124</v>
      </c>
      <c r="O54" s="30">
        <f t="shared" si="15"/>
        <v>623.00310274383924</v>
      </c>
      <c r="P54" s="30">
        <f t="shared" si="15"/>
        <v>670.89172512464484</v>
      </c>
      <c r="Q54" s="30">
        <f t="shared" si="15"/>
        <v>719.36860693857636</v>
      </c>
      <c r="R54" s="30">
        <f t="shared" si="15"/>
        <v>768.46102116099757</v>
      </c>
      <c r="S54" s="30">
        <f t="shared" si="15"/>
        <v>818.19669210096538</v>
      </c>
      <c r="T54" s="30">
        <f t="shared" si="15"/>
        <v>868.60381160829684</v>
      </c>
      <c r="U54" s="30">
        <f t="shared" si="15"/>
        <v>919.7110555995439</v>
      </c>
      <c r="V54" s="30">
        <f t="shared" si="15"/>
        <v>971.54760091279923</v>
      </c>
      <c r="W54" s="30">
        <f t="shared" si="15"/>
        <v>1024.1431425014744</v>
      </c>
      <c r="X54" s="30">
        <f t="shared" si="15"/>
        <v>1077.5279109774185</v>
      </c>
      <c r="Y54" s="30">
        <f t="shared" si="15"/>
        <v>1131.7326905139641</v>
      </c>
      <c r="Z54" s="30">
        <f t="shared" si="15"/>
        <v>1186.7888371197371</v>
      </c>
      <c r="AA54" s="30">
        <f t="shared" si="15"/>
        <v>1242.7282972942958</v>
      </c>
      <c r="AB54" s="30">
        <f t="shared" si="15"/>
        <v>1299.5836270769223</v>
      </c>
      <c r="AC54" s="30">
        <f t="shared" si="15"/>
        <v>1357.3880115001418</v>
      </c>
      <c r="AD54" s="30">
        <f t="shared" si="15"/>
        <v>1416.1752844598063</v>
      </c>
      <c r="AE54" s="30">
        <f t="shared" si="15"/>
        <v>1475.9799490138571</v>
      </c>
    </row>
    <row r="55" spans="1:31" x14ac:dyDescent="0.35">
      <c r="A55" s="1" t="s">
        <v>269</v>
      </c>
      <c r="B55" s="31">
        <f>B51+(B53-B54)</f>
        <v>9449.8568627450986</v>
      </c>
      <c r="C55" s="31">
        <f>C51+(C53-C54)</f>
        <v>18954.543277338333</v>
      </c>
      <c r="D55" s="31">
        <f t="shared" ref="D55:AS55" si="16">D51+(D53-D54)</f>
        <v>28519.085625653621</v>
      </c>
      <c r="E55" s="31">
        <f t="shared" si="16"/>
        <v>38148.566771438847</v>
      </c>
      <c r="F55" s="31">
        <f t="shared" si="16"/>
        <v>47848.128892353438</v>
      </c>
      <c r="G55" s="31">
        <f t="shared" si="16"/>
        <v>57622.976356579049</v>
      </c>
      <c r="H55" s="31">
        <f t="shared" si="16"/>
        <v>67478.378645673147</v>
      </c>
      <c r="I55" s="31">
        <f t="shared" si="16"/>
        <v>77419.673325366981</v>
      </c>
      <c r="J55" s="31">
        <f t="shared" si="16"/>
        <v>87452.269066042296</v>
      </c>
      <c r="K55" s="31">
        <f t="shared" si="16"/>
        <v>97581.648714655268</v>
      </c>
      <c r="L55" s="31">
        <f t="shared" si="16"/>
        <v>107813.37241991116</v>
      </c>
      <c r="M55" s="31">
        <f t="shared" si="16"/>
        <v>118153.08081252905</v>
      </c>
      <c r="N55" s="31">
        <f t="shared" si="16"/>
        <v>128606.4982424734</v>
      </c>
      <c r="O55" s="31">
        <f t="shared" si="16"/>
        <v>139179.43607506758</v>
      </c>
      <c r="P55" s="31">
        <f t="shared" si="16"/>
        <v>149877.79604794379</v>
      </c>
      <c r="Q55" s="31">
        <f t="shared" si="16"/>
        <v>160707.57369082473</v>
      </c>
      <c r="R55" s="31">
        <f t="shared" si="16"/>
        <v>171674.86181017398</v>
      </c>
      <c r="S55" s="31">
        <f t="shared" si="16"/>
        <v>182785.85404079541</v>
      </c>
      <c r="T55" s="31">
        <f t="shared" si="16"/>
        <v>194046.84846650626</v>
      </c>
      <c r="U55" s="31">
        <f t="shared" si="16"/>
        <v>205464.25131205411</v>
      </c>
      <c r="V55" s="31">
        <f t="shared" si="16"/>
        <v>217044.58070849528</v>
      </c>
      <c r="W55" s="31">
        <f t="shared" si="16"/>
        <v>228794.4705343</v>
      </c>
      <c r="X55" s="31">
        <f t="shared" si="16"/>
        <v>240720.67433449996</v>
      </c>
      <c r="Y55" s="31">
        <f t="shared" si="16"/>
        <v>252830.06932024489</v>
      </c>
      <c r="Z55" s="31">
        <f t="shared" si="16"/>
        <v>265129.66045118729</v>
      </c>
      <c r="AA55" s="31">
        <f t="shared" si="16"/>
        <v>277626.58460316859</v>
      </c>
      <c r="AB55" s="31">
        <f t="shared" si="16"/>
        <v>290328.11482373573</v>
      </c>
      <c r="AC55" s="31">
        <f t="shared" si="16"/>
        <v>303241.66467807419</v>
      </c>
      <c r="AD55" s="31">
        <f t="shared" si="16"/>
        <v>316374.79268800217</v>
      </c>
      <c r="AE55" s="31">
        <f t="shared" si="16"/>
        <v>329735.20686673187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6127D-5E40-4648-A60A-A6A825C4F357}">
  <sheetPr>
    <tabColor theme="8" tint="0.79998168889431442"/>
  </sheetPr>
  <dimension ref="A1:AT29"/>
  <sheetViews>
    <sheetView topLeftCell="A4" zoomScale="101" workbookViewId="0">
      <selection activeCell="B17" sqref="B17"/>
    </sheetView>
  </sheetViews>
  <sheetFormatPr defaultColWidth="9.1796875" defaultRowHeight="14.5" x14ac:dyDescent="0.35"/>
  <cols>
    <col min="1" max="1" width="30" style="1" bestFit="1" customWidth="1"/>
    <col min="2" max="2" width="31.26953125" style="1" bestFit="1" customWidth="1"/>
    <col min="3" max="3" width="16.81640625" style="1" bestFit="1" customWidth="1"/>
    <col min="4" max="46" width="12" style="1" bestFit="1" customWidth="1"/>
    <col min="47" max="16384" width="9.1796875" style="1"/>
  </cols>
  <sheetData>
    <row r="1" spans="1:46" x14ac:dyDescent="0.3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row>
    <row r="2" spans="1:46" x14ac:dyDescent="0.35">
      <c r="A2" s="1" t="s">
        <v>178</v>
      </c>
      <c r="B2" s="32" cm="1">
        <f t="array" ref="B2:AE2">TRANSPOSE(Income!O3:O32)</f>
        <v>70751.96078431372</v>
      </c>
      <c r="C2" s="32">
        <v>71459.480392156853</v>
      </c>
      <c r="D2" s="32">
        <v>72174.075196078426</v>
      </c>
      <c r="E2" s="32">
        <v>75958.294760039207</v>
      </c>
      <c r="F2" s="32">
        <v>76717.877707639593</v>
      </c>
      <c r="G2" s="32">
        <v>77485.056484715984</v>
      </c>
      <c r="H2" s="32">
        <v>78259.907049563146</v>
      </c>
      <c r="I2" s="32">
        <v>82690.140200491136</v>
      </c>
      <c r="J2" s="32">
        <v>83517.041602496043</v>
      </c>
      <c r="K2" s="32">
        <v>84352.212018521008</v>
      </c>
      <c r="L2" s="32">
        <v>85195.734138706219</v>
      </c>
      <c r="M2" s="32">
        <v>86047.691480093286</v>
      </c>
      <c r="N2" s="32">
        <v>86908.168394894223</v>
      </c>
      <c r="O2" s="32">
        <v>87777.250078843164</v>
      </c>
      <c r="P2" s="32">
        <v>88655.022579631594</v>
      </c>
      <c r="Q2" s="32">
        <v>89541.572805427917</v>
      </c>
      <c r="R2" s="32">
        <v>90436.988533482203</v>
      </c>
      <c r="S2" s="32">
        <v>91341.358418817021</v>
      </c>
      <c r="T2" s="32">
        <v>92254.772003005186</v>
      </c>
      <c r="U2" s="32">
        <v>93177.319723035238</v>
      </c>
      <c r="V2" s="32">
        <v>99777.805781799863</v>
      </c>
      <c r="W2" s="32">
        <v>100775.58383961786</v>
      </c>
      <c r="X2" s="32">
        <v>101783.33967801403</v>
      </c>
      <c r="Y2" s="32">
        <v>102801.17307479418</v>
      </c>
      <c r="Z2" s="32">
        <v>103829.18480554211</v>
      </c>
      <c r="AA2" s="32">
        <v>104867.47665359754</v>
      </c>
      <c r="AB2" s="32">
        <v>105916.15142013351</v>
      </c>
      <c r="AC2" s="32">
        <v>106975.31293433484</v>
      </c>
      <c r="AD2" s="32">
        <v>108045.06606367818</v>
      </c>
      <c r="AE2" s="32">
        <v>109125.51672431496</v>
      </c>
    </row>
    <row r="3" spans="1:46" x14ac:dyDescent="0.35">
      <c r="A3" s="1" t="s">
        <v>180</v>
      </c>
      <c r="B3" s="17">
        <f>'Salary Variables'!$C$12</f>
        <v>0.05</v>
      </c>
      <c r="C3" s="17">
        <f>'Salary Variables'!$C$12</f>
        <v>0.05</v>
      </c>
      <c r="D3" s="17">
        <f>'Salary Variables'!$C$12</f>
        <v>0.05</v>
      </c>
      <c r="E3" s="17">
        <f>'Salary Variables'!$C$12</f>
        <v>0.05</v>
      </c>
      <c r="F3" s="17">
        <f>'Salary Variables'!$C$12</f>
        <v>0.05</v>
      </c>
      <c r="G3" s="17">
        <f>'Salary Variables'!$C$12</f>
        <v>0.05</v>
      </c>
      <c r="H3" s="17">
        <f>'Salary Variables'!$C$12</f>
        <v>0.05</v>
      </c>
      <c r="I3" s="17">
        <f>'Salary Variables'!$C$12</f>
        <v>0.05</v>
      </c>
      <c r="J3" s="17">
        <f>'Salary Variables'!$C$12</f>
        <v>0.05</v>
      </c>
      <c r="K3" s="17">
        <f>'Salary Variables'!$C$12</f>
        <v>0.05</v>
      </c>
      <c r="L3" s="17">
        <f>'Salary Variables'!$C$12</f>
        <v>0.05</v>
      </c>
      <c r="M3" s="17">
        <f>'Salary Variables'!$C$12</f>
        <v>0.05</v>
      </c>
      <c r="N3" s="17">
        <f>'Salary Variables'!$C$12</f>
        <v>0.05</v>
      </c>
      <c r="O3" s="17">
        <f>'Salary Variables'!$C$12</f>
        <v>0.05</v>
      </c>
      <c r="P3" s="17">
        <f>'Salary Variables'!$C$12</f>
        <v>0.05</v>
      </c>
      <c r="Q3" s="17">
        <f>'Salary Variables'!$C$12</f>
        <v>0.05</v>
      </c>
      <c r="R3" s="17">
        <f>'Salary Variables'!$C$12</f>
        <v>0.05</v>
      </c>
      <c r="S3" s="17">
        <f>'Salary Variables'!$C$12</f>
        <v>0.05</v>
      </c>
      <c r="T3" s="17">
        <f>'Salary Variables'!$C$12</f>
        <v>0.05</v>
      </c>
      <c r="U3" s="17">
        <f>'Salary Variables'!$C$12</f>
        <v>0.05</v>
      </c>
      <c r="V3" s="17">
        <f>'Salary Variables'!$C$12</f>
        <v>0.05</v>
      </c>
      <c r="W3" s="17">
        <f>'Salary Variables'!$C$12</f>
        <v>0.05</v>
      </c>
      <c r="X3" s="17">
        <f>'Salary Variables'!$C$12</f>
        <v>0.05</v>
      </c>
      <c r="Y3" s="17">
        <f>'Salary Variables'!$C$12</f>
        <v>0.05</v>
      </c>
      <c r="Z3" s="17">
        <f>'Salary Variables'!$C$12</f>
        <v>0.05</v>
      </c>
      <c r="AA3" s="17">
        <f>'Salary Variables'!$C$12</f>
        <v>0.05</v>
      </c>
      <c r="AB3" s="17">
        <f>'Salary Variables'!$C$12</f>
        <v>0.05</v>
      </c>
      <c r="AC3" s="17">
        <f>'Salary Variables'!$C$12</f>
        <v>0.05</v>
      </c>
      <c r="AD3" s="17">
        <f>'Salary Variables'!$C$12</f>
        <v>0.05</v>
      </c>
      <c r="AE3" s="17">
        <f>'Salary Variables'!$C$12</f>
        <v>0.05</v>
      </c>
      <c r="AF3" s="17">
        <f>'Salary Variables'!$C$12</f>
        <v>0.05</v>
      </c>
      <c r="AG3" s="17">
        <f>'Salary Variables'!$C$12</f>
        <v>0.05</v>
      </c>
      <c r="AH3" s="17">
        <f>'Salary Variables'!$C$12</f>
        <v>0.05</v>
      </c>
      <c r="AI3" s="17">
        <f>'Salary Variables'!$C$12</f>
        <v>0.05</v>
      </c>
      <c r="AJ3" s="17">
        <f>'Salary Variables'!$C$12</f>
        <v>0.05</v>
      </c>
      <c r="AK3" s="17">
        <f>'Salary Variables'!$C$12</f>
        <v>0.05</v>
      </c>
      <c r="AL3" s="17">
        <f>'Salary Variables'!$C$12</f>
        <v>0.05</v>
      </c>
      <c r="AM3" s="17">
        <f>'Salary Variables'!$C$12</f>
        <v>0.05</v>
      </c>
      <c r="AN3" s="17">
        <f>'Salary Variables'!$C$12</f>
        <v>0.05</v>
      </c>
      <c r="AO3" s="17">
        <f>'Salary Variables'!$C$12</f>
        <v>0.05</v>
      </c>
      <c r="AP3" s="17">
        <f>'Salary Variables'!$C$12</f>
        <v>0.05</v>
      </c>
      <c r="AQ3" s="17">
        <f>'Salary Variables'!$C$12</f>
        <v>0.05</v>
      </c>
      <c r="AR3" s="17">
        <f>'Salary Variables'!$C$12</f>
        <v>0.05</v>
      </c>
      <c r="AS3" s="17">
        <f>'Salary Variables'!$C$12</f>
        <v>0.05</v>
      </c>
      <c r="AT3" s="17">
        <f>'Salary Variables'!$C$12</f>
        <v>0.05</v>
      </c>
    </row>
    <row r="4" spans="1:46" x14ac:dyDescent="0.35">
      <c r="A4" s="1" t="s">
        <v>179</v>
      </c>
      <c r="B4" s="32">
        <f>B3*B2</f>
        <v>3537.5980392156862</v>
      </c>
      <c r="C4" s="32">
        <f t="shared" ref="C4:AT4" si="0">C3*C2</f>
        <v>3572.9740196078428</v>
      </c>
      <c r="D4" s="32">
        <f t="shared" si="0"/>
        <v>3608.7037598039215</v>
      </c>
      <c r="E4" s="32">
        <f t="shared" si="0"/>
        <v>3797.9147380019604</v>
      </c>
      <c r="F4" s="32">
        <f t="shared" si="0"/>
        <v>3835.89388538198</v>
      </c>
      <c r="G4" s="32">
        <f t="shared" si="0"/>
        <v>3874.2528242357994</v>
      </c>
      <c r="H4" s="32">
        <f t="shared" si="0"/>
        <v>3912.9953524781577</v>
      </c>
      <c r="I4" s="32">
        <f t="shared" si="0"/>
        <v>4134.5070100245566</v>
      </c>
      <c r="J4" s="32">
        <f t="shared" si="0"/>
        <v>4175.8520801248023</v>
      </c>
      <c r="K4" s="32">
        <f t="shared" si="0"/>
        <v>4217.6106009260502</v>
      </c>
      <c r="L4" s="32">
        <f t="shared" si="0"/>
        <v>4259.7867069353115</v>
      </c>
      <c r="M4" s="32">
        <f t="shared" si="0"/>
        <v>4302.3845740046645</v>
      </c>
      <c r="N4" s="32">
        <f t="shared" si="0"/>
        <v>4345.408419744711</v>
      </c>
      <c r="O4" s="32">
        <f t="shared" si="0"/>
        <v>4388.8625039421586</v>
      </c>
      <c r="P4" s="32">
        <f t="shared" si="0"/>
        <v>4432.7511289815802</v>
      </c>
      <c r="Q4" s="32">
        <f t="shared" si="0"/>
        <v>4477.0786402713957</v>
      </c>
      <c r="R4" s="32">
        <f t="shared" si="0"/>
        <v>4521.84942667411</v>
      </c>
      <c r="S4" s="32">
        <f t="shared" si="0"/>
        <v>4567.0679209408509</v>
      </c>
      <c r="T4" s="32">
        <f t="shared" si="0"/>
        <v>4612.7386001502591</v>
      </c>
      <c r="U4" s="32">
        <f t="shared" si="0"/>
        <v>4658.8659861517617</v>
      </c>
      <c r="V4" s="32">
        <f t="shared" si="0"/>
        <v>4988.8902890899935</v>
      </c>
      <c r="W4" s="32">
        <f t="shared" si="0"/>
        <v>5038.7791919808933</v>
      </c>
      <c r="X4" s="32">
        <f t="shared" si="0"/>
        <v>5089.1669839007018</v>
      </c>
      <c r="Y4" s="32">
        <f t="shared" si="0"/>
        <v>5140.0586537397094</v>
      </c>
      <c r="Z4" s="32">
        <f t="shared" si="0"/>
        <v>5191.4592402771059</v>
      </c>
      <c r="AA4" s="32">
        <f t="shared" si="0"/>
        <v>5243.3738326798775</v>
      </c>
      <c r="AB4" s="32">
        <f t="shared" si="0"/>
        <v>5295.807571006676</v>
      </c>
      <c r="AC4" s="32">
        <f t="shared" si="0"/>
        <v>5348.7656467167426</v>
      </c>
      <c r="AD4" s="32">
        <f t="shared" si="0"/>
        <v>5402.2533031839093</v>
      </c>
      <c r="AE4" s="32">
        <f t="shared" si="0"/>
        <v>5456.2758362157483</v>
      </c>
      <c r="AF4" s="32">
        <f t="shared" si="0"/>
        <v>0</v>
      </c>
      <c r="AG4" s="32">
        <f t="shared" si="0"/>
        <v>0</v>
      </c>
      <c r="AH4" s="32">
        <f t="shared" si="0"/>
        <v>0</v>
      </c>
      <c r="AI4" s="32">
        <f t="shared" si="0"/>
        <v>0</v>
      </c>
      <c r="AJ4" s="32">
        <f t="shared" si="0"/>
        <v>0</v>
      </c>
      <c r="AK4" s="32">
        <f t="shared" si="0"/>
        <v>0</v>
      </c>
      <c r="AL4" s="32">
        <f t="shared" si="0"/>
        <v>0</v>
      </c>
      <c r="AM4" s="32">
        <f t="shared" si="0"/>
        <v>0</v>
      </c>
      <c r="AN4" s="32">
        <f t="shared" si="0"/>
        <v>0</v>
      </c>
      <c r="AO4" s="32">
        <f t="shared" si="0"/>
        <v>0</v>
      </c>
      <c r="AP4" s="32">
        <f t="shared" si="0"/>
        <v>0</v>
      </c>
      <c r="AQ4" s="32">
        <f t="shared" si="0"/>
        <v>0</v>
      </c>
      <c r="AR4" s="32">
        <f t="shared" si="0"/>
        <v>0</v>
      </c>
      <c r="AS4" s="32">
        <f t="shared" si="0"/>
        <v>0</v>
      </c>
      <c r="AT4" s="32">
        <f t="shared" si="0"/>
        <v>0</v>
      </c>
    </row>
    <row r="5" spans="1:46" x14ac:dyDescent="0.35">
      <c r="A5" s="1" t="s">
        <v>217</v>
      </c>
      <c r="B5" s="17">
        <f>'Salary Variables'!$C$13</f>
        <v>0.1</v>
      </c>
      <c r="C5" s="17">
        <f>'Salary Variables'!$C$13</f>
        <v>0.1</v>
      </c>
      <c r="D5" s="17">
        <f>'Salary Variables'!$C$13</f>
        <v>0.1</v>
      </c>
      <c r="E5" s="17">
        <f>'Salary Variables'!$C$13</f>
        <v>0.1</v>
      </c>
      <c r="F5" s="17">
        <f>'Salary Variables'!$C$13</f>
        <v>0.1</v>
      </c>
      <c r="G5" s="17">
        <f>'Salary Variables'!$C$13</f>
        <v>0.1</v>
      </c>
      <c r="H5" s="17">
        <f>'Salary Variables'!$C$13</f>
        <v>0.1</v>
      </c>
      <c r="I5" s="17">
        <f>'Salary Variables'!$C$13</f>
        <v>0.1</v>
      </c>
      <c r="J5" s="17">
        <f>'Salary Variables'!$C$13</f>
        <v>0.1</v>
      </c>
      <c r="K5" s="17">
        <f>'Salary Variables'!$C$13</f>
        <v>0.1</v>
      </c>
      <c r="L5" s="17">
        <f>'Salary Variables'!$C$13</f>
        <v>0.1</v>
      </c>
      <c r="M5" s="17">
        <f>'Salary Variables'!$C$13</f>
        <v>0.1</v>
      </c>
      <c r="N5" s="17">
        <f>'Salary Variables'!$C$13</f>
        <v>0.1</v>
      </c>
      <c r="O5" s="17">
        <f>'Salary Variables'!$C$13</f>
        <v>0.1</v>
      </c>
      <c r="P5" s="17">
        <f>'Salary Variables'!$C$13</f>
        <v>0.1</v>
      </c>
      <c r="Q5" s="17">
        <f>'Salary Variables'!$C$13</f>
        <v>0.1</v>
      </c>
      <c r="R5" s="17">
        <f>'Salary Variables'!$C$13</f>
        <v>0.1</v>
      </c>
      <c r="S5" s="17">
        <f>'Salary Variables'!$C$13</f>
        <v>0.1</v>
      </c>
      <c r="T5" s="17">
        <f>'Salary Variables'!$C$13</f>
        <v>0.1</v>
      </c>
      <c r="U5" s="17">
        <f>'Salary Variables'!$C$13</f>
        <v>0.1</v>
      </c>
      <c r="V5" s="17">
        <f>'Salary Variables'!$C$13</f>
        <v>0.1</v>
      </c>
      <c r="W5" s="17">
        <f>'Salary Variables'!$C$13</f>
        <v>0.1</v>
      </c>
      <c r="X5" s="17">
        <f>'Salary Variables'!$C$13</f>
        <v>0.1</v>
      </c>
      <c r="Y5" s="17">
        <f>'Salary Variables'!$C$13</f>
        <v>0.1</v>
      </c>
      <c r="Z5" s="17">
        <f>'Salary Variables'!$C$13</f>
        <v>0.1</v>
      </c>
      <c r="AA5" s="17">
        <f>'Salary Variables'!$C$13</f>
        <v>0.1</v>
      </c>
      <c r="AB5" s="17">
        <f>'Salary Variables'!$C$13</f>
        <v>0.1</v>
      </c>
      <c r="AC5" s="17">
        <f>'Salary Variables'!$C$13</f>
        <v>0.1</v>
      </c>
      <c r="AD5" s="17">
        <f>'Salary Variables'!$C$13</f>
        <v>0.1</v>
      </c>
      <c r="AE5" s="17">
        <f>'Salary Variables'!$C$13</f>
        <v>0.1</v>
      </c>
      <c r="AF5" s="17">
        <f>'Salary Variables'!$C$13</f>
        <v>0.1</v>
      </c>
      <c r="AG5" s="17">
        <f>'Salary Variables'!$C$13</f>
        <v>0.1</v>
      </c>
      <c r="AH5" s="17">
        <f>'Salary Variables'!$C$13</f>
        <v>0.1</v>
      </c>
      <c r="AI5" s="17">
        <f>'Salary Variables'!$C$13</f>
        <v>0.1</v>
      </c>
      <c r="AJ5" s="17">
        <f>'Salary Variables'!$C$13</f>
        <v>0.1</v>
      </c>
      <c r="AK5" s="17">
        <f>'Salary Variables'!$C$13</f>
        <v>0.1</v>
      </c>
      <c r="AL5" s="17">
        <f>'Salary Variables'!$C$13</f>
        <v>0.1</v>
      </c>
      <c r="AM5" s="17">
        <f>'Salary Variables'!$C$13</f>
        <v>0.1</v>
      </c>
      <c r="AN5" s="17">
        <f>'Salary Variables'!$C$13</f>
        <v>0.1</v>
      </c>
      <c r="AO5" s="17">
        <f>'Salary Variables'!$C$13</f>
        <v>0.1</v>
      </c>
      <c r="AP5" s="17">
        <f>'Salary Variables'!$C$13</f>
        <v>0.1</v>
      </c>
      <c r="AQ5" s="17">
        <f>'Salary Variables'!$C$13</f>
        <v>0.1</v>
      </c>
      <c r="AR5" s="17">
        <f>'Salary Variables'!$C$13</f>
        <v>0.1</v>
      </c>
      <c r="AS5" s="17">
        <f>'Salary Variables'!$C$13</f>
        <v>0.1</v>
      </c>
      <c r="AT5" s="17">
        <f>'Salary Variables'!$C$13</f>
        <v>0.1</v>
      </c>
    </row>
    <row r="6" spans="1:46" x14ac:dyDescent="0.35">
      <c r="A6" s="1" t="s">
        <v>181</v>
      </c>
      <c r="B6" s="32">
        <f>B2*B5</f>
        <v>7075.1960784313724</v>
      </c>
      <c r="C6" s="32">
        <f t="shared" ref="C6:AT6" si="1">C4*2</f>
        <v>7145.9480392156856</v>
      </c>
      <c r="D6" s="32">
        <f t="shared" si="1"/>
        <v>7217.4075196078429</v>
      </c>
      <c r="E6" s="32">
        <f t="shared" si="1"/>
        <v>7595.8294760039207</v>
      </c>
      <c r="F6" s="32">
        <f t="shared" si="1"/>
        <v>7671.78777076396</v>
      </c>
      <c r="G6" s="32">
        <f t="shared" si="1"/>
        <v>7748.5056484715988</v>
      </c>
      <c r="H6" s="32">
        <f t="shared" si="1"/>
        <v>7825.9907049563153</v>
      </c>
      <c r="I6" s="32">
        <f t="shared" si="1"/>
        <v>8269.0140200491132</v>
      </c>
      <c r="J6" s="32">
        <f t="shared" si="1"/>
        <v>8351.7041602496047</v>
      </c>
      <c r="K6" s="32">
        <f t="shared" si="1"/>
        <v>8435.2212018521004</v>
      </c>
      <c r="L6" s="32">
        <f t="shared" si="1"/>
        <v>8519.573413870623</v>
      </c>
      <c r="M6" s="32">
        <f t="shared" si="1"/>
        <v>8604.769148009329</v>
      </c>
      <c r="N6" s="32">
        <f t="shared" si="1"/>
        <v>8690.8168394894219</v>
      </c>
      <c r="O6" s="32">
        <f t="shared" si="1"/>
        <v>8777.7250078843172</v>
      </c>
      <c r="P6" s="32">
        <f t="shared" si="1"/>
        <v>8865.5022579631604</v>
      </c>
      <c r="Q6" s="32">
        <f t="shared" si="1"/>
        <v>8954.1572805427913</v>
      </c>
      <c r="R6" s="32">
        <f t="shared" si="1"/>
        <v>9043.6988533482199</v>
      </c>
      <c r="S6" s="32">
        <f t="shared" si="1"/>
        <v>9134.1358418817017</v>
      </c>
      <c r="T6" s="32">
        <f t="shared" si="1"/>
        <v>9225.4772003005182</v>
      </c>
      <c r="U6" s="32">
        <f t="shared" si="1"/>
        <v>9317.7319723035234</v>
      </c>
      <c r="V6" s="32">
        <f t="shared" si="1"/>
        <v>9977.7805781799871</v>
      </c>
      <c r="W6" s="32">
        <f t="shared" si="1"/>
        <v>10077.558383961787</v>
      </c>
      <c r="X6" s="32">
        <f t="shared" si="1"/>
        <v>10178.333967801404</v>
      </c>
      <c r="Y6" s="32">
        <f t="shared" si="1"/>
        <v>10280.117307479419</v>
      </c>
      <c r="Z6" s="32">
        <f t="shared" si="1"/>
        <v>10382.918480554212</v>
      </c>
      <c r="AA6" s="32">
        <f t="shared" si="1"/>
        <v>10486.747665359755</v>
      </c>
      <c r="AB6" s="32">
        <f t="shared" si="1"/>
        <v>10591.615142013352</v>
      </c>
      <c r="AC6" s="32">
        <f t="shared" si="1"/>
        <v>10697.531293433485</v>
      </c>
      <c r="AD6" s="32">
        <f t="shared" si="1"/>
        <v>10804.506606367819</v>
      </c>
      <c r="AE6" s="32">
        <f t="shared" si="1"/>
        <v>10912.551672431497</v>
      </c>
      <c r="AF6" s="32">
        <f t="shared" si="1"/>
        <v>0</v>
      </c>
      <c r="AG6" s="32">
        <f t="shared" si="1"/>
        <v>0</v>
      </c>
      <c r="AH6" s="32">
        <f t="shared" si="1"/>
        <v>0</v>
      </c>
      <c r="AI6" s="32">
        <f t="shared" si="1"/>
        <v>0</v>
      </c>
      <c r="AJ6" s="32">
        <f t="shared" si="1"/>
        <v>0</v>
      </c>
      <c r="AK6" s="32">
        <f t="shared" si="1"/>
        <v>0</v>
      </c>
      <c r="AL6" s="32">
        <f t="shared" si="1"/>
        <v>0</v>
      </c>
      <c r="AM6" s="32">
        <f t="shared" si="1"/>
        <v>0</v>
      </c>
      <c r="AN6" s="32">
        <f t="shared" si="1"/>
        <v>0</v>
      </c>
      <c r="AO6" s="32">
        <f t="shared" si="1"/>
        <v>0</v>
      </c>
      <c r="AP6" s="32">
        <f t="shared" si="1"/>
        <v>0</v>
      </c>
      <c r="AQ6" s="32">
        <f t="shared" si="1"/>
        <v>0</v>
      </c>
      <c r="AR6" s="32">
        <f t="shared" si="1"/>
        <v>0</v>
      </c>
      <c r="AS6" s="32">
        <f t="shared" si="1"/>
        <v>0</v>
      </c>
      <c r="AT6" s="32">
        <f t="shared" si="1"/>
        <v>0</v>
      </c>
    </row>
    <row r="7" spans="1:46" x14ac:dyDescent="0.35">
      <c r="A7" s="1" t="s">
        <v>182</v>
      </c>
      <c r="B7" s="33">
        <f>SUM(B6,B4)</f>
        <v>10612.794117647059</v>
      </c>
      <c r="C7" s="33">
        <f t="shared" ref="C7:AT7" si="2">SUM(C6,C4)</f>
        <v>10718.922058823529</v>
      </c>
      <c r="D7" s="33">
        <f t="shared" si="2"/>
        <v>10826.111279411765</v>
      </c>
      <c r="E7" s="33">
        <f t="shared" si="2"/>
        <v>11393.744214005881</v>
      </c>
      <c r="F7" s="33">
        <f t="shared" si="2"/>
        <v>11507.68165614594</v>
      </c>
      <c r="G7" s="33">
        <f t="shared" si="2"/>
        <v>11622.758472707399</v>
      </c>
      <c r="H7" s="33">
        <f t="shared" si="2"/>
        <v>11738.986057434473</v>
      </c>
      <c r="I7" s="33">
        <f t="shared" si="2"/>
        <v>12403.521030073669</v>
      </c>
      <c r="J7" s="33">
        <f t="shared" si="2"/>
        <v>12527.556240374408</v>
      </c>
      <c r="K7" s="33">
        <f t="shared" si="2"/>
        <v>12652.83180277815</v>
      </c>
      <c r="L7" s="33">
        <f t="shared" si="2"/>
        <v>12779.360120805934</v>
      </c>
      <c r="M7" s="33">
        <f t="shared" si="2"/>
        <v>12907.153722013994</v>
      </c>
      <c r="N7" s="33">
        <f t="shared" si="2"/>
        <v>13036.225259234132</v>
      </c>
      <c r="O7" s="33">
        <f t="shared" si="2"/>
        <v>13166.587511826476</v>
      </c>
      <c r="P7" s="33">
        <f t="shared" si="2"/>
        <v>13298.25338694474</v>
      </c>
      <c r="Q7" s="33">
        <f t="shared" si="2"/>
        <v>13431.235920814186</v>
      </c>
      <c r="R7" s="33">
        <f t="shared" si="2"/>
        <v>13565.548280022329</v>
      </c>
      <c r="S7" s="33">
        <f t="shared" si="2"/>
        <v>13701.203762822552</v>
      </c>
      <c r="T7" s="33">
        <f t="shared" si="2"/>
        <v>13838.215800450776</v>
      </c>
      <c r="U7" s="33">
        <f t="shared" si="2"/>
        <v>13976.597958455284</v>
      </c>
      <c r="V7" s="33">
        <f t="shared" si="2"/>
        <v>14966.670867269981</v>
      </c>
      <c r="W7" s="33">
        <f t="shared" si="2"/>
        <v>15116.33757594268</v>
      </c>
      <c r="X7" s="33">
        <f t="shared" si="2"/>
        <v>15267.500951702106</v>
      </c>
      <c r="Y7" s="33">
        <f t="shared" si="2"/>
        <v>15420.175961219127</v>
      </c>
      <c r="Z7" s="33">
        <f t="shared" si="2"/>
        <v>15574.377720831319</v>
      </c>
      <c r="AA7" s="33">
        <f t="shared" si="2"/>
        <v>15730.121498039633</v>
      </c>
      <c r="AB7" s="33">
        <f t="shared" si="2"/>
        <v>15887.422713020027</v>
      </c>
      <c r="AC7" s="33">
        <f t="shared" si="2"/>
        <v>16046.296940150227</v>
      </c>
      <c r="AD7" s="33">
        <f t="shared" si="2"/>
        <v>16206.759909551729</v>
      </c>
      <c r="AE7" s="33">
        <f t="shared" si="2"/>
        <v>16368.827508647246</v>
      </c>
      <c r="AF7" s="33">
        <f t="shared" si="2"/>
        <v>0</v>
      </c>
      <c r="AG7" s="33">
        <f t="shared" si="2"/>
        <v>0</v>
      </c>
      <c r="AH7" s="33">
        <f t="shared" si="2"/>
        <v>0</v>
      </c>
      <c r="AI7" s="33">
        <f t="shared" si="2"/>
        <v>0</v>
      </c>
      <c r="AJ7" s="33">
        <f t="shared" si="2"/>
        <v>0</v>
      </c>
      <c r="AK7" s="33">
        <f t="shared" si="2"/>
        <v>0</v>
      </c>
      <c r="AL7" s="33">
        <f t="shared" si="2"/>
        <v>0</v>
      </c>
      <c r="AM7" s="33">
        <f t="shared" si="2"/>
        <v>0</v>
      </c>
      <c r="AN7" s="33">
        <f t="shared" si="2"/>
        <v>0</v>
      </c>
      <c r="AO7" s="33">
        <f t="shared" si="2"/>
        <v>0</v>
      </c>
      <c r="AP7" s="33">
        <f t="shared" si="2"/>
        <v>0</v>
      </c>
      <c r="AQ7" s="33">
        <f t="shared" si="2"/>
        <v>0</v>
      </c>
      <c r="AR7" s="33">
        <f t="shared" si="2"/>
        <v>0</v>
      </c>
      <c r="AS7" s="33">
        <f t="shared" si="2"/>
        <v>0</v>
      </c>
      <c r="AT7" s="33">
        <f t="shared" si="2"/>
        <v>0</v>
      </c>
    </row>
    <row r="8" spans="1:46" x14ac:dyDescent="0.35">
      <c r="A8" s="1" t="s">
        <v>183</v>
      </c>
      <c r="B8" s="32">
        <f>B7*12</f>
        <v>127353.52941176471</v>
      </c>
      <c r="C8" s="32">
        <f t="shared" ref="C8:AT8" si="3">C7*12</f>
        <v>128627.06470588235</v>
      </c>
      <c r="D8" s="32">
        <f t="shared" si="3"/>
        <v>129913.33535294118</v>
      </c>
      <c r="E8" s="32">
        <f t="shared" si="3"/>
        <v>136724.93056807056</v>
      </c>
      <c r="F8" s="32">
        <f t="shared" si="3"/>
        <v>138092.17987375127</v>
      </c>
      <c r="G8" s="32">
        <f t="shared" si="3"/>
        <v>139473.10167248879</v>
      </c>
      <c r="H8" s="32">
        <f t="shared" si="3"/>
        <v>140867.83268921368</v>
      </c>
      <c r="I8" s="32">
        <f t="shared" si="3"/>
        <v>148842.25236088404</v>
      </c>
      <c r="J8" s="32">
        <f t="shared" si="3"/>
        <v>150330.67488449288</v>
      </c>
      <c r="K8" s="32">
        <f t="shared" si="3"/>
        <v>151833.9816333378</v>
      </c>
      <c r="L8" s="32">
        <f t="shared" si="3"/>
        <v>153352.3214496712</v>
      </c>
      <c r="M8" s="32">
        <f t="shared" si="3"/>
        <v>154885.84466416793</v>
      </c>
      <c r="N8" s="32">
        <f t="shared" si="3"/>
        <v>156434.70311080958</v>
      </c>
      <c r="O8" s="32">
        <f t="shared" si="3"/>
        <v>157999.05014191772</v>
      </c>
      <c r="P8" s="32">
        <f t="shared" si="3"/>
        <v>159579.04064333689</v>
      </c>
      <c r="Q8" s="32">
        <f t="shared" si="3"/>
        <v>161174.83104977023</v>
      </c>
      <c r="R8" s="32">
        <f t="shared" si="3"/>
        <v>162786.57936026796</v>
      </c>
      <c r="S8" s="32">
        <f t="shared" si="3"/>
        <v>164414.44515387062</v>
      </c>
      <c r="T8" s="32">
        <f t="shared" si="3"/>
        <v>166058.5896054093</v>
      </c>
      <c r="U8" s="32">
        <f t="shared" si="3"/>
        <v>167719.17550146341</v>
      </c>
      <c r="V8" s="32">
        <f t="shared" si="3"/>
        <v>179600.05040723976</v>
      </c>
      <c r="W8" s="32">
        <f t="shared" si="3"/>
        <v>181396.05091131217</v>
      </c>
      <c r="X8" s="32">
        <f t="shared" si="3"/>
        <v>183210.01142042526</v>
      </c>
      <c r="Y8" s="32">
        <f t="shared" si="3"/>
        <v>185042.11153462954</v>
      </c>
      <c r="Z8" s="32">
        <f t="shared" si="3"/>
        <v>186892.53264997582</v>
      </c>
      <c r="AA8" s="32">
        <f t="shared" si="3"/>
        <v>188761.45797647559</v>
      </c>
      <c r="AB8" s="32">
        <f t="shared" si="3"/>
        <v>190649.07255624031</v>
      </c>
      <c r="AC8" s="32">
        <f t="shared" si="3"/>
        <v>192555.56328180272</v>
      </c>
      <c r="AD8" s="32">
        <f t="shared" si="3"/>
        <v>194481.11891462075</v>
      </c>
      <c r="AE8" s="32">
        <f t="shared" si="3"/>
        <v>196425.93010376696</v>
      </c>
      <c r="AF8" s="32">
        <f t="shared" si="3"/>
        <v>0</v>
      </c>
      <c r="AG8" s="32">
        <f t="shared" si="3"/>
        <v>0</v>
      </c>
      <c r="AH8" s="32">
        <f t="shared" si="3"/>
        <v>0</v>
      </c>
      <c r="AI8" s="32">
        <f t="shared" si="3"/>
        <v>0</v>
      </c>
      <c r="AJ8" s="32">
        <f t="shared" si="3"/>
        <v>0</v>
      </c>
      <c r="AK8" s="32">
        <f t="shared" si="3"/>
        <v>0</v>
      </c>
      <c r="AL8" s="32">
        <f t="shared" si="3"/>
        <v>0</v>
      </c>
      <c r="AM8" s="32">
        <f t="shared" si="3"/>
        <v>0</v>
      </c>
      <c r="AN8" s="32">
        <f t="shared" si="3"/>
        <v>0</v>
      </c>
      <c r="AO8" s="32">
        <f t="shared" si="3"/>
        <v>0</v>
      </c>
      <c r="AP8" s="32">
        <f t="shared" si="3"/>
        <v>0</v>
      </c>
      <c r="AQ8" s="32">
        <f t="shared" si="3"/>
        <v>0</v>
      </c>
      <c r="AR8" s="32">
        <f t="shared" si="3"/>
        <v>0</v>
      </c>
      <c r="AS8" s="32">
        <f t="shared" si="3"/>
        <v>0</v>
      </c>
      <c r="AT8" s="32">
        <f t="shared" si="3"/>
        <v>0</v>
      </c>
    </row>
    <row r="12" spans="1:46" x14ac:dyDescent="0.35">
      <c r="A12" s="1" t="s">
        <v>187</v>
      </c>
      <c r="B12" s="32">
        <f>SUM(B8:AT8)</f>
        <v>4875477.3635900002</v>
      </c>
    </row>
    <row r="13" spans="1:46" x14ac:dyDescent="0.35">
      <c r="A13" s="1" t="s">
        <v>186</v>
      </c>
      <c r="B13" s="32">
        <f>B12/25</f>
        <v>195019.09454360002</v>
      </c>
      <c r="C13" s="1" t="s">
        <v>184</v>
      </c>
    </row>
    <row r="14" spans="1:46" x14ac:dyDescent="0.35">
      <c r="A14" s="1" t="s">
        <v>185</v>
      </c>
      <c r="B14" s="34">
        <f>B13/12</f>
        <v>16251.591211966668</v>
      </c>
      <c r="C14" s="1" t="s">
        <v>188</v>
      </c>
    </row>
    <row r="15" spans="1:46" x14ac:dyDescent="0.35">
      <c r="A15" s="1" t="s">
        <v>204</v>
      </c>
      <c r="B15" s="1" t="s">
        <v>206</v>
      </c>
      <c r="C15" s="1" t="s">
        <v>207</v>
      </c>
    </row>
    <row r="17" spans="1:26" x14ac:dyDescent="0.35">
      <c r="A17" s="1" t="s">
        <v>198</v>
      </c>
      <c r="B17" s="33">
        <f>SUM('Net Salary P2'!E14:AW14)</f>
        <v>255264.68906590369</v>
      </c>
      <c r="C17" s="18" t="s">
        <v>216</v>
      </c>
    </row>
    <row r="18" spans="1:26" x14ac:dyDescent="0.35">
      <c r="A18" s="1" t="s">
        <v>186</v>
      </c>
      <c r="B18" s="32">
        <f>B17/25</f>
        <v>10210.587562636147</v>
      </c>
    </row>
    <row r="19" spans="1:26" x14ac:dyDescent="0.35">
      <c r="A19" s="1" t="s">
        <v>185</v>
      </c>
      <c r="B19" s="32">
        <f>B18/12</f>
        <v>850.88229688634556</v>
      </c>
    </row>
    <row r="20" spans="1:26" x14ac:dyDescent="0.35">
      <c r="A20" s="1" t="s">
        <v>204</v>
      </c>
      <c r="B20" s="1" t="s">
        <v>205</v>
      </c>
    </row>
    <row r="21" spans="1:26" x14ac:dyDescent="0.35">
      <c r="C21" s="1" t="s">
        <v>253</v>
      </c>
      <c r="D21" s="1" t="s">
        <v>254</v>
      </c>
    </row>
    <row r="22" spans="1:26" x14ac:dyDescent="0.35">
      <c r="A22" s="1" t="s">
        <v>203</v>
      </c>
      <c r="B22" s="34">
        <f>SUM(C22:D22)</f>
        <v>12953.339</v>
      </c>
      <c r="C22" s="72">
        <v>7198</v>
      </c>
      <c r="D22" s="1">
        <f>8329*(1-30.9%)</f>
        <v>5755.3390000000009</v>
      </c>
    </row>
    <row r="23" spans="1:26" x14ac:dyDescent="0.35">
      <c r="A23" s="1" t="s">
        <v>208</v>
      </c>
      <c r="B23" s="32">
        <f>B22*12</f>
        <v>155440.068</v>
      </c>
    </row>
    <row r="24" spans="1:26" x14ac:dyDescent="0.35">
      <c r="A24" s="1" t="s">
        <v>204</v>
      </c>
      <c r="B24" s="1" t="s">
        <v>206</v>
      </c>
    </row>
    <row r="25" spans="1:26" x14ac:dyDescent="0.35">
      <c r="A25" s="1" t="s">
        <v>64</v>
      </c>
      <c r="B25" s="17">
        <f>'Salary Variables'!$C$2</f>
        <v>0.02</v>
      </c>
    </row>
    <row r="27" spans="1:26" x14ac:dyDescent="0.35">
      <c r="A27" s="1" t="s">
        <v>1</v>
      </c>
      <c r="B27" s="1">
        <v>2070</v>
      </c>
      <c r="C27" s="1">
        <v>2071</v>
      </c>
      <c r="D27" s="1">
        <v>2072</v>
      </c>
      <c r="E27" s="1">
        <v>2073</v>
      </c>
      <c r="F27" s="1">
        <v>2074</v>
      </c>
      <c r="G27" s="1">
        <v>2075</v>
      </c>
      <c r="H27" s="1">
        <v>2076</v>
      </c>
      <c r="I27" s="1">
        <v>2077</v>
      </c>
      <c r="J27" s="1">
        <v>2078</v>
      </c>
      <c r="K27" s="1">
        <v>2079</v>
      </c>
      <c r="L27" s="1">
        <v>2080</v>
      </c>
      <c r="M27" s="1">
        <v>2081</v>
      </c>
      <c r="N27" s="1">
        <v>2082</v>
      </c>
      <c r="O27" s="1">
        <v>2083</v>
      </c>
      <c r="P27" s="1">
        <v>2084</v>
      </c>
      <c r="Q27" s="1">
        <v>2085</v>
      </c>
      <c r="R27" s="1">
        <v>2086</v>
      </c>
      <c r="S27" s="1">
        <v>2087</v>
      </c>
      <c r="T27" s="1">
        <v>2088</v>
      </c>
      <c r="U27" s="1">
        <v>2089</v>
      </c>
      <c r="V27" s="1">
        <v>2090</v>
      </c>
      <c r="W27" s="1">
        <v>2091</v>
      </c>
      <c r="X27" s="1">
        <v>2092</v>
      </c>
      <c r="Y27" s="1">
        <v>2093</v>
      </c>
      <c r="Z27" s="1">
        <v>2094</v>
      </c>
    </row>
    <row r="28" spans="1:26" x14ac:dyDescent="0.35">
      <c r="B28" s="30"/>
    </row>
    <row r="29" spans="1:26" x14ac:dyDescent="0.35">
      <c r="B29" s="3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667D8-AA82-4273-AD2B-3A853F36816C}">
  <sheetPr>
    <tabColor theme="8" tint="0.79998168889431442"/>
  </sheetPr>
  <dimension ref="A1:AW39"/>
  <sheetViews>
    <sheetView topLeftCell="A8" zoomScale="50" workbookViewId="0">
      <selection activeCell="E38" sqref="E38"/>
    </sheetView>
  </sheetViews>
  <sheetFormatPr defaultColWidth="9.1796875" defaultRowHeight="14.5" x14ac:dyDescent="0.35"/>
  <cols>
    <col min="1" max="1" width="23.1796875" style="1" bestFit="1" customWidth="1"/>
    <col min="2" max="2" width="13.26953125" style="1" bestFit="1" customWidth="1"/>
    <col min="3" max="3" width="9.1796875" style="1"/>
    <col min="4" max="4" width="32.7265625" style="1" bestFit="1" customWidth="1"/>
    <col min="5" max="5" width="37.453125" style="1" bestFit="1" customWidth="1"/>
    <col min="6" max="7" width="12.453125" style="1" bestFit="1" customWidth="1"/>
    <col min="8" max="34" width="19" style="1" bestFit="1" customWidth="1"/>
    <col min="35" max="44" width="9.1796875" style="1"/>
    <col min="45" max="45" width="38.81640625" style="1" bestFit="1" customWidth="1"/>
    <col min="46" max="16384" width="9.1796875" style="1"/>
  </cols>
  <sheetData>
    <row r="1" spans="1:49" x14ac:dyDescent="0.35">
      <c r="A1" s="1" t="s">
        <v>64</v>
      </c>
      <c r="B1" s="17">
        <f>Income!I2</f>
        <v>0.02</v>
      </c>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row>
    <row r="2" spans="1:49" x14ac:dyDescent="0.35">
      <c r="A2" s="1" t="s">
        <v>199</v>
      </c>
      <c r="B2" s="32">
        <v>9400</v>
      </c>
      <c r="D2" s="1" t="s">
        <v>200</v>
      </c>
      <c r="E2" s="33" cm="1">
        <f t="array" ref="E2:AH2">TRANSPOSE(Income!O3:O32)</f>
        <v>70751.96078431372</v>
      </c>
      <c r="F2" s="33">
        <v>71459.480392156853</v>
      </c>
      <c r="G2" s="33">
        <v>72174.075196078426</v>
      </c>
      <c r="H2" s="33">
        <v>75958.294760039207</v>
      </c>
      <c r="I2" s="33">
        <v>76717.877707639593</v>
      </c>
      <c r="J2" s="33">
        <v>77485.056484715984</v>
      </c>
      <c r="K2" s="33">
        <v>78259.907049563146</v>
      </c>
      <c r="L2" s="33">
        <v>82690.140200491136</v>
      </c>
      <c r="M2" s="33">
        <v>83517.041602496043</v>
      </c>
      <c r="N2" s="33">
        <v>84352.212018521008</v>
      </c>
      <c r="O2" s="33">
        <v>85195.734138706219</v>
      </c>
      <c r="P2" s="33">
        <v>86047.691480093286</v>
      </c>
      <c r="Q2" s="33">
        <v>86908.168394894223</v>
      </c>
      <c r="R2" s="33">
        <v>87777.250078843164</v>
      </c>
      <c r="S2" s="33">
        <v>88655.022579631594</v>
      </c>
      <c r="T2" s="33">
        <v>89541.572805427917</v>
      </c>
      <c r="U2" s="33">
        <v>90436.988533482203</v>
      </c>
      <c r="V2" s="33">
        <v>91341.358418817021</v>
      </c>
      <c r="W2" s="33">
        <v>92254.772003005186</v>
      </c>
      <c r="X2" s="33">
        <v>93177.319723035238</v>
      </c>
      <c r="Y2" s="33">
        <v>99777.805781799863</v>
      </c>
      <c r="Z2" s="33">
        <v>100775.58383961786</v>
      </c>
      <c r="AA2" s="33">
        <v>101783.33967801403</v>
      </c>
      <c r="AB2" s="33">
        <v>102801.17307479418</v>
      </c>
      <c r="AC2" s="33">
        <v>103829.18480554211</v>
      </c>
      <c r="AD2" s="33">
        <v>104867.47665359754</v>
      </c>
      <c r="AE2" s="33">
        <v>105916.15142013351</v>
      </c>
      <c r="AF2" s="33">
        <v>106975.31293433484</v>
      </c>
      <c r="AG2" s="33">
        <v>108045.06606367818</v>
      </c>
      <c r="AH2" s="33">
        <v>109125.51672431496</v>
      </c>
      <c r="AS2" s="1" t="s">
        <v>215</v>
      </c>
      <c r="AT2" s="1" cm="1">
        <f t="array" ref="AT2:AT31">TRANSPOSE(E16:AH16)</f>
        <v>37799.13501065359</v>
      </c>
    </row>
    <row r="3" spans="1:49" x14ac:dyDescent="0.35">
      <c r="D3" s="1" t="s">
        <v>190</v>
      </c>
      <c r="E3" s="33">
        <f>E2*12</f>
        <v>849023.52941176458</v>
      </c>
      <c r="F3" s="33">
        <f t="shared" ref="F3:AH3" si="0">F2*12</f>
        <v>857513.76470588217</v>
      </c>
      <c r="G3" s="33">
        <f t="shared" si="0"/>
        <v>866088.90235294111</v>
      </c>
      <c r="H3" s="33">
        <f t="shared" si="0"/>
        <v>911499.53712047054</v>
      </c>
      <c r="I3" s="33">
        <f t="shared" si="0"/>
        <v>920614.53249167511</v>
      </c>
      <c r="J3" s="33">
        <f t="shared" si="0"/>
        <v>929820.67781659181</v>
      </c>
      <c r="K3" s="33">
        <f t="shared" si="0"/>
        <v>939118.88459475781</v>
      </c>
      <c r="L3" s="33">
        <f t="shared" si="0"/>
        <v>992281.68240589369</v>
      </c>
      <c r="M3" s="33">
        <f t="shared" si="0"/>
        <v>1002204.4992299525</v>
      </c>
      <c r="N3" s="33">
        <f t="shared" si="0"/>
        <v>1012226.5442222521</v>
      </c>
      <c r="O3" s="33">
        <f t="shared" si="0"/>
        <v>1022348.8096644746</v>
      </c>
      <c r="P3" s="33">
        <f t="shared" si="0"/>
        <v>1032572.2977611194</v>
      </c>
      <c r="Q3" s="33">
        <f t="shared" si="0"/>
        <v>1042898.0207387307</v>
      </c>
      <c r="R3" s="33">
        <f t="shared" si="0"/>
        <v>1053327.000946118</v>
      </c>
      <c r="S3" s="33">
        <f t="shared" si="0"/>
        <v>1063860.2709555791</v>
      </c>
      <c r="T3" s="33">
        <f t="shared" si="0"/>
        <v>1074498.8736651349</v>
      </c>
      <c r="U3" s="33">
        <f t="shared" si="0"/>
        <v>1085243.8624017865</v>
      </c>
      <c r="V3" s="33">
        <f t="shared" si="0"/>
        <v>1096096.3010258041</v>
      </c>
      <c r="W3" s="33">
        <f t="shared" si="0"/>
        <v>1107057.2640360622</v>
      </c>
      <c r="X3" s="33">
        <f t="shared" si="0"/>
        <v>1118127.836676423</v>
      </c>
      <c r="Y3" s="33">
        <f t="shared" si="0"/>
        <v>1197333.6693815985</v>
      </c>
      <c r="Z3" s="33">
        <f t="shared" si="0"/>
        <v>1209307.0060754144</v>
      </c>
      <c r="AA3" s="33">
        <f t="shared" si="0"/>
        <v>1221400.0761361683</v>
      </c>
      <c r="AB3" s="33">
        <f t="shared" si="0"/>
        <v>1233614.0768975301</v>
      </c>
      <c r="AC3" s="33">
        <f t="shared" si="0"/>
        <v>1245950.2176665054</v>
      </c>
      <c r="AD3" s="33">
        <f t="shared" si="0"/>
        <v>1258409.7198431704</v>
      </c>
      <c r="AE3" s="33">
        <f t="shared" si="0"/>
        <v>1270993.817041602</v>
      </c>
      <c r="AF3" s="33">
        <f t="shared" si="0"/>
        <v>1283703.755212018</v>
      </c>
      <c r="AG3" s="33">
        <f t="shared" si="0"/>
        <v>1296540.7927641382</v>
      </c>
      <c r="AH3" s="33">
        <f t="shared" si="0"/>
        <v>1309506.2006917796</v>
      </c>
      <c r="AT3" s="1">
        <v>38110.950110228281</v>
      </c>
    </row>
    <row r="4" spans="1:49" x14ac:dyDescent="0.35">
      <c r="A4" s="1" t="str" cm="1">
        <f t="array" ref="A4:B12">'Salary Variables'!$B$16:$C$24</f>
        <v>AM (%)</v>
      </c>
      <c r="B4" s="17">
        <v>0.08</v>
      </c>
      <c r="D4" s="18" t="s">
        <v>189</v>
      </c>
      <c r="E4" s="33">
        <f>'Pensions P2'!B4*12</f>
        <v>42451.176470588238</v>
      </c>
      <c r="F4" s="33">
        <f>'Pensions P2'!C4*12</f>
        <v>42875.688235294117</v>
      </c>
      <c r="G4" s="33">
        <f>'Pensions P2'!D4*12</f>
        <v>43304.445117647061</v>
      </c>
      <c r="H4" s="33">
        <f>'Pensions P2'!E4*12</f>
        <v>45574.976856023524</v>
      </c>
      <c r="I4" s="33">
        <f>'Pensions P2'!F4*12</f>
        <v>46030.72662458376</v>
      </c>
      <c r="J4" s="33">
        <f>'Pensions P2'!G4*12</f>
        <v>46491.033890829596</v>
      </c>
      <c r="K4" s="33">
        <f>'Pensions P2'!H4*12</f>
        <v>46955.944229737892</v>
      </c>
      <c r="L4" s="33">
        <f>'Pensions P2'!I4*12</f>
        <v>49614.084120294676</v>
      </c>
      <c r="M4" s="33">
        <f>'Pensions P2'!J4*12</f>
        <v>50110.224961497632</v>
      </c>
      <c r="N4" s="33">
        <f>'Pensions P2'!K4*12</f>
        <v>50611.327211112599</v>
      </c>
      <c r="O4" s="33">
        <f>'Pensions P2'!L4*12</f>
        <v>51117.440483223734</v>
      </c>
      <c r="P4" s="33">
        <f>'Pensions P2'!M4*12</f>
        <v>51628.614888055978</v>
      </c>
      <c r="Q4" s="33">
        <f>'Pensions P2'!N4*12</f>
        <v>52144.901036936528</v>
      </c>
      <c r="R4" s="33">
        <f>'Pensions P2'!O4*12</f>
        <v>52666.350047305903</v>
      </c>
      <c r="S4" s="33">
        <f>'Pensions P2'!P4*12</f>
        <v>53193.013547778959</v>
      </c>
      <c r="T4" s="33">
        <f>'Pensions P2'!Q4*12</f>
        <v>53724.943683256744</v>
      </c>
      <c r="U4" s="33">
        <f>'Pensions P2'!R4*12</f>
        <v>54262.193120089316</v>
      </c>
      <c r="V4" s="33">
        <f>'Pensions P2'!S4*12</f>
        <v>54804.815051290207</v>
      </c>
      <c r="W4" s="33">
        <f>'Pensions P2'!T4*12</f>
        <v>55352.863201803106</v>
      </c>
      <c r="X4" s="33">
        <f>'Pensions P2'!U4*12</f>
        <v>55906.391833821137</v>
      </c>
      <c r="Y4" s="33">
        <f>'Pensions P2'!V4*12</f>
        <v>59866.683469079922</v>
      </c>
      <c r="Z4" s="33">
        <f>'Pensions P2'!W4*12</f>
        <v>60465.35030377072</v>
      </c>
      <c r="AA4" s="33">
        <f>'Pensions P2'!X4*12</f>
        <v>61070.003806808425</v>
      </c>
      <c r="AB4" s="33">
        <f>'Pensions P2'!Y4*12</f>
        <v>61680.703844876509</v>
      </c>
      <c r="AC4" s="33">
        <f>'Pensions P2'!Z4*12</f>
        <v>62297.510883325274</v>
      </c>
      <c r="AD4" s="33">
        <f>'Pensions P2'!AA4*12</f>
        <v>62920.48599215853</v>
      </c>
      <c r="AE4" s="33">
        <f>'Pensions P2'!AB4*12</f>
        <v>63549.690852080108</v>
      </c>
      <c r="AF4" s="33">
        <f>'Pensions P2'!AC4*12</f>
        <v>64185.187760600907</v>
      </c>
      <c r="AG4" s="33">
        <f>'Pensions P2'!AD4*12</f>
        <v>64827.039638206916</v>
      </c>
      <c r="AH4" s="33">
        <f>'Pensions P2'!AE4*12</f>
        <v>65475.310034588983</v>
      </c>
      <c r="AT4" s="1">
        <v>38425.437516691505</v>
      </c>
    </row>
    <row r="5" spans="1:49" x14ac:dyDescent="0.35">
      <c r="A5" s="1" t="str">
        <v>Personal Allowance</v>
      </c>
      <c r="B5" s="1">
        <v>51600</v>
      </c>
      <c r="D5" s="1" t="s">
        <v>191</v>
      </c>
      <c r="E5" s="33">
        <f>E3-E4</f>
        <v>806572.35294117639</v>
      </c>
      <c r="F5" s="33">
        <f t="shared" ref="F5:AH5" si="1">F3-F4</f>
        <v>814638.0764705881</v>
      </c>
      <c r="G5" s="33">
        <f t="shared" si="1"/>
        <v>822784.45723529404</v>
      </c>
      <c r="H5" s="33">
        <f t="shared" si="1"/>
        <v>865924.56026444701</v>
      </c>
      <c r="I5" s="33">
        <f t="shared" si="1"/>
        <v>874583.8058670914</v>
      </c>
      <c r="J5" s="33">
        <f t="shared" si="1"/>
        <v>883329.64392576227</v>
      </c>
      <c r="K5" s="33">
        <f t="shared" si="1"/>
        <v>892162.94036501995</v>
      </c>
      <c r="L5" s="33">
        <f t="shared" si="1"/>
        <v>942667.59828559903</v>
      </c>
      <c r="M5" s="33">
        <f t="shared" si="1"/>
        <v>952094.27426845487</v>
      </c>
      <c r="N5" s="33">
        <f t="shared" si="1"/>
        <v>961615.2170111395</v>
      </c>
      <c r="O5" s="33">
        <f t="shared" si="1"/>
        <v>971231.3691812508</v>
      </c>
      <c r="P5" s="33">
        <f t="shared" si="1"/>
        <v>980943.68287306349</v>
      </c>
      <c r="Q5" s="33">
        <f t="shared" si="1"/>
        <v>990753.11970179412</v>
      </c>
      <c r="R5" s="33">
        <f t="shared" si="1"/>
        <v>1000660.6508988121</v>
      </c>
      <c r="S5" s="33">
        <f t="shared" si="1"/>
        <v>1010667.2574078002</v>
      </c>
      <c r="T5" s="33">
        <f t="shared" si="1"/>
        <v>1020773.9299818781</v>
      </c>
      <c r="U5" s="33">
        <f t="shared" si="1"/>
        <v>1030981.6692816971</v>
      </c>
      <c r="V5" s="33">
        <f t="shared" si="1"/>
        <v>1041291.4859745139</v>
      </c>
      <c r="W5" s="33">
        <f t="shared" si="1"/>
        <v>1051704.4008342591</v>
      </c>
      <c r="X5" s="33">
        <f t="shared" si="1"/>
        <v>1062221.4448426019</v>
      </c>
      <c r="Y5" s="33">
        <f t="shared" si="1"/>
        <v>1137466.9859125186</v>
      </c>
      <c r="Z5" s="33">
        <f t="shared" si="1"/>
        <v>1148841.6557716436</v>
      </c>
      <c r="AA5" s="33">
        <f t="shared" si="1"/>
        <v>1160330.0723293598</v>
      </c>
      <c r="AB5" s="33">
        <f t="shared" si="1"/>
        <v>1171933.3730526536</v>
      </c>
      <c r="AC5" s="33">
        <f t="shared" si="1"/>
        <v>1183652.7067831801</v>
      </c>
      <c r="AD5" s="33">
        <f t="shared" si="1"/>
        <v>1195489.2338510118</v>
      </c>
      <c r="AE5" s="33">
        <f t="shared" si="1"/>
        <v>1207444.126189522</v>
      </c>
      <c r="AF5" s="33">
        <f>AF3-AF4</f>
        <v>1219518.5674514172</v>
      </c>
      <c r="AG5" s="33">
        <f t="shared" si="1"/>
        <v>1231713.7531259314</v>
      </c>
      <c r="AH5" s="33">
        <f t="shared" si="1"/>
        <v>1244030.8906571907</v>
      </c>
      <c r="AT5" s="1">
        <v>40027.136145715522</v>
      </c>
    </row>
    <row r="6" spans="1:49" x14ac:dyDescent="0.35">
      <c r="A6" s="1" t="str">
        <v>Bottom-Bracket State Tax rate (%)</v>
      </c>
      <c r="B6" s="28">
        <v>0.1201</v>
      </c>
      <c r="D6" s="1" t="s">
        <v>244</v>
      </c>
      <c r="E6" s="32">
        <f>E5*(1-$B$4)</f>
        <v>742046.56470588234</v>
      </c>
      <c r="F6" s="32">
        <f t="shared" ref="F6:AH6" si="2">F5*(1-$B$4)</f>
        <v>749467.03035294113</v>
      </c>
      <c r="G6" s="32">
        <f t="shared" si="2"/>
        <v>756961.70065647061</v>
      </c>
      <c r="H6" s="32">
        <f t="shared" si="2"/>
        <v>796650.59544329124</v>
      </c>
      <c r="I6" s="32">
        <f t="shared" si="2"/>
        <v>804617.10139772412</v>
      </c>
      <c r="J6" s="32">
        <f t="shared" si="2"/>
        <v>812663.27241170127</v>
      </c>
      <c r="K6" s="32">
        <f t="shared" si="2"/>
        <v>820789.90513581841</v>
      </c>
      <c r="L6" s="32">
        <f t="shared" si="2"/>
        <v>867254.19042275113</v>
      </c>
      <c r="M6" s="32">
        <f t="shared" si="2"/>
        <v>875926.73232697847</v>
      </c>
      <c r="N6" s="32">
        <f t="shared" si="2"/>
        <v>884685.99965024833</v>
      </c>
      <c r="O6" s="32">
        <f t="shared" si="2"/>
        <v>893532.85964675073</v>
      </c>
      <c r="P6" s="32">
        <f t="shared" si="2"/>
        <v>902468.18824321846</v>
      </c>
      <c r="Q6" s="32">
        <f t="shared" si="2"/>
        <v>911492.87012565066</v>
      </c>
      <c r="R6" s="32">
        <f t="shared" si="2"/>
        <v>920607.79882690718</v>
      </c>
      <c r="S6" s="32">
        <f t="shared" si="2"/>
        <v>929813.87681517622</v>
      </c>
      <c r="T6" s="32">
        <f t="shared" si="2"/>
        <v>939112.01558332797</v>
      </c>
      <c r="U6" s="32">
        <f t="shared" si="2"/>
        <v>948503.1357391614</v>
      </c>
      <c r="V6" s="32">
        <f t="shared" si="2"/>
        <v>957988.1670965529</v>
      </c>
      <c r="W6" s="32">
        <f t="shared" si="2"/>
        <v>967568.04876751837</v>
      </c>
      <c r="X6" s="32">
        <f t="shared" si="2"/>
        <v>977243.72925519373</v>
      </c>
      <c r="Y6" s="32">
        <f t="shared" si="2"/>
        <v>1046469.6270395172</v>
      </c>
      <c r="Z6" s="32">
        <f t="shared" si="2"/>
        <v>1056934.3233099121</v>
      </c>
      <c r="AA6" s="32">
        <f t="shared" si="2"/>
        <v>1067503.6665430111</v>
      </c>
      <c r="AB6" s="32">
        <f t="shared" si="2"/>
        <v>1078178.7032084414</v>
      </c>
      <c r="AC6" s="32">
        <f t="shared" si="2"/>
        <v>1088960.4902405257</v>
      </c>
      <c r="AD6" s="32">
        <f t="shared" si="2"/>
        <v>1099850.095142931</v>
      </c>
      <c r="AE6" s="32">
        <f t="shared" si="2"/>
        <v>1110848.5960943603</v>
      </c>
      <c r="AF6" s="32">
        <f t="shared" si="2"/>
        <v>1121957.082055304</v>
      </c>
      <c r="AG6" s="32">
        <f t="shared" si="2"/>
        <v>1133176.652875857</v>
      </c>
      <c r="AH6" s="32">
        <f t="shared" si="2"/>
        <v>1144508.4194046154</v>
      </c>
      <c r="AT6" s="1">
        <v>40359.919779030548</v>
      </c>
    </row>
    <row r="7" spans="1:49" x14ac:dyDescent="0.35">
      <c r="A7" s="1" t="str">
        <v>Top-bracket State Tax rate (%)</v>
      </c>
      <c r="B7" s="28">
        <v>0.15</v>
      </c>
      <c r="D7" s="1" t="s">
        <v>239</v>
      </c>
      <c r="E7" s="32">
        <f>$B$5</f>
        <v>51600</v>
      </c>
      <c r="F7" s="32">
        <f t="shared" ref="F7:AH7" si="3">$B$5</f>
        <v>51600</v>
      </c>
      <c r="G7" s="32">
        <f t="shared" si="3"/>
        <v>51600</v>
      </c>
      <c r="H7" s="32">
        <f t="shared" si="3"/>
        <v>51600</v>
      </c>
      <c r="I7" s="32">
        <f t="shared" si="3"/>
        <v>51600</v>
      </c>
      <c r="J7" s="32">
        <f t="shared" si="3"/>
        <v>51600</v>
      </c>
      <c r="K7" s="32">
        <f t="shared" si="3"/>
        <v>51600</v>
      </c>
      <c r="L7" s="32">
        <f t="shared" si="3"/>
        <v>51600</v>
      </c>
      <c r="M7" s="32">
        <f t="shared" si="3"/>
        <v>51600</v>
      </c>
      <c r="N7" s="32">
        <f t="shared" si="3"/>
        <v>51600</v>
      </c>
      <c r="O7" s="32">
        <f t="shared" si="3"/>
        <v>51600</v>
      </c>
      <c r="P7" s="32">
        <f t="shared" si="3"/>
        <v>51600</v>
      </c>
      <c r="Q7" s="32">
        <f t="shared" si="3"/>
        <v>51600</v>
      </c>
      <c r="R7" s="32">
        <f t="shared" si="3"/>
        <v>51600</v>
      </c>
      <c r="S7" s="32">
        <f t="shared" si="3"/>
        <v>51600</v>
      </c>
      <c r="T7" s="32">
        <f t="shared" si="3"/>
        <v>51600</v>
      </c>
      <c r="U7" s="32">
        <f t="shared" si="3"/>
        <v>51600</v>
      </c>
      <c r="V7" s="32">
        <f t="shared" si="3"/>
        <v>51600</v>
      </c>
      <c r="W7" s="32">
        <f t="shared" si="3"/>
        <v>51600</v>
      </c>
      <c r="X7" s="32">
        <f t="shared" si="3"/>
        <v>51600</v>
      </c>
      <c r="Y7" s="32">
        <f t="shared" si="3"/>
        <v>51600</v>
      </c>
      <c r="Z7" s="32">
        <f t="shared" si="3"/>
        <v>51600</v>
      </c>
      <c r="AA7" s="32">
        <f t="shared" si="3"/>
        <v>51600</v>
      </c>
      <c r="AB7" s="32">
        <f t="shared" si="3"/>
        <v>51600</v>
      </c>
      <c r="AC7" s="32">
        <f t="shared" si="3"/>
        <v>51600</v>
      </c>
      <c r="AD7" s="32">
        <f t="shared" si="3"/>
        <v>51600</v>
      </c>
      <c r="AE7" s="32">
        <f t="shared" si="3"/>
        <v>51600</v>
      </c>
      <c r="AF7" s="32">
        <f t="shared" si="3"/>
        <v>51600</v>
      </c>
      <c r="AG7" s="32">
        <f t="shared" si="3"/>
        <v>51600</v>
      </c>
      <c r="AH7" s="32">
        <f t="shared" si="3"/>
        <v>51600</v>
      </c>
      <c r="AI7" s="32"/>
      <c r="AJ7" s="32"/>
      <c r="AK7" s="32"/>
      <c r="AL7" s="32"/>
      <c r="AM7" s="32"/>
      <c r="AN7" s="32"/>
      <c r="AO7" s="32"/>
      <c r="AP7" s="32"/>
      <c r="AQ7" s="32"/>
      <c r="AR7" s="32"/>
      <c r="AS7" s="32"/>
      <c r="AT7" s="32">
        <v>40695.611119818765</v>
      </c>
      <c r="AU7" s="32"/>
      <c r="AV7" s="32"/>
      <c r="AW7" s="32"/>
    </row>
    <row r="8" spans="1:49" x14ac:dyDescent="0.35">
      <c r="A8" s="1" t="str">
        <v>State Tax Bracket Threshold</v>
      </c>
      <c r="B8" s="32">
        <v>618400</v>
      </c>
      <c r="D8" s="1" t="s">
        <v>245</v>
      </c>
      <c r="E8" s="32">
        <f>E6-E7</f>
        <v>690446.56470588234</v>
      </c>
      <c r="F8" s="32">
        <f t="shared" ref="F8:AH8" si="4">F6-F7</f>
        <v>697867.03035294113</v>
      </c>
      <c r="G8" s="32">
        <f t="shared" si="4"/>
        <v>705361.70065647061</v>
      </c>
      <c r="H8" s="32">
        <f t="shared" si="4"/>
        <v>745050.59544329124</v>
      </c>
      <c r="I8" s="32">
        <f t="shared" si="4"/>
        <v>753017.10139772412</v>
      </c>
      <c r="J8" s="32">
        <f t="shared" si="4"/>
        <v>761063.27241170127</v>
      </c>
      <c r="K8" s="32">
        <f t="shared" si="4"/>
        <v>769189.90513581841</v>
      </c>
      <c r="L8" s="32">
        <f t="shared" si="4"/>
        <v>815654.19042275113</v>
      </c>
      <c r="M8" s="32">
        <f t="shared" si="4"/>
        <v>824326.73232697847</v>
      </c>
      <c r="N8" s="32">
        <f t="shared" si="4"/>
        <v>833085.99965024833</v>
      </c>
      <c r="O8" s="32">
        <f t="shared" si="4"/>
        <v>841932.85964675073</v>
      </c>
      <c r="P8" s="32">
        <f t="shared" si="4"/>
        <v>850868.18824321846</v>
      </c>
      <c r="Q8" s="32">
        <f t="shared" si="4"/>
        <v>859892.87012565066</v>
      </c>
      <c r="R8" s="32">
        <f t="shared" si="4"/>
        <v>869007.79882690718</v>
      </c>
      <c r="S8" s="32">
        <f t="shared" si="4"/>
        <v>878213.87681517622</v>
      </c>
      <c r="T8" s="32">
        <f t="shared" si="4"/>
        <v>887512.01558332797</v>
      </c>
      <c r="U8" s="32">
        <f t="shared" si="4"/>
        <v>896903.1357391614</v>
      </c>
      <c r="V8" s="32">
        <f t="shared" si="4"/>
        <v>906388.1670965529</v>
      </c>
      <c r="W8" s="32">
        <f t="shared" si="4"/>
        <v>915968.04876751837</v>
      </c>
      <c r="X8" s="32">
        <f t="shared" si="4"/>
        <v>925643.72925519373</v>
      </c>
      <c r="Y8" s="32">
        <f t="shared" si="4"/>
        <v>994869.62703951716</v>
      </c>
      <c r="Z8" s="32">
        <f t="shared" si="4"/>
        <v>1005334.3233099121</v>
      </c>
      <c r="AA8" s="32">
        <f t="shared" si="4"/>
        <v>1015903.6665430111</v>
      </c>
      <c r="AB8" s="32">
        <f t="shared" si="4"/>
        <v>1026578.7032084414</v>
      </c>
      <c r="AC8" s="32">
        <f t="shared" si="4"/>
        <v>1037360.4902405257</v>
      </c>
      <c r="AD8" s="32">
        <f t="shared" si="4"/>
        <v>1048250.095142931</v>
      </c>
      <c r="AE8" s="32">
        <f t="shared" si="4"/>
        <v>1059248.5960943603</v>
      </c>
      <c r="AF8" s="32">
        <f t="shared" si="4"/>
        <v>1070357.082055304</v>
      </c>
      <c r="AG8" s="32">
        <f t="shared" si="4"/>
        <v>1081576.652875857</v>
      </c>
      <c r="AH8" s="32">
        <f t="shared" si="4"/>
        <v>1092908.4194046154</v>
      </c>
      <c r="AI8" s="32"/>
      <c r="AJ8" s="32"/>
      <c r="AK8" s="32"/>
      <c r="AL8" s="32"/>
      <c r="AM8" s="32"/>
      <c r="AN8" s="32"/>
      <c r="AO8" s="32"/>
      <c r="AP8" s="32"/>
      <c r="AQ8" s="32"/>
      <c r="AR8" s="32"/>
      <c r="AS8" s="32"/>
      <c r="AT8" s="32">
        <v>41034.247482975705</v>
      </c>
      <c r="AU8" s="32"/>
      <c r="AV8" s="32"/>
      <c r="AW8" s="32"/>
    </row>
    <row r="9" spans="1:49" x14ac:dyDescent="0.35">
      <c r="A9" s="1" t="str">
        <v>Municipal Tax (%)</v>
      </c>
      <c r="B9" s="17">
        <v>0.25</v>
      </c>
      <c r="D9" s="1" t="s">
        <v>193</v>
      </c>
      <c r="E9" s="32">
        <f>E6*$B$9</f>
        <v>185511.64117647058</v>
      </c>
      <c r="F9" s="32">
        <f t="shared" ref="F9:AH9" si="5">F6*$B$9</f>
        <v>187366.75758823528</v>
      </c>
      <c r="G9" s="32">
        <f t="shared" si="5"/>
        <v>189240.42516411765</v>
      </c>
      <c r="H9" s="32">
        <f t="shared" si="5"/>
        <v>199162.64886082281</v>
      </c>
      <c r="I9" s="32">
        <f t="shared" si="5"/>
        <v>201154.27534943103</v>
      </c>
      <c r="J9" s="32">
        <f t="shared" si="5"/>
        <v>203165.81810292532</v>
      </c>
      <c r="K9" s="32">
        <f t="shared" si="5"/>
        <v>205197.4762839546</v>
      </c>
      <c r="L9" s="32">
        <f t="shared" si="5"/>
        <v>216813.54760568778</v>
      </c>
      <c r="M9" s="32">
        <f t="shared" si="5"/>
        <v>218981.68308174462</v>
      </c>
      <c r="N9" s="32">
        <f t="shared" si="5"/>
        <v>221171.49991256208</v>
      </c>
      <c r="O9" s="32">
        <f t="shared" si="5"/>
        <v>223383.21491168768</v>
      </c>
      <c r="P9" s="32">
        <f t="shared" si="5"/>
        <v>225617.04706080462</v>
      </c>
      <c r="Q9" s="32">
        <f t="shared" si="5"/>
        <v>227873.21753141267</v>
      </c>
      <c r="R9" s="32">
        <f t="shared" si="5"/>
        <v>230151.94970672679</v>
      </c>
      <c r="S9" s="32">
        <f t="shared" si="5"/>
        <v>232453.46920379405</v>
      </c>
      <c r="T9" s="32">
        <f t="shared" si="5"/>
        <v>234778.00389583199</v>
      </c>
      <c r="U9" s="32">
        <f t="shared" si="5"/>
        <v>237125.78393479035</v>
      </c>
      <c r="V9" s="32">
        <f t="shared" si="5"/>
        <v>239497.04177413823</v>
      </c>
      <c r="W9" s="32">
        <f t="shared" si="5"/>
        <v>241892.01219187959</v>
      </c>
      <c r="X9" s="32">
        <f t="shared" si="5"/>
        <v>244310.93231379843</v>
      </c>
      <c r="Y9" s="32">
        <f t="shared" si="5"/>
        <v>261617.40675987929</v>
      </c>
      <c r="Z9" s="32">
        <f t="shared" si="5"/>
        <v>264233.58082747803</v>
      </c>
      <c r="AA9" s="32">
        <f t="shared" si="5"/>
        <v>266875.91663575277</v>
      </c>
      <c r="AB9" s="32">
        <f t="shared" si="5"/>
        <v>269544.67580211035</v>
      </c>
      <c r="AC9" s="32">
        <f t="shared" si="5"/>
        <v>272240.12256013142</v>
      </c>
      <c r="AD9" s="32">
        <f t="shared" si="5"/>
        <v>274962.52378573274</v>
      </c>
      <c r="AE9" s="32">
        <f t="shared" si="5"/>
        <v>277712.14902359009</v>
      </c>
      <c r="AF9" s="32">
        <f t="shared" si="5"/>
        <v>280489.27051382599</v>
      </c>
      <c r="AG9" s="32">
        <f t="shared" si="5"/>
        <v>283294.16321896424</v>
      </c>
      <c r="AH9" s="32">
        <f t="shared" si="5"/>
        <v>286127.10485115385</v>
      </c>
      <c r="AI9" s="32"/>
      <c r="AJ9" s="32"/>
      <c r="AK9" s="32"/>
      <c r="AL9" s="32"/>
      <c r="AM9" s="32"/>
      <c r="AN9" s="32"/>
      <c r="AO9" s="32"/>
      <c r="AP9" s="32"/>
      <c r="AQ9" s="32"/>
      <c r="AR9" s="32"/>
      <c r="AS9" s="32"/>
      <c r="AT9" s="32">
        <v>42905.803041224273</v>
      </c>
      <c r="AU9" s="32"/>
      <c r="AV9" s="32"/>
      <c r="AW9" s="32"/>
    </row>
    <row r="10" spans="1:49" x14ac:dyDescent="0.35">
      <c r="A10" s="1" t="str">
        <v>Capital Gains &lt; 67,500DKK</v>
      </c>
      <c r="B10" s="32">
        <v>0.27</v>
      </c>
      <c r="D10" s="1" t="s">
        <v>194</v>
      </c>
      <c r="E10" s="32">
        <f>MAX(E8-$B$8,0)*$B$7</f>
        <v>10806.984705882351</v>
      </c>
      <c r="F10" s="32">
        <f t="shared" ref="F10:AH10" si="6">MAX(F8-$B$8,0)*$B$7</f>
        <v>11920.05455294117</v>
      </c>
      <c r="G10" s="32">
        <f t="shared" si="6"/>
        <v>13044.25509847059</v>
      </c>
      <c r="H10" s="32">
        <f t="shared" si="6"/>
        <v>18997.589316493686</v>
      </c>
      <c r="I10" s="32">
        <f t="shared" si="6"/>
        <v>20192.565209658616</v>
      </c>
      <c r="J10" s="32">
        <f t="shared" si="6"/>
        <v>21399.490861755188</v>
      </c>
      <c r="K10" s="32">
        <f t="shared" si="6"/>
        <v>22618.485770372761</v>
      </c>
      <c r="L10" s="32">
        <f t="shared" si="6"/>
        <v>29588.128563412669</v>
      </c>
      <c r="M10" s="32">
        <f t="shared" si="6"/>
        <v>30889.009849046768</v>
      </c>
      <c r="N10" s="32">
        <f t="shared" si="6"/>
        <v>32202.899947537247</v>
      </c>
      <c r="O10" s="32">
        <f t="shared" si="6"/>
        <v>33529.92894701261</v>
      </c>
      <c r="P10" s="32">
        <f t="shared" si="6"/>
        <v>34870.22823648277</v>
      </c>
      <c r="Q10" s="32">
        <f t="shared" si="6"/>
        <v>36223.930518847599</v>
      </c>
      <c r="R10" s="32">
        <f t="shared" si="6"/>
        <v>37591.169824036078</v>
      </c>
      <c r="S10" s="32">
        <f t="shared" si="6"/>
        <v>38972.081522276429</v>
      </c>
      <c r="T10" s="32">
        <f t="shared" si="6"/>
        <v>40366.802337499197</v>
      </c>
      <c r="U10" s="32">
        <f t="shared" si="6"/>
        <v>41775.470360874206</v>
      </c>
      <c r="V10" s="32">
        <f t="shared" si="6"/>
        <v>43198.225064482933</v>
      </c>
      <c r="W10" s="32">
        <f t="shared" si="6"/>
        <v>44635.207315127751</v>
      </c>
      <c r="X10" s="32">
        <f t="shared" si="6"/>
        <v>46086.559388279056</v>
      </c>
      <c r="Y10" s="32">
        <f t="shared" si="6"/>
        <v>56470.444055927575</v>
      </c>
      <c r="Z10" s="32">
        <f t="shared" si="6"/>
        <v>58040.148496486814</v>
      </c>
      <c r="AA10" s="32">
        <f t="shared" si="6"/>
        <v>59625.549981451659</v>
      </c>
      <c r="AB10" s="32">
        <f t="shared" si="6"/>
        <v>61226.805481266201</v>
      </c>
      <c r="AC10" s="32">
        <f t="shared" si="6"/>
        <v>62844.073536078853</v>
      </c>
      <c r="AD10" s="32">
        <f t="shared" si="6"/>
        <v>64477.514271439642</v>
      </c>
      <c r="AE10" s="32">
        <f t="shared" si="6"/>
        <v>66127.289414154046</v>
      </c>
      <c r="AF10" s="32">
        <f t="shared" si="6"/>
        <v>67793.562308295586</v>
      </c>
      <c r="AG10" s="32">
        <f t="shared" si="6"/>
        <v>69476.497931378544</v>
      </c>
      <c r="AH10" s="32">
        <f t="shared" si="6"/>
        <v>71176.262910692312</v>
      </c>
      <c r="AI10" s="32"/>
      <c r="AJ10" s="32"/>
      <c r="AK10" s="32"/>
      <c r="AL10" s="32"/>
      <c r="AM10" s="32"/>
      <c r="AN10" s="32"/>
      <c r="AO10" s="32"/>
      <c r="AP10" s="32"/>
      <c r="AQ10" s="32"/>
      <c r="AR10" s="32"/>
      <c r="AS10" s="32"/>
      <c r="AT10" s="32">
        <v>43265.741612042832</v>
      </c>
      <c r="AU10" s="32"/>
      <c r="AV10" s="32"/>
      <c r="AW10" s="32"/>
    </row>
    <row r="11" spans="1:49" x14ac:dyDescent="0.35">
      <c r="A11" s="1" t="str">
        <v>Capital Gains &gt; 67,500DKK</v>
      </c>
      <c r="B11" s="17">
        <v>0.42</v>
      </c>
      <c r="D11" s="1" t="s">
        <v>195</v>
      </c>
      <c r="E11" s="32">
        <f>E8*$B$6</f>
        <v>82922.632421176473</v>
      </c>
      <c r="F11" s="32">
        <f t="shared" ref="F11:AH11" si="7">F8*$B$6</f>
        <v>83813.830345388225</v>
      </c>
      <c r="G11" s="32">
        <f t="shared" si="7"/>
        <v>84713.940248842118</v>
      </c>
      <c r="H11" s="32">
        <f t="shared" si="7"/>
        <v>89480.576512739281</v>
      </c>
      <c r="I11" s="32">
        <f t="shared" si="7"/>
        <v>90437.35387786667</v>
      </c>
      <c r="J11" s="32">
        <f t="shared" si="7"/>
        <v>91403.699016645318</v>
      </c>
      <c r="K11" s="32">
        <f t="shared" si="7"/>
        <v>92379.707606811789</v>
      </c>
      <c r="L11" s="32">
        <f t="shared" si="7"/>
        <v>97960.068269772411</v>
      </c>
      <c r="M11" s="32">
        <f t="shared" si="7"/>
        <v>99001.640552470111</v>
      </c>
      <c r="N11" s="32">
        <f t="shared" si="7"/>
        <v>100053.62855799482</v>
      </c>
      <c r="O11" s="32">
        <f t="shared" si="7"/>
        <v>101116.13644357477</v>
      </c>
      <c r="P11" s="32">
        <f t="shared" si="7"/>
        <v>102189.26940801054</v>
      </c>
      <c r="Q11" s="32">
        <f t="shared" si="7"/>
        <v>103273.13370209064</v>
      </c>
      <c r="R11" s="32">
        <f t="shared" si="7"/>
        <v>104367.83663911156</v>
      </c>
      <c r="S11" s="32">
        <f t="shared" si="7"/>
        <v>105473.48660550267</v>
      </c>
      <c r="T11" s="32">
        <f t="shared" si="7"/>
        <v>106590.19307155769</v>
      </c>
      <c r="U11" s="32">
        <f t="shared" si="7"/>
        <v>107718.06660227328</v>
      </c>
      <c r="V11" s="32">
        <f t="shared" si="7"/>
        <v>108857.218868296</v>
      </c>
      <c r="W11" s="32">
        <f t="shared" si="7"/>
        <v>110007.76265697896</v>
      </c>
      <c r="X11" s="32">
        <f t="shared" si="7"/>
        <v>111169.81188354877</v>
      </c>
      <c r="Y11" s="32">
        <f t="shared" si="7"/>
        <v>119483.84220744601</v>
      </c>
      <c r="Z11" s="32">
        <f t="shared" si="7"/>
        <v>120740.65222952045</v>
      </c>
      <c r="AA11" s="32">
        <f t="shared" si="7"/>
        <v>122010.03035181563</v>
      </c>
      <c r="AB11" s="32">
        <f t="shared" si="7"/>
        <v>123292.10225533381</v>
      </c>
      <c r="AC11" s="32">
        <f t="shared" si="7"/>
        <v>124586.99487788713</v>
      </c>
      <c r="AD11" s="32">
        <f t="shared" si="7"/>
        <v>125894.83642666601</v>
      </c>
      <c r="AE11" s="32">
        <f t="shared" si="7"/>
        <v>127215.75639093267</v>
      </c>
      <c r="AF11" s="32">
        <f t="shared" si="7"/>
        <v>128549.88555484201</v>
      </c>
      <c r="AG11" s="32">
        <f t="shared" si="7"/>
        <v>129897.35601039042</v>
      </c>
      <c r="AH11" s="32">
        <f t="shared" si="7"/>
        <v>131258.30117049432</v>
      </c>
      <c r="AI11" s="32"/>
      <c r="AJ11" s="32"/>
      <c r="AK11" s="32"/>
      <c r="AL11" s="32"/>
      <c r="AM11" s="32"/>
      <c r="AN11" s="32"/>
      <c r="AO11" s="32"/>
      <c r="AP11" s="32"/>
      <c r="AQ11" s="32"/>
      <c r="AR11" s="32"/>
      <c r="AS11" s="32"/>
      <c r="AT11" s="32">
        <v>43628.891434443976</v>
      </c>
      <c r="AU11" s="32"/>
      <c r="AV11" s="32"/>
      <c r="AW11" s="32"/>
    </row>
    <row r="12" spans="1:49" x14ac:dyDescent="0.35">
      <c r="A12" s="1" t="str">
        <v>Capital Gains Threshold</v>
      </c>
      <c r="B12" s="57">
        <v>67500</v>
      </c>
      <c r="D12" s="1" t="s">
        <v>196</v>
      </c>
      <c r="E12" s="32">
        <f>SUM(E9:E11)</f>
        <v>279241.25830352941</v>
      </c>
      <c r="F12" s="32">
        <f t="shared" ref="F12:AH12" si="8">SUM(F9:F11)</f>
        <v>283100.6424865647</v>
      </c>
      <c r="G12" s="32">
        <f t="shared" si="8"/>
        <v>286998.62051143037</v>
      </c>
      <c r="H12" s="32">
        <f t="shared" si="8"/>
        <v>307640.81469005579</v>
      </c>
      <c r="I12" s="32">
        <f t="shared" si="8"/>
        <v>311784.19443695631</v>
      </c>
      <c r="J12" s="32">
        <f t="shared" si="8"/>
        <v>315969.00798132585</v>
      </c>
      <c r="K12" s="32">
        <f t="shared" si="8"/>
        <v>320195.66966113914</v>
      </c>
      <c r="L12" s="32">
        <f t="shared" si="8"/>
        <v>344361.74443887285</v>
      </c>
      <c r="M12" s="32">
        <f t="shared" si="8"/>
        <v>348872.33348326152</v>
      </c>
      <c r="N12" s="32">
        <f t="shared" si="8"/>
        <v>353428.02841809415</v>
      </c>
      <c r="O12" s="32">
        <f t="shared" si="8"/>
        <v>358029.28030227509</v>
      </c>
      <c r="P12" s="32">
        <f t="shared" si="8"/>
        <v>362676.54470529791</v>
      </c>
      <c r="Q12" s="32">
        <f t="shared" si="8"/>
        <v>367370.28175235091</v>
      </c>
      <c r="R12" s="32">
        <f t="shared" si="8"/>
        <v>372110.95616987447</v>
      </c>
      <c r="S12" s="32">
        <f t="shared" si="8"/>
        <v>376899.03733157314</v>
      </c>
      <c r="T12" s="32">
        <f t="shared" si="8"/>
        <v>381734.99930488889</v>
      </c>
      <c r="U12" s="32">
        <f t="shared" si="8"/>
        <v>386619.32089793781</v>
      </c>
      <c r="V12" s="32">
        <f t="shared" si="8"/>
        <v>391552.48570691718</v>
      </c>
      <c r="W12" s="32">
        <f t="shared" si="8"/>
        <v>396534.98216398631</v>
      </c>
      <c r="X12" s="32">
        <f t="shared" si="8"/>
        <v>401567.3035856263</v>
      </c>
      <c r="Y12" s="32">
        <f t="shared" si="8"/>
        <v>437571.69302325288</v>
      </c>
      <c r="Z12" s="32">
        <f t="shared" si="8"/>
        <v>443014.38155348529</v>
      </c>
      <c r="AA12" s="32">
        <f t="shared" si="8"/>
        <v>448511.49696902005</v>
      </c>
      <c r="AB12" s="32">
        <f t="shared" si="8"/>
        <v>454063.58353871037</v>
      </c>
      <c r="AC12" s="32">
        <f t="shared" si="8"/>
        <v>459671.19097409741</v>
      </c>
      <c r="AD12" s="32">
        <f t="shared" si="8"/>
        <v>465334.87448383839</v>
      </c>
      <c r="AE12" s="32">
        <f t="shared" si="8"/>
        <v>471055.19482867682</v>
      </c>
      <c r="AF12" s="32">
        <f t="shared" si="8"/>
        <v>476832.71837696357</v>
      </c>
      <c r="AG12" s="32">
        <f t="shared" si="8"/>
        <v>482668.01716073323</v>
      </c>
      <c r="AH12" s="32">
        <f t="shared" si="8"/>
        <v>488561.66893234046</v>
      </c>
      <c r="AI12" s="32"/>
      <c r="AJ12" s="32"/>
      <c r="AK12" s="32"/>
      <c r="AL12" s="32"/>
      <c r="AM12" s="32"/>
      <c r="AN12" s="32"/>
      <c r="AO12" s="32"/>
      <c r="AP12" s="32"/>
      <c r="AQ12" s="32"/>
      <c r="AR12" s="32"/>
      <c r="AS12" s="32"/>
      <c r="AT12" s="32">
        <v>43995.292231416563</v>
      </c>
      <c r="AU12" s="32"/>
      <c r="AV12" s="32"/>
      <c r="AW12" s="32"/>
    </row>
    <row r="13" spans="1:49" x14ac:dyDescent="0.35">
      <c r="A13" s="1" t="s">
        <v>265</v>
      </c>
      <c r="B13" s="77">
        <v>99</v>
      </c>
      <c r="D13" s="1" t="s">
        <v>197</v>
      </c>
      <c r="E13" s="32">
        <f>E6-E12</f>
        <v>462805.30640235293</v>
      </c>
      <c r="F13" s="32">
        <f t="shared" ref="F13:AH13" si="9">F6-F12</f>
        <v>466366.38786637643</v>
      </c>
      <c r="G13" s="32">
        <f t="shared" si="9"/>
        <v>469963.08014504024</v>
      </c>
      <c r="H13" s="32">
        <f t="shared" si="9"/>
        <v>489009.78075323545</v>
      </c>
      <c r="I13" s="32">
        <f t="shared" si="9"/>
        <v>492832.90696076781</v>
      </c>
      <c r="J13" s="32">
        <f t="shared" si="9"/>
        <v>496694.26443037542</v>
      </c>
      <c r="K13" s="32">
        <f t="shared" si="9"/>
        <v>500594.23547467927</v>
      </c>
      <c r="L13" s="32">
        <f t="shared" si="9"/>
        <v>522892.44598387828</v>
      </c>
      <c r="M13" s="32">
        <f t="shared" si="9"/>
        <v>527054.39884371695</v>
      </c>
      <c r="N13" s="32">
        <f t="shared" si="9"/>
        <v>531257.97123215417</v>
      </c>
      <c r="O13" s="32">
        <f t="shared" si="9"/>
        <v>535503.57934447564</v>
      </c>
      <c r="P13" s="32">
        <f t="shared" si="9"/>
        <v>539791.64353792055</v>
      </c>
      <c r="Q13" s="32">
        <f t="shared" si="9"/>
        <v>544122.58837329969</v>
      </c>
      <c r="R13" s="32">
        <f t="shared" si="9"/>
        <v>548496.84265703266</v>
      </c>
      <c r="S13" s="32">
        <f t="shared" si="9"/>
        <v>552914.83948360314</v>
      </c>
      <c r="T13" s="32">
        <f t="shared" si="9"/>
        <v>557377.01627843908</v>
      </c>
      <c r="U13" s="32">
        <f t="shared" si="9"/>
        <v>561883.81484122365</v>
      </c>
      <c r="V13" s="32">
        <f t="shared" si="9"/>
        <v>566435.68138963566</v>
      </c>
      <c r="W13" s="32">
        <f t="shared" si="9"/>
        <v>571033.06660353206</v>
      </c>
      <c r="X13" s="32">
        <f t="shared" si="9"/>
        <v>575676.42566956743</v>
      </c>
      <c r="Y13" s="32">
        <f t="shared" si="9"/>
        <v>608897.93401626428</v>
      </c>
      <c r="Z13" s="32">
        <f t="shared" si="9"/>
        <v>613919.94175642682</v>
      </c>
      <c r="AA13" s="32">
        <f t="shared" si="9"/>
        <v>618992.16957399109</v>
      </c>
      <c r="AB13" s="32">
        <f t="shared" si="9"/>
        <v>624115.11966973101</v>
      </c>
      <c r="AC13" s="32">
        <f t="shared" si="9"/>
        <v>629289.29926642822</v>
      </c>
      <c r="AD13" s="32">
        <f t="shared" si="9"/>
        <v>634515.22065909253</v>
      </c>
      <c r="AE13" s="32">
        <f t="shared" si="9"/>
        <v>639793.40126568358</v>
      </c>
      <c r="AF13" s="32">
        <f t="shared" si="9"/>
        <v>645124.36367834033</v>
      </c>
      <c r="AG13" s="32">
        <f t="shared" si="9"/>
        <v>650508.63571512373</v>
      </c>
      <c r="AH13" s="32">
        <f t="shared" si="9"/>
        <v>655946.75047227496</v>
      </c>
      <c r="AI13" s="32"/>
      <c r="AJ13" s="32"/>
      <c r="AK13" s="32"/>
      <c r="AL13" s="32"/>
      <c r="AM13" s="32"/>
      <c r="AN13" s="32"/>
      <c r="AO13" s="32"/>
      <c r="AP13" s="32"/>
      <c r="AQ13" s="32"/>
      <c r="AR13" s="32"/>
      <c r="AS13" s="32"/>
      <c r="AT13" s="32">
        <v>44364.983973954419</v>
      </c>
      <c r="AU13" s="32"/>
      <c r="AV13" s="32"/>
      <c r="AW13" s="32"/>
    </row>
    <row r="14" spans="1:49" x14ac:dyDescent="0.35">
      <c r="A14" s="1" t="s">
        <v>266</v>
      </c>
      <c r="B14" s="32">
        <f>B13*12</f>
        <v>1188</v>
      </c>
      <c r="D14" s="1" t="s">
        <v>198</v>
      </c>
      <c r="E14" s="32">
        <f>$B$2/(1+$B$1)^(E1-2024)</f>
        <v>9215.6862745098042</v>
      </c>
      <c r="F14" s="32">
        <f t="shared" ref="F14:AH14" si="10">$B$2/(1+$B$1)^(F1-2024)</f>
        <v>9034.9865436370619</v>
      </c>
      <c r="G14" s="32">
        <f t="shared" si="10"/>
        <v>8857.8299447422196</v>
      </c>
      <c r="H14" s="32">
        <f t="shared" si="10"/>
        <v>8684.1470046492341</v>
      </c>
      <c r="I14" s="32">
        <f t="shared" si="10"/>
        <v>8513.8696124012095</v>
      </c>
      <c r="J14" s="32">
        <f t="shared" si="10"/>
        <v>8346.9309925502057</v>
      </c>
      <c r="K14" s="32">
        <f t="shared" si="10"/>
        <v>8183.2656789707908</v>
      </c>
      <c r="L14" s="32">
        <f t="shared" si="10"/>
        <v>8022.8094891870487</v>
      </c>
      <c r="M14" s="32">
        <f t="shared" si="10"/>
        <v>7865.4994992029897</v>
      </c>
      <c r="N14" s="32">
        <f t="shared" si="10"/>
        <v>7711.2740188264597</v>
      </c>
      <c r="O14" s="32">
        <f t="shared" si="10"/>
        <v>7560.0725674769228</v>
      </c>
      <c r="P14" s="32">
        <f t="shared" si="10"/>
        <v>7411.8358504675698</v>
      </c>
      <c r="Q14" s="32">
        <f t="shared" si="10"/>
        <v>7266.5057357525202</v>
      </c>
      <c r="R14" s="32">
        <f t="shared" si="10"/>
        <v>7124.0252311299209</v>
      </c>
      <c r="S14" s="32">
        <f t="shared" si="10"/>
        <v>6984.3384618920809</v>
      </c>
      <c r="T14" s="32">
        <f t="shared" si="10"/>
        <v>6847.3906489138044</v>
      </c>
      <c r="U14" s="32">
        <f t="shared" si="10"/>
        <v>6713.1280871703957</v>
      </c>
      <c r="V14" s="32">
        <f t="shared" si="10"/>
        <v>6581.4981246768593</v>
      </c>
      <c r="W14" s="32">
        <f t="shared" si="10"/>
        <v>6452.4491418400585</v>
      </c>
      <c r="X14" s="32">
        <f t="shared" si="10"/>
        <v>6325.930531215743</v>
      </c>
      <c r="Y14" s="32">
        <f t="shared" si="10"/>
        <v>6201.892677662493</v>
      </c>
      <c r="Z14" s="32">
        <f t="shared" si="10"/>
        <v>6080.2869388847967</v>
      </c>
      <c r="AA14" s="32">
        <f t="shared" si="10"/>
        <v>5961.0656263576448</v>
      </c>
      <c r="AB14" s="32">
        <f t="shared" si="10"/>
        <v>5844.1819866251417</v>
      </c>
      <c r="AC14" s="32">
        <f t="shared" si="10"/>
        <v>5729.590182965826</v>
      </c>
      <c r="AD14" s="32">
        <f t="shared" si="10"/>
        <v>5617.2452774174753</v>
      </c>
      <c r="AE14" s="32">
        <f t="shared" si="10"/>
        <v>5507.1032131543889</v>
      </c>
      <c r="AF14" s="32">
        <f t="shared" si="10"/>
        <v>5399.1207972101838</v>
      </c>
      <c r="AG14" s="32">
        <f t="shared" si="10"/>
        <v>5293.2556835393971</v>
      </c>
      <c r="AH14" s="32">
        <f t="shared" si="10"/>
        <v>5189.4663564111725</v>
      </c>
      <c r="AI14" s="32"/>
      <c r="AJ14" s="32"/>
      <c r="AK14" s="32"/>
      <c r="AL14" s="32"/>
      <c r="AM14" s="32"/>
      <c r="AN14" s="32"/>
      <c r="AO14" s="32"/>
      <c r="AP14" s="32"/>
      <c r="AQ14" s="32"/>
      <c r="AR14" s="32"/>
      <c r="AS14" s="32"/>
      <c r="AT14" s="32">
        <v>44738.006886462266</v>
      </c>
      <c r="AU14" s="32"/>
      <c r="AV14" s="32"/>
      <c r="AW14" s="32"/>
    </row>
    <row r="15" spans="1:49" x14ac:dyDescent="0.35">
      <c r="D15" s="1" t="s">
        <v>201</v>
      </c>
      <c r="E15" s="32">
        <f>E13-E14</f>
        <v>453589.62012784311</v>
      </c>
      <c r="F15" s="32">
        <f t="shared" ref="F15:AH15" si="11">F13-F14</f>
        <v>457331.40132273937</v>
      </c>
      <c r="G15" s="32">
        <f t="shared" si="11"/>
        <v>461105.25020029803</v>
      </c>
      <c r="H15" s="32">
        <f t="shared" si="11"/>
        <v>480325.63374858623</v>
      </c>
      <c r="I15" s="32">
        <f t="shared" si="11"/>
        <v>484319.03734836658</v>
      </c>
      <c r="J15" s="32">
        <f t="shared" si="11"/>
        <v>488347.3334378252</v>
      </c>
      <c r="K15" s="32">
        <f t="shared" si="11"/>
        <v>492410.96979570849</v>
      </c>
      <c r="L15" s="32">
        <f t="shared" si="11"/>
        <v>514869.63649469125</v>
      </c>
      <c r="M15" s="32">
        <f t="shared" si="11"/>
        <v>519188.89934451395</v>
      </c>
      <c r="N15" s="32">
        <f t="shared" si="11"/>
        <v>523546.69721332769</v>
      </c>
      <c r="O15" s="32">
        <f t="shared" si="11"/>
        <v>527943.50677699875</v>
      </c>
      <c r="P15" s="32">
        <f t="shared" si="11"/>
        <v>532379.80768745299</v>
      </c>
      <c r="Q15" s="32">
        <f t="shared" si="11"/>
        <v>536856.08263754717</v>
      </c>
      <c r="R15" s="32">
        <f t="shared" si="11"/>
        <v>541372.8174259027</v>
      </c>
      <c r="S15" s="32">
        <f t="shared" si="11"/>
        <v>545930.50102171104</v>
      </c>
      <c r="T15" s="32">
        <f t="shared" si="11"/>
        <v>550529.62562952528</v>
      </c>
      <c r="U15" s="32">
        <f t="shared" si="11"/>
        <v>555170.68675405323</v>
      </c>
      <c r="V15" s="32">
        <f t="shared" si="11"/>
        <v>559854.18326495879</v>
      </c>
      <c r="W15" s="32">
        <f t="shared" si="11"/>
        <v>564580.61746169196</v>
      </c>
      <c r="X15" s="32">
        <f t="shared" si="11"/>
        <v>569350.49513835169</v>
      </c>
      <c r="Y15" s="32">
        <f t="shared" si="11"/>
        <v>602696.04133860173</v>
      </c>
      <c r="Z15" s="32">
        <f t="shared" si="11"/>
        <v>607839.65481754206</v>
      </c>
      <c r="AA15" s="32">
        <f t="shared" si="11"/>
        <v>613031.10394763341</v>
      </c>
      <c r="AB15" s="32">
        <f t="shared" si="11"/>
        <v>618270.93768310582</v>
      </c>
      <c r="AC15" s="32">
        <f t="shared" si="11"/>
        <v>623559.70908346237</v>
      </c>
      <c r="AD15" s="32">
        <f t="shared" si="11"/>
        <v>628897.97538167506</v>
      </c>
      <c r="AE15" s="32">
        <f t="shared" si="11"/>
        <v>634286.29805252922</v>
      </c>
      <c r="AF15" s="32">
        <f t="shared" si="11"/>
        <v>639725.24288113019</v>
      </c>
      <c r="AG15" s="32">
        <f t="shared" si="11"/>
        <v>645215.3800315843</v>
      </c>
      <c r="AH15" s="32">
        <f t="shared" si="11"/>
        <v>650757.28411586373</v>
      </c>
      <c r="AI15" s="32"/>
      <c r="AJ15" s="32"/>
      <c r="AK15" s="32"/>
      <c r="AL15" s="32"/>
      <c r="AM15" s="32"/>
      <c r="AN15" s="32"/>
      <c r="AO15" s="32"/>
      <c r="AP15" s="32"/>
      <c r="AQ15" s="32"/>
      <c r="AR15" s="32"/>
      <c r="AS15" s="32"/>
      <c r="AT15" s="32">
        <v>45114.401452158556</v>
      </c>
      <c r="AU15" s="32"/>
      <c r="AV15" s="32"/>
      <c r="AW15" s="32"/>
    </row>
    <row r="16" spans="1:49" x14ac:dyDescent="0.35">
      <c r="D16" s="1" t="s">
        <v>202</v>
      </c>
      <c r="E16" s="32">
        <f>E15/12</f>
        <v>37799.13501065359</v>
      </c>
      <c r="F16" s="32">
        <f t="shared" ref="F16:AH16" si="12">F15/12</f>
        <v>38110.950110228281</v>
      </c>
      <c r="G16" s="32">
        <f t="shared" si="12"/>
        <v>38425.437516691505</v>
      </c>
      <c r="H16" s="32">
        <f t="shared" si="12"/>
        <v>40027.136145715522</v>
      </c>
      <c r="I16" s="32">
        <f t="shared" si="12"/>
        <v>40359.919779030548</v>
      </c>
      <c r="J16" s="32">
        <f t="shared" si="12"/>
        <v>40695.611119818765</v>
      </c>
      <c r="K16" s="32">
        <f t="shared" si="12"/>
        <v>41034.247482975705</v>
      </c>
      <c r="L16" s="32">
        <f t="shared" si="12"/>
        <v>42905.803041224273</v>
      </c>
      <c r="M16" s="32">
        <f t="shared" si="12"/>
        <v>43265.741612042832</v>
      </c>
      <c r="N16" s="32">
        <f t="shared" si="12"/>
        <v>43628.891434443976</v>
      </c>
      <c r="O16" s="32">
        <f t="shared" si="12"/>
        <v>43995.292231416563</v>
      </c>
      <c r="P16" s="32">
        <f t="shared" si="12"/>
        <v>44364.983973954419</v>
      </c>
      <c r="Q16" s="32">
        <f t="shared" si="12"/>
        <v>44738.006886462266</v>
      </c>
      <c r="R16" s="32">
        <f t="shared" si="12"/>
        <v>45114.401452158556</v>
      </c>
      <c r="S16" s="32">
        <f t="shared" si="12"/>
        <v>45494.208418475922</v>
      </c>
      <c r="T16" s="32">
        <f t="shared" si="12"/>
        <v>45877.46880246044</v>
      </c>
      <c r="U16" s="32">
        <f t="shared" si="12"/>
        <v>46264.223896171105</v>
      </c>
      <c r="V16" s="32">
        <f t="shared" si="12"/>
        <v>46654.515272079901</v>
      </c>
      <c r="W16" s="32">
        <f t="shared" si="12"/>
        <v>47048.38478847433</v>
      </c>
      <c r="X16" s="32">
        <f t="shared" si="12"/>
        <v>47445.874594862638</v>
      </c>
      <c r="Y16" s="32">
        <f t="shared" si="12"/>
        <v>50224.670111550142</v>
      </c>
      <c r="Z16" s="32">
        <f t="shared" si="12"/>
        <v>50653.304568128508</v>
      </c>
      <c r="AA16" s="32">
        <f t="shared" si="12"/>
        <v>51085.925328969453</v>
      </c>
      <c r="AB16" s="32">
        <f t="shared" si="12"/>
        <v>51522.578140258818</v>
      </c>
      <c r="AC16" s="32">
        <f t="shared" si="12"/>
        <v>51963.309090288531</v>
      </c>
      <c r="AD16" s="32">
        <f t="shared" si="12"/>
        <v>52408.164615139591</v>
      </c>
      <c r="AE16" s="32">
        <f t="shared" si="12"/>
        <v>52857.191504377435</v>
      </c>
      <c r="AF16" s="32">
        <f t="shared" si="12"/>
        <v>53310.43690676085</v>
      </c>
      <c r="AG16" s="32">
        <f t="shared" si="12"/>
        <v>53767.94833596536</v>
      </c>
      <c r="AH16" s="32">
        <f t="shared" si="12"/>
        <v>54229.77367632198</v>
      </c>
      <c r="AI16" s="32"/>
      <c r="AJ16" s="32"/>
      <c r="AK16" s="32"/>
      <c r="AL16" s="32"/>
      <c r="AM16" s="32"/>
      <c r="AN16" s="32"/>
      <c r="AO16" s="32"/>
      <c r="AP16" s="32"/>
      <c r="AQ16" s="32"/>
      <c r="AR16" s="32"/>
      <c r="AS16" s="32"/>
      <c r="AT16" s="32">
        <v>45494.208418475922</v>
      </c>
      <c r="AU16" s="32"/>
      <c r="AV16" s="32"/>
      <c r="AW16" s="32"/>
    </row>
    <row r="17" spans="3:46" x14ac:dyDescent="0.35">
      <c r="AT17" s="1">
        <v>45877.46880246044</v>
      </c>
    </row>
    <row r="18" spans="3:46" x14ac:dyDescent="0.35">
      <c r="AT18" s="1">
        <v>46264.223896171105</v>
      </c>
    </row>
    <row r="19" spans="3:46" x14ac:dyDescent="0.35">
      <c r="C19" s="18"/>
      <c r="AT19" s="1">
        <v>46654.515272079901</v>
      </c>
    </row>
    <row r="20" spans="3:46" x14ac:dyDescent="0.35">
      <c r="D20" s="30"/>
      <c r="AT20" s="1">
        <v>47048.38478847433</v>
      </c>
    </row>
    <row r="21" spans="3:46" x14ac:dyDescent="0.35">
      <c r="D21" s="1" t="s">
        <v>1</v>
      </c>
      <c r="E21" s="1">
        <v>2055</v>
      </c>
      <c r="F21" s="1">
        <v>2056</v>
      </c>
      <c r="G21" s="1">
        <v>2057</v>
      </c>
      <c r="H21" s="1">
        <v>2058</v>
      </c>
      <c r="I21" s="1">
        <v>2059</v>
      </c>
      <c r="J21" s="1">
        <v>2060</v>
      </c>
      <c r="K21" s="1">
        <v>2061</v>
      </c>
      <c r="L21" s="1">
        <v>2062</v>
      </c>
      <c r="M21" s="1">
        <v>2063</v>
      </c>
      <c r="N21" s="1">
        <v>2064</v>
      </c>
      <c r="O21" s="1">
        <v>2065</v>
      </c>
      <c r="P21" s="1">
        <v>2066</v>
      </c>
      <c r="Q21" s="1">
        <v>2067</v>
      </c>
      <c r="R21" s="1">
        <v>2068</v>
      </c>
      <c r="S21" s="1">
        <v>2069</v>
      </c>
      <c r="T21" s="1">
        <v>2070</v>
      </c>
      <c r="U21" s="1">
        <v>2071</v>
      </c>
      <c r="V21" s="1">
        <v>2072</v>
      </c>
      <c r="W21" s="1">
        <v>2073</v>
      </c>
      <c r="X21" s="1">
        <v>2074</v>
      </c>
      <c r="Y21" s="1">
        <v>2075</v>
      </c>
      <c r="Z21" s="1">
        <v>2076</v>
      </c>
      <c r="AA21" s="1">
        <v>2077</v>
      </c>
      <c r="AB21" s="1">
        <v>2078</v>
      </c>
      <c r="AC21" s="1">
        <v>2079</v>
      </c>
      <c r="AT21" s="1">
        <v>47445.874594862638</v>
      </c>
    </row>
    <row r="22" spans="3:46" x14ac:dyDescent="0.35">
      <c r="D22" s="18" t="s">
        <v>209</v>
      </c>
      <c r="E22" s="30">
        <f>'Pensions P1'!$B$14+'Pensions P1'!$B$22+'Pensions P1'!$B$31</f>
        <v>38602.249473454314</v>
      </c>
      <c r="F22" s="30">
        <f>'Pensions P1'!$B$14+'Pensions P1'!$B$22+'Pensions P1'!$B$31</f>
        <v>38602.249473454314</v>
      </c>
      <c r="G22" s="30">
        <f>'Pensions P1'!$B$14+'Pensions P1'!$B$22+'Pensions P1'!$B$31</f>
        <v>38602.249473454314</v>
      </c>
      <c r="H22" s="30">
        <f>'Pensions P1'!$B$14+'Pensions P1'!$B$22+'Pensions P1'!$B$31</f>
        <v>38602.249473454314</v>
      </c>
      <c r="I22" s="30">
        <f>'Pensions P1'!$B$14+'Pensions P1'!$B$22+'Pensions P1'!$B$31</f>
        <v>38602.249473454314</v>
      </c>
      <c r="J22" s="30">
        <f>'Pensions P1'!$B$14+'Pensions P1'!$B$22+'Pensions P1'!$B$31</f>
        <v>38602.249473454314</v>
      </c>
      <c r="K22" s="30">
        <f>'Pensions P1'!$B$14+'Pensions P1'!$B$22+'Pensions P1'!$B$31</f>
        <v>38602.249473454314</v>
      </c>
      <c r="L22" s="30">
        <f>'Pensions P1'!$B$14+'Pensions P1'!$B$22+'Pensions P1'!$B$31</f>
        <v>38602.249473454314</v>
      </c>
      <c r="M22" s="30">
        <f>'Pensions P1'!$B$14+'Pensions P1'!$B$22+'Pensions P1'!$B$31</f>
        <v>38602.249473454314</v>
      </c>
      <c r="N22" s="30">
        <f>'Pensions P1'!$B$14+'Pensions P1'!$B$22+'Pensions P1'!$B$31</f>
        <v>38602.249473454314</v>
      </c>
      <c r="O22" s="30">
        <f>'Pensions P1'!$B$14+'Pensions P1'!$B$22+'Pensions P1'!$B$31</f>
        <v>38602.249473454314</v>
      </c>
      <c r="P22" s="30">
        <f>'Pensions P1'!$B$14+'Pensions P1'!$B$22+'Pensions P1'!$B$31</f>
        <v>38602.249473454314</v>
      </c>
      <c r="Q22" s="30">
        <f>'Pensions P1'!$B$14+'Pensions P1'!$B$22+'Pensions P1'!$B$31</f>
        <v>38602.249473454314</v>
      </c>
      <c r="R22" s="30">
        <f>'Pensions P1'!$B$14+'Pensions P1'!$B$22+'Pensions P1'!$B$31</f>
        <v>38602.249473454314</v>
      </c>
      <c r="S22" s="30">
        <f>'Pensions P1'!$B$14+'Pensions P1'!$B$22+'Pensions P1'!$B$31</f>
        <v>38602.249473454314</v>
      </c>
      <c r="T22" s="30">
        <f>'Pensions P1'!$B$14+'Pensions P1'!$B$22+'Pensions P1'!$B$31</f>
        <v>38602.249473454314</v>
      </c>
      <c r="U22" s="30">
        <f>'Pensions P1'!$B$14+'Pensions P1'!$B$22+'Pensions P1'!$B$31</f>
        <v>38602.249473454314</v>
      </c>
      <c r="V22" s="30">
        <f>'Pensions P1'!$B$14+'Pensions P1'!$B$22+'Pensions P1'!$B$31</f>
        <v>38602.249473454314</v>
      </c>
      <c r="W22" s="30">
        <f>'Pensions P1'!$B$14+'Pensions P1'!$B$22+'Pensions P1'!$B$31</f>
        <v>38602.249473454314</v>
      </c>
      <c r="X22" s="30">
        <f>'Pensions P1'!$B$14+'Pensions P1'!$B$22+'Pensions P1'!$B$31</f>
        <v>38602.249473454314</v>
      </c>
      <c r="Y22" s="30">
        <f>'Pensions P1'!$B$14+'Pensions P1'!$B$22+'Pensions P1'!$B$31</f>
        <v>38602.249473454314</v>
      </c>
      <c r="Z22" s="30">
        <f>'Pensions P1'!$B$14+'Pensions P1'!$B$22+'Pensions P1'!$B$31</f>
        <v>38602.249473454314</v>
      </c>
      <c r="AA22" s="30">
        <f>'Pensions P1'!$B$14+'Pensions P1'!$B$22+'Pensions P1'!$B$31</f>
        <v>38602.249473454314</v>
      </c>
      <c r="AB22" s="30">
        <f>'Pensions P1'!$B$14+'Pensions P1'!$B$22+'Pensions P1'!$B$31</f>
        <v>38602.249473454314</v>
      </c>
      <c r="AC22" s="30">
        <f>'Pensions P1'!$B$14+'Pensions P1'!$B$22+'Pensions P1'!$B$31</f>
        <v>38602.249473454314</v>
      </c>
      <c r="AT22" s="1">
        <v>50224.670111550142</v>
      </c>
    </row>
    <row r="23" spans="3:46" x14ac:dyDescent="0.3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T23" s="1">
        <v>50653.304568128508</v>
      </c>
    </row>
    <row r="24" spans="3:46" x14ac:dyDescent="0.35">
      <c r="D24" s="1" t="s">
        <v>210</v>
      </c>
      <c r="E24" s="30">
        <f>E22*12</f>
        <v>463226.99368145177</v>
      </c>
      <c r="F24" s="30">
        <f t="shared" ref="F24:AC24" si="13">F22*12</f>
        <v>463226.99368145177</v>
      </c>
      <c r="G24" s="30">
        <f t="shared" si="13"/>
        <v>463226.99368145177</v>
      </c>
      <c r="H24" s="30">
        <f t="shared" si="13"/>
        <v>463226.99368145177</v>
      </c>
      <c r="I24" s="30">
        <f t="shared" si="13"/>
        <v>463226.99368145177</v>
      </c>
      <c r="J24" s="30">
        <f t="shared" si="13"/>
        <v>463226.99368145177</v>
      </c>
      <c r="K24" s="30">
        <f t="shared" si="13"/>
        <v>463226.99368145177</v>
      </c>
      <c r="L24" s="30">
        <f t="shared" si="13"/>
        <v>463226.99368145177</v>
      </c>
      <c r="M24" s="30">
        <f t="shared" si="13"/>
        <v>463226.99368145177</v>
      </c>
      <c r="N24" s="30">
        <f t="shared" si="13"/>
        <v>463226.99368145177</v>
      </c>
      <c r="O24" s="30">
        <f t="shared" si="13"/>
        <v>463226.99368145177</v>
      </c>
      <c r="P24" s="30">
        <f t="shared" si="13"/>
        <v>463226.99368145177</v>
      </c>
      <c r="Q24" s="30">
        <f t="shared" si="13"/>
        <v>463226.99368145177</v>
      </c>
      <c r="R24" s="30">
        <f t="shared" si="13"/>
        <v>463226.99368145177</v>
      </c>
      <c r="S24" s="30">
        <f t="shared" si="13"/>
        <v>463226.99368145177</v>
      </c>
      <c r="T24" s="30">
        <f t="shared" si="13"/>
        <v>463226.99368145177</v>
      </c>
      <c r="U24" s="30">
        <f t="shared" si="13"/>
        <v>463226.99368145177</v>
      </c>
      <c r="V24" s="30">
        <f t="shared" si="13"/>
        <v>463226.99368145177</v>
      </c>
      <c r="W24" s="30">
        <f t="shared" si="13"/>
        <v>463226.99368145177</v>
      </c>
      <c r="X24" s="30">
        <f t="shared" si="13"/>
        <v>463226.99368145177</v>
      </c>
      <c r="Y24" s="30">
        <f t="shared" si="13"/>
        <v>463226.99368145177</v>
      </c>
      <c r="Z24" s="30">
        <f t="shared" si="13"/>
        <v>463226.99368145177</v>
      </c>
      <c r="AA24" s="30">
        <f t="shared" si="13"/>
        <v>463226.99368145177</v>
      </c>
      <c r="AB24" s="30">
        <f t="shared" si="13"/>
        <v>463226.99368145177</v>
      </c>
      <c r="AC24" s="30">
        <f t="shared" si="13"/>
        <v>463226.99368145177</v>
      </c>
      <c r="AT24" s="1">
        <v>51085.925328969453</v>
      </c>
    </row>
    <row r="25" spans="3:46" x14ac:dyDescent="0.35">
      <c r="D25" s="1" t="s">
        <v>193</v>
      </c>
      <c r="E25" s="30">
        <f>E24*$B$9</f>
        <v>115806.74842036294</v>
      </c>
      <c r="F25" s="30">
        <f t="shared" ref="F25:AC25" si="14">F24*$B$9</f>
        <v>115806.74842036294</v>
      </c>
      <c r="G25" s="30">
        <f t="shared" si="14"/>
        <v>115806.74842036294</v>
      </c>
      <c r="H25" s="30">
        <f t="shared" si="14"/>
        <v>115806.74842036294</v>
      </c>
      <c r="I25" s="30">
        <f t="shared" si="14"/>
        <v>115806.74842036294</v>
      </c>
      <c r="J25" s="30">
        <f t="shared" si="14"/>
        <v>115806.74842036294</v>
      </c>
      <c r="K25" s="30">
        <f t="shared" si="14"/>
        <v>115806.74842036294</v>
      </c>
      <c r="L25" s="30">
        <f t="shared" si="14"/>
        <v>115806.74842036294</v>
      </c>
      <c r="M25" s="30">
        <f t="shared" si="14"/>
        <v>115806.74842036294</v>
      </c>
      <c r="N25" s="30">
        <f t="shared" si="14"/>
        <v>115806.74842036294</v>
      </c>
      <c r="O25" s="30">
        <f t="shared" si="14"/>
        <v>115806.74842036294</v>
      </c>
      <c r="P25" s="30">
        <f t="shared" si="14"/>
        <v>115806.74842036294</v>
      </c>
      <c r="Q25" s="30">
        <f t="shared" si="14"/>
        <v>115806.74842036294</v>
      </c>
      <c r="R25" s="30">
        <f t="shared" si="14"/>
        <v>115806.74842036294</v>
      </c>
      <c r="S25" s="30">
        <f t="shared" si="14"/>
        <v>115806.74842036294</v>
      </c>
      <c r="T25" s="30">
        <f t="shared" si="14"/>
        <v>115806.74842036294</v>
      </c>
      <c r="U25" s="30">
        <f t="shared" si="14"/>
        <v>115806.74842036294</v>
      </c>
      <c r="V25" s="30">
        <f t="shared" si="14"/>
        <v>115806.74842036294</v>
      </c>
      <c r="W25" s="30">
        <f t="shared" si="14"/>
        <v>115806.74842036294</v>
      </c>
      <c r="X25" s="30">
        <f t="shared" si="14"/>
        <v>115806.74842036294</v>
      </c>
      <c r="Y25" s="30">
        <f t="shared" si="14"/>
        <v>115806.74842036294</v>
      </c>
      <c r="Z25" s="30">
        <f t="shared" si="14"/>
        <v>115806.74842036294</v>
      </c>
      <c r="AA25" s="30">
        <f t="shared" si="14"/>
        <v>115806.74842036294</v>
      </c>
      <c r="AB25" s="30">
        <f t="shared" si="14"/>
        <v>115806.74842036294</v>
      </c>
      <c r="AC25" s="30">
        <f t="shared" si="14"/>
        <v>115806.74842036294</v>
      </c>
      <c r="AT25" s="1">
        <v>51522.578140258818</v>
      </c>
    </row>
    <row r="26" spans="3:46" x14ac:dyDescent="0.35">
      <c r="D26" s="1" t="s">
        <v>194</v>
      </c>
      <c r="E26" s="30">
        <f>MAX(E24-$B$8,0)*$B$7</f>
        <v>0</v>
      </c>
      <c r="F26" s="30">
        <f t="shared" ref="F26:AC26" si="15">MAX(F24-$B$8,0)*$B$7</f>
        <v>0</v>
      </c>
      <c r="G26" s="30">
        <f t="shared" si="15"/>
        <v>0</v>
      </c>
      <c r="H26" s="30">
        <f t="shared" si="15"/>
        <v>0</v>
      </c>
      <c r="I26" s="30">
        <f t="shared" si="15"/>
        <v>0</v>
      </c>
      <c r="J26" s="30">
        <f t="shared" si="15"/>
        <v>0</v>
      </c>
      <c r="K26" s="30">
        <f t="shared" si="15"/>
        <v>0</v>
      </c>
      <c r="L26" s="30">
        <f t="shared" si="15"/>
        <v>0</v>
      </c>
      <c r="M26" s="30">
        <f t="shared" si="15"/>
        <v>0</v>
      </c>
      <c r="N26" s="30">
        <f t="shared" si="15"/>
        <v>0</v>
      </c>
      <c r="O26" s="30">
        <f t="shared" si="15"/>
        <v>0</v>
      </c>
      <c r="P26" s="30">
        <f t="shared" si="15"/>
        <v>0</v>
      </c>
      <c r="Q26" s="30">
        <f t="shared" si="15"/>
        <v>0</v>
      </c>
      <c r="R26" s="30">
        <f t="shared" si="15"/>
        <v>0</v>
      </c>
      <c r="S26" s="30">
        <f t="shared" si="15"/>
        <v>0</v>
      </c>
      <c r="T26" s="30">
        <f t="shared" si="15"/>
        <v>0</v>
      </c>
      <c r="U26" s="30">
        <f t="shared" si="15"/>
        <v>0</v>
      </c>
      <c r="V26" s="30">
        <f t="shared" si="15"/>
        <v>0</v>
      </c>
      <c r="W26" s="30">
        <f t="shared" si="15"/>
        <v>0</v>
      </c>
      <c r="X26" s="30">
        <f t="shared" si="15"/>
        <v>0</v>
      </c>
      <c r="Y26" s="30">
        <f t="shared" si="15"/>
        <v>0</v>
      </c>
      <c r="Z26" s="30">
        <f t="shared" si="15"/>
        <v>0</v>
      </c>
      <c r="AA26" s="30">
        <f t="shared" si="15"/>
        <v>0</v>
      </c>
      <c r="AB26" s="30">
        <f t="shared" si="15"/>
        <v>0</v>
      </c>
      <c r="AC26" s="30">
        <f t="shared" si="15"/>
        <v>0</v>
      </c>
      <c r="AT26" s="1">
        <v>51963.309090288531</v>
      </c>
    </row>
    <row r="27" spans="3:46" x14ac:dyDescent="0.35">
      <c r="D27" s="1" t="s">
        <v>195</v>
      </c>
      <c r="E27" s="30">
        <f>E24*$B$6</f>
        <v>55633.561941142354</v>
      </c>
      <c r="F27" s="30">
        <f t="shared" ref="F27:AC27" si="16">F24*$B$6</f>
        <v>55633.561941142354</v>
      </c>
      <c r="G27" s="30">
        <f t="shared" si="16"/>
        <v>55633.561941142354</v>
      </c>
      <c r="H27" s="30">
        <f t="shared" si="16"/>
        <v>55633.561941142354</v>
      </c>
      <c r="I27" s="30">
        <f t="shared" si="16"/>
        <v>55633.561941142354</v>
      </c>
      <c r="J27" s="30">
        <f t="shared" si="16"/>
        <v>55633.561941142354</v>
      </c>
      <c r="K27" s="30">
        <f t="shared" si="16"/>
        <v>55633.561941142354</v>
      </c>
      <c r="L27" s="30">
        <f t="shared" si="16"/>
        <v>55633.561941142354</v>
      </c>
      <c r="M27" s="30">
        <f t="shared" si="16"/>
        <v>55633.561941142354</v>
      </c>
      <c r="N27" s="30">
        <f t="shared" si="16"/>
        <v>55633.561941142354</v>
      </c>
      <c r="O27" s="30">
        <f t="shared" si="16"/>
        <v>55633.561941142354</v>
      </c>
      <c r="P27" s="30">
        <f t="shared" si="16"/>
        <v>55633.561941142354</v>
      </c>
      <c r="Q27" s="30">
        <f t="shared" si="16"/>
        <v>55633.561941142354</v>
      </c>
      <c r="R27" s="30">
        <f t="shared" si="16"/>
        <v>55633.561941142354</v>
      </c>
      <c r="S27" s="30">
        <f t="shared" si="16"/>
        <v>55633.561941142354</v>
      </c>
      <c r="T27" s="30">
        <f t="shared" si="16"/>
        <v>55633.561941142354</v>
      </c>
      <c r="U27" s="30">
        <f t="shared" si="16"/>
        <v>55633.561941142354</v>
      </c>
      <c r="V27" s="30">
        <f t="shared" si="16"/>
        <v>55633.561941142354</v>
      </c>
      <c r="W27" s="30">
        <f t="shared" si="16"/>
        <v>55633.561941142354</v>
      </c>
      <c r="X27" s="30">
        <f t="shared" si="16"/>
        <v>55633.561941142354</v>
      </c>
      <c r="Y27" s="30">
        <f t="shared" si="16"/>
        <v>55633.561941142354</v>
      </c>
      <c r="Z27" s="30">
        <f t="shared" si="16"/>
        <v>55633.561941142354</v>
      </c>
      <c r="AA27" s="30">
        <f t="shared" si="16"/>
        <v>55633.561941142354</v>
      </c>
      <c r="AB27" s="30">
        <f t="shared" si="16"/>
        <v>55633.561941142354</v>
      </c>
      <c r="AC27" s="30">
        <f t="shared" si="16"/>
        <v>55633.561941142354</v>
      </c>
      <c r="AT27" s="1">
        <v>52408.164615139591</v>
      </c>
    </row>
    <row r="28" spans="3:46" x14ac:dyDescent="0.35">
      <c r="D28" s="1" t="s">
        <v>196</v>
      </c>
      <c r="E28" s="30">
        <f>SUM(E25:E27)</f>
        <v>171440.31036150531</v>
      </c>
      <c r="F28" s="30">
        <f t="shared" ref="F28:AC28" si="17">SUM(F25:F27)</f>
        <v>171440.31036150531</v>
      </c>
      <c r="G28" s="30">
        <f t="shared" si="17"/>
        <v>171440.31036150531</v>
      </c>
      <c r="H28" s="30">
        <f t="shared" si="17"/>
        <v>171440.31036150531</v>
      </c>
      <c r="I28" s="30">
        <f t="shared" si="17"/>
        <v>171440.31036150531</v>
      </c>
      <c r="J28" s="30">
        <f t="shared" si="17"/>
        <v>171440.31036150531</v>
      </c>
      <c r="K28" s="30">
        <f t="shared" si="17"/>
        <v>171440.31036150531</v>
      </c>
      <c r="L28" s="30">
        <f t="shared" si="17"/>
        <v>171440.31036150531</v>
      </c>
      <c r="M28" s="30">
        <f t="shared" si="17"/>
        <v>171440.31036150531</v>
      </c>
      <c r="N28" s="30">
        <f t="shared" si="17"/>
        <v>171440.31036150531</v>
      </c>
      <c r="O28" s="30">
        <f t="shared" si="17"/>
        <v>171440.31036150531</v>
      </c>
      <c r="P28" s="30">
        <f t="shared" si="17"/>
        <v>171440.31036150531</v>
      </c>
      <c r="Q28" s="30">
        <f t="shared" si="17"/>
        <v>171440.31036150531</v>
      </c>
      <c r="R28" s="30">
        <f t="shared" si="17"/>
        <v>171440.31036150531</v>
      </c>
      <c r="S28" s="30">
        <f t="shared" si="17"/>
        <v>171440.31036150531</v>
      </c>
      <c r="T28" s="30">
        <f t="shared" si="17"/>
        <v>171440.31036150531</v>
      </c>
      <c r="U28" s="30">
        <f t="shared" si="17"/>
        <v>171440.31036150531</v>
      </c>
      <c r="V28" s="30">
        <f t="shared" si="17"/>
        <v>171440.31036150531</v>
      </c>
      <c r="W28" s="30">
        <f t="shared" si="17"/>
        <v>171440.31036150531</v>
      </c>
      <c r="X28" s="30">
        <f t="shared" si="17"/>
        <v>171440.31036150531</v>
      </c>
      <c r="Y28" s="30">
        <f t="shared" si="17"/>
        <v>171440.31036150531</v>
      </c>
      <c r="Z28" s="30">
        <f t="shared" si="17"/>
        <v>171440.31036150531</v>
      </c>
      <c r="AA28" s="30">
        <f t="shared" si="17"/>
        <v>171440.31036150531</v>
      </c>
      <c r="AB28" s="30">
        <f t="shared" si="17"/>
        <v>171440.31036150531</v>
      </c>
      <c r="AC28" s="30">
        <f t="shared" si="17"/>
        <v>171440.31036150531</v>
      </c>
      <c r="AT28" s="1">
        <v>52857.191504377435</v>
      </c>
    </row>
    <row r="29" spans="3:46" x14ac:dyDescent="0.35">
      <c r="D29" s="1" t="s">
        <v>197</v>
      </c>
      <c r="E29" s="30">
        <f>E24-E28</f>
        <v>291786.68331994646</v>
      </c>
      <c r="F29" s="30">
        <f t="shared" ref="F29:AC29" si="18">F24-F28</f>
        <v>291786.68331994646</v>
      </c>
      <c r="G29" s="30">
        <f t="shared" si="18"/>
        <v>291786.68331994646</v>
      </c>
      <c r="H29" s="30">
        <f t="shared" si="18"/>
        <v>291786.68331994646</v>
      </c>
      <c r="I29" s="30">
        <f t="shared" si="18"/>
        <v>291786.68331994646</v>
      </c>
      <c r="J29" s="30">
        <f t="shared" si="18"/>
        <v>291786.68331994646</v>
      </c>
      <c r="K29" s="30">
        <f t="shared" si="18"/>
        <v>291786.68331994646</v>
      </c>
      <c r="L29" s="30">
        <f t="shared" si="18"/>
        <v>291786.68331994646</v>
      </c>
      <c r="M29" s="30">
        <f t="shared" si="18"/>
        <v>291786.68331994646</v>
      </c>
      <c r="N29" s="30">
        <f t="shared" si="18"/>
        <v>291786.68331994646</v>
      </c>
      <c r="O29" s="30">
        <f t="shared" si="18"/>
        <v>291786.68331994646</v>
      </c>
      <c r="P29" s="30">
        <f t="shared" si="18"/>
        <v>291786.68331994646</v>
      </c>
      <c r="Q29" s="30">
        <f t="shared" si="18"/>
        <v>291786.68331994646</v>
      </c>
      <c r="R29" s="30">
        <f t="shared" si="18"/>
        <v>291786.68331994646</v>
      </c>
      <c r="S29" s="30">
        <f t="shared" si="18"/>
        <v>291786.68331994646</v>
      </c>
      <c r="T29" s="30">
        <f t="shared" si="18"/>
        <v>291786.68331994646</v>
      </c>
      <c r="U29" s="30">
        <f t="shared" si="18"/>
        <v>291786.68331994646</v>
      </c>
      <c r="V29" s="30">
        <f t="shared" si="18"/>
        <v>291786.68331994646</v>
      </c>
      <c r="W29" s="30">
        <f t="shared" si="18"/>
        <v>291786.68331994646</v>
      </c>
      <c r="X29" s="30">
        <f t="shared" si="18"/>
        <v>291786.68331994646</v>
      </c>
      <c r="Y29" s="30">
        <f t="shared" si="18"/>
        <v>291786.68331994646</v>
      </c>
      <c r="Z29" s="30">
        <f t="shared" si="18"/>
        <v>291786.68331994646</v>
      </c>
      <c r="AA29" s="30">
        <f t="shared" si="18"/>
        <v>291786.68331994646</v>
      </c>
      <c r="AB29" s="30">
        <f t="shared" si="18"/>
        <v>291786.68331994646</v>
      </c>
      <c r="AC29" s="30">
        <f t="shared" si="18"/>
        <v>291786.68331994646</v>
      </c>
      <c r="AT29" s="1">
        <v>53310.43690676085</v>
      </c>
    </row>
    <row r="30" spans="3:46" x14ac:dyDescent="0.35">
      <c r="D30" s="1" t="s">
        <v>211</v>
      </c>
      <c r="E30" s="30">
        <f>'Pensions P1'!$B$18</f>
        <v>22526.857194242286</v>
      </c>
      <c r="F30" s="30">
        <f>'Pensions P1'!$B$18</f>
        <v>22526.857194242286</v>
      </c>
      <c r="G30" s="30">
        <f>'Pensions P1'!$B$18</f>
        <v>22526.857194242286</v>
      </c>
      <c r="H30" s="30">
        <f>'Pensions P1'!$B$18</f>
        <v>22526.857194242286</v>
      </c>
      <c r="I30" s="30">
        <f>'Pensions P1'!$B$18</f>
        <v>22526.857194242286</v>
      </c>
      <c r="J30" s="30">
        <f>'Pensions P1'!$B$18</f>
        <v>22526.857194242286</v>
      </c>
      <c r="K30" s="30">
        <f>'Pensions P1'!$B$18</f>
        <v>22526.857194242286</v>
      </c>
      <c r="L30" s="30">
        <f>'Pensions P1'!$B$18</f>
        <v>22526.857194242286</v>
      </c>
      <c r="M30" s="30">
        <f>'Pensions P1'!$B$18</f>
        <v>22526.857194242286</v>
      </c>
      <c r="N30" s="30">
        <f>'Pensions P1'!$B$18</f>
        <v>22526.857194242286</v>
      </c>
      <c r="O30" s="30">
        <f>'Pensions P1'!$B$18</f>
        <v>22526.857194242286</v>
      </c>
      <c r="P30" s="30">
        <f>'Pensions P1'!$B$18</f>
        <v>22526.857194242286</v>
      </c>
      <c r="Q30" s="30">
        <f>'Pensions P1'!$B$18</f>
        <v>22526.857194242286</v>
      </c>
      <c r="R30" s="30">
        <f>'Pensions P1'!$B$18</f>
        <v>22526.857194242286</v>
      </c>
      <c r="S30" s="30">
        <f>'Pensions P1'!$B$18</f>
        <v>22526.857194242286</v>
      </c>
      <c r="T30" s="30">
        <f>'Pensions P1'!$B$18</f>
        <v>22526.857194242286</v>
      </c>
      <c r="U30" s="30">
        <f>'Pensions P1'!$B$18</f>
        <v>22526.857194242286</v>
      </c>
      <c r="V30" s="30">
        <f>'Pensions P1'!$B$18</f>
        <v>22526.857194242286</v>
      </c>
      <c r="W30" s="30">
        <f>'Pensions P1'!$B$18</f>
        <v>22526.857194242286</v>
      </c>
      <c r="X30" s="30">
        <f>'Pensions P1'!$B$18</f>
        <v>22526.857194242286</v>
      </c>
      <c r="Y30" s="30">
        <f>'Pensions P1'!$B$18</f>
        <v>22526.857194242286</v>
      </c>
      <c r="Z30" s="30">
        <f>'Pensions P1'!$B$18</f>
        <v>22526.857194242286</v>
      </c>
      <c r="AA30" s="30">
        <f>'Pensions P1'!$B$18</f>
        <v>22526.857194242286</v>
      </c>
      <c r="AB30" s="30">
        <f>'Pensions P1'!$B$18</f>
        <v>22526.857194242286</v>
      </c>
      <c r="AC30" s="30">
        <f>'Pensions P1'!$B$18</f>
        <v>22526.857194242286</v>
      </c>
      <c r="AT30" s="1">
        <v>53767.94833596536</v>
      </c>
    </row>
    <row r="31" spans="3:46" x14ac:dyDescent="0.35">
      <c r="D31" s="1" t="s">
        <v>201</v>
      </c>
      <c r="E31" s="30">
        <f>E30+E29</f>
        <v>314313.54051418876</v>
      </c>
      <c r="F31" s="30">
        <f t="shared" ref="F31:AC31" si="19">F30+F29</f>
        <v>314313.54051418876</v>
      </c>
      <c r="G31" s="30">
        <f t="shared" si="19"/>
        <v>314313.54051418876</v>
      </c>
      <c r="H31" s="30">
        <f t="shared" si="19"/>
        <v>314313.54051418876</v>
      </c>
      <c r="I31" s="30">
        <f t="shared" si="19"/>
        <v>314313.54051418876</v>
      </c>
      <c r="J31" s="30">
        <f t="shared" si="19"/>
        <v>314313.54051418876</v>
      </c>
      <c r="K31" s="30">
        <f t="shared" si="19"/>
        <v>314313.54051418876</v>
      </c>
      <c r="L31" s="30">
        <f t="shared" si="19"/>
        <v>314313.54051418876</v>
      </c>
      <c r="M31" s="30">
        <f t="shared" si="19"/>
        <v>314313.54051418876</v>
      </c>
      <c r="N31" s="30">
        <f t="shared" si="19"/>
        <v>314313.54051418876</v>
      </c>
      <c r="O31" s="30">
        <f t="shared" si="19"/>
        <v>314313.54051418876</v>
      </c>
      <c r="P31" s="30">
        <f t="shared" si="19"/>
        <v>314313.54051418876</v>
      </c>
      <c r="Q31" s="30">
        <f t="shared" si="19"/>
        <v>314313.54051418876</v>
      </c>
      <c r="R31" s="30">
        <f t="shared" si="19"/>
        <v>314313.54051418876</v>
      </c>
      <c r="S31" s="30">
        <f t="shared" si="19"/>
        <v>314313.54051418876</v>
      </c>
      <c r="T31" s="30">
        <f t="shared" si="19"/>
        <v>314313.54051418876</v>
      </c>
      <c r="U31" s="30">
        <f t="shared" si="19"/>
        <v>314313.54051418876</v>
      </c>
      <c r="V31" s="30">
        <f t="shared" si="19"/>
        <v>314313.54051418876</v>
      </c>
      <c r="W31" s="30">
        <f t="shared" si="19"/>
        <v>314313.54051418876</v>
      </c>
      <c r="X31" s="30">
        <f t="shared" si="19"/>
        <v>314313.54051418876</v>
      </c>
      <c r="Y31" s="30">
        <f t="shared" si="19"/>
        <v>314313.54051418876</v>
      </c>
      <c r="Z31" s="30">
        <f t="shared" si="19"/>
        <v>314313.54051418876</v>
      </c>
      <c r="AA31" s="30">
        <f t="shared" si="19"/>
        <v>314313.54051418876</v>
      </c>
      <c r="AB31" s="30">
        <f t="shared" si="19"/>
        <v>314313.54051418876</v>
      </c>
      <c r="AC31" s="30">
        <f t="shared" si="19"/>
        <v>314313.54051418876</v>
      </c>
      <c r="AT31" s="1">
        <v>54229.77367632198</v>
      </c>
    </row>
    <row r="32" spans="3:46" x14ac:dyDescent="0.35">
      <c r="D32" s="1" t="s">
        <v>202</v>
      </c>
      <c r="E32" s="30">
        <f>E31/12</f>
        <v>26192.795042849062</v>
      </c>
      <c r="F32" s="30">
        <f t="shared" ref="F32:AC32" si="20">F31/12</f>
        <v>26192.795042849062</v>
      </c>
      <c r="G32" s="30">
        <f t="shared" si="20"/>
        <v>26192.795042849062</v>
      </c>
      <c r="H32" s="30">
        <f t="shared" si="20"/>
        <v>26192.795042849062</v>
      </c>
      <c r="I32" s="30">
        <f t="shared" si="20"/>
        <v>26192.795042849062</v>
      </c>
      <c r="J32" s="30">
        <f t="shared" si="20"/>
        <v>26192.795042849062</v>
      </c>
      <c r="K32" s="30">
        <f t="shared" si="20"/>
        <v>26192.795042849062</v>
      </c>
      <c r="L32" s="30">
        <f t="shared" si="20"/>
        <v>26192.795042849062</v>
      </c>
      <c r="M32" s="30">
        <f t="shared" si="20"/>
        <v>26192.795042849062</v>
      </c>
      <c r="N32" s="30">
        <f t="shared" si="20"/>
        <v>26192.795042849062</v>
      </c>
      <c r="O32" s="30">
        <f t="shared" si="20"/>
        <v>26192.795042849062</v>
      </c>
      <c r="P32" s="30">
        <f t="shared" si="20"/>
        <v>26192.795042849062</v>
      </c>
      <c r="Q32" s="30">
        <f t="shared" si="20"/>
        <v>26192.795042849062</v>
      </c>
      <c r="R32" s="30">
        <f t="shared" si="20"/>
        <v>26192.795042849062</v>
      </c>
      <c r="S32" s="30">
        <f t="shared" si="20"/>
        <v>26192.795042849062</v>
      </c>
      <c r="T32" s="30">
        <f t="shared" si="20"/>
        <v>26192.795042849062</v>
      </c>
      <c r="U32" s="30">
        <f t="shared" si="20"/>
        <v>26192.795042849062</v>
      </c>
      <c r="V32" s="30">
        <f t="shared" si="20"/>
        <v>26192.795042849062</v>
      </c>
      <c r="W32" s="30">
        <f t="shared" si="20"/>
        <v>26192.795042849062</v>
      </c>
      <c r="X32" s="30">
        <f t="shared" si="20"/>
        <v>26192.795042849062</v>
      </c>
      <c r="Y32" s="30">
        <f t="shared" si="20"/>
        <v>26192.795042849062</v>
      </c>
      <c r="Z32" s="30">
        <f t="shared" si="20"/>
        <v>26192.795042849062</v>
      </c>
      <c r="AA32" s="30">
        <f t="shared" si="20"/>
        <v>26192.795042849062</v>
      </c>
      <c r="AB32" s="30">
        <f t="shared" si="20"/>
        <v>26192.795042849062</v>
      </c>
      <c r="AC32" s="30">
        <f t="shared" si="20"/>
        <v>26192.795042849062</v>
      </c>
    </row>
    <row r="33" spans="4:29" x14ac:dyDescent="0.35">
      <c r="D33" s="1" t="s">
        <v>212</v>
      </c>
      <c r="E33" s="30">
        <f>$AH$16</f>
        <v>54229.77367632198</v>
      </c>
      <c r="F33" s="30">
        <f t="shared" ref="F33:AC33" si="21">$AH$16</f>
        <v>54229.77367632198</v>
      </c>
      <c r="G33" s="30">
        <f t="shared" si="21"/>
        <v>54229.77367632198</v>
      </c>
      <c r="H33" s="30">
        <f t="shared" si="21"/>
        <v>54229.77367632198</v>
      </c>
      <c r="I33" s="30">
        <f t="shared" si="21"/>
        <v>54229.77367632198</v>
      </c>
      <c r="J33" s="30">
        <f t="shared" si="21"/>
        <v>54229.77367632198</v>
      </c>
      <c r="K33" s="30">
        <f t="shared" si="21"/>
        <v>54229.77367632198</v>
      </c>
      <c r="L33" s="30">
        <f t="shared" si="21"/>
        <v>54229.77367632198</v>
      </c>
      <c r="M33" s="30">
        <f t="shared" si="21"/>
        <v>54229.77367632198</v>
      </c>
      <c r="N33" s="30">
        <f t="shared" si="21"/>
        <v>54229.77367632198</v>
      </c>
      <c r="O33" s="30">
        <f t="shared" si="21"/>
        <v>54229.77367632198</v>
      </c>
      <c r="P33" s="30">
        <f t="shared" si="21"/>
        <v>54229.77367632198</v>
      </c>
      <c r="Q33" s="30">
        <f t="shared" si="21"/>
        <v>54229.77367632198</v>
      </c>
      <c r="R33" s="30">
        <f t="shared" si="21"/>
        <v>54229.77367632198</v>
      </c>
      <c r="S33" s="30">
        <f t="shared" si="21"/>
        <v>54229.77367632198</v>
      </c>
      <c r="T33" s="30">
        <f t="shared" si="21"/>
        <v>54229.77367632198</v>
      </c>
      <c r="U33" s="30">
        <f t="shared" si="21"/>
        <v>54229.77367632198</v>
      </c>
      <c r="V33" s="30">
        <f t="shared" si="21"/>
        <v>54229.77367632198</v>
      </c>
      <c r="W33" s="30">
        <f t="shared" si="21"/>
        <v>54229.77367632198</v>
      </c>
      <c r="X33" s="30">
        <f t="shared" si="21"/>
        <v>54229.77367632198</v>
      </c>
      <c r="Y33" s="30">
        <f t="shared" si="21"/>
        <v>54229.77367632198</v>
      </c>
      <c r="Z33" s="30">
        <f t="shared" si="21"/>
        <v>54229.77367632198</v>
      </c>
      <c r="AA33" s="30">
        <f t="shared" si="21"/>
        <v>54229.77367632198</v>
      </c>
      <c r="AB33" s="30">
        <f t="shared" si="21"/>
        <v>54229.77367632198</v>
      </c>
      <c r="AC33" s="30">
        <f t="shared" si="21"/>
        <v>54229.77367632198</v>
      </c>
    </row>
    <row r="34" spans="4:29" x14ac:dyDescent="0.35">
      <c r="D34" s="1" t="s">
        <v>213</v>
      </c>
      <c r="E34" s="30">
        <f>E33-E32</f>
        <v>28036.978633472918</v>
      </c>
      <c r="F34" s="30">
        <f t="shared" ref="F34:AC34" si="22">F33-F32</f>
        <v>28036.978633472918</v>
      </c>
      <c r="G34" s="30">
        <f t="shared" si="22"/>
        <v>28036.978633472918</v>
      </c>
      <c r="H34" s="30">
        <f t="shared" si="22"/>
        <v>28036.978633472918</v>
      </c>
      <c r="I34" s="30">
        <f t="shared" si="22"/>
        <v>28036.978633472918</v>
      </c>
      <c r="J34" s="30">
        <f t="shared" si="22"/>
        <v>28036.978633472918</v>
      </c>
      <c r="K34" s="30">
        <f t="shared" si="22"/>
        <v>28036.978633472918</v>
      </c>
      <c r="L34" s="30">
        <f t="shared" si="22"/>
        <v>28036.978633472918</v>
      </c>
      <c r="M34" s="30">
        <f t="shared" si="22"/>
        <v>28036.978633472918</v>
      </c>
      <c r="N34" s="30">
        <f t="shared" si="22"/>
        <v>28036.978633472918</v>
      </c>
      <c r="O34" s="30">
        <f t="shared" si="22"/>
        <v>28036.978633472918</v>
      </c>
      <c r="P34" s="30">
        <f t="shared" si="22"/>
        <v>28036.978633472918</v>
      </c>
      <c r="Q34" s="30">
        <f t="shared" si="22"/>
        <v>28036.978633472918</v>
      </c>
      <c r="R34" s="30">
        <f t="shared" si="22"/>
        <v>28036.978633472918</v>
      </c>
      <c r="S34" s="30">
        <f t="shared" si="22"/>
        <v>28036.978633472918</v>
      </c>
      <c r="T34" s="30">
        <f t="shared" si="22"/>
        <v>28036.978633472918</v>
      </c>
      <c r="U34" s="30">
        <f t="shared" si="22"/>
        <v>28036.978633472918</v>
      </c>
      <c r="V34" s="30">
        <f t="shared" si="22"/>
        <v>28036.978633472918</v>
      </c>
      <c r="W34" s="30">
        <f t="shared" si="22"/>
        <v>28036.978633472918</v>
      </c>
      <c r="X34" s="30">
        <f t="shared" si="22"/>
        <v>28036.978633472918</v>
      </c>
      <c r="Y34" s="30">
        <f t="shared" si="22"/>
        <v>28036.978633472918</v>
      </c>
      <c r="Z34" s="30">
        <f t="shared" si="22"/>
        <v>28036.978633472918</v>
      </c>
      <c r="AA34" s="30">
        <f t="shared" si="22"/>
        <v>28036.978633472918</v>
      </c>
      <c r="AB34" s="30">
        <f t="shared" si="22"/>
        <v>28036.978633472918</v>
      </c>
      <c r="AC34" s="30">
        <f t="shared" si="22"/>
        <v>28036.978633472918</v>
      </c>
    </row>
    <row r="35" spans="4:29" x14ac:dyDescent="0.35">
      <c r="E35" s="30">
        <f>E34*(1+$B$10)</f>
        <v>35606.962864510606</v>
      </c>
      <c r="F35" s="30">
        <f t="shared" ref="F35:AC35" si="23">F34*(1+$B$10)</f>
        <v>35606.962864510606</v>
      </c>
      <c r="G35" s="30">
        <f t="shared" si="23"/>
        <v>35606.962864510606</v>
      </c>
      <c r="H35" s="30">
        <f t="shared" si="23"/>
        <v>35606.962864510606</v>
      </c>
      <c r="I35" s="30">
        <f t="shared" si="23"/>
        <v>35606.962864510606</v>
      </c>
      <c r="J35" s="30">
        <f t="shared" si="23"/>
        <v>35606.962864510606</v>
      </c>
      <c r="K35" s="30">
        <f t="shared" si="23"/>
        <v>35606.962864510606</v>
      </c>
      <c r="L35" s="30">
        <f t="shared" si="23"/>
        <v>35606.962864510606</v>
      </c>
      <c r="M35" s="30">
        <f t="shared" si="23"/>
        <v>35606.962864510606</v>
      </c>
      <c r="N35" s="30">
        <f t="shared" si="23"/>
        <v>35606.962864510606</v>
      </c>
      <c r="O35" s="30">
        <f t="shared" si="23"/>
        <v>35606.962864510606</v>
      </c>
      <c r="P35" s="30">
        <f t="shared" si="23"/>
        <v>35606.962864510606</v>
      </c>
      <c r="Q35" s="30">
        <f t="shared" si="23"/>
        <v>35606.962864510606</v>
      </c>
      <c r="R35" s="30">
        <f t="shared" si="23"/>
        <v>35606.962864510606</v>
      </c>
      <c r="S35" s="30">
        <f t="shared" si="23"/>
        <v>35606.962864510606</v>
      </c>
      <c r="T35" s="30">
        <f t="shared" si="23"/>
        <v>35606.962864510606</v>
      </c>
      <c r="U35" s="30">
        <f t="shared" si="23"/>
        <v>35606.962864510606</v>
      </c>
      <c r="V35" s="30">
        <f t="shared" si="23"/>
        <v>35606.962864510606</v>
      </c>
      <c r="W35" s="30">
        <f t="shared" si="23"/>
        <v>35606.962864510606</v>
      </c>
      <c r="X35" s="30">
        <f t="shared" si="23"/>
        <v>35606.962864510606</v>
      </c>
      <c r="Y35" s="30">
        <f t="shared" si="23"/>
        <v>35606.962864510606</v>
      </c>
      <c r="Z35" s="30">
        <f t="shared" si="23"/>
        <v>35606.962864510606</v>
      </c>
      <c r="AA35" s="30">
        <f t="shared" si="23"/>
        <v>35606.962864510606</v>
      </c>
      <c r="AB35" s="30">
        <f t="shared" si="23"/>
        <v>35606.962864510606</v>
      </c>
      <c r="AC35" s="30">
        <f t="shared" si="23"/>
        <v>35606.962864510606</v>
      </c>
    </row>
    <row r="38" spans="4:29" x14ac:dyDescent="0.35">
      <c r="D38" s="1" t="s">
        <v>214</v>
      </c>
      <c r="E38" s="31">
        <f>SUM(E35:AC35)</f>
        <v>890174.07161276508</v>
      </c>
    </row>
    <row r="39" spans="4:29" x14ac:dyDescent="0.35">
      <c r="E39" s="3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sheetPr>
    <tabColor theme="8" tint="0.79998168889431442"/>
  </sheetPr>
  <dimension ref="A1:AW55"/>
  <sheetViews>
    <sheetView zoomScale="86" workbookViewId="0">
      <selection activeCell="D12" sqref="D12"/>
    </sheetView>
  </sheetViews>
  <sheetFormatPr defaultColWidth="9.1796875" defaultRowHeight="14.5" x14ac:dyDescent="0.35"/>
  <cols>
    <col min="1" max="1" width="30" style="1" bestFit="1" customWidth="1"/>
    <col min="2" max="2" width="13.26953125" style="1" bestFit="1" customWidth="1"/>
    <col min="3" max="3" width="16.81640625" style="1" bestFit="1" customWidth="1"/>
    <col min="4" max="44" width="12" style="1" bestFit="1" customWidth="1"/>
    <col min="45" max="46" width="14.453125" style="1" bestFit="1" customWidth="1"/>
    <col min="47" max="47" width="9.1796875" style="1"/>
    <col min="48" max="48" width="11.7265625" style="1" bestFit="1" customWidth="1"/>
    <col min="49" max="49" width="13.26953125" style="1" bestFit="1" customWidth="1"/>
    <col min="50" max="16384" width="9.1796875" style="1"/>
  </cols>
  <sheetData>
    <row r="1" spans="1:46" x14ac:dyDescent="0.3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c r="AF1" s="1">
        <v>2055</v>
      </c>
      <c r="AG1" s="1">
        <v>2056</v>
      </c>
      <c r="AH1" s="1">
        <v>2057</v>
      </c>
      <c r="AI1" s="1">
        <v>2058</v>
      </c>
      <c r="AJ1" s="1">
        <v>2059</v>
      </c>
      <c r="AK1" s="1">
        <v>2060</v>
      </c>
      <c r="AL1" s="1">
        <v>2061</v>
      </c>
      <c r="AM1" s="1">
        <v>2062</v>
      </c>
      <c r="AN1" s="1">
        <v>2063</v>
      </c>
      <c r="AO1" s="1">
        <v>2064</v>
      </c>
      <c r="AP1" s="1">
        <v>2065</v>
      </c>
      <c r="AQ1" s="1">
        <v>2066</v>
      </c>
      <c r="AR1" s="1">
        <v>2067</v>
      </c>
      <c r="AS1" s="1">
        <v>2068</v>
      </c>
      <c r="AT1" s="1">
        <v>2069</v>
      </c>
    </row>
    <row r="2" spans="1:46" x14ac:dyDescent="0.35">
      <c r="A2" s="1" t="s">
        <v>178</v>
      </c>
      <c r="B2" s="32" cm="1">
        <f t="array" ref="B2:AT2">TRANSPOSE(Income!N3:N47)</f>
        <v>42156.862745098042</v>
      </c>
      <c r="C2" s="32">
        <v>42578.431372549021</v>
      </c>
      <c r="D2" s="32">
        <v>44707.352941176468</v>
      </c>
      <c r="E2" s="32">
        <v>45154.426470588231</v>
      </c>
      <c r="F2" s="32">
        <v>45605.970735294111</v>
      </c>
      <c r="G2" s="32">
        <v>46062.030442647054</v>
      </c>
      <c r="H2" s="32">
        <v>48365.131964779408</v>
      </c>
      <c r="I2" s="32">
        <v>48848.783284427205</v>
      </c>
      <c r="J2" s="32">
        <v>49337.271117271477</v>
      </c>
      <c r="K2" s="32">
        <v>49830.64382844419</v>
      </c>
      <c r="L2" s="32">
        <v>52322.176019866405</v>
      </c>
      <c r="M2" s="32">
        <v>52845.397780065068</v>
      </c>
      <c r="N2" s="32">
        <v>53373.851757865719</v>
      </c>
      <c r="O2" s="32">
        <v>53907.590275444374</v>
      </c>
      <c r="P2" s="32">
        <v>56602.969789216586</v>
      </c>
      <c r="Q2" s="32">
        <v>57168.999487108755</v>
      </c>
      <c r="R2" s="32">
        <v>57740.68948197984</v>
      </c>
      <c r="S2" s="32">
        <v>58318.096376799636</v>
      </c>
      <c r="T2" s="32">
        <v>61234.001195639619</v>
      </c>
      <c r="U2" s="32">
        <v>61846.341207596015</v>
      </c>
      <c r="V2" s="32">
        <v>62464.804619671973</v>
      </c>
      <c r="W2" s="32">
        <v>63089.452665868695</v>
      </c>
      <c r="X2" s="32">
        <v>66243.925299162132</v>
      </c>
      <c r="Y2" s="32">
        <v>66906.364552153755</v>
      </c>
      <c r="Z2" s="32">
        <v>67575.428197675297</v>
      </c>
      <c r="AA2" s="32">
        <v>68251.182479652052</v>
      </c>
      <c r="AB2" s="32">
        <v>68933.694304448567</v>
      </c>
      <c r="AC2" s="32">
        <v>69623.031247493054</v>
      </c>
      <c r="AD2" s="32">
        <v>70319.261559967985</v>
      </c>
      <c r="AE2" s="32">
        <v>71022.454175567662</v>
      </c>
      <c r="AF2" s="32">
        <v>71732.678717323346</v>
      </c>
      <c r="AG2" s="32">
        <v>72450.005504496585</v>
      </c>
      <c r="AH2" s="32">
        <v>73174.505559541547</v>
      </c>
      <c r="AI2" s="32">
        <v>73906.25061513696</v>
      </c>
      <c r="AJ2" s="32">
        <v>74645.313121288331</v>
      </c>
      <c r="AK2" s="32">
        <v>78377.578777352741</v>
      </c>
      <c r="AL2" s="32">
        <v>79161.354565126268</v>
      </c>
      <c r="AM2" s="32">
        <v>79952.968110777525</v>
      </c>
      <c r="AN2" s="32">
        <v>80752.497791885296</v>
      </c>
      <c r="AO2" s="32">
        <v>81560.022769804156</v>
      </c>
      <c r="AP2" s="32">
        <v>82375.6229975022</v>
      </c>
      <c r="AQ2" s="32">
        <v>83199.379227477228</v>
      </c>
      <c r="AR2" s="32">
        <v>84031.373019752005</v>
      </c>
      <c r="AS2" s="32">
        <v>84871.686749949527</v>
      </c>
      <c r="AT2" s="32">
        <v>85720.403617449017</v>
      </c>
    </row>
    <row r="3" spans="1:46" x14ac:dyDescent="0.35">
      <c r="A3" s="1" t="s">
        <v>180</v>
      </c>
      <c r="B3" s="37">
        <f>'Salary Variables'!$C$12</f>
        <v>0.05</v>
      </c>
      <c r="C3" s="37">
        <f>'Salary Variables'!$C$12</f>
        <v>0.05</v>
      </c>
      <c r="D3" s="37">
        <f>'Salary Variables'!$C$12</f>
        <v>0.05</v>
      </c>
      <c r="E3" s="37">
        <f>'Salary Variables'!$C$12</f>
        <v>0.05</v>
      </c>
      <c r="F3" s="37">
        <f>'Salary Variables'!$C$12</f>
        <v>0.05</v>
      </c>
      <c r="G3" s="37">
        <f>'Salary Variables'!$C$12</f>
        <v>0.05</v>
      </c>
      <c r="H3" s="37">
        <f>'Salary Variables'!$C$12</f>
        <v>0.05</v>
      </c>
      <c r="I3" s="37">
        <f>'Salary Variables'!$C$12</f>
        <v>0.05</v>
      </c>
      <c r="J3" s="37">
        <f>'Salary Variables'!$C$12</f>
        <v>0.05</v>
      </c>
      <c r="K3" s="37">
        <f>'Salary Variables'!$C$12</f>
        <v>0.05</v>
      </c>
      <c r="L3" s="37">
        <f>'Salary Variables'!$C$12</f>
        <v>0.05</v>
      </c>
      <c r="M3" s="37">
        <f>'Salary Variables'!$C$12</f>
        <v>0.05</v>
      </c>
      <c r="N3" s="37">
        <f>'Salary Variables'!$C$12</f>
        <v>0.05</v>
      </c>
      <c r="O3" s="37">
        <f>'Salary Variables'!$C$12</f>
        <v>0.05</v>
      </c>
      <c r="P3" s="37">
        <f>'Salary Variables'!$C$12</f>
        <v>0.05</v>
      </c>
      <c r="Q3" s="37">
        <f>'Salary Variables'!$C$12</f>
        <v>0.05</v>
      </c>
      <c r="R3" s="37">
        <f>'Salary Variables'!$C$12</f>
        <v>0.05</v>
      </c>
      <c r="S3" s="37">
        <f>'Salary Variables'!$C$12</f>
        <v>0.05</v>
      </c>
      <c r="T3" s="37">
        <f>'Salary Variables'!$C$12</f>
        <v>0.05</v>
      </c>
      <c r="U3" s="37">
        <f>'Salary Variables'!$C$12</f>
        <v>0.05</v>
      </c>
      <c r="V3" s="37">
        <f>'Salary Variables'!$C$12</f>
        <v>0.05</v>
      </c>
      <c r="W3" s="37">
        <f>'Salary Variables'!$C$12</f>
        <v>0.05</v>
      </c>
      <c r="X3" s="37">
        <f>'Salary Variables'!$C$12</f>
        <v>0.05</v>
      </c>
      <c r="Y3" s="37">
        <f>'Salary Variables'!$C$12</f>
        <v>0.05</v>
      </c>
      <c r="Z3" s="37">
        <f>'Salary Variables'!$C$12</f>
        <v>0.05</v>
      </c>
      <c r="AA3" s="37">
        <f>'Salary Variables'!$C$12</f>
        <v>0.05</v>
      </c>
      <c r="AB3" s="37">
        <f>'Salary Variables'!$C$12</f>
        <v>0.05</v>
      </c>
      <c r="AC3" s="37">
        <f>'Salary Variables'!$C$12</f>
        <v>0.05</v>
      </c>
      <c r="AD3" s="37">
        <f>'Salary Variables'!$C$12</f>
        <v>0.05</v>
      </c>
      <c r="AE3" s="37">
        <f>'Salary Variables'!$C$12</f>
        <v>0.05</v>
      </c>
      <c r="AF3" s="37">
        <f>'Salary Variables'!$C$12</f>
        <v>0.05</v>
      </c>
      <c r="AG3" s="37">
        <f>'Salary Variables'!$C$12</f>
        <v>0.05</v>
      </c>
      <c r="AH3" s="37">
        <f>'Salary Variables'!$C$12</f>
        <v>0.05</v>
      </c>
      <c r="AI3" s="37">
        <f>'Salary Variables'!$C$12</f>
        <v>0.05</v>
      </c>
      <c r="AJ3" s="37">
        <f>'Salary Variables'!$C$12</f>
        <v>0.05</v>
      </c>
      <c r="AK3" s="37">
        <f>'Salary Variables'!$C$12</f>
        <v>0.05</v>
      </c>
      <c r="AL3" s="37">
        <f>'Salary Variables'!$C$12</f>
        <v>0.05</v>
      </c>
      <c r="AM3" s="37">
        <f>'Salary Variables'!$C$12</f>
        <v>0.05</v>
      </c>
      <c r="AN3" s="37">
        <f>'Salary Variables'!$C$12</f>
        <v>0.05</v>
      </c>
      <c r="AO3" s="37">
        <f>'Salary Variables'!$C$12</f>
        <v>0.05</v>
      </c>
      <c r="AP3" s="37">
        <f>'Salary Variables'!$C$12</f>
        <v>0.05</v>
      </c>
      <c r="AQ3" s="37">
        <f>'Salary Variables'!$C$12</f>
        <v>0.05</v>
      </c>
      <c r="AR3" s="37">
        <f>'Salary Variables'!$C$12</f>
        <v>0.05</v>
      </c>
      <c r="AS3" s="37">
        <f>'Salary Variables'!$C$12</f>
        <v>0.05</v>
      </c>
      <c r="AT3" s="37">
        <f>'Salary Variables'!$C$12</f>
        <v>0.05</v>
      </c>
    </row>
    <row r="4" spans="1:46" x14ac:dyDescent="0.35">
      <c r="A4" s="1" t="s">
        <v>179</v>
      </c>
      <c r="B4" s="32">
        <f>B3*B2</f>
        <v>2107.8431372549021</v>
      </c>
      <c r="C4" s="32">
        <f t="shared" ref="C4:AT4" si="0">C3*C2</f>
        <v>2128.9215686274511</v>
      </c>
      <c r="D4" s="32">
        <f t="shared" si="0"/>
        <v>2235.3676470588234</v>
      </c>
      <c r="E4" s="32">
        <f t="shared" si="0"/>
        <v>2257.7213235294116</v>
      </c>
      <c r="F4" s="32">
        <f t="shared" si="0"/>
        <v>2280.2985367647057</v>
      </c>
      <c r="G4" s="32">
        <f t="shared" si="0"/>
        <v>2303.1015221323528</v>
      </c>
      <c r="H4" s="32">
        <f t="shared" si="0"/>
        <v>2418.2565982389706</v>
      </c>
      <c r="I4" s="32">
        <f t="shared" si="0"/>
        <v>2442.4391642213604</v>
      </c>
      <c r="J4" s="32">
        <f t="shared" si="0"/>
        <v>2466.8635558635742</v>
      </c>
      <c r="K4" s="32">
        <f t="shared" si="0"/>
        <v>2491.5321914222095</v>
      </c>
      <c r="L4" s="32">
        <f t="shared" si="0"/>
        <v>2616.1088009933205</v>
      </c>
      <c r="M4" s="32">
        <f t="shared" si="0"/>
        <v>2642.2698890032534</v>
      </c>
      <c r="N4" s="32">
        <f t="shared" si="0"/>
        <v>2668.6925878932861</v>
      </c>
      <c r="O4" s="32">
        <f t="shared" si="0"/>
        <v>2695.3795137722191</v>
      </c>
      <c r="P4" s="32">
        <f t="shared" si="0"/>
        <v>2830.1484894608293</v>
      </c>
      <c r="Q4" s="32">
        <f t="shared" si="0"/>
        <v>2858.4499743554379</v>
      </c>
      <c r="R4" s="32">
        <f t="shared" si="0"/>
        <v>2887.0344740989922</v>
      </c>
      <c r="S4" s="32">
        <f t="shared" si="0"/>
        <v>2915.904818839982</v>
      </c>
      <c r="T4" s="32">
        <f t="shared" si="0"/>
        <v>3061.7000597819811</v>
      </c>
      <c r="U4" s="32">
        <f t="shared" si="0"/>
        <v>3092.3170603798008</v>
      </c>
      <c r="V4" s="32">
        <f t="shared" si="0"/>
        <v>3123.2402309835988</v>
      </c>
      <c r="W4" s="32">
        <f t="shared" si="0"/>
        <v>3154.4726332934351</v>
      </c>
      <c r="X4" s="32">
        <f t="shared" si="0"/>
        <v>3312.1962649581069</v>
      </c>
      <c r="Y4" s="32">
        <f t="shared" si="0"/>
        <v>3345.3182276076877</v>
      </c>
      <c r="Z4" s="32">
        <f t="shared" si="0"/>
        <v>3378.771409883765</v>
      </c>
      <c r="AA4" s="32">
        <f t="shared" si="0"/>
        <v>3412.5591239826026</v>
      </c>
      <c r="AB4" s="32">
        <f t="shared" si="0"/>
        <v>3446.6847152224286</v>
      </c>
      <c r="AC4" s="32">
        <f t="shared" si="0"/>
        <v>3481.1515623746527</v>
      </c>
      <c r="AD4" s="32">
        <f t="shared" si="0"/>
        <v>3515.9630779983995</v>
      </c>
      <c r="AE4" s="32">
        <f t="shared" si="0"/>
        <v>3551.1227087783832</v>
      </c>
      <c r="AF4" s="32">
        <f t="shared" si="0"/>
        <v>3586.6339358661676</v>
      </c>
      <c r="AG4" s="32">
        <f t="shared" si="0"/>
        <v>3622.5002752248292</v>
      </c>
      <c r="AH4" s="32">
        <f t="shared" si="0"/>
        <v>3658.7252779770774</v>
      </c>
      <c r="AI4" s="32">
        <f t="shared" si="0"/>
        <v>3695.312530756848</v>
      </c>
      <c r="AJ4" s="32">
        <f t="shared" si="0"/>
        <v>3732.2656560644168</v>
      </c>
      <c r="AK4" s="32">
        <f t="shared" si="0"/>
        <v>3918.8789388676373</v>
      </c>
      <c r="AL4" s="32">
        <f t="shared" si="0"/>
        <v>3958.0677282563138</v>
      </c>
      <c r="AM4" s="32">
        <f t="shared" si="0"/>
        <v>3997.6484055388764</v>
      </c>
      <c r="AN4" s="32">
        <f t="shared" si="0"/>
        <v>4037.6248895942649</v>
      </c>
      <c r="AO4" s="32">
        <f t="shared" si="0"/>
        <v>4078.0011384902082</v>
      </c>
      <c r="AP4" s="32">
        <f t="shared" si="0"/>
        <v>4118.7811498751098</v>
      </c>
      <c r="AQ4" s="32">
        <f t="shared" si="0"/>
        <v>4159.9689613738619</v>
      </c>
      <c r="AR4" s="32">
        <f t="shared" si="0"/>
        <v>4201.5686509876004</v>
      </c>
      <c r="AS4" s="32">
        <f t="shared" si="0"/>
        <v>4243.5843374974766</v>
      </c>
      <c r="AT4" s="32">
        <f t="shared" si="0"/>
        <v>4286.0201808724514</v>
      </c>
    </row>
    <row r="5" spans="1:46" x14ac:dyDescent="0.35">
      <c r="A5" s="1" t="s">
        <v>217</v>
      </c>
      <c r="B5" s="37">
        <f>'Salary Variables'!$C$13</f>
        <v>0.1</v>
      </c>
      <c r="C5" s="37">
        <f>'Salary Variables'!$C$13</f>
        <v>0.1</v>
      </c>
      <c r="D5" s="37">
        <f>'Salary Variables'!$C$13</f>
        <v>0.1</v>
      </c>
      <c r="E5" s="37">
        <f>'Salary Variables'!$C$13</f>
        <v>0.1</v>
      </c>
      <c r="F5" s="37">
        <f>'Salary Variables'!$C$13</f>
        <v>0.1</v>
      </c>
      <c r="G5" s="37">
        <f>'Salary Variables'!$C$13</f>
        <v>0.1</v>
      </c>
      <c r="H5" s="37">
        <f>'Salary Variables'!$C$13</f>
        <v>0.1</v>
      </c>
      <c r="I5" s="37">
        <f>'Salary Variables'!$C$13</f>
        <v>0.1</v>
      </c>
      <c r="J5" s="37">
        <f>'Salary Variables'!$C$13</f>
        <v>0.1</v>
      </c>
      <c r="K5" s="37">
        <f>'Salary Variables'!$C$13</f>
        <v>0.1</v>
      </c>
      <c r="L5" s="37">
        <f>'Salary Variables'!$C$13</f>
        <v>0.1</v>
      </c>
      <c r="M5" s="37">
        <f>'Salary Variables'!$C$13</f>
        <v>0.1</v>
      </c>
      <c r="N5" s="37">
        <f>'Salary Variables'!$C$13</f>
        <v>0.1</v>
      </c>
      <c r="O5" s="37">
        <f>'Salary Variables'!$C$13</f>
        <v>0.1</v>
      </c>
      <c r="P5" s="37">
        <f>'Salary Variables'!$C$13</f>
        <v>0.1</v>
      </c>
      <c r="Q5" s="37">
        <f>'Salary Variables'!$C$13</f>
        <v>0.1</v>
      </c>
      <c r="R5" s="37">
        <f>'Salary Variables'!$C$13</f>
        <v>0.1</v>
      </c>
      <c r="S5" s="37">
        <f>'Salary Variables'!$C$13</f>
        <v>0.1</v>
      </c>
      <c r="T5" s="37">
        <f>'Salary Variables'!$C$13</f>
        <v>0.1</v>
      </c>
      <c r="U5" s="37">
        <f>'Salary Variables'!$C$13</f>
        <v>0.1</v>
      </c>
      <c r="V5" s="37">
        <f>'Salary Variables'!$C$13</f>
        <v>0.1</v>
      </c>
      <c r="W5" s="37">
        <f>'Salary Variables'!$C$13</f>
        <v>0.1</v>
      </c>
      <c r="X5" s="37">
        <f>'Salary Variables'!$C$13</f>
        <v>0.1</v>
      </c>
      <c r="Y5" s="37">
        <f>'Salary Variables'!$C$13</f>
        <v>0.1</v>
      </c>
      <c r="Z5" s="37">
        <f>'Salary Variables'!$C$13</f>
        <v>0.1</v>
      </c>
      <c r="AA5" s="37">
        <f>'Salary Variables'!$C$13</f>
        <v>0.1</v>
      </c>
      <c r="AB5" s="37">
        <f>'Salary Variables'!$C$13</f>
        <v>0.1</v>
      </c>
      <c r="AC5" s="37">
        <f>'Salary Variables'!$C$13</f>
        <v>0.1</v>
      </c>
      <c r="AD5" s="37">
        <f>'Salary Variables'!$C$13</f>
        <v>0.1</v>
      </c>
      <c r="AE5" s="37">
        <f>'Salary Variables'!$C$13</f>
        <v>0.1</v>
      </c>
      <c r="AF5" s="37">
        <f>'Salary Variables'!$C$13</f>
        <v>0.1</v>
      </c>
      <c r="AG5" s="37">
        <f>'Salary Variables'!$C$13</f>
        <v>0.1</v>
      </c>
      <c r="AH5" s="37">
        <f>'Salary Variables'!$C$13</f>
        <v>0.1</v>
      </c>
      <c r="AI5" s="37">
        <f>'Salary Variables'!$C$13</f>
        <v>0.1</v>
      </c>
      <c r="AJ5" s="37">
        <f>'Salary Variables'!$C$13</f>
        <v>0.1</v>
      </c>
      <c r="AK5" s="37">
        <f>'Salary Variables'!$C$13</f>
        <v>0.1</v>
      </c>
      <c r="AL5" s="37">
        <f>'Salary Variables'!$C$13</f>
        <v>0.1</v>
      </c>
      <c r="AM5" s="37">
        <f>'Salary Variables'!$C$13</f>
        <v>0.1</v>
      </c>
      <c r="AN5" s="37">
        <f>'Salary Variables'!$C$13</f>
        <v>0.1</v>
      </c>
      <c r="AO5" s="37">
        <f>'Salary Variables'!$C$13</f>
        <v>0.1</v>
      </c>
      <c r="AP5" s="37">
        <f>'Salary Variables'!$C$13</f>
        <v>0.1</v>
      </c>
      <c r="AQ5" s="37">
        <f>'Salary Variables'!$C$13</f>
        <v>0.1</v>
      </c>
      <c r="AR5" s="37">
        <f>'Salary Variables'!$C$13</f>
        <v>0.1</v>
      </c>
      <c r="AS5" s="37">
        <f>'Salary Variables'!$C$13</f>
        <v>0.1</v>
      </c>
      <c r="AT5" s="37">
        <f>'Salary Variables'!$C$13</f>
        <v>0.1</v>
      </c>
    </row>
    <row r="6" spans="1:46" x14ac:dyDescent="0.35">
      <c r="A6" s="1" t="s">
        <v>181</v>
      </c>
      <c r="B6" s="32">
        <f>B2*B5</f>
        <v>4215.6862745098042</v>
      </c>
      <c r="C6" s="32">
        <f t="shared" ref="C6:AT6" si="1">C4*2</f>
        <v>4257.8431372549021</v>
      </c>
      <c r="D6" s="32">
        <f t="shared" si="1"/>
        <v>4470.7352941176468</v>
      </c>
      <c r="E6" s="32">
        <f t="shared" si="1"/>
        <v>4515.4426470588232</v>
      </c>
      <c r="F6" s="32">
        <f t="shared" si="1"/>
        <v>4560.5970735294113</v>
      </c>
      <c r="G6" s="32">
        <f t="shared" si="1"/>
        <v>4606.2030442647056</v>
      </c>
      <c r="H6" s="32">
        <f t="shared" si="1"/>
        <v>4836.5131964779412</v>
      </c>
      <c r="I6" s="32">
        <f t="shared" si="1"/>
        <v>4884.8783284427209</v>
      </c>
      <c r="J6" s="32">
        <f t="shared" si="1"/>
        <v>4933.7271117271484</v>
      </c>
      <c r="K6" s="32">
        <f t="shared" si="1"/>
        <v>4983.064382844419</v>
      </c>
      <c r="L6" s="32">
        <f t="shared" si="1"/>
        <v>5232.2176019866411</v>
      </c>
      <c r="M6" s="32">
        <f t="shared" si="1"/>
        <v>5284.5397780065068</v>
      </c>
      <c r="N6" s="32">
        <f t="shared" si="1"/>
        <v>5337.3851757865723</v>
      </c>
      <c r="O6" s="32">
        <f t="shared" si="1"/>
        <v>5390.7590275444381</v>
      </c>
      <c r="P6" s="32">
        <f t="shared" si="1"/>
        <v>5660.2969789216586</v>
      </c>
      <c r="Q6" s="32">
        <f t="shared" si="1"/>
        <v>5716.8999487108758</v>
      </c>
      <c r="R6" s="32">
        <f t="shared" si="1"/>
        <v>5774.0689481979844</v>
      </c>
      <c r="S6" s="32">
        <f t="shared" si="1"/>
        <v>5831.809637679964</v>
      </c>
      <c r="T6" s="32">
        <f t="shared" si="1"/>
        <v>6123.4001195639621</v>
      </c>
      <c r="U6" s="32">
        <f t="shared" si="1"/>
        <v>6184.6341207596015</v>
      </c>
      <c r="V6" s="32">
        <f t="shared" si="1"/>
        <v>6246.4804619671977</v>
      </c>
      <c r="W6" s="32">
        <f t="shared" si="1"/>
        <v>6308.9452665868703</v>
      </c>
      <c r="X6" s="32">
        <f t="shared" si="1"/>
        <v>6624.3925299162138</v>
      </c>
      <c r="Y6" s="32">
        <f t="shared" si="1"/>
        <v>6690.6364552153755</v>
      </c>
      <c r="Z6" s="32">
        <f t="shared" si="1"/>
        <v>6757.5428197675301</v>
      </c>
      <c r="AA6" s="32">
        <f t="shared" si="1"/>
        <v>6825.1182479652052</v>
      </c>
      <c r="AB6" s="32">
        <f t="shared" si="1"/>
        <v>6893.3694304448572</v>
      </c>
      <c r="AC6" s="32">
        <f t="shared" si="1"/>
        <v>6962.3031247493054</v>
      </c>
      <c r="AD6" s="32">
        <f t="shared" si="1"/>
        <v>7031.926155996799</v>
      </c>
      <c r="AE6" s="32">
        <f t="shared" si="1"/>
        <v>7102.2454175567664</v>
      </c>
      <c r="AF6" s="32">
        <f t="shared" si="1"/>
        <v>7173.2678717323352</v>
      </c>
      <c r="AG6" s="32">
        <f t="shared" si="1"/>
        <v>7245.0005504496585</v>
      </c>
      <c r="AH6" s="32">
        <f t="shared" si="1"/>
        <v>7317.4505559541549</v>
      </c>
      <c r="AI6" s="32">
        <f t="shared" si="1"/>
        <v>7390.625061513696</v>
      </c>
      <c r="AJ6" s="32">
        <f t="shared" si="1"/>
        <v>7464.5313121288336</v>
      </c>
      <c r="AK6" s="32">
        <f t="shared" si="1"/>
        <v>7837.7578777352746</v>
      </c>
      <c r="AL6" s="32">
        <f t="shared" si="1"/>
        <v>7916.1354565126276</v>
      </c>
      <c r="AM6" s="32">
        <f t="shared" si="1"/>
        <v>7995.2968110777529</v>
      </c>
      <c r="AN6" s="32">
        <f t="shared" si="1"/>
        <v>8075.2497791885298</v>
      </c>
      <c r="AO6" s="32">
        <f t="shared" si="1"/>
        <v>8156.0022769804164</v>
      </c>
      <c r="AP6" s="32">
        <f t="shared" si="1"/>
        <v>8237.5622997502196</v>
      </c>
      <c r="AQ6" s="32">
        <f t="shared" si="1"/>
        <v>8319.9379227477239</v>
      </c>
      <c r="AR6" s="32">
        <f t="shared" si="1"/>
        <v>8403.1373019752009</v>
      </c>
      <c r="AS6" s="32">
        <f t="shared" si="1"/>
        <v>8487.1686749949531</v>
      </c>
      <c r="AT6" s="32">
        <f t="shared" si="1"/>
        <v>8572.0403617449028</v>
      </c>
    </row>
    <row r="7" spans="1:46" x14ac:dyDescent="0.35">
      <c r="A7" s="1" t="s">
        <v>182</v>
      </c>
      <c r="B7" s="33">
        <f>SUM(B6,B4)</f>
        <v>6323.5294117647063</v>
      </c>
      <c r="C7" s="33">
        <f t="shared" ref="C7:AT7" si="2">SUM(C6,C4)</f>
        <v>6386.7647058823532</v>
      </c>
      <c r="D7" s="33">
        <f t="shared" si="2"/>
        <v>6706.1029411764703</v>
      </c>
      <c r="E7" s="33">
        <f t="shared" si="2"/>
        <v>6773.1639705882353</v>
      </c>
      <c r="F7" s="33">
        <f t="shared" si="2"/>
        <v>6840.8956102941174</v>
      </c>
      <c r="G7" s="33">
        <f t="shared" si="2"/>
        <v>6909.3045663970588</v>
      </c>
      <c r="H7" s="33">
        <f t="shared" si="2"/>
        <v>7254.7697947169117</v>
      </c>
      <c r="I7" s="33">
        <f t="shared" si="2"/>
        <v>7327.3174926640813</v>
      </c>
      <c r="J7" s="33">
        <f t="shared" si="2"/>
        <v>7400.5906675907227</v>
      </c>
      <c r="K7" s="33">
        <f t="shared" si="2"/>
        <v>7474.5965742666285</v>
      </c>
      <c r="L7" s="33">
        <f t="shared" si="2"/>
        <v>7848.3264029799611</v>
      </c>
      <c r="M7" s="33">
        <f t="shared" si="2"/>
        <v>7926.8096670097602</v>
      </c>
      <c r="N7" s="33">
        <f t="shared" si="2"/>
        <v>8006.0777636798584</v>
      </c>
      <c r="O7" s="33">
        <f t="shared" si="2"/>
        <v>8086.1385413166572</v>
      </c>
      <c r="P7" s="33">
        <f t="shared" si="2"/>
        <v>8490.4454683824879</v>
      </c>
      <c r="Q7" s="33">
        <f t="shared" si="2"/>
        <v>8575.3499230663147</v>
      </c>
      <c r="R7" s="33">
        <f t="shared" si="2"/>
        <v>8661.1034222969756</v>
      </c>
      <c r="S7" s="33">
        <f t="shared" si="2"/>
        <v>8747.7144565199451</v>
      </c>
      <c r="T7" s="33">
        <f t="shared" si="2"/>
        <v>9185.1001793459436</v>
      </c>
      <c r="U7" s="33">
        <f t="shared" si="2"/>
        <v>9276.9511811394023</v>
      </c>
      <c r="V7" s="33">
        <f t="shared" si="2"/>
        <v>9369.7206929507956</v>
      </c>
      <c r="W7" s="33">
        <f t="shared" si="2"/>
        <v>9463.4178998803054</v>
      </c>
      <c r="X7" s="33">
        <f t="shared" si="2"/>
        <v>9936.5887948743202</v>
      </c>
      <c r="Y7" s="33">
        <f t="shared" si="2"/>
        <v>10035.954682823063</v>
      </c>
      <c r="Z7" s="33">
        <f t="shared" si="2"/>
        <v>10136.314229651296</v>
      </c>
      <c r="AA7" s="33">
        <f t="shared" si="2"/>
        <v>10237.677371947808</v>
      </c>
      <c r="AB7" s="33">
        <f t="shared" si="2"/>
        <v>10340.054145667285</v>
      </c>
      <c r="AC7" s="33">
        <f t="shared" si="2"/>
        <v>10443.454687123958</v>
      </c>
      <c r="AD7" s="33">
        <f t="shared" si="2"/>
        <v>10547.889233995198</v>
      </c>
      <c r="AE7" s="33">
        <f t="shared" si="2"/>
        <v>10653.36812633515</v>
      </c>
      <c r="AF7" s="33">
        <f t="shared" si="2"/>
        <v>10759.901807598502</v>
      </c>
      <c r="AG7" s="33">
        <f t="shared" si="2"/>
        <v>10867.500825674488</v>
      </c>
      <c r="AH7" s="33">
        <f t="shared" si="2"/>
        <v>10976.175833931233</v>
      </c>
      <c r="AI7" s="33">
        <f t="shared" si="2"/>
        <v>11085.937592270544</v>
      </c>
      <c r="AJ7" s="33">
        <f t="shared" si="2"/>
        <v>11196.79696819325</v>
      </c>
      <c r="AK7" s="33">
        <f t="shared" si="2"/>
        <v>11756.636816602911</v>
      </c>
      <c r="AL7" s="33">
        <f t="shared" si="2"/>
        <v>11874.203184768941</v>
      </c>
      <c r="AM7" s="33">
        <f t="shared" si="2"/>
        <v>11992.94521661663</v>
      </c>
      <c r="AN7" s="33">
        <f t="shared" si="2"/>
        <v>12112.874668782795</v>
      </c>
      <c r="AO7" s="33">
        <f t="shared" si="2"/>
        <v>12234.003415470625</v>
      </c>
      <c r="AP7" s="33">
        <f t="shared" si="2"/>
        <v>12356.343449625329</v>
      </c>
      <c r="AQ7" s="33">
        <f t="shared" si="2"/>
        <v>12479.906884121585</v>
      </c>
      <c r="AR7" s="33">
        <f t="shared" si="2"/>
        <v>12604.705952962802</v>
      </c>
      <c r="AS7" s="33">
        <f t="shared" si="2"/>
        <v>12730.753012492431</v>
      </c>
      <c r="AT7" s="33">
        <f t="shared" si="2"/>
        <v>12858.060542617353</v>
      </c>
    </row>
    <row r="8" spans="1:46" x14ac:dyDescent="0.35">
      <c r="A8" s="1" t="s">
        <v>183</v>
      </c>
      <c r="B8" s="32">
        <f>B7*12</f>
        <v>75882.352941176476</v>
      </c>
      <c r="C8" s="32">
        <f t="shared" ref="C8:AT8" si="3">C7*12</f>
        <v>76641.176470588238</v>
      </c>
      <c r="D8" s="32">
        <f t="shared" si="3"/>
        <v>80473.23529411765</v>
      </c>
      <c r="E8" s="32">
        <f t="shared" si="3"/>
        <v>81277.967647058831</v>
      </c>
      <c r="F8" s="32">
        <f t="shared" si="3"/>
        <v>82090.747323529416</v>
      </c>
      <c r="G8" s="32">
        <f t="shared" si="3"/>
        <v>82911.654796764706</v>
      </c>
      <c r="H8" s="32">
        <f t="shared" si="3"/>
        <v>87057.237536602945</v>
      </c>
      <c r="I8" s="32">
        <f t="shared" si="3"/>
        <v>87927.809911968972</v>
      </c>
      <c r="J8" s="32">
        <f t="shared" si="3"/>
        <v>88807.088011088665</v>
      </c>
      <c r="K8" s="32">
        <f t="shared" si="3"/>
        <v>89695.158891199535</v>
      </c>
      <c r="L8" s="32">
        <f t="shared" si="3"/>
        <v>94179.916835759534</v>
      </c>
      <c r="M8" s="32">
        <f t="shared" si="3"/>
        <v>95121.71600411713</v>
      </c>
      <c r="N8" s="32">
        <f t="shared" si="3"/>
        <v>96072.933164158298</v>
      </c>
      <c r="O8" s="32">
        <f t="shared" si="3"/>
        <v>97033.662495799887</v>
      </c>
      <c r="P8" s="32">
        <f t="shared" si="3"/>
        <v>101885.34562058985</v>
      </c>
      <c r="Q8" s="32">
        <f t="shared" si="3"/>
        <v>102904.19907679578</v>
      </c>
      <c r="R8" s="32">
        <f t="shared" si="3"/>
        <v>103933.24106756371</v>
      </c>
      <c r="S8" s="32">
        <f t="shared" si="3"/>
        <v>104972.57347823934</v>
      </c>
      <c r="T8" s="32">
        <f t="shared" si="3"/>
        <v>110221.20215215132</v>
      </c>
      <c r="U8" s="32">
        <f t="shared" si="3"/>
        <v>111323.41417367282</v>
      </c>
      <c r="V8" s="32">
        <f t="shared" si="3"/>
        <v>112436.64831540955</v>
      </c>
      <c r="W8" s="32">
        <f t="shared" si="3"/>
        <v>113561.01479856367</v>
      </c>
      <c r="X8" s="32">
        <f t="shared" si="3"/>
        <v>119239.06553849185</v>
      </c>
      <c r="Y8" s="32">
        <f t="shared" si="3"/>
        <v>120431.45619387676</v>
      </c>
      <c r="Z8" s="32">
        <f t="shared" si="3"/>
        <v>121635.77075581555</v>
      </c>
      <c r="AA8" s="32">
        <f t="shared" si="3"/>
        <v>122852.12846337369</v>
      </c>
      <c r="AB8" s="32">
        <f t="shared" si="3"/>
        <v>124080.64974800742</v>
      </c>
      <c r="AC8" s="32">
        <f t="shared" si="3"/>
        <v>125321.4562454875</v>
      </c>
      <c r="AD8" s="32">
        <f t="shared" si="3"/>
        <v>126574.67080794237</v>
      </c>
      <c r="AE8" s="32">
        <f t="shared" si="3"/>
        <v>127840.4175160218</v>
      </c>
      <c r="AF8" s="32">
        <f t="shared" si="3"/>
        <v>129118.82169118203</v>
      </c>
      <c r="AG8" s="32">
        <f t="shared" si="3"/>
        <v>130410.00990809385</v>
      </c>
      <c r="AH8" s="32">
        <f t="shared" si="3"/>
        <v>131714.11000717478</v>
      </c>
      <c r="AI8" s="32">
        <f t="shared" si="3"/>
        <v>133031.25110724653</v>
      </c>
      <c r="AJ8" s="32">
        <f t="shared" si="3"/>
        <v>134361.56361831899</v>
      </c>
      <c r="AK8" s="32">
        <f t="shared" si="3"/>
        <v>141079.64179923493</v>
      </c>
      <c r="AL8" s="32">
        <f t="shared" si="3"/>
        <v>142490.43821722729</v>
      </c>
      <c r="AM8" s="32">
        <f t="shared" si="3"/>
        <v>143915.34259939956</v>
      </c>
      <c r="AN8" s="32">
        <f t="shared" si="3"/>
        <v>145354.49602539354</v>
      </c>
      <c r="AO8" s="32">
        <f t="shared" si="3"/>
        <v>146808.0409856475</v>
      </c>
      <c r="AP8" s="32">
        <f t="shared" si="3"/>
        <v>148276.12139550393</v>
      </c>
      <c r="AQ8" s="32">
        <f t="shared" si="3"/>
        <v>149758.88260945902</v>
      </c>
      <c r="AR8" s="32">
        <f t="shared" si="3"/>
        <v>151256.47143555363</v>
      </c>
      <c r="AS8" s="32">
        <f t="shared" si="3"/>
        <v>152769.03614990917</v>
      </c>
      <c r="AT8" s="32">
        <f t="shared" si="3"/>
        <v>154296.72651140823</v>
      </c>
    </row>
    <row r="12" spans="1:46" x14ac:dyDescent="0.35">
      <c r="A12" s="1" t="s">
        <v>187</v>
      </c>
      <c r="B12" s="32">
        <f>AT38</f>
        <v>9120241.7561512087</v>
      </c>
    </row>
    <row r="13" spans="1:46" x14ac:dyDescent="0.35">
      <c r="A13" s="1" t="s">
        <v>186</v>
      </c>
      <c r="B13" s="32">
        <f>B12/25</f>
        <v>364809.67024604836</v>
      </c>
      <c r="C13" s="1" t="s">
        <v>184</v>
      </c>
    </row>
    <row r="14" spans="1:46" x14ac:dyDescent="0.35">
      <c r="A14" s="1" t="s">
        <v>185</v>
      </c>
      <c r="B14" s="34">
        <f>B13/12</f>
        <v>30400.805853837363</v>
      </c>
      <c r="C14" s="1" t="s">
        <v>188</v>
      </c>
    </row>
    <row r="15" spans="1:46" x14ac:dyDescent="0.35">
      <c r="A15" s="1" t="s">
        <v>204</v>
      </c>
      <c r="B15" s="1" t="s">
        <v>206</v>
      </c>
      <c r="C15" s="1" t="s">
        <v>207</v>
      </c>
    </row>
    <row r="17" spans="1:5" x14ac:dyDescent="0.35">
      <c r="A17" s="1" t="s">
        <v>198</v>
      </c>
      <c r="B17" s="33">
        <f>AT55</f>
        <v>563171.42985605716</v>
      </c>
      <c r="C17" s="18" t="s">
        <v>216</v>
      </c>
      <c r="E17" s="32"/>
    </row>
    <row r="18" spans="1:5" x14ac:dyDescent="0.35">
      <c r="A18" s="1" t="s">
        <v>186</v>
      </c>
      <c r="B18" s="32">
        <f>B17/25</f>
        <v>22526.857194242286</v>
      </c>
    </row>
    <row r="19" spans="1:5" x14ac:dyDescent="0.35">
      <c r="A19" s="1" t="s">
        <v>185</v>
      </c>
      <c r="B19" s="32">
        <f>B18/12</f>
        <v>1877.2380995201904</v>
      </c>
    </row>
    <row r="20" spans="1:5" x14ac:dyDescent="0.35">
      <c r="A20" s="1" t="s">
        <v>204</v>
      </c>
      <c r="B20" s="1" t="s">
        <v>205</v>
      </c>
    </row>
    <row r="22" spans="1:5" x14ac:dyDescent="0.35">
      <c r="A22" s="1" t="s">
        <v>203</v>
      </c>
      <c r="B22" s="34">
        <f>C22</f>
        <v>7198</v>
      </c>
      <c r="C22" s="72">
        <v>7198</v>
      </c>
      <c r="D22" s="1">
        <f>8329*(1-30.9%)</f>
        <v>5755.3390000000009</v>
      </c>
    </row>
    <row r="23" spans="1:5" x14ac:dyDescent="0.35">
      <c r="A23" s="1" t="s">
        <v>208</v>
      </c>
      <c r="B23" s="32">
        <f>B22*12</f>
        <v>86376</v>
      </c>
    </row>
    <row r="24" spans="1:5" x14ac:dyDescent="0.35">
      <c r="A24" s="1" t="s">
        <v>204</v>
      </c>
      <c r="B24" s="1" t="s">
        <v>206</v>
      </c>
    </row>
    <row r="25" spans="1:5" x14ac:dyDescent="0.35">
      <c r="A25" s="1" t="s">
        <v>64</v>
      </c>
      <c r="B25" s="17">
        <f>'Salary Variables'!C2</f>
        <v>0.02</v>
      </c>
    </row>
    <row r="26" spans="1:5" x14ac:dyDescent="0.35">
      <c r="A26" s="1" t="s">
        <v>255</v>
      </c>
      <c r="B26" s="17">
        <v>0.03</v>
      </c>
    </row>
    <row r="27" spans="1:5" x14ac:dyDescent="0.35">
      <c r="A27" s="1" t="s">
        <v>257</v>
      </c>
      <c r="B27" s="28">
        <v>0.153</v>
      </c>
    </row>
    <row r="29" spans="1:5" x14ac:dyDescent="0.35">
      <c r="A29" s="1" t="s">
        <v>262</v>
      </c>
      <c r="B29" s="30">
        <f>AT47</f>
        <v>301033.08588508691</v>
      </c>
    </row>
    <row r="30" spans="1:5" x14ac:dyDescent="0.35">
      <c r="A30" s="1" t="s">
        <v>271</v>
      </c>
      <c r="B30" s="30">
        <f>B29/25</f>
        <v>12041.323435403476</v>
      </c>
    </row>
    <row r="31" spans="1:5" x14ac:dyDescent="0.35">
      <c r="A31" s="1" t="s">
        <v>272</v>
      </c>
      <c r="B31" s="30">
        <f>B30/12</f>
        <v>1003.4436196169563</v>
      </c>
    </row>
    <row r="33" spans="1:49" x14ac:dyDescent="0.35">
      <c r="A33" s="1" t="s">
        <v>1</v>
      </c>
      <c r="B33" s="1">
        <v>2025</v>
      </c>
      <c r="C33" s="1">
        <v>2026</v>
      </c>
      <c r="D33" s="1">
        <v>2027</v>
      </c>
      <c r="E33" s="1">
        <v>2028</v>
      </c>
      <c r="F33" s="1">
        <v>2029</v>
      </c>
      <c r="G33" s="1">
        <v>2030</v>
      </c>
      <c r="H33" s="1">
        <v>2031</v>
      </c>
      <c r="I33" s="1">
        <v>2032</v>
      </c>
      <c r="J33" s="1">
        <v>2033</v>
      </c>
      <c r="K33" s="1">
        <v>2034</v>
      </c>
      <c r="L33" s="1">
        <v>2035</v>
      </c>
      <c r="M33" s="1">
        <v>2036</v>
      </c>
      <c r="N33" s="1">
        <v>2037</v>
      </c>
      <c r="O33" s="1">
        <v>2038</v>
      </c>
      <c r="P33" s="1">
        <v>2039</v>
      </c>
      <c r="Q33" s="1">
        <v>2040</v>
      </c>
      <c r="R33" s="1">
        <v>2041</v>
      </c>
      <c r="S33" s="1">
        <v>2042</v>
      </c>
      <c r="T33" s="1">
        <v>2043</v>
      </c>
      <c r="U33" s="1">
        <v>2044</v>
      </c>
      <c r="V33" s="1">
        <v>2045</v>
      </c>
      <c r="W33" s="1">
        <v>2046</v>
      </c>
      <c r="X33" s="1">
        <v>2047</v>
      </c>
      <c r="Y33" s="1">
        <v>2048</v>
      </c>
      <c r="Z33" s="1">
        <v>2049</v>
      </c>
      <c r="AA33" s="1">
        <v>2050</v>
      </c>
      <c r="AB33" s="1">
        <v>2051</v>
      </c>
      <c r="AC33" s="1">
        <v>2052</v>
      </c>
      <c r="AD33" s="1">
        <v>2053</v>
      </c>
      <c r="AE33" s="1">
        <v>2054</v>
      </c>
      <c r="AF33" s="1">
        <v>2055</v>
      </c>
      <c r="AG33" s="1">
        <v>2056</v>
      </c>
      <c r="AH33" s="1">
        <v>2057</v>
      </c>
      <c r="AI33" s="1">
        <v>2058</v>
      </c>
      <c r="AJ33" s="1">
        <v>2059</v>
      </c>
      <c r="AK33" s="1">
        <v>2060</v>
      </c>
      <c r="AL33" s="1">
        <v>2061</v>
      </c>
      <c r="AM33" s="1">
        <v>2062</v>
      </c>
      <c r="AN33" s="1">
        <v>2063</v>
      </c>
      <c r="AO33" s="1">
        <v>2064</v>
      </c>
      <c r="AP33" s="1">
        <v>2065</v>
      </c>
      <c r="AQ33" s="1">
        <v>2066</v>
      </c>
      <c r="AR33" s="1">
        <v>2067</v>
      </c>
      <c r="AS33" s="1">
        <v>2068</v>
      </c>
      <c r="AT33" s="1">
        <v>2069</v>
      </c>
    </row>
    <row r="34" spans="1:49" x14ac:dyDescent="0.35">
      <c r="A34" s="1" t="s">
        <v>260</v>
      </c>
      <c r="B34" s="30">
        <f>B8</f>
        <v>75882.352941176476</v>
      </c>
      <c r="C34" s="30">
        <f>B38+C8</f>
        <v>154451.70000000001</v>
      </c>
      <c r="D34" s="30">
        <f t="shared" ref="D34:AT34" si="4">C38+D8</f>
        <v>238849.55299111767</v>
      </c>
      <c r="E34" s="30">
        <f t="shared" si="4"/>
        <v>326196.68777968083</v>
      </c>
      <c r="F34" s="30">
        <f t="shared" si="4"/>
        <v>416576.09293969197</v>
      </c>
      <c r="G34" s="30">
        <f t="shared" si="4"/>
        <v>510072.94625805423</v>
      </c>
      <c r="H34" s="30">
        <f t="shared" si="4"/>
        <v>610091.13735907432</v>
      </c>
      <c r="I34" s="30">
        <f t="shared" si="4"/>
        <v>713521.36307133734</v>
      </c>
      <c r="J34" s="30">
        <f t="shared" si="4"/>
        <v>820459.02891806874</v>
      </c>
      <c r="K34" s="30">
        <f t="shared" si="4"/>
        <v>931002.05173407635</v>
      </c>
      <c r="L34" s="30">
        <f t="shared" si="4"/>
        <v>1048838.7307043988</v>
      </c>
      <c r="M34" s="30">
        <f t="shared" si="4"/>
        <v>1170611.4388557149</v>
      </c>
      <c r="N34" s="30">
        <f t="shared" si="4"/>
        <v>1296429.608681197</v>
      </c>
      <c r="O34" s="30">
        <f t="shared" si="4"/>
        <v>1426405.5475335862</v>
      </c>
      <c r="P34" s="30">
        <f t="shared" si="4"/>
        <v>1564535.8581170044</v>
      </c>
      <c r="Q34" s="30">
        <f t="shared" si="4"/>
        <v>1707194.9133485532</v>
      </c>
      <c r="R34" s="30">
        <f t="shared" si="4"/>
        <v>1854507.9771643037</v>
      </c>
      <c r="S34" s="30">
        <f t="shared" si="4"/>
        <v>2006603.5983422881</v>
      </c>
      <c r="T34" s="30">
        <f t="shared" si="4"/>
        <v>2167812.5979283168</v>
      </c>
      <c r="U34" s="30">
        <f t="shared" si="4"/>
        <v>2334220.1302153482</v>
      </c>
      <c r="V34" s="30">
        <f t="shared" si="4"/>
        <v>2505969.3120395299</v>
      </c>
      <c r="W34" s="30">
        <f t="shared" si="4"/>
        <v>2683207.0070570176</v>
      </c>
      <c r="X34" s="30">
        <f t="shared" si="4"/>
        <v>2870626.3626448284</v>
      </c>
      <c r="Y34" s="30">
        <f t="shared" si="4"/>
        <v>3064000.4347135103</v>
      </c>
      <c r="Z34" s="30">
        <f t="shared" si="4"/>
        <v>3263492.456515396</v>
      </c>
      <c r="AA34" s="30">
        <f t="shared" si="4"/>
        <v>3469269.9282988259</v>
      </c>
      <c r="AB34" s="30">
        <f t="shared" si="4"/>
        <v>3681504.7269249065</v>
      </c>
      <c r="AC34" s="30">
        <f t="shared" si="4"/>
        <v>3900373.2182815559</v>
      </c>
      <c r="AD34" s="30">
        <f t="shared" si="4"/>
        <v>4126056.3725660327</v>
      </c>
      <c r="AE34" s="30">
        <f t="shared" si="4"/>
        <v>4358739.8825089578</v>
      </c>
      <c r="AF34" s="30">
        <f t="shared" si="4"/>
        <v>4598614.2846146924</v>
      </c>
      <c r="AG34" s="30">
        <f t="shared" si="4"/>
        <v>4845875.0834948458</v>
      </c>
      <c r="AH34" s="30">
        <f t="shared" si="4"/>
        <v>5100722.8793736249</v>
      </c>
      <c r="AI34" s="30">
        <f t="shared" si="4"/>
        <v>5363363.4988457551</v>
      </c>
      <c r="AJ34" s="30">
        <f t="shared" si="4"/>
        <v>5634008.1289697448</v>
      </c>
      <c r="AK34" s="30">
        <f t="shared" si="4"/>
        <v>5918247.9173261011</v>
      </c>
      <c r="AL34" s="30">
        <f t="shared" si="4"/>
        <v>6211121.0351225846</v>
      </c>
      <c r="AM34" s="30">
        <f t="shared" si="4"/>
        <v>6512860.9632244492</v>
      </c>
      <c r="AN34" s="30">
        <f t="shared" si="4"/>
        <v>6823707.2563253762</v>
      </c>
      <c r="AO34" s="30">
        <f t="shared" si="4"/>
        <v>7143905.6986942515</v>
      </c>
      <c r="AP34" s="30">
        <f t="shared" si="4"/>
        <v>7473708.4638935765</v>
      </c>
      <c r="AQ34" s="30">
        <f t="shared" si="4"/>
        <v>7813374.278570571</v>
      </c>
      <c r="AR34" s="30">
        <f t="shared" si="4"/>
        <v>8163168.5904246029</v>
      </c>
      <c r="AS34" s="30">
        <f t="shared" si="4"/>
        <v>8523363.7404572014</v>
      </c>
      <c r="AT34" s="30">
        <f t="shared" si="4"/>
        <v>8894239.1396136265</v>
      </c>
      <c r="AW34" s="30"/>
    </row>
    <row r="35" spans="1:49" x14ac:dyDescent="0.35">
      <c r="A35" s="1" t="s">
        <v>256</v>
      </c>
      <c r="B35" s="17">
        <f>$B$26</f>
        <v>0.03</v>
      </c>
      <c r="C35" s="17">
        <f>$B$26</f>
        <v>0.03</v>
      </c>
      <c r="D35" s="17">
        <f t="shared" ref="D35:AT35" si="5">$B$26</f>
        <v>0.03</v>
      </c>
      <c r="E35" s="17">
        <f t="shared" si="5"/>
        <v>0.03</v>
      </c>
      <c r="F35" s="17">
        <f t="shared" si="5"/>
        <v>0.03</v>
      </c>
      <c r="G35" s="17">
        <f t="shared" si="5"/>
        <v>0.03</v>
      </c>
      <c r="H35" s="17">
        <f t="shared" si="5"/>
        <v>0.03</v>
      </c>
      <c r="I35" s="17">
        <f t="shared" si="5"/>
        <v>0.03</v>
      </c>
      <c r="J35" s="17">
        <f t="shared" si="5"/>
        <v>0.03</v>
      </c>
      <c r="K35" s="17">
        <f t="shared" si="5"/>
        <v>0.03</v>
      </c>
      <c r="L35" s="17">
        <f t="shared" si="5"/>
        <v>0.03</v>
      </c>
      <c r="M35" s="17">
        <f t="shared" si="5"/>
        <v>0.03</v>
      </c>
      <c r="N35" s="17">
        <f t="shared" si="5"/>
        <v>0.03</v>
      </c>
      <c r="O35" s="17">
        <f t="shared" si="5"/>
        <v>0.03</v>
      </c>
      <c r="P35" s="17">
        <f t="shared" si="5"/>
        <v>0.03</v>
      </c>
      <c r="Q35" s="17">
        <f t="shared" si="5"/>
        <v>0.03</v>
      </c>
      <c r="R35" s="17">
        <f t="shared" si="5"/>
        <v>0.03</v>
      </c>
      <c r="S35" s="17">
        <f t="shared" si="5"/>
        <v>0.03</v>
      </c>
      <c r="T35" s="17">
        <f t="shared" si="5"/>
        <v>0.03</v>
      </c>
      <c r="U35" s="17">
        <f t="shared" si="5"/>
        <v>0.03</v>
      </c>
      <c r="V35" s="17">
        <f t="shared" si="5"/>
        <v>0.03</v>
      </c>
      <c r="W35" s="17">
        <f t="shared" si="5"/>
        <v>0.03</v>
      </c>
      <c r="X35" s="17">
        <f t="shared" si="5"/>
        <v>0.03</v>
      </c>
      <c r="Y35" s="17">
        <f t="shared" si="5"/>
        <v>0.03</v>
      </c>
      <c r="Z35" s="17">
        <f t="shared" si="5"/>
        <v>0.03</v>
      </c>
      <c r="AA35" s="17">
        <f t="shared" si="5"/>
        <v>0.03</v>
      </c>
      <c r="AB35" s="17">
        <f t="shared" si="5"/>
        <v>0.03</v>
      </c>
      <c r="AC35" s="17">
        <f t="shared" si="5"/>
        <v>0.03</v>
      </c>
      <c r="AD35" s="17">
        <f t="shared" si="5"/>
        <v>0.03</v>
      </c>
      <c r="AE35" s="17">
        <f t="shared" si="5"/>
        <v>0.03</v>
      </c>
      <c r="AF35" s="17">
        <f t="shared" si="5"/>
        <v>0.03</v>
      </c>
      <c r="AG35" s="17">
        <f t="shared" si="5"/>
        <v>0.03</v>
      </c>
      <c r="AH35" s="17">
        <f t="shared" si="5"/>
        <v>0.03</v>
      </c>
      <c r="AI35" s="17">
        <f t="shared" si="5"/>
        <v>0.03</v>
      </c>
      <c r="AJ35" s="17">
        <f t="shared" si="5"/>
        <v>0.03</v>
      </c>
      <c r="AK35" s="17">
        <f t="shared" si="5"/>
        <v>0.03</v>
      </c>
      <c r="AL35" s="17">
        <f t="shared" si="5"/>
        <v>0.03</v>
      </c>
      <c r="AM35" s="17">
        <f t="shared" si="5"/>
        <v>0.03</v>
      </c>
      <c r="AN35" s="17">
        <f t="shared" si="5"/>
        <v>0.03</v>
      </c>
      <c r="AO35" s="17">
        <f t="shared" si="5"/>
        <v>0.03</v>
      </c>
      <c r="AP35" s="17">
        <f t="shared" si="5"/>
        <v>0.03</v>
      </c>
      <c r="AQ35" s="17">
        <f t="shared" si="5"/>
        <v>0.03</v>
      </c>
      <c r="AR35" s="17">
        <f t="shared" si="5"/>
        <v>0.03</v>
      </c>
      <c r="AS35" s="17">
        <f t="shared" si="5"/>
        <v>0.03</v>
      </c>
      <c r="AT35" s="17">
        <f t="shared" si="5"/>
        <v>0.03</v>
      </c>
      <c r="AV35" s="30"/>
      <c r="AW35" s="30"/>
    </row>
    <row r="36" spans="1:49" x14ac:dyDescent="0.35">
      <c r="A36" s="1" t="s">
        <v>258</v>
      </c>
      <c r="B36" s="30">
        <f>B35*B34</f>
        <v>2276.4705882352941</v>
      </c>
      <c r="C36" s="30">
        <f>C35*C34</f>
        <v>4633.5510000000004</v>
      </c>
      <c r="D36" s="30">
        <f>D35*D34</f>
        <v>7165.4865897335303</v>
      </c>
      <c r="E36" s="30">
        <f t="shared" ref="E36:AT36" si="6">E35*E34</f>
        <v>9785.9006333904235</v>
      </c>
      <c r="F36" s="30">
        <f t="shared" si="6"/>
        <v>12497.282788190758</v>
      </c>
      <c r="G36" s="30">
        <f t="shared" si="6"/>
        <v>15302.188387741626</v>
      </c>
      <c r="H36" s="30">
        <f t="shared" si="6"/>
        <v>18302.734120772227</v>
      </c>
      <c r="I36" s="30">
        <f t="shared" si="6"/>
        <v>21405.64089214012</v>
      </c>
      <c r="J36" s="30">
        <f t="shared" si="6"/>
        <v>24613.770867542062</v>
      </c>
      <c r="K36" s="30">
        <f t="shared" si="6"/>
        <v>27930.061552022289</v>
      </c>
      <c r="L36" s="30">
        <f t="shared" si="6"/>
        <v>31465.161921131963</v>
      </c>
      <c r="M36" s="30">
        <f t="shared" si="6"/>
        <v>35118.343165671446</v>
      </c>
      <c r="N36" s="30">
        <f t="shared" si="6"/>
        <v>38892.88826043591</v>
      </c>
      <c r="O36" s="30">
        <f t="shared" si="6"/>
        <v>42792.166426007585</v>
      </c>
      <c r="P36" s="30">
        <f t="shared" si="6"/>
        <v>46936.075743510133</v>
      </c>
      <c r="Q36" s="30">
        <f t="shared" si="6"/>
        <v>51215.847400456594</v>
      </c>
      <c r="R36" s="30">
        <f t="shared" si="6"/>
        <v>55635.239314929109</v>
      </c>
      <c r="S36" s="30">
        <f t="shared" si="6"/>
        <v>60198.107950268641</v>
      </c>
      <c r="T36" s="30">
        <f t="shared" si="6"/>
        <v>65034.377937849502</v>
      </c>
      <c r="U36" s="30">
        <f t="shared" si="6"/>
        <v>70026.603906460441</v>
      </c>
      <c r="V36" s="30">
        <f t="shared" si="6"/>
        <v>75179.079361185897</v>
      </c>
      <c r="W36" s="30">
        <f t="shared" si="6"/>
        <v>80496.210211710524</v>
      </c>
      <c r="X36" s="30">
        <f t="shared" si="6"/>
        <v>86118.790879344844</v>
      </c>
      <c r="Y36" s="30">
        <f t="shared" si="6"/>
        <v>91920.013041405313</v>
      </c>
      <c r="Z36" s="30">
        <f t="shared" si="6"/>
        <v>97904.773695461874</v>
      </c>
      <c r="AA36" s="30">
        <f t="shared" si="6"/>
        <v>104078.09784896477</v>
      </c>
      <c r="AB36" s="30">
        <f t="shared" si="6"/>
        <v>110445.14180774719</v>
      </c>
      <c r="AC36" s="30">
        <f t="shared" si="6"/>
        <v>117011.19654844668</v>
      </c>
      <c r="AD36" s="30">
        <f t="shared" si="6"/>
        <v>123781.69117698098</v>
      </c>
      <c r="AE36" s="30">
        <f t="shared" si="6"/>
        <v>130762.19647526873</v>
      </c>
      <c r="AF36" s="30">
        <f t="shared" si="6"/>
        <v>137958.42853844076</v>
      </c>
      <c r="AG36" s="30">
        <f t="shared" si="6"/>
        <v>145376.25250484535</v>
      </c>
      <c r="AH36" s="30">
        <f t="shared" si="6"/>
        <v>153021.68638120874</v>
      </c>
      <c r="AI36" s="30">
        <f t="shared" si="6"/>
        <v>160900.90496537264</v>
      </c>
      <c r="AJ36" s="30">
        <f t="shared" si="6"/>
        <v>169020.24386909234</v>
      </c>
      <c r="AK36" s="30">
        <f t="shared" si="6"/>
        <v>177547.43751978304</v>
      </c>
      <c r="AL36" s="30">
        <f t="shared" si="6"/>
        <v>186333.63105367753</v>
      </c>
      <c r="AM36" s="30">
        <f t="shared" si="6"/>
        <v>195385.82889673347</v>
      </c>
      <c r="AN36" s="30">
        <f t="shared" si="6"/>
        <v>204711.21768976128</v>
      </c>
      <c r="AO36" s="30">
        <f t="shared" si="6"/>
        <v>214317.17096082753</v>
      </c>
      <c r="AP36" s="30">
        <f t="shared" si="6"/>
        <v>224211.2539168073</v>
      </c>
      <c r="AQ36" s="30">
        <f t="shared" si="6"/>
        <v>234401.22835711713</v>
      </c>
      <c r="AR36" s="30">
        <f t="shared" si="6"/>
        <v>244895.05771273808</v>
      </c>
      <c r="AS36" s="30">
        <f t="shared" si="6"/>
        <v>255700.91221371604</v>
      </c>
      <c r="AT36" s="30">
        <f t="shared" si="6"/>
        <v>266827.17418840877</v>
      </c>
      <c r="AV36" s="30"/>
    </row>
    <row r="37" spans="1:49" x14ac:dyDescent="0.35">
      <c r="A37" s="1" t="s">
        <v>225</v>
      </c>
      <c r="B37" s="30">
        <f>B36*$B$27</f>
        <v>348.3</v>
      </c>
      <c r="C37" s="30">
        <f>C36*$B$27</f>
        <v>708.93330300000002</v>
      </c>
      <c r="D37" s="30">
        <f t="shared" ref="D37:AT37" si="7">D36*$B$27</f>
        <v>1096.3194482292301</v>
      </c>
      <c r="E37" s="30">
        <f t="shared" si="7"/>
        <v>1497.2427969087348</v>
      </c>
      <c r="F37" s="30">
        <f t="shared" si="7"/>
        <v>1912.0842665931859</v>
      </c>
      <c r="G37" s="30">
        <f t="shared" si="7"/>
        <v>2341.2348233244688</v>
      </c>
      <c r="H37" s="30">
        <f t="shared" si="7"/>
        <v>2800.3183204781508</v>
      </c>
      <c r="I37" s="30">
        <f t="shared" si="7"/>
        <v>3275.0630564974381</v>
      </c>
      <c r="J37" s="30">
        <f t="shared" si="7"/>
        <v>3765.9069427339355</v>
      </c>
      <c r="K37" s="30">
        <f t="shared" si="7"/>
        <v>4273.2994174594105</v>
      </c>
      <c r="L37" s="30">
        <f t="shared" si="7"/>
        <v>4814.1697739331903</v>
      </c>
      <c r="M37" s="30">
        <f t="shared" si="7"/>
        <v>5373.1065043477311</v>
      </c>
      <c r="N37" s="30">
        <f t="shared" si="7"/>
        <v>5950.6119038466941</v>
      </c>
      <c r="O37" s="30">
        <f t="shared" si="7"/>
        <v>6547.2014631791608</v>
      </c>
      <c r="P37" s="30">
        <f t="shared" si="7"/>
        <v>7181.2195887570506</v>
      </c>
      <c r="Q37" s="30">
        <f t="shared" si="7"/>
        <v>7836.024652269859</v>
      </c>
      <c r="R37" s="30">
        <f t="shared" si="7"/>
        <v>8512.1916151841542</v>
      </c>
      <c r="S37" s="30">
        <f t="shared" si="7"/>
        <v>9210.3105163911023</v>
      </c>
      <c r="T37" s="30">
        <f t="shared" si="7"/>
        <v>9950.2598244909732</v>
      </c>
      <c r="U37" s="30">
        <f t="shared" si="7"/>
        <v>10714.070397688447</v>
      </c>
      <c r="V37" s="30">
        <f t="shared" si="7"/>
        <v>11502.399142261442</v>
      </c>
      <c r="W37" s="30">
        <f t="shared" si="7"/>
        <v>12315.920162391711</v>
      </c>
      <c r="X37" s="30">
        <f t="shared" si="7"/>
        <v>13176.17500453976</v>
      </c>
      <c r="Y37" s="30">
        <f t="shared" si="7"/>
        <v>14063.761995335013</v>
      </c>
      <c r="Z37" s="30">
        <f t="shared" si="7"/>
        <v>14979.430375405667</v>
      </c>
      <c r="AA37" s="30">
        <f t="shared" si="7"/>
        <v>15923.94897089161</v>
      </c>
      <c r="AB37" s="30">
        <f t="shared" si="7"/>
        <v>16898.106696585321</v>
      </c>
      <c r="AC37" s="30">
        <f t="shared" si="7"/>
        <v>17902.713071912342</v>
      </c>
      <c r="AD37" s="30">
        <f t="shared" si="7"/>
        <v>18938.59875007809</v>
      </c>
      <c r="AE37" s="30">
        <f t="shared" si="7"/>
        <v>20006.616060716115</v>
      </c>
      <c r="AF37" s="30">
        <f t="shared" si="7"/>
        <v>21107.639566381436</v>
      </c>
      <c r="AG37" s="30">
        <f t="shared" si="7"/>
        <v>22242.566633241338</v>
      </c>
      <c r="AH37" s="30">
        <f t="shared" si="7"/>
        <v>23412.318016324938</v>
      </c>
      <c r="AI37" s="30">
        <f t="shared" si="7"/>
        <v>24617.838459702012</v>
      </c>
      <c r="AJ37" s="30">
        <f t="shared" si="7"/>
        <v>25860.097311971127</v>
      </c>
      <c r="AK37" s="30">
        <f t="shared" si="7"/>
        <v>27164.757940526804</v>
      </c>
      <c r="AL37" s="30">
        <f t="shared" si="7"/>
        <v>28509.045551212661</v>
      </c>
      <c r="AM37" s="30">
        <f t="shared" si="7"/>
        <v>29894.03182120022</v>
      </c>
      <c r="AN37" s="30">
        <f t="shared" si="7"/>
        <v>31320.816306533474</v>
      </c>
      <c r="AO37" s="30">
        <f t="shared" si="7"/>
        <v>32790.527157006611</v>
      </c>
      <c r="AP37" s="30">
        <f t="shared" si="7"/>
        <v>34304.321849271517</v>
      </c>
      <c r="AQ37" s="30">
        <f t="shared" si="7"/>
        <v>35863.387938638924</v>
      </c>
      <c r="AR37" s="30">
        <f t="shared" si="7"/>
        <v>37468.943830048927</v>
      </c>
      <c r="AS37" s="30">
        <f t="shared" si="7"/>
        <v>39122.239568698555</v>
      </c>
      <c r="AT37" s="30">
        <f t="shared" si="7"/>
        <v>40824.557650826544</v>
      </c>
    </row>
    <row r="38" spans="1:49" s="18" customFormat="1" x14ac:dyDescent="0.35">
      <c r="A38" s="18" t="s">
        <v>259</v>
      </c>
      <c r="B38" s="31">
        <f>B34+(B36-B37)</f>
        <v>77810.523529411774</v>
      </c>
      <c r="C38" s="31">
        <f>C34+(C36-C37)</f>
        <v>158376.31769700002</v>
      </c>
      <c r="D38" s="31">
        <f t="shared" ref="D38:AS38" si="8">D34+(D36-D37)</f>
        <v>244918.72013262197</v>
      </c>
      <c r="E38" s="31">
        <f t="shared" si="8"/>
        <v>334485.34561616252</v>
      </c>
      <c r="F38" s="31">
        <f t="shared" si="8"/>
        <v>427161.29146128951</v>
      </c>
      <c r="G38" s="31">
        <f t="shared" si="8"/>
        <v>523033.89982247137</v>
      </c>
      <c r="H38" s="31">
        <f t="shared" si="8"/>
        <v>625593.55315936834</v>
      </c>
      <c r="I38" s="31">
        <f t="shared" si="8"/>
        <v>731651.94090698007</v>
      </c>
      <c r="J38" s="31">
        <f t="shared" si="8"/>
        <v>841306.89284287684</v>
      </c>
      <c r="K38" s="31">
        <f t="shared" si="8"/>
        <v>954658.81386863918</v>
      </c>
      <c r="L38" s="31">
        <f t="shared" si="8"/>
        <v>1075489.7228515977</v>
      </c>
      <c r="M38" s="31">
        <f t="shared" si="8"/>
        <v>1200356.6755170387</v>
      </c>
      <c r="N38" s="31">
        <f t="shared" si="8"/>
        <v>1329371.8850377863</v>
      </c>
      <c r="O38" s="31">
        <f t="shared" si="8"/>
        <v>1462650.5124964146</v>
      </c>
      <c r="P38" s="31">
        <f t="shared" si="8"/>
        <v>1604290.7142717575</v>
      </c>
      <c r="Q38" s="31">
        <f t="shared" si="8"/>
        <v>1750574.73609674</v>
      </c>
      <c r="R38" s="31">
        <f t="shared" si="8"/>
        <v>1901631.0248640487</v>
      </c>
      <c r="S38" s="31">
        <f t="shared" si="8"/>
        <v>2057591.3957761656</v>
      </c>
      <c r="T38" s="31">
        <f t="shared" si="8"/>
        <v>2222896.7160416753</v>
      </c>
      <c r="U38" s="31">
        <f t="shared" si="8"/>
        <v>2393532.6637241202</v>
      </c>
      <c r="V38" s="31">
        <f t="shared" si="8"/>
        <v>2569645.9922584542</v>
      </c>
      <c r="W38" s="31">
        <f t="shared" si="8"/>
        <v>2751387.2971063363</v>
      </c>
      <c r="X38" s="31">
        <f t="shared" si="8"/>
        <v>2943568.9785196334</v>
      </c>
      <c r="Y38" s="31">
        <f t="shared" si="8"/>
        <v>3141856.6857595807</v>
      </c>
      <c r="Z38" s="31">
        <f t="shared" si="8"/>
        <v>3346417.7998354523</v>
      </c>
      <c r="AA38" s="31">
        <f t="shared" si="8"/>
        <v>3557424.0771768992</v>
      </c>
      <c r="AB38" s="31">
        <f t="shared" si="8"/>
        <v>3775051.7620360684</v>
      </c>
      <c r="AC38" s="31">
        <f t="shared" si="8"/>
        <v>3999481.7017580904</v>
      </c>
      <c r="AD38" s="31">
        <f t="shared" si="8"/>
        <v>4230899.4649929358</v>
      </c>
      <c r="AE38" s="31">
        <f t="shared" si="8"/>
        <v>4469495.46292351</v>
      </c>
      <c r="AF38" s="31">
        <f t="shared" si="8"/>
        <v>4715465.0735867517</v>
      </c>
      <c r="AG38" s="31">
        <f t="shared" si="8"/>
        <v>4969008.7693664497</v>
      </c>
      <c r="AH38" s="31">
        <f t="shared" si="8"/>
        <v>5230332.2477385085</v>
      </c>
      <c r="AI38" s="31">
        <f t="shared" si="8"/>
        <v>5499646.5653514257</v>
      </c>
      <c r="AJ38" s="31">
        <f t="shared" si="8"/>
        <v>5777168.2755268663</v>
      </c>
      <c r="AK38" s="31">
        <f t="shared" si="8"/>
        <v>6068630.5969053572</v>
      </c>
      <c r="AL38" s="31">
        <f t="shared" si="8"/>
        <v>6368945.6206250498</v>
      </c>
      <c r="AM38" s="31">
        <f t="shared" si="8"/>
        <v>6678352.7602999825</v>
      </c>
      <c r="AN38" s="31">
        <f t="shared" si="8"/>
        <v>6997097.6577086039</v>
      </c>
      <c r="AO38" s="31">
        <f t="shared" si="8"/>
        <v>7325432.3424980724</v>
      </c>
      <c r="AP38" s="31">
        <f t="shared" si="8"/>
        <v>7663615.3959611123</v>
      </c>
      <c r="AQ38" s="31">
        <f t="shared" si="8"/>
        <v>8011912.1189890495</v>
      </c>
      <c r="AR38" s="31">
        <f t="shared" si="8"/>
        <v>8370594.7043072917</v>
      </c>
      <c r="AS38" s="31">
        <f t="shared" si="8"/>
        <v>8739942.4131022189</v>
      </c>
      <c r="AT38" s="31">
        <f>AT34+(AT36-AT37)</f>
        <v>9120241.7561512087</v>
      </c>
    </row>
    <row r="40" spans="1:49" x14ac:dyDescent="0.35">
      <c r="A40" s="1" t="s">
        <v>261</v>
      </c>
      <c r="B40" s="30">
        <f>AT38</f>
        <v>9120241.7561512087</v>
      </c>
    </row>
    <row r="42" spans="1:49" x14ac:dyDescent="0.35">
      <c r="A42" s="1" t="s">
        <v>262</v>
      </c>
      <c r="B42" s="1" t="s">
        <v>263</v>
      </c>
    </row>
    <row r="43" spans="1:49" x14ac:dyDescent="0.35">
      <c r="A43" s="1" t="s">
        <v>264</v>
      </c>
      <c r="B43" s="1">
        <f>'Net Salary P1'!B14*3</f>
        <v>3564</v>
      </c>
      <c r="C43" s="30">
        <f>B47+$B$43</f>
        <v>7218.56124</v>
      </c>
      <c r="D43" s="30">
        <f>C47+$B$43</f>
        <v>10965.984881108401</v>
      </c>
      <c r="E43" s="30">
        <f>D47+$B$43</f>
        <v>14808.630556937365</v>
      </c>
      <c r="F43" s="30">
        <f>E47+$B$43</f>
        <v>18748.917859389141</v>
      </c>
      <c r="G43" s="30">
        <f>F47+$B$43</f>
        <v>22789.32786219622</v>
      </c>
      <c r="H43" s="30">
        <f>G47+$B$43</f>
        <v>26932.404683174627</v>
      </c>
      <c r="I43" s="30">
        <f>H47+$B$43</f>
        <v>31180.757086174093</v>
      </c>
      <c r="J43" s="30">
        <f>I47+$B$43</f>
        <v>35537.060123733776</v>
      </c>
      <c r="K43" s="30">
        <f>J47+$B$43</f>
        <v>40004.056821477854</v>
      </c>
      <c r="L43" s="30">
        <f>K47+$B$43</f>
        <v>44584.559905311609</v>
      </c>
      <c r="M43" s="30">
        <f>L47+$B$43</f>
        <v>49281.453572505576</v>
      </c>
      <c r="N43" s="30">
        <f>M47+$B$43</f>
        <v>54097.695307782946</v>
      </c>
      <c r="O43" s="30">
        <f>N47+$B$43</f>
        <v>59036.317745553708</v>
      </c>
      <c r="P43" s="30">
        <f>O47+$B$43</f>
        <v>64100.43057946823</v>
      </c>
      <c r="Q43" s="30">
        <f>P47+$B$43</f>
        <v>69293.22252049252</v>
      </c>
      <c r="R43" s="30">
        <f>Q47+$B$43</f>
        <v>74617.963304738238</v>
      </c>
      <c r="S43" s="30">
        <f>R47+$B$43</f>
        <v>80078.005752311641</v>
      </c>
      <c r="T43" s="30">
        <f>S47+$B$43</f>
        <v>85676.787878477873</v>
      </c>
      <c r="U43" s="30">
        <f>T47+$B$43</f>
        <v>91417.835058469995</v>
      </c>
      <c r="V43" s="30">
        <f>U47+$B$43</f>
        <v>97304.762247305713</v>
      </c>
      <c r="W43" s="30">
        <f>V47+$B$43</f>
        <v>103341.27625600975</v>
      </c>
      <c r="X43" s="30">
        <f>W47+$B$43</f>
        <v>109531.17808567495</v>
      </c>
      <c r="Y43" s="30">
        <f>X47+$B$43</f>
        <v>115878.36532083196</v>
      </c>
      <c r="Z43" s="30">
        <f>Y47+$B$43</f>
        <v>122386.83458363429</v>
      </c>
      <c r="AA43" s="30">
        <f>Z47+$B$43</f>
        <v>129060.68405040444</v>
      </c>
      <c r="AB43" s="30">
        <f>AA47+$B$43</f>
        <v>135904.11603212522</v>
      </c>
      <c r="AC43" s="30">
        <f>AB47+$B$43</f>
        <v>142921.43962050154</v>
      </c>
      <c r="AD43" s="30">
        <f>AC47+$B$43</f>
        <v>150117.07340125847</v>
      </c>
      <c r="AE43" s="30">
        <f>AD47+$B$43</f>
        <v>157495.54823638446</v>
      </c>
      <c r="AF43" s="30">
        <f>AE47+$B$43</f>
        <v>165061.51011707098</v>
      </c>
      <c r="AG43" s="30">
        <f>AF47+$B$43</f>
        <v>172819.72308914576</v>
      </c>
      <c r="AH43" s="30">
        <f>AG47+$B$43</f>
        <v>180775.07225284094</v>
      </c>
      <c r="AI43" s="30">
        <f>AH47+$B$43</f>
        <v>188932.56683878563</v>
      </c>
      <c r="AJ43" s="30">
        <f>AI47+$B$43</f>
        <v>197297.34336215918</v>
      </c>
      <c r="AK43" s="30">
        <f>AJ47+$B$43</f>
        <v>205874.66885699166</v>
      </c>
      <c r="AL43" s="30">
        <f>AK47+$B$43</f>
        <v>214669.94419264782</v>
      </c>
      <c r="AM43" s="30">
        <f>AL47+$B$43</f>
        <v>223688.707474583</v>
      </c>
      <c r="AN43" s="30">
        <f>AM47+$B$43</f>
        <v>232936.63753151215</v>
      </c>
      <c r="AO43" s="30">
        <f>AN47+$B$43</f>
        <v>242419.55749118788</v>
      </c>
      <c r="AP43" s="30">
        <f>AO47+$B$43</f>
        <v>252143.43844703896</v>
      </c>
      <c r="AQ43" s="30">
        <f>AP47+$B$43</f>
        <v>262114.40321797822</v>
      </c>
      <c r="AR43" s="30">
        <f>AQ47+$B$43</f>
        <v>272338.73020374705</v>
      </c>
      <c r="AS43" s="30">
        <f>AR47+$B$43</f>
        <v>282822.85733822425</v>
      </c>
      <c r="AT43" s="30">
        <f>AS47+$B$43</f>
        <v>293573.38614318852</v>
      </c>
    </row>
    <row r="44" spans="1:49" x14ac:dyDescent="0.35">
      <c r="A44" s="1" t="s">
        <v>268</v>
      </c>
      <c r="B44" s="17">
        <f>$B$26</f>
        <v>0.03</v>
      </c>
      <c r="C44" s="17">
        <f>$B$26</f>
        <v>0.03</v>
      </c>
      <c r="D44" s="17">
        <f t="shared" ref="D44:AT44" si="9">$B$26</f>
        <v>0.03</v>
      </c>
      <c r="E44" s="17">
        <f t="shared" si="9"/>
        <v>0.03</v>
      </c>
      <c r="F44" s="17">
        <f t="shared" si="9"/>
        <v>0.03</v>
      </c>
      <c r="G44" s="17">
        <f t="shared" si="9"/>
        <v>0.03</v>
      </c>
      <c r="H44" s="17">
        <f t="shared" si="9"/>
        <v>0.03</v>
      </c>
      <c r="I44" s="17">
        <f t="shared" si="9"/>
        <v>0.03</v>
      </c>
      <c r="J44" s="17">
        <f t="shared" si="9"/>
        <v>0.03</v>
      </c>
      <c r="K44" s="17">
        <f t="shared" si="9"/>
        <v>0.03</v>
      </c>
      <c r="L44" s="17">
        <f t="shared" si="9"/>
        <v>0.03</v>
      </c>
      <c r="M44" s="17">
        <f t="shared" si="9"/>
        <v>0.03</v>
      </c>
      <c r="N44" s="17">
        <f t="shared" si="9"/>
        <v>0.03</v>
      </c>
      <c r="O44" s="17">
        <f t="shared" si="9"/>
        <v>0.03</v>
      </c>
      <c r="P44" s="17">
        <f t="shared" si="9"/>
        <v>0.03</v>
      </c>
      <c r="Q44" s="17">
        <f t="shared" si="9"/>
        <v>0.03</v>
      </c>
      <c r="R44" s="17">
        <f t="shared" si="9"/>
        <v>0.03</v>
      </c>
      <c r="S44" s="17">
        <f t="shared" si="9"/>
        <v>0.03</v>
      </c>
      <c r="T44" s="17">
        <f t="shared" si="9"/>
        <v>0.03</v>
      </c>
      <c r="U44" s="17">
        <f t="shared" si="9"/>
        <v>0.03</v>
      </c>
      <c r="V44" s="17">
        <f t="shared" si="9"/>
        <v>0.03</v>
      </c>
      <c r="W44" s="17">
        <f t="shared" si="9"/>
        <v>0.03</v>
      </c>
      <c r="X44" s="17">
        <f t="shared" si="9"/>
        <v>0.03</v>
      </c>
      <c r="Y44" s="17">
        <f t="shared" si="9"/>
        <v>0.03</v>
      </c>
      <c r="Z44" s="17">
        <f t="shared" si="9"/>
        <v>0.03</v>
      </c>
      <c r="AA44" s="17">
        <f t="shared" si="9"/>
        <v>0.03</v>
      </c>
      <c r="AB44" s="17">
        <f t="shared" si="9"/>
        <v>0.03</v>
      </c>
      <c r="AC44" s="17">
        <f t="shared" si="9"/>
        <v>0.03</v>
      </c>
      <c r="AD44" s="17">
        <f t="shared" si="9"/>
        <v>0.03</v>
      </c>
      <c r="AE44" s="17">
        <f t="shared" si="9"/>
        <v>0.03</v>
      </c>
      <c r="AF44" s="17">
        <f t="shared" si="9"/>
        <v>0.03</v>
      </c>
      <c r="AG44" s="17">
        <f t="shared" si="9"/>
        <v>0.03</v>
      </c>
      <c r="AH44" s="17">
        <f t="shared" si="9"/>
        <v>0.03</v>
      </c>
      <c r="AI44" s="17">
        <f t="shared" si="9"/>
        <v>0.03</v>
      </c>
      <c r="AJ44" s="17">
        <f t="shared" si="9"/>
        <v>0.03</v>
      </c>
      <c r="AK44" s="17">
        <f t="shared" si="9"/>
        <v>0.03</v>
      </c>
      <c r="AL44" s="17">
        <f t="shared" si="9"/>
        <v>0.03</v>
      </c>
      <c r="AM44" s="17">
        <f t="shared" si="9"/>
        <v>0.03</v>
      </c>
      <c r="AN44" s="17">
        <f t="shared" si="9"/>
        <v>0.03</v>
      </c>
      <c r="AO44" s="17">
        <f t="shared" si="9"/>
        <v>0.03</v>
      </c>
      <c r="AP44" s="17">
        <f t="shared" si="9"/>
        <v>0.03</v>
      </c>
      <c r="AQ44" s="17">
        <f t="shared" si="9"/>
        <v>0.03</v>
      </c>
      <c r="AR44" s="17">
        <f t="shared" si="9"/>
        <v>0.03</v>
      </c>
      <c r="AS44" s="17">
        <f t="shared" si="9"/>
        <v>0.03</v>
      </c>
      <c r="AT44" s="17">
        <f>$B$26</f>
        <v>0.03</v>
      </c>
    </row>
    <row r="45" spans="1:49" x14ac:dyDescent="0.35">
      <c r="A45" s="1" t="s">
        <v>255</v>
      </c>
      <c r="B45" s="30">
        <f>B44*B43</f>
        <v>106.92</v>
      </c>
      <c r="C45" s="30">
        <f>C44*C43</f>
        <v>216.55683719999999</v>
      </c>
      <c r="D45" s="30">
        <f t="shared" ref="D45:AS45" si="10">D44*D43</f>
        <v>328.97954643325204</v>
      </c>
      <c r="E45" s="30">
        <f t="shared" si="10"/>
        <v>444.25891670812092</v>
      </c>
      <c r="F45" s="30">
        <f t="shared" si="10"/>
        <v>562.4675357816742</v>
      </c>
      <c r="G45" s="30">
        <f t="shared" si="10"/>
        <v>683.67983586588662</v>
      </c>
      <c r="H45" s="30">
        <f t="shared" si="10"/>
        <v>807.97214049523882</v>
      </c>
      <c r="I45" s="30">
        <f t="shared" si="10"/>
        <v>935.42271258522271</v>
      </c>
      <c r="J45" s="30">
        <f t="shared" si="10"/>
        <v>1066.1118037120132</v>
      </c>
      <c r="K45" s="30">
        <f t="shared" si="10"/>
        <v>1200.1217046443355</v>
      </c>
      <c r="L45" s="30">
        <f t="shared" si="10"/>
        <v>1337.5367971593482</v>
      </c>
      <c r="M45" s="30">
        <f t="shared" si="10"/>
        <v>1478.4436071751672</v>
      </c>
      <c r="N45" s="30">
        <f t="shared" si="10"/>
        <v>1622.9308592334883</v>
      </c>
      <c r="O45" s="30">
        <f t="shared" si="10"/>
        <v>1771.0895323666111</v>
      </c>
      <c r="P45" s="30">
        <f t="shared" si="10"/>
        <v>1923.0129173840469</v>
      </c>
      <c r="Q45" s="30">
        <f t="shared" si="10"/>
        <v>2078.7966756147757</v>
      </c>
      <c r="R45" s="30">
        <f t="shared" si="10"/>
        <v>2238.5388991421469</v>
      </c>
      <c r="S45" s="30">
        <f t="shared" si="10"/>
        <v>2402.3401725693493</v>
      </c>
      <c r="T45" s="30">
        <f t="shared" si="10"/>
        <v>2570.303636354336</v>
      </c>
      <c r="U45" s="30">
        <f t="shared" si="10"/>
        <v>2742.5350517540996</v>
      </c>
      <c r="V45" s="30">
        <f t="shared" si="10"/>
        <v>2919.1428674191711</v>
      </c>
      <c r="W45" s="30">
        <f t="shared" si="10"/>
        <v>3100.2382876802922</v>
      </c>
      <c r="X45" s="30">
        <f t="shared" si="10"/>
        <v>3285.9353425702484</v>
      </c>
      <c r="Y45" s="30">
        <f t="shared" si="10"/>
        <v>3476.3509596249587</v>
      </c>
      <c r="Z45" s="30">
        <f t="shared" si="10"/>
        <v>3671.6050375090285</v>
      </c>
      <c r="AA45" s="30">
        <f t="shared" si="10"/>
        <v>3871.8205215121329</v>
      </c>
      <c r="AB45" s="30">
        <f t="shared" si="10"/>
        <v>4077.1234809637567</v>
      </c>
      <c r="AC45" s="30">
        <f t="shared" si="10"/>
        <v>4287.6431886150458</v>
      </c>
      <c r="AD45" s="30">
        <f t="shared" si="10"/>
        <v>4503.5122020377539</v>
      </c>
      <c r="AE45" s="30">
        <f t="shared" si="10"/>
        <v>4724.8664470915337</v>
      </c>
      <c r="AF45" s="30">
        <f t="shared" si="10"/>
        <v>4951.8453035121292</v>
      </c>
      <c r="AG45" s="30">
        <f t="shared" si="10"/>
        <v>5184.591692674373</v>
      </c>
      <c r="AH45" s="30">
        <f t="shared" si="10"/>
        <v>5423.2521675852277</v>
      </c>
      <c r="AI45" s="30">
        <f t="shared" si="10"/>
        <v>5667.9770051635687</v>
      </c>
      <c r="AJ45" s="30">
        <f t="shared" si="10"/>
        <v>5918.9203008647755</v>
      </c>
      <c r="AK45" s="30">
        <f t="shared" si="10"/>
        <v>6176.2400657097496</v>
      </c>
      <c r="AL45" s="30">
        <f t="shared" si="10"/>
        <v>6440.0983257794342</v>
      </c>
      <c r="AM45" s="30">
        <f t="shared" si="10"/>
        <v>6710.6612242374895</v>
      </c>
      <c r="AN45" s="30">
        <f t="shared" si="10"/>
        <v>6988.099125945364</v>
      </c>
      <c r="AO45" s="30">
        <f t="shared" si="10"/>
        <v>7272.5867247356364</v>
      </c>
      <c r="AP45" s="30">
        <f t="shared" si="10"/>
        <v>7564.3031534111688</v>
      </c>
      <c r="AQ45" s="30">
        <f t="shared" si="10"/>
        <v>7863.4320965393463</v>
      </c>
      <c r="AR45" s="30">
        <f t="shared" si="10"/>
        <v>8170.1619061124111</v>
      </c>
      <c r="AS45" s="30">
        <f t="shared" si="10"/>
        <v>8484.6857201467265</v>
      </c>
      <c r="AT45" s="30">
        <f>AT44*AT43</f>
        <v>8807.2015842956553</v>
      </c>
    </row>
    <row r="46" spans="1:49" x14ac:dyDescent="0.35">
      <c r="A46" s="1" t="s">
        <v>225</v>
      </c>
      <c r="B46" s="30">
        <f>B45*$B$27</f>
        <v>16.35876</v>
      </c>
      <c r="C46" s="30">
        <f>C45*$B$27</f>
        <v>33.133196091599999</v>
      </c>
      <c r="D46" s="30">
        <f t="shared" ref="D46:AS46" si="11">D45*$B$27</f>
        <v>50.333870604287561</v>
      </c>
      <c r="E46" s="30">
        <f t="shared" si="11"/>
        <v>67.971614256342505</v>
      </c>
      <c r="F46" s="30">
        <f t="shared" si="11"/>
        <v>86.057532974596157</v>
      </c>
      <c r="G46" s="30">
        <f t="shared" si="11"/>
        <v>104.60301488748065</v>
      </c>
      <c r="H46" s="30">
        <f t="shared" si="11"/>
        <v>123.61973749577153</v>
      </c>
      <c r="I46" s="30">
        <f t="shared" si="11"/>
        <v>143.11967502553907</v>
      </c>
      <c r="J46" s="30">
        <f t="shared" si="11"/>
        <v>163.11510596793801</v>
      </c>
      <c r="K46" s="30">
        <f t="shared" si="11"/>
        <v>183.61862081058334</v>
      </c>
      <c r="L46" s="30">
        <f t="shared" si="11"/>
        <v>204.64312996538027</v>
      </c>
      <c r="M46" s="30">
        <f t="shared" si="11"/>
        <v>226.20187189780057</v>
      </c>
      <c r="N46" s="30">
        <f t="shared" si="11"/>
        <v>248.30842146272369</v>
      </c>
      <c r="O46" s="30">
        <f t="shared" si="11"/>
        <v>270.97669845209151</v>
      </c>
      <c r="P46" s="30">
        <f t="shared" si="11"/>
        <v>294.22097635975916</v>
      </c>
      <c r="Q46" s="30">
        <f t="shared" si="11"/>
        <v>318.0558913690607</v>
      </c>
      <c r="R46" s="30">
        <f t="shared" si="11"/>
        <v>342.49645156874845</v>
      </c>
      <c r="S46" s="30">
        <f t="shared" si="11"/>
        <v>367.55804640311044</v>
      </c>
      <c r="T46" s="30">
        <f t="shared" si="11"/>
        <v>393.25645636221338</v>
      </c>
      <c r="U46" s="30">
        <f t="shared" si="11"/>
        <v>419.60786291837724</v>
      </c>
      <c r="V46" s="30">
        <f t="shared" si="11"/>
        <v>446.62885871513316</v>
      </c>
      <c r="W46" s="30">
        <f t="shared" si="11"/>
        <v>474.3364580150847</v>
      </c>
      <c r="X46" s="30">
        <f t="shared" si="11"/>
        <v>502.74810741324802</v>
      </c>
      <c r="Y46" s="30">
        <f t="shared" si="11"/>
        <v>531.88169682261866</v>
      </c>
      <c r="Z46" s="30">
        <f t="shared" si="11"/>
        <v>561.75557073888137</v>
      </c>
      <c r="AA46" s="30">
        <f t="shared" si="11"/>
        <v>592.38853979135638</v>
      </c>
      <c r="AB46" s="30">
        <f t="shared" si="11"/>
        <v>623.79989258745479</v>
      </c>
      <c r="AC46" s="30">
        <f t="shared" si="11"/>
        <v>656.00940785810201</v>
      </c>
      <c r="AD46" s="30">
        <f t="shared" si="11"/>
        <v>689.0373669117763</v>
      </c>
      <c r="AE46" s="30">
        <f t="shared" si="11"/>
        <v>722.90456640500463</v>
      </c>
      <c r="AF46" s="30">
        <f t="shared" si="11"/>
        <v>757.63233143735579</v>
      </c>
      <c r="AG46" s="30">
        <f t="shared" si="11"/>
        <v>793.24252897917904</v>
      </c>
      <c r="AH46" s="30">
        <f t="shared" si="11"/>
        <v>829.7575816405398</v>
      </c>
      <c r="AI46" s="30">
        <f t="shared" si="11"/>
        <v>867.20048179002595</v>
      </c>
      <c r="AJ46" s="30">
        <f t="shared" si="11"/>
        <v>905.59480603231066</v>
      </c>
      <c r="AK46" s="30">
        <f t="shared" si="11"/>
        <v>944.96473005359167</v>
      </c>
      <c r="AL46" s="30">
        <f t="shared" si="11"/>
        <v>985.33504384425339</v>
      </c>
      <c r="AM46" s="30">
        <f t="shared" si="11"/>
        <v>1026.7311673083359</v>
      </c>
      <c r="AN46" s="30">
        <f t="shared" si="11"/>
        <v>1069.1791662696407</v>
      </c>
      <c r="AO46" s="30">
        <f t="shared" si="11"/>
        <v>1112.7057688845523</v>
      </c>
      <c r="AP46" s="30">
        <f t="shared" si="11"/>
        <v>1157.3383824719087</v>
      </c>
      <c r="AQ46" s="30">
        <f t="shared" si="11"/>
        <v>1203.10511077052</v>
      </c>
      <c r="AR46" s="30">
        <f t="shared" si="11"/>
        <v>1250.0347716351989</v>
      </c>
      <c r="AS46" s="30">
        <f t="shared" si="11"/>
        <v>1298.1569151824492</v>
      </c>
      <c r="AT46" s="30">
        <f>AT45*$B$27</f>
        <v>1347.5018423972351</v>
      </c>
    </row>
    <row r="47" spans="1:49" x14ac:dyDescent="0.35">
      <c r="A47" s="1" t="s">
        <v>269</v>
      </c>
      <c r="B47" s="31">
        <f>B43+(B45-B46)</f>
        <v>3654.56124</v>
      </c>
      <c r="C47" s="31">
        <f>C43+(C45-C46)</f>
        <v>7401.9848811084003</v>
      </c>
      <c r="D47" s="31">
        <f t="shared" ref="D47:AS47" si="12">D43+(D45-D46)</f>
        <v>11244.630556937365</v>
      </c>
      <c r="E47" s="31">
        <f t="shared" si="12"/>
        <v>15184.917859389143</v>
      </c>
      <c r="F47" s="31">
        <f t="shared" si="12"/>
        <v>19225.32786219622</v>
      </c>
      <c r="G47" s="31">
        <f t="shared" si="12"/>
        <v>23368.404683174627</v>
      </c>
      <c r="H47" s="31">
        <f t="shared" si="12"/>
        <v>27616.757086174093</v>
      </c>
      <c r="I47" s="31">
        <f t="shared" si="12"/>
        <v>31973.060123733776</v>
      </c>
      <c r="J47" s="31">
        <f t="shared" si="12"/>
        <v>36440.056821477854</v>
      </c>
      <c r="K47" s="31">
        <f t="shared" si="12"/>
        <v>41020.559905311609</v>
      </c>
      <c r="L47" s="31">
        <f t="shared" si="12"/>
        <v>45717.453572505576</v>
      </c>
      <c r="M47" s="31">
        <f t="shared" si="12"/>
        <v>50533.695307782946</v>
      </c>
      <c r="N47" s="31">
        <f t="shared" si="12"/>
        <v>55472.317745553708</v>
      </c>
      <c r="O47" s="31">
        <f t="shared" si="12"/>
        <v>60536.43057946823</v>
      </c>
      <c r="P47" s="31">
        <f t="shared" si="12"/>
        <v>65729.22252049252</v>
      </c>
      <c r="Q47" s="31">
        <f t="shared" si="12"/>
        <v>71053.963304738238</v>
      </c>
      <c r="R47" s="31">
        <f t="shared" si="12"/>
        <v>76514.005752311641</v>
      </c>
      <c r="S47" s="31">
        <f t="shared" si="12"/>
        <v>82112.787878477873</v>
      </c>
      <c r="T47" s="31">
        <f t="shared" si="12"/>
        <v>87853.835058469995</v>
      </c>
      <c r="U47" s="31">
        <f t="shared" si="12"/>
        <v>93740.762247305713</v>
      </c>
      <c r="V47" s="31">
        <f t="shared" si="12"/>
        <v>99777.276256009747</v>
      </c>
      <c r="W47" s="31">
        <f t="shared" si="12"/>
        <v>105967.17808567495</v>
      </c>
      <c r="X47" s="31">
        <f t="shared" si="12"/>
        <v>112314.36532083196</v>
      </c>
      <c r="Y47" s="31">
        <f t="shared" si="12"/>
        <v>118822.83458363429</v>
      </c>
      <c r="Z47" s="31">
        <f t="shared" si="12"/>
        <v>125496.68405040444</v>
      </c>
      <c r="AA47" s="31">
        <f t="shared" si="12"/>
        <v>132340.11603212522</v>
      </c>
      <c r="AB47" s="31">
        <f t="shared" si="12"/>
        <v>139357.43962050154</v>
      </c>
      <c r="AC47" s="31">
        <f t="shared" si="12"/>
        <v>146553.07340125847</v>
      </c>
      <c r="AD47" s="31">
        <f t="shared" si="12"/>
        <v>153931.54823638446</v>
      </c>
      <c r="AE47" s="31">
        <f t="shared" si="12"/>
        <v>161497.51011707098</v>
      </c>
      <c r="AF47" s="31">
        <f t="shared" si="12"/>
        <v>169255.72308914576</v>
      </c>
      <c r="AG47" s="31">
        <f t="shared" si="12"/>
        <v>177211.07225284094</v>
      </c>
      <c r="AH47" s="31">
        <f t="shared" si="12"/>
        <v>185368.56683878563</v>
      </c>
      <c r="AI47" s="31">
        <f t="shared" si="12"/>
        <v>193733.34336215918</v>
      </c>
      <c r="AJ47" s="31">
        <f t="shared" si="12"/>
        <v>202310.66885699166</v>
      </c>
      <c r="AK47" s="31">
        <f t="shared" si="12"/>
        <v>211105.94419264782</v>
      </c>
      <c r="AL47" s="31">
        <f t="shared" si="12"/>
        <v>220124.707474583</v>
      </c>
      <c r="AM47" s="31">
        <f t="shared" si="12"/>
        <v>229372.63753151215</v>
      </c>
      <c r="AN47" s="31">
        <f t="shared" si="12"/>
        <v>238855.55749118788</v>
      </c>
      <c r="AO47" s="31">
        <f t="shared" si="12"/>
        <v>248579.43844703896</v>
      </c>
      <c r="AP47" s="31">
        <f t="shared" si="12"/>
        <v>258550.40321797822</v>
      </c>
      <c r="AQ47" s="31">
        <f t="shared" si="12"/>
        <v>268774.73020374705</v>
      </c>
      <c r="AR47" s="31">
        <f t="shared" si="12"/>
        <v>279258.85733822425</v>
      </c>
      <c r="AS47" s="31">
        <f t="shared" si="12"/>
        <v>290009.38614318852</v>
      </c>
      <c r="AT47" s="31">
        <f>AT43+(AT45-AT46)</f>
        <v>301033.08588508691</v>
      </c>
    </row>
    <row r="50" spans="1:46" x14ac:dyDescent="0.35">
      <c r="A50" s="1" t="s">
        <v>198</v>
      </c>
    </row>
    <row r="51" spans="1:46" x14ac:dyDescent="0.35">
      <c r="A51" s="1" t="s">
        <v>270</v>
      </c>
      <c r="B51" s="32">
        <f>'Net Salary P1'!E15</f>
        <v>9215.6862745098042</v>
      </c>
      <c r="C51" s="30">
        <f>B55+'Net Salary P1'!F15</f>
        <v>18484.843406382162</v>
      </c>
      <c r="D51" s="30">
        <f>C55+'Net Salary P1'!G15</f>
        <v>27812.373222080554</v>
      </c>
      <c r="E51" s="30">
        <f>D55+'Net Salary P1'!H15</f>
        <v>37203.232630302853</v>
      </c>
      <c r="F51" s="30">
        <f>E55+'Net Salary P1'!I15</f>
        <v>46662.43638384006</v>
      </c>
      <c r="G51" s="30">
        <f>F55+'Net Salary P1'!J15</f>
        <v>56195.059884903647</v>
      </c>
      <c r="H51" s="30">
        <f>G55+'Net Salary P1'!K15</f>
        <v>65806.242035549833</v>
      </c>
      <c r="I51" s="30">
        <f>H55+'Net Salary P1'!L15</f>
        <v>75501.188134860189</v>
      </c>
      <c r="J51" s="30">
        <f>I55+'Net Salary P1'!M15</f>
        <v>85285.172824569978</v>
      </c>
      <c r="K51" s="30">
        <f>J55+'Net Salary P1'!N15</f>
        <v>95163.543084868754</v>
      </c>
      <c r="L51" s="30">
        <f>K55+'Net Salary P1'!O15</f>
        <v>105141.72128213219</v>
      </c>
      <c r="M51" s="30">
        <f>L55+'Net Salary P1'!P15</f>
        <v>115225.20827037873</v>
      </c>
      <c r="N51" s="30">
        <f>M55+'Net Salary P1'!Q15</f>
        <v>125419.58654828157</v>
      </c>
      <c r="O51" s="30">
        <f>N55+'Net Salary P1'!R15</f>
        <v>135730.52347360333</v>
      </c>
      <c r="P51" s="30">
        <f>O55+'Net Salary P1'!S15</f>
        <v>146163.77453695965</v>
      </c>
      <c r="Q51" s="30">
        <f>P55+'Net Salary P1'!T15</f>
        <v>156725.18669685759</v>
      </c>
      <c r="R51" s="30">
        <f>Q55+'Net Salary P1'!U15</f>
        <v>167420.70177799513</v>
      </c>
      <c r="S51" s="30">
        <f>R55+'Net Salary P1'!V15</f>
        <v>178256.35993485086</v>
      </c>
      <c r="T51" s="30">
        <f>S55+'Net Salary P1'!W15</f>
        <v>189238.30318263549</v>
      </c>
      <c r="U51" s="30">
        <f>T55+'Net Salary P1'!X15</f>
        <v>200372.77899772199</v>
      </c>
      <c r="V51" s="30">
        <f>U55+'Net Salary P1'!Y15</f>
        <v>211666.1439897166</v>
      </c>
      <c r="W51" s="30">
        <f>V55+'Net Salary P1'!Z15</f>
        <v>223124.86764738007</v>
      </c>
      <c r="X51" s="30">
        <f>W55+'Net Salary P1'!AA15</f>
        <v>234755.53616065765</v>
      </c>
      <c r="Y51" s="30">
        <f>X55+'Net Salary P1'!AB15</f>
        <v>246564.85632112509</v>
      </c>
      <c r="Z51" s="30">
        <f>Y55+'Net Salary P1'!AC15</f>
        <v>258559.65950321071</v>
      </c>
      <c r="AA51" s="30">
        <f>Z55+'Net Salary P1'!AD15</f>
        <v>270746.90572860476</v>
      </c>
      <c r="AB51" s="30">
        <f>AA55+'Net Salary P1'!AE15</f>
        <v>283133.68781632296</v>
      </c>
      <c r="AC51" s="30">
        <f>AB55+'Net Salary P1'!AF15</f>
        <v>295727.23562094592</v>
      </c>
      <c r="AD51" s="30">
        <f>AC55+'Net Salary P1'!AG15</f>
        <v>308534.92036161356</v>
      </c>
      <c r="AE51" s="30">
        <f>AD55+'Net Salary P1'!AH15</f>
        <v>321564.25904441334</v>
      </c>
      <c r="AF51" s="30">
        <f>AE55+'Net Salary P1'!AI15</f>
        <v>334822.91898086044</v>
      </c>
      <c r="AG51" s="30">
        <f>AF55+'Net Salary P1'!AJ15</f>
        <v>348318.72240523138</v>
      </c>
      <c r="AH51" s="30">
        <f>AG55+'Net Salary P1'!AK15</f>
        <v>362059.65119357506</v>
      </c>
      <c r="AI51" s="30">
        <f>AH55+'Net Salary P1'!AL15</f>
        <v>376053.85168729274</v>
      </c>
      <c r="AJ51" s="30">
        <f>AI55+'Net Salary P1'!AM15</f>
        <v>390309.63962424424</v>
      </c>
      <c r="AK51" s="30">
        <f>AJ55+'Net Salary P1'!AN15</f>
        <v>404835.50518040749</v>
      </c>
      <c r="AL51" s="30">
        <f>AK55+'Net Salary P1'!AO15</f>
        <v>419640.11812518985</v>
      </c>
      <c r="AM51" s="30">
        <f>AL55+'Net Salary P1'!AP15</f>
        <v>434732.33309356292</v>
      </c>
      <c r="AN51" s="30">
        <f>AM55+'Net Salary P1'!AQ15</f>
        <v>450121.19497826637</v>
      </c>
      <c r="AO51" s="30">
        <f>AN55+'Net Salary P1'!AR15</f>
        <v>465815.94444540533</v>
      </c>
      <c r="AP51" s="30">
        <f>AO55+'Net Salary P1'!AS15</f>
        <v>481826.02357684268</v>
      </c>
      <c r="AQ51" s="30">
        <f>AP55+'Net Salary P1'!AT15</f>
        <v>498161.08164287102</v>
      </c>
      <c r="AR51" s="30">
        <f>AQ55+'Net Salary P1'!AU15</f>
        <v>514830.98100873089</v>
      </c>
      <c r="AS51" s="30">
        <f>AR55+'Net Salary P1'!AV15</f>
        <v>531845.80317862786</v>
      </c>
      <c r="AT51" s="30">
        <f>AS55+'Net Salary P1'!AW15</f>
        <v>549215.85498099017</v>
      </c>
    </row>
    <row r="52" spans="1:46" x14ac:dyDescent="0.35">
      <c r="A52" s="1" t="s">
        <v>268</v>
      </c>
      <c r="B52" s="17">
        <f>$B$26</f>
        <v>0.03</v>
      </c>
      <c r="C52" s="17">
        <f>$B$26</f>
        <v>0.03</v>
      </c>
      <c r="D52" s="17">
        <f t="shared" ref="D52:AT52" si="13">$B$26</f>
        <v>0.03</v>
      </c>
      <c r="E52" s="17">
        <f t="shared" si="13"/>
        <v>0.03</v>
      </c>
      <c r="F52" s="17">
        <f t="shared" si="13"/>
        <v>0.03</v>
      </c>
      <c r="G52" s="17">
        <f t="shared" si="13"/>
        <v>0.03</v>
      </c>
      <c r="H52" s="17">
        <f t="shared" si="13"/>
        <v>0.03</v>
      </c>
      <c r="I52" s="17">
        <f t="shared" si="13"/>
        <v>0.03</v>
      </c>
      <c r="J52" s="17">
        <f t="shared" si="13"/>
        <v>0.03</v>
      </c>
      <c r="K52" s="17">
        <f t="shared" si="13"/>
        <v>0.03</v>
      </c>
      <c r="L52" s="17">
        <f t="shared" si="13"/>
        <v>0.03</v>
      </c>
      <c r="M52" s="17">
        <f t="shared" si="13"/>
        <v>0.03</v>
      </c>
      <c r="N52" s="17">
        <f t="shared" si="13"/>
        <v>0.03</v>
      </c>
      <c r="O52" s="17">
        <f t="shared" si="13"/>
        <v>0.03</v>
      </c>
      <c r="P52" s="17">
        <f t="shared" si="13"/>
        <v>0.03</v>
      </c>
      <c r="Q52" s="17">
        <f t="shared" si="13"/>
        <v>0.03</v>
      </c>
      <c r="R52" s="17">
        <f t="shared" si="13"/>
        <v>0.03</v>
      </c>
      <c r="S52" s="17">
        <f t="shared" si="13"/>
        <v>0.03</v>
      </c>
      <c r="T52" s="17">
        <f t="shared" si="13"/>
        <v>0.03</v>
      </c>
      <c r="U52" s="17">
        <f t="shared" si="13"/>
        <v>0.03</v>
      </c>
      <c r="V52" s="17">
        <f t="shared" si="13"/>
        <v>0.03</v>
      </c>
      <c r="W52" s="17">
        <f t="shared" si="13"/>
        <v>0.03</v>
      </c>
      <c r="X52" s="17">
        <f t="shared" si="13"/>
        <v>0.03</v>
      </c>
      <c r="Y52" s="17">
        <f t="shared" si="13"/>
        <v>0.03</v>
      </c>
      <c r="Z52" s="17">
        <f t="shared" si="13"/>
        <v>0.03</v>
      </c>
      <c r="AA52" s="17">
        <f t="shared" si="13"/>
        <v>0.03</v>
      </c>
      <c r="AB52" s="17">
        <f t="shared" si="13"/>
        <v>0.03</v>
      </c>
      <c r="AC52" s="17">
        <f t="shared" si="13"/>
        <v>0.03</v>
      </c>
      <c r="AD52" s="17">
        <f t="shared" si="13"/>
        <v>0.03</v>
      </c>
      <c r="AE52" s="17">
        <f t="shared" si="13"/>
        <v>0.03</v>
      </c>
      <c r="AF52" s="17">
        <f t="shared" si="13"/>
        <v>0.03</v>
      </c>
      <c r="AG52" s="17">
        <f t="shared" si="13"/>
        <v>0.03</v>
      </c>
      <c r="AH52" s="17">
        <f t="shared" si="13"/>
        <v>0.03</v>
      </c>
      <c r="AI52" s="17">
        <f t="shared" si="13"/>
        <v>0.03</v>
      </c>
      <c r="AJ52" s="17">
        <f t="shared" si="13"/>
        <v>0.03</v>
      </c>
      <c r="AK52" s="17">
        <f t="shared" si="13"/>
        <v>0.03</v>
      </c>
      <c r="AL52" s="17">
        <f t="shared" si="13"/>
        <v>0.03</v>
      </c>
      <c r="AM52" s="17">
        <f t="shared" si="13"/>
        <v>0.03</v>
      </c>
      <c r="AN52" s="17">
        <f t="shared" si="13"/>
        <v>0.03</v>
      </c>
      <c r="AO52" s="17">
        <f t="shared" si="13"/>
        <v>0.03</v>
      </c>
      <c r="AP52" s="17">
        <f t="shared" si="13"/>
        <v>0.03</v>
      </c>
      <c r="AQ52" s="17">
        <f t="shared" si="13"/>
        <v>0.03</v>
      </c>
      <c r="AR52" s="17">
        <f t="shared" si="13"/>
        <v>0.03</v>
      </c>
      <c r="AS52" s="17">
        <f t="shared" si="13"/>
        <v>0.03</v>
      </c>
      <c r="AT52" s="17">
        <f>$B$26</f>
        <v>0.03</v>
      </c>
    </row>
    <row r="53" spans="1:46" x14ac:dyDescent="0.35">
      <c r="A53" s="1" t="s">
        <v>255</v>
      </c>
      <c r="B53" s="30">
        <f>B52*B51</f>
        <v>276.47058823529414</v>
      </c>
      <c r="C53" s="30">
        <f>C52*C51</f>
        <v>554.54530219146488</v>
      </c>
      <c r="D53" s="30">
        <f t="shared" ref="D53:AS53" si="14">D52*D51</f>
        <v>834.37119666241654</v>
      </c>
      <c r="E53" s="30">
        <f t="shared" si="14"/>
        <v>1116.0969789090855</v>
      </c>
      <c r="F53" s="30">
        <f t="shared" si="14"/>
        <v>1399.8730915152018</v>
      </c>
      <c r="G53" s="30">
        <f t="shared" si="14"/>
        <v>1685.8517965471094</v>
      </c>
      <c r="H53" s="30">
        <f t="shared" si="14"/>
        <v>1974.187261066495</v>
      </c>
      <c r="I53" s="30">
        <f t="shared" si="14"/>
        <v>2265.0356440458054</v>
      </c>
      <c r="J53" s="30">
        <f t="shared" si="14"/>
        <v>2558.5551847370994</v>
      </c>
      <c r="K53" s="30">
        <f t="shared" si="14"/>
        <v>2854.9062925460626</v>
      </c>
      <c r="L53" s="30">
        <f t="shared" si="14"/>
        <v>3154.2516384639657</v>
      </c>
      <c r="M53" s="30">
        <f t="shared" si="14"/>
        <v>3456.7562481113619</v>
      </c>
      <c r="N53" s="30">
        <f t="shared" si="14"/>
        <v>3762.5875964484471</v>
      </c>
      <c r="O53" s="30">
        <f t="shared" si="14"/>
        <v>4071.9157042080997</v>
      </c>
      <c r="P53" s="30">
        <f t="shared" si="14"/>
        <v>4384.9132361087895</v>
      </c>
      <c r="Q53" s="30">
        <f t="shared" si="14"/>
        <v>4701.755600905728</v>
      </c>
      <c r="R53" s="30">
        <f t="shared" si="14"/>
        <v>5022.6210533398535</v>
      </c>
      <c r="S53" s="30">
        <f t="shared" si="14"/>
        <v>5347.6907980455253</v>
      </c>
      <c r="T53" s="30">
        <f t="shared" si="14"/>
        <v>5677.1490954790643</v>
      </c>
      <c r="U53" s="30">
        <f t="shared" si="14"/>
        <v>6011.1833699316594</v>
      </c>
      <c r="V53" s="30">
        <f t="shared" si="14"/>
        <v>6349.9843196914981</v>
      </c>
      <c r="W53" s="30">
        <f t="shared" si="14"/>
        <v>6693.7460294214015</v>
      </c>
      <c r="X53" s="30">
        <f t="shared" si="14"/>
        <v>7042.6660848197289</v>
      </c>
      <c r="Y53" s="30">
        <f t="shared" si="14"/>
        <v>7396.9456896337524</v>
      </c>
      <c r="Z53" s="30">
        <f t="shared" si="14"/>
        <v>7756.7897850963209</v>
      </c>
      <c r="AA53" s="30">
        <f t="shared" si="14"/>
        <v>8122.4071718581426</v>
      </c>
      <c r="AB53" s="30">
        <f t="shared" si="14"/>
        <v>8494.0106344896885</v>
      </c>
      <c r="AC53" s="30">
        <f t="shared" si="14"/>
        <v>8871.8170686283775</v>
      </c>
      <c r="AD53" s="30">
        <f t="shared" si="14"/>
        <v>9256.0476108484072</v>
      </c>
      <c r="AE53" s="30">
        <f t="shared" si="14"/>
        <v>9646.9277713323991</v>
      </c>
      <c r="AF53" s="30">
        <f t="shared" si="14"/>
        <v>10044.687569425812</v>
      </c>
      <c r="AG53" s="30">
        <f t="shared" si="14"/>
        <v>10449.56167215694</v>
      </c>
      <c r="AH53" s="30">
        <f t="shared" si="14"/>
        <v>10861.789535807251</v>
      </c>
      <c r="AI53" s="30">
        <f t="shared" si="14"/>
        <v>11281.615550618782</v>
      </c>
      <c r="AJ53" s="30">
        <f t="shared" si="14"/>
        <v>11709.289188727327</v>
      </c>
      <c r="AK53" s="30">
        <f t="shared" si="14"/>
        <v>12145.065155412225</v>
      </c>
      <c r="AL53" s="30">
        <f t="shared" si="14"/>
        <v>12589.203543755695</v>
      </c>
      <c r="AM53" s="30">
        <f t="shared" si="14"/>
        <v>13041.969992806888</v>
      </c>
      <c r="AN53" s="30">
        <f t="shared" si="14"/>
        <v>13503.635849347991</v>
      </c>
      <c r="AO53" s="30">
        <f t="shared" si="14"/>
        <v>13974.47833336216</v>
      </c>
      <c r="AP53" s="30">
        <f t="shared" si="14"/>
        <v>14454.780707305279</v>
      </c>
      <c r="AQ53" s="30">
        <f t="shared" si="14"/>
        <v>14944.83244928613</v>
      </c>
      <c r="AR53" s="30">
        <f t="shared" si="14"/>
        <v>15444.929430261926</v>
      </c>
      <c r="AS53" s="30">
        <f t="shared" si="14"/>
        <v>15955.374095358835</v>
      </c>
      <c r="AT53" s="30">
        <f>AT52*AT51</f>
        <v>16476.475649429703</v>
      </c>
    </row>
    <row r="54" spans="1:46" x14ac:dyDescent="0.35">
      <c r="A54" s="1" t="s">
        <v>225</v>
      </c>
      <c r="B54" s="30">
        <f>B53*$B$27</f>
        <v>42.300000000000004</v>
      </c>
      <c r="C54" s="30">
        <f>C53*$B$27</f>
        <v>84.845431235294129</v>
      </c>
      <c r="D54" s="30">
        <f t="shared" ref="D54:AS54" si="15">D53*$B$27</f>
        <v>127.65879308934973</v>
      </c>
      <c r="E54" s="30">
        <f t="shared" si="15"/>
        <v>170.76283777309007</v>
      </c>
      <c r="F54" s="30">
        <f t="shared" si="15"/>
        <v>214.18058300182588</v>
      </c>
      <c r="G54" s="30">
        <f t="shared" si="15"/>
        <v>257.93532487170773</v>
      </c>
      <c r="H54" s="30">
        <f t="shared" si="15"/>
        <v>302.05065094317371</v>
      </c>
      <c r="I54" s="30">
        <f t="shared" si="15"/>
        <v>346.55045353900823</v>
      </c>
      <c r="J54" s="30">
        <f t="shared" si="15"/>
        <v>391.45894326477617</v>
      </c>
      <c r="K54" s="30">
        <f t="shared" si="15"/>
        <v>436.80066275954755</v>
      </c>
      <c r="L54" s="30">
        <f t="shared" si="15"/>
        <v>482.60050068498674</v>
      </c>
      <c r="M54" s="30">
        <f t="shared" si="15"/>
        <v>528.88370596103834</v>
      </c>
      <c r="N54" s="30">
        <f t="shared" si="15"/>
        <v>575.6759022566124</v>
      </c>
      <c r="O54" s="30">
        <f t="shared" si="15"/>
        <v>623.00310274383924</v>
      </c>
      <c r="P54" s="30">
        <f t="shared" si="15"/>
        <v>670.89172512464484</v>
      </c>
      <c r="Q54" s="30">
        <f t="shared" si="15"/>
        <v>719.36860693857636</v>
      </c>
      <c r="R54" s="30">
        <f t="shared" si="15"/>
        <v>768.46102116099757</v>
      </c>
      <c r="S54" s="30">
        <f t="shared" si="15"/>
        <v>818.19669210096538</v>
      </c>
      <c r="T54" s="30">
        <f t="shared" si="15"/>
        <v>868.60381160829684</v>
      </c>
      <c r="U54" s="30">
        <f t="shared" si="15"/>
        <v>919.7110555995439</v>
      </c>
      <c r="V54" s="30">
        <f t="shared" si="15"/>
        <v>971.54760091279923</v>
      </c>
      <c r="W54" s="30">
        <f t="shared" si="15"/>
        <v>1024.1431425014744</v>
      </c>
      <c r="X54" s="30">
        <f t="shared" si="15"/>
        <v>1077.5279109774185</v>
      </c>
      <c r="Y54" s="30">
        <f t="shared" si="15"/>
        <v>1131.7326905139641</v>
      </c>
      <c r="Z54" s="30">
        <f t="shared" si="15"/>
        <v>1186.7888371197371</v>
      </c>
      <c r="AA54" s="30">
        <f t="shared" si="15"/>
        <v>1242.7282972942958</v>
      </c>
      <c r="AB54" s="30">
        <f t="shared" si="15"/>
        <v>1299.5836270769223</v>
      </c>
      <c r="AC54" s="30">
        <f t="shared" si="15"/>
        <v>1357.3880115001418</v>
      </c>
      <c r="AD54" s="30">
        <f t="shared" si="15"/>
        <v>1416.1752844598063</v>
      </c>
      <c r="AE54" s="30">
        <f t="shared" si="15"/>
        <v>1475.9799490138571</v>
      </c>
      <c r="AF54" s="30">
        <f t="shared" si="15"/>
        <v>1536.8371981221492</v>
      </c>
      <c r="AG54" s="30">
        <f t="shared" si="15"/>
        <v>1598.7829358400118</v>
      </c>
      <c r="AH54" s="30">
        <f t="shared" si="15"/>
        <v>1661.8537989785093</v>
      </c>
      <c r="AI54" s="30">
        <f t="shared" si="15"/>
        <v>1726.0871792446737</v>
      </c>
      <c r="AJ54" s="30">
        <f t="shared" si="15"/>
        <v>1791.521245875281</v>
      </c>
      <c r="AK54" s="30">
        <f t="shared" si="15"/>
        <v>1858.1949687780705</v>
      </c>
      <c r="AL54" s="30">
        <f t="shared" si="15"/>
        <v>1926.1481421946214</v>
      </c>
      <c r="AM54" s="30">
        <f t="shared" si="15"/>
        <v>1995.4214088994538</v>
      </c>
      <c r="AN54" s="30">
        <f t="shared" si="15"/>
        <v>2066.0562849502426</v>
      </c>
      <c r="AO54" s="30">
        <f t="shared" si="15"/>
        <v>2138.0951850044103</v>
      </c>
      <c r="AP54" s="30">
        <f t="shared" si="15"/>
        <v>2211.5814482177075</v>
      </c>
      <c r="AQ54" s="30">
        <f t="shared" si="15"/>
        <v>2286.5593647407777</v>
      </c>
      <c r="AR54" s="30">
        <f t="shared" si="15"/>
        <v>2363.0742028300747</v>
      </c>
      <c r="AS54" s="30">
        <f t="shared" si="15"/>
        <v>2441.1722365899018</v>
      </c>
      <c r="AT54" s="30">
        <f>AT53*$B$27</f>
        <v>2520.9007743627444</v>
      </c>
    </row>
    <row r="55" spans="1:46" x14ac:dyDescent="0.35">
      <c r="A55" s="1" t="s">
        <v>269</v>
      </c>
      <c r="B55" s="31">
        <f>B51+(B53-B54)</f>
        <v>9449.8568627450986</v>
      </c>
      <c r="C55" s="31">
        <f>C51+(C53-C54)</f>
        <v>18954.543277338333</v>
      </c>
      <c r="D55" s="31">
        <f t="shared" ref="D55:AS55" si="16">D51+(D53-D54)</f>
        <v>28519.085625653621</v>
      </c>
      <c r="E55" s="31">
        <f t="shared" si="16"/>
        <v>38148.566771438847</v>
      </c>
      <c r="F55" s="31">
        <f t="shared" si="16"/>
        <v>47848.128892353438</v>
      </c>
      <c r="G55" s="31">
        <f t="shared" si="16"/>
        <v>57622.976356579049</v>
      </c>
      <c r="H55" s="31">
        <f t="shared" si="16"/>
        <v>67478.378645673147</v>
      </c>
      <c r="I55" s="31">
        <f t="shared" si="16"/>
        <v>77419.673325366981</v>
      </c>
      <c r="J55" s="31">
        <f t="shared" si="16"/>
        <v>87452.269066042296</v>
      </c>
      <c r="K55" s="31">
        <f t="shared" si="16"/>
        <v>97581.648714655268</v>
      </c>
      <c r="L55" s="31">
        <f t="shared" si="16"/>
        <v>107813.37241991116</v>
      </c>
      <c r="M55" s="31">
        <f t="shared" si="16"/>
        <v>118153.08081252905</v>
      </c>
      <c r="N55" s="31">
        <f t="shared" si="16"/>
        <v>128606.4982424734</v>
      </c>
      <c r="O55" s="31">
        <f t="shared" si="16"/>
        <v>139179.43607506758</v>
      </c>
      <c r="P55" s="31">
        <f t="shared" si="16"/>
        <v>149877.79604794379</v>
      </c>
      <c r="Q55" s="31">
        <f t="shared" si="16"/>
        <v>160707.57369082473</v>
      </c>
      <c r="R55" s="31">
        <f t="shared" si="16"/>
        <v>171674.86181017398</v>
      </c>
      <c r="S55" s="31">
        <f t="shared" si="16"/>
        <v>182785.85404079541</v>
      </c>
      <c r="T55" s="31">
        <f t="shared" si="16"/>
        <v>194046.84846650626</v>
      </c>
      <c r="U55" s="31">
        <f t="shared" si="16"/>
        <v>205464.25131205411</v>
      </c>
      <c r="V55" s="31">
        <f t="shared" si="16"/>
        <v>217044.58070849528</v>
      </c>
      <c r="W55" s="31">
        <f t="shared" si="16"/>
        <v>228794.4705343</v>
      </c>
      <c r="X55" s="31">
        <f t="shared" si="16"/>
        <v>240720.67433449996</v>
      </c>
      <c r="Y55" s="31">
        <f t="shared" si="16"/>
        <v>252830.06932024489</v>
      </c>
      <c r="Z55" s="31">
        <f t="shared" si="16"/>
        <v>265129.66045118729</v>
      </c>
      <c r="AA55" s="31">
        <f t="shared" si="16"/>
        <v>277626.58460316859</v>
      </c>
      <c r="AB55" s="31">
        <f t="shared" si="16"/>
        <v>290328.11482373573</v>
      </c>
      <c r="AC55" s="31">
        <f t="shared" si="16"/>
        <v>303241.66467807419</v>
      </c>
      <c r="AD55" s="31">
        <f t="shared" si="16"/>
        <v>316374.79268800217</v>
      </c>
      <c r="AE55" s="31">
        <f t="shared" si="16"/>
        <v>329735.20686673187</v>
      </c>
      <c r="AF55" s="31">
        <f t="shared" si="16"/>
        <v>343330.76935216412</v>
      </c>
      <c r="AG55" s="31">
        <f t="shared" si="16"/>
        <v>357169.50114154833</v>
      </c>
      <c r="AH55" s="31">
        <f t="shared" si="16"/>
        <v>371259.58693040378</v>
      </c>
      <c r="AI55" s="31">
        <f t="shared" si="16"/>
        <v>385609.38005866687</v>
      </c>
      <c r="AJ55" s="31">
        <f t="shared" si="16"/>
        <v>400227.40756709629</v>
      </c>
      <c r="AK55" s="31">
        <f t="shared" si="16"/>
        <v>415122.37536704162</v>
      </c>
      <c r="AL55" s="31">
        <f t="shared" si="16"/>
        <v>430303.17352675094</v>
      </c>
      <c r="AM55" s="31">
        <f t="shared" si="16"/>
        <v>445778.88167747034</v>
      </c>
      <c r="AN55" s="31">
        <f t="shared" si="16"/>
        <v>461558.77454266412</v>
      </c>
      <c r="AO55" s="31">
        <f t="shared" si="16"/>
        <v>477652.32759376307</v>
      </c>
      <c r="AP55" s="31">
        <f t="shared" si="16"/>
        <v>494069.22283593024</v>
      </c>
      <c r="AQ55" s="31">
        <f t="shared" si="16"/>
        <v>510819.35472741636</v>
      </c>
      <c r="AR55" s="31">
        <f t="shared" si="16"/>
        <v>527912.83623616269</v>
      </c>
      <c r="AS55" s="31">
        <f t="shared" si="16"/>
        <v>545360.0050373968</v>
      </c>
      <c r="AT55" s="31">
        <f>AT51+(AT53-AT54)</f>
        <v>563171.42985605716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sheetPr>
    <tabColor theme="8" tint="0.79998168889431442"/>
  </sheetPr>
  <dimension ref="A1:BI46"/>
  <sheetViews>
    <sheetView tabSelected="1" topLeftCell="B18" zoomScale="69" workbookViewId="0">
      <selection activeCell="I24" sqref="I24"/>
    </sheetView>
  </sheetViews>
  <sheetFormatPr defaultColWidth="9.1796875" defaultRowHeight="14.5" x14ac:dyDescent="0.35"/>
  <cols>
    <col min="1" max="1" width="30.7265625" style="1" bestFit="1" customWidth="1"/>
    <col min="2" max="2" width="13.26953125" style="1" bestFit="1" customWidth="1"/>
    <col min="3" max="3" width="9.1796875" style="1"/>
    <col min="4" max="4" width="43.54296875" style="1" bestFit="1" customWidth="1"/>
    <col min="5" max="5" width="15.81640625" style="1" bestFit="1" customWidth="1"/>
    <col min="6" max="7" width="13" style="1" bestFit="1" customWidth="1"/>
    <col min="8" max="49" width="19" style="1" bestFit="1" customWidth="1"/>
    <col min="50" max="59" width="9.1796875" style="1"/>
    <col min="60" max="60" width="38.81640625" style="1" bestFit="1" customWidth="1"/>
    <col min="61" max="16384" width="9.1796875" style="1"/>
  </cols>
  <sheetData>
    <row r="1" spans="1:61" x14ac:dyDescent="0.35">
      <c r="A1" s="1" t="s">
        <v>64</v>
      </c>
      <c r="B1" s="17">
        <f>'Salary Variables'!$C$2</f>
        <v>0.02</v>
      </c>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c r="AI1" s="1">
        <v>2055</v>
      </c>
      <c r="AJ1" s="1">
        <v>2056</v>
      </c>
      <c r="AK1" s="1">
        <v>2057</v>
      </c>
      <c r="AL1" s="1">
        <v>2058</v>
      </c>
      <c r="AM1" s="1">
        <v>2059</v>
      </c>
      <c r="AN1" s="1">
        <v>2060</v>
      </c>
      <c r="AO1" s="1">
        <v>2061</v>
      </c>
      <c r="AP1" s="1">
        <v>2062</v>
      </c>
      <c r="AQ1" s="1">
        <v>2063</v>
      </c>
      <c r="AR1" s="1">
        <v>2064</v>
      </c>
      <c r="AS1" s="1">
        <v>2065</v>
      </c>
      <c r="AT1" s="1">
        <v>2066</v>
      </c>
      <c r="AU1" s="1">
        <v>2067</v>
      </c>
      <c r="AV1" s="1">
        <v>2068</v>
      </c>
      <c r="AW1" s="1">
        <v>2069</v>
      </c>
    </row>
    <row r="2" spans="1:61" x14ac:dyDescent="0.35">
      <c r="A2" s="1" t="s">
        <v>199</v>
      </c>
      <c r="B2" s="32">
        <f>'Salary Variables'!$C$14</f>
        <v>9400</v>
      </c>
      <c r="D2" s="1" t="s">
        <v>200</v>
      </c>
      <c r="E2" s="33" cm="1">
        <f t="array" ref="E2:AW2">TRANSPOSE(Income!N3:N47)</f>
        <v>42156.862745098042</v>
      </c>
      <c r="F2" s="33">
        <v>42578.431372549021</v>
      </c>
      <c r="G2" s="33">
        <v>44707.352941176468</v>
      </c>
      <c r="H2" s="33">
        <v>45154.426470588231</v>
      </c>
      <c r="I2" s="33">
        <v>45605.970735294111</v>
      </c>
      <c r="J2" s="33">
        <v>46062.030442647054</v>
      </c>
      <c r="K2" s="33">
        <v>48365.131964779408</v>
      </c>
      <c r="L2" s="33">
        <v>48848.783284427205</v>
      </c>
      <c r="M2" s="33">
        <v>49337.271117271477</v>
      </c>
      <c r="N2" s="33">
        <v>49830.64382844419</v>
      </c>
      <c r="O2" s="33">
        <v>52322.176019866405</v>
      </c>
      <c r="P2" s="33">
        <v>52845.397780065068</v>
      </c>
      <c r="Q2" s="33">
        <v>53373.851757865719</v>
      </c>
      <c r="R2" s="33">
        <v>53907.590275444374</v>
      </c>
      <c r="S2" s="33">
        <v>56602.969789216586</v>
      </c>
      <c r="T2" s="33">
        <v>57168.999487108755</v>
      </c>
      <c r="U2" s="33">
        <v>57740.68948197984</v>
      </c>
      <c r="V2" s="33">
        <v>58318.096376799636</v>
      </c>
      <c r="W2" s="33">
        <v>61234.001195639619</v>
      </c>
      <c r="X2" s="33">
        <v>61846.341207596015</v>
      </c>
      <c r="Y2" s="33">
        <v>62464.804619671973</v>
      </c>
      <c r="Z2" s="33">
        <v>63089.452665868695</v>
      </c>
      <c r="AA2" s="33">
        <v>66243.925299162132</v>
      </c>
      <c r="AB2" s="33">
        <v>66906.364552153755</v>
      </c>
      <c r="AC2" s="33">
        <v>67575.428197675297</v>
      </c>
      <c r="AD2" s="33">
        <v>68251.182479652052</v>
      </c>
      <c r="AE2" s="33">
        <v>68933.694304448567</v>
      </c>
      <c r="AF2" s="33">
        <v>69623.031247493054</v>
      </c>
      <c r="AG2" s="33">
        <v>70319.261559967985</v>
      </c>
      <c r="AH2" s="33">
        <v>71022.454175567662</v>
      </c>
      <c r="AI2" s="33">
        <v>71732.678717323346</v>
      </c>
      <c r="AJ2" s="33">
        <v>72450.005504496585</v>
      </c>
      <c r="AK2" s="33">
        <v>73174.505559541547</v>
      </c>
      <c r="AL2" s="33">
        <v>73906.25061513696</v>
      </c>
      <c r="AM2" s="33">
        <v>74645.313121288331</v>
      </c>
      <c r="AN2" s="33">
        <v>78377.578777352741</v>
      </c>
      <c r="AO2" s="33">
        <v>79161.354565126268</v>
      </c>
      <c r="AP2" s="33">
        <v>79952.968110777525</v>
      </c>
      <c r="AQ2" s="33">
        <v>80752.497791885296</v>
      </c>
      <c r="AR2" s="33">
        <v>81560.022769804156</v>
      </c>
      <c r="AS2" s="33">
        <v>82375.6229975022</v>
      </c>
      <c r="AT2" s="33">
        <v>83199.379227477228</v>
      </c>
      <c r="AU2" s="33">
        <v>84031.373019752005</v>
      </c>
      <c r="AV2" s="33">
        <v>84871.686749949527</v>
      </c>
      <c r="AW2" s="33">
        <v>85720.403617449017</v>
      </c>
      <c r="BH2" s="1" t="s">
        <v>215</v>
      </c>
      <c r="BI2" s="1" cm="1">
        <f t="array" ref="BI2:BI46">TRANSPOSE(E17:AW17)</f>
        <v>22899.812106692811</v>
      </c>
    </row>
    <row r="3" spans="1:61" x14ac:dyDescent="0.35">
      <c r="D3" s="1" t="s">
        <v>190</v>
      </c>
      <c r="E3" s="33">
        <f>E2*12</f>
        <v>505882.3529411765</v>
      </c>
      <c r="F3" s="33">
        <f t="shared" ref="F3:AV3" si="0">F2*12</f>
        <v>510941.17647058825</v>
      </c>
      <c r="G3" s="33">
        <f t="shared" si="0"/>
        <v>536488.23529411759</v>
      </c>
      <c r="H3" s="33">
        <f t="shared" si="0"/>
        <v>541853.1176470588</v>
      </c>
      <c r="I3" s="33">
        <f t="shared" si="0"/>
        <v>547271.64882352937</v>
      </c>
      <c r="J3" s="33">
        <f t="shared" si="0"/>
        <v>552744.36531176465</v>
      </c>
      <c r="K3" s="33">
        <f t="shared" si="0"/>
        <v>580381.58357735293</v>
      </c>
      <c r="L3" s="33">
        <f t="shared" si="0"/>
        <v>586185.39941312652</v>
      </c>
      <c r="M3" s="33">
        <f t="shared" si="0"/>
        <v>592047.25340725773</v>
      </c>
      <c r="N3" s="33">
        <f t="shared" si="0"/>
        <v>597967.72594133031</v>
      </c>
      <c r="O3" s="33">
        <f t="shared" si="0"/>
        <v>627866.11223839689</v>
      </c>
      <c r="P3" s="33">
        <f t="shared" si="0"/>
        <v>634144.77336078079</v>
      </c>
      <c r="Q3" s="33">
        <f t="shared" si="0"/>
        <v>640486.22109438863</v>
      </c>
      <c r="R3" s="33">
        <f t="shared" si="0"/>
        <v>646891.08330533246</v>
      </c>
      <c r="S3" s="33">
        <f t="shared" si="0"/>
        <v>679235.63747059903</v>
      </c>
      <c r="T3" s="33">
        <f t="shared" si="0"/>
        <v>686027.99384530506</v>
      </c>
      <c r="U3" s="33">
        <f t="shared" si="0"/>
        <v>692888.27378375805</v>
      </c>
      <c r="V3" s="33">
        <f t="shared" si="0"/>
        <v>699817.15652159567</v>
      </c>
      <c r="W3" s="33">
        <f t="shared" si="0"/>
        <v>734808.01434767549</v>
      </c>
      <c r="X3" s="33">
        <f t="shared" si="0"/>
        <v>742156.09449115221</v>
      </c>
      <c r="Y3" s="33">
        <f t="shared" si="0"/>
        <v>749577.65543606365</v>
      </c>
      <c r="Z3" s="33">
        <f t="shared" si="0"/>
        <v>757073.4319904244</v>
      </c>
      <c r="AA3" s="33">
        <f t="shared" si="0"/>
        <v>794927.10358994559</v>
      </c>
      <c r="AB3" s="33">
        <f t="shared" si="0"/>
        <v>802876.37462584511</v>
      </c>
      <c r="AC3" s="33">
        <f t="shared" si="0"/>
        <v>810905.13837210357</v>
      </c>
      <c r="AD3" s="33">
        <f t="shared" si="0"/>
        <v>819014.18975582463</v>
      </c>
      <c r="AE3" s="33">
        <f t="shared" si="0"/>
        <v>827204.33165338286</v>
      </c>
      <c r="AF3" s="33">
        <f t="shared" si="0"/>
        <v>835476.37496991665</v>
      </c>
      <c r="AG3" s="33">
        <f t="shared" si="0"/>
        <v>843831.13871961576</v>
      </c>
      <c r="AH3" s="33">
        <f t="shared" si="0"/>
        <v>852269.45010681194</v>
      </c>
      <c r="AI3" s="33">
        <f t="shared" si="0"/>
        <v>860792.14460788015</v>
      </c>
      <c r="AJ3" s="33">
        <f t="shared" si="0"/>
        <v>869400.06605395908</v>
      </c>
      <c r="AK3" s="33">
        <f t="shared" si="0"/>
        <v>878094.06671449856</v>
      </c>
      <c r="AL3" s="33">
        <f t="shared" si="0"/>
        <v>886875.00738164352</v>
      </c>
      <c r="AM3" s="33">
        <f t="shared" si="0"/>
        <v>895743.75745546003</v>
      </c>
      <c r="AN3" s="33">
        <f t="shared" si="0"/>
        <v>940530.94532823283</v>
      </c>
      <c r="AO3" s="33">
        <f t="shared" si="0"/>
        <v>949936.25478151522</v>
      </c>
      <c r="AP3" s="33">
        <f t="shared" si="0"/>
        <v>959435.6173293303</v>
      </c>
      <c r="AQ3" s="33">
        <f t="shared" si="0"/>
        <v>969029.97350262362</v>
      </c>
      <c r="AR3" s="33">
        <f t="shared" si="0"/>
        <v>978720.27323764982</v>
      </c>
      <c r="AS3" s="33">
        <f t="shared" si="0"/>
        <v>988507.47597002634</v>
      </c>
      <c r="AT3" s="33">
        <f t="shared" si="0"/>
        <v>998392.55072972667</v>
      </c>
      <c r="AU3" s="33">
        <f t="shared" si="0"/>
        <v>1008376.4762370241</v>
      </c>
      <c r="AV3" s="33">
        <f t="shared" si="0"/>
        <v>1018460.2409993943</v>
      </c>
      <c r="AW3" s="33">
        <f>AW2*12</f>
        <v>1028644.8434093882</v>
      </c>
      <c r="BI3" s="1">
        <v>23146.957690147898</v>
      </c>
    </row>
    <row r="4" spans="1:61" x14ac:dyDescent="0.35">
      <c r="A4" s="1" t="str" cm="1">
        <f t="array" ref="A4:B12">'Salary Variables'!$B$16:$C$24</f>
        <v>AM (%)</v>
      </c>
      <c r="B4" s="28">
        <v>0.08</v>
      </c>
      <c r="D4" s="1" t="s">
        <v>189</v>
      </c>
      <c r="E4" s="33">
        <f>'Pensions P1'!B4*12</f>
        <v>25294.117647058825</v>
      </c>
      <c r="F4" s="33">
        <f>'Pensions P1'!C4*12</f>
        <v>25547.058823529413</v>
      </c>
      <c r="G4" s="33">
        <f>'Pensions P1'!D4*12</f>
        <v>26824.411764705881</v>
      </c>
      <c r="H4" s="33">
        <f>'Pensions P1'!E4*12</f>
        <v>27092.655882352941</v>
      </c>
      <c r="I4" s="33">
        <f>'Pensions P1'!F4*12</f>
        <v>27363.58244117647</v>
      </c>
      <c r="J4" s="33">
        <f>'Pensions P1'!G4*12</f>
        <v>27637.218265588235</v>
      </c>
      <c r="K4" s="33">
        <f>'Pensions P1'!H4*12</f>
        <v>29019.079178867647</v>
      </c>
      <c r="L4" s="33">
        <f>'Pensions P1'!I4*12</f>
        <v>29309.269970656325</v>
      </c>
      <c r="M4" s="33">
        <f>'Pensions P1'!J4*12</f>
        <v>29602.362670362891</v>
      </c>
      <c r="N4" s="33">
        <f>'Pensions P1'!K4*12</f>
        <v>29898.386297066514</v>
      </c>
      <c r="O4" s="33">
        <f>'Pensions P1'!L4*12</f>
        <v>31393.305611919845</v>
      </c>
      <c r="P4" s="33">
        <f>'Pensions P1'!M4*12</f>
        <v>31707.238668039041</v>
      </c>
      <c r="Q4" s="33">
        <f>'Pensions P1'!N4*12</f>
        <v>32024.311054719434</v>
      </c>
      <c r="R4" s="33">
        <f>'Pensions P1'!O4*12</f>
        <v>32344.554165266629</v>
      </c>
      <c r="S4" s="33">
        <f>'Pensions P1'!P4*12</f>
        <v>33961.781873529952</v>
      </c>
      <c r="T4" s="33">
        <f>'Pensions P1'!Q4*12</f>
        <v>34301.399692265259</v>
      </c>
      <c r="U4" s="33">
        <f>'Pensions P1'!R4*12</f>
        <v>34644.413689187902</v>
      </c>
      <c r="V4" s="33">
        <f>'Pensions P1'!S4*12</f>
        <v>34990.85782607978</v>
      </c>
      <c r="W4" s="33">
        <f>'Pensions P1'!T4*12</f>
        <v>36740.400717383774</v>
      </c>
      <c r="X4" s="33">
        <f>'Pensions P1'!U4*12</f>
        <v>37107.804724557609</v>
      </c>
      <c r="Y4" s="33">
        <f>'Pensions P1'!V4*12</f>
        <v>37478.882771803183</v>
      </c>
      <c r="Z4" s="33">
        <f>'Pensions P1'!W4*12</f>
        <v>37853.671599521222</v>
      </c>
      <c r="AA4" s="33">
        <f>'Pensions P1'!X4*12</f>
        <v>39746.355179497281</v>
      </c>
      <c r="AB4" s="33">
        <f>'Pensions P1'!Y4*12</f>
        <v>40143.818731292253</v>
      </c>
      <c r="AC4" s="33">
        <f>'Pensions P1'!Z4*12</f>
        <v>40545.256918605184</v>
      </c>
      <c r="AD4" s="33">
        <f>'Pensions P1'!AA4*12</f>
        <v>40950.709487791231</v>
      </c>
      <c r="AE4" s="33">
        <f>'Pensions P1'!AB4*12</f>
        <v>41360.216582669142</v>
      </c>
      <c r="AF4" s="33">
        <f>'Pensions P1'!AC4*12</f>
        <v>41773.818748495833</v>
      </c>
      <c r="AG4" s="33">
        <f>'Pensions P1'!AD4*12</f>
        <v>42191.556935980792</v>
      </c>
      <c r="AH4" s="33">
        <f>'Pensions P1'!AE4*12</f>
        <v>42613.4725053406</v>
      </c>
      <c r="AI4" s="33">
        <f>'Pensions P1'!AF4*12</f>
        <v>43039.607230394009</v>
      </c>
      <c r="AJ4" s="33">
        <f>'Pensions P1'!AG4*12</f>
        <v>43470.003302697951</v>
      </c>
      <c r="AK4" s="33">
        <f>'Pensions P1'!AH4*12</f>
        <v>43904.703335724931</v>
      </c>
      <c r="AL4" s="33">
        <f>'Pensions P1'!AI4*12</f>
        <v>44343.750369082176</v>
      </c>
      <c r="AM4" s="33">
        <f>'Pensions P1'!AJ4*12</f>
        <v>44787.187872773</v>
      </c>
      <c r="AN4" s="33">
        <f>'Pensions P1'!AK4*12</f>
        <v>47026.547266411646</v>
      </c>
      <c r="AO4" s="33">
        <f>'Pensions P1'!AL4*12</f>
        <v>47496.812739075765</v>
      </c>
      <c r="AP4" s="33">
        <f>'Pensions P1'!AM4*12</f>
        <v>47971.780866466521</v>
      </c>
      <c r="AQ4" s="33">
        <f>'Pensions P1'!AN4*12</f>
        <v>48451.498675131181</v>
      </c>
      <c r="AR4" s="33">
        <f>'Pensions P1'!AO4*12</f>
        <v>48936.013661882498</v>
      </c>
      <c r="AS4" s="33">
        <f>'Pensions P1'!AP4*12</f>
        <v>49425.373798501314</v>
      </c>
      <c r="AT4" s="33">
        <f>'Pensions P1'!AQ4*12</f>
        <v>49919.62753648634</v>
      </c>
      <c r="AU4" s="33">
        <f>'Pensions P1'!AR4*12</f>
        <v>50418.823811851209</v>
      </c>
      <c r="AV4" s="33">
        <f>'Pensions P1'!AS4*12</f>
        <v>50923.012049969722</v>
      </c>
      <c r="AW4" s="33">
        <f>'Pensions P1'!AT4*12</f>
        <v>51432.242170469413</v>
      </c>
      <c r="BI4" s="1">
        <v>24333.761466428343</v>
      </c>
    </row>
    <row r="5" spans="1:61" x14ac:dyDescent="0.35">
      <c r="A5" s="1" t="str">
        <v>Personal Allowance</v>
      </c>
      <c r="B5" s="32">
        <v>51600</v>
      </c>
      <c r="D5" s="1" t="s">
        <v>191</v>
      </c>
      <c r="E5" s="33">
        <f>E3-E4</f>
        <v>480588.23529411771</v>
      </c>
      <c r="F5" s="33">
        <f>F3-F4</f>
        <v>485394.11764705885</v>
      </c>
      <c r="G5" s="33">
        <f>G3-G4</f>
        <v>509663.82352941169</v>
      </c>
      <c r="H5" s="33">
        <f>H3-H4</f>
        <v>514760.46176470583</v>
      </c>
      <c r="I5" s="33">
        <f>I3-I4</f>
        <v>519908.0663823529</v>
      </c>
      <c r="J5" s="33">
        <f>J3-J4</f>
        <v>525107.14704617637</v>
      </c>
      <c r="K5" s="33">
        <f>K3-K4</f>
        <v>551362.5043984853</v>
      </c>
      <c r="L5" s="33">
        <f>L3-L4</f>
        <v>556876.12944247015</v>
      </c>
      <c r="M5" s="33">
        <f>M3-M4</f>
        <v>562444.8907368948</v>
      </c>
      <c r="N5" s="33">
        <f>N3-N4</f>
        <v>568069.33964426385</v>
      </c>
      <c r="O5" s="33">
        <f>O3-O4</f>
        <v>596472.80662647705</v>
      </c>
      <c r="P5" s="33">
        <f>P3-P4</f>
        <v>602437.5346927417</v>
      </c>
      <c r="Q5" s="33">
        <f>Q3-Q4</f>
        <v>608461.91003966925</v>
      </c>
      <c r="R5" s="33">
        <f>R3-R4</f>
        <v>614546.52914006589</v>
      </c>
      <c r="S5" s="33">
        <f>S3-S4</f>
        <v>645273.85559706902</v>
      </c>
      <c r="T5" s="33">
        <f>T3-T4</f>
        <v>651726.59415303986</v>
      </c>
      <c r="U5" s="33">
        <f>U3-U4</f>
        <v>658243.86009457009</v>
      </c>
      <c r="V5" s="33">
        <f>V3-V4</f>
        <v>664826.29869551584</v>
      </c>
      <c r="W5" s="33">
        <f>W3-W4</f>
        <v>698067.61363029177</v>
      </c>
      <c r="X5" s="33">
        <f>X3-X4</f>
        <v>705048.28976659465</v>
      </c>
      <c r="Y5" s="33">
        <f>Y3-Y4</f>
        <v>712098.77266426047</v>
      </c>
      <c r="Z5" s="33">
        <f>Z3-Z4</f>
        <v>719219.76039090322</v>
      </c>
      <c r="AA5" s="33">
        <f>AA3-AA4</f>
        <v>755180.74841044832</v>
      </c>
      <c r="AB5" s="33">
        <f>AB3-AB4</f>
        <v>762732.55589455285</v>
      </c>
      <c r="AC5" s="33">
        <f>AC3-AC4</f>
        <v>770359.88145349838</v>
      </c>
      <c r="AD5" s="33">
        <f>AD3-AD4</f>
        <v>778063.48026803345</v>
      </c>
      <c r="AE5" s="33">
        <f>AE3-AE4</f>
        <v>785844.11507071368</v>
      </c>
      <c r="AF5" s="33">
        <f>AF3-AF4</f>
        <v>793702.55622142088</v>
      </c>
      <c r="AG5" s="33">
        <f>AG3-AG4</f>
        <v>801639.58178363496</v>
      </c>
      <c r="AH5" s="33">
        <f>AH3-AH4</f>
        <v>809655.97760147136</v>
      </c>
      <c r="AI5" s="33">
        <f>AI3-AI4</f>
        <v>817752.53737748612</v>
      </c>
      <c r="AJ5" s="33">
        <f>AJ3-AJ4</f>
        <v>825930.06275126117</v>
      </c>
      <c r="AK5" s="33">
        <f>AK3-AK4</f>
        <v>834189.36337877368</v>
      </c>
      <c r="AL5" s="33">
        <f>AL3-AL4</f>
        <v>842531.25701256131</v>
      </c>
      <c r="AM5" s="33">
        <f>AM3-AM4</f>
        <v>850956.56958268699</v>
      </c>
      <c r="AN5" s="33">
        <f>AN3-AN4</f>
        <v>893504.39806182124</v>
      </c>
      <c r="AO5" s="33">
        <f>AO3-AO4</f>
        <v>902439.44204243948</v>
      </c>
      <c r="AP5" s="33">
        <f>AP3-AP4</f>
        <v>911463.83646286372</v>
      </c>
      <c r="AQ5" s="33">
        <f>AQ3-AQ4</f>
        <v>920578.47482749238</v>
      </c>
      <c r="AR5" s="33">
        <f>AR3-AR4</f>
        <v>929784.25957576733</v>
      </c>
      <c r="AS5" s="33">
        <f>AS3-AS4</f>
        <v>939082.10217152501</v>
      </c>
      <c r="AT5" s="33">
        <f>AT3-AT4</f>
        <v>948472.92319324031</v>
      </c>
      <c r="AU5" s="33">
        <f>AU3-AU4</f>
        <v>957957.65242517286</v>
      </c>
      <c r="AV5" s="33">
        <f>AV3-AV4</f>
        <v>967537.22894942458</v>
      </c>
      <c r="AW5" s="33">
        <f>AW3-AW4</f>
        <v>977212.60123891884</v>
      </c>
      <c r="BI5" s="1">
        <v>24594.36359730766</v>
      </c>
    </row>
    <row r="6" spans="1:61" x14ac:dyDescent="0.35">
      <c r="A6" s="1" t="str">
        <v>Bottom-Bracket State Tax rate (%)</v>
      </c>
      <c r="B6" s="28">
        <v>0.1201</v>
      </c>
      <c r="D6" s="1" t="s">
        <v>267</v>
      </c>
      <c r="E6" s="32">
        <f>E5-$B$14</f>
        <v>479400.23529411771</v>
      </c>
      <c r="F6" s="32">
        <f t="shared" ref="F6:AW6" si="1">F5-$B$14</f>
        <v>484206.11764705885</v>
      </c>
      <c r="G6" s="32">
        <f t="shared" si="1"/>
        <v>508475.82352941169</v>
      </c>
      <c r="H6" s="32">
        <f t="shared" si="1"/>
        <v>513572.46176470583</v>
      </c>
      <c r="I6" s="32">
        <f t="shared" si="1"/>
        <v>518720.0663823529</v>
      </c>
      <c r="J6" s="32">
        <f t="shared" si="1"/>
        <v>523919.14704617637</v>
      </c>
      <c r="K6" s="32">
        <f t="shared" si="1"/>
        <v>550174.5043984853</v>
      </c>
      <c r="L6" s="32">
        <f t="shared" si="1"/>
        <v>555688.12944247015</v>
      </c>
      <c r="M6" s="32">
        <f t="shared" si="1"/>
        <v>561256.8907368948</v>
      </c>
      <c r="N6" s="32">
        <f t="shared" si="1"/>
        <v>566881.33964426385</v>
      </c>
      <c r="O6" s="32">
        <f t="shared" si="1"/>
        <v>595284.80662647705</v>
      </c>
      <c r="P6" s="32">
        <f t="shared" si="1"/>
        <v>601249.5346927417</v>
      </c>
      <c r="Q6" s="32">
        <f t="shared" si="1"/>
        <v>607273.91003966925</v>
      </c>
      <c r="R6" s="32">
        <f t="shared" si="1"/>
        <v>613358.52914006589</v>
      </c>
      <c r="S6" s="32">
        <f t="shared" si="1"/>
        <v>644085.85559706902</v>
      </c>
      <c r="T6" s="32">
        <f t="shared" si="1"/>
        <v>650538.59415303986</v>
      </c>
      <c r="U6" s="32">
        <f t="shared" si="1"/>
        <v>657055.86009457009</v>
      </c>
      <c r="V6" s="32">
        <f t="shared" si="1"/>
        <v>663638.29869551584</v>
      </c>
      <c r="W6" s="32">
        <f t="shared" si="1"/>
        <v>696879.61363029177</v>
      </c>
      <c r="X6" s="32">
        <f t="shared" si="1"/>
        <v>703860.28976659465</v>
      </c>
      <c r="Y6" s="32">
        <f t="shared" si="1"/>
        <v>710910.77266426047</v>
      </c>
      <c r="Z6" s="32">
        <f t="shared" si="1"/>
        <v>718031.76039090322</v>
      </c>
      <c r="AA6" s="32">
        <f t="shared" si="1"/>
        <v>753992.74841044832</v>
      </c>
      <c r="AB6" s="32">
        <f t="shared" si="1"/>
        <v>761544.55589455285</v>
      </c>
      <c r="AC6" s="32">
        <f t="shared" si="1"/>
        <v>769171.88145349838</v>
      </c>
      <c r="AD6" s="32">
        <f t="shared" si="1"/>
        <v>776875.48026803345</v>
      </c>
      <c r="AE6" s="32">
        <f t="shared" si="1"/>
        <v>784656.11507071368</v>
      </c>
      <c r="AF6" s="32">
        <f t="shared" si="1"/>
        <v>792514.55622142088</v>
      </c>
      <c r="AG6" s="32">
        <f t="shared" si="1"/>
        <v>800451.58178363496</v>
      </c>
      <c r="AH6" s="32">
        <f t="shared" si="1"/>
        <v>808467.97760147136</v>
      </c>
      <c r="AI6" s="32">
        <f t="shared" si="1"/>
        <v>816564.53737748612</v>
      </c>
      <c r="AJ6" s="32">
        <f t="shared" si="1"/>
        <v>824742.06275126117</v>
      </c>
      <c r="AK6" s="32">
        <f t="shared" si="1"/>
        <v>833001.36337877368</v>
      </c>
      <c r="AL6" s="32">
        <f t="shared" si="1"/>
        <v>841343.25701256131</v>
      </c>
      <c r="AM6" s="32">
        <f t="shared" si="1"/>
        <v>849768.56958268699</v>
      </c>
      <c r="AN6" s="32">
        <f t="shared" si="1"/>
        <v>892316.39806182124</v>
      </c>
      <c r="AO6" s="32">
        <f t="shared" si="1"/>
        <v>901251.44204243948</v>
      </c>
      <c r="AP6" s="32">
        <f t="shared" si="1"/>
        <v>910275.83646286372</v>
      </c>
      <c r="AQ6" s="32">
        <f t="shared" si="1"/>
        <v>919390.47482749238</v>
      </c>
      <c r="AR6" s="32">
        <f t="shared" si="1"/>
        <v>928596.25957576733</v>
      </c>
      <c r="AS6" s="32">
        <f t="shared" si="1"/>
        <v>937894.10217152501</v>
      </c>
      <c r="AT6" s="32">
        <f t="shared" si="1"/>
        <v>947284.92319324031</v>
      </c>
      <c r="AU6" s="32">
        <f t="shared" si="1"/>
        <v>956769.65242517286</v>
      </c>
      <c r="AV6" s="32">
        <f t="shared" si="1"/>
        <v>966349.22894942458</v>
      </c>
      <c r="AW6" s="32">
        <f t="shared" si="1"/>
        <v>976024.60123891884</v>
      </c>
      <c r="BI6" s="1">
        <v>24857.143218058613</v>
      </c>
    </row>
    <row r="7" spans="1:61" x14ac:dyDescent="0.35">
      <c r="A7" s="1" t="str">
        <v>Top-bracket State Tax rate (%)</v>
      </c>
      <c r="B7" s="28">
        <v>0.15</v>
      </c>
      <c r="D7" s="1" t="s">
        <v>244</v>
      </c>
      <c r="E7" s="32">
        <f>E6*(1-$B$4)</f>
        <v>441048.21647058829</v>
      </c>
      <c r="F7" s="32">
        <f t="shared" ref="F7:AW7" si="2">F6*(1-$B$4)</f>
        <v>445469.62823529419</v>
      </c>
      <c r="G7" s="32">
        <f t="shared" si="2"/>
        <v>467797.75764705875</v>
      </c>
      <c r="H7" s="32">
        <f t="shared" si="2"/>
        <v>472486.66482352937</v>
      </c>
      <c r="I7" s="32">
        <f t="shared" si="2"/>
        <v>477222.4610717647</v>
      </c>
      <c r="J7" s="32">
        <f t="shared" si="2"/>
        <v>482005.61528248229</v>
      </c>
      <c r="K7" s="32">
        <f t="shared" si="2"/>
        <v>506160.54404660652</v>
      </c>
      <c r="L7" s="32">
        <f t="shared" si="2"/>
        <v>511233.07908707258</v>
      </c>
      <c r="M7" s="32">
        <f t="shared" si="2"/>
        <v>516356.33947794326</v>
      </c>
      <c r="N7" s="32">
        <f t="shared" si="2"/>
        <v>521530.83247272274</v>
      </c>
      <c r="O7" s="32">
        <f t="shared" si="2"/>
        <v>547662.02209635894</v>
      </c>
      <c r="P7" s="32">
        <f t="shared" si="2"/>
        <v>553149.57191732235</v>
      </c>
      <c r="Q7" s="32">
        <f t="shared" si="2"/>
        <v>558691.99723649572</v>
      </c>
      <c r="R7" s="32">
        <f t="shared" si="2"/>
        <v>564289.84680886066</v>
      </c>
      <c r="S7" s="32">
        <f t="shared" si="2"/>
        <v>592558.98714930355</v>
      </c>
      <c r="T7" s="32">
        <f t="shared" si="2"/>
        <v>598495.50662079675</v>
      </c>
      <c r="U7" s="32">
        <f t="shared" si="2"/>
        <v>604491.39128700446</v>
      </c>
      <c r="V7" s="32">
        <f t="shared" si="2"/>
        <v>610547.2347998746</v>
      </c>
      <c r="W7" s="32">
        <f t="shared" si="2"/>
        <v>641129.24453986844</v>
      </c>
      <c r="X7" s="32">
        <f t="shared" si="2"/>
        <v>647551.4665852671</v>
      </c>
      <c r="Y7" s="32">
        <f t="shared" si="2"/>
        <v>654037.91085111967</v>
      </c>
      <c r="Z7" s="32">
        <f t="shared" si="2"/>
        <v>660589.21955963096</v>
      </c>
      <c r="AA7" s="32">
        <f t="shared" si="2"/>
        <v>693673.32853761245</v>
      </c>
      <c r="AB7" s="32">
        <f t="shared" si="2"/>
        <v>700620.99142298871</v>
      </c>
      <c r="AC7" s="32">
        <f t="shared" si="2"/>
        <v>707638.13093721855</v>
      </c>
      <c r="AD7" s="32">
        <f t="shared" si="2"/>
        <v>714725.44184659084</v>
      </c>
      <c r="AE7" s="32">
        <f t="shared" si="2"/>
        <v>721883.62586505665</v>
      </c>
      <c r="AF7" s="32">
        <f t="shared" si="2"/>
        <v>729113.3917237072</v>
      </c>
      <c r="AG7" s="32">
        <f t="shared" si="2"/>
        <v>736415.45524094417</v>
      </c>
      <c r="AH7" s="32">
        <f t="shared" si="2"/>
        <v>743790.53939335363</v>
      </c>
      <c r="AI7" s="32">
        <f t="shared" si="2"/>
        <v>751239.3743872873</v>
      </c>
      <c r="AJ7" s="32">
        <f t="shared" si="2"/>
        <v>758762.69773116033</v>
      </c>
      <c r="AK7" s="32">
        <f t="shared" si="2"/>
        <v>766361.25430847181</v>
      </c>
      <c r="AL7" s="32">
        <f t="shared" si="2"/>
        <v>774035.7964515565</v>
      </c>
      <c r="AM7" s="32">
        <f t="shared" si="2"/>
        <v>781787.0840160721</v>
      </c>
      <c r="AN7" s="32">
        <f t="shared" si="2"/>
        <v>820931.08621687558</v>
      </c>
      <c r="AO7" s="32">
        <f t="shared" si="2"/>
        <v>829151.3266790444</v>
      </c>
      <c r="AP7" s="32">
        <f t="shared" si="2"/>
        <v>837453.76954583463</v>
      </c>
      <c r="AQ7" s="32">
        <f t="shared" si="2"/>
        <v>845839.23684129305</v>
      </c>
      <c r="AR7" s="32">
        <f t="shared" si="2"/>
        <v>854308.55880970601</v>
      </c>
      <c r="AS7" s="32">
        <f t="shared" si="2"/>
        <v>862862.57399780303</v>
      </c>
      <c r="AT7" s="32">
        <f t="shared" si="2"/>
        <v>871502.12933778111</v>
      </c>
      <c r="AU7" s="32">
        <f t="shared" si="2"/>
        <v>880228.08023115911</v>
      </c>
      <c r="AV7" s="32">
        <f t="shared" si="2"/>
        <v>889041.29063347063</v>
      </c>
      <c r="AW7" s="32">
        <f t="shared" si="2"/>
        <v>897942.6331398054</v>
      </c>
      <c r="BI7" s="1">
        <v>25122.130506157118</v>
      </c>
    </row>
    <row r="8" spans="1:61" x14ac:dyDescent="0.35">
      <c r="A8" s="1" t="str">
        <v>State Tax Bracket Threshold</v>
      </c>
      <c r="B8" s="32">
        <v>618400</v>
      </c>
      <c r="D8" s="1" t="s">
        <v>239</v>
      </c>
      <c r="E8" s="32">
        <f>$B$5</f>
        <v>51600</v>
      </c>
      <c r="F8" s="32">
        <f t="shared" ref="F8:AW8" si="3">$B$5</f>
        <v>51600</v>
      </c>
      <c r="G8" s="32">
        <f t="shared" si="3"/>
        <v>51600</v>
      </c>
      <c r="H8" s="32">
        <f t="shared" si="3"/>
        <v>51600</v>
      </c>
      <c r="I8" s="32">
        <f t="shared" si="3"/>
        <v>51600</v>
      </c>
      <c r="J8" s="32">
        <f t="shared" si="3"/>
        <v>51600</v>
      </c>
      <c r="K8" s="32">
        <f t="shared" si="3"/>
        <v>51600</v>
      </c>
      <c r="L8" s="32">
        <f t="shared" si="3"/>
        <v>51600</v>
      </c>
      <c r="M8" s="32">
        <f t="shared" si="3"/>
        <v>51600</v>
      </c>
      <c r="N8" s="32">
        <f t="shared" si="3"/>
        <v>51600</v>
      </c>
      <c r="O8" s="32">
        <f t="shared" si="3"/>
        <v>51600</v>
      </c>
      <c r="P8" s="32">
        <f t="shared" si="3"/>
        <v>51600</v>
      </c>
      <c r="Q8" s="32">
        <f t="shared" si="3"/>
        <v>51600</v>
      </c>
      <c r="R8" s="32">
        <f t="shared" si="3"/>
        <v>51600</v>
      </c>
      <c r="S8" s="32">
        <f t="shared" si="3"/>
        <v>51600</v>
      </c>
      <c r="T8" s="32">
        <f t="shared" si="3"/>
        <v>51600</v>
      </c>
      <c r="U8" s="32">
        <f t="shared" si="3"/>
        <v>51600</v>
      </c>
      <c r="V8" s="32">
        <f t="shared" si="3"/>
        <v>51600</v>
      </c>
      <c r="W8" s="32">
        <f t="shared" si="3"/>
        <v>51600</v>
      </c>
      <c r="X8" s="32">
        <f t="shared" si="3"/>
        <v>51600</v>
      </c>
      <c r="Y8" s="32">
        <f t="shared" si="3"/>
        <v>51600</v>
      </c>
      <c r="Z8" s="32">
        <f t="shared" si="3"/>
        <v>51600</v>
      </c>
      <c r="AA8" s="32">
        <f t="shared" si="3"/>
        <v>51600</v>
      </c>
      <c r="AB8" s="32">
        <f t="shared" si="3"/>
        <v>51600</v>
      </c>
      <c r="AC8" s="32">
        <f t="shared" si="3"/>
        <v>51600</v>
      </c>
      <c r="AD8" s="32">
        <f t="shared" si="3"/>
        <v>51600</v>
      </c>
      <c r="AE8" s="32">
        <f t="shared" si="3"/>
        <v>51600</v>
      </c>
      <c r="AF8" s="32">
        <f t="shared" si="3"/>
        <v>51600</v>
      </c>
      <c r="AG8" s="32">
        <f t="shared" si="3"/>
        <v>51600</v>
      </c>
      <c r="AH8" s="32">
        <f t="shared" si="3"/>
        <v>51600</v>
      </c>
      <c r="AI8" s="32">
        <f t="shared" si="3"/>
        <v>51600</v>
      </c>
      <c r="AJ8" s="32">
        <f t="shared" si="3"/>
        <v>51600</v>
      </c>
      <c r="AK8" s="32">
        <f t="shared" si="3"/>
        <v>51600</v>
      </c>
      <c r="AL8" s="32">
        <f t="shared" si="3"/>
        <v>51600</v>
      </c>
      <c r="AM8" s="32">
        <f t="shared" si="3"/>
        <v>51600</v>
      </c>
      <c r="AN8" s="32">
        <f t="shared" si="3"/>
        <v>51600</v>
      </c>
      <c r="AO8" s="32">
        <f t="shared" si="3"/>
        <v>51600</v>
      </c>
      <c r="AP8" s="32">
        <f t="shared" si="3"/>
        <v>51600</v>
      </c>
      <c r="AQ8" s="32">
        <f t="shared" si="3"/>
        <v>51600</v>
      </c>
      <c r="AR8" s="32">
        <f t="shared" si="3"/>
        <v>51600</v>
      </c>
      <c r="AS8" s="32">
        <f t="shared" si="3"/>
        <v>51600</v>
      </c>
      <c r="AT8" s="32">
        <f t="shared" si="3"/>
        <v>51600</v>
      </c>
      <c r="AU8" s="32">
        <f t="shared" si="3"/>
        <v>51600</v>
      </c>
      <c r="AV8" s="32">
        <f t="shared" si="3"/>
        <v>51600</v>
      </c>
      <c r="AW8" s="32">
        <f t="shared" si="3"/>
        <v>51600</v>
      </c>
      <c r="BI8" s="1">
        <v>26403.701751332221</v>
      </c>
    </row>
    <row r="9" spans="1:61" x14ac:dyDescent="0.35">
      <c r="A9" s="1" t="str">
        <v>Municipal Tax (%)</v>
      </c>
      <c r="B9" s="28">
        <v>0.25</v>
      </c>
      <c r="D9" s="1" t="s">
        <v>245</v>
      </c>
      <c r="E9" s="32">
        <f>E7-E8</f>
        <v>389448.21647058829</v>
      </c>
      <c r="F9" s="32">
        <f>F7-F8</f>
        <v>393869.62823529419</v>
      </c>
      <c r="G9" s="32">
        <f>G7-G8</f>
        <v>416197.75764705875</v>
      </c>
      <c r="H9" s="32">
        <f>H7-H8</f>
        <v>420886.66482352937</v>
      </c>
      <c r="I9" s="32">
        <f>I7-I8</f>
        <v>425622.4610717647</v>
      </c>
      <c r="J9" s="32">
        <f>J7-J8</f>
        <v>430405.61528248229</v>
      </c>
      <c r="K9" s="32">
        <f>K7-K8</f>
        <v>454560.54404660652</v>
      </c>
      <c r="L9" s="32">
        <f>L7-L8</f>
        <v>459633.07908707258</v>
      </c>
      <c r="M9" s="32">
        <f>M7-M8</f>
        <v>464756.33947794326</v>
      </c>
      <c r="N9" s="32">
        <f>N7-N8</f>
        <v>469930.83247272274</v>
      </c>
      <c r="O9" s="32">
        <f>O7-O8</f>
        <v>496062.02209635894</v>
      </c>
      <c r="P9" s="32">
        <f>P7-P8</f>
        <v>501549.57191732235</v>
      </c>
      <c r="Q9" s="32">
        <f>Q7-Q8</f>
        <v>507091.99723649572</v>
      </c>
      <c r="R9" s="32">
        <f>R7-R8</f>
        <v>512689.84680886066</v>
      </c>
      <c r="S9" s="32">
        <f>S7-S8</f>
        <v>540958.98714930355</v>
      </c>
      <c r="T9" s="32">
        <f>T7-T8</f>
        <v>546895.50662079675</v>
      </c>
      <c r="U9" s="32">
        <f>U7-U8</f>
        <v>552891.39128700446</v>
      </c>
      <c r="V9" s="32">
        <f>V7-V8</f>
        <v>558947.2347998746</v>
      </c>
      <c r="W9" s="32">
        <f>W7-W8</f>
        <v>589529.24453986844</v>
      </c>
      <c r="X9" s="32">
        <f>X7-X8</f>
        <v>595951.4665852671</v>
      </c>
      <c r="Y9" s="32">
        <f>Y7-Y8</f>
        <v>602437.91085111967</v>
      </c>
      <c r="Z9" s="32">
        <f>Z7-Z8</f>
        <v>608989.21955963096</v>
      </c>
      <c r="AA9" s="32">
        <f>AA7-AA8</f>
        <v>642073.32853761245</v>
      </c>
      <c r="AB9" s="32">
        <f>AB7-AB8</f>
        <v>649020.99142298871</v>
      </c>
      <c r="AC9" s="32">
        <f>AC7-AC8</f>
        <v>656038.13093721855</v>
      </c>
      <c r="AD9" s="32">
        <f>AD7-AD8</f>
        <v>663125.44184659084</v>
      </c>
      <c r="AE9" s="32">
        <f>AE7-AE8</f>
        <v>670283.62586505665</v>
      </c>
      <c r="AF9" s="32">
        <f>AF7-AF8</f>
        <v>677513.3917237072</v>
      </c>
      <c r="AG9" s="32">
        <f>AG7-AG8</f>
        <v>684815.45524094417</v>
      </c>
      <c r="AH9" s="32">
        <f>AH7-AH8</f>
        <v>692190.53939335363</v>
      </c>
      <c r="AI9" s="32">
        <f>AI7-AI8</f>
        <v>699639.3743872873</v>
      </c>
      <c r="AJ9" s="32">
        <f>AJ7-AJ8</f>
        <v>707162.69773116033</v>
      </c>
      <c r="AK9" s="32">
        <f>AK7-AK8</f>
        <v>714761.25430847181</v>
      </c>
      <c r="AL9" s="32">
        <f>AL7-AL8</f>
        <v>722435.7964515565</v>
      </c>
      <c r="AM9" s="32">
        <f>AM7-AM8</f>
        <v>730187.0840160721</v>
      </c>
      <c r="AN9" s="32">
        <f>AN7-AN8</f>
        <v>769331.08621687558</v>
      </c>
      <c r="AO9" s="32">
        <f>AO7-AO8</f>
        <v>777551.3266790444</v>
      </c>
      <c r="AP9" s="32">
        <f>AP7-AP8</f>
        <v>785853.76954583463</v>
      </c>
      <c r="AQ9" s="32">
        <f>AQ7-AQ8</f>
        <v>794239.23684129305</v>
      </c>
      <c r="AR9" s="32">
        <f>AR7-AR8</f>
        <v>802708.55880970601</v>
      </c>
      <c r="AS9" s="32">
        <f>AS7-AS8</f>
        <v>811262.57399780303</v>
      </c>
      <c r="AT9" s="32">
        <f>AT7-AT8</f>
        <v>819902.12933778111</v>
      </c>
      <c r="AU9" s="32">
        <f>AU7-AU8</f>
        <v>828628.08023115911</v>
      </c>
      <c r="AV9" s="32">
        <f>AV7-AV8</f>
        <v>837441.29063347063</v>
      </c>
      <c r="AW9" s="32">
        <f>AW7-AW8</f>
        <v>846342.6331398054</v>
      </c>
      <c r="BI9" s="1">
        <v>26683.338918979996</v>
      </c>
    </row>
    <row r="10" spans="1:61" x14ac:dyDescent="0.35">
      <c r="A10" s="1" t="str">
        <v>Capital Gains &lt; 67,500DKK</v>
      </c>
      <c r="B10" s="32">
        <v>0.27</v>
      </c>
      <c r="D10" s="1" t="s">
        <v>193</v>
      </c>
      <c r="E10" s="32">
        <f>E7*$B$9</f>
        <v>110262.05411764707</v>
      </c>
      <c r="F10" s="32">
        <f>F7*$B$9</f>
        <v>111367.40705882355</v>
      </c>
      <c r="G10" s="32">
        <f>G7*$B$9</f>
        <v>116949.43941176469</v>
      </c>
      <c r="H10" s="32">
        <f>H7*$B$9</f>
        <v>118121.66620588234</v>
      </c>
      <c r="I10" s="32">
        <f>I7*$B$9</f>
        <v>119305.61526794118</v>
      </c>
      <c r="J10" s="32">
        <f>J7*$B$9</f>
        <v>120501.40382062057</v>
      </c>
      <c r="K10" s="32">
        <f>K7*$B$9</f>
        <v>126540.13601165163</v>
      </c>
      <c r="L10" s="32">
        <f>L7*$B$9</f>
        <v>127808.26977176814</v>
      </c>
      <c r="M10" s="32">
        <f>M7*$B$9</f>
        <v>129089.08486948581</v>
      </c>
      <c r="N10" s="32">
        <f>N7*$B$9</f>
        <v>130382.70811818069</v>
      </c>
      <c r="O10" s="32">
        <f>O7*$B$9</f>
        <v>136915.50552408973</v>
      </c>
      <c r="P10" s="32">
        <f>P7*$B$9</f>
        <v>138287.39297933059</v>
      </c>
      <c r="Q10" s="32">
        <f>Q7*$B$9</f>
        <v>139672.99930912393</v>
      </c>
      <c r="R10" s="32">
        <f>R7*$B$9</f>
        <v>141072.46170221517</v>
      </c>
      <c r="S10" s="32">
        <f>S7*$B$9</f>
        <v>148139.74678732589</v>
      </c>
      <c r="T10" s="32">
        <f>T7*$B$9</f>
        <v>149623.87665519919</v>
      </c>
      <c r="U10" s="32">
        <f>U7*$B$9</f>
        <v>151122.84782175111</v>
      </c>
      <c r="V10" s="32">
        <f>V7*$B$9</f>
        <v>152636.80869996865</v>
      </c>
      <c r="W10" s="32">
        <f>W7*$B$9</f>
        <v>160282.31113496711</v>
      </c>
      <c r="X10" s="32">
        <f>X7*$B$9</f>
        <v>161887.86664631678</v>
      </c>
      <c r="Y10" s="32">
        <f>Y7*$B$9</f>
        <v>163509.47771277992</v>
      </c>
      <c r="Z10" s="32">
        <f>Z7*$B$9</f>
        <v>165147.30488990774</v>
      </c>
      <c r="AA10" s="32">
        <f>AA7*$B$9</f>
        <v>173418.33213440311</v>
      </c>
      <c r="AB10" s="32">
        <f>AB7*$B$9</f>
        <v>175155.24785574718</v>
      </c>
      <c r="AC10" s="32">
        <f>AC7*$B$9</f>
        <v>176909.53273430464</v>
      </c>
      <c r="AD10" s="32">
        <f>AD7*$B$9</f>
        <v>178681.36046164771</v>
      </c>
      <c r="AE10" s="32">
        <f>AE7*$B$9</f>
        <v>180470.90646626416</v>
      </c>
      <c r="AF10" s="32">
        <f>AF7*$B$9</f>
        <v>182278.3479309268</v>
      </c>
      <c r="AG10" s="32">
        <f>AG7*$B$9</f>
        <v>184103.86381023604</v>
      </c>
      <c r="AH10" s="32">
        <f>AH7*$B$9</f>
        <v>185947.63484833841</v>
      </c>
      <c r="AI10" s="32">
        <f>AI7*$B$9</f>
        <v>187809.84359682183</v>
      </c>
      <c r="AJ10" s="32">
        <f>AJ7*$B$9</f>
        <v>189690.67443279008</v>
      </c>
      <c r="AK10" s="32">
        <f>AK7*$B$9</f>
        <v>191590.31357711795</v>
      </c>
      <c r="AL10" s="32">
        <f>AL7*$B$9</f>
        <v>193508.94911288912</v>
      </c>
      <c r="AM10" s="32">
        <f>AM7*$B$9</f>
        <v>195446.77100401802</v>
      </c>
      <c r="AN10" s="32">
        <f>AN7*$B$9</f>
        <v>205232.7715542189</v>
      </c>
      <c r="AO10" s="32">
        <f>AO7*$B$9</f>
        <v>207287.8316697611</v>
      </c>
      <c r="AP10" s="32">
        <f>AP7*$B$9</f>
        <v>209363.44238645866</v>
      </c>
      <c r="AQ10" s="32">
        <f>AQ7*$B$9</f>
        <v>211459.80921032326</v>
      </c>
      <c r="AR10" s="32">
        <f>AR7*$B$9</f>
        <v>213577.1397024265</v>
      </c>
      <c r="AS10" s="32">
        <f>AS7*$B$9</f>
        <v>215715.64349945076</v>
      </c>
      <c r="AT10" s="32">
        <f>AT7*$B$9</f>
        <v>217875.53233444528</v>
      </c>
      <c r="AU10" s="32">
        <f>AU7*$B$9</f>
        <v>220057.02005778978</v>
      </c>
      <c r="AV10" s="32">
        <f>AV7*$B$9</f>
        <v>222260.32265836766</v>
      </c>
      <c r="AW10" s="32">
        <f>AW7*$B$9</f>
        <v>224485.65828495135</v>
      </c>
      <c r="BI10" s="1">
        <v>26965.376561496119</v>
      </c>
    </row>
    <row r="11" spans="1:61" x14ac:dyDescent="0.35">
      <c r="A11" s="1" t="str">
        <v>Capital Gains &gt; 67,500DKK</v>
      </c>
      <c r="B11" s="28">
        <v>0.42</v>
      </c>
      <c r="D11" s="1" t="s">
        <v>194</v>
      </c>
      <c r="E11" s="32">
        <f>MAX(E9-$B$8,0)*$B$7</f>
        <v>0</v>
      </c>
      <c r="F11" s="32">
        <f>MAX(F9-$B$8,0)*$B$7</f>
        <v>0</v>
      </c>
      <c r="G11" s="32">
        <f>MAX(G9-$B$8,0)*$B$7</f>
        <v>0</v>
      </c>
      <c r="H11" s="32">
        <f>MAX(H9-$B$8,0)*$B$7</f>
        <v>0</v>
      </c>
      <c r="I11" s="32">
        <f>MAX(I9-$B$8,0)*$B$7</f>
        <v>0</v>
      </c>
      <c r="J11" s="32">
        <f>MAX(J9-$B$8,0)*$B$7</f>
        <v>0</v>
      </c>
      <c r="K11" s="32">
        <f>MAX(K9-$B$8,0)*$B$7</f>
        <v>0</v>
      </c>
      <c r="L11" s="32">
        <f>MAX(L9-$B$8,0)*$B$7</f>
        <v>0</v>
      </c>
      <c r="M11" s="32">
        <f>MAX(M9-$B$8,0)*$B$7</f>
        <v>0</v>
      </c>
      <c r="N11" s="32">
        <f>MAX(N9-$B$8,0)*$B$7</f>
        <v>0</v>
      </c>
      <c r="O11" s="32">
        <f>MAX(O9-$B$8,0)*$B$7</f>
        <v>0</v>
      </c>
      <c r="P11" s="32">
        <f>MAX(P9-$B$8,0)*$B$7</f>
        <v>0</v>
      </c>
      <c r="Q11" s="32">
        <f>MAX(Q9-$B$8,0)*$B$7</f>
        <v>0</v>
      </c>
      <c r="R11" s="32">
        <f>MAX(R9-$B$8,0)*$B$7</f>
        <v>0</v>
      </c>
      <c r="S11" s="32">
        <f>MAX(S9-$B$8,0)*$B$7</f>
        <v>0</v>
      </c>
      <c r="T11" s="32">
        <f>MAX(T9-$B$8,0)*$B$7</f>
        <v>0</v>
      </c>
      <c r="U11" s="32">
        <f>MAX(U9-$B$8,0)*$B$7</f>
        <v>0</v>
      </c>
      <c r="V11" s="32">
        <f>MAX(V9-$B$8,0)*$B$7</f>
        <v>0</v>
      </c>
      <c r="W11" s="32">
        <f>MAX(W9-$B$8,0)*$B$7</f>
        <v>0</v>
      </c>
      <c r="X11" s="32">
        <f>MAX(X9-$B$8,0)*$B$7</f>
        <v>0</v>
      </c>
      <c r="Y11" s="32">
        <f>MAX(Y9-$B$8,0)*$B$7</f>
        <v>0</v>
      </c>
      <c r="Z11" s="32">
        <f>MAX(Z9-$B$8,0)*$B$7</f>
        <v>0</v>
      </c>
      <c r="AA11" s="32">
        <f>MAX(AA9-$B$8,0)*$B$7</f>
        <v>3550.9992806418682</v>
      </c>
      <c r="AB11" s="32">
        <f>MAX(AB9-$B$8,0)*$B$7</f>
        <v>4593.1487134483059</v>
      </c>
      <c r="AC11" s="32">
        <f>MAX(AC9-$B$8,0)*$B$7</f>
        <v>5645.7196405827826</v>
      </c>
      <c r="AD11" s="32">
        <f>MAX(AD9-$B$8,0)*$B$7</f>
        <v>6708.8162769886258</v>
      </c>
      <c r="AE11" s="32">
        <f>MAX(AE9-$B$8,0)*$B$7</f>
        <v>7782.5438797584966</v>
      </c>
      <c r="AF11" s="32">
        <f>MAX(AF9-$B$8,0)*$B$7</f>
        <v>8867.0087585560796</v>
      </c>
      <c r="AG11" s="32">
        <f>MAX(AG9-$B$8,0)*$B$7</f>
        <v>9962.3182861416244</v>
      </c>
      <c r="AH11" s="32">
        <f>MAX(AH9-$B$8,0)*$B$7</f>
        <v>11068.580909003043</v>
      </c>
      <c r="AI11" s="32">
        <f>MAX(AI9-$B$8,0)*$B$7</f>
        <v>12185.906158093096</v>
      </c>
      <c r="AJ11" s="32">
        <f>MAX(AJ9-$B$8,0)*$B$7</f>
        <v>13314.404659674048</v>
      </c>
      <c r="AK11" s="32">
        <f>MAX(AK9-$B$8,0)*$B$7</f>
        <v>14454.18814627077</v>
      </c>
      <c r="AL11" s="32">
        <f>MAX(AL9-$B$8,0)*$B$7</f>
        <v>15605.369467733473</v>
      </c>
      <c r="AM11" s="32">
        <f>MAX(AM9-$B$8,0)*$B$7</f>
        <v>16768.062602410813</v>
      </c>
      <c r="AN11" s="32">
        <f>MAX(AN9-$B$8,0)*$B$7</f>
        <v>22639.662932531337</v>
      </c>
      <c r="AO11" s="32">
        <f>MAX(AO9-$B$8,0)*$B$7</f>
        <v>23872.699001856661</v>
      </c>
      <c r="AP11" s="32">
        <f>MAX(AP9-$B$8,0)*$B$7</f>
        <v>25118.065431875195</v>
      </c>
      <c r="AQ11" s="32">
        <f>MAX(AQ9-$B$8,0)*$B$7</f>
        <v>26375.885526193957</v>
      </c>
      <c r="AR11" s="32">
        <f>MAX(AR9-$B$8,0)*$B$7</f>
        <v>27646.283821455901</v>
      </c>
      <c r="AS11" s="32">
        <f>MAX(AS9-$B$8,0)*$B$7</f>
        <v>28929.386099670453</v>
      </c>
      <c r="AT11" s="32">
        <f>MAX(AT9-$B$8,0)*$B$7</f>
        <v>30225.319400667166</v>
      </c>
      <c r="AU11" s="32">
        <f>MAX(AU9-$B$8,0)*$B$7</f>
        <v>31534.212034673867</v>
      </c>
      <c r="AV11" s="32">
        <f>MAX(AV9-$B$8,0)*$B$7</f>
        <v>32856.193595020595</v>
      </c>
      <c r="AW11" s="32">
        <f>MAX(AW9-$B$8,0)*$B$7</f>
        <v>34191.39497097081</v>
      </c>
      <c r="BI11" s="1">
        <v>27249.846446311796</v>
      </c>
    </row>
    <row r="12" spans="1:61" x14ac:dyDescent="0.35">
      <c r="A12" s="1" t="str">
        <v>Capital Gains Threshold</v>
      </c>
      <c r="B12" s="57">
        <v>67500</v>
      </c>
      <c r="D12" s="1" t="s">
        <v>195</v>
      </c>
      <c r="E12" s="32">
        <f>E9*$B$6</f>
        <v>46772.730798117656</v>
      </c>
      <c r="F12" s="32">
        <f>F9*$B$6</f>
        <v>47303.742351058834</v>
      </c>
      <c r="G12" s="32">
        <f>G9*$B$6</f>
        <v>49985.350693411754</v>
      </c>
      <c r="H12" s="32">
        <f>H9*$B$6</f>
        <v>50548.488445305877</v>
      </c>
      <c r="I12" s="32">
        <f>I9*$B$6</f>
        <v>51117.25757471894</v>
      </c>
      <c r="J12" s="32">
        <f>J9*$B$6</f>
        <v>51691.714395426119</v>
      </c>
      <c r="K12" s="32">
        <f>K9*$B$6</f>
        <v>54592.721339997443</v>
      </c>
      <c r="L12" s="32">
        <f>L9*$B$6</f>
        <v>55201.932798357419</v>
      </c>
      <c r="M12" s="32">
        <f>M9*$B$6</f>
        <v>55817.236371300984</v>
      </c>
      <c r="N12" s="32">
        <f>N9*$B$6</f>
        <v>56438.692979974003</v>
      </c>
      <c r="O12" s="32">
        <f>O9*$B$6</f>
        <v>59577.048853772707</v>
      </c>
      <c r="P12" s="32">
        <f>P9*$B$6</f>
        <v>60236.103587270416</v>
      </c>
      <c r="Q12" s="32">
        <f>Q9*$B$6</f>
        <v>60901.748868103132</v>
      </c>
      <c r="R12" s="32">
        <f>R9*$B$6</f>
        <v>61574.050601744166</v>
      </c>
      <c r="S12" s="32">
        <f>S9*$B$6</f>
        <v>64969.174356631353</v>
      </c>
      <c r="T12" s="32">
        <f>T9*$B$6</f>
        <v>65682.150345157686</v>
      </c>
      <c r="U12" s="32">
        <f>U9*$B$6</f>
        <v>66402.256093569231</v>
      </c>
      <c r="V12" s="32">
        <f>V9*$B$6</f>
        <v>67129.562899464945</v>
      </c>
      <c r="W12" s="32">
        <f>W9*$B$6</f>
        <v>70802.462269238196</v>
      </c>
      <c r="X12" s="32">
        <f>X9*$B$6</f>
        <v>71573.771136890573</v>
      </c>
      <c r="Y12" s="32">
        <f>Y9*$B$6</f>
        <v>72352.793093219472</v>
      </c>
      <c r="Z12" s="32">
        <f>Z9*$B$6</f>
        <v>73139.605269111678</v>
      </c>
      <c r="AA12" s="32">
        <f>AA9*$B$6</f>
        <v>77113.006757367257</v>
      </c>
      <c r="AB12" s="32">
        <f>AB9*$B$6</f>
        <v>77947.421069900942</v>
      </c>
      <c r="AC12" s="32">
        <f>AC9*$B$6</f>
        <v>78790.179525559943</v>
      </c>
      <c r="AD12" s="32">
        <f>AD9*$B$6</f>
        <v>79641.365565775559</v>
      </c>
      <c r="AE12" s="32">
        <f>AE9*$B$6</f>
        <v>80501.063466393301</v>
      </c>
      <c r="AF12" s="32">
        <f>AF9*$B$6</f>
        <v>81369.358346017238</v>
      </c>
      <c r="AG12" s="32">
        <f>AG9*$B$6</f>
        <v>82246.336174437398</v>
      </c>
      <c r="AH12" s="32">
        <f>AH9*$B$6</f>
        <v>83132.083781141773</v>
      </c>
      <c r="AI12" s="32">
        <f>AI9*$B$6</f>
        <v>84026.688863913208</v>
      </c>
      <c r="AJ12" s="32">
        <f>AJ9*$B$6</f>
        <v>84930.239997512355</v>
      </c>
      <c r="AK12" s="32">
        <f>AK9*$B$6</f>
        <v>85842.826642447457</v>
      </c>
      <c r="AL12" s="32">
        <f>AL9*$B$6</f>
        <v>86764.539153831938</v>
      </c>
      <c r="AM12" s="32">
        <f>AM9*$B$6</f>
        <v>87695.468790330255</v>
      </c>
      <c r="AN12" s="32">
        <f>AN9*$B$6</f>
        <v>92396.663454646754</v>
      </c>
      <c r="AO12" s="32">
        <f>AO9*$B$6</f>
        <v>93383.914334153233</v>
      </c>
      <c r="AP12" s="32">
        <f>AP9*$B$6</f>
        <v>94381.037722454741</v>
      </c>
      <c r="AQ12" s="32">
        <f>AQ9*$B$6</f>
        <v>95388.132344639293</v>
      </c>
      <c r="AR12" s="32">
        <f>AR9*$B$6</f>
        <v>96405.297913045695</v>
      </c>
      <c r="AS12" s="32">
        <f>AS9*$B$6</f>
        <v>97432.635137136138</v>
      </c>
      <c r="AT12" s="32">
        <f>AT9*$B$6</f>
        <v>98470.245733467513</v>
      </c>
      <c r="AU12" s="32">
        <f>AU9*$B$6</f>
        <v>99518.232435762213</v>
      </c>
      <c r="AV12" s="32">
        <f>AV9*$B$6</f>
        <v>100576.69900507982</v>
      </c>
      <c r="AW12" s="32">
        <f>AW9*$B$6</f>
        <v>101645.75024009062</v>
      </c>
      <c r="BI12" s="1">
        <v>28634.116262584965</v>
      </c>
    </row>
    <row r="13" spans="1:61" x14ac:dyDescent="0.35">
      <c r="A13" s="1" t="s">
        <v>265</v>
      </c>
      <c r="B13" s="77">
        <v>99</v>
      </c>
      <c r="D13" s="1" t="s">
        <v>196</v>
      </c>
      <c r="E13" s="32">
        <f>SUM(E10:E12)</f>
        <v>157034.78491576473</v>
      </c>
      <c r="F13" s="32">
        <f>SUM(F10:F12)</f>
        <v>158671.14940988238</v>
      </c>
      <c r="G13" s="32">
        <f>SUM(G10:G12)</f>
        <v>166934.79010517645</v>
      </c>
      <c r="H13" s="32">
        <f>SUM(H10:H12)</f>
        <v>168670.15465118823</v>
      </c>
      <c r="I13" s="32">
        <f>SUM(I10:I12)</f>
        <v>170422.87284266012</v>
      </c>
      <c r="J13" s="32">
        <f>SUM(J10:J12)</f>
        <v>172193.11821604669</v>
      </c>
      <c r="K13" s="32">
        <f>SUM(K10:K12)</f>
        <v>181132.85735164909</v>
      </c>
      <c r="L13" s="32">
        <f>SUM(L10:L12)</f>
        <v>183010.20257012558</v>
      </c>
      <c r="M13" s="32">
        <f>SUM(M10:M12)</f>
        <v>184906.32124078681</v>
      </c>
      <c r="N13" s="32">
        <f>SUM(N10:N12)</f>
        <v>186821.40109815469</v>
      </c>
      <c r="O13" s="32">
        <f>SUM(O10:O12)</f>
        <v>196492.55437786243</v>
      </c>
      <c r="P13" s="32">
        <f>SUM(P10:P12)</f>
        <v>198523.49656660101</v>
      </c>
      <c r="Q13" s="32">
        <f>SUM(Q10:Q12)</f>
        <v>200574.74817722707</v>
      </c>
      <c r="R13" s="32">
        <f>SUM(R10:R12)</f>
        <v>202646.51230395935</v>
      </c>
      <c r="S13" s="32">
        <f>SUM(S10:S12)</f>
        <v>213108.92114395724</v>
      </c>
      <c r="T13" s="32">
        <f>SUM(T10:T12)</f>
        <v>215306.02700035687</v>
      </c>
      <c r="U13" s="32">
        <f>SUM(U10:U12)</f>
        <v>217525.10391532036</v>
      </c>
      <c r="V13" s="32">
        <f>SUM(V10:V12)</f>
        <v>219766.37159943359</v>
      </c>
      <c r="W13" s="32">
        <f>SUM(W10:W12)</f>
        <v>231084.77340420531</v>
      </c>
      <c r="X13" s="32">
        <f>SUM(X10:X12)</f>
        <v>233461.63778320735</v>
      </c>
      <c r="Y13" s="32">
        <f>SUM(Y10:Y12)</f>
        <v>235862.2708059994</v>
      </c>
      <c r="Z13" s="32">
        <f>SUM(Z10:Z12)</f>
        <v>238286.9101590194</v>
      </c>
      <c r="AA13" s="32">
        <f>SUM(AA10:AA12)</f>
        <v>254082.33817241224</v>
      </c>
      <c r="AB13" s="32">
        <f>SUM(AB10:AB12)</f>
        <v>257695.81763909644</v>
      </c>
      <c r="AC13" s="32">
        <f>SUM(AC10:AC12)</f>
        <v>261345.43190044735</v>
      </c>
      <c r="AD13" s="32">
        <f>SUM(AD10:AD12)</f>
        <v>265031.54230441188</v>
      </c>
      <c r="AE13" s="32">
        <f>SUM(AE10:AE12)</f>
        <v>268754.513812416</v>
      </c>
      <c r="AF13" s="32">
        <f>SUM(AF10:AF12)</f>
        <v>272514.71503550012</v>
      </c>
      <c r="AG13" s="32">
        <f>SUM(AG10:AG12)</f>
        <v>276312.51827081502</v>
      </c>
      <c r="AH13" s="32">
        <f>SUM(AH10:AH12)</f>
        <v>280148.2995384832</v>
      </c>
      <c r="AI13" s="32">
        <f>SUM(AI10:AI12)</f>
        <v>284022.43861882814</v>
      </c>
      <c r="AJ13" s="32">
        <f>SUM(AJ10:AJ12)</f>
        <v>287935.31908997649</v>
      </c>
      <c r="AK13" s="32">
        <f>SUM(AK10:AK12)</f>
        <v>291887.32836583618</v>
      </c>
      <c r="AL13" s="32">
        <f>SUM(AL10:AL12)</f>
        <v>295878.85773445456</v>
      </c>
      <c r="AM13" s="32">
        <f>SUM(AM10:AM12)</f>
        <v>299910.3023967591</v>
      </c>
      <c r="AN13" s="32">
        <f>SUM(AN10:AN12)</f>
        <v>320269.09794139699</v>
      </c>
      <c r="AO13" s="32">
        <f>SUM(AO10:AO12)</f>
        <v>324544.44500577101</v>
      </c>
      <c r="AP13" s="32">
        <f>SUM(AP10:AP12)</f>
        <v>328862.54554078862</v>
      </c>
      <c r="AQ13" s="32">
        <f>SUM(AQ10:AQ12)</f>
        <v>333223.82708115649</v>
      </c>
      <c r="AR13" s="32">
        <f>SUM(AR10:AR12)</f>
        <v>337628.72143692808</v>
      </c>
      <c r="AS13" s="32">
        <f>SUM(AS10:AS12)</f>
        <v>342077.66473625734</v>
      </c>
      <c r="AT13" s="32">
        <f>SUM(AT10:AT12)</f>
        <v>346571.09746857994</v>
      </c>
      <c r="AU13" s="32">
        <f>SUM(AU10:AU12)</f>
        <v>351109.46452822583</v>
      </c>
      <c r="AV13" s="32">
        <f>SUM(AV10:AV12)</f>
        <v>355693.21525846806</v>
      </c>
      <c r="AW13" s="32">
        <f>SUM(AW10:AW12)</f>
        <v>360322.80349601281</v>
      </c>
      <c r="BI13" s="1">
        <v>28934.519958354485</v>
      </c>
    </row>
    <row r="14" spans="1:61" x14ac:dyDescent="0.35">
      <c r="A14" s="1" t="s">
        <v>266</v>
      </c>
      <c r="B14" s="32">
        <f>B13*12</f>
        <v>1188</v>
      </c>
      <c r="D14" s="1" t="s">
        <v>197</v>
      </c>
      <c r="E14" s="32">
        <f>E7-E13</f>
        <v>284013.43155482353</v>
      </c>
      <c r="F14" s="32">
        <f>F7-F13</f>
        <v>286798.47882541182</v>
      </c>
      <c r="G14" s="32">
        <f>G7-G13</f>
        <v>300862.9675418823</v>
      </c>
      <c r="H14" s="32">
        <f>H7-H13</f>
        <v>303816.51017234114</v>
      </c>
      <c r="I14" s="32">
        <f>I7-I13</f>
        <v>306799.58822910459</v>
      </c>
      <c r="J14" s="32">
        <f>J7-J13</f>
        <v>309812.49706643564</v>
      </c>
      <c r="K14" s="32">
        <f>K7-K13</f>
        <v>325027.68669495743</v>
      </c>
      <c r="L14" s="32">
        <f>L7-L13</f>
        <v>328222.876516947</v>
      </c>
      <c r="M14" s="32">
        <f>M7-M13</f>
        <v>331450.01823715644</v>
      </c>
      <c r="N14" s="32">
        <f>N7-N13</f>
        <v>334709.43137456803</v>
      </c>
      <c r="O14" s="32">
        <f>O7-O13</f>
        <v>351169.46771849651</v>
      </c>
      <c r="P14" s="32">
        <f>P7-P13</f>
        <v>354626.07535072137</v>
      </c>
      <c r="Q14" s="32">
        <f>Q7-Q13</f>
        <v>358117.24905926862</v>
      </c>
      <c r="R14" s="32">
        <f>R7-R13</f>
        <v>361643.33450490132</v>
      </c>
      <c r="S14" s="32">
        <f>S7-S13</f>
        <v>379450.06600534631</v>
      </c>
      <c r="T14" s="32">
        <f>T7-T13</f>
        <v>383189.47962043987</v>
      </c>
      <c r="U14" s="32">
        <f>U7-U13</f>
        <v>386966.2873716841</v>
      </c>
      <c r="V14" s="32">
        <f>V7-V13</f>
        <v>390780.863200441</v>
      </c>
      <c r="W14" s="32">
        <f>W7-W13</f>
        <v>410044.4711356631</v>
      </c>
      <c r="X14" s="32">
        <f>X7-X13</f>
        <v>414089.82880205975</v>
      </c>
      <c r="Y14" s="32">
        <f>Y7-Y13</f>
        <v>418175.64004512026</v>
      </c>
      <c r="Z14" s="32">
        <f>Z7-Z13</f>
        <v>422302.30940061156</v>
      </c>
      <c r="AA14" s="32">
        <f>AA7-AA13</f>
        <v>439590.99036520021</v>
      </c>
      <c r="AB14" s="32">
        <f>AB7-AB13</f>
        <v>442925.1737838923</v>
      </c>
      <c r="AC14" s="32">
        <f>AC7-AC13</f>
        <v>446292.6990367712</v>
      </c>
      <c r="AD14" s="32">
        <f>AD7-AD13</f>
        <v>449693.89954217896</v>
      </c>
      <c r="AE14" s="32">
        <f>AE7-AE13</f>
        <v>453129.11205264064</v>
      </c>
      <c r="AF14" s="32">
        <f>AF7-AF13</f>
        <v>456598.67668820708</v>
      </c>
      <c r="AG14" s="32">
        <f>AG7-AG13</f>
        <v>460102.93697012914</v>
      </c>
      <c r="AH14" s="32">
        <f>AH7-AH13</f>
        <v>463642.23985487042</v>
      </c>
      <c r="AI14" s="32">
        <f>AI7-AI13</f>
        <v>467216.93576845917</v>
      </c>
      <c r="AJ14" s="32">
        <f>AJ7-AJ13</f>
        <v>470827.37864118384</v>
      </c>
      <c r="AK14" s="32">
        <f>AK7-AK13</f>
        <v>474473.92594263563</v>
      </c>
      <c r="AL14" s="32">
        <f>AL7-AL13</f>
        <v>478156.93871710193</v>
      </c>
      <c r="AM14" s="32">
        <f>AM7-AM13</f>
        <v>481876.781619313</v>
      </c>
      <c r="AN14" s="32">
        <f>AN7-AN13</f>
        <v>500661.98827547859</v>
      </c>
      <c r="AO14" s="32">
        <f>AO7-AO13</f>
        <v>504606.8816732734</v>
      </c>
      <c r="AP14" s="32">
        <f>AP7-AP13</f>
        <v>508591.22400504601</v>
      </c>
      <c r="AQ14" s="32">
        <f>AQ7-AQ13</f>
        <v>512615.40976013656</v>
      </c>
      <c r="AR14" s="32">
        <f>AR7-AR13</f>
        <v>516679.83737277793</v>
      </c>
      <c r="AS14" s="32">
        <f>AS7-AS13</f>
        <v>520784.90926154569</v>
      </c>
      <c r="AT14" s="32">
        <f>AT7-AT13</f>
        <v>524931.03186920122</v>
      </c>
      <c r="AU14" s="32">
        <f>AU7-AU13</f>
        <v>529118.61570293328</v>
      </c>
      <c r="AV14" s="32">
        <f>AV7-AV13</f>
        <v>533348.07537500258</v>
      </c>
      <c r="AW14" s="32">
        <f>AW7-AW13</f>
        <v>537619.82964379259</v>
      </c>
      <c r="BI14" s="1">
        <v>29237.561943626341</v>
      </c>
    </row>
    <row r="15" spans="1:61" x14ac:dyDescent="0.35">
      <c r="D15" s="1" t="s">
        <v>198</v>
      </c>
      <c r="E15" s="32">
        <f>$B$2/(1+$B$1)^(E1-2024)</f>
        <v>9215.6862745098042</v>
      </c>
      <c r="F15" s="32">
        <f>$B$2/(1+$B$1)^(F1-2024)</f>
        <v>9034.9865436370619</v>
      </c>
      <c r="G15" s="32">
        <f>$B$2/(1+$B$1)^(G1-2024)</f>
        <v>8857.8299447422196</v>
      </c>
      <c r="H15" s="32">
        <f>$B$2/(1+$B$1)^(H1-2024)</f>
        <v>8684.1470046492341</v>
      </c>
      <c r="I15" s="32">
        <f>$B$2/(1+$B$1)^(I1-2024)</f>
        <v>8513.8696124012095</v>
      </c>
      <c r="J15" s="32">
        <f>$B$2/(1+$B$1)^(J1-2024)</f>
        <v>8346.9309925502057</v>
      </c>
      <c r="K15" s="32">
        <f>$B$2/(1+$B$1)^(K1-2024)</f>
        <v>8183.2656789707908</v>
      </c>
      <c r="L15" s="32">
        <f>$B$2/(1+$B$1)^(L1-2024)</f>
        <v>8022.8094891870487</v>
      </c>
      <c r="M15" s="32">
        <f>$B$2/(1+$B$1)^(M1-2024)</f>
        <v>7865.4994992029897</v>
      </c>
      <c r="N15" s="32">
        <f>$B$2/(1+$B$1)^(N1-2024)</f>
        <v>7711.2740188264597</v>
      </c>
      <c r="O15" s="32">
        <f>$B$2/(1+$B$1)^(O1-2024)</f>
        <v>7560.0725674769228</v>
      </c>
      <c r="P15" s="32">
        <f>$B$2/(1+$B$1)^(P1-2024)</f>
        <v>7411.8358504675698</v>
      </c>
      <c r="Q15" s="32">
        <f>$B$2/(1+$B$1)^(Q1-2024)</f>
        <v>7266.5057357525202</v>
      </c>
      <c r="R15" s="32">
        <f>$B$2/(1+$B$1)^(R1-2024)</f>
        <v>7124.0252311299209</v>
      </c>
      <c r="S15" s="32">
        <f>$B$2/(1+$B$1)^(S1-2024)</f>
        <v>6984.3384618920809</v>
      </c>
      <c r="T15" s="32">
        <f>$B$2/(1+$B$1)^(T1-2024)</f>
        <v>6847.3906489138044</v>
      </c>
      <c r="U15" s="32">
        <f>$B$2/(1+$B$1)^(U1-2024)</f>
        <v>6713.1280871703957</v>
      </c>
      <c r="V15" s="32">
        <f>$B$2/(1+$B$1)^(V1-2024)</f>
        <v>6581.4981246768593</v>
      </c>
      <c r="W15" s="32">
        <f>$B$2/(1+$B$1)^(W1-2024)</f>
        <v>6452.4491418400585</v>
      </c>
      <c r="X15" s="32">
        <f>$B$2/(1+$B$1)^(X1-2024)</f>
        <v>6325.930531215743</v>
      </c>
      <c r="Y15" s="32">
        <f>$B$2/(1+$B$1)^(Y1-2024)</f>
        <v>6201.892677662493</v>
      </c>
      <c r="Z15" s="32">
        <f>$B$2/(1+$B$1)^(Z1-2024)</f>
        <v>6080.2869388847967</v>
      </c>
      <c r="AA15" s="32">
        <f>$B$2/(1+$B$1)^(AA1-2024)</f>
        <v>5961.0656263576448</v>
      </c>
      <c r="AB15" s="32">
        <f>$B$2/(1+$B$1)^(AB1-2024)</f>
        <v>5844.1819866251417</v>
      </c>
      <c r="AC15" s="32">
        <f>$B$2/(1+$B$1)^(AC1-2024)</f>
        <v>5729.590182965826</v>
      </c>
      <c r="AD15" s="32">
        <f>$B$2/(1+$B$1)^(AD1-2024)</f>
        <v>5617.2452774174753</v>
      </c>
      <c r="AE15" s="32">
        <f>$B$2/(1+$B$1)^(AE1-2024)</f>
        <v>5507.1032131543889</v>
      </c>
      <c r="AF15" s="32">
        <f>$B$2/(1+$B$1)^(AF1-2024)</f>
        <v>5399.1207972101838</v>
      </c>
      <c r="AG15" s="32">
        <f>$B$2/(1+$B$1)^(AG1-2024)</f>
        <v>5293.2556835393971</v>
      </c>
      <c r="AH15" s="32">
        <f>$B$2/(1+$B$1)^(AH1-2024)</f>
        <v>5189.4663564111725</v>
      </c>
      <c r="AI15" s="32">
        <f>$B$2/(1+$B$1)^(AI1-2024)</f>
        <v>5087.7121141286025</v>
      </c>
      <c r="AJ15" s="32">
        <f>$B$2/(1+$B$1)^(AJ1-2024)</f>
        <v>4987.9530530672555</v>
      </c>
      <c r="AK15" s="32">
        <f>$B$2/(1+$B$1)^(AK1-2024)</f>
        <v>4890.1500520267209</v>
      </c>
      <c r="AL15" s="32">
        <f>$B$2/(1+$B$1)^(AL1-2024)</f>
        <v>4794.2647568889424</v>
      </c>
      <c r="AM15" s="32">
        <f>$B$2/(1+$B$1)^(AM1-2024)</f>
        <v>4700.2595655773948</v>
      </c>
      <c r="AN15" s="32">
        <f>$B$2/(1+$B$1)^(AN1-2024)</f>
        <v>4608.0976133111717</v>
      </c>
      <c r="AO15" s="32">
        <f>$B$2/(1+$B$1)^(AO1-2024)</f>
        <v>4517.742758148207</v>
      </c>
      <c r="AP15" s="32">
        <f>$B$2/(1+$B$1)^(AP1-2024)</f>
        <v>4429.1595668119671</v>
      </c>
      <c r="AQ15" s="32">
        <f>$B$2/(1+$B$1)^(AQ1-2024)</f>
        <v>4342.3133007960478</v>
      </c>
      <c r="AR15" s="32">
        <f>$B$2/(1+$B$1)^(AR1-2024)</f>
        <v>4257.1699027412224</v>
      </c>
      <c r="AS15" s="32">
        <f>$B$2/(1+$B$1)^(AS1-2024)</f>
        <v>4173.6959830796295</v>
      </c>
      <c r="AT15" s="32">
        <f>$B$2/(1+$B$1)^(AT1-2024)</f>
        <v>4091.8588069408138</v>
      </c>
      <c r="AU15" s="32">
        <f>$B$2/(1+$B$1)^(AU1-2024)</f>
        <v>4011.6262813145236</v>
      </c>
      <c r="AV15" s="32">
        <f>$B$2/(1+$B$1)^(AV1-2024)</f>
        <v>3932.9669424652184</v>
      </c>
      <c r="AW15" s="32">
        <f>$B$2/(1+$B$1)^(AW1-2024)</f>
        <v>3855.8499435933518</v>
      </c>
      <c r="BI15" s="1">
        <v>29543.275772814286</v>
      </c>
    </row>
    <row r="16" spans="1:61" x14ac:dyDescent="0.35">
      <c r="D16" s="1" t="s">
        <v>201</v>
      </c>
      <c r="E16" s="32">
        <f>E14-E15</f>
        <v>274797.74528031371</v>
      </c>
      <c r="F16" s="32">
        <f>F14-F15</f>
        <v>277763.49228177476</v>
      </c>
      <c r="G16" s="32">
        <f>G14-G15</f>
        <v>292005.1375971401</v>
      </c>
      <c r="H16" s="32">
        <f>H14-H15</f>
        <v>295132.36316769192</v>
      </c>
      <c r="I16" s="32">
        <f>I14-I15</f>
        <v>298285.71861670335</v>
      </c>
      <c r="J16" s="32">
        <f>J14-J15</f>
        <v>301465.56607388542</v>
      </c>
      <c r="K16" s="32">
        <f>K14-K15</f>
        <v>316844.42101598665</v>
      </c>
      <c r="L16" s="32">
        <f>L14-L15</f>
        <v>320200.06702775997</v>
      </c>
      <c r="M16" s="32">
        <f>M14-M15</f>
        <v>323584.51873795345</v>
      </c>
      <c r="N16" s="32">
        <f>N14-N15</f>
        <v>326998.15735574154</v>
      </c>
      <c r="O16" s="32">
        <f>O14-O15</f>
        <v>343609.39515101956</v>
      </c>
      <c r="P16" s="32">
        <f>P14-P15</f>
        <v>347214.23950025381</v>
      </c>
      <c r="Q16" s="32">
        <f>Q14-Q15</f>
        <v>350850.7433235161</v>
      </c>
      <c r="R16" s="32">
        <f>R14-R15</f>
        <v>354519.30927377142</v>
      </c>
      <c r="S16" s="32">
        <f>S14-S15</f>
        <v>372465.72754345421</v>
      </c>
      <c r="T16" s="32">
        <f>T14-T15</f>
        <v>376342.08897152607</v>
      </c>
      <c r="U16" s="32">
        <f>U14-U15</f>
        <v>380253.15928451368</v>
      </c>
      <c r="V16" s="32">
        <f>V14-V15</f>
        <v>384199.36507576413</v>
      </c>
      <c r="W16" s="32">
        <f>W14-W15</f>
        <v>403592.02199382306</v>
      </c>
      <c r="X16" s="32">
        <f>X14-X15</f>
        <v>407763.89827084402</v>
      </c>
      <c r="Y16" s="32">
        <f>Y14-Y15</f>
        <v>411973.74736745778</v>
      </c>
      <c r="Z16" s="32">
        <f>Z14-Z15</f>
        <v>416222.02246172674</v>
      </c>
      <c r="AA16" s="32">
        <f>AA14-AA15</f>
        <v>433629.92473884259</v>
      </c>
      <c r="AB16" s="32">
        <f>AB14-AB15</f>
        <v>437080.99179726717</v>
      </c>
      <c r="AC16" s="32">
        <f>AC14-AC15</f>
        <v>440563.10885380534</v>
      </c>
      <c r="AD16" s="32">
        <f>AD14-AD15</f>
        <v>444076.65426476148</v>
      </c>
      <c r="AE16" s="32">
        <f>AE14-AE15</f>
        <v>447622.00883948628</v>
      </c>
      <c r="AF16" s="32">
        <f>AF14-AF15</f>
        <v>451199.55589099688</v>
      </c>
      <c r="AG16" s="32">
        <f>AG14-AG15</f>
        <v>454809.68128658977</v>
      </c>
      <c r="AH16" s="32">
        <f>AH14-AH15</f>
        <v>458452.77349845925</v>
      </c>
      <c r="AI16" s="32">
        <f>AI14-AI15</f>
        <v>462129.22365433059</v>
      </c>
      <c r="AJ16" s="32">
        <f>AJ14-AJ15</f>
        <v>465839.42558811657</v>
      </c>
      <c r="AK16" s="32">
        <f>AK14-AK15</f>
        <v>469583.7758906089</v>
      </c>
      <c r="AL16" s="32">
        <f>AL14-AL15</f>
        <v>473362.67396021297</v>
      </c>
      <c r="AM16" s="32">
        <f>AM14-AM15</f>
        <v>477176.52205373562</v>
      </c>
      <c r="AN16" s="32">
        <f>AN14-AN15</f>
        <v>496053.8906621674</v>
      </c>
      <c r="AO16" s="32">
        <f>AO14-AO15</f>
        <v>500089.13891512516</v>
      </c>
      <c r="AP16" s="32">
        <f>AP14-AP15</f>
        <v>504162.06443823403</v>
      </c>
      <c r="AQ16" s="32">
        <f>AQ14-AQ15</f>
        <v>508273.09645934054</v>
      </c>
      <c r="AR16" s="32">
        <f>AR14-AR15</f>
        <v>512422.66747003671</v>
      </c>
      <c r="AS16" s="32">
        <f>AS14-AS15</f>
        <v>516611.21327846608</v>
      </c>
      <c r="AT16" s="32">
        <f>AT14-AT15</f>
        <v>520839.17306226044</v>
      </c>
      <c r="AU16" s="32">
        <f>AU14-AU15</f>
        <v>525106.98942161875</v>
      </c>
      <c r="AV16" s="32">
        <f>AV14-AV15</f>
        <v>529415.10843253741</v>
      </c>
      <c r="AW16" s="32">
        <f>AW14-AW15</f>
        <v>533763.97970019921</v>
      </c>
      <c r="BI16" s="1">
        <v>31038.810628621184</v>
      </c>
    </row>
    <row r="17" spans="4:61" x14ac:dyDescent="0.35">
      <c r="D17" s="1" t="s">
        <v>202</v>
      </c>
      <c r="E17" s="32">
        <f>E16/12</f>
        <v>22899.812106692811</v>
      </c>
      <c r="F17" s="32">
        <f>F16/12</f>
        <v>23146.957690147898</v>
      </c>
      <c r="G17" s="32">
        <f>G16/12</f>
        <v>24333.761466428343</v>
      </c>
      <c r="H17" s="32">
        <f>H16/12</f>
        <v>24594.36359730766</v>
      </c>
      <c r="I17" s="32">
        <f>I16/12</f>
        <v>24857.143218058613</v>
      </c>
      <c r="J17" s="32">
        <f>J16/12</f>
        <v>25122.130506157118</v>
      </c>
      <c r="K17" s="32">
        <f>K16/12</f>
        <v>26403.701751332221</v>
      </c>
      <c r="L17" s="32">
        <f>L16/12</f>
        <v>26683.338918979996</v>
      </c>
      <c r="M17" s="32">
        <f>M16/12</f>
        <v>26965.376561496119</v>
      </c>
      <c r="N17" s="32">
        <f>N16/12</f>
        <v>27249.846446311796</v>
      </c>
      <c r="O17" s="32">
        <f>O16/12</f>
        <v>28634.116262584965</v>
      </c>
      <c r="P17" s="32">
        <f>P16/12</f>
        <v>28934.519958354485</v>
      </c>
      <c r="Q17" s="32">
        <f>Q16/12</f>
        <v>29237.561943626341</v>
      </c>
      <c r="R17" s="32">
        <f>R16/12</f>
        <v>29543.275772814286</v>
      </c>
      <c r="S17" s="32">
        <f>S16/12</f>
        <v>31038.810628621184</v>
      </c>
      <c r="T17" s="32">
        <f>T16/12</f>
        <v>31361.840747627171</v>
      </c>
      <c r="U17" s="32">
        <f>U16/12</f>
        <v>31687.763273709472</v>
      </c>
      <c r="V17" s="32">
        <f>V16/12</f>
        <v>32016.613756313676</v>
      </c>
      <c r="W17" s="32">
        <f>W16/12</f>
        <v>33632.668499485255</v>
      </c>
      <c r="X17" s="32">
        <f>X16/12</f>
        <v>33980.324855903666</v>
      </c>
      <c r="Y17" s="32">
        <f>Y16/12</f>
        <v>34331.145613954817</v>
      </c>
      <c r="Z17" s="32">
        <f>Z16/12</f>
        <v>34685.168538477228</v>
      </c>
      <c r="AA17" s="32">
        <f>AA16/12</f>
        <v>36135.827061570213</v>
      </c>
      <c r="AB17" s="32">
        <f>AB16/12</f>
        <v>36423.415983105595</v>
      </c>
      <c r="AC17" s="32">
        <f>AC16/12</f>
        <v>36713.592404483781</v>
      </c>
      <c r="AD17" s="32">
        <f>AD16/12</f>
        <v>37006.387855396788</v>
      </c>
      <c r="AE17" s="32">
        <f>AE16/12</f>
        <v>37301.834069957193</v>
      </c>
      <c r="AF17" s="32">
        <f>AF16/12</f>
        <v>37599.962990916407</v>
      </c>
      <c r="AG17" s="32">
        <f>AG16/12</f>
        <v>37900.806773882483</v>
      </c>
      <c r="AH17" s="32">
        <f>AH16/12</f>
        <v>38204.397791538271</v>
      </c>
      <c r="AI17" s="32">
        <f>AI16/12</f>
        <v>38510.768637860885</v>
      </c>
      <c r="AJ17" s="32">
        <f>AJ16/12</f>
        <v>38819.952132343045</v>
      </c>
      <c r="AK17" s="32">
        <f>AK16/12</f>
        <v>39131.981324217406</v>
      </c>
      <c r="AL17" s="32">
        <f>AL16/12</f>
        <v>39446.889496684416</v>
      </c>
      <c r="AM17" s="32">
        <f>AM16/12</f>
        <v>39764.710171144638</v>
      </c>
      <c r="AN17" s="32">
        <f>AN16/12</f>
        <v>41337.824221847281</v>
      </c>
      <c r="AO17" s="32">
        <f>AO16/12</f>
        <v>41674.094909593761</v>
      </c>
      <c r="AP17" s="32">
        <f>AP16/12</f>
        <v>42013.505369852835</v>
      </c>
      <c r="AQ17" s="32">
        <f>AQ16/12</f>
        <v>42356.091371611714</v>
      </c>
      <c r="AR17" s="32">
        <f>AR16/12</f>
        <v>42701.888955836395</v>
      </c>
      <c r="AS17" s="32">
        <f>AS16/12</f>
        <v>43050.934439872173</v>
      </c>
      <c r="AT17" s="32">
        <f>AT16/12</f>
        <v>43403.264421855034</v>
      </c>
      <c r="AU17" s="32">
        <f>AU16/12</f>
        <v>43758.915785134894</v>
      </c>
      <c r="AV17" s="32">
        <f>AV16/12</f>
        <v>44117.925702711451</v>
      </c>
      <c r="AW17" s="32">
        <f>AW16/12</f>
        <v>44480.331641683268</v>
      </c>
      <c r="BI17" s="1">
        <v>31361.840747627171</v>
      </c>
    </row>
    <row r="18" spans="4:61" x14ac:dyDescent="0.35">
      <c r="BI18" s="1">
        <v>31687.763273709472</v>
      </c>
    </row>
    <row r="19" spans="4:61" x14ac:dyDescent="0.35">
      <c r="BI19" s="1">
        <v>32016.613756313676</v>
      </c>
    </row>
    <row r="20" spans="4:61" x14ac:dyDescent="0.35">
      <c r="D20" s="30"/>
      <c r="BI20" s="1">
        <v>33632.668499485255</v>
      </c>
    </row>
    <row r="21" spans="4:61" x14ac:dyDescent="0.35">
      <c r="D21" s="1" t="s">
        <v>1</v>
      </c>
      <c r="E21" s="1">
        <v>2070</v>
      </c>
      <c r="F21" s="1">
        <v>2071</v>
      </c>
      <c r="G21" s="1">
        <v>2072</v>
      </c>
      <c r="H21" s="1">
        <v>2073</v>
      </c>
      <c r="I21" s="1">
        <v>2074</v>
      </c>
      <c r="J21" s="1">
        <v>2075</v>
      </c>
      <c r="K21" s="1">
        <v>2076</v>
      </c>
      <c r="L21" s="1">
        <v>2077</v>
      </c>
      <c r="M21" s="1">
        <v>2078</v>
      </c>
      <c r="N21" s="1">
        <v>2079</v>
      </c>
      <c r="O21" s="1">
        <v>2080</v>
      </c>
      <c r="P21" s="1">
        <v>2081</v>
      </c>
      <c r="Q21" s="1">
        <v>2082</v>
      </c>
      <c r="R21" s="1">
        <v>2083</v>
      </c>
      <c r="S21" s="1">
        <v>2084</v>
      </c>
      <c r="T21" s="1">
        <v>2085</v>
      </c>
      <c r="U21" s="1">
        <v>2086</v>
      </c>
      <c r="V21" s="1">
        <v>2087</v>
      </c>
      <c r="W21" s="1">
        <v>2088</v>
      </c>
      <c r="X21" s="1">
        <v>2089</v>
      </c>
      <c r="Y21" s="1">
        <v>2090</v>
      </c>
      <c r="Z21" s="1">
        <v>2091</v>
      </c>
      <c r="AA21" s="1">
        <v>2092</v>
      </c>
      <c r="AB21" s="1">
        <v>2093</v>
      </c>
      <c r="AC21" s="1">
        <v>2094</v>
      </c>
      <c r="BI21" s="1">
        <v>33980.324855903666</v>
      </c>
    </row>
    <row r="22" spans="4:61" x14ac:dyDescent="0.35">
      <c r="D22" s="1" t="s">
        <v>209</v>
      </c>
      <c r="E22" s="30">
        <f>'Pensions P1'!$B$14+'Pensions P1'!$B$22+'Pensions P1'!$B$31</f>
        <v>38602.249473454314</v>
      </c>
      <c r="F22" s="30">
        <f>'Pensions P1'!$B$14+'Pensions P1'!$B$22+'Pensions P1'!$B$31</f>
        <v>38602.249473454314</v>
      </c>
      <c r="G22" s="30">
        <f>'Pensions P1'!$B$14+'Pensions P1'!$B$22+'Pensions P1'!$B$31</f>
        <v>38602.249473454314</v>
      </c>
      <c r="H22" s="30">
        <f>'Pensions P1'!$B$14+'Pensions P1'!$B$22+'Pensions P1'!$B$31</f>
        <v>38602.249473454314</v>
      </c>
      <c r="I22" s="30">
        <f>'Pensions P1'!$B$14+'Pensions P1'!$B$22+'Pensions P1'!$B$31</f>
        <v>38602.249473454314</v>
      </c>
      <c r="J22" s="30">
        <f>'Pensions P1'!$B$14+'Pensions P1'!$B$22+'Pensions P1'!$B$31</f>
        <v>38602.249473454314</v>
      </c>
      <c r="K22" s="30">
        <f>'Pensions P1'!$B$14+'Pensions P1'!$B$22+'Pensions P1'!$B$31</f>
        <v>38602.249473454314</v>
      </c>
      <c r="L22" s="30">
        <f>'Pensions P1'!$B$14+'Pensions P1'!$B$22+'Pensions P1'!$B$31</f>
        <v>38602.249473454314</v>
      </c>
      <c r="M22" s="30">
        <f>'Pensions P1'!$B$14+'Pensions P1'!$B$22+'Pensions P1'!$B$31</f>
        <v>38602.249473454314</v>
      </c>
      <c r="N22" s="30">
        <f>'Pensions P1'!$B$14+'Pensions P1'!$B$22+'Pensions P1'!$B$31</f>
        <v>38602.249473454314</v>
      </c>
      <c r="O22" s="30">
        <f>'Pensions P1'!$B$14+'Pensions P1'!$B$22+'Pensions P1'!$B$31</f>
        <v>38602.249473454314</v>
      </c>
      <c r="P22" s="30">
        <f>'Pensions P1'!$B$14+'Pensions P1'!$B$22+'Pensions P1'!$B$31</f>
        <v>38602.249473454314</v>
      </c>
      <c r="Q22" s="30">
        <f>'Pensions P1'!$B$14+'Pensions P1'!$B$22+'Pensions P1'!$B$31</f>
        <v>38602.249473454314</v>
      </c>
      <c r="R22" s="30">
        <f>'Pensions P1'!$B$14+'Pensions P1'!$B$22+'Pensions P1'!$B$31</f>
        <v>38602.249473454314</v>
      </c>
      <c r="S22" s="30">
        <f>'Pensions P1'!$B$14+'Pensions P1'!$B$22+'Pensions P1'!$B$31</f>
        <v>38602.249473454314</v>
      </c>
      <c r="T22" s="30">
        <f>'Pensions P1'!$B$14+'Pensions P1'!$B$22+'Pensions P1'!$B$31</f>
        <v>38602.249473454314</v>
      </c>
      <c r="U22" s="30">
        <f>'Pensions P1'!$B$14+'Pensions P1'!$B$22+'Pensions P1'!$B$31</f>
        <v>38602.249473454314</v>
      </c>
      <c r="V22" s="30">
        <f>'Pensions P1'!$B$14+'Pensions P1'!$B$22+'Pensions P1'!$B$31</f>
        <v>38602.249473454314</v>
      </c>
      <c r="W22" s="30">
        <f>'Pensions P1'!$B$14+'Pensions P1'!$B$22+'Pensions P1'!$B$31</f>
        <v>38602.249473454314</v>
      </c>
      <c r="X22" s="30">
        <f>'Pensions P1'!$B$14+'Pensions P1'!$B$22+'Pensions P1'!$B$31</f>
        <v>38602.249473454314</v>
      </c>
      <c r="Y22" s="30">
        <f>'Pensions P1'!$B$14+'Pensions P1'!$B$22+'Pensions P1'!$B$31</f>
        <v>38602.249473454314</v>
      </c>
      <c r="Z22" s="30">
        <f>'Pensions P1'!$B$14+'Pensions P1'!$B$22+'Pensions P1'!$B$31</f>
        <v>38602.249473454314</v>
      </c>
      <c r="AA22" s="30">
        <f>'Pensions P1'!$B$14+'Pensions P1'!$B$22+'Pensions P1'!$B$31</f>
        <v>38602.249473454314</v>
      </c>
      <c r="AB22" s="30">
        <f>'Pensions P1'!$B$14+'Pensions P1'!$B$22+'Pensions P1'!$B$31</f>
        <v>38602.249473454314</v>
      </c>
      <c r="AC22" s="30">
        <f>'Pensions P1'!$B$14+'Pensions P1'!$B$22+'Pensions P1'!$B$31</f>
        <v>38602.249473454314</v>
      </c>
      <c r="BI22" s="1">
        <v>34331.145613954817</v>
      </c>
    </row>
    <row r="23" spans="4:61" x14ac:dyDescent="0.35">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BI23" s="1">
        <v>34685.168538477228</v>
      </c>
    </row>
    <row r="24" spans="4:61" x14ac:dyDescent="0.35">
      <c r="D24" s="1" t="s">
        <v>210</v>
      </c>
      <c r="E24" s="30">
        <f>E22*12</f>
        <v>463226.99368145177</v>
      </c>
      <c r="F24" s="30">
        <f t="shared" ref="F24:AC24" si="4">F22*12</f>
        <v>463226.99368145177</v>
      </c>
      <c r="G24" s="30">
        <f t="shared" si="4"/>
        <v>463226.99368145177</v>
      </c>
      <c r="H24" s="30">
        <f t="shared" si="4"/>
        <v>463226.99368145177</v>
      </c>
      <c r="I24" s="30">
        <f t="shared" si="4"/>
        <v>463226.99368145177</v>
      </c>
      <c r="J24" s="30">
        <f t="shared" si="4"/>
        <v>463226.99368145177</v>
      </c>
      <c r="K24" s="30">
        <f t="shared" si="4"/>
        <v>463226.99368145177</v>
      </c>
      <c r="L24" s="30">
        <f t="shared" si="4"/>
        <v>463226.99368145177</v>
      </c>
      <c r="M24" s="30">
        <f t="shared" si="4"/>
        <v>463226.99368145177</v>
      </c>
      <c r="N24" s="30">
        <f t="shared" si="4"/>
        <v>463226.99368145177</v>
      </c>
      <c r="O24" s="30">
        <f t="shared" si="4"/>
        <v>463226.99368145177</v>
      </c>
      <c r="P24" s="30">
        <f t="shared" si="4"/>
        <v>463226.99368145177</v>
      </c>
      <c r="Q24" s="30">
        <f t="shared" si="4"/>
        <v>463226.99368145177</v>
      </c>
      <c r="R24" s="30">
        <f t="shared" si="4"/>
        <v>463226.99368145177</v>
      </c>
      <c r="S24" s="30">
        <f t="shared" si="4"/>
        <v>463226.99368145177</v>
      </c>
      <c r="T24" s="30">
        <f t="shared" si="4"/>
        <v>463226.99368145177</v>
      </c>
      <c r="U24" s="30">
        <f t="shared" si="4"/>
        <v>463226.99368145177</v>
      </c>
      <c r="V24" s="30">
        <f t="shared" si="4"/>
        <v>463226.99368145177</v>
      </c>
      <c r="W24" s="30">
        <f t="shared" si="4"/>
        <v>463226.99368145177</v>
      </c>
      <c r="X24" s="30">
        <f t="shared" si="4"/>
        <v>463226.99368145177</v>
      </c>
      <c r="Y24" s="30">
        <f t="shared" si="4"/>
        <v>463226.99368145177</v>
      </c>
      <c r="Z24" s="30">
        <f t="shared" si="4"/>
        <v>463226.99368145177</v>
      </c>
      <c r="AA24" s="30">
        <f t="shared" si="4"/>
        <v>463226.99368145177</v>
      </c>
      <c r="AB24" s="30">
        <f t="shared" si="4"/>
        <v>463226.99368145177</v>
      </c>
      <c r="AC24" s="30">
        <f t="shared" si="4"/>
        <v>463226.99368145177</v>
      </c>
      <c r="BI24" s="1">
        <v>36135.827061570213</v>
      </c>
    </row>
    <row r="25" spans="4:61" x14ac:dyDescent="0.35">
      <c r="D25" s="1" t="s">
        <v>193</v>
      </c>
      <c r="E25" s="30">
        <f>E24*$B$9</f>
        <v>115806.74842036294</v>
      </c>
      <c r="F25" s="30">
        <f t="shared" ref="F25:AC25" si="5">F24*$B$9</f>
        <v>115806.74842036294</v>
      </c>
      <c r="G25" s="30">
        <f t="shared" si="5"/>
        <v>115806.74842036294</v>
      </c>
      <c r="H25" s="30">
        <f t="shared" si="5"/>
        <v>115806.74842036294</v>
      </c>
      <c r="I25" s="30">
        <f t="shared" si="5"/>
        <v>115806.74842036294</v>
      </c>
      <c r="J25" s="30">
        <f t="shared" si="5"/>
        <v>115806.74842036294</v>
      </c>
      <c r="K25" s="30">
        <f t="shared" si="5"/>
        <v>115806.74842036294</v>
      </c>
      <c r="L25" s="30">
        <f t="shared" si="5"/>
        <v>115806.74842036294</v>
      </c>
      <c r="M25" s="30">
        <f t="shared" si="5"/>
        <v>115806.74842036294</v>
      </c>
      <c r="N25" s="30">
        <f t="shared" si="5"/>
        <v>115806.74842036294</v>
      </c>
      <c r="O25" s="30">
        <f t="shared" si="5"/>
        <v>115806.74842036294</v>
      </c>
      <c r="P25" s="30">
        <f t="shared" si="5"/>
        <v>115806.74842036294</v>
      </c>
      <c r="Q25" s="30">
        <f t="shared" si="5"/>
        <v>115806.74842036294</v>
      </c>
      <c r="R25" s="30">
        <f t="shared" si="5"/>
        <v>115806.74842036294</v>
      </c>
      <c r="S25" s="30">
        <f t="shared" si="5"/>
        <v>115806.74842036294</v>
      </c>
      <c r="T25" s="30">
        <f t="shared" si="5"/>
        <v>115806.74842036294</v>
      </c>
      <c r="U25" s="30">
        <f t="shared" si="5"/>
        <v>115806.74842036294</v>
      </c>
      <c r="V25" s="30">
        <f t="shared" si="5"/>
        <v>115806.74842036294</v>
      </c>
      <c r="W25" s="30">
        <f t="shared" si="5"/>
        <v>115806.74842036294</v>
      </c>
      <c r="X25" s="30">
        <f t="shared" si="5"/>
        <v>115806.74842036294</v>
      </c>
      <c r="Y25" s="30">
        <f t="shared" si="5"/>
        <v>115806.74842036294</v>
      </c>
      <c r="Z25" s="30">
        <f t="shared" si="5"/>
        <v>115806.74842036294</v>
      </c>
      <c r="AA25" s="30">
        <f t="shared" si="5"/>
        <v>115806.74842036294</v>
      </c>
      <c r="AB25" s="30">
        <f t="shared" si="5"/>
        <v>115806.74842036294</v>
      </c>
      <c r="AC25" s="30">
        <f t="shared" si="5"/>
        <v>115806.74842036294</v>
      </c>
      <c r="BI25" s="1">
        <v>36423.415983105595</v>
      </c>
    </row>
    <row r="26" spans="4:61" x14ac:dyDescent="0.35">
      <c r="D26" s="1" t="s">
        <v>194</v>
      </c>
      <c r="E26" s="30">
        <f>MAX(E24-$B$8,0)*$B$7</f>
        <v>0</v>
      </c>
      <c r="F26" s="30">
        <f t="shared" ref="F26:AC26" si="6">MAX(F24-$B$8,0)*$B$7</f>
        <v>0</v>
      </c>
      <c r="G26" s="30">
        <f t="shared" si="6"/>
        <v>0</v>
      </c>
      <c r="H26" s="30">
        <f t="shared" si="6"/>
        <v>0</v>
      </c>
      <c r="I26" s="30">
        <f t="shared" si="6"/>
        <v>0</v>
      </c>
      <c r="J26" s="30">
        <f t="shared" si="6"/>
        <v>0</v>
      </c>
      <c r="K26" s="30">
        <f t="shared" si="6"/>
        <v>0</v>
      </c>
      <c r="L26" s="30">
        <f t="shared" si="6"/>
        <v>0</v>
      </c>
      <c r="M26" s="30">
        <f t="shared" si="6"/>
        <v>0</v>
      </c>
      <c r="N26" s="30">
        <f t="shared" si="6"/>
        <v>0</v>
      </c>
      <c r="O26" s="30">
        <f t="shared" si="6"/>
        <v>0</v>
      </c>
      <c r="P26" s="30">
        <f t="shared" si="6"/>
        <v>0</v>
      </c>
      <c r="Q26" s="30">
        <f t="shared" si="6"/>
        <v>0</v>
      </c>
      <c r="R26" s="30">
        <f t="shared" si="6"/>
        <v>0</v>
      </c>
      <c r="S26" s="30">
        <f t="shared" si="6"/>
        <v>0</v>
      </c>
      <c r="T26" s="30">
        <f t="shared" si="6"/>
        <v>0</v>
      </c>
      <c r="U26" s="30">
        <f t="shared" si="6"/>
        <v>0</v>
      </c>
      <c r="V26" s="30">
        <f t="shared" si="6"/>
        <v>0</v>
      </c>
      <c r="W26" s="30">
        <f t="shared" si="6"/>
        <v>0</v>
      </c>
      <c r="X26" s="30">
        <f t="shared" si="6"/>
        <v>0</v>
      </c>
      <c r="Y26" s="30">
        <f t="shared" si="6"/>
        <v>0</v>
      </c>
      <c r="Z26" s="30">
        <f t="shared" si="6"/>
        <v>0</v>
      </c>
      <c r="AA26" s="30">
        <f t="shared" si="6"/>
        <v>0</v>
      </c>
      <c r="AB26" s="30">
        <f t="shared" si="6"/>
        <v>0</v>
      </c>
      <c r="AC26" s="30">
        <f t="shared" si="6"/>
        <v>0</v>
      </c>
      <c r="BI26" s="1">
        <v>36713.592404483781</v>
      </c>
    </row>
    <row r="27" spans="4:61" x14ac:dyDescent="0.35">
      <c r="D27" s="1" t="s">
        <v>195</v>
      </c>
      <c r="E27" s="30">
        <f>E24*$B$6</f>
        <v>55633.561941142354</v>
      </c>
      <c r="F27" s="30">
        <f t="shared" ref="F27:AC27" si="7">F24*$B$6</f>
        <v>55633.561941142354</v>
      </c>
      <c r="G27" s="30">
        <f t="shared" si="7"/>
        <v>55633.561941142354</v>
      </c>
      <c r="H27" s="30">
        <f t="shared" si="7"/>
        <v>55633.561941142354</v>
      </c>
      <c r="I27" s="30">
        <f t="shared" si="7"/>
        <v>55633.561941142354</v>
      </c>
      <c r="J27" s="30">
        <f t="shared" si="7"/>
        <v>55633.561941142354</v>
      </c>
      <c r="K27" s="30">
        <f t="shared" si="7"/>
        <v>55633.561941142354</v>
      </c>
      <c r="L27" s="30">
        <f t="shared" si="7"/>
        <v>55633.561941142354</v>
      </c>
      <c r="M27" s="30">
        <f t="shared" si="7"/>
        <v>55633.561941142354</v>
      </c>
      <c r="N27" s="30">
        <f t="shared" si="7"/>
        <v>55633.561941142354</v>
      </c>
      <c r="O27" s="30">
        <f t="shared" si="7"/>
        <v>55633.561941142354</v>
      </c>
      <c r="P27" s="30">
        <f t="shared" si="7"/>
        <v>55633.561941142354</v>
      </c>
      <c r="Q27" s="30">
        <f t="shared" si="7"/>
        <v>55633.561941142354</v>
      </c>
      <c r="R27" s="30">
        <f t="shared" si="7"/>
        <v>55633.561941142354</v>
      </c>
      <c r="S27" s="30">
        <f t="shared" si="7"/>
        <v>55633.561941142354</v>
      </c>
      <c r="T27" s="30">
        <f t="shared" si="7"/>
        <v>55633.561941142354</v>
      </c>
      <c r="U27" s="30">
        <f t="shared" si="7"/>
        <v>55633.561941142354</v>
      </c>
      <c r="V27" s="30">
        <f t="shared" si="7"/>
        <v>55633.561941142354</v>
      </c>
      <c r="W27" s="30">
        <f t="shared" si="7"/>
        <v>55633.561941142354</v>
      </c>
      <c r="X27" s="30">
        <f t="shared" si="7"/>
        <v>55633.561941142354</v>
      </c>
      <c r="Y27" s="30">
        <f t="shared" si="7"/>
        <v>55633.561941142354</v>
      </c>
      <c r="Z27" s="30">
        <f t="shared" si="7"/>
        <v>55633.561941142354</v>
      </c>
      <c r="AA27" s="30">
        <f t="shared" si="7"/>
        <v>55633.561941142354</v>
      </c>
      <c r="AB27" s="30">
        <f t="shared" si="7"/>
        <v>55633.561941142354</v>
      </c>
      <c r="AC27" s="30">
        <f t="shared" si="7"/>
        <v>55633.561941142354</v>
      </c>
      <c r="BI27" s="1">
        <v>37006.387855396788</v>
      </c>
    </row>
    <row r="28" spans="4:61" x14ac:dyDescent="0.35">
      <c r="D28" s="1" t="s">
        <v>196</v>
      </c>
      <c r="E28" s="30">
        <f>SUM(E25:E27)</f>
        <v>171440.31036150531</v>
      </c>
      <c r="F28" s="30">
        <f>SUM(F25:F27)</f>
        <v>171440.31036150531</v>
      </c>
      <c r="G28" s="30">
        <f t="shared" ref="G28:AC28" si="8">SUM(G25:G27)</f>
        <v>171440.31036150531</v>
      </c>
      <c r="H28" s="30">
        <f t="shared" si="8"/>
        <v>171440.31036150531</v>
      </c>
      <c r="I28" s="30">
        <f t="shared" si="8"/>
        <v>171440.31036150531</v>
      </c>
      <c r="J28" s="30">
        <f t="shared" si="8"/>
        <v>171440.31036150531</v>
      </c>
      <c r="K28" s="30">
        <f t="shared" si="8"/>
        <v>171440.31036150531</v>
      </c>
      <c r="L28" s="30">
        <f t="shared" si="8"/>
        <v>171440.31036150531</v>
      </c>
      <c r="M28" s="30">
        <f t="shared" si="8"/>
        <v>171440.31036150531</v>
      </c>
      <c r="N28" s="30">
        <f t="shared" si="8"/>
        <v>171440.31036150531</v>
      </c>
      <c r="O28" s="30">
        <f t="shared" si="8"/>
        <v>171440.31036150531</v>
      </c>
      <c r="P28" s="30">
        <f t="shared" si="8"/>
        <v>171440.31036150531</v>
      </c>
      <c r="Q28" s="30">
        <f t="shared" si="8"/>
        <v>171440.31036150531</v>
      </c>
      <c r="R28" s="30">
        <f t="shared" si="8"/>
        <v>171440.31036150531</v>
      </c>
      <c r="S28" s="30">
        <f t="shared" si="8"/>
        <v>171440.31036150531</v>
      </c>
      <c r="T28" s="30">
        <f t="shared" si="8"/>
        <v>171440.31036150531</v>
      </c>
      <c r="U28" s="30">
        <f t="shared" si="8"/>
        <v>171440.31036150531</v>
      </c>
      <c r="V28" s="30">
        <f t="shared" si="8"/>
        <v>171440.31036150531</v>
      </c>
      <c r="W28" s="30">
        <f t="shared" si="8"/>
        <v>171440.31036150531</v>
      </c>
      <c r="X28" s="30">
        <f t="shared" si="8"/>
        <v>171440.31036150531</v>
      </c>
      <c r="Y28" s="30">
        <f t="shared" si="8"/>
        <v>171440.31036150531</v>
      </c>
      <c r="Z28" s="30">
        <f t="shared" si="8"/>
        <v>171440.31036150531</v>
      </c>
      <c r="AA28" s="30">
        <f t="shared" si="8"/>
        <v>171440.31036150531</v>
      </c>
      <c r="AB28" s="30">
        <f t="shared" si="8"/>
        <v>171440.31036150531</v>
      </c>
      <c r="AC28" s="30">
        <f t="shared" si="8"/>
        <v>171440.31036150531</v>
      </c>
      <c r="BI28" s="1">
        <v>37301.834069957193</v>
      </c>
    </row>
    <row r="29" spans="4:61" x14ac:dyDescent="0.35">
      <c r="D29" s="1" t="s">
        <v>197</v>
      </c>
      <c r="E29" s="30">
        <f>E24-E28</f>
        <v>291786.68331994646</v>
      </c>
      <c r="F29" s="30">
        <f>F24-F28</f>
        <v>291786.68331994646</v>
      </c>
      <c r="G29" s="30">
        <f t="shared" ref="G29:AC29" si="9">G24-G28</f>
        <v>291786.68331994646</v>
      </c>
      <c r="H29" s="30">
        <f t="shared" si="9"/>
        <v>291786.68331994646</v>
      </c>
      <c r="I29" s="30">
        <f t="shared" si="9"/>
        <v>291786.68331994646</v>
      </c>
      <c r="J29" s="30">
        <f t="shared" si="9"/>
        <v>291786.68331994646</v>
      </c>
      <c r="K29" s="30">
        <f t="shared" si="9"/>
        <v>291786.68331994646</v>
      </c>
      <c r="L29" s="30">
        <f t="shared" si="9"/>
        <v>291786.68331994646</v>
      </c>
      <c r="M29" s="30">
        <f t="shared" si="9"/>
        <v>291786.68331994646</v>
      </c>
      <c r="N29" s="30">
        <f t="shared" si="9"/>
        <v>291786.68331994646</v>
      </c>
      <c r="O29" s="30">
        <f t="shared" si="9"/>
        <v>291786.68331994646</v>
      </c>
      <c r="P29" s="30">
        <f t="shared" si="9"/>
        <v>291786.68331994646</v>
      </c>
      <c r="Q29" s="30">
        <f t="shared" si="9"/>
        <v>291786.68331994646</v>
      </c>
      <c r="R29" s="30">
        <f t="shared" si="9"/>
        <v>291786.68331994646</v>
      </c>
      <c r="S29" s="30">
        <f t="shared" si="9"/>
        <v>291786.68331994646</v>
      </c>
      <c r="T29" s="30">
        <f t="shared" si="9"/>
        <v>291786.68331994646</v>
      </c>
      <c r="U29" s="30">
        <f t="shared" si="9"/>
        <v>291786.68331994646</v>
      </c>
      <c r="V29" s="30">
        <f t="shared" si="9"/>
        <v>291786.68331994646</v>
      </c>
      <c r="W29" s="30">
        <f t="shared" si="9"/>
        <v>291786.68331994646</v>
      </c>
      <c r="X29" s="30">
        <f t="shared" si="9"/>
        <v>291786.68331994646</v>
      </c>
      <c r="Y29" s="30">
        <f t="shared" si="9"/>
        <v>291786.68331994646</v>
      </c>
      <c r="Z29" s="30">
        <f t="shared" si="9"/>
        <v>291786.68331994646</v>
      </c>
      <c r="AA29" s="30">
        <f t="shared" si="9"/>
        <v>291786.68331994646</v>
      </c>
      <c r="AB29" s="30">
        <f t="shared" si="9"/>
        <v>291786.68331994646</v>
      </c>
      <c r="AC29" s="30">
        <f t="shared" si="9"/>
        <v>291786.68331994646</v>
      </c>
      <c r="BI29" s="1">
        <v>37599.962990916407</v>
      </c>
    </row>
    <row r="30" spans="4:61" x14ac:dyDescent="0.35">
      <c r="D30" s="1" t="s">
        <v>211</v>
      </c>
      <c r="E30" s="30">
        <f>'Pensions P1'!$B$18</f>
        <v>22526.857194242286</v>
      </c>
      <c r="F30" s="30">
        <f>'Pensions P1'!$B$18</f>
        <v>22526.857194242286</v>
      </c>
      <c r="G30" s="30">
        <f>'Pensions P1'!$B$18</f>
        <v>22526.857194242286</v>
      </c>
      <c r="H30" s="30">
        <f>'Pensions P1'!$B$18</f>
        <v>22526.857194242286</v>
      </c>
      <c r="I30" s="30">
        <f>'Pensions P1'!$B$18</f>
        <v>22526.857194242286</v>
      </c>
      <c r="J30" s="30">
        <f>'Pensions P1'!$B$18</f>
        <v>22526.857194242286</v>
      </c>
      <c r="K30" s="30">
        <f>'Pensions P1'!$B$18</f>
        <v>22526.857194242286</v>
      </c>
      <c r="L30" s="30">
        <f>'Pensions P1'!$B$18</f>
        <v>22526.857194242286</v>
      </c>
      <c r="M30" s="30">
        <f>'Pensions P1'!$B$18</f>
        <v>22526.857194242286</v>
      </c>
      <c r="N30" s="30">
        <f>'Pensions P1'!$B$18</f>
        <v>22526.857194242286</v>
      </c>
      <c r="O30" s="30">
        <f>'Pensions P1'!$B$18</f>
        <v>22526.857194242286</v>
      </c>
      <c r="P30" s="30">
        <f>'Pensions P1'!$B$18</f>
        <v>22526.857194242286</v>
      </c>
      <c r="Q30" s="30">
        <f>'Pensions P1'!$B$18</f>
        <v>22526.857194242286</v>
      </c>
      <c r="R30" s="30">
        <f>'Pensions P1'!$B$18</f>
        <v>22526.857194242286</v>
      </c>
      <c r="S30" s="30">
        <f>'Pensions P1'!$B$18</f>
        <v>22526.857194242286</v>
      </c>
      <c r="T30" s="30">
        <f>'Pensions P1'!$B$18</f>
        <v>22526.857194242286</v>
      </c>
      <c r="U30" s="30">
        <f>'Pensions P1'!$B$18</f>
        <v>22526.857194242286</v>
      </c>
      <c r="V30" s="30">
        <f>'Pensions P1'!$B$18</f>
        <v>22526.857194242286</v>
      </c>
      <c r="W30" s="30">
        <f>'Pensions P1'!$B$18</f>
        <v>22526.857194242286</v>
      </c>
      <c r="X30" s="30">
        <f>'Pensions P1'!$B$18</f>
        <v>22526.857194242286</v>
      </c>
      <c r="Y30" s="30">
        <f>'Pensions P1'!$B$18</f>
        <v>22526.857194242286</v>
      </c>
      <c r="Z30" s="30">
        <f>'Pensions P1'!$B$18</f>
        <v>22526.857194242286</v>
      </c>
      <c r="AA30" s="30">
        <f>'Pensions P1'!$B$18</f>
        <v>22526.857194242286</v>
      </c>
      <c r="AB30" s="30">
        <f>'Pensions P1'!$B$18</f>
        <v>22526.857194242286</v>
      </c>
      <c r="AC30" s="30">
        <f>'Pensions P1'!$B$18</f>
        <v>22526.857194242286</v>
      </c>
      <c r="BI30" s="1">
        <v>37900.806773882483</v>
      </c>
    </row>
    <row r="31" spans="4:61" x14ac:dyDescent="0.35">
      <c r="D31" s="1" t="s">
        <v>201</v>
      </c>
      <c r="E31" s="30">
        <f>E30+E29</f>
        <v>314313.54051418876</v>
      </c>
      <c r="F31" s="30">
        <f>F30+F29</f>
        <v>314313.54051418876</v>
      </c>
      <c r="G31" s="30">
        <f t="shared" ref="G31:AC31" si="10">G30+G29</f>
        <v>314313.54051418876</v>
      </c>
      <c r="H31" s="30">
        <f t="shared" si="10"/>
        <v>314313.54051418876</v>
      </c>
      <c r="I31" s="30">
        <f t="shared" si="10"/>
        <v>314313.54051418876</v>
      </c>
      <c r="J31" s="30">
        <f t="shared" si="10"/>
        <v>314313.54051418876</v>
      </c>
      <c r="K31" s="30">
        <f t="shared" si="10"/>
        <v>314313.54051418876</v>
      </c>
      <c r="L31" s="30">
        <f t="shared" si="10"/>
        <v>314313.54051418876</v>
      </c>
      <c r="M31" s="30">
        <f t="shared" si="10"/>
        <v>314313.54051418876</v>
      </c>
      <c r="N31" s="30">
        <f t="shared" si="10"/>
        <v>314313.54051418876</v>
      </c>
      <c r="O31" s="30">
        <f t="shared" si="10"/>
        <v>314313.54051418876</v>
      </c>
      <c r="P31" s="30">
        <f t="shared" si="10"/>
        <v>314313.54051418876</v>
      </c>
      <c r="Q31" s="30">
        <f t="shared" si="10"/>
        <v>314313.54051418876</v>
      </c>
      <c r="R31" s="30">
        <f t="shared" si="10"/>
        <v>314313.54051418876</v>
      </c>
      <c r="S31" s="30">
        <f t="shared" si="10"/>
        <v>314313.54051418876</v>
      </c>
      <c r="T31" s="30">
        <f t="shared" si="10"/>
        <v>314313.54051418876</v>
      </c>
      <c r="U31" s="30">
        <f t="shared" si="10"/>
        <v>314313.54051418876</v>
      </c>
      <c r="V31" s="30">
        <f t="shared" si="10"/>
        <v>314313.54051418876</v>
      </c>
      <c r="W31" s="30">
        <f t="shared" si="10"/>
        <v>314313.54051418876</v>
      </c>
      <c r="X31" s="30">
        <f t="shared" si="10"/>
        <v>314313.54051418876</v>
      </c>
      <c r="Y31" s="30">
        <f t="shared" si="10"/>
        <v>314313.54051418876</v>
      </c>
      <c r="Z31" s="30">
        <f t="shared" si="10"/>
        <v>314313.54051418876</v>
      </c>
      <c r="AA31" s="30">
        <f t="shared" si="10"/>
        <v>314313.54051418876</v>
      </c>
      <c r="AB31" s="30">
        <f t="shared" si="10"/>
        <v>314313.54051418876</v>
      </c>
      <c r="AC31" s="30">
        <f t="shared" si="10"/>
        <v>314313.54051418876</v>
      </c>
      <c r="BI31" s="1">
        <v>38204.397791538271</v>
      </c>
    </row>
    <row r="32" spans="4:61" x14ac:dyDescent="0.35">
      <c r="D32" s="1" t="s">
        <v>202</v>
      </c>
      <c r="E32" s="30">
        <f>E31/12</f>
        <v>26192.795042849062</v>
      </c>
      <c r="F32" s="30">
        <f>F31/12</f>
        <v>26192.795042849062</v>
      </c>
      <c r="G32" s="30">
        <f t="shared" ref="G32:AC32" si="11">G31/12</f>
        <v>26192.795042849062</v>
      </c>
      <c r="H32" s="30">
        <f t="shared" si="11"/>
        <v>26192.795042849062</v>
      </c>
      <c r="I32" s="30">
        <f t="shared" si="11"/>
        <v>26192.795042849062</v>
      </c>
      <c r="J32" s="30">
        <f t="shared" si="11"/>
        <v>26192.795042849062</v>
      </c>
      <c r="K32" s="30">
        <f t="shared" si="11"/>
        <v>26192.795042849062</v>
      </c>
      <c r="L32" s="30">
        <f t="shared" si="11"/>
        <v>26192.795042849062</v>
      </c>
      <c r="M32" s="30">
        <f t="shared" si="11"/>
        <v>26192.795042849062</v>
      </c>
      <c r="N32" s="30">
        <f t="shared" si="11"/>
        <v>26192.795042849062</v>
      </c>
      <c r="O32" s="30">
        <f t="shared" si="11"/>
        <v>26192.795042849062</v>
      </c>
      <c r="P32" s="30">
        <f t="shared" si="11"/>
        <v>26192.795042849062</v>
      </c>
      <c r="Q32" s="30">
        <f t="shared" si="11"/>
        <v>26192.795042849062</v>
      </c>
      <c r="R32" s="30">
        <f t="shared" si="11"/>
        <v>26192.795042849062</v>
      </c>
      <c r="S32" s="30">
        <f t="shared" si="11"/>
        <v>26192.795042849062</v>
      </c>
      <c r="T32" s="30">
        <f t="shared" si="11"/>
        <v>26192.795042849062</v>
      </c>
      <c r="U32" s="30">
        <f t="shared" si="11"/>
        <v>26192.795042849062</v>
      </c>
      <c r="V32" s="30">
        <f t="shared" si="11"/>
        <v>26192.795042849062</v>
      </c>
      <c r="W32" s="30">
        <f t="shared" si="11"/>
        <v>26192.795042849062</v>
      </c>
      <c r="X32" s="30">
        <f t="shared" si="11"/>
        <v>26192.795042849062</v>
      </c>
      <c r="Y32" s="30">
        <f t="shared" si="11"/>
        <v>26192.795042849062</v>
      </c>
      <c r="Z32" s="30">
        <f t="shared" si="11"/>
        <v>26192.795042849062</v>
      </c>
      <c r="AA32" s="30">
        <f t="shared" si="11"/>
        <v>26192.795042849062</v>
      </c>
      <c r="AB32" s="30">
        <f t="shared" si="11"/>
        <v>26192.795042849062</v>
      </c>
      <c r="AC32" s="30">
        <f t="shared" si="11"/>
        <v>26192.795042849062</v>
      </c>
      <c r="BI32" s="1">
        <v>38510.768637860885</v>
      </c>
    </row>
    <row r="33" spans="4:61" x14ac:dyDescent="0.35">
      <c r="D33" s="1" t="s">
        <v>212</v>
      </c>
      <c r="E33" s="30">
        <f>$AW$17</f>
        <v>44480.331641683268</v>
      </c>
      <c r="F33" s="30">
        <f>$AW$17</f>
        <v>44480.331641683268</v>
      </c>
      <c r="G33" s="30">
        <f>$AW$17</f>
        <v>44480.331641683268</v>
      </c>
      <c r="H33" s="30">
        <f>$AW$17</f>
        <v>44480.331641683268</v>
      </c>
      <c r="I33" s="30">
        <f>$AW$17</f>
        <v>44480.331641683268</v>
      </c>
      <c r="J33" s="30">
        <f>$AW$17</f>
        <v>44480.331641683268</v>
      </c>
      <c r="K33" s="30">
        <f>$AW$17</f>
        <v>44480.331641683268</v>
      </c>
      <c r="L33" s="30">
        <f>$AW$17</f>
        <v>44480.331641683268</v>
      </c>
      <c r="M33" s="30">
        <f>$AW$17</f>
        <v>44480.331641683268</v>
      </c>
      <c r="N33" s="30">
        <f>$AW$17</f>
        <v>44480.331641683268</v>
      </c>
      <c r="O33" s="30">
        <f>$AW$17</f>
        <v>44480.331641683268</v>
      </c>
      <c r="P33" s="30">
        <f>$AW$17</f>
        <v>44480.331641683268</v>
      </c>
      <c r="Q33" s="30">
        <f>$AW$17</f>
        <v>44480.331641683268</v>
      </c>
      <c r="R33" s="30">
        <f>$AW$17</f>
        <v>44480.331641683268</v>
      </c>
      <c r="S33" s="30">
        <f>$AW$17</f>
        <v>44480.331641683268</v>
      </c>
      <c r="T33" s="30">
        <f>$AW$17</f>
        <v>44480.331641683268</v>
      </c>
      <c r="U33" s="30">
        <f>$AW$17</f>
        <v>44480.331641683268</v>
      </c>
      <c r="V33" s="30">
        <f>$AW$17</f>
        <v>44480.331641683268</v>
      </c>
      <c r="W33" s="30">
        <f>$AW$17</f>
        <v>44480.331641683268</v>
      </c>
      <c r="X33" s="30">
        <f>$AW$17</f>
        <v>44480.331641683268</v>
      </c>
      <c r="Y33" s="30">
        <f>$AW$17</f>
        <v>44480.331641683268</v>
      </c>
      <c r="Z33" s="30">
        <f>$AW$17</f>
        <v>44480.331641683268</v>
      </c>
      <c r="AA33" s="30">
        <f>$AW$17</f>
        <v>44480.331641683268</v>
      </c>
      <c r="AB33" s="30">
        <f>$AW$17</f>
        <v>44480.331641683268</v>
      </c>
      <c r="AC33" s="30">
        <f>$AW$17</f>
        <v>44480.331641683268</v>
      </c>
      <c r="BI33" s="1">
        <v>38819.952132343045</v>
      </c>
    </row>
    <row r="34" spans="4:61" x14ac:dyDescent="0.35">
      <c r="D34" s="1" t="s">
        <v>213</v>
      </c>
      <c r="E34" s="30">
        <f>E33-E32</f>
        <v>18287.536598834206</v>
      </c>
      <c r="F34" s="30">
        <f t="shared" ref="F34:AC34" si="12">F33-F32</f>
        <v>18287.536598834206</v>
      </c>
      <c r="G34" s="30">
        <f t="shared" si="12"/>
        <v>18287.536598834206</v>
      </c>
      <c r="H34" s="30">
        <f t="shared" si="12"/>
        <v>18287.536598834206</v>
      </c>
      <c r="I34" s="30">
        <f t="shared" si="12"/>
        <v>18287.536598834206</v>
      </c>
      <c r="J34" s="30">
        <f t="shared" si="12"/>
        <v>18287.536598834206</v>
      </c>
      <c r="K34" s="30">
        <f t="shared" si="12"/>
        <v>18287.536598834206</v>
      </c>
      <c r="L34" s="30">
        <f t="shared" si="12"/>
        <v>18287.536598834206</v>
      </c>
      <c r="M34" s="30">
        <f t="shared" si="12"/>
        <v>18287.536598834206</v>
      </c>
      <c r="N34" s="30">
        <f t="shared" si="12"/>
        <v>18287.536598834206</v>
      </c>
      <c r="O34" s="30">
        <f t="shared" si="12"/>
        <v>18287.536598834206</v>
      </c>
      <c r="P34" s="30">
        <f t="shared" si="12"/>
        <v>18287.536598834206</v>
      </c>
      <c r="Q34" s="30">
        <f t="shared" si="12"/>
        <v>18287.536598834206</v>
      </c>
      <c r="R34" s="30">
        <f t="shared" si="12"/>
        <v>18287.536598834206</v>
      </c>
      <c r="S34" s="30">
        <f t="shared" si="12"/>
        <v>18287.536598834206</v>
      </c>
      <c r="T34" s="30">
        <f t="shared" si="12"/>
        <v>18287.536598834206</v>
      </c>
      <c r="U34" s="30">
        <f t="shared" si="12"/>
        <v>18287.536598834206</v>
      </c>
      <c r="V34" s="30">
        <f t="shared" si="12"/>
        <v>18287.536598834206</v>
      </c>
      <c r="W34" s="30">
        <f t="shared" si="12"/>
        <v>18287.536598834206</v>
      </c>
      <c r="X34" s="30">
        <f t="shared" si="12"/>
        <v>18287.536598834206</v>
      </c>
      <c r="Y34" s="30">
        <f t="shared" si="12"/>
        <v>18287.536598834206</v>
      </c>
      <c r="Z34" s="30">
        <f t="shared" si="12"/>
        <v>18287.536598834206</v>
      </c>
      <c r="AA34" s="30">
        <f t="shared" si="12"/>
        <v>18287.536598834206</v>
      </c>
      <c r="AB34" s="30">
        <f t="shared" si="12"/>
        <v>18287.536598834206</v>
      </c>
      <c r="AC34" s="30">
        <f t="shared" si="12"/>
        <v>18287.536598834206</v>
      </c>
      <c r="BI34" s="1">
        <v>39131.981324217406</v>
      </c>
    </row>
    <row r="35" spans="4:61" x14ac:dyDescent="0.35">
      <c r="E35" s="30">
        <f>E34*(1+$B$10)</f>
        <v>23225.171480519442</v>
      </c>
      <c r="F35" s="30">
        <f t="shared" ref="F35:AC35" si="13">F34*(1+$B$10)</f>
        <v>23225.171480519442</v>
      </c>
      <c r="G35" s="30">
        <f t="shared" si="13"/>
        <v>23225.171480519442</v>
      </c>
      <c r="H35" s="30">
        <f t="shared" si="13"/>
        <v>23225.171480519442</v>
      </c>
      <c r="I35" s="30">
        <f t="shared" si="13"/>
        <v>23225.171480519442</v>
      </c>
      <c r="J35" s="30">
        <f t="shared" si="13"/>
        <v>23225.171480519442</v>
      </c>
      <c r="K35" s="30">
        <f t="shared" si="13"/>
        <v>23225.171480519442</v>
      </c>
      <c r="L35" s="30">
        <f t="shared" si="13"/>
        <v>23225.171480519442</v>
      </c>
      <c r="M35" s="30">
        <f t="shared" si="13"/>
        <v>23225.171480519442</v>
      </c>
      <c r="N35" s="30">
        <f t="shared" si="13"/>
        <v>23225.171480519442</v>
      </c>
      <c r="O35" s="30">
        <f t="shared" si="13"/>
        <v>23225.171480519442</v>
      </c>
      <c r="P35" s="30">
        <f t="shared" si="13"/>
        <v>23225.171480519442</v>
      </c>
      <c r="Q35" s="30">
        <f t="shared" si="13"/>
        <v>23225.171480519442</v>
      </c>
      <c r="R35" s="30">
        <f t="shared" si="13"/>
        <v>23225.171480519442</v>
      </c>
      <c r="S35" s="30">
        <f t="shared" si="13"/>
        <v>23225.171480519442</v>
      </c>
      <c r="T35" s="30">
        <f t="shared" si="13"/>
        <v>23225.171480519442</v>
      </c>
      <c r="U35" s="30">
        <f t="shared" si="13"/>
        <v>23225.171480519442</v>
      </c>
      <c r="V35" s="30">
        <f t="shared" si="13"/>
        <v>23225.171480519442</v>
      </c>
      <c r="W35" s="30">
        <f t="shared" si="13"/>
        <v>23225.171480519442</v>
      </c>
      <c r="X35" s="30">
        <f t="shared" si="13"/>
        <v>23225.171480519442</v>
      </c>
      <c r="Y35" s="30">
        <f t="shared" si="13"/>
        <v>23225.171480519442</v>
      </c>
      <c r="Z35" s="30">
        <f t="shared" si="13"/>
        <v>23225.171480519442</v>
      </c>
      <c r="AA35" s="30">
        <f t="shared" si="13"/>
        <v>23225.171480519442</v>
      </c>
      <c r="AB35" s="30">
        <f t="shared" si="13"/>
        <v>23225.171480519442</v>
      </c>
      <c r="AC35" s="30">
        <f t="shared" si="13"/>
        <v>23225.171480519442</v>
      </c>
      <c r="BI35" s="1">
        <v>39446.889496684416</v>
      </c>
    </row>
    <row r="36" spans="4:61" x14ac:dyDescent="0.35">
      <c r="BI36" s="1">
        <v>39764.710171144638</v>
      </c>
    </row>
    <row r="37" spans="4:61" x14ac:dyDescent="0.35">
      <c r="BI37" s="1">
        <v>41337.824221847281</v>
      </c>
    </row>
    <row r="38" spans="4:61" x14ac:dyDescent="0.35">
      <c r="D38" s="1" t="s">
        <v>214</v>
      </c>
      <c r="E38" s="31">
        <f>SUM(E35:AC35)</f>
        <v>580629.28701298626</v>
      </c>
      <c r="BI38" s="1">
        <v>41674.094909593761</v>
      </c>
    </row>
    <row r="39" spans="4:61" x14ac:dyDescent="0.35">
      <c r="E39" s="30"/>
      <c r="BI39" s="1">
        <v>42013.505369852835</v>
      </c>
    </row>
    <row r="40" spans="4:61" x14ac:dyDescent="0.35">
      <c r="E40" s="76">
        <f>1500000</f>
        <v>1500000</v>
      </c>
      <c r="F40" s="76">
        <f>E40/25</f>
        <v>60000</v>
      </c>
      <c r="BI40" s="1">
        <v>42356.091371611714</v>
      </c>
    </row>
    <row r="41" spans="4:61" x14ac:dyDescent="0.35">
      <c r="BI41" s="1">
        <v>42701.888955836395</v>
      </c>
    </row>
    <row r="42" spans="4:61" x14ac:dyDescent="0.35">
      <c r="BI42" s="1">
        <v>43050.934439872173</v>
      </c>
    </row>
    <row r="43" spans="4:61" x14ac:dyDescent="0.35">
      <c r="BI43" s="1">
        <v>43403.264421855034</v>
      </c>
    </row>
    <row r="44" spans="4:61" x14ac:dyDescent="0.35">
      <c r="BI44" s="1">
        <v>43758.915785134894</v>
      </c>
    </row>
    <row r="45" spans="4:61" x14ac:dyDescent="0.35">
      <c r="BI45" s="1">
        <v>44117.925702711451</v>
      </c>
    </row>
    <row r="46" spans="4:61" x14ac:dyDescent="0.35">
      <c r="BI46" s="1">
        <v>44480.331641683268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8" tint="0.79998168889431442"/>
  </sheetPr>
  <dimension ref="B2:T101"/>
  <sheetViews>
    <sheetView workbookViewId="0"/>
  </sheetViews>
  <sheetFormatPr defaultColWidth="8.7265625" defaultRowHeight="14.5" x14ac:dyDescent="0.35"/>
  <cols>
    <col min="1" max="2" width="8.7265625" style="1"/>
    <col min="3" max="3" width="11.26953125" style="1" customWidth="1"/>
    <col min="4" max="4" width="8.453125" style="1" customWidth="1"/>
    <col min="5" max="5" width="12.453125" style="1" customWidth="1"/>
    <col min="6" max="7" width="20.7265625" style="1" bestFit="1" customWidth="1"/>
    <col min="8" max="13" width="8.7265625" style="1"/>
    <col min="14" max="14" width="11.26953125" style="1" customWidth="1"/>
    <col min="15" max="15" width="16.7265625" style="1" customWidth="1"/>
    <col min="16" max="16" width="16.81640625" style="1" customWidth="1"/>
    <col min="17" max="18" width="8.7265625" style="1"/>
    <col min="19" max="19" width="11.26953125" style="1" customWidth="1"/>
    <col min="20" max="16384" width="8.7265625" style="1"/>
  </cols>
  <sheetData>
    <row r="2" spans="2:20" x14ac:dyDescent="0.35">
      <c r="B2" s="3" t="s">
        <v>50</v>
      </c>
      <c r="C2" s="3" t="s">
        <v>51</v>
      </c>
      <c r="D2" s="3" t="s">
        <v>54</v>
      </c>
      <c r="E2" s="3" t="s">
        <v>63</v>
      </c>
      <c r="F2" s="3" t="s">
        <v>61</v>
      </c>
      <c r="G2" s="3" t="s">
        <v>62</v>
      </c>
      <c r="M2" s="3" t="s">
        <v>1</v>
      </c>
      <c r="N2" s="3" t="s">
        <v>51</v>
      </c>
      <c r="O2" s="3" t="s">
        <v>52</v>
      </c>
      <c r="P2" s="3" t="s">
        <v>53</v>
      </c>
      <c r="Q2" s="3" t="s">
        <v>54</v>
      </c>
      <c r="S2" s="3" t="s">
        <v>51</v>
      </c>
      <c r="T2" s="3" t="s">
        <v>55</v>
      </c>
    </row>
    <row r="3" spans="2:20" x14ac:dyDescent="0.35">
      <c r="B3" s="3">
        <v>25</v>
      </c>
      <c r="C3" s="3" t="str">
        <f>IF(B3&lt;30, "25-29 år", IF(B3&lt;35, "30-34 år", IF(B3&lt;40, "35-39 år", IF(B3&lt;45, "40-44 år", IF(B3&lt;50, "45-49 år", IF(B3&lt;55, "50-54 år", IF(B3&lt;60, "55-59 år", IF(B3&lt;65, "60-64 år", "65+ år"))))))))</f>
        <v>25-29 år</v>
      </c>
      <c r="D3" s="12">
        <f t="shared" ref="D3:D34" si="0">_xlfn.XLOOKUP(C3,S:S,T:T)</f>
        <v>0.51651947969596046</v>
      </c>
      <c r="E3" s="3" t="str">
        <f ca="1">IF(OR(JobHopping[[#This Row],[Age]]=25,JobHopping[[#This Row],[Age]]&gt;69),"N",IF(AND(E1="N",E2="N", RAND()&lt;=D3), "Y", "N"))</f>
        <v>N</v>
      </c>
      <c r="F3" s="3" t="s">
        <v>0</v>
      </c>
      <c r="G3" s="3" t="str">
        <f>IF(JobHopping[[#This Row],[Age]]&lt;40,"",JobHopping[[#This Row],[SwitchP1Static]])</f>
        <v/>
      </c>
      <c r="M3" s="3">
        <v>2013</v>
      </c>
      <c r="N3" s="3" t="s">
        <v>13</v>
      </c>
      <c r="O3" s="3">
        <f>_xlfn.XLOOKUP(M3&amp;"-"&amp;N3,'Djøf Finance Workers'!D:D,'Djøf Finance Workers'!C:C,0,1)</f>
        <v>6202</v>
      </c>
      <c r="P3" s="3">
        <f>_xlfn.XLOOKUP(M3&amp;"-"&amp;N3,'Djøf Finance Hoppers'!D:D,'Djøf Finance Hoppers'!C:C,0,1)</f>
        <v>2524</v>
      </c>
      <c r="Q3" s="12">
        <f t="shared" ref="Q3:Q66" si="1">IF(O3&gt;0, P3/O3, 0)</f>
        <v>0.40696549500161239</v>
      </c>
      <c r="S3" s="3" t="s">
        <v>13</v>
      </c>
      <c r="T3" s="3">
        <f t="shared" ref="T3:T11" si="2">SUMIFS(Q:Q,N:N,S3)/(MAX($M$3:$M$101)-MIN($M$3:$M$101))</f>
        <v>0.51651947969596046</v>
      </c>
    </row>
    <row r="4" spans="2:20" x14ac:dyDescent="0.35">
      <c r="B4" s="3">
        <v>26</v>
      </c>
      <c r="C4" s="3" t="str">
        <f>IF(B4&lt;30, "25-29 år", IF(B4&lt;35, "30-34 år", IF(B4&lt;40, "35-39 år", IF(B4&lt;45, "40-44 år", IF(B4&lt;50, "45-49 år", IF(B4&lt;55, "50-54 år", IF(B4&lt;60, "55-59 år", IF(B4&lt;65, "60-64 år", "65+ år"))))))))</f>
        <v>25-29 år</v>
      </c>
      <c r="D4" s="12">
        <f t="shared" si="0"/>
        <v>0.51651947969596046</v>
      </c>
      <c r="E4" s="3" t="str">
        <f ca="1">IF(OR(JobHopping[[#This Row],[Age]]=25,JobHopping[[#This Row],[Age]]&gt;69),"N",IF(AND(E2="N",E3="N", RAND()&lt;=D4), "Y", "N"))</f>
        <v>N</v>
      </c>
      <c r="F4" s="3" t="s">
        <v>0</v>
      </c>
      <c r="G4" s="3" t="str">
        <f>IF(JobHopping[[#This Row],[Age]]&lt;40,"",JobHopping[[#This Row],[SwitchP1Static]])</f>
        <v/>
      </c>
      <c r="M4" s="3">
        <v>2013</v>
      </c>
      <c r="N4" s="3" t="s">
        <v>14</v>
      </c>
      <c r="O4" s="3">
        <f>_xlfn.XLOOKUP(M4&amp;"-"&amp;N4,'Djøf Finance Workers'!D:D,'Djøf Finance Workers'!C:C,0,1)</f>
        <v>8560</v>
      </c>
      <c r="P4" s="3">
        <f>_xlfn.XLOOKUP(M4&amp;"-"&amp;N4,'Djøf Finance Hoppers'!D:D,'Djøf Finance Hoppers'!C:C,0,1)</f>
        <v>2176</v>
      </c>
      <c r="Q4" s="12">
        <f t="shared" si="1"/>
        <v>0.25420560747663551</v>
      </c>
      <c r="S4" s="3" t="s">
        <v>14</v>
      </c>
      <c r="T4" s="3">
        <f t="shared" si="2"/>
        <v>0.33908020385851029</v>
      </c>
    </row>
    <row r="5" spans="2:20" x14ac:dyDescent="0.35">
      <c r="B5" s="3">
        <v>27</v>
      </c>
      <c r="C5" s="3" t="str">
        <f>IF(B5&lt;30, "25-29 år", IF(B5&lt;35, "30-34 år", IF(B5&lt;40, "35-39 år", IF(B5&lt;45, "40-44 år", IF(B5&lt;50, "45-49 år", IF(B5&lt;55, "50-54 år", IF(B5&lt;60, "55-59 år", IF(B5&lt;65, "60-64 år", "65+ år"))))))))</f>
        <v>25-29 år</v>
      </c>
      <c r="D5" s="12">
        <f t="shared" si="0"/>
        <v>0.51651947969596046</v>
      </c>
      <c r="E5" s="3" t="str">
        <f ca="1">IF(OR(JobHopping[[#This Row],[Age]]=25,JobHopping[[#This Row],[Age]]&gt;69),"N",IF(AND(E3="N",E4="N", RAND()&lt;=D5), "Y", "N"))</f>
        <v>Y</v>
      </c>
      <c r="F5" s="3" t="s">
        <v>60</v>
      </c>
      <c r="G5" s="3" t="str">
        <f>IF(JobHopping[[#This Row],[Age]]&lt;40,"",JobHopping[[#This Row],[SwitchP1Static]])</f>
        <v/>
      </c>
      <c r="M5" s="3">
        <v>2013</v>
      </c>
      <c r="N5" s="3" t="s">
        <v>15</v>
      </c>
      <c r="O5" s="3">
        <f>_xlfn.XLOOKUP(M5&amp;"-"&amp;N5,'Djøf Finance Workers'!D:D,'Djøf Finance Workers'!C:C,0,1)</f>
        <v>9790</v>
      </c>
      <c r="P5" s="3">
        <f>_xlfn.XLOOKUP(M5&amp;"-"&amp;N5,'Djøf Finance Hoppers'!D:D,'Djøf Finance Hoppers'!C:C,0,1)</f>
        <v>1896</v>
      </c>
      <c r="Q5" s="12">
        <f t="shared" si="1"/>
        <v>0.19366700715015323</v>
      </c>
      <c r="S5" s="3" t="s">
        <v>15</v>
      </c>
      <c r="T5" s="3">
        <f t="shared" si="2"/>
        <v>0.2624026948424838</v>
      </c>
    </row>
    <row r="6" spans="2:20" x14ac:dyDescent="0.35">
      <c r="B6" s="3">
        <v>28</v>
      </c>
      <c r="C6" s="3" t="str">
        <f t="shared" ref="C6:C48" si="3">IF(B6&lt;30, "25-29 år", IF(B6&lt;35, "30-34 år", IF(B6&lt;40, "35-39 år", IF(B6&lt;45, "40-44 år", IF(B6&lt;50, "45-49 år", IF(B6&lt;55, "50-54 år", IF(B6&lt;60, "55-59 år", IF(B6&lt;65, "60-64 år", "65+ år"))))))))</f>
        <v>25-29 år</v>
      </c>
      <c r="D6" s="12">
        <f t="shared" si="0"/>
        <v>0.51651947969596046</v>
      </c>
      <c r="E6" s="3" t="str">
        <f ca="1">IF(OR(JobHopping[[#This Row],[Age]]=25,JobHopping[[#This Row],[Age]]&gt;69),"N",IF(AND(E4="N",E5="N", RAND()&lt;=D6), "Y", "N"))</f>
        <v>N</v>
      </c>
      <c r="F6" s="3" t="s">
        <v>0</v>
      </c>
      <c r="G6" s="3" t="str">
        <f>IF(JobHopping[[#This Row],[Age]]&lt;40,"",JobHopping[[#This Row],[SwitchP1Static]])</f>
        <v/>
      </c>
      <c r="M6" s="3">
        <v>2013</v>
      </c>
      <c r="N6" s="3" t="s">
        <v>16</v>
      </c>
      <c r="O6" s="3">
        <f>_xlfn.XLOOKUP(M6&amp;"-"&amp;N6,'Djøf Finance Workers'!D:D,'Djøf Finance Workers'!C:C,0,1)</f>
        <v>9383</v>
      </c>
      <c r="P6" s="3">
        <f>_xlfn.XLOOKUP(M6&amp;"-"&amp;N6,'Djøf Finance Hoppers'!D:D,'Djøf Finance Hoppers'!C:C,0,1)</f>
        <v>1579</v>
      </c>
      <c r="Q6" s="12">
        <f t="shared" si="1"/>
        <v>0.16828306511776617</v>
      </c>
      <c r="S6" s="3" t="s">
        <v>16</v>
      </c>
      <c r="T6" s="3">
        <f t="shared" si="2"/>
        <v>0.2213187304833609</v>
      </c>
    </row>
    <row r="7" spans="2:20" x14ac:dyDescent="0.35">
      <c r="B7" s="3">
        <v>29</v>
      </c>
      <c r="C7" s="3" t="str">
        <f t="shared" si="3"/>
        <v>25-29 år</v>
      </c>
      <c r="D7" s="12">
        <f t="shared" si="0"/>
        <v>0.51651947969596046</v>
      </c>
      <c r="E7" s="3" t="str">
        <f ca="1">IF(OR(JobHopping[[#This Row],[Age]]=25,JobHopping[[#This Row],[Age]]&gt;69),"N",IF(AND(E5="N",E6="N", RAND()&lt;=D7), "Y", "N"))</f>
        <v>N</v>
      </c>
      <c r="F7" s="3" t="s">
        <v>0</v>
      </c>
      <c r="G7" s="3" t="str">
        <f>IF(JobHopping[[#This Row],[Age]]&lt;40,"",JobHopping[[#This Row],[SwitchP1Static]])</f>
        <v/>
      </c>
      <c r="M7" s="3">
        <v>2013</v>
      </c>
      <c r="N7" s="3" t="s">
        <v>17</v>
      </c>
      <c r="O7" s="3">
        <f>_xlfn.XLOOKUP(M7&amp;"-"&amp;N7,'Djøf Finance Workers'!D:D,'Djøf Finance Workers'!C:C,0,1)</f>
        <v>12762</v>
      </c>
      <c r="P7" s="3">
        <f>_xlfn.XLOOKUP(M7&amp;"-"&amp;N7,'Djøf Finance Hoppers'!D:D,'Djøf Finance Hoppers'!C:C,0,1)</f>
        <v>1915</v>
      </c>
      <c r="Q7" s="12">
        <f t="shared" si="1"/>
        <v>0.15005485033693777</v>
      </c>
      <c r="S7" s="3" t="s">
        <v>17</v>
      </c>
      <c r="T7" s="3">
        <f t="shared" si="2"/>
        <v>0.19929479981866399</v>
      </c>
    </row>
    <row r="8" spans="2:20" x14ac:dyDescent="0.35">
      <c r="B8" s="3">
        <v>30</v>
      </c>
      <c r="C8" s="3" t="str">
        <f t="shared" si="3"/>
        <v>30-34 år</v>
      </c>
      <c r="D8" s="12">
        <f t="shared" si="0"/>
        <v>0.33908020385851029</v>
      </c>
      <c r="E8" s="3" t="str">
        <f ca="1">IF(OR(JobHopping[[#This Row],[Age]]=25,JobHopping[[#This Row],[Age]]&gt;69),"N",IF(AND(E6="N",E7="N", RAND()&lt;=D8), "Y", "N"))</f>
        <v>Y</v>
      </c>
      <c r="F8" s="3" t="s">
        <v>0</v>
      </c>
      <c r="G8" s="3" t="str">
        <f>IF(JobHopping[[#This Row],[Age]]&lt;40,"",JobHopping[[#This Row],[SwitchP1Static]])</f>
        <v/>
      </c>
      <c r="M8" s="3">
        <v>2013</v>
      </c>
      <c r="N8" s="3" t="s">
        <v>18</v>
      </c>
      <c r="O8" s="3">
        <f>_xlfn.XLOOKUP(M8&amp;"-"&amp;N8,'Djøf Finance Workers'!D:D,'Djøf Finance Workers'!C:C,0,1)</f>
        <v>10587</v>
      </c>
      <c r="P8" s="3">
        <f>_xlfn.XLOOKUP(M8&amp;"-"&amp;N8,'Djøf Finance Hoppers'!D:D,'Djøf Finance Hoppers'!C:C,0,1)</f>
        <v>1462</v>
      </c>
      <c r="Q8" s="12">
        <f t="shared" si="1"/>
        <v>0.13809388873146311</v>
      </c>
      <c r="S8" s="3" t="s">
        <v>18</v>
      </c>
      <c r="T8" s="3">
        <f t="shared" si="2"/>
        <v>0.17668929185764676</v>
      </c>
    </row>
    <row r="9" spans="2:20" x14ac:dyDescent="0.35">
      <c r="B9" s="3">
        <v>31</v>
      </c>
      <c r="C9" s="3" t="str">
        <f t="shared" si="3"/>
        <v>30-34 år</v>
      </c>
      <c r="D9" s="12">
        <f t="shared" si="0"/>
        <v>0.33908020385851029</v>
      </c>
      <c r="E9" s="3" t="str">
        <f ca="1">IF(OR(JobHopping[[#This Row],[Age]]=25,JobHopping[[#This Row],[Age]]&gt;69),"N",IF(AND(E7="N",E8="N", RAND()&lt;=D9), "Y", "N"))</f>
        <v>N</v>
      </c>
      <c r="F9" s="3" t="s">
        <v>60</v>
      </c>
      <c r="G9" s="3" t="str">
        <f>IF(JobHopping[[#This Row],[Age]]&lt;40,"",JobHopping[[#This Row],[SwitchP1Static]])</f>
        <v/>
      </c>
      <c r="M9" s="3">
        <v>2013</v>
      </c>
      <c r="N9" s="3" t="s">
        <v>19</v>
      </c>
      <c r="O9" s="3">
        <f>_xlfn.XLOOKUP(M9&amp;"-"&amp;N9,'Djøf Finance Workers'!D:D,'Djøf Finance Workers'!C:C,0,1)</f>
        <v>8811</v>
      </c>
      <c r="P9" s="3">
        <f>_xlfn.XLOOKUP(M9&amp;"-"&amp;N9,'Djøf Finance Hoppers'!D:D,'Djøf Finance Hoppers'!C:C,0,1)</f>
        <v>1227</v>
      </c>
      <c r="Q9" s="12">
        <f t="shared" si="1"/>
        <v>0.13925774599931903</v>
      </c>
      <c r="S9" s="3" t="s">
        <v>19</v>
      </c>
      <c r="T9" s="3">
        <f t="shared" si="2"/>
        <v>0.15515674597479437</v>
      </c>
    </row>
    <row r="10" spans="2:20" x14ac:dyDescent="0.35">
      <c r="B10" s="3">
        <v>32</v>
      </c>
      <c r="C10" s="3" t="str">
        <f t="shared" si="3"/>
        <v>30-34 år</v>
      </c>
      <c r="D10" s="12">
        <f t="shared" si="0"/>
        <v>0.33908020385851029</v>
      </c>
      <c r="E10" s="3" t="str">
        <f ca="1">IF(OR(JobHopping[[#This Row],[Age]]=25,JobHopping[[#This Row],[Age]]&gt;69),"N",IF(AND(E8="N",E9="N", RAND()&lt;=D10), "Y", "N"))</f>
        <v>N</v>
      </c>
      <c r="F10" s="3" t="s">
        <v>0</v>
      </c>
      <c r="G10" s="3" t="str">
        <f>IF(JobHopping[[#This Row],[Age]]&lt;40,"",JobHopping[[#This Row],[SwitchP1Static]])</f>
        <v/>
      </c>
      <c r="M10" s="3">
        <v>2013</v>
      </c>
      <c r="N10" s="3" t="s">
        <v>20</v>
      </c>
      <c r="O10" s="3">
        <f>_xlfn.XLOOKUP(M10&amp;"-"&amp;N10,'Djøf Finance Workers'!D:D,'Djøf Finance Workers'!C:C,0,1)</f>
        <v>5072</v>
      </c>
      <c r="P10" s="3">
        <f>_xlfn.XLOOKUP(M10&amp;"-"&amp;N10,'Djøf Finance Hoppers'!D:D,'Djøf Finance Hoppers'!C:C,0,1)</f>
        <v>667</v>
      </c>
      <c r="Q10" s="12">
        <f t="shared" si="1"/>
        <v>0.13150630914826497</v>
      </c>
      <c r="S10" s="3" t="s">
        <v>20</v>
      </c>
      <c r="T10" s="3">
        <f t="shared" si="2"/>
        <v>0.13997311637990331</v>
      </c>
    </row>
    <row r="11" spans="2:20" x14ac:dyDescent="0.35">
      <c r="B11" s="3">
        <v>33</v>
      </c>
      <c r="C11" s="3" t="str">
        <f t="shared" si="3"/>
        <v>30-34 år</v>
      </c>
      <c r="D11" s="12">
        <f t="shared" si="0"/>
        <v>0.33908020385851029</v>
      </c>
      <c r="E11" s="3" t="str">
        <f ca="1">IF(OR(JobHopping[[#This Row],[Age]]=25,JobHopping[[#This Row],[Age]]&gt;69),"N",IF(AND(E9="N",E10="N", RAND()&lt;=D11), "Y", "N"))</f>
        <v>N</v>
      </c>
      <c r="F11" s="3" t="s">
        <v>0</v>
      </c>
      <c r="G11" s="3" t="str">
        <f>IF(JobHopping[[#This Row],[Age]]&lt;40,"",JobHopping[[#This Row],[SwitchP1Static]])</f>
        <v/>
      </c>
      <c r="M11" s="3">
        <v>2013</v>
      </c>
      <c r="N11" s="3" t="s">
        <v>21</v>
      </c>
      <c r="O11" s="3">
        <f>_xlfn.XLOOKUP(M11&amp;"-"&amp;N11,'Djøf Finance Workers'!D:D,'Djøf Finance Workers'!C:C,0,1)</f>
        <v>1539</v>
      </c>
      <c r="P11" s="3">
        <f>_xlfn.XLOOKUP(M11&amp;"-"&amp;N11,'Djøf Finance Hoppers'!D:D,'Djøf Finance Hoppers'!C:C,0,1)</f>
        <v>224</v>
      </c>
      <c r="Q11" s="12">
        <f t="shared" si="1"/>
        <v>0.14554905782975958</v>
      </c>
      <c r="S11" s="3" t="s">
        <v>21</v>
      </c>
      <c r="T11" s="3">
        <f t="shared" si="2"/>
        <v>0.11691873000664299</v>
      </c>
    </row>
    <row r="12" spans="2:20" x14ac:dyDescent="0.35">
      <c r="B12" s="3">
        <v>34</v>
      </c>
      <c r="C12" s="3" t="str">
        <f t="shared" si="3"/>
        <v>30-34 år</v>
      </c>
      <c r="D12" s="12">
        <f t="shared" si="0"/>
        <v>0.33908020385851029</v>
      </c>
      <c r="E12" s="3" t="str">
        <f ca="1">IF(OR(JobHopping[[#This Row],[Age]]=25,JobHopping[[#This Row],[Age]]&gt;69),"N",IF(AND(E10="N",E11="N", RAND()&lt;=D12), "Y", "N"))</f>
        <v>Y</v>
      </c>
      <c r="F12" s="3" t="s">
        <v>0</v>
      </c>
      <c r="G12" s="3" t="str">
        <f>IF(JobHopping[[#This Row],[Age]]&lt;40,"",JobHopping[[#This Row],[SwitchP1Static]])</f>
        <v/>
      </c>
      <c r="M12" s="3">
        <v>2014</v>
      </c>
      <c r="N12" s="3" t="s">
        <v>13</v>
      </c>
      <c r="O12" s="3">
        <f>_xlfn.XLOOKUP(M12&amp;"-"&amp;N12,'Djøf Finance Workers'!D:D,'Djøf Finance Workers'!C:C,0,1)</f>
        <v>6041</v>
      </c>
      <c r="P12" s="3">
        <f>_xlfn.XLOOKUP(M12&amp;"-"&amp;N12,'Djøf Finance Hoppers'!D:D,'Djøf Finance Hoppers'!C:C,0,1)</f>
        <v>2521</v>
      </c>
      <c r="Q12" s="12">
        <f t="shared" si="1"/>
        <v>0.41731501407051813</v>
      </c>
    </row>
    <row r="13" spans="2:20" x14ac:dyDescent="0.35">
      <c r="B13" s="3">
        <v>35</v>
      </c>
      <c r="C13" s="3" t="str">
        <f t="shared" si="3"/>
        <v>35-39 år</v>
      </c>
      <c r="D13" s="12">
        <f t="shared" si="0"/>
        <v>0.2624026948424838</v>
      </c>
      <c r="E13" s="3" t="str">
        <f ca="1">IF(OR(JobHopping[[#This Row],[Age]]=25,JobHopping[[#This Row],[Age]]&gt;69),"N",IF(AND(E11="N",E12="N", RAND()&lt;=D13), "Y", "N"))</f>
        <v>N</v>
      </c>
      <c r="F13" s="3" t="s">
        <v>60</v>
      </c>
      <c r="G13" s="3" t="str">
        <f>IF(JobHopping[[#This Row],[Age]]&lt;40,"",JobHopping[[#This Row],[SwitchP1Static]])</f>
        <v/>
      </c>
      <c r="M13" s="3">
        <v>2014</v>
      </c>
      <c r="N13" s="3" t="s">
        <v>14</v>
      </c>
      <c r="O13" s="3">
        <f>_xlfn.XLOOKUP(M13&amp;"-"&amp;N13,'Djøf Finance Workers'!D:D,'Djøf Finance Workers'!C:C,0,1)</f>
        <v>8203</v>
      </c>
      <c r="P13" s="3">
        <f>_xlfn.XLOOKUP(M13&amp;"-"&amp;N13,'Djøf Finance Hoppers'!D:D,'Djøf Finance Hoppers'!C:C,0,1)</f>
        <v>2178</v>
      </c>
      <c r="Q13" s="12">
        <f t="shared" si="1"/>
        <v>0.26551261733512127</v>
      </c>
    </row>
    <row r="14" spans="2:20" x14ac:dyDescent="0.35">
      <c r="B14" s="3">
        <v>36</v>
      </c>
      <c r="C14" s="3" t="str">
        <f t="shared" si="3"/>
        <v>35-39 år</v>
      </c>
      <c r="D14" s="12">
        <f t="shared" si="0"/>
        <v>0.2624026948424838</v>
      </c>
      <c r="E14" s="3" t="str">
        <f ca="1">IF(OR(JobHopping[[#This Row],[Age]]=25,JobHopping[[#This Row],[Age]]&gt;69),"N",IF(AND(E12="N",E13="N", RAND()&lt;=D14), "Y", "N"))</f>
        <v>N</v>
      </c>
      <c r="F14" s="3" t="s">
        <v>0</v>
      </c>
      <c r="G14" s="3" t="str">
        <f>IF(JobHopping[[#This Row],[Age]]&lt;40,"",JobHopping[[#This Row],[SwitchP1Static]])</f>
        <v/>
      </c>
      <c r="M14" s="3">
        <v>2014</v>
      </c>
      <c r="N14" s="3" t="s">
        <v>15</v>
      </c>
      <c r="O14" s="3">
        <f>_xlfn.XLOOKUP(M14&amp;"-"&amp;N14,'Djøf Finance Workers'!D:D,'Djøf Finance Workers'!C:C,0,1)</f>
        <v>9972</v>
      </c>
      <c r="P14" s="3">
        <f>_xlfn.XLOOKUP(M14&amp;"-"&amp;N14,'Djøf Finance Hoppers'!D:D,'Djøf Finance Hoppers'!C:C,0,1)</f>
        <v>2066</v>
      </c>
      <c r="Q14" s="12">
        <f t="shared" si="1"/>
        <v>0.20718010429201764</v>
      </c>
    </row>
    <row r="15" spans="2:20" x14ac:dyDescent="0.35">
      <c r="B15" s="3">
        <v>37</v>
      </c>
      <c r="C15" s="3" t="str">
        <f t="shared" si="3"/>
        <v>35-39 år</v>
      </c>
      <c r="D15" s="12">
        <f t="shared" si="0"/>
        <v>0.2624026948424838</v>
      </c>
      <c r="E15" s="3" t="str">
        <f ca="1">IF(OR(JobHopping[[#This Row],[Age]]=25,JobHopping[[#This Row],[Age]]&gt;69),"N",IF(AND(E13="N",E14="N", RAND()&lt;=D15), "Y", "N"))</f>
        <v>Y</v>
      </c>
      <c r="F15" s="3" t="s">
        <v>0</v>
      </c>
      <c r="G15" s="3" t="str">
        <f>IF(JobHopping[[#This Row],[Age]]&lt;40,"",JobHopping[[#This Row],[SwitchP1Static]])</f>
        <v/>
      </c>
      <c r="M15" s="3">
        <v>2014</v>
      </c>
      <c r="N15" s="3" t="s">
        <v>16</v>
      </c>
      <c r="O15" s="3">
        <f>_xlfn.XLOOKUP(M15&amp;"-"&amp;N15,'Djøf Finance Workers'!D:D,'Djøf Finance Workers'!C:C,0,1)</f>
        <v>9409</v>
      </c>
      <c r="P15" s="3">
        <f>_xlfn.XLOOKUP(M15&amp;"-"&amp;N15,'Djøf Finance Hoppers'!D:D,'Djøf Finance Hoppers'!C:C,0,1)</f>
        <v>1647</v>
      </c>
      <c r="Q15" s="12">
        <f t="shared" si="1"/>
        <v>0.17504516951854607</v>
      </c>
    </row>
    <row r="16" spans="2:20" x14ac:dyDescent="0.35">
      <c r="B16" s="3">
        <v>38</v>
      </c>
      <c r="C16" s="3" t="str">
        <f t="shared" si="3"/>
        <v>35-39 år</v>
      </c>
      <c r="D16" s="12">
        <f t="shared" si="0"/>
        <v>0.2624026948424838</v>
      </c>
      <c r="E16" s="3" t="str">
        <f ca="1">IF(OR(JobHopping[[#This Row],[Age]]=25,JobHopping[[#This Row],[Age]]&gt;69),"N",IF(AND(E14="N",E15="N", RAND()&lt;=D16), "Y", "N"))</f>
        <v>N</v>
      </c>
      <c r="F16" s="3" t="s">
        <v>0</v>
      </c>
      <c r="G16" s="3" t="str">
        <f>IF(JobHopping[[#This Row],[Age]]&lt;40,"",JobHopping[[#This Row],[SwitchP1Static]])</f>
        <v/>
      </c>
      <c r="M16" s="3">
        <v>2014</v>
      </c>
      <c r="N16" s="3" t="s">
        <v>17</v>
      </c>
      <c r="O16" s="3">
        <f>_xlfn.XLOOKUP(M16&amp;"-"&amp;N16,'Djøf Finance Workers'!D:D,'Djøf Finance Workers'!C:C,0,1)</f>
        <v>12377</v>
      </c>
      <c r="P16" s="3">
        <f>_xlfn.XLOOKUP(M16&amp;"-"&amp;N16,'Djøf Finance Hoppers'!D:D,'Djøf Finance Hoppers'!C:C,0,1)</f>
        <v>1953</v>
      </c>
      <c r="Q16" s="12">
        <f t="shared" si="1"/>
        <v>0.15779267997091379</v>
      </c>
    </row>
    <row r="17" spans="2:17" x14ac:dyDescent="0.35">
      <c r="B17" s="3">
        <v>39</v>
      </c>
      <c r="C17" s="3" t="str">
        <f t="shared" si="3"/>
        <v>35-39 år</v>
      </c>
      <c r="D17" s="12">
        <f t="shared" si="0"/>
        <v>0.2624026948424838</v>
      </c>
      <c r="E17" s="3" t="str">
        <f ca="1">IF(OR(JobHopping[[#This Row],[Age]]=25,JobHopping[[#This Row],[Age]]&gt;69),"N",IF(AND(E15="N",E16="N", RAND()&lt;=D17), "Y", "N"))</f>
        <v>N</v>
      </c>
      <c r="F17" s="3" t="s">
        <v>60</v>
      </c>
      <c r="G17" s="3" t="str">
        <f>IF(JobHopping[[#This Row],[Age]]&lt;40,"",JobHopping[[#This Row],[SwitchP1Static]])</f>
        <v/>
      </c>
      <c r="M17" s="3">
        <v>2014</v>
      </c>
      <c r="N17" s="3" t="s">
        <v>18</v>
      </c>
      <c r="O17" s="3">
        <f>_xlfn.XLOOKUP(M17&amp;"-"&amp;N17,'Djøf Finance Workers'!D:D,'Djøf Finance Workers'!C:C,0,1)</f>
        <v>10828</v>
      </c>
      <c r="P17" s="3">
        <f>_xlfn.XLOOKUP(M17&amp;"-"&amp;N17,'Djøf Finance Hoppers'!D:D,'Djøf Finance Hoppers'!C:C,0,1)</f>
        <v>1636</v>
      </c>
      <c r="Q17" s="12">
        <f t="shared" si="1"/>
        <v>0.15108976727004064</v>
      </c>
    </row>
    <row r="18" spans="2:17" x14ac:dyDescent="0.35">
      <c r="B18" s="3">
        <v>40</v>
      </c>
      <c r="C18" s="3" t="str">
        <f t="shared" si="3"/>
        <v>40-44 år</v>
      </c>
      <c r="D18" s="12">
        <f t="shared" si="0"/>
        <v>0.2213187304833609</v>
      </c>
      <c r="E18" s="3" t="str">
        <f ca="1">IF(OR(JobHopping[[#This Row],[Age]]=25,JobHopping[[#This Row],[Age]]&gt;69),"N",IF(AND(E16="N",E17="N", RAND()&lt;=D18), "Y", "N"))</f>
        <v>N</v>
      </c>
      <c r="F18" s="3" t="s">
        <v>0</v>
      </c>
      <c r="G18" s="3" t="str">
        <f>IF(JobHopping[[#This Row],[Age]]&lt;40,"",JobHopping[[#This Row],[SwitchP1Static]])</f>
        <v>N</v>
      </c>
      <c r="M18" s="3">
        <v>2014</v>
      </c>
      <c r="N18" s="3" t="s">
        <v>19</v>
      </c>
      <c r="O18" s="3">
        <f>_xlfn.XLOOKUP(M18&amp;"-"&amp;N18,'Djøf Finance Workers'!D:D,'Djøf Finance Workers'!C:C,0,1)</f>
        <v>8888</v>
      </c>
      <c r="P18" s="3">
        <f>_xlfn.XLOOKUP(M18&amp;"-"&amp;N18,'Djøf Finance Hoppers'!D:D,'Djøf Finance Hoppers'!C:C,0,1)</f>
        <v>1231</v>
      </c>
      <c r="Q18" s="12">
        <f t="shared" si="1"/>
        <v>0.1385013501350135</v>
      </c>
    </row>
    <row r="19" spans="2:17" x14ac:dyDescent="0.35">
      <c r="B19" s="3">
        <v>41</v>
      </c>
      <c r="C19" s="3" t="str">
        <f t="shared" si="3"/>
        <v>40-44 år</v>
      </c>
      <c r="D19" s="12">
        <f t="shared" si="0"/>
        <v>0.2213187304833609</v>
      </c>
      <c r="E19" s="3" t="str">
        <f ca="1">IF(OR(JobHopping[[#This Row],[Age]]=25,JobHopping[[#This Row],[Age]]&gt;69),"N",IF(AND(E17="N",E18="N", RAND()&lt;=D19), "Y", "N"))</f>
        <v>N</v>
      </c>
      <c r="F19" s="3" t="s">
        <v>0</v>
      </c>
      <c r="G19" s="3" t="str">
        <f>IF(JobHopping[[#This Row],[Age]]&lt;40,"",JobHopping[[#This Row],[SwitchP1Static]])</f>
        <v>N</v>
      </c>
      <c r="M19" s="3">
        <v>2014</v>
      </c>
      <c r="N19" s="3" t="s">
        <v>20</v>
      </c>
      <c r="O19" s="3">
        <f>_xlfn.XLOOKUP(M19&amp;"-"&amp;N19,'Djøf Finance Workers'!D:D,'Djøf Finance Workers'!C:C,0,1)</f>
        <v>5141</v>
      </c>
      <c r="P19" s="3">
        <f>_xlfn.XLOOKUP(M19&amp;"-"&amp;N19,'Djøf Finance Hoppers'!D:D,'Djøf Finance Hoppers'!C:C,0,1)</f>
        <v>706</v>
      </c>
      <c r="Q19" s="12">
        <f t="shared" si="1"/>
        <v>0.13732736821630034</v>
      </c>
    </row>
    <row r="20" spans="2:17" x14ac:dyDescent="0.35">
      <c r="B20" s="3">
        <v>42</v>
      </c>
      <c r="C20" s="3" t="str">
        <f t="shared" si="3"/>
        <v>40-44 år</v>
      </c>
      <c r="D20" s="12">
        <f t="shared" si="0"/>
        <v>0.2213187304833609</v>
      </c>
      <c r="E20" s="3" t="str">
        <f ca="1">IF(OR(JobHopping[[#This Row],[Age]]=25,JobHopping[[#This Row],[Age]]&gt;69),"N",IF(AND(E18="N",E19="N", RAND()&lt;=D20), "Y", "N"))</f>
        <v>N</v>
      </c>
      <c r="F20" s="3" t="s">
        <v>0</v>
      </c>
      <c r="G20" s="3" t="str">
        <f>IF(JobHopping[[#This Row],[Age]]&lt;40,"",JobHopping[[#This Row],[SwitchP1Static]])</f>
        <v>N</v>
      </c>
      <c r="M20" s="3">
        <v>2014</v>
      </c>
      <c r="N20" s="3" t="s">
        <v>21</v>
      </c>
      <c r="O20" s="3">
        <f>_xlfn.XLOOKUP(M20&amp;"-"&amp;N20,'Djøf Finance Workers'!D:D,'Djøf Finance Workers'!C:C,0,1)</f>
        <v>1600</v>
      </c>
      <c r="P20" s="3">
        <f>_xlfn.XLOOKUP(M20&amp;"-"&amp;N20,'Djøf Finance Hoppers'!D:D,'Djøf Finance Hoppers'!C:C,0,1)</f>
        <v>204</v>
      </c>
      <c r="Q20" s="12">
        <f t="shared" si="1"/>
        <v>0.1275</v>
      </c>
    </row>
    <row r="21" spans="2:17" x14ac:dyDescent="0.35">
      <c r="B21" s="3">
        <v>43</v>
      </c>
      <c r="C21" s="3" t="str">
        <f t="shared" si="3"/>
        <v>40-44 år</v>
      </c>
      <c r="D21" s="12">
        <f t="shared" si="0"/>
        <v>0.2213187304833609</v>
      </c>
      <c r="E21" s="3" t="str">
        <f ca="1">IF(OR(JobHopping[[#This Row],[Age]]=25,JobHopping[[#This Row],[Age]]&gt;69),"N",IF(AND(E19="N",E20="N", RAND()&lt;=D21), "Y", "N"))</f>
        <v>N</v>
      </c>
      <c r="F21" s="3" t="s">
        <v>60</v>
      </c>
      <c r="G21" s="3" t="str">
        <f>IF(JobHopping[[#This Row],[Age]]&lt;40,"",JobHopping[[#This Row],[SwitchP1Static]])</f>
        <v>Y</v>
      </c>
      <c r="M21" s="3">
        <v>2015</v>
      </c>
      <c r="N21" s="3" t="s">
        <v>13</v>
      </c>
      <c r="O21" s="3">
        <f>_xlfn.XLOOKUP(M21&amp;"-"&amp;N21,'Djøf Finance Workers'!D:D,'Djøf Finance Workers'!C:C,0,1)</f>
        <v>5834</v>
      </c>
      <c r="P21" s="3">
        <f>_xlfn.XLOOKUP(M21&amp;"-"&amp;N21,'Djøf Finance Hoppers'!D:D,'Djøf Finance Hoppers'!C:C,0,1)</f>
        <v>2715</v>
      </c>
      <c r="Q21" s="12">
        <f t="shared" si="1"/>
        <v>0.46537538567020914</v>
      </c>
    </row>
    <row r="22" spans="2:17" x14ac:dyDescent="0.35">
      <c r="B22" s="3">
        <v>44</v>
      </c>
      <c r="C22" s="3" t="str">
        <f t="shared" si="3"/>
        <v>40-44 år</v>
      </c>
      <c r="D22" s="12">
        <f t="shared" si="0"/>
        <v>0.2213187304833609</v>
      </c>
      <c r="E22" s="3" t="str">
        <f ca="1">IF(OR(JobHopping[[#This Row],[Age]]=25,JobHopping[[#This Row],[Age]]&gt;69),"N",IF(AND(E20="N",E21="N", RAND()&lt;=D22), "Y", "N"))</f>
        <v>Y</v>
      </c>
      <c r="F22" s="3" t="s">
        <v>0</v>
      </c>
      <c r="G22" s="3" t="str">
        <f>IF(JobHopping[[#This Row],[Age]]&lt;40,"",JobHopping[[#This Row],[SwitchP1Static]])</f>
        <v>N</v>
      </c>
      <c r="M22" s="3">
        <v>2015</v>
      </c>
      <c r="N22" s="3" t="s">
        <v>14</v>
      </c>
      <c r="O22" s="3">
        <f>_xlfn.XLOOKUP(M22&amp;"-"&amp;N22,'Djøf Finance Workers'!D:D,'Djøf Finance Workers'!C:C,0,1)</f>
        <v>7834</v>
      </c>
      <c r="P22" s="3">
        <f>_xlfn.XLOOKUP(M22&amp;"-"&amp;N22,'Djøf Finance Hoppers'!D:D,'Djøf Finance Hoppers'!C:C,0,1)</f>
        <v>2473</v>
      </c>
      <c r="Q22" s="12">
        <f t="shared" si="1"/>
        <v>0.31567526167985704</v>
      </c>
    </row>
    <row r="23" spans="2:17" x14ac:dyDescent="0.35">
      <c r="B23" s="3">
        <v>45</v>
      </c>
      <c r="C23" s="3" t="str">
        <f t="shared" si="3"/>
        <v>45-49 år</v>
      </c>
      <c r="D23" s="12">
        <f t="shared" si="0"/>
        <v>0.19929479981866399</v>
      </c>
      <c r="E23" s="3" t="str">
        <f ca="1">IF(OR(JobHopping[[#This Row],[Age]]=25,JobHopping[[#This Row],[Age]]&gt;69),"N",IF(AND(E21="N",E22="N", RAND()&lt;=D23), "Y", "N"))</f>
        <v>N</v>
      </c>
      <c r="F23" s="3" t="s">
        <v>0</v>
      </c>
      <c r="G23" s="3" t="str">
        <f>IF(JobHopping[[#This Row],[Age]]&lt;40,"",JobHopping[[#This Row],[SwitchP1Static]])</f>
        <v>N</v>
      </c>
      <c r="M23" s="3">
        <v>2015</v>
      </c>
      <c r="N23" s="3" t="s">
        <v>15</v>
      </c>
      <c r="O23" s="3">
        <f>_xlfn.XLOOKUP(M23&amp;"-"&amp;N23,'Djøf Finance Workers'!D:D,'Djøf Finance Workers'!C:C,0,1)</f>
        <v>9897</v>
      </c>
      <c r="P23" s="3">
        <f>_xlfn.XLOOKUP(M23&amp;"-"&amp;N23,'Djøf Finance Hoppers'!D:D,'Djøf Finance Hoppers'!C:C,0,1)</f>
        <v>2378</v>
      </c>
      <c r="Q23" s="12">
        <f t="shared" si="1"/>
        <v>0.24027483075679498</v>
      </c>
    </row>
    <row r="24" spans="2:17" x14ac:dyDescent="0.35">
      <c r="B24" s="3">
        <v>46</v>
      </c>
      <c r="C24" s="3" t="str">
        <f t="shared" si="3"/>
        <v>45-49 år</v>
      </c>
      <c r="D24" s="12">
        <f t="shared" si="0"/>
        <v>0.19929479981866399</v>
      </c>
      <c r="E24" s="3" t="str">
        <f ca="1">IF(OR(JobHopping[[#This Row],[Age]]=25,JobHopping[[#This Row],[Age]]&gt;69),"N",IF(AND(E22="N",E23="N", RAND()&lt;=D24), "Y", "N"))</f>
        <v>N</v>
      </c>
      <c r="F24" s="3" t="s">
        <v>0</v>
      </c>
      <c r="G24" s="3" t="str">
        <f>IF(JobHopping[[#This Row],[Age]]&lt;40,"",JobHopping[[#This Row],[SwitchP1Static]])</f>
        <v>N</v>
      </c>
      <c r="M24" s="3">
        <v>2015</v>
      </c>
      <c r="N24" s="3" t="s">
        <v>16</v>
      </c>
      <c r="O24" s="3">
        <f>_xlfn.XLOOKUP(M24&amp;"-"&amp;N24,'Djøf Finance Workers'!D:D,'Djøf Finance Workers'!C:C,0,1)</f>
        <v>9571</v>
      </c>
      <c r="P24" s="3">
        <f>_xlfn.XLOOKUP(M24&amp;"-"&amp;N24,'Djøf Finance Hoppers'!D:D,'Djøf Finance Hoppers'!C:C,0,1)</f>
        <v>1902</v>
      </c>
      <c r="Q24" s="12">
        <f t="shared" si="1"/>
        <v>0.19872531605892801</v>
      </c>
    </row>
    <row r="25" spans="2:17" x14ac:dyDescent="0.35">
      <c r="B25" s="3">
        <v>47</v>
      </c>
      <c r="C25" s="3" t="str">
        <f t="shared" si="3"/>
        <v>45-49 år</v>
      </c>
      <c r="D25" s="12">
        <f t="shared" si="0"/>
        <v>0.19929479981866399</v>
      </c>
      <c r="E25" s="3" t="str">
        <f ca="1">IF(OR(JobHopping[[#This Row],[Age]]=25,JobHopping[[#This Row],[Age]]&gt;69),"N",IF(AND(E23="N",E24="N", RAND()&lt;=D25), "Y", "N"))</f>
        <v>N</v>
      </c>
      <c r="F25" s="3" t="s">
        <v>60</v>
      </c>
      <c r="G25" s="3" t="str">
        <f>IF(JobHopping[[#This Row],[Age]]&lt;40,"",JobHopping[[#This Row],[SwitchP1Static]])</f>
        <v>Y</v>
      </c>
      <c r="M25" s="3">
        <v>2015</v>
      </c>
      <c r="N25" s="3" t="s">
        <v>17</v>
      </c>
      <c r="O25" s="3">
        <f>_xlfn.XLOOKUP(M25&amp;"-"&amp;N25,'Djøf Finance Workers'!D:D,'Djøf Finance Workers'!C:C,0,1)</f>
        <v>11603</v>
      </c>
      <c r="P25" s="3">
        <f>_xlfn.XLOOKUP(M25&amp;"-"&amp;N25,'Djøf Finance Hoppers'!D:D,'Djøf Finance Hoppers'!C:C,0,1)</f>
        <v>2085</v>
      </c>
      <c r="Q25" s="12">
        <f t="shared" si="1"/>
        <v>0.17969490648970093</v>
      </c>
    </row>
    <row r="26" spans="2:17" x14ac:dyDescent="0.35">
      <c r="B26" s="3">
        <v>48</v>
      </c>
      <c r="C26" s="3" t="str">
        <f t="shared" si="3"/>
        <v>45-49 år</v>
      </c>
      <c r="D26" s="12">
        <f t="shared" si="0"/>
        <v>0.19929479981866399</v>
      </c>
      <c r="E26" s="3" t="str">
        <f ca="1">IF(OR(JobHopping[[#This Row],[Age]]=25,JobHopping[[#This Row],[Age]]&gt;69),"N",IF(AND(E24="N",E25="N", RAND()&lt;=D26), "Y", "N"))</f>
        <v>N</v>
      </c>
      <c r="F26" s="3" t="s">
        <v>0</v>
      </c>
      <c r="G26" s="3" t="str">
        <f>IF(JobHopping[[#This Row],[Age]]&lt;40,"",JobHopping[[#This Row],[SwitchP1Static]])</f>
        <v>N</v>
      </c>
      <c r="M26" s="3">
        <v>2015</v>
      </c>
      <c r="N26" s="3" t="s">
        <v>18</v>
      </c>
      <c r="O26" s="3">
        <f>_xlfn.XLOOKUP(M26&amp;"-"&amp;N26,'Djøf Finance Workers'!D:D,'Djøf Finance Workers'!C:C,0,1)</f>
        <v>11160</v>
      </c>
      <c r="P26" s="3">
        <f>_xlfn.XLOOKUP(M26&amp;"-"&amp;N26,'Djøf Finance Hoppers'!D:D,'Djøf Finance Hoppers'!C:C,0,1)</f>
        <v>1717</v>
      </c>
      <c r="Q26" s="12">
        <f t="shared" si="1"/>
        <v>0.15385304659498208</v>
      </c>
    </row>
    <row r="27" spans="2:17" x14ac:dyDescent="0.35">
      <c r="B27" s="3">
        <v>49</v>
      </c>
      <c r="C27" s="3" t="str">
        <f t="shared" si="3"/>
        <v>45-49 år</v>
      </c>
      <c r="D27" s="12">
        <f t="shared" si="0"/>
        <v>0.19929479981866399</v>
      </c>
      <c r="E27" s="3" t="str">
        <f ca="1">IF(OR(JobHopping[[#This Row],[Age]]=25,JobHopping[[#This Row],[Age]]&gt;69),"N",IF(AND(E25="N",E26="N", RAND()&lt;=D27), "Y", "N"))</f>
        <v>Y</v>
      </c>
      <c r="F27" s="3" t="s">
        <v>0</v>
      </c>
      <c r="G27" s="3" t="str">
        <f>IF(JobHopping[[#This Row],[Age]]&lt;40,"",JobHopping[[#This Row],[SwitchP1Static]])</f>
        <v>N</v>
      </c>
      <c r="M27" s="3">
        <v>2015</v>
      </c>
      <c r="N27" s="3" t="s">
        <v>19</v>
      </c>
      <c r="O27" s="3">
        <f>_xlfn.XLOOKUP(M27&amp;"-"&amp;N27,'Djøf Finance Workers'!D:D,'Djøf Finance Workers'!C:C,0,1)</f>
        <v>8969</v>
      </c>
      <c r="P27" s="3">
        <f>_xlfn.XLOOKUP(M27&amp;"-"&amp;N27,'Djøf Finance Hoppers'!D:D,'Djøf Finance Hoppers'!C:C,0,1)</f>
        <v>1226</v>
      </c>
      <c r="Q27" s="12">
        <f t="shared" si="1"/>
        <v>0.13669305385215744</v>
      </c>
    </row>
    <row r="28" spans="2:17" x14ac:dyDescent="0.35">
      <c r="B28" s="3">
        <v>50</v>
      </c>
      <c r="C28" s="3" t="str">
        <f t="shared" si="3"/>
        <v>50-54 år</v>
      </c>
      <c r="D28" s="12">
        <f t="shared" si="0"/>
        <v>0.17668929185764676</v>
      </c>
      <c r="E28" s="3" t="str">
        <f ca="1">IF(OR(JobHopping[[#This Row],[Age]]=25,JobHopping[[#This Row],[Age]]&gt;69),"N",IF(AND(E26="N",E27="N", RAND()&lt;=D28), "Y", "N"))</f>
        <v>N</v>
      </c>
      <c r="F28" s="3" t="s">
        <v>0</v>
      </c>
      <c r="G28" s="3" t="str">
        <f>IF(JobHopping[[#This Row],[Age]]&lt;40,"",JobHopping[[#This Row],[SwitchP1Static]])</f>
        <v>N</v>
      </c>
      <c r="M28" s="3">
        <v>2015</v>
      </c>
      <c r="N28" s="3" t="s">
        <v>20</v>
      </c>
      <c r="O28" s="3">
        <f>_xlfn.XLOOKUP(M28&amp;"-"&amp;N28,'Djøf Finance Workers'!D:D,'Djøf Finance Workers'!C:C,0,1)</f>
        <v>5167</v>
      </c>
      <c r="P28" s="3">
        <f>_xlfn.XLOOKUP(M28&amp;"-"&amp;N28,'Djøf Finance Hoppers'!D:D,'Djøf Finance Hoppers'!C:C,0,1)</f>
        <v>583</v>
      </c>
      <c r="Q28" s="12">
        <f t="shared" si="1"/>
        <v>0.11283143023030773</v>
      </c>
    </row>
    <row r="29" spans="2:17" x14ac:dyDescent="0.35">
      <c r="B29" s="3">
        <v>51</v>
      </c>
      <c r="C29" s="3" t="str">
        <f t="shared" si="3"/>
        <v>50-54 år</v>
      </c>
      <c r="D29" s="12">
        <f t="shared" si="0"/>
        <v>0.17668929185764676</v>
      </c>
      <c r="E29" s="3" t="str">
        <f ca="1">IF(OR(JobHopping[[#This Row],[Age]]=25,JobHopping[[#This Row],[Age]]&gt;69),"N",IF(AND(E27="N",E28="N", RAND()&lt;=D29), "Y", "N"))</f>
        <v>N</v>
      </c>
      <c r="F29" s="3" t="s">
        <v>0</v>
      </c>
      <c r="G29" s="3" t="str">
        <f>IF(JobHopping[[#This Row],[Age]]&lt;40,"",JobHopping[[#This Row],[SwitchP1Static]])</f>
        <v>N</v>
      </c>
      <c r="M29" s="3">
        <v>2015</v>
      </c>
      <c r="N29" s="3" t="s">
        <v>21</v>
      </c>
      <c r="O29" s="3">
        <f>_xlfn.XLOOKUP(M29&amp;"-"&amp;N29,'Djøf Finance Workers'!D:D,'Djøf Finance Workers'!C:C,0,1)</f>
        <v>1642</v>
      </c>
      <c r="P29" s="3">
        <f>_xlfn.XLOOKUP(M29&amp;"-"&amp;N29,'Djøf Finance Hoppers'!D:D,'Djøf Finance Hoppers'!C:C,0,1)</f>
        <v>211</v>
      </c>
      <c r="Q29" s="12">
        <f t="shared" si="1"/>
        <v>0.12850182704019489</v>
      </c>
    </row>
    <row r="30" spans="2:17" x14ac:dyDescent="0.35">
      <c r="B30" s="3">
        <v>52</v>
      </c>
      <c r="C30" s="3" t="str">
        <f t="shared" si="3"/>
        <v>50-54 år</v>
      </c>
      <c r="D30" s="12">
        <f t="shared" si="0"/>
        <v>0.17668929185764676</v>
      </c>
      <c r="E30" s="3" t="str">
        <f ca="1">IF(OR(JobHopping[[#This Row],[Age]]=25,JobHopping[[#This Row],[Age]]&gt;69),"N",IF(AND(E28="N",E29="N", RAND()&lt;=D30), "Y", "N"))</f>
        <v>N</v>
      </c>
      <c r="F30" s="3" t="s">
        <v>0</v>
      </c>
      <c r="G30" s="3" t="str">
        <f>IF(JobHopping[[#This Row],[Age]]&lt;40,"",JobHopping[[#This Row],[SwitchP1Static]])</f>
        <v>N</v>
      </c>
      <c r="M30" s="3">
        <v>2016</v>
      </c>
      <c r="N30" s="3" t="s">
        <v>13</v>
      </c>
      <c r="O30" s="3">
        <f>_xlfn.XLOOKUP(M30&amp;"-"&amp;N30,'Djøf Finance Workers'!D:D,'Djøf Finance Workers'!C:C,0,1)</f>
        <v>5701</v>
      </c>
      <c r="P30" s="3">
        <f>_xlfn.XLOOKUP(M30&amp;"-"&amp;N30,'Djøf Finance Hoppers'!D:D,'Djøf Finance Hoppers'!C:C,0,1)</f>
        <v>3005</v>
      </c>
      <c r="Q30" s="12">
        <f t="shared" si="1"/>
        <v>0.52710050868268721</v>
      </c>
    </row>
    <row r="31" spans="2:17" x14ac:dyDescent="0.35">
      <c r="B31" s="3">
        <v>53</v>
      </c>
      <c r="C31" s="3" t="str">
        <f t="shared" si="3"/>
        <v>50-54 år</v>
      </c>
      <c r="D31" s="12">
        <f t="shared" si="0"/>
        <v>0.17668929185764676</v>
      </c>
      <c r="E31" s="3" t="str">
        <f ca="1">IF(OR(JobHopping[[#This Row],[Age]]=25,JobHopping[[#This Row],[Age]]&gt;69),"N",IF(AND(E29="N",E30="N", RAND()&lt;=D31), "Y", "N"))</f>
        <v>N</v>
      </c>
      <c r="F31" s="3" t="s">
        <v>0</v>
      </c>
      <c r="G31" s="3" t="str">
        <f>IF(JobHopping[[#This Row],[Age]]&lt;40,"",JobHopping[[#This Row],[SwitchP1Static]])</f>
        <v>N</v>
      </c>
      <c r="M31" s="3">
        <v>2016</v>
      </c>
      <c r="N31" s="3" t="s">
        <v>14</v>
      </c>
      <c r="O31" s="3">
        <f>_xlfn.XLOOKUP(M31&amp;"-"&amp;N31,'Djøf Finance Workers'!D:D,'Djøf Finance Workers'!C:C,0,1)</f>
        <v>7831</v>
      </c>
      <c r="P31" s="3">
        <f>_xlfn.XLOOKUP(M31&amp;"-"&amp;N31,'Djøf Finance Hoppers'!D:D,'Djøf Finance Hoppers'!C:C,0,1)</f>
        <v>2584</v>
      </c>
      <c r="Q31" s="12">
        <f t="shared" si="1"/>
        <v>0.32997062954922746</v>
      </c>
    </row>
    <row r="32" spans="2:17" x14ac:dyDescent="0.35">
      <c r="B32" s="3">
        <v>54</v>
      </c>
      <c r="C32" s="3" t="str">
        <f t="shared" si="3"/>
        <v>50-54 år</v>
      </c>
      <c r="D32" s="12">
        <f t="shared" si="0"/>
        <v>0.17668929185764676</v>
      </c>
      <c r="E32" s="3" t="str">
        <f ca="1">IF(OR(JobHopping[[#This Row],[Age]]=25,JobHopping[[#This Row],[Age]]&gt;69),"N",IF(AND(E30="N",E31="N", RAND()&lt;=D32), "Y", "N"))</f>
        <v>N</v>
      </c>
      <c r="F32" s="3" t="s">
        <v>0</v>
      </c>
      <c r="G32" s="3" t="str">
        <f>IF(JobHopping[[#This Row],[Age]]&lt;40,"",JobHopping[[#This Row],[SwitchP1Static]])</f>
        <v>N</v>
      </c>
      <c r="M32" s="3">
        <v>2016</v>
      </c>
      <c r="N32" s="3" t="s">
        <v>15</v>
      </c>
      <c r="O32" s="3">
        <f>_xlfn.XLOOKUP(M32&amp;"-"&amp;N32,'Djøf Finance Workers'!D:D,'Djøf Finance Workers'!C:C,0,1)</f>
        <v>9564</v>
      </c>
      <c r="P32" s="3">
        <f>_xlfn.XLOOKUP(M32&amp;"-"&amp;N32,'Djøf Finance Hoppers'!D:D,'Djøf Finance Hoppers'!C:C,0,1)</f>
        <v>2311</v>
      </c>
      <c r="Q32" s="12">
        <f t="shared" si="1"/>
        <v>0.24163529903805939</v>
      </c>
    </row>
    <row r="33" spans="2:17" x14ac:dyDescent="0.35">
      <c r="B33" s="3">
        <v>55</v>
      </c>
      <c r="C33" s="3" t="str">
        <f t="shared" si="3"/>
        <v>55-59 år</v>
      </c>
      <c r="D33" s="12">
        <f t="shared" si="0"/>
        <v>0.15515674597479437</v>
      </c>
      <c r="E33" s="3" t="str">
        <f ca="1">IF(OR(JobHopping[[#This Row],[Age]]=25,JobHopping[[#This Row],[Age]]&gt;69),"N",IF(AND(E31="N",E32="N", RAND()&lt;=D33), "Y", "N"))</f>
        <v>N</v>
      </c>
      <c r="F33" s="3" t="s">
        <v>0</v>
      </c>
      <c r="G33" s="3" t="str">
        <f>IF(JobHopping[[#This Row],[Age]]&lt;40,"",JobHopping[[#This Row],[SwitchP1Static]])</f>
        <v>N</v>
      </c>
      <c r="M33" s="3">
        <v>2016</v>
      </c>
      <c r="N33" s="3" t="s">
        <v>16</v>
      </c>
      <c r="O33" s="3">
        <f>_xlfn.XLOOKUP(M33&amp;"-"&amp;N33,'Djøf Finance Workers'!D:D,'Djøf Finance Workers'!C:C,0,1)</f>
        <v>9711</v>
      </c>
      <c r="P33" s="3">
        <f>_xlfn.XLOOKUP(M33&amp;"-"&amp;N33,'Djøf Finance Hoppers'!D:D,'Djøf Finance Hoppers'!C:C,0,1)</f>
        <v>2111</v>
      </c>
      <c r="Q33" s="12">
        <f t="shared" si="1"/>
        <v>0.21738234991247041</v>
      </c>
    </row>
    <row r="34" spans="2:17" x14ac:dyDescent="0.35">
      <c r="B34" s="3">
        <v>56</v>
      </c>
      <c r="C34" s="3" t="str">
        <f t="shared" si="3"/>
        <v>55-59 år</v>
      </c>
      <c r="D34" s="12">
        <f t="shared" si="0"/>
        <v>0.15515674597479437</v>
      </c>
      <c r="E34" s="3" t="str">
        <f ca="1">IF(OR(JobHopping[[#This Row],[Age]]=25,JobHopping[[#This Row],[Age]]&gt;69),"N",IF(AND(E32="N",E33="N", RAND()&lt;=D34), "Y", "N"))</f>
        <v>N</v>
      </c>
      <c r="F34" s="3" t="s">
        <v>0</v>
      </c>
      <c r="G34" s="3" t="str">
        <f>IF(JobHopping[[#This Row],[Age]]&lt;40,"",JobHopping[[#This Row],[SwitchP1Static]])</f>
        <v>N</v>
      </c>
      <c r="M34" s="3">
        <v>2016</v>
      </c>
      <c r="N34" s="3" t="s">
        <v>17</v>
      </c>
      <c r="O34" s="3">
        <f>_xlfn.XLOOKUP(M34&amp;"-"&amp;N34,'Djøf Finance Workers'!D:D,'Djøf Finance Workers'!C:C,0,1)</f>
        <v>10533</v>
      </c>
      <c r="P34" s="3">
        <f>_xlfn.XLOOKUP(M34&amp;"-"&amp;N34,'Djøf Finance Hoppers'!D:D,'Djøf Finance Hoppers'!C:C,0,1)</f>
        <v>2000</v>
      </c>
      <c r="Q34" s="12">
        <f t="shared" si="1"/>
        <v>0.18987942656413179</v>
      </c>
    </row>
    <row r="35" spans="2:17" x14ac:dyDescent="0.35">
      <c r="B35" s="3">
        <v>57</v>
      </c>
      <c r="C35" s="3" t="str">
        <f t="shared" si="3"/>
        <v>55-59 år</v>
      </c>
      <c r="D35" s="12">
        <f t="shared" ref="D35:D66" si="4">_xlfn.XLOOKUP(C35,S:S,T:T)</f>
        <v>0.15515674597479437</v>
      </c>
      <c r="E35" s="3" t="str">
        <f ca="1">IF(OR(JobHopping[[#This Row],[Age]]=25,JobHopping[[#This Row],[Age]]&gt;69),"N",IF(AND(E33="N",E34="N", RAND()&lt;=D35), "Y", "N"))</f>
        <v>N</v>
      </c>
      <c r="F35" s="3" t="s">
        <v>0</v>
      </c>
      <c r="G35" s="3" t="str">
        <f>IF(JobHopping[[#This Row],[Age]]&lt;40,"",JobHopping[[#This Row],[SwitchP1Static]])</f>
        <v>N</v>
      </c>
      <c r="M35" s="3">
        <v>2016</v>
      </c>
      <c r="N35" s="3" t="s">
        <v>18</v>
      </c>
      <c r="O35" s="3">
        <f>_xlfn.XLOOKUP(M35&amp;"-"&amp;N35,'Djøf Finance Workers'!D:D,'Djøf Finance Workers'!C:C,0,1)</f>
        <v>11490</v>
      </c>
      <c r="P35" s="3">
        <f>_xlfn.XLOOKUP(M35&amp;"-"&amp;N35,'Djøf Finance Hoppers'!D:D,'Djøf Finance Hoppers'!C:C,0,1)</f>
        <v>1808</v>
      </c>
      <c r="Q35" s="12">
        <f t="shared" si="1"/>
        <v>0.15735422106179286</v>
      </c>
    </row>
    <row r="36" spans="2:17" x14ac:dyDescent="0.35">
      <c r="B36" s="3">
        <v>58</v>
      </c>
      <c r="C36" s="3" t="str">
        <f t="shared" si="3"/>
        <v>55-59 år</v>
      </c>
      <c r="D36" s="12">
        <f t="shared" si="4"/>
        <v>0.15515674597479437</v>
      </c>
      <c r="E36" s="3" t="str">
        <f ca="1">IF(OR(JobHopping[[#This Row],[Age]]=25,JobHopping[[#This Row],[Age]]&gt;69),"N",IF(AND(E34="N",E35="N", RAND()&lt;=D36), "Y", "N"))</f>
        <v>N</v>
      </c>
      <c r="F36" s="3" t="s">
        <v>0</v>
      </c>
      <c r="G36" s="3" t="str">
        <f>IF(JobHopping[[#This Row],[Age]]&lt;40,"",JobHopping[[#This Row],[SwitchP1Static]])</f>
        <v>N</v>
      </c>
      <c r="M36" s="3">
        <v>2016</v>
      </c>
      <c r="N36" s="3" t="s">
        <v>19</v>
      </c>
      <c r="O36" s="3">
        <f>_xlfn.XLOOKUP(M36&amp;"-"&amp;N36,'Djøf Finance Workers'!D:D,'Djøf Finance Workers'!C:C,0,1)</f>
        <v>9121</v>
      </c>
      <c r="P36" s="3">
        <f>_xlfn.XLOOKUP(M36&amp;"-"&amp;N36,'Djøf Finance Hoppers'!D:D,'Djøf Finance Hoppers'!C:C,0,1)</f>
        <v>1301</v>
      </c>
      <c r="Q36" s="12">
        <f t="shared" si="1"/>
        <v>0.14263786865475278</v>
      </c>
    </row>
    <row r="37" spans="2:17" x14ac:dyDescent="0.35">
      <c r="B37" s="3">
        <v>59</v>
      </c>
      <c r="C37" s="3" t="str">
        <f t="shared" si="3"/>
        <v>55-59 år</v>
      </c>
      <c r="D37" s="12">
        <f t="shared" si="4"/>
        <v>0.15515674597479437</v>
      </c>
      <c r="E37" s="3" t="str">
        <f ca="1">IF(OR(JobHopping[[#This Row],[Age]]=25,JobHopping[[#This Row],[Age]]&gt;69),"N",IF(AND(E35="N",E36="N", RAND()&lt;=D37), "Y", "N"))</f>
        <v>N</v>
      </c>
      <c r="F37" s="3" t="s">
        <v>0</v>
      </c>
      <c r="G37" s="3" t="str">
        <f>IF(JobHopping[[#This Row],[Age]]&lt;40,"",JobHopping[[#This Row],[SwitchP1Static]])</f>
        <v>N</v>
      </c>
      <c r="M37" s="3">
        <v>2016</v>
      </c>
      <c r="N37" s="3" t="s">
        <v>20</v>
      </c>
      <c r="O37" s="3">
        <f>_xlfn.XLOOKUP(M37&amp;"-"&amp;N37,'Djøf Finance Workers'!D:D,'Djøf Finance Workers'!C:C,0,1)</f>
        <v>5304</v>
      </c>
      <c r="P37" s="3">
        <f>_xlfn.XLOOKUP(M37&amp;"-"&amp;N37,'Djøf Finance Hoppers'!D:D,'Djøf Finance Hoppers'!C:C,0,1)</f>
        <v>708</v>
      </c>
      <c r="Q37" s="12">
        <f t="shared" si="1"/>
        <v>0.1334841628959276</v>
      </c>
    </row>
    <row r="38" spans="2:17" x14ac:dyDescent="0.35">
      <c r="B38" s="3">
        <v>60</v>
      </c>
      <c r="C38" s="3" t="str">
        <f t="shared" si="3"/>
        <v>60-64 år</v>
      </c>
      <c r="D38" s="12">
        <f t="shared" si="4"/>
        <v>0.13997311637990331</v>
      </c>
      <c r="E38" s="3" t="str">
        <f ca="1">IF(OR(JobHopping[[#This Row],[Age]]=25,JobHopping[[#This Row],[Age]]&gt;69),"N",IF(AND(E36="N",E37="N", RAND()&lt;=D38), "Y", "N"))</f>
        <v>N</v>
      </c>
      <c r="F38" s="3" t="s">
        <v>60</v>
      </c>
      <c r="G38" s="3" t="str">
        <f>IF(JobHopping[[#This Row],[Age]]&lt;40,"",JobHopping[[#This Row],[SwitchP1Static]])</f>
        <v>Y</v>
      </c>
      <c r="M38" s="3">
        <v>2016</v>
      </c>
      <c r="N38" s="3" t="s">
        <v>21</v>
      </c>
      <c r="O38" s="3">
        <f>_xlfn.XLOOKUP(M38&amp;"-"&amp;N38,'Djøf Finance Workers'!D:D,'Djøf Finance Workers'!C:C,0,1)</f>
        <v>1680</v>
      </c>
      <c r="P38" s="3">
        <f>_xlfn.XLOOKUP(M38&amp;"-"&amp;N38,'Djøf Finance Hoppers'!D:D,'Djøf Finance Hoppers'!C:C,0,1)</f>
        <v>183</v>
      </c>
      <c r="Q38" s="12">
        <f t="shared" si="1"/>
        <v>0.10892857142857143</v>
      </c>
    </row>
    <row r="39" spans="2:17" x14ac:dyDescent="0.35">
      <c r="B39" s="3">
        <v>61</v>
      </c>
      <c r="C39" s="3" t="str">
        <f t="shared" si="3"/>
        <v>60-64 år</v>
      </c>
      <c r="D39" s="12">
        <f t="shared" si="4"/>
        <v>0.13997311637990331</v>
      </c>
      <c r="E39" s="3" t="str">
        <f ca="1">IF(OR(JobHopping[[#This Row],[Age]]=25,JobHopping[[#This Row],[Age]]&gt;69),"N",IF(AND(E37="N",E38="N", RAND()&lt;=D39), "Y", "N"))</f>
        <v>N</v>
      </c>
      <c r="F39" s="3" t="s">
        <v>0</v>
      </c>
      <c r="G39" s="3" t="str">
        <f>IF(JobHopping[[#This Row],[Age]]&lt;40,"",JobHopping[[#This Row],[SwitchP1Static]])</f>
        <v>N</v>
      </c>
      <c r="M39" s="3">
        <v>2017</v>
      </c>
      <c r="N39" s="3" t="s">
        <v>13</v>
      </c>
      <c r="O39" s="3">
        <f>_xlfn.XLOOKUP(M39&amp;"-"&amp;N39,'Djøf Finance Workers'!D:D,'Djøf Finance Workers'!C:C,0,1)</f>
        <v>5951</v>
      </c>
      <c r="P39" s="3">
        <f>_xlfn.XLOOKUP(M39&amp;"-"&amp;N39,'Djøf Finance Hoppers'!D:D,'Djøf Finance Hoppers'!C:C,0,1)</f>
        <v>3106</v>
      </c>
      <c r="Q39" s="12">
        <f t="shared" si="1"/>
        <v>0.52192908754831124</v>
      </c>
    </row>
    <row r="40" spans="2:17" x14ac:dyDescent="0.35">
      <c r="B40" s="3">
        <v>62</v>
      </c>
      <c r="C40" s="3" t="str">
        <f t="shared" si="3"/>
        <v>60-64 år</v>
      </c>
      <c r="D40" s="12">
        <f t="shared" si="4"/>
        <v>0.13997311637990331</v>
      </c>
      <c r="E40" s="3" t="str">
        <f ca="1">IF(OR(JobHopping[[#This Row],[Age]]=25,JobHopping[[#This Row],[Age]]&gt;69),"N",IF(AND(E38="N",E39="N", RAND()&lt;=D40), "Y", "N"))</f>
        <v>N</v>
      </c>
      <c r="F40" s="3" t="s">
        <v>0</v>
      </c>
      <c r="G40" s="3" t="str">
        <f>IF(JobHopping[[#This Row],[Age]]&lt;40,"",JobHopping[[#This Row],[SwitchP1Static]])</f>
        <v>N</v>
      </c>
      <c r="M40" s="3">
        <v>2017</v>
      </c>
      <c r="N40" s="3" t="s">
        <v>14</v>
      </c>
      <c r="O40" s="3">
        <f>_xlfn.XLOOKUP(M40&amp;"-"&amp;N40,'Djøf Finance Workers'!D:D,'Djøf Finance Workers'!C:C,0,1)</f>
        <v>8016</v>
      </c>
      <c r="P40" s="3">
        <f>_xlfn.XLOOKUP(M40&amp;"-"&amp;N40,'Djøf Finance Hoppers'!D:D,'Djøf Finance Hoppers'!C:C,0,1)</f>
        <v>2692</v>
      </c>
      <c r="Q40" s="12">
        <f t="shared" si="1"/>
        <v>0.33582834331337325</v>
      </c>
    </row>
    <row r="41" spans="2:17" x14ac:dyDescent="0.35">
      <c r="B41" s="3">
        <v>63</v>
      </c>
      <c r="C41" s="3" t="str">
        <f t="shared" si="3"/>
        <v>60-64 år</v>
      </c>
      <c r="D41" s="12">
        <f t="shared" si="4"/>
        <v>0.13997311637990331</v>
      </c>
      <c r="E41" s="3" t="str">
        <f ca="1">IF(OR(JobHopping[[#This Row],[Age]]=25,JobHopping[[#This Row],[Age]]&gt;69),"N",IF(AND(E39="N",E40="N", RAND()&lt;=D41), "Y", "N"))</f>
        <v>Y</v>
      </c>
      <c r="F41" s="3" t="s">
        <v>0</v>
      </c>
      <c r="G41" s="3" t="str">
        <f>IF(JobHopping[[#This Row],[Age]]&lt;40,"",JobHopping[[#This Row],[SwitchP1Static]])</f>
        <v>N</v>
      </c>
      <c r="M41" s="3">
        <v>2017</v>
      </c>
      <c r="N41" s="3" t="s">
        <v>15</v>
      </c>
      <c r="O41" s="3">
        <f>_xlfn.XLOOKUP(M41&amp;"-"&amp;N41,'Djøf Finance Workers'!D:D,'Djøf Finance Workers'!C:C,0,1)</f>
        <v>9344</v>
      </c>
      <c r="P41" s="3">
        <f>_xlfn.XLOOKUP(M41&amp;"-"&amp;N41,'Djøf Finance Hoppers'!D:D,'Djøf Finance Hoppers'!C:C,0,1)</f>
        <v>2452</v>
      </c>
      <c r="Q41" s="12">
        <f t="shared" si="1"/>
        <v>0.26241438356164382</v>
      </c>
    </row>
    <row r="42" spans="2:17" x14ac:dyDescent="0.35">
      <c r="B42" s="3">
        <v>64</v>
      </c>
      <c r="C42" s="3" t="str">
        <f t="shared" si="3"/>
        <v>60-64 år</v>
      </c>
      <c r="D42" s="12">
        <f t="shared" si="4"/>
        <v>0.13997311637990331</v>
      </c>
      <c r="E42" s="3" t="str">
        <f ca="1">IF(OR(JobHopping[[#This Row],[Age]]=25,JobHopping[[#This Row],[Age]]&gt;69),"N",IF(AND(E40="N",E41="N", RAND()&lt;=D42), "Y", "N"))</f>
        <v>N</v>
      </c>
      <c r="F42" s="3" t="s">
        <v>0</v>
      </c>
      <c r="G42" s="3" t="str">
        <f>IF(JobHopping[[#This Row],[Age]]&lt;40,"",JobHopping[[#This Row],[SwitchP1Static]])</f>
        <v>N</v>
      </c>
      <c r="M42" s="3">
        <v>2017</v>
      </c>
      <c r="N42" s="3" t="s">
        <v>16</v>
      </c>
      <c r="O42" s="3">
        <f>_xlfn.XLOOKUP(M42&amp;"-"&amp;N42,'Djøf Finance Workers'!D:D,'Djøf Finance Workers'!C:C,0,1)</f>
        <v>9699</v>
      </c>
      <c r="P42" s="3">
        <f>_xlfn.XLOOKUP(M42&amp;"-"&amp;N42,'Djøf Finance Hoppers'!D:D,'Djøf Finance Hoppers'!C:C,0,1)</f>
        <v>2105</v>
      </c>
      <c r="Q42" s="12">
        <f t="shared" si="1"/>
        <v>0.21703268378183319</v>
      </c>
    </row>
    <row r="43" spans="2:17" x14ac:dyDescent="0.35">
      <c r="B43" s="3">
        <v>65</v>
      </c>
      <c r="C43" s="3" t="str">
        <f t="shared" si="3"/>
        <v>65+ år</v>
      </c>
      <c r="D43" s="12">
        <f t="shared" si="4"/>
        <v>0.11691873000664299</v>
      </c>
      <c r="E43" s="3" t="str">
        <f ca="1">IF(OR(JobHopping[[#This Row],[Age]]=25,JobHopping[[#This Row],[Age]]&gt;69),"N",IF(AND(E41="N",E42="N", RAND()&lt;=D43), "Y", "N"))</f>
        <v>N</v>
      </c>
      <c r="F43" s="3" t="s">
        <v>0</v>
      </c>
      <c r="G43" s="3" t="str">
        <f>IF(JobHopping[[#This Row],[Age]]&lt;40,"",JobHopping[[#This Row],[SwitchP1Static]])</f>
        <v>N</v>
      </c>
      <c r="M43" s="3">
        <v>2017</v>
      </c>
      <c r="N43" s="3" t="s">
        <v>17</v>
      </c>
      <c r="O43" s="3">
        <f>_xlfn.XLOOKUP(M43&amp;"-"&amp;N43,'Djøf Finance Workers'!D:D,'Djøf Finance Workers'!C:C,0,1)</f>
        <v>9778</v>
      </c>
      <c r="P43" s="3">
        <f>_xlfn.XLOOKUP(M43&amp;"-"&amp;N43,'Djøf Finance Hoppers'!D:D,'Djøf Finance Hoppers'!C:C,0,1)</f>
        <v>1892</v>
      </c>
      <c r="Q43" s="12">
        <f t="shared" si="1"/>
        <v>0.19349560237267335</v>
      </c>
    </row>
    <row r="44" spans="2:17" x14ac:dyDescent="0.35">
      <c r="B44" s="3">
        <v>66</v>
      </c>
      <c r="C44" s="3" t="str">
        <f t="shared" si="3"/>
        <v>65+ år</v>
      </c>
      <c r="D44" s="12">
        <f t="shared" si="4"/>
        <v>0.11691873000664299</v>
      </c>
      <c r="E44" s="3" t="str">
        <f ca="1">IF(OR(JobHopping[[#This Row],[Age]]=25,JobHopping[[#This Row],[Age]]&gt;69),"N",IF(AND(E42="N",E43="N", RAND()&lt;=D44), "Y", "N"))</f>
        <v>N</v>
      </c>
      <c r="F44" s="3" t="s">
        <v>0</v>
      </c>
      <c r="G44" s="3" t="str">
        <f>IF(JobHopping[[#This Row],[Age]]&lt;40,"",JobHopping[[#This Row],[SwitchP1Static]])</f>
        <v>N</v>
      </c>
      <c r="M44" s="3">
        <v>2017</v>
      </c>
      <c r="N44" s="3" t="s">
        <v>18</v>
      </c>
      <c r="O44" s="3">
        <f>_xlfn.XLOOKUP(M44&amp;"-"&amp;N44,'Djøf Finance Workers'!D:D,'Djøf Finance Workers'!C:C,0,1)</f>
        <v>11940</v>
      </c>
      <c r="P44" s="3">
        <f>_xlfn.XLOOKUP(M44&amp;"-"&amp;N44,'Djøf Finance Hoppers'!D:D,'Djøf Finance Hoppers'!C:C,0,1)</f>
        <v>2042</v>
      </c>
      <c r="Q44" s="12">
        <f t="shared" si="1"/>
        <v>0.1710217755443886</v>
      </c>
    </row>
    <row r="45" spans="2:17" x14ac:dyDescent="0.35">
      <c r="B45" s="3">
        <v>67</v>
      </c>
      <c r="C45" s="3" t="str">
        <f t="shared" si="3"/>
        <v>65+ år</v>
      </c>
      <c r="D45" s="12">
        <f t="shared" si="4"/>
        <v>0.11691873000664299</v>
      </c>
      <c r="E45" s="3" t="str">
        <f ca="1">IF(OR(JobHopping[[#This Row],[Age]]=25,JobHopping[[#This Row],[Age]]&gt;69),"N",IF(AND(E43="N",E44="N", RAND()&lt;=D45), "Y", "N"))</f>
        <v>N</v>
      </c>
      <c r="F45" s="3" t="s">
        <v>0</v>
      </c>
      <c r="G45" s="3" t="str">
        <f>IF(JobHopping[[#This Row],[Age]]&lt;40,"",JobHopping[[#This Row],[SwitchP1Static]])</f>
        <v>N</v>
      </c>
      <c r="M45" s="3">
        <v>2017</v>
      </c>
      <c r="N45" s="3" t="s">
        <v>19</v>
      </c>
      <c r="O45" s="3">
        <f>_xlfn.XLOOKUP(M45&amp;"-"&amp;N45,'Djøf Finance Workers'!D:D,'Djøf Finance Workers'!C:C,0,1)</f>
        <v>9231</v>
      </c>
      <c r="P45" s="3">
        <f>_xlfn.XLOOKUP(M45&amp;"-"&amp;N45,'Djøf Finance Hoppers'!D:D,'Djøf Finance Hoppers'!C:C,0,1)</f>
        <v>1410</v>
      </c>
      <c r="Q45" s="12">
        <f t="shared" si="1"/>
        <v>0.15274618134546636</v>
      </c>
    </row>
    <row r="46" spans="2:17" x14ac:dyDescent="0.35">
      <c r="B46" s="3">
        <v>68</v>
      </c>
      <c r="C46" s="3" t="str">
        <f t="shared" si="3"/>
        <v>65+ år</v>
      </c>
      <c r="D46" s="12">
        <f t="shared" si="4"/>
        <v>0.11691873000664299</v>
      </c>
      <c r="E46" s="3" t="str">
        <f ca="1">IF(OR(JobHopping[[#This Row],[Age]]=25,JobHopping[[#This Row],[Age]]&gt;69),"N",IF(AND(E44="N",E45="N", RAND()&lt;=D46), "Y", "N"))</f>
        <v>Y</v>
      </c>
      <c r="F46" s="3" t="s">
        <v>0</v>
      </c>
      <c r="G46" s="3" t="str">
        <f>IF(JobHopping[[#This Row],[Age]]&lt;40,"",JobHopping[[#This Row],[SwitchP1Static]])</f>
        <v>N</v>
      </c>
      <c r="M46" s="3">
        <v>2017</v>
      </c>
      <c r="N46" s="3" t="s">
        <v>20</v>
      </c>
      <c r="O46" s="3">
        <f>_xlfn.XLOOKUP(M46&amp;"-"&amp;N46,'Djøf Finance Workers'!D:D,'Djøf Finance Workers'!C:C,0,1)</f>
        <v>5403</v>
      </c>
      <c r="P46" s="3">
        <f>_xlfn.XLOOKUP(M46&amp;"-"&amp;N46,'Djøf Finance Hoppers'!D:D,'Djøf Finance Hoppers'!C:C,0,1)</f>
        <v>757</v>
      </c>
      <c r="Q46" s="12">
        <f t="shared" si="1"/>
        <v>0.14010734776975753</v>
      </c>
    </row>
    <row r="47" spans="2:17" x14ac:dyDescent="0.35">
      <c r="B47" s="3">
        <v>69</v>
      </c>
      <c r="C47" s="3" t="str">
        <f t="shared" si="3"/>
        <v>65+ år</v>
      </c>
      <c r="D47" s="12">
        <f t="shared" si="4"/>
        <v>0.11691873000664299</v>
      </c>
      <c r="E47" s="3" t="str">
        <f ca="1">IF(OR(JobHopping[[#This Row],[Age]]=25,JobHopping[[#This Row],[Age]]&gt;69),"N",IF(AND(E45="N",E46="N", RAND()&lt;=D47), "Y", "N"))</f>
        <v>N</v>
      </c>
      <c r="F47" s="3" t="s">
        <v>0</v>
      </c>
      <c r="G47" s="3" t="str">
        <f>IF(JobHopping[[#This Row],[Age]]&lt;40,"",JobHopping[[#This Row],[SwitchP1Static]])</f>
        <v>N</v>
      </c>
      <c r="M47" s="3">
        <v>2017</v>
      </c>
      <c r="N47" s="3" t="s">
        <v>21</v>
      </c>
      <c r="O47" s="3">
        <f>_xlfn.XLOOKUP(M47&amp;"-"&amp;N47,'Djøf Finance Workers'!D:D,'Djøf Finance Workers'!C:C,0,1)</f>
        <v>1775</v>
      </c>
      <c r="P47" s="3">
        <f>_xlfn.XLOOKUP(M47&amp;"-"&amp;N47,'Djøf Finance Hoppers'!D:D,'Djøf Finance Hoppers'!C:C,0,1)</f>
        <v>194</v>
      </c>
      <c r="Q47" s="12">
        <f t="shared" si="1"/>
        <v>0.10929577464788733</v>
      </c>
    </row>
    <row r="48" spans="2:17" x14ac:dyDescent="0.35">
      <c r="B48" s="3">
        <v>70</v>
      </c>
      <c r="C48" s="3" t="str">
        <f t="shared" si="3"/>
        <v>65+ år</v>
      </c>
      <c r="D48" s="12">
        <f t="shared" si="4"/>
        <v>0.11691873000664299</v>
      </c>
      <c r="E48" s="3" t="str">
        <f ca="1">IF(OR(JobHopping[[#This Row],[Age]]=25,JobHopping[[#This Row],[Age]]&gt;69),"N",IF(AND(E46="N",E47="N", RAND()&lt;=D48), "Y", "N"))</f>
        <v>N</v>
      </c>
      <c r="F48" s="3" t="s">
        <v>0</v>
      </c>
      <c r="G48" s="3" t="str">
        <f>IF(JobHopping[[#This Row],[Age]]&lt;40,"",JobHopping[[#This Row],[SwitchP1Static]])</f>
        <v>N</v>
      </c>
      <c r="M48" s="3">
        <v>2018</v>
      </c>
      <c r="N48" s="3" t="s">
        <v>13</v>
      </c>
      <c r="O48" s="3">
        <f>_xlfn.XLOOKUP(M48&amp;"-"&amp;N48,'Djøf Finance Workers'!D:D,'Djøf Finance Workers'!C:C,0,1)</f>
        <v>6353</v>
      </c>
      <c r="P48" s="3">
        <f>_xlfn.XLOOKUP(M48&amp;"-"&amp;N48,'Djøf Finance Hoppers'!D:D,'Djøf Finance Hoppers'!C:C,0,1)</f>
        <v>3149</v>
      </c>
      <c r="Q48" s="12">
        <f t="shared" si="1"/>
        <v>0.49567133637651506</v>
      </c>
    </row>
    <row r="49" spans="2:17" x14ac:dyDescent="0.35">
      <c r="B49" s="3">
        <v>71</v>
      </c>
      <c r="C49" s="3" t="str">
        <f t="shared" ref="C49:C54" si="5">IF(B49&lt;30, "25-29 år", IF(B49&lt;35, "30-34 år", IF(B49&lt;40, "35-39 år", IF(B49&lt;45, "40-44 år", IF(B49&lt;50, "45-49 år", IF(B49&lt;55, "50-54 år", IF(B49&lt;60, "55-59 år", IF(B49&lt;65, "60-64 år", "65+ år"))))))))</f>
        <v>65+ år</v>
      </c>
      <c r="D49" s="12">
        <f t="shared" si="4"/>
        <v>0.11691873000664299</v>
      </c>
      <c r="E49" s="3" t="str">
        <f ca="1">IF(OR(JobHopping[[#This Row],[Age]]=25,JobHopping[[#This Row],[Age]]&gt;69),"N",IF(AND(E47="N",E48="N", RAND()&lt;=D49), "Y", "N"))</f>
        <v>N</v>
      </c>
      <c r="F49" s="3" t="s">
        <v>0</v>
      </c>
      <c r="G49" s="3" t="str">
        <f>IF(JobHopping[[#This Row],[Age]]&lt;40,"",JobHopping[[#This Row],[SwitchP1Static]])</f>
        <v>N</v>
      </c>
      <c r="M49" s="3">
        <v>2018</v>
      </c>
      <c r="N49" s="3" t="s">
        <v>14</v>
      </c>
      <c r="O49" s="3">
        <f>_xlfn.XLOOKUP(M49&amp;"-"&amp;N49,'Djøf Finance Workers'!D:D,'Djøf Finance Workers'!C:C,0,1)</f>
        <v>8276</v>
      </c>
      <c r="P49" s="3">
        <f>_xlfn.XLOOKUP(M49&amp;"-"&amp;N49,'Djøf Finance Hoppers'!D:D,'Djøf Finance Hoppers'!C:C,0,1)</f>
        <v>2658</v>
      </c>
      <c r="Q49" s="12">
        <f t="shared" si="1"/>
        <v>0.32116964717254715</v>
      </c>
    </row>
    <row r="50" spans="2:17" x14ac:dyDescent="0.35">
      <c r="B50" s="3">
        <v>72</v>
      </c>
      <c r="C50" s="3" t="str">
        <f t="shared" si="5"/>
        <v>65+ år</v>
      </c>
      <c r="D50" s="12">
        <f t="shared" si="4"/>
        <v>0.11691873000664299</v>
      </c>
      <c r="E50" s="3" t="str">
        <f ca="1">IF(OR(JobHopping[[#This Row],[Age]]=25,JobHopping[[#This Row],[Age]]&gt;69),"N",IF(AND(E48="N",E49="N", RAND()&lt;=D50), "Y", "N"))</f>
        <v>N</v>
      </c>
      <c r="F50" s="3" t="s">
        <v>0</v>
      </c>
      <c r="G50" s="3" t="str">
        <f>IF(JobHopping[[#This Row],[Age]]&lt;40,"",JobHopping[[#This Row],[SwitchP1Static]])</f>
        <v>N</v>
      </c>
      <c r="M50" s="3">
        <v>2018</v>
      </c>
      <c r="N50" s="3" t="s">
        <v>15</v>
      </c>
      <c r="O50" s="3">
        <f>_xlfn.XLOOKUP(M50&amp;"-"&amp;N50,'Djøf Finance Workers'!D:D,'Djøf Finance Workers'!C:C,0,1)</f>
        <v>9245</v>
      </c>
      <c r="P50" s="3">
        <f>_xlfn.XLOOKUP(M50&amp;"-"&amp;N50,'Djøf Finance Hoppers'!D:D,'Djøf Finance Hoppers'!C:C,0,1)</f>
        <v>2333</v>
      </c>
      <c r="Q50" s="12">
        <f t="shared" si="1"/>
        <v>0.25235262303948081</v>
      </c>
    </row>
    <row r="51" spans="2:17" x14ac:dyDescent="0.35">
      <c r="B51" s="3">
        <v>73</v>
      </c>
      <c r="C51" s="3" t="str">
        <f t="shared" si="5"/>
        <v>65+ år</v>
      </c>
      <c r="D51" s="12">
        <f t="shared" si="4"/>
        <v>0.11691873000664299</v>
      </c>
      <c r="E51" s="3" t="str">
        <f ca="1">IF(OR(JobHopping[[#This Row],[Age]]=25,JobHopping[[#This Row],[Age]]&gt;69),"N",IF(AND(E49="N",E50="N", RAND()&lt;=D51), "Y", "N"))</f>
        <v>N</v>
      </c>
      <c r="F51" s="3" t="s">
        <v>0</v>
      </c>
      <c r="G51" s="3" t="str">
        <f>IF(JobHopping[[#This Row],[Age]]&lt;40,"",JobHopping[[#This Row],[SwitchP1Static]])</f>
        <v>N</v>
      </c>
      <c r="M51" s="3">
        <v>2018</v>
      </c>
      <c r="N51" s="3" t="s">
        <v>16</v>
      </c>
      <c r="O51" s="3">
        <f>_xlfn.XLOOKUP(M51&amp;"-"&amp;N51,'Djøf Finance Workers'!D:D,'Djøf Finance Workers'!C:C,0,1)</f>
        <v>9937</v>
      </c>
      <c r="P51" s="3">
        <f>_xlfn.XLOOKUP(M51&amp;"-"&amp;N51,'Djøf Finance Hoppers'!D:D,'Djøf Finance Hoppers'!C:C,0,1)</f>
        <v>2068</v>
      </c>
      <c r="Q51" s="12">
        <f t="shared" si="1"/>
        <v>0.2081110999295562</v>
      </c>
    </row>
    <row r="52" spans="2:17" x14ac:dyDescent="0.35">
      <c r="B52" s="3">
        <v>74</v>
      </c>
      <c r="C52" s="3" t="str">
        <f t="shared" si="5"/>
        <v>65+ år</v>
      </c>
      <c r="D52" s="12">
        <f t="shared" si="4"/>
        <v>0.11691873000664299</v>
      </c>
      <c r="E52" s="3" t="str">
        <f ca="1">IF(OR(JobHopping[[#This Row],[Age]]=25,JobHopping[[#This Row],[Age]]&gt;69),"N",IF(AND(E50="N",E51="N", RAND()&lt;=D52), "Y", "N"))</f>
        <v>N</v>
      </c>
      <c r="F52" s="3" t="s">
        <v>0</v>
      </c>
      <c r="G52" s="3" t="str">
        <f>IF(JobHopping[[#This Row],[Age]]&lt;40,"",JobHopping[[#This Row],[SwitchP1Static]])</f>
        <v>N</v>
      </c>
      <c r="M52" s="3">
        <v>2018</v>
      </c>
      <c r="N52" s="3" t="s">
        <v>17</v>
      </c>
      <c r="O52" s="3">
        <f>_xlfn.XLOOKUP(M52&amp;"-"&amp;N52,'Djøf Finance Workers'!D:D,'Djøf Finance Workers'!C:C,0,1)</f>
        <v>9488</v>
      </c>
      <c r="P52" s="3">
        <f>_xlfn.XLOOKUP(M52&amp;"-"&amp;N52,'Djøf Finance Hoppers'!D:D,'Djøf Finance Hoppers'!C:C,0,1)</f>
        <v>1770</v>
      </c>
      <c r="Q52" s="12">
        <f t="shared" si="1"/>
        <v>0.18655143338954469</v>
      </c>
    </row>
    <row r="53" spans="2:17" x14ac:dyDescent="0.35">
      <c r="B53" s="3">
        <v>75</v>
      </c>
      <c r="C53" s="3" t="str">
        <f t="shared" si="5"/>
        <v>65+ år</v>
      </c>
      <c r="D53" s="12">
        <f t="shared" si="4"/>
        <v>0.11691873000664299</v>
      </c>
      <c r="E53" s="3" t="str">
        <f ca="1">IF(OR(JobHopping[[#This Row],[Age]]=25,JobHopping[[#This Row],[Age]]&gt;69),"N",IF(AND(E51="N",E52="N", RAND()&lt;=D53), "Y", "N"))</f>
        <v>N</v>
      </c>
      <c r="F53" s="3" t="s">
        <v>0</v>
      </c>
      <c r="G53" s="3" t="str">
        <f>IF(JobHopping[[#This Row],[Age]]&lt;40,"",JobHopping[[#This Row],[SwitchP1Static]])</f>
        <v>N</v>
      </c>
      <c r="M53" s="3">
        <v>2018</v>
      </c>
      <c r="N53" s="3" t="s">
        <v>18</v>
      </c>
      <c r="O53" s="3">
        <f>_xlfn.XLOOKUP(M53&amp;"-"&amp;N53,'Djøf Finance Workers'!D:D,'Djøf Finance Workers'!C:C,0,1)</f>
        <v>12171</v>
      </c>
      <c r="P53" s="3">
        <f>_xlfn.XLOOKUP(M53&amp;"-"&amp;N53,'Djøf Finance Hoppers'!D:D,'Djøf Finance Hoppers'!C:C,0,1)</f>
        <v>2055</v>
      </c>
      <c r="Q53" s="12">
        <f t="shared" si="1"/>
        <v>0.16884397337934434</v>
      </c>
    </row>
    <row r="54" spans="2:17" x14ac:dyDescent="0.35">
      <c r="B54" s="3">
        <v>76</v>
      </c>
      <c r="C54" s="3" t="str">
        <f t="shared" si="5"/>
        <v>65+ år</v>
      </c>
      <c r="D54" s="12">
        <f t="shared" si="4"/>
        <v>0.11691873000664299</v>
      </c>
      <c r="E54" s="3" t="str">
        <f ca="1">IF(OR(JobHopping[[#This Row],[Age]]=25,JobHopping[[#This Row],[Age]]&gt;69),"N",IF(AND(E52="N",E53="N", RAND()&lt;=D54), "Y", "N"))</f>
        <v>N</v>
      </c>
      <c r="F54" s="3" t="s">
        <v>0</v>
      </c>
      <c r="G54" s="3" t="str">
        <f>IF(JobHopping[[#This Row],[Age]]&lt;40,"",JobHopping[[#This Row],[SwitchP1Static]])</f>
        <v>N</v>
      </c>
      <c r="M54" s="3">
        <v>2018</v>
      </c>
      <c r="N54" s="3" t="s">
        <v>19</v>
      </c>
      <c r="O54" s="3">
        <f>_xlfn.XLOOKUP(M54&amp;"-"&amp;N54,'Djøf Finance Workers'!D:D,'Djøf Finance Workers'!C:C,0,1)</f>
        <v>9537</v>
      </c>
      <c r="P54" s="3">
        <f>_xlfn.XLOOKUP(M54&amp;"-"&amp;N54,'Djøf Finance Hoppers'!D:D,'Djøf Finance Hoppers'!C:C,0,1)</f>
        <v>1415</v>
      </c>
      <c r="Q54" s="12">
        <f t="shared" si="1"/>
        <v>0.14836950823109993</v>
      </c>
    </row>
    <row r="55" spans="2:17" x14ac:dyDescent="0.35">
      <c r="B55" s="3">
        <v>77</v>
      </c>
      <c r="C55" s="3" t="str">
        <f t="shared" ref="C55:C69" si="6">IF(B55&lt;30, "25-29 år", IF(B55&lt;35, "30-34 år", IF(B55&lt;40, "35-39 år", IF(B55&lt;45, "40-44 år", IF(B55&lt;50, "45-49 år", IF(B55&lt;55, "50-54 år", IF(B55&lt;60, "55-59 år", IF(B55&lt;65, "60-64 år", "65+ år"))))))))</f>
        <v>65+ år</v>
      </c>
      <c r="D55" s="12">
        <f t="shared" si="4"/>
        <v>0.11691873000664299</v>
      </c>
      <c r="E55" s="3" t="str">
        <f ca="1">IF(OR(JobHopping[[#This Row],[Age]]=25,JobHopping[[#This Row],[Age]]&gt;69),"N",IF(AND(E53="N",E54="N", RAND()&lt;=D55), "Y", "N"))</f>
        <v>N</v>
      </c>
      <c r="F55" s="3" t="s">
        <v>0</v>
      </c>
      <c r="G55" s="3" t="str">
        <f>IF(JobHopping[[#This Row],[Age]]&lt;40,"",JobHopping[[#This Row],[SwitchP1Static]])</f>
        <v>N</v>
      </c>
      <c r="M55" s="3">
        <v>2018</v>
      </c>
      <c r="N55" s="3" t="s">
        <v>20</v>
      </c>
      <c r="O55" s="3">
        <f>_xlfn.XLOOKUP(M55&amp;"-"&amp;N55,'Djøf Finance Workers'!D:D,'Djøf Finance Workers'!C:C,0,1)</f>
        <v>5638</v>
      </c>
      <c r="P55" s="3">
        <f>_xlfn.XLOOKUP(M55&amp;"-"&amp;N55,'Djøf Finance Hoppers'!D:D,'Djøf Finance Hoppers'!C:C,0,1)</f>
        <v>681</v>
      </c>
      <c r="Q55" s="12">
        <f t="shared" si="1"/>
        <v>0.12078751330258958</v>
      </c>
    </row>
    <row r="56" spans="2:17" x14ac:dyDescent="0.35">
      <c r="B56" s="3">
        <v>78</v>
      </c>
      <c r="C56" s="3" t="str">
        <f t="shared" si="6"/>
        <v>65+ år</v>
      </c>
      <c r="D56" s="12">
        <f t="shared" si="4"/>
        <v>0.11691873000664299</v>
      </c>
      <c r="E56" s="3" t="str">
        <f ca="1">IF(OR(JobHopping[[#This Row],[Age]]=25,JobHopping[[#This Row],[Age]]&gt;69),"N",IF(AND(E54="N",E55="N", RAND()&lt;=D56), "Y", "N"))</f>
        <v>N</v>
      </c>
      <c r="F56" s="3" t="s">
        <v>0</v>
      </c>
      <c r="G56" s="3" t="str">
        <f>IF(JobHopping[[#This Row],[Age]]&lt;40,"",JobHopping[[#This Row],[SwitchP1Static]])</f>
        <v>N</v>
      </c>
      <c r="M56" s="3">
        <v>2018</v>
      </c>
      <c r="N56" s="3" t="s">
        <v>21</v>
      </c>
      <c r="O56" s="3">
        <f>_xlfn.XLOOKUP(M56&amp;"-"&amp;N56,'Djøf Finance Workers'!D:D,'Djøf Finance Workers'!C:C,0,1)</f>
        <v>1897</v>
      </c>
      <c r="P56" s="3">
        <f>_xlfn.XLOOKUP(M56&amp;"-"&amp;N56,'Djøf Finance Hoppers'!D:D,'Djøf Finance Hoppers'!C:C,0,1)</f>
        <v>174</v>
      </c>
      <c r="Q56" s="12">
        <f t="shared" si="1"/>
        <v>9.1723774380600948E-2</v>
      </c>
    </row>
    <row r="57" spans="2:17" x14ac:dyDescent="0.35">
      <c r="B57" s="3">
        <v>79</v>
      </c>
      <c r="C57" s="3" t="str">
        <f t="shared" si="6"/>
        <v>65+ år</v>
      </c>
      <c r="D57" s="12">
        <f t="shared" si="4"/>
        <v>0.11691873000664299</v>
      </c>
      <c r="E57" s="3" t="str">
        <f ca="1">IF(OR(JobHopping[[#This Row],[Age]]=25,JobHopping[[#This Row],[Age]]&gt;69),"N",IF(AND(E55="N",E56="N", RAND()&lt;=D57), "Y", "N"))</f>
        <v>N</v>
      </c>
      <c r="F57" s="3" t="s">
        <v>0</v>
      </c>
      <c r="G57" s="3" t="str">
        <f>IF(JobHopping[[#This Row],[Age]]&lt;40,"",JobHopping[[#This Row],[SwitchP1Static]])</f>
        <v>N</v>
      </c>
      <c r="M57" s="3">
        <v>2019</v>
      </c>
      <c r="N57" s="3" t="s">
        <v>13</v>
      </c>
      <c r="O57" s="3">
        <f>_xlfn.XLOOKUP(M57&amp;"-"&amp;N57,'Djøf Finance Workers'!D:D,'Djøf Finance Workers'!C:C,0,1)</f>
        <v>6883</v>
      </c>
      <c r="P57" s="3">
        <f>_xlfn.XLOOKUP(M57&amp;"-"&amp;N57,'Djøf Finance Hoppers'!D:D,'Djøf Finance Hoppers'!C:C,0,1)</f>
        <v>3477</v>
      </c>
      <c r="Q57" s="12">
        <f t="shared" si="1"/>
        <v>0.50515763475228825</v>
      </c>
    </row>
    <row r="58" spans="2:17" x14ac:dyDescent="0.35">
      <c r="B58" s="3">
        <v>80</v>
      </c>
      <c r="C58" s="3" t="str">
        <f t="shared" si="6"/>
        <v>65+ år</v>
      </c>
      <c r="D58" s="12">
        <f t="shared" si="4"/>
        <v>0.11691873000664299</v>
      </c>
      <c r="E58" s="3" t="str">
        <f ca="1">IF(OR(JobHopping[[#This Row],[Age]]=25,JobHopping[[#This Row],[Age]]&gt;69),"N",IF(AND(E56="N",E57="N", RAND()&lt;=D58), "Y", "N"))</f>
        <v>N</v>
      </c>
      <c r="F58" s="3" t="s">
        <v>0</v>
      </c>
      <c r="G58" s="3" t="str">
        <f>IF(JobHopping[[#This Row],[Age]]&lt;40,"",JobHopping[[#This Row],[SwitchP1Static]])</f>
        <v>N</v>
      </c>
      <c r="M58" s="3">
        <v>2019</v>
      </c>
      <c r="N58" s="3" t="s">
        <v>14</v>
      </c>
      <c r="O58" s="3">
        <f>_xlfn.XLOOKUP(M58&amp;"-"&amp;N58,'Djøf Finance Workers'!D:D,'Djøf Finance Workers'!C:C,0,1)</f>
        <v>8461</v>
      </c>
      <c r="P58" s="3">
        <f>_xlfn.XLOOKUP(M58&amp;"-"&amp;N58,'Djøf Finance Hoppers'!D:D,'Djøf Finance Hoppers'!C:C,0,1)</f>
        <v>2839</v>
      </c>
      <c r="Q58" s="12">
        <f t="shared" si="1"/>
        <v>0.33553953433400308</v>
      </c>
    </row>
    <row r="59" spans="2:17" x14ac:dyDescent="0.35">
      <c r="B59" s="3">
        <v>81</v>
      </c>
      <c r="C59" s="3" t="str">
        <f t="shared" si="6"/>
        <v>65+ år</v>
      </c>
      <c r="D59" s="12">
        <f t="shared" si="4"/>
        <v>0.11691873000664299</v>
      </c>
      <c r="E59" s="3" t="str">
        <f ca="1">IF(OR(JobHopping[[#This Row],[Age]]=25,JobHopping[[#This Row],[Age]]&gt;69),"N",IF(AND(E57="N",E58="N", RAND()&lt;=D59), "Y", "N"))</f>
        <v>N</v>
      </c>
      <c r="F59" s="3" t="s">
        <v>0</v>
      </c>
      <c r="G59" s="3" t="str">
        <f>IF(JobHopping[[#This Row],[Age]]&lt;40,"",JobHopping[[#This Row],[SwitchP1Static]])</f>
        <v>N</v>
      </c>
      <c r="M59" s="3">
        <v>2019</v>
      </c>
      <c r="N59" s="3" t="s">
        <v>15</v>
      </c>
      <c r="O59" s="3">
        <f>_xlfn.XLOOKUP(M59&amp;"-"&amp;N59,'Djøf Finance Workers'!D:D,'Djøf Finance Workers'!C:C,0,1)</f>
        <v>9057</v>
      </c>
      <c r="P59" s="3">
        <f>_xlfn.XLOOKUP(M59&amp;"-"&amp;N59,'Djøf Finance Hoppers'!D:D,'Djøf Finance Hoppers'!C:C,0,1)</f>
        <v>2298</v>
      </c>
      <c r="Q59" s="12">
        <f t="shared" si="1"/>
        <v>0.25372639947002318</v>
      </c>
    </row>
    <row r="60" spans="2:17" x14ac:dyDescent="0.35">
      <c r="B60" s="3">
        <v>82</v>
      </c>
      <c r="C60" s="3" t="str">
        <f t="shared" si="6"/>
        <v>65+ år</v>
      </c>
      <c r="D60" s="12">
        <f t="shared" si="4"/>
        <v>0.11691873000664299</v>
      </c>
      <c r="E60" s="3" t="str">
        <f ca="1">IF(OR(JobHopping[[#This Row],[Age]]=25,JobHopping[[#This Row],[Age]]&gt;69),"N",IF(AND(E58="N",E59="N", RAND()&lt;=D60), "Y", "N"))</f>
        <v>N</v>
      </c>
      <c r="F60" s="3" t="s">
        <v>0</v>
      </c>
      <c r="G60" s="3" t="str">
        <f>IF(JobHopping[[#This Row],[Age]]&lt;40,"",JobHopping[[#This Row],[SwitchP1Static]])</f>
        <v>N</v>
      </c>
      <c r="M60" s="3">
        <v>2019</v>
      </c>
      <c r="N60" s="3" t="s">
        <v>16</v>
      </c>
      <c r="O60" s="3">
        <f>_xlfn.XLOOKUP(M60&amp;"-"&amp;N60,'Djøf Finance Workers'!D:D,'Djøf Finance Workers'!C:C,0,1)</f>
        <v>10158</v>
      </c>
      <c r="P60" s="3">
        <f>_xlfn.XLOOKUP(M60&amp;"-"&amp;N60,'Djøf Finance Hoppers'!D:D,'Djøf Finance Hoppers'!C:C,0,1)</f>
        <v>2100</v>
      </c>
      <c r="Q60" s="12">
        <f t="shared" si="1"/>
        <v>0.2067336089781453</v>
      </c>
    </row>
    <row r="61" spans="2:17" x14ac:dyDescent="0.35">
      <c r="B61" s="3">
        <v>83</v>
      </c>
      <c r="C61" s="3" t="str">
        <f t="shared" si="6"/>
        <v>65+ år</v>
      </c>
      <c r="D61" s="12">
        <f t="shared" si="4"/>
        <v>0.11691873000664299</v>
      </c>
      <c r="E61" s="3" t="str">
        <f ca="1">IF(OR(JobHopping[[#This Row],[Age]]=25,JobHopping[[#This Row],[Age]]&gt;69),"N",IF(AND(E59="N",E60="N", RAND()&lt;=D61), "Y", "N"))</f>
        <v>N</v>
      </c>
      <c r="F61" s="3" t="s">
        <v>0</v>
      </c>
      <c r="G61" s="3" t="str">
        <f>IF(JobHopping[[#This Row],[Age]]&lt;40,"",JobHopping[[#This Row],[SwitchP1Static]])</f>
        <v>N</v>
      </c>
      <c r="M61" s="3">
        <v>2019</v>
      </c>
      <c r="N61" s="3" t="s">
        <v>17</v>
      </c>
      <c r="O61" s="3">
        <f>_xlfn.XLOOKUP(M61&amp;"-"&amp;N61,'Djøf Finance Workers'!D:D,'Djøf Finance Workers'!C:C,0,1)</f>
        <v>9482</v>
      </c>
      <c r="P61" s="3">
        <f>_xlfn.XLOOKUP(M61&amp;"-"&amp;N61,'Djøf Finance Hoppers'!D:D,'Djøf Finance Hoppers'!C:C,0,1)</f>
        <v>1802</v>
      </c>
      <c r="Q61" s="12">
        <f t="shared" si="1"/>
        <v>0.19004429445264712</v>
      </c>
    </row>
    <row r="62" spans="2:17" x14ac:dyDescent="0.35">
      <c r="B62" s="3">
        <v>84</v>
      </c>
      <c r="C62" s="3" t="str">
        <f t="shared" si="6"/>
        <v>65+ år</v>
      </c>
      <c r="D62" s="12">
        <f t="shared" si="4"/>
        <v>0.11691873000664299</v>
      </c>
      <c r="E62" s="3" t="str">
        <f ca="1">IF(OR(JobHopping[[#This Row],[Age]]=25,JobHopping[[#This Row],[Age]]&gt;69),"N",IF(AND(E60="N",E61="N", RAND()&lt;=D62), "Y", "N"))</f>
        <v>N</v>
      </c>
      <c r="F62" s="3" t="s">
        <v>0</v>
      </c>
      <c r="G62" s="3" t="str">
        <f>IF(JobHopping[[#This Row],[Age]]&lt;40,"",JobHopping[[#This Row],[SwitchP1Static]])</f>
        <v>N</v>
      </c>
      <c r="M62" s="3">
        <v>2019</v>
      </c>
      <c r="N62" s="3" t="s">
        <v>18</v>
      </c>
      <c r="O62" s="3">
        <f>_xlfn.XLOOKUP(M62&amp;"-"&amp;N62,'Djøf Finance Workers'!D:D,'Djøf Finance Workers'!C:C,0,1)</f>
        <v>11866</v>
      </c>
      <c r="P62" s="3">
        <f>_xlfn.XLOOKUP(M62&amp;"-"&amp;N62,'Djøf Finance Hoppers'!D:D,'Djøf Finance Hoppers'!C:C,0,1)</f>
        <v>2054</v>
      </c>
      <c r="Q62" s="12">
        <f t="shared" si="1"/>
        <v>0.1730996123377718</v>
      </c>
    </row>
    <row r="63" spans="2:17" x14ac:dyDescent="0.35">
      <c r="B63" s="3">
        <v>85</v>
      </c>
      <c r="C63" s="3" t="str">
        <f t="shared" si="6"/>
        <v>65+ år</v>
      </c>
      <c r="D63" s="12">
        <f t="shared" si="4"/>
        <v>0.11691873000664299</v>
      </c>
      <c r="E63" s="3" t="str">
        <f ca="1">IF(OR(JobHopping[[#This Row],[Age]]=25,JobHopping[[#This Row],[Age]]&gt;69),"N",IF(AND(E61="N",E62="N", RAND()&lt;=D63), "Y", "N"))</f>
        <v>N</v>
      </c>
      <c r="F63" s="3" t="s">
        <v>0</v>
      </c>
      <c r="G63" s="3" t="str">
        <f>IF(JobHopping[[#This Row],[Age]]&lt;40,"",JobHopping[[#This Row],[SwitchP1Static]])</f>
        <v>N</v>
      </c>
      <c r="M63" s="3">
        <v>2019</v>
      </c>
      <c r="N63" s="3" t="s">
        <v>19</v>
      </c>
      <c r="O63" s="3">
        <f>_xlfn.XLOOKUP(M63&amp;"-"&amp;N63,'Djøf Finance Workers'!D:D,'Djøf Finance Workers'!C:C,0,1)</f>
        <v>9811</v>
      </c>
      <c r="P63" s="3">
        <f>_xlfn.XLOOKUP(M63&amp;"-"&amp;N63,'Djøf Finance Hoppers'!D:D,'Djøf Finance Hoppers'!C:C,0,1)</f>
        <v>1383</v>
      </c>
      <c r="Q63" s="12">
        <f t="shared" si="1"/>
        <v>0.14096422383039445</v>
      </c>
    </row>
    <row r="64" spans="2:17" x14ac:dyDescent="0.35">
      <c r="B64" s="3">
        <v>86</v>
      </c>
      <c r="C64" s="3" t="str">
        <f t="shared" si="6"/>
        <v>65+ år</v>
      </c>
      <c r="D64" s="12">
        <f t="shared" si="4"/>
        <v>0.11691873000664299</v>
      </c>
      <c r="E64" s="3" t="str">
        <f ca="1">IF(OR(JobHopping[[#This Row],[Age]]=25,JobHopping[[#This Row],[Age]]&gt;69),"N",IF(AND(E62="N",E63="N", RAND()&lt;=D64), "Y", "N"))</f>
        <v>N</v>
      </c>
      <c r="F64" s="3" t="s">
        <v>0</v>
      </c>
      <c r="G64" s="3" t="str">
        <f>IF(JobHopping[[#This Row],[Age]]&lt;40,"",JobHopping[[#This Row],[SwitchP1Static]])</f>
        <v>N</v>
      </c>
      <c r="M64" s="3">
        <v>2019</v>
      </c>
      <c r="N64" s="3" t="s">
        <v>20</v>
      </c>
      <c r="O64" s="3">
        <f>_xlfn.XLOOKUP(M64&amp;"-"&amp;N64,'Djøf Finance Workers'!D:D,'Djøf Finance Workers'!C:C,0,1)</f>
        <v>5907</v>
      </c>
      <c r="P64" s="3">
        <f>_xlfn.XLOOKUP(M64&amp;"-"&amp;N64,'Djøf Finance Hoppers'!D:D,'Djøf Finance Hoppers'!C:C,0,1)</f>
        <v>791</v>
      </c>
      <c r="Q64" s="12">
        <f t="shared" si="1"/>
        <v>0.13390892161841883</v>
      </c>
    </row>
    <row r="65" spans="2:17" x14ac:dyDescent="0.35">
      <c r="B65" s="3">
        <v>87</v>
      </c>
      <c r="C65" s="3" t="str">
        <f t="shared" si="6"/>
        <v>65+ år</v>
      </c>
      <c r="D65" s="12">
        <f t="shared" si="4"/>
        <v>0.11691873000664299</v>
      </c>
      <c r="E65" s="3" t="str">
        <f ca="1">IF(OR(JobHopping[[#This Row],[Age]]=25,JobHopping[[#This Row],[Age]]&gt;69),"N",IF(AND(E63="N",E64="N", RAND()&lt;=D65), "Y", "N"))</f>
        <v>N</v>
      </c>
      <c r="F65" s="3" t="s">
        <v>0</v>
      </c>
      <c r="G65" s="3" t="str">
        <f>IF(JobHopping[[#This Row],[Age]]&lt;40,"",JobHopping[[#This Row],[SwitchP1Static]])</f>
        <v>N</v>
      </c>
      <c r="M65" s="3">
        <v>2019</v>
      </c>
      <c r="N65" s="3" t="s">
        <v>21</v>
      </c>
      <c r="O65" s="3">
        <f>_xlfn.XLOOKUP(M65&amp;"-"&amp;N65,'Djøf Finance Workers'!D:D,'Djøf Finance Workers'!C:C,0,1)</f>
        <v>2030</v>
      </c>
      <c r="P65" s="3">
        <f>_xlfn.XLOOKUP(M65&amp;"-"&amp;N65,'Djøf Finance Hoppers'!D:D,'Djøf Finance Hoppers'!C:C,0,1)</f>
        <v>188</v>
      </c>
      <c r="Q65" s="12">
        <f t="shared" si="1"/>
        <v>9.2610837438423646E-2</v>
      </c>
    </row>
    <row r="66" spans="2:17" x14ac:dyDescent="0.35">
      <c r="B66" s="3">
        <v>88</v>
      </c>
      <c r="C66" s="3" t="str">
        <f t="shared" si="6"/>
        <v>65+ år</v>
      </c>
      <c r="D66" s="12">
        <f t="shared" si="4"/>
        <v>0.11691873000664299</v>
      </c>
      <c r="E66" s="3" t="str">
        <f ca="1">IF(OR(JobHopping[[#This Row],[Age]]=25,JobHopping[[#This Row],[Age]]&gt;69),"N",IF(AND(E64="N",E65="N", RAND()&lt;=D66), "Y", "N"))</f>
        <v>N</v>
      </c>
      <c r="F66" s="3" t="s">
        <v>0</v>
      </c>
      <c r="G66" s="3" t="str">
        <f>IF(JobHopping[[#This Row],[Age]]&lt;40,"",JobHopping[[#This Row],[SwitchP1Static]])</f>
        <v>N</v>
      </c>
      <c r="M66" s="3">
        <v>2020</v>
      </c>
      <c r="N66" s="3" t="s">
        <v>13</v>
      </c>
      <c r="O66" s="3">
        <f>_xlfn.XLOOKUP(M66&amp;"-"&amp;N66,'Djøf Finance Workers'!D:D,'Djøf Finance Workers'!C:C,0,1)</f>
        <v>7337</v>
      </c>
      <c r="P66" s="3">
        <f>_xlfn.XLOOKUP(M66&amp;"-"&amp;N66,'Djøf Finance Hoppers'!D:D,'Djøf Finance Hoppers'!C:C,0,1)</f>
        <v>3028</v>
      </c>
      <c r="Q66" s="12">
        <f t="shared" si="1"/>
        <v>0.41270273953932124</v>
      </c>
    </row>
    <row r="67" spans="2:17" x14ac:dyDescent="0.35">
      <c r="B67" s="3">
        <v>89</v>
      </c>
      <c r="C67" s="3" t="str">
        <f t="shared" si="6"/>
        <v>65+ år</v>
      </c>
      <c r="D67" s="12">
        <f t="shared" ref="D67:D78" si="7">_xlfn.XLOOKUP(C67,S:S,T:T)</f>
        <v>0.11691873000664299</v>
      </c>
      <c r="E67" s="3" t="str">
        <f ca="1">IF(OR(JobHopping[[#This Row],[Age]]=25,JobHopping[[#This Row],[Age]]&gt;69),"N",IF(AND(E65="N",E66="N", RAND()&lt;=D67), "Y", "N"))</f>
        <v>N</v>
      </c>
      <c r="F67" s="3" t="s">
        <v>0</v>
      </c>
      <c r="G67" s="3" t="str">
        <f>IF(JobHopping[[#This Row],[Age]]&lt;40,"",JobHopping[[#This Row],[SwitchP1Static]])</f>
        <v>N</v>
      </c>
      <c r="M67" s="3">
        <v>2020</v>
      </c>
      <c r="N67" s="3" t="s">
        <v>14</v>
      </c>
      <c r="O67" s="3">
        <f>_xlfn.XLOOKUP(M67&amp;"-"&amp;N67,'Djøf Finance Workers'!D:D,'Djøf Finance Workers'!C:C,0,1)</f>
        <v>8658</v>
      </c>
      <c r="P67" s="3">
        <f>_xlfn.XLOOKUP(M67&amp;"-"&amp;N67,'Djøf Finance Hoppers'!D:D,'Djøf Finance Hoppers'!C:C,0,1)</f>
        <v>2339</v>
      </c>
      <c r="Q67" s="12">
        <f t="shared" ref="Q67:Q100" si="8">IF(O67&gt;0, P67/O67, 0)</f>
        <v>0.27015477015477013</v>
      </c>
    </row>
    <row r="68" spans="2:17" x14ac:dyDescent="0.35">
      <c r="B68" s="3">
        <v>90</v>
      </c>
      <c r="C68" s="3" t="str">
        <f t="shared" si="6"/>
        <v>65+ år</v>
      </c>
      <c r="D68" s="12">
        <f t="shared" si="7"/>
        <v>0.11691873000664299</v>
      </c>
      <c r="E68" s="3" t="str">
        <f ca="1">IF(OR(JobHopping[[#This Row],[Age]]=25,JobHopping[[#This Row],[Age]]&gt;69),"N",IF(AND(E66="N",E67="N", RAND()&lt;=D68), "Y", "N"))</f>
        <v>N</v>
      </c>
      <c r="F68" s="3" t="s">
        <v>0</v>
      </c>
      <c r="G68" s="3" t="str">
        <f>IF(JobHopping[[#This Row],[Age]]&lt;40,"",JobHopping[[#This Row],[SwitchP1Static]])</f>
        <v>N</v>
      </c>
      <c r="M68" s="3">
        <v>2020</v>
      </c>
      <c r="N68" s="3" t="s">
        <v>15</v>
      </c>
      <c r="O68" s="3">
        <f>_xlfn.XLOOKUP(M68&amp;"-"&amp;N68,'Djøf Finance Workers'!D:D,'Djøf Finance Workers'!C:C,0,1)</f>
        <v>8798</v>
      </c>
      <c r="P68" s="3">
        <f>_xlfn.XLOOKUP(M68&amp;"-"&amp;N68,'Djøf Finance Hoppers'!D:D,'Djøf Finance Hoppers'!C:C,0,1)</f>
        <v>1929</v>
      </c>
      <c r="Q68" s="12">
        <f t="shared" si="8"/>
        <v>0.21925437599454423</v>
      </c>
    </row>
    <row r="69" spans="2:17" x14ac:dyDescent="0.35">
      <c r="B69" s="3">
        <v>91</v>
      </c>
      <c r="C69" s="3" t="str">
        <f t="shared" si="6"/>
        <v>65+ år</v>
      </c>
      <c r="D69" s="12">
        <f t="shared" si="7"/>
        <v>0.11691873000664299</v>
      </c>
      <c r="E69" s="3" t="str">
        <f ca="1">IF(OR(JobHopping[[#This Row],[Age]]=25,JobHopping[[#This Row],[Age]]&gt;69),"N",IF(AND(E67="N",E68="N", RAND()&lt;=D69), "Y", "N"))</f>
        <v>N</v>
      </c>
      <c r="F69" s="3" t="s">
        <v>0</v>
      </c>
      <c r="G69" s="3" t="str">
        <f>IF(JobHopping[[#This Row],[Age]]&lt;40,"",JobHopping[[#This Row],[SwitchP1Static]])</f>
        <v>N</v>
      </c>
      <c r="M69" s="3">
        <v>2020</v>
      </c>
      <c r="N69" s="3" t="s">
        <v>16</v>
      </c>
      <c r="O69" s="3">
        <f>_xlfn.XLOOKUP(M69&amp;"-"&amp;N69,'Djøf Finance Workers'!D:D,'Djøf Finance Workers'!C:C,0,1)</f>
        <v>10129</v>
      </c>
      <c r="P69" s="3">
        <f>_xlfn.XLOOKUP(M69&amp;"-"&amp;N69,'Djøf Finance Hoppers'!D:D,'Djøf Finance Hoppers'!C:C,0,1)</f>
        <v>1758</v>
      </c>
      <c r="Q69" s="12">
        <f t="shared" si="8"/>
        <v>0.17356106229637674</v>
      </c>
    </row>
    <row r="70" spans="2:17" x14ac:dyDescent="0.35">
      <c r="B70" s="3">
        <v>92</v>
      </c>
      <c r="C70" s="3" t="str">
        <f t="shared" ref="C70:C78" si="9">IF(B70&lt;30, "25-29 år", IF(B70&lt;35, "30-34 år", IF(B70&lt;40, "35-39 år", IF(B70&lt;45, "40-44 år", IF(B70&lt;50, "45-49 år", IF(B70&lt;55, "50-54 år", IF(B70&lt;60, "55-59 år", IF(B70&lt;65, "60-64 år", "65+ år"))))))))</f>
        <v>65+ år</v>
      </c>
      <c r="D70" s="12">
        <f t="shared" si="7"/>
        <v>0.11691873000664299</v>
      </c>
      <c r="E70" s="3" t="str">
        <f ca="1">IF(OR(JobHopping[[#This Row],[Age]]=25,JobHopping[[#This Row],[Age]]&gt;69),"N",IF(AND(E68="N",E69="N", RAND()&lt;=D70), "Y", "N"))</f>
        <v>N</v>
      </c>
      <c r="F70" s="3" t="s">
        <v>0</v>
      </c>
      <c r="G70" s="3" t="str">
        <f>IF(JobHopping[[#This Row],[Age]]&lt;40,"",JobHopping[[#This Row],[SwitchP1Static]])</f>
        <v>N</v>
      </c>
      <c r="M70" s="3">
        <v>2020</v>
      </c>
      <c r="N70" s="3" t="s">
        <v>17</v>
      </c>
      <c r="O70" s="3">
        <f>_xlfn.XLOOKUP(M70&amp;"-"&amp;N70,'Djøf Finance Workers'!D:D,'Djøf Finance Workers'!C:C,0,1)</f>
        <v>9740</v>
      </c>
      <c r="P70" s="3">
        <f>_xlfn.XLOOKUP(M70&amp;"-"&amp;N70,'Djøf Finance Hoppers'!D:D,'Djøf Finance Hoppers'!C:C,0,1)</f>
        <v>1654</v>
      </c>
      <c r="Q70" s="12">
        <f t="shared" si="8"/>
        <v>0.1698151950718686</v>
      </c>
    </row>
    <row r="71" spans="2:17" x14ac:dyDescent="0.35">
      <c r="B71" s="3">
        <v>93</v>
      </c>
      <c r="C71" s="3" t="str">
        <f t="shared" si="9"/>
        <v>65+ år</v>
      </c>
      <c r="D71" s="12">
        <f t="shared" si="7"/>
        <v>0.11691873000664299</v>
      </c>
      <c r="E71" s="3" t="str">
        <f ca="1">IF(OR(JobHopping[[#This Row],[Age]]=25,JobHopping[[#This Row],[Age]]&gt;69),"N",IF(AND(E69="N",E70="N", RAND()&lt;=D71), "Y", "N"))</f>
        <v>N</v>
      </c>
      <c r="F71" s="3" t="s">
        <v>0</v>
      </c>
      <c r="G71" s="3" t="str">
        <f>IF(JobHopping[[#This Row],[Age]]&lt;40,"",JobHopping[[#This Row],[SwitchP1Static]])</f>
        <v>N</v>
      </c>
      <c r="M71" s="3">
        <v>2020</v>
      </c>
      <c r="N71" s="3" t="s">
        <v>18</v>
      </c>
      <c r="O71" s="3">
        <f>_xlfn.XLOOKUP(M71&amp;"-"&amp;N71,'Djøf Finance Workers'!D:D,'Djøf Finance Workers'!C:C,0,1)</f>
        <v>11187</v>
      </c>
      <c r="P71" s="3">
        <f>_xlfn.XLOOKUP(M71&amp;"-"&amp;N71,'Djøf Finance Hoppers'!D:D,'Djøf Finance Hoppers'!C:C,0,1)</f>
        <v>1616</v>
      </c>
      <c r="Q71" s="12">
        <f t="shared" si="8"/>
        <v>0.14445338339143649</v>
      </c>
    </row>
    <row r="72" spans="2:17" x14ac:dyDescent="0.35">
      <c r="B72" s="3">
        <v>94</v>
      </c>
      <c r="C72" s="3" t="str">
        <f t="shared" si="9"/>
        <v>65+ år</v>
      </c>
      <c r="D72" s="12">
        <f t="shared" si="7"/>
        <v>0.11691873000664299</v>
      </c>
      <c r="E72" s="3" t="str">
        <f ca="1">IF(OR(JobHopping[[#This Row],[Age]]=25,JobHopping[[#This Row],[Age]]&gt;69),"N",IF(AND(E70="N",E71="N", RAND()&lt;=D72), "Y", "N"))</f>
        <v>N</v>
      </c>
      <c r="F72" s="3" t="s">
        <v>0</v>
      </c>
      <c r="G72" s="3" t="str">
        <f>IF(JobHopping[[#This Row],[Age]]&lt;40,"",JobHopping[[#This Row],[SwitchP1Static]])</f>
        <v>N</v>
      </c>
      <c r="M72" s="3">
        <v>2020</v>
      </c>
      <c r="N72" s="3" t="s">
        <v>19</v>
      </c>
      <c r="O72" s="3">
        <f>_xlfn.XLOOKUP(M72&amp;"-"&amp;N72,'Djøf Finance Workers'!D:D,'Djøf Finance Workers'!C:C,0,1)</f>
        <v>10215</v>
      </c>
      <c r="P72" s="3">
        <f>_xlfn.XLOOKUP(M72&amp;"-"&amp;N72,'Djøf Finance Hoppers'!D:D,'Djøf Finance Hoppers'!C:C,0,1)</f>
        <v>1279</v>
      </c>
      <c r="Q72" s="12">
        <f t="shared" si="8"/>
        <v>0.12520802741067058</v>
      </c>
    </row>
    <row r="73" spans="2:17" x14ac:dyDescent="0.35">
      <c r="B73" s="3">
        <v>95</v>
      </c>
      <c r="C73" s="3" t="str">
        <f t="shared" si="9"/>
        <v>65+ år</v>
      </c>
      <c r="D73" s="12">
        <f t="shared" si="7"/>
        <v>0.11691873000664299</v>
      </c>
      <c r="E73" s="3" t="str">
        <f ca="1">IF(OR(JobHopping[[#This Row],[Age]]=25,JobHopping[[#This Row],[Age]]&gt;69),"N",IF(AND(E71="N",E72="N", RAND()&lt;=D73), "Y", "N"))</f>
        <v>N</v>
      </c>
      <c r="F73" s="3" t="s">
        <v>0</v>
      </c>
      <c r="G73" s="3" t="str">
        <f>IF(JobHopping[[#This Row],[Age]]&lt;40,"",JobHopping[[#This Row],[SwitchP1Static]])</f>
        <v>N</v>
      </c>
      <c r="M73" s="3">
        <v>2020</v>
      </c>
      <c r="N73" s="3" t="s">
        <v>20</v>
      </c>
      <c r="O73" s="3">
        <f>_xlfn.XLOOKUP(M73&amp;"-"&amp;N73,'Djøf Finance Workers'!D:D,'Djøf Finance Workers'!C:C,0,1)</f>
        <v>6305</v>
      </c>
      <c r="P73" s="3">
        <f>_xlfn.XLOOKUP(M73&amp;"-"&amp;N73,'Djøf Finance Hoppers'!D:D,'Djøf Finance Hoppers'!C:C,0,1)</f>
        <v>623</v>
      </c>
      <c r="Q73" s="12">
        <f t="shared" si="8"/>
        <v>9.8810467882632827E-2</v>
      </c>
    </row>
    <row r="74" spans="2:17" x14ac:dyDescent="0.35">
      <c r="B74" s="3">
        <v>96</v>
      </c>
      <c r="C74" s="3" t="str">
        <f t="shared" si="9"/>
        <v>65+ år</v>
      </c>
      <c r="D74" s="12">
        <f t="shared" si="7"/>
        <v>0.11691873000664299</v>
      </c>
      <c r="E74" s="3" t="str">
        <f ca="1">IF(OR(JobHopping[[#This Row],[Age]]=25,JobHopping[[#This Row],[Age]]&gt;69),"N",IF(AND(E72="N",E73="N", RAND()&lt;=D74), "Y", "N"))</f>
        <v>N</v>
      </c>
      <c r="F74" s="3" t="s">
        <v>0</v>
      </c>
      <c r="G74" s="3" t="str">
        <f>IF(JobHopping[[#This Row],[Age]]&lt;40,"",JobHopping[[#This Row],[SwitchP1Static]])</f>
        <v>N</v>
      </c>
      <c r="M74" s="3">
        <v>2020</v>
      </c>
      <c r="N74" s="3" t="s">
        <v>21</v>
      </c>
      <c r="O74" s="3">
        <f>_xlfn.XLOOKUP(M74&amp;"-"&amp;N74,'Djøf Finance Workers'!D:D,'Djøf Finance Workers'!C:C,0,1)</f>
        <v>2231</v>
      </c>
      <c r="P74" s="3">
        <f>_xlfn.XLOOKUP(M74&amp;"-"&amp;N74,'Djøf Finance Hoppers'!D:D,'Djøf Finance Hoppers'!C:C,0,1)</f>
        <v>201</v>
      </c>
      <c r="Q74" s="12">
        <f t="shared" si="8"/>
        <v>9.0094128193635145E-2</v>
      </c>
    </row>
    <row r="75" spans="2:17" x14ac:dyDescent="0.35">
      <c r="B75" s="3">
        <v>97</v>
      </c>
      <c r="C75" s="3" t="str">
        <f t="shared" si="9"/>
        <v>65+ år</v>
      </c>
      <c r="D75" s="12">
        <f t="shared" si="7"/>
        <v>0.11691873000664299</v>
      </c>
      <c r="E75" s="3" t="str">
        <f ca="1">IF(OR(JobHopping[[#This Row],[Age]]=25,JobHopping[[#This Row],[Age]]&gt;69),"N",IF(AND(E73="N",E74="N", RAND()&lt;=D75), "Y", "N"))</f>
        <v>N</v>
      </c>
      <c r="F75" s="3" t="s">
        <v>0</v>
      </c>
      <c r="G75" s="3" t="str">
        <f>IF(JobHopping[[#This Row],[Age]]&lt;40,"",JobHopping[[#This Row],[SwitchP1Static]])</f>
        <v>N</v>
      </c>
      <c r="M75" s="3">
        <v>2021</v>
      </c>
      <c r="N75" s="3" t="s">
        <v>13</v>
      </c>
      <c r="O75" s="3">
        <f>_xlfn.XLOOKUP(M75&amp;"-"&amp;N75,'Djøf Finance Workers'!D:D,'Djøf Finance Workers'!C:C,0,1)</f>
        <v>7687</v>
      </c>
      <c r="P75" s="3">
        <f>_xlfn.XLOOKUP(M75&amp;"-"&amp;N75,'Djøf Finance Hoppers'!D:D,'Djøf Finance Hoppers'!C:C,0,1)</f>
        <v>3854</v>
      </c>
      <c r="Q75" s="12">
        <f t="shared" si="8"/>
        <v>0.50136594250032518</v>
      </c>
    </row>
    <row r="76" spans="2:17" x14ac:dyDescent="0.35">
      <c r="B76" s="3">
        <v>98</v>
      </c>
      <c r="C76" s="3" t="str">
        <f t="shared" si="9"/>
        <v>65+ år</v>
      </c>
      <c r="D76" s="12">
        <f t="shared" si="7"/>
        <v>0.11691873000664299</v>
      </c>
      <c r="E76" s="3" t="str">
        <f ca="1">IF(OR(JobHopping[[#This Row],[Age]]=25,JobHopping[[#This Row],[Age]]&gt;69),"N",IF(AND(E74="N",E75="N", RAND()&lt;=D76), "Y", "N"))</f>
        <v>N</v>
      </c>
      <c r="F76" s="3" t="s">
        <v>0</v>
      </c>
      <c r="G76" s="3" t="str">
        <f>IF(JobHopping[[#This Row],[Age]]&lt;40,"",JobHopping[[#This Row],[SwitchP1Static]])</f>
        <v>N</v>
      </c>
      <c r="M76" s="3">
        <v>2021</v>
      </c>
      <c r="N76" s="3" t="s">
        <v>14</v>
      </c>
      <c r="O76" s="3">
        <f>_xlfn.XLOOKUP(M76&amp;"-"&amp;N76,'Djøf Finance Workers'!D:D,'Djøf Finance Workers'!C:C,0,1)</f>
        <v>8844</v>
      </c>
      <c r="P76" s="3">
        <f>_xlfn.XLOOKUP(M76&amp;"-"&amp;N76,'Djøf Finance Hoppers'!D:D,'Djøf Finance Hoppers'!C:C,0,1)</f>
        <v>3059</v>
      </c>
      <c r="Q76" s="12">
        <f t="shared" si="8"/>
        <v>0.34588421528720037</v>
      </c>
    </row>
    <row r="77" spans="2:17" x14ac:dyDescent="0.35">
      <c r="B77" s="3">
        <v>99</v>
      </c>
      <c r="C77" s="3" t="str">
        <f t="shared" si="9"/>
        <v>65+ år</v>
      </c>
      <c r="D77" s="12">
        <f t="shared" si="7"/>
        <v>0.11691873000664299</v>
      </c>
      <c r="E77" s="3" t="str">
        <f ca="1">IF(OR(JobHopping[[#This Row],[Age]]=25,JobHopping[[#This Row],[Age]]&gt;69),"N",IF(AND(E75="N",E76="N", RAND()&lt;=D77), "Y", "N"))</f>
        <v>N</v>
      </c>
      <c r="F77" s="3" t="s">
        <v>0</v>
      </c>
      <c r="G77" s="3" t="str">
        <f>IF(JobHopping[[#This Row],[Age]]&lt;40,"",JobHopping[[#This Row],[SwitchP1Static]])</f>
        <v>N</v>
      </c>
      <c r="M77" s="3">
        <v>2021</v>
      </c>
      <c r="N77" s="3" t="s">
        <v>15</v>
      </c>
      <c r="O77" s="3">
        <f>_xlfn.XLOOKUP(M77&amp;"-"&amp;N77,'Djøf Finance Workers'!D:D,'Djøf Finance Workers'!C:C,0,1)</f>
        <v>8987</v>
      </c>
      <c r="P77" s="3">
        <f>_xlfn.XLOOKUP(M77&amp;"-"&amp;N77,'Djøf Finance Hoppers'!D:D,'Djøf Finance Hoppers'!C:C,0,1)</f>
        <v>2330</v>
      </c>
      <c r="Q77" s="12">
        <f t="shared" si="8"/>
        <v>0.25926338043841102</v>
      </c>
    </row>
    <row r="78" spans="2:17" x14ac:dyDescent="0.35">
      <c r="B78" s="3">
        <v>100</v>
      </c>
      <c r="C78" s="3" t="str">
        <f t="shared" si="9"/>
        <v>65+ år</v>
      </c>
      <c r="D78" s="12">
        <f t="shared" si="7"/>
        <v>0.11691873000664299</v>
      </c>
      <c r="E78" s="3" t="str">
        <f ca="1">IF(OR(JobHopping[[#This Row],[Age]]=25,JobHopping[[#This Row],[Age]]&gt;69),"N",IF(AND(E76="N",E77="N", RAND()&lt;=D78), "Y", "N"))</f>
        <v>N</v>
      </c>
      <c r="F78" s="3" t="s">
        <v>0</v>
      </c>
      <c r="G78" s="3" t="str">
        <f>IF(JobHopping[[#This Row],[Age]]&lt;40,"",JobHopping[[#This Row],[SwitchP1Static]])</f>
        <v>N</v>
      </c>
      <c r="M78" s="3">
        <v>2021</v>
      </c>
      <c r="N78" s="3" t="s">
        <v>16</v>
      </c>
      <c r="O78" s="3">
        <f>_xlfn.XLOOKUP(M78&amp;"-"&amp;N78,'Djøf Finance Workers'!D:D,'Djøf Finance Workers'!C:C,0,1)</f>
        <v>10002</v>
      </c>
      <c r="P78" s="3">
        <f>_xlfn.XLOOKUP(M78&amp;"-"&amp;N78,'Djøf Finance Hoppers'!D:D,'Djøf Finance Hoppers'!C:C,0,1)</f>
        <v>2220</v>
      </c>
      <c r="Q78" s="12">
        <f t="shared" si="8"/>
        <v>0.22195560887822435</v>
      </c>
    </row>
    <row r="79" spans="2:17" x14ac:dyDescent="0.35">
      <c r="M79" s="3">
        <v>2021</v>
      </c>
      <c r="N79" s="3" t="s">
        <v>17</v>
      </c>
      <c r="O79" s="3">
        <f>_xlfn.XLOOKUP(M79&amp;"-"&amp;N79,'Djøf Finance Workers'!D:D,'Djøf Finance Workers'!C:C,0,1)</f>
        <v>10036</v>
      </c>
      <c r="P79" s="3">
        <f>_xlfn.XLOOKUP(M79&amp;"-"&amp;N79,'Djøf Finance Hoppers'!D:D,'Djøf Finance Hoppers'!C:C,0,1)</f>
        <v>1980</v>
      </c>
      <c r="Q79" s="12">
        <f t="shared" si="8"/>
        <v>0.19728975687524911</v>
      </c>
    </row>
    <row r="80" spans="2:17" x14ac:dyDescent="0.35">
      <c r="M80" s="3">
        <v>2021</v>
      </c>
      <c r="N80" s="3" t="s">
        <v>18</v>
      </c>
      <c r="O80" s="3">
        <f>_xlfn.XLOOKUP(M80&amp;"-"&amp;N80,'Djøf Finance Workers'!D:D,'Djøf Finance Workers'!C:C,0,1)</f>
        <v>10467</v>
      </c>
      <c r="P80" s="3">
        <f>_xlfn.XLOOKUP(M80&amp;"-"&amp;N80,'Djøf Finance Hoppers'!D:D,'Djøf Finance Hoppers'!C:C,0,1)</f>
        <v>1810</v>
      </c>
      <c r="Q80" s="12">
        <f t="shared" si="8"/>
        <v>0.17292442915830705</v>
      </c>
    </row>
    <row r="81" spans="13:17" x14ac:dyDescent="0.35">
      <c r="M81" s="3">
        <v>2021</v>
      </c>
      <c r="N81" s="3" t="s">
        <v>19</v>
      </c>
      <c r="O81" s="3">
        <f>_xlfn.XLOOKUP(M81&amp;"-"&amp;N81,'Djøf Finance Workers'!D:D,'Djøf Finance Workers'!C:C,0,1)</f>
        <v>10749</v>
      </c>
      <c r="P81" s="3">
        <f>_xlfn.XLOOKUP(M81&amp;"-"&amp;N81,'Djøf Finance Hoppers'!D:D,'Djøf Finance Hoppers'!C:C,0,1)</f>
        <v>1631</v>
      </c>
      <c r="Q81" s="12">
        <f t="shared" si="8"/>
        <v>0.15173504512047634</v>
      </c>
    </row>
    <row r="82" spans="13:17" x14ac:dyDescent="0.35">
      <c r="M82" s="3">
        <v>2021</v>
      </c>
      <c r="N82" s="3" t="s">
        <v>20</v>
      </c>
      <c r="O82" s="3">
        <f>_xlfn.XLOOKUP(M82&amp;"-"&amp;N82,'Djøf Finance Workers'!D:D,'Djøf Finance Workers'!C:C,0,1)</f>
        <v>6688</v>
      </c>
      <c r="P82" s="3">
        <f>_xlfn.XLOOKUP(M82&amp;"-"&amp;N82,'Djøf Finance Hoppers'!D:D,'Djøf Finance Hoppers'!C:C,0,1)</f>
        <v>962</v>
      </c>
      <c r="Q82" s="12">
        <f t="shared" si="8"/>
        <v>0.1438397129186603</v>
      </c>
    </row>
    <row r="83" spans="13:17" x14ac:dyDescent="0.35">
      <c r="M83" s="3">
        <v>2021</v>
      </c>
      <c r="N83" s="3" t="s">
        <v>21</v>
      </c>
      <c r="O83" s="3">
        <f>_xlfn.XLOOKUP(M83&amp;"-"&amp;N83,'Djøf Finance Workers'!D:D,'Djøf Finance Workers'!C:C,0,1)</f>
        <v>2522</v>
      </c>
      <c r="P83" s="3">
        <f>_xlfn.XLOOKUP(M83&amp;"-"&amp;N83,'Djøf Finance Hoppers'!D:D,'Djøf Finance Hoppers'!C:C,0,1)</f>
        <v>216</v>
      </c>
      <c r="Q83" s="12">
        <f t="shared" si="8"/>
        <v>8.5646312450436163E-2</v>
      </c>
    </row>
    <row r="84" spans="13:17" x14ac:dyDescent="0.35">
      <c r="M84" s="3">
        <v>2022</v>
      </c>
      <c r="N84" s="3" t="s">
        <v>13</v>
      </c>
      <c r="O84" s="3">
        <f>_xlfn.XLOOKUP(M84&amp;"-"&amp;N84,'Djøf Finance Workers'!D:D,'Djøf Finance Workers'!C:C,0,1)</f>
        <v>8107</v>
      </c>
      <c r="P84" s="3">
        <f>_xlfn.XLOOKUP(M84&amp;"-"&amp;N84,'Djøf Finance Hoppers'!D:D,'Djøf Finance Hoppers'!C:C,0,1)</f>
        <v>3870</v>
      </c>
      <c r="Q84" s="12">
        <f t="shared" si="8"/>
        <v>0.4773652399161219</v>
      </c>
    </row>
    <row r="85" spans="13:17" x14ac:dyDescent="0.35">
      <c r="M85" s="3">
        <v>2022</v>
      </c>
      <c r="N85" s="3" t="s">
        <v>14</v>
      </c>
      <c r="O85" s="3">
        <f>_xlfn.XLOOKUP(M85&amp;"-"&amp;N85,'Djøf Finance Workers'!D:D,'Djøf Finance Workers'!C:C,0,1)</f>
        <v>9307</v>
      </c>
      <c r="P85" s="3">
        <f>_xlfn.XLOOKUP(M85&amp;"-"&amp;N85,'Djøf Finance Hoppers'!D:D,'Djøf Finance Hoppers'!C:C,0,1)</f>
        <v>3004</v>
      </c>
      <c r="Q85" s="12">
        <f t="shared" si="8"/>
        <v>0.3227678091758891</v>
      </c>
    </row>
    <row r="86" spans="13:17" x14ac:dyDescent="0.35">
      <c r="M86" s="3">
        <v>2022</v>
      </c>
      <c r="N86" s="3" t="s">
        <v>15</v>
      </c>
      <c r="O86" s="3">
        <f>_xlfn.XLOOKUP(M86&amp;"-"&amp;N86,'Djøf Finance Workers'!D:D,'Djøf Finance Workers'!C:C,0,1)</f>
        <v>9287</v>
      </c>
      <c r="P86" s="3">
        <f>_xlfn.XLOOKUP(M86&amp;"-"&amp;N86,'Djøf Finance Hoppers'!D:D,'Djøf Finance Hoppers'!C:C,0,1)</f>
        <v>2511</v>
      </c>
      <c r="Q86" s="12">
        <f t="shared" si="8"/>
        <v>0.27037794766878431</v>
      </c>
    </row>
    <row r="87" spans="13:17" x14ac:dyDescent="0.35">
      <c r="M87" s="3">
        <v>2022</v>
      </c>
      <c r="N87" s="3" t="s">
        <v>16</v>
      </c>
      <c r="O87" s="3">
        <f>_xlfn.XLOOKUP(M87&amp;"-"&amp;N87,'Djøf Finance Workers'!D:D,'Djøf Finance Workers'!C:C,0,1)</f>
        <v>9808</v>
      </c>
      <c r="P87" s="3">
        <f>_xlfn.XLOOKUP(M87&amp;"-"&amp;N87,'Djøf Finance Hoppers'!D:D,'Djøf Finance Hoppers'!C:C,0,1)</f>
        <v>2191</v>
      </c>
      <c r="Q87" s="12">
        <f t="shared" si="8"/>
        <v>0.22338907014681891</v>
      </c>
    </row>
    <row r="88" spans="13:17" x14ac:dyDescent="0.35">
      <c r="M88" s="3">
        <v>2022</v>
      </c>
      <c r="N88" s="3" t="s">
        <v>17</v>
      </c>
      <c r="O88" s="3">
        <f>_xlfn.XLOOKUP(M88&amp;"-"&amp;N88,'Djøf Finance Workers'!D:D,'Djøf Finance Workers'!C:C,0,1)</f>
        <v>10063</v>
      </c>
      <c r="P88" s="3">
        <f>_xlfn.XLOOKUP(M88&amp;"-"&amp;N88,'Djøf Finance Hoppers'!D:D,'Djøf Finance Hoppers'!C:C,0,1)</f>
        <v>2044</v>
      </c>
      <c r="Q88" s="12">
        <f t="shared" si="8"/>
        <v>0.20312034184636787</v>
      </c>
    </row>
    <row r="89" spans="13:17" x14ac:dyDescent="0.35">
      <c r="M89" s="3">
        <v>2022</v>
      </c>
      <c r="N89" s="3" t="s">
        <v>18</v>
      </c>
      <c r="O89" s="3">
        <f>_xlfn.XLOOKUP(M89&amp;"-"&amp;N89,'Djøf Finance Workers'!D:D,'Djøf Finance Workers'!C:C,0,1)</f>
        <v>9799</v>
      </c>
      <c r="P89" s="3">
        <f>_xlfn.XLOOKUP(M89&amp;"-"&amp;N89,'Djøf Finance Hoppers'!D:D,'Djøf Finance Hoppers'!C:C,0,1)</f>
        <v>1683</v>
      </c>
      <c r="Q89" s="12">
        <f t="shared" si="8"/>
        <v>0.17175221961424636</v>
      </c>
    </row>
    <row r="90" spans="13:17" x14ac:dyDescent="0.35">
      <c r="M90" s="3">
        <v>2022</v>
      </c>
      <c r="N90" s="3" t="s">
        <v>19</v>
      </c>
      <c r="O90" s="3">
        <f>_xlfn.XLOOKUP(M90&amp;"-"&amp;N90,'Djøf Finance Workers'!D:D,'Djøf Finance Workers'!C:C,0,1)</f>
        <v>11340</v>
      </c>
      <c r="P90" s="3">
        <f>_xlfn.XLOOKUP(M90&amp;"-"&amp;N90,'Djøf Finance Hoppers'!D:D,'Djøf Finance Hoppers'!C:C,0,1)</f>
        <v>1578</v>
      </c>
      <c r="Q90" s="12">
        <f t="shared" si="8"/>
        <v>0.13915343915343914</v>
      </c>
    </row>
    <row r="91" spans="13:17" x14ac:dyDescent="0.35">
      <c r="M91" s="3">
        <v>2022</v>
      </c>
      <c r="N91" s="3" t="s">
        <v>20</v>
      </c>
      <c r="O91" s="3">
        <f>_xlfn.XLOOKUP(M91&amp;"-"&amp;N91,'Djøf Finance Workers'!D:D,'Djøf Finance Workers'!C:C,0,1)</f>
        <v>6943</v>
      </c>
      <c r="P91" s="3">
        <f>_xlfn.XLOOKUP(M91&amp;"-"&amp;N91,'Djøf Finance Hoppers'!D:D,'Djøf Finance Hoppers'!C:C,0,1)</f>
        <v>880</v>
      </c>
      <c r="Q91" s="12">
        <f t="shared" si="8"/>
        <v>0.12674636324355465</v>
      </c>
    </row>
    <row r="92" spans="13:17" x14ac:dyDescent="0.35">
      <c r="M92" s="3">
        <v>2022</v>
      </c>
      <c r="N92" s="3" t="s">
        <v>21</v>
      </c>
      <c r="O92" s="3">
        <f>_xlfn.XLOOKUP(M92&amp;"-"&amp;N92,'Djøf Finance Workers'!D:D,'Djøf Finance Workers'!C:C,0,1)</f>
        <v>2779</v>
      </c>
      <c r="P92" s="3">
        <f>_xlfn.XLOOKUP(M92&amp;"-"&amp;N92,'Djøf Finance Hoppers'!D:D,'Djøf Finance Hoppers'!C:C,0,1)</f>
        <v>265</v>
      </c>
      <c r="Q92" s="12">
        <f t="shared" si="8"/>
        <v>9.5358042461317016E-2</v>
      </c>
    </row>
    <row r="93" spans="13:17" x14ac:dyDescent="0.35">
      <c r="M93" s="3">
        <v>2023</v>
      </c>
      <c r="N93" s="3" t="s">
        <v>13</v>
      </c>
      <c r="O93" s="3">
        <f>_xlfn.XLOOKUP(M93&amp;"-"&amp;N93,'Djøf Finance Workers'!D:D,'Djøf Finance Workers'!C:C,0,1)</f>
        <v>8433</v>
      </c>
      <c r="P93" s="3">
        <f>_xlfn.XLOOKUP(M93&amp;"-"&amp;N93,'Djøf Finance Hoppers'!D:D,'Djøf Finance Hoppers'!C:C,0,1)</f>
        <v>3662</v>
      </c>
      <c r="Q93" s="12">
        <f t="shared" si="8"/>
        <v>0.43424641290169574</v>
      </c>
    </row>
    <row r="94" spans="13:17" x14ac:dyDescent="0.35">
      <c r="M94" s="3">
        <v>2023</v>
      </c>
      <c r="N94" s="3" t="s">
        <v>14</v>
      </c>
      <c r="O94" s="3">
        <f>_xlfn.XLOOKUP(M94&amp;"-"&amp;N94,'Djøf Finance Workers'!D:D,'Djøf Finance Workers'!C:C,0,1)</f>
        <v>9786</v>
      </c>
      <c r="P94" s="3">
        <f>_xlfn.XLOOKUP(M94&amp;"-"&amp;N94,'Djøf Finance Hoppers'!D:D,'Djøf Finance Hoppers'!C:C,0,1)</f>
        <v>2878</v>
      </c>
      <c r="Q94" s="12">
        <f t="shared" si="8"/>
        <v>0.29409360310647864</v>
      </c>
    </row>
    <row r="95" spans="13:17" x14ac:dyDescent="0.35">
      <c r="M95" s="3">
        <v>2023</v>
      </c>
      <c r="N95" s="3" t="s">
        <v>15</v>
      </c>
      <c r="O95" s="3">
        <f>_xlfn.XLOOKUP(M95&amp;"-"&amp;N95,'Djøf Finance Workers'!D:D,'Djøf Finance Workers'!C:C,0,1)</f>
        <v>9648</v>
      </c>
      <c r="P95" s="3">
        <f>_xlfn.XLOOKUP(M95&amp;"-"&amp;N95,'Djøf Finance Hoppers'!D:D,'Djøf Finance Hoppers'!C:C,0,1)</f>
        <v>2160</v>
      </c>
      <c r="Q95" s="12">
        <f t="shared" si="8"/>
        <v>0.22388059701492538</v>
      </c>
    </row>
    <row r="96" spans="13:17" x14ac:dyDescent="0.35">
      <c r="M96" s="3">
        <v>2023</v>
      </c>
      <c r="N96" s="3" t="s">
        <v>16</v>
      </c>
      <c r="O96" s="3">
        <f>_xlfn.XLOOKUP(M96&amp;"-"&amp;N96,'Djøf Finance Workers'!D:D,'Djøf Finance Workers'!C:C,0,1)</f>
        <v>9770</v>
      </c>
      <c r="P96" s="3">
        <f>_xlfn.XLOOKUP(M96&amp;"-"&amp;N96,'Djøf Finance Hoppers'!D:D,'Djøf Finance Hoppers'!C:C,0,1)</f>
        <v>1983</v>
      </c>
      <c r="Q96" s="12">
        <f t="shared" si="8"/>
        <v>0.20296827021494371</v>
      </c>
    </row>
    <row r="97" spans="13:17" x14ac:dyDescent="0.35">
      <c r="M97" s="3">
        <v>2023</v>
      </c>
      <c r="N97" s="3" t="s">
        <v>17</v>
      </c>
      <c r="O97" s="3">
        <f>_xlfn.XLOOKUP(M97&amp;"-"&amp;N97,'Djøf Finance Workers'!D:D,'Djøf Finance Workers'!C:C,0,1)</f>
        <v>10262</v>
      </c>
      <c r="P97" s="3">
        <f>_xlfn.XLOOKUP(M97&amp;"-"&amp;N97,'Djøf Finance Hoppers'!D:D,'Djøf Finance Hoppers'!C:C,0,1)</f>
        <v>1798</v>
      </c>
      <c r="Q97" s="12">
        <f t="shared" si="8"/>
        <v>0.17520951081660496</v>
      </c>
    </row>
    <row r="98" spans="13:17" x14ac:dyDescent="0.35">
      <c r="M98" s="3">
        <v>2023</v>
      </c>
      <c r="N98" s="3" t="s">
        <v>18</v>
      </c>
      <c r="O98" s="3">
        <f>_xlfn.XLOOKUP(M98&amp;"-"&amp;N98,'Djøf Finance Workers'!D:D,'Djøf Finance Workers'!C:C,0,1)</f>
        <v>9513</v>
      </c>
      <c r="P98" s="3">
        <f>_xlfn.XLOOKUP(M98&amp;"-"&amp;N98,'Djøf Finance Hoppers'!D:D,'Djøf Finance Hoppers'!C:C,0,1)</f>
        <v>1564</v>
      </c>
      <c r="Q98" s="12">
        <f t="shared" si="8"/>
        <v>0.1644066014926942</v>
      </c>
    </row>
    <row r="99" spans="13:17" x14ac:dyDescent="0.35">
      <c r="M99" s="3">
        <v>2023</v>
      </c>
      <c r="N99" s="3" t="s">
        <v>19</v>
      </c>
      <c r="O99" s="3">
        <f>_xlfn.XLOOKUP(M99&amp;"-"&amp;N99,'Djøf Finance Workers'!D:D,'Djøf Finance Workers'!C:C,0,1)</f>
        <v>11614</v>
      </c>
      <c r="P99" s="3">
        <f>_xlfn.XLOOKUP(M99&amp;"-"&amp;N99,'Djøf Finance Hoppers'!D:D,'Djøf Finance Hoppers'!C:C,0,1)</f>
        <v>1583</v>
      </c>
      <c r="Q99" s="12">
        <f t="shared" si="8"/>
        <v>0.13630101601515413</v>
      </c>
    </row>
    <row r="100" spans="13:17" x14ac:dyDescent="0.35">
      <c r="M100" s="3">
        <v>2023</v>
      </c>
      <c r="N100" s="3" t="s">
        <v>20</v>
      </c>
      <c r="O100" s="3">
        <f>_xlfn.XLOOKUP(M100&amp;"-"&amp;N100,'Djøf Finance Workers'!D:D,'Djøf Finance Workers'!C:C,0,1)</f>
        <v>7443</v>
      </c>
      <c r="P100" s="3">
        <f>_xlfn.XLOOKUP(M100&amp;"-"&amp;N100,'Djøf Finance Hoppers'!D:D,'Djøf Finance Hoppers'!C:C,0,1)</f>
        <v>896</v>
      </c>
      <c r="Q100" s="12">
        <f t="shared" si="8"/>
        <v>0.12038156657261857</v>
      </c>
    </row>
    <row r="101" spans="13:17" x14ac:dyDescent="0.35">
      <c r="M101" s="3">
        <v>2023</v>
      </c>
      <c r="N101" s="3" t="s">
        <v>21</v>
      </c>
      <c r="O101" s="3">
        <f>_xlfn.XLOOKUP(M101&amp;"-"&amp;N101,'Djøf Finance Workers'!D:D,'Djøf Finance Workers'!C:C,0,1)</f>
        <v>3139</v>
      </c>
      <c r="P101" s="3">
        <f>_xlfn.XLOOKUP(M101&amp;"-"&amp;N101,'Djøf Finance Hoppers'!D:D,'Djøf Finance Hoppers'!C:C,0,1)</f>
        <v>295</v>
      </c>
      <c r="Q101" s="12">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8" tint="0.79998168889431442"/>
  </sheetPr>
  <dimension ref="A1:D146"/>
  <sheetViews>
    <sheetView workbookViewId="0"/>
  </sheetViews>
  <sheetFormatPr defaultRowHeight="14.5" x14ac:dyDescent="0.35"/>
  <cols>
    <col min="2" max="2" width="13" customWidth="1"/>
    <col min="3" max="3" width="31" customWidth="1"/>
  </cols>
  <sheetData>
    <row r="1" spans="1:4" ht="24" thickBot="1" x14ac:dyDescent="0.6">
      <c r="A1" s="4" t="s">
        <v>40</v>
      </c>
      <c r="B1" s="5"/>
      <c r="C1" s="5"/>
    </row>
    <row r="2" spans="1:4" ht="15" thickTop="1" x14ac:dyDescent="0.35">
      <c r="C2" s="6" t="s">
        <v>7</v>
      </c>
    </row>
    <row r="3" spans="1:4" x14ac:dyDescent="0.35">
      <c r="C3" s="6" t="s">
        <v>41</v>
      </c>
    </row>
    <row r="4" spans="1:4" x14ac:dyDescent="0.35">
      <c r="C4" s="6" t="s">
        <v>8</v>
      </c>
    </row>
    <row r="5" spans="1:4" x14ac:dyDescent="0.35">
      <c r="C5" s="6" t="s">
        <v>9</v>
      </c>
    </row>
    <row r="6" spans="1:4" x14ac:dyDescent="0.35">
      <c r="C6" s="6" t="s">
        <v>10</v>
      </c>
    </row>
    <row r="7" spans="1:4" x14ac:dyDescent="0.35">
      <c r="C7" s="6" t="s">
        <v>42</v>
      </c>
    </row>
    <row r="8" spans="1:4" x14ac:dyDescent="0.35">
      <c r="A8" s="6" t="s">
        <v>22</v>
      </c>
      <c r="B8" s="6" t="s">
        <v>13</v>
      </c>
      <c r="C8" s="7">
        <v>3410</v>
      </c>
      <c r="D8" t="str">
        <f t="shared" ref="D8:D71" si="0">A8&amp;"-"&amp;B8</f>
        <v>2009-25-29 år</v>
      </c>
    </row>
    <row r="9" spans="1:4" x14ac:dyDescent="0.35">
      <c r="A9" s="6" t="s">
        <v>22</v>
      </c>
      <c r="B9" s="6" t="s">
        <v>14</v>
      </c>
      <c r="C9" s="7">
        <v>3525</v>
      </c>
      <c r="D9" t="str">
        <f t="shared" si="0"/>
        <v>2009-30-34 år</v>
      </c>
    </row>
    <row r="10" spans="1:4" x14ac:dyDescent="0.35">
      <c r="A10" s="6" t="s">
        <v>22</v>
      </c>
      <c r="B10" s="6" t="s">
        <v>15</v>
      </c>
      <c r="C10" s="7">
        <v>3090</v>
      </c>
      <c r="D10" t="str">
        <f t="shared" si="0"/>
        <v>2009-35-39 år</v>
      </c>
    </row>
    <row r="11" spans="1:4" x14ac:dyDescent="0.35">
      <c r="A11" s="6" t="s">
        <v>22</v>
      </c>
      <c r="B11" s="6" t="s">
        <v>16</v>
      </c>
      <c r="C11" s="7">
        <v>4180</v>
      </c>
      <c r="D11" t="str">
        <f t="shared" si="0"/>
        <v>2009-40-44 år</v>
      </c>
    </row>
    <row r="12" spans="1:4" x14ac:dyDescent="0.35">
      <c r="A12" s="6" t="s">
        <v>22</v>
      </c>
      <c r="B12" s="6" t="s">
        <v>17</v>
      </c>
      <c r="C12" s="7">
        <v>3533</v>
      </c>
      <c r="D12" t="str">
        <f t="shared" si="0"/>
        <v>2009-45-49 år</v>
      </c>
    </row>
    <row r="13" spans="1:4" x14ac:dyDescent="0.35">
      <c r="A13" s="6" t="s">
        <v>22</v>
      </c>
      <c r="B13" s="6" t="s">
        <v>18</v>
      </c>
      <c r="C13" s="7">
        <v>2940</v>
      </c>
      <c r="D13" t="str">
        <f t="shared" si="0"/>
        <v>2009-50-54 år</v>
      </c>
    </row>
    <row r="14" spans="1:4" x14ac:dyDescent="0.35">
      <c r="A14" s="6" t="s">
        <v>22</v>
      </c>
      <c r="B14" s="6" t="s">
        <v>19</v>
      </c>
      <c r="C14" s="7">
        <v>2419</v>
      </c>
      <c r="D14" t="str">
        <f t="shared" si="0"/>
        <v>2009-55-59 år</v>
      </c>
    </row>
    <row r="15" spans="1:4" x14ac:dyDescent="0.35">
      <c r="A15" s="6" t="s">
        <v>22</v>
      </c>
      <c r="B15" s="6" t="s">
        <v>20</v>
      </c>
      <c r="C15" s="7">
        <v>1263</v>
      </c>
      <c r="D15" t="str">
        <f t="shared" si="0"/>
        <v>2009-60-64 år</v>
      </c>
    </row>
    <row r="16" spans="1:4" x14ac:dyDescent="0.35">
      <c r="A16" s="6" t="s">
        <v>22</v>
      </c>
      <c r="B16" s="6" t="s">
        <v>43</v>
      </c>
      <c r="C16" s="7">
        <v>196</v>
      </c>
      <c r="D16" t="str">
        <f t="shared" si="0"/>
        <v>2009-65-69 år</v>
      </c>
    </row>
    <row r="17" spans="1:4" x14ac:dyDescent="0.35">
      <c r="A17" s="6" t="s">
        <v>23</v>
      </c>
      <c r="B17" s="6" t="s">
        <v>13</v>
      </c>
      <c r="C17" s="7">
        <v>2457</v>
      </c>
      <c r="D17" t="str">
        <f t="shared" si="0"/>
        <v>2010-25-29 år</v>
      </c>
    </row>
    <row r="18" spans="1:4" x14ac:dyDescent="0.35">
      <c r="A18" s="6" t="s">
        <v>23</v>
      </c>
      <c r="B18" s="6" t="s">
        <v>14</v>
      </c>
      <c r="C18" s="7">
        <v>2382</v>
      </c>
      <c r="D18" t="str">
        <f t="shared" si="0"/>
        <v>2010-30-34 år</v>
      </c>
    </row>
    <row r="19" spans="1:4" x14ac:dyDescent="0.35">
      <c r="A19" s="6" t="s">
        <v>23</v>
      </c>
      <c r="B19" s="6" t="s">
        <v>15</v>
      </c>
      <c r="C19" s="7">
        <v>1880</v>
      </c>
      <c r="D19" t="str">
        <f t="shared" si="0"/>
        <v>2010-35-39 år</v>
      </c>
    </row>
    <row r="20" spans="1:4" x14ac:dyDescent="0.35">
      <c r="A20" s="6" t="s">
        <v>23</v>
      </c>
      <c r="B20" s="6" t="s">
        <v>16</v>
      </c>
      <c r="C20" s="7">
        <v>2045</v>
      </c>
      <c r="D20" t="str">
        <f t="shared" si="0"/>
        <v>2010-40-44 år</v>
      </c>
    </row>
    <row r="21" spans="1:4" x14ac:dyDescent="0.35">
      <c r="A21" s="6" t="s">
        <v>23</v>
      </c>
      <c r="B21" s="6" t="s">
        <v>17</v>
      </c>
      <c r="C21" s="7">
        <v>1826</v>
      </c>
      <c r="D21" t="str">
        <f t="shared" si="0"/>
        <v>2010-45-49 år</v>
      </c>
    </row>
    <row r="22" spans="1:4" x14ac:dyDescent="0.35">
      <c r="A22" s="6" t="s">
        <v>23</v>
      </c>
      <c r="B22" s="6" t="s">
        <v>18</v>
      </c>
      <c r="C22" s="7">
        <v>1417</v>
      </c>
      <c r="D22" t="str">
        <f t="shared" si="0"/>
        <v>2010-50-54 år</v>
      </c>
    </row>
    <row r="23" spans="1:4" x14ac:dyDescent="0.35">
      <c r="A23" s="6" t="s">
        <v>23</v>
      </c>
      <c r="B23" s="6" t="s">
        <v>19</v>
      </c>
      <c r="C23" s="7">
        <v>1229</v>
      </c>
      <c r="D23" t="str">
        <f t="shared" si="0"/>
        <v>2010-55-59 år</v>
      </c>
    </row>
    <row r="24" spans="1:4" x14ac:dyDescent="0.35">
      <c r="A24" s="6" t="s">
        <v>23</v>
      </c>
      <c r="B24" s="6" t="s">
        <v>20</v>
      </c>
      <c r="C24" s="7">
        <v>712</v>
      </c>
      <c r="D24" t="str">
        <f t="shared" si="0"/>
        <v>2010-60-64 år</v>
      </c>
    </row>
    <row r="25" spans="1:4" x14ac:dyDescent="0.35">
      <c r="A25" s="6" t="s">
        <v>23</v>
      </c>
      <c r="B25" s="6" t="s">
        <v>43</v>
      </c>
      <c r="C25" s="7">
        <v>220</v>
      </c>
      <c r="D25" t="str">
        <f t="shared" si="0"/>
        <v>2010-65-69 år</v>
      </c>
    </row>
    <row r="26" spans="1:4" x14ac:dyDescent="0.35">
      <c r="A26" s="6" t="s">
        <v>24</v>
      </c>
      <c r="B26" s="6" t="s">
        <v>13</v>
      </c>
      <c r="C26" s="7">
        <v>2791</v>
      </c>
      <c r="D26" t="str">
        <f t="shared" si="0"/>
        <v>2011-25-29 år</v>
      </c>
    </row>
    <row r="27" spans="1:4" x14ac:dyDescent="0.35">
      <c r="A27" s="6" t="s">
        <v>24</v>
      </c>
      <c r="B27" s="6" t="s">
        <v>14</v>
      </c>
      <c r="C27" s="7">
        <v>2600</v>
      </c>
      <c r="D27" t="str">
        <f t="shared" si="0"/>
        <v>2011-30-34 år</v>
      </c>
    </row>
    <row r="28" spans="1:4" x14ac:dyDescent="0.35">
      <c r="A28" s="6" t="s">
        <v>24</v>
      </c>
      <c r="B28" s="6" t="s">
        <v>15</v>
      </c>
      <c r="C28" s="7">
        <v>2164</v>
      </c>
      <c r="D28" t="str">
        <f t="shared" si="0"/>
        <v>2011-35-39 år</v>
      </c>
    </row>
    <row r="29" spans="1:4" x14ac:dyDescent="0.35">
      <c r="A29" s="6" t="s">
        <v>24</v>
      </c>
      <c r="B29" s="6" t="s">
        <v>16</v>
      </c>
      <c r="C29" s="7">
        <v>2134</v>
      </c>
      <c r="D29" t="str">
        <f t="shared" si="0"/>
        <v>2011-40-44 år</v>
      </c>
    </row>
    <row r="30" spans="1:4" x14ac:dyDescent="0.35">
      <c r="A30" s="6" t="s">
        <v>24</v>
      </c>
      <c r="B30" s="6" t="s">
        <v>17</v>
      </c>
      <c r="C30" s="7">
        <v>2030</v>
      </c>
      <c r="D30" t="str">
        <f t="shared" si="0"/>
        <v>2011-45-49 år</v>
      </c>
    </row>
    <row r="31" spans="1:4" x14ac:dyDescent="0.35">
      <c r="A31" s="6" t="s">
        <v>24</v>
      </c>
      <c r="B31" s="6" t="s">
        <v>18</v>
      </c>
      <c r="C31" s="7">
        <v>1660</v>
      </c>
      <c r="D31" t="str">
        <f t="shared" si="0"/>
        <v>2011-50-54 år</v>
      </c>
    </row>
    <row r="32" spans="1:4" x14ac:dyDescent="0.35">
      <c r="A32" s="6" t="s">
        <v>24</v>
      </c>
      <c r="B32" s="6" t="s">
        <v>19</v>
      </c>
      <c r="C32" s="7">
        <v>1415</v>
      </c>
      <c r="D32" t="str">
        <f t="shared" si="0"/>
        <v>2011-55-59 år</v>
      </c>
    </row>
    <row r="33" spans="1:4" x14ac:dyDescent="0.35">
      <c r="A33" s="6" t="s">
        <v>24</v>
      </c>
      <c r="B33" s="6" t="s">
        <v>20</v>
      </c>
      <c r="C33" s="7">
        <v>726</v>
      </c>
      <c r="D33" t="str">
        <f t="shared" si="0"/>
        <v>2011-60-64 år</v>
      </c>
    </row>
    <row r="34" spans="1:4" x14ac:dyDescent="0.35">
      <c r="A34" s="6" t="s">
        <v>24</v>
      </c>
      <c r="B34" s="6" t="s">
        <v>43</v>
      </c>
      <c r="C34" s="7">
        <v>197</v>
      </c>
      <c r="D34" t="str">
        <f t="shared" si="0"/>
        <v>2011-65-69 år</v>
      </c>
    </row>
    <row r="35" spans="1:4" x14ac:dyDescent="0.35">
      <c r="A35" s="6" t="s">
        <v>25</v>
      </c>
      <c r="B35" s="6" t="s">
        <v>13</v>
      </c>
      <c r="C35" s="7">
        <v>2457</v>
      </c>
      <c r="D35" t="str">
        <f t="shared" si="0"/>
        <v>2012-25-29 år</v>
      </c>
    </row>
    <row r="36" spans="1:4" x14ac:dyDescent="0.35">
      <c r="A36" s="6" t="s">
        <v>25</v>
      </c>
      <c r="B36" s="6" t="s">
        <v>14</v>
      </c>
      <c r="C36" s="7">
        <v>2116</v>
      </c>
      <c r="D36" t="str">
        <f t="shared" si="0"/>
        <v>2012-30-34 år</v>
      </c>
    </row>
    <row r="37" spans="1:4" x14ac:dyDescent="0.35">
      <c r="A37" s="6" t="s">
        <v>25</v>
      </c>
      <c r="B37" s="6" t="s">
        <v>15</v>
      </c>
      <c r="C37" s="7">
        <v>1935</v>
      </c>
      <c r="D37" t="str">
        <f t="shared" si="0"/>
        <v>2012-35-39 år</v>
      </c>
    </row>
    <row r="38" spans="1:4" x14ac:dyDescent="0.35">
      <c r="A38" s="6" t="s">
        <v>25</v>
      </c>
      <c r="B38" s="6" t="s">
        <v>16</v>
      </c>
      <c r="C38" s="7">
        <v>1734</v>
      </c>
      <c r="D38" t="str">
        <f t="shared" si="0"/>
        <v>2012-40-44 år</v>
      </c>
    </row>
    <row r="39" spans="1:4" x14ac:dyDescent="0.35">
      <c r="A39" s="6" t="s">
        <v>25</v>
      </c>
      <c r="B39" s="6" t="s">
        <v>17</v>
      </c>
      <c r="C39" s="7">
        <v>1913</v>
      </c>
      <c r="D39" t="str">
        <f t="shared" si="0"/>
        <v>2012-45-49 år</v>
      </c>
    </row>
    <row r="40" spans="1:4" x14ac:dyDescent="0.35">
      <c r="A40" s="6" t="s">
        <v>25</v>
      </c>
      <c r="B40" s="6" t="s">
        <v>18</v>
      </c>
      <c r="C40" s="7">
        <v>1465</v>
      </c>
      <c r="D40" t="str">
        <f t="shared" si="0"/>
        <v>2012-50-54 år</v>
      </c>
    </row>
    <row r="41" spans="1:4" x14ac:dyDescent="0.35">
      <c r="A41" s="6" t="s">
        <v>25</v>
      </c>
      <c r="B41" s="6" t="s">
        <v>19</v>
      </c>
      <c r="C41" s="7">
        <v>1254</v>
      </c>
      <c r="D41" t="str">
        <f t="shared" si="0"/>
        <v>2012-55-59 år</v>
      </c>
    </row>
    <row r="42" spans="1:4" x14ac:dyDescent="0.35">
      <c r="A42" s="6" t="s">
        <v>25</v>
      </c>
      <c r="B42" s="6" t="s">
        <v>20</v>
      </c>
      <c r="C42" s="7">
        <v>718</v>
      </c>
      <c r="D42" t="str">
        <f t="shared" si="0"/>
        <v>2012-60-64 år</v>
      </c>
    </row>
    <row r="43" spans="1:4" x14ac:dyDescent="0.35">
      <c r="A43" s="6" t="s">
        <v>25</v>
      </c>
      <c r="B43" s="6" t="s">
        <v>43</v>
      </c>
      <c r="C43" s="7">
        <v>208</v>
      </c>
      <c r="D43" t="str">
        <f t="shared" si="0"/>
        <v>2012-65-69 år</v>
      </c>
    </row>
    <row r="44" spans="1:4" x14ac:dyDescent="0.35">
      <c r="A44" s="6" t="s">
        <v>26</v>
      </c>
      <c r="B44" s="6" t="s">
        <v>13</v>
      </c>
      <c r="C44" s="7">
        <v>2524</v>
      </c>
      <c r="D44" t="str">
        <f t="shared" si="0"/>
        <v>2013-25-29 år</v>
      </c>
    </row>
    <row r="45" spans="1:4" x14ac:dyDescent="0.35">
      <c r="A45" s="6" t="s">
        <v>26</v>
      </c>
      <c r="B45" s="6" t="s">
        <v>14</v>
      </c>
      <c r="C45" s="7">
        <v>2176</v>
      </c>
      <c r="D45" t="str">
        <f t="shared" si="0"/>
        <v>2013-30-34 år</v>
      </c>
    </row>
    <row r="46" spans="1:4" x14ac:dyDescent="0.35">
      <c r="A46" s="6" t="s">
        <v>26</v>
      </c>
      <c r="B46" s="6" t="s">
        <v>15</v>
      </c>
      <c r="C46" s="7">
        <v>1896</v>
      </c>
      <c r="D46" t="str">
        <f t="shared" si="0"/>
        <v>2013-35-39 år</v>
      </c>
    </row>
    <row r="47" spans="1:4" x14ac:dyDescent="0.35">
      <c r="A47" s="6" t="s">
        <v>26</v>
      </c>
      <c r="B47" s="6" t="s">
        <v>16</v>
      </c>
      <c r="C47" s="7">
        <v>1579</v>
      </c>
      <c r="D47" t="str">
        <f t="shared" si="0"/>
        <v>2013-40-44 år</v>
      </c>
    </row>
    <row r="48" spans="1:4" x14ac:dyDescent="0.35">
      <c r="A48" s="6" t="s">
        <v>26</v>
      </c>
      <c r="B48" s="6" t="s">
        <v>17</v>
      </c>
      <c r="C48" s="7">
        <v>1915</v>
      </c>
      <c r="D48" t="str">
        <f t="shared" si="0"/>
        <v>2013-45-49 år</v>
      </c>
    </row>
    <row r="49" spans="1:4" x14ac:dyDescent="0.35">
      <c r="A49" s="6" t="s">
        <v>26</v>
      </c>
      <c r="B49" s="6" t="s">
        <v>18</v>
      </c>
      <c r="C49" s="7">
        <v>1462</v>
      </c>
      <c r="D49" t="str">
        <f t="shared" si="0"/>
        <v>2013-50-54 år</v>
      </c>
    </row>
    <row r="50" spans="1:4" x14ac:dyDescent="0.35">
      <c r="A50" s="6" t="s">
        <v>26</v>
      </c>
      <c r="B50" s="6" t="s">
        <v>19</v>
      </c>
      <c r="C50" s="7">
        <v>1227</v>
      </c>
      <c r="D50" t="str">
        <f t="shared" si="0"/>
        <v>2013-55-59 år</v>
      </c>
    </row>
    <row r="51" spans="1:4" x14ac:dyDescent="0.35">
      <c r="A51" s="6" t="s">
        <v>26</v>
      </c>
      <c r="B51" s="6" t="s">
        <v>20</v>
      </c>
      <c r="C51" s="7">
        <v>667</v>
      </c>
      <c r="D51" t="str">
        <f t="shared" si="0"/>
        <v>2013-60-64 år</v>
      </c>
    </row>
    <row r="52" spans="1:4" x14ac:dyDescent="0.35">
      <c r="A52" s="6" t="s">
        <v>26</v>
      </c>
      <c r="B52" s="6" t="s">
        <v>43</v>
      </c>
      <c r="C52" s="7">
        <v>224</v>
      </c>
      <c r="D52" t="str">
        <f t="shared" si="0"/>
        <v>2013-65-69 år</v>
      </c>
    </row>
    <row r="53" spans="1:4" x14ac:dyDescent="0.35">
      <c r="A53" s="6" t="s">
        <v>27</v>
      </c>
      <c r="B53" s="6" t="s">
        <v>13</v>
      </c>
      <c r="C53" s="7">
        <v>2521</v>
      </c>
      <c r="D53" t="str">
        <f t="shared" si="0"/>
        <v>2014-25-29 år</v>
      </c>
    </row>
    <row r="54" spans="1:4" x14ac:dyDescent="0.35">
      <c r="A54" s="6" t="s">
        <v>27</v>
      </c>
      <c r="B54" s="6" t="s">
        <v>14</v>
      </c>
      <c r="C54" s="7">
        <v>2178</v>
      </c>
      <c r="D54" t="str">
        <f t="shared" si="0"/>
        <v>2014-30-34 år</v>
      </c>
    </row>
    <row r="55" spans="1:4" x14ac:dyDescent="0.35">
      <c r="A55" s="6" t="s">
        <v>27</v>
      </c>
      <c r="B55" s="6" t="s">
        <v>15</v>
      </c>
      <c r="C55" s="7">
        <v>2066</v>
      </c>
      <c r="D55" t="str">
        <f t="shared" si="0"/>
        <v>2014-35-39 år</v>
      </c>
    </row>
    <row r="56" spans="1:4" x14ac:dyDescent="0.35">
      <c r="A56" s="6" t="s">
        <v>27</v>
      </c>
      <c r="B56" s="6" t="s">
        <v>16</v>
      </c>
      <c r="C56" s="7">
        <v>1647</v>
      </c>
      <c r="D56" t="str">
        <f t="shared" si="0"/>
        <v>2014-40-44 år</v>
      </c>
    </row>
    <row r="57" spans="1:4" x14ac:dyDescent="0.35">
      <c r="A57" s="6" t="s">
        <v>27</v>
      </c>
      <c r="B57" s="6" t="s">
        <v>17</v>
      </c>
      <c r="C57" s="7">
        <v>1953</v>
      </c>
      <c r="D57" t="str">
        <f t="shared" si="0"/>
        <v>2014-45-49 år</v>
      </c>
    </row>
    <row r="58" spans="1:4" x14ac:dyDescent="0.35">
      <c r="A58" s="6" t="s">
        <v>27</v>
      </c>
      <c r="B58" s="6" t="s">
        <v>18</v>
      </c>
      <c r="C58" s="7">
        <v>1636</v>
      </c>
      <c r="D58" t="str">
        <f t="shared" si="0"/>
        <v>2014-50-54 år</v>
      </c>
    </row>
    <row r="59" spans="1:4" x14ac:dyDescent="0.35">
      <c r="A59" s="6" t="s">
        <v>27</v>
      </c>
      <c r="B59" s="6" t="s">
        <v>19</v>
      </c>
      <c r="C59" s="7">
        <v>1231</v>
      </c>
      <c r="D59" t="str">
        <f t="shared" si="0"/>
        <v>2014-55-59 år</v>
      </c>
    </row>
    <row r="60" spans="1:4" x14ac:dyDescent="0.35">
      <c r="A60" s="6" t="s">
        <v>27</v>
      </c>
      <c r="B60" s="6" t="s">
        <v>20</v>
      </c>
      <c r="C60" s="7">
        <v>706</v>
      </c>
      <c r="D60" t="str">
        <f t="shared" si="0"/>
        <v>2014-60-64 år</v>
      </c>
    </row>
    <row r="61" spans="1:4" x14ac:dyDescent="0.35">
      <c r="A61" s="6" t="s">
        <v>27</v>
      </c>
      <c r="B61" s="6" t="s">
        <v>43</v>
      </c>
      <c r="C61" s="7">
        <v>204</v>
      </c>
      <c r="D61" t="str">
        <f t="shared" si="0"/>
        <v>2014-65-69 år</v>
      </c>
    </row>
    <row r="62" spans="1:4" x14ac:dyDescent="0.35">
      <c r="A62" s="6" t="s">
        <v>28</v>
      </c>
      <c r="B62" s="6" t="s">
        <v>13</v>
      </c>
      <c r="C62" s="7">
        <v>2715</v>
      </c>
      <c r="D62" t="str">
        <f t="shared" si="0"/>
        <v>2015-25-29 år</v>
      </c>
    </row>
    <row r="63" spans="1:4" x14ac:dyDescent="0.35">
      <c r="A63" s="6" t="s">
        <v>28</v>
      </c>
      <c r="B63" s="6" t="s">
        <v>14</v>
      </c>
      <c r="C63" s="7">
        <v>2473</v>
      </c>
      <c r="D63" t="str">
        <f t="shared" si="0"/>
        <v>2015-30-34 år</v>
      </c>
    </row>
    <row r="64" spans="1:4" x14ac:dyDescent="0.35">
      <c r="A64" s="6" t="s">
        <v>28</v>
      </c>
      <c r="B64" s="6" t="s">
        <v>15</v>
      </c>
      <c r="C64" s="7">
        <v>2378</v>
      </c>
      <c r="D64" t="str">
        <f t="shared" si="0"/>
        <v>2015-35-39 år</v>
      </c>
    </row>
    <row r="65" spans="1:4" x14ac:dyDescent="0.35">
      <c r="A65" s="6" t="s">
        <v>28</v>
      </c>
      <c r="B65" s="6" t="s">
        <v>16</v>
      </c>
      <c r="C65" s="7">
        <v>1902</v>
      </c>
      <c r="D65" t="str">
        <f t="shared" si="0"/>
        <v>2015-40-44 år</v>
      </c>
    </row>
    <row r="66" spans="1:4" x14ac:dyDescent="0.35">
      <c r="A66" s="6" t="s">
        <v>28</v>
      </c>
      <c r="B66" s="6" t="s">
        <v>17</v>
      </c>
      <c r="C66" s="7">
        <v>2085</v>
      </c>
      <c r="D66" t="str">
        <f t="shared" si="0"/>
        <v>2015-45-49 år</v>
      </c>
    </row>
    <row r="67" spans="1:4" x14ac:dyDescent="0.35">
      <c r="A67" s="6" t="s">
        <v>28</v>
      </c>
      <c r="B67" s="6" t="s">
        <v>18</v>
      </c>
      <c r="C67" s="7">
        <v>1717</v>
      </c>
      <c r="D67" t="str">
        <f t="shared" si="0"/>
        <v>2015-50-54 år</v>
      </c>
    </row>
    <row r="68" spans="1:4" x14ac:dyDescent="0.35">
      <c r="A68" s="6" t="s">
        <v>28</v>
      </c>
      <c r="B68" s="6" t="s">
        <v>19</v>
      </c>
      <c r="C68" s="7">
        <v>1226</v>
      </c>
      <c r="D68" t="str">
        <f t="shared" si="0"/>
        <v>2015-55-59 år</v>
      </c>
    </row>
    <row r="69" spans="1:4" x14ac:dyDescent="0.35">
      <c r="A69" s="6" t="s">
        <v>28</v>
      </c>
      <c r="B69" s="6" t="s">
        <v>20</v>
      </c>
      <c r="C69" s="7">
        <v>583</v>
      </c>
      <c r="D69" t="str">
        <f t="shared" si="0"/>
        <v>2015-60-64 år</v>
      </c>
    </row>
    <row r="70" spans="1:4" x14ac:dyDescent="0.35">
      <c r="A70" s="6" t="s">
        <v>28</v>
      </c>
      <c r="B70" s="6" t="s">
        <v>43</v>
      </c>
      <c r="C70" s="7">
        <v>211</v>
      </c>
      <c r="D70" t="str">
        <f t="shared" si="0"/>
        <v>2015-65-69 år</v>
      </c>
    </row>
    <row r="71" spans="1:4" x14ac:dyDescent="0.35">
      <c r="A71" s="6" t="s">
        <v>29</v>
      </c>
      <c r="B71" s="6" t="s">
        <v>13</v>
      </c>
      <c r="C71" s="7">
        <v>3005</v>
      </c>
      <c r="D71" t="str">
        <f t="shared" si="0"/>
        <v>2016-25-29 år</v>
      </c>
    </row>
    <row r="72" spans="1:4" x14ac:dyDescent="0.35">
      <c r="A72" s="6" t="s">
        <v>29</v>
      </c>
      <c r="B72" s="6" t="s">
        <v>14</v>
      </c>
      <c r="C72" s="7">
        <v>2584</v>
      </c>
      <c r="D72" t="str">
        <f t="shared" ref="D72:D135" si="1">A72&amp;"-"&amp;B72</f>
        <v>2016-30-34 år</v>
      </c>
    </row>
    <row r="73" spans="1:4" x14ac:dyDescent="0.35">
      <c r="A73" s="6" t="s">
        <v>29</v>
      </c>
      <c r="B73" s="6" t="s">
        <v>15</v>
      </c>
      <c r="C73" s="7">
        <v>2311</v>
      </c>
      <c r="D73" t="str">
        <f t="shared" si="1"/>
        <v>2016-35-39 år</v>
      </c>
    </row>
    <row r="74" spans="1:4" x14ac:dyDescent="0.35">
      <c r="A74" s="6" t="s">
        <v>29</v>
      </c>
      <c r="B74" s="6" t="s">
        <v>16</v>
      </c>
      <c r="C74" s="7">
        <v>2111</v>
      </c>
      <c r="D74" t="str">
        <f t="shared" si="1"/>
        <v>2016-40-44 år</v>
      </c>
    </row>
    <row r="75" spans="1:4" x14ac:dyDescent="0.35">
      <c r="A75" s="6" t="s">
        <v>29</v>
      </c>
      <c r="B75" s="6" t="s">
        <v>17</v>
      </c>
      <c r="C75" s="7">
        <v>2000</v>
      </c>
      <c r="D75" t="str">
        <f t="shared" si="1"/>
        <v>2016-45-49 år</v>
      </c>
    </row>
    <row r="76" spans="1:4" x14ac:dyDescent="0.35">
      <c r="A76" s="6" t="s">
        <v>29</v>
      </c>
      <c r="B76" s="6" t="s">
        <v>18</v>
      </c>
      <c r="C76" s="7">
        <v>1808</v>
      </c>
      <c r="D76" t="str">
        <f t="shared" si="1"/>
        <v>2016-50-54 år</v>
      </c>
    </row>
    <row r="77" spans="1:4" x14ac:dyDescent="0.35">
      <c r="A77" s="6" t="s">
        <v>29</v>
      </c>
      <c r="B77" s="6" t="s">
        <v>19</v>
      </c>
      <c r="C77" s="7">
        <v>1301</v>
      </c>
      <c r="D77" t="str">
        <f t="shared" si="1"/>
        <v>2016-55-59 år</v>
      </c>
    </row>
    <row r="78" spans="1:4" x14ac:dyDescent="0.35">
      <c r="A78" s="6" t="s">
        <v>29</v>
      </c>
      <c r="B78" s="6" t="s">
        <v>20</v>
      </c>
      <c r="C78" s="7">
        <v>708</v>
      </c>
      <c r="D78" t="str">
        <f t="shared" si="1"/>
        <v>2016-60-64 år</v>
      </c>
    </row>
    <row r="79" spans="1:4" x14ac:dyDescent="0.35">
      <c r="A79" s="6" t="s">
        <v>29</v>
      </c>
      <c r="B79" s="6" t="s">
        <v>43</v>
      </c>
      <c r="C79" s="7">
        <v>183</v>
      </c>
      <c r="D79" t="str">
        <f t="shared" si="1"/>
        <v>2016-65-69 år</v>
      </c>
    </row>
    <row r="80" spans="1:4" x14ac:dyDescent="0.35">
      <c r="A80" s="6" t="s">
        <v>30</v>
      </c>
      <c r="B80" s="6" t="s">
        <v>13</v>
      </c>
      <c r="C80" s="7">
        <v>3106</v>
      </c>
      <c r="D80" t="str">
        <f t="shared" si="1"/>
        <v>2017-25-29 år</v>
      </c>
    </row>
    <row r="81" spans="1:4" x14ac:dyDescent="0.35">
      <c r="A81" s="6" t="s">
        <v>30</v>
      </c>
      <c r="B81" s="6" t="s">
        <v>14</v>
      </c>
      <c r="C81" s="7">
        <v>2692</v>
      </c>
      <c r="D81" t="str">
        <f t="shared" si="1"/>
        <v>2017-30-34 år</v>
      </c>
    </row>
    <row r="82" spans="1:4" x14ac:dyDescent="0.35">
      <c r="A82" s="6" t="s">
        <v>30</v>
      </c>
      <c r="B82" s="6" t="s">
        <v>15</v>
      </c>
      <c r="C82" s="7">
        <v>2452</v>
      </c>
      <c r="D82" t="str">
        <f t="shared" si="1"/>
        <v>2017-35-39 år</v>
      </c>
    </row>
    <row r="83" spans="1:4" x14ac:dyDescent="0.35">
      <c r="A83" s="6" t="s">
        <v>30</v>
      </c>
      <c r="B83" s="6" t="s">
        <v>16</v>
      </c>
      <c r="C83" s="7">
        <v>2105</v>
      </c>
      <c r="D83" t="str">
        <f t="shared" si="1"/>
        <v>2017-40-44 år</v>
      </c>
    </row>
    <row r="84" spans="1:4" x14ac:dyDescent="0.35">
      <c r="A84" s="6" t="s">
        <v>30</v>
      </c>
      <c r="B84" s="6" t="s">
        <v>17</v>
      </c>
      <c r="C84" s="7">
        <v>1892</v>
      </c>
      <c r="D84" t="str">
        <f t="shared" si="1"/>
        <v>2017-45-49 år</v>
      </c>
    </row>
    <row r="85" spans="1:4" x14ac:dyDescent="0.35">
      <c r="A85" s="6" t="s">
        <v>30</v>
      </c>
      <c r="B85" s="6" t="s">
        <v>18</v>
      </c>
      <c r="C85" s="7">
        <v>2042</v>
      </c>
      <c r="D85" t="str">
        <f t="shared" si="1"/>
        <v>2017-50-54 år</v>
      </c>
    </row>
    <row r="86" spans="1:4" x14ac:dyDescent="0.35">
      <c r="A86" s="6" t="s">
        <v>30</v>
      </c>
      <c r="B86" s="6" t="s">
        <v>19</v>
      </c>
      <c r="C86" s="7">
        <v>1410</v>
      </c>
      <c r="D86" t="str">
        <f t="shared" si="1"/>
        <v>2017-55-59 år</v>
      </c>
    </row>
    <row r="87" spans="1:4" x14ac:dyDescent="0.35">
      <c r="A87" s="6" t="s">
        <v>30</v>
      </c>
      <c r="B87" s="6" t="s">
        <v>20</v>
      </c>
      <c r="C87" s="7">
        <v>757</v>
      </c>
      <c r="D87" t="str">
        <f t="shared" si="1"/>
        <v>2017-60-64 år</v>
      </c>
    </row>
    <row r="88" spans="1:4" x14ac:dyDescent="0.35">
      <c r="A88" s="6" t="s">
        <v>30</v>
      </c>
      <c r="B88" s="6" t="s">
        <v>43</v>
      </c>
      <c r="C88" s="7">
        <v>194</v>
      </c>
      <c r="D88" t="str">
        <f t="shared" si="1"/>
        <v>2017-65-69 år</v>
      </c>
    </row>
    <row r="89" spans="1:4" x14ac:dyDescent="0.35">
      <c r="A89" s="6" t="s">
        <v>31</v>
      </c>
      <c r="B89" s="6" t="s">
        <v>13</v>
      </c>
      <c r="C89" s="7">
        <v>3149</v>
      </c>
      <c r="D89" t="str">
        <f t="shared" si="1"/>
        <v>2018-25-29 år</v>
      </c>
    </row>
    <row r="90" spans="1:4" x14ac:dyDescent="0.35">
      <c r="A90" s="6" t="s">
        <v>31</v>
      </c>
      <c r="B90" s="6" t="s">
        <v>14</v>
      </c>
      <c r="C90" s="7">
        <v>2658</v>
      </c>
      <c r="D90" t="str">
        <f t="shared" si="1"/>
        <v>2018-30-34 år</v>
      </c>
    </row>
    <row r="91" spans="1:4" x14ac:dyDescent="0.35">
      <c r="A91" s="6" t="s">
        <v>31</v>
      </c>
      <c r="B91" s="6" t="s">
        <v>15</v>
      </c>
      <c r="C91" s="7">
        <v>2333</v>
      </c>
      <c r="D91" t="str">
        <f t="shared" si="1"/>
        <v>2018-35-39 år</v>
      </c>
    </row>
    <row r="92" spans="1:4" x14ac:dyDescent="0.35">
      <c r="A92" s="6" t="s">
        <v>31</v>
      </c>
      <c r="B92" s="6" t="s">
        <v>16</v>
      </c>
      <c r="C92" s="7">
        <v>2068</v>
      </c>
      <c r="D92" t="str">
        <f t="shared" si="1"/>
        <v>2018-40-44 år</v>
      </c>
    </row>
    <row r="93" spans="1:4" x14ac:dyDescent="0.35">
      <c r="A93" s="6" t="s">
        <v>31</v>
      </c>
      <c r="B93" s="6" t="s">
        <v>17</v>
      </c>
      <c r="C93" s="7">
        <v>1770</v>
      </c>
      <c r="D93" t="str">
        <f t="shared" si="1"/>
        <v>2018-45-49 år</v>
      </c>
    </row>
    <row r="94" spans="1:4" x14ac:dyDescent="0.35">
      <c r="A94" s="6" t="s">
        <v>31</v>
      </c>
      <c r="B94" s="6" t="s">
        <v>18</v>
      </c>
      <c r="C94" s="7">
        <v>2055</v>
      </c>
      <c r="D94" t="str">
        <f t="shared" si="1"/>
        <v>2018-50-54 år</v>
      </c>
    </row>
    <row r="95" spans="1:4" x14ac:dyDescent="0.35">
      <c r="A95" s="6" t="s">
        <v>31</v>
      </c>
      <c r="B95" s="6" t="s">
        <v>19</v>
      </c>
      <c r="C95" s="7">
        <v>1415</v>
      </c>
      <c r="D95" t="str">
        <f t="shared" si="1"/>
        <v>2018-55-59 år</v>
      </c>
    </row>
    <row r="96" spans="1:4" x14ac:dyDescent="0.35">
      <c r="A96" s="6" t="s">
        <v>31</v>
      </c>
      <c r="B96" s="6" t="s">
        <v>20</v>
      </c>
      <c r="C96" s="7">
        <v>681</v>
      </c>
      <c r="D96" t="str">
        <f t="shared" si="1"/>
        <v>2018-60-64 år</v>
      </c>
    </row>
    <row r="97" spans="1:4" x14ac:dyDescent="0.35">
      <c r="A97" s="6" t="s">
        <v>31</v>
      </c>
      <c r="B97" s="6" t="s">
        <v>43</v>
      </c>
      <c r="C97" s="7">
        <v>174</v>
      </c>
      <c r="D97" t="str">
        <f t="shared" si="1"/>
        <v>2018-65-69 år</v>
      </c>
    </row>
    <row r="98" spans="1:4" x14ac:dyDescent="0.35">
      <c r="A98" s="6" t="s">
        <v>32</v>
      </c>
      <c r="B98" s="6" t="s">
        <v>13</v>
      </c>
      <c r="C98" s="7">
        <v>3477</v>
      </c>
      <c r="D98" t="str">
        <f t="shared" si="1"/>
        <v>2019-25-29 år</v>
      </c>
    </row>
    <row r="99" spans="1:4" x14ac:dyDescent="0.35">
      <c r="A99" s="6" t="s">
        <v>32</v>
      </c>
      <c r="B99" s="6" t="s">
        <v>14</v>
      </c>
      <c r="C99" s="7">
        <v>2839</v>
      </c>
      <c r="D99" t="str">
        <f t="shared" si="1"/>
        <v>2019-30-34 år</v>
      </c>
    </row>
    <row r="100" spans="1:4" x14ac:dyDescent="0.35">
      <c r="A100" s="6" t="s">
        <v>32</v>
      </c>
      <c r="B100" s="6" t="s">
        <v>15</v>
      </c>
      <c r="C100" s="7">
        <v>2298</v>
      </c>
      <c r="D100" t="str">
        <f t="shared" si="1"/>
        <v>2019-35-39 år</v>
      </c>
    </row>
    <row r="101" spans="1:4" x14ac:dyDescent="0.35">
      <c r="A101" s="6" t="s">
        <v>32</v>
      </c>
      <c r="B101" s="6" t="s">
        <v>16</v>
      </c>
      <c r="C101" s="7">
        <v>2100</v>
      </c>
      <c r="D101" t="str">
        <f t="shared" si="1"/>
        <v>2019-40-44 år</v>
      </c>
    </row>
    <row r="102" spans="1:4" x14ac:dyDescent="0.35">
      <c r="A102" s="6" t="s">
        <v>32</v>
      </c>
      <c r="B102" s="6" t="s">
        <v>17</v>
      </c>
      <c r="C102" s="7">
        <v>1802</v>
      </c>
      <c r="D102" t="str">
        <f t="shared" si="1"/>
        <v>2019-45-49 år</v>
      </c>
    </row>
    <row r="103" spans="1:4" x14ac:dyDescent="0.35">
      <c r="A103" s="6" t="s">
        <v>32</v>
      </c>
      <c r="B103" s="6" t="s">
        <v>18</v>
      </c>
      <c r="C103" s="7">
        <v>2054</v>
      </c>
      <c r="D103" t="str">
        <f t="shared" si="1"/>
        <v>2019-50-54 år</v>
      </c>
    </row>
    <row r="104" spans="1:4" x14ac:dyDescent="0.35">
      <c r="A104" s="6" t="s">
        <v>32</v>
      </c>
      <c r="B104" s="6" t="s">
        <v>19</v>
      </c>
      <c r="C104" s="7">
        <v>1383</v>
      </c>
      <c r="D104" t="str">
        <f t="shared" si="1"/>
        <v>2019-55-59 år</v>
      </c>
    </row>
    <row r="105" spans="1:4" x14ac:dyDescent="0.35">
      <c r="A105" s="6" t="s">
        <v>32</v>
      </c>
      <c r="B105" s="6" t="s">
        <v>20</v>
      </c>
      <c r="C105" s="7">
        <v>791</v>
      </c>
      <c r="D105" t="str">
        <f t="shared" si="1"/>
        <v>2019-60-64 år</v>
      </c>
    </row>
    <row r="106" spans="1:4" x14ac:dyDescent="0.35">
      <c r="A106" s="6" t="s">
        <v>32</v>
      </c>
      <c r="B106" s="6" t="s">
        <v>43</v>
      </c>
      <c r="C106" s="7">
        <v>188</v>
      </c>
      <c r="D106" t="str">
        <f t="shared" si="1"/>
        <v>2019-65-69 år</v>
      </c>
    </row>
    <row r="107" spans="1:4" x14ac:dyDescent="0.35">
      <c r="A107" s="6" t="s">
        <v>33</v>
      </c>
      <c r="B107" s="6" t="s">
        <v>13</v>
      </c>
      <c r="C107" s="7">
        <v>3028</v>
      </c>
      <c r="D107" t="str">
        <f t="shared" si="1"/>
        <v>2020-25-29 år</v>
      </c>
    </row>
    <row r="108" spans="1:4" x14ac:dyDescent="0.35">
      <c r="A108" s="6" t="s">
        <v>33</v>
      </c>
      <c r="B108" s="6" t="s">
        <v>14</v>
      </c>
      <c r="C108" s="7">
        <v>2339</v>
      </c>
      <c r="D108" t="str">
        <f t="shared" si="1"/>
        <v>2020-30-34 år</v>
      </c>
    </row>
    <row r="109" spans="1:4" x14ac:dyDescent="0.35">
      <c r="A109" s="6" t="s">
        <v>33</v>
      </c>
      <c r="B109" s="6" t="s">
        <v>15</v>
      </c>
      <c r="C109" s="7">
        <v>1929</v>
      </c>
      <c r="D109" t="str">
        <f t="shared" si="1"/>
        <v>2020-35-39 år</v>
      </c>
    </row>
    <row r="110" spans="1:4" x14ac:dyDescent="0.35">
      <c r="A110" s="6" t="s">
        <v>33</v>
      </c>
      <c r="B110" s="6" t="s">
        <v>16</v>
      </c>
      <c r="C110" s="7">
        <v>1758</v>
      </c>
      <c r="D110" t="str">
        <f t="shared" si="1"/>
        <v>2020-40-44 år</v>
      </c>
    </row>
    <row r="111" spans="1:4" x14ac:dyDescent="0.35">
      <c r="A111" s="6" t="s">
        <v>33</v>
      </c>
      <c r="B111" s="6" t="s">
        <v>17</v>
      </c>
      <c r="C111" s="7">
        <v>1654</v>
      </c>
      <c r="D111" t="str">
        <f t="shared" si="1"/>
        <v>2020-45-49 år</v>
      </c>
    </row>
    <row r="112" spans="1:4" x14ac:dyDescent="0.35">
      <c r="A112" s="6" t="s">
        <v>33</v>
      </c>
      <c r="B112" s="6" t="s">
        <v>18</v>
      </c>
      <c r="C112" s="7">
        <v>1616</v>
      </c>
      <c r="D112" t="str">
        <f t="shared" si="1"/>
        <v>2020-50-54 år</v>
      </c>
    </row>
    <row r="113" spans="1:4" x14ac:dyDescent="0.35">
      <c r="A113" s="6" t="s">
        <v>33</v>
      </c>
      <c r="B113" s="6" t="s">
        <v>19</v>
      </c>
      <c r="C113" s="7">
        <v>1279</v>
      </c>
      <c r="D113" t="str">
        <f t="shared" si="1"/>
        <v>2020-55-59 år</v>
      </c>
    </row>
    <row r="114" spans="1:4" x14ac:dyDescent="0.35">
      <c r="A114" s="6" t="s">
        <v>33</v>
      </c>
      <c r="B114" s="6" t="s">
        <v>20</v>
      </c>
      <c r="C114" s="7">
        <v>623</v>
      </c>
      <c r="D114" t="str">
        <f t="shared" si="1"/>
        <v>2020-60-64 år</v>
      </c>
    </row>
    <row r="115" spans="1:4" x14ac:dyDescent="0.35">
      <c r="A115" s="6" t="s">
        <v>33</v>
      </c>
      <c r="B115" s="6" t="s">
        <v>43</v>
      </c>
      <c r="C115" s="7">
        <v>201</v>
      </c>
      <c r="D115" t="str">
        <f t="shared" si="1"/>
        <v>2020-65-69 år</v>
      </c>
    </row>
    <row r="116" spans="1:4" x14ac:dyDescent="0.35">
      <c r="A116" s="6" t="s">
        <v>34</v>
      </c>
      <c r="B116" s="6" t="s">
        <v>13</v>
      </c>
      <c r="C116" s="7">
        <v>3854</v>
      </c>
      <c r="D116" t="str">
        <f t="shared" si="1"/>
        <v>2021-25-29 år</v>
      </c>
    </row>
    <row r="117" spans="1:4" x14ac:dyDescent="0.35">
      <c r="A117" s="6" t="s">
        <v>34</v>
      </c>
      <c r="B117" s="6" t="s">
        <v>14</v>
      </c>
      <c r="C117" s="7">
        <v>3059</v>
      </c>
      <c r="D117" t="str">
        <f t="shared" si="1"/>
        <v>2021-30-34 år</v>
      </c>
    </row>
    <row r="118" spans="1:4" x14ac:dyDescent="0.35">
      <c r="A118" s="6" t="s">
        <v>34</v>
      </c>
      <c r="B118" s="6" t="s">
        <v>15</v>
      </c>
      <c r="C118" s="7">
        <v>2330</v>
      </c>
      <c r="D118" t="str">
        <f t="shared" si="1"/>
        <v>2021-35-39 år</v>
      </c>
    </row>
    <row r="119" spans="1:4" x14ac:dyDescent="0.35">
      <c r="A119" s="6" t="s">
        <v>34</v>
      </c>
      <c r="B119" s="6" t="s">
        <v>16</v>
      </c>
      <c r="C119" s="7">
        <v>2220</v>
      </c>
      <c r="D119" t="str">
        <f t="shared" si="1"/>
        <v>2021-40-44 år</v>
      </c>
    </row>
    <row r="120" spans="1:4" x14ac:dyDescent="0.35">
      <c r="A120" s="6" t="s">
        <v>34</v>
      </c>
      <c r="B120" s="6" t="s">
        <v>17</v>
      </c>
      <c r="C120" s="7">
        <v>1980</v>
      </c>
      <c r="D120" t="str">
        <f t="shared" si="1"/>
        <v>2021-45-49 år</v>
      </c>
    </row>
    <row r="121" spans="1:4" x14ac:dyDescent="0.35">
      <c r="A121" s="6" t="s">
        <v>34</v>
      </c>
      <c r="B121" s="6" t="s">
        <v>18</v>
      </c>
      <c r="C121" s="7">
        <v>1810</v>
      </c>
      <c r="D121" t="str">
        <f t="shared" si="1"/>
        <v>2021-50-54 år</v>
      </c>
    </row>
    <row r="122" spans="1:4" x14ac:dyDescent="0.35">
      <c r="A122" s="6" t="s">
        <v>34</v>
      </c>
      <c r="B122" s="6" t="s">
        <v>19</v>
      </c>
      <c r="C122" s="7">
        <v>1631</v>
      </c>
      <c r="D122" t="str">
        <f t="shared" si="1"/>
        <v>2021-55-59 år</v>
      </c>
    </row>
    <row r="123" spans="1:4" x14ac:dyDescent="0.35">
      <c r="A123" s="6" t="s">
        <v>34</v>
      </c>
      <c r="B123" s="6" t="s">
        <v>20</v>
      </c>
      <c r="C123" s="7">
        <v>962</v>
      </c>
      <c r="D123" t="str">
        <f t="shared" si="1"/>
        <v>2021-60-64 år</v>
      </c>
    </row>
    <row r="124" spans="1:4" x14ac:dyDescent="0.35">
      <c r="A124" s="6" t="s">
        <v>34</v>
      </c>
      <c r="B124" s="6" t="s">
        <v>43</v>
      </c>
      <c r="C124" s="7">
        <v>216</v>
      </c>
      <c r="D124" t="str">
        <f t="shared" si="1"/>
        <v>2021-65-69 år</v>
      </c>
    </row>
    <row r="125" spans="1:4" x14ac:dyDescent="0.35">
      <c r="A125" s="6" t="s">
        <v>35</v>
      </c>
      <c r="B125" s="6" t="s">
        <v>13</v>
      </c>
      <c r="C125" s="7">
        <v>3870</v>
      </c>
      <c r="D125" t="str">
        <f t="shared" si="1"/>
        <v>2022-25-29 år</v>
      </c>
    </row>
    <row r="126" spans="1:4" x14ac:dyDescent="0.35">
      <c r="A126" s="6" t="s">
        <v>35</v>
      </c>
      <c r="B126" s="6" t="s">
        <v>14</v>
      </c>
      <c r="C126" s="7">
        <v>3004</v>
      </c>
      <c r="D126" t="str">
        <f t="shared" si="1"/>
        <v>2022-30-34 år</v>
      </c>
    </row>
    <row r="127" spans="1:4" x14ac:dyDescent="0.35">
      <c r="A127" s="6" t="s">
        <v>35</v>
      </c>
      <c r="B127" s="6" t="s">
        <v>15</v>
      </c>
      <c r="C127" s="7">
        <v>2511</v>
      </c>
      <c r="D127" t="str">
        <f t="shared" si="1"/>
        <v>2022-35-39 år</v>
      </c>
    </row>
    <row r="128" spans="1:4" x14ac:dyDescent="0.35">
      <c r="A128" s="6" t="s">
        <v>35</v>
      </c>
      <c r="B128" s="6" t="s">
        <v>16</v>
      </c>
      <c r="C128" s="7">
        <v>2191</v>
      </c>
      <c r="D128" t="str">
        <f t="shared" si="1"/>
        <v>2022-40-44 år</v>
      </c>
    </row>
    <row r="129" spans="1:4" x14ac:dyDescent="0.35">
      <c r="A129" s="6" t="s">
        <v>35</v>
      </c>
      <c r="B129" s="6" t="s">
        <v>17</v>
      </c>
      <c r="C129" s="7">
        <v>2044</v>
      </c>
      <c r="D129" t="str">
        <f t="shared" si="1"/>
        <v>2022-45-49 år</v>
      </c>
    </row>
    <row r="130" spans="1:4" x14ac:dyDescent="0.35">
      <c r="A130" s="6" t="s">
        <v>35</v>
      </c>
      <c r="B130" s="6" t="s">
        <v>18</v>
      </c>
      <c r="C130" s="7">
        <v>1683</v>
      </c>
      <c r="D130" t="str">
        <f t="shared" si="1"/>
        <v>2022-50-54 år</v>
      </c>
    </row>
    <row r="131" spans="1:4" x14ac:dyDescent="0.35">
      <c r="A131" s="6" t="s">
        <v>35</v>
      </c>
      <c r="B131" s="6" t="s">
        <v>19</v>
      </c>
      <c r="C131" s="7">
        <v>1578</v>
      </c>
      <c r="D131" t="str">
        <f t="shared" si="1"/>
        <v>2022-55-59 år</v>
      </c>
    </row>
    <row r="132" spans="1:4" x14ac:dyDescent="0.35">
      <c r="A132" s="6" t="s">
        <v>35</v>
      </c>
      <c r="B132" s="6" t="s">
        <v>20</v>
      </c>
      <c r="C132" s="7">
        <v>880</v>
      </c>
      <c r="D132" t="str">
        <f t="shared" si="1"/>
        <v>2022-60-64 år</v>
      </c>
    </row>
    <row r="133" spans="1:4" x14ac:dyDescent="0.35">
      <c r="A133" s="6" t="s">
        <v>35</v>
      </c>
      <c r="B133" s="6" t="s">
        <v>43</v>
      </c>
      <c r="C133" s="7">
        <v>265</v>
      </c>
      <c r="D133" t="str">
        <f t="shared" si="1"/>
        <v>2022-65-69 år</v>
      </c>
    </row>
    <row r="134" spans="1:4" x14ac:dyDescent="0.35">
      <c r="A134" s="6" t="s">
        <v>36</v>
      </c>
      <c r="B134" s="6" t="s">
        <v>13</v>
      </c>
      <c r="C134" s="7">
        <v>3662</v>
      </c>
      <c r="D134" t="str">
        <f t="shared" si="1"/>
        <v>2023-25-29 år</v>
      </c>
    </row>
    <row r="135" spans="1:4" x14ac:dyDescent="0.35">
      <c r="A135" s="6" t="s">
        <v>36</v>
      </c>
      <c r="B135" s="6" t="s">
        <v>14</v>
      </c>
      <c r="C135" s="7">
        <v>2878</v>
      </c>
      <c r="D135" t="str">
        <f t="shared" si="1"/>
        <v>2023-30-34 år</v>
      </c>
    </row>
    <row r="136" spans="1:4" x14ac:dyDescent="0.35">
      <c r="A136" s="6" t="s">
        <v>36</v>
      </c>
      <c r="B136" s="6" t="s">
        <v>15</v>
      </c>
      <c r="C136" s="7">
        <v>2160</v>
      </c>
      <c r="D136" t="str">
        <f t="shared" ref="D136:D141" si="2">A136&amp;"-"&amp;B136</f>
        <v>2023-35-39 år</v>
      </c>
    </row>
    <row r="137" spans="1:4" x14ac:dyDescent="0.35">
      <c r="A137" s="6" t="s">
        <v>36</v>
      </c>
      <c r="B137" s="6" t="s">
        <v>16</v>
      </c>
      <c r="C137" s="7">
        <v>1983</v>
      </c>
      <c r="D137" t="str">
        <f t="shared" si="2"/>
        <v>2023-40-44 år</v>
      </c>
    </row>
    <row r="138" spans="1:4" x14ac:dyDescent="0.35">
      <c r="A138" s="6" t="s">
        <v>36</v>
      </c>
      <c r="B138" s="6" t="s">
        <v>17</v>
      </c>
      <c r="C138" s="7">
        <v>1798</v>
      </c>
      <c r="D138" t="str">
        <f t="shared" si="2"/>
        <v>2023-45-49 år</v>
      </c>
    </row>
    <row r="139" spans="1:4" x14ac:dyDescent="0.35">
      <c r="A139" s="6" t="s">
        <v>36</v>
      </c>
      <c r="B139" s="6" t="s">
        <v>18</v>
      </c>
      <c r="C139" s="7">
        <v>1564</v>
      </c>
      <c r="D139" t="str">
        <f t="shared" si="2"/>
        <v>2023-50-54 år</v>
      </c>
    </row>
    <row r="140" spans="1:4" x14ac:dyDescent="0.35">
      <c r="A140" s="6" t="s">
        <v>36</v>
      </c>
      <c r="B140" s="6" t="s">
        <v>19</v>
      </c>
      <c r="C140" s="7">
        <v>1583</v>
      </c>
      <c r="D140" t="str">
        <f t="shared" si="2"/>
        <v>2023-55-59 år</v>
      </c>
    </row>
    <row r="141" spans="1:4" x14ac:dyDescent="0.35">
      <c r="A141" s="6" t="s">
        <v>36</v>
      </c>
      <c r="B141" s="6" t="s">
        <v>20</v>
      </c>
      <c r="C141" s="7">
        <v>896</v>
      </c>
      <c r="D141" t="str">
        <f t="shared" si="2"/>
        <v>2023-60-64 år</v>
      </c>
    </row>
    <row r="142" spans="1:4" ht="15" thickBot="1" x14ac:dyDescent="0.4">
      <c r="A142" s="6" t="s">
        <v>36</v>
      </c>
      <c r="B142" s="6" t="s">
        <v>43</v>
      </c>
      <c r="C142" s="7">
        <v>295</v>
      </c>
      <c r="D142" t="str">
        <f t="shared" ref="D142" si="3">A142&amp;"-"&amp;B142</f>
        <v>2023-65-69 år</v>
      </c>
    </row>
    <row r="143" spans="1:4" ht="15" thickTop="1" x14ac:dyDescent="0.35">
      <c r="A143" s="8"/>
      <c r="B143" s="8"/>
      <c r="C143" s="8"/>
    </row>
    <row r="145" spans="1:1" x14ac:dyDescent="0.35">
      <c r="A145" t="s">
        <v>38</v>
      </c>
    </row>
    <row r="146" spans="1:1" x14ac:dyDescent="0.35">
      <c r="A146" t="s">
        <v>39</v>
      </c>
    </row>
  </sheetData>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8" tint="0.79998168889431442"/>
  </sheetPr>
  <dimension ref="A1:D163"/>
  <sheetViews>
    <sheetView workbookViewId="0"/>
  </sheetViews>
  <sheetFormatPr defaultRowHeight="14.5" x14ac:dyDescent="0.35"/>
  <cols>
    <col min="2" max="2" width="13" customWidth="1"/>
    <col min="3" max="3" width="56" customWidth="1"/>
  </cols>
  <sheetData>
    <row r="1" spans="1:4" ht="24" thickBot="1" x14ac:dyDescent="0.6">
      <c r="A1" s="4" t="s">
        <v>6</v>
      </c>
      <c r="B1" s="5"/>
      <c r="C1" s="5"/>
    </row>
    <row r="2" spans="1:4" ht="15" thickTop="1" x14ac:dyDescent="0.35">
      <c r="C2" s="6" t="s">
        <v>7</v>
      </c>
    </row>
    <row r="3" spans="1:4" x14ac:dyDescent="0.35">
      <c r="C3" s="6" t="s">
        <v>8</v>
      </c>
    </row>
    <row r="4" spans="1:4" x14ac:dyDescent="0.35">
      <c r="C4" s="6" t="s">
        <v>9</v>
      </c>
    </row>
    <row r="5" spans="1:4" x14ac:dyDescent="0.35">
      <c r="C5" s="6" t="s">
        <v>10</v>
      </c>
    </row>
    <row r="6" spans="1:4" x14ac:dyDescent="0.35">
      <c r="C6" s="6" t="s">
        <v>11</v>
      </c>
    </row>
    <row r="7" spans="1:4" x14ac:dyDescent="0.35">
      <c r="A7" s="6" t="s">
        <v>12</v>
      </c>
      <c r="B7" s="6" t="s">
        <v>13</v>
      </c>
      <c r="C7" s="7">
        <v>6876</v>
      </c>
      <c r="D7" t="str">
        <f t="shared" ref="D7:D70" si="0">A7&amp;"-"&amp;B7</f>
        <v>2008-25-29 år</v>
      </c>
    </row>
    <row r="8" spans="1:4" x14ac:dyDescent="0.35">
      <c r="A8" s="6" t="s">
        <v>12</v>
      </c>
      <c r="B8" s="6" t="s">
        <v>14</v>
      </c>
      <c r="C8" s="7">
        <v>8541</v>
      </c>
      <c r="D8" t="str">
        <f t="shared" si="0"/>
        <v>2008-30-34 år</v>
      </c>
    </row>
    <row r="9" spans="1:4" x14ac:dyDescent="0.35">
      <c r="A9" s="6" t="s">
        <v>12</v>
      </c>
      <c r="B9" s="6" t="s">
        <v>15</v>
      </c>
      <c r="C9" s="7">
        <v>8222</v>
      </c>
      <c r="D9" t="str">
        <f t="shared" si="0"/>
        <v>2008-35-39 år</v>
      </c>
    </row>
    <row r="10" spans="1:4" x14ac:dyDescent="0.35">
      <c r="A10" s="6" t="s">
        <v>12</v>
      </c>
      <c r="B10" s="6" t="s">
        <v>16</v>
      </c>
      <c r="C10" s="7">
        <v>11172</v>
      </c>
      <c r="D10" t="str">
        <f t="shared" si="0"/>
        <v>2008-40-44 år</v>
      </c>
    </row>
    <row r="11" spans="1:4" x14ac:dyDescent="0.35">
      <c r="A11" s="6" t="s">
        <v>12</v>
      </c>
      <c r="B11" s="6" t="s">
        <v>17</v>
      </c>
      <c r="C11" s="7">
        <v>9399</v>
      </c>
      <c r="D11" t="str">
        <f t="shared" si="0"/>
        <v>2008-45-49 år</v>
      </c>
    </row>
    <row r="12" spans="1:4" x14ac:dyDescent="0.35">
      <c r="A12" s="6" t="s">
        <v>12</v>
      </c>
      <c r="B12" s="6" t="s">
        <v>18</v>
      </c>
      <c r="C12" s="7">
        <v>8459</v>
      </c>
      <c r="D12" t="str">
        <f t="shared" si="0"/>
        <v>2008-50-54 år</v>
      </c>
    </row>
    <row r="13" spans="1:4" x14ac:dyDescent="0.35">
      <c r="A13" s="6" t="s">
        <v>12</v>
      </c>
      <c r="B13" s="6" t="s">
        <v>19</v>
      </c>
      <c r="C13" s="7">
        <v>7916</v>
      </c>
      <c r="D13" t="str">
        <f t="shared" si="0"/>
        <v>2008-55-59 år</v>
      </c>
    </row>
    <row r="14" spans="1:4" x14ac:dyDescent="0.35">
      <c r="A14" s="6" t="s">
        <v>12</v>
      </c>
      <c r="B14" s="6" t="s">
        <v>20</v>
      </c>
      <c r="C14" s="7">
        <v>4371</v>
      </c>
      <c r="D14" t="str">
        <f t="shared" si="0"/>
        <v>2008-60-64 år</v>
      </c>
    </row>
    <row r="15" spans="1:4" x14ac:dyDescent="0.35">
      <c r="A15" s="6" t="s">
        <v>12</v>
      </c>
      <c r="B15" s="6" t="s">
        <v>21</v>
      </c>
      <c r="C15" s="7">
        <v>857</v>
      </c>
      <c r="D15" t="str">
        <f t="shared" si="0"/>
        <v>2008-65+ år</v>
      </c>
    </row>
    <row r="16" spans="1:4" x14ac:dyDescent="0.35">
      <c r="A16" s="6" t="s">
        <v>22</v>
      </c>
      <c r="B16" s="6" t="s">
        <v>13</v>
      </c>
      <c r="C16" s="7">
        <v>7284</v>
      </c>
      <c r="D16" t="str">
        <f t="shared" si="0"/>
        <v>2009-25-29 år</v>
      </c>
    </row>
    <row r="17" spans="1:4" x14ac:dyDescent="0.35">
      <c r="A17" s="6" t="s">
        <v>22</v>
      </c>
      <c r="B17" s="6" t="s">
        <v>14</v>
      </c>
      <c r="C17" s="7">
        <v>9750</v>
      </c>
      <c r="D17" t="str">
        <f t="shared" si="0"/>
        <v>2009-30-34 år</v>
      </c>
    </row>
    <row r="18" spans="1:4" x14ac:dyDescent="0.35">
      <c r="A18" s="6" t="s">
        <v>22</v>
      </c>
      <c r="B18" s="6" t="s">
        <v>15</v>
      </c>
      <c r="C18" s="7">
        <v>9328</v>
      </c>
      <c r="D18" t="str">
        <f t="shared" si="0"/>
        <v>2009-35-39 år</v>
      </c>
    </row>
    <row r="19" spans="1:4" x14ac:dyDescent="0.35">
      <c r="A19" s="6" t="s">
        <v>22</v>
      </c>
      <c r="B19" s="6" t="s">
        <v>16</v>
      </c>
      <c r="C19" s="7">
        <v>12571</v>
      </c>
      <c r="D19" t="str">
        <f t="shared" si="0"/>
        <v>2009-40-44 år</v>
      </c>
    </row>
    <row r="20" spans="1:4" x14ac:dyDescent="0.35">
      <c r="A20" s="6" t="s">
        <v>22</v>
      </c>
      <c r="B20" s="6" t="s">
        <v>17</v>
      </c>
      <c r="C20" s="7">
        <v>11248</v>
      </c>
      <c r="D20" t="str">
        <f t="shared" si="0"/>
        <v>2009-45-49 år</v>
      </c>
    </row>
    <row r="21" spans="1:4" x14ac:dyDescent="0.35">
      <c r="A21" s="6" t="s">
        <v>22</v>
      </c>
      <c r="B21" s="6" t="s">
        <v>18</v>
      </c>
      <c r="C21" s="7">
        <v>9862</v>
      </c>
      <c r="D21" t="str">
        <f t="shared" si="0"/>
        <v>2009-50-54 år</v>
      </c>
    </row>
    <row r="22" spans="1:4" x14ac:dyDescent="0.35">
      <c r="A22" s="6" t="s">
        <v>22</v>
      </c>
      <c r="B22" s="6" t="s">
        <v>19</v>
      </c>
      <c r="C22" s="7">
        <v>9081</v>
      </c>
      <c r="D22" t="str">
        <f t="shared" si="0"/>
        <v>2009-55-59 år</v>
      </c>
    </row>
    <row r="23" spans="1:4" x14ac:dyDescent="0.35">
      <c r="A23" s="6" t="s">
        <v>22</v>
      </c>
      <c r="B23" s="6" t="s">
        <v>20</v>
      </c>
      <c r="C23" s="7">
        <v>5056</v>
      </c>
      <c r="D23" t="str">
        <f t="shared" si="0"/>
        <v>2009-60-64 år</v>
      </c>
    </row>
    <row r="24" spans="1:4" x14ac:dyDescent="0.35">
      <c r="A24" s="6" t="s">
        <v>22</v>
      </c>
      <c r="B24" s="6" t="s">
        <v>21</v>
      </c>
      <c r="C24" s="7">
        <v>984</v>
      </c>
      <c r="D24" t="str">
        <f t="shared" si="0"/>
        <v>2009-65+ år</v>
      </c>
    </row>
    <row r="25" spans="1:4" x14ac:dyDescent="0.35">
      <c r="A25" s="6" t="s">
        <v>23</v>
      </c>
      <c r="B25" s="6" t="s">
        <v>13</v>
      </c>
      <c r="C25" s="7">
        <v>6802</v>
      </c>
      <c r="D25" t="str">
        <f t="shared" si="0"/>
        <v>2010-25-29 år</v>
      </c>
    </row>
    <row r="26" spans="1:4" x14ac:dyDescent="0.35">
      <c r="A26" s="6" t="s">
        <v>23</v>
      </c>
      <c r="B26" s="6" t="s">
        <v>14</v>
      </c>
      <c r="C26" s="7">
        <v>9673</v>
      </c>
      <c r="D26" t="str">
        <f t="shared" si="0"/>
        <v>2010-30-34 år</v>
      </c>
    </row>
    <row r="27" spans="1:4" x14ac:dyDescent="0.35">
      <c r="A27" s="6" t="s">
        <v>23</v>
      </c>
      <c r="B27" s="6" t="s">
        <v>15</v>
      </c>
      <c r="C27" s="7">
        <v>9565</v>
      </c>
      <c r="D27" t="str">
        <f t="shared" si="0"/>
        <v>2010-35-39 år</v>
      </c>
    </row>
    <row r="28" spans="1:4" x14ac:dyDescent="0.35">
      <c r="A28" s="6" t="s">
        <v>23</v>
      </c>
      <c r="B28" s="6" t="s">
        <v>16</v>
      </c>
      <c r="C28" s="7">
        <v>11893</v>
      </c>
      <c r="D28" t="str">
        <f t="shared" si="0"/>
        <v>2010-40-44 år</v>
      </c>
    </row>
    <row r="29" spans="1:4" x14ac:dyDescent="0.35">
      <c r="A29" s="6" t="s">
        <v>23</v>
      </c>
      <c r="B29" s="6" t="s">
        <v>17</v>
      </c>
      <c r="C29" s="7">
        <v>11808</v>
      </c>
      <c r="D29" t="str">
        <f t="shared" si="0"/>
        <v>2010-45-49 år</v>
      </c>
    </row>
    <row r="30" spans="1:4" x14ac:dyDescent="0.35">
      <c r="A30" s="6" t="s">
        <v>23</v>
      </c>
      <c r="B30" s="6" t="s">
        <v>18</v>
      </c>
      <c r="C30" s="7">
        <v>10091</v>
      </c>
      <c r="D30" t="str">
        <f t="shared" si="0"/>
        <v>2010-50-54 år</v>
      </c>
    </row>
    <row r="31" spans="1:4" x14ac:dyDescent="0.35">
      <c r="A31" s="6" t="s">
        <v>23</v>
      </c>
      <c r="B31" s="6" t="s">
        <v>19</v>
      </c>
      <c r="C31" s="7">
        <v>9186</v>
      </c>
      <c r="D31" t="str">
        <f t="shared" si="0"/>
        <v>2010-55-59 år</v>
      </c>
    </row>
    <row r="32" spans="1:4" x14ac:dyDescent="0.35">
      <c r="A32" s="6" t="s">
        <v>23</v>
      </c>
      <c r="B32" s="6" t="s">
        <v>20</v>
      </c>
      <c r="C32" s="7">
        <v>5175</v>
      </c>
      <c r="D32" t="str">
        <f t="shared" si="0"/>
        <v>2010-60-64 år</v>
      </c>
    </row>
    <row r="33" spans="1:4" x14ac:dyDescent="0.35">
      <c r="A33" s="6" t="s">
        <v>23</v>
      </c>
      <c r="B33" s="6" t="s">
        <v>21</v>
      </c>
      <c r="C33" s="7">
        <v>1161</v>
      </c>
      <c r="D33" t="str">
        <f t="shared" si="0"/>
        <v>2010-65+ år</v>
      </c>
    </row>
    <row r="34" spans="1:4" x14ac:dyDescent="0.35">
      <c r="A34" s="6" t="s">
        <v>24</v>
      </c>
      <c r="B34" s="6" t="s">
        <v>13</v>
      </c>
      <c r="C34" s="7">
        <v>6619</v>
      </c>
      <c r="D34" t="str">
        <f t="shared" si="0"/>
        <v>2011-25-29 år</v>
      </c>
    </row>
    <row r="35" spans="1:4" x14ac:dyDescent="0.35">
      <c r="A35" s="6" t="s">
        <v>24</v>
      </c>
      <c r="B35" s="6" t="s">
        <v>14</v>
      </c>
      <c r="C35" s="7">
        <v>9409</v>
      </c>
      <c r="D35" t="str">
        <f t="shared" si="0"/>
        <v>2011-30-34 år</v>
      </c>
    </row>
    <row r="36" spans="1:4" x14ac:dyDescent="0.35">
      <c r="A36" s="6" t="s">
        <v>24</v>
      </c>
      <c r="B36" s="6" t="s">
        <v>15</v>
      </c>
      <c r="C36" s="7">
        <v>9809</v>
      </c>
      <c r="D36" t="str">
        <f t="shared" si="0"/>
        <v>2011-35-39 år</v>
      </c>
    </row>
    <row r="37" spans="1:4" x14ac:dyDescent="0.35">
      <c r="A37" s="6" t="s">
        <v>24</v>
      </c>
      <c r="B37" s="6" t="s">
        <v>16</v>
      </c>
      <c r="C37" s="7">
        <v>10924</v>
      </c>
      <c r="D37" t="str">
        <f t="shared" si="0"/>
        <v>2011-40-44 år</v>
      </c>
    </row>
    <row r="38" spans="1:4" x14ac:dyDescent="0.35">
      <c r="A38" s="6" t="s">
        <v>24</v>
      </c>
      <c r="B38" s="6" t="s">
        <v>17</v>
      </c>
      <c r="C38" s="7">
        <v>12323</v>
      </c>
      <c r="D38" t="str">
        <f t="shared" si="0"/>
        <v>2011-45-49 år</v>
      </c>
    </row>
    <row r="39" spans="1:4" x14ac:dyDescent="0.35">
      <c r="A39" s="6" t="s">
        <v>24</v>
      </c>
      <c r="B39" s="6" t="s">
        <v>18</v>
      </c>
      <c r="C39" s="7">
        <v>10305</v>
      </c>
      <c r="D39" t="str">
        <f t="shared" si="0"/>
        <v>2011-50-54 år</v>
      </c>
    </row>
    <row r="40" spans="1:4" x14ac:dyDescent="0.35">
      <c r="A40" s="6" t="s">
        <v>24</v>
      </c>
      <c r="B40" s="6" t="s">
        <v>19</v>
      </c>
      <c r="C40" s="7">
        <v>9210</v>
      </c>
      <c r="D40" t="str">
        <f t="shared" si="0"/>
        <v>2011-55-59 år</v>
      </c>
    </row>
    <row r="41" spans="1:4" x14ac:dyDescent="0.35">
      <c r="A41" s="6" t="s">
        <v>24</v>
      </c>
      <c r="B41" s="6" t="s">
        <v>20</v>
      </c>
      <c r="C41" s="7">
        <v>5200</v>
      </c>
      <c r="D41" t="str">
        <f t="shared" si="0"/>
        <v>2011-60-64 år</v>
      </c>
    </row>
    <row r="42" spans="1:4" x14ac:dyDescent="0.35">
      <c r="A42" s="6" t="s">
        <v>24</v>
      </c>
      <c r="B42" s="6" t="s">
        <v>21</v>
      </c>
      <c r="C42" s="7">
        <v>1320</v>
      </c>
      <c r="D42" t="str">
        <f t="shared" si="0"/>
        <v>2011-65+ år</v>
      </c>
    </row>
    <row r="43" spans="1:4" x14ac:dyDescent="0.35">
      <c r="A43" s="6" t="s">
        <v>25</v>
      </c>
      <c r="B43" s="6" t="s">
        <v>13</v>
      </c>
      <c r="C43" s="7">
        <v>6332</v>
      </c>
      <c r="D43" t="str">
        <f t="shared" si="0"/>
        <v>2012-25-29 år</v>
      </c>
    </row>
    <row r="44" spans="1:4" x14ac:dyDescent="0.35">
      <c r="A44" s="6" t="s">
        <v>25</v>
      </c>
      <c r="B44" s="6" t="s">
        <v>14</v>
      </c>
      <c r="C44" s="7">
        <v>8887</v>
      </c>
      <c r="D44" t="str">
        <f t="shared" si="0"/>
        <v>2012-30-34 år</v>
      </c>
    </row>
    <row r="45" spans="1:4" x14ac:dyDescent="0.35">
      <c r="A45" s="6" t="s">
        <v>25</v>
      </c>
      <c r="B45" s="6" t="s">
        <v>15</v>
      </c>
      <c r="C45" s="7">
        <v>9638</v>
      </c>
      <c r="D45" t="str">
        <f t="shared" si="0"/>
        <v>2012-35-39 år</v>
      </c>
    </row>
    <row r="46" spans="1:4" x14ac:dyDescent="0.35">
      <c r="A46" s="6" t="s">
        <v>25</v>
      </c>
      <c r="B46" s="6" t="s">
        <v>16</v>
      </c>
      <c r="C46" s="7">
        <v>9823</v>
      </c>
      <c r="D46" t="str">
        <f t="shared" si="0"/>
        <v>2012-40-44 år</v>
      </c>
    </row>
    <row r="47" spans="1:4" x14ac:dyDescent="0.35">
      <c r="A47" s="6" t="s">
        <v>25</v>
      </c>
      <c r="B47" s="6" t="s">
        <v>17</v>
      </c>
      <c r="C47" s="7">
        <v>12680</v>
      </c>
      <c r="D47" t="str">
        <f t="shared" si="0"/>
        <v>2012-45-49 år</v>
      </c>
    </row>
    <row r="48" spans="1:4" x14ac:dyDescent="0.35">
      <c r="A48" s="6" t="s">
        <v>25</v>
      </c>
      <c r="B48" s="6" t="s">
        <v>18</v>
      </c>
      <c r="C48" s="7">
        <v>10381</v>
      </c>
      <c r="D48" t="str">
        <f t="shared" si="0"/>
        <v>2012-50-54 år</v>
      </c>
    </row>
    <row r="49" spans="1:4" x14ac:dyDescent="0.35">
      <c r="A49" s="6" t="s">
        <v>25</v>
      </c>
      <c r="B49" s="6" t="s">
        <v>19</v>
      </c>
      <c r="C49" s="7">
        <v>9032</v>
      </c>
      <c r="D49" t="str">
        <f t="shared" si="0"/>
        <v>2012-55-59 år</v>
      </c>
    </row>
    <row r="50" spans="1:4" x14ac:dyDescent="0.35">
      <c r="A50" s="6" t="s">
        <v>25</v>
      </c>
      <c r="B50" s="6" t="s">
        <v>20</v>
      </c>
      <c r="C50" s="7">
        <v>5237</v>
      </c>
      <c r="D50" t="str">
        <f t="shared" si="0"/>
        <v>2012-60-64 år</v>
      </c>
    </row>
    <row r="51" spans="1:4" x14ac:dyDescent="0.35">
      <c r="A51" s="6" t="s">
        <v>25</v>
      </c>
      <c r="B51" s="6" t="s">
        <v>21</v>
      </c>
      <c r="C51" s="7">
        <v>1446</v>
      </c>
      <c r="D51" t="str">
        <f t="shared" si="0"/>
        <v>2012-65+ år</v>
      </c>
    </row>
    <row r="52" spans="1:4" x14ac:dyDescent="0.35">
      <c r="A52" s="6" t="s">
        <v>26</v>
      </c>
      <c r="B52" s="6" t="s">
        <v>13</v>
      </c>
      <c r="C52" s="7">
        <v>6202</v>
      </c>
      <c r="D52" t="str">
        <f t="shared" si="0"/>
        <v>2013-25-29 år</v>
      </c>
    </row>
    <row r="53" spans="1:4" x14ac:dyDescent="0.35">
      <c r="A53" s="6" t="s">
        <v>26</v>
      </c>
      <c r="B53" s="6" t="s">
        <v>14</v>
      </c>
      <c r="C53" s="7">
        <v>8560</v>
      </c>
      <c r="D53" t="str">
        <f t="shared" si="0"/>
        <v>2013-30-34 år</v>
      </c>
    </row>
    <row r="54" spans="1:4" x14ac:dyDescent="0.35">
      <c r="A54" s="6" t="s">
        <v>26</v>
      </c>
      <c r="B54" s="6" t="s">
        <v>15</v>
      </c>
      <c r="C54" s="7">
        <v>9790</v>
      </c>
      <c r="D54" t="str">
        <f t="shared" si="0"/>
        <v>2013-35-39 år</v>
      </c>
    </row>
    <row r="55" spans="1:4" x14ac:dyDescent="0.35">
      <c r="A55" s="6" t="s">
        <v>26</v>
      </c>
      <c r="B55" s="6" t="s">
        <v>16</v>
      </c>
      <c r="C55" s="7">
        <v>9383</v>
      </c>
      <c r="D55" t="str">
        <f t="shared" si="0"/>
        <v>2013-40-44 år</v>
      </c>
    </row>
    <row r="56" spans="1:4" x14ac:dyDescent="0.35">
      <c r="A56" s="6" t="s">
        <v>26</v>
      </c>
      <c r="B56" s="6" t="s">
        <v>17</v>
      </c>
      <c r="C56" s="7">
        <v>12762</v>
      </c>
      <c r="D56" t="str">
        <f t="shared" si="0"/>
        <v>2013-45-49 år</v>
      </c>
    </row>
    <row r="57" spans="1:4" x14ac:dyDescent="0.35">
      <c r="A57" s="6" t="s">
        <v>26</v>
      </c>
      <c r="B57" s="6" t="s">
        <v>18</v>
      </c>
      <c r="C57" s="7">
        <v>10587</v>
      </c>
      <c r="D57" t="str">
        <f t="shared" si="0"/>
        <v>2013-50-54 år</v>
      </c>
    </row>
    <row r="58" spans="1:4" x14ac:dyDescent="0.35">
      <c r="A58" s="6" t="s">
        <v>26</v>
      </c>
      <c r="B58" s="6" t="s">
        <v>19</v>
      </c>
      <c r="C58" s="7">
        <v>8811</v>
      </c>
      <c r="D58" t="str">
        <f t="shared" si="0"/>
        <v>2013-55-59 år</v>
      </c>
    </row>
    <row r="59" spans="1:4" x14ac:dyDescent="0.35">
      <c r="A59" s="6" t="s">
        <v>26</v>
      </c>
      <c r="B59" s="6" t="s">
        <v>20</v>
      </c>
      <c r="C59" s="7">
        <v>5072</v>
      </c>
      <c r="D59" t="str">
        <f t="shared" si="0"/>
        <v>2013-60-64 år</v>
      </c>
    </row>
    <row r="60" spans="1:4" x14ac:dyDescent="0.35">
      <c r="A60" s="6" t="s">
        <v>26</v>
      </c>
      <c r="B60" s="6" t="s">
        <v>21</v>
      </c>
      <c r="C60" s="7">
        <v>1539</v>
      </c>
      <c r="D60" t="str">
        <f t="shared" si="0"/>
        <v>2013-65+ år</v>
      </c>
    </row>
    <row r="61" spans="1:4" x14ac:dyDescent="0.35">
      <c r="A61" s="6" t="s">
        <v>27</v>
      </c>
      <c r="B61" s="6" t="s">
        <v>13</v>
      </c>
      <c r="C61" s="7">
        <v>6041</v>
      </c>
      <c r="D61" t="str">
        <f t="shared" si="0"/>
        <v>2014-25-29 år</v>
      </c>
    </row>
    <row r="62" spans="1:4" x14ac:dyDescent="0.35">
      <c r="A62" s="6" t="s">
        <v>27</v>
      </c>
      <c r="B62" s="6" t="s">
        <v>14</v>
      </c>
      <c r="C62" s="7">
        <v>8203</v>
      </c>
      <c r="D62" t="str">
        <f t="shared" si="0"/>
        <v>2014-30-34 år</v>
      </c>
    </row>
    <row r="63" spans="1:4" x14ac:dyDescent="0.35">
      <c r="A63" s="6" t="s">
        <v>27</v>
      </c>
      <c r="B63" s="6" t="s">
        <v>15</v>
      </c>
      <c r="C63" s="7">
        <v>9972</v>
      </c>
      <c r="D63" t="str">
        <f t="shared" si="0"/>
        <v>2014-35-39 år</v>
      </c>
    </row>
    <row r="64" spans="1:4" x14ac:dyDescent="0.35">
      <c r="A64" s="6" t="s">
        <v>27</v>
      </c>
      <c r="B64" s="6" t="s">
        <v>16</v>
      </c>
      <c r="C64" s="7">
        <v>9409</v>
      </c>
      <c r="D64" t="str">
        <f t="shared" si="0"/>
        <v>2014-40-44 år</v>
      </c>
    </row>
    <row r="65" spans="1:4" x14ac:dyDescent="0.35">
      <c r="A65" s="6" t="s">
        <v>27</v>
      </c>
      <c r="B65" s="6" t="s">
        <v>17</v>
      </c>
      <c r="C65" s="7">
        <v>12377</v>
      </c>
      <c r="D65" t="str">
        <f t="shared" si="0"/>
        <v>2014-45-49 år</v>
      </c>
    </row>
    <row r="66" spans="1:4" x14ac:dyDescent="0.35">
      <c r="A66" s="6" t="s">
        <v>27</v>
      </c>
      <c r="B66" s="6" t="s">
        <v>18</v>
      </c>
      <c r="C66" s="7">
        <v>10828</v>
      </c>
      <c r="D66" t="str">
        <f t="shared" si="0"/>
        <v>2014-50-54 år</v>
      </c>
    </row>
    <row r="67" spans="1:4" x14ac:dyDescent="0.35">
      <c r="A67" s="6" t="s">
        <v>27</v>
      </c>
      <c r="B67" s="6" t="s">
        <v>19</v>
      </c>
      <c r="C67" s="7">
        <v>8888</v>
      </c>
      <c r="D67" t="str">
        <f t="shared" si="0"/>
        <v>2014-55-59 år</v>
      </c>
    </row>
    <row r="68" spans="1:4" x14ac:dyDescent="0.35">
      <c r="A68" s="6" t="s">
        <v>27</v>
      </c>
      <c r="B68" s="6" t="s">
        <v>20</v>
      </c>
      <c r="C68" s="7">
        <v>5141</v>
      </c>
      <c r="D68" t="str">
        <f t="shared" si="0"/>
        <v>2014-60-64 år</v>
      </c>
    </row>
    <row r="69" spans="1:4" x14ac:dyDescent="0.35">
      <c r="A69" s="6" t="s">
        <v>27</v>
      </c>
      <c r="B69" s="6" t="s">
        <v>21</v>
      </c>
      <c r="C69" s="7">
        <v>1600</v>
      </c>
      <c r="D69" t="str">
        <f t="shared" si="0"/>
        <v>2014-65+ år</v>
      </c>
    </row>
    <row r="70" spans="1:4" x14ac:dyDescent="0.35">
      <c r="A70" s="6" t="s">
        <v>28</v>
      </c>
      <c r="B70" s="6" t="s">
        <v>13</v>
      </c>
      <c r="C70" s="7">
        <v>5834</v>
      </c>
      <c r="D70" t="str">
        <f t="shared" si="0"/>
        <v>2015-25-29 år</v>
      </c>
    </row>
    <row r="71" spans="1:4" x14ac:dyDescent="0.35">
      <c r="A71" s="6" t="s">
        <v>28</v>
      </c>
      <c r="B71" s="6" t="s">
        <v>14</v>
      </c>
      <c r="C71" s="7">
        <v>7834</v>
      </c>
      <c r="D71" t="str">
        <f t="shared" ref="D71:D134" si="1">A71&amp;"-"&amp;B71</f>
        <v>2015-30-34 år</v>
      </c>
    </row>
    <row r="72" spans="1:4" x14ac:dyDescent="0.35">
      <c r="A72" s="6" t="s">
        <v>28</v>
      </c>
      <c r="B72" s="6" t="s">
        <v>15</v>
      </c>
      <c r="C72" s="7">
        <v>9897</v>
      </c>
      <c r="D72" t="str">
        <f t="shared" si="1"/>
        <v>2015-35-39 år</v>
      </c>
    </row>
    <row r="73" spans="1:4" x14ac:dyDescent="0.35">
      <c r="A73" s="6" t="s">
        <v>28</v>
      </c>
      <c r="B73" s="6" t="s">
        <v>16</v>
      </c>
      <c r="C73" s="7">
        <v>9571</v>
      </c>
      <c r="D73" t="str">
        <f t="shared" si="1"/>
        <v>2015-40-44 år</v>
      </c>
    </row>
    <row r="74" spans="1:4" x14ac:dyDescent="0.35">
      <c r="A74" s="6" t="s">
        <v>28</v>
      </c>
      <c r="B74" s="6" t="s">
        <v>17</v>
      </c>
      <c r="C74" s="7">
        <v>11603</v>
      </c>
      <c r="D74" t="str">
        <f t="shared" si="1"/>
        <v>2015-45-49 år</v>
      </c>
    </row>
    <row r="75" spans="1:4" x14ac:dyDescent="0.35">
      <c r="A75" s="6" t="s">
        <v>28</v>
      </c>
      <c r="B75" s="6" t="s">
        <v>18</v>
      </c>
      <c r="C75" s="7">
        <v>11160</v>
      </c>
      <c r="D75" t="str">
        <f t="shared" si="1"/>
        <v>2015-50-54 år</v>
      </c>
    </row>
    <row r="76" spans="1:4" x14ac:dyDescent="0.35">
      <c r="A76" s="6" t="s">
        <v>28</v>
      </c>
      <c r="B76" s="6" t="s">
        <v>19</v>
      </c>
      <c r="C76" s="7">
        <v>8969</v>
      </c>
      <c r="D76" t="str">
        <f t="shared" si="1"/>
        <v>2015-55-59 år</v>
      </c>
    </row>
    <row r="77" spans="1:4" x14ac:dyDescent="0.35">
      <c r="A77" s="6" t="s">
        <v>28</v>
      </c>
      <c r="B77" s="6" t="s">
        <v>20</v>
      </c>
      <c r="C77" s="7">
        <v>5167</v>
      </c>
      <c r="D77" t="str">
        <f t="shared" si="1"/>
        <v>2015-60-64 år</v>
      </c>
    </row>
    <row r="78" spans="1:4" x14ac:dyDescent="0.35">
      <c r="A78" s="6" t="s">
        <v>28</v>
      </c>
      <c r="B78" s="6" t="s">
        <v>21</v>
      </c>
      <c r="C78" s="7">
        <v>1642</v>
      </c>
      <c r="D78" t="str">
        <f t="shared" si="1"/>
        <v>2015-65+ år</v>
      </c>
    </row>
    <row r="79" spans="1:4" x14ac:dyDescent="0.35">
      <c r="A79" s="6" t="s">
        <v>29</v>
      </c>
      <c r="B79" s="6" t="s">
        <v>13</v>
      </c>
      <c r="C79" s="7">
        <v>5701</v>
      </c>
      <c r="D79" t="str">
        <f t="shared" si="1"/>
        <v>2016-25-29 år</v>
      </c>
    </row>
    <row r="80" spans="1:4" x14ac:dyDescent="0.35">
      <c r="A80" s="6" t="s">
        <v>29</v>
      </c>
      <c r="B80" s="6" t="s">
        <v>14</v>
      </c>
      <c r="C80" s="7">
        <v>7831</v>
      </c>
      <c r="D80" t="str">
        <f t="shared" si="1"/>
        <v>2016-30-34 år</v>
      </c>
    </row>
    <row r="81" spans="1:4" x14ac:dyDescent="0.35">
      <c r="A81" s="6" t="s">
        <v>29</v>
      </c>
      <c r="B81" s="6" t="s">
        <v>15</v>
      </c>
      <c r="C81" s="7">
        <v>9564</v>
      </c>
      <c r="D81" t="str">
        <f t="shared" si="1"/>
        <v>2016-35-39 år</v>
      </c>
    </row>
    <row r="82" spans="1:4" x14ac:dyDescent="0.35">
      <c r="A82" s="6" t="s">
        <v>29</v>
      </c>
      <c r="B82" s="6" t="s">
        <v>16</v>
      </c>
      <c r="C82" s="7">
        <v>9711</v>
      </c>
      <c r="D82" t="str">
        <f t="shared" si="1"/>
        <v>2016-40-44 år</v>
      </c>
    </row>
    <row r="83" spans="1:4" x14ac:dyDescent="0.35">
      <c r="A83" s="6" t="s">
        <v>29</v>
      </c>
      <c r="B83" s="6" t="s">
        <v>17</v>
      </c>
      <c r="C83" s="7">
        <v>10533</v>
      </c>
      <c r="D83" t="str">
        <f t="shared" si="1"/>
        <v>2016-45-49 år</v>
      </c>
    </row>
    <row r="84" spans="1:4" x14ac:dyDescent="0.35">
      <c r="A84" s="6" t="s">
        <v>29</v>
      </c>
      <c r="B84" s="6" t="s">
        <v>18</v>
      </c>
      <c r="C84" s="7">
        <v>11490</v>
      </c>
      <c r="D84" t="str">
        <f t="shared" si="1"/>
        <v>2016-50-54 år</v>
      </c>
    </row>
    <row r="85" spans="1:4" x14ac:dyDescent="0.35">
      <c r="A85" s="6" t="s">
        <v>29</v>
      </c>
      <c r="B85" s="6" t="s">
        <v>19</v>
      </c>
      <c r="C85" s="7">
        <v>9121</v>
      </c>
      <c r="D85" t="str">
        <f t="shared" si="1"/>
        <v>2016-55-59 år</v>
      </c>
    </row>
    <row r="86" spans="1:4" x14ac:dyDescent="0.35">
      <c r="A86" s="6" t="s">
        <v>29</v>
      </c>
      <c r="B86" s="6" t="s">
        <v>20</v>
      </c>
      <c r="C86" s="7">
        <v>5304</v>
      </c>
      <c r="D86" t="str">
        <f t="shared" si="1"/>
        <v>2016-60-64 år</v>
      </c>
    </row>
    <row r="87" spans="1:4" x14ac:dyDescent="0.35">
      <c r="A87" s="6" t="s">
        <v>29</v>
      </c>
      <c r="B87" s="6" t="s">
        <v>21</v>
      </c>
      <c r="C87" s="7">
        <v>1680</v>
      </c>
      <c r="D87" t="str">
        <f t="shared" si="1"/>
        <v>2016-65+ år</v>
      </c>
    </row>
    <row r="88" spans="1:4" x14ac:dyDescent="0.35">
      <c r="A88" s="6" t="s">
        <v>30</v>
      </c>
      <c r="B88" s="6" t="s">
        <v>13</v>
      </c>
      <c r="C88" s="7">
        <v>5951</v>
      </c>
      <c r="D88" t="str">
        <f t="shared" si="1"/>
        <v>2017-25-29 år</v>
      </c>
    </row>
    <row r="89" spans="1:4" x14ac:dyDescent="0.35">
      <c r="A89" s="6" t="s">
        <v>30</v>
      </c>
      <c r="B89" s="6" t="s">
        <v>14</v>
      </c>
      <c r="C89" s="7">
        <v>8016</v>
      </c>
      <c r="D89" t="str">
        <f t="shared" si="1"/>
        <v>2017-30-34 år</v>
      </c>
    </row>
    <row r="90" spans="1:4" x14ac:dyDescent="0.35">
      <c r="A90" s="6" t="s">
        <v>30</v>
      </c>
      <c r="B90" s="6" t="s">
        <v>15</v>
      </c>
      <c r="C90" s="7">
        <v>9344</v>
      </c>
      <c r="D90" t="str">
        <f t="shared" si="1"/>
        <v>2017-35-39 år</v>
      </c>
    </row>
    <row r="91" spans="1:4" x14ac:dyDescent="0.35">
      <c r="A91" s="6" t="s">
        <v>30</v>
      </c>
      <c r="B91" s="6" t="s">
        <v>16</v>
      </c>
      <c r="C91" s="7">
        <v>9699</v>
      </c>
      <c r="D91" t="str">
        <f t="shared" si="1"/>
        <v>2017-40-44 år</v>
      </c>
    </row>
    <row r="92" spans="1:4" x14ac:dyDescent="0.35">
      <c r="A92" s="6" t="s">
        <v>30</v>
      </c>
      <c r="B92" s="6" t="s">
        <v>17</v>
      </c>
      <c r="C92" s="7">
        <v>9778</v>
      </c>
      <c r="D92" t="str">
        <f t="shared" si="1"/>
        <v>2017-45-49 år</v>
      </c>
    </row>
    <row r="93" spans="1:4" x14ac:dyDescent="0.35">
      <c r="A93" s="6" t="s">
        <v>30</v>
      </c>
      <c r="B93" s="6" t="s">
        <v>18</v>
      </c>
      <c r="C93" s="7">
        <v>11940</v>
      </c>
      <c r="D93" t="str">
        <f t="shared" si="1"/>
        <v>2017-50-54 år</v>
      </c>
    </row>
    <row r="94" spans="1:4" x14ac:dyDescent="0.35">
      <c r="A94" s="6" t="s">
        <v>30</v>
      </c>
      <c r="B94" s="6" t="s">
        <v>19</v>
      </c>
      <c r="C94" s="7">
        <v>9231</v>
      </c>
      <c r="D94" t="str">
        <f t="shared" si="1"/>
        <v>2017-55-59 år</v>
      </c>
    </row>
    <row r="95" spans="1:4" x14ac:dyDescent="0.35">
      <c r="A95" s="6" t="s">
        <v>30</v>
      </c>
      <c r="B95" s="6" t="s">
        <v>20</v>
      </c>
      <c r="C95" s="7">
        <v>5403</v>
      </c>
      <c r="D95" t="str">
        <f t="shared" si="1"/>
        <v>2017-60-64 år</v>
      </c>
    </row>
    <row r="96" spans="1:4" x14ac:dyDescent="0.35">
      <c r="A96" s="6" t="s">
        <v>30</v>
      </c>
      <c r="B96" s="6" t="s">
        <v>21</v>
      </c>
      <c r="C96" s="7">
        <v>1775</v>
      </c>
      <c r="D96" t="str">
        <f t="shared" si="1"/>
        <v>2017-65+ år</v>
      </c>
    </row>
    <row r="97" spans="1:4" x14ac:dyDescent="0.35">
      <c r="A97" s="6" t="s">
        <v>31</v>
      </c>
      <c r="B97" s="6" t="s">
        <v>13</v>
      </c>
      <c r="C97" s="7">
        <v>6353</v>
      </c>
      <c r="D97" t="str">
        <f t="shared" si="1"/>
        <v>2018-25-29 år</v>
      </c>
    </row>
    <row r="98" spans="1:4" x14ac:dyDescent="0.35">
      <c r="A98" s="6" t="s">
        <v>31</v>
      </c>
      <c r="B98" s="6" t="s">
        <v>14</v>
      </c>
      <c r="C98" s="7">
        <v>8276</v>
      </c>
      <c r="D98" t="str">
        <f t="shared" si="1"/>
        <v>2018-30-34 år</v>
      </c>
    </row>
    <row r="99" spans="1:4" x14ac:dyDescent="0.35">
      <c r="A99" s="6" t="s">
        <v>31</v>
      </c>
      <c r="B99" s="6" t="s">
        <v>15</v>
      </c>
      <c r="C99" s="7">
        <v>9245</v>
      </c>
      <c r="D99" t="str">
        <f t="shared" si="1"/>
        <v>2018-35-39 år</v>
      </c>
    </row>
    <row r="100" spans="1:4" x14ac:dyDescent="0.35">
      <c r="A100" s="6" t="s">
        <v>31</v>
      </c>
      <c r="B100" s="6" t="s">
        <v>16</v>
      </c>
      <c r="C100" s="7">
        <v>9937</v>
      </c>
      <c r="D100" t="str">
        <f t="shared" si="1"/>
        <v>2018-40-44 år</v>
      </c>
    </row>
    <row r="101" spans="1:4" x14ac:dyDescent="0.35">
      <c r="A101" s="6" t="s">
        <v>31</v>
      </c>
      <c r="B101" s="6" t="s">
        <v>17</v>
      </c>
      <c r="C101" s="7">
        <v>9488</v>
      </c>
      <c r="D101" t="str">
        <f t="shared" si="1"/>
        <v>2018-45-49 år</v>
      </c>
    </row>
    <row r="102" spans="1:4" x14ac:dyDescent="0.35">
      <c r="A102" s="6" t="s">
        <v>31</v>
      </c>
      <c r="B102" s="6" t="s">
        <v>18</v>
      </c>
      <c r="C102" s="7">
        <v>12171</v>
      </c>
      <c r="D102" t="str">
        <f t="shared" si="1"/>
        <v>2018-50-54 år</v>
      </c>
    </row>
    <row r="103" spans="1:4" x14ac:dyDescent="0.35">
      <c r="A103" s="6" t="s">
        <v>31</v>
      </c>
      <c r="B103" s="6" t="s">
        <v>19</v>
      </c>
      <c r="C103" s="7">
        <v>9537</v>
      </c>
      <c r="D103" t="str">
        <f t="shared" si="1"/>
        <v>2018-55-59 år</v>
      </c>
    </row>
    <row r="104" spans="1:4" x14ac:dyDescent="0.35">
      <c r="A104" s="6" t="s">
        <v>31</v>
      </c>
      <c r="B104" s="6" t="s">
        <v>20</v>
      </c>
      <c r="C104" s="7">
        <v>5638</v>
      </c>
      <c r="D104" t="str">
        <f t="shared" si="1"/>
        <v>2018-60-64 år</v>
      </c>
    </row>
    <row r="105" spans="1:4" x14ac:dyDescent="0.35">
      <c r="A105" s="6" t="s">
        <v>31</v>
      </c>
      <c r="B105" s="6" t="s">
        <v>21</v>
      </c>
      <c r="C105" s="7">
        <v>1897</v>
      </c>
      <c r="D105" t="str">
        <f t="shared" si="1"/>
        <v>2018-65+ år</v>
      </c>
    </row>
    <row r="106" spans="1:4" x14ac:dyDescent="0.35">
      <c r="A106" s="6" t="s">
        <v>32</v>
      </c>
      <c r="B106" s="6" t="s">
        <v>13</v>
      </c>
      <c r="C106" s="7">
        <v>6883</v>
      </c>
      <c r="D106" t="str">
        <f t="shared" si="1"/>
        <v>2019-25-29 år</v>
      </c>
    </row>
    <row r="107" spans="1:4" x14ac:dyDescent="0.35">
      <c r="A107" s="6" t="s">
        <v>32</v>
      </c>
      <c r="B107" s="6" t="s">
        <v>14</v>
      </c>
      <c r="C107" s="7">
        <v>8461</v>
      </c>
      <c r="D107" t="str">
        <f t="shared" si="1"/>
        <v>2019-30-34 år</v>
      </c>
    </row>
    <row r="108" spans="1:4" x14ac:dyDescent="0.35">
      <c r="A108" s="6" t="s">
        <v>32</v>
      </c>
      <c r="B108" s="6" t="s">
        <v>15</v>
      </c>
      <c r="C108" s="7">
        <v>9057</v>
      </c>
      <c r="D108" t="str">
        <f t="shared" si="1"/>
        <v>2019-35-39 år</v>
      </c>
    </row>
    <row r="109" spans="1:4" x14ac:dyDescent="0.35">
      <c r="A109" s="6" t="s">
        <v>32</v>
      </c>
      <c r="B109" s="6" t="s">
        <v>16</v>
      </c>
      <c r="C109" s="7">
        <v>10158</v>
      </c>
      <c r="D109" t="str">
        <f t="shared" si="1"/>
        <v>2019-40-44 år</v>
      </c>
    </row>
    <row r="110" spans="1:4" x14ac:dyDescent="0.35">
      <c r="A110" s="6" t="s">
        <v>32</v>
      </c>
      <c r="B110" s="6" t="s">
        <v>17</v>
      </c>
      <c r="C110" s="7">
        <v>9482</v>
      </c>
      <c r="D110" t="str">
        <f t="shared" si="1"/>
        <v>2019-45-49 år</v>
      </c>
    </row>
    <row r="111" spans="1:4" x14ac:dyDescent="0.35">
      <c r="A111" s="6" t="s">
        <v>32</v>
      </c>
      <c r="B111" s="6" t="s">
        <v>18</v>
      </c>
      <c r="C111" s="7">
        <v>11866</v>
      </c>
      <c r="D111" t="str">
        <f t="shared" si="1"/>
        <v>2019-50-54 år</v>
      </c>
    </row>
    <row r="112" spans="1:4" x14ac:dyDescent="0.35">
      <c r="A112" s="6" t="s">
        <v>32</v>
      </c>
      <c r="B112" s="6" t="s">
        <v>19</v>
      </c>
      <c r="C112" s="7">
        <v>9811</v>
      </c>
      <c r="D112" t="str">
        <f t="shared" si="1"/>
        <v>2019-55-59 år</v>
      </c>
    </row>
    <row r="113" spans="1:4" x14ac:dyDescent="0.35">
      <c r="A113" s="6" t="s">
        <v>32</v>
      </c>
      <c r="B113" s="6" t="s">
        <v>20</v>
      </c>
      <c r="C113" s="7">
        <v>5907</v>
      </c>
      <c r="D113" t="str">
        <f t="shared" si="1"/>
        <v>2019-60-64 år</v>
      </c>
    </row>
    <row r="114" spans="1:4" x14ac:dyDescent="0.35">
      <c r="A114" s="6" t="s">
        <v>32</v>
      </c>
      <c r="B114" s="6" t="s">
        <v>21</v>
      </c>
      <c r="C114" s="7">
        <v>2030</v>
      </c>
      <c r="D114" t="str">
        <f t="shared" si="1"/>
        <v>2019-65+ år</v>
      </c>
    </row>
    <row r="115" spans="1:4" x14ac:dyDescent="0.35">
      <c r="A115" s="6" t="s">
        <v>33</v>
      </c>
      <c r="B115" s="6" t="s">
        <v>13</v>
      </c>
      <c r="C115" s="7">
        <v>7337</v>
      </c>
      <c r="D115" t="str">
        <f t="shared" si="1"/>
        <v>2020-25-29 år</v>
      </c>
    </row>
    <row r="116" spans="1:4" x14ac:dyDescent="0.35">
      <c r="A116" s="6" t="s">
        <v>33</v>
      </c>
      <c r="B116" s="6" t="s">
        <v>14</v>
      </c>
      <c r="C116" s="7">
        <v>8658</v>
      </c>
      <c r="D116" t="str">
        <f t="shared" si="1"/>
        <v>2020-30-34 år</v>
      </c>
    </row>
    <row r="117" spans="1:4" x14ac:dyDescent="0.35">
      <c r="A117" s="6" t="s">
        <v>33</v>
      </c>
      <c r="B117" s="6" t="s">
        <v>15</v>
      </c>
      <c r="C117" s="7">
        <v>8798</v>
      </c>
      <c r="D117" t="str">
        <f t="shared" si="1"/>
        <v>2020-35-39 år</v>
      </c>
    </row>
    <row r="118" spans="1:4" x14ac:dyDescent="0.35">
      <c r="A118" s="6" t="s">
        <v>33</v>
      </c>
      <c r="B118" s="6" t="s">
        <v>16</v>
      </c>
      <c r="C118" s="7">
        <v>10129</v>
      </c>
      <c r="D118" t="str">
        <f t="shared" si="1"/>
        <v>2020-40-44 år</v>
      </c>
    </row>
    <row r="119" spans="1:4" x14ac:dyDescent="0.35">
      <c r="A119" s="6" t="s">
        <v>33</v>
      </c>
      <c r="B119" s="6" t="s">
        <v>17</v>
      </c>
      <c r="C119" s="7">
        <v>9740</v>
      </c>
      <c r="D119" t="str">
        <f t="shared" si="1"/>
        <v>2020-45-49 år</v>
      </c>
    </row>
    <row r="120" spans="1:4" x14ac:dyDescent="0.35">
      <c r="A120" s="6" t="s">
        <v>33</v>
      </c>
      <c r="B120" s="6" t="s">
        <v>18</v>
      </c>
      <c r="C120" s="7">
        <v>11187</v>
      </c>
      <c r="D120" t="str">
        <f t="shared" si="1"/>
        <v>2020-50-54 år</v>
      </c>
    </row>
    <row r="121" spans="1:4" x14ac:dyDescent="0.35">
      <c r="A121" s="6" t="s">
        <v>33</v>
      </c>
      <c r="B121" s="6" t="s">
        <v>19</v>
      </c>
      <c r="C121" s="7">
        <v>10215</v>
      </c>
      <c r="D121" t="str">
        <f t="shared" si="1"/>
        <v>2020-55-59 år</v>
      </c>
    </row>
    <row r="122" spans="1:4" x14ac:dyDescent="0.35">
      <c r="A122" s="6" t="s">
        <v>33</v>
      </c>
      <c r="B122" s="6" t="s">
        <v>20</v>
      </c>
      <c r="C122" s="7">
        <v>6305</v>
      </c>
      <c r="D122" t="str">
        <f t="shared" si="1"/>
        <v>2020-60-64 år</v>
      </c>
    </row>
    <row r="123" spans="1:4" x14ac:dyDescent="0.35">
      <c r="A123" s="6" t="s">
        <v>33</v>
      </c>
      <c r="B123" s="6" t="s">
        <v>21</v>
      </c>
      <c r="C123" s="7">
        <v>2231</v>
      </c>
      <c r="D123" t="str">
        <f t="shared" si="1"/>
        <v>2020-65+ år</v>
      </c>
    </row>
    <row r="124" spans="1:4" x14ac:dyDescent="0.35">
      <c r="A124" s="6" t="s">
        <v>34</v>
      </c>
      <c r="B124" s="6" t="s">
        <v>13</v>
      </c>
      <c r="C124" s="7">
        <v>7687</v>
      </c>
      <c r="D124" t="str">
        <f t="shared" si="1"/>
        <v>2021-25-29 år</v>
      </c>
    </row>
    <row r="125" spans="1:4" x14ac:dyDescent="0.35">
      <c r="A125" s="6" t="s">
        <v>34</v>
      </c>
      <c r="B125" s="6" t="s">
        <v>14</v>
      </c>
      <c r="C125" s="7">
        <v>8844</v>
      </c>
      <c r="D125" t="str">
        <f t="shared" si="1"/>
        <v>2021-30-34 år</v>
      </c>
    </row>
    <row r="126" spans="1:4" x14ac:dyDescent="0.35">
      <c r="A126" s="6" t="s">
        <v>34</v>
      </c>
      <c r="B126" s="6" t="s">
        <v>15</v>
      </c>
      <c r="C126" s="7">
        <v>8987</v>
      </c>
      <c r="D126" t="str">
        <f t="shared" si="1"/>
        <v>2021-35-39 år</v>
      </c>
    </row>
    <row r="127" spans="1:4" x14ac:dyDescent="0.35">
      <c r="A127" s="6" t="s">
        <v>34</v>
      </c>
      <c r="B127" s="6" t="s">
        <v>16</v>
      </c>
      <c r="C127" s="7">
        <v>10002</v>
      </c>
      <c r="D127" t="str">
        <f t="shared" si="1"/>
        <v>2021-40-44 år</v>
      </c>
    </row>
    <row r="128" spans="1:4" x14ac:dyDescent="0.35">
      <c r="A128" s="6" t="s">
        <v>34</v>
      </c>
      <c r="B128" s="6" t="s">
        <v>17</v>
      </c>
      <c r="C128" s="7">
        <v>10036</v>
      </c>
      <c r="D128" t="str">
        <f t="shared" si="1"/>
        <v>2021-45-49 år</v>
      </c>
    </row>
    <row r="129" spans="1:4" x14ac:dyDescent="0.35">
      <c r="A129" s="6" t="s">
        <v>34</v>
      </c>
      <c r="B129" s="6" t="s">
        <v>18</v>
      </c>
      <c r="C129" s="7">
        <v>10467</v>
      </c>
      <c r="D129" t="str">
        <f t="shared" si="1"/>
        <v>2021-50-54 år</v>
      </c>
    </row>
    <row r="130" spans="1:4" x14ac:dyDescent="0.35">
      <c r="A130" s="6" t="s">
        <v>34</v>
      </c>
      <c r="B130" s="6" t="s">
        <v>19</v>
      </c>
      <c r="C130" s="7">
        <v>10749</v>
      </c>
      <c r="D130" t="str">
        <f t="shared" si="1"/>
        <v>2021-55-59 år</v>
      </c>
    </row>
    <row r="131" spans="1:4" x14ac:dyDescent="0.35">
      <c r="A131" s="6" t="s">
        <v>34</v>
      </c>
      <c r="B131" s="6" t="s">
        <v>20</v>
      </c>
      <c r="C131" s="7">
        <v>6688</v>
      </c>
      <c r="D131" t="str">
        <f t="shared" si="1"/>
        <v>2021-60-64 år</v>
      </c>
    </row>
    <row r="132" spans="1:4" x14ac:dyDescent="0.35">
      <c r="A132" s="6" t="s">
        <v>34</v>
      </c>
      <c r="B132" s="6" t="s">
        <v>21</v>
      </c>
      <c r="C132" s="7">
        <v>2522</v>
      </c>
      <c r="D132" t="str">
        <f t="shared" si="1"/>
        <v>2021-65+ år</v>
      </c>
    </row>
    <row r="133" spans="1:4" x14ac:dyDescent="0.35">
      <c r="A133" s="6" t="s">
        <v>35</v>
      </c>
      <c r="B133" s="6" t="s">
        <v>13</v>
      </c>
      <c r="C133" s="7">
        <v>8107</v>
      </c>
      <c r="D133" t="str">
        <f t="shared" si="1"/>
        <v>2022-25-29 år</v>
      </c>
    </row>
    <row r="134" spans="1:4" x14ac:dyDescent="0.35">
      <c r="A134" s="6" t="s">
        <v>35</v>
      </c>
      <c r="B134" s="6" t="s">
        <v>14</v>
      </c>
      <c r="C134" s="7">
        <v>9307</v>
      </c>
      <c r="D134" t="str">
        <f t="shared" si="1"/>
        <v>2022-30-34 år</v>
      </c>
    </row>
    <row r="135" spans="1:4" x14ac:dyDescent="0.35">
      <c r="A135" s="6" t="s">
        <v>35</v>
      </c>
      <c r="B135" s="6" t="s">
        <v>15</v>
      </c>
      <c r="C135" s="7">
        <v>9287</v>
      </c>
      <c r="D135" t="str">
        <f t="shared" ref="D135:D158" si="2">A135&amp;"-"&amp;B135</f>
        <v>2022-35-39 år</v>
      </c>
    </row>
    <row r="136" spans="1:4" x14ac:dyDescent="0.35">
      <c r="A136" s="6" t="s">
        <v>35</v>
      </c>
      <c r="B136" s="6" t="s">
        <v>16</v>
      </c>
      <c r="C136" s="7">
        <v>9808</v>
      </c>
      <c r="D136" t="str">
        <f t="shared" si="2"/>
        <v>2022-40-44 år</v>
      </c>
    </row>
    <row r="137" spans="1:4" x14ac:dyDescent="0.35">
      <c r="A137" s="6" t="s">
        <v>35</v>
      </c>
      <c r="B137" s="6" t="s">
        <v>17</v>
      </c>
      <c r="C137" s="7">
        <v>10063</v>
      </c>
      <c r="D137" t="str">
        <f t="shared" si="2"/>
        <v>2022-45-49 år</v>
      </c>
    </row>
    <row r="138" spans="1:4" x14ac:dyDescent="0.35">
      <c r="A138" s="6" t="s">
        <v>35</v>
      </c>
      <c r="B138" s="6" t="s">
        <v>18</v>
      </c>
      <c r="C138" s="7">
        <v>9799</v>
      </c>
      <c r="D138" t="str">
        <f t="shared" si="2"/>
        <v>2022-50-54 år</v>
      </c>
    </row>
    <row r="139" spans="1:4" x14ac:dyDescent="0.35">
      <c r="A139" s="6" t="s">
        <v>35</v>
      </c>
      <c r="B139" s="6" t="s">
        <v>19</v>
      </c>
      <c r="C139" s="7">
        <v>11340</v>
      </c>
      <c r="D139" t="str">
        <f t="shared" si="2"/>
        <v>2022-55-59 år</v>
      </c>
    </row>
    <row r="140" spans="1:4" x14ac:dyDescent="0.35">
      <c r="A140" s="6" t="s">
        <v>35</v>
      </c>
      <c r="B140" s="6" t="s">
        <v>20</v>
      </c>
      <c r="C140" s="7">
        <v>6943</v>
      </c>
      <c r="D140" t="str">
        <f t="shared" si="2"/>
        <v>2022-60-64 år</v>
      </c>
    </row>
    <row r="141" spans="1:4" x14ac:dyDescent="0.35">
      <c r="A141" s="6" t="s">
        <v>35</v>
      </c>
      <c r="B141" s="6" t="s">
        <v>21</v>
      </c>
      <c r="C141" s="7">
        <v>2779</v>
      </c>
      <c r="D141" t="str">
        <f t="shared" si="2"/>
        <v>2022-65+ år</v>
      </c>
    </row>
    <row r="142" spans="1:4" x14ac:dyDescent="0.35">
      <c r="A142" s="6" t="s">
        <v>36</v>
      </c>
      <c r="B142" s="6" t="s">
        <v>13</v>
      </c>
      <c r="C142" s="7">
        <v>8433</v>
      </c>
      <c r="D142" t="str">
        <f t="shared" si="2"/>
        <v>2023-25-29 år</v>
      </c>
    </row>
    <row r="143" spans="1:4" x14ac:dyDescent="0.35">
      <c r="A143" s="6" t="s">
        <v>36</v>
      </c>
      <c r="B143" s="6" t="s">
        <v>14</v>
      </c>
      <c r="C143" s="7">
        <v>9786</v>
      </c>
      <c r="D143" t="str">
        <f t="shared" si="2"/>
        <v>2023-30-34 år</v>
      </c>
    </row>
    <row r="144" spans="1:4" x14ac:dyDescent="0.35">
      <c r="A144" s="6" t="s">
        <v>36</v>
      </c>
      <c r="B144" s="6" t="s">
        <v>15</v>
      </c>
      <c r="C144" s="7">
        <v>9648</v>
      </c>
      <c r="D144" t="str">
        <f t="shared" si="2"/>
        <v>2023-35-39 år</v>
      </c>
    </row>
    <row r="145" spans="1:4" x14ac:dyDescent="0.35">
      <c r="A145" s="6" t="s">
        <v>36</v>
      </c>
      <c r="B145" s="6" t="s">
        <v>16</v>
      </c>
      <c r="C145" s="7">
        <v>9770</v>
      </c>
      <c r="D145" t="str">
        <f t="shared" si="2"/>
        <v>2023-40-44 år</v>
      </c>
    </row>
    <row r="146" spans="1:4" x14ac:dyDescent="0.35">
      <c r="A146" s="6" t="s">
        <v>36</v>
      </c>
      <c r="B146" s="6" t="s">
        <v>17</v>
      </c>
      <c r="C146" s="7">
        <v>10262</v>
      </c>
      <c r="D146" t="str">
        <f t="shared" si="2"/>
        <v>2023-45-49 år</v>
      </c>
    </row>
    <row r="147" spans="1:4" x14ac:dyDescent="0.35">
      <c r="A147" s="6" t="s">
        <v>36</v>
      </c>
      <c r="B147" s="6" t="s">
        <v>18</v>
      </c>
      <c r="C147" s="7">
        <v>9513</v>
      </c>
      <c r="D147" t="str">
        <f t="shared" si="2"/>
        <v>2023-50-54 år</v>
      </c>
    </row>
    <row r="148" spans="1:4" x14ac:dyDescent="0.35">
      <c r="A148" s="6" t="s">
        <v>36</v>
      </c>
      <c r="B148" s="6" t="s">
        <v>19</v>
      </c>
      <c r="C148" s="7">
        <v>11614</v>
      </c>
      <c r="D148" t="str">
        <f t="shared" si="2"/>
        <v>2023-55-59 år</v>
      </c>
    </row>
    <row r="149" spans="1:4" x14ac:dyDescent="0.35">
      <c r="A149" s="6" t="s">
        <v>36</v>
      </c>
      <c r="B149" s="6" t="s">
        <v>20</v>
      </c>
      <c r="C149" s="7">
        <v>7443</v>
      </c>
      <c r="D149" t="str">
        <f t="shared" si="2"/>
        <v>2023-60-64 år</v>
      </c>
    </row>
    <row r="150" spans="1:4" x14ac:dyDescent="0.35">
      <c r="A150" s="6" t="s">
        <v>36</v>
      </c>
      <c r="B150" s="6" t="s">
        <v>21</v>
      </c>
      <c r="C150" s="7">
        <v>3139</v>
      </c>
      <c r="D150" t="str">
        <f t="shared" si="2"/>
        <v>2023-65+ år</v>
      </c>
    </row>
    <row r="151" spans="1:4" x14ac:dyDescent="0.35">
      <c r="A151" s="6" t="s">
        <v>37</v>
      </c>
      <c r="B151" s="6" t="s">
        <v>13</v>
      </c>
      <c r="C151" s="7">
        <v>8560</v>
      </c>
      <c r="D151" t="str">
        <f t="shared" si="2"/>
        <v>2024-25-29 år</v>
      </c>
    </row>
    <row r="152" spans="1:4" x14ac:dyDescent="0.35">
      <c r="A152" s="6" t="s">
        <v>37</v>
      </c>
      <c r="B152" s="6" t="s">
        <v>14</v>
      </c>
      <c r="C152" s="7">
        <v>10150</v>
      </c>
      <c r="D152" t="str">
        <f t="shared" si="2"/>
        <v>2024-30-34 år</v>
      </c>
    </row>
    <row r="153" spans="1:4" x14ac:dyDescent="0.35">
      <c r="A153" s="6" t="s">
        <v>37</v>
      </c>
      <c r="B153" s="6" t="s">
        <v>15</v>
      </c>
      <c r="C153" s="7">
        <v>9885</v>
      </c>
      <c r="D153" t="str">
        <f t="shared" si="2"/>
        <v>2024-35-39 år</v>
      </c>
    </row>
    <row r="154" spans="1:4" x14ac:dyDescent="0.35">
      <c r="A154" s="6" t="s">
        <v>37</v>
      </c>
      <c r="B154" s="6" t="s">
        <v>16</v>
      </c>
      <c r="C154" s="7">
        <v>9594</v>
      </c>
      <c r="D154" t="str">
        <f t="shared" si="2"/>
        <v>2024-40-44 år</v>
      </c>
    </row>
    <row r="155" spans="1:4" x14ac:dyDescent="0.35">
      <c r="A155" s="6" t="s">
        <v>37</v>
      </c>
      <c r="B155" s="6" t="s">
        <v>17</v>
      </c>
      <c r="C155" s="7">
        <v>10483</v>
      </c>
      <c r="D155" t="str">
        <f t="shared" si="2"/>
        <v>2024-45-49 år</v>
      </c>
    </row>
    <row r="156" spans="1:4" x14ac:dyDescent="0.35">
      <c r="A156" s="6" t="s">
        <v>37</v>
      </c>
      <c r="B156" s="6" t="s">
        <v>18</v>
      </c>
      <c r="C156" s="7">
        <v>9604</v>
      </c>
      <c r="D156" t="str">
        <f t="shared" si="2"/>
        <v>2024-50-54 år</v>
      </c>
    </row>
    <row r="157" spans="1:4" x14ac:dyDescent="0.35">
      <c r="A157" s="6" t="s">
        <v>37</v>
      </c>
      <c r="B157" s="6" t="s">
        <v>19</v>
      </c>
      <c r="C157" s="7">
        <v>11402</v>
      </c>
      <c r="D157" t="str">
        <f t="shared" si="2"/>
        <v>2024-55-59 år</v>
      </c>
    </row>
    <row r="158" spans="1:4" x14ac:dyDescent="0.35">
      <c r="A158" s="6" t="s">
        <v>37</v>
      </c>
      <c r="B158" s="6" t="s">
        <v>20</v>
      </c>
      <c r="C158" s="7">
        <v>7871</v>
      </c>
      <c r="D158" t="str">
        <f t="shared" si="2"/>
        <v>2024-60-64 år</v>
      </c>
    </row>
    <row r="159" spans="1:4" ht="15" thickBot="1" x14ac:dyDescent="0.4">
      <c r="A159" s="6" t="s">
        <v>37</v>
      </c>
      <c r="B159" s="6" t="s">
        <v>21</v>
      </c>
      <c r="C159" s="7">
        <v>3573</v>
      </c>
      <c r="D159" t="str">
        <f>A159&amp;"-"&amp;B159</f>
        <v>2024-65+ år</v>
      </c>
    </row>
    <row r="160" spans="1:4" ht="15" thickTop="1" x14ac:dyDescent="0.35">
      <c r="A160" s="8"/>
      <c r="B160" s="8"/>
      <c r="C160" s="8"/>
    </row>
    <row r="162" spans="1:1" x14ac:dyDescent="0.35">
      <c r="A162" t="s">
        <v>38</v>
      </c>
    </row>
    <row r="163" spans="1:1" x14ac:dyDescent="0.35">
      <c r="A163" t="s">
        <v>39</v>
      </c>
    </row>
  </sheetData>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9" tint="0.39997558519241921"/>
  </sheetPr>
  <dimension ref="B2:F53"/>
  <sheetViews>
    <sheetView workbookViewId="0"/>
  </sheetViews>
  <sheetFormatPr defaultColWidth="8.7265625" defaultRowHeight="14.5" x14ac:dyDescent="0.35"/>
  <cols>
    <col min="1" max="1" width="3.453125" style="1" customWidth="1"/>
    <col min="2" max="2" width="8.7265625" style="1"/>
    <col min="3" max="3" width="13.1796875" style="1" customWidth="1"/>
    <col min="4" max="4" width="11.54296875" style="1" customWidth="1"/>
    <col min="5" max="5" width="11.26953125" style="1" customWidth="1"/>
    <col min="6" max="6" width="16.26953125" style="1" customWidth="1"/>
    <col min="7" max="16384" width="8.7265625" style="1"/>
  </cols>
  <sheetData>
    <row r="2" spans="2:6" x14ac:dyDescent="0.35">
      <c r="B2" s="2" t="s">
        <v>0</v>
      </c>
      <c r="C2" s="2" t="s">
        <v>1</v>
      </c>
      <c r="D2" s="2" t="s">
        <v>170</v>
      </c>
      <c r="E2" s="2" t="s">
        <v>171</v>
      </c>
      <c r="F2" s="2" t="s">
        <v>172</v>
      </c>
    </row>
    <row r="3" spans="2:6" x14ac:dyDescent="0.35">
      <c r="B3" s="2">
        <v>1</v>
      </c>
      <c r="C3" s="2">
        <v>2025</v>
      </c>
      <c r="D3" s="2">
        <v>25</v>
      </c>
      <c r="E3" s="2">
        <v>40</v>
      </c>
      <c r="F3" s="2" t="s">
        <v>0</v>
      </c>
    </row>
    <row r="4" spans="2:6" x14ac:dyDescent="0.35">
      <c r="B4" s="2">
        <v>2</v>
      </c>
      <c r="C4" s="2">
        <v>2026</v>
      </c>
      <c r="D4" s="2">
        <f>D3+1</f>
        <v>26</v>
      </c>
      <c r="E4" s="2">
        <f>E3+1</f>
        <v>41</v>
      </c>
      <c r="F4" s="2" t="s">
        <v>0</v>
      </c>
    </row>
    <row r="5" spans="2:6" x14ac:dyDescent="0.35">
      <c r="B5" s="2">
        <v>3</v>
      </c>
      <c r="C5" s="2">
        <v>2027</v>
      </c>
      <c r="D5" s="2">
        <f t="shared" ref="D5:E16" si="0">D4+1</f>
        <v>27</v>
      </c>
      <c r="E5" s="2">
        <f t="shared" si="0"/>
        <v>42</v>
      </c>
      <c r="F5" s="2" t="s">
        <v>0</v>
      </c>
    </row>
    <row r="6" spans="2:6" x14ac:dyDescent="0.35">
      <c r="B6" s="2">
        <v>4</v>
      </c>
      <c r="C6" s="2">
        <v>2028</v>
      </c>
      <c r="D6" s="2">
        <f t="shared" si="0"/>
        <v>28</v>
      </c>
      <c r="E6" s="2">
        <f t="shared" si="0"/>
        <v>43</v>
      </c>
      <c r="F6" s="2" t="s">
        <v>0</v>
      </c>
    </row>
    <row r="7" spans="2:6" x14ac:dyDescent="0.35">
      <c r="B7" s="2">
        <v>5</v>
      </c>
      <c r="C7" s="2">
        <v>2029</v>
      </c>
      <c r="D7" s="2">
        <f t="shared" si="0"/>
        <v>29</v>
      </c>
      <c r="E7" s="2">
        <f t="shared" si="0"/>
        <v>44</v>
      </c>
      <c r="F7" s="2" t="s">
        <v>0</v>
      </c>
    </row>
    <row r="8" spans="2:6" x14ac:dyDescent="0.35">
      <c r="B8" s="2">
        <v>6</v>
      </c>
      <c r="C8" s="2">
        <v>2030</v>
      </c>
      <c r="D8" s="2">
        <f t="shared" si="0"/>
        <v>30</v>
      </c>
      <c r="E8" s="2">
        <f t="shared" si="0"/>
        <v>45</v>
      </c>
      <c r="F8" s="2" t="s">
        <v>0</v>
      </c>
    </row>
    <row r="9" spans="2:6" x14ac:dyDescent="0.35">
      <c r="B9" s="2">
        <v>7</v>
      </c>
      <c r="C9" s="2">
        <v>2031</v>
      </c>
      <c r="D9" s="2">
        <f t="shared" si="0"/>
        <v>31</v>
      </c>
      <c r="E9" s="2">
        <f t="shared" si="0"/>
        <v>46</v>
      </c>
      <c r="F9" s="2" t="s">
        <v>0</v>
      </c>
    </row>
    <row r="10" spans="2:6" x14ac:dyDescent="0.35">
      <c r="B10" s="2">
        <v>8</v>
      </c>
      <c r="C10" s="2">
        <v>2032</v>
      </c>
      <c r="D10" s="2">
        <f t="shared" si="0"/>
        <v>32</v>
      </c>
      <c r="E10" s="2">
        <f t="shared" si="0"/>
        <v>47</v>
      </c>
      <c r="F10" s="2" t="s">
        <v>0</v>
      </c>
    </row>
    <row r="11" spans="2:6" x14ac:dyDescent="0.35">
      <c r="B11" s="2">
        <v>9</v>
      </c>
      <c r="C11" s="2">
        <v>2033</v>
      </c>
      <c r="D11" s="2">
        <f t="shared" si="0"/>
        <v>33</v>
      </c>
      <c r="E11" s="2">
        <f t="shared" si="0"/>
        <v>48</v>
      </c>
      <c r="F11" s="2" t="s">
        <v>0</v>
      </c>
    </row>
    <row r="12" spans="2:6" x14ac:dyDescent="0.35">
      <c r="B12" s="2">
        <v>10</v>
      </c>
      <c r="C12" s="2">
        <v>2034</v>
      </c>
      <c r="D12" s="2">
        <f t="shared" si="0"/>
        <v>34</v>
      </c>
      <c r="E12" s="2">
        <f t="shared" si="0"/>
        <v>49</v>
      </c>
      <c r="F12" s="2" t="s">
        <v>0</v>
      </c>
    </row>
    <row r="13" spans="2:6" x14ac:dyDescent="0.35">
      <c r="B13" s="2">
        <v>11</v>
      </c>
      <c r="C13" s="2">
        <v>2035</v>
      </c>
      <c r="D13" s="2">
        <f t="shared" si="0"/>
        <v>35</v>
      </c>
      <c r="E13" s="2">
        <f t="shared" si="0"/>
        <v>50</v>
      </c>
      <c r="F13" s="2" t="s">
        <v>0</v>
      </c>
    </row>
    <row r="14" spans="2:6" x14ac:dyDescent="0.35">
      <c r="B14" s="2">
        <v>12</v>
      </c>
      <c r="C14" s="2">
        <v>2036</v>
      </c>
      <c r="D14" s="2">
        <f t="shared" si="0"/>
        <v>36</v>
      </c>
      <c r="E14" s="2">
        <f t="shared" si="0"/>
        <v>51</v>
      </c>
      <c r="F14" s="2" t="s">
        <v>0</v>
      </c>
    </row>
    <row r="15" spans="2:6" x14ac:dyDescent="0.35">
      <c r="B15" s="2">
        <v>13</v>
      </c>
      <c r="C15" s="2">
        <v>2037</v>
      </c>
      <c r="D15" s="2">
        <f t="shared" si="0"/>
        <v>37</v>
      </c>
      <c r="E15" s="2">
        <f t="shared" si="0"/>
        <v>52</v>
      </c>
      <c r="F15" s="2" t="s">
        <v>0</v>
      </c>
    </row>
    <row r="16" spans="2:6" x14ac:dyDescent="0.35">
      <c r="B16" s="2">
        <v>14</v>
      </c>
      <c r="C16" s="2">
        <v>2038</v>
      </c>
      <c r="D16" s="2">
        <f t="shared" si="0"/>
        <v>38</v>
      </c>
      <c r="E16" s="2">
        <f t="shared" si="0"/>
        <v>53</v>
      </c>
      <c r="F16" s="2" t="s">
        <v>0</v>
      </c>
    </row>
    <row r="17" spans="2:6" x14ac:dyDescent="0.35">
      <c r="B17" s="2">
        <v>15</v>
      </c>
      <c r="C17" s="2">
        <v>2039</v>
      </c>
      <c r="D17" s="2">
        <f>D16+1</f>
        <v>39</v>
      </c>
      <c r="E17" s="2">
        <f>E16+1</f>
        <v>54</v>
      </c>
      <c r="F17" s="2" t="s">
        <v>0</v>
      </c>
    </row>
    <row r="18" spans="2:6" x14ac:dyDescent="0.35">
      <c r="B18" s="2">
        <v>16</v>
      </c>
      <c r="C18" s="2">
        <v>2040</v>
      </c>
      <c r="D18" s="2">
        <f t="shared" ref="D18:E33" si="1">D17+1</f>
        <v>40</v>
      </c>
      <c r="E18" s="2">
        <f t="shared" si="1"/>
        <v>55</v>
      </c>
      <c r="F18" s="2" t="s">
        <v>0</v>
      </c>
    </row>
    <row r="19" spans="2:6" x14ac:dyDescent="0.35">
      <c r="B19" s="2">
        <v>17</v>
      </c>
      <c r="C19" s="2">
        <v>2041</v>
      </c>
      <c r="D19" s="2">
        <f t="shared" si="1"/>
        <v>41</v>
      </c>
      <c r="E19" s="2">
        <f t="shared" si="1"/>
        <v>56</v>
      </c>
      <c r="F19" s="2" t="s">
        <v>0</v>
      </c>
    </row>
    <row r="20" spans="2:6" x14ac:dyDescent="0.35">
      <c r="B20" s="2">
        <v>18</v>
      </c>
      <c r="C20" s="2">
        <v>2042</v>
      </c>
      <c r="D20" s="2">
        <f t="shared" si="1"/>
        <v>42</v>
      </c>
      <c r="E20" s="2">
        <f t="shared" si="1"/>
        <v>57</v>
      </c>
      <c r="F20" s="2" t="s">
        <v>0</v>
      </c>
    </row>
    <row r="21" spans="2:6" x14ac:dyDescent="0.35">
      <c r="B21" s="2">
        <v>19</v>
      </c>
      <c r="C21" s="2">
        <v>2043</v>
      </c>
      <c r="D21" s="2">
        <f t="shared" si="1"/>
        <v>43</v>
      </c>
      <c r="E21" s="2">
        <f t="shared" si="1"/>
        <v>58</v>
      </c>
      <c r="F21" s="2" t="s">
        <v>0</v>
      </c>
    </row>
    <row r="22" spans="2:6" x14ac:dyDescent="0.35">
      <c r="B22" s="2">
        <v>20</v>
      </c>
      <c r="C22" s="2">
        <v>2044</v>
      </c>
      <c r="D22" s="2">
        <f t="shared" si="1"/>
        <v>44</v>
      </c>
      <c r="E22" s="2">
        <f t="shared" si="1"/>
        <v>59</v>
      </c>
      <c r="F22" s="2" t="s">
        <v>0</v>
      </c>
    </row>
    <row r="23" spans="2:6" x14ac:dyDescent="0.35">
      <c r="B23" s="2">
        <v>21</v>
      </c>
      <c r="C23" s="2">
        <v>2045</v>
      </c>
      <c r="D23" s="2">
        <f t="shared" si="1"/>
        <v>45</v>
      </c>
      <c r="E23" s="2">
        <f t="shared" si="1"/>
        <v>60</v>
      </c>
      <c r="F23" s="2" t="s">
        <v>0</v>
      </c>
    </row>
    <row r="24" spans="2:6" x14ac:dyDescent="0.35">
      <c r="B24" s="2">
        <v>22</v>
      </c>
      <c r="C24" s="2">
        <v>2046</v>
      </c>
      <c r="D24" s="2">
        <f t="shared" si="1"/>
        <v>46</v>
      </c>
      <c r="E24" s="2">
        <f t="shared" si="1"/>
        <v>61</v>
      </c>
      <c r="F24" s="2" t="s">
        <v>0</v>
      </c>
    </row>
    <row r="25" spans="2:6" x14ac:dyDescent="0.35">
      <c r="B25" s="2">
        <v>23</v>
      </c>
      <c r="C25" s="2">
        <v>2047</v>
      </c>
      <c r="D25" s="2">
        <f t="shared" si="1"/>
        <v>47</v>
      </c>
      <c r="E25" s="2">
        <f t="shared" si="1"/>
        <v>62</v>
      </c>
      <c r="F25" s="2" t="s">
        <v>0</v>
      </c>
    </row>
    <row r="26" spans="2:6" x14ac:dyDescent="0.35">
      <c r="B26" s="2">
        <v>24</v>
      </c>
      <c r="C26" s="2">
        <v>2048</v>
      </c>
      <c r="D26" s="2">
        <f t="shared" si="1"/>
        <v>48</v>
      </c>
      <c r="E26" s="2">
        <f t="shared" si="1"/>
        <v>63</v>
      </c>
      <c r="F26" s="2" t="s">
        <v>0</v>
      </c>
    </row>
    <row r="27" spans="2:6" x14ac:dyDescent="0.35">
      <c r="B27" s="2">
        <v>25</v>
      </c>
      <c r="C27" s="2">
        <v>2049</v>
      </c>
      <c r="D27" s="2">
        <f t="shared" si="1"/>
        <v>49</v>
      </c>
      <c r="E27" s="2">
        <f t="shared" si="1"/>
        <v>64</v>
      </c>
      <c r="F27" s="2" t="s">
        <v>0</v>
      </c>
    </row>
    <row r="28" spans="2:6" x14ac:dyDescent="0.35">
      <c r="B28" s="2">
        <v>26</v>
      </c>
      <c r="C28" s="2">
        <v>2050</v>
      </c>
      <c r="D28" s="2">
        <f t="shared" si="1"/>
        <v>50</v>
      </c>
      <c r="E28" s="2">
        <f t="shared" si="1"/>
        <v>65</v>
      </c>
      <c r="F28" s="2" t="s">
        <v>0</v>
      </c>
    </row>
    <row r="29" spans="2:6" x14ac:dyDescent="0.35">
      <c r="B29" s="2">
        <v>27</v>
      </c>
      <c r="C29" s="2">
        <v>2051</v>
      </c>
      <c r="D29" s="2">
        <f t="shared" si="1"/>
        <v>51</v>
      </c>
      <c r="E29" s="2">
        <f t="shared" si="1"/>
        <v>66</v>
      </c>
      <c r="F29" s="2" t="s">
        <v>0</v>
      </c>
    </row>
    <row r="30" spans="2:6" x14ac:dyDescent="0.35">
      <c r="B30" s="2">
        <v>28</v>
      </c>
      <c r="C30" s="2">
        <v>2052</v>
      </c>
      <c r="D30" s="2">
        <f t="shared" si="1"/>
        <v>52</v>
      </c>
      <c r="E30" s="2">
        <f t="shared" si="1"/>
        <v>67</v>
      </c>
      <c r="F30" s="2" t="s">
        <v>0</v>
      </c>
    </row>
    <row r="31" spans="2:6" x14ac:dyDescent="0.35">
      <c r="B31" s="2">
        <v>29</v>
      </c>
      <c r="C31" s="2">
        <v>2053</v>
      </c>
      <c r="D31" s="2">
        <f t="shared" si="1"/>
        <v>53</v>
      </c>
      <c r="E31" s="2">
        <f t="shared" si="1"/>
        <v>68</v>
      </c>
      <c r="F31" s="2" t="s">
        <v>0</v>
      </c>
    </row>
    <row r="32" spans="2:6" x14ac:dyDescent="0.35">
      <c r="B32" s="2">
        <v>30</v>
      </c>
      <c r="C32" s="2">
        <v>2054</v>
      </c>
      <c r="D32" s="2">
        <f t="shared" si="1"/>
        <v>54</v>
      </c>
      <c r="E32" s="2">
        <f t="shared" si="1"/>
        <v>69</v>
      </c>
      <c r="F32" s="2" t="s">
        <v>0</v>
      </c>
    </row>
    <row r="33" spans="2:6" x14ac:dyDescent="0.35">
      <c r="B33" s="2">
        <v>31</v>
      </c>
      <c r="C33" s="2">
        <v>2055</v>
      </c>
      <c r="D33" s="2">
        <f t="shared" si="1"/>
        <v>55</v>
      </c>
      <c r="E33" s="2">
        <f t="shared" si="1"/>
        <v>70</v>
      </c>
      <c r="F33" s="2" t="s">
        <v>0</v>
      </c>
    </row>
    <row r="34" spans="2:6" x14ac:dyDescent="0.35">
      <c r="B34" s="2">
        <v>32</v>
      </c>
      <c r="C34" s="2">
        <v>2056</v>
      </c>
      <c r="D34" s="2">
        <f t="shared" ref="D34:E49" si="2">D33+1</f>
        <v>56</v>
      </c>
      <c r="E34" s="2">
        <f t="shared" si="2"/>
        <v>71</v>
      </c>
      <c r="F34" s="2" t="s">
        <v>0</v>
      </c>
    </row>
    <row r="35" spans="2:6" x14ac:dyDescent="0.35">
      <c r="B35" s="2">
        <v>33</v>
      </c>
      <c r="C35" s="2">
        <v>2057</v>
      </c>
      <c r="D35" s="2">
        <f t="shared" si="2"/>
        <v>57</v>
      </c>
      <c r="E35" s="2">
        <f t="shared" si="2"/>
        <v>72</v>
      </c>
      <c r="F35" s="2" t="s">
        <v>0</v>
      </c>
    </row>
    <row r="36" spans="2:6" x14ac:dyDescent="0.35">
      <c r="B36" s="2">
        <v>34</v>
      </c>
      <c r="C36" s="2">
        <v>2058</v>
      </c>
      <c r="D36" s="2">
        <f t="shared" si="2"/>
        <v>58</v>
      </c>
      <c r="E36" s="2">
        <f t="shared" si="2"/>
        <v>73</v>
      </c>
      <c r="F36" s="2" t="s">
        <v>0</v>
      </c>
    </row>
    <row r="37" spans="2:6" x14ac:dyDescent="0.35">
      <c r="B37" s="2">
        <v>35</v>
      </c>
      <c r="C37" s="2">
        <v>2059</v>
      </c>
      <c r="D37" s="2">
        <f t="shared" si="2"/>
        <v>59</v>
      </c>
      <c r="E37" s="2">
        <f t="shared" si="2"/>
        <v>74</v>
      </c>
      <c r="F37" s="2" t="s">
        <v>0</v>
      </c>
    </row>
    <row r="38" spans="2:6" x14ac:dyDescent="0.35">
      <c r="B38" s="2">
        <v>36</v>
      </c>
      <c r="C38" s="2">
        <v>2060</v>
      </c>
      <c r="D38" s="2">
        <f t="shared" si="2"/>
        <v>60</v>
      </c>
      <c r="E38" s="2">
        <f t="shared" si="2"/>
        <v>75</v>
      </c>
      <c r="F38" s="2" t="s">
        <v>0</v>
      </c>
    </row>
    <row r="39" spans="2:6" x14ac:dyDescent="0.35">
      <c r="B39" s="2">
        <v>37</v>
      </c>
      <c r="C39" s="2">
        <v>2061</v>
      </c>
      <c r="D39" s="2">
        <f t="shared" si="2"/>
        <v>61</v>
      </c>
      <c r="E39" s="2">
        <f t="shared" si="2"/>
        <v>76</v>
      </c>
      <c r="F39" s="2" t="s">
        <v>0</v>
      </c>
    </row>
    <row r="40" spans="2:6" x14ac:dyDescent="0.35">
      <c r="B40" s="2">
        <v>38</v>
      </c>
      <c r="C40" s="2">
        <v>2062</v>
      </c>
      <c r="D40" s="2">
        <f t="shared" si="2"/>
        <v>62</v>
      </c>
      <c r="E40" s="2">
        <f t="shared" si="2"/>
        <v>77</v>
      </c>
      <c r="F40" s="2" t="s">
        <v>0</v>
      </c>
    </row>
    <row r="41" spans="2:6" x14ac:dyDescent="0.35">
      <c r="B41" s="2">
        <v>39</v>
      </c>
      <c r="C41" s="2">
        <v>2063</v>
      </c>
      <c r="D41" s="2">
        <f t="shared" si="2"/>
        <v>63</v>
      </c>
      <c r="E41" s="2">
        <f t="shared" si="2"/>
        <v>78</v>
      </c>
      <c r="F41" s="2" t="s">
        <v>0</v>
      </c>
    </row>
    <row r="42" spans="2:6" x14ac:dyDescent="0.35">
      <c r="B42" s="2">
        <v>40</v>
      </c>
      <c r="C42" s="2">
        <v>2064</v>
      </c>
      <c r="D42" s="2">
        <f t="shared" si="2"/>
        <v>64</v>
      </c>
      <c r="E42" s="2">
        <f t="shared" si="2"/>
        <v>79</v>
      </c>
      <c r="F42" s="2" t="s">
        <v>0</v>
      </c>
    </row>
    <row r="43" spans="2:6" x14ac:dyDescent="0.35">
      <c r="B43" s="2">
        <v>41</v>
      </c>
      <c r="C43" s="2">
        <v>2065</v>
      </c>
      <c r="D43" s="2">
        <f t="shared" si="2"/>
        <v>65</v>
      </c>
      <c r="E43" s="2">
        <f t="shared" si="2"/>
        <v>80</v>
      </c>
      <c r="F43" s="2" t="s">
        <v>0</v>
      </c>
    </row>
    <row r="44" spans="2:6" x14ac:dyDescent="0.35">
      <c r="B44" s="2">
        <v>42</v>
      </c>
      <c r="C44" s="2">
        <v>2066</v>
      </c>
      <c r="D44" s="2">
        <f t="shared" si="2"/>
        <v>66</v>
      </c>
      <c r="E44" s="2">
        <f t="shared" si="2"/>
        <v>81</v>
      </c>
      <c r="F44" s="2" t="s">
        <v>0</v>
      </c>
    </row>
    <row r="45" spans="2:6" x14ac:dyDescent="0.35">
      <c r="B45" s="2">
        <v>43</v>
      </c>
      <c r="C45" s="2">
        <v>2067</v>
      </c>
      <c r="D45" s="2">
        <f t="shared" si="2"/>
        <v>67</v>
      </c>
      <c r="E45" s="2">
        <f t="shared" si="2"/>
        <v>82</v>
      </c>
      <c r="F45" s="2" t="s">
        <v>0</v>
      </c>
    </row>
    <row r="46" spans="2:6" x14ac:dyDescent="0.35">
      <c r="B46" s="2">
        <v>44</v>
      </c>
      <c r="C46" s="2">
        <v>2068</v>
      </c>
      <c r="D46" s="2">
        <f t="shared" si="2"/>
        <v>68</v>
      </c>
      <c r="E46" s="2">
        <f t="shared" si="2"/>
        <v>83</v>
      </c>
      <c r="F46" s="2" t="s">
        <v>0</v>
      </c>
    </row>
    <row r="47" spans="2:6" x14ac:dyDescent="0.35">
      <c r="B47" s="2">
        <v>45</v>
      </c>
      <c r="C47" s="2">
        <v>2069</v>
      </c>
      <c r="D47" s="2">
        <f t="shared" si="2"/>
        <v>69</v>
      </c>
      <c r="E47" s="2">
        <f t="shared" si="2"/>
        <v>84</v>
      </c>
      <c r="F47" s="2" t="s">
        <v>0</v>
      </c>
    </row>
    <row r="48" spans="2:6" x14ac:dyDescent="0.35">
      <c r="B48" s="2">
        <v>46</v>
      </c>
      <c r="C48" s="2">
        <v>2070</v>
      </c>
      <c r="D48" s="2">
        <f t="shared" si="2"/>
        <v>70</v>
      </c>
      <c r="E48" s="2">
        <f t="shared" si="2"/>
        <v>85</v>
      </c>
      <c r="F48" s="2" t="s">
        <v>0</v>
      </c>
    </row>
    <row r="49" spans="2:6" x14ac:dyDescent="0.35">
      <c r="B49" s="2">
        <v>47</v>
      </c>
      <c r="C49" s="2">
        <v>2071</v>
      </c>
      <c r="D49" s="2">
        <f t="shared" si="2"/>
        <v>71</v>
      </c>
      <c r="E49" s="2">
        <f t="shared" si="2"/>
        <v>86</v>
      </c>
      <c r="F49" s="2" t="s">
        <v>0</v>
      </c>
    </row>
    <row r="50" spans="2:6" x14ac:dyDescent="0.35">
      <c r="B50" s="2">
        <v>48</v>
      </c>
      <c r="C50" s="2">
        <v>2072</v>
      </c>
      <c r="D50" s="2">
        <f t="shared" ref="D50:E53" si="3">D49+1</f>
        <v>72</v>
      </c>
      <c r="E50" s="2">
        <f t="shared" si="3"/>
        <v>87</v>
      </c>
      <c r="F50" s="2" t="s">
        <v>0</v>
      </c>
    </row>
    <row r="51" spans="2:6" x14ac:dyDescent="0.35">
      <c r="B51" s="2">
        <v>49</v>
      </c>
      <c r="C51" s="2">
        <v>2073</v>
      </c>
      <c r="D51" s="2">
        <f t="shared" si="3"/>
        <v>73</v>
      </c>
      <c r="E51" s="2">
        <f t="shared" si="3"/>
        <v>88</v>
      </c>
      <c r="F51" s="2" t="s">
        <v>0</v>
      </c>
    </row>
    <row r="52" spans="2:6" x14ac:dyDescent="0.35">
      <c r="B52" s="2">
        <v>50</v>
      </c>
      <c r="C52" s="2">
        <v>2074</v>
      </c>
      <c r="D52" s="2">
        <f t="shared" si="3"/>
        <v>74</v>
      </c>
      <c r="E52" s="2">
        <f t="shared" si="3"/>
        <v>89</v>
      </c>
      <c r="F52" s="2" t="s">
        <v>0</v>
      </c>
    </row>
    <row r="53" spans="2:6" x14ac:dyDescent="0.35">
      <c r="B53" s="2">
        <v>51</v>
      </c>
      <c r="C53" s="2">
        <v>2075</v>
      </c>
      <c r="D53" s="2">
        <f t="shared" si="3"/>
        <v>75</v>
      </c>
      <c r="E53" s="2">
        <f t="shared" si="3"/>
        <v>90</v>
      </c>
      <c r="F53" s="2" t="s">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workbookViewId="0">
      <selection activeCell="C9" sqref="C9"/>
    </sheetView>
  </sheetViews>
  <sheetFormatPr defaultColWidth="8.7265625" defaultRowHeight="14.5" x14ac:dyDescent="0.35"/>
  <cols>
    <col min="1" max="1" width="3.1796875" style="1" customWidth="1"/>
    <col min="2" max="2" width="20" style="1" bestFit="1" customWidth="1"/>
    <col min="3" max="6" width="13.81640625" style="1" bestFit="1" customWidth="1"/>
    <col min="7" max="16384" width="8.7265625" style="1"/>
  </cols>
  <sheetData>
    <row r="2" spans="2:7" x14ac:dyDescent="0.35">
      <c r="B2" t="s">
        <v>75</v>
      </c>
      <c r="C2" t="s">
        <v>71</v>
      </c>
      <c r="D2" t="s">
        <v>72</v>
      </c>
      <c r="E2" t="s">
        <v>73</v>
      </c>
      <c r="F2" t="s">
        <v>74</v>
      </c>
      <c r="G2" s="73" t="s">
        <v>77</v>
      </c>
    </row>
    <row r="3" spans="2:7" x14ac:dyDescent="0.35">
      <c r="B3" t="s">
        <v>68</v>
      </c>
      <c r="C3">
        <v>1</v>
      </c>
      <c r="D3">
        <v>0.75</v>
      </c>
      <c r="E3">
        <v>0.5</v>
      </c>
      <c r="F3">
        <v>0.25</v>
      </c>
      <c r="G3" s="73"/>
    </row>
    <row r="4" spans="2:7" x14ac:dyDescent="0.35">
      <c r="B4" t="s">
        <v>69</v>
      </c>
      <c r="C4" s="38">
        <f>'Net Salary P1'!E38</f>
        <v>580629.28701298626</v>
      </c>
      <c r="D4" s="38">
        <f>3500000*0.2</f>
        <v>700000</v>
      </c>
      <c r="E4" s="38">
        <v>72530</v>
      </c>
      <c r="F4" s="38">
        <f>2500000*0.5</f>
        <v>1250000</v>
      </c>
      <c r="G4" s="73"/>
    </row>
    <row r="5" spans="2:7" x14ac:dyDescent="0.35">
      <c r="B5" t="s">
        <v>70</v>
      </c>
      <c r="C5">
        <v>50</v>
      </c>
      <c r="D5">
        <v>5</v>
      </c>
      <c r="E5">
        <v>20</v>
      </c>
      <c r="F5">
        <v>30</v>
      </c>
      <c r="G5" s="73"/>
    </row>
    <row r="7" spans="2:7" x14ac:dyDescent="0.35">
      <c r="B7" t="s">
        <v>75</v>
      </c>
      <c r="C7" t="s">
        <v>71</v>
      </c>
      <c r="D7" t="s">
        <v>72</v>
      </c>
      <c r="E7" t="s">
        <v>73</v>
      </c>
      <c r="F7" t="s">
        <v>74</v>
      </c>
      <c r="G7" s="73" t="s">
        <v>76</v>
      </c>
    </row>
    <row r="8" spans="2:7" x14ac:dyDescent="0.35">
      <c r="B8" t="s">
        <v>68</v>
      </c>
      <c r="C8">
        <v>1</v>
      </c>
      <c r="D8">
        <v>0.75</v>
      </c>
      <c r="E8">
        <v>0.5</v>
      </c>
      <c r="F8">
        <v>0.25</v>
      </c>
      <c r="G8" s="73"/>
    </row>
    <row r="9" spans="2:7" x14ac:dyDescent="0.35">
      <c r="B9" t="s">
        <v>69</v>
      </c>
      <c r="C9" s="38">
        <f>'Net Salary P2'!E38</f>
        <v>890174.07161276508</v>
      </c>
      <c r="D9" s="38">
        <f>3500000*0.2</f>
        <v>700000</v>
      </c>
      <c r="E9" s="38">
        <v>75176</v>
      </c>
      <c r="F9" s="38">
        <f>2500000*0.5</f>
        <v>1250000</v>
      </c>
      <c r="G9" s="73"/>
    </row>
    <row r="10" spans="2:7" x14ac:dyDescent="0.35">
      <c r="B10" t="s">
        <v>70</v>
      </c>
      <c r="C10">
        <v>35</v>
      </c>
      <c r="D10">
        <v>5</v>
      </c>
      <c r="E10">
        <v>5</v>
      </c>
      <c r="F10">
        <v>15</v>
      </c>
      <c r="G10" s="73"/>
    </row>
  </sheetData>
  <mergeCells count="2">
    <mergeCell ref="G7:G10"/>
    <mergeCell ref="G2:G5"/>
  </mergeCells>
  <pageMargins left="0.7" right="0.7" top="0.75" bottom="0.75" header="0.3" footer="0.3"/>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heetViews>
  <sheetFormatPr defaultColWidth="8.7265625" defaultRowHeight="14.5" x14ac:dyDescent="0.35"/>
  <cols>
    <col min="1" max="2" width="8.7265625" style="1"/>
    <col min="3" max="3" width="10.1796875" style="1" bestFit="1" customWidth="1"/>
    <col min="4" max="16384" width="8.7265625" style="1"/>
  </cols>
  <sheetData>
    <row r="1" spans="1:6" x14ac:dyDescent="0.35">
      <c r="A1" s="1" t="s">
        <v>165</v>
      </c>
    </row>
    <row r="2" spans="1:6" x14ac:dyDescent="0.35">
      <c r="A2" s="1" t="s">
        <v>1</v>
      </c>
      <c r="B2" s="1" t="s">
        <v>167</v>
      </c>
      <c r="C2" s="1" t="s">
        <v>168</v>
      </c>
    </row>
    <row r="3" spans="1:6" x14ac:dyDescent="0.35">
      <c r="A3" s="1">
        <v>2019</v>
      </c>
      <c r="B3" s="1">
        <v>50000</v>
      </c>
    </row>
    <row r="4" spans="1:6" x14ac:dyDescent="0.35">
      <c r="A4" s="1">
        <v>2020</v>
      </c>
      <c r="B4" s="1">
        <f>100000</f>
        <v>100000</v>
      </c>
      <c r="C4" s="26">
        <f t="shared" ref="C4:C9" si="0">(B4-B3)/B3</f>
        <v>1</v>
      </c>
    </row>
    <row r="5" spans="1:6" x14ac:dyDescent="0.35">
      <c r="A5" s="1">
        <v>2021</v>
      </c>
      <c r="B5" s="1">
        <v>102300</v>
      </c>
      <c r="C5" s="26">
        <f t="shared" si="0"/>
        <v>2.3E-2</v>
      </c>
    </row>
    <row r="6" spans="1:6" x14ac:dyDescent="0.35">
      <c r="A6" s="1">
        <v>2022</v>
      </c>
      <c r="B6" s="1">
        <v>103500</v>
      </c>
      <c r="C6" s="26">
        <f t="shared" si="0"/>
        <v>1.1730205278592375E-2</v>
      </c>
      <c r="E6" s="1" t="s">
        <v>166</v>
      </c>
      <c r="F6" s="1" t="s">
        <v>169</v>
      </c>
    </row>
    <row r="7" spans="1:6" x14ac:dyDescent="0.35">
      <c r="A7" s="1">
        <v>2023</v>
      </c>
      <c r="B7" s="1">
        <v>106600</v>
      </c>
      <c r="C7" s="26">
        <f t="shared" si="0"/>
        <v>2.9951690821256038E-2</v>
      </c>
      <c r="E7" s="27">
        <f>MEDIAN(C4:C9)</f>
        <v>0.12645487410819978</v>
      </c>
      <c r="F7" s="28">
        <f>MEDIAN(C5:C9)</f>
        <v>2.9951690821256038E-2</v>
      </c>
    </row>
    <row r="8" spans="1:6" x14ac:dyDescent="0.35">
      <c r="A8" s="1">
        <v>2024</v>
      </c>
      <c r="B8" s="1">
        <v>135900</v>
      </c>
      <c r="C8" s="26">
        <f t="shared" si="0"/>
        <v>0.27485928705440899</v>
      </c>
    </row>
    <row r="9" spans="1:6" x14ac:dyDescent="0.35">
      <c r="A9" s="1">
        <v>2025</v>
      </c>
      <c r="B9" s="1">
        <v>166200</v>
      </c>
      <c r="C9" s="26">
        <f t="shared" si="0"/>
        <v>0.22295805739514349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AZ3"/>
  <sheetViews>
    <sheetView workbookViewId="0"/>
  </sheetViews>
  <sheetFormatPr defaultRowHeight="14.5" x14ac:dyDescent="0.35"/>
  <sheetData>
    <row r="1" spans="1:52" x14ac:dyDescent="0.35">
      <c r="A1" s="19"/>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35">
      <c r="A2" t="s">
        <v>77</v>
      </c>
      <c r="B2">
        <v>0</v>
      </c>
      <c r="C2" cm="1">
        <f t="array" ref="C2:AV2">TRANSPOSE(TableIncome[InvestmentP1])</f>
        <v>27479.774528031372</v>
      </c>
      <c r="D2">
        <v>27776.349228177478</v>
      </c>
      <c r="E2">
        <v>29200.513759714013</v>
      </c>
      <c r="F2">
        <v>29513.236316769195</v>
      </c>
      <c r="G2">
        <v>29828.571861670338</v>
      </c>
      <c r="H2">
        <v>32020.006702775998</v>
      </c>
      <c r="I2">
        <v>32358.451873795348</v>
      </c>
      <c r="J2">
        <v>32699.815735574157</v>
      </c>
      <c r="K2">
        <v>34360.939515101956</v>
      </c>
      <c r="L2">
        <v>34721.423950025383</v>
      </c>
      <c r="M2">
        <v>35085.074332351614</v>
      </c>
      <c r="N2">
        <v>35451.930927377143</v>
      </c>
      <c r="O2">
        <v>37246.57275434542</v>
      </c>
      <c r="P2">
        <v>37634.20889715261</v>
      </c>
      <c r="Q2">
        <v>38025.315928451368</v>
      </c>
      <c r="R2">
        <v>38419.936507576414</v>
      </c>
      <c r="S2">
        <v>40359.202199382307</v>
      </c>
      <c r="T2">
        <v>40776.389827084407</v>
      </c>
      <c r="U2">
        <v>41197.374736745784</v>
      </c>
      <c r="V2">
        <v>41622.202246172674</v>
      </c>
      <c r="W2">
        <v>43362.992473884253</v>
      </c>
      <c r="X2">
        <v>43708.099179726712</v>
      </c>
      <c r="Y2">
        <v>44056.310885380539</v>
      </c>
      <c r="Z2">
        <v>44407.665426476153</v>
      </c>
      <c r="AA2">
        <v>44762.20088394863</v>
      </c>
      <c r="AB2">
        <v>45119.955589099693</v>
      </c>
      <c r="AC2">
        <v>45480.968128658984</v>
      </c>
      <c r="AD2">
        <v>45845.277349845928</v>
      </c>
      <c r="AE2">
        <v>46212.922365433064</v>
      </c>
      <c r="AF2">
        <v>46583.942558811657</v>
      </c>
      <c r="AG2">
        <v>46958.377589060896</v>
      </c>
      <c r="AH2">
        <v>47336.2673960213</v>
      </c>
      <c r="AI2">
        <v>47717.652205373568</v>
      </c>
      <c r="AJ2">
        <v>49605.38906621674</v>
      </c>
      <c r="AK2">
        <v>50008.913891512522</v>
      </c>
      <c r="AL2">
        <v>50416.206443823408</v>
      </c>
      <c r="AM2">
        <v>50827.30964593406</v>
      </c>
      <c r="AN2">
        <v>51242.266747003683</v>
      </c>
      <c r="AO2">
        <v>51661.121327846609</v>
      </c>
      <c r="AP2">
        <v>52083.917306226038</v>
      </c>
      <c r="AQ2">
        <v>52510.698942161878</v>
      </c>
      <c r="AR2">
        <v>52941.510843253745</v>
      </c>
      <c r="AS2">
        <v>53376.397970019927</v>
      </c>
      <c r="AT2">
        <v>0</v>
      </c>
      <c r="AU2">
        <v>0</v>
      </c>
      <c r="AV2">
        <v>0</v>
      </c>
      <c r="AW2">
        <v>0</v>
      </c>
      <c r="AX2">
        <v>0</v>
      </c>
      <c r="AY2">
        <v>0</v>
      </c>
      <c r="AZ2">
        <v>0</v>
      </c>
    </row>
    <row r="3" spans="1:52" x14ac:dyDescent="0.35">
      <c r="A3" t="s">
        <v>76</v>
      </c>
      <c r="B3">
        <v>200000</v>
      </c>
      <c r="C3" cm="1">
        <f t="array" ref="C3:AV3">TRANSPOSE(TableIncome[InvestmentP2])</f>
        <v>45358.962012784315</v>
      </c>
      <c r="D3">
        <v>45733.14013227394</v>
      </c>
      <c r="E3">
        <v>46110.525020029803</v>
      </c>
      <c r="F3">
        <v>48032.563374858633</v>
      </c>
      <c r="G3">
        <v>48431.903734836662</v>
      </c>
      <c r="H3">
        <v>51486.963649469129</v>
      </c>
      <c r="I3">
        <v>51918.889934451407</v>
      </c>
      <c r="J3">
        <v>52354.669721332779</v>
      </c>
      <c r="K3">
        <v>52794.350677699877</v>
      </c>
      <c r="L3">
        <v>53237.980768745299</v>
      </c>
      <c r="M3">
        <v>53685.608263754722</v>
      </c>
      <c r="N3">
        <v>54137.281742590276</v>
      </c>
      <c r="O3">
        <v>54593.05010217111</v>
      </c>
      <c r="P3">
        <v>55052.962562952533</v>
      </c>
      <c r="Q3">
        <v>55517.068675405324</v>
      </c>
      <c r="R3">
        <v>55985.418326495885</v>
      </c>
      <c r="S3">
        <v>56458.061746169202</v>
      </c>
      <c r="T3">
        <v>56935.049513835169</v>
      </c>
      <c r="U3">
        <v>60269.604133860179</v>
      </c>
      <c r="V3">
        <v>60783.96548175421</v>
      </c>
      <c r="W3">
        <v>61303.110394763346</v>
      </c>
      <c r="X3">
        <v>61827.093768310588</v>
      </c>
      <c r="Y3">
        <v>62355.970908346237</v>
      </c>
      <c r="Z3">
        <v>62889.797538167506</v>
      </c>
      <c r="AA3">
        <v>63428.629805252924</v>
      </c>
      <c r="AB3">
        <v>63972.524288113025</v>
      </c>
      <c r="AC3">
        <v>64521.538003158435</v>
      </c>
      <c r="AD3">
        <v>65075.728411586373</v>
      </c>
      <c r="AE3">
        <v>0</v>
      </c>
      <c r="AF3">
        <v>0</v>
      </c>
      <c r="AG3">
        <v>0</v>
      </c>
      <c r="AH3">
        <v>0</v>
      </c>
      <c r="AI3">
        <v>0</v>
      </c>
      <c r="AJ3">
        <v>0</v>
      </c>
      <c r="AK3">
        <v>0</v>
      </c>
      <c r="AL3">
        <v>0</v>
      </c>
      <c r="AM3">
        <v>0</v>
      </c>
      <c r="AN3">
        <v>0</v>
      </c>
      <c r="AO3">
        <v>0</v>
      </c>
      <c r="AP3">
        <v>0</v>
      </c>
      <c r="AQ3">
        <v>0</v>
      </c>
      <c r="AR3">
        <v>0</v>
      </c>
      <c r="AS3">
        <v>0</v>
      </c>
      <c r="AT3">
        <v>0</v>
      </c>
      <c r="AU3">
        <v>0</v>
      </c>
      <c r="AV3">
        <v>0</v>
      </c>
      <c r="AW3">
        <v>0</v>
      </c>
      <c r="AX3">
        <v>0</v>
      </c>
      <c r="AY3">
        <v>0</v>
      </c>
      <c r="AZ3">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heetViews>
  <sheetFormatPr defaultRowHeight="14.5" x14ac:dyDescent="0.35"/>
  <cols>
    <col min="2" max="2" width="10.54296875" bestFit="1" customWidth="1"/>
    <col min="3" max="12" width="11.26953125" bestFit="1" customWidth="1"/>
    <col min="13" max="13" width="13.26953125" bestFit="1" customWidth="1"/>
    <col min="14" max="15" width="12.7265625" bestFit="1" customWidth="1"/>
    <col min="16" max="51" width="12.81640625" bestFit="1" customWidth="1"/>
    <col min="52" max="52" width="13.26953125" bestFit="1" customWidth="1"/>
  </cols>
  <sheetData>
    <row r="1" spans="1:52" x14ac:dyDescent="0.3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0" t="s">
        <v>159</v>
      </c>
    </row>
    <row r="2" spans="1:52" x14ac:dyDescent="0.35">
      <c r="A2" t="s">
        <v>77</v>
      </c>
      <c r="B2" s="15">
        <f>SUMIF(TableIncome[Year], "&lt;=" &amp; B1, TableIncome[InvestmentP1])</f>
        <v>27479.774528031372</v>
      </c>
      <c r="C2" s="15">
        <f>SUMIF(TableIncome[Year], "&lt;=" &amp; C1, TableIncome[InvestmentP1])</f>
        <v>55256.12375620885</v>
      </c>
      <c r="D2" s="15">
        <f>SUMIF(TableIncome[Year], "&lt;=" &amp; D1, TableIncome[InvestmentP1])</f>
        <v>84456.637515922863</v>
      </c>
      <c r="E2" s="15">
        <f>SUMIF(TableIncome[Year], "&lt;=" &amp; E1, TableIncome[InvestmentP1])</f>
        <v>113969.87383269206</v>
      </c>
      <c r="F2" s="15">
        <f>SUMIF(TableIncome[Year], "&lt;=" &amp; F1, TableIncome[InvestmentP1])</f>
        <v>143798.4456943624</v>
      </c>
      <c r="G2" s="15">
        <f>SUMIF(TableIncome[Year], "&lt;=" &amp; G1, TableIncome[InvestmentP1])</f>
        <v>175818.4523971384</v>
      </c>
      <c r="H2" s="15">
        <f>SUMIF(TableIncome[Year], "&lt;=" &amp; H1, TableIncome[InvestmentP1])</f>
        <v>208176.90427093377</v>
      </c>
      <c r="I2" s="15">
        <f>SUMIF(TableIncome[Year], "&lt;=" &amp; I1, TableIncome[InvestmentP1])</f>
        <v>240876.72000650794</v>
      </c>
      <c r="J2" s="15">
        <f>SUMIF(TableIncome[Year], "&lt;=" &amp; J1, TableIncome[InvestmentP1])</f>
        <v>275237.65952160989</v>
      </c>
      <c r="K2" s="15">
        <f>SUMIF(TableIncome[Year], "&lt;=" &amp; K1, TableIncome[InvestmentP1])</f>
        <v>309959.0834716353</v>
      </c>
      <c r="L2" s="15">
        <f>SUMIF(TableIncome[Year], "&lt;=" &amp; L1, TableIncome[InvestmentP1])</f>
        <v>345044.15780398692</v>
      </c>
      <c r="M2" s="15">
        <f>SUMIF(TableIncome[Year], "&lt;=" &amp; M1, TableIncome[InvestmentP1])</f>
        <v>380496.08873136406</v>
      </c>
      <c r="N2" s="15">
        <f>SUMIF(TableIncome[Year], "&lt;=" &amp; N1, TableIncome[InvestmentP1])</f>
        <v>417742.66148570948</v>
      </c>
      <c r="O2" s="15">
        <f>SUMIF(TableIncome[Year], "&lt;=" &amp; O1, TableIncome[InvestmentP1])</f>
        <v>455376.87038286211</v>
      </c>
      <c r="P2" s="15">
        <f>SUMIF(TableIncome[Year], "&lt;=" &amp; P1, TableIncome[InvestmentP1])</f>
        <v>493402.18631131348</v>
      </c>
      <c r="Q2" s="15">
        <f>SUMIF(TableIncome[Year], "&lt;=" &amp; Q1, TableIncome[InvestmentP1])</f>
        <v>531822.12281888991</v>
      </c>
      <c r="R2" s="15">
        <f>SUMIF(TableIncome[Year], "&lt;=" &amp; R1, TableIncome[InvestmentP1])</f>
        <v>572181.32501827227</v>
      </c>
      <c r="S2" s="15">
        <f>SUMIF(TableIncome[Year], "&lt;=" &amp; S1, TableIncome[InvestmentP1])</f>
        <v>612957.71484535665</v>
      </c>
      <c r="T2" s="15">
        <f>SUMIF(TableIncome[Year], "&lt;=" &amp; T1, TableIncome[InvestmentP1])</f>
        <v>654155.08958210237</v>
      </c>
      <c r="U2" s="15">
        <f>SUMIF(TableIncome[Year], "&lt;=" &amp; U1, TableIncome[InvestmentP1])</f>
        <v>695777.29182827508</v>
      </c>
      <c r="V2" s="15">
        <f>SUMIF(TableIncome[Year], "&lt;=" &amp; V1, TableIncome[InvestmentP1])</f>
        <v>739140.28430215933</v>
      </c>
      <c r="W2" s="15">
        <f>SUMIF(TableIncome[Year], "&lt;=" &amp; W1, TableIncome[InvestmentP1])</f>
        <v>782848.38348188601</v>
      </c>
      <c r="X2" s="15">
        <f>SUMIF(TableIncome[Year], "&lt;=" &amp; X1, TableIncome[InvestmentP1])</f>
        <v>826904.69436726649</v>
      </c>
      <c r="Y2" s="15">
        <f>SUMIF(TableIncome[Year], "&lt;=" &amp; Y1, TableIncome[InvestmentP1])</f>
        <v>871312.35979374265</v>
      </c>
      <c r="Z2" s="15">
        <f>SUMIF(TableIncome[Year], "&lt;=" &amp; Z1, TableIncome[InvestmentP1])</f>
        <v>916074.56067769125</v>
      </c>
      <c r="AA2" s="15">
        <f>SUMIF(TableIncome[Year], "&lt;=" &amp; AA1, TableIncome[InvestmentP1])</f>
        <v>961194.51626679092</v>
      </c>
      <c r="AB2" s="15">
        <f>SUMIF(TableIncome[Year], "&lt;=" &amp; AB1, TableIncome[InvestmentP1])</f>
        <v>1006675.4843954499</v>
      </c>
      <c r="AC2" s="15">
        <f>SUMIF(TableIncome[Year], "&lt;=" &amp; AC1, TableIncome[InvestmentP1])</f>
        <v>1052520.7617452957</v>
      </c>
      <c r="AD2" s="15">
        <f>SUMIF(TableIncome[Year], "&lt;=" &amp; AD1, TableIncome[InvestmentP1])</f>
        <v>1098733.6841107288</v>
      </c>
      <c r="AE2" s="15">
        <f>SUMIF(TableIncome[Year], "&lt;=" &amp; AE1, TableIncome[InvestmentP1])</f>
        <v>1145317.6266695405</v>
      </c>
      <c r="AF2" s="15">
        <f>SUMIF(TableIncome[Year], "&lt;=" &amp; AF1, TableIncome[InvestmentP1])</f>
        <v>1192276.0042586015</v>
      </c>
      <c r="AG2" s="15">
        <f>SUMIF(TableIncome[Year], "&lt;=" &amp; AG1, TableIncome[InvestmentP1])</f>
        <v>1239612.2716546229</v>
      </c>
      <c r="AH2" s="15">
        <f>SUMIF(TableIncome[Year], "&lt;=" &amp; AH1, TableIncome[InvestmentP1])</f>
        <v>1287329.9238599965</v>
      </c>
      <c r="AI2" s="15">
        <f>SUMIF(TableIncome[Year], "&lt;=" &amp; AI1, TableIncome[InvestmentP1])</f>
        <v>1336935.3129262133</v>
      </c>
      <c r="AJ2" s="15">
        <f>SUMIF(TableIncome[Year], "&lt;=" &amp; AJ1, TableIncome[InvestmentP1])</f>
        <v>1386944.2268177257</v>
      </c>
      <c r="AK2" s="15">
        <f>SUMIF(TableIncome[Year], "&lt;=" &amp; AK1, TableIncome[InvestmentP1])</f>
        <v>1437360.4332615491</v>
      </c>
      <c r="AL2" s="15">
        <f>SUMIF(TableIncome[Year], "&lt;=" &amp; AL1, TableIncome[InvestmentP1])</f>
        <v>1488187.7429074831</v>
      </c>
      <c r="AM2" s="15">
        <f>SUMIF(TableIncome[Year], "&lt;=" &amp; AM1, TableIncome[InvestmentP1])</f>
        <v>1539430.0096544868</v>
      </c>
      <c r="AN2" s="15">
        <f>SUMIF(TableIncome[Year], "&lt;=" &amp; AN1, TableIncome[InvestmentP1])</f>
        <v>1591091.1309823333</v>
      </c>
      <c r="AO2" s="15">
        <f>SUMIF(TableIncome[Year], "&lt;=" &amp; AO1, TableIncome[InvestmentP1])</f>
        <v>1643175.0482885593</v>
      </c>
      <c r="AP2" s="15">
        <f>SUMIF(TableIncome[Year], "&lt;=" &amp; AP1, TableIncome[InvestmentP1])</f>
        <v>1695685.7472307212</v>
      </c>
      <c r="AQ2" s="15">
        <f>SUMIF(TableIncome[Year], "&lt;=" &amp; AQ1, TableIncome[InvestmentP1])</f>
        <v>1748627.2580739749</v>
      </c>
      <c r="AR2" s="15">
        <f>SUMIF(TableIncome[Year], "&lt;=" &amp; AR1, TableIncome[InvestmentP1])</f>
        <v>1802003.6560439947</v>
      </c>
      <c r="AS2" s="15">
        <f>SUMIF(TableIncome[Year], "&lt;=" &amp; AS1, TableIncome[InvestmentP1])</f>
        <v>1802003.6560439947</v>
      </c>
      <c r="AT2" s="15">
        <f>SUMIF(TableIncome[Year], "&lt;=" &amp; AT1, TableIncome[InvestmentP1])</f>
        <v>1802003.6560439947</v>
      </c>
      <c r="AU2" s="15">
        <f>SUMIF(TableIncome[Year], "&lt;=" &amp; AU1, TableIncome[InvestmentP1])</f>
        <v>1802003.6560439947</v>
      </c>
      <c r="AV2" s="15">
        <f>SUMIF(TableIncome[Year], "&lt;=" &amp; AV1, TableIncome[InvestmentP1])</f>
        <v>1802003.6560439947</v>
      </c>
      <c r="AW2" s="15">
        <f>SUMIF(TableIncome[Year], "&lt;=" &amp; AW1, TableIncome[InvestmentP1])</f>
        <v>1802003.6560439947</v>
      </c>
      <c r="AX2" s="15">
        <f>SUMIF(TableIncome[Year], "&lt;=" &amp; AX1, TableIncome[InvestmentP1])</f>
        <v>1802003.6560439947</v>
      </c>
      <c r="AY2" s="15">
        <f>SUMIF(TableIncome[Year], "&lt;=" &amp; AY1, TableIncome[InvestmentP1])</f>
        <v>1802003.6560439947</v>
      </c>
      <c r="AZ2" s="15">
        <f>SUMIF(TableIncome[Year], "&lt;=" &amp; AZ1, TableIncome[InvestmentP1])</f>
        <v>1802003.6560439947</v>
      </c>
    </row>
    <row r="3" spans="1:52" x14ac:dyDescent="0.35">
      <c r="A3" t="s">
        <v>76</v>
      </c>
      <c r="B3" s="15">
        <f>SUMIF(TableIncome[Year], "&lt;=" &amp; B1, TableIncome[InvestmentP2])</f>
        <v>45358.962012784315</v>
      </c>
      <c r="C3" s="15">
        <f>SUMIF(TableIncome[Year], "&lt;=" &amp; C1, TableIncome[InvestmentP2])</f>
        <v>91092.102145058248</v>
      </c>
      <c r="D3" s="15">
        <f>SUMIF(TableIncome[Year], "&lt;=" &amp; D1, TableIncome[InvestmentP2])</f>
        <v>137202.62716508805</v>
      </c>
      <c r="E3" s="15">
        <f>SUMIF(TableIncome[Year], "&lt;=" &amp; E1, TableIncome[InvestmentP2])</f>
        <v>185235.19053994669</v>
      </c>
      <c r="F3" s="15">
        <f>SUMIF(TableIncome[Year], "&lt;=" &amp; F1, TableIncome[InvestmentP2])</f>
        <v>233667.09427478336</v>
      </c>
      <c r="G3" s="15">
        <f>SUMIF(TableIncome[Year], "&lt;=" &amp; G1, TableIncome[InvestmentP2])</f>
        <v>285154.05792425247</v>
      </c>
      <c r="H3" s="15">
        <f>SUMIF(TableIncome[Year], "&lt;=" &amp; H1, TableIncome[InvestmentP2])</f>
        <v>337072.9478587039</v>
      </c>
      <c r="I3" s="15">
        <f>SUMIF(TableIncome[Year], "&lt;=" &amp; I1, TableIncome[InvestmentP2])</f>
        <v>389427.61758003669</v>
      </c>
      <c r="J3" s="15">
        <f>SUMIF(TableIncome[Year], "&lt;=" &amp; J1, TableIncome[InvestmentP2])</f>
        <v>442221.96825773659</v>
      </c>
      <c r="K3" s="15">
        <f>SUMIF(TableIncome[Year], "&lt;=" &amp; K1, TableIncome[InvestmentP2])</f>
        <v>495459.94902648189</v>
      </c>
      <c r="L3" s="15">
        <f>SUMIF(TableIncome[Year], "&lt;=" &amp; L1, TableIncome[InvestmentP2])</f>
        <v>549145.55729023658</v>
      </c>
      <c r="M3" s="15">
        <f>SUMIF(TableIncome[Year], "&lt;=" &amp; M1, TableIncome[InvestmentP2])</f>
        <v>603282.83903282683</v>
      </c>
      <c r="N3" s="15">
        <f>SUMIF(TableIncome[Year], "&lt;=" &amp; N1, TableIncome[InvestmentP2])</f>
        <v>657875.88913499797</v>
      </c>
      <c r="O3" s="15">
        <f>SUMIF(TableIncome[Year], "&lt;=" &amp; O1, TableIncome[InvestmentP2])</f>
        <v>712928.85169795051</v>
      </c>
      <c r="P3" s="15">
        <f>SUMIF(TableIncome[Year], "&lt;=" &amp; P1, TableIncome[InvestmentP2])</f>
        <v>768445.92037335585</v>
      </c>
      <c r="Q3" s="15">
        <f>SUMIF(TableIncome[Year], "&lt;=" &amp; Q1, TableIncome[InvestmentP2])</f>
        <v>824431.33869985177</v>
      </c>
      <c r="R3" s="15">
        <f>SUMIF(TableIncome[Year], "&lt;=" &amp; R1, TableIncome[InvestmentP2])</f>
        <v>880889.400446021</v>
      </c>
      <c r="S3" s="15">
        <f>SUMIF(TableIncome[Year], "&lt;=" &amp; S1, TableIncome[InvestmentP2])</f>
        <v>937824.44995985623</v>
      </c>
      <c r="T3" s="15">
        <f>SUMIF(TableIncome[Year], "&lt;=" &amp; T1, TableIncome[InvestmentP2])</f>
        <v>998094.05409371643</v>
      </c>
      <c r="U3" s="15">
        <f>SUMIF(TableIncome[Year], "&lt;=" &amp; U1, TableIncome[InvestmentP2])</f>
        <v>1058878.0195754706</v>
      </c>
      <c r="V3" s="15">
        <f>SUMIF(TableIncome[Year], "&lt;=" &amp; V1, TableIncome[InvestmentP2])</f>
        <v>1120181.1299702339</v>
      </c>
      <c r="W3" s="15">
        <f>SUMIF(TableIncome[Year], "&lt;=" &amp; W1, TableIncome[InvestmentP2])</f>
        <v>1182008.2237385444</v>
      </c>
      <c r="X3" s="15">
        <f>SUMIF(TableIncome[Year], "&lt;=" &amp; X1, TableIncome[InvestmentP2])</f>
        <v>1244364.1946468907</v>
      </c>
      <c r="Y3" s="15">
        <f>SUMIF(TableIncome[Year], "&lt;=" &amp; Y1, TableIncome[InvestmentP2])</f>
        <v>1307253.9921850583</v>
      </c>
      <c r="Z3" s="15">
        <f>SUMIF(TableIncome[Year], "&lt;=" &amp; Z1, TableIncome[InvestmentP2])</f>
        <v>1370682.6219903112</v>
      </c>
      <c r="AA3" s="15">
        <f>SUMIF(TableIncome[Year], "&lt;=" &amp; AA1, TableIncome[InvestmentP2])</f>
        <v>1434655.1462784242</v>
      </c>
      <c r="AB3" s="15">
        <f>SUMIF(TableIncome[Year], "&lt;=" &amp; AB1, TableIncome[InvestmentP2])</f>
        <v>1499176.6842815827</v>
      </c>
      <c r="AC3" s="15">
        <f>SUMIF(TableIncome[Year], "&lt;=" &amp; AC1, TableIncome[InvestmentP2])</f>
        <v>1564252.412693169</v>
      </c>
      <c r="AD3" s="15">
        <f>SUMIF(TableIncome[Year], "&lt;=" &amp; AD1, TableIncome[InvestmentP2])</f>
        <v>1564252.412693169</v>
      </c>
      <c r="AE3" s="15">
        <f>SUMIF(TableIncome[Year], "&lt;=" &amp; AE1, TableIncome[InvestmentP2])</f>
        <v>1564252.412693169</v>
      </c>
      <c r="AF3" s="15">
        <f>SUMIF(TableIncome[Year], "&lt;=" &amp; AF1, TableIncome[InvestmentP2])</f>
        <v>1564252.412693169</v>
      </c>
      <c r="AG3" s="15">
        <f>SUMIF(TableIncome[Year], "&lt;=" &amp; AG1, TableIncome[InvestmentP2])</f>
        <v>1564252.412693169</v>
      </c>
      <c r="AH3" s="15">
        <f>SUMIF(TableIncome[Year], "&lt;=" &amp; AH1, TableIncome[InvestmentP2])</f>
        <v>1564252.412693169</v>
      </c>
      <c r="AI3" s="15">
        <f>SUMIF(TableIncome[Year], "&lt;=" &amp; AI1, TableIncome[InvestmentP2])</f>
        <v>1564252.412693169</v>
      </c>
      <c r="AJ3" s="15">
        <f>SUMIF(TableIncome[Year], "&lt;=" &amp; AJ1, TableIncome[InvestmentP2])</f>
        <v>1564252.412693169</v>
      </c>
      <c r="AK3" s="15">
        <f>SUMIF(TableIncome[Year], "&lt;=" &amp; AK1, TableIncome[InvestmentP2])</f>
        <v>1564252.412693169</v>
      </c>
      <c r="AL3" s="15">
        <f>SUMIF(TableIncome[Year], "&lt;=" &amp; AL1, TableIncome[InvestmentP2])</f>
        <v>1564252.412693169</v>
      </c>
      <c r="AM3" s="15">
        <f>SUMIF(TableIncome[Year], "&lt;=" &amp; AM1, TableIncome[InvestmentP2])</f>
        <v>1564252.412693169</v>
      </c>
      <c r="AN3" s="15">
        <f>SUMIF(TableIncome[Year], "&lt;=" &amp; AN1, TableIncome[InvestmentP2])</f>
        <v>1564252.412693169</v>
      </c>
      <c r="AO3" s="15">
        <f>SUMIF(TableIncome[Year], "&lt;=" &amp; AO1, TableIncome[InvestmentP2])</f>
        <v>1564252.412693169</v>
      </c>
      <c r="AP3" s="15">
        <f>SUMIF(TableIncome[Year], "&lt;=" &amp; AP1, TableIncome[InvestmentP2])</f>
        <v>1564252.412693169</v>
      </c>
      <c r="AQ3" s="15">
        <f>SUMIF(TableIncome[Year], "&lt;=" &amp; AQ1, TableIncome[InvestmentP2])</f>
        <v>1564252.412693169</v>
      </c>
      <c r="AR3" s="15">
        <f>SUMIF(TableIncome[Year], "&lt;=" &amp; AR1, TableIncome[InvestmentP2])</f>
        <v>1564252.412693169</v>
      </c>
      <c r="AS3" s="15">
        <f>SUMIF(TableIncome[Year], "&lt;=" &amp; AS1, TableIncome[InvestmentP2])</f>
        <v>1564252.412693169</v>
      </c>
      <c r="AT3" s="15">
        <f>SUMIF(TableIncome[Year], "&lt;=" &amp; AT1, TableIncome[InvestmentP2])</f>
        <v>1564252.412693169</v>
      </c>
      <c r="AU3" s="15">
        <f>SUMIF(TableIncome[Year], "&lt;=" &amp; AU1, TableIncome[InvestmentP2])</f>
        <v>1564252.412693169</v>
      </c>
      <c r="AV3" s="15">
        <f>SUMIF(TableIncome[Year], "&lt;=" &amp; AV1, TableIncome[InvestmentP2])</f>
        <v>1564252.412693169</v>
      </c>
      <c r="AW3" s="15">
        <f>SUMIF(TableIncome[Year], "&lt;=" &amp; AW1, TableIncome[InvestmentP2])</f>
        <v>1564252.412693169</v>
      </c>
      <c r="AX3" s="15">
        <f>SUMIF(TableIncome[Year], "&lt;=" &amp; AX1, TableIncome[InvestmentP2])</f>
        <v>1564252.412693169</v>
      </c>
      <c r="AY3" s="15">
        <f>SUMIF(TableIncome[Year], "&lt;=" &amp; AY1, TableIncome[InvestmentP2])</f>
        <v>1564252.412693169</v>
      </c>
      <c r="AZ3" s="15">
        <f>SUMIF(TableIncome[Year], "&lt;=" &amp; AZ1, TableIncome[InvestmentP2])</f>
        <v>1564252.412693169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heetViews>
  <sheetFormatPr defaultColWidth="9.1796875" defaultRowHeight="14.5" x14ac:dyDescent="0.35"/>
  <cols>
    <col min="1" max="1" width="9.1796875" style="1"/>
    <col min="2" max="2" width="134.7265625" style="1" customWidth="1"/>
    <col min="3" max="12" width="9.1796875" style="1"/>
    <col min="13" max="13" width="18.7265625" style="1" customWidth="1"/>
    <col min="14" max="14" width="15.453125" style="1" customWidth="1"/>
    <col min="15" max="16384" width="9.1796875" style="1"/>
  </cols>
  <sheetData>
    <row r="3" spans="2:2" x14ac:dyDescent="0.35">
      <c r="B3" s="1" t="s">
        <v>81</v>
      </c>
    </row>
    <row r="4" spans="2:2" x14ac:dyDescent="0.35">
      <c r="B4" s="1" t="s">
        <v>82</v>
      </c>
    </row>
    <row r="5" spans="2:2" x14ac:dyDescent="0.35">
      <c r="B5" s="1" t="s">
        <v>83</v>
      </c>
    </row>
    <row r="6" spans="2:2" x14ac:dyDescent="0.35">
      <c r="B6" s="1" t="s">
        <v>88</v>
      </c>
    </row>
    <row r="7" spans="2:2" x14ac:dyDescent="0.35">
      <c r="B7" s="1" t="s">
        <v>84</v>
      </c>
    </row>
    <row r="9" spans="2:2" x14ac:dyDescent="0.35">
      <c r="B9" s="1" t="s">
        <v>85</v>
      </c>
    </row>
    <row r="13" spans="2:2" x14ac:dyDescent="0.35">
      <c r="B13" s="1" t="s">
        <v>86</v>
      </c>
    </row>
    <row r="14" spans="2:2" x14ac:dyDescent="0.35">
      <c r="B14" s="1" t="s">
        <v>87</v>
      </c>
    </row>
    <row r="18" spans="2:2" x14ac:dyDescent="0.35">
      <c r="B18" s="1" t="s">
        <v>89</v>
      </c>
    </row>
    <row r="37" spans="2:14" x14ac:dyDescent="0.35">
      <c r="B37" s="1" t="s">
        <v>90</v>
      </c>
    </row>
    <row r="41" spans="2:14" x14ac:dyDescent="0.35">
      <c r="C41" s="1" t="s">
        <v>91</v>
      </c>
    </row>
    <row r="42" spans="2:14" x14ac:dyDescent="0.35">
      <c r="D42" s="1" t="s">
        <v>94</v>
      </c>
      <c r="E42" s="1" t="s">
        <v>95</v>
      </c>
    </row>
    <row r="43" spans="2:14" x14ac:dyDescent="0.35">
      <c r="C43" s="1" t="s">
        <v>92</v>
      </c>
      <c r="D43" s="17">
        <v>0.03</v>
      </c>
      <c r="E43" s="17">
        <v>0.01</v>
      </c>
      <c r="H43" s="1">
        <v>2025</v>
      </c>
      <c r="I43" s="1">
        <v>2026</v>
      </c>
      <c r="J43" s="1">
        <v>2027</v>
      </c>
      <c r="M43" s="74" t="s">
        <v>96</v>
      </c>
      <c r="N43" s="75" t="s">
        <v>97</v>
      </c>
    </row>
    <row r="44" spans="2:14" x14ac:dyDescent="0.35">
      <c r="C44" s="1" t="s">
        <v>93</v>
      </c>
      <c r="D44" s="17">
        <v>0.1</v>
      </c>
      <c r="E44" s="17">
        <v>0.03</v>
      </c>
      <c r="H44" s="17">
        <v>0.03</v>
      </c>
      <c r="I44" s="17">
        <v>0.04</v>
      </c>
      <c r="J44" s="17">
        <v>0.06</v>
      </c>
      <c r="K44" s="17">
        <v>7.0000000000000007E-2</v>
      </c>
      <c r="L44" s="17">
        <v>0.1</v>
      </c>
      <c r="M44" s="74"/>
      <c r="N44" s="75"/>
    </row>
    <row r="45" spans="2:14" x14ac:dyDescent="0.35">
      <c r="M45" s="74"/>
      <c r="N45" s="75"/>
    </row>
    <row r="46" spans="2:14" x14ac:dyDescent="0.35">
      <c r="H46" s="17">
        <f>AVERAGE(H44:L44)</f>
        <v>6.0000000000000012E-2</v>
      </c>
      <c r="I46" s="17">
        <f>AVERAGE(I44:L44)</f>
        <v>6.7500000000000004E-2</v>
      </c>
      <c r="M46" s="74"/>
      <c r="N46" s="75"/>
    </row>
    <row r="51" spans="2:21" x14ac:dyDescent="0.35">
      <c r="J51" s="1" t="s">
        <v>98</v>
      </c>
      <c r="L51" s="1" t="s">
        <v>99</v>
      </c>
    </row>
    <row r="53" spans="2:21" x14ac:dyDescent="0.35">
      <c r="J53" s="1">
        <v>2025</v>
      </c>
      <c r="K53" s="1">
        <v>2026</v>
      </c>
      <c r="L53" s="1">
        <v>2027</v>
      </c>
      <c r="M53" s="1">
        <v>2028</v>
      </c>
      <c r="N53" s="1">
        <v>2029</v>
      </c>
      <c r="O53" s="1">
        <v>2030</v>
      </c>
      <c r="P53" s="1">
        <v>2031</v>
      </c>
      <c r="Q53" s="1">
        <v>2032</v>
      </c>
      <c r="R53" s="1">
        <v>2033</v>
      </c>
      <c r="S53" s="1">
        <v>2034</v>
      </c>
      <c r="U53" s="1" t="s">
        <v>100</v>
      </c>
    </row>
    <row r="54" spans="2:21" x14ac:dyDescent="0.35">
      <c r="J54" s="18">
        <f t="shared" ref="J54:S54" si="0">$U$54*10%</f>
        <v>200000</v>
      </c>
      <c r="K54" s="18">
        <f t="shared" si="0"/>
        <v>200000</v>
      </c>
      <c r="L54" s="18">
        <f t="shared" si="0"/>
        <v>200000</v>
      </c>
      <c r="M54" s="18">
        <f t="shared" si="0"/>
        <v>200000</v>
      </c>
      <c r="N54" s="18">
        <f t="shared" si="0"/>
        <v>200000</v>
      </c>
      <c r="O54" s="18">
        <f t="shared" si="0"/>
        <v>200000</v>
      </c>
      <c r="P54" s="18">
        <f t="shared" si="0"/>
        <v>200000</v>
      </c>
      <c r="Q54" s="18">
        <f t="shared" si="0"/>
        <v>200000</v>
      </c>
      <c r="R54" s="18">
        <f t="shared" si="0"/>
        <v>200000</v>
      </c>
      <c r="S54" s="18">
        <f t="shared" si="0"/>
        <v>200000</v>
      </c>
      <c r="T54" s="18"/>
      <c r="U54" s="1">
        <v>2000000</v>
      </c>
    </row>
    <row r="57" spans="2:21" x14ac:dyDescent="0.35">
      <c r="B57" s="18" t="s">
        <v>101</v>
      </c>
    </row>
  </sheetData>
  <mergeCells count="2">
    <mergeCell ref="M43:M46"/>
    <mergeCell ref="N43:N46"/>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workbookViewId="0"/>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52" x14ac:dyDescent="0.3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35">
      <c r="A2" t="s">
        <v>102</v>
      </c>
      <c r="B2" s="25">
        <v>1E-3</v>
      </c>
      <c r="C2" s="25">
        <f>B2</f>
        <v>1E-3</v>
      </c>
      <c r="D2" s="25">
        <f t="shared" ref="D2:K3" si="0">C2</f>
        <v>1E-3</v>
      </c>
      <c r="E2" s="25">
        <f t="shared" si="0"/>
        <v>1E-3</v>
      </c>
      <c r="F2" s="25">
        <f t="shared" si="0"/>
        <v>1E-3</v>
      </c>
      <c r="G2" s="25">
        <f t="shared" si="0"/>
        <v>1E-3</v>
      </c>
      <c r="H2" s="25">
        <f t="shared" si="0"/>
        <v>1E-3</v>
      </c>
      <c r="I2" s="25">
        <f t="shared" si="0"/>
        <v>1E-3</v>
      </c>
      <c r="J2" s="25">
        <f t="shared" si="0"/>
        <v>1E-3</v>
      </c>
      <c r="K2" s="25">
        <f t="shared" si="0"/>
        <v>1E-3</v>
      </c>
      <c r="L2" s="25">
        <v>0.04</v>
      </c>
      <c r="M2" s="25">
        <f t="shared" ref="M2:AB7" si="1">L2</f>
        <v>0.04</v>
      </c>
      <c r="N2" s="25">
        <f t="shared" si="1"/>
        <v>0.04</v>
      </c>
      <c r="O2" s="25">
        <f t="shared" si="1"/>
        <v>0.04</v>
      </c>
      <c r="P2" s="25">
        <f t="shared" si="1"/>
        <v>0.04</v>
      </c>
      <c r="Q2" s="25">
        <f t="shared" si="1"/>
        <v>0.04</v>
      </c>
      <c r="R2" s="25">
        <f t="shared" si="1"/>
        <v>0.04</v>
      </c>
      <c r="S2" s="25">
        <f t="shared" si="1"/>
        <v>0.04</v>
      </c>
      <c r="T2" s="25">
        <f t="shared" si="1"/>
        <v>0.04</v>
      </c>
      <c r="U2" s="25">
        <f t="shared" si="1"/>
        <v>0.04</v>
      </c>
      <c r="V2" s="25">
        <f t="shared" si="1"/>
        <v>0.04</v>
      </c>
      <c r="W2" s="25">
        <f t="shared" si="1"/>
        <v>0.04</v>
      </c>
      <c r="X2" s="25">
        <f t="shared" si="1"/>
        <v>0.04</v>
      </c>
      <c r="Y2" s="25">
        <f t="shared" si="1"/>
        <v>0.04</v>
      </c>
      <c r="Z2" s="25">
        <f t="shared" si="1"/>
        <v>0.04</v>
      </c>
      <c r="AA2" s="25">
        <f t="shared" si="1"/>
        <v>0.04</v>
      </c>
      <c r="AB2" s="25">
        <f t="shared" si="1"/>
        <v>0.04</v>
      </c>
      <c r="AC2" s="25">
        <f t="shared" ref="AC2:AR7" si="2">AB2</f>
        <v>0.04</v>
      </c>
      <c r="AD2" s="25">
        <f t="shared" si="2"/>
        <v>0.04</v>
      </c>
      <c r="AE2" s="25">
        <f t="shared" si="2"/>
        <v>0.04</v>
      </c>
      <c r="AF2" s="25">
        <f t="shared" si="2"/>
        <v>0.04</v>
      </c>
      <c r="AG2" s="25">
        <f t="shared" si="2"/>
        <v>0.04</v>
      </c>
      <c r="AH2" s="25">
        <f t="shared" si="2"/>
        <v>0.04</v>
      </c>
      <c r="AI2" s="25">
        <f t="shared" si="2"/>
        <v>0.04</v>
      </c>
      <c r="AJ2" s="25">
        <f t="shared" si="2"/>
        <v>0.04</v>
      </c>
      <c r="AK2" s="25">
        <f t="shared" si="2"/>
        <v>0.04</v>
      </c>
      <c r="AL2" s="25">
        <f t="shared" si="2"/>
        <v>0.04</v>
      </c>
      <c r="AM2" s="25">
        <f t="shared" si="2"/>
        <v>0.04</v>
      </c>
      <c r="AN2" s="25">
        <f t="shared" si="2"/>
        <v>0.04</v>
      </c>
      <c r="AO2" s="25">
        <f t="shared" si="2"/>
        <v>0.04</v>
      </c>
      <c r="AP2" s="25">
        <f t="shared" si="2"/>
        <v>0.04</v>
      </c>
      <c r="AQ2" s="25">
        <f t="shared" si="2"/>
        <v>0.04</v>
      </c>
      <c r="AR2" s="25">
        <f t="shared" si="2"/>
        <v>0.04</v>
      </c>
      <c r="AS2" s="25">
        <f t="shared" ref="AS2:AZ7" si="3">AR2</f>
        <v>0.04</v>
      </c>
      <c r="AT2" s="25">
        <f t="shared" si="3"/>
        <v>0.04</v>
      </c>
      <c r="AU2" s="25">
        <f t="shared" si="3"/>
        <v>0.04</v>
      </c>
      <c r="AV2" s="25">
        <f t="shared" si="3"/>
        <v>0.04</v>
      </c>
      <c r="AW2" s="25">
        <f t="shared" si="3"/>
        <v>0.04</v>
      </c>
      <c r="AX2" s="25">
        <f t="shared" si="3"/>
        <v>0.04</v>
      </c>
      <c r="AY2" s="25">
        <f t="shared" si="3"/>
        <v>0.04</v>
      </c>
      <c r="AZ2" s="25">
        <f t="shared" si="3"/>
        <v>0.04</v>
      </c>
    </row>
    <row r="3" spans="1:52" x14ac:dyDescent="0.35">
      <c r="A3" t="s">
        <v>103</v>
      </c>
      <c r="B3" s="25">
        <v>1E-3</v>
      </c>
      <c r="C3" s="25">
        <f>B3</f>
        <v>1E-3</v>
      </c>
      <c r="D3" s="25">
        <f t="shared" si="0"/>
        <v>1E-3</v>
      </c>
      <c r="E3" s="25">
        <f t="shared" si="0"/>
        <v>1E-3</v>
      </c>
      <c r="F3" s="25">
        <f t="shared" si="0"/>
        <v>1E-3</v>
      </c>
      <c r="G3" s="25">
        <f t="shared" si="0"/>
        <v>1E-3</v>
      </c>
      <c r="H3" s="25">
        <f t="shared" si="0"/>
        <v>1E-3</v>
      </c>
      <c r="I3" s="25">
        <f t="shared" si="0"/>
        <v>1E-3</v>
      </c>
      <c r="J3" s="25">
        <f t="shared" si="0"/>
        <v>1E-3</v>
      </c>
      <c r="K3" s="25">
        <f t="shared" si="0"/>
        <v>1E-3</v>
      </c>
      <c r="L3" s="25">
        <v>0.04</v>
      </c>
      <c r="M3" s="25">
        <f t="shared" si="1"/>
        <v>0.04</v>
      </c>
      <c r="N3" s="25">
        <f t="shared" si="1"/>
        <v>0.04</v>
      </c>
      <c r="O3" s="25">
        <f t="shared" si="1"/>
        <v>0.04</v>
      </c>
      <c r="P3" s="25">
        <f t="shared" si="1"/>
        <v>0.04</v>
      </c>
      <c r="Q3" s="25">
        <f t="shared" si="1"/>
        <v>0.04</v>
      </c>
      <c r="R3" s="25">
        <f t="shared" si="1"/>
        <v>0.04</v>
      </c>
      <c r="S3" s="25">
        <f t="shared" si="1"/>
        <v>0.04</v>
      </c>
      <c r="T3" s="25">
        <f t="shared" si="1"/>
        <v>0.04</v>
      </c>
      <c r="U3" s="25">
        <f t="shared" si="1"/>
        <v>0.04</v>
      </c>
      <c r="V3" s="25">
        <f t="shared" si="1"/>
        <v>0.04</v>
      </c>
      <c r="W3" s="25">
        <f t="shared" si="1"/>
        <v>0.04</v>
      </c>
      <c r="X3" s="25">
        <f t="shared" si="1"/>
        <v>0.04</v>
      </c>
      <c r="Y3" s="25">
        <f t="shared" si="1"/>
        <v>0.04</v>
      </c>
      <c r="Z3" s="25">
        <f t="shared" si="1"/>
        <v>0.04</v>
      </c>
      <c r="AA3" s="25">
        <f t="shared" si="1"/>
        <v>0.04</v>
      </c>
      <c r="AB3" s="25">
        <f t="shared" si="1"/>
        <v>0.04</v>
      </c>
      <c r="AC3" s="25">
        <f t="shared" si="2"/>
        <v>0.04</v>
      </c>
      <c r="AD3" s="25">
        <f t="shared" si="2"/>
        <v>0.04</v>
      </c>
      <c r="AE3" s="25">
        <f t="shared" si="2"/>
        <v>0.04</v>
      </c>
      <c r="AF3" s="25">
        <f t="shared" si="2"/>
        <v>0.04</v>
      </c>
      <c r="AG3" s="25">
        <f t="shared" si="2"/>
        <v>0.04</v>
      </c>
      <c r="AH3" s="25">
        <f t="shared" si="2"/>
        <v>0.04</v>
      </c>
      <c r="AI3" s="25">
        <f t="shared" si="2"/>
        <v>0.04</v>
      </c>
      <c r="AJ3" s="25">
        <f t="shared" si="2"/>
        <v>0.04</v>
      </c>
      <c r="AK3" s="25">
        <f t="shared" si="2"/>
        <v>0.04</v>
      </c>
      <c r="AL3" s="25">
        <f t="shared" si="2"/>
        <v>0.04</v>
      </c>
      <c r="AM3" s="25">
        <f t="shared" si="2"/>
        <v>0.04</v>
      </c>
      <c r="AN3" s="25">
        <f t="shared" si="2"/>
        <v>0.04</v>
      </c>
      <c r="AO3" s="25">
        <f t="shared" si="2"/>
        <v>0.04</v>
      </c>
      <c r="AP3" s="25">
        <f t="shared" si="2"/>
        <v>0.04</v>
      </c>
      <c r="AQ3" s="25">
        <f t="shared" si="2"/>
        <v>0.04</v>
      </c>
      <c r="AR3" s="25">
        <f t="shared" si="2"/>
        <v>0.04</v>
      </c>
      <c r="AS3" s="25">
        <f t="shared" si="3"/>
        <v>0.04</v>
      </c>
      <c r="AT3" s="25">
        <f t="shared" si="3"/>
        <v>0.04</v>
      </c>
      <c r="AU3" s="25">
        <f t="shared" si="3"/>
        <v>0.04</v>
      </c>
      <c r="AV3" s="25">
        <f t="shared" si="3"/>
        <v>0.04</v>
      </c>
      <c r="AW3" s="25">
        <f t="shared" si="3"/>
        <v>0.04</v>
      </c>
      <c r="AX3" s="25">
        <f t="shared" si="3"/>
        <v>0.04</v>
      </c>
      <c r="AY3" s="25">
        <f t="shared" si="3"/>
        <v>0.04</v>
      </c>
      <c r="AZ3" s="25">
        <f t="shared" si="3"/>
        <v>0.04</v>
      </c>
    </row>
    <row r="4" spans="1:52" x14ac:dyDescent="0.35">
      <c r="A4" t="s">
        <v>157</v>
      </c>
      <c r="B4" s="25">
        <v>1E-3</v>
      </c>
      <c r="C4" s="25">
        <f t="shared" ref="C4:M7" si="4">B4</f>
        <v>1E-3</v>
      </c>
      <c r="D4" s="25">
        <f t="shared" si="4"/>
        <v>1E-3</v>
      </c>
      <c r="E4" s="25">
        <f t="shared" si="4"/>
        <v>1E-3</v>
      </c>
      <c r="F4" s="25">
        <f t="shared" si="4"/>
        <v>1E-3</v>
      </c>
      <c r="G4" s="25">
        <f t="shared" si="4"/>
        <v>1E-3</v>
      </c>
      <c r="H4" s="25">
        <f t="shared" si="4"/>
        <v>1E-3</v>
      </c>
      <c r="I4" s="25">
        <f t="shared" si="4"/>
        <v>1E-3</v>
      </c>
      <c r="J4" s="25">
        <f t="shared" si="4"/>
        <v>1E-3</v>
      </c>
      <c r="K4" s="25">
        <f t="shared" si="4"/>
        <v>1E-3</v>
      </c>
      <c r="L4" s="25">
        <v>0.04</v>
      </c>
      <c r="M4" s="25">
        <f t="shared" si="4"/>
        <v>0.04</v>
      </c>
      <c r="N4" s="25">
        <f t="shared" si="1"/>
        <v>0.04</v>
      </c>
      <c r="O4" s="25">
        <f t="shared" si="1"/>
        <v>0.04</v>
      </c>
      <c r="P4" s="25">
        <f t="shared" si="1"/>
        <v>0.04</v>
      </c>
      <c r="Q4" s="25">
        <f t="shared" si="1"/>
        <v>0.04</v>
      </c>
      <c r="R4" s="25">
        <f t="shared" si="1"/>
        <v>0.04</v>
      </c>
      <c r="S4" s="25">
        <f t="shared" si="1"/>
        <v>0.04</v>
      </c>
      <c r="T4" s="25">
        <f t="shared" si="1"/>
        <v>0.04</v>
      </c>
      <c r="U4" s="25">
        <f t="shared" si="1"/>
        <v>0.04</v>
      </c>
      <c r="V4" s="25">
        <f t="shared" si="1"/>
        <v>0.04</v>
      </c>
      <c r="W4" s="25">
        <f t="shared" si="1"/>
        <v>0.04</v>
      </c>
      <c r="X4" s="25">
        <f t="shared" si="1"/>
        <v>0.04</v>
      </c>
      <c r="Y4" s="25">
        <f t="shared" si="1"/>
        <v>0.04</v>
      </c>
      <c r="Z4" s="25">
        <f t="shared" si="1"/>
        <v>0.04</v>
      </c>
      <c r="AA4" s="25">
        <f t="shared" si="1"/>
        <v>0.04</v>
      </c>
      <c r="AB4" s="25">
        <f t="shared" si="1"/>
        <v>0.04</v>
      </c>
      <c r="AC4" s="25">
        <f t="shared" si="2"/>
        <v>0.04</v>
      </c>
      <c r="AD4" s="25">
        <f t="shared" si="2"/>
        <v>0.04</v>
      </c>
      <c r="AE4" s="25">
        <f t="shared" si="2"/>
        <v>0.04</v>
      </c>
      <c r="AF4" s="25">
        <f t="shared" si="2"/>
        <v>0.04</v>
      </c>
      <c r="AG4" s="25">
        <f t="shared" si="2"/>
        <v>0.04</v>
      </c>
      <c r="AH4" s="25">
        <f t="shared" si="2"/>
        <v>0.04</v>
      </c>
      <c r="AI4" s="25">
        <f t="shared" si="2"/>
        <v>0.04</v>
      </c>
      <c r="AJ4" s="25">
        <f t="shared" si="2"/>
        <v>0.04</v>
      </c>
      <c r="AK4" s="25">
        <f t="shared" si="2"/>
        <v>0.04</v>
      </c>
      <c r="AL4" s="25">
        <f t="shared" si="2"/>
        <v>0.04</v>
      </c>
      <c r="AM4" s="25">
        <f t="shared" si="2"/>
        <v>0.04</v>
      </c>
      <c r="AN4" s="25">
        <f t="shared" si="2"/>
        <v>0.04</v>
      </c>
      <c r="AO4" s="25">
        <f t="shared" si="2"/>
        <v>0.04</v>
      </c>
      <c r="AP4" s="25">
        <f t="shared" si="2"/>
        <v>0.04</v>
      </c>
      <c r="AQ4" s="25">
        <f t="shared" si="2"/>
        <v>0.04</v>
      </c>
      <c r="AR4" s="25">
        <f t="shared" si="2"/>
        <v>0.04</v>
      </c>
      <c r="AS4" s="25">
        <f t="shared" si="3"/>
        <v>0.04</v>
      </c>
      <c r="AT4" s="25">
        <f t="shared" si="3"/>
        <v>0.04</v>
      </c>
      <c r="AU4" s="25">
        <f t="shared" si="3"/>
        <v>0.04</v>
      </c>
      <c r="AV4" s="25">
        <f t="shared" si="3"/>
        <v>0.04</v>
      </c>
      <c r="AW4" s="25">
        <f t="shared" si="3"/>
        <v>0.04</v>
      </c>
      <c r="AX4" s="25">
        <f t="shared" si="3"/>
        <v>0.04</v>
      </c>
      <c r="AY4" s="25">
        <f t="shared" si="3"/>
        <v>0.04</v>
      </c>
      <c r="AZ4" s="25">
        <f t="shared" si="3"/>
        <v>0.04</v>
      </c>
    </row>
    <row r="5" spans="1:52" x14ac:dyDescent="0.35">
      <c r="A5" t="s">
        <v>156</v>
      </c>
      <c r="B5" s="25">
        <v>1E-3</v>
      </c>
      <c r="C5" s="25">
        <f t="shared" si="4"/>
        <v>1E-3</v>
      </c>
      <c r="D5" s="25">
        <f t="shared" si="4"/>
        <v>1E-3</v>
      </c>
      <c r="E5" s="25">
        <f t="shared" si="4"/>
        <v>1E-3</v>
      </c>
      <c r="F5" s="25">
        <f t="shared" si="4"/>
        <v>1E-3</v>
      </c>
      <c r="G5" s="25">
        <f t="shared" si="4"/>
        <v>1E-3</v>
      </c>
      <c r="H5" s="25">
        <f t="shared" si="4"/>
        <v>1E-3</v>
      </c>
      <c r="I5" s="25">
        <f t="shared" si="4"/>
        <v>1E-3</v>
      </c>
      <c r="J5" s="25">
        <f t="shared" si="4"/>
        <v>1E-3</v>
      </c>
      <c r="K5" s="25">
        <f t="shared" si="4"/>
        <v>1E-3</v>
      </c>
      <c r="L5" s="25">
        <v>0.04</v>
      </c>
      <c r="M5" s="25">
        <f t="shared" si="4"/>
        <v>0.04</v>
      </c>
      <c r="N5" s="25">
        <f t="shared" si="1"/>
        <v>0.04</v>
      </c>
      <c r="O5" s="25">
        <f t="shared" si="1"/>
        <v>0.04</v>
      </c>
      <c r="P5" s="25">
        <f t="shared" si="1"/>
        <v>0.04</v>
      </c>
      <c r="Q5" s="25">
        <f t="shared" si="1"/>
        <v>0.04</v>
      </c>
      <c r="R5" s="25">
        <f t="shared" si="1"/>
        <v>0.04</v>
      </c>
      <c r="S5" s="25">
        <f t="shared" si="1"/>
        <v>0.04</v>
      </c>
      <c r="T5" s="25">
        <f t="shared" si="1"/>
        <v>0.04</v>
      </c>
      <c r="U5" s="25">
        <f t="shared" si="1"/>
        <v>0.04</v>
      </c>
      <c r="V5" s="25">
        <f t="shared" si="1"/>
        <v>0.04</v>
      </c>
      <c r="W5" s="25">
        <f t="shared" si="1"/>
        <v>0.04</v>
      </c>
      <c r="X5" s="25">
        <f t="shared" si="1"/>
        <v>0.04</v>
      </c>
      <c r="Y5" s="25">
        <f t="shared" si="1"/>
        <v>0.04</v>
      </c>
      <c r="Z5" s="25">
        <f t="shared" si="1"/>
        <v>0.04</v>
      </c>
      <c r="AA5" s="25">
        <f t="shared" si="1"/>
        <v>0.04</v>
      </c>
      <c r="AB5" s="25">
        <f t="shared" si="1"/>
        <v>0.04</v>
      </c>
      <c r="AC5" s="25">
        <f t="shared" si="2"/>
        <v>0.04</v>
      </c>
      <c r="AD5" s="25">
        <f t="shared" si="2"/>
        <v>0.04</v>
      </c>
      <c r="AE5" s="25">
        <f t="shared" si="2"/>
        <v>0.04</v>
      </c>
      <c r="AF5" s="25">
        <f t="shared" si="2"/>
        <v>0.04</v>
      </c>
      <c r="AG5" s="25">
        <f t="shared" si="2"/>
        <v>0.04</v>
      </c>
      <c r="AH5" s="25">
        <f t="shared" si="2"/>
        <v>0.04</v>
      </c>
      <c r="AI5" s="25">
        <f t="shared" si="2"/>
        <v>0.04</v>
      </c>
      <c r="AJ5" s="25">
        <f t="shared" si="2"/>
        <v>0.04</v>
      </c>
      <c r="AK5" s="25">
        <f t="shared" si="2"/>
        <v>0.04</v>
      </c>
      <c r="AL5" s="25">
        <f t="shared" si="2"/>
        <v>0.04</v>
      </c>
      <c r="AM5" s="25">
        <f t="shared" si="2"/>
        <v>0.04</v>
      </c>
      <c r="AN5" s="25">
        <f t="shared" si="2"/>
        <v>0.04</v>
      </c>
      <c r="AO5" s="25">
        <f t="shared" si="2"/>
        <v>0.04</v>
      </c>
      <c r="AP5" s="25">
        <f t="shared" si="2"/>
        <v>0.04</v>
      </c>
      <c r="AQ5" s="25">
        <f t="shared" si="2"/>
        <v>0.04</v>
      </c>
      <c r="AR5" s="25">
        <f t="shared" si="2"/>
        <v>0.04</v>
      </c>
      <c r="AS5" s="25">
        <f t="shared" si="3"/>
        <v>0.04</v>
      </c>
      <c r="AT5" s="25">
        <f t="shared" si="3"/>
        <v>0.04</v>
      </c>
      <c r="AU5" s="25">
        <f t="shared" si="3"/>
        <v>0.04</v>
      </c>
      <c r="AV5" s="25">
        <f t="shared" si="3"/>
        <v>0.04</v>
      </c>
      <c r="AW5" s="25">
        <f t="shared" si="3"/>
        <v>0.04</v>
      </c>
      <c r="AX5" s="25">
        <f t="shared" si="3"/>
        <v>0.04</v>
      </c>
      <c r="AY5" s="25">
        <f t="shared" si="3"/>
        <v>0.04</v>
      </c>
      <c r="AZ5" s="25">
        <f t="shared" si="3"/>
        <v>0.04</v>
      </c>
    </row>
    <row r="6" spans="1:52" x14ac:dyDescent="0.35">
      <c r="A6" t="s">
        <v>155</v>
      </c>
      <c r="B6" s="25">
        <v>1E-3</v>
      </c>
      <c r="C6" s="25">
        <f t="shared" si="4"/>
        <v>1E-3</v>
      </c>
      <c r="D6" s="25">
        <f t="shared" si="4"/>
        <v>1E-3</v>
      </c>
      <c r="E6" s="25">
        <f t="shared" si="4"/>
        <v>1E-3</v>
      </c>
      <c r="F6" s="25">
        <f t="shared" si="4"/>
        <v>1E-3</v>
      </c>
      <c r="G6" s="25">
        <f t="shared" si="4"/>
        <v>1E-3</v>
      </c>
      <c r="H6" s="25">
        <f t="shared" si="4"/>
        <v>1E-3</v>
      </c>
      <c r="I6" s="25">
        <f t="shared" si="4"/>
        <v>1E-3</v>
      </c>
      <c r="J6" s="25">
        <f t="shared" si="4"/>
        <v>1E-3</v>
      </c>
      <c r="K6" s="25">
        <f t="shared" si="4"/>
        <v>1E-3</v>
      </c>
      <c r="L6" s="25">
        <v>0.04</v>
      </c>
      <c r="M6" s="25">
        <f t="shared" si="4"/>
        <v>0.04</v>
      </c>
      <c r="N6" s="25">
        <f t="shared" si="1"/>
        <v>0.04</v>
      </c>
      <c r="O6" s="25">
        <f t="shared" si="1"/>
        <v>0.04</v>
      </c>
      <c r="P6" s="25">
        <f t="shared" si="1"/>
        <v>0.04</v>
      </c>
      <c r="Q6" s="25">
        <f t="shared" si="1"/>
        <v>0.04</v>
      </c>
      <c r="R6" s="25">
        <f t="shared" si="1"/>
        <v>0.04</v>
      </c>
      <c r="S6" s="25">
        <f t="shared" si="1"/>
        <v>0.04</v>
      </c>
      <c r="T6" s="25">
        <f t="shared" si="1"/>
        <v>0.04</v>
      </c>
      <c r="U6" s="25">
        <f t="shared" si="1"/>
        <v>0.04</v>
      </c>
      <c r="V6" s="25">
        <f t="shared" si="1"/>
        <v>0.04</v>
      </c>
      <c r="W6" s="25">
        <f t="shared" si="1"/>
        <v>0.04</v>
      </c>
      <c r="X6" s="25">
        <f t="shared" si="1"/>
        <v>0.04</v>
      </c>
      <c r="Y6" s="25">
        <f t="shared" si="1"/>
        <v>0.04</v>
      </c>
      <c r="Z6" s="25">
        <f t="shared" si="1"/>
        <v>0.04</v>
      </c>
      <c r="AA6" s="25">
        <f t="shared" si="1"/>
        <v>0.04</v>
      </c>
      <c r="AB6" s="25">
        <f t="shared" si="1"/>
        <v>0.04</v>
      </c>
      <c r="AC6" s="25">
        <f t="shared" si="2"/>
        <v>0.04</v>
      </c>
      <c r="AD6" s="25">
        <f t="shared" si="2"/>
        <v>0.04</v>
      </c>
      <c r="AE6" s="25">
        <f t="shared" si="2"/>
        <v>0.04</v>
      </c>
      <c r="AF6" s="25">
        <f t="shared" si="2"/>
        <v>0.04</v>
      </c>
      <c r="AG6" s="25">
        <f t="shared" si="2"/>
        <v>0.04</v>
      </c>
      <c r="AH6" s="25">
        <f t="shared" si="2"/>
        <v>0.04</v>
      </c>
      <c r="AI6" s="25">
        <f t="shared" si="2"/>
        <v>0.04</v>
      </c>
      <c r="AJ6" s="25">
        <f t="shared" si="2"/>
        <v>0.04</v>
      </c>
      <c r="AK6" s="25">
        <f t="shared" si="2"/>
        <v>0.04</v>
      </c>
      <c r="AL6" s="25">
        <f t="shared" si="2"/>
        <v>0.04</v>
      </c>
      <c r="AM6" s="25">
        <f t="shared" si="2"/>
        <v>0.04</v>
      </c>
      <c r="AN6" s="25">
        <f t="shared" si="2"/>
        <v>0.04</v>
      </c>
      <c r="AO6" s="25">
        <f t="shared" si="2"/>
        <v>0.04</v>
      </c>
      <c r="AP6" s="25">
        <f t="shared" si="2"/>
        <v>0.04</v>
      </c>
      <c r="AQ6" s="25">
        <f t="shared" si="2"/>
        <v>0.04</v>
      </c>
      <c r="AR6" s="25">
        <f t="shared" si="2"/>
        <v>0.04</v>
      </c>
      <c r="AS6" s="25">
        <f t="shared" si="3"/>
        <v>0.04</v>
      </c>
      <c r="AT6" s="25">
        <f t="shared" si="3"/>
        <v>0.04</v>
      </c>
      <c r="AU6" s="25">
        <f t="shared" si="3"/>
        <v>0.04</v>
      </c>
      <c r="AV6" s="25">
        <f t="shared" si="3"/>
        <v>0.04</v>
      </c>
      <c r="AW6" s="25">
        <f t="shared" si="3"/>
        <v>0.04</v>
      </c>
      <c r="AX6" s="25">
        <f t="shared" si="3"/>
        <v>0.04</v>
      </c>
      <c r="AY6" s="25">
        <f t="shared" si="3"/>
        <v>0.04</v>
      </c>
      <c r="AZ6" s="25">
        <f t="shared" si="3"/>
        <v>0.04</v>
      </c>
    </row>
    <row r="7" spans="1:52" x14ac:dyDescent="0.35">
      <c r="A7" t="s">
        <v>154</v>
      </c>
      <c r="B7" s="25">
        <v>1E-3</v>
      </c>
      <c r="C7" s="25">
        <f t="shared" si="4"/>
        <v>1E-3</v>
      </c>
      <c r="D7" s="25">
        <f t="shared" si="4"/>
        <v>1E-3</v>
      </c>
      <c r="E7" s="25">
        <f t="shared" si="4"/>
        <v>1E-3</v>
      </c>
      <c r="F7" s="25">
        <f t="shared" si="4"/>
        <v>1E-3</v>
      </c>
      <c r="G7" s="25">
        <f t="shared" si="4"/>
        <v>1E-3</v>
      </c>
      <c r="H7" s="25">
        <f t="shared" si="4"/>
        <v>1E-3</v>
      </c>
      <c r="I7" s="25">
        <f t="shared" si="4"/>
        <v>1E-3</v>
      </c>
      <c r="J7" s="25">
        <f t="shared" si="4"/>
        <v>1E-3</v>
      </c>
      <c r="K7" s="25">
        <f t="shared" si="4"/>
        <v>1E-3</v>
      </c>
      <c r="L7" s="25">
        <v>0.04</v>
      </c>
      <c r="M7" s="25">
        <f t="shared" si="4"/>
        <v>0.04</v>
      </c>
      <c r="N7" s="25">
        <f t="shared" si="1"/>
        <v>0.04</v>
      </c>
      <c r="O7" s="25">
        <f t="shared" si="1"/>
        <v>0.04</v>
      </c>
      <c r="P7" s="25">
        <f t="shared" si="1"/>
        <v>0.04</v>
      </c>
      <c r="Q7" s="25">
        <f t="shared" si="1"/>
        <v>0.04</v>
      </c>
      <c r="R7" s="25">
        <f t="shared" si="1"/>
        <v>0.04</v>
      </c>
      <c r="S7" s="25">
        <f t="shared" si="1"/>
        <v>0.04</v>
      </c>
      <c r="T7" s="25">
        <f t="shared" si="1"/>
        <v>0.04</v>
      </c>
      <c r="U7" s="25">
        <f t="shared" si="1"/>
        <v>0.04</v>
      </c>
      <c r="V7" s="25">
        <f t="shared" si="1"/>
        <v>0.04</v>
      </c>
      <c r="W7" s="25">
        <f t="shared" si="1"/>
        <v>0.04</v>
      </c>
      <c r="X7" s="25">
        <f t="shared" si="1"/>
        <v>0.04</v>
      </c>
      <c r="Y7" s="25">
        <f t="shared" si="1"/>
        <v>0.04</v>
      </c>
      <c r="Z7" s="25">
        <f t="shared" si="1"/>
        <v>0.04</v>
      </c>
      <c r="AA7" s="25">
        <f t="shared" si="1"/>
        <v>0.04</v>
      </c>
      <c r="AB7" s="25">
        <f t="shared" si="1"/>
        <v>0.04</v>
      </c>
      <c r="AC7" s="25">
        <f t="shared" si="2"/>
        <v>0.04</v>
      </c>
      <c r="AD7" s="25">
        <f t="shared" si="2"/>
        <v>0.04</v>
      </c>
      <c r="AE7" s="25">
        <f t="shared" si="2"/>
        <v>0.04</v>
      </c>
      <c r="AF7" s="25">
        <f t="shared" si="2"/>
        <v>0.04</v>
      </c>
      <c r="AG7" s="25">
        <f t="shared" si="2"/>
        <v>0.04</v>
      </c>
      <c r="AH7" s="25">
        <f t="shared" si="2"/>
        <v>0.04</v>
      </c>
      <c r="AI7" s="25">
        <f t="shared" si="2"/>
        <v>0.04</v>
      </c>
      <c r="AJ7" s="25">
        <f t="shared" si="2"/>
        <v>0.04</v>
      </c>
      <c r="AK7" s="25">
        <f t="shared" si="2"/>
        <v>0.04</v>
      </c>
      <c r="AL7" s="25">
        <f t="shared" si="2"/>
        <v>0.04</v>
      </c>
      <c r="AM7" s="25">
        <f t="shared" si="2"/>
        <v>0.04</v>
      </c>
      <c r="AN7" s="25">
        <f t="shared" si="2"/>
        <v>0.04</v>
      </c>
      <c r="AO7" s="25">
        <f t="shared" si="2"/>
        <v>0.04</v>
      </c>
      <c r="AP7" s="25">
        <f t="shared" si="2"/>
        <v>0.04</v>
      </c>
      <c r="AQ7" s="25">
        <f t="shared" si="2"/>
        <v>0.04</v>
      </c>
      <c r="AR7" s="25">
        <f t="shared" si="2"/>
        <v>0.04</v>
      </c>
      <c r="AS7" s="25">
        <f t="shared" si="3"/>
        <v>0.04</v>
      </c>
      <c r="AT7" s="25">
        <f t="shared" si="3"/>
        <v>0.04</v>
      </c>
      <c r="AU7" s="25">
        <f t="shared" si="3"/>
        <v>0.04</v>
      </c>
      <c r="AV7" s="25">
        <f t="shared" si="3"/>
        <v>0.04</v>
      </c>
      <c r="AW7" s="25">
        <f t="shared" si="3"/>
        <v>0.04</v>
      </c>
      <c r="AX7" s="25">
        <f t="shared" si="3"/>
        <v>0.04</v>
      </c>
      <c r="AY7" s="25">
        <f t="shared" si="3"/>
        <v>0.04</v>
      </c>
      <c r="AZ7" s="25">
        <f t="shared" si="3"/>
        <v>0.04</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52" x14ac:dyDescent="0.35">
      <c r="B1" t="s">
        <v>104</v>
      </c>
      <c r="C1" t="s">
        <v>105</v>
      </c>
      <c r="D1" t="s">
        <v>106</v>
      </c>
      <c r="E1" t="s">
        <v>107</v>
      </c>
      <c r="F1" t="s">
        <v>108</v>
      </c>
      <c r="G1" t="s">
        <v>109</v>
      </c>
      <c r="H1" t="s">
        <v>110</v>
      </c>
      <c r="I1" t="s">
        <v>111</v>
      </c>
      <c r="J1" t="s">
        <v>112</v>
      </c>
      <c r="K1" t="s">
        <v>113</v>
      </c>
      <c r="L1" t="s">
        <v>114</v>
      </c>
      <c r="M1" t="s">
        <v>115</v>
      </c>
      <c r="N1" t="s">
        <v>116</v>
      </c>
      <c r="O1" t="s">
        <v>117</v>
      </c>
      <c r="P1" t="s">
        <v>118</v>
      </c>
      <c r="Q1" t="s">
        <v>119</v>
      </c>
      <c r="R1" t="s">
        <v>120</v>
      </c>
      <c r="S1" t="s">
        <v>121</v>
      </c>
      <c r="T1" t="s">
        <v>122</v>
      </c>
      <c r="U1" t="s">
        <v>123</v>
      </c>
      <c r="V1" t="s">
        <v>124</v>
      </c>
      <c r="W1" t="s">
        <v>125</v>
      </c>
      <c r="X1" t="s">
        <v>126</v>
      </c>
      <c r="Y1" t="s">
        <v>127</v>
      </c>
      <c r="Z1" t="s">
        <v>128</v>
      </c>
      <c r="AA1" t="s">
        <v>129</v>
      </c>
      <c r="AB1" t="s">
        <v>130</v>
      </c>
      <c r="AC1" t="s">
        <v>131</v>
      </c>
      <c r="AD1" t="s">
        <v>132</v>
      </c>
      <c r="AE1" t="s">
        <v>133</v>
      </c>
      <c r="AF1" t="s">
        <v>134</v>
      </c>
      <c r="AG1" t="s">
        <v>135</v>
      </c>
      <c r="AH1" t="s">
        <v>136</v>
      </c>
      <c r="AI1" t="s">
        <v>137</v>
      </c>
      <c r="AJ1" t="s">
        <v>138</v>
      </c>
      <c r="AK1" t="s">
        <v>139</v>
      </c>
      <c r="AL1" t="s">
        <v>140</v>
      </c>
      <c r="AM1" t="s">
        <v>141</v>
      </c>
      <c r="AN1" t="s">
        <v>142</v>
      </c>
      <c r="AO1" t="s">
        <v>143</v>
      </c>
      <c r="AP1" t="s">
        <v>144</v>
      </c>
      <c r="AQ1" t="s">
        <v>145</v>
      </c>
      <c r="AR1" t="s">
        <v>146</v>
      </c>
      <c r="AS1" t="s">
        <v>147</v>
      </c>
      <c r="AT1" t="s">
        <v>148</v>
      </c>
      <c r="AU1" t="s">
        <v>149</v>
      </c>
      <c r="AV1" t="s">
        <v>150</v>
      </c>
      <c r="AW1" t="s">
        <v>151</v>
      </c>
      <c r="AX1" t="s">
        <v>152</v>
      </c>
      <c r="AY1" t="s">
        <v>153</v>
      </c>
      <c r="AZ1" s="21" t="s">
        <v>159</v>
      </c>
    </row>
    <row r="2" spans="1:52" x14ac:dyDescent="0.35">
      <c r="A2" t="s">
        <v>102</v>
      </c>
      <c r="B2" s="25">
        <f>8.6%-_xlfn.XLOOKUP(A2,BasisPointCost!$A:$A,BasisPointCost!$B:$B)</f>
        <v>8.3999999999999991E-2</v>
      </c>
      <c r="C2" s="25">
        <f>B2</f>
        <v>8.3999999999999991E-2</v>
      </c>
      <c r="D2" s="25">
        <f t="shared" ref="D2:K2" si="0">C2</f>
        <v>8.3999999999999991E-2</v>
      </c>
      <c r="E2" s="25">
        <f t="shared" si="0"/>
        <v>8.3999999999999991E-2</v>
      </c>
      <c r="F2" s="25">
        <f t="shared" si="0"/>
        <v>8.3999999999999991E-2</v>
      </c>
      <c r="G2" s="25">
        <f t="shared" si="0"/>
        <v>8.3999999999999991E-2</v>
      </c>
      <c r="H2" s="25">
        <f t="shared" si="0"/>
        <v>8.3999999999999991E-2</v>
      </c>
      <c r="I2" s="25">
        <f t="shared" si="0"/>
        <v>8.3999999999999991E-2</v>
      </c>
      <c r="J2" s="25">
        <f t="shared" si="0"/>
        <v>8.3999999999999991E-2</v>
      </c>
      <c r="K2" s="25">
        <f t="shared" si="0"/>
        <v>8.3999999999999991E-2</v>
      </c>
      <c r="L2" s="29">
        <f>6.5%-0.2%</f>
        <v>6.3E-2</v>
      </c>
      <c r="M2" s="25">
        <f t="shared" ref="C2:M7" si="1">L2</f>
        <v>6.3E-2</v>
      </c>
      <c r="N2" s="25">
        <f t="shared" ref="N2:N7" si="2">M2</f>
        <v>6.3E-2</v>
      </c>
      <c r="O2" s="25">
        <f t="shared" ref="O2:O7" si="3">N2</f>
        <v>6.3E-2</v>
      </c>
      <c r="P2" s="25">
        <f t="shared" ref="P2:P7" si="4">O2</f>
        <v>6.3E-2</v>
      </c>
      <c r="Q2" s="25">
        <f t="shared" ref="Q2:Q7" si="5">P2</f>
        <v>6.3E-2</v>
      </c>
      <c r="R2" s="25">
        <f t="shared" ref="R2:R7" si="6">Q2</f>
        <v>6.3E-2</v>
      </c>
      <c r="S2" s="25">
        <f t="shared" ref="S2:S7" si="7">R2</f>
        <v>6.3E-2</v>
      </c>
      <c r="T2" s="25">
        <f t="shared" ref="T2:T7" si="8">S2</f>
        <v>6.3E-2</v>
      </c>
      <c r="U2" s="25">
        <f t="shared" ref="U2:U7" si="9">T2</f>
        <v>6.3E-2</v>
      </c>
      <c r="V2" s="25">
        <f t="shared" ref="V2:V7" si="10">U2</f>
        <v>6.3E-2</v>
      </c>
      <c r="W2" s="25">
        <f t="shared" ref="W2:W7" si="11">V2</f>
        <v>6.3E-2</v>
      </c>
      <c r="X2" s="25">
        <f t="shared" ref="X2:X7" si="12">W2</f>
        <v>6.3E-2</v>
      </c>
      <c r="Y2" s="25">
        <f t="shared" ref="Y2:Y7" si="13">X2</f>
        <v>6.3E-2</v>
      </c>
      <c r="Z2" s="25">
        <f t="shared" ref="Z2:Z7" si="14">Y2</f>
        <v>6.3E-2</v>
      </c>
      <c r="AA2" s="25">
        <f t="shared" ref="AA2:AA7" si="15">Z2</f>
        <v>6.3E-2</v>
      </c>
      <c r="AB2" s="25">
        <f t="shared" ref="AB2:AB7" si="16">AA2</f>
        <v>6.3E-2</v>
      </c>
      <c r="AC2" s="25">
        <f t="shared" ref="AC2:AC7" si="17">AB2</f>
        <v>6.3E-2</v>
      </c>
      <c r="AD2" s="25">
        <f t="shared" ref="AD2:AD7" si="18">AC2</f>
        <v>6.3E-2</v>
      </c>
      <c r="AE2" s="25">
        <f t="shared" ref="AE2:AE7" si="19">AD2</f>
        <v>6.3E-2</v>
      </c>
      <c r="AF2" s="25">
        <f t="shared" ref="AF2:AF7" si="20">AE2</f>
        <v>6.3E-2</v>
      </c>
      <c r="AG2" s="25">
        <f t="shared" ref="AG2:AG7" si="21">AF2</f>
        <v>6.3E-2</v>
      </c>
      <c r="AH2" s="25">
        <f t="shared" ref="AH2:AH7" si="22">AG2</f>
        <v>6.3E-2</v>
      </c>
      <c r="AI2" s="25">
        <f t="shared" ref="AI2:AI7" si="23">AH2</f>
        <v>6.3E-2</v>
      </c>
      <c r="AJ2" s="25">
        <f t="shared" ref="AJ2:AJ7" si="24">AI2</f>
        <v>6.3E-2</v>
      </c>
      <c r="AK2" s="25">
        <f t="shared" ref="AK2:AK7" si="25">AJ2</f>
        <v>6.3E-2</v>
      </c>
      <c r="AL2" s="25">
        <f t="shared" ref="AL2:AL7" si="26">AK2</f>
        <v>6.3E-2</v>
      </c>
      <c r="AM2" s="25">
        <f t="shared" ref="AM2:AM7" si="27">AL2</f>
        <v>6.3E-2</v>
      </c>
      <c r="AN2" s="25">
        <f t="shared" ref="AN2:AN7" si="28">AM2</f>
        <v>6.3E-2</v>
      </c>
      <c r="AO2" s="25">
        <f t="shared" ref="AO2:AO7" si="29">AN2</f>
        <v>6.3E-2</v>
      </c>
      <c r="AP2" s="25">
        <f t="shared" ref="AP2:AP7" si="30">AO2</f>
        <v>6.3E-2</v>
      </c>
      <c r="AQ2" s="25">
        <f t="shared" ref="AQ2:AQ7" si="31">AP2</f>
        <v>6.3E-2</v>
      </c>
      <c r="AR2" s="25">
        <f t="shared" ref="AR2:AR7" si="32">AQ2</f>
        <v>6.3E-2</v>
      </c>
      <c r="AS2" s="25">
        <f t="shared" ref="AS2:AS7" si="33">AR2</f>
        <v>6.3E-2</v>
      </c>
      <c r="AT2" s="25">
        <f t="shared" ref="AT2:AT7" si="34">AS2</f>
        <v>6.3E-2</v>
      </c>
      <c r="AU2" s="25">
        <f t="shared" ref="AU2:AU7" si="35">AT2</f>
        <v>6.3E-2</v>
      </c>
      <c r="AV2" s="25">
        <f t="shared" ref="AV2:AV7" si="36">AU2</f>
        <v>6.3E-2</v>
      </c>
      <c r="AW2" s="25">
        <f t="shared" ref="AW2:AW7" si="37">AV2</f>
        <v>6.3E-2</v>
      </c>
      <c r="AX2" s="25">
        <f t="shared" ref="AX2:AX7" si="38">AW2</f>
        <v>6.3E-2</v>
      </c>
      <c r="AY2" s="25">
        <f t="shared" ref="AY2:AY7" si="39">AX2</f>
        <v>6.3E-2</v>
      </c>
      <c r="AZ2" s="25">
        <f t="shared" ref="AZ2:AZ7" si="40">AY2</f>
        <v>6.3E-2</v>
      </c>
    </row>
    <row r="3" spans="1:52" x14ac:dyDescent="0.35">
      <c r="A3" t="s">
        <v>103</v>
      </c>
      <c r="B3" s="25">
        <f>7%-_xlfn.XLOOKUP(A3,BasisPointCost!$A:$A,BasisPointCost!$B:$B)</f>
        <v>6.8000000000000005E-2</v>
      </c>
      <c r="C3" s="25">
        <f>B3</f>
        <v>6.8000000000000005E-2</v>
      </c>
      <c r="D3" s="25">
        <f t="shared" ref="D3:K3" si="41">C3</f>
        <v>6.8000000000000005E-2</v>
      </c>
      <c r="E3" s="25">
        <f t="shared" si="41"/>
        <v>6.8000000000000005E-2</v>
      </c>
      <c r="F3" s="25">
        <f t="shared" si="41"/>
        <v>6.8000000000000005E-2</v>
      </c>
      <c r="G3" s="25">
        <f t="shared" si="41"/>
        <v>6.8000000000000005E-2</v>
      </c>
      <c r="H3" s="25">
        <f t="shared" si="41"/>
        <v>6.8000000000000005E-2</v>
      </c>
      <c r="I3" s="25">
        <f t="shared" si="41"/>
        <v>6.8000000000000005E-2</v>
      </c>
      <c r="J3" s="25">
        <f t="shared" si="41"/>
        <v>6.8000000000000005E-2</v>
      </c>
      <c r="K3" s="25">
        <f t="shared" si="41"/>
        <v>6.8000000000000005E-2</v>
      </c>
      <c r="L3" s="29">
        <f>6.5%-0.2%</f>
        <v>6.3E-2</v>
      </c>
      <c r="M3" s="25">
        <f t="shared" si="1"/>
        <v>6.3E-2</v>
      </c>
      <c r="N3" s="25">
        <f t="shared" si="2"/>
        <v>6.3E-2</v>
      </c>
      <c r="O3" s="25">
        <f t="shared" si="3"/>
        <v>6.3E-2</v>
      </c>
      <c r="P3" s="25">
        <f t="shared" si="4"/>
        <v>6.3E-2</v>
      </c>
      <c r="Q3" s="25">
        <f t="shared" si="5"/>
        <v>6.3E-2</v>
      </c>
      <c r="R3" s="25">
        <f t="shared" si="6"/>
        <v>6.3E-2</v>
      </c>
      <c r="S3" s="25">
        <f t="shared" si="7"/>
        <v>6.3E-2</v>
      </c>
      <c r="T3" s="25">
        <f t="shared" si="8"/>
        <v>6.3E-2</v>
      </c>
      <c r="U3" s="25">
        <f t="shared" si="9"/>
        <v>6.3E-2</v>
      </c>
      <c r="V3" s="25">
        <f t="shared" si="10"/>
        <v>6.3E-2</v>
      </c>
      <c r="W3" s="25">
        <f t="shared" si="11"/>
        <v>6.3E-2</v>
      </c>
      <c r="X3" s="25">
        <f t="shared" si="12"/>
        <v>6.3E-2</v>
      </c>
      <c r="Y3" s="25">
        <f t="shared" si="13"/>
        <v>6.3E-2</v>
      </c>
      <c r="Z3" s="25">
        <f t="shared" si="14"/>
        <v>6.3E-2</v>
      </c>
      <c r="AA3" s="25">
        <f t="shared" si="15"/>
        <v>6.3E-2</v>
      </c>
      <c r="AB3" s="25">
        <f t="shared" si="16"/>
        <v>6.3E-2</v>
      </c>
      <c r="AC3" s="25">
        <f t="shared" si="17"/>
        <v>6.3E-2</v>
      </c>
      <c r="AD3" s="25">
        <f t="shared" si="18"/>
        <v>6.3E-2</v>
      </c>
      <c r="AE3" s="25">
        <f t="shared" si="19"/>
        <v>6.3E-2</v>
      </c>
      <c r="AF3" s="25">
        <f t="shared" si="20"/>
        <v>6.3E-2</v>
      </c>
      <c r="AG3" s="25">
        <f t="shared" si="21"/>
        <v>6.3E-2</v>
      </c>
      <c r="AH3" s="25">
        <f t="shared" si="22"/>
        <v>6.3E-2</v>
      </c>
      <c r="AI3" s="25">
        <f t="shared" si="23"/>
        <v>6.3E-2</v>
      </c>
      <c r="AJ3" s="25">
        <f t="shared" si="24"/>
        <v>6.3E-2</v>
      </c>
      <c r="AK3" s="25">
        <f t="shared" si="25"/>
        <v>6.3E-2</v>
      </c>
      <c r="AL3" s="25">
        <f t="shared" si="26"/>
        <v>6.3E-2</v>
      </c>
      <c r="AM3" s="25">
        <f t="shared" si="27"/>
        <v>6.3E-2</v>
      </c>
      <c r="AN3" s="25">
        <f t="shared" si="28"/>
        <v>6.3E-2</v>
      </c>
      <c r="AO3" s="25">
        <f t="shared" si="29"/>
        <v>6.3E-2</v>
      </c>
      <c r="AP3" s="25">
        <f t="shared" si="30"/>
        <v>6.3E-2</v>
      </c>
      <c r="AQ3" s="25">
        <f t="shared" si="31"/>
        <v>6.3E-2</v>
      </c>
      <c r="AR3" s="25">
        <f t="shared" si="32"/>
        <v>6.3E-2</v>
      </c>
      <c r="AS3" s="25">
        <f t="shared" si="33"/>
        <v>6.3E-2</v>
      </c>
      <c r="AT3" s="25">
        <f t="shared" si="34"/>
        <v>6.3E-2</v>
      </c>
      <c r="AU3" s="25">
        <f t="shared" si="35"/>
        <v>6.3E-2</v>
      </c>
      <c r="AV3" s="25">
        <f t="shared" si="36"/>
        <v>6.3E-2</v>
      </c>
      <c r="AW3" s="25">
        <f t="shared" si="37"/>
        <v>6.3E-2</v>
      </c>
      <c r="AX3" s="25">
        <f t="shared" si="38"/>
        <v>6.3E-2</v>
      </c>
      <c r="AY3" s="25">
        <f t="shared" si="39"/>
        <v>6.3E-2</v>
      </c>
      <c r="AZ3" s="25">
        <f t="shared" si="40"/>
        <v>6.3E-2</v>
      </c>
    </row>
    <row r="4" spans="1:52" x14ac:dyDescent="0.35">
      <c r="A4" t="s">
        <v>157</v>
      </c>
      <c r="B4" s="25">
        <f>4.9%-_xlfn.XLOOKUP(A4,BasisPointCost!$A:$A,BasisPointCost!$B:$B)</f>
        <v>4.8300000000000003E-2</v>
      </c>
      <c r="C4" s="25">
        <f t="shared" si="1"/>
        <v>4.8300000000000003E-2</v>
      </c>
      <c r="D4" s="25">
        <f t="shared" si="1"/>
        <v>4.8300000000000003E-2</v>
      </c>
      <c r="E4" s="25">
        <f t="shared" si="1"/>
        <v>4.8300000000000003E-2</v>
      </c>
      <c r="F4" s="25">
        <f t="shared" si="1"/>
        <v>4.8300000000000003E-2</v>
      </c>
      <c r="G4" s="25">
        <f t="shared" si="1"/>
        <v>4.8300000000000003E-2</v>
      </c>
      <c r="H4" s="25">
        <f t="shared" si="1"/>
        <v>4.8300000000000003E-2</v>
      </c>
      <c r="I4" s="25">
        <f t="shared" si="1"/>
        <v>4.8300000000000003E-2</v>
      </c>
      <c r="J4" s="25">
        <f t="shared" si="1"/>
        <v>4.8300000000000003E-2</v>
      </c>
      <c r="K4" s="25">
        <f t="shared" si="1"/>
        <v>4.8300000000000003E-2</v>
      </c>
      <c r="L4" s="29">
        <f>3.5%-0.07%</f>
        <v>3.4300000000000004E-2</v>
      </c>
      <c r="M4" s="25">
        <f t="shared" si="1"/>
        <v>3.4300000000000004E-2</v>
      </c>
      <c r="N4" s="25">
        <f t="shared" si="2"/>
        <v>3.4300000000000004E-2</v>
      </c>
      <c r="O4" s="25">
        <f t="shared" si="3"/>
        <v>3.4300000000000004E-2</v>
      </c>
      <c r="P4" s="25">
        <f t="shared" si="4"/>
        <v>3.4300000000000004E-2</v>
      </c>
      <c r="Q4" s="25">
        <f t="shared" si="5"/>
        <v>3.4300000000000004E-2</v>
      </c>
      <c r="R4" s="25">
        <f t="shared" si="6"/>
        <v>3.4300000000000004E-2</v>
      </c>
      <c r="S4" s="25">
        <f t="shared" si="7"/>
        <v>3.4300000000000004E-2</v>
      </c>
      <c r="T4" s="25">
        <f t="shared" si="8"/>
        <v>3.4300000000000004E-2</v>
      </c>
      <c r="U4" s="25">
        <f t="shared" si="9"/>
        <v>3.4300000000000004E-2</v>
      </c>
      <c r="V4" s="25">
        <f t="shared" si="10"/>
        <v>3.4300000000000004E-2</v>
      </c>
      <c r="W4" s="25">
        <f t="shared" si="11"/>
        <v>3.4300000000000004E-2</v>
      </c>
      <c r="X4" s="25">
        <f t="shared" si="12"/>
        <v>3.4300000000000004E-2</v>
      </c>
      <c r="Y4" s="25">
        <f t="shared" si="13"/>
        <v>3.4300000000000004E-2</v>
      </c>
      <c r="Z4" s="25">
        <f t="shared" si="14"/>
        <v>3.4300000000000004E-2</v>
      </c>
      <c r="AA4" s="25">
        <f t="shared" si="15"/>
        <v>3.4300000000000004E-2</v>
      </c>
      <c r="AB4" s="25">
        <f t="shared" si="16"/>
        <v>3.4300000000000004E-2</v>
      </c>
      <c r="AC4" s="25">
        <f t="shared" si="17"/>
        <v>3.4300000000000004E-2</v>
      </c>
      <c r="AD4" s="25">
        <f t="shared" si="18"/>
        <v>3.4300000000000004E-2</v>
      </c>
      <c r="AE4" s="25">
        <f t="shared" si="19"/>
        <v>3.4300000000000004E-2</v>
      </c>
      <c r="AF4" s="25">
        <f t="shared" si="20"/>
        <v>3.4300000000000004E-2</v>
      </c>
      <c r="AG4" s="25">
        <f t="shared" si="21"/>
        <v>3.4300000000000004E-2</v>
      </c>
      <c r="AH4" s="25">
        <f t="shared" si="22"/>
        <v>3.4300000000000004E-2</v>
      </c>
      <c r="AI4" s="25">
        <f t="shared" si="23"/>
        <v>3.4300000000000004E-2</v>
      </c>
      <c r="AJ4" s="25">
        <f t="shared" si="24"/>
        <v>3.4300000000000004E-2</v>
      </c>
      <c r="AK4" s="25">
        <f t="shared" si="25"/>
        <v>3.4300000000000004E-2</v>
      </c>
      <c r="AL4" s="25">
        <f t="shared" si="26"/>
        <v>3.4300000000000004E-2</v>
      </c>
      <c r="AM4" s="25">
        <f t="shared" si="27"/>
        <v>3.4300000000000004E-2</v>
      </c>
      <c r="AN4" s="25">
        <f t="shared" si="28"/>
        <v>3.4300000000000004E-2</v>
      </c>
      <c r="AO4" s="25">
        <f t="shared" si="29"/>
        <v>3.4300000000000004E-2</v>
      </c>
      <c r="AP4" s="25">
        <f t="shared" si="30"/>
        <v>3.4300000000000004E-2</v>
      </c>
      <c r="AQ4" s="25">
        <f t="shared" si="31"/>
        <v>3.4300000000000004E-2</v>
      </c>
      <c r="AR4" s="25">
        <f t="shared" si="32"/>
        <v>3.4300000000000004E-2</v>
      </c>
      <c r="AS4" s="25">
        <f t="shared" si="33"/>
        <v>3.4300000000000004E-2</v>
      </c>
      <c r="AT4" s="25">
        <f t="shared" si="34"/>
        <v>3.4300000000000004E-2</v>
      </c>
      <c r="AU4" s="25">
        <f t="shared" si="35"/>
        <v>3.4300000000000004E-2</v>
      </c>
      <c r="AV4" s="25">
        <f t="shared" si="36"/>
        <v>3.4300000000000004E-2</v>
      </c>
      <c r="AW4" s="25">
        <f t="shared" si="37"/>
        <v>3.4300000000000004E-2</v>
      </c>
      <c r="AX4" s="25">
        <f t="shared" si="38"/>
        <v>3.4300000000000004E-2</v>
      </c>
      <c r="AY4" s="25">
        <f t="shared" si="39"/>
        <v>3.4300000000000004E-2</v>
      </c>
      <c r="AZ4" s="25">
        <f t="shared" si="40"/>
        <v>3.4300000000000004E-2</v>
      </c>
    </row>
    <row r="5" spans="1:52" x14ac:dyDescent="0.35">
      <c r="A5" t="s">
        <v>156</v>
      </c>
      <c r="B5" s="25">
        <f>5%-_xlfn.XLOOKUP(A5,BasisPointCost!$A:$A,BasisPointCost!$B:$B)</f>
        <v>4.9300000000000004E-2</v>
      </c>
      <c r="C5" s="25">
        <f t="shared" si="1"/>
        <v>4.9300000000000004E-2</v>
      </c>
      <c r="D5" s="25">
        <f t="shared" si="1"/>
        <v>4.9300000000000004E-2</v>
      </c>
      <c r="E5" s="25">
        <f t="shared" si="1"/>
        <v>4.9300000000000004E-2</v>
      </c>
      <c r="F5" s="25">
        <f t="shared" si="1"/>
        <v>4.9300000000000004E-2</v>
      </c>
      <c r="G5" s="25">
        <f t="shared" si="1"/>
        <v>4.9300000000000004E-2</v>
      </c>
      <c r="H5" s="25">
        <f t="shared" si="1"/>
        <v>4.9300000000000004E-2</v>
      </c>
      <c r="I5" s="25">
        <f t="shared" si="1"/>
        <v>4.9300000000000004E-2</v>
      </c>
      <c r="J5" s="25">
        <f t="shared" si="1"/>
        <v>4.9300000000000004E-2</v>
      </c>
      <c r="K5" s="25">
        <f t="shared" si="1"/>
        <v>4.9300000000000004E-2</v>
      </c>
      <c r="L5" s="29">
        <f>3.5%-0.07%</f>
        <v>3.4300000000000004E-2</v>
      </c>
      <c r="M5" s="25">
        <f t="shared" si="1"/>
        <v>3.4300000000000004E-2</v>
      </c>
      <c r="N5" s="25">
        <f t="shared" si="2"/>
        <v>3.4300000000000004E-2</v>
      </c>
      <c r="O5" s="25">
        <f t="shared" si="3"/>
        <v>3.4300000000000004E-2</v>
      </c>
      <c r="P5" s="25">
        <f t="shared" si="4"/>
        <v>3.4300000000000004E-2</v>
      </c>
      <c r="Q5" s="25">
        <f t="shared" si="5"/>
        <v>3.4300000000000004E-2</v>
      </c>
      <c r="R5" s="25">
        <f t="shared" si="6"/>
        <v>3.4300000000000004E-2</v>
      </c>
      <c r="S5" s="25">
        <f t="shared" si="7"/>
        <v>3.4300000000000004E-2</v>
      </c>
      <c r="T5" s="25">
        <f t="shared" si="8"/>
        <v>3.4300000000000004E-2</v>
      </c>
      <c r="U5" s="25">
        <f t="shared" si="9"/>
        <v>3.4300000000000004E-2</v>
      </c>
      <c r="V5" s="25">
        <f t="shared" si="10"/>
        <v>3.4300000000000004E-2</v>
      </c>
      <c r="W5" s="25">
        <f t="shared" si="11"/>
        <v>3.4300000000000004E-2</v>
      </c>
      <c r="X5" s="25">
        <f t="shared" si="12"/>
        <v>3.4300000000000004E-2</v>
      </c>
      <c r="Y5" s="25">
        <f t="shared" si="13"/>
        <v>3.4300000000000004E-2</v>
      </c>
      <c r="Z5" s="25">
        <f t="shared" si="14"/>
        <v>3.4300000000000004E-2</v>
      </c>
      <c r="AA5" s="25">
        <f t="shared" si="15"/>
        <v>3.4300000000000004E-2</v>
      </c>
      <c r="AB5" s="25">
        <f t="shared" si="16"/>
        <v>3.4300000000000004E-2</v>
      </c>
      <c r="AC5" s="25">
        <f t="shared" si="17"/>
        <v>3.4300000000000004E-2</v>
      </c>
      <c r="AD5" s="25">
        <f t="shared" si="18"/>
        <v>3.4300000000000004E-2</v>
      </c>
      <c r="AE5" s="25">
        <f t="shared" si="19"/>
        <v>3.4300000000000004E-2</v>
      </c>
      <c r="AF5" s="25">
        <f t="shared" si="20"/>
        <v>3.4300000000000004E-2</v>
      </c>
      <c r="AG5" s="25">
        <f t="shared" si="21"/>
        <v>3.4300000000000004E-2</v>
      </c>
      <c r="AH5" s="25">
        <f t="shared" si="22"/>
        <v>3.4300000000000004E-2</v>
      </c>
      <c r="AI5" s="25">
        <f t="shared" si="23"/>
        <v>3.4300000000000004E-2</v>
      </c>
      <c r="AJ5" s="25">
        <f t="shared" si="24"/>
        <v>3.4300000000000004E-2</v>
      </c>
      <c r="AK5" s="25">
        <f t="shared" si="25"/>
        <v>3.4300000000000004E-2</v>
      </c>
      <c r="AL5" s="25">
        <f t="shared" si="26"/>
        <v>3.4300000000000004E-2</v>
      </c>
      <c r="AM5" s="25">
        <f t="shared" si="27"/>
        <v>3.4300000000000004E-2</v>
      </c>
      <c r="AN5" s="25">
        <f t="shared" si="28"/>
        <v>3.4300000000000004E-2</v>
      </c>
      <c r="AO5" s="25">
        <f t="shared" si="29"/>
        <v>3.4300000000000004E-2</v>
      </c>
      <c r="AP5" s="25">
        <f t="shared" si="30"/>
        <v>3.4300000000000004E-2</v>
      </c>
      <c r="AQ5" s="25">
        <f t="shared" si="31"/>
        <v>3.4300000000000004E-2</v>
      </c>
      <c r="AR5" s="25">
        <f t="shared" si="32"/>
        <v>3.4300000000000004E-2</v>
      </c>
      <c r="AS5" s="25">
        <f t="shared" si="33"/>
        <v>3.4300000000000004E-2</v>
      </c>
      <c r="AT5" s="25">
        <f t="shared" si="34"/>
        <v>3.4300000000000004E-2</v>
      </c>
      <c r="AU5" s="25">
        <f t="shared" si="35"/>
        <v>3.4300000000000004E-2</v>
      </c>
      <c r="AV5" s="25">
        <f t="shared" si="36"/>
        <v>3.4300000000000004E-2</v>
      </c>
      <c r="AW5" s="25">
        <f t="shared" si="37"/>
        <v>3.4300000000000004E-2</v>
      </c>
      <c r="AX5" s="25">
        <f t="shared" si="38"/>
        <v>3.4300000000000004E-2</v>
      </c>
      <c r="AY5" s="25">
        <f t="shared" si="39"/>
        <v>3.4300000000000004E-2</v>
      </c>
      <c r="AZ5" s="25">
        <f t="shared" si="40"/>
        <v>3.4300000000000004E-2</v>
      </c>
    </row>
    <row r="6" spans="1:52" x14ac:dyDescent="0.35">
      <c r="A6" t="s">
        <v>155</v>
      </c>
      <c r="B6" s="25">
        <f>3.7%-_xlfn.XLOOKUP(A6,BasisPointCost!$A:$A,BasisPointCost!$B:$B)</f>
        <v>3.6300000000000006E-2</v>
      </c>
      <c r="C6" s="25">
        <f t="shared" si="1"/>
        <v>3.6300000000000006E-2</v>
      </c>
      <c r="D6" s="25">
        <f t="shared" si="1"/>
        <v>3.6300000000000006E-2</v>
      </c>
      <c r="E6" s="25">
        <f t="shared" si="1"/>
        <v>3.6300000000000006E-2</v>
      </c>
      <c r="F6" s="25">
        <f t="shared" si="1"/>
        <v>3.6300000000000006E-2</v>
      </c>
      <c r="G6" s="25">
        <f t="shared" si="1"/>
        <v>3.6300000000000006E-2</v>
      </c>
      <c r="H6" s="25">
        <f t="shared" si="1"/>
        <v>3.6300000000000006E-2</v>
      </c>
      <c r="I6" s="25">
        <f t="shared" si="1"/>
        <v>3.6300000000000006E-2</v>
      </c>
      <c r="J6" s="25">
        <f t="shared" si="1"/>
        <v>3.6300000000000006E-2</v>
      </c>
      <c r="K6" s="25">
        <f t="shared" si="1"/>
        <v>3.6300000000000006E-2</v>
      </c>
      <c r="L6" s="29">
        <f>3.5%-0.07%</f>
        <v>3.4300000000000004E-2</v>
      </c>
      <c r="M6" s="25">
        <f t="shared" si="1"/>
        <v>3.4300000000000004E-2</v>
      </c>
      <c r="N6" s="25">
        <f t="shared" si="2"/>
        <v>3.4300000000000004E-2</v>
      </c>
      <c r="O6" s="25">
        <f t="shared" si="3"/>
        <v>3.4300000000000004E-2</v>
      </c>
      <c r="P6" s="25">
        <f t="shared" si="4"/>
        <v>3.4300000000000004E-2</v>
      </c>
      <c r="Q6" s="25">
        <f t="shared" si="5"/>
        <v>3.4300000000000004E-2</v>
      </c>
      <c r="R6" s="25">
        <f t="shared" si="6"/>
        <v>3.4300000000000004E-2</v>
      </c>
      <c r="S6" s="25">
        <f t="shared" si="7"/>
        <v>3.4300000000000004E-2</v>
      </c>
      <c r="T6" s="25">
        <f t="shared" si="8"/>
        <v>3.4300000000000004E-2</v>
      </c>
      <c r="U6" s="25">
        <f t="shared" si="9"/>
        <v>3.4300000000000004E-2</v>
      </c>
      <c r="V6" s="25">
        <f t="shared" si="10"/>
        <v>3.4300000000000004E-2</v>
      </c>
      <c r="W6" s="25">
        <f t="shared" si="11"/>
        <v>3.4300000000000004E-2</v>
      </c>
      <c r="X6" s="25">
        <f t="shared" si="12"/>
        <v>3.4300000000000004E-2</v>
      </c>
      <c r="Y6" s="25">
        <f t="shared" si="13"/>
        <v>3.4300000000000004E-2</v>
      </c>
      <c r="Z6" s="25">
        <f t="shared" si="14"/>
        <v>3.4300000000000004E-2</v>
      </c>
      <c r="AA6" s="25">
        <f t="shared" si="15"/>
        <v>3.4300000000000004E-2</v>
      </c>
      <c r="AB6" s="25">
        <f t="shared" si="16"/>
        <v>3.4300000000000004E-2</v>
      </c>
      <c r="AC6" s="25">
        <f t="shared" si="17"/>
        <v>3.4300000000000004E-2</v>
      </c>
      <c r="AD6" s="25">
        <f t="shared" si="18"/>
        <v>3.4300000000000004E-2</v>
      </c>
      <c r="AE6" s="25">
        <f t="shared" si="19"/>
        <v>3.4300000000000004E-2</v>
      </c>
      <c r="AF6" s="25">
        <f t="shared" si="20"/>
        <v>3.4300000000000004E-2</v>
      </c>
      <c r="AG6" s="25">
        <f t="shared" si="21"/>
        <v>3.4300000000000004E-2</v>
      </c>
      <c r="AH6" s="25">
        <f t="shared" si="22"/>
        <v>3.4300000000000004E-2</v>
      </c>
      <c r="AI6" s="25">
        <f t="shared" si="23"/>
        <v>3.4300000000000004E-2</v>
      </c>
      <c r="AJ6" s="25">
        <f t="shared" si="24"/>
        <v>3.4300000000000004E-2</v>
      </c>
      <c r="AK6" s="25">
        <f t="shared" si="25"/>
        <v>3.4300000000000004E-2</v>
      </c>
      <c r="AL6" s="25">
        <f t="shared" si="26"/>
        <v>3.4300000000000004E-2</v>
      </c>
      <c r="AM6" s="25">
        <f t="shared" si="27"/>
        <v>3.4300000000000004E-2</v>
      </c>
      <c r="AN6" s="25">
        <f t="shared" si="28"/>
        <v>3.4300000000000004E-2</v>
      </c>
      <c r="AO6" s="25">
        <f t="shared" si="29"/>
        <v>3.4300000000000004E-2</v>
      </c>
      <c r="AP6" s="25">
        <f t="shared" si="30"/>
        <v>3.4300000000000004E-2</v>
      </c>
      <c r="AQ6" s="25">
        <f t="shared" si="31"/>
        <v>3.4300000000000004E-2</v>
      </c>
      <c r="AR6" s="25">
        <f t="shared" si="32"/>
        <v>3.4300000000000004E-2</v>
      </c>
      <c r="AS6" s="25">
        <f t="shared" si="33"/>
        <v>3.4300000000000004E-2</v>
      </c>
      <c r="AT6" s="25">
        <f t="shared" si="34"/>
        <v>3.4300000000000004E-2</v>
      </c>
      <c r="AU6" s="25">
        <f t="shared" si="35"/>
        <v>3.4300000000000004E-2</v>
      </c>
      <c r="AV6" s="25">
        <f t="shared" si="36"/>
        <v>3.4300000000000004E-2</v>
      </c>
      <c r="AW6" s="25">
        <f t="shared" si="37"/>
        <v>3.4300000000000004E-2</v>
      </c>
      <c r="AX6" s="25">
        <f t="shared" si="38"/>
        <v>3.4300000000000004E-2</v>
      </c>
      <c r="AY6" s="25">
        <f t="shared" si="39"/>
        <v>3.4300000000000004E-2</v>
      </c>
      <c r="AZ6" s="25">
        <f t="shared" si="40"/>
        <v>3.4300000000000004E-2</v>
      </c>
    </row>
    <row r="7" spans="1:52" x14ac:dyDescent="0.35">
      <c r="A7" t="s">
        <v>154</v>
      </c>
      <c r="B7" s="25">
        <f>2.9%-_xlfn.XLOOKUP($A7,BasisPointCost!$A:$A,BasisPointCost!$B:$B)</f>
        <v>2.8299999999999999E-2</v>
      </c>
      <c r="C7" s="25">
        <f t="shared" si="1"/>
        <v>2.8299999999999999E-2</v>
      </c>
      <c r="D7" s="25">
        <f t="shared" si="1"/>
        <v>2.8299999999999999E-2</v>
      </c>
      <c r="E7" s="25">
        <f t="shared" si="1"/>
        <v>2.8299999999999999E-2</v>
      </c>
      <c r="F7" s="25">
        <f t="shared" si="1"/>
        <v>2.8299999999999999E-2</v>
      </c>
      <c r="G7" s="25">
        <f t="shared" si="1"/>
        <v>2.8299999999999999E-2</v>
      </c>
      <c r="H7" s="25">
        <f t="shared" si="1"/>
        <v>2.8299999999999999E-2</v>
      </c>
      <c r="I7" s="25">
        <f t="shared" si="1"/>
        <v>2.8299999999999999E-2</v>
      </c>
      <c r="J7" s="25">
        <f t="shared" si="1"/>
        <v>2.8299999999999999E-2</v>
      </c>
      <c r="K7" s="25">
        <f t="shared" si="1"/>
        <v>2.8299999999999999E-2</v>
      </c>
      <c r="L7" s="29">
        <f>3.5%-0.07%</f>
        <v>3.4300000000000004E-2</v>
      </c>
      <c r="M7" s="25">
        <f t="shared" si="1"/>
        <v>3.4300000000000004E-2</v>
      </c>
      <c r="N7" s="25">
        <f t="shared" si="2"/>
        <v>3.4300000000000004E-2</v>
      </c>
      <c r="O7" s="25">
        <f t="shared" si="3"/>
        <v>3.4300000000000004E-2</v>
      </c>
      <c r="P7" s="25">
        <f t="shared" si="4"/>
        <v>3.4300000000000004E-2</v>
      </c>
      <c r="Q7" s="25">
        <f t="shared" si="5"/>
        <v>3.4300000000000004E-2</v>
      </c>
      <c r="R7" s="25">
        <f t="shared" si="6"/>
        <v>3.4300000000000004E-2</v>
      </c>
      <c r="S7" s="25">
        <f t="shared" si="7"/>
        <v>3.4300000000000004E-2</v>
      </c>
      <c r="T7" s="25">
        <f t="shared" si="8"/>
        <v>3.4300000000000004E-2</v>
      </c>
      <c r="U7" s="25">
        <f t="shared" si="9"/>
        <v>3.4300000000000004E-2</v>
      </c>
      <c r="V7" s="25">
        <f t="shared" si="10"/>
        <v>3.4300000000000004E-2</v>
      </c>
      <c r="W7" s="25">
        <f t="shared" si="11"/>
        <v>3.4300000000000004E-2</v>
      </c>
      <c r="X7" s="25">
        <f t="shared" si="12"/>
        <v>3.4300000000000004E-2</v>
      </c>
      <c r="Y7" s="25">
        <f t="shared" si="13"/>
        <v>3.4300000000000004E-2</v>
      </c>
      <c r="Z7" s="25">
        <f t="shared" si="14"/>
        <v>3.4300000000000004E-2</v>
      </c>
      <c r="AA7" s="25">
        <f t="shared" si="15"/>
        <v>3.4300000000000004E-2</v>
      </c>
      <c r="AB7" s="25">
        <f t="shared" si="16"/>
        <v>3.4300000000000004E-2</v>
      </c>
      <c r="AC7" s="25">
        <f t="shared" si="17"/>
        <v>3.4300000000000004E-2</v>
      </c>
      <c r="AD7" s="25">
        <f t="shared" si="18"/>
        <v>3.4300000000000004E-2</v>
      </c>
      <c r="AE7" s="25">
        <f t="shared" si="19"/>
        <v>3.4300000000000004E-2</v>
      </c>
      <c r="AF7" s="25">
        <f t="shared" si="20"/>
        <v>3.4300000000000004E-2</v>
      </c>
      <c r="AG7" s="25">
        <f t="shared" si="21"/>
        <v>3.4300000000000004E-2</v>
      </c>
      <c r="AH7" s="25">
        <f t="shared" si="22"/>
        <v>3.4300000000000004E-2</v>
      </c>
      <c r="AI7" s="25">
        <f t="shared" si="23"/>
        <v>3.4300000000000004E-2</v>
      </c>
      <c r="AJ7" s="25">
        <f t="shared" si="24"/>
        <v>3.4300000000000004E-2</v>
      </c>
      <c r="AK7" s="25">
        <f t="shared" si="25"/>
        <v>3.4300000000000004E-2</v>
      </c>
      <c r="AL7" s="25">
        <f t="shared" si="26"/>
        <v>3.4300000000000004E-2</v>
      </c>
      <c r="AM7" s="25">
        <f t="shared" si="27"/>
        <v>3.4300000000000004E-2</v>
      </c>
      <c r="AN7" s="25">
        <f t="shared" si="28"/>
        <v>3.4300000000000004E-2</v>
      </c>
      <c r="AO7" s="25">
        <f t="shared" si="29"/>
        <v>3.4300000000000004E-2</v>
      </c>
      <c r="AP7" s="25">
        <f t="shared" si="30"/>
        <v>3.4300000000000004E-2</v>
      </c>
      <c r="AQ7" s="25">
        <f t="shared" si="31"/>
        <v>3.4300000000000004E-2</v>
      </c>
      <c r="AR7" s="25">
        <f t="shared" si="32"/>
        <v>3.4300000000000004E-2</v>
      </c>
      <c r="AS7" s="25">
        <f t="shared" si="33"/>
        <v>3.4300000000000004E-2</v>
      </c>
      <c r="AT7" s="25">
        <f t="shared" si="34"/>
        <v>3.4300000000000004E-2</v>
      </c>
      <c r="AU7" s="25">
        <f t="shared" si="35"/>
        <v>3.4300000000000004E-2</v>
      </c>
      <c r="AV7" s="25">
        <f t="shared" si="36"/>
        <v>3.4300000000000004E-2</v>
      </c>
      <c r="AW7" s="25">
        <f t="shared" si="37"/>
        <v>3.4300000000000004E-2</v>
      </c>
      <c r="AX7" s="25">
        <f t="shared" si="38"/>
        <v>3.4300000000000004E-2</v>
      </c>
      <c r="AY7" s="25">
        <f t="shared" si="39"/>
        <v>3.4300000000000004E-2</v>
      </c>
      <c r="AZ7" s="25">
        <f t="shared" si="40"/>
        <v>3.4300000000000004E-2</v>
      </c>
    </row>
  </sheetData>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heetViews>
  <sheetFormatPr defaultRowHeight="14.5" x14ac:dyDescent="0.35"/>
  <cols>
    <col min="1" max="1" width="31.453125" bestFit="1" customWidth="1"/>
    <col min="2" max="2" width="15.26953125" bestFit="1" customWidth="1"/>
  </cols>
  <sheetData>
    <row r="1" spans="1:3" x14ac:dyDescent="0.35">
      <c r="A1" t="s">
        <v>160</v>
      </c>
      <c r="B1" t="s">
        <v>161</v>
      </c>
      <c r="C1" t="s">
        <v>162</v>
      </c>
    </row>
    <row r="2" spans="1:3" x14ac:dyDescent="0.35">
      <c r="A2" t="s">
        <v>102</v>
      </c>
      <c r="B2" s="23">
        <f>0.2%</f>
        <v>2E-3</v>
      </c>
    </row>
    <row r="3" spans="1:3" x14ac:dyDescent="0.35">
      <c r="A3" t="s">
        <v>103</v>
      </c>
      <c r="B3" s="23">
        <f>0.2%</f>
        <v>2E-3</v>
      </c>
    </row>
    <row r="4" spans="1:3" x14ac:dyDescent="0.35">
      <c r="A4" t="s">
        <v>157</v>
      </c>
      <c r="B4" s="23">
        <f>0.07%</f>
        <v>7.000000000000001E-4</v>
      </c>
    </row>
    <row r="5" spans="1:3" x14ac:dyDescent="0.35">
      <c r="A5" t="s">
        <v>156</v>
      </c>
      <c r="B5" s="23">
        <f>0.07%</f>
        <v>7.000000000000001E-4</v>
      </c>
    </row>
    <row r="6" spans="1:3" x14ac:dyDescent="0.35">
      <c r="A6" t="s">
        <v>155</v>
      </c>
      <c r="B6" s="23">
        <f>0.07%</f>
        <v>7.000000000000001E-4</v>
      </c>
    </row>
    <row r="7" spans="1:3" x14ac:dyDescent="0.35">
      <c r="A7" t="s">
        <v>154</v>
      </c>
      <c r="B7" s="23">
        <f>0.07%</f>
        <v>7.000000000000001E-4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heetViews>
  <sheetFormatPr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42" x14ac:dyDescent="0.35">
      <c r="B1" t="s">
        <v>114</v>
      </c>
      <c r="C1" t="s">
        <v>115</v>
      </c>
      <c r="D1" t="s">
        <v>116</v>
      </c>
      <c r="E1" t="s">
        <v>117</v>
      </c>
      <c r="F1" t="s">
        <v>118</v>
      </c>
      <c r="G1" t="s">
        <v>119</v>
      </c>
      <c r="H1" t="s">
        <v>120</v>
      </c>
      <c r="I1" t="s">
        <v>121</v>
      </c>
      <c r="J1" t="s">
        <v>122</v>
      </c>
      <c r="K1" t="s">
        <v>123</v>
      </c>
      <c r="L1" t="s">
        <v>124</v>
      </c>
      <c r="M1" t="s">
        <v>125</v>
      </c>
      <c r="N1" t="s">
        <v>126</v>
      </c>
      <c r="O1" t="s">
        <v>127</v>
      </c>
      <c r="P1" t="s">
        <v>128</v>
      </c>
      <c r="Q1" t="s">
        <v>129</v>
      </c>
      <c r="R1" t="s">
        <v>130</v>
      </c>
      <c r="S1" t="s">
        <v>131</v>
      </c>
      <c r="T1" t="s">
        <v>132</v>
      </c>
      <c r="U1" t="s">
        <v>133</v>
      </c>
      <c r="V1" t="s">
        <v>134</v>
      </c>
      <c r="W1" t="s">
        <v>135</v>
      </c>
      <c r="X1" t="s">
        <v>136</v>
      </c>
      <c r="Y1" t="s">
        <v>137</v>
      </c>
      <c r="Z1" t="s">
        <v>138</v>
      </c>
      <c r="AA1" t="s">
        <v>139</v>
      </c>
      <c r="AB1" t="s">
        <v>140</v>
      </c>
      <c r="AC1" t="s">
        <v>141</v>
      </c>
      <c r="AD1" t="s">
        <v>142</v>
      </c>
      <c r="AE1" t="s">
        <v>143</v>
      </c>
      <c r="AF1" t="s">
        <v>144</v>
      </c>
      <c r="AG1" t="s">
        <v>145</v>
      </c>
      <c r="AH1" t="s">
        <v>146</v>
      </c>
      <c r="AI1" t="s">
        <v>147</v>
      </c>
      <c r="AJ1" t="s">
        <v>148</v>
      </c>
      <c r="AK1" t="s">
        <v>149</v>
      </c>
      <c r="AL1" t="s">
        <v>150</v>
      </c>
      <c r="AM1" t="s">
        <v>151</v>
      </c>
      <c r="AN1" t="s">
        <v>152</v>
      </c>
      <c r="AO1" t="s">
        <v>153</v>
      </c>
      <c r="AP1" s="21" t="s">
        <v>159</v>
      </c>
    </row>
    <row r="2" spans="1:42" x14ac:dyDescent="0.35">
      <c r="A2" t="s">
        <v>163</v>
      </c>
      <c r="B2" s="24">
        <f>6.5%-0.2%</f>
        <v>6.3E-2</v>
      </c>
      <c r="C2" s="24">
        <f>B2</f>
        <v>6.3E-2</v>
      </c>
      <c r="D2" s="24">
        <f t="shared" ref="D2:S3" si="0">C2</f>
        <v>6.3E-2</v>
      </c>
      <c r="E2" s="24">
        <f t="shared" si="0"/>
        <v>6.3E-2</v>
      </c>
      <c r="F2" s="24">
        <f t="shared" si="0"/>
        <v>6.3E-2</v>
      </c>
      <c r="G2" s="24">
        <f t="shared" si="0"/>
        <v>6.3E-2</v>
      </c>
      <c r="H2" s="24">
        <f t="shared" si="0"/>
        <v>6.3E-2</v>
      </c>
      <c r="I2" s="24">
        <f t="shared" si="0"/>
        <v>6.3E-2</v>
      </c>
      <c r="J2" s="24">
        <f t="shared" si="0"/>
        <v>6.3E-2</v>
      </c>
      <c r="K2" s="24">
        <f t="shared" si="0"/>
        <v>6.3E-2</v>
      </c>
      <c r="L2" s="24">
        <f t="shared" si="0"/>
        <v>6.3E-2</v>
      </c>
      <c r="M2" s="24">
        <f t="shared" si="0"/>
        <v>6.3E-2</v>
      </c>
      <c r="N2" s="24">
        <f t="shared" si="0"/>
        <v>6.3E-2</v>
      </c>
      <c r="O2" s="24">
        <f t="shared" si="0"/>
        <v>6.3E-2</v>
      </c>
      <c r="P2" s="24">
        <f t="shared" si="0"/>
        <v>6.3E-2</v>
      </c>
      <c r="Q2" s="24">
        <f t="shared" si="0"/>
        <v>6.3E-2</v>
      </c>
      <c r="R2" s="24">
        <f t="shared" si="0"/>
        <v>6.3E-2</v>
      </c>
      <c r="S2" s="24">
        <f t="shared" si="0"/>
        <v>6.3E-2</v>
      </c>
      <c r="T2" s="24">
        <f t="shared" ref="T2:AO3" si="1">S2</f>
        <v>6.3E-2</v>
      </c>
      <c r="U2" s="24">
        <f t="shared" si="1"/>
        <v>6.3E-2</v>
      </c>
      <c r="V2" s="24">
        <f t="shared" si="1"/>
        <v>6.3E-2</v>
      </c>
      <c r="W2" s="24">
        <f t="shared" si="1"/>
        <v>6.3E-2</v>
      </c>
      <c r="X2" s="24">
        <f t="shared" si="1"/>
        <v>6.3E-2</v>
      </c>
      <c r="Y2" s="24">
        <f t="shared" si="1"/>
        <v>6.3E-2</v>
      </c>
      <c r="Z2" s="24">
        <f t="shared" si="1"/>
        <v>6.3E-2</v>
      </c>
      <c r="AA2" s="24">
        <f t="shared" si="1"/>
        <v>6.3E-2</v>
      </c>
      <c r="AB2" s="24">
        <f t="shared" si="1"/>
        <v>6.3E-2</v>
      </c>
      <c r="AC2" s="24">
        <f t="shared" si="1"/>
        <v>6.3E-2</v>
      </c>
      <c r="AD2" s="24">
        <f t="shared" si="1"/>
        <v>6.3E-2</v>
      </c>
      <c r="AE2" s="24">
        <f t="shared" si="1"/>
        <v>6.3E-2</v>
      </c>
      <c r="AF2" s="24">
        <f t="shared" si="1"/>
        <v>6.3E-2</v>
      </c>
      <c r="AG2" s="24">
        <f t="shared" si="1"/>
        <v>6.3E-2</v>
      </c>
      <c r="AH2" s="24">
        <f t="shared" si="1"/>
        <v>6.3E-2</v>
      </c>
      <c r="AI2" s="24">
        <f t="shared" si="1"/>
        <v>6.3E-2</v>
      </c>
      <c r="AJ2" s="24">
        <f t="shared" si="1"/>
        <v>6.3E-2</v>
      </c>
      <c r="AK2" s="24">
        <f t="shared" si="1"/>
        <v>6.3E-2</v>
      </c>
      <c r="AL2" s="24">
        <f t="shared" si="1"/>
        <v>6.3E-2</v>
      </c>
      <c r="AM2" s="24">
        <f t="shared" si="1"/>
        <v>6.3E-2</v>
      </c>
      <c r="AN2" s="24">
        <f t="shared" si="1"/>
        <v>6.3E-2</v>
      </c>
      <c r="AO2" s="24">
        <f t="shared" si="1"/>
        <v>6.3E-2</v>
      </c>
      <c r="AP2" s="24">
        <f t="shared" ref="AP2" si="2">AO2</f>
        <v>6.3E-2</v>
      </c>
    </row>
    <row r="3" spans="1:42" x14ac:dyDescent="0.35">
      <c r="A3" t="s">
        <v>164</v>
      </c>
      <c r="B3" s="24">
        <f>3.5%-0.07%</f>
        <v>3.4300000000000004E-2</v>
      </c>
      <c r="C3" s="24">
        <f>B3</f>
        <v>3.4300000000000004E-2</v>
      </c>
      <c r="D3" s="24">
        <f t="shared" si="0"/>
        <v>3.4300000000000004E-2</v>
      </c>
      <c r="E3" s="24">
        <f t="shared" si="0"/>
        <v>3.4300000000000004E-2</v>
      </c>
      <c r="F3" s="24">
        <f t="shared" si="0"/>
        <v>3.4300000000000004E-2</v>
      </c>
      <c r="G3" s="24">
        <f t="shared" si="0"/>
        <v>3.4300000000000004E-2</v>
      </c>
      <c r="H3" s="24">
        <f t="shared" si="0"/>
        <v>3.4300000000000004E-2</v>
      </c>
      <c r="I3" s="24">
        <f t="shared" si="0"/>
        <v>3.4300000000000004E-2</v>
      </c>
      <c r="J3" s="24">
        <f t="shared" si="0"/>
        <v>3.4300000000000004E-2</v>
      </c>
      <c r="K3" s="24">
        <f t="shared" si="0"/>
        <v>3.4300000000000004E-2</v>
      </c>
      <c r="L3" s="24">
        <f t="shared" si="0"/>
        <v>3.4300000000000004E-2</v>
      </c>
      <c r="M3" s="24">
        <f t="shared" si="0"/>
        <v>3.4300000000000004E-2</v>
      </c>
      <c r="N3" s="24">
        <f t="shared" si="0"/>
        <v>3.4300000000000004E-2</v>
      </c>
      <c r="O3" s="24">
        <f t="shared" si="0"/>
        <v>3.4300000000000004E-2</v>
      </c>
      <c r="P3" s="24">
        <f t="shared" si="0"/>
        <v>3.4300000000000004E-2</v>
      </c>
      <c r="Q3" s="24">
        <f t="shared" si="0"/>
        <v>3.4300000000000004E-2</v>
      </c>
      <c r="R3" s="24">
        <f t="shared" si="0"/>
        <v>3.4300000000000004E-2</v>
      </c>
      <c r="S3" s="24">
        <f t="shared" si="0"/>
        <v>3.4300000000000004E-2</v>
      </c>
      <c r="T3" s="24">
        <f t="shared" si="1"/>
        <v>3.4300000000000004E-2</v>
      </c>
      <c r="U3" s="24">
        <f t="shared" si="1"/>
        <v>3.4300000000000004E-2</v>
      </c>
      <c r="V3" s="24">
        <f t="shared" si="1"/>
        <v>3.4300000000000004E-2</v>
      </c>
      <c r="W3" s="24">
        <f t="shared" si="1"/>
        <v>3.4300000000000004E-2</v>
      </c>
      <c r="X3" s="24">
        <f t="shared" si="1"/>
        <v>3.4300000000000004E-2</v>
      </c>
      <c r="Y3" s="24">
        <f t="shared" si="1"/>
        <v>3.4300000000000004E-2</v>
      </c>
      <c r="Z3" s="24">
        <f t="shared" si="1"/>
        <v>3.4300000000000004E-2</v>
      </c>
      <c r="AA3" s="24">
        <f t="shared" si="1"/>
        <v>3.4300000000000004E-2</v>
      </c>
      <c r="AB3" s="24">
        <f t="shared" si="1"/>
        <v>3.4300000000000004E-2</v>
      </c>
      <c r="AC3" s="24">
        <f t="shared" si="1"/>
        <v>3.4300000000000004E-2</v>
      </c>
      <c r="AD3" s="24">
        <f t="shared" si="1"/>
        <v>3.4300000000000004E-2</v>
      </c>
      <c r="AE3" s="24">
        <f t="shared" si="1"/>
        <v>3.4300000000000004E-2</v>
      </c>
      <c r="AF3" s="24">
        <f t="shared" si="1"/>
        <v>3.4300000000000004E-2</v>
      </c>
      <c r="AG3" s="24">
        <f t="shared" si="1"/>
        <v>3.4300000000000004E-2</v>
      </c>
      <c r="AH3" s="24">
        <f t="shared" si="1"/>
        <v>3.4300000000000004E-2</v>
      </c>
      <c r="AI3" s="24">
        <f t="shared" si="1"/>
        <v>3.4300000000000004E-2</v>
      </c>
      <c r="AJ3" s="24">
        <f t="shared" si="1"/>
        <v>3.4300000000000004E-2</v>
      </c>
      <c r="AK3" s="24">
        <f t="shared" si="1"/>
        <v>3.4300000000000004E-2</v>
      </c>
      <c r="AL3" s="24">
        <f t="shared" si="1"/>
        <v>3.4300000000000004E-2</v>
      </c>
      <c r="AM3" s="24">
        <f t="shared" si="1"/>
        <v>3.4300000000000004E-2</v>
      </c>
      <c r="AN3" s="24">
        <f t="shared" si="1"/>
        <v>3.4300000000000004E-2</v>
      </c>
      <c r="AO3" s="24">
        <f t="shared" si="1"/>
        <v>3.4300000000000004E-2</v>
      </c>
      <c r="AP3" s="24">
        <f t="shared" ref="AP3" si="3">AO3</f>
        <v>3.4300000000000004E-2</v>
      </c>
    </row>
    <row r="4" spans="1:42" x14ac:dyDescent="0.35">
      <c r="B4" s="22"/>
      <c r="C4" s="22"/>
      <c r="D4" s="22"/>
      <c r="E4" s="22"/>
      <c r="F4" s="22"/>
      <c r="G4" s="22"/>
      <c r="H4" s="22"/>
      <c r="I4" s="22"/>
      <c r="J4" s="22"/>
      <c r="K4" s="22"/>
    </row>
    <row r="5" spans="1:42" x14ac:dyDescent="0.35">
      <c r="B5" s="22"/>
      <c r="C5" s="22"/>
      <c r="D5" s="22"/>
      <c r="E5" s="22"/>
      <c r="F5" s="22"/>
      <c r="G5" s="22"/>
      <c r="H5" s="22"/>
      <c r="I5" s="22"/>
      <c r="J5" s="22"/>
      <c r="K5" s="22"/>
    </row>
    <row r="6" spans="1:42" x14ac:dyDescent="0.35">
      <c r="B6" s="22"/>
      <c r="C6" s="22"/>
      <c r="D6" s="22"/>
      <c r="E6" s="22"/>
      <c r="F6" s="22"/>
      <c r="G6" s="22"/>
      <c r="H6" s="22"/>
      <c r="I6" s="22"/>
      <c r="J6" s="22"/>
      <c r="K6" s="22"/>
    </row>
    <row r="7" spans="1:42" x14ac:dyDescent="0.35">
      <c r="B7" s="22"/>
      <c r="C7" s="22"/>
      <c r="D7" s="22"/>
      <c r="E7" s="22"/>
      <c r="F7" s="22"/>
      <c r="G7" s="22"/>
      <c r="H7" s="22"/>
      <c r="I7" s="22"/>
      <c r="J7" s="22"/>
      <c r="K7" s="22"/>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heetViews>
  <sheetFormatPr defaultColWidth="8.7265625" defaultRowHeight="14.5" x14ac:dyDescent="0.35"/>
  <cols>
    <col min="1" max="1" width="31.453125" style="1" bestFit="1" customWidth="1"/>
    <col min="2" max="2" width="29.7265625" style="1" bestFit="1" customWidth="1"/>
    <col min="3" max="16384" width="8.7265625" style="1"/>
  </cols>
  <sheetData>
    <row r="1" spans="1:2" x14ac:dyDescent="0.35">
      <c r="B1" s="1" t="s">
        <v>158</v>
      </c>
    </row>
    <row r="2" spans="1:2" x14ac:dyDescent="0.35">
      <c r="A2" s="1" t="s">
        <v>102</v>
      </c>
      <c r="B2" s="1">
        <v>8.5999999999999993E-2</v>
      </c>
    </row>
    <row r="3" spans="1:2" x14ac:dyDescent="0.35">
      <c r="A3" s="1" t="s">
        <v>103</v>
      </c>
      <c r="B3" s="1">
        <v>7.0000000000000007E-2</v>
      </c>
    </row>
    <row r="4" spans="1:2" x14ac:dyDescent="0.35">
      <c r="A4" s="1" t="s">
        <v>157</v>
      </c>
      <c r="B4" s="1">
        <v>4.9000000000000002E-2</v>
      </c>
    </row>
    <row r="5" spans="1:2" x14ac:dyDescent="0.35">
      <c r="A5" s="1" t="s">
        <v>156</v>
      </c>
      <c r="B5" s="1">
        <v>0.05</v>
      </c>
    </row>
    <row r="6" spans="1:2" x14ac:dyDescent="0.35">
      <c r="A6" s="1" t="s">
        <v>155</v>
      </c>
      <c r="B6" s="1">
        <v>3.6999999999999998E-2</v>
      </c>
    </row>
    <row r="7" spans="1:2" x14ac:dyDescent="0.35">
      <c r="A7" s="1" t="s">
        <v>154</v>
      </c>
      <c r="B7" s="1">
        <v>2.9000000000000001E-2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heetViews>
  <sheetFormatPr defaultColWidth="8.7265625" defaultRowHeight="14.5" x14ac:dyDescent="0.35"/>
  <cols>
    <col min="1" max="1" width="31.453125" style="1" bestFit="1" customWidth="1"/>
    <col min="2" max="2" width="29.7265625" style="1" bestFit="1" customWidth="1"/>
    <col min="3" max="16384" width="8.7265625" style="1"/>
  </cols>
  <sheetData>
    <row r="1" spans="1:2" x14ac:dyDescent="0.35">
      <c r="B1" s="1" t="s">
        <v>158</v>
      </c>
    </row>
    <row r="2" spans="1:2" x14ac:dyDescent="0.35">
      <c r="A2" s="1" t="s">
        <v>163</v>
      </c>
      <c r="B2" s="1">
        <v>0.18</v>
      </c>
    </row>
    <row r="3" spans="1:2" x14ac:dyDescent="0.35">
      <c r="A3" s="1" t="s">
        <v>164</v>
      </c>
      <c r="B3" s="1">
        <v>0.08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heetViews>
  <sheetFormatPr defaultRowHeight="14.5" x14ac:dyDescent="0.35"/>
  <cols>
    <col min="1" max="1" width="31.453125" bestFit="1" customWidth="1"/>
    <col min="2" max="2" width="29.54296875" bestFit="1" customWidth="1"/>
    <col min="3" max="3" width="31.453125" bestFit="1" customWidth="1"/>
    <col min="4" max="4" width="24.81640625" bestFit="1" customWidth="1"/>
    <col min="5" max="5" width="30.81640625" bestFit="1" customWidth="1"/>
    <col min="6" max="6" width="24.453125" bestFit="1" customWidth="1"/>
    <col min="7" max="7" width="23.26953125" bestFit="1" customWidth="1"/>
  </cols>
  <sheetData>
    <row r="1" spans="1:7" x14ac:dyDescent="0.35">
      <c r="B1" t="s">
        <v>154</v>
      </c>
      <c r="C1" t="s">
        <v>155</v>
      </c>
      <c r="D1" t="s">
        <v>156</v>
      </c>
      <c r="E1" t="s">
        <v>157</v>
      </c>
      <c r="F1" t="s">
        <v>103</v>
      </c>
      <c r="G1" t="s">
        <v>102</v>
      </c>
    </row>
    <row r="2" spans="1:7" x14ac:dyDescent="0.35">
      <c r="A2" t="s">
        <v>154</v>
      </c>
      <c r="B2">
        <v>1</v>
      </c>
      <c r="C2">
        <v>0.6</v>
      </c>
      <c r="D2">
        <v>0.2</v>
      </c>
      <c r="E2">
        <v>0.4</v>
      </c>
      <c r="F2">
        <v>0</v>
      </c>
      <c r="G2">
        <v>0</v>
      </c>
    </row>
    <row r="3" spans="1:7" x14ac:dyDescent="0.35">
      <c r="A3" t="s">
        <v>155</v>
      </c>
      <c r="B3">
        <v>0.6</v>
      </c>
      <c r="C3">
        <v>1</v>
      </c>
      <c r="D3">
        <v>0.7</v>
      </c>
      <c r="E3">
        <v>0.6</v>
      </c>
      <c r="F3">
        <v>0.3</v>
      </c>
      <c r="G3">
        <v>0.3</v>
      </c>
    </row>
    <row r="4" spans="1:7" x14ac:dyDescent="0.35">
      <c r="A4" t="s">
        <v>156</v>
      </c>
      <c r="B4">
        <v>0.2</v>
      </c>
      <c r="C4">
        <v>0.7</v>
      </c>
      <c r="D4">
        <v>1</v>
      </c>
      <c r="E4">
        <v>0.7</v>
      </c>
      <c r="F4">
        <v>0.7</v>
      </c>
      <c r="G4">
        <v>0.6</v>
      </c>
    </row>
    <row r="5" spans="1:7" x14ac:dyDescent="0.35">
      <c r="A5" t="s">
        <v>157</v>
      </c>
      <c r="B5">
        <v>0.4</v>
      </c>
      <c r="C5">
        <v>0.6</v>
      </c>
      <c r="D5">
        <v>0.7</v>
      </c>
      <c r="E5">
        <v>1</v>
      </c>
      <c r="F5">
        <v>0.5</v>
      </c>
      <c r="G5">
        <v>0.7</v>
      </c>
    </row>
    <row r="6" spans="1:7" x14ac:dyDescent="0.35">
      <c r="A6" t="s">
        <v>103</v>
      </c>
      <c r="B6">
        <v>0</v>
      </c>
      <c r="C6">
        <v>0.3</v>
      </c>
      <c r="D6">
        <v>0.7</v>
      </c>
      <c r="E6">
        <v>0.5</v>
      </c>
      <c r="F6">
        <v>1</v>
      </c>
      <c r="G6">
        <v>0.7</v>
      </c>
    </row>
    <row r="7" spans="1:7" x14ac:dyDescent="0.35">
      <c r="A7" t="s">
        <v>102</v>
      </c>
      <c r="B7">
        <v>0</v>
      </c>
      <c r="C7">
        <v>0.3</v>
      </c>
      <c r="D7">
        <v>0.6</v>
      </c>
      <c r="E7">
        <v>0.7</v>
      </c>
      <c r="F7">
        <v>0.7</v>
      </c>
      <c r="G7">
        <v>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heetViews>
  <sheetFormatPr defaultRowHeight="14.5" x14ac:dyDescent="0.35"/>
  <cols>
    <col min="1" max="1" width="31.453125" bestFit="1" customWidth="1"/>
    <col min="2" max="2" width="29.54296875" bestFit="1" customWidth="1"/>
    <col min="3" max="3" width="31.453125" bestFit="1" customWidth="1"/>
    <col min="4" max="4" width="24.81640625" bestFit="1" customWidth="1"/>
    <col min="5" max="5" width="30.81640625" bestFit="1" customWidth="1"/>
    <col min="6" max="6" width="24.453125" bestFit="1" customWidth="1"/>
    <col min="7" max="7" width="23.26953125" bestFit="1" customWidth="1"/>
  </cols>
  <sheetData>
    <row r="1" spans="1:3" x14ac:dyDescent="0.35">
      <c r="B1" t="s">
        <v>164</v>
      </c>
      <c r="C1" t="s">
        <v>163</v>
      </c>
    </row>
    <row r="2" spans="1:3" x14ac:dyDescent="0.35">
      <c r="A2" t="str" cm="1">
        <f t="array" ref="A2:A3">TRANSPOSE(B1:C1)</f>
        <v>Obligations</v>
      </c>
      <c r="B2">
        <v>1</v>
      </c>
      <c r="C2">
        <v>0</v>
      </c>
    </row>
    <row r="3" spans="1:3" x14ac:dyDescent="0.35">
      <c r="A3" t="str">
        <v>Equities</v>
      </c>
      <c r="B3">
        <v>0</v>
      </c>
      <c r="C3">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2.xml><?xml version="1.0" encoding="utf-8"?>
<ds:datastoreItem xmlns:ds="http://schemas.openxmlformats.org/officeDocument/2006/customXml" ds:itemID="{23860095-5220-4BAC-B5A0-66B15BFDDD10}">
  <ds:schemaRefs>
    <ds:schemaRef ds:uri="http://www.w3.org/2001/XMLSchema"/>
    <ds:schemaRef ds:uri="http://www.boozallen.com/argo/guid"/>
  </ds:schemaRefs>
</ds:datastoreItem>
</file>

<file path=customXml/itemProps3.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4.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Front Page</vt:lpstr>
      <vt:lpstr>Salary Variables</vt:lpstr>
      <vt:lpstr>Income</vt:lpstr>
      <vt:lpstr>Pensions P1 (2)</vt:lpstr>
      <vt:lpstr>Pensions P2</vt:lpstr>
      <vt:lpstr>Net Salary P2</vt:lpstr>
      <vt:lpstr>Pensions P1</vt:lpstr>
      <vt:lpstr>Net Salary P1</vt:lpstr>
      <vt:lpstr>Job Hopping</vt:lpstr>
      <vt:lpstr>Djøf Finance Hoppers</vt:lpstr>
      <vt:lpstr>Djøf Finance Workers</vt:lpstr>
      <vt:lpstr>Loop</vt:lpstr>
      <vt:lpstr>Goals</vt:lpstr>
      <vt:lpstr>Aktiesparekonto Increase</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Justo Ezequiel Retorta</cp:lastModifiedBy>
  <dcterms:created xsi:type="dcterms:W3CDTF">2025-02-13T10:09:46Z</dcterms:created>
  <dcterms:modified xsi:type="dcterms:W3CDTF">2025-05-02T19:35:21Z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