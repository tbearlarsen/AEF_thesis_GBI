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FD88CF08-3949-46DD-ABA6-7D30E0928DD8}" xr6:coauthVersionLast="47" xr6:coauthVersionMax="47" xr10:uidLastSave="{00000000-0000-0000-0000-000000000000}"/>
  <bookViews>
    <workbookView xWindow="-110" yWindow="-110" windowWidth="19420" windowHeight="10300" firstSheet="8" activeTab="11" xr2:uid="{4E182251-F803-4366-87DB-239E9FF40EE2}"/>
  </bookViews>
  <sheets>
    <sheet name="Front Page" sheetId="7" r:id="rId1"/>
    <sheet name="Salary Variables" sheetId="51" r:id="rId2"/>
    <sheet name="Income" sheetId="2" r:id="rId3"/>
    <sheet name="Pensions P2" sheetId="49" r:id="rId4"/>
    <sheet name="Net Salary P2" sheetId="48" r:id="rId5"/>
    <sheet name="Pensions P1" sheetId="46" r:id="rId6"/>
    <sheet name="Net Salary P1" sheetId="47" r:id="rId7"/>
    <sheet name="Job Hopping" sheetId="8" r:id="rId8"/>
    <sheet name="Djøf Finance Hoppers" sheetId="6" r:id="rId9"/>
    <sheet name="Djøf Finance Workers" sheetId="5" r:id="rId10"/>
    <sheet name="Loop" sheetId="45" r:id="rId11"/>
    <sheet name="Goals" sheetId="10" r:id="rId12"/>
    <sheet name="Aktiesparekonto Increase" sheetId="43" r:id="rId13"/>
    <sheet name="Salary" sheetId="30" r:id="rId14"/>
    <sheet name="Wealth" sheetId="33" r:id="rId15"/>
    <sheet name="notes next time talk" sheetId="18" state="hidden" r:id="rId16"/>
    <sheet name="Real Returns" sheetId="44" r:id="rId17"/>
    <sheet name="Returns" sheetId="23" r:id="rId18"/>
    <sheet name="BasisPointCost" sheetId="38" r:id="rId19"/>
    <sheet name="Returns2" sheetId="39" r:id="rId20"/>
    <sheet name="Volatilities" sheetId="20" r:id="rId21"/>
    <sheet name="Volatilities2" sheetId="24" r:id="rId22"/>
    <sheet name="Correlation" sheetId="22" r:id="rId23"/>
    <sheet name="Correlation2" sheetId="25"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0" hidden="1">{#N/A,#N/A,FALSE,"One Pager";#N/A,#N/A,FALSE,"Technical"}</definedName>
    <definedName name="_wrn111" hidden="1">{#N/A,#N/A,FALSE,"One Pager";#N/A,#N/A,FALSE,"Technical"}</definedName>
    <definedName name="_wrn2" localSheetId="10" hidden="1">{#N/A,#N/A,TRUE,"Financials";#N/A,#N/A,TRUE,"Operating Statistics";#N/A,#N/A,TRUE,"Capex &amp; Depreciation";#N/A,#N/A,TRUE,"Debt"}</definedName>
    <definedName name="_wrn2" hidden="1">{#N/A,#N/A,TRUE,"Financials";#N/A,#N/A,TRUE,"Operating Statistics";#N/A,#N/A,TRUE,"Capex &amp; Depreciation";#N/A,#N/A,TRUE,"Debt"}</definedName>
    <definedName name="_wrn3" localSheetId="1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0" hidden="1">{#N/A,#N/A,FALSE,"One Pager";#N/A,#N/A,FALSE,"Technical"}</definedName>
    <definedName name="wrn.One._.Pager._.plus._.Technicals." hidden="1">{#N/A,#N/A,FALSE,"One Pager";#N/A,#N/A,FALSE,"Technical"}</definedName>
    <definedName name="wrn1.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E32" i="47"/>
  <c r="E31" i="47"/>
  <c r="E30" i="47"/>
  <c r="E29" i="47"/>
  <c r="E28" i="47"/>
  <c r="E27" i="47"/>
  <c r="AC25" i="47"/>
  <c r="AB25" i="47"/>
  <c r="AA25" i="47"/>
  <c r="Z25" i="47"/>
  <c r="Y25" i="47"/>
  <c r="X25" i="47"/>
  <c r="W25" i="47"/>
  <c r="V25" i="47"/>
  <c r="U25" i="47"/>
  <c r="T25" i="47"/>
  <c r="S25" i="47"/>
  <c r="R25" i="47"/>
  <c r="Q25" i="47"/>
  <c r="P25" i="47"/>
  <c r="O25" i="47"/>
  <c r="N25" i="47"/>
  <c r="M25" i="47"/>
  <c r="L25" i="47"/>
  <c r="K25" i="47"/>
  <c r="J25" i="47"/>
  <c r="I25" i="47"/>
  <c r="H25" i="47"/>
  <c r="G25" i="47"/>
  <c r="F25" i="47"/>
  <c r="AC26" i="47"/>
  <c r="AB26" i="47"/>
  <c r="AA26" i="47"/>
  <c r="Z26" i="47"/>
  <c r="Y26" i="47"/>
  <c r="X26" i="47"/>
  <c r="W26" i="47"/>
  <c r="V26" i="47"/>
  <c r="U26" i="47"/>
  <c r="T26" i="47"/>
  <c r="S26" i="47"/>
  <c r="R26" i="47"/>
  <c r="Q26" i="47"/>
  <c r="P26" i="47"/>
  <c r="O26" i="47"/>
  <c r="N26" i="47"/>
  <c r="M26" i="47"/>
  <c r="L26" i="47"/>
  <c r="K26" i="47"/>
  <c r="J26" i="47"/>
  <c r="I26" i="47"/>
  <c r="H26" i="47"/>
  <c r="G26" i="47"/>
  <c r="F26" i="47"/>
  <c r="E26" i="47"/>
  <c r="E25" i="47"/>
  <c r="E24" i="47"/>
  <c r="E22" i="47"/>
  <c r="E33" i="48"/>
  <c r="E32" i="48"/>
  <c r="E31" i="48"/>
  <c r="E30" i="48"/>
  <c r="E29" i="48"/>
  <c r="E28" i="48"/>
  <c r="E27" i="48"/>
  <c r="E25" i="48"/>
  <c r="E24" i="48"/>
  <c r="E22" i="48"/>
  <c r="E10" i="48"/>
  <c r="E12" i="48" s="1"/>
  <c r="E13" i="48" s="1"/>
  <c r="E15" i="48" s="1"/>
  <c r="E14" i="48"/>
  <c r="E11" i="48"/>
  <c r="E9" i="48"/>
  <c r="E8" i="48"/>
  <c r="E7" i="48"/>
  <c r="E6" i="48"/>
  <c r="E5" i="48"/>
  <c r="E4" i="48"/>
  <c r="E3" i="48"/>
  <c r="E2" i="48" a="1"/>
  <c r="E2" i="48" s="1"/>
  <c r="AC26" i="48"/>
  <c r="AB26" i="48"/>
  <c r="AA26" i="48"/>
  <c r="Z26" i="48"/>
  <c r="Y26" i="48"/>
  <c r="X26" i="48"/>
  <c r="W26" i="48"/>
  <c r="V26" i="48"/>
  <c r="U26" i="48"/>
  <c r="T26" i="48"/>
  <c r="S26" i="48"/>
  <c r="R26" i="48"/>
  <c r="Q26" i="48"/>
  <c r="P26" i="48"/>
  <c r="O26" i="48"/>
  <c r="N26" i="48"/>
  <c r="M26" i="48"/>
  <c r="L26" i="48"/>
  <c r="K26" i="48"/>
  <c r="J26" i="48"/>
  <c r="I26" i="48"/>
  <c r="H26" i="48"/>
  <c r="G26" i="48"/>
  <c r="F26" i="48"/>
  <c r="AC25" i="48"/>
  <c r="AB25" i="48"/>
  <c r="AA25" i="48"/>
  <c r="Z25" i="48"/>
  <c r="Y25" i="48"/>
  <c r="X25" i="48"/>
  <c r="W25" i="48"/>
  <c r="V25" i="48"/>
  <c r="U25" i="48"/>
  <c r="T25" i="48"/>
  <c r="S25" i="48"/>
  <c r="R25" i="48"/>
  <c r="Q25" i="48"/>
  <c r="P25" i="48"/>
  <c r="O25" i="48"/>
  <c r="N25" i="48"/>
  <c r="M25" i="48"/>
  <c r="L25" i="48"/>
  <c r="K25" i="48"/>
  <c r="J25" i="48"/>
  <c r="I25" i="48"/>
  <c r="H25" i="48"/>
  <c r="G25" i="48"/>
  <c r="F25" i="48"/>
  <c r="F9" i="10" l="1"/>
  <c r="F4" i="10"/>
  <c r="D9" i="10"/>
  <c r="D4" i="10"/>
  <c r="AJ14" i="47"/>
  <c r="A4" i="47" a="1"/>
  <c r="A4" i="47" s="1"/>
  <c r="A4" i="48" a="1"/>
  <c r="A4" i="48" s="1"/>
  <c r="I2" i="2"/>
  <c r="O3" i="2" s="1"/>
  <c r="B25" i="49"/>
  <c r="AT5" i="49"/>
  <c r="AS5" i="49"/>
  <c r="AR5" i="49"/>
  <c r="AQ5" i="49"/>
  <c r="AP5" i="49"/>
  <c r="AO5" i="49"/>
  <c r="AN5" i="49"/>
  <c r="AM5" i="49"/>
  <c r="AL5" i="49"/>
  <c r="AK5" i="49"/>
  <c r="AJ5" i="49"/>
  <c r="AI5" i="49"/>
  <c r="AH5" i="49"/>
  <c r="AG5" i="49"/>
  <c r="AF5" i="49"/>
  <c r="AE5" i="49"/>
  <c r="AD5" i="49"/>
  <c r="AC5" i="49"/>
  <c r="AB5" i="49"/>
  <c r="AA5" i="49"/>
  <c r="Z5" i="49"/>
  <c r="Y5" i="49"/>
  <c r="X5" i="49"/>
  <c r="W5" i="49"/>
  <c r="V5" i="49"/>
  <c r="U5" i="49"/>
  <c r="T5" i="49"/>
  <c r="S5" i="49"/>
  <c r="R5" i="49"/>
  <c r="Q5" i="49"/>
  <c r="P5" i="49"/>
  <c r="O5" i="49"/>
  <c r="N5" i="49"/>
  <c r="M5" i="49"/>
  <c r="L5" i="49"/>
  <c r="K5" i="49"/>
  <c r="J5" i="49"/>
  <c r="I5" i="49"/>
  <c r="H5" i="49"/>
  <c r="G5" i="49"/>
  <c r="F5" i="49"/>
  <c r="E5" i="49"/>
  <c r="D5" i="49"/>
  <c r="C5" i="49"/>
  <c r="B5" i="49"/>
  <c r="AT3" i="49"/>
  <c r="AS3" i="49"/>
  <c r="AS4" i="49" s="1"/>
  <c r="AR3" i="49"/>
  <c r="AQ3" i="49"/>
  <c r="AP3" i="49"/>
  <c r="AO3" i="49"/>
  <c r="AN3" i="49"/>
  <c r="AM3" i="49"/>
  <c r="AL3" i="49"/>
  <c r="AK3" i="49"/>
  <c r="AJ3" i="49"/>
  <c r="AI3" i="49"/>
  <c r="AH3" i="49"/>
  <c r="AG3" i="49"/>
  <c r="AF3" i="49"/>
  <c r="AE3" i="49"/>
  <c r="AD3" i="49"/>
  <c r="AC3" i="49"/>
  <c r="AB3" i="49"/>
  <c r="AA3" i="49"/>
  <c r="Z3" i="49"/>
  <c r="Y3" i="49"/>
  <c r="X3" i="49"/>
  <c r="W3" i="49"/>
  <c r="V3" i="49"/>
  <c r="U3" i="49"/>
  <c r="T3" i="49"/>
  <c r="S3" i="49"/>
  <c r="R3" i="49"/>
  <c r="Q3" i="49"/>
  <c r="P3" i="49"/>
  <c r="O3" i="49"/>
  <c r="N3" i="49"/>
  <c r="M3" i="49"/>
  <c r="L3" i="49"/>
  <c r="K3" i="49"/>
  <c r="J3" i="49"/>
  <c r="I3" i="49"/>
  <c r="H3" i="49"/>
  <c r="G3" i="49"/>
  <c r="F3" i="49"/>
  <c r="E3" i="49"/>
  <c r="D3" i="49"/>
  <c r="C3" i="49"/>
  <c r="B3" i="49"/>
  <c r="B1" i="47"/>
  <c r="B2" i="47"/>
  <c r="AS14" i="47" s="1"/>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M33" i="2"/>
  <c r="D33" i="2" s="1"/>
  <c r="M34" i="2"/>
  <c r="D34" i="2" s="1"/>
  <c r="M35" i="2"/>
  <c r="D35" i="2" s="1"/>
  <c r="M36" i="2"/>
  <c r="D36" i="2" s="1"/>
  <c r="M37" i="2"/>
  <c r="D37" i="2" s="1"/>
  <c r="M38" i="2"/>
  <c r="D38" i="2" s="1"/>
  <c r="M39" i="2"/>
  <c r="D39" i="2" s="1"/>
  <c r="M40" i="2"/>
  <c r="D40" i="2" s="1"/>
  <c r="M41" i="2"/>
  <c r="D41" i="2" s="1"/>
  <c r="M42" i="2"/>
  <c r="D42" i="2" s="1"/>
  <c r="M43" i="2"/>
  <c r="D43" i="2" s="1"/>
  <c r="M44" i="2"/>
  <c r="D44" i="2" s="1"/>
  <c r="M45" i="2"/>
  <c r="D45" i="2" s="1"/>
  <c r="M46" i="2"/>
  <c r="D46" i="2" s="1"/>
  <c r="M47" i="2"/>
  <c r="D47" i="2" s="1"/>
  <c r="M48" i="2"/>
  <c r="D48" i="2" s="1"/>
  <c r="B23" i="49"/>
  <c r="B1" i="48"/>
  <c r="X14" i="48" s="1"/>
  <c r="L48" i="2"/>
  <c r="C48" i="2" s="1"/>
  <c r="B23" i="46"/>
  <c r="R3" i="2"/>
  <c r="L7" i="23"/>
  <c r="L6" i="23"/>
  <c r="L5" i="23"/>
  <c r="L4" i="23"/>
  <c r="L3" i="23"/>
  <c r="L2" i="23"/>
  <c r="E26" i="48" l="1"/>
  <c r="AI14" i="47"/>
  <c r="AT14" i="47"/>
  <c r="AU14" i="47"/>
  <c r="W14" i="47"/>
  <c r="X14" i="47"/>
  <c r="AH14" i="47"/>
  <c r="AV14" i="47"/>
  <c r="J14" i="47"/>
  <c r="M14" i="48"/>
  <c r="K14" i="47"/>
  <c r="Y14" i="48"/>
  <c r="L14" i="47"/>
  <c r="I3" i="2" a="1"/>
  <c r="I3" i="2" s="1"/>
  <c r="V14" i="47"/>
  <c r="Z14" i="48"/>
  <c r="M14" i="47"/>
  <c r="Y14" i="47"/>
  <c r="AK14" i="47"/>
  <c r="AW14" i="47"/>
  <c r="P14" i="48"/>
  <c r="AB14" i="48"/>
  <c r="N3" i="2"/>
  <c r="N14" i="47"/>
  <c r="Z14" i="47"/>
  <c r="AL14" i="47"/>
  <c r="Q14" i="48"/>
  <c r="AC14" i="48"/>
  <c r="O14" i="47"/>
  <c r="AA14" i="47"/>
  <c r="AM14" i="47"/>
  <c r="F14" i="48"/>
  <c r="R14" i="48"/>
  <c r="AD14" i="48"/>
  <c r="P14" i="47"/>
  <c r="AB14" i="47"/>
  <c r="AN14" i="47"/>
  <c r="G14" i="48"/>
  <c r="S14" i="48"/>
  <c r="AE14" i="48"/>
  <c r="E14" i="47"/>
  <c r="Q14" i="47"/>
  <c r="AC14" i="47"/>
  <c r="AO14" i="47"/>
  <c r="H14" i="48"/>
  <c r="T14" i="48"/>
  <c r="AF14" i="48"/>
  <c r="AA14" i="48"/>
  <c r="F14" i="47"/>
  <c r="R14" i="47"/>
  <c r="AD14" i="47"/>
  <c r="AP14" i="47"/>
  <c r="I14" i="48"/>
  <c r="U14" i="48"/>
  <c r="AG14" i="48"/>
  <c r="N14" i="48"/>
  <c r="G14" i="47"/>
  <c r="S14" i="47"/>
  <c r="AE14" i="47"/>
  <c r="AQ14" i="47"/>
  <c r="J14" i="48"/>
  <c r="V14" i="48"/>
  <c r="AH14" i="48"/>
  <c r="H14" i="47"/>
  <c r="T14" i="47"/>
  <c r="AF14" i="47"/>
  <c r="AR14" i="47"/>
  <c r="K14" i="48"/>
  <c r="W14" i="48"/>
  <c r="O14" i="48"/>
  <c r="I14" i="47"/>
  <c r="U14" i="47"/>
  <c r="AG14" i="47"/>
  <c r="L14" i="48"/>
  <c r="Z7" i="47"/>
  <c r="AA7" i="47"/>
  <c r="AL7" i="47"/>
  <c r="AM7" i="47"/>
  <c r="E7" i="47"/>
  <c r="N7" i="47"/>
  <c r="O7" i="47"/>
  <c r="M7" i="47"/>
  <c r="Y7" i="47"/>
  <c r="AK7" i="47"/>
  <c r="AW7" i="47"/>
  <c r="I7" i="48"/>
  <c r="U7" i="48"/>
  <c r="AG7" i="48"/>
  <c r="J7" i="48"/>
  <c r="V7" i="48"/>
  <c r="AH7" i="48"/>
  <c r="K7" i="48"/>
  <c r="W7" i="48"/>
  <c r="P7" i="47"/>
  <c r="AB7" i="47"/>
  <c r="AN7" i="47"/>
  <c r="L7" i="48"/>
  <c r="X7" i="48"/>
  <c r="Q7" i="47"/>
  <c r="AC7" i="47"/>
  <c r="AO7" i="47"/>
  <c r="M7" i="48"/>
  <c r="Y7" i="48"/>
  <c r="F7" i="47"/>
  <c r="R7" i="47"/>
  <c r="AD7" i="47"/>
  <c r="AP7" i="47"/>
  <c r="N7" i="48"/>
  <c r="Z7" i="48"/>
  <c r="G7" i="47"/>
  <c r="S7" i="47"/>
  <c r="AE7" i="47"/>
  <c r="AQ7" i="47"/>
  <c r="O7" i="48"/>
  <c r="AA7" i="48"/>
  <c r="H7" i="47"/>
  <c r="T7" i="47"/>
  <c r="AF7" i="47"/>
  <c r="AR7" i="47"/>
  <c r="P7" i="48"/>
  <c r="AB7" i="48"/>
  <c r="I7" i="47"/>
  <c r="U7" i="47"/>
  <c r="AG7" i="47"/>
  <c r="AS7" i="47"/>
  <c r="Q7" i="48"/>
  <c r="AC7" i="48"/>
  <c r="J7" i="47"/>
  <c r="V7" i="47"/>
  <c r="AH7" i="47"/>
  <c r="AT7" i="47"/>
  <c r="F7" i="48"/>
  <c r="R7" i="48"/>
  <c r="AD7" i="48"/>
  <c r="K7" i="47"/>
  <c r="W7" i="47"/>
  <c r="AI7" i="47"/>
  <c r="AU7" i="47"/>
  <c r="G7" i="48"/>
  <c r="S7" i="48"/>
  <c r="AE7" i="48"/>
  <c r="L7" i="47"/>
  <c r="X7" i="47"/>
  <c r="AJ7" i="47"/>
  <c r="AV7" i="47"/>
  <c r="H7" i="48"/>
  <c r="T7" i="48"/>
  <c r="AF7" i="48"/>
  <c r="AS6" i="49"/>
  <c r="AT4" i="49"/>
  <c r="AH4" i="49"/>
  <c r="AK4" i="49"/>
  <c r="AL4" i="49"/>
  <c r="AM4" i="49"/>
  <c r="AN4" i="49"/>
  <c r="AJ4" i="49"/>
  <c r="AP4" i="49"/>
  <c r="AQ4" i="49"/>
  <c r="AI4" i="49"/>
  <c r="AO4" i="49"/>
  <c r="AF4" i="49"/>
  <c r="AR4" i="49"/>
  <c r="AG4" i="49"/>
  <c r="E4" i="45"/>
  <c r="D4" i="45"/>
  <c r="AS7" i="49" l="1"/>
  <c r="AS8" i="49" s="1"/>
  <c r="B17" i="46"/>
  <c r="B18" i="46" s="1"/>
  <c r="AL6" i="49"/>
  <c r="AF6" i="49"/>
  <c r="AF7" i="49" s="1"/>
  <c r="AF8" i="49" s="1"/>
  <c r="AM6" i="49"/>
  <c r="AH6" i="49"/>
  <c r="AG6" i="49"/>
  <c r="AT6" i="49"/>
  <c r="AN6" i="49"/>
  <c r="AK6" i="49"/>
  <c r="AR6" i="49"/>
  <c r="AO6" i="49"/>
  <c r="AQ6" i="49"/>
  <c r="AP6" i="49"/>
  <c r="AP7" i="49" s="1"/>
  <c r="AP8" i="49" s="1"/>
  <c r="AI6" i="49"/>
  <c r="AJ6" i="49"/>
  <c r="E5" i="45"/>
  <c r="D5" i="45"/>
  <c r="R4" i="2"/>
  <c r="P4" i="2"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3" i="8"/>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N4" i="2" l="1"/>
  <c r="S30" i="47"/>
  <c r="U30" i="47"/>
  <c r="AC30" i="47"/>
  <c r="V30" i="47"/>
  <c r="B19" i="46"/>
  <c r="AN7" i="49"/>
  <c r="AN8" i="49" s="1"/>
  <c r="AT7" i="49"/>
  <c r="AT8" i="49" s="1"/>
  <c r="AG7" i="49"/>
  <c r="AG8" i="49" s="1"/>
  <c r="AH7" i="49"/>
  <c r="AH8" i="49" s="1"/>
  <c r="AJ7" i="49"/>
  <c r="AJ8" i="49" s="1"/>
  <c r="AM7" i="49"/>
  <c r="AM8" i="49" s="1"/>
  <c r="AI7" i="49"/>
  <c r="AI8" i="49" s="1"/>
  <c r="AK7" i="49"/>
  <c r="AK8" i="49" s="1"/>
  <c r="AL7" i="49"/>
  <c r="AL8" i="49" s="1"/>
  <c r="AQ7" i="49"/>
  <c r="AQ8" i="49" s="1"/>
  <c r="AA30" i="47"/>
  <c r="AO7" i="49"/>
  <c r="AO8" i="49" s="1"/>
  <c r="M30" i="47"/>
  <c r="AR7" i="49"/>
  <c r="AR8" i="49" s="1"/>
  <c r="G30" i="47"/>
  <c r="O30" i="47"/>
  <c r="W30" i="47"/>
  <c r="N30" i="47"/>
  <c r="H30" i="47"/>
  <c r="Y30" i="47"/>
  <c r="F30" i="47"/>
  <c r="J30" i="47"/>
  <c r="Z30" i="47"/>
  <c r="R30" i="47"/>
  <c r="K30" i="47"/>
  <c r="F7" i="43"/>
  <c r="P30" i="47"/>
  <c r="L30" i="47"/>
  <c r="X30" i="47"/>
  <c r="T30" i="47"/>
  <c r="I30" i="47"/>
  <c r="AB30" i="47"/>
  <c r="Q30" i="47"/>
  <c r="C4" i="43"/>
  <c r="E7" i="43" s="1"/>
  <c r="D6" i="45"/>
  <c r="R5" i="2"/>
  <c r="P5" i="2" s="1"/>
  <c r="E6" i="45"/>
  <c r="S5" i="2"/>
  <c r="Q5" i="2" s="1"/>
  <c r="O4" i="2"/>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Q57" i="8" s="1"/>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Q23" i="8" s="1"/>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27" i="8"/>
  <c r="Q8" i="8"/>
  <c r="Q7" i="8" l="1"/>
  <c r="Q78" i="8"/>
  <c r="Q30" i="8"/>
  <c r="Q31" i="8"/>
  <c r="Q95" i="8"/>
  <c r="Q43" i="8"/>
  <c r="Q50" i="8"/>
  <c r="Q63" i="8"/>
  <c r="Q15" i="8"/>
  <c r="Q26" i="8"/>
  <c r="Q73" i="8"/>
  <c r="Q60" i="8"/>
  <c r="Q80" i="8"/>
  <c r="Q12" i="8"/>
  <c r="Q100" i="8"/>
  <c r="Q54" i="8"/>
  <c r="Q81" i="8"/>
  <c r="Q4" i="8"/>
  <c r="T4" i="8" s="1"/>
  <c r="Q41" i="8"/>
  <c r="T5" i="8" s="1"/>
  <c r="Q75" i="8"/>
  <c r="Q18" i="8"/>
  <c r="Q46" i="8"/>
  <c r="Q37" i="8"/>
  <c r="Q52" i="8"/>
  <c r="Q45" i="8"/>
  <c r="Q33" i="8"/>
  <c r="Q89" i="8"/>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Q53" i="8"/>
  <c r="T8" i="8" s="1"/>
  <c r="Q90" i="8"/>
  <c r="Q93" i="8"/>
  <c r="Q99" i="8"/>
  <c r="Q55" i="8"/>
  <c r="Q14" i="8"/>
  <c r="Q64" i="8"/>
  <c r="Q94" i="8"/>
  <c r="Q44" i="8"/>
  <c r="Q98" i="8"/>
  <c r="Q48" i="8"/>
  <c r="Q40" i="8"/>
  <c r="Q68" i="8"/>
  <c r="Q61" i="8"/>
  <c r="T7" i="8" s="1"/>
  <c r="Q28" i="8"/>
  <c r="Q22" i="8"/>
  <c r="Q9" i="8"/>
  <c r="Q59" i="8"/>
  <c r="Q21" i="8"/>
  <c r="Q97" i="8"/>
  <c r="Q91" i="8"/>
  <c r="Q85" i="8"/>
  <c r="Q17" i="8"/>
  <c r="Q76" i="8"/>
  <c r="Q51" i="8"/>
  <c r="Q24" i="8"/>
  <c r="T6" i="8" s="1"/>
  <c r="Q101" i="8"/>
  <c r="T3" i="8"/>
  <c r="D3" i="8" s="1"/>
  <c r="Q49" i="8"/>
  <c r="Q25" i="8"/>
  <c r="T10" i="8"/>
  <c r="T11" i="8"/>
  <c r="T9" i="8" l="1"/>
  <c r="D37" i="8" s="1"/>
  <c r="N6" i="2"/>
  <c r="E8" i="45"/>
  <c r="S7" i="2"/>
  <c r="Q7" i="2" s="1"/>
  <c r="D8" i="45"/>
  <c r="R7" i="2"/>
  <c r="P7" i="2" s="1"/>
  <c r="O6" i="2"/>
  <c r="O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9" i="45" l="1"/>
  <c r="R8" i="2"/>
  <c r="P8" i="2" s="1"/>
  <c r="E9" i="45"/>
  <c r="S8" i="2"/>
  <c r="Q8" i="2" s="1"/>
  <c r="N7" i="2"/>
  <c r="N8" i="2" s="1"/>
  <c r="E5" i="8"/>
  <c r="E10" i="45" l="1"/>
  <c r="S9" i="2"/>
  <c r="Q9" i="2" s="1"/>
  <c r="D10" i="45"/>
  <c r="R9" i="2"/>
  <c r="P9" i="2" s="1"/>
  <c r="O8" i="2"/>
  <c r="E6" i="8"/>
  <c r="E7" i="8" s="1"/>
  <c r="D11" i="45" l="1"/>
  <c r="R10" i="2"/>
  <c r="P10" i="2" s="1"/>
  <c r="E11" i="45"/>
  <c r="S10" i="2"/>
  <c r="Q10" i="2" s="1"/>
  <c r="N9" i="2"/>
  <c r="O9" i="2"/>
  <c r="E8" i="8"/>
  <c r="E9" i="8" s="1"/>
  <c r="O10" i="2" l="1"/>
  <c r="N10" i="2"/>
  <c r="E12" i="45"/>
  <c r="S11" i="2"/>
  <c r="Q11" i="2" s="1"/>
  <c r="D12" i="45"/>
  <c r="R11" i="2"/>
  <c r="P11" i="2" s="1"/>
  <c r="E10" i="8"/>
  <c r="E11" i="8" s="1"/>
  <c r="D13" i="45" l="1"/>
  <c r="R12" i="2"/>
  <c r="P12" i="2" s="1"/>
  <c r="O11" i="2"/>
  <c r="E13" i="45"/>
  <c r="S12" i="2"/>
  <c r="Q12" i="2" s="1"/>
  <c r="N11" i="2"/>
  <c r="E12" i="8"/>
  <c r="N12" i="2" l="1"/>
  <c r="E14" i="45"/>
  <c r="S13" i="2"/>
  <c r="Q13" i="2" s="1"/>
  <c r="D14" i="45"/>
  <c r="R13" i="2"/>
  <c r="P13" i="2" s="1"/>
  <c r="O12" i="2"/>
  <c r="E13" i="8"/>
  <c r="O13" i="2" l="1"/>
  <c r="E15" i="45"/>
  <c r="S14" i="2"/>
  <c r="Q14" i="2" s="1"/>
  <c r="N13" i="2"/>
  <c r="D15" i="45"/>
  <c r="R14" i="2"/>
  <c r="P14" i="2" s="1"/>
  <c r="E14" i="8"/>
  <c r="O14" i="2" l="1"/>
  <c r="E16" i="45"/>
  <c r="S15" i="2"/>
  <c r="Q15" i="2" s="1"/>
  <c r="D16" i="45"/>
  <c r="R15" i="2"/>
  <c r="P15" i="2" s="1"/>
  <c r="N14" i="2"/>
  <c r="N15" i="2" s="1"/>
  <c r="E15" i="8"/>
  <c r="E16" i="8" s="1"/>
  <c r="O15" i="2" l="1"/>
  <c r="D17" i="45"/>
  <c r="R16" i="2"/>
  <c r="P16" i="2" s="1"/>
  <c r="E17" i="45"/>
  <c r="S16" i="2"/>
  <c r="Q16" i="2" s="1"/>
  <c r="E17" i="8"/>
  <c r="E18" i="8" s="1"/>
  <c r="D18" i="45" l="1"/>
  <c r="R17" i="2"/>
  <c r="P17" i="2" s="1"/>
  <c r="O16" i="2"/>
  <c r="E18" i="45"/>
  <c r="S17" i="2"/>
  <c r="Q17" i="2" s="1"/>
  <c r="N16" i="2"/>
  <c r="E19" i="8"/>
  <c r="E19" i="45" l="1"/>
  <c r="S18" i="2"/>
  <c r="Q18" i="2" s="1"/>
  <c r="O17" i="2"/>
  <c r="D19" i="45"/>
  <c r="R18" i="2"/>
  <c r="P18" i="2" s="1"/>
  <c r="N17" i="2"/>
  <c r="N18" i="2" s="1"/>
  <c r="E20" i="8"/>
  <c r="D20" i="45" l="1"/>
  <c r="R19" i="2"/>
  <c r="P19" i="2" s="1"/>
  <c r="O18" i="2"/>
  <c r="E20" i="45"/>
  <c r="S19" i="2"/>
  <c r="Q19" i="2" s="1"/>
  <c r="E21" i="8"/>
  <c r="O19" i="2" l="1"/>
  <c r="E21" i="45"/>
  <c r="S20" i="2"/>
  <c r="Q20" i="2" s="1"/>
  <c r="D21" i="45"/>
  <c r="R20" i="2"/>
  <c r="P20" i="2" s="1"/>
  <c r="N19" i="2"/>
  <c r="N20" i="2" s="1"/>
  <c r="E22" i="8"/>
  <c r="E23" i="8" s="1"/>
  <c r="O20" i="2" l="1"/>
  <c r="D22" i="45"/>
  <c r="R21" i="2"/>
  <c r="P21" i="2" s="1"/>
  <c r="E22" i="45"/>
  <c r="S21" i="2"/>
  <c r="Q21" i="2" s="1"/>
  <c r="E24" i="8"/>
  <c r="E25" i="8" s="1"/>
  <c r="N21" i="2" l="1"/>
  <c r="E23" i="45"/>
  <c r="S22" i="2"/>
  <c r="Q22" i="2" s="1"/>
  <c r="O21" i="2"/>
  <c r="D23" i="45"/>
  <c r="R22" i="2"/>
  <c r="P22" i="2" s="1"/>
  <c r="E26" i="8"/>
  <c r="O22" i="2" l="1"/>
  <c r="N22" i="2"/>
  <c r="D24" i="45"/>
  <c r="R23" i="2"/>
  <c r="P23" i="2" s="1"/>
  <c r="E24" i="45"/>
  <c r="S23" i="2"/>
  <c r="E27" i="8"/>
  <c r="E28" i="8" s="1"/>
  <c r="O23" i="2" l="1"/>
  <c r="D25" i="45"/>
  <c r="R24" i="2"/>
  <c r="P24" i="2" s="1"/>
  <c r="N23" i="2"/>
  <c r="Q23" i="2"/>
  <c r="E25" i="45"/>
  <c r="S24" i="2"/>
  <c r="O24" i="2" s="1"/>
  <c r="E29" i="8"/>
  <c r="E30" i="8" s="1"/>
  <c r="N24" i="2" l="1"/>
  <c r="Q24" i="2"/>
  <c r="D26" i="45"/>
  <c r="R25" i="2"/>
  <c r="P25" i="2" s="1"/>
  <c r="E26" i="45"/>
  <c r="S25" i="2"/>
  <c r="O25" i="2" s="1"/>
  <c r="E31" i="8"/>
  <c r="E32" i="8" s="1"/>
  <c r="E33" i="8" s="1"/>
  <c r="D27" i="45" l="1"/>
  <c r="R26" i="2"/>
  <c r="P26" i="2" s="1"/>
  <c r="N25" i="2"/>
  <c r="E27" i="45"/>
  <c r="S26" i="2"/>
  <c r="O26" i="2" s="1"/>
  <c r="Q25" i="2"/>
  <c r="E34" i="8"/>
  <c r="E35" i="8" s="1"/>
  <c r="Q26" i="2" l="1"/>
  <c r="N26" i="2"/>
  <c r="E28" i="45"/>
  <c r="S27" i="2"/>
  <c r="O27" i="2" s="1"/>
  <c r="D28" i="45"/>
  <c r="R27" i="2"/>
  <c r="P27" i="2" s="1"/>
  <c r="E36" i="8"/>
  <c r="E29" i="45" l="1"/>
  <c r="S28" i="2"/>
  <c r="O28" i="2" s="1"/>
  <c r="N27" i="2"/>
  <c r="D29" i="45"/>
  <c r="R28" i="2"/>
  <c r="P28" i="2" s="1"/>
  <c r="Q27" i="2"/>
  <c r="E37" i="8"/>
  <c r="Q28" i="2" l="1"/>
  <c r="N28" i="2"/>
  <c r="D30" i="45"/>
  <c r="R29" i="2"/>
  <c r="P29" i="2" s="1"/>
  <c r="E30" i="45"/>
  <c r="S29" i="2"/>
  <c r="Q29" i="2" s="1"/>
  <c r="E38" i="8"/>
  <c r="N29" i="2" l="1"/>
  <c r="E31" i="45"/>
  <c r="S30" i="2"/>
  <c r="Q30" i="2" s="1"/>
  <c r="D31" i="45"/>
  <c r="R30" i="2"/>
  <c r="P30" i="2" s="1"/>
  <c r="O29" i="2"/>
  <c r="E39" i="8"/>
  <c r="O30" i="2" l="1"/>
  <c r="D32" i="45"/>
  <c r="R31" i="2"/>
  <c r="P31" i="2" s="1"/>
  <c r="E32" i="45"/>
  <c r="S31" i="2"/>
  <c r="Q31" i="2" s="1"/>
  <c r="N30" i="2"/>
  <c r="N31" i="2" s="1"/>
  <c r="E40" i="8"/>
  <c r="O31" i="2" l="1"/>
  <c r="D33" i="45"/>
  <c r="R32" i="2"/>
  <c r="P32" i="2" s="1"/>
  <c r="E33" i="45"/>
  <c r="S32" i="2"/>
  <c r="Q32" i="2" s="1"/>
  <c r="E41" i="8"/>
  <c r="E34" i="45" l="1"/>
  <c r="Q33" i="2"/>
  <c r="O33" i="2"/>
  <c r="S33" i="2"/>
  <c r="D34" i="45"/>
  <c r="R33" i="2"/>
  <c r="P33" i="2" s="1"/>
  <c r="N32" i="2"/>
  <c r="O32" i="2"/>
  <c r="E42" i="8"/>
  <c r="N33" i="2" l="1"/>
  <c r="AE3" i="48"/>
  <c r="B2" i="49" a="1"/>
  <c r="D35" i="45"/>
  <c r="R34" i="2"/>
  <c r="P34" i="2" s="1"/>
  <c r="E35" i="45"/>
  <c r="O34" i="2"/>
  <c r="Q34" i="2"/>
  <c r="S34" i="2"/>
  <c r="E43" i="8"/>
  <c r="M3" i="48" l="1"/>
  <c r="S3" i="48"/>
  <c r="K3" i="48"/>
  <c r="AF3" i="48"/>
  <c r="AD3" i="48"/>
  <c r="H3" i="48"/>
  <c r="Z3" i="48"/>
  <c r="L3" i="48"/>
  <c r="N3" i="48"/>
  <c r="R3" i="48"/>
  <c r="O3" i="48"/>
  <c r="P3" i="48"/>
  <c r="U3" i="48"/>
  <c r="AA3" i="48"/>
  <c r="V3" i="48"/>
  <c r="W3" i="48"/>
  <c r="AB3" i="48"/>
  <c r="AG3" i="48"/>
  <c r="Y3" i="48"/>
  <c r="T3" i="48"/>
  <c r="AH3" i="48"/>
  <c r="Q3" i="48"/>
  <c r="I3" i="48"/>
  <c r="X3" i="48"/>
  <c r="AC3" i="48"/>
  <c r="J3" i="48"/>
  <c r="F3" i="48"/>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J4" i="48" l="1"/>
  <c r="G6" i="49"/>
  <c r="Z4" i="48"/>
  <c r="W6" i="49"/>
  <c r="AC4" i="48"/>
  <c r="Z6" i="49"/>
  <c r="W4" i="48"/>
  <c r="T6" i="49"/>
  <c r="T4" i="48"/>
  <c r="Q6" i="49"/>
  <c r="L4" i="48"/>
  <c r="I6" i="49"/>
  <c r="S4" i="48"/>
  <c r="P6" i="49"/>
  <c r="Y4" i="48"/>
  <c r="V6" i="49"/>
  <c r="M4" i="48"/>
  <c r="J6" i="49"/>
  <c r="AD4" i="48"/>
  <c r="AA6" i="49"/>
  <c r="R4" i="48"/>
  <c r="O6" i="49"/>
  <c r="I4" i="48"/>
  <c r="F6" i="49"/>
  <c r="Q4" i="48"/>
  <c r="N6" i="49"/>
  <c r="AH4" i="48"/>
  <c r="AE6" i="49"/>
  <c r="P4" i="48"/>
  <c r="M6" i="49"/>
  <c r="AF4" i="48"/>
  <c r="AC6" i="49"/>
  <c r="H4" i="48"/>
  <c r="E6" i="49"/>
  <c r="K4" i="48"/>
  <c r="H6" i="49"/>
  <c r="AG4" i="48"/>
  <c r="AD6" i="49"/>
  <c r="AE4" i="48"/>
  <c r="AB6" i="49"/>
  <c r="AA4" i="48"/>
  <c r="X6" i="49"/>
  <c r="G4" i="48"/>
  <c r="D6" i="49"/>
  <c r="N4" i="48"/>
  <c r="K6" i="49"/>
  <c r="AB4" i="48"/>
  <c r="Y6" i="49"/>
  <c r="O4" i="48"/>
  <c r="L6" i="49"/>
  <c r="F4" i="48"/>
  <c r="C6" i="49"/>
  <c r="V4" i="48"/>
  <c r="S6" i="49"/>
  <c r="X4" i="48"/>
  <c r="U6" i="49"/>
  <c r="U4" i="48"/>
  <c r="R6" i="49"/>
  <c r="B6" i="49"/>
  <c r="B4" i="49"/>
  <c r="E37" i="45"/>
  <c r="Q36" i="2"/>
  <c r="O36" i="2"/>
  <c r="S36" i="2"/>
  <c r="N35" i="2"/>
  <c r="D37" i="45"/>
  <c r="R36" i="2"/>
  <c r="P36" i="2" s="1"/>
  <c r="E45" i="8"/>
  <c r="B7" i="49" l="1"/>
  <c r="H7" i="49"/>
  <c r="H8" i="49" s="1"/>
  <c r="Y7" i="49"/>
  <c r="Y8" i="49" s="1"/>
  <c r="AC7" i="49"/>
  <c r="AC8" i="49" s="1"/>
  <c r="U7" i="49"/>
  <c r="U8" i="49" s="1"/>
  <c r="F7" i="49"/>
  <c r="F8" i="49" s="1"/>
  <c r="T7" i="49"/>
  <c r="T8" i="49" s="1"/>
  <c r="D7" i="49"/>
  <c r="D8" i="49" s="1"/>
  <c r="S7" i="49"/>
  <c r="S8" i="49" s="1"/>
  <c r="X7" i="49"/>
  <c r="X8" i="49" s="1"/>
  <c r="Z7" i="49"/>
  <c r="Z8" i="49" s="1"/>
  <c r="AB7" i="49"/>
  <c r="AB8" i="49" s="1"/>
  <c r="AE7" i="49"/>
  <c r="AE8" i="49" s="1"/>
  <c r="V7" i="49"/>
  <c r="V8" i="49" s="1"/>
  <c r="W7" i="49"/>
  <c r="W8" i="49" s="1"/>
  <c r="O7" i="49"/>
  <c r="O8" i="49" s="1"/>
  <c r="J7" i="49"/>
  <c r="J8" i="49" s="1"/>
  <c r="C7" i="49"/>
  <c r="C8" i="49" s="1"/>
  <c r="I7" i="49"/>
  <c r="I8" i="49" s="1"/>
  <c r="R7" i="49"/>
  <c r="R8" i="49" s="1"/>
  <c r="K7" i="49"/>
  <c r="K8" i="49" s="1"/>
  <c r="E7" i="49"/>
  <c r="E8" i="49" s="1"/>
  <c r="Q7" i="49"/>
  <c r="Q8" i="49" s="1"/>
  <c r="AA7" i="49"/>
  <c r="AA8" i="49" s="1"/>
  <c r="M7" i="49"/>
  <c r="M8" i="49" s="1"/>
  <c r="L7" i="49"/>
  <c r="L8" i="49" s="1"/>
  <c r="AD7" i="49"/>
  <c r="AD8" i="49" s="1"/>
  <c r="N7" i="49"/>
  <c r="N8" i="49" s="1"/>
  <c r="P7" i="49"/>
  <c r="P8" i="49" s="1"/>
  <c r="G7" i="49"/>
  <c r="G8" i="49" s="1"/>
  <c r="N36" i="2"/>
  <c r="B8" i="49"/>
  <c r="E38" i="45"/>
  <c r="O37" i="2"/>
  <c r="Q37" i="2"/>
  <c r="S37" i="2"/>
  <c r="D38" i="45"/>
  <c r="R37" i="2"/>
  <c r="P37" i="2" s="1"/>
  <c r="E46" i="8"/>
  <c r="E47" i="8" s="1"/>
  <c r="B12" i="49" l="1"/>
  <c r="B13" i="49" s="1"/>
  <c r="B14" i="49" s="1"/>
  <c r="AB22" i="48" s="1"/>
  <c r="AB24" i="48" s="1"/>
  <c r="G22" i="48"/>
  <c r="G24" i="48" s="1"/>
  <c r="AC22" i="48"/>
  <c r="AC24" i="48" s="1"/>
  <c r="Y22" i="48"/>
  <c r="Y24" i="48" s="1"/>
  <c r="M22" i="48"/>
  <c r="M24" i="48" s="1"/>
  <c r="X22" i="48"/>
  <c r="X24" i="48" s="1"/>
  <c r="L22" i="48"/>
  <c r="L24" i="48" s="1"/>
  <c r="K22" i="48"/>
  <c r="K24" i="48" s="1"/>
  <c r="T22" i="48"/>
  <c r="T24" i="48" s="1"/>
  <c r="V22" i="48"/>
  <c r="V24" i="48" s="1"/>
  <c r="J22" i="48"/>
  <c r="J24" i="48" s="1"/>
  <c r="I22" i="48"/>
  <c r="I24" i="48" s="1"/>
  <c r="U22" i="48"/>
  <c r="U24" i="48" s="1"/>
  <c r="S22" i="48"/>
  <c r="S24" i="48" s="1"/>
  <c r="R22" i="48"/>
  <c r="R24" i="48" s="1"/>
  <c r="D39" i="45"/>
  <c r="R38" i="2"/>
  <c r="P38" i="2" s="1"/>
  <c r="E39" i="45"/>
  <c r="Q38" i="2"/>
  <c r="O38" i="2"/>
  <c r="S38" i="2"/>
  <c r="N37" i="2"/>
  <c r="N22" i="48" l="1"/>
  <c r="N24" i="48" s="1"/>
  <c r="Z22" i="48"/>
  <c r="Z24" i="48" s="1"/>
  <c r="Q22" i="48"/>
  <c r="Q24" i="48" s="1"/>
  <c r="Q27" i="48" s="1"/>
  <c r="F22" i="48"/>
  <c r="F24" i="48" s="1"/>
  <c r="H22" i="48"/>
  <c r="H24" i="48" s="1"/>
  <c r="W22" i="48"/>
  <c r="W24" i="48" s="1"/>
  <c r="N38" i="2"/>
  <c r="O22" i="48"/>
  <c r="O24" i="48" s="1"/>
  <c r="AA22" i="48"/>
  <c r="AA24" i="48" s="1"/>
  <c r="P22" i="48"/>
  <c r="P24" i="48" s="1"/>
  <c r="G27" i="48"/>
  <c r="J27" i="48"/>
  <c r="U27" i="48"/>
  <c r="I27" i="48"/>
  <c r="S27" i="48"/>
  <c r="N27" i="48"/>
  <c r="Z27" i="48"/>
  <c r="V27" i="48"/>
  <c r="K27" i="48"/>
  <c r="L27" i="48"/>
  <c r="T27" i="48"/>
  <c r="X27" i="48"/>
  <c r="M27" i="48"/>
  <c r="Y27" i="48"/>
  <c r="R27" i="48"/>
  <c r="AC27" i="48"/>
  <c r="AB27" i="48"/>
  <c r="E40" i="45"/>
  <c r="O39" i="2"/>
  <c r="Q39" i="2"/>
  <c r="S39" i="2"/>
  <c r="D40" i="45"/>
  <c r="R39" i="2"/>
  <c r="P39" i="2" s="1"/>
  <c r="F27" i="48" l="1"/>
  <c r="H27" i="48"/>
  <c r="O27" i="48"/>
  <c r="O28" i="48"/>
  <c r="O29" i="48" s="1"/>
  <c r="W27" i="48"/>
  <c r="AA27" i="48"/>
  <c r="AA28" i="48"/>
  <c r="AA29" i="48" s="1"/>
  <c r="P27" i="48"/>
  <c r="L28" i="48"/>
  <c r="L29" i="48" s="1"/>
  <c r="P28" i="48"/>
  <c r="P29" i="48" s="1"/>
  <c r="X28" i="48"/>
  <c r="X29" i="48" s="1"/>
  <c r="N28" i="48"/>
  <c r="N29" i="48" s="1"/>
  <c r="I28" i="48"/>
  <c r="I29" i="48" s="1"/>
  <c r="G28" i="48"/>
  <c r="G29" i="48" s="1"/>
  <c r="K28" i="48"/>
  <c r="K29" i="48" s="1"/>
  <c r="F28" i="48"/>
  <c r="F29" i="48" s="1"/>
  <c r="H28" i="48"/>
  <c r="H29" i="48" s="1"/>
  <c r="T28" i="48"/>
  <c r="T29" i="48" s="1"/>
  <c r="AC28" i="48"/>
  <c r="AC29" i="48" s="1"/>
  <c r="AB28" i="48"/>
  <c r="AB29" i="48" s="1"/>
  <c r="V28" i="48"/>
  <c r="V29" i="48" s="1"/>
  <c r="J28" i="48"/>
  <c r="J29" i="48" s="1"/>
  <c r="M28" i="48"/>
  <c r="M29" i="48" s="1"/>
  <c r="U28" i="48"/>
  <c r="U29" i="48" s="1"/>
  <c r="S28" i="48"/>
  <c r="S29" i="48" s="1"/>
  <c r="R28" i="48"/>
  <c r="R29" i="48" s="1"/>
  <c r="Z28" i="48"/>
  <c r="Z29" i="48" s="1"/>
  <c r="Q28" i="48"/>
  <c r="Q29" i="48" s="1"/>
  <c r="Y28" i="48"/>
  <c r="Y29" i="48" s="1"/>
  <c r="D41" i="45"/>
  <c r="R40" i="2"/>
  <c r="P40" i="2" s="1"/>
  <c r="E41" i="45"/>
  <c r="O40" i="2"/>
  <c r="Q40" i="2"/>
  <c r="S40" i="2"/>
  <c r="N39" i="2"/>
  <c r="N40" i="2" l="1"/>
  <c r="W28" i="48"/>
  <c r="W29" i="48" s="1"/>
  <c r="E42" i="45"/>
  <c r="Q41" i="2"/>
  <c r="O41" i="2"/>
  <c r="S41" i="2"/>
  <c r="D42" i="45"/>
  <c r="R41" i="2"/>
  <c r="P41" i="2" s="1"/>
  <c r="D43" i="45" l="1"/>
  <c r="R42" i="2"/>
  <c r="P42" i="2" s="1"/>
  <c r="N41" i="2"/>
  <c r="E43" i="45"/>
  <c r="Q42" i="2"/>
  <c r="O42" i="2"/>
  <c r="S42" i="2"/>
  <c r="E44" i="45" l="1"/>
  <c r="Q43" i="2"/>
  <c r="O43" i="2"/>
  <c r="S43" i="2"/>
  <c r="N42" i="2"/>
  <c r="D44" i="45"/>
  <c r="R43" i="2"/>
  <c r="P43" i="2" s="1"/>
  <c r="N43" i="2" l="1"/>
  <c r="D45" i="45"/>
  <c r="R44" i="2"/>
  <c r="P44" i="2" s="1"/>
  <c r="E45" i="45"/>
  <c r="Q44" i="2"/>
  <c r="O44" i="2"/>
  <c r="S44" i="2"/>
  <c r="D46" i="45" l="1"/>
  <c r="R45" i="2"/>
  <c r="P45" i="2" s="1"/>
  <c r="N44" i="2"/>
  <c r="E46" i="45"/>
  <c r="Q45" i="2"/>
  <c r="O45" i="2"/>
  <c r="S45" i="2"/>
  <c r="N45" i="2" l="1"/>
  <c r="E47" i="45"/>
  <c r="O46" i="2"/>
  <c r="Q46" i="2"/>
  <c r="S46" i="2"/>
  <c r="D47" i="45"/>
  <c r="R46" i="2"/>
  <c r="P46" i="2" s="1"/>
  <c r="N46" i="2" l="1"/>
  <c r="E48" i="45"/>
  <c r="O47" i="2"/>
  <c r="Q47" i="2"/>
  <c r="S47" i="2"/>
  <c r="D48" i="45"/>
  <c r="R47" i="2"/>
  <c r="P47" i="2" s="1"/>
  <c r="D49" i="45" l="1"/>
  <c r="D50" i="45" s="1"/>
  <c r="D51" i="45" s="1"/>
  <c r="D52" i="45" s="1"/>
  <c r="D53" i="45" s="1"/>
  <c r="P48" i="2"/>
  <c r="N48" i="2"/>
  <c r="R48" i="2"/>
  <c r="N47" i="2"/>
  <c r="E2" i="47" s="1" a="1"/>
  <c r="E2" i="47" s="1"/>
  <c r="E49" i="45"/>
  <c r="E50" i="45" s="1"/>
  <c r="E51" i="45" s="1"/>
  <c r="E52" i="45" s="1"/>
  <c r="E53" i="45" s="1"/>
  <c r="O48" i="2"/>
  <c r="Q48" i="2"/>
  <c r="S48" i="2"/>
  <c r="E48" i="2"/>
  <c r="B2" i="46" l="1" a="1"/>
  <c r="E3" i="47" l="1"/>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B4" i="46" l="1"/>
  <c r="B6" i="46"/>
  <c r="AT6" i="46"/>
  <c r="AT7" i="46" s="1"/>
  <c r="AT8" i="46" s="1"/>
  <c r="AW4" i="47"/>
  <c r="AW5" i="47" s="1"/>
  <c r="AW6" i="47" s="1"/>
  <c r="AL6" i="46"/>
  <c r="AO4" i="47"/>
  <c r="AO5" i="47" s="1"/>
  <c r="AO6" i="47" s="1"/>
  <c r="E4" i="47"/>
  <c r="E5" i="47" s="1"/>
  <c r="E6" i="47" s="1"/>
  <c r="Z4" i="47"/>
  <c r="Z5" i="47" s="1"/>
  <c r="Z6" i="47" s="1"/>
  <c r="W6" i="46"/>
  <c r="Z5" i="48"/>
  <c r="Z6" i="48" s="1"/>
  <c r="K5" i="48"/>
  <c r="K6" i="48" s="1"/>
  <c r="K4" i="47"/>
  <c r="K5" i="47" s="1"/>
  <c r="K6" i="47" s="1"/>
  <c r="H6" i="46"/>
  <c r="AL4" i="47"/>
  <c r="AL5" i="47" s="1"/>
  <c r="AL6" i="47" s="1"/>
  <c r="AI6" i="46"/>
  <c r="AB6" i="46"/>
  <c r="AE5" i="48"/>
  <c r="AE6" i="48" s="1"/>
  <c r="AE4" i="47"/>
  <c r="AE5" i="47" s="1"/>
  <c r="AE6" i="47" s="1"/>
  <c r="AT4" i="47"/>
  <c r="AT5" i="47" s="1"/>
  <c r="AT6" i="47" s="1"/>
  <c r="AQ6" i="46"/>
  <c r="W5" i="48"/>
  <c r="W6" i="48" s="1"/>
  <c r="W4" i="47"/>
  <c r="W5" i="47" s="1"/>
  <c r="W6" i="47" s="1"/>
  <c r="T6" i="46"/>
  <c r="AI4" i="47"/>
  <c r="AI5" i="47" s="1"/>
  <c r="AI6" i="47" s="1"/>
  <c r="AF6" i="46"/>
  <c r="Q6" i="46"/>
  <c r="T5" i="48"/>
  <c r="T6" i="48" s="1"/>
  <c r="T4" i="47"/>
  <c r="T5" i="47" s="1"/>
  <c r="T6" i="47" s="1"/>
  <c r="AC6" i="46"/>
  <c r="AF5" i="48"/>
  <c r="AF6" i="48" s="1"/>
  <c r="AF4" i="47"/>
  <c r="AF5" i="47" s="1"/>
  <c r="AF6" i="47" s="1"/>
  <c r="U5" i="48"/>
  <c r="U6" i="48" s="1"/>
  <c r="U4" i="47"/>
  <c r="U5" i="47" s="1"/>
  <c r="U6" i="47" s="1"/>
  <c r="R6" i="46"/>
  <c r="AK4" i="47"/>
  <c r="AK5" i="47" s="1"/>
  <c r="AK6" i="47" s="1"/>
  <c r="AH6" i="46"/>
  <c r="E6" i="46"/>
  <c r="H5" i="48"/>
  <c r="H6" i="48" s="1"/>
  <c r="H4" i="47"/>
  <c r="H5" i="47" s="1"/>
  <c r="H6" i="47" s="1"/>
  <c r="AJ4" i="47"/>
  <c r="AJ5" i="47" s="1"/>
  <c r="AJ6" i="47" s="1"/>
  <c r="AG6" i="46"/>
  <c r="Z6" i="46"/>
  <c r="AC5" i="48"/>
  <c r="AC6" i="48" s="1"/>
  <c r="AC4" i="47"/>
  <c r="AC5" i="47" s="1"/>
  <c r="AC6" i="47" s="1"/>
  <c r="AO6" i="46"/>
  <c r="AR4" i="47"/>
  <c r="AR5" i="47" s="1"/>
  <c r="AR6" i="47" s="1"/>
  <c r="AU4" i="47"/>
  <c r="AU5" i="47" s="1"/>
  <c r="AU6" i="47" s="1"/>
  <c r="AR6" i="46"/>
  <c r="L6" i="46"/>
  <c r="O5" i="48"/>
  <c r="O6" i="48" s="1"/>
  <c r="O4" i="47"/>
  <c r="O5" i="47" s="1"/>
  <c r="O6" i="47" s="1"/>
  <c r="AA6" i="46"/>
  <c r="AD5" i="48"/>
  <c r="AD6" i="48" s="1"/>
  <c r="AD4" i="47"/>
  <c r="AD5" i="47" s="1"/>
  <c r="AD6" i="47" s="1"/>
  <c r="M6" i="46"/>
  <c r="P5" i="48"/>
  <c r="P6" i="48" s="1"/>
  <c r="P4" i="47"/>
  <c r="P5" i="47" s="1"/>
  <c r="P6" i="47" s="1"/>
  <c r="AM6" i="46"/>
  <c r="AP4" i="47"/>
  <c r="AP5" i="47" s="1"/>
  <c r="AP6" i="47" s="1"/>
  <c r="AS4" i="47"/>
  <c r="AS5" i="47" s="1"/>
  <c r="AS6" i="47" s="1"/>
  <c r="AP6" i="46"/>
  <c r="AV4" i="47"/>
  <c r="AV5" i="47" s="1"/>
  <c r="AV6" i="47" s="1"/>
  <c r="AS6" i="46"/>
  <c r="Y6" i="46"/>
  <c r="AB5" i="48"/>
  <c r="AB6" i="48" s="1"/>
  <c r="AB4" i="47"/>
  <c r="AB5" i="47" s="1"/>
  <c r="AB6" i="47" s="1"/>
  <c r="AH5" i="48"/>
  <c r="AH6" i="48" s="1"/>
  <c r="AH4" i="47"/>
  <c r="AH5" i="47" s="1"/>
  <c r="AH6" i="47" s="1"/>
  <c r="AE6" i="46"/>
  <c r="AN6" i="46"/>
  <c r="AQ4" i="47"/>
  <c r="AQ5" i="47" s="1"/>
  <c r="AQ6" i="47" s="1"/>
  <c r="I5" i="48"/>
  <c r="I6" i="48" s="1"/>
  <c r="I4" i="47"/>
  <c r="I5" i="47" s="1"/>
  <c r="I6" i="47" s="1"/>
  <c r="F6" i="46"/>
  <c r="O6" i="46"/>
  <c r="R5" i="48"/>
  <c r="R6" i="48" s="1"/>
  <c r="R4" i="47"/>
  <c r="R5" i="47" s="1"/>
  <c r="R6" i="47" s="1"/>
  <c r="AJ6" i="46"/>
  <c r="AM4" i="47"/>
  <c r="AM5" i="47" s="1"/>
  <c r="AM6" i="47" s="1"/>
  <c r="D6" i="46"/>
  <c r="G5" i="48"/>
  <c r="G6" i="48" s="1"/>
  <c r="G4" i="47"/>
  <c r="G5" i="47" s="1"/>
  <c r="G6" i="47" s="1"/>
  <c r="J5" i="48"/>
  <c r="J6" i="48" s="1"/>
  <c r="J4" i="47"/>
  <c r="J5" i="47" s="1"/>
  <c r="J6" i="47" s="1"/>
  <c r="G6" i="46"/>
  <c r="M4" i="47"/>
  <c r="M5" i="47" s="1"/>
  <c r="M6" i="47" s="1"/>
  <c r="J6" i="46"/>
  <c r="M5" i="48"/>
  <c r="M6" i="48" s="1"/>
  <c r="AK6" i="46"/>
  <c r="AN4" i="47"/>
  <c r="AN5" i="47" s="1"/>
  <c r="AN6" i="47" s="1"/>
  <c r="N4" i="47"/>
  <c r="N5" i="47" s="1"/>
  <c r="N6" i="47" s="1"/>
  <c r="K6" i="46"/>
  <c r="N5" i="48"/>
  <c r="N6" i="48" s="1"/>
  <c r="C6" i="46"/>
  <c r="F5" i="48"/>
  <c r="F6" i="48" s="1"/>
  <c r="F4" i="47"/>
  <c r="F5" i="47" s="1"/>
  <c r="F6" i="47" s="1"/>
  <c r="L4" i="47"/>
  <c r="L5" i="47" s="1"/>
  <c r="L6" i="47" s="1"/>
  <c r="I6" i="46"/>
  <c r="L5" i="48"/>
  <c r="L6" i="48" s="1"/>
  <c r="X6" i="46"/>
  <c r="AA5" i="48"/>
  <c r="AA6" i="48" s="1"/>
  <c r="AA4" i="47"/>
  <c r="AA5" i="47" s="1"/>
  <c r="AA6" i="47" s="1"/>
  <c r="X4" i="47"/>
  <c r="X5" i="47" s="1"/>
  <c r="X6" i="47" s="1"/>
  <c r="U6" i="46"/>
  <c r="X5" i="48"/>
  <c r="X6" i="48" s="1"/>
  <c r="AG5" i="48"/>
  <c r="AG6" i="48" s="1"/>
  <c r="AG4" i="47"/>
  <c r="AG5" i="47" s="1"/>
  <c r="AG6" i="47" s="1"/>
  <c r="AD6" i="46"/>
  <c r="P6" i="46"/>
  <c r="S5" i="48"/>
  <c r="S6" i="48" s="1"/>
  <c r="S4" i="47"/>
  <c r="S5" i="47" s="1"/>
  <c r="S6" i="47" s="1"/>
  <c r="V5" i="48"/>
  <c r="V6" i="48" s="1"/>
  <c r="V4" i="47"/>
  <c r="V5" i="47" s="1"/>
  <c r="V6" i="47" s="1"/>
  <c r="S6" i="46"/>
  <c r="Y4" i="47"/>
  <c r="Y5" i="47" s="1"/>
  <c r="Y6" i="47" s="1"/>
  <c r="V6" i="46"/>
  <c r="Y5" i="48"/>
  <c r="Y6" i="48" s="1"/>
  <c r="N6" i="46"/>
  <c r="Q5" i="48"/>
  <c r="Q6" i="48" s="1"/>
  <c r="Q4" i="47"/>
  <c r="Q5" i="47" s="1"/>
  <c r="Q6" i="47" s="1"/>
  <c r="AG9" i="47" l="1"/>
  <c r="AG8" i="47"/>
  <c r="AG8" i="48"/>
  <c r="AG9" i="48"/>
  <c r="AR9" i="47"/>
  <c r="AR8" i="47"/>
  <c r="W9" i="47"/>
  <c r="W8" i="47"/>
  <c r="Z9" i="48"/>
  <c r="Z8" i="48"/>
  <c r="U9" i="47"/>
  <c r="U8" i="47"/>
  <c r="W9" i="48"/>
  <c r="W8" i="48"/>
  <c r="U9" i="48"/>
  <c r="U8" i="48"/>
  <c r="Z8" i="47"/>
  <c r="Z9" i="47"/>
  <c r="J8" i="48"/>
  <c r="J9" i="48"/>
  <c r="Y9" i="48"/>
  <c r="Y8" i="48"/>
  <c r="N9" i="48"/>
  <c r="N8" i="48"/>
  <c r="AC9" i="48"/>
  <c r="AC8" i="48"/>
  <c r="AF9" i="47"/>
  <c r="AF8" i="47"/>
  <c r="AT9" i="47"/>
  <c r="AT8" i="47"/>
  <c r="E9" i="47"/>
  <c r="E8" i="47"/>
  <c r="AK9" i="47"/>
  <c r="AK8" i="47"/>
  <c r="X9" i="48"/>
  <c r="X8" i="48"/>
  <c r="Y9" i="47"/>
  <c r="Y8" i="47"/>
  <c r="AD8" i="47"/>
  <c r="AD9" i="47"/>
  <c r="AF9" i="48"/>
  <c r="AF8" i="48"/>
  <c r="AE9" i="47"/>
  <c r="AE8" i="47"/>
  <c r="P8" i="47"/>
  <c r="P9" i="47"/>
  <c r="P9" i="48"/>
  <c r="P8" i="48"/>
  <c r="AH8" i="48"/>
  <c r="AH9" i="48"/>
  <c r="AN8" i="47"/>
  <c r="AN9" i="47"/>
  <c r="AA9" i="48"/>
  <c r="AA8" i="48"/>
  <c r="R8" i="47"/>
  <c r="R9" i="47"/>
  <c r="AB9" i="48"/>
  <c r="AB8" i="48"/>
  <c r="AD9" i="48"/>
  <c r="AD8" i="48"/>
  <c r="AE9" i="48"/>
  <c r="AE8" i="48"/>
  <c r="AO9" i="47"/>
  <c r="AO8" i="47"/>
  <c r="AQ9" i="47"/>
  <c r="AQ8" i="47"/>
  <c r="AJ9" i="47"/>
  <c r="AJ8" i="47"/>
  <c r="T9" i="47"/>
  <c r="T8" i="47"/>
  <c r="Q9" i="48"/>
  <c r="Q8" i="48"/>
  <c r="AH9" i="47"/>
  <c r="AH8" i="47"/>
  <c r="L8" i="48"/>
  <c r="L9" i="48"/>
  <c r="O8" i="47"/>
  <c r="O9" i="47"/>
  <c r="H9" i="47"/>
  <c r="H8" i="47"/>
  <c r="T9" i="48"/>
  <c r="T8" i="48"/>
  <c r="AW9" i="47"/>
  <c r="AW8" i="47"/>
  <c r="F9" i="48"/>
  <c r="F8" i="48"/>
  <c r="K8" i="48"/>
  <c r="K9" i="48"/>
  <c r="G9" i="48"/>
  <c r="G8" i="48"/>
  <c r="X9" i="47"/>
  <c r="X8" i="47"/>
  <c r="AB8" i="47"/>
  <c r="AB9" i="47"/>
  <c r="R9" i="48"/>
  <c r="R8" i="48"/>
  <c r="S9" i="47"/>
  <c r="S8" i="47"/>
  <c r="AV9" i="47"/>
  <c r="AV8" i="47"/>
  <c r="O9" i="48"/>
  <c r="O8" i="48"/>
  <c r="H9" i="48"/>
  <c r="H8" i="48"/>
  <c r="AL9" i="47"/>
  <c r="AL8" i="47"/>
  <c r="AU9" i="47"/>
  <c r="AU8" i="47"/>
  <c r="N8" i="47"/>
  <c r="N9" i="47"/>
  <c r="S9" i="48"/>
  <c r="S8" i="48"/>
  <c r="M9" i="47"/>
  <c r="M8" i="47"/>
  <c r="L9" i="47"/>
  <c r="L8" i="47"/>
  <c r="I9" i="47"/>
  <c r="I8" i="47"/>
  <c r="AP9" i="47"/>
  <c r="AP8" i="47"/>
  <c r="G9" i="47"/>
  <c r="G8" i="47"/>
  <c r="AC8" i="47"/>
  <c r="AC9" i="47"/>
  <c r="AM9" i="47"/>
  <c r="AM8" i="47"/>
  <c r="AA8" i="47"/>
  <c r="AA9" i="47"/>
  <c r="V9" i="47"/>
  <c r="V8" i="47"/>
  <c r="V9" i="48"/>
  <c r="V8" i="48"/>
  <c r="M9" i="48"/>
  <c r="M8" i="48"/>
  <c r="Q8" i="47"/>
  <c r="Q9" i="47"/>
  <c r="F9" i="47"/>
  <c r="F8" i="47"/>
  <c r="J9" i="47"/>
  <c r="J8" i="47"/>
  <c r="I8" i="48"/>
  <c r="I9" i="48"/>
  <c r="AS9" i="47"/>
  <c r="AS8" i="47"/>
  <c r="AI9" i="47"/>
  <c r="AI8" i="47"/>
  <c r="K9" i="47"/>
  <c r="K8" i="47"/>
  <c r="B7" i="46"/>
  <c r="B8" i="46" s="1"/>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M10" i="48" l="1"/>
  <c r="M11" i="48"/>
  <c r="O11" i="48"/>
  <c r="O10" i="48"/>
  <c r="O12" i="48" s="1"/>
  <c r="AA11" i="48"/>
  <c r="AA10" i="48"/>
  <c r="E10" i="47"/>
  <c r="E11" i="47"/>
  <c r="U10" i="48"/>
  <c r="U11" i="48"/>
  <c r="I10" i="48"/>
  <c r="I11" i="48"/>
  <c r="AM11" i="47"/>
  <c r="AM10" i="47"/>
  <c r="AM12" i="47" s="1"/>
  <c r="O10" i="47"/>
  <c r="O11" i="47"/>
  <c r="P10" i="47"/>
  <c r="P11" i="47"/>
  <c r="W11" i="47"/>
  <c r="W10" i="47"/>
  <c r="N11" i="47"/>
  <c r="N10" i="47"/>
  <c r="AB10" i="47"/>
  <c r="AB11" i="47"/>
  <c r="AD10" i="47"/>
  <c r="AD11" i="47"/>
  <c r="N10" i="48"/>
  <c r="N11" i="48"/>
  <c r="K11" i="47"/>
  <c r="K10" i="47"/>
  <c r="J10" i="47"/>
  <c r="J11" i="47"/>
  <c r="V11" i="48"/>
  <c r="V10" i="48"/>
  <c r="L11" i="47"/>
  <c r="L10" i="47"/>
  <c r="AU11" i="47"/>
  <c r="AU10" i="47"/>
  <c r="AV10" i="47"/>
  <c r="AV11" i="47"/>
  <c r="X11" i="47"/>
  <c r="X10" i="47"/>
  <c r="AW11" i="47"/>
  <c r="AW10" i="47"/>
  <c r="AJ10" i="47"/>
  <c r="AJ11" i="47"/>
  <c r="AD11" i="48"/>
  <c r="AD10" i="48"/>
  <c r="Y11" i="47"/>
  <c r="Y10" i="47"/>
  <c r="AT10" i="47"/>
  <c r="AT11" i="47"/>
  <c r="Y10" i="48"/>
  <c r="Y11" i="48"/>
  <c r="AR10" i="47"/>
  <c r="AR11" i="47"/>
  <c r="AE11" i="48"/>
  <c r="AE10" i="48"/>
  <c r="AE12" i="48" s="1"/>
  <c r="AN10" i="47"/>
  <c r="AN11" i="47"/>
  <c r="W10" i="48"/>
  <c r="W11" i="48"/>
  <c r="F10" i="48"/>
  <c r="F11" i="48"/>
  <c r="AI11" i="47"/>
  <c r="AI10" i="47"/>
  <c r="AI12" i="47" s="1"/>
  <c r="F10" i="47"/>
  <c r="F11" i="47"/>
  <c r="V11" i="47"/>
  <c r="V10" i="47"/>
  <c r="G10" i="47"/>
  <c r="G11" i="47"/>
  <c r="M11" i="47"/>
  <c r="M10" i="47"/>
  <c r="AL11" i="47"/>
  <c r="AL10" i="47"/>
  <c r="S10" i="47"/>
  <c r="S11" i="47"/>
  <c r="G11" i="48"/>
  <c r="G10" i="48"/>
  <c r="AH11" i="47"/>
  <c r="AH10" i="47"/>
  <c r="AQ10" i="47"/>
  <c r="AQ11" i="47"/>
  <c r="AB10" i="48"/>
  <c r="AB11" i="48"/>
  <c r="AE10" i="47"/>
  <c r="AE11" i="47"/>
  <c r="AF10" i="47"/>
  <c r="AF11" i="47"/>
  <c r="U10" i="47"/>
  <c r="U11" i="47"/>
  <c r="AH11" i="48"/>
  <c r="AH10" i="48"/>
  <c r="X10" i="48"/>
  <c r="X11" i="48"/>
  <c r="J11" i="48"/>
  <c r="J10" i="48"/>
  <c r="AG10" i="48"/>
  <c r="AG11" i="48"/>
  <c r="T10" i="48"/>
  <c r="T11" i="48"/>
  <c r="L10" i="48"/>
  <c r="L11" i="48"/>
  <c r="AS10" i="47"/>
  <c r="AS11" i="47"/>
  <c r="AP10" i="47"/>
  <c r="AP11" i="47"/>
  <c r="H10" i="48"/>
  <c r="H11" i="48"/>
  <c r="H11" i="47"/>
  <c r="H10" i="47"/>
  <c r="Q11" i="48"/>
  <c r="Q10" i="48"/>
  <c r="AO10" i="47"/>
  <c r="AO11" i="47"/>
  <c r="P11" i="48"/>
  <c r="P10" i="48"/>
  <c r="AF10" i="48"/>
  <c r="AF11" i="48"/>
  <c r="AK11" i="47"/>
  <c r="AK10" i="47"/>
  <c r="AC11" i="48"/>
  <c r="AC10" i="48"/>
  <c r="AC12" i="48" s="1"/>
  <c r="Z10" i="48"/>
  <c r="Z11" i="48"/>
  <c r="AG11" i="47"/>
  <c r="AG10" i="47"/>
  <c r="AG12" i="47" s="1"/>
  <c r="AG13" i="47" s="1"/>
  <c r="AG15" i="47" s="1"/>
  <c r="AG16" i="47" s="1"/>
  <c r="I10" i="47"/>
  <c r="I11" i="47"/>
  <c r="T11" i="47"/>
  <c r="T10" i="47"/>
  <c r="Q10" i="47"/>
  <c r="Q11" i="47"/>
  <c r="S10" i="48"/>
  <c r="S11" i="48"/>
  <c r="R10" i="48"/>
  <c r="R11" i="48"/>
  <c r="R10" i="47"/>
  <c r="R11" i="47"/>
  <c r="AC11" i="47"/>
  <c r="AC10" i="47"/>
  <c r="AA11" i="47"/>
  <c r="AA10" i="47"/>
  <c r="K11" i="48"/>
  <c r="K10" i="48"/>
  <c r="Z11" i="47"/>
  <c r="Z10" i="47"/>
  <c r="B12" i="46"/>
  <c r="B13" i="46" s="1"/>
  <c r="B14" i="46" s="1"/>
  <c r="L22" i="47" s="1"/>
  <c r="L24" i="47" s="1"/>
  <c r="X12" i="48" l="1"/>
  <c r="Y12" i="47"/>
  <c r="AL12" i="47"/>
  <c r="X12" i="47"/>
  <c r="G22" i="47"/>
  <c r="G24" i="47" s="1"/>
  <c r="S22" i="47"/>
  <c r="S24" i="47" s="1"/>
  <c r="X22" i="47"/>
  <c r="X24" i="47" s="1"/>
  <c r="AG12" i="48"/>
  <c r="AG13" i="48" s="1"/>
  <c r="AG15" i="48" s="1"/>
  <c r="AG16" i="48" s="1"/>
  <c r="V12" i="48"/>
  <c r="AR12" i="47"/>
  <c r="AR13" i="47" s="1"/>
  <c r="AR15" i="47" s="1"/>
  <c r="AR16" i="47" s="1"/>
  <c r="Z12" i="47"/>
  <c r="Z13" i="47" s="1"/>
  <c r="Z15" i="47" s="1"/>
  <c r="Z16" i="47" s="1"/>
  <c r="H12" i="47"/>
  <c r="H13" i="47" s="1"/>
  <c r="H15" i="47" s="1"/>
  <c r="H16" i="47" s="1"/>
  <c r="K12" i="47"/>
  <c r="K13" i="47" s="1"/>
  <c r="K15" i="47" s="1"/>
  <c r="K16" i="47" s="1"/>
  <c r="AA12" i="48"/>
  <c r="AA13" i="48" s="1"/>
  <c r="AA15" i="48" s="1"/>
  <c r="AA16" i="48" s="1"/>
  <c r="AS12" i="47"/>
  <c r="AS13" i="47" s="1"/>
  <c r="AS15" i="47" s="1"/>
  <c r="AS16" i="47" s="1"/>
  <c r="V12" i="47"/>
  <c r="V13" i="47" s="1"/>
  <c r="V15" i="47" s="1"/>
  <c r="V16" i="47" s="1"/>
  <c r="I12" i="48"/>
  <c r="I13" i="48" s="1"/>
  <c r="I15" i="48" s="1"/>
  <c r="I16" i="48" s="1"/>
  <c r="G12" i="48"/>
  <c r="G13" i="48" s="1"/>
  <c r="G15" i="48" s="1"/>
  <c r="G16" i="48" s="1"/>
  <c r="Z12" i="48"/>
  <c r="Z13" i="48" s="1"/>
  <c r="Z15" i="48" s="1"/>
  <c r="Z16" i="48" s="1"/>
  <c r="I12" i="47"/>
  <c r="AB12" i="48"/>
  <c r="AB13" i="48" s="1"/>
  <c r="AB15" i="48" s="1"/>
  <c r="AB16" i="48" s="1"/>
  <c r="E16" i="48"/>
  <c r="N12" i="47"/>
  <c r="N13" i="47" s="1"/>
  <c r="N15" i="47" s="1"/>
  <c r="N16" i="47" s="1"/>
  <c r="R12" i="48"/>
  <c r="R13" i="48" s="1"/>
  <c r="R15" i="48" s="1"/>
  <c r="R16" i="48" s="1"/>
  <c r="Q12" i="48"/>
  <c r="Q13" i="48" s="1"/>
  <c r="Q15" i="48" s="1"/>
  <c r="Q16" i="48" s="1"/>
  <c r="S12" i="47"/>
  <c r="S13" i="47" s="1"/>
  <c r="S15" i="47" s="1"/>
  <c r="S16" i="47" s="1"/>
  <c r="Y22" i="47"/>
  <c r="Y24" i="47" s="1"/>
  <c r="K12" i="48"/>
  <c r="K13" i="48" s="1"/>
  <c r="K15" i="48" s="1"/>
  <c r="K16" i="48" s="1"/>
  <c r="Q12" i="47"/>
  <c r="Q13" i="47" s="1"/>
  <c r="Q15" i="47" s="1"/>
  <c r="Q16" i="47" s="1"/>
  <c r="AK12" i="47"/>
  <c r="AK13" i="47" s="1"/>
  <c r="AK15" i="47" s="1"/>
  <c r="AK16" i="47" s="1"/>
  <c r="AT12" i="47"/>
  <c r="AT13" i="47" s="1"/>
  <c r="AT15" i="47" s="1"/>
  <c r="AT16" i="47" s="1"/>
  <c r="P12" i="47"/>
  <c r="P13" i="47" s="1"/>
  <c r="P15" i="47" s="1"/>
  <c r="P16" i="47" s="1"/>
  <c r="Z22" i="47"/>
  <c r="Z24" i="47" s="1"/>
  <c r="Z27" i="47" s="1"/>
  <c r="AA12" i="47"/>
  <c r="AA13" i="47" s="1"/>
  <c r="AA15" i="47" s="1"/>
  <c r="AA16" i="47" s="1"/>
  <c r="T12" i="47"/>
  <c r="T13" i="47" s="1"/>
  <c r="T15" i="47" s="1"/>
  <c r="T16" i="47" s="1"/>
  <c r="N22" i="47"/>
  <c r="N24" i="47" s="1"/>
  <c r="AP12" i="47"/>
  <c r="AP13" i="47" s="1"/>
  <c r="AP15" i="47" s="1"/>
  <c r="AP16" i="47" s="1"/>
  <c r="AD12" i="47"/>
  <c r="AD13" i="47" s="1"/>
  <c r="AD15" i="47" s="1"/>
  <c r="AD16" i="47" s="1"/>
  <c r="R22" i="47"/>
  <c r="R24" i="47" s="1"/>
  <c r="AC12" i="47"/>
  <c r="AC13" i="47" s="1"/>
  <c r="AC15" i="47" s="1"/>
  <c r="AC16" i="47" s="1"/>
  <c r="P12" i="48"/>
  <c r="P13" i="48" s="1"/>
  <c r="P15" i="48" s="1"/>
  <c r="P16" i="48" s="1"/>
  <c r="AH12" i="47"/>
  <c r="AH13" i="47" s="1"/>
  <c r="AH15" i="47" s="1"/>
  <c r="AH16" i="47" s="1"/>
  <c r="AD12" i="48"/>
  <c r="AD13" i="48" s="1"/>
  <c r="AD15" i="48" s="1"/>
  <c r="AD16" i="48" s="1"/>
  <c r="I13" i="47"/>
  <c r="I15" i="47" s="1"/>
  <c r="I16" i="47" s="1"/>
  <c r="X13" i="47"/>
  <c r="X15" i="47" s="1"/>
  <c r="X16" i="47" s="1"/>
  <c r="O13" i="48"/>
  <c r="O15" i="48" s="1"/>
  <c r="O16" i="48" s="1"/>
  <c r="F12" i="48"/>
  <c r="AW12" i="47"/>
  <c r="J12" i="47"/>
  <c r="AF12" i="48"/>
  <c r="AQ12" i="47"/>
  <c r="G12" i="47"/>
  <c r="U12" i="48"/>
  <c r="AH12" i="48"/>
  <c r="Y12" i="48"/>
  <c r="W12" i="47"/>
  <c r="E12" i="47"/>
  <c r="E13" i="47" s="1"/>
  <c r="E15" i="47" s="1"/>
  <c r="E16" i="47" s="1"/>
  <c r="H22" i="47"/>
  <c r="H24" i="47" s="1"/>
  <c r="H27" i="47" s="1"/>
  <c r="AA22" i="47"/>
  <c r="AA24" i="47" s="1"/>
  <c r="W12" i="48"/>
  <c r="AV12" i="47"/>
  <c r="N12" i="48"/>
  <c r="U22" i="47"/>
  <c r="U24" i="47" s="1"/>
  <c r="U27" i="47" s="1"/>
  <c r="U12" i="47"/>
  <c r="F12" i="47"/>
  <c r="Y13" i="47"/>
  <c r="Y15" i="47" s="1"/>
  <c r="Y16" i="47" s="1"/>
  <c r="X13" i="48"/>
  <c r="X15" i="48" s="1"/>
  <c r="X16" i="48" s="1"/>
  <c r="R12" i="47"/>
  <c r="L12" i="48"/>
  <c r="AI13" i="47"/>
  <c r="AI15" i="47" s="1"/>
  <c r="AI16" i="47" s="1"/>
  <c r="AU12" i="47"/>
  <c r="AO12" i="47"/>
  <c r="AB22" i="47"/>
  <c r="AB24" i="47" s="1"/>
  <c r="T12" i="48"/>
  <c r="AF12" i="47"/>
  <c r="AE13" i="48"/>
  <c r="AE15" i="48" s="1"/>
  <c r="AE16" i="48" s="1"/>
  <c r="O12" i="47"/>
  <c r="T22" i="47"/>
  <c r="T24" i="47" s="1"/>
  <c r="I22" i="47"/>
  <c r="I24" i="47" s="1"/>
  <c r="P22" i="47"/>
  <c r="P24" i="47" s="1"/>
  <c r="S12" i="48"/>
  <c r="K22" i="47"/>
  <c r="K24" i="47" s="1"/>
  <c r="AL13" i="47"/>
  <c r="AL15" i="47" s="1"/>
  <c r="AL16" i="47" s="1"/>
  <c r="AN12" i="47"/>
  <c r="L12" i="47"/>
  <c r="AM13" i="47"/>
  <c r="AM15" i="47" s="1"/>
  <c r="AM16" i="47" s="1"/>
  <c r="V22" i="47"/>
  <c r="V24" i="47" s="1"/>
  <c r="Q22" i="47"/>
  <c r="Q24" i="47" s="1"/>
  <c r="AC22" i="47"/>
  <c r="AC24" i="47" s="1"/>
  <c r="AE12" i="47"/>
  <c r="V13" i="48"/>
  <c r="V15" i="48" s="1"/>
  <c r="V16" i="48" s="1"/>
  <c r="AB12" i="47"/>
  <c r="O22" i="47"/>
  <c r="O24" i="47" s="1"/>
  <c r="J22" i="47"/>
  <c r="J24" i="47" s="1"/>
  <c r="AC13" i="48"/>
  <c r="AC15" i="48" s="1"/>
  <c r="AC16" i="48" s="1"/>
  <c r="W22" i="47"/>
  <c r="W24" i="47" s="1"/>
  <c r="M22" i="47"/>
  <c r="M24" i="47" s="1"/>
  <c r="F22" i="47"/>
  <c r="F24" i="47" s="1"/>
  <c r="H12" i="48"/>
  <c r="J12" i="48"/>
  <c r="M12" i="47"/>
  <c r="AJ12" i="47"/>
  <c r="M12" i="48"/>
  <c r="L27" i="47"/>
  <c r="X27" i="47"/>
  <c r="G27" i="47"/>
  <c r="S27" i="47" l="1"/>
  <c r="N27" i="47"/>
  <c r="R27" i="47"/>
  <c r="R28" i="47" s="1"/>
  <c r="R29" i="47" s="1"/>
  <c r="R31" i="47" s="1"/>
  <c r="R32" i="47" s="1"/>
  <c r="Y27" i="47"/>
  <c r="Y28" i="47"/>
  <c r="Y29" i="47" s="1"/>
  <c r="Y31" i="47" s="1"/>
  <c r="Y32" i="47" s="1"/>
  <c r="AB27" i="47"/>
  <c r="U28" i="47"/>
  <c r="U29" i="47" s="1"/>
  <c r="U31" i="47" s="1"/>
  <c r="U32" i="47" s="1"/>
  <c r="Q27" i="47"/>
  <c r="K27" i="47"/>
  <c r="AA27" i="47"/>
  <c r="AA28" i="47"/>
  <c r="AA29" i="47" s="1"/>
  <c r="AA31" i="47" s="1"/>
  <c r="AA32" i="47" s="1"/>
  <c r="M27" i="47"/>
  <c r="M28" i="47"/>
  <c r="M29" i="47" s="1"/>
  <c r="M31" i="47" s="1"/>
  <c r="M32" i="47" s="1"/>
  <c r="W27" i="47"/>
  <c r="F27" i="47"/>
  <c r="V27" i="47"/>
  <c r="I27" i="47"/>
  <c r="O27" i="47"/>
  <c r="P27" i="47"/>
  <c r="P28" i="47"/>
  <c r="P29" i="47" s="1"/>
  <c r="P31" i="47" s="1"/>
  <c r="P32" i="47" s="1"/>
  <c r="AV13" i="47"/>
  <c r="AV15" i="47" s="1"/>
  <c r="AV16" i="47" s="1"/>
  <c r="J13" i="47"/>
  <c r="J15" i="47" s="1"/>
  <c r="J16" i="47" s="1"/>
  <c r="AH13" i="48"/>
  <c r="AH15" i="48" s="1"/>
  <c r="AH16" i="48" s="1"/>
  <c r="W13" i="48"/>
  <c r="W15" i="48" s="1"/>
  <c r="W16" i="48" s="1"/>
  <c r="AW13" i="47"/>
  <c r="AW15" i="47" s="1"/>
  <c r="AW16" i="47" s="1"/>
  <c r="O13" i="47"/>
  <c r="O15" i="47" s="1"/>
  <c r="O16" i="47" s="1"/>
  <c r="F13" i="47"/>
  <c r="F15" i="47" s="1"/>
  <c r="F16" i="47" s="1"/>
  <c r="F13" i="48"/>
  <c r="F15" i="48" s="1"/>
  <c r="F16" i="48" s="1"/>
  <c r="M13" i="48"/>
  <c r="M15" i="48" s="1"/>
  <c r="M16" i="48" s="1"/>
  <c r="U13" i="47"/>
  <c r="U15" i="47" s="1"/>
  <c r="U16" i="47" s="1"/>
  <c r="AU13" i="47"/>
  <c r="AU15" i="47" s="1"/>
  <c r="AU16" i="47" s="1"/>
  <c r="AJ13" i="47"/>
  <c r="AJ15" i="47" s="1"/>
  <c r="AJ16" i="47" s="1"/>
  <c r="L13" i="48"/>
  <c r="L15" i="48" s="1"/>
  <c r="L16" i="48" s="1"/>
  <c r="U13" i="48"/>
  <c r="U15" i="48" s="1"/>
  <c r="U16" i="48" s="1"/>
  <c r="M13" i="47"/>
  <c r="M15" i="47" s="1"/>
  <c r="M16" i="47" s="1"/>
  <c r="AB13" i="47"/>
  <c r="AB15" i="47" s="1"/>
  <c r="AB16" i="47" s="1"/>
  <c r="AF13" i="47"/>
  <c r="AF15" i="47" s="1"/>
  <c r="AF16" i="47" s="1"/>
  <c r="R13" i="47"/>
  <c r="R15" i="47" s="1"/>
  <c r="R16" i="47" s="1"/>
  <c r="N13" i="48"/>
  <c r="N15" i="48" s="1"/>
  <c r="N16" i="48" s="1"/>
  <c r="J13" i="48"/>
  <c r="J15" i="48" s="1"/>
  <c r="J16" i="48" s="1"/>
  <c r="S13" i="48"/>
  <c r="S15" i="48" s="1"/>
  <c r="S16" i="48" s="1"/>
  <c r="T13" i="48"/>
  <c r="T15" i="48" s="1"/>
  <c r="T16" i="48" s="1"/>
  <c r="H13" i="48"/>
  <c r="H15" i="48" s="1"/>
  <c r="H16" i="48" s="1"/>
  <c r="G13" i="47"/>
  <c r="G15" i="47" s="1"/>
  <c r="G16" i="47" s="1"/>
  <c r="T27" i="47"/>
  <c r="AE13" i="47"/>
  <c r="AE15" i="47" s="1"/>
  <c r="AE16" i="47" s="1"/>
  <c r="AO13" i="47"/>
  <c r="AO15" i="47" s="1"/>
  <c r="AO16" i="47" s="1"/>
  <c r="AQ13" i="47"/>
  <c r="AQ15" i="47" s="1"/>
  <c r="AQ16" i="47" s="1"/>
  <c r="AC27" i="47"/>
  <c r="J27" i="47"/>
  <c r="L13" i="47"/>
  <c r="L15" i="47" s="1"/>
  <c r="L16" i="47" s="1"/>
  <c r="W13" i="47"/>
  <c r="W15" i="47" s="1"/>
  <c r="W16" i="47" s="1"/>
  <c r="AF13" i="48"/>
  <c r="AF15" i="48" s="1"/>
  <c r="AF16" i="48" s="1"/>
  <c r="AN13" i="47"/>
  <c r="AN15" i="47" s="1"/>
  <c r="AN16" i="47" s="1"/>
  <c r="Y13" i="48"/>
  <c r="Y15" i="48" s="1"/>
  <c r="Y16" i="48" s="1"/>
  <c r="L46" i="2"/>
  <c r="C46" i="2" s="1"/>
  <c r="E46" i="2" s="1"/>
  <c r="M31" i="2"/>
  <c r="D31" i="2" s="1"/>
  <c r="F31" i="2" s="1"/>
  <c r="M32" i="2"/>
  <c r="D32" i="2" s="1"/>
  <c r="F32" i="2" s="1"/>
  <c r="L47" i="2"/>
  <c r="C47" i="2" s="1"/>
  <c r="E47" i="2" s="1"/>
  <c r="L28" i="47"/>
  <c r="L29" i="47" s="1"/>
  <c r="L31" i="47" s="1"/>
  <c r="L32" i="47" s="1"/>
  <c r="X28" i="47"/>
  <c r="X29" i="47" s="1"/>
  <c r="X31" i="47" s="1"/>
  <c r="X32" i="47" s="1"/>
  <c r="G28" i="47"/>
  <c r="G29" i="47" s="1"/>
  <c r="G31" i="47" s="1"/>
  <c r="G32" i="47" s="1"/>
  <c r="S28" i="47"/>
  <c r="S29" i="47" s="1"/>
  <c r="S31" i="47" s="1"/>
  <c r="S32" i="47" s="1"/>
  <c r="N28" i="47" l="1"/>
  <c r="N29" i="47" s="1"/>
  <c r="N31" i="47" s="1"/>
  <c r="N32" i="47" s="1"/>
  <c r="AB28" i="47"/>
  <c r="AB29" i="47" s="1"/>
  <c r="AB31" i="47" s="1"/>
  <c r="AB32" i="47" s="1"/>
  <c r="H28" i="47"/>
  <c r="H29" i="47" s="1"/>
  <c r="H31" i="47" s="1"/>
  <c r="H32" i="47" s="1"/>
  <c r="K28" i="47"/>
  <c r="K29" i="47" s="1"/>
  <c r="K31" i="47" s="1"/>
  <c r="K32" i="47" s="1"/>
  <c r="Q28" i="47"/>
  <c r="Q29" i="47" s="1"/>
  <c r="Q31" i="47" s="1"/>
  <c r="Q32" i="47" s="1"/>
  <c r="I28" i="47"/>
  <c r="I29" i="47" s="1"/>
  <c r="I31" i="47" s="1"/>
  <c r="I32" i="47" s="1"/>
  <c r="V28" i="47"/>
  <c r="V29" i="47" s="1"/>
  <c r="V31" i="47" s="1"/>
  <c r="V32" i="47" s="1"/>
  <c r="Z28" i="47"/>
  <c r="Z29" i="47" s="1"/>
  <c r="Z31" i="47" s="1"/>
  <c r="Z32" i="47" s="1"/>
  <c r="W28" i="47"/>
  <c r="W29" i="47" s="1"/>
  <c r="W31" i="47" s="1"/>
  <c r="W32" i="47" s="1"/>
  <c r="O28" i="47"/>
  <c r="O29" i="47" s="1"/>
  <c r="O31" i="47" s="1"/>
  <c r="O32" i="47" s="1"/>
  <c r="F28" i="47"/>
  <c r="F29" i="47" s="1"/>
  <c r="F31" i="47" s="1"/>
  <c r="F32" i="47" s="1"/>
  <c r="T28" i="47"/>
  <c r="T29" i="47" s="1"/>
  <c r="T31" i="47" s="1"/>
  <c r="T32" i="47" s="1"/>
  <c r="J28" i="47"/>
  <c r="J29" i="47" s="1"/>
  <c r="J31" i="47" s="1"/>
  <c r="J32" i="47" s="1"/>
  <c r="AC28" i="47"/>
  <c r="AC29" i="47" s="1"/>
  <c r="AC31" i="47" s="1"/>
  <c r="AC32" i="47" s="1"/>
  <c r="AT2" i="48" a="1"/>
  <c r="N33" i="48"/>
  <c r="U33" i="48"/>
  <c r="J33" i="48"/>
  <c r="I33" i="48"/>
  <c r="Q33" i="48"/>
  <c r="P33" i="48"/>
  <c r="AC33" i="48"/>
  <c r="H33" i="48"/>
  <c r="AA33" i="48"/>
  <c r="R33" i="48"/>
  <c r="Y33" i="48"/>
  <c r="F33" i="48"/>
  <c r="S33" i="48"/>
  <c r="V33" i="48"/>
  <c r="M33" i="48"/>
  <c r="T33" i="48"/>
  <c r="X33" i="48"/>
  <c r="G33" i="48"/>
  <c r="W33" i="48"/>
  <c r="K33" i="48"/>
  <c r="L33" i="48"/>
  <c r="Z33" i="48"/>
  <c r="O33" i="48"/>
  <c r="AB33" i="48"/>
  <c r="Q33" i="47"/>
  <c r="W33" i="47"/>
  <c r="E33" i="47"/>
  <c r="AB33" i="47"/>
  <c r="AB34" i="47" s="1"/>
  <c r="AB35" i="47" s="1"/>
  <c r="P33" i="47"/>
  <c r="P34" i="47" s="1"/>
  <c r="P35" i="47" s="1"/>
  <c r="J33" i="47"/>
  <c r="I33" i="47"/>
  <c r="Z33" i="47"/>
  <c r="G33" i="47"/>
  <c r="G34" i="47" s="1"/>
  <c r="G35" i="47" s="1"/>
  <c r="R33" i="47"/>
  <c r="R34" i="47" s="1"/>
  <c r="R35" i="47" s="1"/>
  <c r="M33" i="47"/>
  <c r="M34" i="47" s="1"/>
  <c r="M35" i="47" s="1"/>
  <c r="F33" i="47"/>
  <c r="K33" i="47"/>
  <c r="K34" i="47" s="1"/>
  <c r="K35" i="47" s="1"/>
  <c r="U33" i="47"/>
  <c r="U34" i="47" s="1"/>
  <c r="U35" i="47" s="1"/>
  <c r="T33" i="47"/>
  <c r="O33" i="47"/>
  <c r="Y33" i="47"/>
  <c r="Y34" i="47" s="1"/>
  <c r="Y35" i="47" s="1"/>
  <c r="V33" i="47"/>
  <c r="AA33" i="47"/>
  <c r="AA34" i="47" s="1"/>
  <c r="AA35" i="47" s="1"/>
  <c r="S33" i="47"/>
  <c r="S34" i="47" s="1"/>
  <c r="S35" i="47" s="1"/>
  <c r="AC33" i="47"/>
  <c r="X33" i="47"/>
  <c r="X34" i="47" s="1"/>
  <c r="X35" i="47" s="1"/>
  <c r="L33" i="47"/>
  <c r="L34" i="47" s="1"/>
  <c r="L35" i="47" s="1"/>
  <c r="H33" i="47"/>
  <c r="N33" i="47"/>
  <c r="N34" i="47" s="1"/>
  <c r="N35" i="47" s="1"/>
  <c r="BI2" i="47" a="1"/>
  <c r="I34" i="47" l="1"/>
  <c r="I35" i="47" s="1"/>
  <c r="V34" i="47"/>
  <c r="V35" i="47" s="1"/>
  <c r="H34" i="47"/>
  <c r="H35" i="47" s="1"/>
  <c r="Z34" i="47"/>
  <c r="Z35" i="47" s="1"/>
  <c r="Q34" i="47"/>
  <c r="Q35" i="47" s="1"/>
  <c r="F34" i="47"/>
  <c r="F35" i="47" s="1"/>
  <c r="O34" i="47"/>
  <c r="O35" i="47" s="1"/>
  <c r="W34" i="47"/>
  <c r="W35" i="47" s="1"/>
  <c r="T34" i="47"/>
  <c r="T35" i="47" s="1"/>
  <c r="J34" i="47"/>
  <c r="J35" i="47" s="1"/>
  <c r="AC34" i="47"/>
  <c r="AC35" i="47" s="1"/>
  <c r="BI2" i="47"/>
  <c r="L3" i="2" s="1"/>
  <c r="C3" i="2" s="1"/>
  <c r="E3" i="2" s="1"/>
  <c r="L41" i="2"/>
  <c r="C41" i="2" s="1"/>
  <c r="E41" i="2" s="1"/>
  <c r="L29" i="2"/>
  <c r="C29" i="2" s="1"/>
  <c r="E29" i="2" s="1"/>
  <c r="L19" i="2"/>
  <c r="C19" i="2" s="1"/>
  <c r="E19" i="2" s="1"/>
  <c r="L31" i="2"/>
  <c r="C31" i="2" s="1"/>
  <c r="E31" i="2" s="1"/>
  <c r="L37" i="2"/>
  <c r="C37" i="2" s="1"/>
  <c r="E37" i="2" s="1"/>
  <c r="L42" i="2"/>
  <c r="C42" i="2" s="1"/>
  <c r="E42" i="2" s="1"/>
  <c r="L32" i="2"/>
  <c r="C32" i="2" s="1"/>
  <c r="E32" i="2" s="1"/>
  <c r="L4" i="2"/>
  <c r="C4" i="2" s="1"/>
  <c r="E4" i="2" s="1"/>
  <c r="L22" i="2"/>
  <c r="C22" i="2" s="1"/>
  <c r="E22" i="2" s="1"/>
  <c r="L8" i="2"/>
  <c r="C8" i="2" s="1"/>
  <c r="E8" i="2" s="1"/>
  <c r="L25" i="2"/>
  <c r="C25" i="2" s="1"/>
  <c r="E25" i="2" s="1"/>
  <c r="L33" i="2"/>
  <c r="C33" i="2" s="1"/>
  <c r="E33" i="2" s="1"/>
  <c r="L23" i="2"/>
  <c r="C23" i="2" s="1"/>
  <c r="E23" i="2" s="1"/>
  <c r="L24" i="2"/>
  <c r="C24" i="2" s="1"/>
  <c r="E24" i="2" s="1"/>
  <c r="L14" i="2"/>
  <c r="C14" i="2" s="1"/>
  <c r="E14" i="2" s="1"/>
  <c r="L17" i="2"/>
  <c r="C17" i="2" s="1"/>
  <c r="E17" i="2" s="1"/>
  <c r="L39" i="2"/>
  <c r="C39" i="2" s="1"/>
  <c r="E39" i="2" s="1"/>
  <c r="L10" i="2"/>
  <c r="C10" i="2" s="1"/>
  <c r="E10" i="2" s="1"/>
  <c r="L40" i="2"/>
  <c r="C40" i="2" s="1"/>
  <c r="E40" i="2" s="1"/>
  <c r="L36" i="2"/>
  <c r="C36" i="2" s="1"/>
  <c r="E36" i="2" s="1"/>
  <c r="L7" i="2"/>
  <c r="C7" i="2" s="1"/>
  <c r="E7" i="2" s="1"/>
  <c r="L43" i="2"/>
  <c r="C43" i="2" s="1"/>
  <c r="E43" i="2" s="1"/>
  <c r="L15" i="2"/>
  <c r="C15" i="2" s="1"/>
  <c r="E15" i="2" s="1"/>
  <c r="L6" i="2"/>
  <c r="C6" i="2" s="1"/>
  <c r="E6" i="2" s="1"/>
  <c r="L12" i="2"/>
  <c r="C12" i="2" s="1"/>
  <c r="E12" i="2" s="1"/>
  <c r="L28" i="2"/>
  <c r="C28" i="2" s="1"/>
  <c r="E28" i="2" s="1"/>
  <c r="L11" i="2"/>
  <c r="C11" i="2" s="1"/>
  <c r="E11" i="2" s="1"/>
  <c r="L34" i="2"/>
  <c r="C34" i="2" s="1"/>
  <c r="E34" i="2" s="1"/>
  <c r="L35" i="2"/>
  <c r="C35" i="2" s="1"/>
  <c r="E35" i="2" s="1"/>
  <c r="L44" i="2"/>
  <c r="C44" i="2" s="1"/>
  <c r="E44" i="2" s="1"/>
  <c r="L13" i="2"/>
  <c r="C13" i="2" s="1"/>
  <c r="E13" i="2" s="1"/>
  <c r="L45" i="2"/>
  <c r="C45" i="2" s="1"/>
  <c r="E45" i="2" s="1"/>
  <c r="L27" i="2"/>
  <c r="C27" i="2" s="1"/>
  <c r="E27" i="2" s="1"/>
  <c r="L20" i="2"/>
  <c r="L21" i="2"/>
  <c r="C21" i="2" s="1"/>
  <c r="E21" i="2" s="1"/>
  <c r="L9" i="2"/>
  <c r="C9" i="2" s="1"/>
  <c r="E9" i="2" s="1"/>
  <c r="L5" i="2"/>
  <c r="C5" i="2" s="1"/>
  <c r="E5" i="2" s="1"/>
  <c r="L38" i="2"/>
  <c r="C38" i="2" s="1"/>
  <c r="E38" i="2" s="1"/>
  <c r="L26" i="2"/>
  <c r="C26" i="2" s="1"/>
  <c r="E26" i="2" s="1"/>
  <c r="L18" i="2"/>
  <c r="C18" i="2" s="1"/>
  <c r="E18" i="2" s="1"/>
  <c r="L30" i="2"/>
  <c r="C30" i="2" s="1"/>
  <c r="E30" i="2" s="1"/>
  <c r="L16" i="2"/>
  <c r="C16" i="2" s="1"/>
  <c r="E16" i="2" s="1"/>
  <c r="E34" i="47"/>
  <c r="E35" i="47" s="1"/>
  <c r="B17" i="49"/>
  <c r="B18" i="49" s="1"/>
  <c r="M15" i="2"/>
  <c r="D15" i="2" s="1"/>
  <c r="F15" i="2" s="1"/>
  <c r="M19" i="2"/>
  <c r="D19" i="2" s="1"/>
  <c r="F19" i="2" s="1"/>
  <c r="M12" i="2"/>
  <c r="D12" i="2" s="1"/>
  <c r="F12" i="2" s="1"/>
  <c r="M16" i="2"/>
  <c r="D16" i="2" s="1"/>
  <c r="F16" i="2" s="1"/>
  <c r="M29" i="2"/>
  <c r="D29" i="2" s="1"/>
  <c r="F29" i="2" s="1"/>
  <c r="AT2" i="48"/>
  <c r="M3" i="2" s="1"/>
  <c r="D3" i="2" s="1"/>
  <c r="F3" i="2" s="1"/>
  <c r="M7" i="2"/>
  <c r="D7" i="2" s="1"/>
  <c r="F7" i="2" s="1"/>
  <c r="M27" i="2"/>
  <c r="D27" i="2" s="1"/>
  <c r="F27" i="2" s="1"/>
  <c r="M24" i="2"/>
  <c r="D24" i="2" s="1"/>
  <c r="F24" i="2" s="1"/>
  <c r="M5" i="2"/>
  <c r="D5" i="2" s="1"/>
  <c r="F5" i="2" s="1"/>
  <c r="M25" i="2"/>
  <c r="D25" i="2" s="1"/>
  <c r="F25" i="2" s="1"/>
  <c r="M4" i="2"/>
  <c r="D4" i="2" s="1"/>
  <c r="F4" i="2" s="1"/>
  <c r="M8" i="2"/>
  <c r="D8" i="2" s="1"/>
  <c r="F8" i="2" s="1"/>
  <c r="M13" i="2"/>
  <c r="D13" i="2" s="1"/>
  <c r="F13" i="2" s="1"/>
  <c r="M14" i="2"/>
  <c r="D14" i="2" s="1"/>
  <c r="F14" i="2" s="1"/>
  <c r="M26" i="2"/>
  <c r="D26" i="2" s="1"/>
  <c r="F26" i="2" s="1"/>
  <c r="M17" i="2"/>
  <c r="D17" i="2" s="1"/>
  <c r="F17" i="2" s="1"/>
  <c r="M20" i="2"/>
  <c r="D20" i="2" s="1"/>
  <c r="F20" i="2" s="1"/>
  <c r="M28" i="2"/>
  <c r="D28" i="2" s="1"/>
  <c r="F28" i="2" s="1"/>
  <c r="M21" i="2"/>
  <c r="D21" i="2" s="1"/>
  <c r="F21" i="2" s="1"/>
  <c r="M22" i="2"/>
  <c r="D22" i="2" s="1"/>
  <c r="F22" i="2" s="1"/>
  <c r="M9" i="2"/>
  <c r="D9" i="2" s="1"/>
  <c r="F9" i="2" s="1"/>
  <c r="M10" i="2"/>
  <c r="D10" i="2" s="1"/>
  <c r="F10" i="2" s="1"/>
  <c r="M11" i="2"/>
  <c r="D11" i="2" s="1"/>
  <c r="F11" i="2" s="1"/>
  <c r="M6" i="2"/>
  <c r="D6" i="2" s="1"/>
  <c r="F6" i="2" s="1"/>
  <c r="M18" i="2"/>
  <c r="D18" i="2" s="1"/>
  <c r="F18" i="2" s="1"/>
  <c r="M30" i="2"/>
  <c r="D30" i="2" s="1"/>
  <c r="F30" i="2" s="1"/>
  <c r="M23" i="2"/>
  <c r="D23" i="2" s="1"/>
  <c r="F23" i="2" s="1"/>
  <c r="E38" i="47" l="1"/>
  <c r="C4" i="10" s="1"/>
  <c r="C20" i="2"/>
  <c r="E20" i="2" s="1"/>
  <c r="K30" i="48"/>
  <c r="K31" i="48" s="1"/>
  <c r="K32" i="48" s="1"/>
  <c r="K34" i="48" s="1"/>
  <c r="K35" i="48" s="1"/>
  <c r="T30" i="48"/>
  <c r="T31" i="48" s="1"/>
  <c r="T32" i="48" s="1"/>
  <c r="T34" i="48" s="1"/>
  <c r="T35" i="48" s="1"/>
  <c r="Z30" i="48"/>
  <c r="Z31" i="48" s="1"/>
  <c r="Z32" i="48" s="1"/>
  <c r="Z34" i="48" s="1"/>
  <c r="Z35" i="48" s="1"/>
  <c r="V30" i="48"/>
  <c r="V31" i="48" s="1"/>
  <c r="V32" i="48" s="1"/>
  <c r="V34" i="48" s="1"/>
  <c r="V35" i="48" s="1"/>
  <c r="B19" i="49"/>
  <c r="J30" i="48"/>
  <c r="J31" i="48" s="1"/>
  <c r="J32" i="48" s="1"/>
  <c r="J34" i="48" s="1"/>
  <c r="J35" i="48" s="1"/>
  <c r="G30" i="48"/>
  <c r="G31" i="48" s="1"/>
  <c r="G32" i="48" s="1"/>
  <c r="G34" i="48" s="1"/>
  <c r="G35" i="48" s="1"/>
  <c r="U30" i="48"/>
  <c r="U31" i="48" s="1"/>
  <c r="U32" i="48" s="1"/>
  <c r="U34" i="48" s="1"/>
  <c r="U35" i="48" s="1"/>
  <c r="F30" i="48"/>
  <c r="F31" i="48" s="1"/>
  <c r="F32" i="48" s="1"/>
  <c r="F34" i="48" s="1"/>
  <c r="F35" i="48" s="1"/>
  <c r="W30" i="48"/>
  <c r="W31" i="48" s="1"/>
  <c r="W32" i="48" s="1"/>
  <c r="W34" i="48" s="1"/>
  <c r="W35" i="48" s="1"/>
  <c r="AA30" i="48"/>
  <c r="AA31" i="48" s="1"/>
  <c r="AA32" i="48" s="1"/>
  <c r="AA34" i="48" s="1"/>
  <c r="AA35" i="48" s="1"/>
  <c r="Q30" i="48"/>
  <c r="Q31" i="48" s="1"/>
  <c r="Q32" i="48" s="1"/>
  <c r="Q34" i="48" s="1"/>
  <c r="Q35" i="48" s="1"/>
  <c r="P30" i="48"/>
  <c r="P31" i="48" s="1"/>
  <c r="P32" i="48" s="1"/>
  <c r="P34" i="48" s="1"/>
  <c r="P35" i="48" s="1"/>
  <c r="O30" i="48"/>
  <c r="O31" i="48" s="1"/>
  <c r="O32" i="48" s="1"/>
  <c r="O34" i="48" s="1"/>
  <c r="O35" i="48" s="1"/>
  <c r="S30" i="48"/>
  <c r="S31" i="48" s="1"/>
  <c r="S32" i="48" s="1"/>
  <c r="S34" i="48" s="1"/>
  <c r="S35" i="48" s="1"/>
  <c r="H30" i="48"/>
  <c r="H31" i="48" s="1"/>
  <c r="H32" i="48" s="1"/>
  <c r="H34" i="48" s="1"/>
  <c r="H35" i="48" s="1"/>
  <c r="Y30" i="48"/>
  <c r="Y31" i="48" s="1"/>
  <c r="Y32" i="48" s="1"/>
  <c r="Y34" i="48" s="1"/>
  <c r="Y35" i="48" s="1"/>
  <c r="M30" i="48"/>
  <c r="M31" i="48" s="1"/>
  <c r="M32" i="48" s="1"/>
  <c r="M34" i="48" s="1"/>
  <c r="M35" i="48" s="1"/>
  <c r="N30" i="48"/>
  <c r="N31" i="48" s="1"/>
  <c r="N32" i="48" s="1"/>
  <c r="N34" i="48" s="1"/>
  <c r="N35" i="48" s="1"/>
  <c r="AB30" i="48"/>
  <c r="AB31" i="48" s="1"/>
  <c r="AB32" i="48" s="1"/>
  <c r="AB34" i="48" s="1"/>
  <c r="AB35" i="48" s="1"/>
  <c r="R30" i="48"/>
  <c r="R31" i="48" s="1"/>
  <c r="R32" i="48" s="1"/>
  <c r="R34" i="48" s="1"/>
  <c r="R35" i="48" s="1"/>
  <c r="I30" i="48"/>
  <c r="I31" i="48" s="1"/>
  <c r="I32" i="48" s="1"/>
  <c r="I34" i="48" s="1"/>
  <c r="I35" i="48" s="1"/>
  <c r="X30" i="48"/>
  <c r="X31" i="48" s="1"/>
  <c r="X32" i="48" s="1"/>
  <c r="X34" i="48" s="1"/>
  <c r="X35" i="48" s="1"/>
  <c r="AC30" i="48"/>
  <c r="AC31" i="48" s="1"/>
  <c r="AC32" i="48" s="1"/>
  <c r="AC34" i="48" s="1"/>
  <c r="AC35" i="48" s="1"/>
  <c r="L30" i="48"/>
  <c r="L31" i="48" s="1"/>
  <c r="L32" i="48" s="1"/>
  <c r="L34" i="48" s="1"/>
  <c r="L35" i="48" s="1"/>
  <c r="F3" i="33"/>
  <c r="J3" i="33"/>
  <c r="W3" i="33"/>
  <c r="U3" i="33"/>
  <c r="I3" i="33"/>
  <c r="G3" i="33"/>
  <c r="L3" i="33"/>
  <c r="AD3" i="33"/>
  <c r="AB3" i="33"/>
  <c r="P3" i="33"/>
  <c r="E3" i="33"/>
  <c r="H3" i="33"/>
  <c r="AN3" i="33"/>
  <c r="AH3" i="33"/>
  <c r="AC3" i="33"/>
  <c r="AQ3" i="33"/>
  <c r="AT3" i="33"/>
  <c r="AV3" i="33"/>
  <c r="AY3" i="33"/>
  <c r="Y3" i="33"/>
  <c r="C3" i="30" a="1"/>
  <c r="C3" i="30" s="1"/>
  <c r="AS3" i="33"/>
  <c r="AE3" i="33"/>
  <c r="AJ3" i="33"/>
  <c r="O3" i="33"/>
  <c r="K3" i="33"/>
  <c r="M3" i="33"/>
  <c r="Q3" i="33"/>
  <c r="Z3" i="33"/>
  <c r="AO3" i="33"/>
  <c r="AF3" i="33"/>
  <c r="C3" i="33"/>
  <c r="AG3" i="33"/>
  <c r="T3" i="33"/>
  <c r="AW3" i="33"/>
  <c r="AP3" i="33"/>
  <c r="AA3" i="33"/>
  <c r="S3" i="33"/>
  <c r="V3" i="33"/>
  <c r="AR3" i="33"/>
  <c r="R3" i="33"/>
  <c r="N3" i="33"/>
  <c r="AZ3" i="33"/>
  <c r="B3" i="33"/>
  <c r="AX3" i="33"/>
  <c r="AU3" i="33"/>
  <c r="AL3" i="33"/>
  <c r="X3" i="33"/>
  <c r="D3" i="33"/>
  <c r="AM3" i="33"/>
  <c r="AK3" i="33"/>
  <c r="AI3" i="33"/>
  <c r="E2" i="33"/>
  <c r="C2" i="33"/>
  <c r="D2" i="33"/>
  <c r="B2" i="33"/>
  <c r="N2" i="33"/>
  <c r="L2" i="33"/>
  <c r="R2" i="33"/>
  <c r="G2" i="33"/>
  <c r="Q2" i="33"/>
  <c r="M2" i="33"/>
  <c r="J2" i="33"/>
  <c r="I2" i="33"/>
  <c r="K2" i="33"/>
  <c r="O2" i="33"/>
  <c r="F2" i="33"/>
  <c r="H2" i="33"/>
  <c r="P2" i="33"/>
  <c r="E34" i="48" l="1"/>
  <c r="E35" i="48" s="1"/>
  <c r="E38" i="48"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<sst xmlns="http://schemas.openxmlformats.org/spreadsheetml/2006/main" count="1376" uniqueCount="253">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</sst>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75">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xml"/><Relationship Id="rId21" Type="http://schemas.openxmlformats.org/officeDocument/2006/relationships/worksheet" Target="worksheets/sheet21.xml"/><Relationship Id="rId42" Type="http://schemas.openxmlformats.org/officeDocument/2006/relationships/externalLink" Target="externalLinks/externalLink18.xml"/><Relationship Id="rId47" Type="http://schemas.openxmlformats.org/officeDocument/2006/relationships/externalLink" Target="externalLinks/externalLink23.xml"/><Relationship Id="rId63" Type="http://schemas.openxmlformats.org/officeDocument/2006/relationships/sharedStrings" Target="sharedStrings.xml"/><Relationship Id="rId68"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externalLink" Target="externalLinks/externalLink16.xml"/><Relationship Id="rId45" Type="http://schemas.openxmlformats.org/officeDocument/2006/relationships/externalLink" Target="externalLinks/externalLink21.xml"/><Relationship Id="rId53" Type="http://schemas.openxmlformats.org/officeDocument/2006/relationships/externalLink" Target="externalLinks/externalLink29.xml"/><Relationship Id="rId58" Type="http://schemas.openxmlformats.org/officeDocument/2006/relationships/externalLink" Target="externalLinks/externalLink34.xml"/><Relationship Id="rId66"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43" Type="http://schemas.openxmlformats.org/officeDocument/2006/relationships/externalLink" Target="externalLinks/externalLink19.xml"/><Relationship Id="rId48" Type="http://schemas.openxmlformats.org/officeDocument/2006/relationships/externalLink" Target="externalLinks/externalLink24.xml"/><Relationship Id="rId56" Type="http://schemas.openxmlformats.org/officeDocument/2006/relationships/externalLink" Target="externalLinks/externalLink32.xml"/><Relationship Id="rId64" Type="http://schemas.openxmlformats.org/officeDocument/2006/relationships/sheetMetadata" Target="metadata.xml"/><Relationship Id="rId69"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externalLink" Target="externalLinks/externalLink14.xml"/><Relationship Id="rId46" Type="http://schemas.openxmlformats.org/officeDocument/2006/relationships/externalLink" Target="externalLinks/externalLink22.xml"/><Relationship Id="rId59" Type="http://schemas.openxmlformats.org/officeDocument/2006/relationships/externalLink" Target="externalLinks/externalLink35.xml"/><Relationship Id="rId67"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externalLink" Target="externalLinks/externalLink17.xml"/><Relationship Id="rId54" Type="http://schemas.openxmlformats.org/officeDocument/2006/relationships/externalLink" Target="externalLinks/externalLink30.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49" Type="http://schemas.openxmlformats.org/officeDocument/2006/relationships/externalLink" Target="externalLinks/externalLink25.xml"/><Relationship Id="rId57" Type="http://schemas.openxmlformats.org/officeDocument/2006/relationships/externalLink" Target="externalLinks/externalLink33.xml"/><Relationship Id="rId10" Type="http://schemas.openxmlformats.org/officeDocument/2006/relationships/worksheet" Target="worksheets/sheet10.xml"/><Relationship Id="rId31" Type="http://schemas.openxmlformats.org/officeDocument/2006/relationships/externalLink" Target="externalLinks/externalLink7.xml"/><Relationship Id="rId44" Type="http://schemas.openxmlformats.org/officeDocument/2006/relationships/externalLink" Target="externalLinks/externalLink20.xml"/><Relationship Id="rId52" Type="http://schemas.openxmlformats.org/officeDocument/2006/relationships/externalLink" Target="externalLinks/externalLink28.xml"/><Relationship Id="rId60" Type="http://schemas.openxmlformats.org/officeDocument/2006/relationships/externalLink" Target="externalLinks/externalLink36.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5.xml"/><Relationship Id="rId34" Type="http://schemas.openxmlformats.org/officeDocument/2006/relationships/externalLink" Target="externalLinks/externalLink10.xml"/><Relationship Id="rId50" Type="http://schemas.openxmlformats.org/officeDocument/2006/relationships/externalLink" Target="externalLinks/externalLink26.xml"/><Relationship Id="rId55" Type="http://schemas.openxmlformats.org/officeDocument/2006/relationships/externalLink" Target="externalLinks/externalLink3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calculatedColumnFormula>'Net Salary P2'!AT2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_xlfn.XLOOKUP(_xlfn.XLOOKUP(TableIncome[[#This Row],[Year]],Loop!C:C,Loop!D:D),'Job Hopping'!B:B,'Job Hopping'!F:F)</calculatedColumnFormula>
    </tableColumn>
    <tableColumn id="6" xr3:uid="{85FE9DAF-5AA1-4B37-AB45-C3AD3B6E6CC3}" name="SwitchP2" dataDxfId="40">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calculatedColumnFormula>IF(JobHopping[[#This Row],[Age]]&lt;40,"",JobHopping[[#This Row],[SwitchP1Static]])</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265625" defaultRowHeight="14.5" x14ac:dyDescent="0.35"/>
  <cols>
    <col min="1" max="1" width="3.26953125" style="1" customWidth="1"/>
    <col min="2" max="2" width="41.7265625" style="1" bestFit="1" customWidth="1"/>
    <col min="3" max="3" width="25.1796875" style="1" customWidth="1"/>
    <col min="4" max="16384" width="8.7265625" style="1"/>
  </cols>
  <sheetData>
    <row r="1" spans="2:3" ht="23.5" x14ac:dyDescent="0.55000000000000004">
      <c r="B1" s="9" t="s">
        <v>218</v>
      </c>
    </row>
    <row r="5" spans="2:3" ht="23.5" x14ac:dyDescent="0.55000000000000004">
      <c r="B5" s="9" t="s">
        <v>247</v>
      </c>
    </row>
    <row r="6" spans="2:3" x14ac:dyDescent="0.35">
      <c r="B6" s="67" t="s">
        <v>252</v>
      </c>
    </row>
    <row r="7" spans="2:3" x14ac:dyDescent="0.35">
      <c r="B7" s="64" t="s">
        <v>48</v>
      </c>
    </row>
    <row r="8" spans="2:3" x14ac:dyDescent="0.35">
      <c r="B8" s="65" t="s">
        <v>47</v>
      </c>
      <c r="C8" s="1" t="s">
        <v>44</v>
      </c>
    </row>
    <row r="9" spans="2:3" x14ac:dyDescent="0.35">
      <c r="B9" s="66" t="s">
        <v>56</v>
      </c>
      <c r="C9" s="1" t="s">
        <v>57</v>
      </c>
    </row>
    <row r="11" spans="2:3" ht="23.5" x14ac:dyDescent="0.55000000000000004">
      <c r="B11" s="9" t="s">
        <v>45</v>
      </c>
    </row>
    <row r="12" spans="2:3" x14ac:dyDescent="0.35">
      <c r="B12" s="10" t="s">
        <v>46</v>
      </c>
    </row>
    <row r="13" spans="2:3" x14ac:dyDescent="0.35">
      <c r="B13" s="11" t="s">
        <v>49</v>
      </c>
    </row>
    <row r="16" spans="2:3" ht="27" customHeight="1" x14ac:dyDescent="0.35">
      <c r="B16" s="71" t="s">
        <v>219</v>
      </c>
    </row>
    <row r="17" spans="2:2" x14ac:dyDescent="0.35">
      <c r="B17" s="62" t="s">
        <v>220</v>
      </c>
    </row>
    <row r="18" spans="2:2" x14ac:dyDescent="0.35">
      <c r="B18" s="68" t="s">
        <v>238</v>
      </c>
    </row>
    <row r="19" spans="2:2" x14ac:dyDescent="0.35">
      <c r="B19" s="63" t="s">
        <v>237</v>
      </c>
    </row>
    <row r="20" spans="2:2" x14ac:dyDescent="0.35">
      <c r="B20" s="63" t="s">
        <v>235</v>
      </c>
    </row>
    <row r="21" spans="2:2" x14ac:dyDescent="0.35">
      <c r="B21" s="63" t="s">
        <v>236</v>
      </c>
    </row>
    <row r="22" spans="2:2" x14ac:dyDescent="0.35">
      <c r="B22" s="63" t="s">
        <v>233</v>
      </c>
    </row>
    <row r="23" spans="2:2" x14ac:dyDescent="0.35">
      <c r="B23" s="63" t="s">
        <v>234</v>
      </c>
    </row>
    <row r="24" spans="2:2" x14ac:dyDescent="0.35">
      <c r="B24" s="63" t="s">
        <v>249</v>
      </c>
    </row>
    <row r="25" spans="2:2" x14ac:dyDescent="0.35">
      <c r="B25" s="69" t="s">
        <v>250</v>
      </c>
    </row>
    <row r="26" spans="2:2" x14ac:dyDescent="0.35">
      <c r="B26" s="69" t="s">
        <v>251</v>
      </c>
    </row>
    <row r="27" spans="2:2" x14ac:dyDescent="0.35">
      <c r="B27" s="70" t="s">
        <v>221</v>
      </c>
    </row>
    <row r="28" spans="2:2" x14ac:dyDescent="0.35">
      <c r="B28" s="59" t="s">
        <v>248</v>
      </c>
    </row>
    <row r="29" spans="2:2" x14ac:dyDescent="0.35">
      <c r="B29" s="60"/>
    </row>
    <row r="30" spans="2:2" x14ac:dyDescent="0.35">
      <c r="B30" s="60"/>
    </row>
    <row r="31" spans="2:2" x14ac:dyDescent="0.35">
      <c r="B31" s="60"/>
    </row>
    <row r="32" spans="2:2" x14ac:dyDescent="0.35">
      <c r="B32" s="60"/>
    </row>
    <row r="33" spans="2:2" x14ac:dyDescent="0.35">
      <c r="B33" s="60"/>
    </row>
    <row r="34" spans="2:2" x14ac:dyDescent="0.35">
      <c r="B34" s="60"/>
    </row>
    <row r="35" spans="2:2" x14ac:dyDescent="0.35">
      <c r="B35" s="60"/>
    </row>
    <row r="36" spans="2:2" x14ac:dyDescent="0.35">
      <c r="B36" s="60"/>
    </row>
    <row r="37" spans="2:2" x14ac:dyDescent="0.3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topLeftCell="A8" workbookViewId="0">
      <selection activeCell="C11" sqref="C11"/>
    </sheetView>
  </sheetViews>
  <sheetFormatPr defaultRowHeight="14.5" x14ac:dyDescent="0.35"/>
  <cols>
    <col min="1" max="1" width="3.1796875" customWidth="1"/>
    <col min="2" max="2" width="38.453125" bestFit="1" customWidth="1"/>
    <col min="3" max="3" width="12.1796875" style="36" bestFit="1" customWidth="1"/>
  </cols>
  <sheetData>
    <row r="2" spans="2:3" x14ac:dyDescent="0.35">
      <c r="B2" s="43" t="s">
        <v>64</v>
      </c>
      <c r="C2" s="46">
        <v>0.02</v>
      </c>
    </row>
    <row r="3" spans="2:3" x14ac:dyDescent="0.35">
      <c r="B3" s="44" t="s">
        <v>227</v>
      </c>
      <c r="C3" s="47"/>
    </row>
    <row r="4" spans="2:3" x14ac:dyDescent="0.35">
      <c r="B4" s="49" t="s">
        <v>65</v>
      </c>
      <c r="C4" s="50">
        <v>0.03</v>
      </c>
    </row>
    <row r="5" spans="2:3" x14ac:dyDescent="0.35">
      <c r="B5" s="51" t="s">
        <v>67</v>
      </c>
      <c r="C5" s="52">
        <f>C4-C2</f>
        <v>9.9999999999999985E-3</v>
      </c>
    </row>
    <row r="6" spans="2:3" x14ac:dyDescent="0.35">
      <c r="B6" s="51" t="s">
        <v>66</v>
      </c>
      <c r="C6" s="52">
        <v>0.06</v>
      </c>
    </row>
    <row r="7" spans="2:3" x14ac:dyDescent="0.35">
      <c r="B7" s="51" t="s">
        <v>177</v>
      </c>
      <c r="C7" s="52">
        <f>C6-C2</f>
        <v>3.9999999999999994E-2</v>
      </c>
    </row>
    <row r="8" spans="2:3" x14ac:dyDescent="0.35">
      <c r="B8" s="51" t="s">
        <v>78</v>
      </c>
      <c r="C8" s="52">
        <v>0.1</v>
      </c>
    </row>
    <row r="9" spans="2:3" x14ac:dyDescent="0.35">
      <c r="B9" s="51" t="s">
        <v>231</v>
      </c>
      <c r="C9" s="53">
        <v>43871</v>
      </c>
    </row>
    <row r="10" spans="2:3" x14ac:dyDescent="0.35">
      <c r="B10" s="45" t="s">
        <v>232</v>
      </c>
      <c r="C10" s="48">
        <v>72000</v>
      </c>
    </row>
    <row r="11" spans="2:3" x14ac:dyDescent="0.35">
      <c r="B11" s="44" t="s">
        <v>222</v>
      </c>
      <c r="C11" s="47"/>
    </row>
    <row r="12" spans="2:3" x14ac:dyDescent="0.35">
      <c r="B12" s="49" t="s">
        <v>223</v>
      </c>
      <c r="C12" s="50">
        <v>0.05</v>
      </c>
    </row>
    <row r="13" spans="2:3" x14ac:dyDescent="0.35">
      <c r="B13" s="51" t="s">
        <v>224</v>
      </c>
      <c r="C13" s="52">
        <v>0.1</v>
      </c>
    </row>
    <row r="14" spans="2:3" x14ac:dyDescent="0.35">
      <c r="B14" s="45" t="s">
        <v>226</v>
      </c>
      <c r="C14" s="48">
        <v>9400</v>
      </c>
    </row>
    <row r="15" spans="2:3" x14ac:dyDescent="0.35">
      <c r="B15" s="44" t="s">
        <v>225</v>
      </c>
      <c r="C15" s="47"/>
    </row>
    <row r="16" spans="2:3" x14ac:dyDescent="0.35">
      <c r="B16" s="49" t="s">
        <v>192</v>
      </c>
      <c r="C16" s="50">
        <v>0.08</v>
      </c>
    </row>
    <row r="17" spans="2:3" x14ac:dyDescent="0.35">
      <c r="B17" s="49" t="s">
        <v>239</v>
      </c>
      <c r="C17" s="56">
        <v>51600</v>
      </c>
    </row>
    <row r="18" spans="2:3" x14ac:dyDescent="0.35">
      <c r="B18" s="51" t="s">
        <v>240</v>
      </c>
      <c r="C18" s="52">
        <v>0.1201</v>
      </c>
    </row>
    <row r="19" spans="2:3" x14ac:dyDescent="0.35">
      <c r="B19" s="51" t="s">
        <v>241</v>
      </c>
      <c r="C19" s="52">
        <v>0.15</v>
      </c>
    </row>
    <row r="20" spans="2:3" x14ac:dyDescent="0.35">
      <c r="B20" s="51" t="s">
        <v>242</v>
      </c>
      <c r="C20" s="54">
        <v>618400</v>
      </c>
    </row>
    <row r="21" spans="2:3" x14ac:dyDescent="0.35">
      <c r="B21" s="51" t="s">
        <v>243</v>
      </c>
      <c r="C21" s="52">
        <v>0.25</v>
      </c>
    </row>
    <row r="22" spans="2:3" x14ac:dyDescent="0.35">
      <c r="B22" s="51" t="s">
        <v>228</v>
      </c>
      <c r="C22" s="55">
        <v>0.27</v>
      </c>
    </row>
    <row r="23" spans="2:3" x14ac:dyDescent="0.35">
      <c r="B23" s="51" t="s">
        <v>229</v>
      </c>
      <c r="C23" s="55">
        <v>0.42</v>
      </c>
    </row>
    <row r="24" spans="2:3" x14ac:dyDescent="0.35">
      <c r="B24" s="45" t="s">
        <v>230</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topLeftCell="H1" zoomScale="65" workbookViewId="0">
      <selection activeCell="D5" sqref="D5"/>
    </sheetView>
  </sheetViews>
  <sheetFormatPr defaultColWidth="15.26953125" defaultRowHeight="14.5" x14ac:dyDescent="0.35"/>
  <cols>
    <col min="1" max="1" width="3.81640625" style="1" customWidth="1"/>
    <col min="2" max="2" width="11.453125" style="1" bestFit="1" customWidth="1"/>
    <col min="3" max="3" width="15" style="1" customWidth="1"/>
    <col min="4" max="4" width="15" style="1" bestFit="1" customWidth="1"/>
    <col min="5" max="6" width="20" style="1" bestFit="1" customWidth="1"/>
    <col min="7" max="7" width="4.54296875" style="1" customWidth="1"/>
    <col min="8" max="8" width="34.81640625" style="1" bestFit="1" customWidth="1"/>
    <col min="9" max="11" width="15.26953125" style="1"/>
    <col min="12" max="13" width="25.7265625" style="1" bestFit="1" customWidth="1"/>
    <col min="14" max="15" width="38.26953125" style="1" bestFit="1" customWidth="1"/>
    <col min="16" max="17" width="27.7265625" style="1" bestFit="1" customWidth="1"/>
    <col min="18" max="19" width="15.54296875" style="1" bestFit="1" customWidth="1"/>
    <col min="20" max="16384" width="15.26953125" style="1"/>
  </cols>
  <sheetData>
    <row r="1" spans="1:19" x14ac:dyDescent="0.35">
      <c r="A1" s="58" t="s">
        <v>246</v>
      </c>
    </row>
    <row r="2" spans="1:19" x14ac:dyDescent="0.3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35">
      <c r="B3" s="2">
        <v>2025</v>
      </c>
      <c r="C3" s="40">
        <f>(TableIncomeCalculations[[#This Row],[NetMonthlySalaryP1]]*12)</f>
        <v>275486.20078431378</v>
      </c>
      <c r="D3" s="41">
        <f>(TableIncomeCalculations[[#This Row],[NetMonthlySalaryP2]]*12)</f>
        <v>453589.62012784311</v>
      </c>
      <c r="E3" s="40">
        <f>TableIncome[[#This Row],[SalaryP1]]*$I$7</f>
        <v>27548.620078431381</v>
      </c>
      <c r="F3" s="40">
        <f>TableIncome[[#This Row],[SalaryP2]]*$I$7</f>
        <v>45358.962012784315</v>
      </c>
      <c r="G3" s="16"/>
      <c r="H3" s="13" t="s">
        <v>65</v>
      </c>
      <c r="I3" s="14" cm="1">
        <f t="array" ref="I3:I7">'Salary Variables'!$C$4:$C$8</f>
        <v>0.03</v>
      </c>
      <c r="L3" s="38">
        <f>'Net Salary P1'!BI2</f>
        <v>22957.183398692814</v>
      </c>
      <c r="M3" s="39">
        <f>'Net Salary P2'!AT2</f>
        <v>37799.13501065359</v>
      </c>
      <c r="N3" s="39">
        <f>TableIncomeCalculations[[#This Row],[GrossMonthlySalaryP1]]/(1+I2)</f>
        <v>42156.862745098042</v>
      </c>
      <c r="O3" s="35">
        <f>TableIncomeCalculations[[#This Row],[GrossMonthlySalaryP2]]/(1+I2)</f>
        <v>70751.96078431372</v>
      </c>
      <c r="P3" s="39">
        <v>43000</v>
      </c>
      <c r="Q3" s="35">
        <v>72167</v>
      </c>
      <c r="R3" t="str">
        <f>_xlfn.XLOOKUP(_xlfn.XLOOKUP(TableIncome[[#This Row],[Year]],Loop!C:C,Loop!D:D),'Job Hopping'!B:B,'Job Hopping'!F:F)</f>
        <v>N</v>
      </c>
      <c r="S3" t="str">
        <f>_xlfn.XLOOKUP(_xlfn.XLOOKUP(TableIncome[[#This Row],[Year]],Loop!C:C,Loop!E:E),'Job Hopping'!B:B,'Job Hopping'!G:G)</f>
        <v>N</v>
      </c>
    </row>
    <row r="4" spans="1:19" x14ac:dyDescent="0.35">
      <c r="B4" s="2">
        <v>2026</v>
      </c>
      <c r="C4" s="42">
        <f>(TableIncomeCalculations[[#This Row],[NetMonthlySalaryP1]]*12)</f>
        <v>278451.94778577471</v>
      </c>
      <c r="D4" s="41">
        <f>(TableIncomeCalculations[[#This Row],[NetMonthlySalaryP2]]*12)</f>
        <v>457331.40132273937</v>
      </c>
      <c r="E4" s="40">
        <f>TableIncome[[#This Row],[SalaryP1]]*$I$7</f>
        <v>27845.194778577472</v>
      </c>
      <c r="F4" s="40">
        <f>TableIncome[[#This Row],[SalaryP2]]*$I$7</f>
        <v>45733.14013227394</v>
      </c>
      <c r="G4" s="16"/>
      <c r="H4" s="13" t="s">
        <v>67</v>
      </c>
      <c r="I4" s="14">
        <v>9.9999999999999985E-3</v>
      </c>
      <c r="L4" s="38">
        <f>'Net Salary P1'!BI3</f>
        <v>23204.328982147894</v>
      </c>
      <c r="M4" s="39">
        <f>'Net Salary P2'!AT3</f>
        <v>38110.950110228281</v>
      </c>
      <c r="N4" s="39">
        <f>IF(_xlfn.XLOOKUP(TableIncome[[#This Row],[Year]],Loop!C:C,Loop!D:D)&lt;70,(N3*(1+$I$4))+IF(TableIncomeCalculations[[#This Row],[SwitchP1]]="Y",N3*$I$6,0),0)</f>
        <v>42578.431372549021</v>
      </c>
      <c r="O4" s="39">
        <f>IF(_xlfn.XLOOKUP(TableIncome[[#This Row],[Year]],Loop!C:C,Loop!E:E)&lt;70,(O3*(1+$I$4))+IF(TableIncomeCalculations[[#This Row],[SwitchP2]]="Y",Q3*$I$6,0),0)</f>
        <v>71459.480392156853</v>
      </c>
      <c r="P4" s="39">
        <f>IF(_xlfn.XLOOKUP(TableIncome[[#This Row],[Year]],Loop!C:C,Loop!D:D)&lt;70,(P3*(1+$I$3))+IF(TableIncomeCalculations[[#This Row],[SwitchP1]]="Y",P3*$I$5,0),0)</f>
        <v>44290</v>
      </c>
      <c r="Q4" s="39">
        <f>IF(_xlfn.XLOOKUP(TableIncome[[#This Row],[Year]],Loop!C:C,Loop!E:E)&lt;70,(Q3*(1+$I$3))+IF(TableIncomeCalculations[[#This Row],[SwitchP2]]="Y",Q3*$I$5,0),0)</f>
        <v>74332.009999999995</v>
      </c>
      <c r="R4" t="str">
        <f>_xlfn.XLOOKUP(_xlfn.XLOOKUP(TableIncome[[#This Row],[Year]],Loop!C:C,Loop!D:D),'Job Hopping'!B:B,'Job Hopping'!F:F)</f>
        <v>N</v>
      </c>
      <c r="S4" t="str">
        <f>_xlfn.XLOOKUP(_xlfn.XLOOKUP(TableIncome[[#This Row],[Year]],Loop!C:C,Loop!E:E),'Job Hopping'!B:B,'Job Hopping'!G:G)</f>
        <v>N</v>
      </c>
    </row>
    <row r="5" spans="1:19" x14ac:dyDescent="0.35">
      <c r="B5" s="2">
        <v>2027</v>
      </c>
      <c r="C5" s="42">
        <f>(TableIncomeCalculations[[#This Row],[NetMonthlySalaryP1]]*12)</f>
        <v>292693.59310114011</v>
      </c>
      <c r="D5" s="41">
        <f>(TableIncomeCalculations[[#This Row],[NetMonthlySalaryP2]]*12)</f>
        <v>461105.25020029803</v>
      </c>
      <c r="E5" s="40">
        <f>TableIncome[[#This Row],[SalaryP1]]*$I$7</f>
        <v>29269.359310114014</v>
      </c>
      <c r="F5" s="40">
        <f>TableIncome[[#This Row],[SalaryP2]]*$I$7</f>
        <v>46110.525020029803</v>
      </c>
      <c r="G5" s="16"/>
      <c r="H5" s="13" t="s">
        <v>66</v>
      </c>
      <c r="I5" s="14">
        <v>0.06</v>
      </c>
      <c r="L5" s="38">
        <f>'Net Salary P1'!BI4</f>
        <v>24391.132758428343</v>
      </c>
      <c r="M5" s="39">
        <f>'Net Salary P2'!AT4</f>
        <v>38425.437516691505</v>
      </c>
      <c r="N5" s="39">
        <f>IF(_xlfn.XLOOKUP(TableIncome[[#This Row],[Year]],Loop!C:C,Loop!D:D)&lt;70,(N4*(1+$I$4))+IF(TableIncomeCalculations[[#This Row],[SwitchP1]]="Y",N4*$I$6,0),0)</f>
        <v>44707.352941176468</v>
      </c>
      <c r="O5" s="39">
        <f>IF(_xlfn.XLOOKUP(TableIncome[[#This Row],[Year]],Loop!C:C,Loop!E:E)&lt;70,(O4*(1+$I$4))+IF(TableIncomeCalculations[[#This Row],[SwitchP2]]="Y",Q4*$I$6,0),0)</f>
        <v>72174.075196078426</v>
      </c>
      <c r="P5" s="39">
        <f>IF(_xlfn.XLOOKUP(TableIncome[[#This Row],[Year]],Loop!C:C,Loop!D:D)&lt;70,(P4*(1+$I$3))+IF(TableIncomeCalculations[[#This Row],[SwitchP1]]="Y",P4*$I$5,0),0)</f>
        <v>48276.100000000006</v>
      </c>
      <c r="Q5" s="39">
        <f>IF(_xlfn.XLOOKUP(TableIncome[[#This Row],[Year]],Loop!C:C,Loop!E:E)&lt;70,(Q4*(1+$I$3))+IF(TableIncomeCalculations[[#This Row],[SwitchP2]]="Y",Q4*$I$5,0),0)</f>
        <v>76561.970300000001</v>
      </c>
      <c r="R5" t="str">
        <f>_xlfn.XLOOKUP(_xlfn.XLOOKUP(TableIncome[[#This Row],[Year]],Loop!C:C,Loop!D:D),'Job Hopping'!B:B,'Job Hopping'!F:F)</f>
        <v>Y</v>
      </c>
      <c r="S5" t="str">
        <f>_xlfn.XLOOKUP(_xlfn.XLOOKUP(TableIncome[[#This Row],[Year]],Loop!C:C,Loop!E:E),'Job Hopping'!B:B,'Job Hopping'!G:G)</f>
        <v>N</v>
      </c>
    </row>
    <row r="6" spans="1:19" x14ac:dyDescent="0.35">
      <c r="B6" s="2">
        <v>2028</v>
      </c>
      <c r="C6" s="42">
        <f>(TableIncomeCalculations[[#This Row],[NetMonthlySalaryP1]]*12)</f>
        <v>295820.81867169193</v>
      </c>
      <c r="D6" s="41">
        <f>(TableIncomeCalculations[[#This Row],[NetMonthlySalaryP2]]*12)</f>
        <v>480325.63374858629</v>
      </c>
      <c r="E6" s="40">
        <f>TableIncome[[#This Row],[SalaryP1]]*$I$7</f>
        <v>29582.081867169196</v>
      </c>
      <c r="F6" s="40">
        <f>TableIncome[[#This Row],[SalaryP2]]*$I$7</f>
        <v>48032.563374858633</v>
      </c>
      <c r="G6" s="16"/>
      <c r="H6" s="13" t="s">
        <v>177</v>
      </c>
      <c r="I6" s="14">
        <v>3.9999999999999994E-2</v>
      </c>
      <c r="L6" s="38">
        <f>'Net Salary P1'!BI5</f>
        <v>24651.73488930766</v>
      </c>
      <c r="M6" s="39">
        <f>'Net Salary P2'!AT5</f>
        <v>40027.136145715522</v>
      </c>
      <c r="N6" s="39">
        <f>IF(_xlfn.XLOOKUP(TableIncome[[#This Row],[Year]],Loop!C:C,Loop!D:D)&lt;70,(N5*(1+$I$4))+IF(TableIncomeCalculations[[#This Row],[SwitchP1]]="Y",N5*$I$6,0),0)</f>
        <v>45154.426470588231</v>
      </c>
      <c r="O6" s="39">
        <f>IF(_xlfn.XLOOKUP(TableIncome[[#This Row],[Year]],Loop!C:C,Loop!E:E)&lt;70,(O5*(1+$I$4))+IF(TableIncomeCalculations[[#This Row],[SwitchP2]]="Y",Q5*$I$6,0),0)</f>
        <v>75958.294760039207</v>
      </c>
      <c r="P6" s="39">
        <f>IF(_xlfn.XLOOKUP(TableIncome[[#This Row],[Year]],Loop!C:C,Loop!D:D)&lt;70,(P5*(1+$I$3))+IF(TableIncomeCalculations[[#This Row],[SwitchP1]]="Y",P5*$I$5,0),0)</f>
        <v>49724.383000000009</v>
      </c>
      <c r="Q6" s="39">
        <f>IF(_xlfn.XLOOKUP(TableIncome[[#This Row],[Year]],Loop!C:C,Loop!E:E)&lt;70,(Q5*(1+$I$3))+IF(TableIncomeCalculations[[#This Row],[SwitchP2]]="Y",Q5*$I$5,0),0)</f>
        <v>83452.547626999993</v>
      </c>
      <c r="R6" t="str">
        <f>_xlfn.XLOOKUP(_xlfn.XLOOKUP(TableIncome[[#This Row],[Year]],Loop!C:C,Loop!D:D),'Job Hopping'!B:B,'Job Hopping'!F:F)</f>
        <v>N</v>
      </c>
      <c r="S6" t="str">
        <f>_xlfn.XLOOKUP(_xlfn.XLOOKUP(TableIncome[[#This Row],[Year]],Loop!C:C,Loop!E:E),'Job Hopping'!B:B,'Job Hopping'!G:G)</f>
        <v>Y</v>
      </c>
    </row>
    <row r="7" spans="1:19" x14ac:dyDescent="0.35">
      <c r="B7" s="2">
        <v>2029</v>
      </c>
      <c r="C7" s="42">
        <f>(TableIncomeCalculations[[#This Row],[NetMonthlySalaryP1]]*12)</f>
        <v>298974.17412070336</v>
      </c>
      <c r="D7" s="41">
        <f>(TableIncomeCalculations[[#This Row],[NetMonthlySalaryP2]]*12)</f>
        <v>484319.03734836658</v>
      </c>
      <c r="E7" s="40">
        <f>TableIncome[[#This Row],[SalaryP1]]*$I$7</f>
        <v>29897.417412070339</v>
      </c>
      <c r="F7" s="40">
        <f>TableIncome[[#This Row],[SalaryP2]]*$I$7</f>
        <v>48431.903734836662</v>
      </c>
      <c r="G7" s="16"/>
      <c r="H7" s="13" t="s">
        <v>78</v>
      </c>
      <c r="I7" s="14">
        <v>0.1</v>
      </c>
      <c r="L7" s="38">
        <f>'Net Salary P1'!BI6</f>
        <v>24914.514510058612</v>
      </c>
      <c r="M7" s="39">
        <f>'Net Salary P2'!AT6</f>
        <v>40359.919779030548</v>
      </c>
      <c r="N7" s="39">
        <f>IF(_xlfn.XLOOKUP(TableIncome[[#This Row],[Year]],Loop!C:C,Loop!D:D)&lt;70,(N6*(1+$I$4))+IF(TableIncomeCalculations[[#This Row],[SwitchP1]]="Y",N6*$I$6,0),0)</f>
        <v>45605.970735294111</v>
      </c>
      <c r="O7" s="39">
        <f>IF(_xlfn.XLOOKUP(TableIncome[[#This Row],[Year]],Loop!C:C,Loop!E:E)&lt;70,(O6*(1+$I$4))+IF(TableIncomeCalculations[[#This Row],[SwitchP2]]="Y",Q6*$I$6,0),0)</f>
        <v>76717.877707639593</v>
      </c>
      <c r="P7" s="39">
        <f>IF(_xlfn.XLOOKUP(TableIncome[[#This Row],[Year]],Loop!C:C,Loop!D:D)&lt;70,(P6*(1+$I$3))+IF(TableIncomeCalculations[[#This Row],[SwitchP1]]="Y",P6*$I$5,0),0)</f>
        <v>51216.114490000007</v>
      </c>
      <c r="Q7" s="39">
        <f>IF(_xlfn.XLOOKUP(TableIncome[[#This Row],[Year]],Loop!C:C,Loop!E:E)&lt;70,(Q6*(1+$I$3))+IF(TableIncomeCalculations[[#This Row],[SwitchP2]]="Y",Q6*$I$5,0),0)</f>
        <v>85956.124055809996</v>
      </c>
      <c r="R7" t="str">
        <f>_xlfn.XLOOKUP(_xlfn.XLOOKUP(TableIncome[[#This Row],[Year]],Loop!C:C,Loop!D:D),'Job Hopping'!B:B,'Job Hopping'!F:F)</f>
        <v>N</v>
      </c>
      <c r="S7" t="str">
        <f>_xlfn.XLOOKUP(_xlfn.XLOOKUP(TableIncome[[#This Row],[Year]],Loop!C:C,Loop!E:E),'Job Hopping'!B:B,'Job Hopping'!G:G)</f>
        <v>N</v>
      </c>
    </row>
    <row r="8" spans="1:19" x14ac:dyDescent="0.35">
      <c r="B8" s="2">
        <v>2030</v>
      </c>
      <c r="C8" s="42">
        <f>(TableIncomeCalculations[[#This Row],[NetMonthlySalaryP1]]*12)</f>
        <v>320888.52253175998</v>
      </c>
      <c r="D8" s="41">
        <f>(TableIncomeCalculations[[#This Row],[NetMonthlySalaryP2]]*12)</f>
        <v>514869.63649469125</v>
      </c>
      <c r="E8" s="40">
        <f>TableIncome[[#This Row],[SalaryP1]]*$I$7</f>
        <v>32088.852253175999</v>
      </c>
      <c r="F8" s="40">
        <f>TableIncome[[#This Row],[SalaryP2]]*$I$7</f>
        <v>51486.963649469129</v>
      </c>
      <c r="G8" s="16"/>
      <c r="I8" s="17"/>
      <c r="L8" s="38">
        <f>'Net Salary P1'!BI9</f>
        <v>26740.71021098</v>
      </c>
      <c r="M8" s="39">
        <f>'Net Salary P2'!AT9</f>
        <v>42905.803041224273</v>
      </c>
      <c r="N8" s="39">
        <f>IF(_xlfn.XLOOKUP(TableIncome[[#This Row],[Year]],Loop!C:C,Loop!D:D)&lt;70,(N7*(1+$I$4))+IF(TableIncomeCalculations[[#This Row],[SwitchP1]]="Y",N7*$I$6,0),0)</f>
        <v>46062.030442647054</v>
      </c>
      <c r="O8" s="39">
        <f>IF(_xlfn.XLOOKUP(TableIncome[[#This Row],[Year]],Loop!C:C,Loop!E:E)&lt;70,(O7*(1+$I$4))+IF(TableIncomeCalculations[[#This Row],[SwitchP2]]="Y",Q7*$I$6,0),0)</f>
        <v>77485.056484715984</v>
      </c>
      <c r="P8" s="39">
        <f>IF(_xlfn.XLOOKUP(TableIncome[[#This Row],[Year]],Loop!C:C,Loop!D:D)&lt;70,(P7*(1+$I$3))+IF(TableIncomeCalculations[[#This Row],[SwitchP1]]="Y",P7*$I$5,0),0)</f>
        <v>52752.597924700007</v>
      </c>
      <c r="Q8" s="39">
        <f>IF(_xlfn.XLOOKUP(TableIncome[[#This Row],[Year]],Loop!C:C,Loop!E:E)&lt;70,(Q7*(1+$I$3))+IF(TableIncomeCalculations[[#This Row],[SwitchP2]]="Y",Q7*$I$5,0),0)</f>
        <v>88534.807777484297</v>
      </c>
      <c r="R8" t="str">
        <f>_xlfn.XLOOKUP(_xlfn.XLOOKUP(TableIncome[[#This Row],[Year]],Loop!C:C,Loop!D:D),'Job Hopping'!B:B,'Job Hopping'!F:F)</f>
        <v>N</v>
      </c>
      <c r="S8" t="str">
        <f>_xlfn.XLOOKUP(_xlfn.XLOOKUP(TableIncome[[#This Row],[Year]],Loop!C:C,Loop!E:E),'Job Hopping'!B:B,'Job Hopping'!G:G)</f>
        <v>N</v>
      </c>
    </row>
    <row r="9" spans="1:19" x14ac:dyDescent="0.35">
      <c r="B9" s="2">
        <v>2031</v>
      </c>
      <c r="C9" s="42">
        <f>(TableIncomeCalculations[[#This Row],[NetMonthlySalaryP1]]*12)</f>
        <v>324272.9742419534</v>
      </c>
      <c r="D9" s="41">
        <f>(TableIncomeCalculations[[#This Row],[NetMonthlySalaryP2]]*12)</f>
        <v>519188.89934451401</v>
      </c>
      <c r="E9" s="40">
        <f>TableIncome[[#This Row],[SalaryP1]]*$I$7</f>
        <v>32427.297424195342</v>
      </c>
      <c r="F9" s="40">
        <f>TableIncome[[#This Row],[SalaryP2]]*$I$7</f>
        <v>51918.889934451407</v>
      </c>
      <c r="G9" s="16"/>
      <c r="L9" s="38">
        <f>'Net Salary P1'!BI10</f>
        <v>27022.747853496116</v>
      </c>
      <c r="M9" s="39">
        <f>'Net Salary P2'!AT10</f>
        <v>43265.741612042832</v>
      </c>
      <c r="N9" s="39">
        <f>IF(_xlfn.XLOOKUP(TableIncome[[#This Row],[Year]],Loop!C:C,Loop!D:D)&lt;70,(N8*(1+$I$4))+IF(TableIncomeCalculations[[#This Row],[SwitchP1]]="Y",N8*$I$6,0),0)</f>
        <v>48365.131964779408</v>
      </c>
      <c r="O9" s="39">
        <f>IF(_xlfn.XLOOKUP(TableIncome[[#This Row],[Year]],Loop!C:C,Loop!E:E)&lt;70,(O8*(1+$I$4))+IF(TableIncomeCalculations[[#This Row],[SwitchP2]]="Y",Q8*$I$6,0),0)</f>
        <v>78259.907049563146</v>
      </c>
      <c r="P9" s="39">
        <f>IF(_xlfn.XLOOKUP(TableIncome[[#This Row],[Year]],Loop!C:C,Loop!D:D)&lt;70,(P8*(1+$I$3))+IF(TableIncomeCalculations[[#This Row],[SwitchP1]]="Y",P8*$I$5,0),0)</f>
        <v>57500.331737923007</v>
      </c>
      <c r="Q9" s="39">
        <f>IF(_xlfn.XLOOKUP(TableIncome[[#This Row],[Year]],Loop!C:C,Loop!E:E)&lt;70,(Q8*(1+$I$3))+IF(TableIncomeCalculations[[#This Row],[SwitchP2]]="Y",Q8*$I$5,0),0)</f>
        <v>91190.852010808827</v>
      </c>
      <c r="R9" t="str">
        <f>_xlfn.XLOOKUP(_xlfn.XLOOKUP(TableIncome[[#This Row],[Year]],Loop!C:C,Loop!D:D),'Job Hopping'!B:B,'Job Hopping'!F:F)</f>
        <v>Y</v>
      </c>
      <c r="S9" t="str">
        <f>_xlfn.XLOOKUP(_xlfn.XLOOKUP(TableIncome[[#This Row],[Year]],Loop!C:C,Loop!E:E),'Job Hopping'!B:B,'Job Hopping'!G:G)</f>
        <v>N</v>
      </c>
    </row>
    <row r="10" spans="1:19" x14ac:dyDescent="0.35">
      <c r="B10" s="2">
        <v>2032</v>
      </c>
      <c r="C10" s="42">
        <f>(TableIncomeCalculations[[#This Row],[NetMonthlySalaryP1]]*12)</f>
        <v>327686.61285974161</v>
      </c>
      <c r="D10" s="41">
        <f>(TableIncomeCalculations[[#This Row],[NetMonthlySalaryP2]]*12)</f>
        <v>523546.69721332774</v>
      </c>
      <c r="E10" s="40">
        <f>TableIncome[[#This Row],[SalaryP1]]*$I$7</f>
        <v>32768.661285974165</v>
      </c>
      <c r="F10" s="40">
        <f>TableIncome[[#This Row],[SalaryP2]]*$I$7</f>
        <v>52354.669721332779</v>
      </c>
      <c r="G10" s="16"/>
      <c r="L10" s="38">
        <f>'Net Salary P1'!BI11</f>
        <v>27307.2177383118</v>
      </c>
      <c r="M10" s="39">
        <f>'Net Salary P2'!AT11</f>
        <v>43628.891434443976</v>
      </c>
      <c r="N10" s="39">
        <f>IF(_xlfn.XLOOKUP(TableIncome[[#This Row],[Year]],Loop!C:C,Loop!D:D)&lt;70,(N9*(1+$I$4))+IF(TableIncomeCalculations[[#This Row],[SwitchP1]]="Y",N9*$I$6,0),0)</f>
        <v>48848.783284427205</v>
      </c>
      <c r="O10" s="39">
        <f>IF(_xlfn.XLOOKUP(TableIncome[[#This Row],[Year]],Loop!C:C,Loop!E:E)&lt;70,(O9*(1+$I$4))+IF(TableIncomeCalculations[[#This Row],[SwitchP2]]="Y",Q9*$I$6,0),0)</f>
        <v>82690.140200491136</v>
      </c>
      <c r="P10" s="39">
        <f>IF(_xlfn.XLOOKUP(TableIncome[[#This Row],[Year]],Loop!C:C,Loop!D:D)&lt;70,(P9*(1+$I$3))+IF(TableIncomeCalculations[[#This Row],[SwitchP1]]="Y",P9*$I$5,0),0)</f>
        <v>59225.341690060697</v>
      </c>
      <c r="Q10" s="39">
        <f>IF(_xlfn.XLOOKUP(TableIncome[[#This Row],[Year]],Loop!C:C,Loop!E:E)&lt;70,(Q9*(1+$I$3))+IF(TableIncomeCalculations[[#This Row],[SwitchP2]]="Y",Q9*$I$5,0),0)</f>
        <v>99398.028691781627</v>
      </c>
      <c r="R10" t="str">
        <f>_xlfn.XLOOKUP(_xlfn.XLOOKUP(TableIncome[[#This Row],[Year]],Loop!C:C,Loop!D:D),'Job Hopping'!B:B,'Job Hopping'!F:F)</f>
        <v>N</v>
      </c>
      <c r="S10" t="str">
        <f>_xlfn.XLOOKUP(_xlfn.XLOOKUP(TableIncome[[#This Row],[Year]],Loop!C:C,Loop!E:E),'Job Hopping'!B:B,'Job Hopping'!G:G)</f>
        <v>Y</v>
      </c>
    </row>
    <row r="11" spans="1:19" x14ac:dyDescent="0.35">
      <c r="B11" s="2">
        <v>2033</v>
      </c>
      <c r="C11" s="42">
        <f>(TableIncomeCalculations[[#This Row],[NetMonthlySalaryP1]]*12)</f>
        <v>344297.85065501952</v>
      </c>
      <c r="D11" s="41">
        <f>(TableIncomeCalculations[[#This Row],[NetMonthlySalaryP2]]*12)</f>
        <v>527943.50677699875</v>
      </c>
      <c r="E11" s="40">
        <f>TableIncome[[#This Row],[SalaryP1]]*$I$7</f>
        <v>34429.78506550195</v>
      </c>
      <c r="F11" s="40">
        <f>TableIncome[[#This Row],[SalaryP2]]*$I$7</f>
        <v>52794.350677699877</v>
      </c>
      <c r="G11" s="16"/>
      <c r="L11" s="38">
        <f>'Net Salary P1'!BI12</f>
        <v>28691.487554584961</v>
      </c>
      <c r="M11" s="39">
        <f>'Net Salary P2'!AT12</f>
        <v>43995.292231416563</v>
      </c>
      <c r="N11" s="39">
        <f>IF(_xlfn.XLOOKUP(TableIncome[[#This Row],[Year]],Loop!C:C,Loop!D:D)&lt;70,(N10*(1+$I$4))+IF(TableIncomeCalculations[[#This Row],[SwitchP1]]="Y",N10*$I$6,0),0)</f>
        <v>49337.271117271477</v>
      </c>
      <c r="O11" s="39">
        <f>IF(_xlfn.XLOOKUP(TableIncome[[#This Row],[Year]],Loop!C:C,Loop!E:E)&lt;70,(O10*(1+$I$4))+IF(TableIncomeCalculations[[#This Row],[SwitchP2]]="Y",Q10*$I$6,0),0)</f>
        <v>83517.041602496043</v>
      </c>
      <c r="P11" s="39">
        <f>IF(_xlfn.XLOOKUP(TableIncome[[#This Row],[Year]],Loop!C:C,Loop!D:D)&lt;70,(P10*(1+$I$3))+IF(TableIncomeCalculations[[#This Row],[SwitchP1]]="Y",P10*$I$5,0),0)</f>
        <v>61002.101940762521</v>
      </c>
      <c r="Q11" s="39">
        <f>IF(_xlfn.XLOOKUP(TableIncome[[#This Row],[Year]],Loop!C:C,Loop!E:E)&lt;70,(Q10*(1+$I$3))+IF(TableIncomeCalculations[[#This Row],[SwitchP2]]="Y",Q10*$I$5,0),0)</f>
        <v>102379.96955253508</v>
      </c>
      <c r="R11" t="str">
        <f>_xlfn.XLOOKUP(_xlfn.XLOOKUP(TableIncome[[#This Row],[Year]],Loop!C:C,Loop!D:D),'Job Hopping'!B:B,'Job Hopping'!F:F)</f>
        <v>N</v>
      </c>
      <c r="S11" t="str">
        <f>_xlfn.XLOOKUP(_xlfn.XLOOKUP(TableIncome[[#This Row],[Year]],Loop!C:C,Loop!E:E),'Job Hopping'!B:B,'Job Hopping'!G:G)</f>
        <v>N</v>
      </c>
    </row>
    <row r="12" spans="1:19" x14ac:dyDescent="0.35">
      <c r="B12" s="2">
        <v>2034</v>
      </c>
      <c r="C12" s="42">
        <f>(TableIncomeCalculations[[#This Row],[NetMonthlySalaryP1]]*12)</f>
        <v>347902.69500425388</v>
      </c>
      <c r="D12" s="41">
        <f>(TableIncomeCalculations[[#This Row],[NetMonthlySalaryP2]]*12)</f>
        <v>532379.80768745299</v>
      </c>
      <c r="E12" s="40">
        <f>TableIncome[[#This Row],[SalaryP1]]*$I$7</f>
        <v>34790.269500425391</v>
      </c>
      <c r="F12" s="40">
        <f>TableIncome[[#This Row],[SalaryP2]]*$I$7</f>
        <v>53237.980768745299</v>
      </c>
      <c r="G12" s="16"/>
      <c r="L12" s="38">
        <f>'Net Salary P1'!BI13</f>
        <v>28991.891250354489</v>
      </c>
      <c r="M12" s="39">
        <f>'Net Salary P2'!AT13</f>
        <v>44364.983973954419</v>
      </c>
      <c r="N12" s="39">
        <f>IF(_xlfn.XLOOKUP(TableIncome[[#This Row],[Year]],Loop!C:C,Loop!D:D)&lt;70,(N11*(1+$I$4))+IF(TableIncomeCalculations[[#This Row],[SwitchP1]]="Y",N11*$I$6,0),0)</f>
        <v>49830.64382844419</v>
      </c>
      <c r="O12" s="39">
        <f>IF(_xlfn.XLOOKUP(TableIncome[[#This Row],[Year]],Loop!C:C,Loop!E:E)&lt;70,(O11*(1+$I$4))+IF(TableIncomeCalculations[[#This Row],[SwitchP2]]="Y",Q11*$I$6,0),0)</f>
        <v>84352.212018521008</v>
      </c>
      <c r="P12" s="39">
        <f>IF(_xlfn.XLOOKUP(TableIncome[[#This Row],[Year]],Loop!C:C,Loop!D:D)&lt;70,(P11*(1+$I$3))+IF(TableIncomeCalculations[[#This Row],[SwitchP1]]="Y",P11*$I$5,0),0)</f>
        <v>62832.164998985398</v>
      </c>
      <c r="Q12" s="39">
        <f>IF(_xlfn.XLOOKUP(TableIncome[[#This Row],[Year]],Loop!C:C,Loop!E:E)&lt;70,(Q11*(1+$I$3))+IF(TableIncomeCalculations[[#This Row],[SwitchP2]]="Y",Q11*$I$5,0),0)</f>
        <v>105451.36863911114</v>
      </c>
      <c r="R12" t="str">
        <f>_xlfn.XLOOKUP(_xlfn.XLOOKUP(TableIncome[[#This Row],[Year]],Loop!C:C,Loop!D:D),'Job Hopping'!B:B,'Job Hopping'!F:F)</f>
        <v>N</v>
      </c>
      <c r="S12" t="str">
        <f>_xlfn.XLOOKUP(_xlfn.XLOOKUP(TableIncome[[#This Row],[Year]],Loop!C:C,Loop!E:E),'Job Hopping'!B:B,'Job Hopping'!G:G)</f>
        <v>N</v>
      </c>
    </row>
    <row r="13" spans="1:19" x14ac:dyDescent="0.35">
      <c r="B13" s="2">
        <v>2035</v>
      </c>
      <c r="C13" s="42">
        <f>(TableIncomeCalculations[[#This Row],[NetMonthlySalaryP1]]*12)</f>
        <v>351539.19882751611</v>
      </c>
      <c r="D13" s="41">
        <f>(TableIncomeCalculations[[#This Row],[NetMonthlySalaryP2]]*12)</f>
        <v>536856.08263754717</v>
      </c>
      <c r="E13" s="40">
        <f>TableIncome[[#This Row],[SalaryP1]]*$I$7</f>
        <v>35153.919882751616</v>
      </c>
      <c r="F13" s="40">
        <f>TableIncome[[#This Row],[SalaryP2]]*$I$7</f>
        <v>53685.608263754722</v>
      </c>
      <c r="G13" s="16"/>
      <c r="L13" s="38">
        <f>'Net Salary P1'!BI14</f>
        <v>29294.933235626344</v>
      </c>
      <c r="M13" s="39">
        <f>'Net Salary P2'!AT14</f>
        <v>44738.006886462266</v>
      </c>
      <c r="N13" s="39">
        <f>IF(_xlfn.XLOOKUP(TableIncome[[#This Row],[Year]],Loop!C:C,Loop!D:D)&lt;70,(N12*(1+$I$4))+IF(TableIncomeCalculations[[#This Row],[SwitchP1]]="Y",N12*$I$6,0),0)</f>
        <v>52322.176019866405</v>
      </c>
      <c r="O13" s="39">
        <f>IF(_xlfn.XLOOKUP(TableIncome[[#This Row],[Year]],Loop!C:C,Loop!E:E)&lt;70,(O12*(1+$I$4))+IF(TableIncomeCalculations[[#This Row],[SwitchP2]]="Y",Q12*$I$6,0),0)</f>
        <v>85195.734138706219</v>
      </c>
      <c r="P13" s="39">
        <f>IF(_xlfn.XLOOKUP(TableIncome[[#This Row],[Year]],Loop!C:C,Loop!D:D)&lt;70,(P12*(1+$I$3))+IF(TableIncomeCalculations[[#This Row],[SwitchP1]]="Y",P12*$I$5,0),0)</f>
        <v>68487.059848894089</v>
      </c>
      <c r="Q13" s="39">
        <f>IF(_xlfn.XLOOKUP(TableIncome[[#This Row],[Year]],Loop!C:C,Loop!E:E)&lt;70,(Q12*(1+$I$3))+IF(TableIncomeCalculations[[#This Row],[SwitchP2]]="Y",Q12*$I$5,0),0)</f>
        <v>108614.90969828448</v>
      </c>
      <c r="R13" t="str">
        <f>_xlfn.XLOOKUP(_xlfn.XLOOKUP(TableIncome[[#This Row],[Year]],Loop!C:C,Loop!D:D),'Job Hopping'!B:B,'Job Hopping'!F:F)</f>
        <v>Y</v>
      </c>
      <c r="S13" t="str">
        <f>_xlfn.XLOOKUP(_xlfn.XLOOKUP(TableIncome[[#This Row],[Year]],Loop!C:C,Loop!E:E),'Job Hopping'!B:B,'Job Hopping'!G:G)</f>
        <v>N</v>
      </c>
    </row>
    <row r="14" spans="1:19" x14ac:dyDescent="0.35">
      <c r="B14" s="2">
        <v>2036</v>
      </c>
      <c r="C14" s="42">
        <f>(TableIncomeCalculations[[#This Row],[NetMonthlySalaryP1]]*12)</f>
        <v>355207.76477777137</v>
      </c>
      <c r="D14" s="41">
        <f>(TableIncomeCalculations[[#This Row],[NetMonthlySalaryP2]]*12)</f>
        <v>541372.8174259027</v>
      </c>
      <c r="E14" s="40">
        <f>TableIncome[[#This Row],[SalaryP1]]*$I$7</f>
        <v>35520.776477777137</v>
      </c>
      <c r="F14" s="40">
        <f>TableIncome[[#This Row],[SalaryP2]]*$I$7</f>
        <v>54137.281742590276</v>
      </c>
      <c r="G14" s="16"/>
      <c r="L14" s="38">
        <f>'Net Salary P1'!BI15</f>
        <v>29600.647064814282</v>
      </c>
      <c r="M14" s="39">
        <f>'Net Salary P2'!AT15</f>
        <v>45114.401452158556</v>
      </c>
      <c r="N14" s="39">
        <f>IF(_xlfn.XLOOKUP(TableIncome[[#This Row],[Year]],Loop!C:C,Loop!D:D)&lt;70,(N13*(1+$I$4))+IF(TableIncomeCalculations[[#This Row],[SwitchP1]]="Y",N13*$I$6,0),0)</f>
        <v>52845.397780065068</v>
      </c>
      <c r="O14" s="39">
        <f>IF(_xlfn.XLOOKUP(TableIncome[[#This Row],[Year]],Loop!C:C,Loop!E:E)&lt;70,(O13*(1+$I$4))+IF(TableIncomeCalculations[[#This Row],[SwitchP2]]="Y",Q13*$I$6,0),0)</f>
        <v>86047.691480093286</v>
      </c>
      <c r="P14" s="39">
        <f>IF(_xlfn.XLOOKUP(TableIncome[[#This Row],[Year]],Loop!C:C,Loop!D:D)&lt;70,(P13*(1+$I$3))+IF(TableIncomeCalculations[[#This Row],[SwitchP1]]="Y",P13*$I$5,0),0)</f>
        <v>70541.671644360918</v>
      </c>
      <c r="Q14" s="39">
        <f>IF(_xlfn.XLOOKUP(TableIncome[[#This Row],[Year]],Loop!C:C,Loop!E:E)&lt;70,(Q13*(1+$I$3))+IF(TableIncomeCalculations[[#This Row],[SwitchP2]]="Y",Q13*$I$5,0),0)</f>
        <v>111873.35698923301</v>
      </c>
      <c r="R14" t="str">
        <f>_xlfn.XLOOKUP(_xlfn.XLOOKUP(TableIncome[[#This Row],[Year]],Loop!C:C,Loop!D:D),'Job Hopping'!B:B,'Job Hopping'!F:F)</f>
        <v>N</v>
      </c>
      <c r="S14" t="str">
        <f>_xlfn.XLOOKUP(_xlfn.XLOOKUP(TableIncome[[#This Row],[Year]],Loop!C:C,Loop!E:E),'Job Hopping'!B:B,'Job Hopping'!G:G)</f>
        <v>N</v>
      </c>
    </row>
    <row r="15" spans="1:19" x14ac:dyDescent="0.35">
      <c r="B15" s="2">
        <v>2037</v>
      </c>
      <c r="C15" s="42">
        <f>(TableIncomeCalculations[[#This Row],[NetMonthlySalaryP1]]*12)</f>
        <v>373154.18304745422</v>
      </c>
      <c r="D15" s="41">
        <f>(TableIncomeCalculations[[#This Row],[NetMonthlySalaryP2]]*12)</f>
        <v>545930.50102171104</v>
      </c>
      <c r="E15" s="40">
        <f>TableIncome[[#This Row],[SalaryP1]]*$I$7</f>
        <v>37315.418304745421</v>
      </c>
      <c r="F15" s="40">
        <f>TableIncome[[#This Row],[SalaryP2]]*$I$7</f>
        <v>54593.05010217111</v>
      </c>
      <c r="G15" s="16"/>
      <c r="L15" s="38">
        <f>'Net Salary P1'!BI16</f>
        <v>31096.181920621184</v>
      </c>
      <c r="M15" s="39">
        <f>'Net Salary P2'!AT16</f>
        <v>45494.208418475922</v>
      </c>
      <c r="N15" s="39">
        <f>IF(_xlfn.XLOOKUP(TableIncome[[#This Row],[Year]],Loop!C:C,Loop!D:D)&lt;70,(N14*(1+$I$4))+IF(TableIncomeCalculations[[#This Row],[SwitchP1]]="Y",N14*$I$6,0),0)</f>
        <v>53373.851757865719</v>
      </c>
      <c r="O15" s="39">
        <f>IF(_xlfn.XLOOKUP(TableIncome[[#This Row],[Year]],Loop!C:C,Loop!E:E)&lt;70,(O14*(1+$I$4))+IF(TableIncomeCalculations[[#This Row],[SwitchP2]]="Y",Q14*$I$6,0),0)</f>
        <v>86908.168394894223</v>
      </c>
      <c r="P15" s="39">
        <f>IF(_xlfn.XLOOKUP(TableIncome[[#This Row],[Year]],Loop!C:C,Loop!D:D)&lt;70,(P14*(1+$I$3))+IF(TableIncomeCalculations[[#This Row],[SwitchP1]]="Y",P14*$I$5,0),0)</f>
        <v>72657.921793691741</v>
      </c>
      <c r="Q15" s="39">
        <f>IF(_xlfn.XLOOKUP(TableIncome[[#This Row],[Year]],Loop!C:C,Loop!E:E)&lt;70,(Q14*(1+$I$3))+IF(TableIncomeCalculations[[#This Row],[SwitchP2]]="Y",Q14*$I$5,0),0)</f>
        <v>115229.55769891001</v>
      </c>
      <c r="R15" t="str">
        <f>_xlfn.XLOOKUP(_xlfn.XLOOKUP(TableIncome[[#This Row],[Year]],Loop!C:C,Loop!D:D),'Job Hopping'!B:B,'Job Hopping'!F:F)</f>
        <v>N</v>
      </c>
      <c r="S15" t="str">
        <f>_xlfn.XLOOKUP(_xlfn.XLOOKUP(TableIncome[[#This Row],[Year]],Loop!C:C,Loop!E:E),'Job Hopping'!B:B,'Job Hopping'!G:G)</f>
        <v>N</v>
      </c>
    </row>
    <row r="16" spans="1:19" x14ac:dyDescent="0.35">
      <c r="B16" s="2">
        <v>2038</v>
      </c>
      <c r="C16" s="42">
        <f>(TableIncomeCalculations[[#This Row],[NetMonthlySalaryP1]]*12)</f>
        <v>377030.54447552603</v>
      </c>
      <c r="D16" s="41">
        <f>(TableIncomeCalculations[[#This Row],[NetMonthlySalaryP2]]*12)</f>
        <v>550529.62562952528</v>
      </c>
      <c r="E16" s="40">
        <f>TableIncome[[#This Row],[SalaryP1]]*$I$7</f>
        <v>37703.054447552604</v>
      </c>
      <c r="F16" s="40">
        <f>TableIncome[[#This Row],[SalaryP2]]*$I$7</f>
        <v>55052.962562952533</v>
      </c>
      <c r="G16" s="16"/>
      <c r="L16" s="38">
        <f>'Net Salary P1'!BI17</f>
        <v>31419.212039627168</v>
      </c>
      <c r="M16" s="39">
        <f>'Net Salary P2'!AT17</f>
        <v>45877.46880246044</v>
      </c>
      <c r="N16" s="39">
        <f>IF(_xlfn.XLOOKUP(TableIncome[[#This Row],[Year]],Loop!C:C,Loop!D:D)&lt;70,(N15*(1+$I$4))+IF(TableIncomeCalculations[[#This Row],[SwitchP1]]="Y",N15*$I$6,0),0)</f>
        <v>53907.590275444374</v>
      </c>
      <c r="O16" s="39">
        <f>IF(_xlfn.XLOOKUP(TableIncome[[#This Row],[Year]],Loop!C:C,Loop!E:E)&lt;70,(O15*(1+$I$4))+IF(TableIncomeCalculations[[#This Row],[SwitchP2]]="Y",Q15*$I$6,0),0)</f>
        <v>87777.250078843164</v>
      </c>
      <c r="P16" s="39">
        <f>IF(_xlfn.XLOOKUP(TableIncome[[#This Row],[Year]],Loop!C:C,Loop!D:D)&lt;70,(P15*(1+$I$3))+IF(TableIncomeCalculations[[#This Row],[SwitchP1]]="Y",P15*$I$5,0),0)</f>
        <v>74837.65944750249</v>
      </c>
      <c r="Q16" s="39">
        <f>IF(_xlfn.XLOOKUP(TableIncome[[#This Row],[Year]],Loop!C:C,Loop!E:E)&lt;70,(Q15*(1+$I$3))+IF(TableIncomeCalculations[[#This Row],[SwitchP2]]="Y",Q15*$I$5,0),0)</f>
        <v>118686.44442987732</v>
      </c>
      <c r="R16" t="str">
        <f>_xlfn.XLOOKUP(_xlfn.XLOOKUP(TableIncome[[#This Row],[Year]],Loop!C:C,Loop!D:D),'Job Hopping'!B:B,'Job Hopping'!F:F)</f>
        <v>N</v>
      </c>
      <c r="S16" t="str">
        <f>_xlfn.XLOOKUP(_xlfn.XLOOKUP(TableIncome[[#This Row],[Year]],Loop!C:C,Loop!E:E),'Job Hopping'!B:B,'Job Hopping'!G:G)</f>
        <v>N</v>
      </c>
    </row>
    <row r="17" spans="2:19" x14ac:dyDescent="0.35">
      <c r="B17" s="2">
        <v>2039</v>
      </c>
      <c r="C17" s="42">
        <f>(TableIncomeCalculations[[#This Row],[NetMonthlySalaryP1]]*12)</f>
        <v>380941.61478851375</v>
      </c>
      <c r="D17" s="41">
        <f>(TableIncomeCalculations[[#This Row],[NetMonthlySalaryP2]]*12)</f>
        <v>555170.68675405323</v>
      </c>
      <c r="E17" s="40">
        <f>TableIncome[[#This Row],[SalaryP1]]*$I$7</f>
        <v>38094.161478851376</v>
      </c>
      <c r="F17" s="40">
        <f>TableIncome[[#This Row],[SalaryP2]]*$I$7</f>
        <v>55517.068675405324</v>
      </c>
      <c r="G17" s="16"/>
      <c r="L17" s="38">
        <f>'Net Salary P1'!BI18</f>
        <v>31745.134565709479</v>
      </c>
      <c r="M17" s="39">
        <f>'Net Salary P2'!AT18</f>
        <v>46264.223896171105</v>
      </c>
      <c r="N17" s="39">
        <f>IF(_xlfn.XLOOKUP(TableIncome[[#This Row],[Year]],Loop!C:C,Loop!D:D)&lt;70,(N16*(1+$I$4))+IF(TableIncomeCalculations[[#This Row],[SwitchP1]]="Y",N16*$I$6,0),0)</f>
        <v>56602.969789216586</v>
      </c>
      <c r="O17" s="39">
        <f>IF(_xlfn.XLOOKUP(TableIncome[[#This Row],[Year]],Loop!C:C,Loop!E:E)&lt;70,(O16*(1+$I$4))+IF(TableIncomeCalculations[[#This Row],[SwitchP2]]="Y",Q16*$I$6,0),0)</f>
        <v>88655.022579631594</v>
      </c>
      <c r="P17" s="39">
        <f>IF(_xlfn.XLOOKUP(TableIncome[[#This Row],[Year]],Loop!C:C,Loop!D:D)&lt;70,(P16*(1+$I$3))+IF(TableIncomeCalculations[[#This Row],[SwitchP1]]="Y",P16*$I$5,0),0)</f>
        <v>81573.048797777708</v>
      </c>
      <c r="Q17" s="39">
        <f>IF(_xlfn.XLOOKUP(TableIncome[[#This Row],[Year]],Loop!C:C,Loop!E:E)&lt;70,(Q16*(1+$I$3))+IF(TableIncomeCalculations[[#This Row],[SwitchP2]]="Y",Q16*$I$5,0),0)</f>
        <v>122247.03776277365</v>
      </c>
      <c r="R17" t="str">
        <f>_xlfn.XLOOKUP(_xlfn.XLOOKUP(TableIncome[[#This Row],[Year]],Loop!C:C,Loop!D:D),'Job Hopping'!B:B,'Job Hopping'!F:F)</f>
        <v>Y</v>
      </c>
      <c r="S17" t="str">
        <f>_xlfn.XLOOKUP(_xlfn.XLOOKUP(TableIncome[[#This Row],[Year]],Loop!C:C,Loop!E:E),'Job Hopping'!B:B,'Job Hopping'!G:G)</f>
        <v>N</v>
      </c>
    </row>
    <row r="18" spans="2:19" x14ac:dyDescent="0.35">
      <c r="B18" s="2">
        <v>2040</v>
      </c>
      <c r="C18" s="42">
        <f>(TableIncomeCalculations[[#This Row],[NetMonthlySalaryP1]]*12)</f>
        <v>384887.82057976408</v>
      </c>
      <c r="D18" s="41">
        <f>(TableIncomeCalculations[[#This Row],[NetMonthlySalaryP2]]*12)</f>
        <v>559854.18326495879</v>
      </c>
      <c r="E18" s="40">
        <f>TableIncome[[#This Row],[SalaryP1]]*$I$7</f>
        <v>38488.782057976408</v>
      </c>
      <c r="F18" s="40">
        <f>TableIncome[[#This Row],[SalaryP2]]*$I$7</f>
        <v>55985.418326495885</v>
      </c>
      <c r="G18" s="16"/>
      <c r="L18" s="38">
        <f>'Net Salary P1'!BI19</f>
        <v>32073.985048313672</v>
      </c>
      <c r="M18" s="39">
        <f>'Net Salary P2'!AT19</f>
        <v>46654.515272079901</v>
      </c>
      <c r="N18" s="39">
        <f>IF(_xlfn.XLOOKUP(TableIncome[[#This Row],[Year]],Loop!C:C,Loop!D:D)&lt;70,(N17*(1+$I$4))+IF(TableIncomeCalculations[[#This Row],[SwitchP1]]="Y",N17*$I$6,0),0)</f>
        <v>57168.999487108755</v>
      </c>
      <c r="O18" s="39">
        <f>IF(_xlfn.XLOOKUP(TableIncome[[#This Row],[Year]],Loop!C:C,Loop!E:E)&lt;70,(O17*(1+$I$4))+IF(TableIncomeCalculations[[#This Row],[SwitchP2]]="Y",Q17*$I$6,0),0)</f>
        <v>89541.572805427917</v>
      </c>
      <c r="P18" s="39">
        <f>IF(_xlfn.XLOOKUP(TableIncome[[#This Row],[Year]],Loop!C:C,Loop!D:D)&lt;70,(P17*(1+$I$3))+IF(TableIncomeCalculations[[#This Row],[SwitchP1]]="Y",P17*$I$5,0),0)</f>
        <v>84020.240261711035</v>
      </c>
      <c r="Q18" s="39">
        <f>IF(_xlfn.XLOOKUP(TableIncome[[#This Row],[Year]],Loop!C:C,Loop!E:E)&lt;70,(Q17*(1+$I$3))+IF(TableIncomeCalculations[[#This Row],[SwitchP2]]="Y",Q17*$I$5,0),0)</f>
        <v>125914.44889565685</v>
      </c>
      <c r="R18" t="str">
        <f>_xlfn.XLOOKUP(_xlfn.XLOOKUP(TableIncome[[#This Row],[Year]],Loop!C:C,Loop!D:D),'Job Hopping'!B:B,'Job Hopping'!F:F)</f>
        <v>N</v>
      </c>
      <c r="S18" t="str">
        <f>_xlfn.XLOOKUP(_xlfn.XLOOKUP(TableIncome[[#This Row],[Year]],Loop!C:C,Loop!E:E),'Job Hopping'!B:B,'Job Hopping'!G:G)</f>
        <v>N</v>
      </c>
    </row>
    <row r="19" spans="2:19" x14ac:dyDescent="0.35">
      <c r="B19" s="2">
        <v>2041</v>
      </c>
      <c r="C19" s="42">
        <f>(TableIncomeCalculations[[#This Row],[NetMonthlySalaryP1]]*12)</f>
        <v>404280.47749782307</v>
      </c>
      <c r="D19" s="41">
        <f>(TableIncomeCalculations[[#This Row],[NetMonthlySalaryP2]]*12)</f>
        <v>564580.61746169196</v>
      </c>
      <c r="E19" s="40">
        <f>TableIncome[[#This Row],[SalaryP1]]*$I$7</f>
        <v>40428.047749782309</v>
      </c>
      <c r="F19" s="40">
        <f>TableIncome[[#This Row],[SalaryP2]]*$I$7</f>
        <v>56458.061746169202</v>
      </c>
      <c r="G19" s="16"/>
      <c r="L19" s="38">
        <f>'Net Salary P1'!BI20</f>
        <v>33690.039791485258</v>
      </c>
      <c r="M19" s="39">
        <f>'Net Salary P2'!AT20</f>
        <v>47048.38478847433</v>
      </c>
      <c r="N19" s="39">
        <f>IF(_xlfn.XLOOKUP(TableIncome[[#This Row],[Year]],Loop!C:C,Loop!D:D)&lt;70,(N18*(1+$I$4))+IF(TableIncomeCalculations[[#This Row],[SwitchP1]]="Y",N18*$I$6,0),0)</f>
        <v>57740.68948197984</v>
      </c>
      <c r="O19" s="39">
        <f>IF(_xlfn.XLOOKUP(TableIncome[[#This Row],[Year]],Loop!C:C,Loop!E:E)&lt;70,(O18*(1+$I$4))+IF(TableIncomeCalculations[[#This Row],[SwitchP2]]="Y",Q18*$I$6,0),0)</f>
        <v>90436.988533482203</v>
      </c>
      <c r="P19" s="39">
        <f>IF(_xlfn.XLOOKUP(TableIncome[[#This Row],[Year]],Loop!C:C,Loop!D:D)&lt;70,(P18*(1+$I$3))+IF(TableIncomeCalculations[[#This Row],[SwitchP1]]="Y",P18*$I$5,0),0)</f>
        <v>86540.847469562374</v>
      </c>
      <c r="Q19" s="39">
        <f>IF(_xlfn.XLOOKUP(TableIncome[[#This Row],[Year]],Loop!C:C,Loop!E:E)&lt;70,(Q18*(1+$I$3))+IF(TableIncomeCalculations[[#This Row],[SwitchP2]]="Y",Q18*$I$5,0),0)</f>
        <v>129691.88236252656</v>
      </c>
      <c r="R19" t="str">
        <f>_xlfn.XLOOKUP(_xlfn.XLOOKUP(TableIncome[[#This Row],[Year]],Loop!C:C,Loop!D:D),'Job Hopping'!B:B,'Job Hopping'!F:F)</f>
        <v>N</v>
      </c>
      <c r="S19" t="str">
        <f>_xlfn.XLOOKUP(_xlfn.XLOOKUP(TableIncome[[#This Row],[Year]],Loop!C:C,Loop!E:E),'Job Hopping'!B:B,'Job Hopping'!G:G)</f>
        <v>N</v>
      </c>
    </row>
    <row r="20" spans="2:19" x14ac:dyDescent="0.35">
      <c r="B20" s="2">
        <v>2042</v>
      </c>
      <c r="C20" s="42">
        <f>(TableIncomeCalculations[[#This Row],[NetMonthlySalaryP1]]*12)</f>
        <v>408452.35377484397</v>
      </c>
      <c r="D20" s="41">
        <f>(TableIncomeCalculations[[#This Row],[NetMonthlySalaryP2]]*12)</f>
        <v>569350.49513835169</v>
      </c>
      <c r="E20" s="40">
        <f>TableIncome[[#This Row],[SalaryP1]]*$I$7</f>
        <v>40845.235377484401</v>
      </c>
      <c r="F20" s="40">
        <f>TableIncome[[#This Row],[SalaryP2]]*$I$7</f>
        <v>56935.049513835169</v>
      </c>
      <c r="G20" s="16"/>
      <c r="L20" s="38">
        <f>'Net Salary P1'!BI21</f>
        <v>34037.696147903662</v>
      </c>
      <c r="M20" s="39">
        <f>'Net Salary P2'!AT21</f>
        <v>47445.874594862638</v>
      </c>
      <c r="N20" s="39">
        <f>IF(_xlfn.XLOOKUP(TableIncome[[#This Row],[Year]],Loop!C:C,Loop!D:D)&lt;70,(N19*(1+$I$4))+IF(TableIncomeCalculations[[#This Row],[SwitchP1]]="Y",N19*$I$6,0),0)</f>
        <v>58318.096376799636</v>
      </c>
      <c r="O20" s="39">
        <f>IF(_xlfn.XLOOKUP(TableIncome[[#This Row],[Year]],Loop!C:C,Loop!E:E)&lt;70,(O19*(1+$I$4))+IF(TableIncomeCalculations[[#This Row],[SwitchP2]]="Y",Q19*$I$6,0),0)</f>
        <v>91341.358418817021</v>
      </c>
      <c r="P20" s="39">
        <f>IF(_xlfn.XLOOKUP(TableIncome[[#This Row],[Year]],Loop!C:C,Loop!D:D)&lt;70,(P19*(1+$I$3))+IF(TableIncomeCalculations[[#This Row],[SwitchP1]]="Y",P19*$I$5,0),0)</f>
        <v>89137.072893649252</v>
      </c>
      <c r="Q20" s="39">
        <f>IF(_xlfn.XLOOKUP(TableIncome[[#This Row],[Year]],Loop!C:C,Loop!E:E)&lt;70,(Q19*(1+$I$3))+IF(TableIncomeCalculations[[#This Row],[SwitchP2]]="Y",Q19*$I$5,0),0)</f>
        <v>133582.63883340236</v>
      </c>
      <c r="R20" t="str">
        <f>_xlfn.XLOOKUP(_xlfn.XLOOKUP(TableIncome[[#This Row],[Year]],Loop!C:C,Loop!D:D),'Job Hopping'!B:B,'Job Hopping'!F:F)</f>
        <v>N</v>
      </c>
      <c r="S20" t="str">
        <f>_xlfn.XLOOKUP(_xlfn.XLOOKUP(TableIncome[[#This Row],[Year]],Loop!C:C,Loop!E:E),'Job Hopping'!B:B,'Job Hopping'!G:G)</f>
        <v>N</v>
      </c>
    </row>
    <row r="21" spans="2:19" x14ac:dyDescent="0.35">
      <c r="B21" s="2">
        <v>2043</v>
      </c>
      <c r="C21" s="42">
        <f>(TableIncomeCalculations[[#This Row],[NetMonthlySalaryP1]]*12)</f>
        <v>412662.20287145779</v>
      </c>
      <c r="D21" s="41">
        <f>(TableIncomeCalculations[[#This Row],[NetMonthlySalaryP2]]*12)</f>
        <v>602696.04133860173</v>
      </c>
      <c r="E21" s="40">
        <f>TableIncome[[#This Row],[SalaryP1]]*$I$7</f>
        <v>41266.220287145785</v>
      </c>
      <c r="F21" s="40">
        <f>TableIncome[[#This Row],[SalaryP2]]*$I$7</f>
        <v>60269.604133860179</v>
      </c>
      <c r="G21" s="16"/>
      <c r="L21" s="38">
        <f>'Net Salary P1'!BI22</f>
        <v>34388.516905954813</v>
      </c>
      <c r="M21" s="39">
        <f>'Net Salary P2'!AT22</f>
        <v>50224.670111550142</v>
      </c>
      <c r="N21" s="39">
        <f>IF(_xlfn.XLOOKUP(TableIncome[[#This Row],[Year]],Loop!C:C,Loop!D:D)&lt;70,(N20*(1+$I$4))+IF(TableIncomeCalculations[[#This Row],[SwitchP1]]="Y",N20*$I$6,0),0)</f>
        <v>61234.001195639619</v>
      </c>
      <c r="O21" s="39">
        <f>IF(_xlfn.XLOOKUP(TableIncome[[#This Row],[Year]],Loop!C:C,Loop!E:E)&lt;70,(O20*(1+$I$4))+IF(TableIncomeCalculations[[#This Row],[SwitchP2]]="Y",Q20*$I$6,0),0)</f>
        <v>92254.772003005186</v>
      </c>
      <c r="P21" s="39">
        <f>IF(_xlfn.XLOOKUP(TableIncome[[#This Row],[Year]],Loop!C:C,Loop!D:D)&lt;70,(P20*(1+$I$3))+IF(TableIncomeCalculations[[#This Row],[SwitchP1]]="Y",P20*$I$5,0),0)</f>
        <v>97159.409454077686</v>
      </c>
      <c r="Q21" s="39">
        <f>IF(_xlfn.XLOOKUP(TableIncome[[#This Row],[Year]],Loop!C:C,Loop!E:E)&lt;70,(Q20*(1+$I$3))+IF(TableIncomeCalculations[[#This Row],[SwitchP2]]="Y",Q20*$I$5,0),0)</f>
        <v>137590.11799840443</v>
      </c>
      <c r="R21" t="str">
        <f>_xlfn.XLOOKUP(_xlfn.XLOOKUP(TableIncome[[#This Row],[Year]],Loop!C:C,Loop!D:D),'Job Hopping'!B:B,'Job Hopping'!F:F)</f>
        <v>Y</v>
      </c>
      <c r="S21" t="str">
        <f>_xlfn.XLOOKUP(_xlfn.XLOOKUP(TableIncome[[#This Row],[Year]],Loop!C:C,Loop!E:E),'Job Hopping'!B:B,'Job Hopping'!G:G)</f>
        <v>N</v>
      </c>
    </row>
    <row r="22" spans="2:19" x14ac:dyDescent="0.35">
      <c r="B22" s="2">
        <v>2044</v>
      </c>
      <c r="C22" s="42">
        <f>(TableIncomeCalculations[[#This Row],[NetMonthlySalaryP1]]*12)</f>
        <v>416910.47796572675</v>
      </c>
      <c r="D22" s="41">
        <f>(TableIncomeCalculations[[#This Row],[NetMonthlySalaryP2]]*12)</f>
        <v>607839.65481754206</v>
      </c>
      <c r="E22" s="40">
        <f>TableIncome[[#This Row],[SalaryP1]]*$I$7</f>
        <v>41691.047796572675</v>
      </c>
      <c r="F22" s="40">
        <f>TableIncome[[#This Row],[SalaryP2]]*$I$7</f>
        <v>60783.96548175421</v>
      </c>
      <c r="G22" s="16"/>
      <c r="L22" s="38">
        <f>'Net Salary P1'!BI23</f>
        <v>34742.539830477232</v>
      </c>
      <c r="M22" s="39">
        <f>'Net Salary P2'!AT23</f>
        <v>50653.304568128508</v>
      </c>
      <c r="N22" s="39">
        <f>IF(_xlfn.XLOOKUP(TableIncome[[#This Row],[Year]],Loop!C:C,Loop!D:D)&lt;70,(N21*(1+$I$4))+IF(TableIncomeCalculations[[#This Row],[SwitchP1]]="Y",N21*$I$6,0),0)</f>
        <v>61846.341207596015</v>
      </c>
      <c r="O22" s="39">
        <f>IF(_xlfn.XLOOKUP(TableIncome[[#This Row],[Year]],Loop!C:C,Loop!E:E)&lt;70,(O21*(1+$I$4))+IF(TableIncomeCalculations[[#This Row],[SwitchP2]]="Y",Q21*$I$6,0),0)</f>
        <v>93177.319723035238</v>
      </c>
      <c r="P22" s="39">
        <f>IF(_xlfn.XLOOKUP(TableIncome[[#This Row],[Year]],Loop!C:C,Loop!D:D)&lt;70,(P21*(1+$I$3))+IF(TableIncomeCalculations[[#This Row],[SwitchP1]]="Y",P21*$I$5,0),0)</f>
        <v>100074.19173770002</v>
      </c>
      <c r="Q22" s="39">
        <f>IF(_xlfn.XLOOKUP(TableIncome[[#This Row],[Year]],Loop!C:C,Loop!E:E)&lt;70,(Q21*(1+$I$3))+IF(TableIncomeCalculations[[#This Row],[SwitchP2]]="Y",Q21*$I$5,0),0)</f>
        <v>141717.82153835657</v>
      </c>
      <c r="R22" t="str">
        <f>_xlfn.XLOOKUP(_xlfn.XLOOKUP(TableIncome[[#This Row],[Year]],Loop!C:C,Loop!D:D),'Job Hopping'!B:B,'Job Hopping'!F:F)</f>
        <v>N</v>
      </c>
      <c r="S22" t="str">
        <f>_xlfn.XLOOKUP(_xlfn.XLOOKUP(TableIncome[[#This Row],[Year]],Loop!C:C,Loop!E:E),'Job Hopping'!B:B,'Job Hopping'!G:G)</f>
        <v>N</v>
      </c>
    </row>
    <row r="23" spans="2:19" x14ac:dyDescent="0.35">
      <c r="B23" s="2">
        <v>2045</v>
      </c>
      <c r="C23" s="42">
        <f>(TableIncomeCalculations[[#This Row],[NetMonthlySalaryP1]]*12)</f>
        <v>434154.43624284264</v>
      </c>
      <c r="D23" s="41">
        <f>(TableIncomeCalculations[[#This Row],[NetMonthlySalaryP2]]*12)</f>
        <v>613031.10394763341</v>
      </c>
      <c r="E23" s="40">
        <f>TableIncome[[#This Row],[SalaryP1]]*$I$7</f>
        <v>43415.443624284264</v>
      </c>
      <c r="F23" s="40">
        <f>TableIncome[[#This Row],[SalaryP2]]*$I$7</f>
        <v>61303.110394763346</v>
      </c>
      <c r="G23" s="16"/>
      <c r="L23" s="38">
        <f>'Net Salary P1'!BI24</f>
        <v>36179.53635357022</v>
      </c>
      <c r="M23" s="39">
        <f>'Net Salary P2'!AT24</f>
        <v>51085.925328969453</v>
      </c>
      <c r="N23" s="39">
        <f>IF(_xlfn.XLOOKUP(TableIncome[[#This Row],[Year]],Loop!C:C,Loop!D:D)&lt;70,(N22*(1+$I$4))+IF(TableIncomeCalculations[[#This Row],[SwitchP1]]="Y",N22*$I$6,0),0)</f>
        <v>62464.804619671973</v>
      </c>
      <c r="O23" s="39">
        <f>IF(_xlfn.XLOOKUP(TableIncome[[#This Row],[Year]],Loop!C:C,Loop!E:E)&lt;70,(O22*(1+$I$4))+IF(TableIncomeCalculations[[#This Row],[SwitchP2]]="Y",Q22*$I$6,0),0)</f>
        <v>99777.805781799863</v>
      </c>
      <c r="P23" s="39">
        <f>IF(_xlfn.XLOOKUP(TableIncome[[#This Row],[Year]],Loop!C:C,Loop!D:D)&lt;70,(P22*(1+$I$3))+IF(TableIncomeCalculations[[#This Row],[SwitchP1]]="Y",P22*$I$5,0),0)</f>
        <v>103076.41748983103</v>
      </c>
      <c r="Q23" s="39">
        <f>IF(_xlfn.XLOOKUP(TableIncome[[#This Row],[Year]],Loop!C:C,Loop!E:E)&lt;70,(Q22*(1+$I$3))+IF(TableIncomeCalculations[[#This Row],[SwitchP2]]="Y",Q22*$I$5,0),0)</f>
        <v>154472.42547680868</v>
      </c>
      <c r="R23" t="str">
        <f>_xlfn.XLOOKUP(_xlfn.XLOOKUP(TableIncome[[#This Row],[Year]],Loop!C:C,Loop!D:D),'Job Hopping'!B:B,'Job Hopping'!F:F)</f>
        <v>N</v>
      </c>
      <c r="S23" t="str">
        <f>_xlfn.XLOOKUP(_xlfn.XLOOKUP(TableIncome[[#This Row],[Year]],Loop!C:C,Loop!E:E),'Job Hopping'!B:B,'Job Hopping'!G:G)</f>
        <v>Y</v>
      </c>
    </row>
    <row r="24" spans="2:19" x14ac:dyDescent="0.35">
      <c r="B24" s="2">
        <v>2046</v>
      </c>
      <c r="C24" s="42">
        <f>(TableIncomeCalculations[[#This Row],[NetMonthlySalaryP1]]*12)</f>
        <v>437605.50330126716</v>
      </c>
      <c r="D24" s="41">
        <f>(TableIncomeCalculations[[#This Row],[NetMonthlySalaryP2]]*12)</f>
        <v>618270.93768310582</v>
      </c>
      <c r="E24" s="40">
        <f>TableIncome[[#This Row],[SalaryP1]]*$I$7</f>
        <v>43760.550330126716</v>
      </c>
      <c r="F24" s="40">
        <f>TableIncome[[#This Row],[SalaryP2]]*$I$7</f>
        <v>61827.093768310588</v>
      </c>
      <c r="G24" s="16"/>
      <c r="L24" s="38">
        <f>'Net Salary P1'!BI25</f>
        <v>36467.125275105594</v>
      </c>
      <c r="M24" s="39">
        <f>'Net Salary P2'!AT25</f>
        <v>51522.578140258818</v>
      </c>
      <c r="N24" s="39">
        <f>IF(_xlfn.XLOOKUP(TableIncome[[#This Row],[Year]],Loop!C:C,Loop!D:D)&lt;70,(N23*(1+$I$4))+IF(TableIncomeCalculations[[#This Row],[SwitchP1]]="Y",N23*$I$6,0),0)</f>
        <v>63089.452665868695</v>
      </c>
      <c r="O24" s="39">
        <f>IF(_xlfn.XLOOKUP(TableIncome[[#This Row],[Year]],Loop!C:C,Loop!E:E)&lt;70,(O23*(1+$I$4))+IF(TableIncomeCalculations[[#This Row],[SwitchP2]]="Y",Q23*$I$6,0),0)</f>
        <v>100775.58383961786</v>
      </c>
      <c r="P24" s="39">
        <f>IF(_xlfn.XLOOKUP(TableIncome[[#This Row],[Year]],Loop!C:C,Loop!D:D)&lt;70,(P23*(1+$I$3))+IF(TableIncomeCalculations[[#This Row],[SwitchP1]]="Y",P23*$I$5,0),0)</f>
        <v>106168.71001452596</v>
      </c>
      <c r="Q24" s="39">
        <f>IF(_xlfn.XLOOKUP(TableIncome[[#This Row],[Year]],Loop!C:C,Loop!E:E)&lt;70,(Q23*(1+$I$3))+IF(TableIncomeCalculations[[#This Row],[SwitchP2]]="Y",Q23*$I$5,0),0)</f>
        <v>159106.59824111295</v>
      </c>
      <c r="R24" t="str">
        <f>_xlfn.XLOOKUP(_xlfn.XLOOKUP(TableIncome[[#This Row],[Year]],Loop!C:C,Loop!D:D),'Job Hopping'!B:B,'Job Hopping'!F:F)</f>
        <v>N</v>
      </c>
      <c r="S24" t="str">
        <f>_xlfn.XLOOKUP(_xlfn.XLOOKUP(TableIncome[[#This Row],[Year]],Loop!C:C,Loop!E:E),'Job Hopping'!B:B,'Job Hopping'!G:G)</f>
        <v>N</v>
      </c>
    </row>
    <row r="25" spans="2:19" x14ac:dyDescent="0.35">
      <c r="B25" s="2">
        <v>2047</v>
      </c>
      <c r="C25" s="42">
        <f>(TableIncomeCalculations[[#This Row],[NetMonthlySalaryP1]]*12)</f>
        <v>441087.62035780528</v>
      </c>
      <c r="D25" s="41">
        <f>(TableIncomeCalculations[[#This Row],[NetMonthlySalaryP2]]*12)</f>
        <v>623559.70908346237</v>
      </c>
      <c r="E25" s="40">
        <f>TableIncome[[#This Row],[SalaryP1]]*$I$7</f>
        <v>44108.762035780528</v>
      </c>
      <c r="F25" s="40">
        <f>TableIncome[[#This Row],[SalaryP2]]*$I$7</f>
        <v>62355.970908346237</v>
      </c>
      <c r="G25" s="16"/>
      <c r="L25" s="38">
        <f>'Net Salary P1'!BI26</f>
        <v>36757.301696483773</v>
      </c>
      <c r="M25" s="39">
        <f>'Net Salary P2'!AT26</f>
        <v>51963.309090288531</v>
      </c>
      <c r="N25" s="39">
        <f>IF(_xlfn.XLOOKUP(TableIncome[[#This Row],[Year]],Loop!C:C,Loop!D:D)&lt;70,(N24*(1+$I$4))+IF(TableIncomeCalculations[[#This Row],[SwitchP1]]="Y",N24*$I$6,0),0)</f>
        <v>66243.925299162132</v>
      </c>
      <c r="O25" s="39">
        <f>IF(_xlfn.XLOOKUP(TableIncome[[#This Row],[Year]],Loop!C:C,Loop!E:E)&lt;70,(O24*(1+$I$4))+IF(TableIncomeCalculations[[#This Row],[SwitchP2]]="Y",Q24*$I$6,0),0)</f>
        <v>101783.33967801403</v>
      </c>
      <c r="P25" s="39">
        <f>IF(_xlfn.XLOOKUP(TableIncome[[#This Row],[Year]],Loop!C:C,Loop!D:D)&lt;70,(P24*(1+$I$3))+IF(TableIncomeCalculations[[#This Row],[SwitchP1]]="Y",P24*$I$5,0),0)</f>
        <v>115723.89391583331</v>
      </c>
      <c r="Q25" s="39">
        <f>IF(_xlfn.XLOOKUP(TableIncome[[#This Row],[Year]],Loop!C:C,Loop!E:E)&lt;70,(Q24*(1+$I$3))+IF(TableIncomeCalculations[[#This Row],[SwitchP2]]="Y",Q24*$I$5,0),0)</f>
        <v>163879.79618834634</v>
      </c>
      <c r="R25" t="str">
        <f>_xlfn.XLOOKUP(_xlfn.XLOOKUP(TableIncome[[#This Row],[Year]],Loop!C:C,Loop!D:D),'Job Hopping'!B:B,'Job Hopping'!F:F)</f>
        <v>Y</v>
      </c>
      <c r="S25" t="str">
        <f>_xlfn.XLOOKUP(_xlfn.XLOOKUP(TableIncome[[#This Row],[Year]],Loop!C:C,Loop!E:E),'Job Hopping'!B:B,'Job Hopping'!G:G)</f>
        <v>N</v>
      </c>
    </row>
    <row r="26" spans="2:19" x14ac:dyDescent="0.35">
      <c r="B26" s="2">
        <v>2048</v>
      </c>
      <c r="C26" s="42">
        <f>(TableIncomeCalculations[[#This Row],[NetMonthlySalaryP1]]*12)</f>
        <v>444601.16576876142</v>
      </c>
      <c r="D26" s="41">
        <f>(TableIncomeCalculations[[#This Row],[NetMonthlySalaryP2]]*12)</f>
        <v>628897.97538167506</v>
      </c>
      <c r="E26" s="40">
        <f>TableIncome[[#This Row],[SalaryP1]]*$I$7</f>
        <v>44460.116576876142</v>
      </c>
      <c r="F26" s="40">
        <f>TableIncome[[#This Row],[SalaryP2]]*$I$7</f>
        <v>62889.797538167506</v>
      </c>
      <c r="G26" s="16"/>
      <c r="L26" s="38">
        <f>'Net Salary P1'!BI27</f>
        <v>37050.097147396787</v>
      </c>
      <c r="M26" s="39">
        <f>'Net Salary P2'!AT27</f>
        <v>52408.164615139591</v>
      </c>
      <c r="N26" s="39">
        <f>IF(_xlfn.XLOOKUP(TableIncome[[#This Row],[Year]],Loop!C:C,Loop!D:D)&lt;70,(N25*(1+$I$4))+IF(TableIncomeCalculations[[#This Row],[SwitchP1]]="Y",N25*$I$6,0),0)</f>
        <v>66906.364552153755</v>
      </c>
      <c r="O26" s="39">
        <f>IF(_xlfn.XLOOKUP(TableIncome[[#This Row],[Year]],Loop!C:C,Loop!E:E)&lt;70,(O25*(1+$I$4))+IF(TableIncomeCalculations[[#This Row],[SwitchP2]]="Y",Q25*$I$6,0),0)</f>
        <v>102801.17307479418</v>
      </c>
      <c r="P26" s="39">
        <f>IF(_xlfn.XLOOKUP(TableIncome[[#This Row],[Year]],Loop!C:C,Loop!D:D)&lt;70,(P25*(1+$I$3))+IF(TableIncomeCalculations[[#This Row],[SwitchP1]]="Y",P25*$I$5,0),0)</f>
        <v>119195.61073330831</v>
      </c>
      <c r="Q26" s="39">
        <f>IF(_xlfn.XLOOKUP(TableIncome[[#This Row],[Year]],Loop!C:C,Loop!E:E)&lt;70,(Q25*(1+$I$3))+IF(TableIncomeCalculations[[#This Row],[SwitchP2]]="Y",Q25*$I$5,0),0)</f>
        <v>168796.19007399672</v>
      </c>
      <c r="R26" t="str">
        <f>_xlfn.XLOOKUP(_xlfn.XLOOKUP(TableIncome[[#This Row],[Year]],Loop!C:C,Loop!D:D),'Job Hopping'!B:B,'Job Hopping'!F:F)</f>
        <v>N</v>
      </c>
      <c r="S26" t="str">
        <f>_xlfn.XLOOKUP(_xlfn.XLOOKUP(TableIncome[[#This Row],[Year]],Loop!C:C,Loop!E:E),'Job Hopping'!B:B,'Job Hopping'!G:G)</f>
        <v>N</v>
      </c>
    </row>
    <row r="27" spans="2:19" x14ac:dyDescent="0.35">
      <c r="B27" s="2">
        <v>2049</v>
      </c>
      <c r="C27" s="42">
        <f>(TableIncomeCalculations[[#This Row],[NetMonthlySalaryP1]]*12)</f>
        <v>448146.52034348634</v>
      </c>
      <c r="D27" s="41">
        <f>(TableIncomeCalculations[[#This Row],[NetMonthlySalaryP2]]*12)</f>
        <v>634286.29805252922</v>
      </c>
      <c r="E27" s="40">
        <f>TableIncome[[#This Row],[SalaryP1]]*$I$7</f>
        <v>44814.652034348634</v>
      </c>
      <c r="F27" s="40">
        <f>TableIncome[[#This Row],[SalaryP2]]*$I$7</f>
        <v>63428.629805252924</v>
      </c>
      <c r="G27" s="16"/>
      <c r="L27" s="38">
        <f>'Net Salary P1'!BI28</f>
        <v>37345.543361957192</v>
      </c>
      <c r="M27" s="39">
        <f>'Net Salary P2'!AT28</f>
        <v>52857.191504377435</v>
      </c>
      <c r="N27" s="39">
        <f>IF(_xlfn.XLOOKUP(TableIncome[[#This Row],[Year]],Loop!C:C,Loop!D:D)&lt;70,(N26*(1+$I$4))+IF(TableIncomeCalculations[[#This Row],[SwitchP1]]="Y",N26*$I$6,0),0)</f>
        <v>67575.428197675297</v>
      </c>
      <c r="O27" s="39">
        <f>IF(_xlfn.XLOOKUP(TableIncome[[#This Row],[Year]],Loop!C:C,Loop!E:E)&lt;70,(O26*(1+$I$4))+IF(TableIncomeCalculations[[#This Row],[SwitchP2]]="Y",Q26*$I$6,0),0)</f>
        <v>103829.18480554211</v>
      </c>
      <c r="P27" s="39">
        <f>IF(_xlfn.XLOOKUP(TableIncome[[#This Row],[Year]],Loop!C:C,Loop!D:D)&lt;70,(P26*(1+$I$3))+IF(TableIncomeCalculations[[#This Row],[SwitchP1]]="Y",P26*$I$5,0),0)</f>
        <v>122771.47905530756</v>
      </c>
      <c r="Q27" s="39">
        <f>IF(_xlfn.XLOOKUP(TableIncome[[#This Row],[Year]],Loop!C:C,Loop!E:E)&lt;70,(Q26*(1+$I$3))+IF(TableIncomeCalculations[[#This Row],[SwitchP2]]="Y",Q26*$I$5,0),0)</f>
        <v>173860.07577621663</v>
      </c>
      <c r="R27" t="str">
        <f>_xlfn.XLOOKUP(_xlfn.XLOOKUP(TableIncome[[#This Row],[Year]],Loop!C:C,Loop!D:D),'Job Hopping'!B:B,'Job Hopping'!F:F)</f>
        <v>N</v>
      </c>
      <c r="S27" t="str">
        <f>_xlfn.XLOOKUP(_xlfn.XLOOKUP(TableIncome[[#This Row],[Year]],Loop!C:C,Loop!E:E),'Job Hopping'!B:B,'Job Hopping'!G:G)</f>
        <v>N</v>
      </c>
    </row>
    <row r="28" spans="2:19" x14ac:dyDescent="0.35">
      <c r="B28" s="2">
        <v>2050</v>
      </c>
      <c r="C28" s="42">
        <f>(TableIncomeCalculations[[#This Row],[NetMonthlySalaryP1]]*12)</f>
        <v>451724.06739499699</v>
      </c>
      <c r="D28" s="41">
        <f>(TableIncomeCalculations[[#This Row],[NetMonthlySalaryP2]]*12)</f>
        <v>639725.24288113019</v>
      </c>
      <c r="E28" s="40">
        <f>TableIncome[[#This Row],[SalaryP1]]*$I$7</f>
        <v>45172.406739499704</v>
      </c>
      <c r="F28" s="40">
        <f>TableIncome[[#This Row],[SalaryP2]]*$I$7</f>
        <v>63972.524288113025</v>
      </c>
      <c r="G28" s="16"/>
      <c r="L28" s="38">
        <f>'Net Salary P1'!BI29</f>
        <v>37643.672282916414</v>
      </c>
      <c r="M28" s="39">
        <f>'Net Salary P2'!AT29</f>
        <v>53310.43690676085</v>
      </c>
      <c r="N28" s="39">
        <f>IF(_xlfn.XLOOKUP(TableIncome[[#This Row],[Year]],Loop!C:C,Loop!D:D)&lt;70,(N27*(1+$I$4))+IF(TableIncomeCalculations[[#This Row],[SwitchP1]]="Y",N27*$I$6,0),0)</f>
        <v>68251.182479652052</v>
      </c>
      <c r="O28" s="39">
        <f>IF(_xlfn.XLOOKUP(TableIncome[[#This Row],[Year]],Loop!C:C,Loop!E:E)&lt;70,(O27*(1+$I$4))+IF(TableIncomeCalculations[[#This Row],[SwitchP2]]="Y",Q27*$I$6,0),0)</f>
        <v>104867.47665359754</v>
      </c>
      <c r="P28" s="39">
        <f>IF(_xlfn.XLOOKUP(TableIncome[[#This Row],[Year]],Loop!C:C,Loop!D:D)&lt;70,(P27*(1+$I$3))+IF(TableIncomeCalculations[[#This Row],[SwitchP1]]="Y",P27*$I$5,0),0)</f>
        <v>126454.62342696679</v>
      </c>
      <c r="Q28" s="39">
        <f>IF(_xlfn.XLOOKUP(TableIncome[[#This Row],[Year]],Loop!C:C,Loop!E:E)&lt;70,(Q27*(1+$I$3))+IF(TableIncomeCalculations[[#This Row],[SwitchP2]]="Y",Q27*$I$5,0),0)</f>
        <v>179075.87804950314</v>
      </c>
      <c r="R28" t="str">
        <f>_xlfn.XLOOKUP(_xlfn.XLOOKUP(TableIncome[[#This Row],[Year]],Loop!C:C,Loop!D:D),'Job Hopping'!B:B,'Job Hopping'!F:F)</f>
        <v>N</v>
      </c>
      <c r="S28" t="str">
        <f>_xlfn.XLOOKUP(_xlfn.XLOOKUP(TableIncome[[#This Row],[Year]],Loop!C:C,Loop!E:E),'Job Hopping'!B:B,'Job Hopping'!G:G)</f>
        <v>N</v>
      </c>
    </row>
    <row r="29" spans="2:19" x14ac:dyDescent="0.35">
      <c r="B29" s="2">
        <v>2051</v>
      </c>
      <c r="C29" s="42">
        <f>(TableIncomeCalculations[[#This Row],[NetMonthlySalaryP1]]*12)</f>
        <v>455334.19279058976</v>
      </c>
      <c r="D29" s="41">
        <f>(TableIncomeCalculations[[#This Row],[NetMonthlySalaryP2]]*12)</f>
        <v>645215.3800315843</v>
      </c>
      <c r="E29" s="40">
        <f>TableIncome[[#This Row],[SalaryP1]]*$I$7</f>
        <v>45533.41927905898</v>
      </c>
      <c r="F29" s="40">
        <f>TableIncome[[#This Row],[SalaryP2]]*$I$7</f>
        <v>64521.538003158435</v>
      </c>
      <c r="G29" s="16"/>
      <c r="L29" s="38">
        <f>'Net Salary P1'!BI30</f>
        <v>37944.516065882483</v>
      </c>
      <c r="M29" s="39">
        <f>'Net Salary P2'!AT30</f>
        <v>53767.94833596536</v>
      </c>
      <c r="N29" s="39">
        <f>IF(_xlfn.XLOOKUP(TableIncome[[#This Row],[Year]],Loop!C:C,Loop!D:D)&lt;70,(N28*(1+$I$4))+IF(TableIncomeCalculations[[#This Row],[SwitchP1]]="Y",N28*$I$6,0),0)</f>
        <v>68933.694304448567</v>
      </c>
      <c r="O29" s="39">
        <f>IF(_xlfn.XLOOKUP(TableIncome[[#This Row],[Year]],Loop!C:C,Loop!E:E)&lt;70,(O28*(1+$I$4))+IF(TableIncomeCalculations[[#This Row],[SwitchP2]]="Y",Q28*$I$6,0),0)</f>
        <v>105916.15142013351</v>
      </c>
      <c r="P29" s="39">
        <f>IF(_xlfn.XLOOKUP(TableIncome[[#This Row],[Year]],Loop!C:C,Loop!D:D)&lt;70,(P28*(1+$I$3))+IF(TableIncomeCalculations[[#This Row],[SwitchP1]]="Y",P28*$I$5,0),0)</f>
        <v>130248.2621297758</v>
      </c>
      <c r="Q29" s="39">
        <f>IF(_xlfn.XLOOKUP(TableIncome[[#This Row],[Year]],Loop!C:C,Loop!E:E)&lt;70,(Q28*(1+$I$3))+IF(TableIncomeCalculations[[#This Row],[SwitchP2]]="Y",Q28*$I$5,0),0)</f>
        <v>184448.15439098823</v>
      </c>
      <c r="R29" t="str">
        <f>_xlfn.XLOOKUP(_xlfn.XLOOKUP(TableIncome[[#This Row],[Year]],Loop!C:C,Loop!D:D),'Job Hopping'!B:B,'Job Hopping'!F:F)</f>
        <v>N</v>
      </c>
      <c r="S29" t="str">
        <f>_xlfn.XLOOKUP(_xlfn.XLOOKUP(TableIncome[[#This Row],[Year]],Loop!C:C,Loop!E:E),'Job Hopping'!B:B,'Job Hopping'!G:G)</f>
        <v>N</v>
      </c>
    </row>
    <row r="30" spans="2:19" x14ac:dyDescent="0.35">
      <c r="B30" s="2">
        <v>2052</v>
      </c>
      <c r="C30" s="42">
        <f>(TableIncomeCalculations[[#This Row],[NetMonthlySalaryP1]]*12)</f>
        <v>458977.28500245925</v>
      </c>
      <c r="D30" s="41">
        <f>(TableIncomeCalculations[[#This Row],[NetMonthlySalaryP2]]*12)</f>
        <v>650757.28411586373</v>
      </c>
      <c r="E30" s="40">
        <f>TableIncome[[#This Row],[SalaryP1]]*$I$7</f>
        <v>45897.728500245925</v>
      </c>
      <c r="F30" s="40">
        <f>TableIncome[[#This Row],[SalaryP2]]*$I$7</f>
        <v>65075.728411586373</v>
      </c>
      <c r="G30" s="16"/>
      <c r="L30" s="38">
        <f>'Net Salary P1'!BI31</f>
        <v>38248.107083538271</v>
      </c>
      <c r="M30" s="39">
        <f>'Net Salary P2'!AT31</f>
        <v>54229.77367632198</v>
      </c>
      <c r="N30" s="39">
        <f>IF(_xlfn.XLOOKUP(TableIncome[[#This Row],[Year]],Loop!C:C,Loop!D:D)&lt;70,(N29*(1+$I$4))+IF(TableIncomeCalculations[[#This Row],[SwitchP1]]="Y",N29*$I$6,0),0)</f>
        <v>69623.031247493054</v>
      </c>
      <c r="O30" s="39">
        <f>IF(_xlfn.XLOOKUP(TableIncome[[#This Row],[Year]],Loop!C:C,Loop!E:E)&lt;70,(O29*(1+$I$4))+IF(TableIncomeCalculations[[#This Row],[SwitchP2]]="Y",Q29*$I$6,0),0)</f>
        <v>106975.31293433484</v>
      </c>
      <c r="P30" s="39">
        <f>IF(_xlfn.XLOOKUP(TableIncome[[#This Row],[Year]],Loop!C:C,Loop!D:D)&lt;70,(P29*(1+$I$3))+IF(TableIncomeCalculations[[#This Row],[SwitchP1]]="Y",P29*$I$5,0),0)</f>
        <v>134155.70999366906</v>
      </c>
      <c r="Q30" s="39">
        <f>IF(_xlfn.XLOOKUP(TableIncome[[#This Row],[Year]],Loop!C:C,Loop!E:E)&lt;70,(Q29*(1+$I$3))+IF(TableIncomeCalculations[[#This Row],[SwitchP2]]="Y",Q29*$I$5,0),0)</f>
        <v>189981.59902271788</v>
      </c>
      <c r="R30" t="str">
        <f>_xlfn.XLOOKUP(_xlfn.XLOOKUP(TableIncome[[#This Row],[Year]],Loop!C:C,Loop!D:D),'Job Hopping'!B:B,'Job Hopping'!F:F)</f>
        <v>N</v>
      </c>
      <c r="S30" t="str">
        <f>_xlfn.XLOOKUP(_xlfn.XLOOKUP(TableIncome[[#This Row],[Year]],Loop!C:C,Loop!E:E),'Job Hopping'!B:B,'Job Hopping'!G:G)</f>
        <v>N</v>
      </c>
    </row>
    <row r="31" spans="2:19" x14ac:dyDescent="0.35">
      <c r="B31" s="2">
        <v>2053</v>
      </c>
      <c r="C31" s="42">
        <f>(TableIncomeCalculations[[#This Row],[NetMonthlySalaryP1]]*12)</f>
        <v>462653.73515833064</v>
      </c>
      <c r="D31" s="41">
        <f>(TableIncomeCalculations[[#This Row],[NetMonthlySalaryP2]]*12)</f>
        <v>0</v>
      </c>
      <c r="E31" s="40">
        <f>TableIncome[[#This Row],[SalaryP1]]*$I$7</f>
        <v>46265.373515833067</v>
      </c>
      <c r="F31" s="40">
        <f>TableIncome[[#This Row],[SalaryP2]]*$I$7</f>
        <v>0</v>
      </c>
      <c r="G31" s="16"/>
      <c r="L31" s="38">
        <f>'Net Salary P1'!BI32</f>
        <v>38554.477929860885</v>
      </c>
      <c r="M31" s="39">
        <f>'Net Salary P2'!AT32</f>
        <v>0</v>
      </c>
      <c r="N31" s="39">
        <f>IF(_xlfn.XLOOKUP(TableIncome[[#This Row],[Year]],Loop!C:C,Loop!D:D)&lt;70,(N30*(1+$I$4))+IF(TableIncomeCalculations[[#This Row],[SwitchP1]]="Y",N30*$I$6,0),0)</f>
        <v>70319.261559967985</v>
      </c>
      <c r="O31" s="39">
        <f>IF(_xlfn.XLOOKUP(TableIncome[[#This Row],[Year]],Loop!C:C,Loop!E:E)&lt;70,(O30*(1+$I$4))+IF(TableIncomeCalculations[[#This Row],[SwitchP2]]="Y",Q30*$I$6,0),0)</f>
        <v>108045.06606367818</v>
      </c>
      <c r="P31" s="39">
        <f>IF(_xlfn.XLOOKUP(TableIncome[[#This Row],[Year]],Loop!C:C,Loop!D:D)&lt;70,(P30*(1+$I$3))+IF(TableIncomeCalculations[[#This Row],[SwitchP1]]="Y",P30*$I$5,0),0)</f>
        <v>138180.38129347915</v>
      </c>
      <c r="Q31" s="39">
        <f>IF(_xlfn.XLOOKUP(TableIncome[[#This Row],[Year]],Loop!C:C,Loop!E:E)&lt;70,(Q30*(1+$I$3))+IF(TableIncomeCalculations[[#This Row],[SwitchP2]]="Y",Q30*$I$5,0),0)</f>
        <v>195681.04699339942</v>
      </c>
      <c r="R31" t="str">
        <f>_xlfn.XLOOKUP(_xlfn.XLOOKUP(TableIncome[[#This Row],[Year]],Loop!C:C,Loop!D:D),'Job Hopping'!B:B,'Job Hopping'!F:F)</f>
        <v>N</v>
      </c>
      <c r="S31" t="str">
        <f>_xlfn.XLOOKUP(_xlfn.XLOOKUP(TableIncome[[#This Row],[Year]],Loop!C:C,Loop!E:E),'Job Hopping'!B:B,'Job Hopping'!G:G)</f>
        <v>N</v>
      </c>
    </row>
    <row r="32" spans="2:19" x14ac:dyDescent="0.35">
      <c r="B32" s="2">
        <v>2054</v>
      </c>
      <c r="C32" s="42">
        <f>(TableIncomeCalculations[[#This Row],[NetMonthlySalaryP1]]*12)</f>
        <v>466363.93709211657</v>
      </c>
      <c r="D32" s="41">
        <f>(TableIncomeCalculations[[#This Row],[NetMonthlySalaryP2]]*12)</f>
        <v>0</v>
      </c>
      <c r="E32" s="40">
        <f>TableIncome[[#This Row],[SalaryP1]]*$I$7</f>
        <v>46636.393709211661</v>
      </c>
      <c r="F32" s="40">
        <f>TableIncome[[#This Row],[SalaryP2]]*$I$7</f>
        <v>0</v>
      </c>
      <c r="G32" s="16"/>
      <c r="L32" s="38">
        <f>'Net Salary P1'!BI33</f>
        <v>38863.661424343045</v>
      </c>
      <c r="M32" s="39">
        <f>'Net Salary P2'!AT33</f>
        <v>0</v>
      </c>
      <c r="N32" s="39">
        <f>IF(_xlfn.XLOOKUP(TableIncome[[#This Row],[Year]],Loop!C:C,Loop!D:D)&lt;70,(N31*(1+$I$4))+IF(TableIncomeCalculations[[#This Row],[SwitchP1]]="Y",N31*$I$6,0),0)</f>
        <v>71022.454175567662</v>
      </c>
      <c r="O32" s="39">
        <f>IF(_xlfn.XLOOKUP(TableIncome[[#This Row],[Year]],Loop!C:C,Loop!E:E)&lt;70,(O31*(1+$I$4))+IF(TableIncomeCalculations[[#This Row],[SwitchP2]]="Y",Q31*$I$6,0),0)</f>
        <v>109125.51672431496</v>
      </c>
      <c r="P32" s="39">
        <f>IF(_xlfn.XLOOKUP(TableIncome[[#This Row],[Year]],Loop!C:C,Loop!D:D)&lt;70,(P31*(1+$I$3))+IF(TableIncomeCalculations[[#This Row],[SwitchP1]]="Y",P31*$I$5,0),0)</f>
        <v>142325.79273228353</v>
      </c>
      <c r="Q32" s="39">
        <f>IF(_xlfn.XLOOKUP(TableIncome[[#This Row],[Year]],Loop!C:C,Loop!E:E)&lt;70,(Q31*(1+$I$3))+IF(TableIncomeCalculations[[#This Row],[SwitchP2]]="Y",Q31*$I$5,0),0)</f>
        <v>201551.47840320141</v>
      </c>
      <c r="R32" t="str">
        <f>_xlfn.XLOOKUP(_xlfn.XLOOKUP(TableIncome[[#This Row],[Year]],Loop!C:C,Loop!D:D),'Job Hopping'!B:B,'Job Hopping'!F:F)</f>
        <v>N</v>
      </c>
      <c r="S32" t="str">
        <f>_xlfn.XLOOKUP(_xlfn.XLOOKUP(TableIncome[[#This Row],[Year]],Loop!C:C,Loop!E:E),'Job Hopping'!B:B,'Job Hopping'!G:G)</f>
        <v>N</v>
      </c>
    </row>
    <row r="33" spans="2:19" x14ac:dyDescent="0.35">
      <c r="B33" s="2">
        <v>2055</v>
      </c>
      <c r="C33" s="42">
        <f>(TableIncomeCalculations[[#This Row],[NetMonthlySalaryP1]]*12)</f>
        <v>470108.28739460884</v>
      </c>
      <c r="D33" s="41">
        <f>(TableIncomeCalculations[[#This Row],[NetMonthlySalaryP2]]*12)</f>
        <v>0</v>
      </c>
      <c r="E33" s="40">
        <f>TableIncome[[#This Row],[SalaryP1]]*$I$7</f>
        <v>47010.828739460885</v>
      </c>
      <c r="F33" s="40">
        <f>TableIncome[[#This Row],[SalaryP2]]*$I$7</f>
        <v>0</v>
      </c>
      <c r="G33" s="16"/>
      <c r="L33" s="38">
        <f>'Net Salary P1'!BI34</f>
        <v>39175.690616217405</v>
      </c>
      <c r="M33" s="39">
        <f>'Net Salary P2'!AT34</f>
        <v>0</v>
      </c>
      <c r="N33" s="39">
        <f>IF(_xlfn.XLOOKUP(TableIncome[[#This Row],[Year]],Loop!C:C,Loop!D:D)&lt;70,(N32*(1+$I$4))+IF(TableIncomeCalculations[[#This Row],[SwitchP1]]="Y",N32*$I$6,0),0)</f>
        <v>71732.678717323346</v>
      </c>
      <c r="O33" s="39">
        <f>IF(_xlfn.XLOOKUP(TableIncome[[#This Row],[Year]],Loop!C:C,Loop!E:E)&lt;70,(O32*(1+$I$4))+IF(TableIncomeCalculations[[#This Row],[SwitchP2]]="Y",Q32*$I$6,0),0)</f>
        <v>0</v>
      </c>
      <c r="P33" s="39">
        <f>IF(_xlfn.XLOOKUP(TableIncome[[#This Row],[Year]],Loop!C:C,Loop!D:D)&lt;70,(P32*(1+$I$3))+IF(TableIncomeCalculations[[#This Row],[SwitchP1]]="Y",P32*$I$5,0),0)</f>
        <v>146595.56651425204</v>
      </c>
      <c r="Q33" s="39">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35">
      <c r="B34" s="2">
        <v>2056</v>
      </c>
      <c r="C34" s="42">
        <f>(TableIncomeCalculations[[#This Row],[NetMonthlySalaryP1]]*12)</f>
        <v>473887.18546421302</v>
      </c>
      <c r="D34" s="41">
        <f>(TableIncomeCalculations[[#This Row],[NetMonthlySalaryP2]]*12)</f>
        <v>0</v>
      </c>
      <c r="E34" s="40">
        <f>TableIncome[[#This Row],[SalaryP1]]*$I$7</f>
        <v>47388.718546421303</v>
      </c>
      <c r="F34" s="40">
        <f>TableIncome[[#This Row],[SalaryP2]]*$I$7</f>
        <v>0</v>
      </c>
      <c r="G34" s="16"/>
      <c r="L34" s="38">
        <f>'Net Salary P1'!BI35</f>
        <v>39490.598788684416</v>
      </c>
      <c r="M34" s="39">
        <f>'Net Salary P2'!AT35</f>
        <v>0</v>
      </c>
      <c r="N34" s="39">
        <f>IF(_xlfn.XLOOKUP(TableIncome[[#This Row],[Year]],Loop!C:C,Loop!D:D)&lt;70,(N33*(1+$I$4))+IF(TableIncomeCalculations[[#This Row],[SwitchP1]]="Y",N33*$I$6,0),0)</f>
        <v>72450.005504496585</v>
      </c>
      <c r="O34" s="39">
        <f>IF(_xlfn.XLOOKUP(TableIncome[[#This Row],[Year]],Loop!C:C,Loop!E:E)&lt;70,(O33*(1+$I$4))+IF(TableIncomeCalculations[[#This Row],[SwitchP2]]="Y",Q33*$I$6,0),0)</f>
        <v>0</v>
      </c>
      <c r="P34" s="39">
        <f>IF(_xlfn.XLOOKUP(TableIncome[[#This Row],[Year]],Loop!C:C,Loop!D:D)&lt;70,(P33*(1+$I$3))+IF(TableIncomeCalculations[[#This Row],[SwitchP1]]="Y",P33*$I$5,0),0)</f>
        <v>150993.4335096796</v>
      </c>
      <c r="Q34" s="39">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35">
      <c r="B35" s="2">
        <v>2057</v>
      </c>
      <c r="C35" s="42">
        <f>(TableIncomeCalculations[[#This Row],[NetMonthlySalaryP1]]*12)</f>
        <v>477701.03355773562</v>
      </c>
      <c r="D35" s="41">
        <f>(TableIncomeCalculations[[#This Row],[NetMonthlySalaryP2]]*12)</f>
        <v>0</v>
      </c>
      <c r="E35" s="40">
        <f>TableIncome[[#This Row],[SalaryP1]]*$I$7</f>
        <v>47770.103355773565</v>
      </c>
      <c r="F35" s="40">
        <f>TableIncome[[#This Row],[SalaryP2]]*$I$7</f>
        <v>0</v>
      </c>
      <c r="G35" s="16"/>
      <c r="L35" s="38">
        <f>'Net Salary P1'!BI36</f>
        <v>39808.419463144637</v>
      </c>
      <c r="M35" s="39">
        <f>'Net Salary P2'!AT36</f>
        <v>0</v>
      </c>
      <c r="N35" s="39">
        <f>IF(_xlfn.XLOOKUP(TableIncome[[#This Row],[Year]],Loop!C:C,Loop!D:D)&lt;70,(N34*(1+$I$4))+IF(TableIncomeCalculations[[#This Row],[SwitchP1]]="Y",N34*$I$6,0),0)</f>
        <v>73174.505559541547</v>
      </c>
      <c r="O35" s="39">
        <f>IF(_xlfn.XLOOKUP(TableIncome[[#This Row],[Year]],Loop!C:C,Loop!E:E)&lt;70,(O34*(1+$I$4))+IF(TableIncomeCalculations[[#This Row],[SwitchP2]]="Y",Q34*$I$6,0),0)</f>
        <v>0</v>
      </c>
      <c r="P35" s="39">
        <f>IF(_xlfn.XLOOKUP(TableIncome[[#This Row],[Year]],Loop!C:C,Loop!D:D)&lt;70,(P34*(1+$I$3))+IF(TableIncomeCalculations[[#This Row],[SwitchP1]]="Y",P34*$I$5,0),0)</f>
        <v>155523.23651496999</v>
      </c>
      <c r="Q35" s="39">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35">
      <c r="B36" s="2">
        <v>2058</v>
      </c>
      <c r="C36" s="42">
        <f>(TableIncomeCalculations[[#This Row],[NetMonthlySalaryP1]]*12)</f>
        <v>496578.40216616739</v>
      </c>
      <c r="D36" s="41">
        <f>(TableIncomeCalculations[[#This Row],[NetMonthlySalaryP2]]*12)</f>
        <v>0</v>
      </c>
      <c r="E36" s="40">
        <f>TableIncome[[#This Row],[SalaryP1]]*$I$7</f>
        <v>49657.840216616743</v>
      </c>
      <c r="F36" s="40">
        <f>TableIncome[[#This Row],[SalaryP2]]*$I$7</f>
        <v>0</v>
      </c>
      <c r="G36" s="16"/>
      <c r="L36" s="38">
        <f>'Net Salary P1'!BI37</f>
        <v>41381.53351384728</v>
      </c>
      <c r="M36" s="39">
        <f>'Net Salary P2'!AT37</f>
        <v>0</v>
      </c>
      <c r="N36" s="39">
        <f>IF(_xlfn.XLOOKUP(TableIncome[[#This Row],[Year]],Loop!C:C,Loop!D:D)&lt;70,(N35*(1+$I$4))+IF(TableIncomeCalculations[[#This Row],[SwitchP1]]="Y",N35*$I$6,0),0)</f>
        <v>73906.25061513696</v>
      </c>
      <c r="O36" s="39">
        <f>IF(_xlfn.XLOOKUP(TableIncome[[#This Row],[Year]],Loop!C:C,Loop!E:E)&lt;70,(O35*(1+$I$4))+IF(TableIncomeCalculations[[#This Row],[SwitchP2]]="Y",Q35*$I$6,0),0)</f>
        <v>0</v>
      </c>
      <c r="P36" s="39">
        <f>IF(_xlfn.XLOOKUP(TableIncome[[#This Row],[Year]],Loop!C:C,Loop!D:D)&lt;70,(P35*(1+$I$3))+IF(TableIncomeCalculations[[#This Row],[SwitchP1]]="Y",P35*$I$5,0),0)</f>
        <v>160188.9336104191</v>
      </c>
      <c r="Q36" s="39">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35">
      <c r="B37" s="2">
        <v>2059</v>
      </c>
      <c r="C37" s="42">
        <f>(TableIncomeCalculations[[#This Row],[NetMonthlySalaryP1]]*12)</f>
        <v>500613.6504191251</v>
      </c>
      <c r="D37" s="41">
        <f>(TableIncomeCalculations[[#This Row],[NetMonthlySalaryP2]]*12)</f>
        <v>0</v>
      </c>
      <c r="E37" s="40">
        <f>TableIncome[[#This Row],[SalaryP1]]*$I$7</f>
        <v>50061.365041912512</v>
      </c>
      <c r="F37" s="40">
        <f>TableIncome[[#This Row],[SalaryP2]]*$I$7</f>
        <v>0</v>
      </c>
      <c r="G37" s="16"/>
      <c r="L37" s="38">
        <f>'Net Salary P1'!BI38</f>
        <v>41717.804201593761</v>
      </c>
      <c r="M37" s="39">
        <f>'Net Salary P2'!AT38</f>
        <v>0</v>
      </c>
      <c r="N37" s="39">
        <f>IF(_xlfn.XLOOKUP(TableIncome[[#This Row],[Year]],Loop!C:C,Loop!D:D)&lt;70,(N36*(1+$I$4))+IF(TableIncomeCalculations[[#This Row],[SwitchP1]]="Y",N36*$I$6,0),0)</f>
        <v>74645.313121288331</v>
      </c>
      <c r="O37" s="39">
        <f>IF(_xlfn.XLOOKUP(TableIncome[[#This Row],[Year]],Loop!C:C,Loop!E:E)&lt;70,(O36*(1+$I$4))+IF(TableIncomeCalculations[[#This Row],[SwitchP2]]="Y",Q36*$I$6,0),0)</f>
        <v>0</v>
      </c>
      <c r="P37" s="39">
        <f>IF(_xlfn.XLOOKUP(TableIncome[[#This Row],[Year]],Loop!C:C,Loop!D:D)&lt;70,(P36*(1+$I$3))+IF(TableIncomeCalculations[[#This Row],[SwitchP1]]="Y",P36*$I$5,0),0)</f>
        <v>164994.60161873169</v>
      </c>
      <c r="Q37" s="39">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35">
      <c r="B38" s="2">
        <v>2060</v>
      </c>
      <c r="C38" s="42">
        <f>(TableIncomeCalculations[[#This Row],[NetMonthlySalaryP1]]*12)</f>
        <v>504686.57594223414</v>
      </c>
      <c r="D38" s="41">
        <f>(TableIncomeCalculations[[#This Row],[NetMonthlySalaryP2]]*12)</f>
        <v>0</v>
      </c>
      <c r="E38" s="40">
        <f>TableIncome[[#This Row],[SalaryP1]]*$I$7</f>
        <v>50468.657594223419</v>
      </c>
      <c r="F38" s="40">
        <f>TableIncome[[#This Row],[SalaryP2]]*$I$7</f>
        <v>0</v>
      </c>
      <c r="G38" s="16"/>
      <c r="L38" s="38">
        <f>'Net Salary P1'!BI39</f>
        <v>42057.214661852842</v>
      </c>
      <c r="M38" s="39">
        <f>'Net Salary P2'!AT39</f>
        <v>0</v>
      </c>
      <c r="N38" s="39">
        <f>IF(_xlfn.XLOOKUP(TableIncome[[#This Row],[Year]],Loop!C:C,Loop!D:D)&lt;70,(N37*(1+$I$4))+IF(TableIncomeCalculations[[#This Row],[SwitchP1]]="Y",N37*$I$6,0),0)</f>
        <v>78377.578777352741</v>
      </c>
      <c r="O38" s="39">
        <f>IF(_xlfn.XLOOKUP(TableIncome[[#This Row],[Year]],Loop!C:C,Loop!E:E)&lt;70,(O37*(1+$I$4))+IF(TableIncomeCalculations[[#This Row],[SwitchP2]]="Y",Q37*$I$6,0),0)</f>
        <v>0</v>
      </c>
      <c r="P38" s="39">
        <f>IF(_xlfn.XLOOKUP(TableIncome[[#This Row],[Year]],Loop!C:C,Loop!D:D)&lt;70,(P37*(1+$I$3))+IF(TableIncomeCalculations[[#This Row],[SwitchP1]]="Y",P37*$I$5,0),0)</f>
        <v>179844.11576441754</v>
      </c>
      <c r="Q38" s="39">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35">
      <c r="B39" s="2">
        <v>2061</v>
      </c>
      <c r="C39" s="42">
        <f>(TableIncomeCalculations[[#This Row],[NetMonthlySalaryP1]]*12)</f>
        <v>508797.60796334047</v>
      </c>
      <c r="D39" s="41">
        <f>(TableIncomeCalculations[[#This Row],[NetMonthlySalaryP2]]*12)</f>
        <v>0</v>
      </c>
      <c r="E39" s="40">
        <f>TableIncome[[#This Row],[SalaryP1]]*$I$7</f>
        <v>50879.760796334049</v>
      </c>
      <c r="F39" s="40">
        <f>TableIncome[[#This Row],[SalaryP2]]*$I$7</f>
        <v>0</v>
      </c>
      <c r="G39" s="16"/>
      <c r="L39" s="38">
        <f>'Net Salary P1'!BI40</f>
        <v>42399.800663611706</v>
      </c>
      <c r="M39" s="39">
        <f>'Net Salary P2'!AT40</f>
        <v>0</v>
      </c>
      <c r="N39" s="39">
        <f>IF(_xlfn.XLOOKUP(TableIncome[[#This Row],[Year]],Loop!C:C,Loop!D:D)&lt;70,(N38*(1+$I$4))+IF(TableIncomeCalculations[[#This Row],[SwitchP1]]="Y",N38*$I$6,0),0)</f>
        <v>79161.354565126268</v>
      </c>
      <c r="O39" s="39">
        <f>IF(_xlfn.XLOOKUP(TableIncome[[#This Row],[Year]],Loop!C:C,Loop!E:E)&lt;70,(O38*(1+$I$4))+IF(TableIncomeCalculations[[#This Row],[SwitchP2]]="Y",Q38*$I$6,0),0)</f>
        <v>0</v>
      </c>
      <c r="P39" s="39">
        <f>IF(_xlfn.XLOOKUP(TableIncome[[#This Row],[Year]],Loop!C:C,Loop!D:D)&lt;70,(P38*(1+$I$3))+IF(TableIncomeCalculations[[#This Row],[SwitchP1]]="Y",P38*$I$5,0),0)</f>
        <v>185239.43923735007</v>
      </c>
      <c r="Q39" s="39">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35">
      <c r="B40" s="2">
        <v>2062</v>
      </c>
      <c r="C40" s="42">
        <f>(TableIncomeCalculations[[#This Row],[NetMonthlySalaryP1]]*12)</f>
        <v>512947.17897403671</v>
      </c>
      <c r="D40" s="41">
        <f>(TableIncomeCalculations[[#This Row],[NetMonthlySalaryP2]]*12)</f>
        <v>0</v>
      </c>
      <c r="E40" s="40">
        <f>TableIncome[[#This Row],[SalaryP1]]*$I$7</f>
        <v>51294.717897403672</v>
      </c>
      <c r="F40" s="40">
        <f>TableIncome[[#This Row],[SalaryP2]]*$I$7</f>
        <v>0</v>
      </c>
      <c r="G40" s="16"/>
      <c r="L40" s="38">
        <f>'Net Salary P1'!BI41</f>
        <v>42745.598247836395</v>
      </c>
      <c r="M40" s="39">
        <f>'Net Salary P2'!AT41</f>
        <v>0</v>
      </c>
      <c r="N40" s="39">
        <f>IF(_xlfn.XLOOKUP(TableIncome[[#This Row],[Year]],Loop!C:C,Loop!D:D)&lt;70,(N39*(1+$I$4))+IF(TableIncomeCalculations[[#This Row],[SwitchP1]]="Y",N39*$I$6,0),0)</f>
        <v>79952.968110777525</v>
      </c>
      <c r="O40" s="39">
        <f>IF(_xlfn.XLOOKUP(TableIncome[[#This Row],[Year]],Loop!C:C,Loop!E:E)&lt;70,(O39*(1+$I$4))+IF(TableIncomeCalculations[[#This Row],[SwitchP2]]="Y",Q39*$I$6,0),0)</f>
        <v>0</v>
      </c>
      <c r="P40" s="39">
        <f>IF(_xlfn.XLOOKUP(TableIncome[[#This Row],[Year]],Loop!C:C,Loop!D:D)&lt;70,(P39*(1+$I$3))+IF(TableIncomeCalculations[[#This Row],[SwitchP1]]="Y",P39*$I$5,0),0)</f>
        <v>190796.62241447059</v>
      </c>
      <c r="Q40" s="39">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35">
      <c r="B41" s="2">
        <v>2063</v>
      </c>
      <c r="C41" s="42">
        <f>(TableIncomeCalculations[[#This Row],[NetMonthlySalaryP1]]*12)</f>
        <v>517135.72478246607</v>
      </c>
      <c r="D41" s="41">
        <f>(TableIncomeCalculations[[#This Row],[NetMonthlySalaryP2]]*12)</f>
        <v>0</v>
      </c>
      <c r="E41" s="40">
        <f>TableIncome[[#This Row],[SalaryP1]]*$I$7</f>
        <v>51713.572478246613</v>
      </c>
      <c r="F41" s="40">
        <f>TableIncome[[#This Row],[SalaryP2]]*$I$7</f>
        <v>0</v>
      </c>
      <c r="G41" s="16"/>
      <c r="L41" s="38">
        <f>'Net Salary P1'!BI42</f>
        <v>43094.643731872173</v>
      </c>
      <c r="M41" s="39">
        <f>'Net Salary P2'!AT42</f>
        <v>0</v>
      </c>
      <c r="N41" s="39">
        <f>IF(_xlfn.XLOOKUP(TableIncome[[#This Row],[Year]],Loop!C:C,Loop!D:D)&lt;70,(N40*(1+$I$4))+IF(TableIncomeCalculations[[#This Row],[SwitchP1]]="Y",N40*$I$6,0),0)</f>
        <v>80752.497791885296</v>
      </c>
      <c r="O41" s="39">
        <f>IF(_xlfn.XLOOKUP(TableIncome[[#This Row],[Year]],Loop!C:C,Loop!E:E)&lt;70,(O40*(1+$I$4))+IF(TableIncomeCalculations[[#This Row],[SwitchP2]]="Y",Q40*$I$6,0),0)</f>
        <v>0</v>
      </c>
      <c r="P41" s="39">
        <f>IF(_xlfn.XLOOKUP(TableIncome[[#This Row],[Year]],Loop!C:C,Loop!D:D)&lt;70,(P40*(1+$I$3))+IF(TableIncomeCalculations[[#This Row],[SwitchP1]]="Y",P40*$I$5,0),0)</f>
        <v>196520.52108690472</v>
      </c>
      <c r="Q41" s="39">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35">
      <c r="B42" s="2">
        <v>2064</v>
      </c>
      <c r="C42" s="42">
        <f>(TableIncomeCalculations[[#This Row],[NetMonthlySalaryP1]]*12)</f>
        <v>521363.68456626043</v>
      </c>
      <c r="D42" s="41">
        <f>(TableIncomeCalculations[[#This Row],[NetMonthlySalaryP2]]*12)</f>
        <v>0</v>
      </c>
      <c r="E42" s="40">
        <f>TableIncome[[#This Row],[SalaryP1]]*$I$7</f>
        <v>52136.368456626049</v>
      </c>
      <c r="F42" s="40">
        <f>TableIncome[[#This Row],[SalaryP2]]*$I$7</f>
        <v>0</v>
      </c>
      <c r="G42" s="16"/>
      <c r="L42" s="38">
        <f>'Net Salary P1'!BI43</f>
        <v>43446.973713855034</v>
      </c>
      <c r="M42" s="39">
        <f>'Net Salary P2'!AT43</f>
        <v>0</v>
      </c>
      <c r="N42" s="39">
        <f>IF(_xlfn.XLOOKUP(TableIncome[[#This Row],[Year]],Loop!C:C,Loop!D:D)&lt;70,(N41*(1+$I$4))+IF(TableIncomeCalculations[[#This Row],[SwitchP1]]="Y",N41*$I$6,0),0)</f>
        <v>81560.022769804156</v>
      </c>
      <c r="O42" s="39">
        <f>IF(_xlfn.XLOOKUP(TableIncome[[#This Row],[Year]],Loop!C:C,Loop!E:E)&lt;70,(O41*(1+$I$4))+IF(TableIncomeCalculations[[#This Row],[SwitchP2]]="Y",Q41*$I$6,0),0)</f>
        <v>0</v>
      </c>
      <c r="P42" s="39">
        <f>IF(_xlfn.XLOOKUP(TableIncome[[#This Row],[Year]],Loop!C:C,Loop!D:D)&lt;70,(P41*(1+$I$3))+IF(TableIncomeCalculations[[#This Row],[SwitchP1]]="Y",P41*$I$5,0),0)</f>
        <v>202416.13671951185</v>
      </c>
      <c r="Q42" s="39">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35">
      <c r="B43" s="2">
        <v>2065</v>
      </c>
      <c r="C43" s="42">
        <f>(TableIncomeCalculations[[#This Row],[NetMonthlySalaryP1]]*12)</f>
        <v>525631.50092561869</v>
      </c>
      <c r="D43" s="41">
        <f>(TableIncomeCalculations[[#This Row],[NetMonthlySalaryP2]]*12)</f>
        <v>0</v>
      </c>
      <c r="E43" s="40">
        <f>TableIncome[[#This Row],[SalaryP1]]*$I$7</f>
        <v>52563.150092561875</v>
      </c>
      <c r="F43" s="40">
        <f>TableIncome[[#This Row],[SalaryP2]]*$I$7</f>
        <v>0</v>
      </c>
      <c r="G43" s="16"/>
      <c r="L43" s="38">
        <f>'Net Salary P1'!BI44</f>
        <v>43802.625077134893</v>
      </c>
      <c r="M43" s="39">
        <f>'Net Salary P2'!AT44</f>
        <v>0</v>
      </c>
      <c r="N43" s="39">
        <f>IF(_xlfn.XLOOKUP(TableIncome[[#This Row],[Year]],Loop!C:C,Loop!D:D)&lt;70,(N42*(1+$I$4))+IF(TableIncomeCalculations[[#This Row],[SwitchP1]]="Y",N42*$I$6,0),0)</f>
        <v>82375.6229975022</v>
      </c>
      <c r="O43" s="39">
        <f>IF(_xlfn.XLOOKUP(TableIncome[[#This Row],[Year]],Loop!C:C,Loop!E:E)&lt;70,(O42*(1+$I$4))+IF(TableIncomeCalculations[[#This Row],[SwitchP2]]="Y",Q42*$I$6,0),0)</f>
        <v>0</v>
      </c>
      <c r="P43" s="39">
        <f>IF(_xlfn.XLOOKUP(TableIncome[[#This Row],[Year]],Loop!C:C,Loop!D:D)&lt;70,(P42*(1+$I$3))+IF(TableIncomeCalculations[[#This Row],[SwitchP1]]="Y",P42*$I$5,0),0)</f>
        <v>208488.62082109723</v>
      </c>
      <c r="Q43" s="39">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35">
      <c r="B44" s="2">
        <v>2066</v>
      </c>
      <c r="C44" s="42">
        <f>(TableIncomeCalculations[[#This Row],[NetMonthlySalaryP1]]*12)</f>
        <v>529939.61993653735</v>
      </c>
      <c r="D44" s="41">
        <f>(TableIncomeCalculations[[#This Row],[NetMonthlySalaryP2]]*12)</f>
        <v>0</v>
      </c>
      <c r="E44" s="40">
        <f>TableIncome[[#This Row],[SalaryP1]]*$I$7</f>
        <v>52993.961993653735</v>
      </c>
      <c r="F44" s="40">
        <f>TableIncome[[#This Row],[SalaryP2]]*$I$7</f>
        <v>0</v>
      </c>
      <c r="G44" s="16"/>
      <c r="L44" s="38">
        <f>'Net Salary P1'!BI45</f>
        <v>44161.634994711443</v>
      </c>
      <c r="M44" s="39">
        <f>'Net Salary P2'!AT45</f>
        <v>0</v>
      </c>
      <c r="N44" s="39">
        <f>IF(_xlfn.XLOOKUP(TableIncome[[#This Row],[Year]],Loop!C:C,Loop!D:D)&lt;70,(N43*(1+$I$4))+IF(TableIncomeCalculations[[#This Row],[SwitchP1]]="Y",N43*$I$6,0),0)</f>
        <v>83199.379227477228</v>
      </c>
      <c r="O44" s="39">
        <f>IF(_xlfn.XLOOKUP(TableIncome[[#This Row],[Year]],Loop!C:C,Loop!E:E)&lt;70,(O43*(1+$I$4))+IF(TableIncomeCalculations[[#This Row],[SwitchP2]]="Y",Q43*$I$6,0),0)</f>
        <v>0</v>
      </c>
      <c r="P44" s="39">
        <f>IF(_xlfn.XLOOKUP(TableIncome[[#This Row],[Year]],Loop!C:C,Loop!D:D)&lt;70,(P43*(1+$I$3))+IF(TableIncomeCalculations[[#This Row],[SwitchP1]]="Y",P43*$I$5,0),0)</f>
        <v>214743.27944573015</v>
      </c>
      <c r="Q44" s="39">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35">
      <c r="B45" s="2">
        <v>2067</v>
      </c>
      <c r="C45" s="42">
        <f>(TableIncomeCalculations[[#This Row],[NetMonthlySalaryP1]]*12)</f>
        <v>534288.49120419915</v>
      </c>
      <c r="D45" s="41">
        <f>(TableIncomeCalculations[[#This Row],[NetMonthlySalaryP2]]*12)</f>
        <v>0</v>
      </c>
      <c r="E45" s="40">
        <f>TableIncome[[#This Row],[SalaryP1]]*$I$7</f>
        <v>53428.849120419916</v>
      </c>
      <c r="F45" s="40">
        <f>TableIncome[[#This Row],[SalaryP2]]*$I$7</f>
        <v>0</v>
      </c>
      <c r="G45" s="16"/>
      <c r="L45" s="38">
        <f>'Net Salary P1'!BI46</f>
        <v>44524.04093368326</v>
      </c>
      <c r="M45" s="39">
        <f>'Net Salary P2'!AT46</f>
        <v>0</v>
      </c>
      <c r="N45" s="39">
        <f>IF(_xlfn.XLOOKUP(TableIncome[[#This Row],[Year]],Loop!C:C,Loop!D:D)&lt;70,(N44*(1+$I$4))+IF(TableIncomeCalculations[[#This Row],[SwitchP1]]="Y",N44*$I$6,0),0)</f>
        <v>84031.373019752005</v>
      </c>
      <c r="O45" s="39">
        <f>IF(_xlfn.XLOOKUP(TableIncome[[#This Row],[Year]],Loop!C:C,Loop!E:E)&lt;70,(O44*(1+$I$4))+IF(TableIncomeCalculations[[#This Row],[SwitchP2]]="Y",Q44*$I$6,0),0)</f>
        <v>0</v>
      </c>
      <c r="P45" s="39">
        <f>IF(_xlfn.XLOOKUP(TableIncome[[#This Row],[Year]],Loop!C:C,Loop!D:D)&lt;70,(P44*(1+$I$3))+IF(TableIncomeCalculations[[#This Row],[SwitchP1]]="Y",P44*$I$5,0),0)</f>
        <v>221185.57782910205</v>
      </c>
      <c r="Q45" s="39">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35">
      <c r="B46" s="2">
        <v>2068</v>
      </c>
      <c r="C46" s="42">
        <f>(TableIncomeCalculations[[#This Row],[NetMonthlySalaryP1]]*12)</f>
        <v>0</v>
      </c>
      <c r="D46" s="41">
        <f>(TableIncomeCalculations[[#This Row],[NetMonthlySalaryP2]]*12)</f>
        <v>0</v>
      </c>
      <c r="E46" s="40">
        <f>TableIncome[[#This Row],[SalaryP1]]*$I$7</f>
        <v>0</v>
      </c>
      <c r="F46" s="40">
        <f>TableIncome[[#This Row],[SalaryP2]]*$I$7</f>
        <v>0</v>
      </c>
      <c r="G46" s="16"/>
      <c r="L46" s="38">
        <f>'Net Salary P1'!BI47</f>
        <v>0</v>
      </c>
      <c r="M46" s="39">
        <f>'Net Salary P2'!AT47</f>
        <v>0</v>
      </c>
      <c r="N46" s="39">
        <f>IF(_xlfn.XLOOKUP(TableIncome[[#This Row],[Year]],Loop!C:C,Loop!D:D)&lt;70,(N45*(1+$I$4))+IF(TableIncomeCalculations[[#This Row],[SwitchP1]]="Y",N45*$I$6,0),0)</f>
        <v>84871.686749949527</v>
      </c>
      <c r="O46" s="39">
        <f>IF(_xlfn.XLOOKUP(TableIncome[[#This Row],[Year]],Loop!C:C,Loop!E:E)&lt;70,(O45*(1+$I$4))+IF(TableIncomeCalculations[[#This Row],[SwitchP2]]="Y",Q45*$I$6,0),0)</f>
        <v>0</v>
      </c>
      <c r="P46" s="39">
        <f>IF(_xlfn.XLOOKUP(TableIncome[[#This Row],[Year]],Loop!C:C,Loop!D:D)&lt;70,(P45*(1+$I$3))+IF(TableIncomeCalculations[[#This Row],[SwitchP1]]="Y",P45*$I$5,0),0)</f>
        <v>227821.14516397513</v>
      </c>
      <c r="Q46" s="39">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35">
      <c r="B47" s="2">
        <v>2069</v>
      </c>
      <c r="C47" s="42">
        <f>(TableIncomeCalculations[[#This Row],[NetMonthlySalaryP1]]*12)</f>
        <v>0</v>
      </c>
      <c r="D47" s="41">
        <f>(TableIncomeCalculations[[#This Row],[NetMonthlySalaryP2]]*12)</f>
        <v>0</v>
      </c>
      <c r="E47" s="40">
        <f>TableIncome[[#This Row],[SalaryP1]]*$I$7</f>
        <v>0</v>
      </c>
      <c r="F47" s="40">
        <f>TableIncome[[#This Row],[SalaryP2]]*$I$7</f>
        <v>0</v>
      </c>
      <c r="G47" s="16"/>
      <c r="L47" s="38">
        <f>'Net Salary P1'!BI48</f>
        <v>0</v>
      </c>
      <c r="M47" s="39">
        <f>'Net Salary P2'!AT48</f>
        <v>0</v>
      </c>
      <c r="N47" s="39">
        <f>IF(_xlfn.XLOOKUP(TableIncome[[#This Row],[Year]],Loop!C:C,Loop!D:D)&lt;70,(N46*(1+$I$4))+IF(TableIncomeCalculations[[#This Row],[SwitchP1]]="Y",N46*$I$6,0),0)</f>
        <v>85720.403617449017</v>
      </c>
      <c r="O47" s="39">
        <f>IF(_xlfn.XLOOKUP(TableIncome[[#This Row],[Year]],Loop!C:C,Loop!E:E)&lt;70,(O46*(1+$I$4))+IF(TableIncomeCalculations[[#This Row],[SwitchP2]]="Y",Q46*$I$6,0),0)</f>
        <v>0</v>
      </c>
      <c r="P47" s="39">
        <f>IF(_xlfn.XLOOKUP(TableIncome[[#This Row],[Year]],Loop!C:C,Loop!D:D)&lt;70,(P46*(1+$I$3))+IF(TableIncomeCalculations[[#This Row],[SwitchP1]]="Y",P46*$I$5,0),0)</f>
        <v>234655.77951889439</v>
      </c>
      <c r="Q47" s="39">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3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5">
        <f>'Net Salary P1'!BI49</f>
        <v>0</v>
      </c>
      <c r="M48" s="39">
        <f>'Net Salary P2'!AT49</f>
        <v>0</v>
      </c>
      <c r="N48" s="39">
        <f>IF(_xlfn.XLOOKUP(TableIncome[[#This Row],[Year]],Loop!C:C,Loop!D:D)&lt;70,(N47*(1+$I$4))+IF(TableIncomeCalculations[[#This Row],[SwitchP1]]="Y",N47*$I$6,0),0)</f>
        <v>0</v>
      </c>
      <c r="O48" s="39">
        <f>IF(_xlfn.XLOOKUP(TableIncome[[#This Row],[Year]],Loop!C:C,Loop!E:E)&lt;70,(O47*(1+$I$4))+IF(TableIncomeCalculations[[#This Row],[SwitchP2]]="Y",Q47*$I$6,0),0)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sheetPr>
    <tabColor theme="8" tint="0.79998168889431442"/>
  </sheetPr>
  <dimension ref="A1:AT29"/>
  <sheetViews>
    <sheetView zoomScale="58" workbookViewId="0">
      <selection activeCell="B22" sqref="B22"/>
    </sheetView>
  </sheetViews>
  <sheetFormatPr defaultColWidth="9.1796875" defaultRowHeight="14.5" x14ac:dyDescent="0.35"/>
  <cols>
    <col min="1" max="1" width="30" style="1" bestFit="1" customWidth="1"/>
    <col min="2" max="2" width="31.26953125" style="1" bestFit="1" customWidth="1"/>
    <col min="3" max="3" width="16.81640625" style="1" bestFit="1" customWidth="1"/>
    <col min="4" max="46" width="12" style="1" bestFit="1" customWidth="1"/>
    <col min="47"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3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row>
    <row r="3" spans="1:46" x14ac:dyDescent="0.35">
      <c r="A3" s="1" t="s">
        <v>180</v>
      </c>
      <c r="B3" s="17">
        <f>'Salary Variables'!$C$12</f>
        <v>0.05</v>
      </c>
      <c r="C3" s="17">
        <f>'Salary Variables'!$C$12</f>
        <v>0.05</v>
      </c>
      <c r="D3" s="17">
        <f>'Salary Variables'!$C$12</f>
        <v>0.05</v>
      </c>
      <c r="E3" s="17">
        <f>'Salary Variables'!$C$12</f>
        <v>0.05</v>
      </c>
      <c r="F3" s="17">
        <f>'Salary Variables'!$C$12</f>
        <v>0.05</v>
      </c>
      <c r="G3" s="17">
        <f>'Salary Variables'!$C$12</f>
        <v>0.05</v>
      </c>
      <c r="H3" s="17">
        <f>'Salary Variables'!$C$12</f>
        <v>0.05</v>
      </c>
      <c r="I3" s="17">
        <f>'Salary Variables'!$C$12</f>
        <v>0.05</v>
      </c>
      <c r="J3" s="17">
        <f>'Salary Variables'!$C$12</f>
        <v>0.05</v>
      </c>
      <c r="K3" s="17">
        <f>'Salary Variables'!$C$12</f>
        <v>0.05</v>
      </c>
      <c r="L3" s="17">
        <f>'Salary Variables'!$C$12</f>
        <v>0.05</v>
      </c>
      <c r="M3" s="17">
        <f>'Salary Variables'!$C$12</f>
        <v>0.05</v>
      </c>
      <c r="N3" s="17">
        <f>'Salary Variables'!$C$12</f>
        <v>0.05</v>
      </c>
      <c r="O3" s="17">
        <f>'Salary Variables'!$C$12</f>
        <v>0.05</v>
      </c>
      <c r="P3" s="17">
        <f>'Salary Variables'!$C$12</f>
        <v>0.05</v>
      </c>
      <c r="Q3" s="17">
        <f>'Salary Variables'!$C$12</f>
        <v>0.05</v>
      </c>
      <c r="R3" s="17">
        <f>'Salary Variables'!$C$12</f>
        <v>0.05</v>
      </c>
      <c r="S3" s="17">
        <f>'Salary Variables'!$C$12</f>
        <v>0.05</v>
      </c>
      <c r="T3" s="17">
        <f>'Salary Variables'!$C$12</f>
        <v>0.05</v>
      </c>
      <c r="U3" s="17">
        <f>'Salary Variables'!$C$12</f>
        <v>0.05</v>
      </c>
      <c r="V3" s="17">
        <f>'Salary Variables'!$C$12</f>
        <v>0.05</v>
      </c>
      <c r="W3" s="17">
        <f>'Salary Variables'!$C$12</f>
        <v>0.05</v>
      </c>
      <c r="X3" s="17">
        <f>'Salary Variables'!$C$12</f>
        <v>0.05</v>
      </c>
      <c r="Y3" s="17">
        <f>'Salary Variables'!$C$12</f>
        <v>0.05</v>
      </c>
      <c r="Z3" s="17">
        <f>'Salary Variables'!$C$12</f>
        <v>0.05</v>
      </c>
      <c r="AA3" s="17">
        <f>'Salary Variables'!$C$12</f>
        <v>0.05</v>
      </c>
      <c r="AB3" s="17">
        <f>'Salary Variables'!$C$12</f>
        <v>0.05</v>
      </c>
      <c r="AC3" s="17">
        <f>'Salary Variables'!$C$12</f>
        <v>0.05</v>
      </c>
      <c r="AD3" s="17">
        <f>'Salary Variables'!$C$12</f>
        <v>0.05</v>
      </c>
      <c r="AE3" s="17">
        <f>'Salary Variables'!$C$12</f>
        <v>0.05</v>
      </c>
      <c r="AF3" s="17">
        <f>'Salary Variables'!$C$12</f>
        <v>0.05</v>
      </c>
      <c r="AG3" s="17">
        <f>'Salary Variables'!$C$12</f>
        <v>0.05</v>
      </c>
      <c r="AH3" s="17">
        <f>'Salary Variables'!$C$12</f>
        <v>0.05</v>
      </c>
      <c r="AI3" s="17">
        <f>'Salary Variables'!$C$12</f>
        <v>0.05</v>
      </c>
      <c r="AJ3" s="17">
        <f>'Salary Variables'!$C$12</f>
        <v>0.05</v>
      </c>
      <c r="AK3" s="17">
        <f>'Salary Variables'!$C$12</f>
        <v>0.05</v>
      </c>
      <c r="AL3" s="17">
        <f>'Salary Variables'!$C$12</f>
        <v>0.05</v>
      </c>
      <c r="AM3" s="17">
        <f>'Salary Variables'!$C$12</f>
        <v>0.05</v>
      </c>
      <c r="AN3" s="17">
        <f>'Salary Variables'!$C$12</f>
        <v>0.05</v>
      </c>
      <c r="AO3" s="17">
        <f>'Salary Variables'!$C$12</f>
        <v>0.05</v>
      </c>
      <c r="AP3" s="17">
        <f>'Salary Variables'!$C$12</f>
        <v>0.05</v>
      </c>
      <c r="AQ3" s="17">
        <f>'Salary Variables'!$C$12</f>
        <v>0.05</v>
      </c>
      <c r="AR3" s="17">
        <f>'Salary Variables'!$C$12</f>
        <v>0.05</v>
      </c>
      <c r="AS3" s="17">
        <f>'Salary Variables'!$C$12</f>
        <v>0.05</v>
      </c>
      <c r="AT3" s="17">
        <f>'Salary Variables'!$C$12</f>
        <v>0.05</v>
      </c>
    </row>
    <row r="4" spans="1:46" x14ac:dyDescent="0.3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f t="shared" si="0"/>
        <v>0</v>
      </c>
      <c r="AG4" s="32">
        <f t="shared" si="0"/>
        <v>0</v>
      </c>
      <c r="AH4" s="32">
        <f t="shared" si="0"/>
        <v>0</v>
      </c>
      <c r="AI4" s="32">
        <f t="shared" si="0"/>
        <v>0</v>
      </c>
      <c r="AJ4" s="32">
        <f t="shared" si="0"/>
        <v>0</v>
      </c>
      <c r="AK4" s="32">
        <f t="shared" si="0"/>
        <v>0</v>
      </c>
      <c r="AL4" s="32">
        <f t="shared" si="0"/>
        <v>0</v>
      </c>
      <c r="AM4" s="32">
        <f t="shared" si="0"/>
        <v>0</v>
      </c>
      <c r="AN4" s="32">
        <f t="shared" si="0"/>
        <v>0</v>
      </c>
      <c r="AO4" s="32">
        <f t="shared" si="0"/>
        <v>0</v>
      </c>
      <c r="AP4" s="32">
        <f t="shared" si="0"/>
        <v>0</v>
      </c>
      <c r="AQ4" s="32">
        <f t="shared" si="0"/>
        <v>0</v>
      </c>
      <c r="AR4" s="32">
        <f t="shared" si="0"/>
        <v>0</v>
      </c>
      <c r="AS4" s="32">
        <f t="shared" si="0"/>
        <v>0</v>
      </c>
      <c r="AT4" s="32">
        <f t="shared" si="0"/>
        <v>0</v>
      </c>
    </row>
    <row r="5" spans="1:46" x14ac:dyDescent="0.35">
      <c r="A5" s="1" t="s">
        <v>217</v>
      </c>
      <c r="B5" s="17">
        <f>'Salary Variables'!$C$13</f>
        <v>0.1</v>
      </c>
      <c r="C5" s="17">
        <f>'Salary Variables'!$C$13</f>
        <v>0.1</v>
      </c>
      <c r="D5" s="17">
        <f>'Salary Variables'!$C$13</f>
        <v>0.1</v>
      </c>
      <c r="E5" s="17">
        <f>'Salary Variables'!$C$13</f>
        <v>0.1</v>
      </c>
      <c r="F5" s="17">
        <f>'Salary Variables'!$C$13</f>
        <v>0.1</v>
      </c>
      <c r="G5" s="17">
        <f>'Salary Variables'!$C$13</f>
        <v>0.1</v>
      </c>
      <c r="H5" s="17">
        <f>'Salary Variables'!$C$13</f>
        <v>0.1</v>
      </c>
      <c r="I5" s="17">
        <f>'Salary Variables'!$C$13</f>
        <v>0.1</v>
      </c>
      <c r="J5" s="17">
        <f>'Salary Variables'!$C$13</f>
        <v>0.1</v>
      </c>
      <c r="K5" s="17">
        <f>'Salary Variables'!$C$13</f>
        <v>0.1</v>
      </c>
      <c r="L5" s="17">
        <f>'Salary Variables'!$C$13</f>
        <v>0.1</v>
      </c>
      <c r="M5" s="17">
        <f>'Salary Variables'!$C$13</f>
        <v>0.1</v>
      </c>
      <c r="N5" s="17">
        <f>'Salary Variables'!$C$13</f>
        <v>0.1</v>
      </c>
      <c r="O5" s="17">
        <f>'Salary Variables'!$C$13</f>
        <v>0.1</v>
      </c>
      <c r="P5" s="17">
        <f>'Salary Variables'!$C$13</f>
        <v>0.1</v>
      </c>
      <c r="Q5" s="17">
        <f>'Salary Variables'!$C$13</f>
        <v>0.1</v>
      </c>
      <c r="R5" s="17">
        <f>'Salary Variables'!$C$13</f>
        <v>0.1</v>
      </c>
      <c r="S5" s="17">
        <f>'Salary Variables'!$C$13</f>
        <v>0.1</v>
      </c>
      <c r="T5" s="17">
        <f>'Salary Variables'!$C$13</f>
        <v>0.1</v>
      </c>
      <c r="U5" s="17">
        <f>'Salary Variables'!$C$13</f>
        <v>0.1</v>
      </c>
      <c r="V5" s="17">
        <f>'Salary Variables'!$C$13</f>
        <v>0.1</v>
      </c>
      <c r="W5" s="17">
        <f>'Salary Variables'!$C$13</f>
        <v>0.1</v>
      </c>
      <c r="X5" s="17">
        <f>'Salary Variables'!$C$13</f>
        <v>0.1</v>
      </c>
      <c r="Y5" s="17">
        <f>'Salary Variables'!$C$13</f>
        <v>0.1</v>
      </c>
      <c r="Z5" s="17">
        <f>'Salary Variables'!$C$13</f>
        <v>0.1</v>
      </c>
      <c r="AA5" s="17">
        <f>'Salary Variables'!$C$13</f>
        <v>0.1</v>
      </c>
      <c r="AB5" s="17">
        <f>'Salary Variables'!$C$13</f>
        <v>0.1</v>
      </c>
      <c r="AC5" s="17">
        <f>'Salary Variables'!$C$13</f>
        <v>0.1</v>
      </c>
      <c r="AD5" s="17">
        <f>'Salary Variables'!$C$13</f>
        <v>0.1</v>
      </c>
      <c r="AE5" s="17">
        <f>'Salary Variables'!$C$13</f>
        <v>0.1</v>
      </c>
      <c r="AF5" s="17">
        <f>'Salary Variables'!$C$13</f>
        <v>0.1</v>
      </c>
      <c r="AG5" s="17">
        <f>'Salary Variables'!$C$13</f>
        <v>0.1</v>
      </c>
      <c r="AH5" s="17">
        <f>'Salary Variables'!$C$13</f>
        <v>0.1</v>
      </c>
      <c r="AI5" s="17">
        <f>'Salary Variables'!$C$13</f>
        <v>0.1</v>
      </c>
      <c r="AJ5" s="17">
        <f>'Salary Variables'!$C$13</f>
        <v>0.1</v>
      </c>
      <c r="AK5" s="17">
        <f>'Salary Variables'!$C$13</f>
        <v>0.1</v>
      </c>
      <c r="AL5" s="17">
        <f>'Salary Variables'!$C$13</f>
        <v>0.1</v>
      </c>
      <c r="AM5" s="17">
        <f>'Salary Variables'!$C$13</f>
        <v>0.1</v>
      </c>
      <c r="AN5" s="17">
        <f>'Salary Variables'!$C$13</f>
        <v>0.1</v>
      </c>
      <c r="AO5" s="17">
        <f>'Salary Variables'!$C$13</f>
        <v>0.1</v>
      </c>
      <c r="AP5" s="17">
        <f>'Salary Variables'!$C$13</f>
        <v>0.1</v>
      </c>
      <c r="AQ5" s="17">
        <f>'Salary Variables'!$C$13</f>
        <v>0.1</v>
      </c>
      <c r="AR5" s="17">
        <f>'Salary Variables'!$C$13</f>
        <v>0.1</v>
      </c>
      <c r="AS5" s="17">
        <f>'Salary Variables'!$C$13</f>
        <v>0.1</v>
      </c>
      <c r="AT5" s="17">
        <f>'Salary Variables'!$C$13</f>
        <v>0.1</v>
      </c>
    </row>
    <row r="6" spans="1:46" x14ac:dyDescent="0.3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f t="shared" si="1"/>
        <v>0</v>
      </c>
      <c r="AG6" s="32">
        <f t="shared" si="1"/>
        <v>0</v>
      </c>
      <c r="AH6" s="32">
        <f t="shared" si="1"/>
        <v>0</v>
      </c>
      <c r="AI6" s="32">
        <f t="shared" si="1"/>
        <v>0</v>
      </c>
      <c r="AJ6" s="32">
        <f t="shared" si="1"/>
        <v>0</v>
      </c>
      <c r="AK6" s="32">
        <f t="shared" si="1"/>
        <v>0</v>
      </c>
      <c r="AL6" s="32">
        <f t="shared" si="1"/>
        <v>0</v>
      </c>
      <c r="AM6" s="32">
        <f t="shared" si="1"/>
        <v>0</v>
      </c>
      <c r="AN6" s="32">
        <f t="shared" si="1"/>
        <v>0</v>
      </c>
      <c r="AO6" s="32">
        <f t="shared" si="1"/>
        <v>0</v>
      </c>
      <c r="AP6" s="32">
        <f t="shared" si="1"/>
        <v>0</v>
      </c>
      <c r="AQ6" s="32">
        <f t="shared" si="1"/>
        <v>0</v>
      </c>
      <c r="AR6" s="32">
        <f t="shared" si="1"/>
        <v>0</v>
      </c>
      <c r="AS6" s="32">
        <f t="shared" si="1"/>
        <v>0</v>
      </c>
      <c r="AT6" s="32">
        <f t="shared" si="1"/>
        <v>0</v>
      </c>
    </row>
    <row r="7" spans="1:46" x14ac:dyDescent="0.3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f t="shared" si="2"/>
        <v>0</v>
      </c>
      <c r="AG7" s="33">
        <f t="shared" si="2"/>
        <v>0</v>
      </c>
      <c r="AH7" s="33">
        <f t="shared" si="2"/>
        <v>0</v>
      </c>
      <c r="AI7" s="33">
        <f t="shared" si="2"/>
        <v>0</v>
      </c>
      <c r="AJ7" s="33">
        <f t="shared" si="2"/>
        <v>0</v>
      </c>
      <c r="AK7" s="33">
        <f t="shared" si="2"/>
        <v>0</v>
      </c>
      <c r="AL7" s="33">
        <f t="shared" si="2"/>
        <v>0</v>
      </c>
      <c r="AM7" s="33">
        <f t="shared" si="2"/>
        <v>0</v>
      </c>
      <c r="AN7" s="33">
        <f t="shared" si="2"/>
        <v>0</v>
      </c>
      <c r="AO7" s="33">
        <f t="shared" si="2"/>
        <v>0</v>
      </c>
      <c r="AP7" s="33">
        <f t="shared" si="2"/>
        <v>0</v>
      </c>
      <c r="AQ7" s="33">
        <f t="shared" si="2"/>
        <v>0</v>
      </c>
      <c r="AR7" s="33">
        <f t="shared" si="2"/>
        <v>0</v>
      </c>
      <c r="AS7" s="33">
        <f t="shared" si="2"/>
        <v>0</v>
      </c>
      <c r="AT7" s="33">
        <f t="shared" si="2"/>
        <v>0</v>
      </c>
    </row>
    <row r="8" spans="1:46" x14ac:dyDescent="0.3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f t="shared" si="3"/>
        <v>0</v>
      </c>
      <c r="AG8" s="32">
        <f t="shared" si="3"/>
        <v>0</v>
      </c>
      <c r="AH8" s="32">
        <f t="shared" si="3"/>
        <v>0</v>
      </c>
      <c r="AI8" s="32">
        <f t="shared" si="3"/>
        <v>0</v>
      </c>
      <c r="AJ8" s="32">
        <f t="shared" si="3"/>
        <v>0</v>
      </c>
      <c r="AK8" s="32">
        <f t="shared" si="3"/>
        <v>0</v>
      </c>
      <c r="AL8" s="32">
        <f t="shared" si="3"/>
        <v>0</v>
      </c>
      <c r="AM8" s="32">
        <f t="shared" si="3"/>
        <v>0</v>
      </c>
      <c r="AN8" s="32">
        <f t="shared" si="3"/>
        <v>0</v>
      </c>
      <c r="AO8" s="32">
        <f t="shared" si="3"/>
        <v>0</v>
      </c>
      <c r="AP8" s="32">
        <f t="shared" si="3"/>
        <v>0</v>
      </c>
      <c r="AQ8" s="32">
        <f t="shared" si="3"/>
        <v>0</v>
      </c>
      <c r="AR8" s="32">
        <f t="shared" si="3"/>
        <v>0</v>
      </c>
      <c r="AS8" s="32">
        <f t="shared" si="3"/>
        <v>0</v>
      </c>
      <c r="AT8" s="32">
        <f t="shared" si="3"/>
        <v>0</v>
      </c>
    </row>
    <row r="12" spans="1:46" x14ac:dyDescent="0.35">
      <c r="A12" s="1" t="s">
        <v>187</v>
      </c>
      <c r="B12" s="32">
        <f>SUM(B8:AT8)</f>
        <v>4875477.3635900002</v>
      </c>
    </row>
    <row r="13" spans="1:46" x14ac:dyDescent="0.35">
      <c r="A13" s="1" t="s">
        <v>186</v>
      </c>
      <c r="B13" s="32">
        <f>B12/25</f>
        <v>195019.09454360002</v>
      </c>
      <c r="C13" s="1" t="s">
        <v>184</v>
      </c>
    </row>
    <row r="14" spans="1:46" x14ac:dyDescent="0.35">
      <c r="A14" s="1" t="s">
        <v>185</v>
      </c>
      <c r="B14" s="34">
        <f>B13/12</f>
        <v>16251.591211966668</v>
      </c>
      <c r="C14" s="1" t="s">
        <v>188</v>
      </c>
    </row>
    <row r="15" spans="1:46" x14ac:dyDescent="0.35">
      <c r="A15" s="1" t="s">
        <v>204</v>
      </c>
      <c r="B15" s="1" t="s">
        <v>206</v>
      </c>
      <c r="C15" s="1" t="s">
        <v>207</v>
      </c>
    </row>
    <row r="17" spans="1:26" x14ac:dyDescent="0.35">
      <c r="A17" s="1" t="s">
        <v>198</v>
      </c>
      <c r="B17" s="33">
        <f>SUM('Net Salary P2'!E14:AW14)</f>
        <v>255264.68906590369</v>
      </c>
      <c r="C17" s="18" t="s">
        <v>216</v>
      </c>
    </row>
    <row r="18" spans="1:26" x14ac:dyDescent="0.35">
      <c r="A18" s="1" t="s">
        <v>186</v>
      </c>
      <c r="B18" s="32">
        <f>B17/25</f>
        <v>10210.587562636147</v>
      </c>
    </row>
    <row r="19" spans="1:26" x14ac:dyDescent="0.35">
      <c r="A19" s="1" t="s">
        <v>185</v>
      </c>
      <c r="B19" s="32">
        <f>B18/12</f>
        <v>850.88229688634556</v>
      </c>
    </row>
    <row r="20" spans="1:26" x14ac:dyDescent="0.35">
      <c r="A20" s="1" t="s">
        <v>204</v>
      </c>
      <c r="B20" s="1" t="s">
        <v>205</v>
      </c>
    </row>
    <row r="22" spans="1:26" x14ac:dyDescent="0.35">
      <c r="A22" s="1" t="s">
        <v>203</v>
      </c>
      <c r="B22" s="34">
        <v>15527</v>
      </c>
    </row>
    <row r="23" spans="1:26" x14ac:dyDescent="0.35">
      <c r="A23" s="1" t="s">
        <v>208</v>
      </c>
      <c r="B23" s="32">
        <f>B22*12</f>
        <v>186324</v>
      </c>
    </row>
    <row r="24" spans="1:26" x14ac:dyDescent="0.35">
      <c r="A24" s="1" t="s">
        <v>204</v>
      </c>
      <c r="B24" s="1" t="s">
        <v>206</v>
      </c>
    </row>
    <row r="25" spans="1:26" x14ac:dyDescent="0.35">
      <c r="A25" s="1" t="s">
        <v>64</v>
      </c>
      <c r="B25" s="17">
        <f>'Salary Variables'!$C$2</f>
        <v>0.02</v>
      </c>
    </row>
    <row r="27" spans="1:26" x14ac:dyDescent="0.3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35">
      <c r="B28" s="30"/>
    </row>
    <row r="29" spans="1:26" x14ac:dyDescent="0.35">
      <c r="B29" s="3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sheetPr>
    <tabColor theme="8" tint="0.79998168889431442"/>
  </sheetPr>
  <dimension ref="A1:AW39"/>
  <sheetViews>
    <sheetView topLeftCell="A23" zoomScale="58" workbookViewId="0">
      <selection activeCell="E38" sqref="E38"/>
    </sheetView>
  </sheetViews>
  <sheetFormatPr defaultColWidth="9.1796875" defaultRowHeight="14.5" x14ac:dyDescent="0.35"/>
  <cols>
    <col min="1" max="1" width="23.1796875" style="1" bestFit="1" customWidth="1"/>
    <col min="2" max="2" width="13.26953125" style="1" bestFit="1" customWidth="1"/>
    <col min="3" max="3" width="9.1796875" style="1"/>
    <col min="4" max="4" width="32.7265625" style="1" bestFit="1" customWidth="1"/>
    <col min="5" max="5" width="37.453125" style="1" bestFit="1" customWidth="1"/>
    <col min="6" max="7" width="11.81640625" style="1" bestFit="1" customWidth="1"/>
    <col min="8" max="34" width="19" style="1" bestFit="1" customWidth="1"/>
    <col min="35" max="44" width="9.1796875" style="1"/>
    <col min="45" max="45" width="38.81640625" style="1" bestFit="1" customWidth="1"/>
    <col min="46" max="16384" width="9.1796875" style="1"/>
  </cols>
  <sheetData>
    <row r="1" spans="1:49" x14ac:dyDescent="0.35">
      <c r="A1" s="1" t="s">
        <v>64</v>
      </c>
      <c r="B1" s="17">
        <f>Income!I2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9" x14ac:dyDescent="0.35">
      <c r="A2" s="1" t="s">
        <v>199</v>
      </c>
      <c r="B2" s="32">
        <v>9400</v>
      </c>
      <c r="D2" s="1" t="s">
        <v>200</v>
      </c>
      <c r="E2" s="33" cm="1">
        <f t="array" ref="E2:AH2">TRANSPOSE(Income!O3:O32)</f>
        <v>70751.96078431372</v>
      </c>
      <c r="F2" s="33">
        <v>71459.480392156853</v>
      </c>
      <c r="G2" s="33">
        <v>72174.075196078426</v>
      </c>
      <c r="H2" s="33">
        <v>75958.294760039207</v>
      </c>
      <c r="I2" s="33">
        <v>76717.877707639593</v>
      </c>
      <c r="J2" s="33">
        <v>77485.056484715984</v>
      </c>
      <c r="K2" s="33">
        <v>78259.907049563146</v>
      </c>
      <c r="L2" s="33">
        <v>82690.140200491136</v>
      </c>
      <c r="M2" s="33">
        <v>83517.041602496043</v>
      </c>
      <c r="N2" s="33">
        <v>84352.212018521008</v>
      </c>
      <c r="O2" s="33">
        <v>85195.734138706219</v>
      </c>
      <c r="P2" s="33">
        <v>86047.691480093286</v>
      </c>
      <c r="Q2" s="33">
        <v>86908.168394894223</v>
      </c>
      <c r="R2" s="33">
        <v>87777.250078843164</v>
      </c>
      <c r="S2" s="33">
        <v>88655.022579631594</v>
      </c>
      <c r="T2" s="33">
        <v>89541.572805427917</v>
      </c>
      <c r="U2" s="33">
        <v>90436.988533482203</v>
      </c>
      <c r="V2" s="33">
        <v>91341.358418817021</v>
      </c>
      <c r="W2" s="33">
        <v>92254.772003005186</v>
      </c>
      <c r="X2" s="33">
        <v>93177.319723035238</v>
      </c>
      <c r="Y2" s="33">
        <v>99777.805781799863</v>
      </c>
      <c r="Z2" s="33">
        <v>100775.58383961786</v>
      </c>
      <c r="AA2" s="33">
        <v>101783.33967801403</v>
      </c>
      <c r="AB2" s="33">
        <v>102801.17307479418</v>
      </c>
      <c r="AC2" s="33">
        <v>103829.18480554211</v>
      </c>
      <c r="AD2" s="33">
        <v>104867.47665359754</v>
      </c>
      <c r="AE2" s="33">
        <v>105916.15142013351</v>
      </c>
      <c r="AF2" s="33">
        <v>106975.31293433484</v>
      </c>
      <c r="AG2" s="33">
        <v>108045.06606367818</v>
      </c>
      <c r="AH2" s="33">
        <v>109125.51672431496</v>
      </c>
      <c r="AS2" s="1" t="s">
        <v>215</v>
      </c>
      <c r="AT2" s="1" cm="1">
        <f t="array" ref="AT2:AT31">TRANSPOSE(E16:AH16)</f>
        <v>37799.13501065359</v>
      </c>
    </row>
    <row r="3" spans="1:49" x14ac:dyDescent="0.35">
      <c r="D3" s="1" t="s">
        <v>190</v>
      </c>
      <c r="E3" s="33">
        <f>E2*12</f>
        <v>849023.52941176458</v>
      </c>
      <c r="F3" s="33">
        <f t="shared" ref="F3:AH3" si="0">F2*12</f>
        <v>857513.76470588217</v>
      </c>
      <c r="G3" s="33">
        <f t="shared" si="0"/>
        <v>866088.90235294111</v>
      </c>
      <c r="H3" s="33">
        <f t="shared" si="0"/>
        <v>911499.53712047054</v>
      </c>
      <c r="I3" s="33">
        <f t="shared" si="0"/>
        <v>920614.53249167511</v>
      </c>
      <c r="J3" s="33">
        <f t="shared" si="0"/>
        <v>929820.67781659181</v>
      </c>
      <c r="K3" s="33">
        <f t="shared" si="0"/>
        <v>939118.88459475781</v>
      </c>
      <c r="L3" s="33">
        <f t="shared" si="0"/>
        <v>992281.68240589369</v>
      </c>
      <c r="M3" s="33">
        <f t="shared" si="0"/>
        <v>1002204.4992299525</v>
      </c>
      <c r="N3" s="33">
        <f t="shared" si="0"/>
        <v>1012226.5442222521</v>
      </c>
      <c r="O3" s="33">
        <f t="shared" si="0"/>
        <v>1022348.8096644746</v>
      </c>
      <c r="P3" s="33">
        <f t="shared" si="0"/>
        <v>1032572.2977611194</v>
      </c>
      <c r="Q3" s="33">
        <f t="shared" si="0"/>
        <v>1042898.0207387307</v>
      </c>
      <c r="R3" s="33">
        <f t="shared" si="0"/>
        <v>1053327.000946118</v>
      </c>
      <c r="S3" s="33">
        <f t="shared" si="0"/>
        <v>1063860.2709555791</v>
      </c>
      <c r="T3" s="33">
        <f t="shared" si="0"/>
        <v>1074498.8736651349</v>
      </c>
      <c r="U3" s="33">
        <f t="shared" si="0"/>
        <v>1085243.8624017865</v>
      </c>
      <c r="V3" s="33">
        <f t="shared" si="0"/>
        <v>1096096.3010258041</v>
      </c>
      <c r="W3" s="33">
        <f t="shared" si="0"/>
        <v>1107057.2640360622</v>
      </c>
      <c r="X3" s="33">
        <f t="shared" si="0"/>
        <v>1118127.836676423</v>
      </c>
      <c r="Y3" s="33">
        <f t="shared" si="0"/>
        <v>1197333.6693815985</v>
      </c>
      <c r="Z3" s="33">
        <f t="shared" si="0"/>
        <v>1209307.0060754144</v>
      </c>
      <c r="AA3" s="33">
        <f t="shared" si="0"/>
        <v>1221400.0761361683</v>
      </c>
      <c r="AB3" s="33">
        <f t="shared" si="0"/>
        <v>1233614.0768975301</v>
      </c>
      <c r="AC3" s="33">
        <f t="shared" si="0"/>
        <v>1245950.2176665054</v>
      </c>
      <c r="AD3" s="33">
        <f t="shared" si="0"/>
        <v>1258409.7198431704</v>
      </c>
      <c r="AE3" s="33">
        <f t="shared" si="0"/>
        <v>1270993.817041602</v>
      </c>
      <c r="AF3" s="33">
        <f t="shared" si="0"/>
        <v>1283703.755212018</v>
      </c>
      <c r="AG3" s="33">
        <f t="shared" si="0"/>
        <v>1296540.7927641382</v>
      </c>
      <c r="AH3" s="33">
        <f t="shared" si="0"/>
        <v>1309506.2006917796</v>
      </c>
      <c r="AT3" s="1">
        <v>38110.950110228281</v>
      </c>
    </row>
    <row r="4" spans="1:49" x14ac:dyDescent="0.35">
      <c r="A4" s="1" t="str" cm="1">
        <f t="array" ref="A4:B12">'Salary Variables'!$B$16:$C$24</f>
        <v>AM (%)</v>
      </c>
      <c r="B4" s="17">
        <v>0.08</v>
      </c>
      <c r="D4" s="18" t="s">
        <v>189</v>
      </c>
      <c r="E4" s="33">
        <f>'Pensions P2'!B4*12</f>
        <v>42451.176470588238</v>
      </c>
      <c r="F4" s="33">
        <f>'Pensions P2'!C4*12</f>
        <v>42875.688235294117</v>
      </c>
      <c r="G4" s="33">
        <f>'Pensions P2'!D4*12</f>
        <v>43304.445117647061</v>
      </c>
      <c r="H4" s="33">
        <f>'Pensions P2'!E4*12</f>
        <v>45574.976856023524</v>
      </c>
      <c r="I4" s="33">
        <f>'Pensions P2'!F4*12</f>
        <v>46030.72662458376</v>
      </c>
      <c r="J4" s="33">
        <f>'Pensions P2'!G4*12</f>
        <v>46491.033890829596</v>
      </c>
      <c r="K4" s="33">
        <f>'Pensions P2'!H4*12</f>
        <v>46955.944229737892</v>
      </c>
      <c r="L4" s="33">
        <f>'Pensions P2'!I4*12</f>
        <v>49614.084120294676</v>
      </c>
      <c r="M4" s="33">
        <f>'Pensions P2'!J4*12</f>
        <v>50110.224961497632</v>
      </c>
      <c r="N4" s="33">
        <f>'Pensions P2'!K4*12</f>
        <v>50611.327211112599</v>
      </c>
      <c r="O4" s="33">
        <f>'Pensions P2'!L4*12</f>
        <v>51117.440483223734</v>
      </c>
      <c r="P4" s="33">
        <f>'Pensions P2'!M4*12</f>
        <v>51628.614888055978</v>
      </c>
      <c r="Q4" s="33">
        <f>'Pensions P2'!N4*12</f>
        <v>52144.901036936528</v>
      </c>
      <c r="R4" s="33">
        <f>'Pensions P2'!O4*12</f>
        <v>52666.350047305903</v>
      </c>
      <c r="S4" s="33">
        <f>'Pensions P2'!P4*12</f>
        <v>53193.013547778959</v>
      </c>
      <c r="T4" s="33">
        <f>'Pensions P2'!Q4*12</f>
        <v>53724.943683256744</v>
      </c>
      <c r="U4" s="33">
        <f>'Pensions P2'!R4*12</f>
        <v>54262.193120089316</v>
      </c>
      <c r="V4" s="33">
        <f>'Pensions P2'!S4*12</f>
        <v>54804.815051290207</v>
      </c>
      <c r="W4" s="33">
        <f>'Pensions P2'!T4*12</f>
        <v>55352.863201803106</v>
      </c>
      <c r="X4" s="33">
        <f>'Pensions P2'!U4*12</f>
        <v>55906.391833821137</v>
      </c>
      <c r="Y4" s="33">
        <f>'Pensions P2'!V4*12</f>
        <v>59866.683469079922</v>
      </c>
      <c r="Z4" s="33">
        <f>'Pensions P2'!W4*12</f>
        <v>60465.35030377072</v>
      </c>
      <c r="AA4" s="33">
        <f>'Pensions P2'!X4*12</f>
        <v>61070.003806808425</v>
      </c>
      <c r="AB4" s="33">
        <f>'Pensions P2'!Y4*12</f>
        <v>61680.703844876509</v>
      </c>
      <c r="AC4" s="33">
        <f>'Pensions P2'!Z4*12</f>
        <v>62297.510883325274</v>
      </c>
      <c r="AD4" s="33">
        <f>'Pensions P2'!AA4*12</f>
        <v>62920.48599215853</v>
      </c>
      <c r="AE4" s="33">
        <f>'Pensions P2'!AB4*12</f>
        <v>63549.690852080108</v>
      </c>
      <c r="AF4" s="33">
        <f>'Pensions P2'!AC4*12</f>
        <v>64185.187760600907</v>
      </c>
      <c r="AG4" s="33">
        <f>'Pensions P2'!AD4*12</f>
        <v>64827.039638206916</v>
      </c>
      <c r="AH4" s="33">
        <f>'Pensions P2'!AE4*12</f>
        <v>65475.310034588983</v>
      </c>
      <c r="AT4" s="1">
        <v>38425.437516691505</v>
      </c>
    </row>
    <row r="5" spans="1:49" x14ac:dyDescent="0.35">
      <c r="A5" s="1" t="str">
        <v>Personal Allowance</v>
      </c>
      <c r="B5" s="1">
        <v>51600</v>
      </c>
      <c r="D5" s="1" t="s">
        <v>191</v>
      </c>
      <c r="E5" s="33">
        <f>E3-E4</f>
        <v>806572.35294117639</v>
      </c>
      <c r="F5" s="33">
        <f t="shared" ref="F5:AH5" si="1">F3-F4</f>
        <v>814638.0764705881</v>
      </c>
      <c r="G5" s="33">
        <f t="shared" si="1"/>
        <v>822784.45723529404</v>
      </c>
      <c r="H5" s="33">
        <f t="shared" si="1"/>
        <v>865924.56026444701</v>
      </c>
      <c r="I5" s="33">
        <f t="shared" si="1"/>
        <v>874583.8058670914</v>
      </c>
      <c r="J5" s="33">
        <f t="shared" si="1"/>
        <v>883329.64392576227</v>
      </c>
      <c r="K5" s="33">
        <f t="shared" si="1"/>
        <v>892162.94036501995</v>
      </c>
      <c r="L5" s="33">
        <f t="shared" si="1"/>
        <v>942667.59828559903</v>
      </c>
      <c r="M5" s="33">
        <f t="shared" si="1"/>
        <v>952094.27426845487</v>
      </c>
      <c r="N5" s="33">
        <f t="shared" si="1"/>
        <v>961615.2170111395</v>
      </c>
      <c r="O5" s="33">
        <f t="shared" si="1"/>
        <v>971231.3691812508</v>
      </c>
      <c r="P5" s="33">
        <f t="shared" si="1"/>
        <v>980943.68287306349</v>
      </c>
      <c r="Q5" s="33">
        <f t="shared" si="1"/>
        <v>990753.11970179412</v>
      </c>
      <c r="R5" s="33">
        <f t="shared" si="1"/>
        <v>1000660.6508988121</v>
      </c>
      <c r="S5" s="33">
        <f t="shared" si="1"/>
        <v>1010667.2574078002</v>
      </c>
      <c r="T5" s="33">
        <f t="shared" si="1"/>
        <v>1020773.9299818781</v>
      </c>
      <c r="U5" s="33">
        <f t="shared" si="1"/>
        <v>1030981.6692816971</v>
      </c>
      <c r="V5" s="33">
        <f t="shared" si="1"/>
        <v>1041291.4859745139</v>
      </c>
      <c r="W5" s="33">
        <f t="shared" si="1"/>
        <v>1051704.4008342591</v>
      </c>
      <c r="X5" s="33">
        <f t="shared" si="1"/>
        <v>1062221.4448426019</v>
      </c>
      <c r="Y5" s="33">
        <f t="shared" si="1"/>
        <v>1137466.9859125186</v>
      </c>
      <c r="Z5" s="33">
        <f t="shared" si="1"/>
        <v>1148841.6557716436</v>
      </c>
      <c r="AA5" s="33">
        <f t="shared" si="1"/>
        <v>1160330.0723293598</v>
      </c>
      <c r="AB5" s="33">
        <f t="shared" si="1"/>
        <v>1171933.3730526536</v>
      </c>
      <c r="AC5" s="33">
        <f t="shared" si="1"/>
        <v>1183652.7067831801</v>
      </c>
      <c r="AD5" s="33">
        <f t="shared" si="1"/>
        <v>1195489.2338510118</v>
      </c>
      <c r="AE5" s="33">
        <f t="shared" si="1"/>
        <v>1207444.126189522</v>
      </c>
      <c r="AF5" s="33">
        <f>AF3-AF4</f>
        <v>1219518.5674514172</v>
      </c>
      <c r="AG5" s="33">
        <f t="shared" si="1"/>
        <v>1231713.7531259314</v>
      </c>
      <c r="AH5" s="33">
        <f t="shared" si="1"/>
        <v>1244030.8906571907</v>
      </c>
      <c r="AT5" s="1">
        <v>40027.136145715522</v>
      </c>
    </row>
    <row r="6" spans="1:49" x14ac:dyDescent="0.35">
      <c r="A6" s="1" t="str">
        <v>Bottom-Bracket State Tax rate (%)</v>
      </c>
      <c r="B6" s="28">
        <v>0.1201</v>
      </c>
      <c r="D6" s="1" t="s">
        <v>244</v>
      </c>
      <c r="E6" s="32">
        <f>E5*(1-$B$4)</f>
        <v>742046.56470588234</v>
      </c>
      <c r="F6" s="32">
        <f t="shared" ref="E6:AH6" si="2">F5*(1-$B$4)</f>
        <v>749467.03035294113</v>
      </c>
      <c r="G6" s="32">
        <f t="shared" si="2"/>
        <v>756961.70065647061</v>
      </c>
      <c r="H6" s="32">
        <f t="shared" si="2"/>
        <v>796650.59544329124</v>
      </c>
      <c r="I6" s="32">
        <f t="shared" si="2"/>
        <v>804617.10139772412</v>
      </c>
      <c r="J6" s="32">
        <f t="shared" si="2"/>
        <v>812663.27241170127</v>
      </c>
      <c r="K6" s="32">
        <f t="shared" si="2"/>
        <v>820789.90513581841</v>
      </c>
      <c r="L6" s="32">
        <f t="shared" si="2"/>
        <v>867254.19042275113</v>
      </c>
      <c r="M6" s="32">
        <f t="shared" si="2"/>
        <v>875926.73232697847</v>
      </c>
      <c r="N6" s="32">
        <f t="shared" si="2"/>
        <v>884685.99965024833</v>
      </c>
      <c r="O6" s="32">
        <f t="shared" si="2"/>
        <v>893532.85964675073</v>
      </c>
      <c r="P6" s="32">
        <f t="shared" si="2"/>
        <v>902468.18824321846</v>
      </c>
      <c r="Q6" s="32">
        <f t="shared" si="2"/>
        <v>911492.87012565066</v>
      </c>
      <c r="R6" s="32">
        <f t="shared" si="2"/>
        <v>920607.79882690718</v>
      </c>
      <c r="S6" s="32">
        <f t="shared" si="2"/>
        <v>929813.87681517622</v>
      </c>
      <c r="T6" s="32">
        <f t="shared" si="2"/>
        <v>939112.01558332797</v>
      </c>
      <c r="U6" s="32">
        <f t="shared" si="2"/>
        <v>948503.1357391614</v>
      </c>
      <c r="V6" s="32">
        <f t="shared" si="2"/>
        <v>957988.1670965529</v>
      </c>
      <c r="W6" s="32">
        <f t="shared" si="2"/>
        <v>967568.04876751837</v>
      </c>
      <c r="X6" s="32">
        <f t="shared" si="2"/>
        <v>977243.72925519373</v>
      </c>
      <c r="Y6" s="32">
        <f t="shared" si="2"/>
        <v>1046469.6270395172</v>
      </c>
      <c r="Z6" s="32">
        <f t="shared" si="2"/>
        <v>1056934.3233099121</v>
      </c>
      <c r="AA6" s="32">
        <f t="shared" si="2"/>
        <v>1067503.6665430111</v>
      </c>
      <c r="AB6" s="32">
        <f t="shared" si="2"/>
        <v>1078178.7032084414</v>
      </c>
      <c r="AC6" s="32">
        <f t="shared" si="2"/>
        <v>1088960.4902405257</v>
      </c>
      <c r="AD6" s="32">
        <f t="shared" si="2"/>
        <v>1099850.095142931</v>
      </c>
      <c r="AE6" s="32">
        <f t="shared" si="2"/>
        <v>1110848.5960943603</v>
      </c>
      <c r="AF6" s="32">
        <f t="shared" si="2"/>
        <v>1121957.082055304</v>
      </c>
      <c r="AG6" s="32">
        <f t="shared" si="2"/>
        <v>1133176.652875857</v>
      </c>
      <c r="AH6" s="32">
        <f t="shared" si="2"/>
        <v>1144508.4194046154</v>
      </c>
      <c r="AT6" s="1">
        <v>40359.919779030548</v>
      </c>
    </row>
    <row r="7" spans="1:49" x14ac:dyDescent="0.35">
      <c r="A7" s="1" t="str">
        <v>Top-bracket State Tax rate (%)</v>
      </c>
      <c r="B7" s="28">
        <v>0.15</v>
      </c>
      <c r="D7" s="1" t="s">
        <v>239</v>
      </c>
      <c r="E7" s="32">
        <f>$B$5</f>
        <v>51600</v>
      </c>
      <c r="F7" s="32">
        <f t="shared" ref="F7:AH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c r="AJ7" s="32"/>
      <c r="AK7" s="32"/>
      <c r="AL7" s="32"/>
      <c r="AM7" s="32"/>
      <c r="AN7" s="32"/>
      <c r="AO7" s="32"/>
      <c r="AP7" s="32"/>
      <c r="AQ7" s="32"/>
      <c r="AR7" s="32"/>
      <c r="AS7" s="32"/>
      <c r="AT7" s="32">
        <v>40695.611119818765</v>
      </c>
      <c r="AU7" s="32"/>
      <c r="AV7" s="32"/>
      <c r="AW7" s="32"/>
    </row>
    <row r="8" spans="1:49" x14ac:dyDescent="0.35">
      <c r="A8" s="1" t="str">
        <v>State Tax Bracket Threshold</v>
      </c>
      <c r="B8" s="32">
        <v>618400</v>
      </c>
      <c r="D8" s="1" t="s">
        <v>245</v>
      </c>
      <c r="E8" s="32">
        <f>E6-E7</f>
        <v>690446.56470588234</v>
      </c>
      <c r="F8" s="32">
        <f t="shared" ref="F8:AH8" si="4">F6-F7</f>
        <v>697867.03035294113</v>
      </c>
      <c r="G8" s="32">
        <f t="shared" si="4"/>
        <v>705361.70065647061</v>
      </c>
      <c r="H8" s="32">
        <f t="shared" si="4"/>
        <v>745050.59544329124</v>
      </c>
      <c r="I8" s="32">
        <f t="shared" si="4"/>
        <v>753017.10139772412</v>
      </c>
      <c r="J8" s="32">
        <f t="shared" si="4"/>
        <v>761063.27241170127</v>
      </c>
      <c r="K8" s="32">
        <f t="shared" si="4"/>
        <v>769189.90513581841</v>
      </c>
      <c r="L8" s="32">
        <f t="shared" si="4"/>
        <v>815654.19042275113</v>
      </c>
      <c r="M8" s="32">
        <f t="shared" si="4"/>
        <v>824326.73232697847</v>
      </c>
      <c r="N8" s="32">
        <f t="shared" si="4"/>
        <v>833085.99965024833</v>
      </c>
      <c r="O8" s="32">
        <f t="shared" si="4"/>
        <v>841932.85964675073</v>
      </c>
      <c r="P8" s="32">
        <f t="shared" si="4"/>
        <v>850868.18824321846</v>
      </c>
      <c r="Q8" s="32">
        <f t="shared" si="4"/>
        <v>859892.87012565066</v>
      </c>
      <c r="R8" s="32">
        <f t="shared" si="4"/>
        <v>869007.79882690718</v>
      </c>
      <c r="S8" s="32">
        <f t="shared" si="4"/>
        <v>878213.87681517622</v>
      </c>
      <c r="T8" s="32">
        <f t="shared" si="4"/>
        <v>887512.01558332797</v>
      </c>
      <c r="U8" s="32">
        <f t="shared" si="4"/>
        <v>896903.1357391614</v>
      </c>
      <c r="V8" s="32">
        <f t="shared" si="4"/>
        <v>906388.1670965529</v>
      </c>
      <c r="W8" s="32">
        <f t="shared" si="4"/>
        <v>915968.04876751837</v>
      </c>
      <c r="X8" s="32">
        <f t="shared" si="4"/>
        <v>925643.72925519373</v>
      </c>
      <c r="Y8" s="32">
        <f t="shared" si="4"/>
        <v>994869.62703951716</v>
      </c>
      <c r="Z8" s="32">
        <f t="shared" si="4"/>
        <v>1005334.3233099121</v>
      </c>
      <c r="AA8" s="32">
        <f t="shared" si="4"/>
        <v>1015903.6665430111</v>
      </c>
      <c r="AB8" s="32">
        <f t="shared" si="4"/>
        <v>1026578.7032084414</v>
      </c>
      <c r="AC8" s="32">
        <f t="shared" si="4"/>
        <v>1037360.4902405257</v>
      </c>
      <c r="AD8" s="32">
        <f t="shared" si="4"/>
        <v>1048250.095142931</v>
      </c>
      <c r="AE8" s="32">
        <f t="shared" si="4"/>
        <v>1059248.5960943603</v>
      </c>
      <c r="AF8" s="32">
        <f t="shared" si="4"/>
        <v>1070357.082055304</v>
      </c>
      <c r="AG8" s="32">
        <f t="shared" si="4"/>
        <v>1081576.652875857</v>
      </c>
      <c r="AH8" s="32">
        <f t="shared" si="4"/>
        <v>1092908.4194046154</v>
      </c>
      <c r="AI8" s="32"/>
      <c r="AJ8" s="32"/>
      <c r="AK8" s="32"/>
      <c r="AL8" s="32"/>
      <c r="AM8" s="32"/>
      <c r="AN8" s="32"/>
      <c r="AO8" s="32"/>
      <c r="AP8" s="32"/>
      <c r="AQ8" s="32"/>
      <c r="AR8" s="32"/>
      <c r="AS8" s="32"/>
      <c r="AT8" s="32">
        <v>41034.247482975705</v>
      </c>
      <c r="AU8" s="32"/>
      <c r="AV8" s="32"/>
      <c r="AW8" s="32"/>
    </row>
    <row r="9" spans="1:49" x14ac:dyDescent="0.35">
      <c r="A9" s="1" t="str">
        <v>Municipal Tax (%)</v>
      </c>
      <c r="B9" s="17">
        <v>0.25</v>
      </c>
      <c r="D9" s="1" t="s">
        <v>193</v>
      </c>
      <c r="E9" s="32">
        <f>E6*$B$9</f>
        <v>185511.64117647058</v>
      </c>
      <c r="F9" s="32">
        <f t="shared" ref="F9:AH9" si="5">F6*$B$9</f>
        <v>187366.75758823528</v>
      </c>
      <c r="G9" s="32">
        <f t="shared" si="5"/>
        <v>189240.42516411765</v>
      </c>
      <c r="H9" s="32">
        <f t="shared" si="5"/>
        <v>199162.64886082281</v>
      </c>
      <c r="I9" s="32">
        <f t="shared" si="5"/>
        <v>201154.27534943103</v>
      </c>
      <c r="J9" s="32">
        <f t="shared" si="5"/>
        <v>203165.81810292532</v>
      </c>
      <c r="K9" s="32">
        <f t="shared" si="5"/>
        <v>205197.4762839546</v>
      </c>
      <c r="L9" s="32">
        <f t="shared" si="5"/>
        <v>216813.54760568778</v>
      </c>
      <c r="M9" s="32">
        <f t="shared" si="5"/>
        <v>218981.68308174462</v>
      </c>
      <c r="N9" s="32">
        <f t="shared" si="5"/>
        <v>221171.49991256208</v>
      </c>
      <c r="O9" s="32">
        <f t="shared" si="5"/>
        <v>223383.21491168768</v>
      </c>
      <c r="P9" s="32">
        <f t="shared" si="5"/>
        <v>225617.04706080462</v>
      </c>
      <c r="Q9" s="32">
        <f t="shared" si="5"/>
        <v>227873.21753141267</v>
      </c>
      <c r="R9" s="32">
        <f t="shared" si="5"/>
        <v>230151.94970672679</v>
      </c>
      <c r="S9" s="32">
        <f t="shared" si="5"/>
        <v>232453.46920379405</v>
      </c>
      <c r="T9" s="32">
        <f t="shared" si="5"/>
        <v>234778.00389583199</v>
      </c>
      <c r="U9" s="32">
        <f t="shared" si="5"/>
        <v>237125.78393479035</v>
      </c>
      <c r="V9" s="32">
        <f t="shared" si="5"/>
        <v>239497.04177413823</v>
      </c>
      <c r="W9" s="32">
        <f t="shared" si="5"/>
        <v>241892.01219187959</v>
      </c>
      <c r="X9" s="32">
        <f t="shared" si="5"/>
        <v>244310.93231379843</v>
      </c>
      <c r="Y9" s="32">
        <f t="shared" si="5"/>
        <v>261617.40675987929</v>
      </c>
      <c r="Z9" s="32">
        <f t="shared" si="5"/>
        <v>264233.58082747803</v>
      </c>
      <c r="AA9" s="32">
        <f t="shared" si="5"/>
        <v>266875.91663575277</v>
      </c>
      <c r="AB9" s="32">
        <f t="shared" si="5"/>
        <v>269544.67580211035</v>
      </c>
      <c r="AC9" s="32">
        <f t="shared" si="5"/>
        <v>272240.12256013142</v>
      </c>
      <c r="AD9" s="32">
        <f t="shared" si="5"/>
        <v>274962.52378573274</v>
      </c>
      <c r="AE9" s="32">
        <f t="shared" si="5"/>
        <v>277712.14902359009</v>
      </c>
      <c r="AF9" s="32">
        <f t="shared" si="5"/>
        <v>280489.27051382599</v>
      </c>
      <c r="AG9" s="32">
        <f t="shared" si="5"/>
        <v>283294.16321896424</v>
      </c>
      <c r="AH9" s="32">
        <f t="shared" si="5"/>
        <v>286127.10485115385</v>
      </c>
      <c r="AI9" s="32"/>
      <c r="AJ9" s="32"/>
      <c r="AK9" s="32"/>
      <c r="AL9" s="32"/>
      <c r="AM9" s="32"/>
      <c r="AN9" s="32"/>
      <c r="AO9" s="32"/>
      <c r="AP9" s="32"/>
      <c r="AQ9" s="32"/>
      <c r="AR9" s="32"/>
      <c r="AS9" s="32"/>
      <c r="AT9" s="32">
        <v>42905.803041224273</v>
      </c>
      <c r="AU9" s="32"/>
      <c r="AV9" s="32"/>
      <c r="AW9" s="32"/>
    </row>
    <row r="10" spans="1:49" x14ac:dyDescent="0.35">
      <c r="A10" s="1" t="str">
        <v>Capital Gains &lt; 67,500DKK</v>
      </c>
      <c r="B10" s="32">
        <v>0.27</v>
      </c>
      <c r="D10" s="1" t="s">
        <v>194</v>
      </c>
      <c r="E10" s="32">
        <f>MAX(E8-$B$8,0)*$B$7</f>
        <v>10806.984705882351</v>
      </c>
      <c r="F10" s="32">
        <f t="shared" ref="F10:AH10" si="6">MAX(F8-$B$8,0)*$B$7</f>
        <v>11920.05455294117</v>
      </c>
      <c r="G10" s="32">
        <f t="shared" si="6"/>
        <v>13044.25509847059</v>
      </c>
      <c r="H10" s="32">
        <f t="shared" si="6"/>
        <v>18997.589316493686</v>
      </c>
      <c r="I10" s="32">
        <f t="shared" si="6"/>
        <v>20192.565209658616</v>
      </c>
      <c r="J10" s="32">
        <f t="shared" si="6"/>
        <v>21399.490861755188</v>
      </c>
      <c r="K10" s="32">
        <f t="shared" si="6"/>
        <v>22618.485770372761</v>
      </c>
      <c r="L10" s="32">
        <f t="shared" si="6"/>
        <v>29588.128563412669</v>
      </c>
      <c r="M10" s="32">
        <f t="shared" si="6"/>
        <v>30889.009849046768</v>
      </c>
      <c r="N10" s="32">
        <f t="shared" si="6"/>
        <v>32202.899947537247</v>
      </c>
      <c r="O10" s="32">
        <f t="shared" si="6"/>
        <v>33529.92894701261</v>
      </c>
      <c r="P10" s="32">
        <f t="shared" si="6"/>
        <v>34870.22823648277</v>
      </c>
      <c r="Q10" s="32">
        <f t="shared" si="6"/>
        <v>36223.930518847599</v>
      </c>
      <c r="R10" s="32">
        <f t="shared" si="6"/>
        <v>37591.169824036078</v>
      </c>
      <c r="S10" s="32">
        <f t="shared" si="6"/>
        <v>38972.081522276429</v>
      </c>
      <c r="T10" s="32">
        <f t="shared" si="6"/>
        <v>40366.802337499197</v>
      </c>
      <c r="U10" s="32">
        <f t="shared" si="6"/>
        <v>41775.470360874206</v>
      </c>
      <c r="V10" s="32">
        <f t="shared" si="6"/>
        <v>43198.225064482933</v>
      </c>
      <c r="W10" s="32">
        <f t="shared" si="6"/>
        <v>44635.207315127751</v>
      </c>
      <c r="X10" s="32">
        <f t="shared" si="6"/>
        <v>46086.559388279056</v>
      </c>
      <c r="Y10" s="32">
        <f t="shared" si="6"/>
        <v>56470.444055927575</v>
      </c>
      <c r="Z10" s="32">
        <f t="shared" si="6"/>
        <v>58040.148496486814</v>
      </c>
      <c r="AA10" s="32">
        <f t="shared" si="6"/>
        <v>59625.549981451659</v>
      </c>
      <c r="AB10" s="32">
        <f t="shared" si="6"/>
        <v>61226.805481266201</v>
      </c>
      <c r="AC10" s="32">
        <f t="shared" si="6"/>
        <v>62844.073536078853</v>
      </c>
      <c r="AD10" s="32">
        <f t="shared" si="6"/>
        <v>64477.514271439642</v>
      </c>
      <c r="AE10" s="32">
        <f t="shared" si="6"/>
        <v>66127.289414154046</v>
      </c>
      <c r="AF10" s="32">
        <f t="shared" si="6"/>
        <v>67793.562308295586</v>
      </c>
      <c r="AG10" s="32">
        <f t="shared" si="6"/>
        <v>69476.497931378544</v>
      </c>
      <c r="AH10" s="32">
        <f t="shared" si="6"/>
        <v>71176.262910692312</v>
      </c>
      <c r="AI10" s="32"/>
      <c r="AJ10" s="32"/>
      <c r="AK10" s="32"/>
      <c r="AL10" s="32"/>
      <c r="AM10" s="32"/>
      <c r="AN10" s="32"/>
      <c r="AO10" s="32"/>
      <c r="AP10" s="32"/>
      <c r="AQ10" s="32"/>
      <c r="AR10" s="32"/>
      <c r="AS10" s="32"/>
      <c r="AT10" s="32">
        <v>43265.741612042832</v>
      </c>
      <c r="AU10" s="32"/>
      <c r="AV10" s="32"/>
      <c r="AW10" s="32"/>
    </row>
    <row r="11" spans="1:49" x14ac:dyDescent="0.35">
      <c r="A11" s="1" t="str">
        <v>Capital Gains &gt; 67,500DKK</v>
      </c>
      <c r="B11" s="17">
        <v>0.42</v>
      </c>
      <c r="D11" s="1" t="s">
        <v>195</v>
      </c>
      <c r="E11" s="32">
        <f>E8*$B$6</f>
        <v>82922.632421176473</v>
      </c>
      <c r="F11" s="32">
        <f t="shared" ref="F11:AH11" si="7">F8*$B$6</f>
        <v>83813.830345388225</v>
      </c>
      <c r="G11" s="32">
        <f t="shared" si="7"/>
        <v>84713.940248842118</v>
      </c>
      <c r="H11" s="32">
        <f t="shared" si="7"/>
        <v>89480.576512739281</v>
      </c>
      <c r="I11" s="32">
        <f t="shared" si="7"/>
        <v>90437.35387786667</v>
      </c>
      <c r="J11" s="32">
        <f t="shared" si="7"/>
        <v>91403.699016645318</v>
      </c>
      <c r="K11" s="32">
        <f t="shared" si="7"/>
        <v>92379.707606811789</v>
      </c>
      <c r="L11" s="32">
        <f t="shared" si="7"/>
        <v>97960.068269772411</v>
      </c>
      <c r="M11" s="32">
        <f t="shared" si="7"/>
        <v>99001.640552470111</v>
      </c>
      <c r="N11" s="32">
        <f t="shared" si="7"/>
        <v>100053.62855799482</v>
      </c>
      <c r="O11" s="32">
        <f t="shared" si="7"/>
        <v>101116.13644357477</v>
      </c>
      <c r="P11" s="32">
        <f t="shared" si="7"/>
        <v>102189.26940801054</v>
      </c>
      <c r="Q11" s="32">
        <f t="shared" si="7"/>
        <v>103273.13370209064</v>
      </c>
      <c r="R11" s="32">
        <f t="shared" si="7"/>
        <v>104367.83663911156</v>
      </c>
      <c r="S11" s="32">
        <f t="shared" si="7"/>
        <v>105473.48660550267</v>
      </c>
      <c r="T11" s="32">
        <f t="shared" si="7"/>
        <v>106590.19307155769</v>
      </c>
      <c r="U11" s="32">
        <f t="shared" si="7"/>
        <v>107718.06660227328</v>
      </c>
      <c r="V11" s="32">
        <f t="shared" si="7"/>
        <v>108857.218868296</v>
      </c>
      <c r="W11" s="32">
        <f t="shared" si="7"/>
        <v>110007.76265697896</v>
      </c>
      <c r="X11" s="32">
        <f t="shared" si="7"/>
        <v>111169.81188354877</v>
      </c>
      <c r="Y11" s="32">
        <f t="shared" si="7"/>
        <v>119483.84220744601</v>
      </c>
      <c r="Z11" s="32">
        <f t="shared" si="7"/>
        <v>120740.65222952045</v>
      </c>
      <c r="AA11" s="32">
        <f t="shared" si="7"/>
        <v>122010.03035181563</v>
      </c>
      <c r="AB11" s="32">
        <f t="shared" si="7"/>
        <v>123292.10225533381</v>
      </c>
      <c r="AC11" s="32">
        <f t="shared" si="7"/>
        <v>124586.99487788713</v>
      </c>
      <c r="AD11" s="32">
        <f t="shared" si="7"/>
        <v>125894.83642666601</v>
      </c>
      <c r="AE11" s="32">
        <f t="shared" si="7"/>
        <v>127215.75639093267</v>
      </c>
      <c r="AF11" s="32">
        <f t="shared" si="7"/>
        <v>128549.88555484201</v>
      </c>
      <c r="AG11" s="32">
        <f t="shared" si="7"/>
        <v>129897.35601039042</v>
      </c>
      <c r="AH11" s="32">
        <f t="shared" si="7"/>
        <v>131258.30117049432</v>
      </c>
      <c r="AI11" s="32"/>
      <c r="AJ11" s="32"/>
      <c r="AK11" s="32"/>
      <c r="AL11" s="32"/>
      <c r="AM11" s="32"/>
      <c r="AN11" s="32"/>
      <c r="AO11" s="32"/>
      <c r="AP11" s="32"/>
      <c r="AQ11" s="32"/>
      <c r="AR11" s="32"/>
      <c r="AS11" s="32"/>
      <c r="AT11" s="32">
        <v>43628.891434443976</v>
      </c>
      <c r="AU11" s="32"/>
      <c r="AV11" s="32"/>
      <c r="AW11" s="32"/>
    </row>
    <row r="12" spans="1:49" x14ac:dyDescent="0.35">
      <c r="A12" s="1" t="str">
        <v>Capital Gains Threshold</v>
      </c>
      <c r="B12" s="57">
        <v>67500</v>
      </c>
      <c r="D12" s="1" t="s">
        <v>196</v>
      </c>
      <c r="E12" s="32">
        <f>SUM(E9:E11)</f>
        <v>279241.25830352941</v>
      </c>
      <c r="F12" s="32">
        <f t="shared" ref="F12:AH12" si="8">SUM(F9:F11)</f>
        <v>283100.6424865647</v>
      </c>
      <c r="G12" s="32">
        <f t="shared" si="8"/>
        <v>286998.62051143037</v>
      </c>
      <c r="H12" s="32">
        <f t="shared" si="8"/>
        <v>307640.81469005579</v>
      </c>
      <c r="I12" s="32">
        <f t="shared" si="8"/>
        <v>311784.19443695631</v>
      </c>
      <c r="J12" s="32">
        <f t="shared" si="8"/>
        <v>315969.00798132585</v>
      </c>
      <c r="K12" s="32">
        <f t="shared" si="8"/>
        <v>320195.66966113914</v>
      </c>
      <c r="L12" s="32">
        <f t="shared" si="8"/>
        <v>344361.74443887285</v>
      </c>
      <c r="M12" s="32">
        <f t="shared" si="8"/>
        <v>348872.33348326152</v>
      </c>
      <c r="N12" s="32">
        <f t="shared" si="8"/>
        <v>353428.02841809415</v>
      </c>
      <c r="O12" s="32">
        <f t="shared" si="8"/>
        <v>358029.28030227509</v>
      </c>
      <c r="P12" s="32">
        <f t="shared" si="8"/>
        <v>362676.54470529791</v>
      </c>
      <c r="Q12" s="32">
        <f t="shared" si="8"/>
        <v>367370.28175235091</v>
      </c>
      <c r="R12" s="32">
        <f t="shared" si="8"/>
        <v>372110.95616987447</v>
      </c>
      <c r="S12" s="32">
        <f t="shared" si="8"/>
        <v>376899.03733157314</v>
      </c>
      <c r="T12" s="32">
        <f t="shared" si="8"/>
        <v>381734.99930488889</v>
      </c>
      <c r="U12" s="32">
        <f t="shared" si="8"/>
        <v>386619.32089793781</v>
      </c>
      <c r="V12" s="32">
        <f t="shared" si="8"/>
        <v>391552.48570691718</v>
      </c>
      <c r="W12" s="32">
        <f t="shared" si="8"/>
        <v>396534.98216398631</v>
      </c>
      <c r="X12" s="32">
        <f t="shared" si="8"/>
        <v>401567.3035856263</v>
      </c>
      <c r="Y12" s="32">
        <f t="shared" si="8"/>
        <v>437571.69302325288</v>
      </c>
      <c r="Z12" s="32">
        <f t="shared" si="8"/>
        <v>443014.38155348529</v>
      </c>
      <c r="AA12" s="32">
        <f t="shared" si="8"/>
        <v>448511.49696902005</v>
      </c>
      <c r="AB12" s="32">
        <f t="shared" si="8"/>
        <v>454063.58353871037</v>
      </c>
      <c r="AC12" s="32">
        <f t="shared" si="8"/>
        <v>459671.19097409741</v>
      </c>
      <c r="AD12" s="32">
        <f t="shared" si="8"/>
        <v>465334.87448383839</v>
      </c>
      <c r="AE12" s="32">
        <f t="shared" si="8"/>
        <v>471055.19482867682</v>
      </c>
      <c r="AF12" s="32">
        <f t="shared" si="8"/>
        <v>476832.71837696357</v>
      </c>
      <c r="AG12" s="32">
        <f t="shared" si="8"/>
        <v>482668.01716073323</v>
      </c>
      <c r="AH12" s="32">
        <f t="shared" si="8"/>
        <v>488561.66893234046</v>
      </c>
      <c r="AI12" s="32"/>
      <c r="AJ12" s="32"/>
      <c r="AK12" s="32"/>
      <c r="AL12" s="32"/>
      <c r="AM12" s="32"/>
      <c r="AN12" s="32"/>
      <c r="AO12" s="32"/>
      <c r="AP12" s="32"/>
      <c r="AQ12" s="32"/>
      <c r="AR12" s="32"/>
      <c r="AS12" s="32"/>
      <c r="AT12" s="32">
        <v>43995.292231416563</v>
      </c>
      <c r="AU12" s="32"/>
      <c r="AV12" s="32"/>
      <c r="AW12" s="32"/>
    </row>
    <row r="13" spans="1:49" x14ac:dyDescent="0.35">
      <c r="B13" s="37"/>
      <c r="D13" s="1" t="s">
        <v>197</v>
      </c>
      <c r="E13" s="32">
        <f>E6-E12</f>
        <v>462805.30640235293</v>
      </c>
      <c r="F13" s="32">
        <f t="shared" ref="F13:AH13" si="9">F6-F12</f>
        <v>466366.38786637643</v>
      </c>
      <c r="G13" s="32">
        <f t="shared" si="9"/>
        <v>469963.08014504024</v>
      </c>
      <c r="H13" s="32">
        <f t="shared" si="9"/>
        <v>489009.78075323545</v>
      </c>
      <c r="I13" s="32">
        <f t="shared" si="9"/>
        <v>492832.90696076781</v>
      </c>
      <c r="J13" s="32">
        <f t="shared" si="9"/>
        <v>496694.26443037542</v>
      </c>
      <c r="K13" s="32">
        <f t="shared" si="9"/>
        <v>500594.23547467927</v>
      </c>
      <c r="L13" s="32">
        <f t="shared" si="9"/>
        <v>522892.44598387828</v>
      </c>
      <c r="M13" s="32">
        <f t="shared" si="9"/>
        <v>527054.39884371695</v>
      </c>
      <c r="N13" s="32">
        <f t="shared" si="9"/>
        <v>531257.97123215417</v>
      </c>
      <c r="O13" s="32">
        <f t="shared" si="9"/>
        <v>535503.57934447564</v>
      </c>
      <c r="P13" s="32">
        <f t="shared" si="9"/>
        <v>539791.64353792055</v>
      </c>
      <c r="Q13" s="32">
        <f t="shared" si="9"/>
        <v>544122.58837329969</v>
      </c>
      <c r="R13" s="32">
        <f t="shared" si="9"/>
        <v>548496.84265703266</v>
      </c>
      <c r="S13" s="32">
        <f t="shared" si="9"/>
        <v>552914.83948360314</v>
      </c>
      <c r="T13" s="32">
        <f t="shared" si="9"/>
        <v>557377.01627843908</v>
      </c>
      <c r="U13" s="32">
        <f t="shared" si="9"/>
        <v>561883.81484122365</v>
      </c>
      <c r="V13" s="32">
        <f t="shared" si="9"/>
        <v>566435.68138963566</v>
      </c>
      <c r="W13" s="32">
        <f t="shared" si="9"/>
        <v>571033.06660353206</v>
      </c>
      <c r="X13" s="32">
        <f t="shared" si="9"/>
        <v>575676.42566956743</v>
      </c>
      <c r="Y13" s="32">
        <f t="shared" si="9"/>
        <v>608897.93401626428</v>
      </c>
      <c r="Z13" s="32">
        <f t="shared" si="9"/>
        <v>613919.94175642682</v>
      </c>
      <c r="AA13" s="32">
        <f t="shared" si="9"/>
        <v>618992.16957399109</v>
      </c>
      <c r="AB13" s="32">
        <f t="shared" si="9"/>
        <v>624115.11966973101</v>
      </c>
      <c r="AC13" s="32">
        <f t="shared" si="9"/>
        <v>629289.29926642822</v>
      </c>
      <c r="AD13" s="32">
        <f t="shared" si="9"/>
        <v>634515.22065909253</v>
      </c>
      <c r="AE13" s="32">
        <f t="shared" si="9"/>
        <v>639793.40126568358</v>
      </c>
      <c r="AF13" s="32">
        <f t="shared" si="9"/>
        <v>645124.36367834033</v>
      </c>
      <c r="AG13" s="32">
        <f t="shared" si="9"/>
        <v>650508.63571512373</v>
      </c>
      <c r="AH13" s="32">
        <f t="shared" si="9"/>
        <v>655946.75047227496</v>
      </c>
      <c r="AI13" s="32"/>
      <c r="AJ13" s="32"/>
      <c r="AK13" s="32"/>
      <c r="AL13" s="32"/>
      <c r="AM13" s="32"/>
      <c r="AN13" s="32"/>
      <c r="AO13" s="32"/>
      <c r="AP13" s="32"/>
      <c r="AQ13" s="32"/>
      <c r="AR13" s="32"/>
      <c r="AS13" s="32"/>
      <c r="AT13" s="32">
        <v>44364.983973954419</v>
      </c>
      <c r="AU13" s="32"/>
      <c r="AV13" s="32"/>
      <c r="AW13" s="32"/>
    </row>
    <row r="14" spans="1:49" x14ac:dyDescent="0.35">
      <c r="D14" s="1" t="s">
        <v>198</v>
      </c>
      <c r="E14" s="32">
        <f>$B$2/(1+$B$1)^(E1-2024)</f>
        <v>9215.6862745098042</v>
      </c>
      <c r="F14" s="32">
        <f t="shared" ref="F14:AH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c r="AJ14" s="32"/>
      <c r="AK14" s="32"/>
      <c r="AL14" s="32"/>
      <c r="AM14" s="32"/>
      <c r="AN14" s="32"/>
      <c r="AO14" s="32"/>
      <c r="AP14" s="32"/>
      <c r="AQ14" s="32"/>
      <c r="AR14" s="32"/>
      <c r="AS14" s="32"/>
      <c r="AT14" s="32">
        <v>44738.006886462266</v>
      </c>
      <c r="AU14" s="32"/>
      <c r="AV14" s="32"/>
      <c r="AW14" s="32"/>
    </row>
    <row r="15" spans="1:49" x14ac:dyDescent="0.35">
      <c r="D15" s="1" t="s">
        <v>201</v>
      </c>
      <c r="E15" s="32">
        <f>E13-E14</f>
        <v>453589.62012784311</v>
      </c>
      <c r="F15" s="32">
        <f t="shared" ref="F15:AH15" si="11">F13-F14</f>
        <v>457331.40132273937</v>
      </c>
      <c r="G15" s="32">
        <f t="shared" si="11"/>
        <v>461105.25020029803</v>
      </c>
      <c r="H15" s="32">
        <f t="shared" si="11"/>
        <v>480325.63374858623</v>
      </c>
      <c r="I15" s="32">
        <f t="shared" si="11"/>
        <v>484319.03734836658</v>
      </c>
      <c r="J15" s="32">
        <f t="shared" si="11"/>
        <v>488347.3334378252</v>
      </c>
      <c r="K15" s="32">
        <f t="shared" si="11"/>
        <v>492410.96979570849</v>
      </c>
      <c r="L15" s="32">
        <f t="shared" si="11"/>
        <v>514869.63649469125</v>
      </c>
      <c r="M15" s="32">
        <f t="shared" si="11"/>
        <v>519188.89934451395</v>
      </c>
      <c r="N15" s="32">
        <f t="shared" si="11"/>
        <v>523546.69721332769</v>
      </c>
      <c r="O15" s="32">
        <f t="shared" si="11"/>
        <v>527943.50677699875</v>
      </c>
      <c r="P15" s="32">
        <f t="shared" si="11"/>
        <v>532379.80768745299</v>
      </c>
      <c r="Q15" s="32">
        <f t="shared" si="11"/>
        <v>536856.08263754717</v>
      </c>
      <c r="R15" s="32">
        <f t="shared" si="11"/>
        <v>541372.8174259027</v>
      </c>
      <c r="S15" s="32">
        <f t="shared" si="11"/>
        <v>545930.50102171104</v>
      </c>
      <c r="T15" s="32">
        <f t="shared" si="11"/>
        <v>550529.62562952528</v>
      </c>
      <c r="U15" s="32">
        <f t="shared" si="11"/>
        <v>555170.68675405323</v>
      </c>
      <c r="V15" s="32">
        <f t="shared" si="11"/>
        <v>559854.18326495879</v>
      </c>
      <c r="W15" s="32">
        <f t="shared" si="11"/>
        <v>564580.61746169196</v>
      </c>
      <c r="X15" s="32">
        <f t="shared" si="11"/>
        <v>569350.49513835169</v>
      </c>
      <c r="Y15" s="32">
        <f t="shared" si="11"/>
        <v>602696.04133860173</v>
      </c>
      <c r="Z15" s="32">
        <f t="shared" si="11"/>
        <v>607839.65481754206</v>
      </c>
      <c r="AA15" s="32">
        <f t="shared" si="11"/>
        <v>613031.10394763341</v>
      </c>
      <c r="AB15" s="32">
        <f t="shared" si="11"/>
        <v>618270.93768310582</v>
      </c>
      <c r="AC15" s="32">
        <f t="shared" si="11"/>
        <v>623559.70908346237</v>
      </c>
      <c r="AD15" s="32">
        <f t="shared" si="11"/>
        <v>628897.97538167506</v>
      </c>
      <c r="AE15" s="32">
        <f t="shared" si="11"/>
        <v>634286.29805252922</v>
      </c>
      <c r="AF15" s="32">
        <f t="shared" si="11"/>
        <v>639725.24288113019</v>
      </c>
      <c r="AG15" s="32">
        <f t="shared" si="11"/>
        <v>645215.3800315843</v>
      </c>
      <c r="AH15" s="32">
        <f t="shared" si="11"/>
        <v>650757.28411586373</v>
      </c>
      <c r="AI15" s="32"/>
      <c r="AJ15" s="32"/>
      <c r="AK15" s="32"/>
      <c r="AL15" s="32"/>
      <c r="AM15" s="32"/>
      <c r="AN15" s="32"/>
      <c r="AO15" s="32"/>
      <c r="AP15" s="32"/>
      <c r="AQ15" s="32"/>
      <c r="AR15" s="32"/>
      <c r="AS15" s="32"/>
      <c r="AT15" s="32">
        <v>45114.401452158556</v>
      </c>
      <c r="AU15" s="32"/>
      <c r="AV15" s="32"/>
      <c r="AW15" s="32"/>
    </row>
    <row r="16" spans="1:49" x14ac:dyDescent="0.35">
      <c r="D16" s="1" t="s">
        <v>202</v>
      </c>
      <c r="E16" s="32">
        <f>E15/12</f>
        <v>37799.13501065359</v>
      </c>
      <c r="F16" s="32">
        <f t="shared" ref="F16:AH16" si="12">F15/12</f>
        <v>38110.950110228281</v>
      </c>
      <c r="G16" s="32">
        <f t="shared" si="12"/>
        <v>38425.437516691505</v>
      </c>
      <c r="H16" s="32">
        <f t="shared" si="12"/>
        <v>40027.136145715522</v>
      </c>
      <c r="I16" s="32">
        <f t="shared" si="12"/>
        <v>40359.919779030548</v>
      </c>
      <c r="J16" s="32">
        <f t="shared" si="12"/>
        <v>40695.611119818765</v>
      </c>
      <c r="K16" s="32">
        <f t="shared" si="12"/>
        <v>41034.247482975705</v>
      </c>
      <c r="L16" s="32">
        <f t="shared" si="12"/>
        <v>42905.803041224273</v>
      </c>
      <c r="M16" s="32">
        <f t="shared" si="12"/>
        <v>43265.741612042832</v>
      </c>
      <c r="N16" s="32">
        <f t="shared" si="12"/>
        <v>43628.891434443976</v>
      </c>
      <c r="O16" s="32">
        <f t="shared" si="12"/>
        <v>43995.292231416563</v>
      </c>
      <c r="P16" s="32">
        <f t="shared" si="12"/>
        <v>44364.983973954419</v>
      </c>
      <c r="Q16" s="32">
        <f t="shared" si="12"/>
        <v>44738.006886462266</v>
      </c>
      <c r="R16" s="32">
        <f t="shared" si="12"/>
        <v>45114.401452158556</v>
      </c>
      <c r="S16" s="32">
        <f t="shared" si="12"/>
        <v>45494.208418475922</v>
      </c>
      <c r="T16" s="32">
        <f t="shared" si="12"/>
        <v>45877.46880246044</v>
      </c>
      <c r="U16" s="32">
        <f t="shared" si="12"/>
        <v>46264.223896171105</v>
      </c>
      <c r="V16" s="32">
        <f t="shared" si="12"/>
        <v>46654.515272079901</v>
      </c>
      <c r="W16" s="32">
        <f t="shared" si="12"/>
        <v>47048.38478847433</v>
      </c>
      <c r="X16" s="32">
        <f t="shared" si="12"/>
        <v>47445.874594862638</v>
      </c>
      <c r="Y16" s="32">
        <f t="shared" si="12"/>
        <v>50224.670111550142</v>
      </c>
      <c r="Z16" s="32">
        <f t="shared" si="12"/>
        <v>50653.304568128508</v>
      </c>
      <c r="AA16" s="32">
        <f t="shared" si="12"/>
        <v>51085.925328969453</v>
      </c>
      <c r="AB16" s="32">
        <f t="shared" si="12"/>
        <v>51522.578140258818</v>
      </c>
      <c r="AC16" s="32">
        <f t="shared" si="12"/>
        <v>51963.309090288531</v>
      </c>
      <c r="AD16" s="32">
        <f t="shared" si="12"/>
        <v>52408.164615139591</v>
      </c>
      <c r="AE16" s="32">
        <f t="shared" si="12"/>
        <v>52857.191504377435</v>
      </c>
      <c r="AF16" s="32">
        <f t="shared" si="12"/>
        <v>53310.43690676085</v>
      </c>
      <c r="AG16" s="32">
        <f t="shared" si="12"/>
        <v>53767.94833596536</v>
      </c>
      <c r="AH16" s="32">
        <f t="shared" si="12"/>
        <v>54229.77367632198</v>
      </c>
      <c r="AI16" s="32"/>
      <c r="AJ16" s="32"/>
      <c r="AK16" s="32"/>
      <c r="AL16" s="32"/>
      <c r="AM16" s="32"/>
      <c r="AN16" s="32"/>
      <c r="AO16" s="32"/>
      <c r="AP16" s="32"/>
      <c r="AQ16" s="32"/>
      <c r="AR16" s="32"/>
      <c r="AS16" s="32"/>
      <c r="AT16" s="32">
        <v>45494.208418475922</v>
      </c>
      <c r="AU16" s="32"/>
      <c r="AV16" s="32"/>
      <c r="AW16" s="32"/>
    </row>
    <row r="17" spans="3:46" x14ac:dyDescent="0.35">
      <c r="AT17" s="1">
        <v>45877.46880246044</v>
      </c>
    </row>
    <row r="18" spans="3:46" x14ac:dyDescent="0.35">
      <c r="AT18" s="1">
        <v>46264.223896171105</v>
      </c>
    </row>
    <row r="19" spans="3:46" x14ac:dyDescent="0.35">
      <c r="C19" s="18"/>
      <c r="AT19" s="1">
        <v>46654.515272079901</v>
      </c>
    </row>
    <row r="20" spans="3:46" x14ac:dyDescent="0.35">
      <c r="D20" s="30"/>
      <c r="AT20" s="1">
        <v>47048.38478847433</v>
      </c>
    </row>
    <row r="21" spans="3:46" x14ac:dyDescent="0.3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2079</v>
      </c>
      <c r="AT21" s="1">
        <v>47445.874594862638</v>
      </c>
    </row>
    <row r="22" spans="3:46" x14ac:dyDescent="0.35">
      <c r="D22" s="18" t="s">
        <v>209</v>
      </c>
      <c r="E22" s="30">
        <f>'Pensions P2'!$B$14+'Pensions P2'!$B$22</f>
        <v>31778.591211966668</v>
      </c>
      <c r="F22" s="30">
        <f>'Pensions P2'!$B$14+'Pensions P2'!$B$22</f>
        <v>31778.591211966668</v>
      </c>
      <c r="G22" s="30">
        <f>'Pensions P2'!$B$14+'Pensions P2'!$B$22</f>
        <v>31778.591211966668</v>
      </c>
      <c r="H22" s="30">
        <f>'Pensions P2'!$B$14+'Pensions P2'!$B$22</f>
        <v>31778.591211966668</v>
      </c>
      <c r="I22" s="30">
        <f>'Pensions P2'!$B$14+'Pensions P2'!$B$22</f>
        <v>31778.591211966668</v>
      </c>
      <c r="J22" s="30">
        <f>'Pensions P2'!$B$14+'Pensions P2'!$B$22</f>
        <v>31778.591211966668</v>
      </c>
      <c r="K22" s="30">
        <f>'Pensions P2'!$B$14+'Pensions P2'!$B$22</f>
        <v>31778.591211966668</v>
      </c>
      <c r="L22" s="30">
        <f>'Pensions P2'!$B$14+'Pensions P2'!$B$22</f>
        <v>31778.591211966668</v>
      </c>
      <c r="M22" s="30">
        <f>'Pensions P2'!$B$14+'Pensions P2'!$B$22</f>
        <v>31778.591211966668</v>
      </c>
      <c r="N22" s="30">
        <f>'Pensions P2'!$B$14+'Pensions P2'!$B$22</f>
        <v>31778.591211966668</v>
      </c>
      <c r="O22" s="30">
        <f>'Pensions P2'!$B$14+'Pensions P2'!$B$22</f>
        <v>31778.591211966668</v>
      </c>
      <c r="P22" s="30">
        <f>'Pensions P2'!$B$14+'Pensions P2'!$B$22</f>
        <v>31778.591211966668</v>
      </c>
      <c r="Q22" s="30">
        <f>'Pensions P2'!$B$14+'Pensions P2'!$B$22</f>
        <v>31778.591211966668</v>
      </c>
      <c r="R22" s="30">
        <f>'Pensions P2'!$B$14+'Pensions P2'!$B$22</f>
        <v>31778.591211966668</v>
      </c>
      <c r="S22" s="30">
        <f>'Pensions P2'!$B$14+'Pensions P2'!$B$22</f>
        <v>31778.591211966668</v>
      </c>
      <c r="T22" s="30">
        <f>'Pensions P2'!$B$14+'Pensions P2'!$B$22</f>
        <v>31778.591211966668</v>
      </c>
      <c r="U22" s="30">
        <f>'Pensions P2'!$B$14+'Pensions P2'!$B$22</f>
        <v>31778.591211966668</v>
      </c>
      <c r="V22" s="30">
        <f>'Pensions P2'!$B$14+'Pensions P2'!$B$22</f>
        <v>31778.591211966668</v>
      </c>
      <c r="W22" s="30">
        <f>'Pensions P2'!$B$14+'Pensions P2'!$B$22</f>
        <v>31778.591211966668</v>
      </c>
      <c r="X22" s="30">
        <f>'Pensions P2'!$B$14+'Pensions P2'!$B$22</f>
        <v>31778.591211966668</v>
      </c>
      <c r="Y22" s="30">
        <f>'Pensions P2'!$B$14+'Pensions P2'!$B$22</f>
        <v>31778.591211966668</v>
      </c>
      <c r="Z22" s="30">
        <f>'Pensions P2'!$B$14+'Pensions P2'!$B$22</f>
        <v>31778.591211966668</v>
      </c>
      <c r="AA22" s="30">
        <f>'Pensions P2'!$B$14+'Pensions P2'!$B$22</f>
        <v>31778.591211966668</v>
      </c>
      <c r="AB22" s="30">
        <f>'Pensions P2'!$B$14+'Pensions P2'!$B$22</f>
        <v>31778.591211966668</v>
      </c>
      <c r="AC22" s="30">
        <f>'Pensions P2'!$B$14+'Pensions P2'!$B$22</f>
        <v>31778.591211966668</v>
      </c>
      <c r="AT22" s="1">
        <v>50224.670111550142</v>
      </c>
    </row>
    <row r="23" spans="3:46"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T23" s="1">
        <v>50653.304568128508</v>
      </c>
    </row>
    <row r="24" spans="3:46" x14ac:dyDescent="0.35">
      <c r="D24" s="1" t="s">
        <v>210</v>
      </c>
      <c r="E24" s="30">
        <f>E22*12</f>
        <v>381343.09454359999</v>
      </c>
      <c r="F24" s="30">
        <f t="shared" ref="F24:AC24" si="13">F22*12</f>
        <v>381343.09454359999</v>
      </c>
      <c r="G24" s="30">
        <f t="shared" si="13"/>
        <v>381343.09454359999</v>
      </c>
      <c r="H24" s="30">
        <f t="shared" si="13"/>
        <v>381343.09454359999</v>
      </c>
      <c r="I24" s="30">
        <f t="shared" si="13"/>
        <v>381343.09454359999</v>
      </c>
      <c r="J24" s="30">
        <f t="shared" si="13"/>
        <v>381343.09454359999</v>
      </c>
      <c r="K24" s="30">
        <f t="shared" si="13"/>
        <v>381343.09454359999</v>
      </c>
      <c r="L24" s="30">
        <f t="shared" si="13"/>
        <v>381343.09454359999</v>
      </c>
      <c r="M24" s="30">
        <f t="shared" si="13"/>
        <v>381343.09454359999</v>
      </c>
      <c r="N24" s="30">
        <f t="shared" si="13"/>
        <v>381343.09454359999</v>
      </c>
      <c r="O24" s="30">
        <f t="shared" si="13"/>
        <v>381343.09454359999</v>
      </c>
      <c r="P24" s="30">
        <f t="shared" si="13"/>
        <v>381343.09454359999</v>
      </c>
      <c r="Q24" s="30">
        <f t="shared" si="13"/>
        <v>381343.09454359999</v>
      </c>
      <c r="R24" s="30">
        <f t="shared" si="13"/>
        <v>381343.09454359999</v>
      </c>
      <c r="S24" s="30">
        <f t="shared" si="13"/>
        <v>381343.09454359999</v>
      </c>
      <c r="T24" s="30">
        <f t="shared" si="13"/>
        <v>381343.09454359999</v>
      </c>
      <c r="U24" s="30">
        <f t="shared" si="13"/>
        <v>381343.09454359999</v>
      </c>
      <c r="V24" s="30">
        <f t="shared" si="13"/>
        <v>381343.09454359999</v>
      </c>
      <c r="W24" s="30">
        <f t="shared" si="13"/>
        <v>381343.09454359999</v>
      </c>
      <c r="X24" s="30">
        <f t="shared" si="13"/>
        <v>381343.09454359999</v>
      </c>
      <c r="Y24" s="30">
        <f t="shared" si="13"/>
        <v>381343.09454359999</v>
      </c>
      <c r="Z24" s="30">
        <f t="shared" si="13"/>
        <v>381343.09454359999</v>
      </c>
      <c r="AA24" s="30">
        <f t="shared" si="13"/>
        <v>381343.09454359999</v>
      </c>
      <c r="AB24" s="30">
        <f t="shared" si="13"/>
        <v>381343.09454359999</v>
      </c>
      <c r="AC24" s="30">
        <f t="shared" si="13"/>
        <v>381343.09454359999</v>
      </c>
      <c r="AT24" s="1">
        <v>51085.925328969453</v>
      </c>
    </row>
    <row r="25" spans="3:46" x14ac:dyDescent="0.35">
      <c r="D25" s="1" t="s">
        <v>193</v>
      </c>
      <c r="E25" s="30">
        <f>E24*$B$9</f>
        <v>95335.773635899997</v>
      </c>
      <c r="F25" s="30">
        <f t="shared" ref="F25:AC25" si="14">F24*$B$9</f>
        <v>95335.773635899997</v>
      </c>
      <c r="G25" s="30">
        <f t="shared" si="14"/>
        <v>95335.773635899997</v>
      </c>
      <c r="H25" s="30">
        <f t="shared" si="14"/>
        <v>95335.773635899997</v>
      </c>
      <c r="I25" s="30">
        <f t="shared" si="14"/>
        <v>95335.773635899997</v>
      </c>
      <c r="J25" s="30">
        <f t="shared" si="14"/>
        <v>95335.773635899997</v>
      </c>
      <c r="K25" s="30">
        <f t="shared" si="14"/>
        <v>95335.773635899997</v>
      </c>
      <c r="L25" s="30">
        <f t="shared" si="14"/>
        <v>95335.773635899997</v>
      </c>
      <c r="M25" s="30">
        <f t="shared" si="14"/>
        <v>95335.773635899997</v>
      </c>
      <c r="N25" s="30">
        <f t="shared" si="14"/>
        <v>95335.773635899997</v>
      </c>
      <c r="O25" s="30">
        <f t="shared" si="14"/>
        <v>95335.773635899997</v>
      </c>
      <c r="P25" s="30">
        <f t="shared" si="14"/>
        <v>95335.773635899997</v>
      </c>
      <c r="Q25" s="30">
        <f t="shared" si="14"/>
        <v>95335.773635899997</v>
      </c>
      <c r="R25" s="30">
        <f t="shared" si="14"/>
        <v>95335.773635899997</v>
      </c>
      <c r="S25" s="30">
        <f t="shared" si="14"/>
        <v>95335.773635899997</v>
      </c>
      <c r="T25" s="30">
        <f t="shared" si="14"/>
        <v>95335.773635899997</v>
      </c>
      <c r="U25" s="30">
        <f t="shared" si="14"/>
        <v>95335.773635899997</v>
      </c>
      <c r="V25" s="30">
        <f t="shared" si="14"/>
        <v>95335.773635899997</v>
      </c>
      <c r="W25" s="30">
        <f t="shared" si="14"/>
        <v>95335.773635899997</v>
      </c>
      <c r="X25" s="30">
        <f t="shared" si="14"/>
        <v>95335.773635899997</v>
      </c>
      <c r="Y25" s="30">
        <f t="shared" si="14"/>
        <v>95335.773635899997</v>
      </c>
      <c r="Z25" s="30">
        <f t="shared" si="14"/>
        <v>95335.773635899997</v>
      </c>
      <c r="AA25" s="30">
        <f t="shared" si="14"/>
        <v>95335.773635899997</v>
      </c>
      <c r="AB25" s="30">
        <f t="shared" si="14"/>
        <v>95335.773635899997</v>
      </c>
      <c r="AC25" s="30">
        <f t="shared" si="14"/>
        <v>95335.773635899997</v>
      </c>
      <c r="AT25" s="1">
        <v>51522.578140258818</v>
      </c>
    </row>
    <row r="26" spans="3:46" x14ac:dyDescent="0.35">
      <c r="D26" s="1" t="s">
        <v>194</v>
      </c>
      <c r="E26" s="30">
        <f>MAX(E24-$B$8,0)*$B$7</f>
        <v>0</v>
      </c>
      <c r="F26" s="30">
        <f t="shared" ref="F26:AC26" si="15">MAX(F24-$B$8,0)*$B$7</f>
        <v>0</v>
      </c>
      <c r="G26" s="30">
        <f t="shared" si="15"/>
        <v>0</v>
      </c>
      <c r="H26" s="30">
        <f t="shared" si="15"/>
        <v>0</v>
      </c>
      <c r="I26" s="30">
        <f t="shared" si="15"/>
        <v>0</v>
      </c>
      <c r="J26" s="30">
        <f t="shared" si="15"/>
        <v>0</v>
      </c>
      <c r="K26" s="30">
        <f t="shared" si="15"/>
        <v>0</v>
      </c>
      <c r="L26" s="30">
        <f t="shared" si="15"/>
        <v>0</v>
      </c>
      <c r="M26" s="30">
        <f t="shared" si="15"/>
        <v>0</v>
      </c>
      <c r="N26" s="30">
        <f t="shared" si="15"/>
        <v>0</v>
      </c>
      <c r="O26" s="30">
        <f t="shared" si="15"/>
        <v>0</v>
      </c>
      <c r="P26" s="30">
        <f t="shared" si="15"/>
        <v>0</v>
      </c>
      <c r="Q26" s="30">
        <f t="shared" si="15"/>
        <v>0</v>
      </c>
      <c r="R26" s="30">
        <f t="shared" si="15"/>
        <v>0</v>
      </c>
      <c r="S26" s="30">
        <f t="shared" si="15"/>
        <v>0</v>
      </c>
      <c r="T26" s="30">
        <f t="shared" si="15"/>
        <v>0</v>
      </c>
      <c r="U26" s="30">
        <f t="shared" si="15"/>
        <v>0</v>
      </c>
      <c r="V26" s="30">
        <f t="shared" si="15"/>
        <v>0</v>
      </c>
      <c r="W26" s="30">
        <f t="shared" si="15"/>
        <v>0</v>
      </c>
      <c r="X26" s="30">
        <f t="shared" si="15"/>
        <v>0</v>
      </c>
      <c r="Y26" s="30">
        <f t="shared" si="15"/>
        <v>0</v>
      </c>
      <c r="Z26" s="30">
        <f t="shared" si="15"/>
        <v>0</v>
      </c>
      <c r="AA26" s="30">
        <f t="shared" si="15"/>
        <v>0</v>
      </c>
      <c r="AB26" s="30">
        <f t="shared" si="15"/>
        <v>0</v>
      </c>
      <c r="AC26" s="30">
        <f t="shared" si="15"/>
        <v>0</v>
      </c>
      <c r="AT26" s="1">
        <v>51963.309090288531</v>
      </c>
    </row>
    <row r="27" spans="3:46" x14ac:dyDescent="0.35">
      <c r="D27" s="1" t="s">
        <v>195</v>
      </c>
      <c r="E27" s="30">
        <f>E24*$B$6</f>
        <v>45799.305654686359</v>
      </c>
      <c r="F27" s="30">
        <f t="shared" ref="E27:AC27" si="16">F24*$B$6</f>
        <v>45799.305654686359</v>
      </c>
      <c r="G27" s="30">
        <f t="shared" si="16"/>
        <v>45799.305654686359</v>
      </c>
      <c r="H27" s="30">
        <f t="shared" si="16"/>
        <v>45799.305654686359</v>
      </c>
      <c r="I27" s="30">
        <f t="shared" si="16"/>
        <v>45799.305654686359</v>
      </c>
      <c r="J27" s="30">
        <f t="shared" si="16"/>
        <v>45799.305654686359</v>
      </c>
      <c r="K27" s="30">
        <f t="shared" si="16"/>
        <v>45799.305654686359</v>
      </c>
      <c r="L27" s="30">
        <f t="shared" si="16"/>
        <v>45799.305654686359</v>
      </c>
      <c r="M27" s="30">
        <f t="shared" si="16"/>
        <v>45799.305654686359</v>
      </c>
      <c r="N27" s="30">
        <f t="shared" si="16"/>
        <v>45799.305654686359</v>
      </c>
      <c r="O27" s="30">
        <f t="shared" si="16"/>
        <v>45799.305654686359</v>
      </c>
      <c r="P27" s="30">
        <f t="shared" si="16"/>
        <v>45799.305654686359</v>
      </c>
      <c r="Q27" s="30">
        <f t="shared" si="16"/>
        <v>45799.305654686359</v>
      </c>
      <c r="R27" s="30">
        <f t="shared" si="16"/>
        <v>45799.305654686359</v>
      </c>
      <c r="S27" s="30">
        <f t="shared" si="16"/>
        <v>45799.305654686359</v>
      </c>
      <c r="T27" s="30">
        <f t="shared" si="16"/>
        <v>45799.305654686359</v>
      </c>
      <c r="U27" s="30">
        <f t="shared" si="16"/>
        <v>45799.305654686359</v>
      </c>
      <c r="V27" s="30">
        <f t="shared" si="16"/>
        <v>45799.305654686359</v>
      </c>
      <c r="W27" s="30">
        <f t="shared" si="16"/>
        <v>45799.305654686359</v>
      </c>
      <c r="X27" s="30">
        <f t="shared" si="16"/>
        <v>45799.305654686359</v>
      </c>
      <c r="Y27" s="30">
        <f t="shared" si="16"/>
        <v>45799.305654686359</v>
      </c>
      <c r="Z27" s="30">
        <f t="shared" si="16"/>
        <v>45799.305654686359</v>
      </c>
      <c r="AA27" s="30">
        <f t="shared" si="16"/>
        <v>45799.305654686359</v>
      </c>
      <c r="AB27" s="30">
        <f t="shared" si="16"/>
        <v>45799.305654686359</v>
      </c>
      <c r="AC27" s="30">
        <f t="shared" si="16"/>
        <v>45799.305654686359</v>
      </c>
      <c r="AT27" s="1">
        <v>52408.164615139591</v>
      </c>
    </row>
    <row r="28" spans="3:46" x14ac:dyDescent="0.35">
      <c r="D28" s="1" t="s">
        <v>196</v>
      </c>
      <c r="E28" s="30">
        <f>SUM(E25:E27)</f>
        <v>141135.07929058635</v>
      </c>
      <c r="F28" s="30">
        <f t="shared" ref="F28:AC28" si="17">SUM(F25:F27)</f>
        <v>141135.07929058635</v>
      </c>
      <c r="G28" s="30">
        <f t="shared" si="17"/>
        <v>141135.07929058635</v>
      </c>
      <c r="H28" s="30">
        <f t="shared" si="17"/>
        <v>141135.07929058635</v>
      </c>
      <c r="I28" s="30">
        <f t="shared" si="17"/>
        <v>141135.07929058635</v>
      </c>
      <c r="J28" s="30">
        <f t="shared" si="17"/>
        <v>141135.07929058635</v>
      </c>
      <c r="K28" s="30">
        <f t="shared" si="17"/>
        <v>141135.07929058635</v>
      </c>
      <c r="L28" s="30">
        <f t="shared" si="17"/>
        <v>141135.07929058635</v>
      </c>
      <c r="M28" s="30">
        <f t="shared" si="17"/>
        <v>141135.07929058635</v>
      </c>
      <c r="N28" s="30">
        <f t="shared" si="17"/>
        <v>141135.07929058635</v>
      </c>
      <c r="O28" s="30">
        <f t="shared" si="17"/>
        <v>141135.07929058635</v>
      </c>
      <c r="P28" s="30">
        <f t="shared" si="17"/>
        <v>141135.07929058635</v>
      </c>
      <c r="Q28" s="30">
        <f t="shared" si="17"/>
        <v>141135.07929058635</v>
      </c>
      <c r="R28" s="30">
        <f t="shared" si="17"/>
        <v>141135.07929058635</v>
      </c>
      <c r="S28" s="30">
        <f t="shared" si="17"/>
        <v>141135.07929058635</v>
      </c>
      <c r="T28" s="30">
        <f t="shared" si="17"/>
        <v>141135.07929058635</v>
      </c>
      <c r="U28" s="30">
        <f t="shared" si="17"/>
        <v>141135.07929058635</v>
      </c>
      <c r="V28" s="30">
        <f t="shared" si="17"/>
        <v>141135.07929058635</v>
      </c>
      <c r="W28" s="30">
        <f t="shared" si="17"/>
        <v>141135.07929058635</v>
      </c>
      <c r="X28" s="30">
        <f t="shared" si="17"/>
        <v>141135.07929058635</v>
      </c>
      <c r="Y28" s="30">
        <f t="shared" si="17"/>
        <v>141135.07929058635</v>
      </c>
      <c r="Z28" s="30">
        <f t="shared" si="17"/>
        <v>141135.07929058635</v>
      </c>
      <c r="AA28" s="30">
        <f t="shared" si="17"/>
        <v>141135.07929058635</v>
      </c>
      <c r="AB28" s="30">
        <f t="shared" si="17"/>
        <v>141135.07929058635</v>
      </c>
      <c r="AC28" s="30">
        <f t="shared" si="17"/>
        <v>141135.07929058635</v>
      </c>
      <c r="AT28" s="1">
        <v>52857.191504377435</v>
      </c>
    </row>
    <row r="29" spans="3:46" x14ac:dyDescent="0.35">
      <c r="D29" s="1" t="s">
        <v>197</v>
      </c>
      <c r="E29" s="30">
        <f>E24-E28</f>
        <v>240208.01525301364</v>
      </c>
      <c r="F29" s="30">
        <f t="shared" ref="F29:AC29" si="18">F24-F28</f>
        <v>240208.01525301364</v>
      </c>
      <c r="G29" s="30">
        <f t="shared" si="18"/>
        <v>240208.01525301364</v>
      </c>
      <c r="H29" s="30">
        <f t="shared" si="18"/>
        <v>240208.01525301364</v>
      </c>
      <c r="I29" s="30">
        <f t="shared" si="18"/>
        <v>240208.01525301364</v>
      </c>
      <c r="J29" s="30">
        <f t="shared" si="18"/>
        <v>240208.01525301364</v>
      </c>
      <c r="K29" s="30">
        <f t="shared" si="18"/>
        <v>240208.01525301364</v>
      </c>
      <c r="L29" s="30">
        <f t="shared" si="18"/>
        <v>240208.01525301364</v>
      </c>
      <c r="M29" s="30">
        <f t="shared" si="18"/>
        <v>240208.01525301364</v>
      </c>
      <c r="N29" s="30">
        <f t="shared" si="18"/>
        <v>240208.01525301364</v>
      </c>
      <c r="O29" s="30">
        <f t="shared" si="18"/>
        <v>240208.01525301364</v>
      </c>
      <c r="P29" s="30">
        <f t="shared" si="18"/>
        <v>240208.01525301364</v>
      </c>
      <c r="Q29" s="30">
        <f t="shared" si="18"/>
        <v>240208.01525301364</v>
      </c>
      <c r="R29" s="30">
        <f t="shared" si="18"/>
        <v>240208.01525301364</v>
      </c>
      <c r="S29" s="30">
        <f t="shared" si="18"/>
        <v>240208.01525301364</v>
      </c>
      <c r="T29" s="30">
        <f t="shared" si="18"/>
        <v>240208.01525301364</v>
      </c>
      <c r="U29" s="30">
        <f t="shared" si="18"/>
        <v>240208.01525301364</v>
      </c>
      <c r="V29" s="30">
        <f t="shared" si="18"/>
        <v>240208.01525301364</v>
      </c>
      <c r="W29" s="30">
        <f t="shared" si="18"/>
        <v>240208.01525301364</v>
      </c>
      <c r="X29" s="30">
        <f t="shared" si="18"/>
        <v>240208.01525301364</v>
      </c>
      <c r="Y29" s="30">
        <f t="shared" si="18"/>
        <v>240208.01525301364</v>
      </c>
      <c r="Z29" s="30">
        <f t="shared" si="18"/>
        <v>240208.01525301364</v>
      </c>
      <c r="AA29" s="30">
        <f t="shared" si="18"/>
        <v>240208.01525301364</v>
      </c>
      <c r="AB29" s="30">
        <f t="shared" si="18"/>
        <v>240208.01525301364</v>
      </c>
      <c r="AC29" s="30">
        <f t="shared" si="18"/>
        <v>240208.01525301364</v>
      </c>
      <c r="AT29" s="1">
        <v>53310.43690676085</v>
      </c>
    </row>
    <row r="30" spans="3:46" x14ac:dyDescent="0.35">
      <c r="D30" s="1" t="s">
        <v>211</v>
      </c>
      <c r="E30" s="30">
        <f>'Pensions P2'!$B$18</f>
        <v>10210.587562636147</v>
      </c>
      <c r="F30" s="30">
        <f>'Pensions P2'!$B$18</f>
        <v>10210.587562636147</v>
      </c>
      <c r="G30" s="30">
        <f>'Pensions P2'!$B$18</f>
        <v>10210.587562636147</v>
      </c>
      <c r="H30" s="30">
        <f>'Pensions P2'!$B$18</f>
        <v>10210.587562636147</v>
      </c>
      <c r="I30" s="30">
        <f>'Pensions P2'!$B$18</f>
        <v>10210.587562636147</v>
      </c>
      <c r="J30" s="30">
        <f>'Pensions P2'!$B$18</f>
        <v>10210.587562636147</v>
      </c>
      <c r="K30" s="30">
        <f>'Pensions P2'!$B$18</f>
        <v>10210.587562636147</v>
      </c>
      <c r="L30" s="30">
        <f>'Pensions P2'!$B$18</f>
        <v>10210.587562636147</v>
      </c>
      <c r="M30" s="30">
        <f>'Pensions P2'!$B$18</f>
        <v>10210.587562636147</v>
      </c>
      <c r="N30" s="30">
        <f>'Pensions P2'!$B$18</f>
        <v>10210.587562636147</v>
      </c>
      <c r="O30" s="30">
        <f>'Pensions P2'!$B$18</f>
        <v>10210.587562636147</v>
      </c>
      <c r="P30" s="30">
        <f>'Pensions P2'!$B$18</f>
        <v>10210.587562636147</v>
      </c>
      <c r="Q30" s="30">
        <f>'Pensions P2'!$B$18</f>
        <v>10210.587562636147</v>
      </c>
      <c r="R30" s="30">
        <f>'Pensions P2'!$B$18</f>
        <v>10210.587562636147</v>
      </c>
      <c r="S30" s="30">
        <f>'Pensions P2'!$B$18</f>
        <v>10210.587562636147</v>
      </c>
      <c r="T30" s="30">
        <f>'Pensions P2'!$B$18</f>
        <v>10210.587562636147</v>
      </c>
      <c r="U30" s="30">
        <f>'Pensions P2'!$B$18</f>
        <v>10210.587562636147</v>
      </c>
      <c r="V30" s="30">
        <f>'Pensions P2'!$B$18</f>
        <v>10210.587562636147</v>
      </c>
      <c r="W30" s="30">
        <f>'Pensions P2'!$B$18</f>
        <v>10210.587562636147</v>
      </c>
      <c r="X30" s="30">
        <f>'Pensions P2'!$B$18</f>
        <v>10210.587562636147</v>
      </c>
      <c r="Y30" s="30">
        <f>'Pensions P2'!$B$18</f>
        <v>10210.587562636147</v>
      </c>
      <c r="Z30" s="30">
        <f>'Pensions P2'!$B$18</f>
        <v>10210.587562636147</v>
      </c>
      <c r="AA30" s="30">
        <f>'Pensions P2'!$B$18</f>
        <v>10210.587562636147</v>
      </c>
      <c r="AB30" s="30">
        <f>'Pensions P2'!$B$18</f>
        <v>10210.587562636147</v>
      </c>
      <c r="AC30" s="30">
        <f>'Pensions P2'!$B$18</f>
        <v>10210.587562636147</v>
      </c>
      <c r="AT30" s="1">
        <v>53767.94833596536</v>
      </c>
    </row>
    <row r="31" spans="3:46" x14ac:dyDescent="0.35">
      <c r="D31" s="1" t="s">
        <v>201</v>
      </c>
      <c r="E31" s="30">
        <f>E30+E29</f>
        <v>250418.60281564979</v>
      </c>
      <c r="F31" s="30">
        <f t="shared" ref="F31:AC31" si="19">F30+F29</f>
        <v>250418.60281564979</v>
      </c>
      <c r="G31" s="30">
        <f t="shared" si="19"/>
        <v>250418.60281564979</v>
      </c>
      <c r="H31" s="30">
        <f t="shared" si="19"/>
        <v>250418.60281564979</v>
      </c>
      <c r="I31" s="30">
        <f t="shared" si="19"/>
        <v>250418.60281564979</v>
      </c>
      <c r="J31" s="30">
        <f t="shared" si="19"/>
        <v>250418.60281564979</v>
      </c>
      <c r="K31" s="30">
        <f t="shared" si="19"/>
        <v>250418.60281564979</v>
      </c>
      <c r="L31" s="30">
        <f t="shared" si="19"/>
        <v>250418.60281564979</v>
      </c>
      <c r="M31" s="30">
        <f t="shared" si="19"/>
        <v>250418.60281564979</v>
      </c>
      <c r="N31" s="30">
        <f t="shared" si="19"/>
        <v>250418.60281564979</v>
      </c>
      <c r="O31" s="30">
        <f t="shared" si="19"/>
        <v>250418.60281564979</v>
      </c>
      <c r="P31" s="30">
        <f t="shared" si="19"/>
        <v>250418.60281564979</v>
      </c>
      <c r="Q31" s="30">
        <f t="shared" si="19"/>
        <v>250418.60281564979</v>
      </c>
      <c r="R31" s="30">
        <f t="shared" si="19"/>
        <v>250418.60281564979</v>
      </c>
      <c r="S31" s="30">
        <f t="shared" si="19"/>
        <v>250418.60281564979</v>
      </c>
      <c r="T31" s="30">
        <f t="shared" si="19"/>
        <v>250418.60281564979</v>
      </c>
      <c r="U31" s="30">
        <f t="shared" si="19"/>
        <v>250418.60281564979</v>
      </c>
      <c r="V31" s="30">
        <f t="shared" si="19"/>
        <v>250418.60281564979</v>
      </c>
      <c r="W31" s="30">
        <f t="shared" si="19"/>
        <v>250418.60281564979</v>
      </c>
      <c r="X31" s="30">
        <f t="shared" si="19"/>
        <v>250418.60281564979</v>
      </c>
      <c r="Y31" s="30">
        <f t="shared" si="19"/>
        <v>250418.60281564979</v>
      </c>
      <c r="Z31" s="30">
        <f t="shared" si="19"/>
        <v>250418.60281564979</v>
      </c>
      <c r="AA31" s="30">
        <f t="shared" si="19"/>
        <v>250418.60281564979</v>
      </c>
      <c r="AB31" s="30">
        <f t="shared" si="19"/>
        <v>250418.60281564979</v>
      </c>
      <c r="AC31" s="30">
        <f t="shared" si="19"/>
        <v>250418.60281564979</v>
      </c>
      <c r="AT31" s="1">
        <v>54229.77367632198</v>
      </c>
    </row>
    <row r="32" spans="3:46" x14ac:dyDescent="0.35">
      <c r="D32" s="1" t="s">
        <v>202</v>
      </c>
      <c r="E32" s="30">
        <f>E31/12</f>
        <v>20868.216901304149</v>
      </c>
      <c r="F32" s="30">
        <f t="shared" ref="F32:AC32" si="20">F31/12</f>
        <v>20868.216901304149</v>
      </c>
      <c r="G32" s="30">
        <f t="shared" si="20"/>
        <v>20868.216901304149</v>
      </c>
      <c r="H32" s="30">
        <f t="shared" si="20"/>
        <v>20868.216901304149</v>
      </c>
      <c r="I32" s="30">
        <f t="shared" si="20"/>
        <v>20868.216901304149</v>
      </c>
      <c r="J32" s="30">
        <f t="shared" si="20"/>
        <v>20868.216901304149</v>
      </c>
      <c r="K32" s="30">
        <f t="shared" si="20"/>
        <v>20868.216901304149</v>
      </c>
      <c r="L32" s="30">
        <f t="shared" si="20"/>
        <v>20868.216901304149</v>
      </c>
      <c r="M32" s="30">
        <f t="shared" si="20"/>
        <v>20868.216901304149</v>
      </c>
      <c r="N32" s="30">
        <f t="shared" si="20"/>
        <v>20868.216901304149</v>
      </c>
      <c r="O32" s="30">
        <f t="shared" si="20"/>
        <v>20868.216901304149</v>
      </c>
      <c r="P32" s="30">
        <f t="shared" si="20"/>
        <v>20868.216901304149</v>
      </c>
      <c r="Q32" s="30">
        <f t="shared" si="20"/>
        <v>20868.216901304149</v>
      </c>
      <c r="R32" s="30">
        <f t="shared" si="20"/>
        <v>20868.216901304149</v>
      </c>
      <c r="S32" s="30">
        <f t="shared" si="20"/>
        <v>20868.216901304149</v>
      </c>
      <c r="T32" s="30">
        <f t="shared" si="20"/>
        <v>20868.216901304149</v>
      </c>
      <c r="U32" s="30">
        <f t="shared" si="20"/>
        <v>20868.216901304149</v>
      </c>
      <c r="V32" s="30">
        <f t="shared" si="20"/>
        <v>20868.216901304149</v>
      </c>
      <c r="W32" s="30">
        <f t="shared" si="20"/>
        <v>20868.216901304149</v>
      </c>
      <c r="X32" s="30">
        <f t="shared" si="20"/>
        <v>20868.216901304149</v>
      </c>
      <c r="Y32" s="30">
        <f t="shared" si="20"/>
        <v>20868.216901304149</v>
      </c>
      <c r="Z32" s="30">
        <f t="shared" si="20"/>
        <v>20868.216901304149</v>
      </c>
      <c r="AA32" s="30">
        <f t="shared" si="20"/>
        <v>20868.216901304149</v>
      </c>
      <c r="AB32" s="30">
        <f t="shared" si="20"/>
        <v>20868.216901304149</v>
      </c>
      <c r="AC32" s="30">
        <f t="shared" si="20"/>
        <v>20868.216901304149</v>
      </c>
    </row>
    <row r="33" spans="4:29" x14ac:dyDescent="0.35">
      <c r="D33" s="1" t="s">
        <v>212</v>
      </c>
      <c r="E33" s="30">
        <f>$AH$16</f>
        <v>54229.77367632198</v>
      </c>
      <c r="F33" s="30">
        <f t="shared" ref="F33:AC33" si="21">$AH$16</f>
        <v>54229.77367632198</v>
      </c>
      <c r="G33" s="30">
        <f t="shared" si="21"/>
        <v>54229.77367632198</v>
      </c>
      <c r="H33" s="30">
        <f t="shared" si="21"/>
        <v>54229.77367632198</v>
      </c>
      <c r="I33" s="30">
        <f t="shared" si="21"/>
        <v>54229.77367632198</v>
      </c>
      <c r="J33" s="30">
        <f t="shared" si="21"/>
        <v>54229.77367632198</v>
      </c>
      <c r="K33" s="30">
        <f t="shared" si="21"/>
        <v>54229.77367632198</v>
      </c>
      <c r="L33" s="30">
        <f t="shared" si="21"/>
        <v>54229.77367632198</v>
      </c>
      <c r="M33" s="30">
        <f t="shared" si="21"/>
        <v>54229.77367632198</v>
      </c>
      <c r="N33" s="30">
        <f t="shared" si="21"/>
        <v>54229.77367632198</v>
      </c>
      <c r="O33" s="30">
        <f t="shared" si="21"/>
        <v>54229.77367632198</v>
      </c>
      <c r="P33" s="30">
        <f t="shared" si="21"/>
        <v>54229.77367632198</v>
      </c>
      <c r="Q33" s="30">
        <f t="shared" si="21"/>
        <v>54229.77367632198</v>
      </c>
      <c r="R33" s="30">
        <f t="shared" si="21"/>
        <v>54229.77367632198</v>
      </c>
      <c r="S33" s="30">
        <f t="shared" si="21"/>
        <v>54229.77367632198</v>
      </c>
      <c r="T33" s="30">
        <f t="shared" si="21"/>
        <v>54229.77367632198</v>
      </c>
      <c r="U33" s="30">
        <f t="shared" si="21"/>
        <v>54229.77367632198</v>
      </c>
      <c r="V33" s="30">
        <f t="shared" si="21"/>
        <v>54229.77367632198</v>
      </c>
      <c r="W33" s="30">
        <f t="shared" si="21"/>
        <v>54229.77367632198</v>
      </c>
      <c r="X33" s="30">
        <f t="shared" si="21"/>
        <v>54229.77367632198</v>
      </c>
      <c r="Y33" s="30">
        <f t="shared" si="21"/>
        <v>54229.77367632198</v>
      </c>
      <c r="Z33" s="30">
        <f t="shared" si="21"/>
        <v>54229.77367632198</v>
      </c>
      <c r="AA33" s="30">
        <f t="shared" si="21"/>
        <v>54229.77367632198</v>
      </c>
      <c r="AB33" s="30">
        <f t="shared" si="21"/>
        <v>54229.77367632198</v>
      </c>
      <c r="AC33" s="30">
        <f t="shared" si="21"/>
        <v>54229.77367632198</v>
      </c>
    </row>
    <row r="34" spans="4:29" x14ac:dyDescent="0.35">
      <c r="D34" s="1" t="s">
        <v>213</v>
      </c>
      <c r="E34" s="30">
        <f>E33-E32</f>
        <v>33361.556775017831</v>
      </c>
      <c r="F34" s="30">
        <f t="shared" ref="F34:AC34" si="22">F33-F32</f>
        <v>33361.556775017831</v>
      </c>
      <c r="G34" s="30">
        <f t="shared" si="22"/>
        <v>33361.556775017831</v>
      </c>
      <c r="H34" s="30">
        <f t="shared" si="22"/>
        <v>33361.556775017831</v>
      </c>
      <c r="I34" s="30">
        <f t="shared" si="22"/>
        <v>33361.556775017831</v>
      </c>
      <c r="J34" s="30">
        <f t="shared" si="22"/>
        <v>33361.556775017831</v>
      </c>
      <c r="K34" s="30">
        <f t="shared" si="22"/>
        <v>33361.556775017831</v>
      </c>
      <c r="L34" s="30">
        <f t="shared" si="22"/>
        <v>33361.556775017831</v>
      </c>
      <c r="M34" s="30">
        <f t="shared" si="22"/>
        <v>33361.556775017831</v>
      </c>
      <c r="N34" s="30">
        <f t="shared" si="22"/>
        <v>33361.556775017831</v>
      </c>
      <c r="O34" s="30">
        <f t="shared" si="22"/>
        <v>33361.556775017831</v>
      </c>
      <c r="P34" s="30">
        <f t="shared" si="22"/>
        <v>33361.556775017831</v>
      </c>
      <c r="Q34" s="30">
        <f t="shared" si="22"/>
        <v>33361.556775017831</v>
      </c>
      <c r="R34" s="30">
        <f t="shared" si="22"/>
        <v>33361.556775017831</v>
      </c>
      <c r="S34" s="30">
        <f t="shared" si="22"/>
        <v>33361.556775017831</v>
      </c>
      <c r="T34" s="30">
        <f t="shared" si="22"/>
        <v>33361.556775017831</v>
      </c>
      <c r="U34" s="30">
        <f t="shared" si="22"/>
        <v>33361.556775017831</v>
      </c>
      <c r="V34" s="30">
        <f t="shared" si="22"/>
        <v>33361.556775017831</v>
      </c>
      <c r="W34" s="30">
        <f t="shared" si="22"/>
        <v>33361.556775017831</v>
      </c>
      <c r="X34" s="30">
        <f t="shared" si="22"/>
        <v>33361.556775017831</v>
      </c>
      <c r="Y34" s="30">
        <f t="shared" si="22"/>
        <v>33361.556775017831</v>
      </c>
      <c r="Z34" s="30">
        <f t="shared" si="22"/>
        <v>33361.556775017831</v>
      </c>
      <c r="AA34" s="30">
        <f t="shared" si="22"/>
        <v>33361.556775017831</v>
      </c>
      <c r="AB34" s="30">
        <f t="shared" si="22"/>
        <v>33361.556775017831</v>
      </c>
      <c r="AC34" s="30">
        <f t="shared" si="22"/>
        <v>33361.556775017831</v>
      </c>
    </row>
    <row r="35" spans="4:29" x14ac:dyDescent="0.35">
      <c r="E35" s="30">
        <f>E34*(1+$B$10)</f>
        <v>42369.177104272647</v>
      </c>
      <c r="F35" s="30">
        <f t="shared" ref="F35:AC35" si="23">F34*(1+$B$10)</f>
        <v>42369.177104272647</v>
      </c>
      <c r="G35" s="30">
        <f t="shared" si="23"/>
        <v>42369.177104272647</v>
      </c>
      <c r="H35" s="30">
        <f t="shared" si="23"/>
        <v>42369.177104272647</v>
      </c>
      <c r="I35" s="30">
        <f t="shared" si="23"/>
        <v>42369.177104272647</v>
      </c>
      <c r="J35" s="30">
        <f t="shared" si="23"/>
        <v>42369.177104272647</v>
      </c>
      <c r="K35" s="30">
        <f t="shared" si="23"/>
        <v>42369.177104272647</v>
      </c>
      <c r="L35" s="30">
        <f t="shared" si="23"/>
        <v>42369.177104272647</v>
      </c>
      <c r="M35" s="30">
        <f t="shared" si="23"/>
        <v>42369.177104272647</v>
      </c>
      <c r="N35" s="30">
        <f t="shared" si="23"/>
        <v>42369.177104272647</v>
      </c>
      <c r="O35" s="30">
        <f t="shared" si="23"/>
        <v>42369.177104272647</v>
      </c>
      <c r="P35" s="30">
        <f t="shared" si="23"/>
        <v>42369.177104272647</v>
      </c>
      <c r="Q35" s="30">
        <f t="shared" si="23"/>
        <v>42369.177104272647</v>
      </c>
      <c r="R35" s="30">
        <f t="shared" si="23"/>
        <v>42369.177104272647</v>
      </c>
      <c r="S35" s="30">
        <f t="shared" si="23"/>
        <v>42369.177104272647</v>
      </c>
      <c r="T35" s="30">
        <f t="shared" si="23"/>
        <v>42369.177104272647</v>
      </c>
      <c r="U35" s="30">
        <f t="shared" si="23"/>
        <v>42369.177104272647</v>
      </c>
      <c r="V35" s="30">
        <f t="shared" si="23"/>
        <v>42369.177104272647</v>
      </c>
      <c r="W35" s="30">
        <f t="shared" si="23"/>
        <v>42369.177104272647</v>
      </c>
      <c r="X35" s="30">
        <f t="shared" si="23"/>
        <v>42369.177104272647</v>
      </c>
      <c r="Y35" s="30">
        <f t="shared" si="23"/>
        <v>42369.177104272647</v>
      </c>
      <c r="Z35" s="30">
        <f t="shared" si="23"/>
        <v>42369.177104272647</v>
      </c>
      <c r="AA35" s="30">
        <f t="shared" si="23"/>
        <v>42369.177104272647</v>
      </c>
      <c r="AB35" s="30">
        <f t="shared" si="23"/>
        <v>42369.177104272647</v>
      </c>
      <c r="AC35" s="30">
        <f t="shared" si="23"/>
        <v>42369.177104272647</v>
      </c>
    </row>
    <row r="38" spans="4:29" x14ac:dyDescent="0.35">
      <c r="D38" s="1" t="s">
        <v>214</v>
      </c>
      <c r="E38" s="31">
        <f>SUM(E35:AC35)</f>
        <v>1059229.4276068162</v>
      </c>
    </row>
    <row r="39" spans="4:29" x14ac:dyDescent="0.35">
      <c r="E39"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T29"/>
  <sheetViews>
    <sheetView zoomScale="58" workbookViewId="0">
      <selection activeCell="B28" sqref="B28"/>
    </sheetView>
  </sheetViews>
  <sheetFormatPr defaultColWidth="9.1796875" defaultRowHeight="14.5" x14ac:dyDescent="0.35"/>
  <cols>
    <col min="1" max="1" width="30" style="1" bestFit="1" customWidth="1"/>
    <col min="2" max="2" width="13.26953125" style="1" bestFit="1" customWidth="1"/>
    <col min="3" max="3" width="16.81640625" style="1" bestFit="1" customWidth="1"/>
    <col min="4" max="46" width="12" style="1" bestFit="1" customWidth="1"/>
    <col min="47"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35">
      <c r="A2" s="1" t="s">
        <v>178</v>
      </c>
      <c r="B2" s="32" cm="1">
        <f t="array" ref="B2:AT2">TRANSPOSE(Income!N3:N47)</f>
        <v>42156.862745098042</v>
      </c>
      <c r="C2" s="32">
        <v>42578.431372549021</v>
      </c>
      <c r="D2" s="32">
        <v>44707.352941176468</v>
      </c>
      <c r="E2" s="32">
        <v>45154.426470588231</v>
      </c>
      <c r="F2" s="32">
        <v>45605.970735294111</v>
      </c>
      <c r="G2" s="32">
        <v>46062.030442647054</v>
      </c>
      <c r="H2" s="32">
        <v>48365.131964779408</v>
      </c>
      <c r="I2" s="32">
        <v>48848.783284427205</v>
      </c>
      <c r="J2" s="32">
        <v>49337.271117271477</v>
      </c>
      <c r="K2" s="32">
        <v>49830.64382844419</v>
      </c>
      <c r="L2" s="32">
        <v>52322.176019866405</v>
      </c>
      <c r="M2" s="32">
        <v>52845.397780065068</v>
      </c>
      <c r="N2" s="32">
        <v>53373.851757865719</v>
      </c>
      <c r="O2" s="32">
        <v>53907.590275444374</v>
      </c>
      <c r="P2" s="32">
        <v>56602.969789216586</v>
      </c>
      <c r="Q2" s="32">
        <v>57168.999487108755</v>
      </c>
      <c r="R2" s="32">
        <v>57740.68948197984</v>
      </c>
      <c r="S2" s="32">
        <v>58318.096376799636</v>
      </c>
      <c r="T2" s="32">
        <v>61234.001195639619</v>
      </c>
      <c r="U2" s="32">
        <v>61846.341207596015</v>
      </c>
      <c r="V2" s="32">
        <v>62464.804619671973</v>
      </c>
      <c r="W2" s="32">
        <v>63089.452665868695</v>
      </c>
      <c r="X2" s="32">
        <v>66243.925299162132</v>
      </c>
      <c r="Y2" s="32">
        <v>66906.364552153755</v>
      </c>
      <c r="Z2" s="32">
        <v>67575.428197675297</v>
      </c>
      <c r="AA2" s="32">
        <v>68251.182479652052</v>
      </c>
      <c r="AB2" s="32">
        <v>68933.694304448567</v>
      </c>
      <c r="AC2" s="32">
        <v>69623.031247493054</v>
      </c>
      <c r="AD2" s="32">
        <v>70319.261559967985</v>
      </c>
      <c r="AE2" s="32">
        <v>71022.454175567662</v>
      </c>
      <c r="AF2" s="32">
        <v>71732.678717323346</v>
      </c>
      <c r="AG2" s="32">
        <v>72450.005504496585</v>
      </c>
      <c r="AH2" s="32">
        <v>73174.505559541547</v>
      </c>
      <c r="AI2" s="32">
        <v>73906.25061513696</v>
      </c>
      <c r="AJ2" s="32">
        <v>74645.313121288331</v>
      </c>
      <c r="AK2" s="32">
        <v>78377.578777352741</v>
      </c>
      <c r="AL2" s="32">
        <v>79161.354565126268</v>
      </c>
      <c r="AM2" s="32">
        <v>79952.968110777525</v>
      </c>
      <c r="AN2" s="32">
        <v>80752.497791885296</v>
      </c>
      <c r="AO2" s="32">
        <v>81560.022769804156</v>
      </c>
      <c r="AP2" s="32">
        <v>82375.6229975022</v>
      </c>
      <c r="AQ2" s="32">
        <v>83199.379227477228</v>
      </c>
      <c r="AR2" s="32">
        <v>84031.373019752005</v>
      </c>
      <c r="AS2" s="32">
        <v>84871.686749949527</v>
      </c>
      <c r="AT2" s="32">
        <v>85720.403617449017</v>
      </c>
    </row>
    <row r="3" spans="1:46" x14ac:dyDescent="0.3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35">
      <c r="A4" s="1" t="s">
        <v>179</v>
      </c>
      <c r="B4" s="32">
        <f>B3*B2</f>
        <v>2107.8431372549021</v>
      </c>
      <c r="C4" s="32">
        <f t="shared" ref="C4:AT4" si="0">C3*C2</f>
        <v>2128.9215686274511</v>
      </c>
      <c r="D4" s="32">
        <f t="shared" si="0"/>
        <v>2235.3676470588234</v>
      </c>
      <c r="E4" s="32">
        <f t="shared" si="0"/>
        <v>2257.7213235294116</v>
      </c>
      <c r="F4" s="32">
        <f t="shared" si="0"/>
        <v>2280.2985367647057</v>
      </c>
      <c r="G4" s="32">
        <f t="shared" si="0"/>
        <v>2303.1015221323528</v>
      </c>
      <c r="H4" s="32">
        <f t="shared" si="0"/>
        <v>2418.2565982389706</v>
      </c>
      <c r="I4" s="32">
        <f t="shared" si="0"/>
        <v>2442.4391642213604</v>
      </c>
      <c r="J4" s="32">
        <f t="shared" si="0"/>
        <v>2466.8635558635742</v>
      </c>
      <c r="K4" s="32">
        <f t="shared" si="0"/>
        <v>2491.5321914222095</v>
      </c>
      <c r="L4" s="32">
        <f t="shared" si="0"/>
        <v>2616.1088009933205</v>
      </c>
      <c r="M4" s="32">
        <f t="shared" si="0"/>
        <v>2642.2698890032534</v>
      </c>
      <c r="N4" s="32">
        <f t="shared" si="0"/>
        <v>2668.6925878932861</v>
      </c>
      <c r="O4" s="32">
        <f t="shared" si="0"/>
        <v>2695.3795137722191</v>
      </c>
      <c r="P4" s="32">
        <f t="shared" si="0"/>
        <v>2830.1484894608293</v>
      </c>
      <c r="Q4" s="32">
        <f t="shared" si="0"/>
        <v>2858.4499743554379</v>
      </c>
      <c r="R4" s="32">
        <f t="shared" si="0"/>
        <v>2887.0344740989922</v>
      </c>
      <c r="S4" s="32">
        <f t="shared" si="0"/>
        <v>2915.904818839982</v>
      </c>
      <c r="T4" s="32">
        <f t="shared" si="0"/>
        <v>3061.7000597819811</v>
      </c>
      <c r="U4" s="32">
        <f t="shared" si="0"/>
        <v>3092.3170603798008</v>
      </c>
      <c r="V4" s="32">
        <f t="shared" si="0"/>
        <v>3123.2402309835988</v>
      </c>
      <c r="W4" s="32">
        <f t="shared" si="0"/>
        <v>3154.4726332934351</v>
      </c>
      <c r="X4" s="32">
        <f t="shared" si="0"/>
        <v>3312.1962649581069</v>
      </c>
      <c r="Y4" s="32">
        <f t="shared" si="0"/>
        <v>3345.3182276076877</v>
      </c>
      <c r="Z4" s="32">
        <f t="shared" si="0"/>
        <v>3378.771409883765</v>
      </c>
      <c r="AA4" s="32">
        <f t="shared" si="0"/>
        <v>3412.5591239826026</v>
      </c>
      <c r="AB4" s="32">
        <f t="shared" si="0"/>
        <v>3446.6847152224286</v>
      </c>
      <c r="AC4" s="32">
        <f t="shared" si="0"/>
        <v>3481.1515623746527</v>
      </c>
      <c r="AD4" s="32">
        <f t="shared" si="0"/>
        <v>3515.9630779983995</v>
      </c>
      <c r="AE4" s="32">
        <f t="shared" si="0"/>
        <v>3551.1227087783832</v>
      </c>
      <c r="AF4" s="32">
        <f t="shared" si="0"/>
        <v>3586.6339358661676</v>
      </c>
      <c r="AG4" s="32">
        <f t="shared" si="0"/>
        <v>3622.5002752248292</v>
      </c>
      <c r="AH4" s="32">
        <f t="shared" si="0"/>
        <v>3658.7252779770774</v>
      </c>
      <c r="AI4" s="32">
        <f t="shared" si="0"/>
        <v>3695.312530756848</v>
      </c>
      <c r="AJ4" s="32">
        <f t="shared" si="0"/>
        <v>3732.2656560644168</v>
      </c>
      <c r="AK4" s="32">
        <f t="shared" si="0"/>
        <v>3918.8789388676373</v>
      </c>
      <c r="AL4" s="32">
        <f t="shared" si="0"/>
        <v>3958.0677282563138</v>
      </c>
      <c r="AM4" s="32">
        <f t="shared" si="0"/>
        <v>3997.6484055388764</v>
      </c>
      <c r="AN4" s="32">
        <f t="shared" si="0"/>
        <v>4037.6248895942649</v>
      </c>
      <c r="AO4" s="32">
        <f t="shared" si="0"/>
        <v>4078.0011384902082</v>
      </c>
      <c r="AP4" s="32">
        <f t="shared" si="0"/>
        <v>4118.7811498751098</v>
      </c>
      <c r="AQ4" s="32">
        <f t="shared" si="0"/>
        <v>4159.9689613738619</v>
      </c>
      <c r="AR4" s="32">
        <f t="shared" si="0"/>
        <v>4201.5686509876004</v>
      </c>
      <c r="AS4" s="32">
        <f t="shared" si="0"/>
        <v>4243.5843374974766</v>
      </c>
      <c r="AT4" s="32">
        <f t="shared" si="0"/>
        <v>4286.0201808724514</v>
      </c>
    </row>
    <row r="5" spans="1:46" x14ac:dyDescent="0.3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35">
      <c r="A6" s="1" t="s">
        <v>181</v>
      </c>
      <c r="B6" s="32">
        <f>B2*B5</f>
        <v>4215.6862745098042</v>
      </c>
      <c r="C6" s="32">
        <f t="shared" ref="C6:AT6" si="1">C4*2</f>
        <v>4257.8431372549021</v>
      </c>
      <c r="D6" s="32">
        <f t="shared" si="1"/>
        <v>4470.7352941176468</v>
      </c>
      <c r="E6" s="32">
        <f t="shared" si="1"/>
        <v>4515.4426470588232</v>
      </c>
      <c r="F6" s="32">
        <f t="shared" si="1"/>
        <v>4560.5970735294113</v>
      </c>
      <c r="G6" s="32">
        <f t="shared" si="1"/>
        <v>4606.2030442647056</v>
      </c>
      <c r="H6" s="32">
        <f t="shared" si="1"/>
        <v>4836.5131964779412</v>
      </c>
      <c r="I6" s="32">
        <f t="shared" si="1"/>
        <v>4884.8783284427209</v>
      </c>
      <c r="J6" s="32">
        <f t="shared" si="1"/>
        <v>4933.7271117271484</v>
      </c>
      <c r="K6" s="32">
        <f t="shared" si="1"/>
        <v>4983.064382844419</v>
      </c>
      <c r="L6" s="32">
        <f t="shared" si="1"/>
        <v>5232.2176019866411</v>
      </c>
      <c r="M6" s="32">
        <f t="shared" si="1"/>
        <v>5284.5397780065068</v>
      </c>
      <c r="N6" s="32">
        <f t="shared" si="1"/>
        <v>5337.3851757865723</v>
      </c>
      <c r="O6" s="32">
        <f t="shared" si="1"/>
        <v>5390.7590275444381</v>
      </c>
      <c r="P6" s="32">
        <f t="shared" si="1"/>
        <v>5660.2969789216586</v>
      </c>
      <c r="Q6" s="32">
        <f t="shared" si="1"/>
        <v>5716.8999487108758</v>
      </c>
      <c r="R6" s="32">
        <f t="shared" si="1"/>
        <v>5774.0689481979844</v>
      </c>
      <c r="S6" s="32">
        <f t="shared" si="1"/>
        <v>5831.809637679964</v>
      </c>
      <c r="T6" s="32">
        <f t="shared" si="1"/>
        <v>6123.4001195639621</v>
      </c>
      <c r="U6" s="32">
        <f t="shared" si="1"/>
        <v>6184.6341207596015</v>
      </c>
      <c r="V6" s="32">
        <f t="shared" si="1"/>
        <v>6246.4804619671977</v>
      </c>
      <c r="W6" s="32">
        <f t="shared" si="1"/>
        <v>6308.9452665868703</v>
      </c>
      <c r="X6" s="32">
        <f t="shared" si="1"/>
        <v>6624.3925299162138</v>
      </c>
      <c r="Y6" s="32">
        <f t="shared" si="1"/>
        <v>6690.6364552153755</v>
      </c>
      <c r="Z6" s="32">
        <f t="shared" si="1"/>
        <v>6757.5428197675301</v>
      </c>
      <c r="AA6" s="32">
        <f t="shared" si="1"/>
        <v>6825.1182479652052</v>
      </c>
      <c r="AB6" s="32">
        <f t="shared" si="1"/>
        <v>6893.3694304448572</v>
      </c>
      <c r="AC6" s="32">
        <f t="shared" si="1"/>
        <v>6962.3031247493054</v>
      </c>
      <c r="AD6" s="32">
        <f t="shared" si="1"/>
        <v>7031.926155996799</v>
      </c>
      <c r="AE6" s="32">
        <f t="shared" si="1"/>
        <v>7102.2454175567664</v>
      </c>
      <c r="AF6" s="32">
        <f t="shared" si="1"/>
        <v>7173.2678717323352</v>
      </c>
      <c r="AG6" s="32">
        <f t="shared" si="1"/>
        <v>7245.0005504496585</v>
      </c>
      <c r="AH6" s="32">
        <f t="shared" si="1"/>
        <v>7317.4505559541549</v>
      </c>
      <c r="AI6" s="32">
        <f t="shared" si="1"/>
        <v>7390.625061513696</v>
      </c>
      <c r="AJ6" s="32">
        <f t="shared" si="1"/>
        <v>7464.5313121288336</v>
      </c>
      <c r="AK6" s="32">
        <f t="shared" si="1"/>
        <v>7837.7578777352746</v>
      </c>
      <c r="AL6" s="32">
        <f t="shared" si="1"/>
        <v>7916.1354565126276</v>
      </c>
      <c r="AM6" s="32">
        <f t="shared" si="1"/>
        <v>7995.2968110777529</v>
      </c>
      <c r="AN6" s="32">
        <f t="shared" si="1"/>
        <v>8075.2497791885298</v>
      </c>
      <c r="AO6" s="32">
        <f t="shared" si="1"/>
        <v>8156.0022769804164</v>
      </c>
      <c r="AP6" s="32">
        <f t="shared" si="1"/>
        <v>8237.5622997502196</v>
      </c>
      <c r="AQ6" s="32">
        <f t="shared" si="1"/>
        <v>8319.9379227477239</v>
      </c>
      <c r="AR6" s="32">
        <f t="shared" si="1"/>
        <v>8403.1373019752009</v>
      </c>
      <c r="AS6" s="32">
        <f t="shared" si="1"/>
        <v>8487.1686749949531</v>
      </c>
      <c r="AT6" s="32">
        <f t="shared" si="1"/>
        <v>8572.0403617449028</v>
      </c>
    </row>
    <row r="7" spans="1:46" x14ac:dyDescent="0.35">
      <c r="A7" s="1" t="s">
        <v>182</v>
      </c>
      <c r="B7" s="33">
        <f>SUM(B6,B4)</f>
        <v>6323.5294117647063</v>
      </c>
      <c r="C7" s="33">
        <f t="shared" ref="C7:AT7" si="2">SUM(C6,C4)</f>
        <v>6386.7647058823532</v>
      </c>
      <c r="D7" s="33">
        <f t="shared" si="2"/>
        <v>6706.1029411764703</v>
      </c>
      <c r="E7" s="33">
        <f t="shared" si="2"/>
        <v>6773.1639705882353</v>
      </c>
      <c r="F7" s="33">
        <f t="shared" si="2"/>
        <v>6840.8956102941174</v>
      </c>
      <c r="G7" s="33">
        <f t="shared" si="2"/>
        <v>6909.3045663970588</v>
      </c>
      <c r="H7" s="33">
        <f t="shared" si="2"/>
        <v>7254.7697947169117</v>
      </c>
      <c r="I7" s="33">
        <f t="shared" si="2"/>
        <v>7327.3174926640813</v>
      </c>
      <c r="J7" s="33">
        <f t="shared" si="2"/>
        <v>7400.5906675907227</v>
      </c>
      <c r="K7" s="33">
        <f t="shared" si="2"/>
        <v>7474.5965742666285</v>
      </c>
      <c r="L7" s="33">
        <f t="shared" si="2"/>
        <v>7848.3264029799611</v>
      </c>
      <c r="M7" s="33">
        <f t="shared" si="2"/>
        <v>7926.8096670097602</v>
      </c>
      <c r="N7" s="33">
        <f t="shared" si="2"/>
        <v>8006.0777636798584</v>
      </c>
      <c r="O7" s="33">
        <f t="shared" si="2"/>
        <v>8086.1385413166572</v>
      </c>
      <c r="P7" s="33">
        <f t="shared" si="2"/>
        <v>8490.4454683824879</v>
      </c>
      <c r="Q7" s="33">
        <f t="shared" si="2"/>
        <v>8575.3499230663147</v>
      </c>
      <c r="R7" s="33">
        <f t="shared" si="2"/>
        <v>8661.1034222969756</v>
      </c>
      <c r="S7" s="33">
        <f t="shared" si="2"/>
        <v>8747.7144565199451</v>
      </c>
      <c r="T7" s="33">
        <f t="shared" si="2"/>
        <v>9185.1001793459436</v>
      </c>
      <c r="U7" s="33">
        <f t="shared" si="2"/>
        <v>9276.9511811394023</v>
      </c>
      <c r="V7" s="33">
        <f t="shared" si="2"/>
        <v>9369.7206929507956</v>
      </c>
      <c r="W7" s="33">
        <f t="shared" si="2"/>
        <v>9463.4178998803054</v>
      </c>
      <c r="X7" s="33">
        <f t="shared" si="2"/>
        <v>9936.5887948743202</v>
      </c>
      <c r="Y7" s="33">
        <f t="shared" si="2"/>
        <v>10035.954682823063</v>
      </c>
      <c r="Z7" s="33">
        <f t="shared" si="2"/>
        <v>10136.314229651296</v>
      </c>
      <c r="AA7" s="33">
        <f t="shared" si="2"/>
        <v>10237.677371947808</v>
      </c>
      <c r="AB7" s="33">
        <f t="shared" si="2"/>
        <v>10340.054145667285</v>
      </c>
      <c r="AC7" s="33">
        <f t="shared" si="2"/>
        <v>10443.454687123958</v>
      </c>
      <c r="AD7" s="33">
        <f t="shared" si="2"/>
        <v>10547.889233995198</v>
      </c>
      <c r="AE7" s="33">
        <f t="shared" si="2"/>
        <v>10653.36812633515</v>
      </c>
      <c r="AF7" s="33">
        <f t="shared" si="2"/>
        <v>10759.901807598502</v>
      </c>
      <c r="AG7" s="33">
        <f t="shared" si="2"/>
        <v>10867.500825674488</v>
      </c>
      <c r="AH7" s="33">
        <f t="shared" si="2"/>
        <v>10976.175833931233</v>
      </c>
      <c r="AI7" s="33">
        <f t="shared" si="2"/>
        <v>11085.937592270544</v>
      </c>
      <c r="AJ7" s="33">
        <f t="shared" si="2"/>
        <v>11196.79696819325</v>
      </c>
      <c r="AK7" s="33">
        <f t="shared" si="2"/>
        <v>11756.636816602911</v>
      </c>
      <c r="AL7" s="33">
        <f t="shared" si="2"/>
        <v>11874.203184768941</v>
      </c>
      <c r="AM7" s="33">
        <f t="shared" si="2"/>
        <v>11992.94521661663</v>
      </c>
      <c r="AN7" s="33">
        <f t="shared" si="2"/>
        <v>12112.874668782795</v>
      </c>
      <c r="AO7" s="33">
        <f t="shared" si="2"/>
        <v>12234.003415470625</v>
      </c>
      <c r="AP7" s="33">
        <f t="shared" si="2"/>
        <v>12356.343449625329</v>
      </c>
      <c r="AQ7" s="33">
        <f t="shared" si="2"/>
        <v>12479.906884121585</v>
      </c>
      <c r="AR7" s="33">
        <f t="shared" si="2"/>
        <v>12604.705952962802</v>
      </c>
      <c r="AS7" s="33">
        <f t="shared" si="2"/>
        <v>12730.753012492431</v>
      </c>
      <c r="AT7" s="33">
        <f t="shared" si="2"/>
        <v>12858.060542617353</v>
      </c>
    </row>
    <row r="8" spans="1:46" x14ac:dyDescent="0.35">
      <c r="A8" s="1" t="s">
        <v>183</v>
      </c>
      <c r="B8" s="32">
        <f>B7*12</f>
        <v>75882.352941176476</v>
      </c>
      <c r="C8" s="32">
        <f t="shared" ref="C8:AT8" si="3">C7*12</f>
        <v>76641.176470588238</v>
      </c>
      <c r="D8" s="32">
        <f t="shared" si="3"/>
        <v>80473.23529411765</v>
      </c>
      <c r="E8" s="32">
        <f t="shared" si="3"/>
        <v>81277.967647058831</v>
      </c>
      <c r="F8" s="32">
        <f t="shared" si="3"/>
        <v>82090.747323529416</v>
      </c>
      <c r="G8" s="32">
        <f t="shared" si="3"/>
        <v>82911.654796764706</v>
      </c>
      <c r="H8" s="32">
        <f t="shared" si="3"/>
        <v>87057.237536602945</v>
      </c>
      <c r="I8" s="32">
        <f t="shared" si="3"/>
        <v>87927.809911968972</v>
      </c>
      <c r="J8" s="32">
        <f t="shared" si="3"/>
        <v>88807.088011088665</v>
      </c>
      <c r="K8" s="32">
        <f t="shared" si="3"/>
        <v>89695.158891199535</v>
      </c>
      <c r="L8" s="32">
        <f t="shared" si="3"/>
        <v>94179.916835759534</v>
      </c>
      <c r="M8" s="32">
        <f t="shared" si="3"/>
        <v>95121.71600411713</v>
      </c>
      <c r="N8" s="32">
        <f t="shared" si="3"/>
        <v>96072.933164158298</v>
      </c>
      <c r="O8" s="32">
        <f t="shared" si="3"/>
        <v>97033.662495799887</v>
      </c>
      <c r="P8" s="32">
        <f t="shared" si="3"/>
        <v>101885.34562058985</v>
      </c>
      <c r="Q8" s="32">
        <f t="shared" si="3"/>
        <v>102904.19907679578</v>
      </c>
      <c r="R8" s="32">
        <f t="shared" si="3"/>
        <v>103933.24106756371</v>
      </c>
      <c r="S8" s="32">
        <f t="shared" si="3"/>
        <v>104972.57347823934</v>
      </c>
      <c r="T8" s="32">
        <f t="shared" si="3"/>
        <v>110221.20215215132</v>
      </c>
      <c r="U8" s="32">
        <f t="shared" si="3"/>
        <v>111323.41417367282</v>
      </c>
      <c r="V8" s="32">
        <f t="shared" si="3"/>
        <v>112436.64831540955</v>
      </c>
      <c r="W8" s="32">
        <f t="shared" si="3"/>
        <v>113561.01479856367</v>
      </c>
      <c r="X8" s="32">
        <f t="shared" si="3"/>
        <v>119239.06553849185</v>
      </c>
      <c r="Y8" s="32">
        <f t="shared" si="3"/>
        <v>120431.45619387676</v>
      </c>
      <c r="Z8" s="32">
        <f t="shared" si="3"/>
        <v>121635.77075581555</v>
      </c>
      <c r="AA8" s="32">
        <f t="shared" si="3"/>
        <v>122852.12846337369</v>
      </c>
      <c r="AB8" s="32">
        <f t="shared" si="3"/>
        <v>124080.64974800742</v>
      </c>
      <c r="AC8" s="32">
        <f t="shared" si="3"/>
        <v>125321.4562454875</v>
      </c>
      <c r="AD8" s="32">
        <f t="shared" si="3"/>
        <v>126574.67080794237</v>
      </c>
      <c r="AE8" s="32">
        <f t="shared" si="3"/>
        <v>127840.4175160218</v>
      </c>
      <c r="AF8" s="32">
        <f t="shared" si="3"/>
        <v>129118.82169118203</v>
      </c>
      <c r="AG8" s="32">
        <f t="shared" si="3"/>
        <v>130410.00990809385</v>
      </c>
      <c r="AH8" s="32">
        <f t="shared" si="3"/>
        <v>131714.11000717478</v>
      </c>
      <c r="AI8" s="32">
        <f t="shared" si="3"/>
        <v>133031.25110724653</v>
      </c>
      <c r="AJ8" s="32">
        <f t="shared" si="3"/>
        <v>134361.56361831899</v>
      </c>
      <c r="AK8" s="32">
        <f t="shared" si="3"/>
        <v>141079.64179923493</v>
      </c>
      <c r="AL8" s="32">
        <f t="shared" si="3"/>
        <v>142490.43821722729</v>
      </c>
      <c r="AM8" s="32">
        <f t="shared" si="3"/>
        <v>143915.34259939956</v>
      </c>
      <c r="AN8" s="32">
        <f t="shared" si="3"/>
        <v>145354.49602539354</v>
      </c>
      <c r="AO8" s="32">
        <f t="shared" si="3"/>
        <v>146808.0409856475</v>
      </c>
      <c r="AP8" s="32">
        <f t="shared" si="3"/>
        <v>148276.12139550393</v>
      </c>
      <c r="AQ8" s="32">
        <f t="shared" si="3"/>
        <v>149758.88260945902</v>
      </c>
      <c r="AR8" s="32">
        <f t="shared" si="3"/>
        <v>151256.47143555363</v>
      </c>
      <c r="AS8" s="32">
        <f t="shared" si="3"/>
        <v>152769.03614990917</v>
      </c>
      <c r="AT8" s="32">
        <f t="shared" si="3"/>
        <v>154296.72651140823</v>
      </c>
    </row>
    <row r="12" spans="1:46" x14ac:dyDescent="0.35">
      <c r="A12" s="1" t="s">
        <v>187</v>
      </c>
      <c r="B12" s="32">
        <f>SUM(B8:AT8)</f>
        <v>5199026.8653366864</v>
      </c>
    </row>
    <row r="13" spans="1:46" x14ac:dyDescent="0.35">
      <c r="A13" s="1" t="s">
        <v>186</v>
      </c>
      <c r="B13" s="32">
        <f>B12/25</f>
        <v>207961.07461346744</v>
      </c>
      <c r="C13" s="1" t="s">
        <v>184</v>
      </c>
    </row>
    <row r="14" spans="1:46" x14ac:dyDescent="0.35">
      <c r="A14" s="1" t="s">
        <v>185</v>
      </c>
      <c r="B14" s="34">
        <f>B13/12</f>
        <v>17330.089551122288</v>
      </c>
      <c r="C14" s="1" t="s">
        <v>188</v>
      </c>
    </row>
    <row r="15" spans="1:46" x14ac:dyDescent="0.35">
      <c r="A15" s="1" t="s">
        <v>204</v>
      </c>
      <c r="B15" s="1" t="s">
        <v>206</v>
      </c>
      <c r="C15" s="1" t="s">
        <v>207</v>
      </c>
    </row>
    <row r="17" spans="1:26" x14ac:dyDescent="0.35">
      <c r="A17" s="1" t="s">
        <v>198</v>
      </c>
      <c r="B17" s="33">
        <f>SUM('Net Salary P1'!E14:AW14)</f>
        <v>277207.50282033253</v>
      </c>
      <c r="C17" s="18" t="s">
        <v>216</v>
      </c>
    </row>
    <row r="18" spans="1:26" x14ac:dyDescent="0.35">
      <c r="A18" s="1" t="s">
        <v>186</v>
      </c>
      <c r="B18" s="32">
        <f>B17/25</f>
        <v>11088.300112813302</v>
      </c>
    </row>
    <row r="19" spans="1:26" x14ac:dyDescent="0.35">
      <c r="A19" s="1" t="s">
        <v>185</v>
      </c>
      <c r="B19" s="32">
        <f>B18/12</f>
        <v>924.02500940110849</v>
      </c>
    </row>
    <row r="20" spans="1:26" x14ac:dyDescent="0.35">
      <c r="A20" s="1" t="s">
        <v>204</v>
      </c>
      <c r="B20" s="1" t="s">
        <v>205</v>
      </c>
    </row>
    <row r="22" spans="1:26" x14ac:dyDescent="0.35">
      <c r="A22" s="1" t="s">
        <v>203</v>
      </c>
      <c r="B22" s="34">
        <v>15527</v>
      </c>
    </row>
    <row r="23" spans="1:26" x14ac:dyDescent="0.35">
      <c r="A23" s="1" t="s">
        <v>208</v>
      </c>
      <c r="B23" s="32">
        <f>B22*12</f>
        <v>186324</v>
      </c>
    </row>
    <row r="24" spans="1:26" x14ac:dyDescent="0.35">
      <c r="A24" s="1" t="s">
        <v>204</v>
      </c>
      <c r="B24" s="1" t="s">
        <v>206</v>
      </c>
    </row>
    <row r="25" spans="1:26" x14ac:dyDescent="0.35">
      <c r="A25" s="1" t="s">
        <v>64</v>
      </c>
      <c r="B25" s="17">
        <f>'Salary Variables'!C2</f>
        <v>0.02</v>
      </c>
    </row>
    <row r="27" spans="1:26" x14ac:dyDescent="0.3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35">
      <c r="B28" s="30"/>
    </row>
    <row r="29" spans="1:26" x14ac:dyDescent="0.35">
      <c r="B29" s="3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topLeftCell="A30" zoomScale="58" workbookViewId="0">
      <selection activeCell="E38" sqref="E38"/>
    </sheetView>
  </sheetViews>
  <sheetFormatPr defaultColWidth="9.1796875" defaultRowHeight="14.5" x14ac:dyDescent="0.35"/>
  <cols>
    <col min="1" max="1" width="30.7265625" style="1" bestFit="1" customWidth="1"/>
    <col min="2" max="2" width="13.26953125" style="1" bestFit="1" customWidth="1"/>
    <col min="3" max="3" width="9.1796875" style="1"/>
    <col min="4" max="4" width="32.7265625" style="1" bestFit="1" customWidth="1"/>
    <col min="5" max="5" width="31.7265625" style="1" bestFit="1" customWidth="1"/>
    <col min="6" max="7" width="11.54296875" style="1" bestFit="1" customWidth="1"/>
    <col min="8" max="49" width="19" style="1" bestFit="1" customWidth="1"/>
    <col min="50" max="59" width="9.1796875" style="1"/>
    <col min="60" max="60" width="38.81640625" style="1" bestFit="1" customWidth="1"/>
    <col min="61" max="16384" width="9.1796875" style="1"/>
  </cols>
  <sheetData>
    <row r="1" spans="1:61" x14ac:dyDescent="0.3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35">
      <c r="A2" s="1" t="s">
        <v>199</v>
      </c>
      <c r="B2" s="32">
        <f>'Salary Variables'!$C$14</f>
        <v>9400</v>
      </c>
      <c r="D2" s="1" t="s">
        <v>200</v>
      </c>
      <c r="E2" s="33" cm="1">
        <f t="array" ref="E2:AW2">TRANSPOSE(Income!N3:N47)</f>
        <v>42156.862745098042</v>
      </c>
      <c r="F2" s="33">
        <v>42578.431372549021</v>
      </c>
      <c r="G2" s="33">
        <v>44707.352941176468</v>
      </c>
      <c r="H2" s="33">
        <v>45154.426470588231</v>
      </c>
      <c r="I2" s="33">
        <v>45605.970735294111</v>
      </c>
      <c r="J2" s="33">
        <v>46062.030442647054</v>
      </c>
      <c r="K2" s="33">
        <v>48365.131964779408</v>
      </c>
      <c r="L2" s="33">
        <v>48848.783284427205</v>
      </c>
      <c r="M2" s="33">
        <v>49337.271117271477</v>
      </c>
      <c r="N2" s="33">
        <v>49830.64382844419</v>
      </c>
      <c r="O2" s="33">
        <v>52322.176019866405</v>
      </c>
      <c r="P2" s="33">
        <v>52845.397780065068</v>
      </c>
      <c r="Q2" s="33">
        <v>53373.851757865719</v>
      </c>
      <c r="R2" s="33">
        <v>53907.590275444374</v>
      </c>
      <c r="S2" s="33">
        <v>56602.969789216586</v>
      </c>
      <c r="T2" s="33">
        <v>57168.999487108755</v>
      </c>
      <c r="U2" s="33">
        <v>57740.68948197984</v>
      </c>
      <c r="V2" s="33">
        <v>58318.096376799636</v>
      </c>
      <c r="W2" s="33">
        <v>61234.001195639619</v>
      </c>
      <c r="X2" s="33">
        <v>61846.341207596015</v>
      </c>
      <c r="Y2" s="33">
        <v>62464.804619671973</v>
      </c>
      <c r="Z2" s="33">
        <v>63089.452665868695</v>
      </c>
      <c r="AA2" s="33">
        <v>66243.925299162132</v>
      </c>
      <c r="AB2" s="33">
        <v>66906.364552153755</v>
      </c>
      <c r="AC2" s="33">
        <v>67575.428197675297</v>
      </c>
      <c r="AD2" s="33">
        <v>68251.182479652052</v>
      </c>
      <c r="AE2" s="33">
        <v>68933.694304448567</v>
      </c>
      <c r="AF2" s="33">
        <v>69623.031247493054</v>
      </c>
      <c r="AG2" s="33">
        <v>70319.261559967985</v>
      </c>
      <c r="AH2" s="33">
        <v>71022.454175567662</v>
      </c>
      <c r="AI2" s="33">
        <v>71732.678717323346</v>
      </c>
      <c r="AJ2" s="33">
        <v>72450.005504496585</v>
      </c>
      <c r="AK2" s="33">
        <v>73174.505559541547</v>
      </c>
      <c r="AL2" s="33">
        <v>73906.25061513696</v>
      </c>
      <c r="AM2" s="33">
        <v>74645.313121288331</v>
      </c>
      <c r="AN2" s="33">
        <v>78377.578777352741</v>
      </c>
      <c r="AO2" s="33">
        <v>79161.354565126268</v>
      </c>
      <c r="AP2" s="33">
        <v>79952.968110777525</v>
      </c>
      <c r="AQ2" s="33">
        <v>80752.497791885296</v>
      </c>
      <c r="AR2" s="33">
        <v>81560.022769804156</v>
      </c>
      <c r="AS2" s="33">
        <v>82375.6229975022</v>
      </c>
      <c r="AT2" s="33">
        <v>83199.379227477228</v>
      </c>
      <c r="AU2" s="33">
        <v>84031.373019752005</v>
      </c>
      <c r="AV2" s="33">
        <v>84871.686749949527</v>
      </c>
      <c r="AW2" s="33">
        <v>85720.403617449017</v>
      </c>
      <c r="BH2" s="1" t="s">
        <v>215</v>
      </c>
      <c r="BI2" s="1" cm="1">
        <f t="array" ref="BI2:BI46">TRANSPOSE(E16:AW16)</f>
        <v>22957.183398692814</v>
      </c>
    </row>
    <row r="3" spans="1:61" x14ac:dyDescent="0.35">
      <c r="D3" s="1" t="s">
        <v>190</v>
      </c>
      <c r="E3" s="33">
        <f>E2*12</f>
        <v>505882.3529411765</v>
      </c>
      <c r="F3" s="33">
        <f t="shared" ref="F3:AV3" si="0">F2*12</f>
        <v>510941.17647058825</v>
      </c>
      <c r="G3" s="33">
        <f t="shared" si="0"/>
        <v>536488.23529411759</v>
      </c>
      <c r="H3" s="33">
        <f t="shared" si="0"/>
        <v>541853.1176470588</v>
      </c>
      <c r="I3" s="33">
        <f t="shared" si="0"/>
        <v>547271.64882352937</v>
      </c>
      <c r="J3" s="33">
        <f t="shared" si="0"/>
        <v>552744.36531176465</v>
      </c>
      <c r="K3" s="33">
        <f t="shared" si="0"/>
        <v>580381.58357735293</v>
      </c>
      <c r="L3" s="33">
        <f t="shared" si="0"/>
        <v>586185.39941312652</v>
      </c>
      <c r="M3" s="33">
        <f t="shared" si="0"/>
        <v>592047.25340725773</v>
      </c>
      <c r="N3" s="33">
        <f t="shared" si="0"/>
        <v>597967.72594133031</v>
      </c>
      <c r="O3" s="33">
        <f t="shared" si="0"/>
        <v>627866.11223839689</v>
      </c>
      <c r="P3" s="33">
        <f t="shared" si="0"/>
        <v>634144.77336078079</v>
      </c>
      <c r="Q3" s="33">
        <f t="shared" si="0"/>
        <v>640486.22109438863</v>
      </c>
      <c r="R3" s="33">
        <f t="shared" si="0"/>
        <v>646891.08330533246</v>
      </c>
      <c r="S3" s="33">
        <f t="shared" si="0"/>
        <v>679235.63747059903</v>
      </c>
      <c r="T3" s="33">
        <f t="shared" si="0"/>
        <v>686027.99384530506</v>
      </c>
      <c r="U3" s="33">
        <f t="shared" si="0"/>
        <v>692888.27378375805</v>
      </c>
      <c r="V3" s="33">
        <f t="shared" si="0"/>
        <v>699817.15652159567</v>
      </c>
      <c r="W3" s="33">
        <f t="shared" si="0"/>
        <v>734808.01434767549</v>
      </c>
      <c r="X3" s="33">
        <f t="shared" si="0"/>
        <v>742156.09449115221</v>
      </c>
      <c r="Y3" s="33">
        <f t="shared" si="0"/>
        <v>749577.65543606365</v>
      </c>
      <c r="Z3" s="33">
        <f t="shared" si="0"/>
        <v>757073.4319904244</v>
      </c>
      <c r="AA3" s="33">
        <f t="shared" si="0"/>
        <v>794927.10358994559</v>
      </c>
      <c r="AB3" s="33">
        <f t="shared" si="0"/>
        <v>802876.37462584511</v>
      </c>
      <c r="AC3" s="33">
        <f t="shared" si="0"/>
        <v>810905.13837210357</v>
      </c>
      <c r="AD3" s="33">
        <f t="shared" si="0"/>
        <v>819014.18975582463</v>
      </c>
      <c r="AE3" s="33">
        <f t="shared" si="0"/>
        <v>827204.33165338286</v>
      </c>
      <c r="AF3" s="33">
        <f t="shared" si="0"/>
        <v>835476.37496991665</v>
      </c>
      <c r="AG3" s="33">
        <f t="shared" si="0"/>
        <v>843831.13871961576</v>
      </c>
      <c r="AH3" s="33">
        <f t="shared" si="0"/>
        <v>852269.45010681194</v>
      </c>
      <c r="AI3" s="33">
        <f t="shared" si="0"/>
        <v>860792.14460788015</v>
      </c>
      <c r="AJ3" s="33">
        <f t="shared" si="0"/>
        <v>869400.06605395908</v>
      </c>
      <c r="AK3" s="33">
        <f t="shared" si="0"/>
        <v>878094.06671449856</v>
      </c>
      <c r="AL3" s="33">
        <f t="shared" si="0"/>
        <v>886875.00738164352</v>
      </c>
      <c r="AM3" s="33">
        <f t="shared" si="0"/>
        <v>895743.75745546003</v>
      </c>
      <c r="AN3" s="33">
        <f t="shared" si="0"/>
        <v>940530.94532823283</v>
      </c>
      <c r="AO3" s="33">
        <f t="shared" si="0"/>
        <v>949936.25478151522</v>
      </c>
      <c r="AP3" s="33">
        <f t="shared" si="0"/>
        <v>959435.6173293303</v>
      </c>
      <c r="AQ3" s="33">
        <f t="shared" si="0"/>
        <v>969029.97350262362</v>
      </c>
      <c r="AR3" s="33">
        <f t="shared" si="0"/>
        <v>978720.27323764982</v>
      </c>
      <c r="AS3" s="33">
        <f t="shared" si="0"/>
        <v>988507.47597002634</v>
      </c>
      <c r="AT3" s="33">
        <f t="shared" si="0"/>
        <v>998392.55072972667</v>
      </c>
      <c r="AU3" s="33">
        <f t="shared" si="0"/>
        <v>1008376.4762370241</v>
      </c>
      <c r="AV3" s="33">
        <f t="shared" si="0"/>
        <v>1018460.2409993943</v>
      </c>
      <c r="AW3" s="33">
        <f>AW2*12</f>
        <v>1028644.8434093882</v>
      </c>
      <c r="BI3" s="1">
        <v>23204.328982147894</v>
      </c>
    </row>
    <row r="4" spans="1:61" x14ac:dyDescent="0.35">
      <c r="A4" s="1" t="str" cm="1">
        <f t="array" ref="A4:B12">'Salary Variables'!$B$16:$C$24</f>
        <v>AM (%)</v>
      </c>
      <c r="B4" s="28">
        <v>0.08</v>
      </c>
      <c r="D4" s="1" t="s">
        <v>189</v>
      </c>
      <c r="E4" s="33">
        <f>'Pensions P1'!B4*12</f>
        <v>25294.117647058825</v>
      </c>
      <c r="F4" s="33">
        <f>'Pensions P1'!C4*12</f>
        <v>25547.058823529413</v>
      </c>
      <c r="G4" s="33">
        <f>'Pensions P1'!D4*12</f>
        <v>26824.411764705881</v>
      </c>
      <c r="H4" s="33">
        <f>'Pensions P1'!E4*12</f>
        <v>27092.655882352941</v>
      </c>
      <c r="I4" s="33">
        <f>'Pensions P1'!F4*12</f>
        <v>27363.58244117647</v>
      </c>
      <c r="J4" s="33">
        <f>'Pensions P1'!G4*12</f>
        <v>27637.218265588235</v>
      </c>
      <c r="K4" s="33">
        <f>'Pensions P1'!H4*12</f>
        <v>29019.079178867647</v>
      </c>
      <c r="L4" s="33">
        <f>'Pensions P1'!I4*12</f>
        <v>29309.269970656325</v>
      </c>
      <c r="M4" s="33">
        <f>'Pensions P1'!J4*12</f>
        <v>29602.362670362891</v>
      </c>
      <c r="N4" s="33">
        <f>'Pensions P1'!K4*12</f>
        <v>29898.386297066514</v>
      </c>
      <c r="O4" s="33">
        <f>'Pensions P1'!L4*12</f>
        <v>31393.305611919845</v>
      </c>
      <c r="P4" s="33">
        <f>'Pensions P1'!M4*12</f>
        <v>31707.238668039041</v>
      </c>
      <c r="Q4" s="33">
        <f>'Pensions P1'!N4*12</f>
        <v>32024.311054719434</v>
      </c>
      <c r="R4" s="33">
        <f>'Pensions P1'!O4*12</f>
        <v>32344.554165266629</v>
      </c>
      <c r="S4" s="33">
        <f>'Pensions P1'!P4*12</f>
        <v>33961.781873529952</v>
      </c>
      <c r="T4" s="33">
        <f>'Pensions P1'!Q4*12</f>
        <v>34301.399692265259</v>
      </c>
      <c r="U4" s="33">
        <f>'Pensions P1'!R4*12</f>
        <v>34644.413689187902</v>
      </c>
      <c r="V4" s="33">
        <f>'Pensions P1'!S4*12</f>
        <v>34990.85782607978</v>
      </c>
      <c r="W4" s="33">
        <f>'Pensions P1'!T4*12</f>
        <v>36740.400717383774</v>
      </c>
      <c r="X4" s="33">
        <f>'Pensions P1'!U4*12</f>
        <v>37107.804724557609</v>
      </c>
      <c r="Y4" s="33">
        <f>'Pensions P1'!V4*12</f>
        <v>37478.882771803183</v>
      </c>
      <c r="Z4" s="33">
        <f>'Pensions P1'!W4*12</f>
        <v>37853.671599521222</v>
      </c>
      <c r="AA4" s="33">
        <f>'Pensions P1'!X4*12</f>
        <v>39746.355179497281</v>
      </c>
      <c r="AB4" s="33">
        <f>'Pensions P1'!Y4*12</f>
        <v>40143.818731292253</v>
      </c>
      <c r="AC4" s="33">
        <f>'Pensions P1'!Z4*12</f>
        <v>40545.256918605184</v>
      </c>
      <c r="AD4" s="33">
        <f>'Pensions P1'!AA4*12</f>
        <v>40950.709487791231</v>
      </c>
      <c r="AE4" s="33">
        <f>'Pensions P1'!AB4*12</f>
        <v>41360.216582669142</v>
      </c>
      <c r="AF4" s="33">
        <f>'Pensions P1'!AC4*12</f>
        <v>41773.818748495833</v>
      </c>
      <c r="AG4" s="33">
        <f>'Pensions P1'!AD4*12</f>
        <v>42191.556935980792</v>
      </c>
      <c r="AH4" s="33">
        <f>'Pensions P1'!AE4*12</f>
        <v>42613.4725053406</v>
      </c>
      <c r="AI4" s="33">
        <f>'Pensions P1'!AF4*12</f>
        <v>43039.607230394009</v>
      </c>
      <c r="AJ4" s="33">
        <f>'Pensions P1'!AG4*12</f>
        <v>43470.003302697951</v>
      </c>
      <c r="AK4" s="33">
        <f>'Pensions P1'!AH4*12</f>
        <v>43904.703335724931</v>
      </c>
      <c r="AL4" s="33">
        <f>'Pensions P1'!AI4*12</f>
        <v>44343.750369082176</v>
      </c>
      <c r="AM4" s="33">
        <f>'Pensions P1'!AJ4*12</f>
        <v>44787.187872773</v>
      </c>
      <c r="AN4" s="33">
        <f>'Pensions P1'!AK4*12</f>
        <v>47026.547266411646</v>
      </c>
      <c r="AO4" s="33">
        <f>'Pensions P1'!AL4*12</f>
        <v>47496.812739075765</v>
      </c>
      <c r="AP4" s="33">
        <f>'Pensions P1'!AM4*12</f>
        <v>47971.780866466521</v>
      </c>
      <c r="AQ4" s="33">
        <f>'Pensions P1'!AN4*12</f>
        <v>48451.498675131181</v>
      </c>
      <c r="AR4" s="33">
        <f>'Pensions P1'!AO4*12</f>
        <v>48936.013661882498</v>
      </c>
      <c r="AS4" s="33">
        <f>'Pensions P1'!AP4*12</f>
        <v>49425.373798501314</v>
      </c>
      <c r="AT4" s="33">
        <f>'Pensions P1'!AQ4*12</f>
        <v>49919.62753648634</v>
      </c>
      <c r="AU4" s="33">
        <f>'Pensions P1'!AR4*12</f>
        <v>50418.823811851209</v>
      </c>
      <c r="AV4" s="33">
        <f>'Pensions P1'!AS4*12</f>
        <v>50923.012049969722</v>
      </c>
      <c r="AW4" s="33">
        <f>'Pensions P1'!AT4*12</f>
        <v>51432.242170469413</v>
      </c>
      <c r="BI4" s="1">
        <v>24391.132758428343</v>
      </c>
    </row>
    <row r="5" spans="1:61" x14ac:dyDescent="0.35">
      <c r="A5" s="1" t="str">
        <v>Personal Allowance</v>
      </c>
      <c r="B5" s="32">
        <v>51600</v>
      </c>
      <c r="D5" s="1" t="s">
        <v>191</v>
      </c>
      <c r="E5" s="33">
        <f>E3-E4</f>
        <v>480588.23529411771</v>
      </c>
      <c r="F5" s="33">
        <f t="shared" ref="F5:AV5" si="1">F3-F4</f>
        <v>485394.11764705885</v>
      </c>
      <c r="G5" s="33">
        <f t="shared" si="1"/>
        <v>509663.82352941169</v>
      </c>
      <c r="H5" s="33">
        <f t="shared" si="1"/>
        <v>514760.46176470583</v>
      </c>
      <c r="I5" s="33">
        <f t="shared" si="1"/>
        <v>519908.0663823529</v>
      </c>
      <c r="J5" s="33">
        <f t="shared" si="1"/>
        <v>525107.14704617637</v>
      </c>
      <c r="K5" s="33">
        <f t="shared" si="1"/>
        <v>551362.5043984853</v>
      </c>
      <c r="L5" s="33">
        <f t="shared" si="1"/>
        <v>556876.12944247015</v>
      </c>
      <c r="M5" s="33">
        <f t="shared" si="1"/>
        <v>562444.8907368948</v>
      </c>
      <c r="N5" s="33">
        <f t="shared" si="1"/>
        <v>568069.33964426385</v>
      </c>
      <c r="O5" s="33">
        <f t="shared" si="1"/>
        <v>596472.80662647705</v>
      </c>
      <c r="P5" s="33">
        <f t="shared" si="1"/>
        <v>602437.5346927417</v>
      </c>
      <c r="Q5" s="33">
        <f t="shared" si="1"/>
        <v>608461.91003966925</v>
      </c>
      <c r="R5" s="33">
        <f t="shared" si="1"/>
        <v>614546.52914006589</v>
      </c>
      <c r="S5" s="33">
        <f t="shared" si="1"/>
        <v>645273.85559706902</v>
      </c>
      <c r="T5" s="33">
        <f t="shared" si="1"/>
        <v>651726.59415303986</v>
      </c>
      <c r="U5" s="33">
        <f t="shared" si="1"/>
        <v>658243.86009457009</v>
      </c>
      <c r="V5" s="33">
        <f t="shared" si="1"/>
        <v>664826.29869551584</v>
      </c>
      <c r="W5" s="33">
        <f t="shared" si="1"/>
        <v>698067.61363029177</v>
      </c>
      <c r="X5" s="33">
        <f t="shared" si="1"/>
        <v>705048.28976659465</v>
      </c>
      <c r="Y5" s="33">
        <f t="shared" si="1"/>
        <v>712098.77266426047</v>
      </c>
      <c r="Z5" s="33">
        <f t="shared" si="1"/>
        <v>719219.76039090322</v>
      </c>
      <c r="AA5" s="33">
        <f t="shared" si="1"/>
        <v>755180.74841044832</v>
      </c>
      <c r="AB5" s="33">
        <f t="shared" si="1"/>
        <v>762732.55589455285</v>
      </c>
      <c r="AC5" s="33">
        <f t="shared" si="1"/>
        <v>770359.88145349838</v>
      </c>
      <c r="AD5" s="33">
        <f t="shared" si="1"/>
        <v>778063.48026803345</v>
      </c>
      <c r="AE5" s="33">
        <f t="shared" si="1"/>
        <v>785844.11507071368</v>
      </c>
      <c r="AF5" s="33">
        <f>AF3-AF4</f>
        <v>793702.55622142088</v>
      </c>
      <c r="AG5" s="33">
        <f t="shared" si="1"/>
        <v>801639.58178363496</v>
      </c>
      <c r="AH5" s="33">
        <f t="shared" si="1"/>
        <v>809655.97760147136</v>
      </c>
      <c r="AI5" s="33">
        <f t="shared" si="1"/>
        <v>817752.53737748612</v>
      </c>
      <c r="AJ5" s="33">
        <f t="shared" si="1"/>
        <v>825930.06275126117</v>
      </c>
      <c r="AK5" s="33">
        <f t="shared" si="1"/>
        <v>834189.36337877368</v>
      </c>
      <c r="AL5" s="33">
        <f t="shared" si="1"/>
        <v>842531.25701256131</v>
      </c>
      <c r="AM5" s="33">
        <f t="shared" si="1"/>
        <v>850956.56958268699</v>
      </c>
      <c r="AN5" s="33">
        <f t="shared" si="1"/>
        <v>893504.39806182124</v>
      </c>
      <c r="AO5" s="33">
        <f t="shared" si="1"/>
        <v>902439.44204243948</v>
      </c>
      <c r="AP5" s="33">
        <f t="shared" si="1"/>
        <v>911463.83646286372</v>
      </c>
      <c r="AQ5" s="33">
        <f t="shared" si="1"/>
        <v>920578.47482749238</v>
      </c>
      <c r="AR5" s="33">
        <f t="shared" si="1"/>
        <v>929784.25957576733</v>
      </c>
      <c r="AS5" s="33">
        <f t="shared" si="1"/>
        <v>939082.10217152501</v>
      </c>
      <c r="AT5" s="33">
        <f t="shared" si="1"/>
        <v>948472.92319324031</v>
      </c>
      <c r="AU5" s="33">
        <f t="shared" si="1"/>
        <v>957957.65242517286</v>
      </c>
      <c r="AV5" s="33">
        <f t="shared" si="1"/>
        <v>967537.22894942458</v>
      </c>
      <c r="AW5" s="33">
        <f>AW3-AW4</f>
        <v>977212.60123891884</v>
      </c>
      <c r="BI5" s="1">
        <v>24651.73488930766</v>
      </c>
    </row>
    <row r="6" spans="1:61" x14ac:dyDescent="0.35">
      <c r="A6" s="1" t="str">
        <v>Bottom-Bracket State Tax rate (%)</v>
      </c>
      <c r="B6" s="28">
        <v>0.1201</v>
      </c>
      <c r="D6" s="1" t="s">
        <v>244</v>
      </c>
      <c r="E6" s="32">
        <f t="shared" ref="E6:AW6" si="2">E5*(1-$B$4)</f>
        <v>442141.17647058831</v>
      </c>
      <c r="F6" s="32">
        <f t="shared" si="2"/>
        <v>446562.58823529416</v>
      </c>
      <c r="G6" s="32">
        <f t="shared" si="2"/>
        <v>468890.71764705877</v>
      </c>
      <c r="H6" s="32">
        <f t="shared" si="2"/>
        <v>473579.62482352939</v>
      </c>
      <c r="I6" s="32">
        <f t="shared" si="2"/>
        <v>478315.42107176466</v>
      </c>
      <c r="J6" s="32">
        <f t="shared" si="2"/>
        <v>483098.57528248226</v>
      </c>
      <c r="K6" s="32">
        <f t="shared" si="2"/>
        <v>507253.50404660648</v>
      </c>
      <c r="L6" s="32">
        <f t="shared" si="2"/>
        <v>512326.03908707254</v>
      </c>
      <c r="M6" s="32">
        <f t="shared" si="2"/>
        <v>517449.29947794322</v>
      </c>
      <c r="N6" s="32">
        <f t="shared" si="2"/>
        <v>522623.79247272277</v>
      </c>
      <c r="O6" s="32">
        <f t="shared" si="2"/>
        <v>548754.9820963589</v>
      </c>
      <c r="P6" s="32">
        <f t="shared" si="2"/>
        <v>554242.53191732243</v>
      </c>
      <c r="Q6" s="32">
        <f t="shared" si="2"/>
        <v>559784.95723649568</v>
      </c>
      <c r="R6" s="32">
        <f t="shared" si="2"/>
        <v>565382.80680886062</v>
      </c>
      <c r="S6" s="32">
        <f t="shared" si="2"/>
        <v>593651.94714930351</v>
      </c>
      <c r="T6" s="32">
        <f t="shared" si="2"/>
        <v>599588.46662079671</v>
      </c>
      <c r="U6" s="32">
        <f t="shared" si="2"/>
        <v>605584.35128700454</v>
      </c>
      <c r="V6" s="32">
        <f t="shared" si="2"/>
        <v>611640.19479987456</v>
      </c>
      <c r="W6" s="32">
        <f t="shared" si="2"/>
        <v>642222.20453986851</v>
      </c>
      <c r="X6" s="32">
        <f t="shared" si="2"/>
        <v>648644.42658526707</v>
      </c>
      <c r="Y6" s="32">
        <f t="shared" si="2"/>
        <v>655130.87085111963</v>
      </c>
      <c r="Z6" s="32">
        <f t="shared" si="2"/>
        <v>661682.17955963104</v>
      </c>
      <c r="AA6" s="32">
        <f t="shared" si="2"/>
        <v>694766.28853761253</v>
      </c>
      <c r="AB6" s="32">
        <f t="shared" si="2"/>
        <v>701713.95142298867</v>
      </c>
      <c r="AC6" s="32">
        <f t="shared" si="2"/>
        <v>708731.09093721851</v>
      </c>
      <c r="AD6" s="32">
        <f t="shared" si="2"/>
        <v>715818.4018465908</v>
      </c>
      <c r="AE6" s="32">
        <f t="shared" si="2"/>
        <v>722976.58586505661</v>
      </c>
      <c r="AF6" s="32">
        <f t="shared" si="2"/>
        <v>730206.35172370728</v>
      </c>
      <c r="AG6" s="32">
        <f t="shared" si="2"/>
        <v>737508.41524094425</v>
      </c>
      <c r="AH6" s="32">
        <f t="shared" si="2"/>
        <v>744883.4993933537</v>
      </c>
      <c r="AI6" s="32">
        <f t="shared" si="2"/>
        <v>752332.33438728726</v>
      </c>
      <c r="AJ6" s="32">
        <f t="shared" si="2"/>
        <v>759855.65773116029</v>
      </c>
      <c r="AK6" s="32">
        <f t="shared" si="2"/>
        <v>767454.21430847177</v>
      </c>
      <c r="AL6" s="32">
        <f t="shared" si="2"/>
        <v>775128.75645155646</v>
      </c>
      <c r="AM6" s="32">
        <f t="shared" si="2"/>
        <v>782880.04401607206</v>
      </c>
      <c r="AN6" s="32">
        <f t="shared" si="2"/>
        <v>822024.04621687555</v>
      </c>
      <c r="AO6" s="32">
        <f t="shared" si="2"/>
        <v>830244.28667904437</v>
      </c>
      <c r="AP6" s="32">
        <f t="shared" si="2"/>
        <v>838546.72954583471</v>
      </c>
      <c r="AQ6" s="32">
        <f t="shared" si="2"/>
        <v>846932.19684129301</v>
      </c>
      <c r="AR6" s="32">
        <f t="shared" si="2"/>
        <v>855401.51880970597</v>
      </c>
      <c r="AS6" s="32">
        <f t="shared" si="2"/>
        <v>863955.533997803</v>
      </c>
      <c r="AT6" s="32">
        <f t="shared" si="2"/>
        <v>872595.08933778107</v>
      </c>
      <c r="AU6" s="32">
        <f t="shared" si="2"/>
        <v>881321.04023115907</v>
      </c>
      <c r="AV6" s="32">
        <f t="shared" si="2"/>
        <v>890134.2506334706</v>
      </c>
      <c r="AW6" s="32">
        <f t="shared" si="2"/>
        <v>899035.59313980537</v>
      </c>
      <c r="BI6" s="1">
        <v>24914.514510058612</v>
      </c>
    </row>
    <row r="7" spans="1:61" x14ac:dyDescent="0.35">
      <c r="A7" s="1" t="str">
        <v>Top-bracket State Tax rate (%)</v>
      </c>
      <c r="B7" s="28">
        <v>0.15</v>
      </c>
      <c r="D7" s="1" t="s">
        <v>239</v>
      </c>
      <c r="E7" s="32">
        <f>$B$5</f>
        <v>51600</v>
      </c>
      <c r="F7" s="32">
        <f t="shared" ref="F7:AW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f t="shared" si="3"/>
        <v>51600</v>
      </c>
      <c r="AJ7" s="32">
        <f t="shared" si="3"/>
        <v>51600</v>
      </c>
      <c r="AK7" s="32">
        <f t="shared" si="3"/>
        <v>51600</v>
      </c>
      <c r="AL7" s="32">
        <f t="shared" si="3"/>
        <v>51600</v>
      </c>
      <c r="AM7" s="32">
        <f t="shared" si="3"/>
        <v>51600</v>
      </c>
      <c r="AN7" s="32">
        <f t="shared" si="3"/>
        <v>51600</v>
      </c>
      <c r="AO7" s="32">
        <f t="shared" si="3"/>
        <v>51600</v>
      </c>
      <c r="AP7" s="32">
        <f t="shared" si="3"/>
        <v>51600</v>
      </c>
      <c r="AQ7" s="32">
        <f t="shared" si="3"/>
        <v>51600</v>
      </c>
      <c r="AR7" s="32">
        <f t="shared" si="3"/>
        <v>51600</v>
      </c>
      <c r="AS7" s="32">
        <f t="shared" si="3"/>
        <v>51600</v>
      </c>
      <c r="AT7" s="32">
        <f t="shared" si="3"/>
        <v>51600</v>
      </c>
      <c r="AU7" s="32">
        <f t="shared" si="3"/>
        <v>51600</v>
      </c>
      <c r="AV7" s="32">
        <f t="shared" si="3"/>
        <v>51600</v>
      </c>
      <c r="AW7" s="32">
        <f t="shared" si="3"/>
        <v>51600</v>
      </c>
      <c r="BI7" s="1">
        <v>25179.501798157115</v>
      </c>
    </row>
    <row r="8" spans="1:61" x14ac:dyDescent="0.35">
      <c r="A8" s="1" t="str">
        <v>State Tax Bracket Threshold</v>
      </c>
      <c r="B8" s="32">
        <v>618400</v>
      </c>
      <c r="D8" s="1" t="s">
        <v>245</v>
      </c>
      <c r="E8" s="32">
        <f>E6-E7</f>
        <v>390541.17647058831</v>
      </c>
      <c r="F8" s="32">
        <f t="shared" ref="F8:AW8" si="4">F6-F7</f>
        <v>394962.58823529416</v>
      </c>
      <c r="G8" s="32">
        <f t="shared" si="4"/>
        <v>417290.71764705877</v>
      </c>
      <c r="H8" s="32">
        <f t="shared" si="4"/>
        <v>421979.62482352939</v>
      </c>
      <c r="I8" s="32">
        <f t="shared" si="4"/>
        <v>426715.42107176466</v>
      </c>
      <c r="J8" s="32">
        <f t="shared" si="4"/>
        <v>431498.57528248226</v>
      </c>
      <c r="K8" s="32">
        <f t="shared" si="4"/>
        <v>455653.50404660648</v>
      </c>
      <c r="L8" s="32">
        <f t="shared" si="4"/>
        <v>460726.03908707254</v>
      </c>
      <c r="M8" s="32">
        <f t="shared" si="4"/>
        <v>465849.29947794322</v>
      </c>
      <c r="N8" s="32">
        <f t="shared" si="4"/>
        <v>471023.79247272277</v>
      </c>
      <c r="O8" s="32">
        <f t="shared" si="4"/>
        <v>497154.9820963589</v>
      </c>
      <c r="P8" s="32">
        <f t="shared" si="4"/>
        <v>502642.53191732243</v>
      </c>
      <c r="Q8" s="32">
        <f t="shared" si="4"/>
        <v>508184.95723649568</v>
      </c>
      <c r="R8" s="32">
        <f t="shared" si="4"/>
        <v>513782.80680886062</v>
      </c>
      <c r="S8" s="32">
        <f t="shared" si="4"/>
        <v>542051.94714930351</v>
      </c>
      <c r="T8" s="32">
        <f t="shared" si="4"/>
        <v>547988.46662079671</v>
      </c>
      <c r="U8" s="32">
        <f t="shared" si="4"/>
        <v>553984.35128700454</v>
      </c>
      <c r="V8" s="32">
        <f t="shared" si="4"/>
        <v>560040.19479987456</v>
      </c>
      <c r="W8" s="32">
        <f t="shared" si="4"/>
        <v>590622.20453986851</v>
      </c>
      <c r="X8" s="32">
        <f t="shared" si="4"/>
        <v>597044.42658526707</v>
      </c>
      <c r="Y8" s="32">
        <f t="shared" si="4"/>
        <v>603530.87085111963</v>
      </c>
      <c r="Z8" s="32">
        <f t="shared" si="4"/>
        <v>610082.17955963104</v>
      </c>
      <c r="AA8" s="32">
        <f t="shared" si="4"/>
        <v>643166.28853761253</v>
      </c>
      <c r="AB8" s="32">
        <f t="shared" si="4"/>
        <v>650113.95142298867</v>
      </c>
      <c r="AC8" s="32">
        <f t="shared" si="4"/>
        <v>657131.09093721851</v>
      </c>
      <c r="AD8" s="32">
        <f t="shared" si="4"/>
        <v>664218.4018465908</v>
      </c>
      <c r="AE8" s="32">
        <f t="shared" si="4"/>
        <v>671376.58586505661</v>
      </c>
      <c r="AF8" s="32">
        <f t="shared" si="4"/>
        <v>678606.35172370728</v>
      </c>
      <c r="AG8" s="32">
        <f t="shared" si="4"/>
        <v>685908.41524094425</v>
      </c>
      <c r="AH8" s="32">
        <f t="shared" si="4"/>
        <v>693283.4993933537</v>
      </c>
      <c r="AI8" s="32">
        <f t="shared" si="4"/>
        <v>700732.33438728726</v>
      </c>
      <c r="AJ8" s="32">
        <f t="shared" si="4"/>
        <v>708255.65773116029</v>
      </c>
      <c r="AK8" s="32">
        <f t="shared" si="4"/>
        <v>715854.21430847177</v>
      </c>
      <c r="AL8" s="32">
        <f t="shared" si="4"/>
        <v>723528.75645155646</v>
      </c>
      <c r="AM8" s="32">
        <f t="shared" si="4"/>
        <v>731280.04401607206</v>
      </c>
      <c r="AN8" s="32">
        <f t="shared" si="4"/>
        <v>770424.04621687555</v>
      </c>
      <c r="AO8" s="32">
        <f t="shared" si="4"/>
        <v>778644.28667904437</v>
      </c>
      <c r="AP8" s="32">
        <f t="shared" si="4"/>
        <v>786946.72954583471</v>
      </c>
      <c r="AQ8" s="32">
        <f t="shared" si="4"/>
        <v>795332.19684129301</v>
      </c>
      <c r="AR8" s="32">
        <f t="shared" si="4"/>
        <v>803801.51880970597</v>
      </c>
      <c r="AS8" s="32">
        <f t="shared" si="4"/>
        <v>812355.533997803</v>
      </c>
      <c r="AT8" s="32">
        <f t="shared" si="4"/>
        <v>820995.08933778107</v>
      </c>
      <c r="AU8" s="32">
        <f t="shared" si="4"/>
        <v>829721.04023115907</v>
      </c>
      <c r="AV8" s="32">
        <f t="shared" si="4"/>
        <v>838534.2506334706</v>
      </c>
      <c r="AW8" s="32">
        <f t="shared" si="4"/>
        <v>847435.59313980537</v>
      </c>
      <c r="BI8" s="1">
        <v>26461.073043332217</v>
      </c>
    </row>
    <row r="9" spans="1:61" x14ac:dyDescent="0.35">
      <c r="A9" s="1" t="str">
        <v>Municipal Tax (%)</v>
      </c>
      <c r="B9" s="28">
        <v>0.25</v>
      </c>
      <c r="D9" s="1" t="s">
        <v>193</v>
      </c>
      <c r="E9" s="32">
        <f>E6*$B$9</f>
        <v>110535.29411764708</v>
      </c>
      <c r="F9" s="32">
        <f t="shared" ref="F9:AW9" si="5">F6*$B$9</f>
        <v>111640.64705882354</v>
      </c>
      <c r="G9" s="32">
        <f t="shared" si="5"/>
        <v>117222.67941176469</v>
      </c>
      <c r="H9" s="32">
        <f t="shared" si="5"/>
        <v>118394.90620588235</v>
      </c>
      <c r="I9" s="32">
        <f t="shared" si="5"/>
        <v>119578.85526794117</v>
      </c>
      <c r="J9" s="32">
        <f t="shared" si="5"/>
        <v>120774.64382062056</v>
      </c>
      <c r="K9" s="32">
        <f t="shared" si="5"/>
        <v>126813.37601165162</v>
      </c>
      <c r="L9" s="32">
        <f t="shared" si="5"/>
        <v>128081.50977176813</v>
      </c>
      <c r="M9" s="32">
        <f t="shared" si="5"/>
        <v>129362.3248694858</v>
      </c>
      <c r="N9" s="32">
        <f t="shared" si="5"/>
        <v>130655.94811818069</v>
      </c>
      <c r="O9" s="32">
        <f t="shared" si="5"/>
        <v>137188.74552408973</v>
      </c>
      <c r="P9" s="32">
        <f t="shared" si="5"/>
        <v>138560.63297933061</v>
      </c>
      <c r="Q9" s="32">
        <f t="shared" si="5"/>
        <v>139946.23930912392</v>
      </c>
      <c r="R9" s="32">
        <f t="shared" si="5"/>
        <v>141345.70170221516</v>
      </c>
      <c r="S9" s="32">
        <f t="shared" si="5"/>
        <v>148412.98678732588</v>
      </c>
      <c r="T9" s="32">
        <f t="shared" si="5"/>
        <v>149897.11665519918</v>
      </c>
      <c r="U9" s="32">
        <f t="shared" si="5"/>
        <v>151396.08782175113</v>
      </c>
      <c r="V9" s="32">
        <f t="shared" si="5"/>
        <v>152910.04869996864</v>
      </c>
      <c r="W9" s="32">
        <f t="shared" si="5"/>
        <v>160555.55113496713</v>
      </c>
      <c r="X9" s="32">
        <f t="shared" si="5"/>
        <v>162161.10664631677</v>
      </c>
      <c r="Y9" s="32">
        <f t="shared" si="5"/>
        <v>163782.71771277991</v>
      </c>
      <c r="Z9" s="32">
        <f t="shared" si="5"/>
        <v>165420.54488990776</v>
      </c>
      <c r="AA9" s="32">
        <f t="shared" si="5"/>
        <v>173691.57213440313</v>
      </c>
      <c r="AB9" s="32">
        <f t="shared" si="5"/>
        <v>175428.48785574717</v>
      </c>
      <c r="AC9" s="32">
        <f t="shared" si="5"/>
        <v>177182.77273430463</v>
      </c>
      <c r="AD9" s="32">
        <f t="shared" si="5"/>
        <v>178954.6004616477</v>
      </c>
      <c r="AE9" s="32">
        <f t="shared" si="5"/>
        <v>180744.14646626415</v>
      </c>
      <c r="AF9" s="32">
        <f t="shared" si="5"/>
        <v>182551.58793092682</v>
      </c>
      <c r="AG9" s="32">
        <f t="shared" si="5"/>
        <v>184377.10381023606</v>
      </c>
      <c r="AH9" s="32">
        <f t="shared" si="5"/>
        <v>186220.87484833843</v>
      </c>
      <c r="AI9" s="32">
        <f t="shared" si="5"/>
        <v>188083.08359682182</v>
      </c>
      <c r="AJ9" s="32">
        <f t="shared" si="5"/>
        <v>189963.91443279007</v>
      </c>
      <c r="AK9" s="32">
        <f t="shared" si="5"/>
        <v>191863.55357711794</v>
      </c>
      <c r="AL9" s="32">
        <f t="shared" si="5"/>
        <v>193782.18911288911</v>
      </c>
      <c r="AM9" s="32">
        <f t="shared" si="5"/>
        <v>195720.01100401802</v>
      </c>
      <c r="AN9" s="32">
        <f t="shared" si="5"/>
        <v>205506.01155421889</v>
      </c>
      <c r="AO9" s="32">
        <f t="shared" si="5"/>
        <v>207561.07166976109</v>
      </c>
      <c r="AP9" s="32">
        <f t="shared" si="5"/>
        <v>209636.68238645868</v>
      </c>
      <c r="AQ9" s="32">
        <f t="shared" si="5"/>
        <v>211733.04921032325</v>
      </c>
      <c r="AR9" s="32">
        <f t="shared" si="5"/>
        <v>213850.37970242649</v>
      </c>
      <c r="AS9" s="32">
        <f t="shared" si="5"/>
        <v>215988.88349945075</v>
      </c>
      <c r="AT9" s="32">
        <f t="shared" si="5"/>
        <v>218148.77233444527</v>
      </c>
      <c r="AU9" s="32">
        <f t="shared" si="5"/>
        <v>220330.26005778977</v>
      </c>
      <c r="AV9" s="32">
        <f t="shared" si="5"/>
        <v>222533.56265836765</v>
      </c>
      <c r="AW9" s="32">
        <f t="shared" si="5"/>
        <v>224758.89828495134</v>
      </c>
      <c r="BI9" s="1">
        <v>26740.71021098</v>
      </c>
    </row>
    <row r="10" spans="1:61" x14ac:dyDescent="0.35">
      <c r="A10" s="1" t="str">
        <v>Capital Gains &lt; 67,500DKK</v>
      </c>
      <c r="B10" s="32">
        <v>0.27</v>
      </c>
      <c r="D10" s="1" t="s">
        <v>194</v>
      </c>
      <c r="E10" s="32">
        <f>MAX(E8-$B$8,0)*$B$7</f>
        <v>0</v>
      </c>
      <c r="F10" s="32">
        <f t="shared" ref="F10:AW10" si="6">MAX(F8-$B$8,0)*$B$7</f>
        <v>0</v>
      </c>
      <c r="G10" s="32">
        <f t="shared" si="6"/>
        <v>0</v>
      </c>
      <c r="H10" s="32">
        <f t="shared" si="6"/>
        <v>0</v>
      </c>
      <c r="I10" s="32">
        <f t="shared" si="6"/>
        <v>0</v>
      </c>
      <c r="J10" s="32">
        <f t="shared" si="6"/>
        <v>0</v>
      </c>
      <c r="K10" s="32">
        <f t="shared" si="6"/>
        <v>0</v>
      </c>
      <c r="L10" s="32">
        <f t="shared" si="6"/>
        <v>0</v>
      </c>
      <c r="M10" s="32">
        <f t="shared" si="6"/>
        <v>0</v>
      </c>
      <c r="N10" s="32">
        <f t="shared" si="6"/>
        <v>0</v>
      </c>
      <c r="O10" s="32">
        <f t="shared" si="6"/>
        <v>0</v>
      </c>
      <c r="P10" s="32">
        <f t="shared" si="6"/>
        <v>0</v>
      </c>
      <c r="Q10" s="32">
        <f t="shared" si="6"/>
        <v>0</v>
      </c>
      <c r="R10" s="32">
        <f t="shared" si="6"/>
        <v>0</v>
      </c>
      <c r="S10" s="32">
        <f t="shared" si="6"/>
        <v>0</v>
      </c>
      <c r="T10" s="32">
        <f t="shared" si="6"/>
        <v>0</v>
      </c>
      <c r="U10" s="32">
        <f t="shared" si="6"/>
        <v>0</v>
      </c>
      <c r="V10" s="32">
        <f t="shared" si="6"/>
        <v>0</v>
      </c>
      <c r="W10" s="32">
        <f t="shared" si="6"/>
        <v>0</v>
      </c>
      <c r="X10" s="32">
        <f t="shared" si="6"/>
        <v>0</v>
      </c>
      <c r="Y10" s="32">
        <f t="shared" si="6"/>
        <v>0</v>
      </c>
      <c r="Z10" s="32">
        <f t="shared" si="6"/>
        <v>0</v>
      </c>
      <c r="AA10" s="32">
        <f t="shared" si="6"/>
        <v>3714.9432806418799</v>
      </c>
      <c r="AB10" s="32">
        <f t="shared" si="6"/>
        <v>4757.0927134482999</v>
      </c>
      <c r="AC10" s="32">
        <f t="shared" si="6"/>
        <v>5809.6636405827767</v>
      </c>
      <c r="AD10" s="32">
        <f t="shared" si="6"/>
        <v>6872.7602769886198</v>
      </c>
      <c r="AE10" s="32">
        <f t="shared" si="6"/>
        <v>7946.4878797584906</v>
      </c>
      <c r="AF10" s="32">
        <f t="shared" si="6"/>
        <v>9030.9527585560918</v>
      </c>
      <c r="AG10" s="32">
        <f t="shared" si="6"/>
        <v>10126.262286141637</v>
      </c>
      <c r="AH10" s="32">
        <f t="shared" si="6"/>
        <v>11232.524909003056</v>
      </c>
      <c r="AI10" s="32">
        <f t="shared" si="6"/>
        <v>12349.85015809309</v>
      </c>
      <c r="AJ10" s="32">
        <f t="shared" si="6"/>
        <v>13478.348659674042</v>
      </c>
      <c r="AK10" s="32">
        <f t="shared" si="6"/>
        <v>14618.132146270766</v>
      </c>
      <c r="AL10" s="32">
        <f t="shared" si="6"/>
        <v>15769.313467733467</v>
      </c>
      <c r="AM10" s="32">
        <f t="shared" si="6"/>
        <v>16932.006602410809</v>
      </c>
      <c r="AN10" s="32">
        <f t="shared" si="6"/>
        <v>22803.606932531333</v>
      </c>
      <c r="AO10" s="32">
        <f t="shared" si="6"/>
        <v>24036.643001856653</v>
      </c>
      <c r="AP10" s="32">
        <f t="shared" si="6"/>
        <v>25282.009431875205</v>
      </c>
      <c r="AQ10" s="32">
        <f t="shared" si="6"/>
        <v>26539.829526193953</v>
      </c>
      <c r="AR10" s="32">
        <f t="shared" si="6"/>
        <v>27810.227821455894</v>
      </c>
      <c r="AS10" s="32">
        <f t="shared" si="6"/>
        <v>29093.330099670449</v>
      </c>
      <c r="AT10" s="32">
        <f t="shared" si="6"/>
        <v>30389.263400667158</v>
      </c>
      <c r="AU10" s="32">
        <f t="shared" si="6"/>
        <v>31698.156034673859</v>
      </c>
      <c r="AV10" s="32">
        <f t="shared" si="6"/>
        <v>33020.137595020591</v>
      </c>
      <c r="AW10" s="32">
        <f t="shared" si="6"/>
        <v>34355.338970970806</v>
      </c>
      <c r="BI10" s="1">
        <v>27022.747853496116</v>
      </c>
    </row>
    <row r="11" spans="1:61" x14ac:dyDescent="0.35">
      <c r="A11" s="1" t="str">
        <v>Capital Gains &gt; 67,500DKK</v>
      </c>
      <c r="B11" s="28">
        <v>0.42</v>
      </c>
      <c r="D11" s="1" t="s">
        <v>195</v>
      </c>
      <c r="E11" s="32">
        <f>E8*$B$6</f>
        <v>46903.995294117653</v>
      </c>
      <c r="F11" s="32">
        <f t="shared" ref="F11:AW11" si="7">F8*$B$6</f>
        <v>47435.00684705883</v>
      </c>
      <c r="G11" s="32">
        <f t="shared" si="7"/>
        <v>50116.615189411757</v>
      </c>
      <c r="H11" s="32">
        <f t="shared" si="7"/>
        <v>50679.75294130588</v>
      </c>
      <c r="I11" s="32">
        <f t="shared" si="7"/>
        <v>51248.522070718936</v>
      </c>
      <c r="J11" s="32">
        <f t="shared" si="7"/>
        <v>51822.978891426115</v>
      </c>
      <c r="K11" s="32">
        <f t="shared" si="7"/>
        <v>54723.985835997439</v>
      </c>
      <c r="L11" s="32">
        <f t="shared" si="7"/>
        <v>55333.197294357415</v>
      </c>
      <c r="M11" s="32">
        <f t="shared" si="7"/>
        <v>55948.50086730098</v>
      </c>
      <c r="N11" s="32">
        <f t="shared" si="7"/>
        <v>56569.957475974006</v>
      </c>
      <c r="O11" s="32">
        <f t="shared" si="7"/>
        <v>59708.313349772703</v>
      </c>
      <c r="P11" s="32">
        <f t="shared" si="7"/>
        <v>60367.368083270419</v>
      </c>
      <c r="Q11" s="32">
        <f t="shared" si="7"/>
        <v>61033.013364103128</v>
      </c>
      <c r="R11" s="32">
        <f t="shared" si="7"/>
        <v>61705.315097744162</v>
      </c>
      <c r="S11" s="32">
        <f t="shared" si="7"/>
        <v>65100.438852631349</v>
      </c>
      <c r="T11" s="32">
        <f t="shared" si="7"/>
        <v>65813.41484115769</v>
      </c>
      <c r="U11" s="32">
        <f t="shared" si="7"/>
        <v>66533.520589569249</v>
      </c>
      <c r="V11" s="32">
        <f t="shared" si="7"/>
        <v>67260.827395464934</v>
      </c>
      <c r="W11" s="32">
        <f t="shared" si="7"/>
        <v>70933.726765238214</v>
      </c>
      <c r="X11" s="32">
        <f t="shared" si="7"/>
        <v>71705.035632890576</v>
      </c>
      <c r="Y11" s="32">
        <f t="shared" si="7"/>
        <v>72484.057589219461</v>
      </c>
      <c r="Z11" s="32">
        <f t="shared" si="7"/>
        <v>73270.869765111682</v>
      </c>
      <c r="AA11" s="32">
        <f t="shared" si="7"/>
        <v>77244.27125336726</v>
      </c>
      <c r="AB11" s="32">
        <f t="shared" si="7"/>
        <v>78078.685565900945</v>
      </c>
      <c r="AC11" s="32">
        <f t="shared" si="7"/>
        <v>78921.444021559946</v>
      </c>
      <c r="AD11" s="32">
        <f t="shared" si="7"/>
        <v>79772.630061775548</v>
      </c>
      <c r="AE11" s="32">
        <f t="shared" si="7"/>
        <v>80632.32796239329</v>
      </c>
      <c r="AF11" s="32">
        <f t="shared" si="7"/>
        <v>81500.622842017241</v>
      </c>
      <c r="AG11" s="32">
        <f t="shared" si="7"/>
        <v>82377.600670437401</v>
      </c>
      <c r="AH11" s="32">
        <f t="shared" si="7"/>
        <v>83263.348277141777</v>
      </c>
      <c r="AI11" s="32">
        <f t="shared" si="7"/>
        <v>84157.953359913197</v>
      </c>
      <c r="AJ11" s="32">
        <f t="shared" si="7"/>
        <v>85061.504493512344</v>
      </c>
      <c r="AK11" s="32">
        <f t="shared" si="7"/>
        <v>85974.09113844746</v>
      </c>
      <c r="AL11" s="32">
        <f t="shared" si="7"/>
        <v>86895.803649831927</v>
      </c>
      <c r="AM11" s="32">
        <f t="shared" si="7"/>
        <v>87826.733286330258</v>
      </c>
      <c r="AN11" s="32">
        <f t="shared" si="7"/>
        <v>92527.927950646757</v>
      </c>
      <c r="AO11" s="32">
        <f t="shared" si="7"/>
        <v>93515.178830153221</v>
      </c>
      <c r="AP11" s="32">
        <f t="shared" si="7"/>
        <v>94512.302218454744</v>
      </c>
      <c r="AQ11" s="32">
        <f t="shared" si="7"/>
        <v>95519.396840639296</v>
      </c>
      <c r="AR11" s="32">
        <f t="shared" si="7"/>
        <v>96536.562409045684</v>
      </c>
      <c r="AS11" s="32">
        <f t="shared" si="7"/>
        <v>97563.899633136141</v>
      </c>
      <c r="AT11" s="32">
        <f t="shared" si="7"/>
        <v>98601.510229467502</v>
      </c>
      <c r="AU11" s="32">
        <f t="shared" si="7"/>
        <v>99649.496931762202</v>
      </c>
      <c r="AV11" s="32">
        <f t="shared" si="7"/>
        <v>100707.96350107982</v>
      </c>
      <c r="AW11" s="32">
        <f t="shared" si="7"/>
        <v>101777.01473609063</v>
      </c>
      <c r="BI11" s="1">
        <v>27307.2177383118</v>
      </c>
    </row>
    <row r="12" spans="1:61" x14ac:dyDescent="0.35">
      <c r="A12" s="1" t="str">
        <v>Capital Gains Threshold</v>
      </c>
      <c r="B12" s="57">
        <v>67500</v>
      </c>
      <c r="D12" s="1" t="s">
        <v>196</v>
      </c>
      <c r="E12" s="32">
        <f>SUM(E9:E11)</f>
        <v>157439.28941176474</v>
      </c>
      <c r="F12" s="32">
        <f t="shared" ref="F12:AW12" si="8">SUM(F9:F11)</f>
        <v>159075.65390588238</v>
      </c>
      <c r="G12" s="32">
        <f t="shared" si="8"/>
        <v>167339.29460117646</v>
      </c>
      <c r="H12" s="32">
        <f t="shared" si="8"/>
        <v>169074.65914718824</v>
      </c>
      <c r="I12" s="32">
        <f t="shared" si="8"/>
        <v>170827.3773386601</v>
      </c>
      <c r="J12" s="32">
        <f t="shared" si="8"/>
        <v>172597.62271204666</v>
      </c>
      <c r="K12" s="32">
        <f t="shared" si="8"/>
        <v>181537.36184764907</v>
      </c>
      <c r="L12" s="32">
        <f t="shared" si="8"/>
        <v>183414.70706612556</v>
      </c>
      <c r="M12" s="32">
        <f t="shared" si="8"/>
        <v>185310.82573678679</v>
      </c>
      <c r="N12" s="32">
        <f t="shared" si="8"/>
        <v>187225.9055941547</v>
      </c>
      <c r="O12" s="32">
        <f t="shared" si="8"/>
        <v>196897.05887386244</v>
      </c>
      <c r="P12" s="32">
        <f t="shared" si="8"/>
        <v>198928.00106260102</v>
      </c>
      <c r="Q12" s="32">
        <f t="shared" si="8"/>
        <v>200979.25267322705</v>
      </c>
      <c r="R12" s="32">
        <f t="shared" si="8"/>
        <v>203051.01679995932</v>
      </c>
      <c r="S12" s="32">
        <f t="shared" si="8"/>
        <v>213513.42563995722</v>
      </c>
      <c r="T12" s="32">
        <f t="shared" si="8"/>
        <v>215710.53149635688</v>
      </c>
      <c r="U12" s="32">
        <f t="shared" si="8"/>
        <v>217929.60841132037</v>
      </c>
      <c r="V12" s="32">
        <f t="shared" si="8"/>
        <v>220170.87609543357</v>
      </c>
      <c r="W12" s="32">
        <f t="shared" si="8"/>
        <v>231489.27790020534</v>
      </c>
      <c r="X12" s="32">
        <f t="shared" si="8"/>
        <v>233866.14227920736</v>
      </c>
      <c r="Y12" s="32">
        <f t="shared" si="8"/>
        <v>236266.77530199935</v>
      </c>
      <c r="Z12" s="32">
        <f t="shared" si="8"/>
        <v>238691.41465501944</v>
      </c>
      <c r="AA12" s="32">
        <f t="shared" si="8"/>
        <v>254650.78666841227</v>
      </c>
      <c r="AB12" s="32">
        <f t="shared" si="8"/>
        <v>258264.26613509643</v>
      </c>
      <c r="AC12" s="32">
        <f t="shared" si="8"/>
        <v>261913.88039644738</v>
      </c>
      <c r="AD12" s="32">
        <f t="shared" si="8"/>
        <v>265599.99080041185</v>
      </c>
      <c r="AE12" s="32">
        <f t="shared" si="8"/>
        <v>269322.96230841591</v>
      </c>
      <c r="AF12" s="32">
        <f t="shared" si="8"/>
        <v>273083.16353150015</v>
      </c>
      <c r="AG12" s="32">
        <f t="shared" si="8"/>
        <v>276880.96676681511</v>
      </c>
      <c r="AH12" s="32">
        <f t="shared" si="8"/>
        <v>280716.74803448329</v>
      </c>
      <c r="AI12" s="32">
        <f t="shared" si="8"/>
        <v>284590.8871148281</v>
      </c>
      <c r="AJ12" s="32">
        <f t="shared" si="8"/>
        <v>288503.76758597646</v>
      </c>
      <c r="AK12" s="32">
        <f t="shared" si="8"/>
        <v>292455.7768618362</v>
      </c>
      <c r="AL12" s="32">
        <f t="shared" si="8"/>
        <v>296447.30623045453</v>
      </c>
      <c r="AM12" s="32">
        <f t="shared" si="8"/>
        <v>300478.75089275907</v>
      </c>
      <c r="AN12" s="32">
        <f t="shared" si="8"/>
        <v>320837.54643739702</v>
      </c>
      <c r="AO12" s="32">
        <f t="shared" si="8"/>
        <v>325112.89350177097</v>
      </c>
      <c r="AP12" s="32">
        <f t="shared" si="8"/>
        <v>329430.99403678859</v>
      </c>
      <c r="AQ12" s="32">
        <f t="shared" si="8"/>
        <v>333792.27557715651</v>
      </c>
      <c r="AR12" s="32">
        <f t="shared" si="8"/>
        <v>338197.16993292805</v>
      </c>
      <c r="AS12" s="32">
        <f t="shared" si="8"/>
        <v>342646.11323225731</v>
      </c>
      <c r="AT12" s="32">
        <f t="shared" si="8"/>
        <v>347139.54596457991</v>
      </c>
      <c r="AU12" s="32">
        <f t="shared" si="8"/>
        <v>351677.91302422585</v>
      </c>
      <c r="AV12" s="32">
        <f t="shared" si="8"/>
        <v>356261.66375446809</v>
      </c>
      <c r="AW12" s="32">
        <f t="shared" si="8"/>
        <v>360891.25199201278</v>
      </c>
      <c r="BI12" s="1">
        <v>28691.487554584961</v>
      </c>
    </row>
    <row r="13" spans="1:61" x14ac:dyDescent="0.35">
      <c r="B13" s="26"/>
      <c r="D13" s="1" t="s">
        <v>197</v>
      </c>
      <c r="E13" s="32">
        <f>E6-E12</f>
        <v>284701.8870588236</v>
      </c>
      <c r="F13" s="32">
        <f t="shared" ref="F13:AW13" si="9">F6-F12</f>
        <v>287486.93432941177</v>
      </c>
      <c r="G13" s="32">
        <f t="shared" si="9"/>
        <v>301551.42304588231</v>
      </c>
      <c r="H13" s="32">
        <f t="shared" si="9"/>
        <v>304504.96567634115</v>
      </c>
      <c r="I13" s="32">
        <f t="shared" si="9"/>
        <v>307488.0437331046</v>
      </c>
      <c r="J13" s="32">
        <f t="shared" si="9"/>
        <v>310500.95257043559</v>
      </c>
      <c r="K13" s="32">
        <f t="shared" si="9"/>
        <v>325716.14219895739</v>
      </c>
      <c r="L13" s="32">
        <f t="shared" si="9"/>
        <v>328911.33202094701</v>
      </c>
      <c r="M13" s="32">
        <f t="shared" si="9"/>
        <v>332138.4737411564</v>
      </c>
      <c r="N13" s="32">
        <f t="shared" si="9"/>
        <v>335397.8868785681</v>
      </c>
      <c r="O13" s="32">
        <f t="shared" si="9"/>
        <v>351857.92322249647</v>
      </c>
      <c r="P13" s="32">
        <f t="shared" si="9"/>
        <v>355314.53085472144</v>
      </c>
      <c r="Q13" s="32">
        <f t="shared" si="9"/>
        <v>358805.70456326863</v>
      </c>
      <c r="R13" s="32">
        <f t="shared" si="9"/>
        <v>362331.79000890127</v>
      </c>
      <c r="S13" s="32">
        <f t="shared" si="9"/>
        <v>380138.52150934632</v>
      </c>
      <c r="T13" s="32">
        <f t="shared" si="9"/>
        <v>383877.93512443983</v>
      </c>
      <c r="U13" s="32">
        <f t="shared" si="9"/>
        <v>387654.74287568417</v>
      </c>
      <c r="V13" s="32">
        <f t="shared" si="9"/>
        <v>391469.31870444096</v>
      </c>
      <c r="W13" s="32">
        <f t="shared" si="9"/>
        <v>410732.92663966317</v>
      </c>
      <c r="X13" s="32">
        <f t="shared" si="9"/>
        <v>414778.28430605971</v>
      </c>
      <c r="Y13" s="32">
        <f t="shared" si="9"/>
        <v>418864.09554912028</v>
      </c>
      <c r="Z13" s="32">
        <f t="shared" si="9"/>
        <v>422990.76490461163</v>
      </c>
      <c r="AA13" s="32">
        <f t="shared" si="9"/>
        <v>440115.50186920026</v>
      </c>
      <c r="AB13" s="32">
        <f t="shared" si="9"/>
        <v>443449.68528789224</v>
      </c>
      <c r="AC13" s="32">
        <f t="shared" si="9"/>
        <v>446817.21054077114</v>
      </c>
      <c r="AD13" s="32">
        <f t="shared" si="9"/>
        <v>450218.41104617895</v>
      </c>
      <c r="AE13" s="32">
        <f t="shared" si="9"/>
        <v>453653.6235566407</v>
      </c>
      <c r="AF13" s="32">
        <f t="shared" si="9"/>
        <v>457123.18819220713</v>
      </c>
      <c r="AG13" s="32">
        <f t="shared" si="9"/>
        <v>460627.44847412914</v>
      </c>
      <c r="AH13" s="32">
        <f t="shared" si="9"/>
        <v>464166.75135887042</v>
      </c>
      <c r="AI13" s="32">
        <f t="shared" si="9"/>
        <v>467741.44727245916</v>
      </c>
      <c r="AJ13" s="32">
        <f t="shared" si="9"/>
        <v>471351.89014518383</v>
      </c>
      <c r="AK13" s="32">
        <f t="shared" si="9"/>
        <v>474998.43744663557</v>
      </c>
      <c r="AL13" s="32">
        <f t="shared" si="9"/>
        <v>478681.45022110193</v>
      </c>
      <c r="AM13" s="32">
        <f t="shared" si="9"/>
        <v>482401.29312331299</v>
      </c>
      <c r="AN13" s="32">
        <f t="shared" si="9"/>
        <v>501186.49977947853</v>
      </c>
      <c r="AO13" s="32">
        <f t="shared" si="9"/>
        <v>505131.39317727339</v>
      </c>
      <c r="AP13" s="32">
        <f t="shared" si="9"/>
        <v>509115.73550904612</v>
      </c>
      <c r="AQ13" s="32">
        <f t="shared" si="9"/>
        <v>513139.9212641365</v>
      </c>
      <c r="AR13" s="32">
        <f t="shared" si="9"/>
        <v>517204.34887677792</v>
      </c>
      <c r="AS13" s="32">
        <f t="shared" si="9"/>
        <v>521309.42076554568</v>
      </c>
      <c r="AT13" s="32">
        <f t="shared" si="9"/>
        <v>525455.54337320116</v>
      </c>
      <c r="AU13" s="32">
        <f t="shared" si="9"/>
        <v>529643.12720693322</v>
      </c>
      <c r="AV13" s="32">
        <f t="shared" si="9"/>
        <v>533872.58687900251</v>
      </c>
      <c r="AW13" s="32">
        <f t="shared" si="9"/>
        <v>538144.34114779253</v>
      </c>
      <c r="BI13" s="1">
        <v>28991.891250354489</v>
      </c>
    </row>
    <row r="14" spans="1:61" x14ac:dyDescent="0.35">
      <c r="B14" s="32"/>
      <c r="D14" s="1" t="s">
        <v>198</v>
      </c>
      <c r="E14" s="32">
        <f>$B$2/(1+$B$1)^(E1-2024)</f>
        <v>9215.6862745098042</v>
      </c>
      <c r="F14" s="32">
        <f t="shared" ref="F14:AW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f t="shared" si="10"/>
        <v>5087.7121141286025</v>
      </c>
      <c r="AJ14" s="32">
        <f t="shared" si="10"/>
        <v>4987.9530530672555</v>
      </c>
      <c r="AK14" s="32">
        <f t="shared" si="10"/>
        <v>4890.1500520267209</v>
      </c>
      <c r="AL14" s="32">
        <f t="shared" si="10"/>
        <v>4794.2647568889424</v>
      </c>
      <c r="AM14" s="32">
        <f t="shared" si="10"/>
        <v>4700.2595655773948</v>
      </c>
      <c r="AN14" s="32">
        <f t="shared" si="10"/>
        <v>4608.0976133111717</v>
      </c>
      <c r="AO14" s="32">
        <f t="shared" si="10"/>
        <v>4517.742758148207</v>
      </c>
      <c r="AP14" s="32">
        <f t="shared" si="10"/>
        <v>4429.1595668119671</v>
      </c>
      <c r="AQ14" s="32">
        <f t="shared" si="10"/>
        <v>4342.3133007960478</v>
      </c>
      <c r="AR14" s="32">
        <f t="shared" si="10"/>
        <v>4257.1699027412224</v>
      </c>
      <c r="AS14" s="32">
        <f t="shared" si="10"/>
        <v>4173.6959830796295</v>
      </c>
      <c r="AT14" s="32">
        <f t="shared" si="10"/>
        <v>4091.8588069408138</v>
      </c>
      <c r="AU14" s="32">
        <f t="shared" si="10"/>
        <v>4011.6262813145236</v>
      </c>
      <c r="AV14" s="32">
        <f t="shared" si="10"/>
        <v>3932.9669424652184</v>
      </c>
      <c r="AW14" s="32">
        <f t="shared" si="10"/>
        <v>3855.8499435933518</v>
      </c>
      <c r="BI14" s="1">
        <v>29294.933235626344</v>
      </c>
    </row>
    <row r="15" spans="1:61" x14ac:dyDescent="0.35">
      <c r="D15" s="1" t="s">
        <v>201</v>
      </c>
      <c r="E15" s="32">
        <f>E13-E14</f>
        <v>275486.20078431378</v>
      </c>
      <c r="F15" s="32">
        <f t="shared" ref="F15:AW15" si="11">F13-F14</f>
        <v>278451.94778577471</v>
      </c>
      <c r="G15" s="32">
        <f t="shared" si="11"/>
        <v>292693.59310114011</v>
      </c>
      <c r="H15" s="32">
        <f t="shared" si="11"/>
        <v>295820.81867169193</v>
      </c>
      <c r="I15" s="32">
        <f t="shared" si="11"/>
        <v>298974.17412070336</v>
      </c>
      <c r="J15" s="32">
        <f t="shared" si="11"/>
        <v>302154.02157788537</v>
      </c>
      <c r="K15" s="32">
        <f t="shared" si="11"/>
        <v>317532.8765199866</v>
      </c>
      <c r="L15" s="32">
        <f t="shared" si="11"/>
        <v>320888.52253175998</v>
      </c>
      <c r="M15" s="32">
        <f t="shared" si="11"/>
        <v>324272.9742419534</v>
      </c>
      <c r="N15" s="32">
        <f t="shared" si="11"/>
        <v>327686.61285974161</v>
      </c>
      <c r="O15" s="32">
        <f t="shared" si="11"/>
        <v>344297.85065501952</v>
      </c>
      <c r="P15" s="32">
        <f t="shared" si="11"/>
        <v>347902.69500425388</v>
      </c>
      <c r="Q15" s="32">
        <f t="shared" si="11"/>
        <v>351539.19882751611</v>
      </c>
      <c r="R15" s="32">
        <f t="shared" si="11"/>
        <v>355207.76477777137</v>
      </c>
      <c r="S15" s="32">
        <f t="shared" si="11"/>
        <v>373154.18304745422</v>
      </c>
      <c r="T15" s="32">
        <f t="shared" si="11"/>
        <v>377030.54447552603</v>
      </c>
      <c r="U15" s="32">
        <f t="shared" si="11"/>
        <v>380941.61478851375</v>
      </c>
      <c r="V15" s="32">
        <f t="shared" si="11"/>
        <v>384887.82057976408</v>
      </c>
      <c r="W15" s="32">
        <f t="shared" si="11"/>
        <v>404280.47749782313</v>
      </c>
      <c r="X15" s="32">
        <f t="shared" si="11"/>
        <v>408452.35377484397</v>
      </c>
      <c r="Y15" s="32">
        <f t="shared" si="11"/>
        <v>412662.20287145779</v>
      </c>
      <c r="Z15" s="32">
        <f t="shared" si="11"/>
        <v>416910.47796572681</v>
      </c>
      <c r="AA15" s="32">
        <f t="shared" si="11"/>
        <v>434154.43624284264</v>
      </c>
      <c r="AB15" s="32">
        <f t="shared" si="11"/>
        <v>437605.5033012671</v>
      </c>
      <c r="AC15" s="32">
        <f t="shared" si="11"/>
        <v>441087.62035780528</v>
      </c>
      <c r="AD15" s="32">
        <f t="shared" si="11"/>
        <v>444601.16576876148</v>
      </c>
      <c r="AE15" s="32">
        <f t="shared" si="11"/>
        <v>448146.52034348634</v>
      </c>
      <c r="AF15" s="32">
        <f t="shared" si="11"/>
        <v>451724.06739499694</v>
      </c>
      <c r="AG15" s="32">
        <f t="shared" si="11"/>
        <v>455334.19279058976</v>
      </c>
      <c r="AH15" s="32">
        <f t="shared" si="11"/>
        <v>458977.28500245925</v>
      </c>
      <c r="AI15" s="32">
        <f t="shared" si="11"/>
        <v>462653.73515833059</v>
      </c>
      <c r="AJ15" s="32">
        <f t="shared" si="11"/>
        <v>466363.93709211657</v>
      </c>
      <c r="AK15" s="32">
        <f t="shared" si="11"/>
        <v>470108.28739460884</v>
      </c>
      <c r="AL15" s="32">
        <f t="shared" si="11"/>
        <v>473887.18546421296</v>
      </c>
      <c r="AM15" s="32">
        <f t="shared" si="11"/>
        <v>477701.03355773562</v>
      </c>
      <c r="AN15" s="32">
        <f t="shared" si="11"/>
        <v>496578.40216616733</v>
      </c>
      <c r="AO15" s="32">
        <f t="shared" si="11"/>
        <v>500613.65041912516</v>
      </c>
      <c r="AP15" s="32">
        <f t="shared" si="11"/>
        <v>504686.57594223414</v>
      </c>
      <c r="AQ15" s="32">
        <f t="shared" si="11"/>
        <v>508797.60796334047</v>
      </c>
      <c r="AR15" s="32">
        <f t="shared" si="11"/>
        <v>512947.17897403671</v>
      </c>
      <c r="AS15" s="32">
        <f t="shared" si="11"/>
        <v>517135.72478246607</v>
      </c>
      <c r="AT15" s="32">
        <f t="shared" si="11"/>
        <v>521363.68456626037</v>
      </c>
      <c r="AU15" s="32">
        <f t="shared" si="11"/>
        <v>525631.50092561869</v>
      </c>
      <c r="AV15" s="32">
        <f t="shared" si="11"/>
        <v>529939.61993653735</v>
      </c>
      <c r="AW15" s="32">
        <f t="shared" si="11"/>
        <v>534288.49120419915</v>
      </c>
      <c r="BI15" s="1">
        <v>29600.647064814282</v>
      </c>
    </row>
    <row r="16" spans="1:61" x14ac:dyDescent="0.35">
      <c r="D16" s="1" t="s">
        <v>202</v>
      </c>
      <c r="E16" s="32">
        <f>E15/12</f>
        <v>22957.183398692814</v>
      </c>
      <c r="F16" s="32">
        <f t="shared" ref="F16:AW16" si="12">F15/12</f>
        <v>23204.328982147894</v>
      </c>
      <c r="G16" s="32">
        <f t="shared" si="12"/>
        <v>24391.132758428343</v>
      </c>
      <c r="H16" s="32">
        <f t="shared" si="12"/>
        <v>24651.73488930766</v>
      </c>
      <c r="I16" s="32">
        <f t="shared" si="12"/>
        <v>24914.514510058612</v>
      </c>
      <c r="J16" s="32">
        <f t="shared" si="12"/>
        <v>25179.501798157115</v>
      </c>
      <c r="K16" s="32">
        <f t="shared" si="12"/>
        <v>26461.073043332217</v>
      </c>
      <c r="L16" s="32">
        <f t="shared" si="12"/>
        <v>26740.71021098</v>
      </c>
      <c r="M16" s="32">
        <f t="shared" si="12"/>
        <v>27022.747853496116</v>
      </c>
      <c r="N16" s="32">
        <f t="shared" si="12"/>
        <v>27307.2177383118</v>
      </c>
      <c r="O16" s="32">
        <f t="shared" si="12"/>
        <v>28691.487554584961</v>
      </c>
      <c r="P16" s="32">
        <f t="shared" si="12"/>
        <v>28991.891250354489</v>
      </c>
      <c r="Q16" s="32">
        <f t="shared" si="12"/>
        <v>29294.933235626344</v>
      </c>
      <c r="R16" s="32">
        <f t="shared" si="12"/>
        <v>29600.647064814282</v>
      </c>
      <c r="S16" s="32">
        <f t="shared" si="12"/>
        <v>31096.181920621184</v>
      </c>
      <c r="T16" s="32">
        <f t="shared" si="12"/>
        <v>31419.212039627168</v>
      </c>
      <c r="U16" s="32">
        <f t="shared" si="12"/>
        <v>31745.134565709479</v>
      </c>
      <c r="V16" s="32">
        <f t="shared" si="12"/>
        <v>32073.985048313672</v>
      </c>
      <c r="W16" s="32">
        <f t="shared" si="12"/>
        <v>33690.039791485258</v>
      </c>
      <c r="X16" s="32">
        <f t="shared" si="12"/>
        <v>34037.696147903662</v>
      </c>
      <c r="Y16" s="32">
        <f t="shared" si="12"/>
        <v>34388.516905954813</v>
      </c>
      <c r="Z16" s="32">
        <f t="shared" si="12"/>
        <v>34742.539830477232</v>
      </c>
      <c r="AA16" s="32">
        <f t="shared" si="12"/>
        <v>36179.53635357022</v>
      </c>
      <c r="AB16" s="32">
        <f t="shared" si="12"/>
        <v>36467.125275105594</v>
      </c>
      <c r="AC16" s="32">
        <f t="shared" si="12"/>
        <v>36757.301696483773</v>
      </c>
      <c r="AD16" s="32">
        <f t="shared" si="12"/>
        <v>37050.097147396787</v>
      </c>
      <c r="AE16" s="32">
        <f t="shared" si="12"/>
        <v>37345.543361957192</v>
      </c>
      <c r="AF16" s="32">
        <f t="shared" si="12"/>
        <v>37643.672282916414</v>
      </c>
      <c r="AG16" s="32">
        <f t="shared" si="12"/>
        <v>37944.516065882483</v>
      </c>
      <c r="AH16" s="32">
        <f t="shared" si="12"/>
        <v>38248.107083538271</v>
      </c>
      <c r="AI16" s="32">
        <f t="shared" si="12"/>
        <v>38554.477929860885</v>
      </c>
      <c r="AJ16" s="32">
        <f t="shared" si="12"/>
        <v>38863.661424343045</v>
      </c>
      <c r="AK16" s="32">
        <f t="shared" si="12"/>
        <v>39175.690616217405</v>
      </c>
      <c r="AL16" s="32">
        <f t="shared" si="12"/>
        <v>39490.598788684416</v>
      </c>
      <c r="AM16" s="32">
        <f t="shared" si="12"/>
        <v>39808.419463144637</v>
      </c>
      <c r="AN16" s="32">
        <f t="shared" si="12"/>
        <v>41381.53351384728</v>
      </c>
      <c r="AO16" s="32">
        <f t="shared" si="12"/>
        <v>41717.804201593761</v>
      </c>
      <c r="AP16" s="32">
        <f t="shared" si="12"/>
        <v>42057.214661852842</v>
      </c>
      <c r="AQ16" s="32">
        <f t="shared" si="12"/>
        <v>42399.800663611706</v>
      </c>
      <c r="AR16" s="32">
        <f t="shared" si="12"/>
        <v>42745.598247836395</v>
      </c>
      <c r="AS16" s="32">
        <f t="shared" si="12"/>
        <v>43094.643731872173</v>
      </c>
      <c r="AT16" s="32">
        <f t="shared" si="12"/>
        <v>43446.973713855034</v>
      </c>
      <c r="AU16" s="32">
        <f t="shared" si="12"/>
        <v>43802.625077134893</v>
      </c>
      <c r="AV16" s="32">
        <f t="shared" si="12"/>
        <v>44161.634994711443</v>
      </c>
      <c r="AW16" s="32">
        <f t="shared" si="12"/>
        <v>44524.04093368326</v>
      </c>
      <c r="BI16" s="1">
        <v>31096.181920621184</v>
      </c>
    </row>
    <row r="17" spans="4:61" x14ac:dyDescent="0.35">
      <c r="BI17" s="1">
        <v>31419.212039627168</v>
      </c>
    </row>
    <row r="18" spans="4:61" x14ac:dyDescent="0.35">
      <c r="BI18" s="1">
        <v>31745.134565709479</v>
      </c>
    </row>
    <row r="19" spans="4:61" x14ac:dyDescent="0.35">
      <c r="BI19" s="1">
        <v>32073.985048313672</v>
      </c>
    </row>
    <row r="20" spans="4:61" x14ac:dyDescent="0.35">
      <c r="D20" s="30"/>
      <c r="BI20" s="1">
        <v>33690.039791485258</v>
      </c>
    </row>
    <row r="21" spans="4:61" x14ac:dyDescent="0.3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34037.696147903662</v>
      </c>
    </row>
    <row r="22" spans="4:61" x14ac:dyDescent="0.35">
      <c r="D22" s="1" t="s">
        <v>209</v>
      </c>
      <c r="E22" s="30">
        <f>'Pensions P1'!$B$14+'Pensions P1'!$B$22</f>
        <v>32857.089551122292</v>
      </c>
      <c r="F22" s="30">
        <f>'Pensions P1'!$B$14+'Pensions P1'!$B$22</f>
        <v>32857.089551122292</v>
      </c>
      <c r="G22" s="30">
        <f>'Pensions P1'!$B$14+'Pensions P1'!$B$22</f>
        <v>32857.089551122292</v>
      </c>
      <c r="H22" s="30">
        <f>'Pensions P1'!$B$14+'Pensions P1'!$B$22</f>
        <v>32857.089551122292</v>
      </c>
      <c r="I22" s="30">
        <f>'Pensions P1'!$B$14+'Pensions P1'!$B$22</f>
        <v>32857.089551122292</v>
      </c>
      <c r="J22" s="30">
        <f>'Pensions P1'!$B$14+'Pensions P1'!$B$22</f>
        <v>32857.089551122292</v>
      </c>
      <c r="K22" s="30">
        <f>'Pensions P1'!$B$14+'Pensions P1'!$B$22</f>
        <v>32857.089551122292</v>
      </c>
      <c r="L22" s="30">
        <f>'Pensions P1'!$B$14+'Pensions P1'!$B$22</f>
        <v>32857.089551122292</v>
      </c>
      <c r="M22" s="30">
        <f>'Pensions P1'!$B$14+'Pensions P1'!$B$22</f>
        <v>32857.089551122292</v>
      </c>
      <c r="N22" s="30">
        <f>'Pensions P1'!$B$14+'Pensions P1'!$B$22</f>
        <v>32857.089551122292</v>
      </c>
      <c r="O22" s="30">
        <f>'Pensions P1'!$B$14+'Pensions P1'!$B$22</f>
        <v>32857.089551122292</v>
      </c>
      <c r="P22" s="30">
        <f>'Pensions P1'!$B$14+'Pensions P1'!$B$22</f>
        <v>32857.089551122292</v>
      </c>
      <c r="Q22" s="30">
        <f>'Pensions P1'!$B$14+'Pensions P1'!$B$22</f>
        <v>32857.089551122292</v>
      </c>
      <c r="R22" s="30">
        <f>'Pensions P1'!$B$14+'Pensions P1'!$B$22</f>
        <v>32857.089551122292</v>
      </c>
      <c r="S22" s="30">
        <f>'Pensions P1'!$B$14+'Pensions P1'!$B$22</f>
        <v>32857.089551122292</v>
      </c>
      <c r="T22" s="30">
        <f>'Pensions P1'!$B$14+'Pensions P1'!$B$22</f>
        <v>32857.089551122292</v>
      </c>
      <c r="U22" s="30">
        <f>'Pensions P1'!$B$14+'Pensions P1'!$B$22</f>
        <v>32857.089551122292</v>
      </c>
      <c r="V22" s="30">
        <f>'Pensions P1'!$B$14+'Pensions P1'!$B$22</f>
        <v>32857.089551122292</v>
      </c>
      <c r="W22" s="30">
        <f>'Pensions P1'!$B$14+'Pensions P1'!$B$22</f>
        <v>32857.089551122292</v>
      </c>
      <c r="X22" s="30">
        <f>'Pensions P1'!$B$14+'Pensions P1'!$B$22</f>
        <v>32857.089551122292</v>
      </c>
      <c r="Y22" s="30">
        <f>'Pensions P1'!$B$14+'Pensions P1'!$B$22</f>
        <v>32857.089551122292</v>
      </c>
      <c r="Z22" s="30">
        <f>'Pensions P1'!$B$14+'Pensions P1'!$B$22</f>
        <v>32857.089551122292</v>
      </c>
      <c r="AA22" s="30">
        <f>'Pensions P1'!$B$14+'Pensions P1'!$B$22</f>
        <v>32857.089551122292</v>
      </c>
      <c r="AB22" s="30">
        <f>'Pensions P1'!$B$14+'Pensions P1'!$B$22</f>
        <v>32857.089551122292</v>
      </c>
      <c r="AC22" s="30">
        <f>'Pensions P1'!$B$14+'Pensions P1'!$B$22</f>
        <v>32857.089551122292</v>
      </c>
      <c r="BI22" s="1">
        <v>34388.516905954813</v>
      </c>
    </row>
    <row r="23" spans="4:61"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34742.539830477232</v>
      </c>
    </row>
    <row r="24" spans="4:61" x14ac:dyDescent="0.35">
      <c r="D24" s="1" t="s">
        <v>210</v>
      </c>
      <c r="E24" s="30">
        <f>E22*12</f>
        <v>394285.0746134675</v>
      </c>
      <c r="F24" s="30">
        <f t="shared" ref="F24:AC24" si="13">F22*12</f>
        <v>394285.0746134675</v>
      </c>
      <c r="G24" s="30">
        <f t="shared" si="13"/>
        <v>394285.0746134675</v>
      </c>
      <c r="H24" s="30">
        <f t="shared" si="13"/>
        <v>394285.0746134675</v>
      </c>
      <c r="I24" s="30">
        <f t="shared" si="13"/>
        <v>394285.0746134675</v>
      </c>
      <c r="J24" s="30">
        <f t="shared" si="13"/>
        <v>394285.0746134675</v>
      </c>
      <c r="K24" s="30">
        <f t="shared" si="13"/>
        <v>394285.0746134675</v>
      </c>
      <c r="L24" s="30">
        <f t="shared" si="13"/>
        <v>394285.0746134675</v>
      </c>
      <c r="M24" s="30">
        <f t="shared" si="13"/>
        <v>394285.0746134675</v>
      </c>
      <c r="N24" s="30">
        <f t="shared" si="13"/>
        <v>394285.0746134675</v>
      </c>
      <c r="O24" s="30">
        <f t="shared" si="13"/>
        <v>394285.0746134675</v>
      </c>
      <c r="P24" s="30">
        <f t="shared" si="13"/>
        <v>394285.0746134675</v>
      </c>
      <c r="Q24" s="30">
        <f t="shared" si="13"/>
        <v>394285.0746134675</v>
      </c>
      <c r="R24" s="30">
        <f t="shared" si="13"/>
        <v>394285.0746134675</v>
      </c>
      <c r="S24" s="30">
        <f t="shared" si="13"/>
        <v>394285.0746134675</v>
      </c>
      <c r="T24" s="30">
        <f t="shared" si="13"/>
        <v>394285.0746134675</v>
      </c>
      <c r="U24" s="30">
        <f t="shared" si="13"/>
        <v>394285.0746134675</v>
      </c>
      <c r="V24" s="30">
        <f t="shared" si="13"/>
        <v>394285.0746134675</v>
      </c>
      <c r="W24" s="30">
        <f t="shared" si="13"/>
        <v>394285.0746134675</v>
      </c>
      <c r="X24" s="30">
        <f t="shared" si="13"/>
        <v>394285.0746134675</v>
      </c>
      <c r="Y24" s="30">
        <f t="shared" si="13"/>
        <v>394285.0746134675</v>
      </c>
      <c r="Z24" s="30">
        <f t="shared" si="13"/>
        <v>394285.0746134675</v>
      </c>
      <c r="AA24" s="30">
        <f t="shared" si="13"/>
        <v>394285.0746134675</v>
      </c>
      <c r="AB24" s="30">
        <f t="shared" si="13"/>
        <v>394285.0746134675</v>
      </c>
      <c r="AC24" s="30">
        <f t="shared" si="13"/>
        <v>394285.0746134675</v>
      </c>
      <c r="BI24" s="1">
        <v>36179.53635357022</v>
      </c>
    </row>
    <row r="25" spans="4:61" x14ac:dyDescent="0.35">
      <c r="D25" s="1" t="s">
        <v>193</v>
      </c>
      <c r="E25" s="30">
        <f>E24*$B$9</f>
        <v>98571.268653366875</v>
      </c>
      <c r="F25" s="30">
        <f t="shared" ref="F25:AC25" si="14">F24*$B$9</f>
        <v>98571.268653366875</v>
      </c>
      <c r="G25" s="30">
        <f t="shared" si="14"/>
        <v>98571.268653366875</v>
      </c>
      <c r="H25" s="30">
        <f t="shared" si="14"/>
        <v>98571.268653366875</v>
      </c>
      <c r="I25" s="30">
        <f t="shared" si="14"/>
        <v>98571.268653366875</v>
      </c>
      <c r="J25" s="30">
        <f t="shared" si="14"/>
        <v>98571.268653366875</v>
      </c>
      <c r="K25" s="30">
        <f t="shared" si="14"/>
        <v>98571.268653366875</v>
      </c>
      <c r="L25" s="30">
        <f t="shared" si="14"/>
        <v>98571.268653366875</v>
      </c>
      <c r="M25" s="30">
        <f t="shared" si="14"/>
        <v>98571.268653366875</v>
      </c>
      <c r="N25" s="30">
        <f t="shared" si="14"/>
        <v>98571.268653366875</v>
      </c>
      <c r="O25" s="30">
        <f t="shared" si="14"/>
        <v>98571.268653366875</v>
      </c>
      <c r="P25" s="30">
        <f t="shared" si="14"/>
        <v>98571.268653366875</v>
      </c>
      <c r="Q25" s="30">
        <f t="shared" si="14"/>
        <v>98571.268653366875</v>
      </c>
      <c r="R25" s="30">
        <f t="shared" si="14"/>
        <v>98571.268653366875</v>
      </c>
      <c r="S25" s="30">
        <f t="shared" si="14"/>
        <v>98571.268653366875</v>
      </c>
      <c r="T25" s="30">
        <f t="shared" si="14"/>
        <v>98571.268653366875</v>
      </c>
      <c r="U25" s="30">
        <f t="shared" si="14"/>
        <v>98571.268653366875</v>
      </c>
      <c r="V25" s="30">
        <f t="shared" si="14"/>
        <v>98571.268653366875</v>
      </c>
      <c r="W25" s="30">
        <f t="shared" si="14"/>
        <v>98571.268653366875</v>
      </c>
      <c r="X25" s="30">
        <f t="shared" si="14"/>
        <v>98571.268653366875</v>
      </c>
      <c r="Y25" s="30">
        <f t="shared" si="14"/>
        <v>98571.268653366875</v>
      </c>
      <c r="Z25" s="30">
        <f t="shared" si="14"/>
        <v>98571.268653366875</v>
      </c>
      <c r="AA25" s="30">
        <f t="shared" si="14"/>
        <v>98571.268653366875</v>
      </c>
      <c r="AB25" s="30">
        <f t="shared" si="14"/>
        <v>98571.268653366875</v>
      </c>
      <c r="AC25" s="30">
        <f t="shared" si="14"/>
        <v>98571.268653366875</v>
      </c>
      <c r="BI25" s="1">
        <v>36467.125275105594</v>
      </c>
    </row>
    <row r="26" spans="4:61" x14ac:dyDescent="0.35">
      <c r="D26" s="1" t="s">
        <v>194</v>
      </c>
      <c r="E26" s="30">
        <f>MAX(E24-$B$8,0)*$B$7</f>
        <v>0</v>
      </c>
      <c r="F26" s="30">
        <f t="shared" ref="F26:AC26" si="15">MAX(F24-$B$8,0)*$B$7</f>
        <v>0</v>
      </c>
      <c r="G26" s="30">
        <f t="shared" si="15"/>
        <v>0</v>
      </c>
      <c r="H26" s="30">
        <f t="shared" si="15"/>
        <v>0</v>
      </c>
      <c r="I26" s="30">
        <f t="shared" si="15"/>
        <v>0</v>
      </c>
      <c r="J26" s="30">
        <f t="shared" si="15"/>
        <v>0</v>
      </c>
      <c r="K26" s="30">
        <f t="shared" si="15"/>
        <v>0</v>
      </c>
      <c r="L26" s="30">
        <f t="shared" si="15"/>
        <v>0</v>
      </c>
      <c r="M26" s="30">
        <f t="shared" si="15"/>
        <v>0</v>
      </c>
      <c r="N26" s="30">
        <f t="shared" si="15"/>
        <v>0</v>
      </c>
      <c r="O26" s="30">
        <f t="shared" si="15"/>
        <v>0</v>
      </c>
      <c r="P26" s="30">
        <f t="shared" si="15"/>
        <v>0</v>
      </c>
      <c r="Q26" s="30">
        <f t="shared" si="15"/>
        <v>0</v>
      </c>
      <c r="R26" s="30">
        <f t="shared" si="15"/>
        <v>0</v>
      </c>
      <c r="S26" s="30">
        <f t="shared" si="15"/>
        <v>0</v>
      </c>
      <c r="T26" s="30">
        <f t="shared" si="15"/>
        <v>0</v>
      </c>
      <c r="U26" s="30">
        <f t="shared" si="15"/>
        <v>0</v>
      </c>
      <c r="V26" s="30">
        <f t="shared" si="15"/>
        <v>0</v>
      </c>
      <c r="W26" s="30">
        <f t="shared" si="15"/>
        <v>0</v>
      </c>
      <c r="X26" s="30">
        <f t="shared" si="15"/>
        <v>0</v>
      </c>
      <c r="Y26" s="30">
        <f t="shared" si="15"/>
        <v>0</v>
      </c>
      <c r="Z26" s="30">
        <f t="shared" si="15"/>
        <v>0</v>
      </c>
      <c r="AA26" s="30">
        <f t="shared" si="15"/>
        <v>0</v>
      </c>
      <c r="AB26" s="30">
        <f t="shared" si="15"/>
        <v>0</v>
      </c>
      <c r="AC26" s="30">
        <f t="shared" si="15"/>
        <v>0</v>
      </c>
      <c r="BI26" s="1">
        <v>36757.301696483773</v>
      </c>
    </row>
    <row r="27" spans="4:61" x14ac:dyDescent="0.35">
      <c r="D27" s="1" t="s">
        <v>195</v>
      </c>
      <c r="E27" s="30">
        <f>E24*$B$6</f>
        <v>47353.637461077444</v>
      </c>
      <c r="F27" s="30">
        <f t="shared" ref="E27:AC27" si="16">F24*$B$6</f>
        <v>47353.637461077444</v>
      </c>
      <c r="G27" s="30">
        <f t="shared" si="16"/>
        <v>47353.637461077444</v>
      </c>
      <c r="H27" s="30">
        <f t="shared" si="16"/>
        <v>47353.637461077444</v>
      </c>
      <c r="I27" s="30">
        <f t="shared" si="16"/>
        <v>47353.637461077444</v>
      </c>
      <c r="J27" s="30">
        <f t="shared" si="16"/>
        <v>47353.637461077444</v>
      </c>
      <c r="K27" s="30">
        <f t="shared" si="16"/>
        <v>47353.637461077444</v>
      </c>
      <c r="L27" s="30">
        <f t="shared" si="16"/>
        <v>47353.637461077444</v>
      </c>
      <c r="M27" s="30">
        <f t="shared" si="16"/>
        <v>47353.637461077444</v>
      </c>
      <c r="N27" s="30">
        <f t="shared" si="16"/>
        <v>47353.637461077444</v>
      </c>
      <c r="O27" s="30">
        <f t="shared" si="16"/>
        <v>47353.637461077444</v>
      </c>
      <c r="P27" s="30">
        <f t="shared" si="16"/>
        <v>47353.637461077444</v>
      </c>
      <c r="Q27" s="30">
        <f t="shared" si="16"/>
        <v>47353.637461077444</v>
      </c>
      <c r="R27" s="30">
        <f t="shared" si="16"/>
        <v>47353.637461077444</v>
      </c>
      <c r="S27" s="30">
        <f t="shared" si="16"/>
        <v>47353.637461077444</v>
      </c>
      <c r="T27" s="30">
        <f t="shared" si="16"/>
        <v>47353.637461077444</v>
      </c>
      <c r="U27" s="30">
        <f t="shared" si="16"/>
        <v>47353.637461077444</v>
      </c>
      <c r="V27" s="30">
        <f t="shared" si="16"/>
        <v>47353.637461077444</v>
      </c>
      <c r="W27" s="30">
        <f t="shared" si="16"/>
        <v>47353.637461077444</v>
      </c>
      <c r="X27" s="30">
        <f t="shared" si="16"/>
        <v>47353.637461077444</v>
      </c>
      <c r="Y27" s="30">
        <f t="shared" si="16"/>
        <v>47353.637461077444</v>
      </c>
      <c r="Z27" s="30">
        <f t="shared" si="16"/>
        <v>47353.637461077444</v>
      </c>
      <c r="AA27" s="30">
        <f t="shared" si="16"/>
        <v>47353.637461077444</v>
      </c>
      <c r="AB27" s="30">
        <f t="shared" si="16"/>
        <v>47353.637461077444</v>
      </c>
      <c r="AC27" s="30">
        <f t="shared" si="16"/>
        <v>47353.637461077444</v>
      </c>
      <c r="BI27" s="1">
        <v>37050.097147396787</v>
      </c>
    </row>
    <row r="28" spans="4:61" x14ac:dyDescent="0.35">
      <c r="D28" s="1" t="s">
        <v>196</v>
      </c>
      <c r="E28" s="30">
        <f>SUM(E25:E27)</f>
        <v>145924.90611444431</v>
      </c>
      <c r="F28" s="30">
        <f>SUM(F25:F27)</f>
        <v>145924.90611444431</v>
      </c>
      <c r="G28" s="30">
        <f t="shared" ref="G28:AC28" si="17">SUM(G25:G27)</f>
        <v>145924.90611444431</v>
      </c>
      <c r="H28" s="30">
        <f t="shared" si="17"/>
        <v>145924.90611444431</v>
      </c>
      <c r="I28" s="30">
        <f t="shared" si="17"/>
        <v>145924.90611444431</v>
      </c>
      <c r="J28" s="30">
        <f t="shared" si="17"/>
        <v>145924.90611444431</v>
      </c>
      <c r="K28" s="30">
        <f t="shared" si="17"/>
        <v>145924.90611444431</v>
      </c>
      <c r="L28" s="30">
        <f t="shared" si="17"/>
        <v>145924.90611444431</v>
      </c>
      <c r="M28" s="30">
        <f t="shared" si="17"/>
        <v>145924.90611444431</v>
      </c>
      <c r="N28" s="30">
        <f t="shared" si="17"/>
        <v>145924.90611444431</v>
      </c>
      <c r="O28" s="30">
        <f t="shared" si="17"/>
        <v>145924.90611444431</v>
      </c>
      <c r="P28" s="30">
        <f t="shared" si="17"/>
        <v>145924.90611444431</v>
      </c>
      <c r="Q28" s="30">
        <f t="shared" si="17"/>
        <v>145924.90611444431</v>
      </c>
      <c r="R28" s="30">
        <f t="shared" si="17"/>
        <v>145924.90611444431</v>
      </c>
      <c r="S28" s="30">
        <f t="shared" si="17"/>
        <v>145924.90611444431</v>
      </c>
      <c r="T28" s="30">
        <f t="shared" si="17"/>
        <v>145924.90611444431</v>
      </c>
      <c r="U28" s="30">
        <f t="shared" si="17"/>
        <v>145924.90611444431</v>
      </c>
      <c r="V28" s="30">
        <f t="shared" si="17"/>
        <v>145924.90611444431</v>
      </c>
      <c r="W28" s="30">
        <f t="shared" si="17"/>
        <v>145924.90611444431</v>
      </c>
      <c r="X28" s="30">
        <f t="shared" si="17"/>
        <v>145924.90611444431</v>
      </c>
      <c r="Y28" s="30">
        <f t="shared" si="17"/>
        <v>145924.90611444431</v>
      </c>
      <c r="Z28" s="30">
        <f t="shared" si="17"/>
        <v>145924.90611444431</v>
      </c>
      <c r="AA28" s="30">
        <f t="shared" si="17"/>
        <v>145924.90611444431</v>
      </c>
      <c r="AB28" s="30">
        <f t="shared" si="17"/>
        <v>145924.90611444431</v>
      </c>
      <c r="AC28" s="30">
        <f t="shared" si="17"/>
        <v>145924.90611444431</v>
      </c>
      <c r="BI28" s="1">
        <v>37345.543361957192</v>
      </c>
    </row>
    <row r="29" spans="4:61" x14ac:dyDescent="0.35">
      <c r="D29" s="1" t="s">
        <v>197</v>
      </c>
      <c r="E29" s="30">
        <f>E24-E28</f>
        <v>248360.16849902319</v>
      </c>
      <c r="F29" s="30">
        <f>F24-F28</f>
        <v>248360.16849902319</v>
      </c>
      <c r="G29" s="30">
        <f t="shared" ref="G29:AC29" si="18">G24-G28</f>
        <v>248360.16849902319</v>
      </c>
      <c r="H29" s="30">
        <f t="shared" si="18"/>
        <v>248360.16849902319</v>
      </c>
      <c r="I29" s="30">
        <f t="shared" si="18"/>
        <v>248360.16849902319</v>
      </c>
      <c r="J29" s="30">
        <f t="shared" si="18"/>
        <v>248360.16849902319</v>
      </c>
      <c r="K29" s="30">
        <f t="shared" si="18"/>
        <v>248360.16849902319</v>
      </c>
      <c r="L29" s="30">
        <f t="shared" si="18"/>
        <v>248360.16849902319</v>
      </c>
      <c r="M29" s="30">
        <f t="shared" si="18"/>
        <v>248360.16849902319</v>
      </c>
      <c r="N29" s="30">
        <f t="shared" si="18"/>
        <v>248360.16849902319</v>
      </c>
      <c r="O29" s="30">
        <f t="shared" si="18"/>
        <v>248360.16849902319</v>
      </c>
      <c r="P29" s="30">
        <f t="shared" si="18"/>
        <v>248360.16849902319</v>
      </c>
      <c r="Q29" s="30">
        <f t="shared" si="18"/>
        <v>248360.16849902319</v>
      </c>
      <c r="R29" s="30">
        <f t="shared" si="18"/>
        <v>248360.16849902319</v>
      </c>
      <c r="S29" s="30">
        <f t="shared" si="18"/>
        <v>248360.16849902319</v>
      </c>
      <c r="T29" s="30">
        <f t="shared" si="18"/>
        <v>248360.16849902319</v>
      </c>
      <c r="U29" s="30">
        <f t="shared" si="18"/>
        <v>248360.16849902319</v>
      </c>
      <c r="V29" s="30">
        <f t="shared" si="18"/>
        <v>248360.16849902319</v>
      </c>
      <c r="W29" s="30">
        <f t="shared" si="18"/>
        <v>248360.16849902319</v>
      </c>
      <c r="X29" s="30">
        <f t="shared" si="18"/>
        <v>248360.16849902319</v>
      </c>
      <c r="Y29" s="30">
        <f t="shared" si="18"/>
        <v>248360.16849902319</v>
      </c>
      <c r="Z29" s="30">
        <f t="shared" si="18"/>
        <v>248360.16849902319</v>
      </c>
      <c r="AA29" s="30">
        <f t="shared" si="18"/>
        <v>248360.16849902319</v>
      </c>
      <c r="AB29" s="30">
        <f t="shared" si="18"/>
        <v>248360.16849902319</v>
      </c>
      <c r="AC29" s="30">
        <f t="shared" si="18"/>
        <v>248360.16849902319</v>
      </c>
      <c r="BI29" s="1">
        <v>37643.672282916414</v>
      </c>
    </row>
    <row r="30" spans="4:61" x14ac:dyDescent="0.35">
      <c r="D30" s="1" t="s">
        <v>211</v>
      </c>
      <c r="E30" s="30">
        <f>'Pensions P1'!$B$18</f>
        <v>11088.300112813302</v>
      </c>
      <c r="F30" s="30">
        <f>'Pensions P1'!$B$18</f>
        <v>11088.300112813302</v>
      </c>
      <c r="G30" s="30">
        <f>'Pensions P1'!$B$18</f>
        <v>11088.300112813302</v>
      </c>
      <c r="H30" s="30">
        <f>'Pensions P1'!$B$18</f>
        <v>11088.300112813302</v>
      </c>
      <c r="I30" s="30">
        <f>'Pensions P1'!$B$18</f>
        <v>11088.300112813302</v>
      </c>
      <c r="J30" s="30">
        <f>'Pensions P1'!$B$18</f>
        <v>11088.300112813302</v>
      </c>
      <c r="K30" s="30">
        <f>'Pensions P1'!$B$18</f>
        <v>11088.300112813302</v>
      </c>
      <c r="L30" s="30">
        <f>'Pensions P1'!$B$18</f>
        <v>11088.300112813302</v>
      </c>
      <c r="M30" s="30">
        <f>'Pensions P1'!$B$18</f>
        <v>11088.300112813302</v>
      </c>
      <c r="N30" s="30">
        <f>'Pensions P1'!$B$18</f>
        <v>11088.300112813302</v>
      </c>
      <c r="O30" s="30">
        <f>'Pensions P1'!$B$18</f>
        <v>11088.300112813302</v>
      </c>
      <c r="P30" s="30">
        <f>'Pensions P1'!$B$18</f>
        <v>11088.300112813302</v>
      </c>
      <c r="Q30" s="30">
        <f>'Pensions P1'!$B$18</f>
        <v>11088.300112813302</v>
      </c>
      <c r="R30" s="30">
        <f>'Pensions P1'!$B$18</f>
        <v>11088.300112813302</v>
      </c>
      <c r="S30" s="30">
        <f>'Pensions P1'!$B$18</f>
        <v>11088.300112813302</v>
      </c>
      <c r="T30" s="30">
        <f>'Pensions P1'!$B$18</f>
        <v>11088.300112813302</v>
      </c>
      <c r="U30" s="30">
        <f>'Pensions P1'!$B$18</f>
        <v>11088.300112813302</v>
      </c>
      <c r="V30" s="30">
        <f>'Pensions P1'!$B$18</f>
        <v>11088.300112813302</v>
      </c>
      <c r="W30" s="30">
        <f>'Pensions P1'!$B$18</f>
        <v>11088.300112813302</v>
      </c>
      <c r="X30" s="30">
        <f>'Pensions P1'!$B$18</f>
        <v>11088.300112813302</v>
      </c>
      <c r="Y30" s="30">
        <f>'Pensions P1'!$B$18</f>
        <v>11088.300112813302</v>
      </c>
      <c r="Z30" s="30">
        <f>'Pensions P1'!$B$18</f>
        <v>11088.300112813302</v>
      </c>
      <c r="AA30" s="30">
        <f>'Pensions P1'!$B$18</f>
        <v>11088.300112813302</v>
      </c>
      <c r="AB30" s="30">
        <f>'Pensions P1'!$B$18</f>
        <v>11088.300112813302</v>
      </c>
      <c r="AC30" s="30">
        <f>'Pensions P1'!$B$18</f>
        <v>11088.300112813302</v>
      </c>
      <c r="BI30" s="1">
        <v>37944.516065882483</v>
      </c>
    </row>
    <row r="31" spans="4:61" x14ac:dyDescent="0.35">
      <c r="D31" s="1" t="s">
        <v>201</v>
      </c>
      <c r="E31" s="30">
        <f>E30+E29</f>
        <v>259448.46861183649</v>
      </c>
      <c r="F31" s="30">
        <f>F30+F29</f>
        <v>259448.46861183649</v>
      </c>
      <c r="G31" s="30">
        <f t="shared" ref="G31:AC31" si="19">G30+G29</f>
        <v>259448.46861183649</v>
      </c>
      <c r="H31" s="30">
        <f t="shared" si="19"/>
        <v>259448.46861183649</v>
      </c>
      <c r="I31" s="30">
        <f t="shared" si="19"/>
        <v>259448.46861183649</v>
      </c>
      <c r="J31" s="30">
        <f t="shared" si="19"/>
        <v>259448.46861183649</v>
      </c>
      <c r="K31" s="30">
        <f t="shared" si="19"/>
        <v>259448.46861183649</v>
      </c>
      <c r="L31" s="30">
        <f t="shared" si="19"/>
        <v>259448.46861183649</v>
      </c>
      <c r="M31" s="30">
        <f t="shared" si="19"/>
        <v>259448.46861183649</v>
      </c>
      <c r="N31" s="30">
        <f t="shared" si="19"/>
        <v>259448.46861183649</v>
      </c>
      <c r="O31" s="30">
        <f t="shared" si="19"/>
        <v>259448.46861183649</v>
      </c>
      <c r="P31" s="30">
        <f t="shared" si="19"/>
        <v>259448.46861183649</v>
      </c>
      <c r="Q31" s="30">
        <f t="shared" si="19"/>
        <v>259448.46861183649</v>
      </c>
      <c r="R31" s="30">
        <f t="shared" si="19"/>
        <v>259448.46861183649</v>
      </c>
      <c r="S31" s="30">
        <f t="shared" si="19"/>
        <v>259448.46861183649</v>
      </c>
      <c r="T31" s="30">
        <f t="shared" si="19"/>
        <v>259448.46861183649</v>
      </c>
      <c r="U31" s="30">
        <f t="shared" si="19"/>
        <v>259448.46861183649</v>
      </c>
      <c r="V31" s="30">
        <f t="shared" si="19"/>
        <v>259448.46861183649</v>
      </c>
      <c r="W31" s="30">
        <f t="shared" si="19"/>
        <v>259448.46861183649</v>
      </c>
      <c r="X31" s="30">
        <f t="shared" si="19"/>
        <v>259448.46861183649</v>
      </c>
      <c r="Y31" s="30">
        <f t="shared" si="19"/>
        <v>259448.46861183649</v>
      </c>
      <c r="Z31" s="30">
        <f t="shared" si="19"/>
        <v>259448.46861183649</v>
      </c>
      <c r="AA31" s="30">
        <f t="shared" si="19"/>
        <v>259448.46861183649</v>
      </c>
      <c r="AB31" s="30">
        <f t="shared" si="19"/>
        <v>259448.46861183649</v>
      </c>
      <c r="AC31" s="30">
        <f t="shared" si="19"/>
        <v>259448.46861183649</v>
      </c>
      <c r="BI31" s="1">
        <v>38248.107083538271</v>
      </c>
    </row>
    <row r="32" spans="4:61" x14ac:dyDescent="0.35">
      <c r="D32" s="1" t="s">
        <v>202</v>
      </c>
      <c r="E32" s="30">
        <f>E31/12</f>
        <v>21620.70571765304</v>
      </c>
      <c r="F32" s="30">
        <f>F31/12</f>
        <v>21620.70571765304</v>
      </c>
      <c r="G32" s="30">
        <f t="shared" ref="G32:AC32" si="20">G31/12</f>
        <v>21620.70571765304</v>
      </c>
      <c r="H32" s="30">
        <f t="shared" si="20"/>
        <v>21620.70571765304</v>
      </c>
      <c r="I32" s="30">
        <f t="shared" si="20"/>
        <v>21620.70571765304</v>
      </c>
      <c r="J32" s="30">
        <f t="shared" si="20"/>
        <v>21620.70571765304</v>
      </c>
      <c r="K32" s="30">
        <f t="shared" si="20"/>
        <v>21620.70571765304</v>
      </c>
      <c r="L32" s="30">
        <f t="shared" si="20"/>
        <v>21620.70571765304</v>
      </c>
      <c r="M32" s="30">
        <f t="shared" si="20"/>
        <v>21620.70571765304</v>
      </c>
      <c r="N32" s="30">
        <f t="shared" si="20"/>
        <v>21620.70571765304</v>
      </c>
      <c r="O32" s="30">
        <f t="shared" si="20"/>
        <v>21620.70571765304</v>
      </c>
      <c r="P32" s="30">
        <f t="shared" si="20"/>
        <v>21620.70571765304</v>
      </c>
      <c r="Q32" s="30">
        <f t="shared" si="20"/>
        <v>21620.70571765304</v>
      </c>
      <c r="R32" s="30">
        <f t="shared" si="20"/>
        <v>21620.70571765304</v>
      </c>
      <c r="S32" s="30">
        <f t="shared" si="20"/>
        <v>21620.70571765304</v>
      </c>
      <c r="T32" s="30">
        <f t="shared" si="20"/>
        <v>21620.70571765304</v>
      </c>
      <c r="U32" s="30">
        <f t="shared" si="20"/>
        <v>21620.70571765304</v>
      </c>
      <c r="V32" s="30">
        <f t="shared" si="20"/>
        <v>21620.70571765304</v>
      </c>
      <c r="W32" s="30">
        <f t="shared" si="20"/>
        <v>21620.70571765304</v>
      </c>
      <c r="X32" s="30">
        <f t="shared" si="20"/>
        <v>21620.70571765304</v>
      </c>
      <c r="Y32" s="30">
        <f t="shared" si="20"/>
        <v>21620.70571765304</v>
      </c>
      <c r="Z32" s="30">
        <f t="shared" si="20"/>
        <v>21620.70571765304</v>
      </c>
      <c r="AA32" s="30">
        <f t="shared" si="20"/>
        <v>21620.70571765304</v>
      </c>
      <c r="AB32" s="30">
        <f t="shared" si="20"/>
        <v>21620.70571765304</v>
      </c>
      <c r="AC32" s="30">
        <f t="shared" si="20"/>
        <v>21620.70571765304</v>
      </c>
      <c r="BI32" s="1">
        <v>38554.477929860885</v>
      </c>
    </row>
    <row r="33" spans="4:61" x14ac:dyDescent="0.35">
      <c r="D33" s="1" t="s">
        <v>212</v>
      </c>
      <c r="E33" s="30">
        <f>$AW$16</f>
        <v>44524.04093368326</v>
      </c>
      <c r="F33" s="30">
        <f t="shared" ref="F33:AC33" si="21">$AW$16</f>
        <v>44524.04093368326</v>
      </c>
      <c r="G33" s="30">
        <f t="shared" si="21"/>
        <v>44524.04093368326</v>
      </c>
      <c r="H33" s="30">
        <f t="shared" si="21"/>
        <v>44524.04093368326</v>
      </c>
      <c r="I33" s="30">
        <f t="shared" si="21"/>
        <v>44524.04093368326</v>
      </c>
      <c r="J33" s="30">
        <f t="shared" si="21"/>
        <v>44524.04093368326</v>
      </c>
      <c r="K33" s="30">
        <f t="shared" si="21"/>
        <v>44524.04093368326</v>
      </c>
      <c r="L33" s="30">
        <f t="shared" si="21"/>
        <v>44524.04093368326</v>
      </c>
      <c r="M33" s="30">
        <f t="shared" si="21"/>
        <v>44524.04093368326</v>
      </c>
      <c r="N33" s="30">
        <f t="shared" si="21"/>
        <v>44524.04093368326</v>
      </c>
      <c r="O33" s="30">
        <f t="shared" si="21"/>
        <v>44524.04093368326</v>
      </c>
      <c r="P33" s="30">
        <f t="shared" si="21"/>
        <v>44524.04093368326</v>
      </c>
      <c r="Q33" s="30">
        <f t="shared" si="21"/>
        <v>44524.04093368326</v>
      </c>
      <c r="R33" s="30">
        <f t="shared" si="21"/>
        <v>44524.04093368326</v>
      </c>
      <c r="S33" s="30">
        <f t="shared" si="21"/>
        <v>44524.04093368326</v>
      </c>
      <c r="T33" s="30">
        <f t="shared" si="21"/>
        <v>44524.04093368326</v>
      </c>
      <c r="U33" s="30">
        <f t="shared" si="21"/>
        <v>44524.04093368326</v>
      </c>
      <c r="V33" s="30">
        <f t="shared" si="21"/>
        <v>44524.04093368326</v>
      </c>
      <c r="W33" s="30">
        <f t="shared" si="21"/>
        <v>44524.04093368326</v>
      </c>
      <c r="X33" s="30">
        <f t="shared" si="21"/>
        <v>44524.04093368326</v>
      </c>
      <c r="Y33" s="30">
        <f t="shared" si="21"/>
        <v>44524.04093368326</v>
      </c>
      <c r="Z33" s="30">
        <f t="shared" si="21"/>
        <v>44524.04093368326</v>
      </c>
      <c r="AA33" s="30">
        <f t="shared" si="21"/>
        <v>44524.04093368326</v>
      </c>
      <c r="AB33" s="30">
        <f t="shared" si="21"/>
        <v>44524.04093368326</v>
      </c>
      <c r="AC33" s="30">
        <f t="shared" si="21"/>
        <v>44524.04093368326</v>
      </c>
      <c r="BI33" s="1">
        <v>38863.661424343045</v>
      </c>
    </row>
    <row r="34" spans="4:61" x14ac:dyDescent="0.35">
      <c r="D34" s="1" t="s">
        <v>213</v>
      </c>
      <c r="E34" s="30">
        <f>E33-E32</f>
        <v>22903.33521603022</v>
      </c>
      <c r="F34" s="30">
        <f t="shared" ref="F34:AC34" si="22">F33-F32</f>
        <v>22903.33521603022</v>
      </c>
      <c r="G34" s="30">
        <f t="shared" si="22"/>
        <v>22903.33521603022</v>
      </c>
      <c r="H34" s="30">
        <f t="shared" si="22"/>
        <v>22903.33521603022</v>
      </c>
      <c r="I34" s="30">
        <f t="shared" si="22"/>
        <v>22903.33521603022</v>
      </c>
      <c r="J34" s="30">
        <f t="shared" si="22"/>
        <v>22903.33521603022</v>
      </c>
      <c r="K34" s="30">
        <f t="shared" si="22"/>
        <v>22903.33521603022</v>
      </c>
      <c r="L34" s="30">
        <f t="shared" si="22"/>
        <v>22903.33521603022</v>
      </c>
      <c r="M34" s="30">
        <f t="shared" si="22"/>
        <v>22903.33521603022</v>
      </c>
      <c r="N34" s="30">
        <f t="shared" si="22"/>
        <v>22903.33521603022</v>
      </c>
      <c r="O34" s="30">
        <f t="shared" si="22"/>
        <v>22903.33521603022</v>
      </c>
      <c r="P34" s="30">
        <f t="shared" si="22"/>
        <v>22903.33521603022</v>
      </c>
      <c r="Q34" s="30">
        <f t="shared" si="22"/>
        <v>22903.33521603022</v>
      </c>
      <c r="R34" s="30">
        <f t="shared" si="22"/>
        <v>22903.33521603022</v>
      </c>
      <c r="S34" s="30">
        <f t="shared" si="22"/>
        <v>22903.33521603022</v>
      </c>
      <c r="T34" s="30">
        <f t="shared" si="22"/>
        <v>22903.33521603022</v>
      </c>
      <c r="U34" s="30">
        <f t="shared" si="22"/>
        <v>22903.33521603022</v>
      </c>
      <c r="V34" s="30">
        <f t="shared" si="22"/>
        <v>22903.33521603022</v>
      </c>
      <c r="W34" s="30">
        <f t="shared" si="22"/>
        <v>22903.33521603022</v>
      </c>
      <c r="X34" s="30">
        <f t="shared" si="22"/>
        <v>22903.33521603022</v>
      </c>
      <c r="Y34" s="30">
        <f t="shared" si="22"/>
        <v>22903.33521603022</v>
      </c>
      <c r="Z34" s="30">
        <f t="shared" si="22"/>
        <v>22903.33521603022</v>
      </c>
      <c r="AA34" s="30">
        <f t="shared" si="22"/>
        <v>22903.33521603022</v>
      </c>
      <c r="AB34" s="30">
        <f t="shared" si="22"/>
        <v>22903.33521603022</v>
      </c>
      <c r="AC34" s="30">
        <f t="shared" si="22"/>
        <v>22903.33521603022</v>
      </c>
      <c r="BI34" s="1">
        <v>39175.690616217405</v>
      </c>
    </row>
    <row r="35" spans="4:61" x14ac:dyDescent="0.35">
      <c r="E35" s="30">
        <f>E34*(1+$B$10)</f>
        <v>29087.235724358379</v>
      </c>
      <c r="F35" s="30">
        <f t="shared" ref="F35:AC35" si="23">F34*(1+$B$10)</f>
        <v>29087.235724358379</v>
      </c>
      <c r="G35" s="30">
        <f t="shared" si="23"/>
        <v>29087.235724358379</v>
      </c>
      <c r="H35" s="30">
        <f t="shared" si="23"/>
        <v>29087.235724358379</v>
      </c>
      <c r="I35" s="30">
        <f t="shared" si="23"/>
        <v>29087.235724358379</v>
      </c>
      <c r="J35" s="30">
        <f t="shared" si="23"/>
        <v>29087.235724358379</v>
      </c>
      <c r="K35" s="30">
        <f t="shared" si="23"/>
        <v>29087.235724358379</v>
      </c>
      <c r="L35" s="30">
        <f t="shared" si="23"/>
        <v>29087.235724358379</v>
      </c>
      <c r="M35" s="30">
        <f t="shared" si="23"/>
        <v>29087.235724358379</v>
      </c>
      <c r="N35" s="30">
        <f t="shared" si="23"/>
        <v>29087.235724358379</v>
      </c>
      <c r="O35" s="30">
        <f t="shared" si="23"/>
        <v>29087.235724358379</v>
      </c>
      <c r="P35" s="30">
        <f t="shared" si="23"/>
        <v>29087.235724358379</v>
      </c>
      <c r="Q35" s="30">
        <f t="shared" si="23"/>
        <v>29087.235724358379</v>
      </c>
      <c r="R35" s="30">
        <f t="shared" si="23"/>
        <v>29087.235724358379</v>
      </c>
      <c r="S35" s="30">
        <f t="shared" si="23"/>
        <v>29087.235724358379</v>
      </c>
      <c r="T35" s="30">
        <f t="shared" si="23"/>
        <v>29087.235724358379</v>
      </c>
      <c r="U35" s="30">
        <f t="shared" si="23"/>
        <v>29087.235724358379</v>
      </c>
      <c r="V35" s="30">
        <f t="shared" si="23"/>
        <v>29087.235724358379</v>
      </c>
      <c r="W35" s="30">
        <f t="shared" si="23"/>
        <v>29087.235724358379</v>
      </c>
      <c r="X35" s="30">
        <f t="shared" si="23"/>
        <v>29087.235724358379</v>
      </c>
      <c r="Y35" s="30">
        <f t="shared" si="23"/>
        <v>29087.235724358379</v>
      </c>
      <c r="Z35" s="30">
        <f t="shared" si="23"/>
        <v>29087.235724358379</v>
      </c>
      <c r="AA35" s="30">
        <f t="shared" si="23"/>
        <v>29087.235724358379</v>
      </c>
      <c r="AB35" s="30">
        <f t="shared" si="23"/>
        <v>29087.235724358379</v>
      </c>
      <c r="AC35" s="30">
        <f t="shared" si="23"/>
        <v>29087.235724358379</v>
      </c>
      <c r="BI35" s="1">
        <v>39490.598788684416</v>
      </c>
    </row>
    <row r="36" spans="4:61" x14ac:dyDescent="0.35">
      <c r="BI36" s="1">
        <v>39808.419463144637</v>
      </c>
    </row>
    <row r="37" spans="4:61" x14ac:dyDescent="0.35">
      <c r="BI37" s="1">
        <v>41381.53351384728</v>
      </c>
    </row>
    <row r="38" spans="4:61" x14ac:dyDescent="0.35">
      <c r="D38" s="1" t="s">
        <v>214</v>
      </c>
      <c r="E38" s="31">
        <f>SUM(E35:AC35)</f>
        <v>727180.89310895908</v>
      </c>
      <c r="BI38" s="1">
        <v>41717.804201593761</v>
      </c>
    </row>
    <row r="39" spans="4:61" x14ac:dyDescent="0.35">
      <c r="E39" s="30"/>
      <c r="BI39" s="1">
        <v>42057.214661852842</v>
      </c>
    </row>
    <row r="40" spans="4:61" x14ac:dyDescent="0.35">
      <c r="BI40" s="1">
        <v>42399.800663611706</v>
      </c>
    </row>
    <row r="41" spans="4:61" x14ac:dyDescent="0.35">
      <c r="BI41" s="1">
        <v>42745.598247836395</v>
      </c>
    </row>
    <row r="42" spans="4:61" x14ac:dyDescent="0.35">
      <c r="BI42" s="1">
        <v>43094.643731872173</v>
      </c>
    </row>
    <row r="43" spans="4:61" x14ac:dyDescent="0.35">
      <c r="BI43" s="1">
        <v>43446.973713855034</v>
      </c>
    </row>
    <row r="44" spans="4:61" x14ac:dyDescent="0.35">
      <c r="BI44" s="1">
        <v>43802.625077134893</v>
      </c>
    </row>
    <row r="45" spans="4:61" x14ac:dyDescent="0.35">
      <c r="BI45" s="1">
        <v>44161.634994711443</v>
      </c>
    </row>
    <row r="46" spans="4:61" x14ac:dyDescent="0.35">
      <c r="BI46" s="1">
        <v>44524.04093368326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3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tr">
        <f>IF(JobHopping[[#This Row],[Age]]&lt;40,"",JobHopping[[#This Row],[SwitchP1Static]])</f>
        <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3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tr">
        <f>IF(JobHopping[[#This Row],[Age]]&lt;40,"",JobHopping[[#This Row],[SwitchP1Static]])</f>
        <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3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N</v>
      </c>
      <c r="F5" s="3" t="s">
        <v>60</v>
      </c>
      <c r="G5" s="3" t="str">
        <f>IF(JobHopping[[#This Row],[Age]]&lt;40,"",JobHopping[[#This Row],[SwitchP1Static]])</f>
        <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3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tr">
        <f>IF(JobHopping[[#This Row],[Age]]&lt;40,"",JobHopping[[#This Row],[SwitchP1Static]])</f>
        <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35">
      <c r="B7" s="3">
        <v>29</v>
      </c>
      <c r="C7" s="3" t="str">
        <f t="shared" si="3"/>
        <v>25-29 år</v>
      </c>
      <c r="D7" s="12">
        <f t="shared" si="0"/>
        <v>0.51651947969596046</v>
      </c>
      <c r="E7" s="3" t="str">
        <f ca="1">IF(OR(JobHopping[[#This Row],[Age]]=25,JobHopping[[#This Row],[Age]]&gt;69),"N",IF(AND(E5="N",E6="N", RAND()&lt;=D7), "Y", "N"))</f>
        <v>Y</v>
      </c>
      <c r="F7" s="3" t="s">
        <v>0</v>
      </c>
      <c r="G7" s="3" t="str">
        <f>IF(JobHopping[[#This Row],[Age]]&lt;40,"",JobHopping[[#This Row],[SwitchP1Static]])</f>
        <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35">
      <c r="B8" s="3">
        <v>30</v>
      </c>
      <c r="C8" s="3" t="str">
        <f t="shared" si="3"/>
        <v>30-34 år</v>
      </c>
      <c r="D8" s="12">
        <f t="shared" si="0"/>
        <v>0.33908020385851029</v>
      </c>
      <c r="E8" s="3" t="str">
        <f ca="1">IF(OR(JobHopping[[#This Row],[Age]]=25,JobHopping[[#This Row],[Age]]&gt;69),"N",IF(AND(E6="N",E7="N", RAND()&lt;=D8), "Y", "N"))</f>
        <v>N</v>
      </c>
      <c r="F8" s="3" t="s">
        <v>0</v>
      </c>
      <c r="G8" s="3" t="str">
        <f>IF(JobHopping[[#This Row],[Age]]&lt;40,"",JobHopping[[#This Row],[SwitchP1Static]])</f>
        <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35">
      <c r="B9" s="3">
        <v>31</v>
      </c>
      <c r="C9" s="3" t="str">
        <f t="shared" si="3"/>
        <v>30-34 år</v>
      </c>
      <c r="D9" s="12">
        <f t="shared" si="0"/>
        <v>0.33908020385851029</v>
      </c>
      <c r="E9" s="3" t="str">
        <f ca="1">IF(OR(JobHopping[[#This Row],[Age]]=25,JobHopping[[#This Row],[Age]]&gt;69),"N",IF(AND(E7="N",E8="N", RAND()&lt;=D9), "Y", "N"))</f>
        <v>N</v>
      </c>
      <c r="F9" s="3" t="s">
        <v>60</v>
      </c>
      <c r="G9" s="3" t="str">
        <f>IF(JobHopping[[#This Row],[Age]]&lt;40,"",JobHopping[[#This Row],[SwitchP1Static]])</f>
        <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35">
      <c r="B10" s="3">
        <v>32</v>
      </c>
      <c r="C10" s="3" t="str">
        <f t="shared" si="3"/>
        <v>30-34 år</v>
      </c>
      <c r="D10" s="12">
        <f t="shared" si="0"/>
        <v>0.33908020385851029</v>
      </c>
      <c r="E10" s="3" t="str">
        <f ca="1">IF(OR(JobHopping[[#This Row],[Age]]=25,JobHopping[[#This Row],[Age]]&gt;69),"N",IF(AND(E8="N",E9="N", RAND()&lt;=D10), "Y", "N"))</f>
        <v>N</v>
      </c>
      <c r="F10" s="3" t="s">
        <v>0</v>
      </c>
      <c r="G10" s="3" t="str">
        <f>IF(JobHopping[[#This Row],[Age]]&lt;40,"",JobHopping[[#This Row],[SwitchP1Static]])</f>
        <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35">
      <c r="B11" s="3">
        <v>33</v>
      </c>
      <c r="C11" s="3" t="str">
        <f t="shared" si="3"/>
        <v>30-34 år</v>
      </c>
      <c r="D11" s="12">
        <f t="shared" si="0"/>
        <v>0.33908020385851029</v>
      </c>
      <c r="E11" s="3" t="str">
        <f ca="1">IF(OR(JobHopping[[#This Row],[Age]]=25,JobHopping[[#This Row],[Age]]&gt;69),"N",IF(AND(E9="N",E10="N", RAND()&lt;=D11), "Y", "N"))</f>
        <v>Y</v>
      </c>
      <c r="F11" s="3" t="s">
        <v>0</v>
      </c>
      <c r="G11" s="3" t="str">
        <f>IF(JobHopping[[#This Row],[Age]]&lt;40,"",JobHopping[[#This Row],[SwitchP1Static]])</f>
        <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35">
      <c r="B12" s="3">
        <v>34</v>
      </c>
      <c r="C12" s="3" t="str">
        <f t="shared" si="3"/>
        <v>30-34 år</v>
      </c>
      <c r="D12" s="12">
        <f t="shared" si="0"/>
        <v>0.33908020385851029</v>
      </c>
      <c r="E12" s="3" t="str">
        <f ca="1">IF(OR(JobHopping[[#This Row],[Age]]=25,JobHopping[[#This Row],[Age]]&gt;69),"N",IF(AND(E10="N",E11="N", RAND()&lt;=D12), "Y", "N"))</f>
        <v>N</v>
      </c>
      <c r="F12" s="3" t="s">
        <v>0</v>
      </c>
      <c r="G12" s="3" t="str">
        <f>IF(JobHopping[[#This Row],[Age]]&lt;40,"",JobHopping[[#This Row],[SwitchP1Static]])</f>
        <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35">
      <c r="B13" s="3">
        <v>35</v>
      </c>
      <c r="C13" s="3" t="str">
        <f t="shared" si="3"/>
        <v>35-39 år</v>
      </c>
      <c r="D13" s="12">
        <f t="shared" si="0"/>
        <v>0.2624026948424838</v>
      </c>
      <c r="E13" s="3" t="str">
        <f ca="1">IF(OR(JobHopping[[#This Row],[Age]]=25,JobHopping[[#This Row],[Age]]&gt;69),"N",IF(AND(E11="N",E12="N", RAND()&lt;=D13), "Y", "N"))</f>
        <v>N</v>
      </c>
      <c r="F13" s="3" t="s">
        <v>60</v>
      </c>
      <c r="G13" s="3" t="str">
        <f>IF(JobHopping[[#This Row],[Age]]&lt;40,"",JobHopping[[#This Row],[SwitchP1Static]])</f>
        <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35">
      <c r="B14" s="3">
        <v>36</v>
      </c>
      <c r="C14" s="3" t="str">
        <f t="shared" si="3"/>
        <v>35-39 år</v>
      </c>
      <c r="D14" s="12">
        <f t="shared" si="0"/>
        <v>0.2624026948424838</v>
      </c>
      <c r="E14" s="3" t="str">
        <f ca="1">IF(OR(JobHopping[[#This Row],[Age]]=25,JobHopping[[#This Row],[Age]]&gt;69),"N",IF(AND(E12="N",E13="N", RAND()&lt;=D14), "Y", "N"))</f>
        <v>Y</v>
      </c>
      <c r="F14" s="3" t="s">
        <v>0</v>
      </c>
      <c r="G14" s="3" t="str">
        <f>IF(JobHopping[[#This Row],[Age]]&lt;40,"",JobHopping[[#This Row],[SwitchP1Static]])</f>
        <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35">
      <c r="B15" s="3">
        <v>37</v>
      </c>
      <c r="C15" s="3" t="str">
        <f t="shared" si="3"/>
        <v>35-39 år</v>
      </c>
      <c r="D15" s="12">
        <f t="shared" si="0"/>
        <v>0.2624026948424838</v>
      </c>
      <c r="E15" s="3" t="str">
        <f ca="1">IF(OR(JobHopping[[#This Row],[Age]]=25,JobHopping[[#This Row],[Age]]&gt;69),"N",IF(AND(E13="N",E14="N", RAND()&lt;=D15), "Y", "N"))</f>
        <v>N</v>
      </c>
      <c r="F15" s="3" t="s">
        <v>0</v>
      </c>
      <c r="G15" s="3" t="str">
        <f>IF(JobHopping[[#This Row],[Age]]&lt;40,"",JobHopping[[#This Row],[SwitchP1Static]])</f>
        <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35">
      <c r="B16" s="3">
        <v>38</v>
      </c>
      <c r="C16" s="3" t="str">
        <f t="shared" si="3"/>
        <v>35-39 år</v>
      </c>
      <c r="D16" s="12">
        <f t="shared" si="0"/>
        <v>0.2624026948424838</v>
      </c>
      <c r="E16" s="3" t="str">
        <f ca="1">IF(OR(JobHopping[[#This Row],[Age]]=25,JobHopping[[#This Row],[Age]]&gt;69),"N",IF(AND(E14="N",E15="N", RAND()&lt;=D16), "Y", "N"))</f>
        <v>N</v>
      </c>
      <c r="F16" s="3" t="s">
        <v>0</v>
      </c>
      <c r="G16" s="3" t="str">
        <f>IF(JobHopping[[#This Row],[Age]]&lt;40,"",JobHopping[[#This Row],[SwitchP1Static]])</f>
        <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35">
      <c r="B17" s="3">
        <v>39</v>
      </c>
      <c r="C17" s="3" t="str">
        <f t="shared" si="3"/>
        <v>35-39 år</v>
      </c>
      <c r="D17" s="12">
        <f t="shared" si="0"/>
        <v>0.2624026948424838</v>
      </c>
      <c r="E17" s="3" t="str">
        <f ca="1">IF(OR(JobHopping[[#This Row],[Age]]=25,JobHopping[[#This Row],[Age]]&gt;69),"N",IF(AND(E15="N",E16="N", RAND()&lt;=D17), "Y", "N"))</f>
        <v>N</v>
      </c>
      <c r="F17" s="3" t="s">
        <v>60</v>
      </c>
      <c r="G17" s="3" t="str">
        <f>IF(JobHopping[[#This Row],[Age]]&lt;40,"",JobHopping[[#This Row],[SwitchP1Static]])</f>
        <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35">
      <c r="B18" s="3">
        <v>40</v>
      </c>
      <c r="C18" s="3" t="str">
        <f t="shared" si="3"/>
        <v>40-44 år</v>
      </c>
      <c r="D18" s="12">
        <f t="shared" si="0"/>
        <v>0.2213187304833609</v>
      </c>
      <c r="E18" s="3" t="str">
        <f ca="1">IF(OR(JobHopping[[#This Row],[Age]]=25,JobHopping[[#This Row],[Age]]&gt;69),"N",IF(AND(E16="N",E17="N", RAND()&lt;=D18), "Y", "N"))</f>
        <v>N</v>
      </c>
      <c r="F18" s="3" t="s">
        <v>0</v>
      </c>
      <c r="G18" s="3" t="str">
        <f>IF(JobHopping[[#This Row],[Age]]&lt;40,"",JobHopping[[#This Row],[SwitchP1Static]])</f>
        <v>N</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35">
      <c r="B19" s="3">
        <v>41</v>
      </c>
      <c r="C19" s="3" t="str">
        <f t="shared" si="3"/>
        <v>40-44 år</v>
      </c>
      <c r="D19" s="12">
        <f t="shared" si="0"/>
        <v>0.2213187304833609</v>
      </c>
      <c r="E19" s="3" t="str">
        <f ca="1">IF(OR(JobHopping[[#This Row],[Age]]=25,JobHopping[[#This Row],[Age]]&gt;69),"N",IF(AND(E17="N",E18="N", RAND()&lt;=D19), "Y", "N"))</f>
        <v>N</v>
      </c>
      <c r="F19" s="3" t="s">
        <v>0</v>
      </c>
      <c r="G19" s="3" t="str">
        <f>IF(JobHopping[[#This Row],[Age]]&lt;40,"",JobHopping[[#This Row],[SwitchP1Static]])</f>
        <v>N</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35">
      <c r="B20" s="3">
        <v>42</v>
      </c>
      <c r="C20" s="3" t="str">
        <f t="shared" si="3"/>
        <v>40-44 år</v>
      </c>
      <c r="D20" s="12">
        <f t="shared" si="0"/>
        <v>0.2213187304833609</v>
      </c>
      <c r="E20" s="3" t="str">
        <f ca="1">IF(OR(JobHopping[[#This Row],[Age]]=25,JobHopping[[#This Row],[Age]]&gt;69),"N",IF(AND(E18="N",E19="N", RAND()&lt;=D20), "Y", "N"))</f>
        <v>N</v>
      </c>
      <c r="F20" s="3" t="s">
        <v>0</v>
      </c>
      <c r="G20" s="3" t="str">
        <f>IF(JobHopping[[#This Row],[Age]]&lt;40,"",JobHopping[[#This Row],[SwitchP1Static]])</f>
        <v>N</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35">
      <c r="B21" s="3">
        <v>43</v>
      </c>
      <c r="C21" s="3" t="str">
        <f t="shared" si="3"/>
        <v>40-44 år</v>
      </c>
      <c r="D21" s="12">
        <f t="shared" si="0"/>
        <v>0.2213187304833609</v>
      </c>
      <c r="E21" s="3" t="str">
        <f ca="1">IF(OR(JobHopping[[#This Row],[Age]]=25,JobHopping[[#This Row],[Age]]&gt;69),"N",IF(AND(E19="N",E20="N", RAND()&lt;=D21), "Y", "N"))</f>
        <v>N</v>
      </c>
      <c r="F21" s="3" t="s">
        <v>60</v>
      </c>
      <c r="G21" s="3" t="str">
        <f>IF(JobHopping[[#This Row],[Age]]&lt;40,"",JobHopping[[#This Row],[SwitchP1Static]])</f>
        <v>Y</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35">
      <c r="B22" s="3">
        <v>44</v>
      </c>
      <c r="C22" s="3" t="str">
        <f t="shared" si="3"/>
        <v>40-44 år</v>
      </c>
      <c r="D22" s="12">
        <f t="shared" si="0"/>
        <v>0.2213187304833609</v>
      </c>
      <c r="E22" s="3" t="str">
        <f ca="1">IF(OR(JobHopping[[#This Row],[Age]]=25,JobHopping[[#This Row],[Age]]&gt;69),"N",IF(AND(E20="N",E21="N", RAND()&lt;=D22), "Y", "N"))</f>
        <v>Y</v>
      </c>
      <c r="F22" s="3" t="s">
        <v>0</v>
      </c>
      <c r="G22" s="3" t="str">
        <f>IF(JobHopping[[#This Row],[Age]]&lt;40,"",JobHopping[[#This Row],[SwitchP1Static]])</f>
        <v>N</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35">
      <c r="B23" s="3">
        <v>45</v>
      </c>
      <c r="C23" s="3" t="str">
        <f t="shared" si="3"/>
        <v>45-49 år</v>
      </c>
      <c r="D23" s="12">
        <f t="shared" si="0"/>
        <v>0.19929479981866399</v>
      </c>
      <c r="E23" s="3" t="str">
        <f ca="1">IF(OR(JobHopping[[#This Row],[Age]]=25,JobHopping[[#This Row],[Age]]&gt;69),"N",IF(AND(E21="N",E22="N", RAND()&lt;=D23), "Y", "N"))</f>
        <v>N</v>
      </c>
      <c r="F23" s="3" t="s">
        <v>0</v>
      </c>
      <c r="G23" s="3" t="str">
        <f>IF(JobHopping[[#This Row],[Age]]&lt;40,"",JobHopping[[#This Row],[SwitchP1Static]])</f>
        <v>N</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35">
      <c r="B24" s="3">
        <v>46</v>
      </c>
      <c r="C24" s="3" t="str">
        <f t="shared" si="3"/>
        <v>45-49 år</v>
      </c>
      <c r="D24" s="12">
        <f t="shared" si="0"/>
        <v>0.19929479981866399</v>
      </c>
      <c r="E24" s="3" t="str">
        <f ca="1">IF(OR(JobHopping[[#This Row],[Age]]=25,JobHopping[[#This Row],[Age]]&gt;69),"N",IF(AND(E22="N",E23="N", RAND()&lt;=D24), "Y", "N"))</f>
        <v>N</v>
      </c>
      <c r="F24" s="3" t="s">
        <v>0</v>
      </c>
      <c r="G24" s="3" t="str">
        <f>IF(JobHopping[[#This Row],[Age]]&lt;40,"",JobHopping[[#This Row],[SwitchP1Static]])</f>
        <v>N</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35">
      <c r="B25" s="3">
        <v>47</v>
      </c>
      <c r="C25" s="3" t="str">
        <f t="shared" si="3"/>
        <v>45-49 år</v>
      </c>
      <c r="D25" s="12">
        <f t="shared" si="0"/>
        <v>0.19929479981866399</v>
      </c>
      <c r="E25" s="3" t="str">
        <f ca="1">IF(OR(JobHopping[[#This Row],[Age]]=25,JobHopping[[#This Row],[Age]]&gt;69),"N",IF(AND(E23="N",E24="N", RAND()&lt;=D25), "Y", "N"))</f>
        <v>N</v>
      </c>
      <c r="F25" s="3" t="s">
        <v>60</v>
      </c>
      <c r="G25" s="3" t="str">
        <f>IF(JobHopping[[#This Row],[Age]]&lt;40,"",JobHopping[[#This Row],[SwitchP1Static]])</f>
        <v>Y</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35">
      <c r="B26" s="3">
        <v>48</v>
      </c>
      <c r="C26" s="3" t="str">
        <f t="shared" si="3"/>
        <v>45-49 år</v>
      </c>
      <c r="D26" s="12">
        <f t="shared" si="0"/>
        <v>0.19929479981866399</v>
      </c>
      <c r="E26" s="3" t="str">
        <f ca="1">IF(OR(JobHopping[[#This Row],[Age]]=25,JobHopping[[#This Row],[Age]]&gt;69),"N",IF(AND(E24="N",E25="N", RAND()&lt;=D26), "Y", "N"))</f>
        <v>Y</v>
      </c>
      <c r="F26" s="3" t="s">
        <v>0</v>
      </c>
      <c r="G26" s="3" t="str">
        <f>IF(JobHopping[[#This Row],[Age]]&lt;40,"",JobHopping[[#This Row],[SwitchP1Static]])</f>
        <v>N</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35">
      <c r="B27" s="3">
        <v>49</v>
      </c>
      <c r="C27" s="3" t="str">
        <f t="shared" si="3"/>
        <v>45-49 år</v>
      </c>
      <c r="D27" s="12">
        <f t="shared" si="0"/>
        <v>0.19929479981866399</v>
      </c>
      <c r="E27" s="3" t="str">
        <f ca="1">IF(OR(JobHopping[[#This Row],[Age]]=25,JobHopping[[#This Row],[Age]]&gt;69),"N",IF(AND(E25="N",E26="N", RAND()&lt;=D27), "Y", "N"))</f>
        <v>N</v>
      </c>
      <c r="F27" s="3" t="s">
        <v>0</v>
      </c>
      <c r="G27" s="3" t="str">
        <f>IF(JobHopping[[#This Row],[Age]]&lt;40,"",JobHopping[[#This Row],[SwitchP1Static]])</f>
        <v>N</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35">
      <c r="B28" s="3">
        <v>50</v>
      </c>
      <c r="C28" s="3" t="str">
        <f t="shared" si="3"/>
        <v>50-54 år</v>
      </c>
      <c r="D28" s="12">
        <f t="shared" si="0"/>
        <v>0.17668929185764676</v>
      </c>
      <c r="E28" s="3" t="str">
        <f ca="1">IF(OR(JobHopping[[#This Row],[Age]]=25,JobHopping[[#This Row],[Age]]&gt;69),"N",IF(AND(E26="N",E27="N", RAND()&lt;=D28), "Y", "N"))</f>
        <v>N</v>
      </c>
      <c r="F28" s="3" t="s">
        <v>0</v>
      </c>
      <c r="G28" s="3" t="str">
        <f>IF(JobHopping[[#This Row],[Age]]&lt;40,"",JobHopping[[#This Row],[SwitchP1Static]])</f>
        <v>N</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35">
      <c r="B29" s="3">
        <v>51</v>
      </c>
      <c r="C29" s="3" t="str">
        <f t="shared" si="3"/>
        <v>50-54 år</v>
      </c>
      <c r="D29" s="12">
        <f t="shared" si="0"/>
        <v>0.17668929185764676</v>
      </c>
      <c r="E29" s="3" t="str">
        <f ca="1">IF(OR(JobHopping[[#This Row],[Age]]=25,JobHopping[[#This Row],[Age]]&gt;69),"N",IF(AND(E27="N",E28="N", RAND()&lt;=D29), "Y", "N"))</f>
        <v>N</v>
      </c>
      <c r="F29" s="3" t="s">
        <v>0</v>
      </c>
      <c r="G29" s="3" t="str">
        <f>IF(JobHopping[[#This Row],[Age]]&lt;40,"",JobHopping[[#This Row],[SwitchP1Static]])</f>
        <v>N</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35">
      <c r="B30" s="3">
        <v>52</v>
      </c>
      <c r="C30" s="3" t="str">
        <f t="shared" si="3"/>
        <v>50-54 år</v>
      </c>
      <c r="D30" s="12">
        <f t="shared" si="0"/>
        <v>0.17668929185764676</v>
      </c>
      <c r="E30" s="3" t="str">
        <f ca="1">IF(OR(JobHopping[[#This Row],[Age]]=25,JobHopping[[#This Row],[Age]]&gt;69),"N",IF(AND(E28="N",E29="N", RAND()&lt;=D30), "Y", "N"))</f>
        <v>N</v>
      </c>
      <c r="F30" s="3" t="s">
        <v>0</v>
      </c>
      <c r="G30" s="3" t="str">
        <f>IF(JobHopping[[#This Row],[Age]]&lt;40,"",JobHopping[[#This Row],[SwitchP1Static]])</f>
        <v>N</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35">
      <c r="B31" s="3">
        <v>53</v>
      </c>
      <c r="C31" s="3" t="str">
        <f t="shared" si="3"/>
        <v>50-54 år</v>
      </c>
      <c r="D31" s="12">
        <f t="shared" si="0"/>
        <v>0.17668929185764676</v>
      </c>
      <c r="E31" s="3" t="str">
        <f ca="1">IF(OR(JobHopping[[#This Row],[Age]]=25,JobHopping[[#This Row],[Age]]&gt;69),"N",IF(AND(E29="N",E30="N", RAND()&lt;=D31), "Y", "N"))</f>
        <v>N</v>
      </c>
      <c r="F31" s="3" t="s">
        <v>0</v>
      </c>
      <c r="G31" s="3" t="str">
        <f>IF(JobHopping[[#This Row],[Age]]&lt;40,"",JobHopping[[#This Row],[SwitchP1Static]])</f>
        <v>N</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35">
      <c r="B32" s="3">
        <v>54</v>
      </c>
      <c r="C32" s="3" t="str">
        <f t="shared" si="3"/>
        <v>50-54 år</v>
      </c>
      <c r="D32" s="12">
        <f t="shared" si="0"/>
        <v>0.17668929185764676</v>
      </c>
      <c r="E32" s="3" t="str">
        <f ca="1">IF(OR(JobHopping[[#This Row],[Age]]=25,JobHopping[[#This Row],[Age]]&gt;69),"N",IF(AND(E30="N",E31="N", RAND()&lt;=D32), "Y", "N"))</f>
        <v>N</v>
      </c>
      <c r="F32" s="3" t="s">
        <v>0</v>
      </c>
      <c r="G32" s="3" t="str">
        <f>IF(JobHopping[[#This Row],[Age]]&lt;40,"",JobHopping[[#This Row],[SwitchP1Static]])</f>
        <v>N</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35">
      <c r="B33" s="3">
        <v>55</v>
      </c>
      <c r="C33" s="3" t="str">
        <f t="shared" si="3"/>
        <v>55-59 år</v>
      </c>
      <c r="D33" s="12">
        <f t="shared" si="0"/>
        <v>0.15515674597479437</v>
      </c>
      <c r="E33" s="3" t="str">
        <f ca="1">IF(OR(JobHopping[[#This Row],[Age]]=25,JobHopping[[#This Row],[Age]]&gt;69),"N",IF(AND(E31="N",E32="N", RAND()&lt;=D33), "Y", "N"))</f>
        <v>N</v>
      </c>
      <c r="F33" s="3" t="s">
        <v>0</v>
      </c>
      <c r="G33" s="3" t="str">
        <f>IF(JobHopping[[#This Row],[Age]]&lt;40,"",JobHopping[[#This Row],[SwitchP1Static]])</f>
        <v>N</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35">
      <c r="B34" s="3">
        <v>56</v>
      </c>
      <c r="C34" s="3" t="str">
        <f t="shared" si="3"/>
        <v>55-59 år</v>
      </c>
      <c r="D34" s="12">
        <f t="shared" si="0"/>
        <v>0.15515674597479437</v>
      </c>
      <c r="E34" s="3" t="str">
        <f ca="1">IF(OR(JobHopping[[#This Row],[Age]]=25,JobHopping[[#This Row],[Age]]&gt;69),"N",IF(AND(E32="N",E33="N", RAND()&lt;=D34), "Y", "N"))</f>
        <v>N</v>
      </c>
      <c r="F34" s="3" t="s">
        <v>0</v>
      </c>
      <c r="G34" s="3" t="str">
        <f>IF(JobHopping[[#This Row],[Age]]&lt;40,"",JobHopping[[#This Row],[SwitchP1Static]])</f>
        <v>N</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35">
      <c r="B35" s="3">
        <v>57</v>
      </c>
      <c r="C35" s="3" t="str">
        <f t="shared" si="3"/>
        <v>55-59 år</v>
      </c>
      <c r="D35" s="12">
        <f t="shared" ref="D35:D66" si="4">_xlfn.XLOOKUP(C35,S:S,T:T)</f>
        <v>0.15515674597479437</v>
      </c>
      <c r="E35" s="3" t="str">
        <f ca="1">IF(OR(JobHopping[[#This Row],[Age]]=25,JobHopping[[#This Row],[Age]]&gt;69),"N",IF(AND(E33="N",E34="N", RAND()&lt;=D35), "Y", "N"))</f>
        <v>N</v>
      </c>
      <c r="F35" s="3" t="s">
        <v>0</v>
      </c>
      <c r="G35" s="3" t="str">
        <f>IF(JobHopping[[#This Row],[Age]]&lt;40,"",JobHopping[[#This Row],[SwitchP1Static]])</f>
        <v>N</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35">
      <c r="B36" s="3">
        <v>58</v>
      </c>
      <c r="C36" s="3" t="str">
        <f t="shared" si="3"/>
        <v>55-59 år</v>
      </c>
      <c r="D36" s="12">
        <f t="shared" si="4"/>
        <v>0.15515674597479437</v>
      </c>
      <c r="E36" s="3" t="str">
        <f ca="1">IF(OR(JobHopping[[#This Row],[Age]]=25,JobHopping[[#This Row],[Age]]&gt;69),"N",IF(AND(E34="N",E35="N", RAND()&lt;=D36), "Y", "N"))</f>
        <v>N</v>
      </c>
      <c r="F36" s="3" t="s">
        <v>0</v>
      </c>
      <c r="G36" s="3" t="str">
        <f>IF(JobHopping[[#This Row],[Age]]&lt;40,"",JobHopping[[#This Row],[SwitchP1Static]])</f>
        <v>N</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35">
      <c r="B37" s="3">
        <v>59</v>
      </c>
      <c r="C37" s="3" t="str">
        <f t="shared" si="3"/>
        <v>55-59 år</v>
      </c>
      <c r="D37" s="12">
        <f t="shared" si="4"/>
        <v>0.15515674597479437</v>
      </c>
      <c r="E37" s="3" t="str">
        <f ca="1">IF(OR(JobHopping[[#This Row],[Age]]=25,JobHopping[[#This Row],[Age]]&gt;69),"N",IF(AND(E35="N",E36="N", RAND()&lt;=D37), "Y", "N"))</f>
        <v>N</v>
      </c>
      <c r="F37" s="3" t="s">
        <v>0</v>
      </c>
      <c r="G37" s="3" t="str">
        <f>IF(JobHopping[[#This Row],[Age]]&lt;40,"",JobHopping[[#This Row],[SwitchP1Static]])</f>
        <v>N</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35">
      <c r="B38" s="3">
        <v>60</v>
      </c>
      <c r="C38" s="3" t="str">
        <f t="shared" si="3"/>
        <v>60-64 år</v>
      </c>
      <c r="D38" s="12">
        <f t="shared" si="4"/>
        <v>0.13997311637990331</v>
      </c>
      <c r="E38" s="3" t="str">
        <f ca="1">IF(OR(JobHopping[[#This Row],[Age]]=25,JobHopping[[#This Row],[Age]]&gt;69),"N",IF(AND(E36="N",E37="N", RAND()&lt;=D38), "Y", "N"))</f>
        <v>N</v>
      </c>
      <c r="F38" s="3" t="s">
        <v>60</v>
      </c>
      <c r="G38" s="3" t="str">
        <f>IF(JobHopping[[#This Row],[Age]]&lt;40,"",JobHopping[[#This Row],[SwitchP1Static]])</f>
        <v>Y</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35">
      <c r="B39" s="3">
        <v>61</v>
      </c>
      <c r="C39" s="3" t="str">
        <f t="shared" si="3"/>
        <v>60-64 år</v>
      </c>
      <c r="D39" s="12">
        <f t="shared" si="4"/>
        <v>0.13997311637990331</v>
      </c>
      <c r="E39" s="3" t="str">
        <f ca="1">IF(OR(JobHopping[[#This Row],[Age]]=25,JobHopping[[#This Row],[Age]]&gt;69),"N",IF(AND(E37="N",E38="N", RAND()&lt;=D39), "Y", "N"))</f>
        <v>N</v>
      </c>
      <c r="F39" s="3" t="s">
        <v>0</v>
      </c>
      <c r="G39" s="3" t="str">
        <f>IF(JobHopping[[#This Row],[Age]]&lt;40,"",JobHopping[[#This Row],[SwitchP1Static]])</f>
        <v>N</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35">
      <c r="B40" s="3">
        <v>62</v>
      </c>
      <c r="C40" s="3" t="str">
        <f t="shared" si="3"/>
        <v>60-64 år</v>
      </c>
      <c r="D40" s="12">
        <f t="shared" si="4"/>
        <v>0.13997311637990331</v>
      </c>
      <c r="E40" s="3" t="str">
        <f ca="1">IF(OR(JobHopping[[#This Row],[Age]]=25,JobHopping[[#This Row],[Age]]&gt;69),"N",IF(AND(E38="N",E39="N", RAND()&lt;=D40), "Y", "N"))</f>
        <v>N</v>
      </c>
      <c r="F40" s="3" t="s">
        <v>0</v>
      </c>
      <c r="G40" s="3" t="str">
        <f>IF(JobHopping[[#This Row],[Age]]&lt;40,"",JobHopping[[#This Row],[SwitchP1Static]])</f>
        <v>N</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35">
      <c r="B41" s="3">
        <v>63</v>
      </c>
      <c r="C41" s="3" t="str">
        <f t="shared" si="3"/>
        <v>60-64 år</v>
      </c>
      <c r="D41" s="12">
        <f t="shared" si="4"/>
        <v>0.13997311637990331</v>
      </c>
      <c r="E41" s="3" t="str">
        <f ca="1">IF(OR(JobHopping[[#This Row],[Age]]=25,JobHopping[[#This Row],[Age]]&gt;69),"N",IF(AND(E39="N",E40="N", RAND()&lt;=D41), "Y", "N"))</f>
        <v>N</v>
      </c>
      <c r="F41" s="3" t="s">
        <v>0</v>
      </c>
      <c r="G41" s="3" t="str">
        <f>IF(JobHopping[[#This Row],[Age]]&lt;40,"",JobHopping[[#This Row],[SwitchP1Static]])</f>
        <v>N</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35">
      <c r="B42" s="3">
        <v>64</v>
      </c>
      <c r="C42" s="3" t="str">
        <f t="shared" si="3"/>
        <v>60-64 år</v>
      </c>
      <c r="D42" s="12">
        <f t="shared" si="4"/>
        <v>0.13997311637990331</v>
      </c>
      <c r="E42" s="3" t="str">
        <f ca="1">IF(OR(JobHopping[[#This Row],[Age]]=25,JobHopping[[#This Row],[Age]]&gt;69),"N",IF(AND(E40="N",E41="N", RAND()&lt;=D42), "Y", "N"))</f>
        <v>N</v>
      </c>
      <c r="F42" s="3" t="s">
        <v>0</v>
      </c>
      <c r="G42" s="3" t="str">
        <f>IF(JobHopping[[#This Row],[Age]]&lt;40,"",JobHopping[[#This Row],[SwitchP1Static]])</f>
        <v>N</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35">
      <c r="B43" s="3">
        <v>65</v>
      </c>
      <c r="C43" s="3" t="str">
        <f t="shared" si="3"/>
        <v>65+ år</v>
      </c>
      <c r="D43" s="12">
        <f t="shared" si="4"/>
        <v>0.11691873000664299</v>
      </c>
      <c r="E43" s="3" t="str">
        <f ca="1">IF(OR(JobHopping[[#This Row],[Age]]=25,JobHopping[[#This Row],[Age]]&gt;69),"N",IF(AND(E41="N",E42="N", RAND()&lt;=D43), "Y", "N"))</f>
        <v>N</v>
      </c>
      <c r="F43" s="3" t="s">
        <v>0</v>
      </c>
      <c r="G43" s="3" t="str">
        <f>IF(JobHopping[[#This Row],[Age]]&lt;40,"",JobHopping[[#This Row],[SwitchP1Static]])</f>
        <v>N</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35">
      <c r="B44" s="3">
        <v>66</v>
      </c>
      <c r="C44" s="3" t="str">
        <f t="shared" si="3"/>
        <v>65+ år</v>
      </c>
      <c r="D44" s="12">
        <f t="shared" si="4"/>
        <v>0.11691873000664299</v>
      </c>
      <c r="E44" s="3" t="str">
        <f ca="1">IF(OR(JobHopping[[#This Row],[Age]]=25,JobHopping[[#This Row],[Age]]&gt;69),"N",IF(AND(E42="N",E43="N", RAND()&lt;=D44), "Y", "N"))</f>
        <v>N</v>
      </c>
      <c r="F44" s="3" t="s">
        <v>0</v>
      </c>
      <c r="G44" s="3" t="str">
        <f>IF(JobHopping[[#This Row],[Age]]&lt;40,"",JobHopping[[#This Row],[SwitchP1Static]])</f>
        <v>N</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35">
      <c r="B45" s="3">
        <v>67</v>
      </c>
      <c r="C45" s="3" t="str">
        <f t="shared" si="3"/>
        <v>65+ år</v>
      </c>
      <c r="D45" s="12">
        <f t="shared" si="4"/>
        <v>0.11691873000664299</v>
      </c>
      <c r="E45" s="3" t="str">
        <f ca="1">IF(OR(JobHopping[[#This Row],[Age]]=25,JobHopping[[#This Row],[Age]]&gt;69),"N",IF(AND(E43="N",E44="N", RAND()&lt;=D45), "Y", "N"))</f>
        <v>Y</v>
      </c>
      <c r="F45" s="3" t="s">
        <v>0</v>
      </c>
      <c r="G45" s="3" t="str">
        <f>IF(JobHopping[[#This Row],[Age]]&lt;40,"",JobHopping[[#This Row],[SwitchP1Static]])</f>
        <v>N</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35">
      <c r="B46" s="3">
        <v>68</v>
      </c>
      <c r="C46" s="3" t="str">
        <f t="shared" si="3"/>
        <v>65+ år</v>
      </c>
      <c r="D46" s="12">
        <f t="shared" si="4"/>
        <v>0.11691873000664299</v>
      </c>
      <c r="E46" s="3" t="str">
        <f ca="1">IF(OR(JobHopping[[#This Row],[Age]]=25,JobHopping[[#This Row],[Age]]&gt;69),"N",IF(AND(E44="N",E45="N", RAND()&lt;=D46), "Y", "N"))</f>
        <v>N</v>
      </c>
      <c r="F46" s="3" t="s">
        <v>0</v>
      </c>
      <c r="G46" s="3" t="str">
        <f>IF(JobHopping[[#This Row],[Age]]&lt;40,"",JobHopping[[#This Row],[SwitchP1Static]])</f>
        <v>N</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35">
      <c r="B47" s="3">
        <v>69</v>
      </c>
      <c r="C47" s="3" t="str">
        <f t="shared" si="3"/>
        <v>65+ år</v>
      </c>
      <c r="D47" s="12">
        <f t="shared" si="4"/>
        <v>0.11691873000664299</v>
      </c>
      <c r="E47" s="3" t="str">
        <f ca="1">IF(OR(JobHopping[[#This Row],[Age]]=25,JobHopping[[#This Row],[Age]]&gt;69),"N",IF(AND(E45="N",E46="N", RAND()&lt;=D47), "Y", "N"))</f>
        <v>N</v>
      </c>
      <c r="F47" s="3" t="s">
        <v>0</v>
      </c>
      <c r="G47" s="3" t="str">
        <f>IF(JobHopping[[#This Row],[Age]]&lt;40,"",JobHopping[[#This Row],[SwitchP1Static]])</f>
        <v>N</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35">
      <c r="B48" s="3">
        <v>70</v>
      </c>
      <c r="C48" s="3" t="str">
        <f t="shared" si="3"/>
        <v>65+ år</v>
      </c>
      <c r="D48" s="12">
        <f t="shared" si="4"/>
        <v>0.11691873000664299</v>
      </c>
      <c r="E48" s="3" t="str">
        <f ca="1">IF(OR(JobHopping[[#This Row],[Age]]=25,JobHopping[[#This Row],[Age]]&gt;69),"N",IF(AND(E46="N",E47="N", RAND()&lt;=D48), "Y", "N"))</f>
        <v>N</v>
      </c>
      <c r="F48" s="3" t="s">
        <v>0</v>
      </c>
      <c r="G48" s="3" t="str">
        <f>IF(JobHopping[[#This Row],[Age]]&lt;40,"",JobHopping[[#This Row],[SwitchP1Static]])</f>
        <v>N</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3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tr">
        <f>IF(JobHopping[[#This Row],[Age]]&lt;40,"",JobHopping[[#This Row],[SwitchP1Static]])</f>
        <v>N</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35">
      <c r="B50" s="3">
        <v>72</v>
      </c>
      <c r="C50" s="3" t="str">
        <f t="shared" si="5"/>
        <v>65+ år</v>
      </c>
      <c r="D50" s="12">
        <f t="shared" si="4"/>
        <v>0.11691873000664299</v>
      </c>
      <c r="E50" s="3" t="str">
        <f ca="1">IF(OR(JobHopping[[#This Row],[Age]]=25,JobHopping[[#This Row],[Age]]&gt;69),"N",IF(AND(E48="N",E49="N", RAND()&lt;=D50), "Y", "N"))</f>
        <v>N</v>
      </c>
      <c r="F50" s="3" t="s">
        <v>0</v>
      </c>
      <c r="G50" s="3" t="str">
        <f>IF(JobHopping[[#This Row],[Age]]&lt;40,"",JobHopping[[#This Row],[SwitchP1Static]])</f>
        <v>N</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35">
      <c r="B51" s="3">
        <v>73</v>
      </c>
      <c r="C51" s="3" t="str">
        <f t="shared" si="5"/>
        <v>65+ år</v>
      </c>
      <c r="D51" s="12">
        <f t="shared" si="4"/>
        <v>0.11691873000664299</v>
      </c>
      <c r="E51" s="3" t="str">
        <f ca="1">IF(OR(JobHopping[[#This Row],[Age]]=25,JobHopping[[#This Row],[Age]]&gt;69),"N",IF(AND(E49="N",E50="N", RAND()&lt;=D51), "Y", "N"))</f>
        <v>N</v>
      </c>
      <c r="F51" s="3" t="s">
        <v>0</v>
      </c>
      <c r="G51" s="3" t="str">
        <f>IF(JobHopping[[#This Row],[Age]]&lt;40,"",JobHopping[[#This Row],[SwitchP1Static]])</f>
        <v>N</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35">
      <c r="B52" s="3">
        <v>74</v>
      </c>
      <c r="C52" s="3" t="str">
        <f t="shared" si="5"/>
        <v>65+ år</v>
      </c>
      <c r="D52" s="12">
        <f t="shared" si="4"/>
        <v>0.11691873000664299</v>
      </c>
      <c r="E52" s="3" t="str">
        <f ca="1">IF(OR(JobHopping[[#This Row],[Age]]=25,JobHopping[[#This Row],[Age]]&gt;69),"N",IF(AND(E50="N",E51="N", RAND()&lt;=D52), "Y", "N"))</f>
        <v>N</v>
      </c>
      <c r="F52" s="3" t="s">
        <v>0</v>
      </c>
      <c r="G52" s="3" t="str">
        <f>IF(JobHopping[[#This Row],[Age]]&lt;40,"",JobHopping[[#This Row],[SwitchP1Static]])</f>
        <v>N</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35">
      <c r="B53" s="3">
        <v>75</v>
      </c>
      <c r="C53" s="3" t="str">
        <f t="shared" si="5"/>
        <v>65+ år</v>
      </c>
      <c r="D53" s="12">
        <f t="shared" si="4"/>
        <v>0.11691873000664299</v>
      </c>
      <c r="E53" s="3" t="str">
        <f ca="1">IF(OR(JobHopping[[#This Row],[Age]]=25,JobHopping[[#This Row],[Age]]&gt;69),"N",IF(AND(E51="N",E52="N", RAND()&lt;=D53), "Y", "N"))</f>
        <v>N</v>
      </c>
      <c r="F53" s="3" t="s">
        <v>0</v>
      </c>
      <c r="G53" s="3" t="str">
        <f>IF(JobHopping[[#This Row],[Age]]&lt;40,"",JobHopping[[#This Row],[SwitchP1Static]])</f>
        <v>N</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35">
      <c r="B54" s="3">
        <v>76</v>
      </c>
      <c r="C54" s="3" t="str">
        <f t="shared" si="5"/>
        <v>65+ år</v>
      </c>
      <c r="D54" s="12">
        <f t="shared" si="4"/>
        <v>0.11691873000664299</v>
      </c>
      <c r="E54" s="3" t="str">
        <f ca="1">IF(OR(JobHopping[[#This Row],[Age]]=25,JobHopping[[#This Row],[Age]]&gt;69),"N",IF(AND(E52="N",E53="N", RAND()&lt;=D54), "Y", "N"))</f>
        <v>N</v>
      </c>
      <c r="F54" s="3" t="s">
        <v>0</v>
      </c>
      <c r="G54" s="3" t="str">
        <f>IF(JobHopping[[#This Row],[Age]]&lt;40,"",JobHopping[[#This Row],[SwitchP1Static]])</f>
        <v>N</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3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tr">
        <f>IF(JobHopping[[#This Row],[Age]]&lt;40,"",JobHopping[[#This Row],[SwitchP1Static]])</f>
        <v>N</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35">
      <c r="B56" s="3">
        <v>78</v>
      </c>
      <c r="C56" s="3" t="str">
        <f t="shared" si="6"/>
        <v>65+ år</v>
      </c>
      <c r="D56" s="12">
        <f t="shared" si="4"/>
        <v>0.11691873000664299</v>
      </c>
      <c r="E56" s="3" t="str">
        <f ca="1">IF(OR(JobHopping[[#This Row],[Age]]=25,JobHopping[[#This Row],[Age]]&gt;69),"N",IF(AND(E54="N",E55="N", RAND()&lt;=D56), "Y", "N"))</f>
        <v>N</v>
      </c>
      <c r="F56" s="3" t="s">
        <v>0</v>
      </c>
      <c r="G56" s="3" t="str">
        <f>IF(JobHopping[[#This Row],[Age]]&lt;40,"",JobHopping[[#This Row],[SwitchP1Static]])</f>
        <v>N</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35">
      <c r="B57" s="3">
        <v>79</v>
      </c>
      <c r="C57" s="3" t="str">
        <f t="shared" si="6"/>
        <v>65+ år</v>
      </c>
      <c r="D57" s="12">
        <f t="shared" si="4"/>
        <v>0.11691873000664299</v>
      </c>
      <c r="E57" s="3" t="str">
        <f ca="1">IF(OR(JobHopping[[#This Row],[Age]]=25,JobHopping[[#This Row],[Age]]&gt;69),"N",IF(AND(E55="N",E56="N", RAND()&lt;=D57), "Y", "N"))</f>
        <v>N</v>
      </c>
      <c r="F57" s="3" t="s">
        <v>0</v>
      </c>
      <c r="G57" s="3" t="str">
        <f>IF(JobHopping[[#This Row],[Age]]&lt;40,"",JobHopping[[#This Row],[SwitchP1Static]])</f>
        <v>N</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35">
      <c r="B58" s="3">
        <v>80</v>
      </c>
      <c r="C58" s="3" t="str">
        <f t="shared" si="6"/>
        <v>65+ år</v>
      </c>
      <c r="D58" s="12">
        <f t="shared" si="4"/>
        <v>0.11691873000664299</v>
      </c>
      <c r="E58" s="3" t="str">
        <f ca="1">IF(OR(JobHopping[[#This Row],[Age]]=25,JobHopping[[#This Row],[Age]]&gt;69),"N",IF(AND(E56="N",E57="N", RAND()&lt;=D58), "Y", "N"))</f>
        <v>N</v>
      </c>
      <c r="F58" s="3" t="s">
        <v>0</v>
      </c>
      <c r="G58" s="3" t="str">
        <f>IF(JobHopping[[#This Row],[Age]]&lt;40,"",JobHopping[[#This Row],[SwitchP1Static]])</f>
        <v>N</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35">
      <c r="B59" s="3">
        <v>81</v>
      </c>
      <c r="C59" s="3" t="str">
        <f t="shared" si="6"/>
        <v>65+ år</v>
      </c>
      <c r="D59" s="12">
        <f t="shared" si="4"/>
        <v>0.11691873000664299</v>
      </c>
      <c r="E59" s="3" t="str">
        <f ca="1">IF(OR(JobHopping[[#This Row],[Age]]=25,JobHopping[[#This Row],[Age]]&gt;69),"N",IF(AND(E57="N",E58="N", RAND()&lt;=D59), "Y", "N"))</f>
        <v>N</v>
      </c>
      <c r="F59" s="3" t="s">
        <v>0</v>
      </c>
      <c r="G59" s="3" t="str">
        <f>IF(JobHopping[[#This Row],[Age]]&lt;40,"",JobHopping[[#This Row],[SwitchP1Static]])</f>
        <v>N</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35">
      <c r="B60" s="3">
        <v>82</v>
      </c>
      <c r="C60" s="3" t="str">
        <f t="shared" si="6"/>
        <v>65+ år</v>
      </c>
      <c r="D60" s="12">
        <f t="shared" si="4"/>
        <v>0.11691873000664299</v>
      </c>
      <c r="E60" s="3" t="str">
        <f ca="1">IF(OR(JobHopping[[#This Row],[Age]]=25,JobHopping[[#This Row],[Age]]&gt;69),"N",IF(AND(E58="N",E59="N", RAND()&lt;=D60), "Y", "N"))</f>
        <v>N</v>
      </c>
      <c r="F60" s="3" t="s">
        <v>0</v>
      </c>
      <c r="G60" s="3" t="str">
        <f>IF(JobHopping[[#This Row],[Age]]&lt;40,"",JobHopping[[#This Row],[SwitchP1Static]])</f>
        <v>N</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35">
      <c r="B61" s="3">
        <v>83</v>
      </c>
      <c r="C61" s="3" t="str">
        <f t="shared" si="6"/>
        <v>65+ år</v>
      </c>
      <c r="D61" s="12">
        <f t="shared" si="4"/>
        <v>0.11691873000664299</v>
      </c>
      <c r="E61" s="3" t="str">
        <f ca="1">IF(OR(JobHopping[[#This Row],[Age]]=25,JobHopping[[#This Row],[Age]]&gt;69),"N",IF(AND(E59="N",E60="N", RAND()&lt;=D61), "Y", "N"))</f>
        <v>N</v>
      </c>
      <c r="F61" s="3" t="s">
        <v>0</v>
      </c>
      <c r="G61" s="3" t="str">
        <f>IF(JobHopping[[#This Row],[Age]]&lt;40,"",JobHopping[[#This Row],[SwitchP1Static]])</f>
        <v>N</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35">
      <c r="B62" s="3">
        <v>84</v>
      </c>
      <c r="C62" s="3" t="str">
        <f t="shared" si="6"/>
        <v>65+ år</v>
      </c>
      <c r="D62" s="12">
        <f t="shared" si="4"/>
        <v>0.11691873000664299</v>
      </c>
      <c r="E62" s="3" t="str">
        <f ca="1">IF(OR(JobHopping[[#This Row],[Age]]=25,JobHopping[[#This Row],[Age]]&gt;69),"N",IF(AND(E60="N",E61="N", RAND()&lt;=D62), "Y", "N"))</f>
        <v>N</v>
      </c>
      <c r="F62" s="3" t="s">
        <v>0</v>
      </c>
      <c r="G62" s="3" t="str">
        <f>IF(JobHopping[[#This Row],[Age]]&lt;40,"",JobHopping[[#This Row],[SwitchP1Static]])</f>
        <v>N</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35">
      <c r="B63" s="3">
        <v>85</v>
      </c>
      <c r="C63" s="3" t="str">
        <f t="shared" si="6"/>
        <v>65+ år</v>
      </c>
      <c r="D63" s="12">
        <f t="shared" si="4"/>
        <v>0.11691873000664299</v>
      </c>
      <c r="E63" s="3" t="str">
        <f ca="1">IF(OR(JobHopping[[#This Row],[Age]]=25,JobHopping[[#This Row],[Age]]&gt;69),"N",IF(AND(E61="N",E62="N", RAND()&lt;=D63), "Y", "N"))</f>
        <v>N</v>
      </c>
      <c r="F63" s="3" t="s">
        <v>0</v>
      </c>
      <c r="G63" s="3" t="str">
        <f>IF(JobHopping[[#This Row],[Age]]&lt;40,"",JobHopping[[#This Row],[SwitchP1Static]])</f>
        <v>N</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35">
      <c r="B64" s="3">
        <v>86</v>
      </c>
      <c r="C64" s="3" t="str">
        <f t="shared" si="6"/>
        <v>65+ år</v>
      </c>
      <c r="D64" s="12">
        <f t="shared" si="4"/>
        <v>0.11691873000664299</v>
      </c>
      <c r="E64" s="3" t="str">
        <f ca="1">IF(OR(JobHopping[[#This Row],[Age]]=25,JobHopping[[#This Row],[Age]]&gt;69),"N",IF(AND(E62="N",E63="N", RAND()&lt;=D64), "Y", "N"))</f>
        <v>N</v>
      </c>
      <c r="F64" s="3" t="s">
        <v>0</v>
      </c>
      <c r="G64" s="3" t="str">
        <f>IF(JobHopping[[#This Row],[Age]]&lt;40,"",JobHopping[[#This Row],[SwitchP1Static]])</f>
        <v>N</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35">
      <c r="B65" s="3">
        <v>87</v>
      </c>
      <c r="C65" s="3" t="str">
        <f t="shared" si="6"/>
        <v>65+ år</v>
      </c>
      <c r="D65" s="12">
        <f t="shared" si="4"/>
        <v>0.11691873000664299</v>
      </c>
      <c r="E65" s="3" t="str">
        <f ca="1">IF(OR(JobHopping[[#This Row],[Age]]=25,JobHopping[[#This Row],[Age]]&gt;69),"N",IF(AND(E63="N",E64="N", RAND()&lt;=D65), "Y", "N"))</f>
        <v>N</v>
      </c>
      <c r="F65" s="3" t="s">
        <v>0</v>
      </c>
      <c r="G65" s="3" t="str">
        <f>IF(JobHopping[[#This Row],[Age]]&lt;40,"",JobHopping[[#This Row],[SwitchP1Static]])</f>
        <v>N</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35">
      <c r="B66" s="3">
        <v>88</v>
      </c>
      <c r="C66" s="3" t="str">
        <f t="shared" si="6"/>
        <v>65+ år</v>
      </c>
      <c r="D66" s="12">
        <f t="shared" si="4"/>
        <v>0.11691873000664299</v>
      </c>
      <c r="E66" s="3" t="str">
        <f ca="1">IF(OR(JobHopping[[#This Row],[Age]]=25,JobHopping[[#This Row],[Age]]&gt;69),"N",IF(AND(E64="N",E65="N", RAND()&lt;=D66), "Y", "N"))</f>
        <v>N</v>
      </c>
      <c r="F66" s="3" t="s">
        <v>0</v>
      </c>
      <c r="G66" s="3" t="str">
        <f>IF(JobHopping[[#This Row],[Age]]&lt;40,"",JobHopping[[#This Row],[SwitchP1Static]])</f>
        <v>N</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35">
      <c r="B67" s="3">
        <v>89</v>
      </c>
      <c r="C67" s="3" t="str">
        <f t="shared" si="6"/>
        <v>65+ år</v>
      </c>
      <c r="D67" s="12">
        <f t="shared" ref="D67:D78" si="7">_xlfn.XLOOKUP(C67,S:S,T:T)</f>
        <v>0.11691873000664299</v>
      </c>
      <c r="E67" s="3" t="str">
        <f ca="1">IF(OR(JobHopping[[#This Row],[Age]]=25,JobHopping[[#This Row],[Age]]&gt;69),"N",IF(AND(E65="N",E66="N", RAND()&lt;=D67), "Y", "N"))</f>
        <v>N</v>
      </c>
      <c r="F67" s="3" t="s">
        <v>0</v>
      </c>
      <c r="G67" s="3" t="str">
        <f>IF(JobHopping[[#This Row],[Age]]&lt;40,"",JobHopping[[#This Row],[SwitchP1Static]])</f>
        <v>N</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35">
      <c r="B68" s="3">
        <v>90</v>
      </c>
      <c r="C68" s="3" t="str">
        <f t="shared" si="6"/>
        <v>65+ år</v>
      </c>
      <c r="D68" s="12">
        <f t="shared" si="7"/>
        <v>0.11691873000664299</v>
      </c>
      <c r="E68" s="3" t="str">
        <f ca="1">IF(OR(JobHopping[[#This Row],[Age]]=25,JobHopping[[#This Row],[Age]]&gt;69),"N",IF(AND(E66="N",E67="N", RAND()&lt;=D68), "Y", "N"))</f>
        <v>N</v>
      </c>
      <c r="F68" s="3" t="s">
        <v>0</v>
      </c>
      <c r="G68" s="3" t="str">
        <f>IF(JobHopping[[#This Row],[Age]]&lt;40,"",JobHopping[[#This Row],[SwitchP1Static]])</f>
        <v>N</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35">
      <c r="B69" s="3">
        <v>91</v>
      </c>
      <c r="C69" s="3" t="str">
        <f t="shared" si="6"/>
        <v>65+ år</v>
      </c>
      <c r="D69" s="12">
        <f t="shared" si="7"/>
        <v>0.11691873000664299</v>
      </c>
      <c r="E69" s="3" t="str">
        <f ca="1">IF(OR(JobHopping[[#This Row],[Age]]=25,JobHopping[[#This Row],[Age]]&gt;69),"N",IF(AND(E67="N",E68="N", RAND()&lt;=D69), "Y", "N"))</f>
        <v>N</v>
      </c>
      <c r="F69" s="3" t="s">
        <v>0</v>
      </c>
      <c r="G69" s="3" t="str">
        <f>IF(JobHopping[[#This Row],[Age]]&lt;40,"",JobHopping[[#This Row],[SwitchP1Static]])</f>
        <v>N</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3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tr">
        <f>IF(JobHopping[[#This Row],[Age]]&lt;40,"",JobHopping[[#This Row],[SwitchP1Static]])</f>
        <v>N</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35">
      <c r="B71" s="3">
        <v>93</v>
      </c>
      <c r="C71" s="3" t="str">
        <f t="shared" si="9"/>
        <v>65+ år</v>
      </c>
      <c r="D71" s="12">
        <f t="shared" si="7"/>
        <v>0.11691873000664299</v>
      </c>
      <c r="E71" s="3" t="str">
        <f ca="1">IF(OR(JobHopping[[#This Row],[Age]]=25,JobHopping[[#This Row],[Age]]&gt;69),"N",IF(AND(E69="N",E70="N", RAND()&lt;=D71), "Y", "N"))</f>
        <v>N</v>
      </c>
      <c r="F71" s="3" t="s">
        <v>0</v>
      </c>
      <c r="G71" s="3" t="str">
        <f>IF(JobHopping[[#This Row],[Age]]&lt;40,"",JobHopping[[#This Row],[SwitchP1Static]])</f>
        <v>N</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35">
      <c r="B72" s="3">
        <v>94</v>
      </c>
      <c r="C72" s="3" t="str">
        <f t="shared" si="9"/>
        <v>65+ år</v>
      </c>
      <c r="D72" s="12">
        <f t="shared" si="7"/>
        <v>0.11691873000664299</v>
      </c>
      <c r="E72" s="3" t="str">
        <f ca="1">IF(OR(JobHopping[[#This Row],[Age]]=25,JobHopping[[#This Row],[Age]]&gt;69),"N",IF(AND(E70="N",E71="N", RAND()&lt;=D72), "Y", "N"))</f>
        <v>N</v>
      </c>
      <c r="F72" s="3" t="s">
        <v>0</v>
      </c>
      <c r="G72" s="3" t="str">
        <f>IF(JobHopping[[#This Row],[Age]]&lt;40,"",JobHopping[[#This Row],[SwitchP1Static]])</f>
        <v>N</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35">
      <c r="B73" s="3">
        <v>95</v>
      </c>
      <c r="C73" s="3" t="str">
        <f t="shared" si="9"/>
        <v>65+ år</v>
      </c>
      <c r="D73" s="12">
        <f t="shared" si="7"/>
        <v>0.11691873000664299</v>
      </c>
      <c r="E73" s="3" t="str">
        <f ca="1">IF(OR(JobHopping[[#This Row],[Age]]=25,JobHopping[[#This Row],[Age]]&gt;69),"N",IF(AND(E71="N",E72="N", RAND()&lt;=D73), "Y", "N"))</f>
        <v>N</v>
      </c>
      <c r="F73" s="3" t="s">
        <v>0</v>
      </c>
      <c r="G73" s="3" t="str">
        <f>IF(JobHopping[[#This Row],[Age]]&lt;40,"",JobHopping[[#This Row],[SwitchP1Static]])</f>
        <v>N</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35">
      <c r="B74" s="3">
        <v>96</v>
      </c>
      <c r="C74" s="3" t="str">
        <f t="shared" si="9"/>
        <v>65+ år</v>
      </c>
      <c r="D74" s="12">
        <f t="shared" si="7"/>
        <v>0.11691873000664299</v>
      </c>
      <c r="E74" s="3" t="str">
        <f ca="1">IF(OR(JobHopping[[#This Row],[Age]]=25,JobHopping[[#This Row],[Age]]&gt;69),"N",IF(AND(E72="N",E73="N", RAND()&lt;=D74), "Y", "N"))</f>
        <v>N</v>
      </c>
      <c r="F74" s="3" t="s">
        <v>0</v>
      </c>
      <c r="G74" s="3" t="str">
        <f>IF(JobHopping[[#This Row],[Age]]&lt;40,"",JobHopping[[#This Row],[SwitchP1Static]])</f>
        <v>N</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35">
      <c r="B75" s="3">
        <v>97</v>
      </c>
      <c r="C75" s="3" t="str">
        <f t="shared" si="9"/>
        <v>65+ år</v>
      </c>
      <c r="D75" s="12">
        <f t="shared" si="7"/>
        <v>0.11691873000664299</v>
      </c>
      <c r="E75" s="3" t="str">
        <f ca="1">IF(OR(JobHopping[[#This Row],[Age]]=25,JobHopping[[#This Row],[Age]]&gt;69),"N",IF(AND(E73="N",E74="N", RAND()&lt;=D75), "Y", "N"))</f>
        <v>N</v>
      </c>
      <c r="F75" s="3" t="s">
        <v>0</v>
      </c>
      <c r="G75" s="3" t="str">
        <f>IF(JobHopping[[#This Row],[Age]]&lt;40,"",JobHopping[[#This Row],[SwitchP1Static]])</f>
        <v>N</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35">
      <c r="B76" s="3">
        <v>98</v>
      </c>
      <c r="C76" s="3" t="str">
        <f t="shared" si="9"/>
        <v>65+ år</v>
      </c>
      <c r="D76" s="12">
        <f t="shared" si="7"/>
        <v>0.11691873000664299</v>
      </c>
      <c r="E76" s="3" t="str">
        <f ca="1">IF(OR(JobHopping[[#This Row],[Age]]=25,JobHopping[[#This Row],[Age]]&gt;69),"N",IF(AND(E74="N",E75="N", RAND()&lt;=D76), "Y", "N"))</f>
        <v>N</v>
      </c>
      <c r="F76" s="3" t="s">
        <v>0</v>
      </c>
      <c r="G76" s="3" t="str">
        <f>IF(JobHopping[[#This Row],[Age]]&lt;40,"",JobHopping[[#This Row],[SwitchP1Static]])</f>
        <v>N</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35">
      <c r="B77" s="3">
        <v>99</v>
      </c>
      <c r="C77" s="3" t="str">
        <f t="shared" si="9"/>
        <v>65+ år</v>
      </c>
      <c r="D77" s="12">
        <f t="shared" si="7"/>
        <v>0.11691873000664299</v>
      </c>
      <c r="E77" s="3" t="str">
        <f ca="1">IF(OR(JobHopping[[#This Row],[Age]]=25,JobHopping[[#This Row],[Age]]&gt;69),"N",IF(AND(E75="N",E76="N", RAND()&lt;=D77), "Y", "N"))</f>
        <v>N</v>
      </c>
      <c r="F77" s="3" t="s">
        <v>0</v>
      </c>
      <c r="G77" s="3" t="str">
        <f>IF(JobHopping[[#This Row],[Age]]&lt;40,"",JobHopping[[#This Row],[SwitchP1Static]])</f>
        <v>N</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35">
      <c r="B78" s="3">
        <v>100</v>
      </c>
      <c r="C78" s="3" t="str">
        <f t="shared" si="9"/>
        <v>65+ år</v>
      </c>
      <c r="D78" s="12">
        <f t="shared" si="7"/>
        <v>0.11691873000664299</v>
      </c>
      <c r="E78" s="3" t="str">
        <f ca="1">IF(OR(JobHopping[[#This Row],[Age]]=25,JobHopping[[#This Row],[Age]]&gt;69),"N",IF(AND(E76="N",E77="N", RAND()&lt;=D78), "Y", "N"))</f>
        <v>N</v>
      </c>
      <c r="F78" s="3" t="s">
        <v>0</v>
      </c>
      <c r="G78" s="3" t="str">
        <f>IF(JobHopping[[#This Row],[Age]]&lt;40,"",JobHopping[[#This Row],[SwitchP1Static]])</f>
        <v>N</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3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3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3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3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3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3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3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3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3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3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3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3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3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3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3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3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3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3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3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3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3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3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3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4.5" x14ac:dyDescent="0.35"/>
  <cols>
    <col min="2" max="2" width="13" customWidth="1"/>
    <col min="3" max="3" width="31" customWidth="1"/>
  </cols>
  <sheetData>
    <row r="1" spans="1:4" ht="24" thickBot="1" x14ac:dyDescent="0.6">
      <c r="A1" s="4" t="s">
        <v>40</v>
      </c>
      <c r="B1" s="5"/>
      <c r="C1" s="5"/>
    </row>
    <row r="2" spans="1:4" ht="15" thickTop="1" x14ac:dyDescent="0.35">
      <c r="C2" s="6" t="s">
        <v>7</v>
      </c>
    </row>
    <row r="3" spans="1:4" x14ac:dyDescent="0.35">
      <c r="C3" s="6" t="s">
        <v>41</v>
      </c>
    </row>
    <row r="4" spans="1:4" x14ac:dyDescent="0.35">
      <c r="C4" s="6" t="s">
        <v>8</v>
      </c>
    </row>
    <row r="5" spans="1:4" x14ac:dyDescent="0.35">
      <c r="C5" s="6" t="s">
        <v>9</v>
      </c>
    </row>
    <row r="6" spans="1:4" x14ac:dyDescent="0.35">
      <c r="C6" s="6" t="s">
        <v>10</v>
      </c>
    </row>
    <row r="7" spans="1:4" x14ac:dyDescent="0.35">
      <c r="C7" s="6" t="s">
        <v>42</v>
      </c>
    </row>
    <row r="8" spans="1:4" x14ac:dyDescent="0.35">
      <c r="A8" s="6" t="s">
        <v>22</v>
      </c>
      <c r="B8" s="6" t="s">
        <v>13</v>
      </c>
      <c r="C8" s="7">
        <v>3410</v>
      </c>
      <c r="D8" t="str">
        <f t="shared" ref="D8:D71" si="0">A8&amp;"-"&amp;B8</f>
        <v>2009-25-29 år</v>
      </c>
    </row>
    <row r="9" spans="1:4" x14ac:dyDescent="0.35">
      <c r="A9" s="6" t="s">
        <v>22</v>
      </c>
      <c r="B9" s="6" t="s">
        <v>14</v>
      </c>
      <c r="C9" s="7">
        <v>3525</v>
      </c>
      <c r="D9" t="str">
        <f t="shared" si="0"/>
        <v>2009-30-34 år</v>
      </c>
    </row>
    <row r="10" spans="1:4" x14ac:dyDescent="0.35">
      <c r="A10" s="6" t="s">
        <v>22</v>
      </c>
      <c r="B10" s="6" t="s">
        <v>15</v>
      </c>
      <c r="C10" s="7">
        <v>3090</v>
      </c>
      <c r="D10" t="str">
        <f t="shared" si="0"/>
        <v>2009-35-39 år</v>
      </c>
    </row>
    <row r="11" spans="1:4" x14ac:dyDescent="0.35">
      <c r="A11" s="6" t="s">
        <v>22</v>
      </c>
      <c r="B11" s="6" t="s">
        <v>16</v>
      </c>
      <c r="C11" s="7">
        <v>4180</v>
      </c>
      <c r="D11" t="str">
        <f t="shared" si="0"/>
        <v>2009-40-44 år</v>
      </c>
    </row>
    <row r="12" spans="1:4" x14ac:dyDescent="0.35">
      <c r="A12" s="6" t="s">
        <v>22</v>
      </c>
      <c r="B12" s="6" t="s">
        <v>17</v>
      </c>
      <c r="C12" s="7">
        <v>3533</v>
      </c>
      <c r="D12" t="str">
        <f t="shared" si="0"/>
        <v>2009-45-49 år</v>
      </c>
    </row>
    <row r="13" spans="1:4" x14ac:dyDescent="0.35">
      <c r="A13" s="6" t="s">
        <v>22</v>
      </c>
      <c r="B13" s="6" t="s">
        <v>18</v>
      </c>
      <c r="C13" s="7">
        <v>2940</v>
      </c>
      <c r="D13" t="str">
        <f t="shared" si="0"/>
        <v>2009-50-54 år</v>
      </c>
    </row>
    <row r="14" spans="1:4" x14ac:dyDescent="0.35">
      <c r="A14" s="6" t="s">
        <v>22</v>
      </c>
      <c r="B14" s="6" t="s">
        <v>19</v>
      </c>
      <c r="C14" s="7">
        <v>2419</v>
      </c>
      <c r="D14" t="str">
        <f t="shared" si="0"/>
        <v>2009-55-59 år</v>
      </c>
    </row>
    <row r="15" spans="1:4" x14ac:dyDescent="0.35">
      <c r="A15" s="6" t="s">
        <v>22</v>
      </c>
      <c r="B15" s="6" t="s">
        <v>20</v>
      </c>
      <c r="C15" s="7">
        <v>1263</v>
      </c>
      <c r="D15" t="str">
        <f t="shared" si="0"/>
        <v>2009-60-64 år</v>
      </c>
    </row>
    <row r="16" spans="1:4" x14ac:dyDescent="0.35">
      <c r="A16" s="6" t="s">
        <v>22</v>
      </c>
      <c r="B16" s="6" t="s">
        <v>43</v>
      </c>
      <c r="C16" s="7">
        <v>196</v>
      </c>
      <c r="D16" t="str">
        <f t="shared" si="0"/>
        <v>2009-65-69 år</v>
      </c>
    </row>
    <row r="17" spans="1:4" x14ac:dyDescent="0.35">
      <c r="A17" s="6" t="s">
        <v>23</v>
      </c>
      <c r="B17" s="6" t="s">
        <v>13</v>
      </c>
      <c r="C17" s="7">
        <v>2457</v>
      </c>
      <c r="D17" t="str">
        <f t="shared" si="0"/>
        <v>2010-25-29 år</v>
      </c>
    </row>
    <row r="18" spans="1:4" x14ac:dyDescent="0.35">
      <c r="A18" s="6" t="s">
        <v>23</v>
      </c>
      <c r="B18" s="6" t="s">
        <v>14</v>
      </c>
      <c r="C18" s="7">
        <v>2382</v>
      </c>
      <c r="D18" t="str">
        <f t="shared" si="0"/>
        <v>2010-30-34 år</v>
      </c>
    </row>
    <row r="19" spans="1:4" x14ac:dyDescent="0.35">
      <c r="A19" s="6" t="s">
        <v>23</v>
      </c>
      <c r="B19" s="6" t="s">
        <v>15</v>
      </c>
      <c r="C19" s="7">
        <v>1880</v>
      </c>
      <c r="D19" t="str">
        <f t="shared" si="0"/>
        <v>2010-35-39 år</v>
      </c>
    </row>
    <row r="20" spans="1:4" x14ac:dyDescent="0.35">
      <c r="A20" s="6" t="s">
        <v>23</v>
      </c>
      <c r="B20" s="6" t="s">
        <v>16</v>
      </c>
      <c r="C20" s="7">
        <v>2045</v>
      </c>
      <c r="D20" t="str">
        <f t="shared" si="0"/>
        <v>2010-40-44 år</v>
      </c>
    </row>
    <row r="21" spans="1:4" x14ac:dyDescent="0.35">
      <c r="A21" s="6" t="s">
        <v>23</v>
      </c>
      <c r="B21" s="6" t="s">
        <v>17</v>
      </c>
      <c r="C21" s="7">
        <v>1826</v>
      </c>
      <c r="D21" t="str">
        <f t="shared" si="0"/>
        <v>2010-45-49 år</v>
      </c>
    </row>
    <row r="22" spans="1:4" x14ac:dyDescent="0.35">
      <c r="A22" s="6" t="s">
        <v>23</v>
      </c>
      <c r="B22" s="6" t="s">
        <v>18</v>
      </c>
      <c r="C22" s="7">
        <v>1417</v>
      </c>
      <c r="D22" t="str">
        <f t="shared" si="0"/>
        <v>2010-50-54 år</v>
      </c>
    </row>
    <row r="23" spans="1:4" x14ac:dyDescent="0.35">
      <c r="A23" s="6" t="s">
        <v>23</v>
      </c>
      <c r="B23" s="6" t="s">
        <v>19</v>
      </c>
      <c r="C23" s="7">
        <v>1229</v>
      </c>
      <c r="D23" t="str">
        <f t="shared" si="0"/>
        <v>2010-55-59 år</v>
      </c>
    </row>
    <row r="24" spans="1:4" x14ac:dyDescent="0.35">
      <c r="A24" s="6" t="s">
        <v>23</v>
      </c>
      <c r="B24" s="6" t="s">
        <v>20</v>
      </c>
      <c r="C24" s="7">
        <v>712</v>
      </c>
      <c r="D24" t="str">
        <f t="shared" si="0"/>
        <v>2010-60-64 år</v>
      </c>
    </row>
    <row r="25" spans="1:4" x14ac:dyDescent="0.35">
      <c r="A25" s="6" t="s">
        <v>23</v>
      </c>
      <c r="B25" s="6" t="s">
        <v>43</v>
      </c>
      <c r="C25" s="7">
        <v>220</v>
      </c>
      <c r="D25" t="str">
        <f t="shared" si="0"/>
        <v>2010-65-69 år</v>
      </c>
    </row>
    <row r="26" spans="1:4" x14ac:dyDescent="0.35">
      <c r="A26" s="6" t="s">
        <v>24</v>
      </c>
      <c r="B26" s="6" t="s">
        <v>13</v>
      </c>
      <c r="C26" s="7">
        <v>2791</v>
      </c>
      <c r="D26" t="str">
        <f t="shared" si="0"/>
        <v>2011-25-29 år</v>
      </c>
    </row>
    <row r="27" spans="1:4" x14ac:dyDescent="0.35">
      <c r="A27" s="6" t="s">
        <v>24</v>
      </c>
      <c r="B27" s="6" t="s">
        <v>14</v>
      </c>
      <c r="C27" s="7">
        <v>2600</v>
      </c>
      <c r="D27" t="str">
        <f t="shared" si="0"/>
        <v>2011-30-34 år</v>
      </c>
    </row>
    <row r="28" spans="1:4" x14ac:dyDescent="0.35">
      <c r="A28" s="6" t="s">
        <v>24</v>
      </c>
      <c r="B28" s="6" t="s">
        <v>15</v>
      </c>
      <c r="C28" s="7">
        <v>2164</v>
      </c>
      <c r="D28" t="str">
        <f t="shared" si="0"/>
        <v>2011-35-39 år</v>
      </c>
    </row>
    <row r="29" spans="1:4" x14ac:dyDescent="0.35">
      <c r="A29" s="6" t="s">
        <v>24</v>
      </c>
      <c r="B29" s="6" t="s">
        <v>16</v>
      </c>
      <c r="C29" s="7">
        <v>2134</v>
      </c>
      <c r="D29" t="str">
        <f t="shared" si="0"/>
        <v>2011-40-44 år</v>
      </c>
    </row>
    <row r="30" spans="1:4" x14ac:dyDescent="0.35">
      <c r="A30" s="6" t="s">
        <v>24</v>
      </c>
      <c r="B30" s="6" t="s">
        <v>17</v>
      </c>
      <c r="C30" s="7">
        <v>2030</v>
      </c>
      <c r="D30" t="str">
        <f t="shared" si="0"/>
        <v>2011-45-49 år</v>
      </c>
    </row>
    <row r="31" spans="1:4" x14ac:dyDescent="0.35">
      <c r="A31" s="6" t="s">
        <v>24</v>
      </c>
      <c r="B31" s="6" t="s">
        <v>18</v>
      </c>
      <c r="C31" s="7">
        <v>1660</v>
      </c>
      <c r="D31" t="str">
        <f t="shared" si="0"/>
        <v>2011-50-54 år</v>
      </c>
    </row>
    <row r="32" spans="1:4" x14ac:dyDescent="0.35">
      <c r="A32" s="6" t="s">
        <v>24</v>
      </c>
      <c r="B32" s="6" t="s">
        <v>19</v>
      </c>
      <c r="C32" s="7">
        <v>1415</v>
      </c>
      <c r="D32" t="str">
        <f t="shared" si="0"/>
        <v>2011-55-59 år</v>
      </c>
    </row>
    <row r="33" spans="1:4" x14ac:dyDescent="0.35">
      <c r="A33" s="6" t="s">
        <v>24</v>
      </c>
      <c r="B33" s="6" t="s">
        <v>20</v>
      </c>
      <c r="C33" s="7">
        <v>726</v>
      </c>
      <c r="D33" t="str">
        <f t="shared" si="0"/>
        <v>2011-60-64 år</v>
      </c>
    </row>
    <row r="34" spans="1:4" x14ac:dyDescent="0.35">
      <c r="A34" s="6" t="s">
        <v>24</v>
      </c>
      <c r="B34" s="6" t="s">
        <v>43</v>
      </c>
      <c r="C34" s="7">
        <v>197</v>
      </c>
      <c r="D34" t="str">
        <f t="shared" si="0"/>
        <v>2011-65-69 år</v>
      </c>
    </row>
    <row r="35" spans="1:4" x14ac:dyDescent="0.35">
      <c r="A35" s="6" t="s">
        <v>25</v>
      </c>
      <c r="B35" s="6" t="s">
        <v>13</v>
      </c>
      <c r="C35" s="7">
        <v>2457</v>
      </c>
      <c r="D35" t="str">
        <f t="shared" si="0"/>
        <v>2012-25-29 år</v>
      </c>
    </row>
    <row r="36" spans="1:4" x14ac:dyDescent="0.35">
      <c r="A36" s="6" t="s">
        <v>25</v>
      </c>
      <c r="B36" s="6" t="s">
        <v>14</v>
      </c>
      <c r="C36" s="7">
        <v>2116</v>
      </c>
      <c r="D36" t="str">
        <f t="shared" si="0"/>
        <v>2012-30-34 år</v>
      </c>
    </row>
    <row r="37" spans="1:4" x14ac:dyDescent="0.35">
      <c r="A37" s="6" t="s">
        <v>25</v>
      </c>
      <c r="B37" s="6" t="s">
        <v>15</v>
      </c>
      <c r="C37" s="7">
        <v>1935</v>
      </c>
      <c r="D37" t="str">
        <f t="shared" si="0"/>
        <v>2012-35-39 år</v>
      </c>
    </row>
    <row r="38" spans="1:4" x14ac:dyDescent="0.35">
      <c r="A38" s="6" t="s">
        <v>25</v>
      </c>
      <c r="B38" s="6" t="s">
        <v>16</v>
      </c>
      <c r="C38" s="7">
        <v>1734</v>
      </c>
      <c r="D38" t="str">
        <f t="shared" si="0"/>
        <v>2012-40-44 år</v>
      </c>
    </row>
    <row r="39" spans="1:4" x14ac:dyDescent="0.35">
      <c r="A39" s="6" t="s">
        <v>25</v>
      </c>
      <c r="B39" s="6" t="s">
        <v>17</v>
      </c>
      <c r="C39" s="7">
        <v>1913</v>
      </c>
      <c r="D39" t="str">
        <f t="shared" si="0"/>
        <v>2012-45-49 år</v>
      </c>
    </row>
    <row r="40" spans="1:4" x14ac:dyDescent="0.35">
      <c r="A40" s="6" t="s">
        <v>25</v>
      </c>
      <c r="B40" s="6" t="s">
        <v>18</v>
      </c>
      <c r="C40" s="7">
        <v>1465</v>
      </c>
      <c r="D40" t="str">
        <f t="shared" si="0"/>
        <v>2012-50-54 år</v>
      </c>
    </row>
    <row r="41" spans="1:4" x14ac:dyDescent="0.35">
      <c r="A41" s="6" t="s">
        <v>25</v>
      </c>
      <c r="B41" s="6" t="s">
        <v>19</v>
      </c>
      <c r="C41" s="7">
        <v>1254</v>
      </c>
      <c r="D41" t="str">
        <f t="shared" si="0"/>
        <v>2012-55-59 år</v>
      </c>
    </row>
    <row r="42" spans="1:4" x14ac:dyDescent="0.35">
      <c r="A42" s="6" t="s">
        <v>25</v>
      </c>
      <c r="B42" s="6" t="s">
        <v>20</v>
      </c>
      <c r="C42" s="7">
        <v>718</v>
      </c>
      <c r="D42" t="str">
        <f t="shared" si="0"/>
        <v>2012-60-64 år</v>
      </c>
    </row>
    <row r="43" spans="1:4" x14ac:dyDescent="0.35">
      <c r="A43" s="6" t="s">
        <v>25</v>
      </c>
      <c r="B43" s="6" t="s">
        <v>43</v>
      </c>
      <c r="C43" s="7">
        <v>208</v>
      </c>
      <c r="D43" t="str">
        <f t="shared" si="0"/>
        <v>2012-65-69 år</v>
      </c>
    </row>
    <row r="44" spans="1:4" x14ac:dyDescent="0.35">
      <c r="A44" s="6" t="s">
        <v>26</v>
      </c>
      <c r="B44" s="6" t="s">
        <v>13</v>
      </c>
      <c r="C44" s="7">
        <v>2524</v>
      </c>
      <c r="D44" t="str">
        <f t="shared" si="0"/>
        <v>2013-25-29 år</v>
      </c>
    </row>
    <row r="45" spans="1:4" x14ac:dyDescent="0.35">
      <c r="A45" s="6" t="s">
        <v>26</v>
      </c>
      <c r="B45" s="6" t="s">
        <v>14</v>
      </c>
      <c r="C45" s="7">
        <v>2176</v>
      </c>
      <c r="D45" t="str">
        <f t="shared" si="0"/>
        <v>2013-30-34 år</v>
      </c>
    </row>
    <row r="46" spans="1:4" x14ac:dyDescent="0.35">
      <c r="A46" s="6" t="s">
        <v>26</v>
      </c>
      <c r="B46" s="6" t="s">
        <v>15</v>
      </c>
      <c r="C46" s="7">
        <v>1896</v>
      </c>
      <c r="D46" t="str">
        <f t="shared" si="0"/>
        <v>2013-35-39 år</v>
      </c>
    </row>
    <row r="47" spans="1:4" x14ac:dyDescent="0.35">
      <c r="A47" s="6" t="s">
        <v>26</v>
      </c>
      <c r="B47" s="6" t="s">
        <v>16</v>
      </c>
      <c r="C47" s="7">
        <v>1579</v>
      </c>
      <c r="D47" t="str">
        <f t="shared" si="0"/>
        <v>2013-40-44 år</v>
      </c>
    </row>
    <row r="48" spans="1:4" x14ac:dyDescent="0.35">
      <c r="A48" s="6" t="s">
        <v>26</v>
      </c>
      <c r="B48" s="6" t="s">
        <v>17</v>
      </c>
      <c r="C48" s="7">
        <v>1915</v>
      </c>
      <c r="D48" t="str">
        <f t="shared" si="0"/>
        <v>2013-45-49 år</v>
      </c>
    </row>
    <row r="49" spans="1:4" x14ac:dyDescent="0.35">
      <c r="A49" s="6" t="s">
        <v>26</v>
      </c>
      <c r="B49" s="6" t="s">
        <v>18</v>
      </c>
      <c r="C49" s="7">
        <v>1462</v>
      </c>
      <c r="D49" t="str">
        <f t="shared" si="0"/>
        <v>2013-50-54 år</v>
      </c>
    </row>
    <row r="50" spans="1:4" x14ac:dyDescent="0.35">
      <c r="A50" s="6" t="s">
        <v>26</v>
      </c>
      <c r="B50" s="6" t="s">
        <v>19</v>
      </c>
      <c r="C50" s="7">
        <v>1227</v>
      </c>
      <c r="D50" t="str">
        <f t="shared" si="0"/>
        <v>2013-55-59 år</v>
      </c>
    </row>
    <row r="51" spans="1:4" x14ac:dyDescent="0.35">
      <c r="A51" s="6" t="s">
        <v>26</v>
      </c>
      <c r="B51" s="6" t="s">
        <v>20</v>
      </c>
      <c r="C51" s="7">
        <v>667</v>
      </c>
      <c r="D51" t="str">
        <f t="shared" si="0"/>
        <v>2013-60-64 år</v>
      </c>
    </row>
    <row r="52" spans="1:4" x14ac:dyDescent="0.35">
      <c r="A52" s="6" t="s">
        <v>26</v>
      </c>
      <c r="B52" s="6" t="s">
        <v>43</v>
      </c>
      <c r="C52" s="7">
        <v>224</v>
      </c>
      <c r="D52" t="str">
        <f t="shared" si="0"/>
        <v>2013-65-69 år</v>
      </c>
    </row>
    <row r="53" spans="1:4" x14ac:dyDescent="0.35">
      <c r="A53" s="6" t="s">
        <v>27</v>
      </c>
      <c r="B53" s="6" t="s">
        <v>13</v>
      </c>
      <c r="C53" s="7">
        <v>2521</v>
      </c>
      <c r="D53" t="str">
        <f t="shared" si="0"/>
        <v>2014-25-29 år</v>
      </c>
    </row>
    <row r="54" spans="1:4" x14ac:dyDescent="0.35">
      <c r="A54" s="6" t="s">
        <v>27</v>
      </c>
      <c r="B54" s="6" t="s">
        <v>14</v>
      </c>
      <c r="C54" s="7">
        <v>2178</v>
      </c>
      <c r="D54" t="str">
        <f t="shared" si="0"/>
        <v>2014-30-34 år</v>
      </c>
    </row>
    <row r="55" spans="1:4" x14ac:dyDescent="0.35">
      <c r="A55" s="6" t="s">
        <v>27</v>
      </c>
      <c r="B55" s="6" t="s">
        <v>15</v>
      </c>
      <c r="C55" s="7">
        <v>2066</v>
      </c>
      <c r="D55" t="str">
        <f t="shared" si="0"/>
        <v>2014-35-39 år</v>
      </c>
    </row>
    <row r="56" spans="1:4" x14ac:dyDescent="0.35">
      <c r="A56" s="6" t="s">
        <v>27</v>
      </c>
      <c r="B56" s="6" t="s">
        <v>16</v>
      </c>
      <c r="C56" s="7">
        <v>1647</v>
      </c>
      <c r="D56" t="str">
        <f t="shared" si="0"/>
        <v>2014-40-44 år</v>
      </c>
    </row>
    <row r="57" spans="1:4" x14ac:dyDescent="0.35">
      <c r="A57" s="6" t="s">
        <v>27</v>
      </c>
      <c r="B57" s="6" t="s">
        <v>17</v>
      </c>
      <c r="C57" s="7">
        <v>1953</v>
      </c>
      <c r="D57" t="str">
        <f t="shared" si="0"/>
        <v>2014-45-49 år</v>
      </c>
    </row>
    <row r="58" spans="1:4" x14ac:dyDescent="0.35">
      <c r="A58" s="6" t="s">
        <v>27</v>
      </c>
      <c r="B58" s="6" t="s">
        <v>18</v>
      </c>
      <c r="C58" s="7">
        <v>1636</v>
      </c>
      <c r="D58" t="str">
        <f t="shared" si="0"/>
        <v>2014-50-54 år</v>
      </c>
    </row>
    <row r="59" spans="1:4" x14ac:dyDescent="0.35">
      <c r="A59" s="6" t="s">
        <v>27</v>
      </c>
      <c r="B59" s="6" t="s">
        <v>19</v>
      </c>
      <c r="C59" s="7">
        <v>1231</v>
      </c>
      <c r="D59" t="str">
        <f t="shared" si="0"/>
        <v>2014-55-59 år</v>
      </c>
    </row>
    <row r="60" spans="1:4" x14ac:dyDescent="0.35">
      <c r="A60" s="6" t="s">
        <v>27</v>
      </c>
      <c r="B60" s="6" t="s">
        <v>20</v>
      </c>
      <c r="C60" s="7">
        <v>706</v>
      </c>
      <c r="D60" t="str">
        <f t="shared" si="0"/>
        <v>2014-60-64 år</v>
      </c>
    </row>
    <row r="61" spans="1:4" x14ac:dyDescent="0.35">
      <c r="A61" s="6" t="s">
        <v>27</v>
      </c>
      <c r="B61" s="6" t="s">
        <v>43</v>
      </c>
      <c r="C61" s="7">
        <v>204</v>
      </c>
      <c r="D61" t="str">
        <f t="shared" si="0"/>
        <v>2014-65-69 år</v>
      </c>
    </row>
    <row r="62" spans="1:4" x14ac:dyDescent="0.35">
      <c r="A62" s="6" t="s">
        <v>28</v>
      </c>
      <c r="B62" s="6" t="s">
        <v>13</v>
      </c>
      <c r="C62" s="7">
        <v>2715</v>
      </c>
      <c r="D62" t="str">
        <f t="shared" si="0"/>
        <v>2015-25-29 år</v>
      </c>
    </row>
    <row r="63" spans="1:4" x14ac:dyDescent="0.35">
      <c r="A63" s="6" t="s">
        <v>28</v>
      </c>
      <c r="B63" s="6" t="s">
        <v>14</v>
      </c>
      <c r="C63" s="7">
        <v>2473</v>
      </c>
      <c r="D63" t="str">
        <f t="shared" si="0"/>
        <v>2015-30-34 år</v>
      </c>
    </row>
    <row r="64" spans="1:4" x14ac:dyDescent="0.35">
      <c r="A64" s="6" t="s">
        <v>28</v>
      </c>
      <c r="B64" s="6" t="s">
        <v>15</v>
      </c>
      <c r="C64" s="7">
        <v>2378</v>
      </c>
      <c r="D64" t="str">
        <f t="shared" si="0"/>
        <v>2015-35-39 år</v>
      </c>
    </row>
    <row r="65" spans="1:4" x14ac:dyDescent="0.35">
      <c r="A65" s="6" t="s">
        <v>28</v>
      </c>
      <c r="B65" s="6" t="s">
        <v>16</v>
      </c>
      <c r="C65" s="7">
        <v>1902</v>
      </c>
      <c r="D65" t="str">
        <f t="shared" si="0"/>
        <v>2015-40-44 år</v>
      </c>
    </row>
    <row r="66" spans="1:4" x14ac:dyDescent="0.35">
      <c r="A66" s="6" t="s">
        <v>28</v>
      </c>
      <c r="B66" s="6" t="s">
        <v>17</v>
      </c>
      <c r="C66" s="7">
        <v>2085</v>
      </c>
      <c r="D66" t="str">
        <f t="shared" si="0"/>
        <v>2015-45-49 år</v>
      </c>
    </row>
    <row r="67" spans="1:4" x14ac:dyDescent="0.35">
      <c r="A67" s="6" t="s">
        <v>28</v>
      </c>
      <c r="B67" s="6" t="s">
        <v>18</v>
      </c>
      <c r="C67" s="7">
        <v>1717</v>
      </c>
      <c r="D67" t="str">
        <f t="shared" si="0"/>
        <v>2015-50-54 år</v>
      </c>
    </row>
    <row r="68" spans="1:4" x14ac:dyDescent="0.35">
      <c r="A68" s="6" t="s">
        <v>28</v>
      </c>
      <c r="B68" s="6" t="s">
        <v>19</v>
      </c>
      <c r="C68" s="7">
        <v>1226</v>
      </c>
      <c r="D68" t="str">
        <f t="shared" si="0"/>
        <v>2015-55-59 år</v>
      </c>
    </row>
    <row r="69" spans="1:4" x14ac:dyDescent="0.35">
      <c r="A69" s="6" t="s">
        <v>28</v>
      </c>
      <c r="B69" s="6" t="s">
        <v>20</v>
      </c>
      <c r="C69" s="7">
        <v>583</v>
      </c>
      <c r="D69" t="str">
        <f t="shared" si="0"/>
        <v>2015-60-64 år</v>
      </c>
    </row>
    <row r="70" spans="1:4" x14ac:dyDescent="0.35">
      <c r="A70" s="6" t="s">
        <v>28</v>
      </c>
      <c r="B70" s="6" t="s">
        <v>43</v>
      </c>
      <c r="C70" s="7">
        <v>211</v>
      </c>
      <c r="D70" t="str">
        <f t="shared" si="0"/>
        <v>2015-65-69 år</v>
      </c>
    </row>
    <row r="71" spans="1:4" x14ac:dyDescent="0.35">
      <c r="A71" s="6" t="s">
        <v>29</v>
      </c>
      <c r="B71" s="6" t="s">
        <v>13</v>
      </c>
      <c r="C71" s="7">
        <v>3005</v>
      </c>
      <c r="D71" t="str">
        <f t="shared" si="0"/>
        <v>2016-25-29 år</v>
      </c>
    </row>
    <row r="72" spans="1:4" x14ac:dyDescent="0.35">
      <c r="A72" s="6" t="s">
        <v>29</v>
      </c>
      <c r="B72" s="6" t="s">
        <v>14</v>
      </c>
      <c r="C72" s="7">
        <v>2584</v>
      </c>
      <c r="D72" t="str">
        <f t="shared" ref="D72:D135" si="1">A72&amp;"-"&amp;B72</f>
        <v>2016-30-34 år</v>
      </c>
    </row>
    <row r="73" spans="1:4" x14ac:dyDescent="0.35">
      <c r="A73" s="6" t="s">
        <v>29</v>
      </c>
      <c r="B73" s="6" t="s">
        <v>15</v>
      </c>
      <c r="C73" s="7">
        <v>2311</v>
      </c>
      <c r="D73" t="str">
        <f t="shared" si="1"/>
        <v>2016-35-39 år</v>
      </c>
    </row>
    <row r="74" spans="1:4" x14ac:dyDescent="0.35">
      <c r="A74" s="6" t="s">
        <v>29</v>
      </c>
      <c r="B74" s="6" t="s">
        <v>16</v>
      </c>
      <c r="C74" s="7">
        <v>2111</v>
      </c>
      <c r="D74" t="str">
        <f t="shared" si="1"/>
        <v>2016-40-44 år</v>
      </c>
    </row>
    <row r="75" spans="1:4" x14ac:dyDescent="0.35">
      <c r="A75" s="6" t="s">
        <v>29</v>
      </c>
      <c r="B75" s="6" t="s">
        <v>17</v>
      </c>
      <c r="C75" s="7">
        <v>2000</v>
      </c>
      <c r="D75" t="str">
        <f t="shared" si="1"/>
        <v>2016-45-49 år</v>
      </c>
    </row>
    <row r="76" spans="1:4" x14ac:dyDescent="0.35">
      <c r="A76" s="6" t="s">
        <v>29</v>
      </c>
      <c r="B76" s="6" t="s">
        <v>18</v>
      </c>
      <c r="C76" s="7">
        <v>1808</v>
      </c>
      <c r="D76" t="str">
        <f t="shared" si="1"/>
        <v>2016-50-54 år</v>
      </c>
    </row>
    <row r="77" spans="1:4" x14ac:dyDescent="0.35">
      <c r="A77" s="6" t="s">
        <v>29</v>
      </c>
      <c r="B77" s="6" t="s">
        <v>19</v>
      </c>
      <c r="C77" s="7">
        <v>1301</v>
      </c>
      <c r="D77" t="str">
        <f t="shared" si="1"/>
        <v>2016-55-59 år</v>
      </c>
    </row>
    <row r="78" spans="1:4" x14ac:dyDescent="0.35">
      <c r="A78" s="6" t="s">
        <v>29</v>
      </c>
      <c r="B78" s="6" t="s">
        <v>20</v>
      </c>
      <c r="C78" s="7">
        <v>708</v>
      </c>
      <c r="D78" t="str">
        <f t="shared" si="1"/>
        <v>2016-60-64 år</v>
      </c>
    </row>
    <row r="79" spans="1:4" x14ac:dyDescent="0.35">
      <c r="A79" s="6" t="s">
        <v>29</v>
      </c>
      <c r="B79" s="6" t="s">
        <v>43</v>
      </c>
      <c r="C79" s="7">
        <v>183</v>
      </c>
      <c r="D79" t="str">
        <f t="shared" si="1"/>
        <v>2016-65-69 år</v>
      </c>
    </row>
    <row r="80" spans="1:4" x14ac:dyDescent="0.35">
      <c r="A80" s="6" t="s">
        <v>30</v>
      </c>
      <c r="B80" s="6" t="s">
        <v>13</v>
      </c>
      <c r="C80" s="7">
        <v>3106</v>
      </c>
      <c r="D80" t="str">
        <f t="shared" si="1"/>
        <v>2017-25-29 år</v>
      </c>
    </row>
    <row r="81" spans="1:4" x14ac:dyDescent="0.35">
      <c r="A81" s="6" t="s">
        <v>30</v>
      </c>
      <c r="B81" s="6" t="s">
        <v>14</v>
      </c>
      <c r="C81" s="7">
        <v>2692</v>
      </c>
      <c r="D81" t="str">
        <f t="shared" si="1"/>
        <v>2017-30-34 år</v>
      </c>
    </row>
    <row r="82" spans="1:4" x14ac:dyDescent="0.35">
      <c r="A82" s="6" t="s">
        <v>30</v>
      </c>
      <c r="B82" s="6" t="s">
        <v>15</v>
      </c>
      <c r="C82" s="7">
        <v>2452</v>
      </c>
      <c r="D82" t="str">
        <f t="shared" si="1"/>
        <v>2017-35-39 år</v>
      </c>
    </row>
    <row r="83" spans="1:4" x14ac:dyDescent="0.35">
      <c r="A83" s="6" t="s">
        <v>30</v>
      </c>
      <c r="B83" s="6" t="s">
        <v>16</v>
      </c>
      <c r="C83" s="7">
        <v>2105</v>
      </c>
      <c r="D83" t="str">
        <f t="shared" si="1"/>
        <v>2017-40-44 år</v>
      </c>
    </row>
    <row r="84" spans="1:4" x14ac:dyDescent="0.35">
      <c r="A84" s="6" t="s">
        <v>30</v>
      </c>
      <c r="B84" s="6" t="s">
        <v>17</v>
      </c>
      <c r="C84" s="7">
        <v>1892</v>
      </c>
      <c r="D84" t="str">
        <f t="shared" si="1"/>
        <v>2017-45-49 år</v>
      </c>
    </row>
    <row r="85" spans="1:4" x14ac:dyDescent="0.35">
      <c r="A85" s="6" t="s">
        <v>30</v>
      </c>
      <c r="B85" s="6" t="s">
        <v>18</v>
      </c>
      <c r="C85" s="7">
        <v>2042</v>
      </c>
      <c r="D85" t="str">
        <f t="shared" si="1"/>
        <v>2017-50-54 år</v>
      </c>
    </row>
    <row r="86" spans="1:4" x14ac:dyDescent="0.35">
      <c r="A86" s="6" t="s">
        <v>30</v>
      </c>
      <c r="B86" s="6" t="s">
        <v>19</v>
      </c>
      <c r="C86" s="7">
        <v>1410</v>
      </c>
      <c r="D86" t="str">
        <f t="shared" si="1"/>
        <v>2017-55-59 år</v>
      </c>
    </row>
    <row r="87" spans="1:4" x14ac:dyDescent="0.35">
      <c r="A87" s="6" t="s">
        <v>30</v>
      </c>
      <c r="B87" s="6" t="s">
        <v>20</v>
      </c>
      <c r="C87" s="7">
        <v>757</v>
      </c>
      <c r="D87" t="str">
        <f t="shared" si="1"/>
        <v>2017-60-64 år</v>
      </c>
    </row>
    <row r="88" spans="1:4" x14ac:dyDescent="0.35">
      <c r="A88" s="6" t="s">
        <v>30</v>
      </c>
      <c r="B88" s="6" t="s">
        <v>43</v>
      </c>
      <c r="C88" s="7">
        <v>194</v>
      </c>
      <c r="D88" t="str">
        <f t="shared" si="1"/>
        <v>2017-65-69 år</v>
      </c>
    </row>
    <row r="89" spans="1:4" x14ac:dyDescent="0.35">
      <c r="A89" s="6" t="s">
        <v>31</v>
      </c>
      <c r="B89" s="6" t="s">
        <v>13</v>
      </c>
      <c r="C89" s="7">
        <v>3149</v>
      </c>
      <c r="D89" t="str">
        <f t="shared" si="1"/>
        <v>2018-25-29 år</v>
      </c>
    </row>
    <row r="90" spans="1:4" x14ac:dyDescent="0.35">
      <c r="A90" s="6" t="s">
        <v>31</v>
      </c>
      <c r="B90" s="6" t="s">
        <v>14</v>
      </c>
      <c r="C90" s="7">
        <v>2658</v>
      </c>
      <c r="D90" t="str">
        <f t="shared" si="1"/>
        <v>2018-30-34 år</v>
      </c>
    </row>
    <row r="91" spans="1:4" x14ac:dyDescent="0.35">
      <c r="A91" s="6" t="s">
        <v>31</v>
      </c>
      <c r="B91" s="6" t="s">
        <v>15</v>
      </c>
      <c r="C91" s="7">
        <v>2333</v>
      </c>
      <c r="D91" t="str">
        <f t="shared" si="1"/>
        <v>2018-35-39 år</v>
      </c>
    </row>
    <row r="92" spans="1:4" x14ac:dyDescent="0.35">
      <c r="A92" s="6" t="s">
        <v>31</v>
      </c>
      <c r="B92" s="6" t="s">
        <v>16</v>
      </c>
      <c r="C92" s="7">
        <v>2068</v>
      </c>
      <c r="D92" t="str">
        <f t="shared" si="1"/>
        <v>2018-40-44 år</v>
      </c>
    </row>
    <row r="93" spans="1:4" x14ac:dyDescent="0.35">
      <c r="A93" s="6" t="s">
        <v>31</v>
      </c>
      <c r="B93" s="6" t="s">
        <v>17</v>
      </c>
      <c r="C93" s="7">
        <v>1770</v>
      </c>
      <c r="D93" t="str">
        <f t="shared" si="1"/>
        <v>2018-45-49 år</v>
      </c>
    </row>
    <row r="94" spans="1:4" x14ac:dyDescent="0.35">
      <c r="A94" s="6" t="s">
        <v>31</v>
      </c>
      <c r="B94" s="6" t="s">
        <v>18</v>
      </c>
      <c r="C94" s="7">
        <v>2055</v>
      </c>
      <c r="D94" t="str">
        <f t="shared" si="1"/>
        <v>2018-50-54 år</v>
      </c>
    </row>
    <row r="95" spans="1:4" x14ac:dyDescent="0.35">
      <c r="A95" s="6" t="s">
        <v>31</v>
      </c>
      <c r="B95" s="6" t="s">
        <v>19</v>
      </c>
      <c r="C95" s="7">
        <v>1415</v>
      </c>
      <c r="D95" t="str">
        <f t="shared" si="1"/>
        <v>2018-55-59 år</v>
      </c>
    </row>
    <row r="96" spans="1:4" x14ac:dyDescent="0.35">
      <c r="A96" s="6" t="s">
        <v>31</v>
      </c>
      <c r="B96" s="6" t="s">
        <v>20</v>
      </c>
      <c r="C96" s="7">
        <v>681</v>
      </c>
      <c r="D96" t="str">
        <f t="shared" si="1"/>
        <v>2018-60-64 år</v>
      </c>
    </row>
    <row r="97" spans="1:4" x14ac:dyDescent="0.35">
      <c r="A97" s="6" t="s">
        <v>31</v>
      </c>
      <c r="B97" s="6" t="s">
        <v>43</v>
      </c>
      <c r="C97" s="7">
        <v>174</v>
      </c>
      <c r="D97" t="str">
        <f t="shared" si="1"/>
        <v>2018-65-69 år</v>
      </c>
    </row>
    <row r="98" spans="1:4" x14ac:dyDescent="0.35">
      <c r="A98" s="6" t="s">
        <v>32</v>
      </c>
      <c r="B98" s="6" t="s">
        <v>13</v>
      </c>
      <c r="C98" s="7">
        <v>3477</v>
      </c>
      <c r="D98" t="str">
        <f t="shared" si="1"/>
        <v>2019-25-29 år</v>
      </c>
    </row>
    <row r="99" spans="1:4" x14ac:dyDescent="0.35">
      <c r="A99" s="6" t="s">
        <v>32</v>
      </c>
      <c r="B99" s="6" t="s">
        <v>14</v>
      </c>
      <c r="C99" s="7">
        <v>2839</v>
      </c>
      <c r="D99" t="str">
        <f t="shared" si="1"/>
        <v>2019-30-34 år</v>
      </c>
    </row>
    <row r="100" spans="1:4" x14ac:dyDescent="0.35">
      <c r="A100" s="6" t="s">
        <v>32</v>
      </c>
      <c r="B100" s="6" t="s">
        <v>15</v>
      </c>
      <c r="C100" s="7">
        <v>2298</v>
      </c>
      <c r="D100" t="str">
        <f t="shared" si="1"/>
        <v>2019-35-39 år</v>
      </c>
    </row>
    <row r="101" spans="1:4" x14ac:dyDescent="0.35">
      <c r="A101" s="6" t="s">
        <v>32</v>
      </c>
      <c r="B101" s="6" t="s">
        <v>16</v>
      </c>
      <c r="C101" s="7">
        <v>2100</v>
      </c>
      <c r="D101" t="str">
        <f t="shared" si="1"/>
        <v>2019-40-44 år</v>
      </c>
    </row>
    <row r="102" spans="1:4" x14ac:dyDescent="0.35">
      <c r="A102" s="6" t="s">
        <v>32</v>
      </c>
      <c r="B102" s="6" t="s">
        <v>17</v>
      </c>
      <c r="C102" s="7">
        <v>1802</v>
      </c>
      <c r="D102" t="str">
        <f t="shared" si="1"/>
        <v>2019-45-49 år</v>
      </c>
    </row>
    <row r="103" spans="1:4" x14ac:dyDescent="0.35">
      <c r="A103" s="6" t="s">
        <v>32</v>
      </c>
      <c r="B103" s="6" t="s">
        <v>18</v>
      </c>
      <c r="C103" s="7">
        <v>2054</v>
      </c>
      <c r="D103" t="str">
        <f t="shared" si="1"/>
        <v>2019-50-54 år</v>
      </c>
    </row>
    <row r="104" spans="1:4" x14ac:dyDescent="0.35">
      <c r="A104" s="6" t="s">
        <v>32</v>
      </c>
      <c r="B104" s="6" t="s">
        <v>19</v>
      </c>
      <c r="C104" s="7">
        <v>1383</v>
      </c>
      <c r="D104" t="str">
        <f t="shared" si="1"/>
        <v>2019-55-59 år</v>
      </c>
    </row>
    <row r="105" spans="1:4" x14ac:dyDescent="0.35">
      <c r="A105" s="6" t="s">
        <v>32</v>
      </c>
      <c r="B105" s="6" t="s">
        <v>20</v>
      </c>
      <c r="C105" s="7">
        <v>791</v>
      </c>
      <c r="D105" t="str">
        <f t="shared" si="1"/>
        <v>2019-60-64 år</v>
      </c>
    </row>
    <row r="106" spans="1:4" x14ac:dyDescent="0.35">
      <c r="A106" s="6" t="s">
        <v>32</v>
      </c>
      <c r="B106" s="6" t="s">
        <v>43</v>
      </c>
      <c r="C106" s="7">
        <v>188</v>
      </c>
      <c r="D106" t="str">
        <f t="shared" si="1"/>
        <v>2019-65-69 år</v>
      </c>
    </row>
    <row r="107" spans="1:4" x14ac:dyDescent="0.35">
      <c r="A107" s="6" t="s">
        <v>33</v>
      </c>
      <c r="B107" s="6" t="s">
        <v>13</v>
      </c>
      <c r="C107" s="7">
        <v>3028</v>
      </c>
      <c r="D107" t="str">
        <f t="shared" si="1"/>
        <v>2020-25-29 år</v>
      </c>
    </row>
    <row r="108" spans="1:4" x14ac:dyDescent="0.35">
      <c r="A108" s="6" t="s">
        <v>33</v>
      </c>
      <c r="B108" s="6" t="s">
        <v>14</v>
      </c>
      <c r="C108" s="7">
        <v>2339</v>
      </c>
      <c r="D108" t="str">
        <f t="shared" si="1"/>
        <v>2020-30-34 år</v>
      </c>
    </row>
    <row r="109" spans="1:4" x14ac:dyDescent="0.35">
      <c r="A109" s="6" t="s">
        <v>33</v>
      </c>
      <c r="B109" s="6" t="s">
        <v>15</v>
      </c>
      <c r="C109" s="7">
        <v>1929</v>
      </c>
      <c r="D109" t="str">
        <f t="shared" si="1"/>
        <v>2020-35-39 år</v>
      </c>
    </row>
    <row r="110" spans="1:4" x14ac:dyDescent="0.35">
      <c r="A110" s="6" t="s">
        <v>33</v>
      </c>
      <c r="B110" s="6" t="s">
        <v>16</v>
      </c>
      <c r="C110" s="7">
        <v>1758</v>
      </c>
      <c r="D110" t="str">
        <f t="shared" si="1"/>
        <v>2020-40-44 år</v>
      </c>
    </row>
    <row r="111" spans="1:4" x14ac:dyDescent="0.35">
      <c r="A111" s="6" t="s">
        <v>33</v>
      </c>
      <c r="B111" s="6" t="s">
        <v>17</v>
      </c>
      <c r="C111" s="7">
        <v>1654</v>
      </c>
      <c r="D111" t="str">
        <f t="shared" si="1"/>
        <v>2020-45-49 år</v>
      </c>
    </row>
    <row r="112" spans="1:4" x14ac:dyDescent="0.35">
      <c r="A112" s="6" t="s">
        <v>33</v>
      </c>
      <c r="B112" s="6" t="s">
        <v>18</v>
      </c>
      <c r="C112" s="7">
        <v>1616</v>
      </c>
      <c r="D112" t="str">
        <f t="shared" si="1"/>
        <v>2020-50-54 år</v>
      </c>
    </row>
    <row r="113" spans="1:4" x14ac:dyDescent="0.35">
      <c r="A113" s="6" t="s">
        <v>33</v>
      </c>
      <c r="B113" s="6" t="s">
        <v>19</v>
      </c>
      <c r="C113" s="7">
        <v>1279</v>
      </c>
      <c r="D113" t="str">
        <f t="shared" si="1"/>
        <v>2020-55-59 år</v>
      </c>
    </row>
    <row r="114" spans="1:4" x14ac:dyDescent="0.35">
      <c r="A114" s="6" t="s">
        <v>33</v>
      </c>
      <c r="B114" s="6" t="s">
        <v>20</v>
      </c>
      <c r="C114" s="7">
        <v>623</v>
      </c>
      <c r="D114" t="str">
        <f t="shared" si="1"/>
        <v>2020-60-64 år</v>
      </c>
    </row>
    <row r="115" spans="1:4" x14ac:dyDescent="0.35">
      <c r="A115" s="6" t="s">
        <v>33</v>
      </c>
      <c r="B115" s="6" t="s">
        <v>43</v>
      </c>
      <c r="C115" s="7">
        <v>201</v>
      </c>
      <c r="D115" t="str">
        <f t="shared" si="1"/>
        <v>2020-65-69 år</v>
      </c>
    </row>
    <row r="116" spans="1:4" x14ac:dyDescent="0.35">
      <c r="A116" s="6" t="s">
        <v>34</v>
      </c>
      <c r="B116" s="6" t="s">
        <v>13</v>
      </c>
      <c r="C116" s="7">
        <v>3854</v>
      </c>
      <c r="D116" t="str">
        <f t="shared" si="1"/>
        <v>2021-25-29 år</v>
      </c>
    </row>
    <row r="117" spans="1:4" x14ac:dyDescent="0.35">
      <c r="A117" s="6" t="s">
        <v>34</v>
      </c>
      <c r="B117" s="6" t="s">
        <v>14</v>
      </c>
      <c r="C117" s="7">
        <v>3059</v>
      </c>
      <c r="D117" t="str">
        <f t="shared" si="1"/>
        <v>2021-30-34 år</v>
      </c>
    </row>
    <row r="118" spans="1:4" x14ac:dyDescent="0.35">
      <c r="A118" s="6" t="s">
        <v>34</v>
      </c>
      <c r="B118" s="6" t="s">
        <v>15</v>
      </c>
      <c r="C118" s="7">
        <v>2330</v>
      </c>
      <c r="D118" t="str">
        <f t="shared" si="1"/>
        <v>2021-35-39 år</v>
      </c>
    </row>
    <row r="119" spans="1:4" x14ac:dyDescent="0.35">
      <c r="A119" s="6" t="s">
        <v>34</v>
      </c>
      <c r="B119" s="6" t="s">
        <v>16</v>
      </c>
      <c r="C119" s="7">
        <v>2220</v>
      </c>
      <c r="D119" t="str">
        <f t="shared" si="1"/>
        <v>2021-40-44 år</v>
      </c>
    </row>
    <row r="120" spans="1:4" x14ac:dyDescent="0.35">
      <c r="A120" s="6" t="s">
        <v>34</v>
      </c>
      <c r="B120" s="6" t="s">
        <v>17</v>
      </c>
      <c r="C120" s="7">
        <v>1980</v>
      </c>
      <c r="D120" t="str">
        <f t="shared" si="1"/>
        <v>2021-45-49 år</v>
      </c>
    </row>
    <row r="121" spans="1:4" x14ac:dyDescent="0.35">
      <c r="A121" s="6" t="s">
        <v>34</v>
      </c>
      <c r="B121" s="6" t="s">
        <v>18</v>
      </c>
      <c r="C121" s="7">
        <v>1810</v>
      </c>
      <c r="D121" t="str">
        <f t="shared" si="1"/>
        <v>2021-50-54 år</v>
      </c>
    </row>
    <row r="122" spans="1:4" x14ac:dyDescent="0.35">
      <c r="A122" s="6" t="s">
        <v>34</v>
      </c>
      <c r="B122" s="6" t="s">
        <v>19</v>
      </c>
      <c r="C122" s="7">
        <v>1631</v>
      </c>
      <c r="D122" t="str">
        <f t="shared" si="1"/>
        <v>2021-55-59 år</v>
      </c>
    </row>
    <row r="123" spans="1:4" x14ac:dyDescent="0.35">
      <c r="A123" s="6" t="s">
        <v>34</v>
      </c>
      <c r="B123" s="6" t="s">
        <v>20</v>
      </c>
      <c r="C123" s="7">
        <v>962</v>
      </c>
      <c r="D123" t="str">
        <f t="shared" si="1"/>
        <v>2021-60-64 år</v>
      </c>
    </row>
    <row r="124" spans="1:4" x14ac:dyDescent="0.35">
      <c r="A124" s="6" t="s">
        <v>34</v>
      </c>
      <c r="B124" s="6" t="s">
        <v>43</v>
      </c>
      <c r="C124" s="7">
        <v>216</v>
      </c>
      <c r="D124" t="str">
        <f t="shared" si="1"/>
        <v>2021-65-69 år</v>
      </c>
    </row>
    <row r="125" spans="1:4" x14ac:dyDescent="0.35">
      <c r="A125" s="6" t="s">
        <v>35</v>
      </c>
      <c r="B125" s="6" t="s">
        <v>13</v>
      </c>
      <c r="C125" s="7">
        <v>3870</v>
      </c>
      <c r="D125" t="str">
        <f t="shared" si="1"/>
        <v>2022-25-29 år</v>
      </c>
    </row>
    <row r="126" spans="1:4" x14ac:dyDescent="0.35">
      <c r="A126" s="6" t="s">
        <v>35</v>
      </c>
      <c r="B126" s="6" t="s">
        <v>14</v>
      </c>
      <c r="C126" s="7">
        <v>3004</v>
      </c>
      <c r="D126" t="str">
        <f t="shared" si="1"/>
        <v>2022-30-34 år</v>
      </c>
    </row>
    <row r="127" spans="1:4" x14ac:dyDescent="0.35">
      <c r="A127" s="6" t="s">
        <v>35</v>
      </c>
      <c r="B127" s="6" t="s">
        <v>15</v>
      </c>
      <c r="C127" s="7">
        <v>2511</v>
      </c>
      <c r="D127" t="str">
        <f t="shared" si="1"/>
        <v>2022-35-39 år</v>
      </c>
    </row>
    <row r="128" spans="1:4" x14ac:dyDescent="0.35">
      <c r="A128" s="6" t="s">
        <v>35</v>
      </c>
      <c r="B128" s="6" t="s">
        <v>16</v>
      </c>
      <c r="C128" s="7">
        <v>2191</v>
      </c>
      <c r="D128" t="str">
        <f t="shared" si="1"/>
        <v>2022-40-44 år</v>
      </c>
    </row>
    <row r="129" spans="1:4" x14ac:dyDescent="0.35">
      <c r="A129" s="6" t="s">
        <v>35</v>
      </c>
      <c r="B129" s="6" t="s">
        <v>17</v>
      </c>
      <c r="C129" s="7">
        <v>2044</v>
      </c>
      <c r="D129" t="str">
        <f t="shared" si="1"/>
        <v>2022-45-49 år</v>
      </c>
    </row>
    <row r="130" spans="1:4" x14ac:dyDescent="0.35">
      <c r="A130" s="6" t="s">
        <v>35</v>
      </c>
      <c r="B130" s="6" t="s">
        <v>18</v>
      </c>
      <c r="C130" s="7">
        <v>1683</v>
      </c>
      <c r="D130" t="str">
        <f t="shared" si="1"/>
        <v>2022-50-54 år</v>
      </c>
    </row>
    <row r="131" spans="1:4" x14ac:dyDescent="0.35">
      <c r="A131" s="6" t="s">
        <v>35</v>
      </c>
      <c r="B131" s="6" t="s">
        <v>19</v>
      </c>
      <c r="C131" s="7">
        <v>1578</v>
      </c>
      <c r="D131" t="str">
        <f t="shared" si="1"/>
        <v>2022-55-59 år</v>
      </c>
    </row>
    <row r="132" spans="1:4" x14ac:dyDescent="0.35">
      <c r="A132" s="6" t="s">
        <v>35</v>
      </c>
      <c r="B132" s="6" t="s">
        <v>20</v>
      </c>
      <c r="C132" s="7">
        <v>880</v>
      </c>
      <c r="D132" t="str">
        <f t="shared" si="1"/>
        <v>2022-60-64 år</v>
      </c>
    </row>
    <row r="133" spans="1:4" x14ac:dyDescent="0.35">
      <c r="A133" s="6" t="s">
        <v>35</v>
      </c>
      <c r="B133" s="6" t="s">
        <v>43</v>
      </c>
      <c r="C133" s="7">
        <v>265</v>
      </c>
      <c r="D133" t="str">
        <f t="shared" si="1"/>
        <v>2022-65-69 år</v>
      </c>
    </row>
    <row r="134" spans="1:4" x14ac:dyDescent="0.35">
      <c r="A134" s="6" t="s">
        <v>36</v>
      </c>
      <c r="B134" s="6" t="s">
        <v>13</v>
      </c>
      <c r="C134" s="7">
        <v>3662</v>
      </c>
      <c r="D134" t="str">
        <f t="shared" si="1"/>
        <v>2023-25-29 år</v>
      </c>
    </row>
    <row r="135" spans="1:4" x14ac:dyDescent="0.35">
      <c r="A135" s="6" t="s">
        <v>36</v>
      </c>
      <c r="B135" s="6" t="s">
        <v>14</v>
      </c>
      <c r="C135" s="7">
        <v>2878</v>
      </c>
      <c r="D135" t="str">
        <f t="shared" si="1"/>
        <v>2023-30-34 år</v>
      </c>
    </row>
    <row r="136" spans="1:4" x14ac:dyDescent="0.35">
      <c r="A136" s="6" t="s">
        <v>36</v>
      </c>
      <c r="B136" s="6" t="s">
        <v>15</v>
      </c>
      <c r="C136" s="7">
        <v>2160</v>
      </c>
      <c r="D136" t="str">
        <f t="shared" ref="D136:D141" si="2">A136&amp;"-"&amp;B136</f>
        <v>2023-35-39 år</v>
      </c>
    </row>
    <row r="137" spans="1:4" x14ac:dyDescent="0.35">
      <c r="A137" s="6" t="s">
        <v>36</v>
      </c>
      <c r="B137" s="6" t="s">
        <v>16</v>
      </c>
      <c r="C137" s="7">
        <v>1983</v>
      </c>
      <c r="D137" t="str">
        <f t="shared" si="2"/>
        <v>2023-40-44 år</v>
      </c>
    </row>
    <row r="138" spans="1:4" x14ac:dyDescent="0.35">
      <c r="A138" s="6" t="s">
        <v>36</v>
      </c>
      <c r="B138" s="6" t="s">
        <v>17</v>
      </c>
      <c r="C138" s="7">
        <v>1798</v>
      </c>
      <c r="D138" t="str">
        <f t="shared" si="2"/>
        <v>2023-45-49 år</v>
      </c>
    </row>
    <row r="139" spans="1:4" x14ac:dyDescent="0.35">
      <c r="A139" s="6" t="s">
        <v>36</v>
      </c>
      <c r="B139" s="6" t="s">
        <v>18</v>
      </c>
      <c r="C139" s="7">
        <v>1564</v>
      </c>
      <c r="D139" t="str">
        <f t="shared" si="2"/>
        <v>2023-50-54 år</v>
      </c>
    </row>
    <row r="140" spans="1:4" x14ac:dyDescent="0.35">
      <c r="A140" s="6" t="s">
        <v>36</v>
      </c>
      <c r="B140" s="6" t="s">
        <v>19</v>
      </c>
      <c r="C140" s="7">
        <v>1583</v>
      </c>
      <c r="D140" t="str">
        <f t="shared" si="2"/>
        <v>2023-55-59 år</v>
      </c>
    </row>
    <row r="141" spans="1:4" x14ac:dyDescent="0.35">
      <c r="A141" s="6" t="s">
        <v>36</v>
      </c>
      <c r="B141" s="6" t="s">
        <v>20</v>
      </c>
      <c r="C141" s="7">
        <v>896</v>
      </c>
      <c r="D141" t="str">
        <f t="shared" si="2"/>
        <v>2023-60-64 år</v>
      </c>
    </row>
    <row r="142" spans="1:4" ht="15" thickBot="1" x14ac:dyDescent="0.4">
      <c r="A142" s="6" t="s">
        <v>36</v>
      </c>
      <c r="B142" s="6" t="s">
        <v>43</v>
      </c>
      <c r="C142" s="7">
        <v>295</v>
      </c>
      <c r="D142" t="str">
        <f t="shared" ref="D142" si="3">A142&amp;"-"&amp;B142</f>
        <v>2023-65-69 år</v>
      </c>
    </row>
    <row r="143" spans="1:4" ht="15" thickTop="1" x14ac:dyDescent="0.35">
      <c r="A143" s="8"/>
      <c r="B143" s="8"/>
      <c r="C143" s="8"/>
    </row>
    <row r="145" spans="1:1" x14ac:dyDescent="0.35">
      <c r="A145" t="s">
        <v>38</v>
      </c>
    </row>
    <row r="146" spans="1:1" x14ac:dyDescent="0.35">
      <c r="A146" t="s">
        <v>39</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4.5" x14ac:dyDescent="0.35"/>
  <cols>
    <col min="2" max="2" width="13" customWidth="1"/>
    <col min="3" max="3" width="56" customWidth="1"/>
  </cols>
  <sheetData>
    <row r="1" spans="1:4" ht="24" thickBot="1" x14ac:dyDescent="0.6">
      <c r="A1" s="4" t="s">
        <v>6</v>
      </c>
      <c r="B1" s="5"/>
      <c r="C1" s="5"/>
    </row>
    <row r="2" spans="1:4" ht="15" thickTop="1" x14ac:dyDescent="0.35">
      <c r="C2" s="6" t="s">
        <v>7</v>
      </c>
    </row>
    <row r="3" spans="1:4" x14ac:dyDescent="0.35">
      <c r="C3" s="6" t="s">
        <v>8</v>
      </c>
    </row>
    <row r="4" spans="1:4" x14ac:dyDescent="0.35">
      <c r="C4" s="6" t="s">
        <v>9</v>
      </c>
    </row>
    <row r="5" spans="1:4" x14ac:dyDescent="0.35">
      <c r="C5" s="6" t="s">
        <v>10</v>
      </c>
    </row>
    <row r="6" spans="1:4" x14ac:dyDescent="0.35">
      <c r="C6" s="6" t="s">
        <v>11</v>
      </c>
    </row>
    <row r="7" spans="1:4" x14ac:dyDescent="0.35">
      <c r="A7" s="6" t="s">
        <v>12</v>
      </c>
      <c r="B7" s="6" t="s">
        <v>13</v>
      </c>
      <c r="C7" s="7">
        <v>6876</v>
      </c>
      <c r="D7" t="str">
        <f t="shared" ref="D7:D70" si="0">A7&amp;"-"&amp;B7</f>
        <v>2008-25-29 år</v>
      </c>
    </row>
    <row r="8" spans="1:4" x14ac:dyDescent="0.35">
      <c r="A8" s="6" t="s">
        <v>12</v>
      </c>
      <c r="B8" s="6" t="s">
        <v>14</v>
      </c>
      <c r="C8" s="7">
        <v>8541</v>
      </c>
      <c r="D8" t="str">
        <f t="shared" si="0"/>
        <v>2008-30-34 år</v>
      </c>
    </row>
    <row r="9" spans="1:4" x14ac:dyDescent="0.35">
      <c r="A9" s="6" t="s">
        <v>12</v>
      </c>
      <c r="B9" s="6" t="s">
        <v>15</v>
      </c>
      <c r="C9" s="7">
        <v>8222</v>
      </c>
      <c r="D9" t="str">
        <f t="shared" si="0"/>
        <v>2008-35-39 år</v>
      </c>
    </row>
    <row r="10" spans="1:4" x14ac:dyDescent="0.35">
      <c r="A10" s="6" t="s">
        <v>12</v>
      </c>
      <c r="B10" s="6" t="s">
        <v>16</v>
      </c>
      <c r="C10" s="7">
        <v>11172</v>
      </c>
      <c r="D10" t="str">
        <f t="shared" si="0"/>
        <v>2008-40-44 år</v>
      </c>
    </row>
    <row r="11" spans="1:4" x14ac:dyDescent="0.35">
      <c r="A11" s="6" t="s">
        <v>12</v>
      </c>
      <c r="B11" s="6" t="s">
        <v>17</v>
      </c>
      <c r="C11" s="7">
        <v>9399</v>
      </c>
      <c r="D11" t="str">
        <f t="shared" si="0"/>
        <v>2008-45-49 år</v>
      </c>
    </row>
    <row r="12" spans="1:4" x14ac:dyDescent="0.35">
      <c r="A12" s="6" t="s">
        <v>12</v>
      </c>
      <c r="B12" s="6" t="s">
        <v>18</v>
      </c>
      <c r="C12" s="7">
        <v>8459</v>
      </c>
      <c r="D12" t="str">
        <f t="shared" si="0"/>
        <v>2008-50-54 år</v>
      </c>
    </row>
    <row r="13" spans="1:4" x14ac:dyDescent="0.35">
      <c r="A13" s="6" t="s">
        <v>12</v>
      </c>
      <c r="B13" s="6" t="s">
        <v>19</v>
      </c>
      <c r="C13" s="7">
        <v>7916</v>
      </c>
      <c r="D13" t="str">
        <f t="shared" si="0"/>
        <v>2008-55-59 år</v>
      </c>
    </row>
    <row r="14" spans="1:4" x14ac:dyDescent="0.35">
      <c r="A14" s="6" t="s">
        <v>12</v>
      </c>
      <c r="B14" s="6" t="s">
        <v>20</v>
      </c>
      <c r="C14" s="7">
        <v>4371</v>
      </c>
      <c r="D14" t="str">
        <f t="shared" si="0"/>
        <v>2008-60-64 år</v>
      </c>
    </row>
    <row r="15" spans="1:4" x14ac:dyDescent="0.35">
      <c r="A15" s="6" t="s">
        <v>12</v>
      </c>
      <c r="B15" s="6" t="s">
        <v>21</v>
      </c>
      <c r="C15" s="7">
        <v>857</v>
      </c>
      <c r="D15" t="str">
        <f t="shared" si="0"/>
        <v>2008-65+ år</v>
      </c>
    </row>
    <row r="16" spans="1:4" x14ac:dyDescent="0.35">
      <c r="A16" s="6" t="s">
        <v>22</v>
      </c>
      <c r="B16" s="6" t="s">
        <v>13</v>
      </c>
      <c r="C16" s="7">
        <v>7284</v>
      </c>
      <c r="D16" t="str">
        <f t="shared" si="0"/>
        <v>2009-25-29 år</v>
      </c>
    </row>
    <row r="17" spans="1:4" x14ac:dyDescent="0.35">
      <c r="A17" s="6" t="s">
        <v>22</v>
      </c>
      <c r="B17" s="6" t="s">
        <v>14</v>
      </c>
      <c r="C17" s="7">
        <v>9750</v>
      </c>
      <c r="D17" t="str">
        <f t="shared" si="0"/>
        <v>2009-30-34 år</v>
      </c>
    </row>
    <row r="18" spans="1:4" x14ac:dyDescent="0.35">
      <c r="A18" s="6" t="s">
        <v>22</v>
      </c>
      <c r="B18" s="6" t="s">
        <v>15</v>
      </c>
      <c r="C18" s="7">
        <v>9328</v>
      </c>
      <c r="D18" t="str">
        <f t="shared" si="0"/>
        <v>2009-35-39 år</v>
      </c>
    </row>
    <row r="19" spans="1:4" x14ac:dyDescent="0.35">
      <c r="A19" s="6" t="s">
        <v>22</v>
      </c>
      <c r="B19" s="6" t="s">
        <v>16</v>
      </c>
      <c r="C19" s="7">
        <v>12571</v>
      </c>
      <c r="D19" t="str">
        <f t="shared" si="0"/>
        <v>2009-40-44 år</v>
      </c>
    </row>
    <row r="20" spans="1:4" x14ac:dyDescent="0.35">
      <c r="A20" s="6" t="s">
        <v>22</v>
      </c>
      <c r="B20" s="6" t="s">
        <v>17</v>
      </c>
      <c r="C20" s="7">
        <v>11248</v>
      </c>
      <c r="D20" t="str">
        <f t="shared" si="0"/>
        <v>2009-45-49 år</v>
      </c>
    </row>
    <row r="21" spans="1:4" x14ac:dyDescent="0.35">
      <c r="A21" s="6" t="s">
        <v>22</v>
      </c>
      <c r="B21" s="6" t="s">
        <v>18</v>
      </c>
      <c r="C21" s="7">
        <v>9862</v>
      </c>
      <c r="D21" t="str">
        <f t="shared" si="0"/>
        <v>2009-50-54 år</v>
      </c>
    </row>
    <row r="22" spans="1:4" x14ac:dyDescent="0.35">
      <c r="A22" s="6" t="s">
        <v>22</v>
      </c>
      <c r="B22" s="6" t="s">
        <v>19</v>
      </c>
      <c r="C22" s="7">
        <v>9081</v>
      </c>
      <c r="D22" t="str">
        <f t="shared" si="0"/>
        <v>2009-55-59 år</v>
      </c>
    </row>
    <row r="23" spans="1:4" x14ac:dyDescent="0.35">
      <c r="A23" s="6" t="s">
        <v>22</v>
      </c>
      <c r="B23" s="6" t="s">
        <v>20</v>
      </c>
      <c r="C23" s="7">
        <v>5056</v>
      </c>
      <c r="D23" t="str">
        <f t="shared" si="0"/>
        <v>2009-60-64 år</v>
      </c>
    </row>
    <row r="24" spans="1:4" x14ac:dyDescent="0.35">
      <c r="A24" s="6" t="s">
        <v>22</v>
      </c>
      <c r="B24" s="6" t="s">
        <v>21</v>
      </c>
      <c r="C24" s="7">
        <v>984</v>
      </c>
      <c r="D24" t="str">
        <f t="shared" si="0"/>
        <v>2009-65+ år</v>
      </c>
    </row>
    <row r="25" spans="1:4" x14ac:dyDescent="0.35">
      <c r="A25" s="6" t="s">
        <v>23</v>
      </c>
      <c r="B25" s="6" t="s">
        <v>13</v>
      </c>
      <c r="C25" s="7">
        <v>6802</v>
      </c>
      <c r="D25" t="str">
        <f t="shared" si="0"/>
        <v>2010-25-29 år</v>
      </c>
    </row>
    <row r="26" spans="1:4" x14ac:dyDescent="0.35">
      <c r="A26" s="6" t="s">
        <v>23</v>
      </c>
      <c r="B26" s="6" t="s">
        <v>14</v>
      </c>
      <c r="C26" s="7">
        <v>9673</v>
      </c>
      <c r="D26" t="str">
        <f t="shared" si="0"/>
        <v>2010-30-34 år</v>
      </c>
    </row>
    <row r="27" spans="1:4" x14ac:dyDescent="0.35">
      <c r="A27" s="6" t="s">
        <v>23</v>
      </c>
      <c r="B27" s="6" t="s">
        <v>15</v>
      </c>
      <c r="C27" s="7">
        <v>9565</v>
      </c>
      <c r="D27" t="str">
        <f t="shared" si="0"/>
        <v>2010-35-39 år</v>
      </c>
    </row>
    <row r="28" spans="1:4" x14ac:dyDescent="0.35">
      <c r="A28" s="6" t="s">
        <v>23</v>
      </c>
      <c r="B28" s="6" t="s">
        <v>16</v>
      </c>
      <c r="C28" s="7">
        <v>11893</v>
      </c>
      <c r="D28" t="str">
        <f t="shared" si="0"/>
        <v>2010-40-44 år</v>
      </c>
    </row>
    <row r="29" spans="1:4" x14ac:dyDescent="0.35">
      <c r="A29" s="6" t="s">
        <v>23</v>
      </c>
      <c r="B29" s="6" t="s">
        <v>17</v>
      </c>
      <c r="C29" s="7">
        <v>11808</v>
      </c>
      <c r="D29" t="str">
        <f t="shared" si="0"/>
        <v>2010-45-49 år</v>
      </c>
    </row>
    <row r="30" spans="1:4" x14ac:dyDescent="0.35">
      <c r="A30" s="6" t="s">
        <v>23</v>
      </c>
      <c r="B30" s="6" t="s">
        <v>18</v>
      </c>
      <c r="C30" s="7">
        <v>10091</v>
      </c>
      <c r="D30" t="str">
        <f t="shared" si="0"/>
        <v>2010-50-54 år</v>
      </c>
    </row>
    <row r="31" spans="1:4" x14ac:dyDescent="0.35">
      <c r="A31" s="6" t="s">
        <v>23</v>
      </c>
      <c r="B31" s="6" t="s">
        <v>19</v>
      </c>
      <c r="C31" s="7">
        <v>9186</v>
      </c>
      <c r="D31" t="str">
        <f t="shared" si="0"/>
        <v>2010-55-59 år</v>
      </c>
    </row>
    <row r="32" spans="1:4" x14ac:dyDescent="0.35">
      <c r="A32" s="6" t="s">
        <v>23</v>
      </c>
      <c r="B32" s="6" t="s">
        <v>20</v>
      </c>
      <c r="C32" s="7">
        <v>5175</v>
      </c>
      <c r="D32" t="str">
        <f t="shared" si="0"/>
        <v>2010-60-64 år</v>
      </c>
    </row>
    <row r="33" spans="1:4" x14ac:dyDescent="0.35">
      <c r="A33" s="6" t="s">
        <v>23</v>
      </c>
      <c r="B33" s="6" t="s">
        <v>21</v>
      </c>
      <c r="C33" s="7">
        <v>1161</v>
      </c>
      <c r="D33" t="str">
        <f t="shared" si="0"/>
        <v>2010-65+ år</v>
      </c>
    </row>
    <row r="34" spans="1:4" x14ac:dyDescent="0.35">
      <c r="A34" s="6" t="s">
        <v>24</v>
      </c>
      <c r="B34" s="6" t="s">
        <v>13</v>
      </c>
      <c r="C34" s="7">
        <v>6619</v>
      </c>
      <c r="D34" t="str">
        <f t="shared" si="0"/>
        <v>2011-25-29 år</v>
      </c>
    </row>
    <row r="35" spans="1:4" x14ac:dyDescent="0.35">
      <c r="A35" s="6" t="s">
        <v>24</v>
      </c>
      <c r="B35" s="6" t="s">
        <v>14</v>
      </c>
      <c r="C35" s="7">
        <v>9409</v>
      </c>
      <c r="D35" t="str">
        <f t="shared" si="0"/>
        <v>2011-30-34 år</v>
      </c>
    </row>
    <row r="36" spans="1:4" x14ac:dyDescent="0.35">
      <c r="A36" s="6" t="s">
        <v>24</v>
      </c>
      <c r="B36" s="6" t="s">
        <v>15</v>
      </c>
      <c r="C36" s="7">
        <v>9809</v>
      </c>
      <c r="D36" t="str">
        <f t="shared" si="0"/>
        <v>2011-35-39 år</v>
      </c>
    </row>
    <row r="37" spans="1:4" x14ac:dyDescent="0.35">
      <c r="A37" s="6" t="s">
        <v>24</v>
      </c>
      <c r="B37" s="6" t="s">
        <v>16</v>
      </c>
      <c r="C37" s="7">
        <v>10924</v>
      </c>
      <c r="D37" t="str">
        <f t="shared" si="0"/>
        <v>2011-40-44 år</v>
      </c>
    </row>
    <row r="38" spans="1:4" x14ac:dyDescent="0.35">
      <c r="A38" s="6" t="s">
        <v>24</v>
      </c>
      <c r="B38" s="6" t="s">
        <v>17</v>
      </c>
      <c r="C38" s="7">
        <v>12323</v>
      </c>
      <c r="D38" t="str">
        <f t="shared" si="0"/>
        <v>2011-45-49 år</v>
      </c>
    </row>
    <row r="39" spans="1:4" x14ac:dyDescent="0.35">
      <c r="A39" s="6" t="s">
        <v>24</v>
      </c>
      <c r="B39" s="6" t="s">
        <v>18</v>
      </c>
      <c r="C39" s="7">
        <v>10305</v>
      </c>
      <c r="D39" t="str">
        <f t="shared" si="0"/>
        <v>2011-50-54 år</v>
      </c>
    </row>
    <row r="40" spans="1:4" x14ac:dyDescent="0.35">
      <c r="A40" s="6" t="s">
        <v>24</v>
      </c>
      <c r="B40" s="6" t="s">
        <v>19</v>
      </c>
      <c r="C40" s="7">
        <v>9210</v>
      </c>
      <c r="D40" t="str">
        <f t="shared" si="0"/>
        <v>2011-55-59 år</v>
      </c>
    </row>
    <row r="41" spans="1:4" x14ac:dyDescent="0.35">
      <c r="A41" s="6" t="s">
        <v>24</v>
      </c>
      <c r="B41" s="6" t="s">
        <v>20</v>
      </c>
      <c r="C41" s="7">
        <v>5200</v>
      </c>
      <c r="D41" t="str">
        <f t="shared" si="0"/>
        <v>2011-60-64 år</v>
      </c>
    </row>
    <row r="42" spans="1:4" x14ac:dyDescent="0.35">
      <c r="A42" s="6" t="s">
        <v>24</v>
      </c>
      <c r="B42" s="6" t="s">
        <v>21</v>
      </c>
      <c r="C42" s="7">
        <v>1320</v>
      </c>
      <c r="D42" t="str">
        <f t="shared" si="0"/>
        <v>2011-65+ år</v>
      </c>
    </row>
    <row r="43" spans="1:4" x14ac:dyDescent="0.35">
      <c r="A43" s="6" t="s">
        <v>25</v>
      </c>
      <c r="B43" s="6" t="s">
        <v>13</v>
      </c>
      <c r="C43" s="7">
        <v>6332</v>
      </c>
      <c r="D43" t="str">
        <f t="shared" si="0"/>
        <v>2012-25-29 år</v>
      </c>
    </row>
    <row r="44" spans="1:4" x14ac:dyDescent="0.35">
      <c r="A44" s="6" t="s">
        <v>25</v>
      </c>
      <c r="B44" s="6" t="s">
        <v>14</v>
      </c>
      <c r="C44" s="7">
        <v>8887</v>
      </c>
      <c r="D44" t="str">
        <f t="shared" si="0"/>
        <v>2012-30-34 år</v>
      </c>
    </row>
    <row r="45" spans="1:4" x14ac:dyDescent="0.35">
      <c r="A45" s="6" t="s">
        <v>25</v>
      </c>
      <c r="B45" s="6" t="s">
        <v>15</v>
      </c>
      <c r="C45" s="7">
        <v>9638</v>
      </c>
      <c r="D45" t="str">
        <f t="shared" si="0"/>
        <v>2012-35-39 år</v>
      </c>
    </row>
    <row r="46" spans="1:4" x14ac:dyDescent="0.35">
      <c r="A46" s="6" t="s">
        <v>25</v>
      </c>
      <c r="B46" s="6" t="s">
        <v>16</v>
      </c>
      <c r="C46" s="7">
        <v>9823</v>
      </c>
      <c r="D46" t="str">
        <f t="shared" si="0"/>
        <v>2012-40-44 år</v>
      </c>
    </row>
    <row r="47" spans="1:4" x14ac:dyDescent="0.35">
      <c r="A47" s="6" t="s">
        <v>25</v>
      </c>
      <c r="B47" s="6" t="s">
        <v>17</v>
      </c>
      <c r="C47" s="7">
        <v>12680</v>
      </c>
      <c r="D47" t="str">
        <f t="shared" si="0"/>
        <v>2012-45-49 år</v>
      </c>
    </row>
    <row r="48" spans="1:4" x14ac:dyDescent="0.35">
      <c r="A48" s="6" t="s">
        <v>25</v>
      </c>
      <c r="B48" s="6" t="s">
        <v>18</v>
      </c>
      <c r="C48" s="7">
        <v>10381</v>
      </c>
      <c r="D48" t="str">
        <f t="shared" si="0"/>
        <v>2012-50-54 år</v>
      </c>
    </row>
    <row r="49" spans="1:4" x14ac:dyDescent="0.35">
      <c r="A49" s="6" t="s">
        <v>25</v>
      </c>
      <c r="B49" s="6" t="s">
        <v>19</v>
      </c>
      <c r="C49" s="7">
        <v>9032</v>
      </c>
      <c r="D49" t="str">
        <f t="shared" si="0"/>
        <v>2012-55-59 år</v>
      </c>
    </row>
    <row r="50" spans="1:4" x14ac:dyDescent="0.35">
      <c r="A50" s="6" t="s">
        <v>25</v>
      </c>
      <c r="B50" s="6" t="s">
        <v>20</v>
      </c>
      <c r="C50" s="7">
        <v>5237</v>
      </c>
      <c r="D50" t="str">
        <f t="shared" si="0"/>
        <v>2012-60-64 år</v>
      </c>
    </row>
    <row r="51" spans="1:4" x14ac:dyDescent="0.35">
      <c r="A51" s="6" t="s">
        <v>25</v>
      </c>
      <c r="B51" s="6" t="s">
        <v>21</v>
      </c>
      <c r="C51" s="7">
        <v>1446</v>
      </c>
      <c r="D51" t="str">
        <f t="shared" si="0"/>
        <v>2012-65+ år</v>
      </c>
    </row>
    <row r="52" spans="1:4" x14ac:dyDescent="0.35">
      <c r="A52" s="6" t="s">
        <v>26</v>
      </c>
      <c r="B52" s="6" t="s">
        <v>13</v>
      </c>
      <c r="C52" s="7">
        <v>6202</v>
      </c>
      <c r="D52" t="str">
        <f t="shared" si="0"/>
        <v>2013-25-29 år</v>
      </c>
    </row>
    <row r="53" spans="1:4" x14ac:dyDescent="0.35">
      <c r="A53" s="6" t="s">
        <v>26</v>
      </c>
      <c r="B53" s="6" t="s">
        <v>14</v>
      </c>
      <c r="C53" s="7">
        <v>8560</v>
      </c>
      <c r="D53" t="str">
        <f t="shared" si="0"/>
        <v>2013-30-34 år</v>
      </c>
    </row>
    <row r="54" spans="1:4" x14ac:dyDescent="0.35">
      <c r="A54" s="6" t="s">
        <v>26</v>
      </c>
      <c r="B54" s="6" t="s">
        <v>15</v>
      </c>
      <c r="C54" s="7">
        <v>9790</v>
      </c>
      <c r="D54" t="str">
        <f t="shared" si="0"/>
        <v>2013-35-39 år</v>
      </c>
    </row>
    <row r="55" spans="1:4" x14ac:dyDescent="0.35">
      <c r="A55" s="6" t="s">
        <v>26</v>
      </c>
      <c r="B55" s="6" t="s">
        <v>16</v>
      </c>
      <c r="C55" s="7">
        <v>9383</v>
      </c>
      <c r="D55" t="str">
        <f t="shared" si="0"/>
        <v>2013-40-44 år</v>
      </c>
    </row>
    <row r="56" spans="1:4" x14ac:dyDescent="0.35">
      <c r="A56" s="6" t="s">
        <v>26</v>
      </c>
      <c r="B56" s="6" t="s">
        <v>17</v>
      </c>
      <c r="C56" s="7">
        <v>12762</v>
      </c>
      <c r="D56" t="str">
        <f t="shared" si="0"/>
        <v>2013-45-49 år</v>
      </c>
    </row>
    <row r="57" spans="1:4" x14ac:dyDescent="0.35">
      <c r="A57" s="6" t="s">
        <v>26</v>
      </c>
      <c r="B57" s="6" t="s">
        <v>18</v>
      </c>
      <c r="C57" s="7">
        <v>10587</v>
      </c>
      <c r="D57" t="str">
        <f t="shared" si="0"/>
        <v>2013-50-54 år</v>
      </c>
    </row>
    <row r="58" spans="1:4" x14ac:dyDescent="0.35">
      <c r="A58" s="6" t="s">
        <v>26</v>
      </c>
      <c r="B58" s="6" t="s">
        <v>19</v>
      </c>
      <c r="C58" s="7">
        <v>8811</v>
      </c>
      <c r="D58" t="str">
        <f t="shared" si="0"/>
        <v>2013-55-59 år</v>
      </c>
    </row>
    <row r="59" spans="1:4" x14ac:dyDescent="0.35">
      <c r="A59" s="6" t="s">
        <v>26</v>
      </c>
      <c r="B59" s="6" t="s">
        <v>20</v>
      </c>
      <c r="C59" s="7">
        <v>5072</v>
      </c>
      <c r="D59" t="str">
        <f t="shared" si="0"/>
        <v>2013-60-64 år</v>
      </c>
    </row>
    <row r="60" spans="1:4" x14ac:dyDescent="0.35">
      <c r="A60" s="6" t="s">
        <v>26</v>
      </c>
      <c r="B60" s="6" t="s">
        <v>21</v>
      </c>
      <c r="C60" s="7">
        <v>1539</v>
      </c>
      <c r="D60" t="str">
        <f t="shared" si="0"/>
        <v>2013-65+ år</v>
      </c>
    </row>
    <row r="61" spans="1:4" x14ac:dyDescent="0.35">
      <c r="A61" s="6" t="s">
        <v>27</v>
      </c>
      <c r="B61" s="6" t="s">
        <v>13</v>
      </c>
      <c r="C61" s="7">
        <v>6041</v>
      </c>
      <c r="D61" t="str">
        <f t="shared" si="0"/>
        <v>2014-25-29 år</v>
      </c>
    </row>
    <row r="62" spans="1:4" x14ac:dyDescent="0.35">
      <c r="A62" s="6" t="s">
        <v>27</v>
      </c>
      <c r="B62" s="6" t="s">
        <v>14</v>
      </c>
      <c r="C62" s="7">
        <v>8203</v>
      </c>
      <c r="D62" t="str">
        <f t="shared" si="0"/>
        <v>2014-30-34 år</v>
      </c>
    </row>
    <row r="63" spans="1:4" x14ac:dyDescent="0.35">
      <c r="A63" s="6" t="s">
        <v>27</v>
      </c>
      <c r="B63" s="6" t="s">
        <v>15</v>
      </c>
      <c r="C63" s="7">
        <v>9972</v>
      </c>
      <c r="D63" t="str">
        <f t="shared" si="0"/>
        <v>2014-35-39 år</v>
      </c>
    </row>
    <row r="64" spans="1:4" x14ac:dyDescent="0.35">
      <c r="A64" s="6" t="s">
        <v>27</v>
      </c>
      <c r="B64" s="6" t="s">
        <v>16</v>
      </c>
      <c r="C64" s="7">
        <v>9409</v>
      </c>
      <c r="D64" t="str">
        <f t="shared" si="0"/>
        <v>2014-40-44 år</v>
      </c>
    </row>
    <row r="65" spans="1:4" x14ac:dyDescent="0.35">
      <c r="A65" s="6" t="s">
        <v>27</v>
      </c>
      <c r="B65" s="6" t="s">
        <v>17</v>
      </c>
      <c r="C65" s="7">
        <v>12377</v>
      </c>
      <c r="D65" t="str">
        <f t="shared" si="0"/>
        <v>2014-45-49 år</v>
      </c>
    </row>
    <row r="66" spans="1:4" x14ac:dyDescent="0.35">
      <c r="A66" s="6" t="s">
        <v>27</v>
      </c>
      <c r="B66" s="6" t="s">
        <v>18</v>
      </c>
      <c r="C66" s="7">
        <v>10828</v>
      </c>
      <c r="D66" t="str">
        <f t="shared" si="0"/>
        <v>2014-50-54 år</v>
      </c>
    </row>
    <row r="67" spans="1:4" x14ac:dyDescent="0.35">
      <c r="A67" s="6" t="s">
        <v>27</v>
      </c>
      <c r="B67" s="6" t="s">
        <v>19</v>
      </c>
      <c r="C67" s="7">
        <v>8888</v>
      </c>
      <c r="D67" t="str">
        <f t="shared" si="0"/>
        <v>2014-55-59 år</v>
      </c>
    </row>
    <row r="68" spans="1:4" x14ac:dyDescent="0.35">
      <c r="A68" s="6" t="s">
        <v>27</v>
      </c>
      <c r="B68" s="6" t="s">
        <v>20</v>
      </c>
      <c r="C68" s="7">
        <v>5141</v>
      </c>
      <c r="D68" t="str">
        <f t="shared" si="0"/>
        <v>2014-60-64 år</v>
      </c>
    </row>
    <row r="69" spans="1:4" x14ac:dyDescent="0.35">
      <c r="A69" s="6" t="s">
        <v>27</v>
      </c>
      <c r="B69" s="6" t="s">
        <v>21</v>
      </c>
      <c r="C69" s="7">
        <v>1600</v>
      </c>
      <c r="D69" t="str">
        <f t="shared" si="0"/>
        <v>2014-65+ år</v>
      </c>
    </row>
    <row r="70" spans="1:4" x14ac:dyDescent="0.35">
      <c r="A70" s="6" t="s">
        <v>28</v>
      </c>
      <c r="B70" s="6" t="s">
        <v>13</v>
      </c>
      <c r="C70" s="7">
        <v>5834</v>
      </c>
      <c r="D70" t="str">
        <f t="shared" si="0"/>
        <v>2015-25-29 år</v>
      </c>
    </row>
    <row r="71" spans="1:4" x14ac:dyDescent="0.35">
      <c r="A71" s="6" t="s">
        <v>28</v>
      </c>
      <c r="B71" s="6" t="s">
        <v>14</v>
      </c>
      <c r="C71" s="7">
        <v>7834</v>
      </c>
      <c r="D71" t="str">
        <f t="shared" ref="D71:D134" si="1">A71&amp;"-"&amp;B71</f>
        <v>2015-30-34 år</v>
      </c>
    </row>
    <row r="72" spans="1:4" x14ac:dyDescent="0.35">
      <c r="A72" s="6" t="s">
        <v>28</v>
      </c>
      <c r="B72" s="6" t="s">
        <v>15</v>
      </c>
      <c r="C72" s="7">
        <v>9897</v>
      </c>
      <c r="D72" t="str">
        <f t="shared" si="1"/>
        <v>2015-35-39 år</v>
      </c>
    </row>
    <row r="73" spans="1:4" x14ac:dyDescent="0.35">
      <c r="A73" s="6" t="s">
        <v>28</v>
      </c>
      <c r="B73" s="6" t="s">
        <v>16</v>
      </c>
      <c r="C73" s="7">
        <v>9571</v>
      </c>
      <c r="D73" t="str">
        <f t="shared" si="1"/>
        <v>2015-40-44 år</v>
      </c>
    </row>
    <row r="74" spans="1:4" x14ac:dyDescent="0.35">
      <c r="A74" s="6" t="s">
        <v>28</v>
      </c>
      <c r="B74" s="6" t="s">
        <v>17</v>
      </c>
      <c r="C74" s="7">
        <v>11603</v>
      </c>
      <c r="D74" t="str">
        <f t="shared" si="1"/>
        <v>2015-45-49 år</v>
      </c>
    </row>
    <row r="75" spans="1:4" x14ac:dyDescent="0.35">
      <c r="A75" s="6" t="s">
        <v>28</v>
      </c>
      <c r="B75" s="6" t="s">
        <v>18</v>
      </c>
      <c r="C75" s="7">
        <v>11160</v>
      </c>
      <c r="D75" t="str">
        <f t="shared" si="1"/>
        <v>2015-50-54 år</v>
      </c>
    </row>
    <row r="76" spans="1:4" x14ac:dyDescent="0.35">
      <c r="A76" s="6" t="s">
        <v>28</v>
      </c>
      <c r="B76" s="6" t="s">
        <v>19</v>
      </c>
      <c r="C76" s="7">
        <v>8969</v>
      </c>
      <c r="D76" t="str">
        <f t="shared" si="1"/>
        <v>2015-55-59 år</v>
      </c>
    </row>
    <row r="77" spans="1:4" x14ac:dyDescent="0.35">
      <c r="A77" s="6" t="s">
        <v>28</v>
      </c>
      <c r="B77" s="6" t="s">
        <v>20</v>
      </c>
      <c r="C77" s="7">
        <v>5167</v>
      </c>
      <c r="D77" t="str">
        <f t="shared" si="1"/>
        <v>2015-60-64 år</v>
      </c>
    </row>
    <row r="78" spans="1:4" x14ac:dyDescent="0.35">
      <c r="A78" s="6" t="s">
        <v>28</v>
      </c>
      <c r="B78" s="6" t="s">
        <v>21</v>
      </c>
      <c r="C78" s="7">
        <v>1642</v>
      </c>
      <c r="D78" t="str">
        <f t="shared" si="1"/>
        <v>2015-65+ år</v>
      </c>
    </row>
    <row r="79" spans="1:4" x14ac:dyDescent="0.35">
      <c r="A79" s="6" t="s">
        <v>29</v>
      </c>
      <c r="B79" s="6" t="s">
        <v>13</v>
      </c>
      <c r="C79" s="7">
        <v>5701</v>
      </c>
      <c r="D79" t="str">
        <f t="shared" si="1"/>
        <v>2016-25-29 år</v>
      </c>
    </row>
    <row r="80" spans="1:4" x14ac:dyDescent="0.35">
      <c r="A80" s="6" t="s">
        <v>29</v>
      </c>
      <c r="B80" s="6" t="s">
        <v>14</v>
      </c>
      <c r="C80" s="7">
        <v>7831</v>
      </c>
      <c r="D80" t="str">
        <f t="shared" si="1"/>
        <v>2016-30-34 år</v>
      </c>
    </row>
    <row r="81" spans="1:4" x14ac:dyDescent="0.35">
      <c r="A81" s="6" t="s">
        <v>29</v>
      </c>
      <c r="B81" s="6" t="s">
        <v>15</v>
      </c>
      <c r="C81" s="7">
        <v>9564</v>
      </c>
      <c r="D81" t="str">
        <f t="shared" si="1"/>
        <v>2016-35-39 år</v>
      </c>
    </row>
    <row r="82" spans="1:4" x14ac:dyDescent="0.35">
      <c r="A82" s="6" t="s">
        <v>29</v>
      </c>
      <c r="B82" s="6" t="s">
        <v>16</v>
      </c>
      <c r="C82" s="7">
        <v>9711</v>
      </c>
      <c r="D82" t="str">
        <f t="shared" si="1"/>
        <v>2016-40-44 år</v>
      </c>
    </row>
    <row r="83" spans="1:4" x14ac:dyDescent="0.35">
      <c r="A83" s="6" t="s">
        <v>29</v>
      </c>
      <c r="B83" s="6" t="s">
        <v>17</v>
      </c>
      <c r="C83" s="7">
        <v>10533</v>
      </c>
      <c r="D83" t="str">
        <f t="shared" si="1"/>
        <v>2016-45-49 år</v>
      </c>
    </row>
    <row r="84" spans="1:4" x14ac:dyDescent="0.35">
      <c r="A84" s="6" t="s">
        <v>29</v>
      </c>
      <c r="B84" s="6" t="s">
        <v>18</v>
      </c>
      <c r="C84" s="7">
        <v>11490</v>
      </c>
      <c r="D84" t="str">
        <f t="shared" si="1"/>
        <v>2016-50-54 år</v>
      </c>
    </row>
    <row r="85" spans="1:4" x14ac:dyDescent="0.35">
      <c r="A85" s="6" t="s">
        <v>29</v>
      </c>
      <c r="B85" s="6" t="s">
        <v>19</v>
      </c>
      <c r="C85" s="7">
        <v>9121</v>
      </c>
      <c r="D85" t="str">
        <f t="shared" si="1"/>
        <v>2016-55-59 år</v>
      </c>
    </row>
    <row r="86" spans="1:4" x14ac:dyDescent="0.35">
      <c r="A86" s="6" t="s">
        <v>29</v>
      </c>
      <c r="B86" s="6" t="s">
        <v>20</v>
      </c>
      <c r="C86" s="7">
        <v>5304</v>
      </c>
      <c r="D86" t="str">
        <f t="shared" si="1"/>
        <v>2016-60-64 år</v>
      </c>
    </row>
    <row r="87" spans="1:4" x14ac:dyDescent="0.35">
      <c r="A87" s="6" t="s">
        <v>29</v>
      </c>
      <c r="B87" s="6" t="s">
        <v>21</v>
      </c>
      <c r="C87" s="7">
        <v>1680</v>
      </c>
      <c r="D87" t="str">
        <f t="shared" si="1"/>
        <v>2016-65+ år</v>
      </c>
    </row>
    <row r="88" spans="1:4" x14ac:dyDescent="0.35">
      <c r="A88" s="6" t="s">
        <v>30</v>
      </c>
      <c r="B88" s="6" t="s">
        <v>13</v>
      </c>
      <c r="C88" s="7">
        <v>5951</v>
      </c>
      <c r="D88" t="str">
        <f t="shared" si="1"/>
        <v>2017-25-29 år</v>
      </c>
    </row>
    <row r="89" spans="1:4" x14ac:dyDescent="0.35">
      <c r="A89" s="6" t="s">
        <v>30</v>
      </c>
      <c r="B89" s="6" t="s">
        <v>14</v>
      </c>
      <c r="C89" s="7">
        <v>8016</v>
      </c>
      <c r="D89" t="str">
        <f t="shared" si="1"/>
        <v>2017-30-34 år</v>
      </c>
    </row>
    <row r="90" spans="1:4" x14ac:dyDescent="0.35">
      <c r="A90" s="6" t="s">
        <v>30</v>
      </c>
      <c r="B90" s="6" t="s">
        <v>15</v>
      </c>
      <c r="C90" s="7">
        <v>9344</v>
      </c>
      <c r="D90" t="str">
        <f t="shared" si="1"/>
        <v>2017-35-39 år</v>
      </c>
    </row>
    <row r="91" spans="1:4" x14ac:dyDescent="0.35">
      <c r="A91" s="6" t="s">
        <v>30</v>
      </c>
      <c r="B91" s="6" t="s">
        <v>16</v>
      </c>
      <c r="C91" s="7">
        <v>9699</v>
      </c>
      <c r="D91" t="str">
        <f t="shared" si="1"/>
        <v>2017-40-44 år</v>
      </c>
    </row>
    <row r="92" spans="1:4" x14ac:dyDescent="0.35">
      <c r="A92" s="6" t="s">
        <v>30</v>
      </c>
      <c r="B92" s="6" t="s">
        <v>17</v>
      </c>
      <c r="C92" s="7">
        <v>9778</v>
      </c>
      <c r="D92" t="str">
        <f t="shared" si="1"/>
        <v>2017-45-49 år</v>
      </c>
    </row>
    <row r="93" spans="1:4" x14ac:dyDescent="0.35">
      <c r="A93" s="6" t="s">
        <v>30</v>
      </c>
      <c r="B93" s="6" t="s">
        <v>18</v>
      </c>
      <c r="C93" s="7">
        <v>11940</v>
      </c>
      <c r="D93" t="str">
        <f t="shared" si="1"/>
        <v>2017-50-54 år</v>
      </c>
    </row>
    <row r="94" spans="1:4" x14ac:dyDescent="0.35">
      <c r="A94" s="6" t="s">
        <v>30</v>
      </c>
      <c r="B94" s="6" t="s">
        <v>19</v>
      </c>
      <c r="C94" s="7">
        <v>9231</v>
      </c>
      <c r="D94" t="str">
        <f t="shared" si="1"/>
        <v>2017-55-59 år</v>
      </c>
    </row>
    <row r="95" spans="1:4" x14ac:dyDescent="0.35">
      <c r="A95" s="6" t="s">
        <v>30</v>
      </c>
      <c r="B95" s="6" t="s">
        <v>20</v>
      </c>
      <c r="C95" s="7">
        <v>5403</v>
      </c>
      <c r="D95" t="str">
        <f t="shared" si="1"/>
        <v>2017-60-64 år</v>
      </c>
    </row>
    <row r="96" spans="1:4" x14ac:dyDescent="0.35">
      <c r="A96" s="6" t="s">
        <v>30</v>
      </c>
      <c r="B96" s="6" t="s">
        <v>21</v>
      </c>
      <c r="C96" s="7">
        <v>1775</v>
      </c>
      <c r="D96" t="str">
        <f t="shared" si="1"/>
        <v>2017-65+ år</v>
      </c>
    </row>
    <row r="97" spans="1:4" x14ac:dyDescent="0.35">
      <c r="A97" s="6" t="s">
        <v>31</v>
      </c>
      <c r="B97" s="6" t="s">
        <v>13</v>
      </c>
      <c r="C97" s="7">
        <v>6353</v>
      </c>
      <c r="D97" t="str">
        <f t="shared" si="1"/>
        <v>2018-25-29 år</v>
      </c>
    </row>
    <row r="98" spans="1:4" x14ac:dyDescent="0.35">
      <c r="A98" s="6" t="s">
        <v>31</v>
      </c>
      <c r="B98" s="6" t="s">
        <v>14</v>
      </c>
      <c r="C98" s="7">
        <v>8276</v>
      </c>
      <c r="D98" t="str">
        <f t="shared" si="1"/>
        <v>2018-30-34 år</v>
      </c>
    </row>
    <row r="99" spans="1:4" x14ac:dyDescent="0.35">
      <c r="A99" s="6" t="s">
        <v>31</v>
      </c>
      <c r="B99" s="6" t="s">
        <v>15</v>
      </c>
      <c r="C99" s="7">
        <v>9245</v>
      </c>
      <c r="D99" t="str">
        <f t="shared" si="1"/>
        <v>2018-35-39 år</v>
      </c>
    </row>
    <row r="100" spans="1:4" x14ac:dyDescent="0.35">
      <c r="A100" s="6" t="s">
        <v>31</v>
      </c>
      <c r="B100" s="6" t="s">
        <v>16</v>
      </c>
      <c r="C100" s="7">
        <v>9937</v>
      </c>
      <c r="D100" t="str">
        <f t="shared" si="1"/>
        <v>2018-40-44 år</v>
      </c>
    </row>
    <row r="101" spans="1:4" x14ac:dyDescent="0.35">
      <c r="A101" s="6" t="s">
        <v>31</v>
      </c>
      <c r="B101" s="6" t="s">
        <v>17</v>
      </c>
      <c r="C101" s="7">
        <v>9488</v>
      </c>
      <c r="D101" t="str">
        <f t="shared" si="1"/>
        <v>2018-45-49 år</v>
      </c>
    </row>
    <row r="102" spans="1:4" x14ac:dyDescent="0.35">
      <c r="A102" s="6" t="s">
        <v>31</v>
      </c>
      <c r="B102" s="6" t="s">
        <v>18</v>
      </c>
      <c r="C102" s="7">
        <v>12171</v>
      </c>
      <c r="D102" t="str">
        <f t="shared" si="1"/>
        <v>2018-50-54 år</v>
      </c>
    </row>
    <row r="103" spans="1:4" x14ac:dyDescent="0.35">
      <c r="A103" s="6" t="s">
        <v>31</v>
      </c>
      <c r="B103" s="6" t="s">
        <v>19</v>
      </c>
      <c r="C103" s="7">
        <v>9537</v>
      </c>
      <c r="D103" t="str">
        <f t="shared" si="1"/>
        <v>2018-55-59 år</v>
      </c>
    </row>
    <row r="104" spans="1:4" x14ac:dyDescent="0.35">
      <c r="A104" s="6" t="s">
        <v>31</v>
      </c>
      <c r="B104" s="6" t="s">
        <v>20</v>
      </c>
      <c r="C104" s="7">
        <v>5638</v>
      </c>
      <c r="D104" t="str">
        <f t="shared" si="1"/>
        <v>2018-60-64 år</v>
      </c>
    </row>
    <row r="105" spans="1:4" x14ac:dyDescent="0.35">
      <c r="A105" s="6" t="s">
        <v>31</v>
      </c>
      <c r="B105" s="6" t="s">
        <v>21</v>
      </c>
      <c r="C105" s="7">
        <v>1897</v>
      </c>
      <c r="D105" t="str">
        <f t="shared" si="1"/>
        <v>2018-65+ år</v>
      </c>
    </row>
    <row r="106" spans="1:4" x14ac:dyDescent="0.35">
      <c r="A106" s="6" t="s">
        <v>32</v>
      </c>
      <c r="B106" s="6" t="s">
        <v>13</v>
      </c>
      <c r="C106" s="7">
        <v>6883</v>
      </c>
      <c r="D106" t="str">
        <f t="shared" si="1"/>
        <v>2019-25-29 år</v>
      </c>
    </row>
    <row r="107" spans="1:4" x14ac:dyDescent="0.35">
      <c r="A107" s="6" t="s">
        <v>32</v>
      </c>
      <c r="B107" s="6" t="s">
        <v>14</v>
      </c>
      <c r="C107" s="7">
        <v>8461</v>
      </c>
      <c r="D107" t="str">
        <f t="shared" si="1"/>
        <v>2019-30-34 år</v>
      </c>
    </row>
    <row r="108" spans="1:4" x14ac:dyDescent="0.35">
      <c r="A108" s="6" t="s">
        <v>32</v>
      </c>
      <c r="B108" s="6" t="s">
        <v>15</v>
      </c>
      <c r="C108" s="7">
        <v>9057</v>
      </c>
      <c r="D108" t="str">
        <f t="shared" si="1"/>
        <v>2019-35-39 år</v>
      </c>
    </row>
    <row r="109" spans="1:4" x14ac:dyDescent="0.35">
      <c r="A109" s="6" t="s">
        <v>32</v>
      </c>
      <c r="B109" s="6" t="s">
        <v>16</v>
      </c>
      <c r="C109" s="7">
        <v>10158</v>
      </c>
      <c r="D109" t="str">
        <f t="shared" si="1"/>
        <v>2019-40-44 år</v>
      </c>
    </row>
    <row r="110" spans="1:4" x14ac:dyDescent="0.35">
      <c r="A110" s="6" t="s">
        <v>32</v>
      </c>
      <c r="B110" s="6" t="s">
        <v>17</v>
      </c>
      <c r="C110" s="7">
        <v>9482</v>
      </c>
      <c r="D110" t="str">
        <f t="shared" si="1"/>
        <v>2019-45-49 år</v>
      </c>
    </row>
    <row r="111" spans="1:4" x14ac:dyDescent="0.35">
      <c r="A111" s="6" t="s">
        <v>32</v>
      </c>
      <c r="B111" s="6" t="s">
        <v>18</v>
      </c>
      <c r="C111" s="7">
        <v>11866</v>
      </c>
      <c r="D111" t="str">
        <f t="shared" si="1"/>
        <v>2019-50-54 år</v>
      </c>
    </row>
    <row r="112" spans="1:4" x14ac:dyDescent="0.35">
      <c r="A112" s="6" t="s">
        <v>32</v>
      </c>
      <c r="B112" s="6" t="s">
        <v>19</v>
      </c>
      <c r="C112" s="7">
        <v>9811</v>
      </c>
      <c r="D112" t="str">
        <f t="shared" si="1"/>
        <v>2019-55-59 år</v>
      </c>
    </row>
    <row r="113" spans="1:4" x14ac:dyDescent="0.35">
      <c r="A113" s="6" t="s">
        <v>32</v>
      </c>
      <c r="B113" s="6" t="s">
        <v>20</v>
      </c>
      <c r="C113" s="7">
        <v>5907</v>
      </c>
      <c r="D113" t="str">
        <f t="shared" si="1"/>
        <v>2019-60-64 år</v>
      </c>
    </row>
    <row r="114" spans="1:4" x14ac:dyDescent="0.35">
      <c r="A114" s="6" t="s">
        <v>32</v>
      </c>
      <c r="B114" s="6" t="s">
        <v>21</v>
      </c>
      <c r="C114" s="7">
        <v>2030</v>
      </c>
      <c r="D114" t="str">
        <f t="shared" si="1"/>
        <v>2019-65+ år</v>
      </c>
    </row>
    <row r="115" spans="1:4" x14ac:dyDescent="0.35">
      <c r="A115" s="6" t="s">
        <v>33</v>
      </c>
      <c r="B115" s="6" t="s">
        <v>13</v>
      </c>
      <c r="C115" s="7">
        <v>7337</v>
      </c>
      <c r="D115" t="str">
        <f t="shared" si="1"/>
        <v>2020-25-29 år</v>
      </c>
    </row>
    <row r="116" spans="1:4" x14ac:dyDescent="0.35">
      <c r="A116" s="6" t="s">
        <v>33</v>
      </c>
      <c r="B116" s="6" t="s">
        <v>14</v>
      </c>
      <c r="C116" s="7">
        <v>8658</v>
      </c>
      <c r="D116" t="str">
        <f t="shared" si="1"/>
        <v>2020-30-34 år</v>
      </c>
    </row>
    <row r="117" spans="1:4" x14ac:dyDescent="0.35">
      <c r="A117" s="6" t="s">
        <v>33</v>
      </c>
      <c r="B117" s="6" t="s">
        <v>15</v>
      </c>
      <c r="C117" s="7">
        <v>8798</v>
      </c>
      <c r="D117" t="str">
        <f t="shared" si="1"/>
        <v>2020-35-39 år</v>
      </c>
    </row>
    <row r="118" spans="1:4" x14ac:dyDescent="0.35">
      <c r="A118" s="6" t="s">
        <v>33</v>
      </c>
      <c r="B118" s="6" t="s">
        <v>16</v>
      </c>
      <c r="C118" s="7">
        <v>10129</v>
      </c>
      <c r="D118" t="str">
        <f t="shared" si="1"/>
        <v>2020-40-44 år</v>
      </c>
    </row>
    <row r="119" spans="1:4" x14ac:dyDescent="0.35">
      <c r="A119" s="6" t="s">
        <v>33</v>
      </c>
      <c r="B119" s="6" t="s">
        <v>17</v>
      </c>
      <c r="C119" s="7">
        <v>9740</v>
      </c>
      <c r="D119" t="str">
        <f t="shared" si="1"/>
        <v>2020-45-49 år</v>
      </c>
    </row>
    <row r="120" spans="1:4" x14ac:dyDescent="0.35">
      <c r="A120" s="6" t="s">
        <v>33</v>
      </c>
      <c r="B120" s="6" t="s">
        <v>18</v>
      </c>
      <c r="C120" s="7">
        <v>11187</v>
      </c>
      <c r="D120" t="str">
        <f t="shared" si="1"/>
        <v>2020-50-54 år</v>
      </c>
    </row>
    <row r="121" spans="1:4" x14ac:dyDescent="0.35">
      <c r="A121" s="6" t="s">
        <v>33</v>
      </c>
      <c r="B121" s="6" t="s">
        <v>19</v>
      </c>
      <c r="C121" s="7">
        <v>10215</v>
      </c>
      <c r="D121" t="str">
        <f t="shared" si="1"/>
        <v>2020-55-59 år</v>
      </c>
    </row>
    <row r="122" spans="1:4" x14ac:dyDescent="0.35">
      <c r="A122" s="6" t="s">
        <v>33</v>
      </c>
      <c r="B122" s="6" t="s">
        <v>20</v>
      </c>
      <c r="C122" s="7">
        <v>6305</v>
      </c>
      <c r="D122" t="str">
        <f t="shared" si="1"/>
        <v>2020-60-64 år</v>
      </c>
    </row>
    <row r="123" spans="1:4" x14ac:dyDescent="0.35">
      <c r="A123" s="6" t="s">
        <v>33</v>
      </c>
      <c r="B123" s="6" t="s">
        <v>21</v>
      </c>
      <c r="C123" s="7">
        <v>2231</v>
      </c>
      <c r="D123" t="str">
        <f t="shared" si="1"/>
        <v>2020-65+ år</v>
      </c>
    </row>
    <row r="124" spans="1:4" x14ac:dyDescent="0.35">
      <c r="A124" s="6" t="s">
        <v>34</v>
      </c>
      <c r="B124" s="6" t="s">
        <v>13</v>
      </c>
      <c r="C124" s="7">
        <v>7687</v>
      </c>
      <c r="D124" t="str">
        <f t="shared" si="1"/>
        <v>2021-25-29 år</v>
      </c>
    </row>
    <row r="125" spans="1:4" x14ac:dyDescent="0.35">
      <c r="A125" s="6" t="s">
        <v>34</v>
      </c>
      <c r="B125" s="6" t="s">
        <v>14</v>
      </c>
      <c r="C125" s="7">
        <v>8844</v>
      </c>
      <c r="D125" t="str">
        <f t="shared" si="1"/>
        <v>2021-30-34 år</v>
      </c>
    </row>
    <row r="126" spans="1:4" x14ac:dyDescent="0.35">
      <c r="A126" s="6" t="s">
        <v>34</v>
      </c>
      <c r="B126" s="6" t="s">
        <v>15</v>
      </c>
      <c r="C126" s="7">
        <v>8987</v>
      </c>
      <c r="D126" t="str">
        <f t="shared" si="1"/>
        <v>2021-35-39 år</v>
      </c>
    </row>
    <row r="127" spans="1:4" x14ac:dyDescent="0.35">
      <c r="A127" s="6" t="s">
        <v>34</v>
      </c>
      <c r="B127" s="6" t="s">
        <v>16</v>
      </c>
      <c r="C127" s="7">
        <v>10002</v>
      </c>
      <c r="D127" t="str">
        <f t="shared" si="1"/>
        <v>2021-40-44 år</v>
      </c>
    </row>
    <row r="128" spans="1:4" x14ac:dyDescent="0.35">
      <c r="A128" s="6" t="s">
        <v>34</v>
      </c>
      <c r="B128" s="6" t="s">
        <v>17</v>
      </c>
      <c r="C128" s="7">
        <v>10036</v>
      </c>
      <c r="D128" t="str">
        <f t="shared" si="1"/>
        <v>2021-45-49 år</v>
      </c>
    </row>
    <row r="129" spans="1:4" x14ac:dyDescent="0.35">
      <c r="A129" s="6" t="s">
        <v>34</v>
      </c>
      <c r="B129" s="6" t="s">
        <v>18</v>
      </c>
      <c r="C129" s="7">
        <v>10467</v>
      </c>
      <c r="D129" t="str">
        <f t="shared" si="1"/>
        <v>2021-50-54 år</v>
      </c>
    </row>
    <row r="130" spans="1:4" x14ac:dyDescent="0.35">
      <c r="A130" s="6" t="s">
        <v>34</v>
      </c>
      <c r="B130" s="6" t="s">
        <v>19</v>
      </c>
      <c r="C130" s="7">
        <v>10749</v>
      </c>
      <c r="D130" t="str">
        <f t="shared" si="1"/>
        <v>2021-55-59 år</v>
      </c>
    </row>
    <row r="131" spans="1:4" x14ac:dyDescent="0.35">
      <c r="A131" s="6" t="s">
        <v>34</v>
      </c>
      <c r="B131" s="6" t="s">
        <v>20</v>
      </c>
      <c r="C131" s="7">
        <v>6688</v>
      </c>
      <c r="D131" t="str">
        <f t="shared" si="1"/>
        <v>2021-60-64 år</v>
      </c>
    </row>
    <row r="132" spans="1:4" x14ac:dyDescent="0.35">
      <c r="A132" s="6" t="s">
        <v>34</v>
      </c>
      <c r="B132" s="6" t="s">
        <v>21</v>
      </c>
      <c r="C132" s="7">
        <v>2522</v>
      </c>
      <c r="D132" t="str">
        <f t="shared" si="1"/>
        <v>2021-65+ år</v>
      </c>
    </row>
    <row r="133" spans="1:4" x14ac:dyDescent="0.35">
      <c r="A133" s="6" t="s">
        <v>35</v>
      </c>
      <c r="B133" s="6" t="s">
        <v>13</v>
      </c>
      <c r="C133" s="7">
        <v>8107</v>
      </c>
      <c r="D133" t="str">
        <f t="shared" si="1"/>
        <v>2022-25-29 år</v>
      </c>
    </row>
    <row r="134" spans="1:4" x14ac:dyDescent="0.35">
      <c r="A134" s="6" t="s">
        <v>35</v>
      </c>
      <c r="B134" s="6" t="s">
        <v>14</v>
      </c>
      <c r="C134" s="7">
        <v>9307</v>
      </c>
      <c r="D134" t="str">
        <f t="shared" si="1"/>
        <v>2022-30-34 år</v>
      </c>
    </row>
    <row r="135" spans="1:4" x14ac:dyDescent="0.35">
      <c r="A135" s="6" t="s">
        <v>35</v>
      </c>
      <c r="B135" s="6" t="s">
        <v>15</v>
      </c>
      <c r="C135" s="7">
        <v>9287</v>
      </c>
      <c r="D135" t="str">
        <f t="shared" ref="D135:D158" si="2">A135&amp;"-"&amp;B135</f>
        <v>2022-35-39 år</v>
      </c>
    </row>
    <row r="136" spans="1:4" x14ac:dyDescent="0.35">
      <c r="A136" s="6" t="s">
        <v>35</v>
      </c>
      <c r="B136" s="6" t="s">
        <v>16</v>
      </c>
      <c r="C136" s="7">
        <v>9808</v>
      </c>
      <c r="D136" t="str">
        <f t="shared" si="2"/>
        <v>2022-40-44 år</v>
      </c>
    </row>
    <row r="137" spans="1:4" x14ac:dyDescent="0.35">
      <c r="A137" s="6" t="s">
        <v>35</v>
      </c>
      <c r="B137" s="6" t="s">
        <v>17</v>
      </c>
      <c r="C137" s="7">
        <v>10063</v>
      </c>
      <c r="D137" t="str">
        <f t="shared" si="2"/>
        <v>2022-45-49 år</v>
      </c>
    </row>
    <row r="138" spans="1:4" x14ac:dyDescent="0.35">
      <c r="A138" s="6" t="s">
        <v>35</v>
      </c>
      <c r="B138" s="6" t="s">
        <v>18</v>
      </c>
      <c r="C138" s="7">
        <v>9799</v>
      </c>
      <c r="D138" t="str">
        <f t="shared" si="2"/>
        <v>2022-50-54 år</v>
      </c>
    </row>
    <row r="139" spans="1:4" x14ac:dyDescent="0.35">
      <c r="A139" s="6" t="s">
        <v>35</v>
      </c>
      <c r="B139" s="6" t="s">
        <v>19</v>
      </c>
      <c r="C139" s="7">
        <v>11340</v>
      </c>
      <c r="D139" t="str">
        <f t="shared" si="2"/>
        <v>2022-55-59 år</v>
      </c>
    </row>
    <row r="140" spans="1:4" x14ac:dyDescent="0.35">
      <c r="A140" s="6" t="s">
        <v>35</v>
      </c>
      <c r="B140" s="6" t="s">
        <v>20</v>
      </c>
      <c r="C140" s="7">
        <v>6943</v>
      </c>
      <c r="D140" t="str">
        <f t="shared" si="2"/>
        <v>2022-60-64 år</v>
      </c>
    </row>
    <row r="141" spans="1:4" x14ac:dyDescent="0.35">
      <c r="A141" s="6" t="s">
        <v>35</v>
      </c>
      <c r="B141" s="6" t="s">
        <v>21</v>
      </c>
      <c r="C141" s="7">
        <v>2779</v>
      </c>
      <c r="D141" t="str">
        <f t="shared" si="2"/>
        <v>2022-65+ år</v>
      </c>
    </row>
    <row r="142" spans="1:4" x14ac:dyDescent="0.35">
      <c r="A142" s="6" t="s">
        <v>36</v>
      </c>
      <c r="B142" s="6" t="s">
        <v>13</v>
      </c>
      <c r="C142" s="7">
        <v>8433</v>
      </c>
      <c r="D142" t="str">
        <f t="shared" si="2"/>
        <v>2023-25-29 år</v>
      </c>
    </row>
    <row r="143" spans="1:4" x14ac:dyDescent="0.35">
      <c r="A143" s="6" t="s">
        <v>36</v>
      </c>
      <c r="B143" s="6" t="s">
        <v>14</v>
      </c>
      <c r="C143" s="7">
        <v>9786</v>
      </c>
      <c r="D143" t="str">
        <f t="shared" si="2"/>
        <v>2023-30-34 år</v>
      </c>
    </row>
    <row r="144" spans="1:4" x14ac:dyDescent="0.35">
      <c r="A144" s="6" t="s">
        <v>36</v>
      </c>
      <c r="B144" s="6" t="s">
        <v>15</v>
      </c>
      <c r="C144" s="7">
        <v>9648</v>
      </c>
      <c r="D144" t="str">
        <f t="shared" si="2"/>
        <v>2023-35-39 år</v>
      </c>
    </row>
    <row r="145" spans="1:4" x14ac:dyDescent="0.35">
      <c r="A145" s="6" t="s">
        <v>36</v>
      </c>
      <c r="B145" s="6" t="s">
        <v>16</v>
      </c>
      <c r="C145" s="7">
        <v>9770</v>
      </c>
      <c r="D145" t="str">
        <f t="shared" si="2"/>
        <v>2023-40-44 år</v>
      </c>
    </row>
    <row r="146" spans="1:4" x14ac:dyDescent="0.35">
      <c r="A146" s="6" t="s">
        <v>36</v>
      </c>
      <c r="B146" s="6" t="s">
        <v>17</v>
      </c>
      <c r="C146" s="7">
        <v>10262</v>
      </c>
      <c r="D146" t="str">
        <f t="shared" si="2"/>
        <v>2023-45-49 år</v>
      </c>
    </row>
    <row r="147" spans="1:4" x14ac:dyDescent="0.35">
      <c r="A147" s="6" t="s">
        <v>36</v>
      </c>
      <c r="B147" s="6" t="s">
        <v>18</v>
      </c>
      <c r="C147" s="7">
        <v>9513</v>
      </c>
      <c r="D147" t="str">
        <f t="shared" si="2"/>
        <v>2023-50-54 år</v>
      </c>
    </row>
    <row r="148" spans="1:4" x14ac:dyDescent="0.35">
      <c r="A148" s="6" t="s">
        <v>36</v>
      </c>
      <c r="B148" s="6" t="s">
        <v>19</v>
      </c>
      <c r="C148" s="7">
        <v>11614</v>
      </c>
      <c r="D148" t="str">
        <f t="shared" si="2"/>
        <v>2023-55-59 år</v>
      </c>
    </row>
    <row r="149" spans="1:4" x14ac:dyDescent="0.35">
      <c r="A149" s="6" t="s">
        <v>36</v>
      </c>
      <c r="B149" s="6" t="s">
        <v>20</v>
      </c>
      <c r="C149" s="7">
        <v>7443</v>
      </c>
      <c r="D149" t="str">
        <f t="shared" si="2"/>
        <v>2023-60-64 år</v>
      </c>
    </row>
    <row r="150" spans="1:4" x14ac:dyDescent="0.35">
      <c r="A150" s="6" t="s">
        <v>36</v>
      </c>
      <c r="B150" s="6" t="s">
        <v>21</v>
      </c>
      <c r="C150" s="7">
        <v>3139</v>
      </c>
      <c r="D150" t="str">
        <f t="shared" si="2"/>
        <v>2023-65+ år</v>
      </c>
    </row>
    <row r="151" spans="1:4" x14ac:dyDescent="0.35">
      <c r="A151" s="6" t="s">
        <v>37</v>
      </c>
      <c r="B151" s="6" t="s">
        <v>13</v>
      </c>
      <c r="C151" s="7">
        <v>8560</v>
      </c>
      <c r="D151" t="str">
        <f t="shared" si="2"/>
        <v>2024-25-29 år</v>
      </c>
    </row>
    <row r="152" spans="1:4" x14ac:dyDescent="0.35">
      <c r="A152" s="6" t="s">
        <v>37</v>
      </c>
      <c r="B152" s="6" t="s">
        <v>14</v>
      </c>
      <c r="C152" s="7">
        <v>10150</v>
      </c>
      <c r="D152" t="str">
        <f t="shared" si="2"/>
        <v>2024-30-34 år</v>
      </c>
    </row>
    <row r="153" spans="1:4" x14ac:dyDescent="0.35">
      <c r="A153" s="6" t="s">
        <v>37</v>
      </c>
      <c r="B153" s="6" t="s">
        <v>15</v>
      </c>
      <c r="C153" s="7">
        <v>9885</v>
      </c>
      <c r="D153" t="str">
        <f t="shared" si="2"/>
        <v>2024-35-39 år</v>
      </c>
    </row>
    <row r="154" spans="1:4" x14ac:dyDescent="0.35">
      <c r="A154" s="6" t="s">
        <v>37</v>
      </c>
      <c r="B154" s="6" t="s">
        <v>16</v>
      </c>
      <c r="C154" s="7">
        <v>9594</v>
      </c>
      <c r="D154" t="str">
        <f t="shared" si="2"/>
        <v>2024-40-44 år</v>
      </c>
    </row>
    <row r="155" spans="1:4" x14ac:dyDescent="0.35">
      <c r="A155" s="6" t="s">
        <v>37</v>
      </c>
      <c r="B155" s="6" t="s">
        <v>17</v>
      </c>
      <c r="C155" s="7">
        <v>10483</v>
      </c>
      <c r="D155" t="str">
        <f t="shared" si="2"/>
        <v>2024-45-49 år</v>
      </c>
    </row>
    <row r="156" spans="1:4" x14ac:dyDescent="0.35">
      <c r="A156" s="6" t="s">
        <v>37</v>
      </c>
      <c r="B156" s="6" t="s">
        <v>18</v>
      </c>
      <c r="C156" s="7">
        <v>9604</v>
      </c>
      <c r="D156" t="str">
        <f t="shared" si="2"/>
        <v>2024-50-54 år</v>
      </c>
    </row>
    <row r="157" spans="1:4" x14ac:dyDescent="0.35">
      <c r="A157" s="6" t="s">
        <v>37</v>
      </c>
      <c r="B157" s="6" t="s">
        <v>19</v>
      </c>
      <c r="C157" s="7">
        <v>11402</v>
      </c>
      <c r="D157" t="str">
        <f t="shared" si="2"/>
        <v>2024-55-59 år</v>
      </c>
    </row>
    <row r="158" spans="1:4" x14ac:dyDescent="0.35">
      <c r="A158" s="6" t="s">
        <v>37</v>
      </c>
      <c r="B158" s="6" t="s">
        <v>20</v>
      </c>
      <c r="C158" s="7">
        <v>7871</v>
      </c>
      <c r="D158" t="str">
        <f t="shared" si="2"/>
        <v>2024-60-64 år</v>
      </c>
    </row>
    <row r="159" spans="1:4" ht="15" thickBot="1" x14ac:dyDescent="0.4">
      <c r="A159" s="6" t="s">
        <v>37</v>
      </c>
      <c r="B159" s="6" t="s">
        <v>21</v>
      </c>
      <c r="C159" s="7">
        <v>3573</v>
      </c>
      <c r="D159" t="str">
        <f>A159&amp;"-"&amp;B159</f>
        <v>2024-65+ år</v>
      </c>
    </row>
    <row r="160" spans="1:4" ht="15" thickTop="1" x14ac:dyDescent="0.35">
      <c r="A160" s="8"/>
      <c r="B160" s="8"/>
      <c r="C160" s="8"/>
    </row>
    <row r="162" spans="1:1" x14ac:dyDescent="0.35">
      <c r="A162" t="s">
        <v>38</v>
      </c>
    </row>
    <row r="163" spans="1:1" x14ac:dyDescent="0.35">
      <c r="A163"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170</v>
      </c>
      <c r="E2" s="2" t="s">
        <v>171</v>
      </c>
      <c r="F2" s="2" t="s">
        <v>172</v>
      </c>
    </row>
    <row r="3" spans="2:6" x14ac:dyDescent="0.35">
      <c r="B3" s="2">
        <v>1</v>
      </c>
      <c r="C3" s="2">
        <v>2025</v>
      </c>
      <c r="D3" s="2">
        <v>25</v>
      </c>
      <c r="E3" s="2">
        <v>40</v>
      </c>
      <c r="F3" s="2" t="s">
        <v>0</v>
      </c>
    </row>
    <row r="4" spans="2:6" x14ac:dyDescent="0.35">
      <c r="B4" s="2">
        <v>2</v>
      </c>
      <c r="C4" s="2">
        <v>2026</v>
      </c>
      <c r="D4" s="2">
        <f>D3+1</f>
        <v>26</v>
      </c>
      <c r="E4" s="2">
        <f>E3+1</f>
        <v>41</v>
      </c>
      <c r="F4" s="2" t="s">
        <v>0</v>
      </c>
    </row>
    <row r="5" spans="2:6" x14ac:dyDescent="0.35">
      <c r="B5" s="2">
        <v>3</v>
      </c>
      <c r="C5" s="2">
        <v>2027</v>
      </c>
      <c r="D5" s="2">
        <f t="shared" ref="D5:E16" si="0">D4+1</f>
        <v>27</v>
      </c>
      <c r="E5" s="2">
        <f t="shared" si="0"/>
        <v>42</v>
      </c>
      <c r="F5" s="2" t="s">
        <v>0</v>
      </c>
    </row>
    <row r="6" spans="2:6" x14ac:dyDescent="0.35">
      <c r="B6" s="2">
        <v>4</v>
      </c>
      <c r="C6" s="2">
        <v>2028</v>
      </c>
      <c r="D6" s="2">
        <f t="shared" si="0"/>
        <v>28</v>
      </c>
      <c r="E6" s="2">
        <f t="shared" si="0"/>
        <v>43</v>
      </c>
      <c r="F6" s="2" t="s">
        <v>0</v>
      </c>
    </row>
    <row r="7" spans="2:6" x14ac:dyDescent="0.35">
      <c r="B7" s="2">
        <v>5</v>
      </c>
      <c r="C7" s="2">
        <v>2029</v>
      </c>
      <c r="D7" s="2">
        <f t="shared" si="0"/>
        <v>29</v>
      </c>
      <c r="E7" s="2">
        <f t="shared" si="0"/>
        <v>44</v>
      </c>
      <c r="F7" s="2" t="s">
        <v>0</v>
      </c>
    </row>
    <row r="8" spans="2:6" x14ac:dyDescent="0.35">
      <c r="B8" s="2">
        <v>6</v>
      </c>
      <c r="C8" s="2">
        <v>2030</v>
      </c>
      <c r="D8" s="2">
        <f t="shared" si="0"/>
        <v>30</v>
      </c>
      <c r="E8" s="2">
        <f t="shared" si="0"/>
        <v>45</v>
      </c>
      <c r="F8" s="2" t="s">
        <v>0</v>
      </c>
    </row>
    <row r="9" spans="2:6" x14ac:dyDescent="0.35">
      <c r="B9" s="2">
        <v>7</v>
      </c>
      <c r="C9" s="2">
        <v>2031</v>
      </c>
      <c r="D9" s="2">
        <f t="shared" si="0"/>
        <v>31</v>
      </c>
      <c r="E9" s="2">
        <f t="shared" si="0"/>
        <v>46</v>
      </c>
      <c r="F9" s="2" t="s">
        <v>0</v>
      </c>
    </row>
    <row r="10" spans="2:6" x14ac:dyDescent="0.35">
      <c r="B10" s="2">
        <v>8</v>
      </c>
      <c r="C10" s="2">
        <v>2032</v>
      </c>
      <c r="D10" s="2">
        <f t="shared" si="0"/>
        <v>32</v>
      </c>
      <c r="E10" s="2">
        <f t="shared" si="0"/>
        <v>47</v>
      </c>
      <c r="F10" s="2" t="s">
        <v>0</v>
      </c>
    </row>
    <row r="11" spans="2:6" x14ac:dyDescent="0.35">
      <c r="B11" s="2">
        <v>9</v>
      </c>
      <c r="C11" s="2">
        <v>2033</v>
      </c>
      <c r="D11" s="2">
        <f t="shared" si="0"/>
        <v>33</v>
      </c>
      <c r="E11" s="2">
        <f t="shared" si="0"/>
        <v>48</v>
      </c>
      <c r="F11" s="2" t="s">
        <v>0</v>
      </c>
    </row>
    <row r="12" spans="2:6" x14ac:dyDescent="0.35">
      <c r="B12" s="2">
        <v>10</v>
      </c>
      <c r="C12" s="2">
        <v>2034</v>
      </c>
      <c r="D12" s="2">
        <f t="shared" si="0"/>
        <v>34</v>
      </c>
      <c r="E12" s="2">
        <f t="shared" si="0"/>
        <v>49</v>
      </c>
      <c r="F12" s="2" t="s">
        <v>0</v>
      </c>
    </row>
    <row r="13" spans="2:6" x14ac:dyDescent="0.35">
      <c r="B13" s="2">
        <v>11</v>
      </c>
      <c r="C13" s="2">
        <v>2035</v>
      </c>
      <c r="D13" s="2">
        <f t="shared" si="0"/>
        <v>35</v>
      </c>
      <c r="E13" s="2">
        <f t="shared" si="0"/>
        <v>50</v>
      </c>
      <c r="F13" s="2" t="s">
        <v>0</v>
      </c>
    </row>
    <row r="14" spans="2:6" x14ac:dyDescent="0.35">
      <c r="B14" s="2">
        <v>12</v>
      </c>
      <c r="C14" s="2">
        <v>2036</v>
      </c>
      <c r="D14" s="2">
        <f t="shared" si="0"/>
        <v>36</v>
      </c>
      <c r="E14" s="2">
        <f t="shared" si="0"/>
        <v>51</v>
      </c>
      <c r="F14" s="2" t="s">
        <v>0</v>
      </c>
    </row>
    <row r="15" spans="2:6" x14ac:dyDescent="0.35">
      <c r="B15" s="2">
        <v>13</v>
      </c>
      <c r="C15" s="2">
        <v>2037</v>
      </c>
      <c r="D15" s="2">
        <f t="shared" si="0"/>
        <v>37</v>
      </c>
      <c r="E15" s="2">
        <f t="shared" si="0"/>
        <v>52</v>
      </c>
      <c r="F15" s="2" t="s">
        <v>0</v>
      </c>
    </row>
    <row r="16" spans="2:6" x14ac:dyDescent="0.35">
      <c r="B16" s="2">
        <v>14</v>
      </c>
      <c r="C16" s="2">
        <v>2038</v>
      </c>
      <c r="D16" s="2">
        <f t="shared" si="0"/>
        <v>38</v>
      </c>
      <c r="E16" s="2">
        <f t="shared" si="0"/>
        <v>53</v>
      </c>
      <c r="F16" s="2" t="s">
        <v>0</v>
      </c>
    </row>
    <row r="17" spans="2:6" x14ac:dyDescent="0.35">
      <c r="B17" s="2">
        <v>15</v>
      </c>
      <c r="C17" s="2">
        <v>2039</v>
      </c>
      <c r="D17" s="2">
        <f>D16+1</f>
        <v>39</v>
      </c>
      <c r="E17" s="2">
        <f>E16+1</f>
        <v>54</v>
      </c>
      <c r="F17" s="2" t="s">
        <v>0</v>
      </c>
    </row>
    <row r="18" spans="2:6" x14ac:dyDescent="0.35">
      <c r="B18" s="2">
        <v>16</v>
      </c>
      <c r="C18" s="2">
        <v>2040</v>
      </c>
      <c r="D18" s="2">
        <f t="shared" ref="D18:E33" si="1">D17+1</f>
        <v>40</v>
      </c>
      <c r="E18" s="2">
        <f t="shared" si="1"/>
        <v>55</v>
      </c>
      <c r="F18" s="2" t="s">
        <v>0</v>
      </c>
    </row>
    <row r="19" spans="2:6" x14ac:dyDescent="0.35">
      <c r="B19" s="2">
        <v>17</v>
      </c>
      <c r="C19" s="2">
        <v>2041</v>
      </c>
      <c r="D19" s="2">
        <f t="shared" si="1"/>
        <v>41</v>
      </c>
      <c r="E19" s="2">
        <f t="shared" si="1"/>
        <v>56</v>
      </c>
      <c r="F19" s="2" t="s">
        <v>0</v>
      </c>
    </row>
    <row r="20" spans="2:6" x14ac:dyDescent="0.35">
      <c r="B20" s="2">
        <v>18</v>
      </c>
      <c r="C20" s="2">
        <v>2042</v>
      </c>
      <c r="D20" s="2">
        <f t="shared" si="1"/>
        <v>42</v>
      </c>
      <c r="E20" s="2">
        <f t="shared" si="1"/>
        <v>57</v>
      </c>
      <c r="F20" s="2" t="s">
        <v>0</v>
      </c>
    </row>
    <row r="21" spans="2:6" x14ac:dyDescent="0.35">
      <c r="B21" s="2">
        <v>19</v>
      </c>
      <c r="C21" s="2">
        <v>2043</v>
      </c>
      <c r="D21" s="2">
        <f t="shared" si="1"/>
        <v>43</v>
      </c>
      <c r="E21" s="2">
        <f t="shared" si="1"/>
        <v>58</v>
      </c>
      <c r="F21" s="2" t="s">
        <v>0</v>
      </c>
    </row>
    <row r="22" spans="2:6" x14ac:dyDescent="0.35">
      <c r="B22" s="2">
        <v>20</v>
      </c>
      <c r="C22" s="2">
        <v>2044</v>
      </c>
      <c r="D22" s="2">
        <f t="shared" si="1"/>
        <v>44</v>
      </c>
      <c r="E22" s="2">
        <f t="shared" si="1"/>
        <v>59</v>
      </c>
      <c r="F22" s="2" t="s">
        <v>0</v>
      </c>
    </row>
    <row r="23" spans="2:6" x14ac:dyDescent="0.35">
      <c r="B23" s="2">
        <v>21</v>
      </c>
      <c r="C23" s="2">
        <v>2045</v>
      </c>
      <c r="D23" s="2">
        <f t="shared" si="1"/>
        <v>45</v>
      </c>
      <c r="E23" s="2">
        <f t="shared" si="1"/>
        <v>60</v>
      </c>
      <c r="F23" s="2" t="s">
        <v>0</v>
      </c>
    </row>
    <row r="24" spans="2:6" x14ac:dyDescent="0.35">
      <c r="B24" s="2">
        <v>22</v>
      </c>
      <c r="C24" s="2">
        <v>2046</v>
      </c>
      <c r="D24" s="2">
        <f t="shared" si="1"/>
        <v>46</v>
      </c>
      <c r="E24" s="2">
        <f t="shared" si="1"/>
        <v>61</v>
      </c>
      <c r="F24" s="2" t="s">
        <v>0</v>
      </c>
    </row>
    <row r="25" spans="2:6" x14ac:dyDescent="0.35">
      <c r="B25" s="2">
        <v>23</v>
      </c>
      <c r="C25" s="2">
        <v>2047</v>
      </c>
      <c r="D25" s="2">
        <f t="shared" si="1"/>
        <v>47</v>
      </c>
      <c r="E25" s="2">
        <f t="shared" si="1"/>
        <v>62</v>
      </c>
      <c r="F25" s="2" t="s">
        <v>0</v>
      </c>
    </row>
    <row r="26" spans="2:6" x14ac:dyDescent="0.35">
      <c r="B26" s="2">
        <v>24</v>
      </c>
      <c r="C26" s="2">
        <v>2048</v>
      </c>
      <c r="D26" s="2">
        <f t="shared" si="1"/>
        <v>48</v>
      </c>
      <c r="E26" s="2">
        <f t="shared" si="1"/>
        <v>63</v>
      </c>
      <c r="F26" s="2" t="s">
        <v>0</v>
      </c>
    </row>
    <row r="27" spans="2:6" x14ac:dyDescent="0.35">
      <c r="B27" s="2">
        <v>25</v>
      </c>
      <c r="C27" s="2">
        <v>2049</v>
      </c>
      <c r="D27" s="2">
        <f t="shared" si="1"/>
        <v>49</v>
      </c>
      <c r="E27" s="2">
        <f t="shared" si="1"/>
        <v>64</v>
      </c>
      <c r="F27" s="2" t="s">
        <v>0</v>
      </c>
    </row>
    <row r="28" spans="2:6" x14ac:dyDescent="0.35">
      <c r="B28" s="2">
        <v>26</v>
      </c>
      <c r="C28" s="2">
        <v>2050</v>
      </c>
      <c r="D28" s="2">
        <f t="shared" si="1"/>
        <v>50</v>
      </c>
      <c r="E28" s="2">
        <f t="shared" si="1"/>
        <v>65</v>
      </c>
      <c r="F28" s="2" t="s">
        <v>0</v>
      </c>
    </row>
    <row r="29" spans="2:6" x14ac:dyDescent="0.35">
      <c r="B29" s="2">
        <v>27</v>
      </c>
      <c r="C29" s="2">
        <v>2051</v>
      </c>
      <c r="D29" s="2">
        <f t="shared" si="1"/>
        <v>51</v>
      </c>
      <c r="E29" s="2">
        <f t="shared" si="1"/>
        <v>66</v>
      </c>
      <c r="F29" s="2" t="s">
        <v>0</v>
      </c>
    </row>
    <row r="30" spans="2:6" x14ac:dyDescent="0.35">
      <c r="B30" s="2">
        <v>28</v>
      </c>
      <c r="C30" s="2">
        <v>2052</v>
      </c>
      <c r="D30" s="2">
        <f t="shared" si="1"/>
        <v>52</v>
      </c>
      <c r="E30" s="2">
        <f t="shared" si="1"/>
        <v>67</v>
      </c>
      <c r="F30" s="2" t="s">
        <v>0</v>
      </c>
    </row>
    <row r="31" spans="2:6" x14ac:dyDescent="0.35">
      <c r="B31" s="2">
        <v>29</v>
      </c>
      <c r="C31" s="2">
        <v>2053</v>
      </c>
      <c r="D31" s="2">
        <f t="shared" si="1"/>
        <v>53</v>
      </c>
      <c r="E31" s="2">
        <f t="shared" si="1"/>
        <v>68</v>
      </c>
      <c r="F31" s="2" t="s">
        <v>0</v>
      </c>
    </row>
    <row r="32" spans="2:6" x14ac:dyDescent="0.35">
      <c r="B32" s="2">
        <v>30</v>
      </c>
      <c r="C32" s="2">
        <v>2054</v>
      </c>
      <c r="D32" s="2">
        <f t="shared" si="1"/>
        <v>54</v>
      </c>
      <c r="E32" s="2">
        <f t="shared" si="1"/>
        <v>69</v>
      </c>
      <c r="F32" s="2" t="s">
        <v>0</v>
      </c>
    </row>
    <row r="33" spans="2:6" x14ac:dyDescent="0.35">
      <c r="B33" s="2">
        <v>31</v>
      </c>
      <c r="C33" s="2">
        <v>2055</v>
      </c>
      <c r="D33" s="2">
        <f t="shared" si="1"/>
        <v>55</v>
      </c>
      <c r="E33" s="2">
        <f t="shared" si="1"/>
        <v>70</v>
      </c>
      <c r="F33" s="2" t="s">
        <v>0</v>
      </c>
    </row>
    <row r="34" spans="2:6" x14ac:dyDescent="0.35">
      <c r="B34" s="2">
        <v>32</v>
      </c>
      <c r="C34" s="2">
        <v>2056</v>
      </c>
      <c r="D34" s="2">
        <f t="shared" ref="D34:E49" si="2">D33+1</f>
        <v>56</v>
      </c>
      <c r="E34" s="2">
        <f t="shared" si="2"/>
        <v>71</v>
      </c>
      <c r="F34" s="2" t="s">
        <v>0</v>
      </c>
    </row>
    <row r="35" spans="2:6" x14ac:dyDescent="0.35">
      <c r="B35" s="2">
        <v>33</v>
      </c>
      <c r="C35" s="2">
        <v>2057</v>
      </c>
      <c r="D35" s="2">
        <f t="shared" si="2"/>
        <v>57</v>
      </c>
      <c r="E35" s="2">
        <f t="shared" si="2"/>
        <v>72</v>
      </c>
      <c r="F35" s="2" t="s">
        <v>0</v>
      </c>
    </row>
    <row r="36" spans="2:6" x14ac:dyDescent="0.35">
      <c r="B36" s="2">
        <v>34</v>
      </c>
      <c r="C36" s="2">
        <v>2058</v>
      </c>
      <c r="D36" s="2">
        <f t="shared" si="2"/>
        <v>58</v>
      </c>
      <c r="E36" s="2">
        <f t="shared" si="2"/>
        <v>73</v>
      </c>
      <c r="F36" s="2" t="s">
        <v>0</v>
      </c>
    </row>
    <row r="37" spans="2:6" x14ac:dyDescent="0.35">
      <c r="B37" s="2">
        <v>35</v>
      </c>
      <c r="C37" s="2">
        <v>2059</v>
      </c>
      <c r="D37" s="2">
        <f t="shared" si="2"/>
        <v>59</v>
      </c>
      <c r="E37" s="2">
        <f t="shared" si="2"/>
        <v>74</v>
      </c>
      <c r="F37" s="2" t="s">
        <v>0</v>
      </c>
    </row>
    <row r="38" spans="2:6" x14ac:dyDescent="0.35">
      <c r="B38" s="2">
        <v>36</v>
      </c>
      <c r="C38" s="2">
        <v>2060</v>
      </c>
      <c r="D38" s="2">
        <f t="shared" si="2"/>
        <v>60</v>
      </c>
      <c r="E38" s="2">
        <f t="shared" si="2"/>
        <v>75</v>
      </c>
      <c r="F38" s="2" t="s">
        <v>0</v>
      </c>
    </row>
    <row r="39" spans="2:6" x14ac:dyDescent="0.35">
      <c r="B39" s="2">
        <v>37</v>
      </c>
      <c r="C39" s="2">
        <v>2061</v>
      </c>
      <c r="D39" s="2">
        <f t="shared" si="2"/>
        <v>61</v>
      </c>
      <c r="E39" s="2">
        <f t="shared" si="2"/>
        <v>76</v>
      </c>
      <c r="F39" s="2" t="s">
        <v>0</v>
      </c>
    </row>
    <row r="40" spans="2:6" x14ac:dyDescent="0.35">
      <c r="B40" s="2">
        <v>38</v>
      </c>
      <c r="C40" s="2">
        <v>2062</v>
      </c>
      <c r="D40" s="2">
        <f t="shared" si="2"/>
        <v>62</v>
      </c>
      <c r="E40" s="2">
        <f t="shared" si="2"/>
        <v>77</v>
      </c>
      <c r="F40" s="2" t="s">
        <v>0</v>
      </c>
    </row>
    <row r="41" spans="2:6" x14ac:dyDescent="0.35">
      <c r="B41" s="2">
        <v>39</v>
      </c>
      <c r="C41" s="2">
        <v>2063</v>
      </c>
      <c r="D41" s="2">
        <f t="shared" si="2"/>
        <v>63</v>
      </c>
      <c r="E41" s="2">
        <f t="shared" si="2"/>
        <v>78</v>
      </c>
      <c r="F41" s="2" t="s">
        <v>0</v>
      </c>
    </row>
    <row r="42" spans="2:6" x14ac:dyDescent="0.35">
      <c r="B42" s="2">
        <v>40</v>
      </c>
      <c r="C42" s="2">
        <v>2064</v>
      </c>
      <c r="D42" s="2">
        <f t="shared" si="2"/>
        <v>64</v>
      </c>
      <c r="E42" s="2">
        <f t="shared" si="2"/>
        <v>79</v>
      </c>
      <c r="F42" s="2" t="s">
        <v>0</v>
      </c>
    </row>
    <row r="43" spans="2:6" x14ac:dyDescent="0.35">
      <c r="B43" s="2">
        <v>41</v>
      </c>
      <c r="C43" s="2">
        <v>2065</v>
      </c>
      <c r="D43" s="2">
        <f t="shared" si="2"/>
        <v>65</v>
      </c>
      <c r="E43" s="2">
        <f t="shared" si="2"/>
        <v>80</v>
      </c>
      <c r="F43" s="2" t="s">
        <v>0</v>
      </c>
    </row>
    <row r="44" spans="2:6" x14ac:dyDescent="0.35">
      <c r="B44" s="2">
        <v>42</v>
      </c>
      <c r="C44" s="2">
        <v>2066</v>
      </c>
      <c r="D44" s="2">
        <f t="shared" si="2"/>
        <v>66</v>
      </c>
      <c r="E44" s="2">
        <f t="shared" si="2"/>
        <v>81</v>
      </c>
      <c r="F44" s="2" t="s">
        <v>0</v>
      </c>
    </row>
    <row r="45" spans="2:6" x14ac:dyDescent="0.35">
      <c r="B45" s="2">
        <v>43</v>
      </c>
      <c r="C45" s="2">
        <v>2067</v>
      </c>
      <c r="D45" s="2">
        <f t="shared" si="2"/>
        <v>67</v>
      </c>
      <c r="E45" s="2">
        <f t="shared" si="2"/>
        <v>82</v>
      </c>
      <c r="F45" s="2" t="s">
        <v>0</v>
      </c>
    </row>
    <row r="46" spans="2:6" x14ac:dyDescent="0.35">
      <c r="B46" s="2">
        <v>44</v>
      </c>
      <c r="C46" s="2">
        <v>2068</v>
      </c>
      <c r="D46" s="2">
        <f t="shared" si="2"/>
        <v>68</v>
      </c>
      <c r="E46" s="2">
        <f t="shared" si="2"/>
        <v>83</v>
      </c>
      <c r="F46" s="2" t="s">
        <v>0</v>
      </c>
    </row>
    <row r="47" spans="2:6" x14ac:dyDescent="0.35">
      <c r="B47" s="2">
        <v>45</v>
      </c>
      <c r="C47" s="2">
        <v>2069</v>
      </c>
      <c r="D47" s="2">
        <f t="shared" si="2"/>
        <v>69</v>
      </c>
      <c r="E47" s="2">
        <f t="shared" si="2"/>
        <v>84</v>
      </c>
      <c r="F47" s="2" t="s">
        <v>0</v>
      </c>
    </row>
    <row r="48" spans="2:6" x14ac:dyDescent="0.35">
      <c r="B48" s="2">
        <v>46</v>
      </c>
      <c r="C48" s="2">
        <v>2070</v>
      </c>
      <c r="D48" s="2">
        <f t="shared" si="2"/>
        <v>70</v>
      </c>
      <c r="E48" s="2">
        <f t="shared" si="2"/>
        <v>85</v>
      </c>
      <c r="F48" s="2" t="s">
        <v>0</v>
      </c>
    </row>
    <row r="49" spans="2:6" x14ac:dyDescent="0.35">
      <c r="B49" s="2">
        <v>47</v>
      </c>
      <c r="C49" s="2">
        <v>2071</v>
      </c>
      <c r="D49" s="2">
        <f t="shared" si="2"/>
        <v>71</v>
      </c>
      <c r="E49" s="2">
        <f t="shared" si="2"/>
        <v>86</v>
      </c>
      <c r="F49" s="2" t="s">
        <v>0</v>
      </c>
    </row>
    <row r="50" spans="2:6" x14ac:dyDescent="0.35">
      <c r="B50" s="2">
        <v>48</v>
      </c>
      <c r="C50" s="2">
        <v>2072</v>
      </c>
      <c r="D50" s="2">
        <f t="shared" ref="D50:E53" si="3">D49+1</f>
        <v>72</v>
      </c>
      <c r="E50" s="2">
        <f t="shared" si="3"/>
        <v>87</v>
      </c>
      <c r="F50" s="2" t="s">
        <v>0</v>
      </c>
    </row>
    <row r="51" spans="2:6" x14ac:dyDescent="0.35">
      <c r="B51" s="2">
        <v>49</v>
      </c>
      <c r="C51" s="2">
        <v>2073</v>
      </c>
      <c r="D51" s="2">
        <f t="shared" si="3"/>
        <v>73</v>
      </c>
      <c r="E51" s="2">
        <f t="shared" si="3"/>
        <v>88</v>
      </c>
      <c r="F51" s="2" t="s">
        <v>0</v>
      </c>
    </row>
    <row r="52" spans="2:6" x14ac:dyDescent="0.35">
      <c r="B52" s="2">
        <v>50</v>
      </c>
      <c r="C52" s="2">
        <v>2074</v>
      </c>
      <c r="D52" s="2">
        <f t="shared" si="3"/>
        <v>74</v>
      </c>
      <c r="E52" s="2">
        <f t="shared" si="3"/>
        <v>89</v>
      </c>
      <c r="F52" s="2" t="s">
        <v>0</v>
      </c>
    </row>
    <row r="53" spans="2:6" x14ac:dyDescent="0.3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C4" sqref="C4"/>
    </sheetView>
  </sheetViews>
  <sheetFormatPr defaultColWidth="8.7265625" defaultRowHeight="14.5" x14ac:dyDescent="0.35"/>
  <cols>
    <col min="1" max="1" width="3.1796875" style="1" customWidth="1"/>
    <col min="2" max="2" width="20" style="1" bestFit="1" customWidth="1"/>
    <col min="3" max="6" width="13.81640625" style="1" bestFit="1" customWidth="1"/>
    <col min="7" max="16384" width="8.7265625" style="1"/>
  </cols>
  <sheetData>
    <row r="2" spans="2:7" x14ac:dyDescent="0.35">
      <c r="B2" t="s">
        <v>75</v>
      </c>
      <c r="C2" t="s">
        <v>71</v>
      </c>
      <c r="D2" t="s">
        <v>72</v>
      </c>
      <c r="E2" t="s">
        <v>73</v>
      </c>
      <c r="F2" t="s">
        <v>74</v>
      </c>
      <c r="G2" s="72" t="s">
        <v>77</v>
      </c>
    </row>
    <row r="3" spans="2:7" x14ac:dyDescent="0.35">
      <c r="B3" t="s">
        <v>68</v>
      </c>
      <c r="C3">
        <v>1</v>
      </c>
      <c r="D3">
        <v>0.75</v>
      </c>
      <c r="E3">
        <v>0.5</v>
      </c>
      <c r="F3">
        <v>0.25</v>
      </c>
      <c r="G3" s="72"/>
    </row>
    <row r="4" spans="2:7" x14ac:dyDescent="0.35">
      <c r="B4" t="s">
        <v>69</v>
      </c>
      <c r="C4" s="38">
        <f>'Net Salary P1'!E38</f>
        <v>727180.89310895908</v>
      </c>
      <c r="D4" s="38">
        <f>3500000*0.2</f>
        <v>700000</v>
      </c>
      <c r="E4" s="38">
        <v>72530</v>
      </c>
      <c r="F4" s="38">
        <f>2500000*0.5</f>
        <v>1250000</v>
      </c>
      <c r="G4" s="72"/>
    </row>
    <row r="5" spans="2:7" x14ac:dyDescent="0.35">
      <c r="B5" t="s">
        <v>70</v>
      </c>
      <c r="C5">
        <v>50</v>
      </c>
      <c r="D5">
        <v>5</v>
      </c>
      <c r="E5">
        <v>20</v>
      </c>
      <c r="F5">
        <v>30</v>
      </c>
      <c r="G5" s="72"/>
    </row>
    <row r="7" spans="2:7" x14ac:dyDescent="0.35">
      <c r="B7" t="s">
        <v>75</v>
      </c>
      <c r="C7" t="s">
        <v>71</v>
      </c>
      <c r="D7" t="s">
        <v>72</v>
      </c>
      <c r="E7" t="s">
        <v>73</v>
      </c>
      <c r="F7" t="s">
        <v>74</v>
      </c>
      <c r="G7" s="72" t="s">
        <v>76</v>
      </c>
    </row>
    <row r="8" spans="2:7" x14ac:dyDescent="0.35">
      <c r="B8" t="s">
        <v>68</v>
      </c>
      <c r="C8">
        <v>1</v>
      </c>
      <c r="D8">
        <v>0.75</v>
      </c>
      <c r="E8">
        <v>0.5</v>
      </c>
      <c r="F8">
        <v>0.25</v>
      </c>
      <c r="G8" s="72"/>
    </row>
    <row r="9" spans="2:7" x14ac:dyDescent="0.35">
      <c r="B9" t="s">
        <v>69</v>
      </c>
      <c r="C9" s="38">
        <f>'Net Salary P2'!E38</f>
        <v>1059229.4276068162</v>
      </c>
      <c r="D9" s="38">
        <f>3500000*0.2</f>
        <v>700000</v>
      </c>
      <c r="E9" s="38">
        <v>75176</v>
      </c>
      <c r="F9" s="38">
        <f>2500000*0.5</f>
        <v>1250000</v>
      </c>
      <c r="G9" s="72"/>
    </row>
    <row r="10" spans="2:7" x14ac:dyDescent="0.35">
      <c r="B10" t="s">
        <v>70</v>
      </c>
      <c r="C10">
        <v>35</v>
      </c>
      <c r="D10">
        <v>5</v>
      </c>
      <c r="E10">
        <v>5</v>
      </c>
      <c r="F10">
        <v>15</v>
      </c>
      <c r="G10" s="72"/>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265625" defaultRowHeight="14.5" x14ac:dyDescent="0.35"/>
  <cols>
    <col min="1" max="2" width="8.7265625" style="1"/>
    <col min="3" max="3" width="10.1796875" style="1" bestFit="1" customWidth="1"/>
    <col min="4" max="16384" width="8.7265625" style="1"/>
  </cols>
  <sheetData>
    <row r="1" spans="1:6" x14ac:dyDescent="0.35">
      <c r="A1" s="1" t="s">
        <v>165</v>
      </c>
    </row>
    <row r="2" spans="1:6" x14ac:dyDescent="0.35">
      <c r="A2" s="1" t="s">
        <v>1</v>
      </c>
      <c r="B2" s="1" t="s">
        <v>167</v>
      </c>
      <c r="C2" s="1" t="s">
        <v>168</v>
      </c>
    </row>
    <row r="3" spans="1:6" x14ac:dyDescent="0.35">
      <c r="A3" s="1">
        <v>2019</v>
      </c>
      <c r="B3" s="1">
        <v>50000</v>
      </c>
    </row>
    <row r="4" spans="1:6" x14ac:dyDescent="0.35">
      <c r="A4" s="1">
        <v>2020</v>
      </c>
      <c r="B4" s="1">
        <f>100000</f>
        <v>100000</v>
      </c>
      <c r="C4" s="26">
        <f t="shared" ref="C4:C9" si="0">(B4-B3)/B3</f>
        <v>1</v>
      </c>
    </row>
    <row r="5" spans="1:6" x14ac:dyDescent="0.35">
      <c r="A5" s="1">
        <v>2021</v>
      </c>
      <c r="B5" s="1">
        <v>102300</v>
      </c>
      <c r="C5" s="26">
        <f t="shared" si="0"/>
        <v>2.3E-2</v>
      </c>
    </row>
    <row r="6" spans="1:6" x14ac:dyDescent="0.35">
      <c r="A6" s="1">
        <v>2022</v>
      </c>
      <c r="B6" s="1">
        <v>103500</v>
      </c>
      <c r="C6" s="26">
        <f t="shared" si="0"/>
        <v>1.1730205278592375E-2</v>
      </c>
      <c r="E6" s="1" t="s">
        <v>166</v>
      </c>
      <c r="F6" s="1" t="s">
        <v>169</v>
      </c>
    </row>
    <row r="7" spans="1:6" x14ac:dyDescent="0.35">
      <c r="A7" s="1">
        <v>2023</v>
      </c>
      <c r="B7" s="1">
        <v>106600</v>
      </c>
      <c r="C7" s="26">
        <f t="shared" si="0"/>
        <v>2.9951690821256038E-2</v>
      </c>
      <c r="E7" s="27">
        <f>MEDIAN(C4:C9)</f>
        <v>0.12645487410819978</v>
      </c>
      <c r="F7" s="28">
        <f>MEDIAN(C5:C9)</f>
        <v>2.9951690821256038E-2</v>
      </c>
    </row>
    <row r="8" spans="1:6" x14ac:dyDescent="0.35">
      <c r="A8" s="1">
        <v>2024</v>
      </c>
      <c r="B8" s="1">
        <v>135900</v>
      </c>
      <c r="C8" s="26">
        <f t="shared" si="0"/>
        <v>0.27485928705440899</v>
      </c>
    </row>
    <row r="9" spans="1:6" x14ac:dyDescent="0.35">
      <c r="A9" s="1">
        <v>2025</v>
      </c>
      <c r="B9" s="1">
        <v>166200</v>
      </c>
      <c r="C9" s="26">
        <f t="shared" si="0"/>
        <v>0.22295805739514349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heetViews>
  <sheetFormatPr defaultRowHeight="14.5" x14ac:dyDescent="0.35"/>
  <sheetData>
    <row r="1" spans="1:52" x14ac:dyDescent="0.3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77</v>
      </c>
      <c r="B2">
        <v>0</v>
      </c>
      <c r="C2" cm="1">
        <f t="array" ref="C2:AV2">TRANSPOSE(TableIncome[InvestmentP1])</f>
        <v>27548.620078431381</v>
      </c>
      <c r="D2">
        <v>27845.194778577472</v>
      </c>
      <c r="E2">
        <v>29269.359310114014</v>
      </c>
      <c r="F2">
        <v>29582.081867169196</v>
      </c>
      <c r="G2">
        <v>29897.417412070339</v>
      </c>
      <c r="H2">
        <v>32088.852253175999</v>
      </c>
      <c r="I2">
        <v>32427.297424195342</v>
      </c>
      <c r="J2">
        <v>32768.661285974165</v>
      </c>
      <c r="K2">
        <v>34429.78506550195</v>
      </c>
      <c r="L2">
        <v>34790.269500425391</v>
      </c>
      <c r="M2">
        <v>35153.919882751616</v>
      </c>
      <c r="N2">
        <v>35520.776477777137</v>
      </c>
      <c r="O2">
        <v>37315.418304745421</v>
      </c>
      <c r="P2">
        <v>37703.054447552604</v>
      </c>
      <c r="Q2">
        <v>38094.161478851376</v>
      </c>
      <c r="R2">
        <v>38488.782057976408</v>
      </c>
      <c r="S2">
        <v>40428.047749782309</v>
      </c>
      <c r="T2">
        <v>40845.235377484401</v>
      </c>
      <c r="U2">
        <v>41266.220287145785</v>
      </c>
      <c r="V2">
        <v>41691.047796572675</v>
      </c>
      <c r="W2">
        <v>43415.443624284264</v>
      </c>
      <c r="X2">
        <v>43760.550330126716</v>
      </c>
      <c r="Y2">
        <v>44108.762035780528</v>
      </c>
      <c r="Z2">
        <v>44460.116576876142</v>
      </c>
      <c r="AA2">
        <v>44814.652034348634</v>
      </c>
      <c r="AB2">
        <v>45172.406739499704</v>
      </c>
      <c r="AC2">
        <v>45533.41927905898</v>
      </c>
      <c r="AD2">
        <v>45897.728500245925</v>
      </c>
      <c r="AE2">
        <v>46265.373515833067</v>
      </c>
      <c r="AF2">
        <v>46636.393709211661</v>
      </c>
      <c r="AG2">
        <v>47010.828739460885</v>
      </c>
      <c r="AH2">
        <v>47388.718546421303</v>
      </c>
      <c r="AI2">
        <v>47770.103355773565</v>
      </c>
      <c r="AJ2">
        <v>49657.840216616743</v>
      </c>
      <c r="AK2">
        <v>50061.365041912512</v>
      </c>
      <c r="AL2">
        <v>50468.657594223419</v>
      </c>
      <c r="AM2">
        <v>50879.760796334049</v>
      </c>
      <c r="AN2">
        <v>51294.717897403672</v>
      </c>
      <c r="AO2">
        <v>51713.572478246613</v>
      </c>
      <c r="AP2">
        <v>52136.368456626049</v>
      </c>
      <c r="AQ2">
        <v>52563.150092561875</v>
      </c>
      <c r="AR2">
        <v>52993.961993653735</v>
      </c>
      <c r="AS2">
        <v>53428.849120419916</v>
      </c>
      <c r="AT2">
        <v>0</v>
      </c>
      <c r="AU2">
        <v>0</v>
      </c>
      <c r="AV2">
        <v>0</v>
      </c>
      <c r="AW2">
        <v>0</v>
      </c>
      <c r="AX2">
        <v>0</v>
      </c>
      <c r="AY2">
        <v>0</v>
      </c>
      <c r="AZ2">
        <v>0</v>
      </c>
    </row>
    <row r="3" spans="1:52" x14ac:dyDescent="0.35">
      <c r="A3" t="s">
        <v>76</v>
      </c>
      <c r="B3">
        <v>200000</v>
      </c>
      <c r="C3" cm="1">
        <f t="array" ref="C3:AV3">TRANSPOSE(TableIncome[InvestmentP2])</f>
        <v>45358.962012784315</v>
      </c>
      <c r="D3">
        <v>45733.14013227394</v>
      </c>
      <c r="E3">
        <v>46110.525020029803</v>
      </c>
      <c r="F3">
        <v>48032.563374858633</v>
      </c>
      <c r="G3">
        <v>48431.903734836662</v>
      </c>
      <c r="H3">
        <v>51486.963649469129</v>
      </c>
      <c r="I3">
        <v>51918.889934451407</v>
      </c>
      <c r="J3">
        <v>52354.669721332779</v>
      </c>
      <c r="K3">
        <v>52794.350677699877</v>
      </c>
      <c r="L3">
        <v>53237.980768745299</v>
      </c>
      <c r="M3">
        <v>53685.608263754722</v>
      </c>
      <c r="N3">
        <v>54137.281742590276</v>
      </c>
      <c r="O3">
        <v>54593.05010217111</v>
      </c>
      <c r="P3">
        <v>55052.962562952533</v>
      </c>
      <c r="Q3">
        <v>55517.068675405324</v>
      </c>
      <c r="R3">
        <v>55985.418326495885</v>
      </c>
      <c r="S3">
        <v>56458.061746169202</v>
      </c>
      <c r="T3">
        <v>56935.049513835169</v>
      </c>
      <c r="U3">
        <v>60269.604133860179</v>
      </c>
      <c r="V3">
        <v>60783.96548175421</v>
      </c>
      <c r="W3">
        <v>61303.110394763346</v>
      </c>
      <c r="X3">
        <v>61827.093768310588</v>
      </c>
      <c r="Y3">
        <v>62355.970908346237</v>
      </c>
      <c r="Z3">
        <v>62889.797538167506</v>
      </c>
      <c r="AA3">
        <v>63428.629805252924</v>
      </c>
      <c r="AB3">
        <v>63972.524288113025</v>
      </c>
      <c r="AC3">
        <v>64521.538003158435</v>
      </c>
      <c r="AD3">
        <v>65075.728411586373</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35">
      <c r="A2" t="s">
        <v>77</v>
      </c>
      <c r="B2" s="15">
        <f>SUMIF(TableIncome[Year], "&lt;=" &amp; B1, TableIncome[InvestmentP1])</f>
        <v>27548.620078431381</v>
      </c>
      <c r="C2" s="15">
        <f>SUMIF(TableIncome[Year], "&lt;=" &amp; C1, TableIncome[InvestmentP1])</f>
        <v>55393.814857008852</v>
      </c>
      <c r="D2" s="15">
        <f>SUMIF(TableIncome[Year], "&lt;=" &amp; D1, TableIncome[InvestmentP1])</f>
        <v>84663.174167122866</v>
      </c>
      <c r="E2" s="15">
        <f>SUMIF(TableIncome[Year], "&lt;=" &amp; E1, TableIncome[InvestmentP1])</f>
        <v>114245.25603429206</v>
      </c>
      <c r="F2" s="15">
        <f>SUMIF(TableIncome[Year], "&lt;=" &amp; F1, TableIncome[InvestmentP1])</f>
        <v>144142.6734463624</v>
      </c>
      <c r="G2" s="15">
        <f>SUMIF(TableIncome[Year], "&lt;=" &amp; G1, TableIncome[InvestmentP1])</f>
        <v>176231.52569953841</v>
      </c>
      <c r="H2" s="15">
        <f>SUMIF(TableIncome[Year], "&lt;=" &amp; H1, TableIncome[InvestmentP1])</f>
        <v>208658.82312373375</v>
      </c>
      <c r="I2" s="15">
        <f>SUMIF(TableIncome[Year], "&lt;=" &amp; I1, TableIncome[InvestmentP1])</f>
        <v>241427.48440970792</v>
      </c>
      <c r="J2" s="15">
        <f>SUMIF(TableIncome[Year], "&lt;=" &amp; J1, TableIncome[InvestmentP1])</f>
        <v>275857.26947520988</v>
      </c>
      <c r="K2" s="15">
        <f>SUMIF(TableIncome[Year], "&lt;=" &amp; K1, TableIncome[InvestmentP1])</f>
        <v>310647.53897563525</v>
      </c>
      <c r="L2" s="15">
        <f>SUMIF(TableIncome[Year], "&lt;=" &amp; L1, TableIncome[InvestmentP1])</f>
        <v>345801.45885838685</v>
      </c>
      <c r="M2" s="15">
        <f>SUMIF(TableIncome[Year], "&lt;=" &amp; M1, TableIncome[InvestmentP1])</f>
        <v>381322.23533616401</v>
      </c>
      <c r="N2" s="15">
        <f>SUMIF(TableIncome[Year], "&lt;=" &amp; N1, TableIncome[InvestmentP1])</f>
        <v>418637.65364090941</v>
      </c>
      <c r="O2" s="15">
        <f>SUMIF(TableIncome[Year], "&lt;=" &amp; O1, TableIncome[InvestmentP1])</f>
        <v>456340.70808846201</v>
      </c>
      <c r="P2" s="15">
        <f>SUMIF(TableIncome[Year], "&lt;=" &amp; P1, TableIncome[InvestmentP1])</f>
        <v>494434.86956731341</v>
      </c>
      <c r="Q2" s="15">
        <f>SUMIF(TableIncome[Year], "&lt;=" &amp; Q1, TableIncome[InvestmentP1])</f>
        <v>532923.65162528981</v>
      </c>
      <c r="R2" s="15">
        <f>SUMIF(TableIncome[Year], "&lt;=" &amp; R1, TableIncome[InvestmentP1])</f>
        <v>573351.69937507214</v>
      </c>
      <c r="S2" s="15">
        <f>SUMIF(TableIncome[Year], "&lt;=" &amp; S1, TableIncome[InvestmentP1])</f>
        <v>614196.9347525565</v>
      </c>
      <c r="T2" s="15">
        <f>SUMIF(TableIncome[Year], "&lt;=" &amp; T1, TableIncome[InvestmentP1])</f>
        <v>655463.15503970231</v>
      </c>
      <c r="U2" s="15">
        <f>SUMIF(TableIncome[Year], "&lt;=" &amp; U1, TableIncome[InvestmentP1])</f>
        <v>697154.20283627498</v>
      </c>
      <c r="V2" s="15">
        <f>SUMIF(TableIncome[Year], "&lt;=" &amp; V1, TableIncome[InvestmentP1])</f>
        <v>740569.64646055922</v>
      </c>
      <c r="W2" s="15">
        <f>SUMIF(TableIncome[Year], "&lt;=" &amp; W1, TableIncome[InvestmentP1])</f>
        <v>784330.19679068588</v>
      </c>
      <c r="X2" s="15">
        <f>SUMIF(TableIncome[Year], "&lt;=" &amp; X1, TableIncome[InvestmentP1])</f>
        <v>828438.95882646646</v>
      </c>
      <c r="Y2" s="15">
        <f>SUMIF(TableIncome[Year], "&lt;=" &amp; Y1, TableIncome[InvestmentP1])</f>
        <v>872899.07540334261</v>
      </c>
      <c r="Z2" s="15">
        <f>SUMIF(TableIncome[Year], "&lt;=" &amp; Z1, TableIncome[InvestmentP1])</f>
        <v>917713.7274376913</v>
      </c>
      <c r="AA2" s="15">
        <f>SUMIF(TableIncome[Year], "&lt;=" &amp; AA1, TableIncome[InvestmentP1])</f>
        <v>962886.13417719095</v>
      </c>
      <c r="AB2" s="15">
        <f>SUMIF(TableIncome[Year], "&lt;=" &amp; AB1, TableIncome[InvestmentP1])</f>
        <v>1008419.5534562499</v>
      </c>
      <c r="AC2" s="15">
        <f>SUMIF(TableIncome[Year], "&lt;=" &amp; AC1, TableIncome[InvestmentP1])</f>
        <v>1054317.2819564957</v>
      </c>
      <c r="AD2" s="15">
        <f>SUMIF(TableIncome[Year], "&lt;=" &amp; AD1, TableIncome[InvestmentP1])</f>
        <v>1100582.6554723289</v>
      </c>
      <c r="AE2" s="15">
        <f>SUMIF(TableIncome[Year], "&lt;=" &amp; AE1, TableIncome[InvestmentP1])</f>
        <v>1147219.0491815405</v>
      </c>
      <c r="AF2" s="15">
        <f>SUMIF(TableIncome[Year], "&lt;=" &amp; AF1, TableIncome[InvestmentP1])</f>
        <v>1194229.8779210013</v>
      </c>
      <c r="AG2" s="15">
        <f>SUMIF(TableIncome[Year], "&lt;=" &amp; AG1, TableIncome[InvestmentP1])</f>
        <v>1241618.5964674226</v>
      </c>
      <c r="AH2" s="15">
        <f>SUMIF(TableIncome[Year], "&lt;=" &amp; AH1, TableIncome[InvestmentP1])</f>
        <v>1289388.699823196</v>
      </c>
      <c r="AI2" s="15">
        <f>SUMIF(TableIncome[Year], "&lt;=" &amp; AI1, TableIncome[InvestmentP1])</f>
        <v>1339046.5400398127</v>
      </c>
      <c r="AJ2" s="15">
        <f>SUMIF(TableIncome[Year], "&lt;=" &amp; AJ1, TableIncome[InvestmentP1])</f>
        <v>1389107.9050817252</v>
      </c>
      <c r="AK2" s="15">
        <f>SUMIF(TableIncome[Year], "&lt;=" &amp; AK1, TableIncome[InvestmentP1])</f>
        <v>1439576.5626759487</v>
      </c>
      <c r="AL2" s="15">
        <f>SUMIF(TableIncome[Year], "&lt;=" &amp; AL1, TableIncome[InvestmentP1])</f>
        <v>1490456.3234722828</v>
      </c>
      <c r="AM2" s="15">
        <f>SUMIF(TableIncome[Year], "&lt;=" &amp; AM1, TableIncome[InvestmentP1])</f>
        <v>1541751.0413696866</v>
      </c>
      <c r="AN2" s="15">
        <f>SUMIF(TableIncome[Year], "&lt;=" &amp; AN1, TableIncome[InvestmentP1])</f>
        <v>1593464.6138479332</v>
      </c>
      <c r="AO2" s="15">
        <f>SUMIF(TableIncome[Year], "&lt;=" &amp; AO1, TableIncome[InvestmentP1])</f>
        <v>1645600.9823045593</v>
      </c>
      <c r="AP2" s="15">
        <f>SUMIF(TableIncome[Year], "&lt;=" &amp; AP1, TableIncome[InvestmentP1])</f>
        <v>1698164.1323971213</v>
      </c>
      <c r="AQ2" s="15">
        <f>SUMIF(TableIncome[Year], "&lt;=" &amp; AQ1, TableIncome[InvestmentP1])</f>
        <v>1751158.0943907751</v>
      </c>
      <c r="AR2" s="15">
        <f>SUMIF(TableIncome[Year], "&lt;=" &amp; AR1, TableIncome[InvestmentP1])</f>
        <v>1804586.943511195</v>
      </c>
      <c r="AS2" s="15">
        <f>SUMIF(TableIncome[Year], "&lt;=" &amp; AS1, TableIncome[InvestmentP1])</f>
        <v>1804586.943511195</v>
      </c>
      <c r="AT2" s="15">
        <f>SUMIF(TableIncome[Year], "&lt;=" &amp; AT1, TableIncome[InvestmentP1])</f>
        <v>1804586.943511195</v>
      </c>
      <c r="AU2" s="15">
        <f>SUMIF(TableIncome[Year], "&lt;=" &amp; AU1, TableIncome[InvestmentP1])</f>
        <v>1804586.943511195</v>
      </c>
      <c r="AV2" s="15">
        <f>SUMIF(TableIncome[Year], "&lt;=" &amp; AV1, TableIncome[InvestmentP1])</f>
        <v>1804586.943511195</v>
      </c>
      <c r="AW2" s="15">
        <f>SUMIF(TableIncome[Year], "&lt;=" &amp; AW1, TableIncome[InvestmentP1])</f>
        <v>1804586.943511195</v>
      </c>
      <c r="AX2" s="15">
        <f>SUMIF(TableIncome[Year], "&lt;=" &amp; AX1, TableIncome[InvestmentP1])</f>
        <v>1804586.943511195</v>
      </c>
      <c r="AY2" s="15">
        <f>SUMIF(TableIncome[Year], "&lt;=" &amp; AY1, TableIncome[InvestmentP1])</f>
        <v>1804586.943511195</v>
      </c>
      <c r="AZ2" s="15">
        <f>SUMIF(TableIncome[Year], "&lt;=" &amp; AZ1, TableIncome[InvestmentP1])</f>
        <v>1804586.943511195</v>
      </c>
    </row>
    <row r="3" spans="1:52" x14ac:dyDescent="0.35">
      <c r="A3" t="s">
        <v>76</v>
      </c>
      <c r="B3" s="15">
        <f>SUMIF(TableIncome[Year], "&lt;=" &amp; B1, TableIncome[InvestmentP2])</f>
        <v>45358.962012784315</v>
      </c>
      <c r="C3" s="15">
        <f>SUMIF(TableIncome[Year], "&lt;=" &amp; C1, TableIncome[InvestmentP2])</f>
        <v>91092.102145058248</v>
      </c>
      <c r="D3" s="15">
        <f>SUMIF(TableIncome[Year], "&lt;=" &amp; D1, TableIncome[InvestmentP2])</f>
        <v>137202.62716508805</v>
      </c>
      <c r="E3" s="15">
        <f>SUMIF(TableIncome[Year], "&lt;=" &amp; E1, TableIncome[InvestmentP2])</f>
        <v>185235.19053994669</v>
      </c>
      <c r="F3" s="15">
        <f>SUMIF(TableIncome[Year], "&lt;=" &amp; F1, TableIncome[InvestmentP2])</f>
        <v>233667.09427478336</v>
      </c>
      <c r="G3" s="15">
        <f>SUMIF(TableIncome[Year], "&lt;=" &amp; G1, TableIncome[InvestmentP2])</f>
        <v>285154.05792425247</v>
      </c>
      <c r="H3" s="15">
        <f>SUMIF(TableIncome[Year], "&lt;=" &amp; H1, TableIncome[InvestmentP2])</f>
        <v>337072.9478587039</v>
      </c>
      <c r="I3" s="15">
        <f>SUMIF(TableIncome[Year], "&lt;=" &amp; I1, TableIncome[InvestmentP2])</f>
        <v>389427.61758003669</v>
      </c>
      <c r="J3" s="15">
        <f>SUMIF(TableIncome[Year], "&lt;=" &amp; J1, TableIncome[InvestmentP2])</f>
        <v>442221.96825773659</v>
      </c>
      <c r="K3" s="15">
        <f>SUMIF(TableIncome[Year], "&lt;=" &amp; K1, TableIncome[InvestmentP2])</f>
        <v>495459.94902648189</v>
      </c>
      <c r="L3" s="15">
        <f>SUMIF(TableIncome[Year], "&lt;=" &amp; L1, TableIncome[InvestmentP2])</f>
        <v>549145.55729023658</v>
      </c>
      <c r="M3" s="15">
        <f>SUMIF(TableIncome[Year], "&lt;=" &amp; M1, TableIncome[InvestmentP2])</f>
        <v>603282.83903282683</v>
      </c>
      <c r="N3" s="15">
        <f>SUMIF(TableIncome[Year], "&lt;=" &amp; N1, TableIncome[InvestmentP2])</f>
        <v>657875.88913499797</v>
      </c>
      <c r="O3" s="15">
        <f>SUMIF(TableIncome[Year], "&lt;=" &amp; O1, TableIncome[InvestmentP2])</f>
        <v>712928.85169795051</v>
      </c>
      <c r="P3" s="15">
        <f>SUMIF(TableIncome[Year], "&lt;=" &amp; P1, TableIncome[InvestmentP2])</f>
        <v>768445.92037335585</v>
      </c>
      <c r="Q3" s="15">
        <f>SUMIF(TableIncome[Year], "&lt;=" &amp; Q1, TableIncome[InvestmentP2])</f>
        <v>824431.33869985177</v>
      </c>
      <c r="R3" s="15">
        <f>SUMIF(TableIncome[Year], "&lt;=" &amp; R1, TableIncome[InvestmentP2])</f>
        <v>880889.400446021</v>
      </c>
      <c r="S3" s="15">
        <f>SUMIF(TableIncome[Year], "&lt;=" &amp; S1, TableIncome[InvestmentP2])</f>
        <v>937824.44995985623</v>
      </c>
      <c r="T3" s="15">
        <f>SUMIF(TableIncome[Year], "&lt;=" &amp; T1, TableIncome[InvestmentP2])</f>
        <v>998094.05409371643</v>
      </c>
      <c r="U3" s="15">
        <f>SUMIF(TableIncome[Year], "&lt;=" &amp; U1, TableIncome[InvestmentP2])</f>
        <v>1058878.0195754706</v>
      </c>
      <c r="V3" s="15">
        <f>SUMIF(TableIncome[Year], "&lt;=" &amp; V1, TableIncome[InvestmentP2])</f>
        <v>1120181.1299702339</v>
      </c>
      <c r="W3" s="15">
        <f>SUMIF(TableIncome[Year], "&lt;=" &amp; W1, TableIncome[InvestmentP2])</f>
        <v>1182008.2237385444</v>
      </c>
      <c r="X3" s="15">
        <f>SUMIF(TableIncome[Year], "&lt;=" &amp; X1, TableIncome[InvestmentP2])</f>
        <v>1244364.1946468907</v>
      </c>
      <c r="Y3" s="15">
        <f>SUMIF(TableIncome[Year], "&lt;=" &amp; Y1, TableIncome[InvestmentP2])</f>
        <v>1307253.9921850583</v>
      </c>
      <c r="Z3" s="15">
        <f>SUMIF(TableIncome[Year], "&lt;=" &amp; Z1, TableIncome[InvestmentP2])</f>
        <v>1370682.6219903112</v>
      </c>
      <c r="AA3" s="15">
        <f>SUMIF(TableIncome[Year], "&lt;=" &amp; AA1, TableIncome[InvestmentP2])</f>
        <v>1434655.1462784242</v>
      </c>
      <c r="AB3" s="15">
        <f>SUMIF(TableIncome[Year], "&lt;=" &amp; AB1, TableIncome[InvestmentP2])</f>
        <v>1499176.6842815827</v>
      </c>
      <c r="AC3" s="15">
        <f>SUMIF(TableIncome[Year], "&lt;=" &amp; AC1, TableIncome[InvestmentP2])</f>
        <v>1564252.412693169</v>
      </c>
      <c r="AD3" s="15">
        <f>SUMIF(TableIncome[Year], "&lt;=" &amp; AD1, TableIncome[InvestmentP2])</f>
        <v>1564252.412693169</v>
      </c>
      <c r="AE3" s="15">
        <f>SUMIF(TableIncome[Year], "&lt;=" &amp; AE1, TableIncome[InvestmentP2])</f>
        <v>1564252.412693169</v>
      </c>
      <c r="AF3" s="15">
        <f>SUMIF(TableIncome[Year], "&lt;=" &amp; AF1, TableIncome[InvestmentP2])</f>
        <v>1564252.412693169</v>
      </c>
      <c r="AG3" s="15">
        <f>SUMIF(TableIncome[Year], "&lt;=" &amp; AG1, TableIncome[InvestmentP2])</f>
        <v>1564252.412693169</v>
      </c>
      <c r="AH3" s="15">
        <f>SUMIF(TableIncome[Year], "&lt;=" &amp; AH1, TableIncome[InvestmentP2])</f>
        <v>1564252.412693169</v>
      </c>
      <c r="AI3" s="15">
        <f>SUMIF(TableIncome[Year], "&lt;=" &amp; AI1, TableIncome[InvestmentP2])</f>
        <v>1564252.412693169</v>
      </c>
      <c r="AJ3" s="15">
        <f>SUMIF(TableIncome[Year], "&lt;=" &amp; AJ1, TableIncome[InvestmentP2])</f>
        <v>1564252.412693169</v>
      </c>
      <c r="AK3" s="15">
        <f>SUMIF(TableIncome[Year], "&lt;=" &amp; AK1, TableIncome[InvestmentP2])</f>
        <v>1564252.412693169</v>
      </c>
      <c r="AL3" s="15">
        <f>SUMIF(TableIncome[Year], "&lt;=" &amp; AL1, TableIncome[InvestmentP2])</f>
        <v>1564252.412693169</v>
      </c>
      <c r="AM3" s="15">
        <f>SUMIF(TableIncome[Year], "&lt;=" &amp; AM1, TableIncome[InvestmentP2])</f>
        <v>1564252.412693169</v>
      </c>
      <c r="AN3" s="15">
        <f>SUMIF(TableIncome[Year], "&lt;=" &amp; AN1, TableIncome[InvestmentP2])</f>
        <v>1564252.412693169</v>
      </c>
      <c r="AO3" s="15">
        <f>SUMIF(TableIncome[Year], "&lt;=" &amp; AO1, TableIncome[InvestmentP2])</f>
        <v>1564252.412693169</v>
      </c>
      <c r="AP3" s="15">
        <f>SUMIF(TableIncome[Year], "&lt;=" &amp; AP1, TableIncome[InvestmentP2])</f>
        <v>1564252.412693169</v>
      </c>
      <c r="AQ3" s="15">
        <f>SUMIF(TableIncome[Year], "&lt;=" &amp; AQ1, TableIncome[InvestmentP2])</f>
        <v>1564252.412693169</v>
      </c>
      <c r="AR3" s="15">
        <f>SUMIF(TableIncome[Year], "&lt;=" &amp; AR1, TableIncome[InvestmentP2])</f>
        <v>1564252.412693169</v>
      </c>
      <c r="AS3" s="15">
        <f>SUMIF(TableIncome[Year], "&lt;=" &amp; AS1, TableIncome[InvestmentP2])</f>
        <v>1564252.412693169</v>
      </c>
      <c r="AT3" s="15">
        <f>SUMIF(TableIncome[Year], "&lt;=" &amp; AT1, TableIncome[InvestmentP2])</f>
        <v>1564252.412693169</v>
      </c>
      <c r="AU3" s="15">
        <f>SUMIF(TableIncome[Year], "&lt;=" &amp; AU1, TableIncome[InvestmentP2])</f>
        <v>1564252.412693169</v>
      </c>
      <c r="AV3" s="15">
        <f>SUMIF(TableIncome[Year], "&lt;=" &amp; AV1, TableIncome[InvestmentP2])</f>
        <v>1564252.412693169</v>
      </c>
      <c r="AW3" s="15">
        <f>SUMIF(TableIncome[Year], "&lt;=" &amp; AW1, TableIncome[InvestmentP2])</f>
        <v>1564252.412693169</v>
      </c>
      <c r="AX3" s="15">
        <f>SUMIF(TableIncome[Year], "&lt;=" &amp; AX1, TableIncome[InvestmentP2])</f>
        <v>1564252.412693169</v>
      </c>
      <c r="AY3" s="15">
        <f>SUMIF(TableIncome[Year], "&lt;=" &amp; AY1, TableIncome[InvestmentP2])</f>
        <v>1564252.412693169</v>
      </c>
      <c r="AZ3" s="15">
        <f>SUMIF(TableIncome[Year], "&lt;=" &amp; AZ1, TableIncome[InvestmentP2])</f>
        <v>1564252.412693169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81</v>
      </c>
    </row>
    <row r="4" spans="2:2" x14ac:dyDescent="0.35">
      <c r="B4" s="1" t="s">
        <v>82</v>
      </c>
    </row>
    <row r="5" spans="2:2" x14ac:dyDescent="0.35">
      <c r="B5" s="1" t="s">
        <v>83</v>
      </c>
    </row>
    <row r="6" spans="2:2" x14ac:dyDescent="0.35">
      <c r="B6" s="1" t="s">
        <v>88</v>
      </c>
    </row>
    <row r="7" spans="2:2" x14ac:dyDescent="0.35">
      <c r="B7" s="1" t="s">
        <v>84</v>
      </c>
    </row>
    <row r="9" spans="2:2" x14ac:dyDescent="0.35">
      <c r="B9" s="1" t="s">
        <v>85</v>
      </c>
    </row>
    <row r="13" spans="2:2" x14ac:dyDescent="0.35">
      <c r="B13" s="1" t="s">
        <v>86</v>
      </c>
    </row>
    <row r="14" spans="2:2" x14ac:dyDescent="0.35">
      <c r="B14" s="1" t="s">
        <v>87</v>
      </c>
    </row>
    <row r="18" spans="2:2" x14ac:dyDescent="0.35">
      <c r="B18" s="1" t="s">
        <v>89</v>
      </c>
    </row>
    <row r="37" spans="2:14" x14ac:dyDescent="0.35">
      <c r="B37" s="1" t="s">
        <v>90</v>
      </c>
    </row>
    <row r="41" spans="2:14" x14ac:dyDescent="0.35">
      <c r="C41" s="1" t="s">
        <v>91</v>
      </c>
    </row>
    <row r="42" spans="2:14" x14ac:dyDescent="0.35">
      <c r="D42" s="1" t="s">
        <v>94</v>
      </c>
      <c r="E42" s="1" t="s">
        <v>95</v>
      </c>
    </row>
    <row r="43" spans="2:14" x14ac:dyDescent="0.35">
      <c r="C43" s="1" t="s">
        <v>92</v>
      </c>
      <c r="D43" s="17">
        <v>0.03</v>
      </c>
      <c r="E43" s="17">
        <v>0.01</v>
      </c>
      <c r="H43" s="1">
        <v>2025</v>
      </c>
      <c r="I43" s="1">
        <v>2026</v>
      </c>
      <c r="J43" s="1">
        <v>2027</v>
      </c>
      <c r="M43" s="73" t="s">
        <v>96</v>
      </c>
      <c r="N43" s="74" t="s">
        <v>97</v>
      </c>
    </row>
    <row r="44" spans="2:14" x14ac:dyDescent="0.35">
      <c r="C44" s="1" t="s">
        <v>93</v>
      </c>
      <c r="D44" s="17">
        <v>0.1</v>
      </c>
      <c r="E44" s="17">
        <v>0.03</v>
      </c>
      <c r="H44" s="17">
        <v>0.03</v>
      </c>
      <c r="I44" s="17">
        <v>0.04</v>
      </c>
      <c r="J44" s="17">
        <v>0.06</v>
      </c>
      <c r="K44" s="17">
        <v>7.0000000000000007E-2</v>
      </c>
      <c r="L44" s="17">
        <v>0.1</v>
      </c>
      <c r="M44" s="73"/>
      <c r="N44" s="74"/>
    </row>
    <row r="45" spans="2:14" x14ac:dyDescent="0.35">
      <c r="M45" s="73"/>
      <c r="N45" s="74"/>
    </row>
    <row r="46" spans="2:14" x14ac:dyDescent="0.35">
      <c r="H46" s="17">
        <f>AVERAGE(H44:L44)</f>
        <v>6.0000000000000012E-2</v>
      </c>
      <c r="I46" s="17">
        <f>AVERAGE(I44:L44)</f>
        <v>6.7500000000000004E-2</v>
      </c>
      <c r="M46" s="73"/>
      <c r="N46" s="74"/>
    </row>
    <row r="51" spans="2:21" x14ac:dyDescent="0.35">
      <c r="J51" s="1" t="s">
        <v>98</v>
      </c>
      <c r="L51" s="1" t="s">
        <v>99</v>
      </c>
    </row>
    <row r="53" spans="2:21" x14ac:dyDescent="0.35">
      <c r="J53" s="1">
        <v>2025</v>
      </c>
      <c r="K53" s="1">
        <v>2026</v>
      </c>
      <c r="L53" s="1">
        <v>2027</v>
      </c>
      <c r="M53" s="1">
        <v>2028</v>
      </c>
      <c r="N53" s="1">
        <v>2029</v>
      </c>
      <c r="O53" s="1">
        <v>2030</v>
      </c>
      <c r="P53" s="1">
        <v>2031</v>
      </c>
      <c r="Q53" s="1">
        <v>2032</v>
      </c>
      <c r="R53" s="1">
        <v>2033</v>
      </c>
      <c r="S53" s="1">
        <v>2034</v>
      </c>
      <c r="U53" s="1" t="s">
        <v>100</v>
      </c>
    </row>
    <row r="54" spans="2:21" x14ac:dyDescent="0.3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35">
      <c r="B57" s="18" t="s">
        <v>101</v>
      </c>
    </row>
  </sheetData>
  <mergeCells count="2">
    <mergeCell ref="M43:M46"/>
    <mergeCell ref="N43:N46"/>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3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3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3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3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3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3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3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3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3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3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4.5" x14ac:dyDescent="0.35"/>
  <cols>
    <col min="1" max="1" width="31.453125" bestFit="1" customWidth="1"/>
    <col min="2" max="2" width="15.26953125" bestFit="1" customWidth="1"/>
  </cols>
  <sheetData>
    <row r="1" spans="1:3" x14ac:dyDescent="0.35">
      <c r="A1" t="s">
        <v>160</v>
      </c>
      <c r="B1" t="s">
        <v>161</v>
      </c>
      <c r="C1" t="s">
        <v>162</v>
      </c>
    </row>
    <row r="2" spans="1:3" x14ac:dyDescent="0.35">
      <c r="A2" t="s">
        <v>102</v>
      </c>
      <c r="B2" s="23">
        <f>0.2%</f>
        <v>2E-3</v>
      </c>
    </row>
    <row r="3" spans="1:3" x14ac:dyDescent="0.35">
      <c r="A3" t="s">
        <v>103</v>
      </c>
      <c r="B3" s="23">
        <f>0.2%</f>
        <v>2E-3</v>
      </c>
    </row>
    <row r="4" spans="1:3" x14ac:dyDescent="0.35">
      <c r="A4" t="s">
        <v>157</v>
      </c>
      <c r="B4" s="23">
        <f>0.07%</f>
        <v>7.000000000000001E-4</v>
      </c>
    </row>
    <row r="5" spans="1:3" x14ac:dyDescent="0.35">
      <c r="A5" t="s">
        <v>156</v>
      </c>
      <c r="B5" s="23">
        <f>0.07%</f>
        <v>7.000000000000001E-4</v>
      </c>
    </row>
    <row r="6" spans="1:3" x14ac:dyDescent="0.35">
      <c r="A6" t="s">
        <v>155</v>
      </c>
      <c r="B6" s="23">
        <f>0.07%</f>
        <v>7.000000000000001E-4</v>
      </c>
    </row>
    <row r="7" spans="1:3" x14ac:dyDescent="0.35">
      <c r="A7" t="s">
        <v>154</v>
      </c>
      <c r="B7" s="23">
        <f>0.07%</f>
        <v>7.000000000000001E-4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3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3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35">
      <c r="B4" s="22"/>
      <c r="C4" s="22"/>
      <c r="D4" s="22"/>
      <c r="E4" s="22"/>
      <c r="F4" s="22"/>
      <c r="G4" s="22"/>
      <c r="H4" s="22"/>
      <c r="I4" s="22"/>
      <c r="J4" s="22"/>
      <c r="K4" s="22"/>
    </row>
    <row r="5" spans="1:42" x14ac:dyDescent="0.35">
      <c r="B5" s="22"/>
      <c r="C5" s="22"/>
      <c r="D5" s="22"/>
      <c r="E5" s="22"/>
      <c r="F5" s="22"/>
      <c r="G5" s="22"/>
      <c r="H5" s="22"/>
      <c r="I5" s="22"/>
      <c r="J5" s="22"/>
      <c r="K5" s="22"/>
    </row>
    <row r="6" spans="1:42" x14ac:dyDescent="0.35">
      <c r="B6" s="22"/>
      <c r="C6" s="22"/>
      <c r="D6" s="22"/>
      <c r="E6" s="22"/>
      <c r="F6" s="22"/>
      <c r="G6" s="22"/>
      <c r="H6" s="22"/>
      <c r="I6" s="22"/>
      <c r="J6" s="22"/>
      <c r="K6" s="22"/>
    </row>
    <row r="7" spans="1:42" x14ac:dyDescent="0.35">
      <c r="B7" s="22"/>
      <c r="C7" s="22"/>
      <c r="D7" s="22"/>
      <c r="E7" s="22"/>
      <c r="F7" s="22"/>
      <c r="G7" s="22"/>
      <c r="H7" s="22"/>
      <c r="I7" s="22"/>
      <c r="J7" s="22"/>
      <c r="K7"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102</v>
      </c>
      <c r="B2" s="1">
        <v>8.5999999999999993E-2</v>
      </c>
    </row>
    <row r="3" spans="1:2" x14ac:dyDescent="0.35">
      <c r="A3" s="1" t="s">
        <v>103</v>
      </c>
      <c r="B3" s="1">
        <v>7.0000000000000007E-2</v>
      </c>
    </row>
    <row r="4" spans="1:2" x14ac:dyDescent="0.35">
      <c r="A4" s="1" t="s">
        <v>157</v>
      </c>
      <c r="B4" s="1">
        <v>4.9000000000000002E-2</v>
      </c>
    </row>
    <row r="5" spans="1:2" x14ac:dyDescent="0.35">
      <c r="A5" s="1" t="s">
        <v>156</v>
      </c>
      <c r="B5" s="1">
        <v>0.05</v>
      </c>
    </row>
    <row r="6" spans="1:2" x14ac:dyDescent="0.35">
      <c r="A6" s="1" t="s">
        <v>155</v>
      </c>
      <c r="B6" s="1">
        <v>3.6999999999999998E-2</v>
      </c>
    </row>
    <row r="7" spans="1:2" x14ac:dyDescent="0.35">
      <c r="A7" s="1" t="s">
        <v>154</v>
      </c>
      <c r="B7" s="1">
        <v>2.9000000000000001E-2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163</v>
      </c>
      <c r="B2" s="1">
        <v>0.18</v>
      </c>
    </row>
    <row r="3" spans="1:2" x14ac:dyDescent="0.35">
      <c r="A3" s="1" t="s">
        <v>164</v>
      </c>
      <c r="B3" s="1">
        <v>0.08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154</v>
      </c>
      <c r="C1" t="s">
        <v>155</v>
      </c>
      <c r="D1" t="s">
        <v>156</v>
      </c>
      <c r="E1" t="s">
        <v>157</v>
      </c>
      <c r="F1" t="s">
        <v>103</v>
      </c>
      <c r="G1" t="s">
        <v>102</v>
      </c>
    </row>
    <row r="2" spans="1:7" x14ac:dyDescent="0.35">
      <c r="A2" t="s">
        <v>154</v>
      </c>
      <c r="B2">
        <v>1</v>
      </c>
      <c r="C2">
        <v>0.6</v>
      </c>
      <c r="D2">
        <v>0.2</v>
      </c>
      <c r="E2">
        <v>0.4</v>
      </c>
      <c r="F2">
        <v>0</v>
      </c>
      <c r="G2">
        <v>0</v>
      </c>
    </row>
    <row r="3" spans="1:7" x14ac:dyDescent="0.35">
      <c r="A3" t="s">
        <v>155</v>
      </c>
      <c r="B3">
        <v>0.6</v>
      </c>
      <c r="C3">
        <v>1</v>
      </c>
      <c r="D3">
        <v>0.7</v>
      </c>
      <c r="E3">
        <v>0.6</v>
      </c>
      <c r="F3">
        <v>0.3</v>
      </c>
      <c r="G3">
        <v>0.3</v>
      </c>
    </row>
    <row r="4" spans="1:7" x14ac:dyDescent="0.35">
      <c r="A4" t="s">
        <v>156</v>
      </c>
      <c r="B4">
        <v>0.2</v>
      </c>
      <c r="C4">
        <v>0.7</v>
      </c>
      <c r="D4">
        <v>1</v>
      </c>
      <c r="E4">
        <v>0.7</v>
      </c>
      <c r="F4">
        <v>0.7</v>
      </c>
      <c r="G4">
        <v>0.6</v>
      </c>
    </row>
    <row r="5" spans="1:7" x14ac:dyDescent="0.35">
      <c r="A5" t="s">
        <v>157</v>
      </c>
      <c r="B5">
        <v>0.4</v>
      </c>
      <c r="C5">
        <v>0.6</v>
      </c>
      <c r="D5">
        <v>0.7</v>
      </c>
      <c r="E5">
        <v>1</v>
      </c>
      <c r="F5">
        <v>0.5</v>
      </c>
      <c r="G5">
        <v>0.7</v>
      </c>
    </row>
    <row r="6" spans="1:7" x14ac:dyDescent="0.35">
      <c r="A6" t="s">
        <v>103</v>
      </c>
      <c r="B6">
        <v>0</v>
      </c>
      <c r="C6">
        <v>0.3</v>
      </c>
      <c r="D6">
        <v>0.7</v>
      </c>
      <c r="E6">
        <v>0.5</v>
      </c>
      <c r="F6">
        <v>1</v>
      </c>
      <c r="G6">
        <v>0.7</v>
      </c>
    </row>
    <row r="7" spans="1:7" x14ac:dyDescent="0.35">
      <c r="A7" t="s">
        <v>102</v>
      </c>
      <c r="B7">
        <v>0</v>
      </c>
      <c r="C7">
        <v>0.3</v>
      </c>
      <c r="D7">
        <v>0.6</v>
      </c>
      <c r="E7">
        <v>0.7</v>
      </c>
      <c r="F7">
        <v>0.7</v>
      </c>
      <c r="G7">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164</v>
      </c>
      <c r="C1" t="s">
        <v>163</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Front Page</vt:lpstr>
      <vt:lpstr>Salary Variables</vt:lpstr>
      <vt:lpstr>Income</vt:lpstr>
      <vt:lpstr>Pensions P2</vt:lpstr>
      <vt:lpstr>Net Salary P2</vt:lpstr>
      <vt:lpstr>Pensions P1</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2025-05-02T10:28:56Z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