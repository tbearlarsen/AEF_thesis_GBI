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dmin\Desktop\Thesis New\AEF_thesis_GBI\GBI Optimisation\Data\"/>
    </mc:Choice>
  </mc:AlternateContent>
  <xr:revisionPtr revIDLastSave="0" documentId="13_ncr:1_{0AB0B9F4-AE3F-45A0-8979-E67461C56EC9}" xr6:coauthVersionLast="47" xr6:coauthVersionMax="47" xr10:uidLastSave="{00000000-0000-0000-0000-000000000000}"/>
  <bookViews>
    <workbookView xWindow="-110" yWindow="-110" windowWidth="19420" windowHeight="10300" firstSheet="1" activeTab="1" xr2:uid="{31CD02D4-91DC-4A3F-AC52-23F22D133229}"/>
  </bookViews>
  <sheets>
    <sheet name="Index" sheetId="7" r:id="rId1"/>
    <sheet name="Loop" sheetId="1" r:id="rId2"/>
    <sheet name="Salary" sheetId="30" r:id="rId3"/>
    <sheet name="Wealth" sheetId="33" r:id="rId4"/>
    <sheet name="GBI Investment" sheetId="32" r:id="rId5"/>
    <sheet name="Aktiesparekonto" sheetId="31" r:id="rId6"/>
    <sheet name="GBI Allocations P1" sheetId="26" r:id="rId7"/>
    <sheet name="GBI Goals P1" sheetId="27" r:id="rId8"/>
    <sheet name="GBI Allocations P2" sheetId="28" r:id="rId9"/>
    <sheet name="notes next time talk" sheetId="18" state="hidden" r:id="rId10"/>
    <sheet name="GBI Goals P2" sheetId="29" r:id="rId11"/>
    <sheet name="Returns2" sheetId="23" r:id="rId12"/>
    <sheet name="Returns" sheetId="21" r:id="rId13"/>
    <sheet name="Volatilities2" sheetId="24" r:id="rId14"/>
    <sheet name="Volatilities" sheetId="20" r:id="rId15"/>
    <sheet name="Correlation" sheetId="22" r:id="rId16"/>
    <sheet name="Correlation2" sheetId="25" r:id="rId17"/>
    <sheet name="Goals" sheetId="10" r:id="rId18"/>
    <sheet name="Income" sheetId="2" r:id="rId19"/>
    <sheet name="Job Hopping" sheetId="8" r:id="rId20"/>
    <sheet name="Djøf Finance Workers" sheetId="5" r:id="rId21"/>
    <sheet name="Djøf Finance Hoppers" sheetId="6"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hidden="1">{#N/A,#N/A,FALSE,"One Pager";#N/A,#N/A,FALSE,"Technical"}</definedName>
    <definedName name="_wrn2" hidden="1">{#N/A,#N/A,TRUE,"Financials";#N/A,#N/A,TRUE,"Operating Statistics";#N/A,#N/A,TRUE,"Capex &amp; Depreciation";#N/A,#N/A,TRUE,"Debt"}</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hidden="1">{#N/A,#N/A,FALSE,"One Pager";#N/A,#N/A,FALSE,"Technical"}</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7" i="32" l="1"/>
  <c r="AY7" i="32"/>
  <c r="AX7" i="32"/>
  <c r="AW7" i="32"/>
  <c r="AV7" i="32"/>
  <c r="AU7" i="32"/>
  <c r="AT7" i="32"/>
  <c r="AS7" i="32"/>
  <c r="AR7" i="32"/>
  <c r="AQ7" i="32"/>
  <c r="AP7" i="32"/>
  <c r="AO7" i="32"/>
  <c r="AN7" i="32"/>
  <c r="AM7" i="32"/>
  <c r="AL7" i="32"/>
  <c r="AK7" i="32"/>
  <c r="AJ7" i="32"/>
  <c r="AI7" i="32"/>
  <c r="AH7" i="32"/>
  <c r="AG7" i="32"/>
  <c r="AF7" i="32"/>
  <c r="AE7" i="32"/>
  <c r="AD7" i="32"/>
  <c r="AC7" i="32"/>
  <c r="AB7" i="32"/>
  <c r="AA7" i="32"/>
  <c r="Z7" i="32"/>
  <c r="Y7" i="32"/>
  <c r="X7" i="32"/>
  <c r="W7" i="32"/>
  <c r="V7" i="32"/>
  <c r="U7" i="32"/>
  <c r="T7" i="32"/>
  <c r="S7" i="32"/>
  <c r="R7" i="32"/>
  <c r="Q7" i="32"/>
  <c r="P7" i="32"/>
  <c r="O7" i="32"/>
  <c r="N7" i="32"/>
  <c r="M7" i="32"/>
  <c r="L7" i="32"/>
  <c r="K7" i="32"/>
  <c r="J7" i="32"/>
  <c r="I7" i="32"/>
  <c r="H7" i="32"/>
  <c r="G7" i="32"/>
  <c r="F7" i="32"/>
  <c r="E7" i="32"/>
  <c r="D7" i="32"/>
  <c r="C7" i="32"/>
  <c r="AZ6" i="32"/>
  <c r="AY6" i="32"/>
  <c r="AX6" i="32"/>
  <c r="AW6" i="32"/>
  <c r="AV6" i="32"/>
  <c r="AU6" i="32"/>
  <c r="AT6" i="32"/>
  <c r="AS6" i="32"/>
  <c r="AR6" i="32"/>
  <c r="AQ6" i="32"/>
  <c r="AP6" i="32"/>
  <c r="AO6" i="32"/>
  <c r="AN6" i="32"/>
  <c r="AM6" i="32"/>
  <c r="AL6" i="32"/>
  <c r="AK6" i="32"/>
  <c r="AJ6" i="32"/>
  <c r="AI6" i="32"/>
  <c r="AH6" i="32"/>
  <c r="AG6" i="32"/>
  <c r="AF6" i="32"/>
  <c r="AE6" i="32"/>
  <c r="AD6" i="32"/>
  <c r="AC6" i="32"/>
  <c r="AB6" i="32"/>
  <c r="AA6" i="32"/>
  <c r="Z6" i="32"/>
  <c r="Y6" i="32"/>
  <c r="X6" i="32"/>
  <c r="W6" i="32"/>
  <c r="V6" i="32"/>
  <c r="U6" i="32"/>
  <c r="T6" i="32"/>
  <c r="S6" i="32"/>
  <c r="R6" i="32"/>
  <c r="Q6" i="32"/>
  <c r="P6" i="32"/>
  <c r="O6" i="32"/>
  <c r="N6" i="32"/>
  <c r="M6" i="32"/>
  <c r="L6" i="32"/>
  <c r="K6" i="32"/>
  <c r="J6" i="32"/>
  <c r="I6" i="32"/>
  <c r="H6" i="32"/>
  <c r="G6" i="32"/>
  <c r="F6" i="32"/>
  <c r="E6" i="32"/>
  <c r="D6" i="32"/>
  <c r="C6" i="32"/>
  <c r="AZ5" i="32"/>
  <c r="AY5" i="32"/>
  <c r="AX5" i="32"/>
  <c r="AW5" i="32"/>
  <c r="AV5" i="32"/>
  <c r="AU5" i="32"/>
  <c r="AT5" i="32"/>
  <c r="AS5" i="32"/>
  <c r="AR5" i="32"/>
  <c r="AQ5" i="32"/>
  <c r="AP5" i="32"/>
  <c r="AO5" i="32"/>
  <c r="AN5" i="32"/>
  <c r="AM5" i="32"/>
  <c r="AL5" i="32"/>
  <c r="AK5" i="32"/>
  <c r="AJ5" i="32"/>
  <c r="AI5" i="32"/>
  <c r="AH5" i="32"/>
  <c r="AG5" i="32"/>
  <c r="AF5" i="32"/>
  <c r="AE5" i="32"/>
  <c r="AD5" i="32"/>
  <c r="AC5" i="32"/>
  <c r="AB5" i="32"/>
  <c r="AA5" i="32"/>
  <c r="Z5" i="32"/>
  <c r="Y5" i="32"/>
  <c r="X5" i="32"/>
  <c r="W5" i="32"/>
  <c r="V5" i="32"/>
  <c r="U5" i="32"/>
  <c r="T5" i="32"/>
  <c r="S5" i="32"/>
  <c r="R5" i="32"/>
  <c r="Q5" i="32"/>
  <c r="P5" i="32"/>
  <c r="O5" i="32"/>
  <c r="N5" i="32"/>
  <c r="M5" i="32"/>
  <c r="L5" i="32"/>
  <c r="K5" i="32"/>
  <c r="J5" i="32"/>
  <c r="I5" i="32"/>
  <c r="H5" i="32"/>
  <c r="G5" i="32"/>
  <c r="F5" i="32"/>
  <c r="E5" i="32"/>
  <c r="D5" i="32"/>
  <c r="C5" i="32"/>
  <c r="AZ4" i="32"/>
  <c r="AY4" i="32"/>
  <c r="AX4" i="32"/>
  <c r="AW4" i="32"/>
  <c r="AV4" i="32"/>
  <c r="AU4" i="32"/>
  <c r="AT4" i="32"/>
  <c r="AS4" i="32"/>
  <c r="AR4" i="32"/>
  <c r="AQ4" i="32"/>
  <c r="AP4" i="32"/>
  <c r="AO4" i="32"/>
  <c r="AN4" i="32"/>
  <c r="AM4" i="32"/>
  <c r="AL4" i="32"/>
  <c r="AK4" i="32"/>
  <c r="AJ4" i="32"/>
  <c r="AI4" i="32"/>
  <c r="AH4" i="32"/>
  <c r="AG4" i="32"/>
  <c r="AF4" i="32"/>
  <c r="AE4" i="32"/>
  <c r="AD4" i="32"/>
  <c r="AC4" i="32"/>
  <c r="AB4" i="32"/>
  <c r="AA4" i="32"/>
  <c r="Z4" i="32"/>
  <c r="Y4" i="32"/>
  <c r="X4" i="32"/>
  <c r="W4" i="32"/>
  <c r="V4" i="32"/>
  <c r="U4" i="32"/>
  <c r="T4" i="32"/>
  <c r="S4" i="32"/>
  <c r="R4" i="32"/>
  <c r="Q4" i="32"/>
  <c r="P4" i="32"/>
  <c r="O4" i="32"/>
  <c r="N4" i="32"/>
  <c r="M4" i="32"/>
  <c r="L4" i="32"/>
  <c r="K4" i="32"/>
  <c r="J4" i="32"/>
  <c r="I4" i="32"/>
  <c r="H4" i="32"/>
  <c r="G4" i="32"/>
  <c r="F4" i="32"/>
  <c r="E4" i="32"/>
  <c r="D4" i="32"/>
  <c r="C4" i="32"/>
  <c r="AZ3" i="32"/>
  <c r="AY3" i="32"/>
  <c r="AX3" i="32"/>
  <c r="AW3" i="32"/>
  <c r="AV3" i="32"/>
  <c r="AU3" i="32"/>
  <c r="AT3" i="32"/>
  <c r="AS3" i="32"/>
  <c r="AR3" i="32"/>
  <c r="AQ3" i="32"/>
  <c r="AP3" i="32"/>
  <c r="AO3" i="32"/>
  <c r="AN3" i="32"/>
  <c r="AM3" i="32"/>
  <c r="AL3" i="32"/>
  <c r="AK3" i="32"/>
  <c r="AJ3" i="32"/>
  <c r="AI3" i="32"/>
  <c r="AH3" i="32"/>
  <c r="AG3" i="32"/>
  <c r="AF3" i="32"/>
  <c r="AE3" i="32"/>
  <c r="AD3" i="32"/>
  <c r="AC3" i="32"/>
  <c r="AB3" i="32"/>
  <c r="AA3" i="32"/>
  <c r="Z3" i="32"/>
  <c r="Y3" i="32"/>
  <c r="X3" i="32"/>
  <c r="W3" i="32"/>
  <c r="V3" i="32"/>
  <c r="U3" i="32"/>
  <c r="T3" i="32"/>
  <c r="S3" i="32"/>
  <c r="R3" i="32"/>
  <c r="Q3" i="32"/>
  <c r="P3" i="32"/>
  <c r="O3" i="32"/>
  <c r="N3" i="32"/>
  <c r="M3" i="32"/>
  <c r="L3" i="32"/>
  <c r="K3" i="32"/>
  <c r="J3" i="32"/>
  <c r="I3" i="32"/>
  <c r="H3" i="32"/>
  <c r="G3" i="32"/>
  <c r="F3" i="32"/>
  <c r="E3" i="32"/>
  <c r="D3" i="32"/>
  <c r="C3" i="32"/>
  <c r="AZ2" i="32"/>
  <c r="AY2" i="32"/>
  <c r="AX2" i="32"/>
  <c r="AW2" i="32"/>
  <c r="AV2" i="32"/>
  <c r="AU2" i="32"/>
  <c r="AT2" i="32"/>
  <c r="AS2" i="32"/>
  <c r="AR2" i="32"/>
  <c r="AQ2" i="32"/>
  <c r="AP2" i="32"/>
  <c r="AO2" i="32"/>
  <c r="AN2" i="32"/>
  <c r="AM2" i="32"/>
  <c r="AL2" i="32"/>
  <c r="AK2" i="32"/>
  <c r="AJ2" i="32"/>
  <c r="AI2" i="32"/>
  <c r="AH2" i="32"/>
  <c r="AG2" i="32"/>
  <c r="AF2" i="32"/>
  <c r="AE2" i="32"/>
  <c r="AD2" i="32"/>
  <c r="AC2" i="32"/>
  <c r="AB2" i="32"/>
  <c r="AA2" i="32"/>
  <c r="Z2" i="32"/>
  <c r="Y2" i="32"/>
  <c r="X2" i="32"/>
  <c r="W2" i="32"/>
  <c r="V2" i="32"/>
  <c r="U2" i="32"/>
  <c r="T2" i="32"/>
  <c r="S2" i="32"/>
  <c r="R2" i="32"/>
  <c r="Q2" i="32"/>
  <c r="P2" i="32"/>
  <c r="O2" i="32"/>
  <c r="N2" i="32"/>
  <c r="M2" i="32"/>
  <c r="L2" i="32"/>
  <c r="K2" i="32"/>
  <c r="J2" i="32"/>
  <c r="I2" i="32"/>
  <c r="H2" i="32"/>
  <c r="G2" i="32"/>
  <c r="F2" i="32"/>
  <c r="E2" i="32"/>
  <c r="D2" i="32"/>
  <c r="C2" i="32"/>
  <c r="B7" i="32"/>
  <c r="B6" i="32"/>
  <c r="B5" i="32"/>
  <c r="B4" i="32"/>
  <c r="B3" i="32"/>
  <c r="B2" i="32"/>
  <c r="AZ3" i="33"/>
  <c r="AY3" i="33"/>
  <c r="AX3" i="33"/>
  <c r="AW3" i="33"/>
  <c r="AV3" i="33"/>
  <c r="AU3" i="33"/>
  <c r="AT3" i="33"/>
  <c r="AS3" i="33"/>
  <c r="AR3" i="33"/>
  <c r="AQ3" i="33"/>
  <c r="AP3" i="33"/>
  <c r="AO3" i="33"/>
  <c r="AN3" i="33"/>
  <c r="AM3" i="33"/>
  <c r="AL3" i="33"/>
  <c r="AK3" i="33"/>
  <c r="AJ3" i="33"/>
  <c r="AI3" i="33"/>
  <c r="AH3" i="33"/>
  <c r="AG3" i="33"/>
  <c r="AF3" i="33"/>
  <c r="AE3" i="33"/>
  <c r="AD3" i="33"/>
  <c r="AC3" i="33"/>
  <c r="AB3" i="33"/>
  <c r="AA3" i="33"/>
  <c r="Z3" i="33"/>
  <c r="Y3" i="33"/>
  <c r="X3" i="33"/>
  <c r="W3" i="33"/>
  <c r="V3" i="33"/>
  <c r="U3" i="33"/>
  <c r="T3" i="33"/>
  <c r="S3" i="33"/>
  <c r="R3" i="33"/>
  <c r="Q3" i="33"/>
  <c r="P3" i="33"/>
  <c r="O3" i="33"/>
  <c r="N3" i="33"/>
  <c r="M3" i="33"/>
  <c r="L3" i="33"/>
  <c r="K3" i="33"/>
  <c r="J3" i="33"/>
  <c r="I3" i="33"/>
  <c r="H3" i="33"/>
  <c r="G3" i="33"/>
  <c r="F3" i="33"/>
  <c r="E3" i="33"/>
  <c r="D3" i="33"/>
  <c r="C3" i="33"/>
  <c r="AZ2" i="33"/>
  <c r="AY2" i="33"/>
  <c r="AX2" i="33"/>
  <c r="AW2" i="33"/>
  <c r="AV2" i="33"/>
  <c r="AU2" i="33"/>
  <c r="AT2" i="33"/>
  <c r="AS2" i="33"/>
  <c r="AR2" i="33"/>
  <c r="AQ2" i="33"/>
  <c r="AP2" i="33"/>
  <c r="AO2" i="33"/>
  <c r="AN2" i="33"/>
  <c r="AM2" i="33"/>
  <c r="AL2" i="33"/>
  <c r="AK2" i="33"/>
  <c r="AJ2" i="33"/>
  <c r="AI2" i="33"/>
  <c r="AH2" i="33"/>
  <c r="AG2" i="33"/>
  <c r="AF2" i="33"/>
  <c r="AE2" i="33"/>
  <c r="AD2" i="33"/>
  <c r="AC2" i="33"/>
  <c r="AB2" i="33"/>
  <c r="AA2" i="33"/>
  <c r="Z2" i="33"/>
  <c r="Y2" i="33"/>
  <c r="X2" i="33"/>
  <c r="W2" i="33"/>
  <c r="V2" i="33"/>
  <c r="U2" i="33"/>
  <c r="T2" i="33"/>
  <c r="S2" i="33"/>
  <c r="R2" i="33"/>
  <c r="Q2" i="33"/>
  <c r="P2" i="33"/>
  <c r="O2" i="33"/>
  <c r="N2" i="33"/>
  <c r="M2" i="33"/>
  <c r="L2" i="33"/>
  <c r="K2" i="33"/>
  <c r="J2" i="33"/>
  <c r="I2" i="33"/>
  <c r="H2" i="33"/>
  <c r="G2" i="33"/>
  <c r="F2" i="33"/>
  <c r="E2" i="33"/>
  <c r="D2" i="33"/>
  <c r="C2" i="33"/>
  <c r="B3" i="33"/>
  <c r="B2" i="33"/>
  <c r="C3" i="2"/>
  <c r="D3" i="2"/>
  <c r="E3" i="2"/>
  <c r="F3" i="2"/>
  <c r="O3" i="2"/>
  <c r="P3" i="2"/>
  <c r="C2" i="30" a="1"/>
  <c r="C2" i="30" s="1"/>
  <c r="C3" i="30" a="1"/>
  <c r="C3" i="30" s="1"/>
  <c r="B1" i="25" a="1"/>
  <c r="B1" i="25" s="1"/>
  <c r="J54" i="18"/>
  <c r="K54" i="18"/>
  <c r="L54" i="18"/>
  <c r="M54" i="18"/>
  <c r="N54" i="18"/>
  <c r="O54" i="18"/>
  <c r="P54" i="18"/>
  <c r="Q54" i="18"/>
  <c r="R54" i="18"/>
  <c r="S54" i="18"/>
  <c r="I46" i="18"/>
  <c r="H46" i="18"/>
  <c r="E3" i="8"/>
  <c r="I4" i="2"/>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E4" i="1"/>
  <c r="E5" i="1" s="1"/>
  <c r="E6" i="1" s="1"/>
  <c r="E7" i="1" s="1"/>
  <c r="E8" i="1" s="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E53" i="1" s="1"/>
  <c r="D4" i="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O96" i="8" l="1"/>
  <c r="P60" i="8"/>
  <c r="P100" i="8"/>
  <c r="O85" i="8"/>
  <c r="P101" i="8"/>
  <c r="P18" i="8"/>
  <c r="P84" i="8"/>
  <c r="O19" i="8"/>
  <c r="O37" i="8"/>
  <c r="O55" i="8"/>
  <c r="O73" i="8"/>
  <c r="O91" i="8"/>
  <c r="P48" i="2"/>
  <c r="P7" i="8"/>
  <c r="P13" i="8"/>
  <c r="P19" i="8"/>
  <c r="Q19" i="8" s="1"/>
  <c r="P25" i="8"/>
  <c r="P31" i="8"/>
  <c r="P37" i="8"/>
  <c r="P43" i="8"/>
  <c r="P49" i="8"/>
  <c r="P55" i="8"/>
  <c r="P61" i="8"/>
  <c r="P67" i="8"/>
  <c r="Q67" i="8" s="1"/>
  <c r="P73" i="8"/>
  <c r="P79" i="8"/>
  <c r="P85" i="8"/>
  <c r="P91" i="8"/>
  <c r="P97" i="8"/>
  <c r="P42" i="8"/>
  <c r="O13" i="8"/>
  <c r="Q13" i="8" s="1"/>
  <c r="O31" i="8"/>
  <c r="O49" i="8"/>
  <c r="O67" i="8"/>
  <c r="O79" i="8"/>
  <c r="Q79" i="8" s="1"/>
  <c r="O97" i="8"/>
  <c r="O8" i="8"/>
  <c r="O14" i="8"/>
  <c r="O20" i="8"/>
  <c r="O26" i="8"/>
  <c r="O32" i="8"/>
  <c r="Q32" i="8" s="1"/>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Q39" i="8" s="1"/>
  <c r="O45" i="8"/>
  <c r="O51" i="8"/>
  <c r="O57" i="8"/>
  <c r="O63" i="8"/>
  <c r="O69" i="8"/>
  <c r="Q69" i="8" s="1"/>
  <c r="O75" i="8"/>
  <c r="O81" i="8"/>
  <c r="O87" i="8"/>
  <c r="O93" i="8"/>
  <c r="O99" i="8"/>
  <c r="P16" i="2"/>
  <c r="P40" i="2"/>
  <c r="N40" i="2"/>
  <c r="D40" i="2" s="1"/>
  <c r="F40" i="2" s="1"/>
  <c r="P48" i="8"/>
  <c r="P26" i="8"/>
  <c r="P44" i="8"/>
  <c r="P62" i="8"/>
  <c r="Q62" i="8" s="1"/>
  <c r="P74" i="8"/>
  <c r="Q74" i="8" s="1"/>
  <c r="P86" i="8"/>
  <c r="Q86" i="8" s="1"/>
  <c r="P98" i="8"/>
  <c r="P3" i="8"/>
  <c r="Q3" i="8" s="1"/>
  <c r="P9" i="8"/>
  <c r="P15" i="8"/>
  <c r="P21" i="8"/>
  <c r="P27" i="8"/>
  <c r="P33" i="8"/>
  <c r="Q33" i="8" s="1"/>
  <c r="P39" i="8"/>
  <c r="P45" i="8"/>
  <c r="P51" i="8"/>
  <c r="P57" i="8"/>
  <c r="Q57" i="8" s="1"/>
  <c r="P63" i="8"/>
  <c r="Q63" i="8" s="1"/>
  <c r="P69" i="8"/>
  <c r="P75" i="8"/>
  <c r="P81" i="8"/>
  <c r="P87" i="8"/>
  <c r="Q87" i="8" s="1"/>
  <c r="P93" i="8"/>
  <c r="P99" i="8"/>
  <c r="P54" i="8"/>
  <c r="O10" i="8"/>
  <c r="O34" i="8"/>
  <c r="O52" i="8"/>
  <c r="Q52" i="8" s="1"/>
  <c r="O70" i="8"/>
  <c r="Q70" i="8" s="1"/>
  <c r="O94" i="8"/>
  <c r="P36" i="8"/>
  <c r="O4" i="8"/>
  <c r="O22" i="8"/>
  <c r="O40" i="8"/>
  <c r="O46" i="8"/>
  <c r="Q46" i="8" s="1"/>
  <c r="O64" i="8"/>
  <c r="O76" i="8"/>
  <c r="O82" i="8"/>
  <c r="O88" i="8"/>
  <c r="O100" i="8"/>
  <c r="Q100" i="8" s="1"/>
  <c r="P4" i="8"/>
  <c r="Q4" i="8" s="1"/>
  <c r="P10" i="8"/>
  <c r="Q10" i="8" s="1"/>
  <c r="P16" i="8"/>
  <c r="P22" i="8"/>
  <c r="P28" i="8"/>
  <c r="P34" i="8"/>
  <c r="Q34" i="8" s="1"/>
  <c r="P40" i="8"/>
  <c r="P46" i="8"/>
  <c r="P52" i="8"/>
  <c r="P58" i="8"/>
  <c r="P64" i="8"/>
  <c r="P70" i="8"/>
  <c r="P76" i="8"/>
  <c r="P82" i="8"/>
  <c r="Q82" i="8" s="1"/>
  <c r="P88" i="8"/>
  <c r="P94" i="8"/>
  <c r="P30" i="8"/>
  <c r="P90" i="8"/>
  <c r="O16" i="8"/>
  <c r="Q16" i="8" s="1"/>
  <c r="O28" i="8"/>
  <c r="O58" i="8"/>
  <c r="Q58" i="8" s="1"/>
  <c r="O5" i="8"/>
  <c r="O11" i="8"/>
  <c r="O17" i="8"/>
  <c r="O23" i="8"/>
  <c r="Q23" i="8" s="1"/>
  <c r="O29" i="8"/>
  <c r="O35" i="8"/>
  <c r="O41" i="8"/>
  <c r="O47" i="8"/>
  <c r="O53" i="8"/>
  <c r="O59" i="8"/>
  <c r="O65" i="8"/>
  <c r="O71" i="8"/>
  <c r="Q71" i="8" s="1"/>
  <c r="O77" i="8"/>
  <c r="O83" i="8"/>
  <c r="O89" i="8"/>
  <c r="Q89" i="8" s="1"/>
  <c r="O95" i="8"/>
  <c r="Q95" i="8" s="1"/>
  <c r="O101" i="8"/>
  <c r="P8" i="2"/>
  <c r="P32" i="2"/>
  <c r="P66" i="8"/>
  <c r="P20" i="8"/>
  <c r="Q20" i="8" s="1"/>
  <c r="P5" i="8"/>
  <c r="Q5" i="8" s="1"/>
  <c r="P11" i="8"/>
  <c r="Q11" i="8" s="1"/>
  <c r="P17" i="8"/>
  <c r="P23" i="8"/>
  <c r="P29" i="8"/>
  <c r="Q29" i="8" s="1"/>
  <c r="P35" i="8"/>
  <c r="Q35" i="8" s="1"/>
  <c r="P41" i="8"/>
  <c r="Q41" i="8" s="1"/>
  <c r="P47" i="8"/>
  <c r="Q47" i="8" s="1"/>
  <c r="P53" i="8"/>
  <c r="P59" i="8"/>
  <c r="P65" i="8"/>
  <c r="Q65" i="8" s="1"/>
  <c r="P71" i="8"/>
  <c r="P77" i="8"/>
  <c r="Q77" i="8" s="1"/>
  <c r="P83" i="8"/>
  <c r="Q83" i="8" s="1"/>
  <c r="P89" i="8"/>
  <c r="P95" i="8"/>
  <c r="P24" i="8"/>
  <c r="P96" i="8"/>
  <c r="Q96" i="8" s="1"/>
  <c r="O6" i="8"/>
  <c r="Q6" i="8" s="1"/>
  <c r="O12" i="8"/>
  <c r="Q12" i="8" s="1"/>
  <c r="O18" i="8"/>
  <c r="O24" i="8"/>
  <c r="O30" i="8"/>
  <c r="Q30" i="8" s="1"/>
  <c r="O36" i="8"/>
  <c r="Q36" i="8" s="1"/>
  <c r="O42" i="8"/>
  <c r="Q42" i="8" s="1"/>
  <c r="O48" i="8"/>
  <c r="O54" i="8"/>
  <c r="Q54" i="8" s="1"/>
  <c r="O60" i="8"/>
  <c r="O66" i="8"/>
  <c r="Q66" i="8" s="1"/>
  <c r="O72" i="8"/>
  <c r="Q72" i="8" s="1"/>
  <c r="O78" i="8"/>
  <c r="Q78" i="8" s="1"/>
  <c r="O84" i="8"/>
  <c r="Q84" i="8" s="1"/>
  <c r="O90" i="8"/>
  <c r="O7" i="8"/>
  <c r="O25" i="8"/>
  <c r="O43" i="8"/>
  <c r="Q43" i="8" s="1"/>
  <c r="O61" i="8"/>
  <c r="P24" i="2"/>
  <c r="N48" i="2"/>
  <c r="D48" i="2" s="1"/>
  <c r="F48" i="2" s="1"/>
  <c r="O19" i="2"/>
  <c r="N41" i="2"/>
  <c r="D41" i="2" s="1"/>
  <c r="F41" i="2" s="1"/>
  <c r="O11" i="2"/>
  <c r="O4" i="2"/>
  <c r="M4" i="2" s="1"/>
  <c r="C4" i="2" s="1"/>
  <c r="E4" i="2" s="1"/>
  <c r="O20" i="2"/>
  <c r="O28" i="2"/>
  <c r="P25" i="2"/>
  <c r="O12" i="2"/>
  <c r="O27" i="2"/>
  <c r="O47" i="2"/>
  <c r="O39" i="2"/>
  <c r="O31" i="2"/>
  <c r="O23" i="2"/>
  <c r="O15" i="2"/>
  <c r="O7" i="2"/>
  <c r="P36" i="2"/>
  <c r="P7" i="2"/>
  <c r="P13" i="2"/>
  <c r="P21" i="2"/>
  <c r="P29" i="2"/>
  <c r="P37" i="2"/>
  <c r="P45" i="2"/>
  <c r="N37" i="2"/>
  <c r="D37" i="2" s="1"/>
  <c r="F37" i="2" s="1"/>
  <c r="N45" i="2"/>
  <c r="D45" i="2" s="1"/>
  <c r="F45" i="2" s="1"/>
  <c r="O46" i="2"/>
  <c r="O38" i="2"/>
  <c r="O30" i="2"/>
  <c r="O22" i="2"/>
  <c r="O14" i="2"/>
  <c r="O6" i="2"/>
  <c r="P33" i="2"/>
  <c r="P5" i="2"/>
  <c r="P6" i="2"/>
  <c r="P14" i="2"/>
  <c r="P22" i="2"/>
  <c r="P30" i="2"/>
  <c r="P38" i="2"/>
  <c r="P46" i="2"/>
  <c r="N38" i="2"/>
  <c r="D38" i="2" s="1"/>
  <c r="F38" i="2" s="1"/>
  <c r="N46" i="2"/>
  <c r="D46" i="2" s="1"/>
  <c r="F46" i="2" s="1"/>
  <c r="O45" i="2"/>
  <c r="O37" i="2"/>
  <c r="O29" i="2"/>
  <c r="O21" i="2"/>
  <c r="O13" i="2"/>
  <c r="O5" i="2"/>
  <c r="P31" i="2"/>
  <c r="N39" i="2"/>
  <c r="D39" i="2" s="1"/>
  <c r="F39" i="2" s="1"/>
  <c r="N47" i="2"/>
  <c r="D47" i="2" s="1"/>
  <c r="F47" i="2" s="1"/>
  <c r="O36" i="2"/>
  <c r="P23" i="2"/>
  <c r="N33" i="2"/>
  <c r="D33" i="2" s="1"/>
  <c r="F33" i="2" s="1"/>
  <c r="O42" i="2"/>
  <c r="O34" i="2"/>
  <c r="O26" i="2"/>
  <c r="O18" i="2"/>
  <c r="O10" i="2"/>
  <c r="P47" i="2"/>
  <c r="P17" i="2"/>
  <c r="P10" i="2"/>
  <c r="P18" i="2"/>
  <c r="P26" i="2"/>
  <c r="P34" i="2"/>
  <c r="P42" i="2"/>
  <c r="N34" i="2"/>
  <c r="D34" i="2" s="1"/>
  <c r="F34" i="2" s="1"/>
  <c r="N42" i="2"/>
  <c r="D42" i="2" s="1"/>
  <c r="F42" i="2" s="1"/>
  <c r="O44" i="2"/>
  <c r="M48" i="2"/>
  <c r="O35" i="2"/>
  <c r="O41" i="2"/>
  <c r="O33" i="2"/>
  <c r="O25" i="2"/>
  <c r="O17" i="2"/>
  <c r="O9" i="2"/>
  <c r="P41" i="2"/>
  <c r="P15" i="2"/>
  <c r="P11" i="2"/>
  <c r="P19" i="2"/>
  <c r="P27" i="2"/>
  <c r="P35" i="2"/>
  <c r="P43" i="2"/>
  <c r="N35" i="2"/>
  <c r="D35" i="2" s="1"/>
  <c r="F35" i="2" s="1"/>
  <c r="N43" i="2"/>
  <c r="D43" i="2" s="1"/>
  <c r="F43" i="2" s="1"/>
  <c r="O43" i="2"/>
  <c r="O48" i="2"/>
  <c r="O40" i="2"/>
  <c r="O32" i="2"/>
  <c r="O24" i="2"/>
  <c r="O16" i="2"/>
  <c r="O8" i="2"/>
  <c r="P39" i="2"/>
  <c r="P9" i="2"/>
  <c r="P4" i="2"/>
  <c r="N4" i="2" s="1"/>
  <c r="D4" i="2" s="1"/>
  <c r="F4" i="2" s="1"/>
  <c r="P12" i="2"/>
  <c r="P20" i="2"/>
  <c r="P28" i="2"/>
  <c r="P44" i="2"/>
  <c r="N36" i="2"/>
  <c r="D36" i="2" s="1"/>
  <c r="F36" i="2" s="1"/>
  <c r="N44" i="2"/>
  <c r="D44" i="2" s="1"/>
  <c r="F44" i="2" s="1"/>
  <c r="Q73" i="8"/>
  <c r="Q81" i="8"/>
  <c r="Q75" i="8"/>
  <c r="Q7" i="8"/>
  <c r="Q15" i="8"/>
  <c r="Q27" i="8"/>
  <c r="Q31" i="8"/>
  <c r="Q8" i="8"/>
  <c r="Q60" i="8"/>
  <c r="Q80" i="8"/>
  <c r="Q88" i="8"/>
  <c r="Q37" i="8"/>
  <c r="Q45" i="8"/>
  <c r="Q18" i="8"/>
  <c r="Q26" i="8"/>
  <c r="Q50" i="8"/>
  <c r="Q53" i="8" l="1"/>
  <c r="Q90" i="8"/>
  <c r="Q93" i="8"/>
  <c r="Q99" i="8"/>
  <c r="Q55" i="8"/>
  <c r="Q14" i="8"/>
  <c r="Q64" i="8"/>
  <c r="Q94" i="8"/>
  <c r="Q44" i="8"/>
  <c r="Q98" i="8"/>
  <c r="Q48" i="8"/>
  <c r="Q40" i="8"/>
  <c r="Q68" i="8"/>
  <c r="Q61" i="8"/>
  <c r="Q28" i="8"/>
  <c r="Q22" i="8"/>
  <c r="Q9" i="8"/>
  <c r="Q59" i="8"/>
  <c r="Q21" i="8"/>
  <c r="Q97" i="8"/>
  <c r="Q91" i="8"/>
  <c r="Q85" i="8"/>
  <c r="Q17" i="8"/>
  <c r="Q76" i="8"/>
  <c r="Q51" i="8"/>
  <c r="Q24" i="8"/>
  <c r="Q101" i="8"/>
  <c r="T3" i="8"/>
  <c r="D3" i="8" s="1"/>
  <c r="Q49" i="8"/>
  <c r="Q25" i="8"/>
  <c r="M5" i="2"/>
  <c r="M6" i="2" s="1"/>
  <c r="M7" i="2" s="1"/>
  <c r="M8" i="2" s="1"/>
  <c r="N5" i="2"/>
  <c r="T9" i="8"/>
  <c r="D37" i="8" s="1"/>
  <c r="T10" i="8"/>
  <c r="T5" i="8"/>
  <c r="T4" i="8"/>
  <c r="T11" i="8"/>
  <c r="T7" i="8"/>
  <c r="T6" i="8"/>
  <c r="T8" i="8"/>
  <c r="C6" i="2" l="1"/>
  <c r="E6" i="2" s="1"/>
  <c r="C5" i="2"/>
  <c r="E5" i="2" s="1"/>
  <c r="N6" i="2"/>
  <c r="D5" i="2"/>
  <c r="F5" i="2" s="1"/>
  <c r="M9" i="2"/>
  <c r="M10" i="2" s="1"/>
  <c r="M11"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C7" i="2"/>
  <c r="E7" i="2" s="1"/>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33" i="8"/>
  <c r="D34" i="8"/>
  <c r="D35" i="8"/>
  <c r="D36" i="8"/>
  <c r="D48" i="8"/>
  <c r="D47" i="8"/>
  <c r="D46" i="8"/>
  <c r="D45" i="8"/>
  <c r="D44" i="8"/>
  <c r="D43" i="8"/>
  <c r="D8" i="8"/>
  <c r="D12" i="8"/>
  <c r="D11" i="8"/>
  <c r="D10" i="8"/>
  <c r="D9" i="8"/>
  <c r="D32" i="8"/>
  <c r="D31" i="8"/>
  <c r="D30" i="8"/>
  <c r="D29" i="8"/>
  <c r="D28" i="8"/>
  <c r="D40" i="8"/>
  <c r="D39" i="8"/>
  <c r="D38" i="8"/>
  <c r="D42" i="8"/>
  <c r="D41" i="8"/>
  <c r="D7" i="8"/>
  <c r="D6" i="8"/>
  <c r="D5" i="8"/>
  <c r="D4" i="8"/>
  <c r="E4" i="8" s="1"/>
  <c r="D22" i="8"/>
  <c r="D21" i="8"/>
  <c r="D20" i="8"/>
  <c r="D19" i="8"/>
  <c r="D18" i="8"/>
  <c r="D16" i="8"/>
  <c r="D15" i="8"/>
  <c r="D14" i="8"/>
  <c r="D13" i="8"/>
  <c r="D17" i="8"/>
  <c r="D24" i="8"/>
  <c r="D23" i="8"/>
  <c r="D27" i="8"/>
  <c r="D26" i="8"/>
  <c r="D25" i="8"/>
  <c r="N7" i="2" l="1"/>
  <c r="D6" i="2"/>
  <c r="F6" i="2" s="1"/>
  <c r="C8" i="2"/>
  <c r="E8" i="2" s="1"/>
  <c r="E5" i="8"/>
  <c r="N8" i="2" l="1"/>
  <c r="D7" i="2"/>
  <c r="F7" i="2" s="1"/>
  <c r="C9" i="2"/>
  <c r="E9" i="2" s="1"/>
  <c r="E6" i="8"/>
  <c r="E7" i="8" s="1"/>
  <c r="N9" i="2" l="1"/>
  <c r="D8" i="2"/>
  <c r="F8" i="2" s="1"/>
  <c r="C10" i="2"/>
  <c r="E10" i="2" s="1"/>
  <c r="E8" i="8"/>
  <c r="E9" i="8" s="1"/>
  <c r="N10" i="2" l="1"/>
  <c r="D9" i="2"/>
  <c r="F9" i="2" s="1"/>
  <c r="C11" i="2"/>
  <c r="E11" i="2" s="1"/>
  <c r="E10" i="8"/>
  <c r="E11" i="8" s="1"/>
  <c r="N11" i="2" l="1"/>
  <c r="D10" i="2"/>
  <c r="F10" i="2" s="1"/>
  <c r="C12" i="2"/>
  <c r="E12" i="2" s="1"/>
  <c r="E12" i="8"/>
  <c r="N12" i="2" l="1"/>
  <c r="D11" i="2"/>
  <c r="F11" i="2" s="1"/>
  <c r="C13" i="2"/>
  <c r="E13" i="2" s="1"/>
  <c r="E13" i="8"/>
  <c r="N13" i="2" l="1"/>
  <c r="D12" i="2"/>
  <c r="F12" i="2" s="1"/>
  <c r="C14" i="2"/>
  <c r="E14" i="2" s="1"/>
  <c r="E14" i="8"/>
  <c r="N14" i="2" l="1"/>
  <c r="D13" i="2"/>
  <c r="F13" i="2" s="1"/>
  <c r="C15" i="2"/>
  <c r="E15" i="2" s="1"/>
  <c r="E15" i="8"/>
  <c r="E16" i="8" s="1"/>
  <c r="N15" i="2" l="1"/>
  <c r="D14" i="2"/>
  <c r="F14" i="2" s="1"/>
  <c r="C16" i="2"/>
  <c r="E16" i="2" s="1"/>
  <c r="E17" i="8"/>
  <c r="E18" i="8" s="1"/>
  <c r="N16" i="2" l="1"/>
  <c r="D15" i="2"/>
  <c r="F15" i="2" s="1"/>
  <c r="C17" i="2"/>
  <c r="E17" i="2" s="1"/>
  <c r="E19" i="8"/>
  <c r="N17" i="2" l="1"/>
  <c r="D16" i="2"/>
  <c r="F16" i="2" s="1"/>
  <c r="C18" i="2"/>
  <c r="E18" i="2" s="1"/>
  <c r="E20" i="8"/>
  <c r="N18" i="2" l="1"/>
  <c r="D17" i="2"/>
  <c r="F17" i="2" s="1"/>
  <c r="C19" i="2"/>
  <c r="E19" i="2" s="1"/>
  <c r="E21" i="8"/>
  <c r="N19" i="2" l="1"/>
  <c r="D18" i="2"/>
  <c r="F18" i="2" s="1"/>
  <c r="C20" i="2"/>
  <c r="E20" i="2" s="1"/>
  <c r="E22" i="8"/>
  <c r="E23" i="8" s="1"/>
  <c r="N20" i="2" l="1"/>
  <c r="D19" i="2"/>
  <c r="F19" i="2" s="1"/>
  <c r="C21" i="2"/>
  <c r="E21" i="2" s="1"/>
  <c r="E24" i="8"/>
  <c r="E25" i="8" s="1"/>
  <c r="N21" i="2" l="1"/>
  <c r="D20" i="2"/>
  <c r="F20" i="2" s="1"/>
  <c r="C22" i="2"/>
  <c r="E22" i="2" s="1"/>
  <c r="E26" i="8"/>
  <c r="N22" i="2" l="1"/>
  <c r="D21" i="2"/>
  <c r="F21" i="2" s="1"/>
  <c r="C23" i="2"/>
  <c r="E23" i="2" s="1"/>
  <c r="E27" i="8"/>
  <c r="E28" i="8" s="1"/>
  <c r="N23" i="2" l="1"/>
  <c r="D22" i="2"/>
  <c r="F22" i="2" s="1"/>
  <c r="C24" i="2"/>
  <c r="E24" i="2" s="1"/>
  <c r="E29" i="8"/>
  <c r="E30" i="8" s="1"/>
  <c r="N24" i="2" l="1"/>
  <c r="D23" i="2"/>
  <c r="F23" i="2" s="1"/>
  <c r="C25" i="2"/>
  <c r="E25" i="2" s="1"/>
  <c r="E31" i="8"/>
  <c r="E32" i="8" s="1"/>
  <c r="E33" i="8" s="1"/>
  <c r="N25" i="2" l="1"/>
  <c r="D24" i="2"/>
  <c r="F24" i="2" s="1"/>
  <c r="C26" i="2"/>
  <c r="E26" i="2" s="1"/>
  <c r="E34" i="8"/>
  <c r="E35" i="8" s="1"/>
  <c r="N26" i="2" l="1"/>
  <c r="D25" i="2"/>
  <c r="F25" i="2" s="1"/>
  <c r="C27" i="2"/>
  <c r="E27" i="2" s="1"/>
  <c r="E36" i="8"/>
  <c r="N27" i="2" l="1"/>
  <c r="D26" i="2"/>
  <c r="F26" i="2" s="1"/>
  <c r="C28" i="2"/>
  <c r="E28" i="2" s="1"/>
  <c r="E37" i="8"/>
  <c r="N28" i="2" l="1"/>
  <c r="D27" i="2"/>
  <c r="F27" i="2" s="1"/>
  <c r="C29" i="2"/>
  <c r="E29" i="2" s="1"/>
  <c r="E38" i="8"/>
  <c r="N29" i="2" l="1"/>
  <c r="D28" i="2"/>
  <c r="F28" i="2" s="1"/>
  <c r="C30" i="2"/>
  <c r="E30" i="2" s="1"/>
  <c r="E39" i="8"/>
  <c r="N30" i="2" l="1"/>
  <c r="D29" i="2"/>
  <c r="F29" i="2" s="1"/>
  <c r="C31" i="2"/>
  <c r="E31" i="2" s="1"/>
  <c r="E40" i="8"/>
  <c r="N31" i="2" l="1"/>
  <c r="D30" i="2"/>
  <c r="F30" i="2" s="1"/>
  <c r="C32" i="2"/>
  <c r="E32" i="2" s="1"/>
  <c r="E41" i="8"/>
  <c r="N32" i="2" l="1"/>
  <c r="D32" i="2" s="1"/>
  <c r="F32" i="2" s="1"/>
  <c r="D31" i="2"/>
  <c r="F31" i="2" s="1"/>
  <c r="C33" i="2"/>
  <c r="E33" i="2" s="1"/>
  <c r="E42" i="8"/>
  <c r="C34" i="2" l="1"/>
  <c r="E34" i="2" s="1"/>
  <c r="E43" i="8"/>
  <c r="C35" i="2" l="1"/>
  <c r="E35" i="2" s="1"/>
  <c r="E44" i="8"/>
  <c r="C36" i="2" l="1"/>
  <c r="E36" i="2" s="1"/>
  <c r="E45" i="8"/>
  <c r="C37" i="2" l="1"/>
  <c r="E37" i="2" s="1"/>
  <c r="E46" i="8"/>
  <c r="E47" i="8" s="1"/>
  <c r="C38" i="2" l="1"/>
  <c r="E38" i="2" s="1"/>
  <c r="C39" i="2" l="1"/>
  <c r="E39" i="2" s="1"/>
  <c r="C40" i="2" l="1"/>
  <c r="E40" i="2" s="1"/>
  <c r="C41" i="2" l="1"/>
  <c r="E41" i="2" s="1"/>
  <c r="C42" i="2" l="1"/>
  <c r="E42" i="2" s="1"/>
  <c r="C43" i="2" l="1"/>
  <c r="E43" i="2" s="1"/>
  <c r="C44" i="2" l="1"/>
  <c r="E44" i="2" s="1"/>
  <c r="C45" i="2" l="1"/>
  <c r="E45" i="2" s="1"/>
  <c r="C46" i="2" l="1"/>
  <c r="E46" i="2" s="1"/>
  <c r="C47" i="2" l="1"/>
  <c r="E47" i="2" s="1"/>
  <c r="C48" i="2" l="1"/>
  <c r="E48"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<sst xmlns="http://schemas.openxmlformats.org/spreadsheetml/2006/main" count="1491" uniqueCount="174">
  <si>
    <t>N</t>
  </si>
  <si>
    <t>Year</t>
  </si>
  <si>
    <t>AgeP1</t>
  </si>
  <si>
    <t>AgeP2</t>
  </si>
  <si>
    <t>LoopStatus</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</si>
  <si>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</si>
  <si>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</si>
  <si>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</si>
  <si>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</si>
  <si>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</si>
  <si>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</si>
  <si>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</si>
  <si>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</si>
  <si>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</si>
  <si>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</si>
  <si>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</si>
  <si>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</si>
  <si>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</si>
  <si>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</si>
  <si>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</si>
  <si>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</si>
  <si>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</si>
  <si>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</si>
  <si>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</si>
  <si>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</si>
  <si>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</si>
  <si>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</si>
  <si>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</si>
  <si>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</si>
  <si>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</si>
  <si>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</si>
  <si>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</si>
  <si>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</si>
  <si>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</si>
  <si>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</si>
  <si>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</si>
  <si>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</si>
  <si>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</si>
  <si>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</si>
  <si>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</si>
  <si>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</si>
  <si>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</si>
  <si>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</si>
  <si>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</si>
  <si>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</si>
  <si>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</si>
  <si>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</si>
  <si>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Sheet Colors</t>
  </si>
  <si>
    <t>&lt;-- If we download a report from a source, ex: Djøf, we will store it here and will not directly edit it</t>
  </si>
  <si>
    <t>Table Colors</t>
  </si>
  <si>
    <t>Uploaded to Python</t>
  </si>
  <si>
    <t>Raw Report</t>
  </si>
  <si>
    <t>Calculation</t>
  </si>
  <si>
    <t>Not Uploaded to Python</t>
  </si>
  <si>
    <t>Age</t>
  </si>
  <si>
    <t>Age Group</t>
  </si>
  <si>
    <t>Finance Workers</t>
  </si>
  <si>
    <t>Finance Hoppers</t>
  </si>
  <si>
    <t>FH/FW</t>
  </si>
  <si>
    <t>FH/FV</t>
  </si>
  <si>
    <t>Raw Report with Key</t>
  </si>
  <si>
    <t>&lt;-- Raw Report but a column has been added for lookups</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</si>
  <si>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</si>
  <si>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</si>
  <si>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</si>
  <si>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</si>
  <si>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</si>
  <si>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</si>
  <si>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</si>
  <si>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</si>
  <si>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</si>
  <si>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</si>
  <si>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</si>
  <si>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</si>
  <si>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</si>
  <si>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</si>
  <si>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</si>
  <si>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</si>
  <si>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</si>
  <si>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</si>
  <si>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</si>
  <si>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</si>
  <si>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</si>
  <si>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</si>
  <si>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</si>
  <si>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</si>
  <si>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</si>
  <si>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</si>
  <si>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</si>
  <si>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</si>
  <si>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</si>
  <si>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</si>
  <si>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</si>
  <si>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</si>
  <si>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</si>
  <si>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</si>
  <si>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</si>
  <si>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</si>
  <si>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</si>
  <si>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</si>
  <si>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</si>
  <si>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</si>
  <si>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</si>
  <si>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</si>
  <si>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</si>
  <si>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</si>
  <si>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</si>
  <si>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</si>
  <si>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</si>
  <si>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</si>
  <si>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</si>
  <si>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</si>
  <si>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</si>
  <si>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</si>
  <si>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</si>
  <si>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</si>
  <si>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</si>
  <si>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</si>
  <si>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</si>
  <si>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</si>
  <si>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</si>
  <si>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</si>
  <si>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</si>
  <si>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</si>
  <si>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</si>
  <si>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</si>
  <si>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</si>
  <si>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</si>
  <si>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</si>
  <si>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</si>
  <si>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</si>
  <si>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</si>
  <si>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</si>
  <si>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</si>
  <si>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</si>
  <si>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</si>
  <si>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</si>
  <si>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</si>
  <si>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</si>
  <si>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</si>
  <si>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</si>
  <si>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</si>
  <si>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</si>
  <si>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</si>
  <si>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</si>
  <si>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</si>
  <si>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</si>
  <si>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</si>
  <si>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</si>
  <si>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</si>
  <si>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</si>
  <si>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</si>
  <si>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</si>
  <si>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</si>
  <si>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</si>
  <si>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</si>
  <si>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</si>
  <si>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</si>
  <si>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</si>
  <si>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</si>
  <si>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</si>
  <si>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</si>
  <si>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</si>
  <si>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Small Cap</t>
  </si>
  <si>
    <t>US Agg Bond</t>
  </si>
  <si>
    <t>Gold</t>
  </si>
  <si>
    <t>Private Equity</t>
  </si>
  <si>
    <t>Venture Capital</t>
  </si>
  <si>
    <t>Angel Venture</t>
  </si>
  <si>
    <t>A</t>
  </si>
  <si>
    <t>B</t>
  </si>
  <si>
    <t>C</t>
  </si>
  <si>
    <t>D</t>
  </si>
  <si>
    <t>2075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</si>
</sst>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0.0%"/>
  </numFmts>
  <fonts count="10"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sz val="10"/>
      <color theme="1"/>
      <name val="Arial"/>
      <family val="2"/>
    </font>
  </fonts>
  <fills count="11">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s>
  <borders count="10">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right style="thin">
        <color theme="1"/>
      </right>
      <top style="thin">
        <color theme="1"/>
      </top>
      <bottom style="thin">
        <color theme="1"/>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xf numFmtId="44" fontId="1" fillId="0" borderId="0" applyFont="0" applyFill="0" applyBorder="0" applyAlignment="0" applyProtection="0"/>
  </cellStyleXfs>
  <cellXfs count="37">
    <xf numFmtId="0" fontId="0" fillId="0" borderId="0" xfId="0"/>
    <xf numFmtId="0" fontId="0" fillId="2" borderId="0" xfId="0" applyFill="1"/>
    <xf numFmtId="0" fontId="0" fillId="0" borderId="0" xfId="0" applyAlignment="1">
      <alignment horizontal="center"/>
    </xf>
    <xf numFmtId="43" fontId="0" fillId="0" borderId="0" xfId="1" applyFont="1" applyFill="1" applyAlignment="1">
      <alignment horizontal="center"/>
    </xf>
    <xf numFmtId="43" fontId="0" fillId="0" borderId="0" xfId="0" applyNumberFormat="1"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0" fillId="6" borderId="0" xfId="0" applyFill="1"/>
    <xf numFmtId="0" fontId="0" fillId="7" borderId="0" xfId="0" applyFill="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0" fillId="8" borderId="0" xfId="0" applyFill="1"/>
    <xf numFmtId="0" fontId="6" fillId="10" borderId="7" xfId="4"/>
    <xf numFmtId="9" fontId="5" fillId="9" borderId="6" xfId="3" applyNumberFormat="1" applyAlignment="1">
      <alignment horizontal="center" vertical="center"/>
    </xf>
    <xf numFmtId="3" fontId="0" fillId="0" borderId="0" xfId="0" applyNumberFormat="1"/>
    <xf numFmtId="43" fontId="0" fillId="0" borderId="0" xfId="1" applyFont="1"/>
    <xf numFmtId="0" fontId="0" fillId="2" borderId="0" xfId="0" applyFill="1" applyAlignment="1">
      <alignment horizontal="center"/>
    </xf>
    <xf numFmtId="43" fontId="0" fillId="0" borderId="0" xfId="1" applyFont="1" applyFill="1"/>
    <xf numFmtId="43" fontId="0" fillId="0" borderId="0" xfId="1" applyFont="1" applyAlignment="1">
      <alignment horizontal="center"/>
    </xf>
    <xf numFmtId="0" fontId="0" fillId="2" borderId="0" xfId="0" applyFill="1" applyAlignment="1">
      <alignment horizontal="center" wrapText="1"/>
    </xf>
    <xf numFmtId="9" fontId="0" fillId="2" borderId="0" xfId="0" applyNumberFormat="1" applyFill="1"/>
    <xf numFmtId="0" fontId="7" fillId="2" borderId="0" xfId="0" applyFont="1" applyFill="1"/>
    <xf numFmtId="10" fontId="0" fillId="0" borderId="0" xfId="0" applyNumberFormat="1"/>
    <xf numFmtId="164" fontId="0" fillId="0" borderId="0" xfId="0" applyNumberFormat="1"/>
    <xf numFmtId="0" fontId="0" fillId="0" borderId="9" xfId="0" applyBorder="1" applyAlignment="1">
      <alignment horizontal="center"/>
    </xf>
    <xf numFmtId="44" fontId="0" fillId="0" borderId="0" xfId="6" applyFont="1"/>
    <xf numFmtId="49" fontId="0" fillId="0" borderId="0" xfId="0" applyNumberFormat="1"/>
    <xf numFmtId="0" fontId="0" fillId="0" borderId="0" xfId="0" quotePrefix="1"/>
    <xf numFmtId="0" fontId="0" fillId="2" borderId="8" xfId="0" applyFill="1" applyBorder="1" applyAlignment="1">
      <alignment horizontal="center" vertical="center" wrapText="1"/>
    </xf>
    <xf numFmtId="0" fontId="0" fillId="2" borderId="8" xfId="0" applyFill="1" applyBorder="1" applyAlignment="1">
      <alignment horizontal="center" wrapText="1"/>
    </xf>
    <xf numFmtId="0" fontId="7" fillId="2" borderId="0" xfId="0" applyFont="1" applyFill="1" applyAlignment="1">
      <alignment horizontal="center" vertical="center"/>
    </xf>
  </cellXfs>
  <cellStyles count="7">
    <cellStyle name="Comma" xfId="1" builtinId="3"/>
    <cellStyle name="Currency" xfId="6" builtinId="4"/>
    <cellStyle name="Input" xfId="3" builtinId="20"/>
    <cellStyle name="Normal" xfId="0" builtinId="0"/>
    <cellStyle name="Normal 2" xfId="5" xr:uid="{41E29A97-4811-40B2-832B-A941F46C3049}"/>
    <cellStyle name="Output" xfId="4" builtinId="21"/>
    <cellStyle name="Percent" xfId="2" builtinId="5"/>
  </cellStyles>
  <dxfs count="53">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35" formatCode="_-* #,##0.00_-;\-* #,##0.00_-;_-* &quot;-&quot;??_-;_-@_-"/>
      <fill>
        <patternFill patternType="none">
          <fgColor rgb="FF000000"/>
          <bgColor auto="1"/>
        </patternFill>
      </fill>
      <alignment horizontal="center" vertical="bottom" textRotation="0" wrapText="0" indent="0" justifyLastLine="0" shrinkToFit="0" readingOrder="0"/>
    </dxf>
    <dxf>
      <numFmt numFmtId="35" formatCode="_-* #,##0.00_-;\-* #,##0.00_-;_-* &quot;-&quot;??_-;_-@_-"/>
      <fill>
        <patternFill patternType="none">
          <fgColor rgb="FF000000"/>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numFmt numFmtId="35" formatCode="_-* #,##0.00_-;\-* #,##0.00_-;_-* &quot;-&quot;??_-;_-@_-"/>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7.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2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theme" Target="theme/theme1.xml"/><Relationship Id="rId67"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381000</xdr:colOff>
      <xdr:row>0</xdr:row>
      <xdr:rowOff>152400</xdr:rowOff>
    </xdr:from>
    <xdr:to>
      <xdr:col>19</xdr:col>
      <xdr:colOff>304800</xdr:colOff>
      <xdr:row>13</xdr:row>
      <xdr:rowOff>161925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5810250" y="152400"/>
          <a:ext cx="6896100" cy="2486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16</xdr:col>
      <xdr:colOff>222405</xdr:colOff>
      <xdr:row>3</xdr:row>
      <xdr:rowOff>160385</xdr:rowOff>
    </xdr:from>
    <xdr:to>
      <xdr:col>21</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12</xdr:col>
      <xdr:colOff>1341549</xdr:colOff>
      <xdr:row>1</xdr:row>
      <xdr:rowOff>143098</xdr:rowOff>
    </xdr:from>
    <xdr:to>
      <xdr:col>16</xdr:col>
      <xdr:colOff>304084</xdr:colOff>
      <xdr:row>7</xdr:row>
      <xdr:rowOff>17887</xdr:rowOff>
    </xdr:to>
    <xdr:cxnSp macro="">
      <xdr:nvCxnSpPr>
        <xdr:cNvPr id="5" name="Straight Arrow Connector 4">
          <a:extLst>
            <a:ext uri="{FF2B5EF4-FFF2-40B4-BE49-F238E27FC236}">
              <a16:creationId xmlns:a16="http://schemas.microsoft.com/office/drawing/2014/main" id="{BF0F1574-FB35-545B-0984-B31589A6D8FA}"/>
            </a:ext>
          </a:extLst>
        </xdr:cNvPr>
        <xdr:cNvCxnSpPr/>
      </xdr:nvCxnSpPr>
      <xdr:spPr>
        <a:xfrm flipH="1" flipV="1">
          <a:off x="8442817" y="330915"/>
          <a:ext cx="3935211" cy="100169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1439931</xdr:colOff>
      <xdr:row>1</xdr:row>
      <xdr:rowOff>116267</xdr:rowOff>
    </xdr:from>
    <xdr:to>
      <xdr:col>16</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755099</xdr:colOff>
      <xdr:row>7</xdr:row>
      <xdr:rowOff>168966</xdr:rowOff>
    </xdr:from>
    <xdr:to>
      <xdr:col>9</xdr:col>
      <xdr:colOff>284923</xdr:colOff>
      <xdr:row>13</xdr:row>
      <xdr:rowOff>99391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4167534" y="1502466"/>
          <a:ext cx="3397802"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F7B272-2B0E-4976-9393-E73F3487686E}" name="TableLoop" displayName="TableLoop" ref="B2:F53" totalsRowShown="0" headerRowDxfId="52" dataDxfId="51">
  <autoFilter ref="B2:F53" xr:uid="{FCF7B272-2B0E-4976-9393-E73F3487686E}"/>
  <tableColumns count="5">
    <tableColumn id="1" xr3:uid="{1C47A566-8CA0-498F-9373-FD3CF377EAB3}" name="N" dataDxfId="50"/>
    <tableColumn id="2" xr3:uid="{CDD5D904-D3D0-4E9B-89C8-61F4141B77FC}" name="Year" dataDxfId="49"/>
    <tableColumn id="3" xr3:uid="{3294EF53-9541-4FD2-A3C4-3CCF4CC8E18A}" name="AgeP1" dataDxfId="48">
      <calculatedColumnFormula>D2+1</calculatedColumnFormula>
    </tableColumn>
    <tableColumn id="4" xr3:uid="{27918B9D-DBDA-40FF-A6EC-6456F91F4DED}" name="AgeP2" dataDxfId="47">
      <calculatedColumnFormula>E2+1</calculatedColumnFormula>
    </tableColumn>
    <tableColumn id="5" xr3:uid="{3DF041D1-2FEE-456F-8F08-5A0165B3999F}" name="LoopStatus" dataDxfId="4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45" dataDxfId="44">
  <autoFilter ref="B2:F5" xr:uid="{E6188FC4-483E-4C27-BFF6-3D5A9BEC7A02}"/>
  <tableColumns count="5">
    <tableColumn id="1" xr3:uid="{B2C6C0FB-6BCC-4A61-B677-3B10161A53EF}" name="Goal Info" dataDxfId="43"/>
    <tableColumn id="2" xr3:uid="{C536957A-8C0E-4218-9336-E98D68589B96}" name="GOAL A" dataDxfId="42"/>
    <tableColumn id="3" xr3:uid="{119B5EE3-3581-4D04-BB55-BCC2E702193C}" name="GOAL B" dataDxfId="41"/>
    <tableColumn id="4" xr3:uid="{6D7BF2C5-D2EB-4CDD-A1E3-639A94B04FB3}" name="GOAL C" dataDxfId="40"/>
    <tableColumn id="5" xr3:uid="{FC141F07-39CA-4E36-BE88-AE8259A28409}" name="GOAL D" dataDxfId="3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38" dataDxfId="37">
  <autoFilter ref="B7:F10" xr:uid="{06296D22-18E1-44D3-A59A-E5E6D672089D}"/>
  <tableColumns count="5">
    <tableColumn id="1" xr3:uid="{B3C79FB9-971E-4621-BADB-62E0B6C842D7}" name="Goal Info" dataDxfId="36"/>
    <tableColumn id="2" xr3:uid="{08F0C2B6-02D7-4431-924D-D9E7C41049B7}" name="GOAL A" dataDxfId="35"/>
    <tableColumn id="3" xr3:uid="{7D5C117D-0D45-489D-81E8-DBEB6FE69CF3}" name="GOAL B" dataDxfId="34"/>
    <tableColumn id="4" xr3:uid="{900DE77F-2D16-4E30-8E7F-638FF98F2CDB}" name="GOAL C" dataDxfId="33"/>
    <tableColumn id="5" xr3:uid="{B0C50B12-C738-4419-9074-3A1A9E37C8AC}" name="GOAL D" dataDxfId="3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48" totalsRowShown="0" headerRowDxfId="31" dataDxfId="30">
  <autoFilter ref="B2:F48" xr:uid="{FCF7B272-2B0E-4976-9393-E73F3487686E}"/>
  <tableColumns count="5">
    <tableColumn id="2" xr3:uid="{0498A719-AEC9-446E-8B8E-0AB0C44DDED3}" name="Year" dataDxfId="29"/>
    <tableColumn id="5" xr3:uid="{CC8B1647-0351-43F5-A9B1-47A7C65801F2}" name="SalaryP1" dataDxfId="28">
      <calculatedColumnFormula>(TableIncomeCalculations[[#This Row],[GrossMonthlySalaryP1]]*12)</calculatedColumnFormula>
    </tableColumn>
    <tableColumn id="6" xr3:uid="{D9247035-5056-46B8-9FE0-90DD69539CD9}" name="SalaryP2" dataDxfId="27" dataCellStyle="Comma">
      <calculatedColumnFormula>(TableIncomeCalculations[[#This Row],[GrossMonthlySalaryP2]]*12)</calculatedColumnFormula>
    </tableColumn>
    <tableColumn id="1" xr3:uid="{00C8C4D5-91FF-46B4-A492-F0182F8DA0F4}" name="InvestmentP1" dataDxfId="26">
      <calculatedColumnFormula>TableIncome[[#This Row],[SalaryP1]]*$I$6</calculatedColumnFormula>
    </tableColumn>
    <tableColumn id="3" xr3:uid="{FB2E9633-4667-4315-B59A-930552C59B31}" name="InvestmentP2" dataDxfId="25">
      <calculatedColumnFormula>TableIncome[[#This Row],[SalaryP2]]*$I$6</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P48" totalsRowShown="0" headerRowDxfId="24" dataDxfId="23">
  <autoFilter ref="M2:P48" xr:uid="{66C60019-787B-4EAD-BA34-E0802DDFB733}"/>
  <tableColumns count="4">
    <tableColumn id="1" xr3:uid="{C0C732EC-361A-46E0-89E3-08CAE72DBD66}" name="GrossMonthlySalaryP1" dataDxfId="22" dataCellStyle="Comma"/>
    <tableColumn id="3" xr3:uid="{C5CF3F3B-E102-4C03-AE19-3CC173DDD008}" name="GrossMonthlySalaryP2" dataDxfId="21"/>
    <tableColumn id="5" xr3:uid="{FC28F95D-C1B7-458D-BD0C-E085DE566194}" name="SwitchP1" dataDxfId="20">
      <calculatedColumnFormula>_xlfn.XLOOKUP(_xlfn.XLOOKUP(TableIncome[[#This Row],[Year]],Loop!C:C,Loop!D:D),'Job Hopping'!B:B,'Job Hopping'!F:F)</calculatedColumnFormula>
    </tableColumn>
    <tableColumn id="6" xr3:uid="{85FE9DAF-5AA1-4B37-AB45-C3AD3B6E6CC3}" name="SwitchP2" dataDxfId="19">
      <calculatedColumnFormula>_xlfn.XLOOKUP(_xlfn.XLOOKUP(TableIncome[[#This Row],[Year]],Loop!C:C,Loop!E:E),'Job Hopping'!B:B,'Job Hopping'!G:G)</calculatedColumnFormula>
    </tableColumn>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18" dataDxfId="17">
  <autoFilter ref="B2:G78" xr:uid="{F2FF2D4F-428C-466F-8C40-CD97C53327FB}"/>
  <tableColumns count="6">
    <tableColumn id="1" xr3:uid="{693674CC-D425-46E9-84F4-DC2C74DDA885}" name="Age" dataDxfId="16"/>
    <tableColumn id="2" xr3:uid="{0C578F60-3352-4A6E-80A5-4BD450385FDB}" name="Age Group" dataDxfId="15">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14" dataCellStyle="Percent">
      <calculatedColumnFormula>_xlfn.XLOOKUP(C3,S:S,T:T)</calculatedColumnFormula>
    </tableColumn>
    <tableColumn id="6" xr3:uid="{D9FFF900-4664-40B3-8190-EA72525447EA}" name="Switch" dataDxfId="13">
      <calculatedColumnFormula>IF(OR(JobHopping[[#This Row],[Age]]=25,JobHopping[[#This Row],[Age]]&gt;69),"N",IF(AND(E1="N",E2="N", RAND()&lt;=D3), "Y", "N"))</calculatedColumnFormula>
    </tableColumn>
    <tableColumn id="8" xr3:uid="{691319CE-230D-4FBF-BE6A-2D428D532435}" name="SwitchP1Static" dataDxfId="12"/>
    <tableColumn id="9" xr3:uid="{898CE31A-679C-499C-AEA0-26B20AF30FB2}" name="SwitchP2Static" dataDxfId="11">
      <calculatedColumnFormula>IF(JobHopping[[#This Row],[Age]]&lt;40,"",JobHopping[[#This Row],[SwitchP1Static]])</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10" dataDxfId="9">
  <autoFilter ref="M2:Q101" xr:uid="{B0FD3679-1FAE-42ED-9371-E916E1BA67DA}"/>
  <tableColumns count="5">
    <tableColumn id="1" xr3:uid="{EED2352B-0CD2-49FA-8E8F-B19F866F9084}" name="Year" dataDxfId="8"/>
    <tableColumn id="2" xr3:uid="{125F1890-3292-40A5-B52B-65BC24DCD8A4}" name="Age Group" dataDxfId="7"/>
    <tableColumn id="3" xr3:uid="{ADFD9F1D-95FD-48CF-AAA7-252CEF08E617}" name="Finance Workers" dataDxfId="6">
      <calculatedColumnFormula>_xlfn.XLOOKUP(M3&amp;"-"&amp;N3,'Djøf Finance Workers'!D:D,'Djøf Finance Workers'!C:C,0,1)</calculatedColumnFormula>
    </tableColumn>
    <tableColumn id="4" xr3:uid="{3B11AAA6-9DF8-45E1-AF3C-A28F474CCCE6}" name="Finance Hoppers" dataDxfId="5">
      <calculatedColumnFormula>_xlfn.XLOOKUP(M3&amp;"-"&amp;N3,'Djøf Finance Hoppers'!D:D,'Djøf Finance Hoppers'!C:C,0,1)</calculatedColumnFormula>
    </tableColumn>
    <tableColumn id="5" xr3:uid="{797F4F22-806C-479D-A67E-5B23C5721AD9}" name="FH/FW" dataDxfId="4" dataCellStyle="Percent">
      <calculatedColumnFormula>IF(O3&gt;0, P3/O3, 0)</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3" dataDxfId="2">
  <autoFilter ref="S2:T11" xr:uid="{B4F731F5-9A61-4A3C-A0CD-4F447986E27B}"/>
  <tableColumns count="2">
    <tableColumn id="1" xr3:uid="{1D4D0898-5851-47E3-97D4-09C98B70723D}" name="Age Group" dataDxfId="1"/>
    <tableColumn id="2" xr3:uid="{966F8474-449D-442D-A7AA-ED23DFA6D69D}" name="FH/FV" dataDxfId="0">
      <calculatedColumnFormula>SUMIFS(Q:Q,N:N,S3)/(MAX($M$3:$M$101)-MIN($M$3:$M$101))</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3:C10"/>
  <sheetViews>
    <sheetView workbookViewId="0">
      <selection activeCell="B7" sqref="B7"/>
    </sheetView>
  </sheetViews>
  <sheetFormatPr defaultColWidth="8.7265625" defaultRowHeight="14.5" x14ac:dyDescent="0.35"/>
  <cols>
    <col min="1" max="1" width="8.7265625" style="1"/>
    <col min="2" max="2" width="20.54296875" style="1" bestFit="1" customWidth="1"/>
    <col min="3" max="16384" width="8.7265625" style="1"/>
  </cols>
  <sheetData>
    <row r="3" spans="2:3" ht="23.5" x14ac:dyDescent="0.55000000000000004">
      <c r="B3" s="13" t="s">
        <v>47</v>
      </c>
    </row>
    <row r="4" spans="2:3" x14ac:dyDescent="0.35">
      <c r="B4" s="11" t="s">
        <v>52</v>
      </c>
    </row>
    <row r="5" spans="2:3" x14ac:dyDescent="0.35">
      <c r="B5" s="12" t="s">
        <v>51</v>
      </c>
      <c r="C5" s="1" t="s">
        <v>48</v>
      </c>
    </row>
    <row r="6" spans="2:3" x14ac:dyDescent="0.35">
      <c r="B6" s="17" t="s">
        <v>60</v>
      </c>
      <c r="C6" s="1" t="s">
        <v>61</v>
      </c>
    </row>
    <row r="8" spans="2:3" ht="23.5" x14ac:dyDescent="0.55000000000000004">
      <c r="B8" s="13" t="s">
        <v>49</v>
      </c>
    </row>
    <row r="9" spans="2:3" x14ac:dyDescent="0.35">
      <c r="B9" s="14" t="s">
        <v>50</v>
      </c>
    </row>
    <row r="10" spans="2:3" x14ac:dyDescent="0.35">
      <c r="B10" s="15"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C5E26-0D27-4F2D-BD5C-FE681A33A0C8}">
  <sheetPr>
    <tabColor theme="7" tint="0.79998168889431442"/>
  </sheetPr>
  <dimension ref="B2:F53"/>
  <sheetViews>
    <sheetView tabSelected="1" workbookViewId="0">
      <selection activeCell="F11" sqref="F11"/>
    </sheetView>
  </sheetViews>
  <sheetFormatPr defaultColWidth="8.7265625" defaultRowHeight="14.5" x14ac:dyDescent="0.35"/>
  <cols>
    <col min="1" max="1" width="3.453125" style="1" customWidth="1"/>
    <col min="2" max="2" width="8.7265625" style="1"/>
    <col min="3" max="3" width="13.1796875" style="1" customWidth="1"/>
    <col min="4" max="4" width="11.54296875" style="1" customWidth="1"/>
    <col min="5" max="5" width="11.26953125" style="1" customWidth="1"/>
    <col min="6" max="6" width="16.26953125" style="1" customWidth="1"/>
    <col min="7" max="16384" width="8.7265625" style="1"/>
  </cols>
  <sheetData>
    <row r="2" spans="2:6" x14ac:dyDescent="0.35">
      <c r="B2" s="2" t="s">
        <v>0</v>
      </c>
      <c r="C2" s="2" t="s">
        <v>1</v>
      </c>
      <c r="D2" s="2" t="s">
        <v>2</v>
      </c>
      <c r="E2" s="2" t="s">
        <v>3</v>
      </c>
      <c r="F2" s="2" t="s">
        <v>4</v>
      </c>
    </row>
    <row r="3" spans="2:6" x14ac:dyDescent="0.35">
      <c r="B3" s="2">
        <v>1</v>
      </c>
      <c r="C3" s="2">
        <v>2025</v>
      </c>
      <c r="D3" s="2">
        <v>25</v>
      </c>
      <c r="E3" s="2">
        <v>40</v>
      </c>
      <c r="F3" s="2" t="s">
        <v>64</v>
      </c>
    </row>
    <row r="4" spans="2:6" x14ac:dyDescent="0.35">
      <c r="B4" s="2">
        <v>2</v>
      </c>
      <c r="C4" s="2">
        <v>2026</v>
      </c>
      <c r="D4" s="2">
        <f>D3+1</f>
        <v>26</v>
      </c>
      <c r="E4" s="2">
        <f>E3+1</f>
        <v>41</v>
      </c>
      <c r="F4" s="2" t="s">
        <v>64</v>
      </c>
    </row>
    <row r="5" spans="2:6" x14ac:dyDescent="0.35">
      <c r="B5" s="2">
        <v>3</v>
      </c>
      <c r="C5" s="2">
        <v>2027</v>
      </c>
      <c r="D5" s="2">
        <f t="shared" ref="D5:D16" si="0">D4+1</f>
        <v>27</v>
      </c>
      <c r="E5" s="2">
        <f t="shared" ref="E5:E16" si="1">E4+1</f>
        <v>42</v>
      </c>
      <c r="F5" s="2" t="s">
        <v>64</v>
      </c>
    </row>
    <row r="6" spans="2:6" x14ac:dyDescent="0.35">
      <c r="B6" s="2">
        <v>4</v>
      </c>
      <c r="C6" s="2">
        <v>2028</v>
      </c>
      <c r="D6" s="2">
        <f t="shared" si="0"/>
        <v>28</v>
      </c>
      <c r="E6" s="2">
        <f t="shared" si="1"/>
        <v>43</v>
      </c>
      <c r="F6" s="2" t="s">
        <v>64</v>
      </c>
    </row>
    <row r="7" spans="2:6" x14ac:dyDescent="0.35">
      <c r="B7" s="2">
        <v>5</v>
      </c>
      <c r="C7" s="2">
        <v>2029</v>
      </c>
      <c r="D7" s="2">
        <f t="shared" si="0"/>
        <v>29</v>
      </c>
      <c r="E7" s="2">
        <f t="shared" si="1"/>
        <v>44</v>
      </c>
      <c r="F7" s="2" t="s">
        <v>64</v>
      </c>
    </row>
    <row r="8" spans="2:6" x14ac:dyDescent="0.35">
      <c r="B8" s="2">
        <v>6</v>
      </c>
      <c r="C8" s="2">
        <v>2030</v>
      </c>
      <c r="D8" s="2">
        <f t="shared" si="0"/>
        <v>30</v>
      </c>
      <c r="E8" s="2">
        <f t="shared" si="1"/>
        <v>45</v>
      </c>
      <c r="F8" s="2" t="s">
        <v>64</v>
      </c>
    </row>
    <row r="9" spans="2:6" x14ac:dyDescent="0.35">
      <c r="B9" s="2">
        <v>7</v>
      </c>
      <c r="C9" s="2">
        <v>2031</v>
      </c>
      <c r="D9" s="2">
        <f t="shared" si="0"/>
        <v>31</v>
      </c>
      <c r="E9" s="2">
        <f t="shared" si="1"/>
        <v>46</v>
      </c>
      <c r="F9" s="2" t="s">
        <v>64</v>
      </c>
    </row>
    <row r="10" spans="2:6" x14ac:dyDescent="0.35">
      <c r="B10" s="2">
        <v>8</v>
      </c>
      <c r="C10" s="2">
        <v>2032</v>
      </c>
      <c r="D10" s="2">
        <f t="shared" si="0"/>
        <v>32</v>
      </c>
      <c r="E10" s="2">
        <f t="shared" si="1"/>
        <v>47</v>
      </c>
      <c r="F10" s="2" t="s">
        <v>64</v>
      </c>
    </row>
    <row r="11" spans="2:6" x14ac:dyDescent="0.35">
      <c r="B11" s="2">
        <v>9</v>
      </c>
      <c r="C11" s="2">
        <v>2033</v>
      </c>
      <c r="D11" s="2">
        <f t="shared" si="0"/>
        <v>33</v>
      </c>
      <c r="E11" s="2">
        <f t="shared" si="1"/>
        <v>48</v>
      </c>
      <c r="F11" s="2" t="s">
        <v>64</v>
      </c>
    </row>
    <row r="12" spans="2:6" x14ac:dyDescent="0.35">
      <c r="B12" s="2">
        <v>10</v>
      </c>
      <c r="C12" s="2">
        <v>2034</v>
      </c>
      <c r="D12" s="2">
        <f t="shared" si="0"/>
        <v>34</v>
      </c>
      <c r="E12" s="2">
        <f t="shared" si="1"/>
        <v>49</v>
      </c>
      <c r="F12" s="2" t="s">
        <v>64</v>
      </c>
    </row>
    <row r="13" spans="2:6" x14ac:dyDescent="0.35">
      <c r="B13" s="2">
        <v>11</v>
      </c>
      <c r="C13" s="2">
        <v>2035</v>
      </c>
      <c r="D13" s="2">
        <f t="shared" si="0"/>
        <v>35</v>
      </c>
      <c r="E13" s="2">
        <f t="shared" si="1"/>
        <v>50</v>
      </c>
      <c r="F13" s="2" t="s">
        <v>64</v>
      </c>
    </row>
    <row r="14" spans="2:6" x14ac:dyDescent="0.35">
      <c r="B14" s="2">
        <v>12</v>
      </c>
      <c r="C14" s="2">
        <v>2036</v>
      </c>
      <c r="D14" s="2">
        <f t="shared" si="0"/>
        <v>36</v>
      </c>
      <c r="E14" s="2">
        <f t="shared" si="1"/>
        <v>51</v>
      </c>
      <c r="F14" s="2" t="s">
        <v>64</v>
      </c>
    </row>
    <row r="15" spans="2:6" x14ac:dyDescent="0.35">
      <c r="B15" s="2">
        <v>13</v>
      </c>
      <c r="C15" s="2">
        <v>2037</v>
      </c>
      <c r="D15" s="2">
        <f t="shared" si="0"/>
        <v>37</v>
      </c>
      <c r="E15" s="2">
        <f t="shared" si="1"/>
        <v>52</v>
      </c>
      <c r="F15" s="2" t="s">
        <v>64</v>
      </c>
    </row>
    <row r="16" spans="2:6" x14ac:dyDescent="0.35">
      <c r="B16" s="2">
        <v>14</v>
      </c>
      <c r="C16" s="2">
        <v>2038</v>
      </c>
      <c r="D16" s="2">
        <f t="shared" si="0"/>
        <v>38</v>
      </c>
      <c r="E16" s="2">
        <f t="shared" si="1"/>
        <v>53</v>
      </c>
      <c r="F16" s="2" t="s">
        <v>64</v>
      </c>
    </row>
    <row r="17" spans="2:6" x14ac:dyDescent="0.35">
      <c r="B17" s="2">
        <v>15</v>
      </c>
      <c r="C17" s="2">
        <v>2039</v>
      </c>
      <c r="D17" s="2">
        <f>D16+1</f>
        <v>39</v>
      </c>
      <c r="E17" s="2">
        <f>E16+1</f>
        <v>54</v>
      </c>
      <c r="F17" s="2" t="s">
        <v>64</v>
      </c>
    </row>
    <row r="18" spans="2:6" x14ac:dyDescent="0.35">
      <c r="B18" s="2">
        <v>16</v>
      </c>
      <c r="C18" s="2">
        <v>2040</v>
      </c>
      <c r="D18" s="2">
        <f t="shared" ref="D18:D28" si="2">D17+1</f>
        <v>40</v>
      </c>
      <c r="E18" s="2">
        <f t="shared" ref="E18:E28" si="3">E17+1</f>
        <v>55</v>
      </c>
      <c r="F18" s="2" t="s">
        <v>64</v>
      </c>
    </row>
    <row r="19" spans="2:6" x14ac:dyDescent="0.35">
      <c r="B19" s="2">
        <v>17</v>
      </c>
      <c r="C19" s="2">
        <v>2041</v>
      </c>
      <c r="D19" s="2">
        <f t="shared" si="2"/>
        <v>41</v>
      </c>
      <c r="E19" s="2">
        <f t="shared" si="3"/>
        <v>56</v>
      </c>
      <c r="F19" s="2" t="s">
        <v>64</v>
      </c>
    </row>
    <row r="20" spans="2:6" x14ac:dyDescent="0.35">
      <c r="B20" s="2">
        <v>18</v>
      </c>
      <c r="C20" s="2">
        <v>2042</v>
      </c>
      <c r="D20" s="2">
        <f t="shared" si="2"/>
        <v>42</v>
      </c>
      <c r="E20" s="2">
        <f t="shared" si="3"/>
        <v>57</v>
      </c>
      <c r="F20" s="2" t="s">
        <v>64</v>
      </c>
    </row>
    <row r="21" spans="2:6" x14ac:dyDescent="0.35">
      <c r="B21" s="2">
        <v>19</v>
      </c>
      <c r="C21" s="2">
        <v>2043</v>
      </c>
      <c r="D21" s="2">
        <f t="shared" si="2"/>
        <v>43</v>
      </c>
      <c r="E21" s="2">
        <f t="shared" si="3"/>
        <v>58</v>
      </c>
      <c r="F21" s="2" t="s">
        <v>64</v>
      </c>
    </row>
    <row r="22" spans="2:6" x14ac:dyDescent="0.35">
      <c r="B22" s="2">
        <v>20</v>
      </c>
      <c r="C22" s="2">
        <v>2044</v>
      </c>
      <c r="D22" s="2">
        <f t="shared" si="2"/>
        <v>44</v>
      </c>
      <c r="E22" s="2">
        <f t="shared" si="3"/>
        <v>59</v>
      </c>
      <c r="F22" s="2" t="s">
        <v>64</v>
      </c>
    </row>
    <row r="23" spans="2:6" x14ac:dyDescent="0.35">
      <c r="B23" s="2">
        <v>21</v>
      </c>
      <c r="C23" s="2">
        <v>2045</v>
      </c>
      <c r="D23" s="2">
        <f t="shared" si="2"/>
        <v>45</v>
      </c>
      <c r="E23" s="2">
        <f t="shared" si="3"/>
        <v>60</v>
      </c>
      <c r="F23" s="2" t="s">
        <v>64</v>
      </c>
    </row>
    <row r="24" spans="2:6" x14ac:dyDescent="0.35">
      <c r="B24" s="2">
        <v>22</v>
      </c>
      <c r="C24" s="2">
        <v>2046</v>
      </c>
      <c r="D24" s="2">
        <f t="shared" si="2"/>
        <v>46</v>
      </c>
      <c r="E24" s="2">
        <f t="shared" si="3"/>
        <v>61</v>
      </c>
      <c r="F24" s="2" t="s">
        <v>64</v>
      </c>
    </row>
    <row r="25" spans="2:6" x14ac:dyDescent="0.35">
      <c r="B25" s="2">
        <v>23</v>
      </c>
      <c r="C25" s="2">
        <v>2047</v>
      </c>
      <c r="D25" s="2">
        <f t="shared" si="2"/>
        <v>47</v>
      </c>
      <c r="E25" s="2">
        <f t="shared" si="3"/>
        <v>62</v>
      </c>
      <c r="F25" s="2" t="s">
        <v>64</v>
      </c>
    </row>
    <row r="26" spans="2:6" x14ac:dyDescent="0.35">
      <c r="B26" s="2">
        <v>24</v>
      </c>
      <c r="C26" s="2">
        <v>2048</v>
      </c>
      <c r="D26" s="2">
        <f t="shared" si="2"/>
        <v>48</v>
      </c>
      <c r="E26" s="2">
        <f t="shared" si="3"/>
        <v>63</v>
      </c>
      <c r="F26" s="2" t="s">
        <v>64</v>
      </c>
    </row>
    <row r="27" spans="2:6" x14ac:dyDescent="0.35">
      <c r="B27" s="2">
        <v>25</v>
      </c>
      <c r="C27" s="2">
        <v>2049</v>
      </c>
      <c r="D27" s="2">
        <f t="shared" si="2"/>
        <v>49</v>
      </c>
      <c r="E27" s="2">
        <f t="shared" si="3"/>
        <v>64</v>
      </c>
      <c r="F27" s="2" t="s">
        <v>64</v>
      </c>
    </row>
    <row r="28" spans="2:6" x14ac:dyDescent="0.35">
      <c r="B28" s="2">
        <v>26</v>
      </c>
      <c r="C28" s="2">
        <v>2050</v>
      </c>
      <c r="D28" s="2">
        <f t="shared" si="2"/>
        <v>50</v>
      </c>
      <c r="E28" s="2">
        <f t="shared" si="3"/>
        <v>65</v>
      </c>
      <c r="F28" s="2" t="s">
        <v>64</v>
      </c>
    </row>
    <row r="29" spans="2:6" x14ac:dyDescent="0.35">
      <c r="B29" s="2">
        <v>27</v>
      </c>
      <c r="C29" s="2">
        <v>2051</v>
      </c>
      <c r="D29" s="2">
        <f t="shared" ref="D29:D32" si="4">D28+1</f>
        <v>51</v>
      </c>
      <c r="E29" s="2">
        <f t="shared" ref="E29:E32" si="5">E28+1</f>
        <v>66</v>
      </c>
      <c r="F29" s="2" t="s">
        <v>64</v>
      </c>
    </row>
    <row r="30" spans="2:6" x14ac:dyDescent="0.35">
      <c r="B30" s="2">
        <v>28</v>
      </c>
      <c r="C30" s="2">
        <v>2052</v>
      </c>
      <c r="D30" s="2">
        <f t="shared" si="4"/>
        <v>52</v>
      </c>
      <c r="E30" s="2">
        <f t="shared" si="5"/>
        <v>67</v>
      </c>
      <c r="F30" s="2" t="s">
        <v>64</v>
      </c>
    </row>
    <row r="31" spans="2:6" x14ac:dyDescent="0.35">
      <c r="B31" s="2">
        <v>29</v>
      </c>
      <c r="C31" s="2">
        <v>2053</v>
      </c>
      <c r="D31" s="2">
        <f t="shared" si="4"/>
        <v>53</v>
      </c>
      <c r="E31" s="2">
        <f t="shared" si="5"/>
        <v>68</v>
      </c>
      <c r="F31" s="2" t="s">
        <v>64</v>
      </c>
    </row>
    <row r="32" spans="2:6" x14ac:dyDescent="0.35">
      <c r="B32" s="2">
        <v>30</v>
      </c>
      <c r="C32" s="2">
        <v>2054</v>
      </c>
      <c r="D32" s="2">
        <f t="shared" si="4"/>
        <v>54</v>
      </c>
      <c r="E32" s="2">
        <f t="shared" si="5"/>
        <v>69</v>
      </c>
      <c r="F32" s="2" t="s">
        <v>64</v>
      </c>
    </row>
    <row r="33" spans="2:6" x14ac:dyDescent="0.35">
      <c r="B33" s="2">
        <v>31</v>
      </c>
      <c r="C33" s="2">
        <v>2055</v>
      </c>
      <c r="D33" s="2">
        <f t="shared" ref="D33:D43" si="6">D32+1</f>
        <v>55</v>
      </c>
      <c r="E33" s="2">
        <f t="shared" ref="E33:E43" si="7">E32+1</f>
        <v>70</v>
      </c>
      <c r="F33" s="2" t="s">
        <v>64</v>
      </c>
    </row>
    <row r="34" spans="2:6" x14ac:dyDescent="0.35">
      <c r="B34" s="2">
        <v>32</v>
      </c>
      <c r="C34" s="2">
        <v>2056</v>
      </c>
      <c r="D34" s="2">
        <f t="shared" si="6"/>
        <v>56</v>
      </c>
      <c r="E34" s="2">
        <f t="shared" si="7"/>
        <v>71</v>
      </c>
      <c r="F34" s="2" t="s">
        <v>64</v>
      </c>
    </row>
    <row r="35" spans="2:6" x14ac:dyDescent="0.35">
      <c r="B35" s="2">
        <v>33</v>
      </c>
      <c r="C35" s="2">
        <v>2057</v>
      </c>
      <c r="D35" s="2">
        <f t="shared" si="6"/>
        <v>57</v>
      </c>
      <c r="E35" s="2">
        <f t="shared" si="7"/>
        <v>72</v>
      </c>
      <c r="F35" s="2" t="s">
        <v>64</v>
      </c>
    </row>
    <row r="36" spans="2:6" x14ac:dyDescent="0.35">
      <c r="B36" s="2">
        <v>34</v>
      </c>
      <c r="C36" s="2">
        <v>2058</v>
      </c>
      <c r="D36" s="2">
        <f t="shared" si="6"/>
        <v>58</v>
      </c>
      <c r="E36" s="2">
        <f t="shared" si="7"/>
        <v>73</v>
      </c>
      <c r="F36" s="2" t="s">
        <v>64</v>
      </c>
    </row>
    <row r="37" spans="2:6" x14ac:dyDescent="0.35">
      <c r="B37" s="2">
        <v>35</v>
      </c>
      <c r="C37" s="2">
        <v>2059</v>
      </c>
      <c r="D37" s="2">
        <f t="shared" si="6"/>
        <v>59</v>
      </c>
      <c r="E37" s="2">
        <f t="shared" si="7"/>
        <v>74</v>
      </c>
      <c r="F37" s="2" t="s">
        <v>64</v>
      </c>
    </row>
    <row r="38" spans="2:6" x14ac:dyDescent="0.35">
      <c r="B38" s="2">
        <v>36</v>
      </c>
      <c r="C38" s="2">
        <v>2060</v>
      </c>
      <c r="D38" s="2">
        <f t="shared" si="6"/>
        <v>60</v>
      </c>
      <c r="E38" s="2">
        <f t="shared" si="7"/>
        <v>75</v>
      </c>
      <c r="F38" s="2" t="s">
        <v>64</v>
      </c>
    </row>
    <row r="39" spans="2:6" x14ac:dyDescent="0.35">
      <c r="B39" s="2">
        <v>37</v>
      </c>
      <c r="C39" s="2">
        <v>2061</v>
      </c>
      <c r="D39" s="2">
        <f t="shared" si="6"/>
        <v>61</v>
      </c>
      <c r="E39" s="2">
        <f t="shared" si="7"/>
        <v>76</v>
      </c>
      <c r="F39" s="2" t="s">
        <v>64</v>
      </c>
    </row>
    <row r="40" spans="2:6" x14ac:dyDescent="0.35">
      <c r="B40" s="2">
        <v>38</v>
      </c>
      <c r="C40" s="2">
        <v>2062</v>
      </c>
      <c r="D40" s="2">
        <f t="shared" si="6"/>
        <v>62</v>
      </c>
      <c r="E40" s="2">
        <f t="shared" si="7"/>
        <v>77</v>
      </c>
      <c r="F40" s="2" t="s">
        <v>64</v>
      </c>
    </row>
    <row r="41" spans="2:6" x14ac:dyDescent="0.35">
      <c r="B41" s="2">
        <v>39</v>
      </c>
      <c r="C41" s="2">
        <v>2063</v>
      </c>
      <c r="D41" s="2">
        <f t="shared" si="6"/>
        <v>63</v>
      </c>
      <c r="E41" s="2">
        <f t="shared" si="7"/>
        <v>78</v>
      </c>
      <c r="F41" s="2" t="s">
        <v>64</v>
      </c>
    </row>
    <row r="42" spans="2:6" x14ac:dyDescent="0.35">
      <c r="B42" s="2">
        <v>40</v>
      </c>
      <c r="C42" s="2">
        <v>2064</v>
      </c>
      <c r="D42" s="2">
        <f t="shared" si="6"/>
        <v>64</v>
      </c>
      <c r="E42" s="2">
        <f t="shared" si="7"/>
        <v>79</v>
      </c>
      <c r="F42" s="2" t="s">
        <v>64</v>
      </c>
    </row>
    <row r="43" spans="2:6" x14ac:dyDescent="0.35">
      <c r="B43" s="2">
        <v>41</v>
      </c>
      <c r="C43" s="2">
        <v>2065</v>
      </c>
      <c r="D43" s="2">
        <f t="shared" si="6"/>
        <v>65</v>
      </c>
      <c r="E43" s="2">
        <f t="shared" si="7"/>
        <v>80</v>
      </c>
      <c r="F43" s="2" t="s">
        <v>64</v>
      </c>
    </row>
    <row r="44" spans="2:6" x14ac:dyDescent="0.35">
      <c r="B44" s="2">
        <v>42</v>
      </c>
      <c r="C44" s="2">
        <v>2066</v>
      </c>
      <c r="D44" s="2">
        <f t="shared" ref="D44:D53" si="8">D43+1</f>
        <v>66</v>
      </c>
      <c r="E44" s="2">
        <f t="shared" ref="E44:E53" si="9">E43+1</f>
        <v>81</v>
      </c>
      <c r="F44" s="2" t="s">
        <v>64</v>
      </c>
    </row>
    <row r="45" spans="2:6" x14ac:dyDescent="0.35">
      <c r="B45" s="2">
        <v>43</v>
      </c>
      <c r="C45" s="2">
        <v>2067</v>
      </c>
      <c r="D45" s="2">
        <f t="shared" si="8"/>
        <v>67</v>
      </c>
      <c r="E45" s="2">
        <f t="shared" si="9"/>
        <v>82</v>
      </c>
      <c r="F45" s="2" t="s">
        <v>64</v>
      </c>
    </row>
    <row r="46" spans="2:6" x14ac:dyDescent="0.35">
      <c r="B46" s="2">
        <v>44</v>
      </c>
      <c r="C46" s="2">
        <v>2068</v>
      </c>
      <c r="D46" s="2">
        <f t="shared" si="8"/>
        <v>68</v>
      </c>
      <c r="E46" s="2">
        <f t="shared" si="9"/>
        <v>83</v>
      </c>
      <c r="F46" s="2" t="s">
        <v>64</v>
      </c>
    </row>
    <row r="47" spans="2:6" x14ac:dyDescent="0.35">
      <c r="B47" s="2">
        <v>45</v>
      </c>
      <c r="C47" s="2">
        <v>2069</v>
      </c>
      <c r="D47" s="2">
        <f t="shared" si="8"/>
        <v>69</v>
      </c>
      <c r="E47" s="2">
        <f t="shared" si="9"/>
        <v>84</v>
      </c>
      <c r="F47" s="2" t="s">
        <v>64</v>
      </c>
    </row>
    <row r="48" spans="2:6" x14ac:dyDescent="0.35">
      <c r="B48" s="2">
        <v>46</v>
      </c>
      <c r="C48" s="2">
        <v>2070</v>
      </c>
      <c r="D48" s="2">
        <f t="shared" si="8"/>
        <v>70</v>
      </c>
      <c r="E48" s="2">
        <f t="shared" si="9"/>
        <v>85</v>
      </c>
      <c r="F48" s="2" t="s">
        <v>64</v>
      </c>
    </row>
    <row r="49" spans="2:6" x14ac:dyDescent="0.35">
      <c r="B49" s="2">
        <v>47</v>
      </c>
      <c r="C49" s="2">
        <v>2071</v>
      </c>
      <c r="D49" s="2">
        <f t="shared" si="8"/>
        <v>71</v>
      </c>
      <c r="E49" s="2">
        <f t="shared" si="9"/>
        <v>86</v>
      </c>
      <c r="F49" s="2" t="s">
        <v>64</v>
      </c>
    </row>
    <row r="50" spans="2:6" x14ac:dyDescent="0.35">
      <c r="B50" s="2">
        <v>48</v>
      </c>
      <c r="C50" s="2">
        <v>2072</v>
      </c>
      <c r="D50" s="2">
        <f t="shared" si="8"/>
        <v>72</v>
      </c>
      <c r="E50" s="2">
        <f t="shared" si="9"/>
        <v>87</v>
      </c>
      <c r="F50" s="2" t="s">
        <v>64</v>
      </c>
    </row>
    <row r="51" spans="2:6" x14ac:dyDescent="0.35">
      <c r="B51" s="2">
        <v>49</v>
      </c>
      <c r="C51" s="2">
        <v>2073</v>
      </c>
      <c r="D51" s="2">
        <f t="shared" si="8"/>
        <v>73</v>
      </c>
      <c r="E51" s="2">
        <f t="shared" si="9"/>
        <v>88</v>
      </c>
      <c r="F51" s="2" t="s">
        <v>64</v>
      </c>
    </row>
    <row r="52" spans="2:6" x14ac:dyDescent="0.35">
      <c r="B52" s="2">
        <v>50</v>
      </c>
      <c r="C52" s="2">
        <v>2074</v>
      </c>
      <c r="D52" s="2">
        <f t="shared" si="8"/>
        <v>74</v>
      </c>
      <c r="E52" s="2">
        <f t="shared" si="9"/>
        <v>89</v>
      </c>
      <c r="F52" s="2" t="s">
        <v>64</v>
      </c>
    </row>
    <row r="53" spans="2:6" x14ac:dyDescent="0.35">
      <c r="B53" s="2">
        <v>51</v>
      </c>
      <c r="C53" s="2">
        <v>2075</v>
      </c>
      <c r="D53" s="2">
        <f t="shared" si="8"/>
        <v>75</v>
      </c>
      <c r="E53" s="2">
        <f t="shared" si="9"/>
        <v>90</v>
      </c>
      <c r="F53" s="2" t="s">
        <v>64</v>
      </c>
    </row>
  </sheetData>
  <pageMargins left="0.7" right="0.7" top="0.75" bottom="0.75" header="0.3" footer="0.3"/>
  <ignoredErrors>
    <ignoredError sqref="D3:E3"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AY3"/>
  <sheetViews>
    <sheetView workbookViewId="0">
      <selection activeCell="C2" sqref="C2"/>
    </sheetView>
  </sheetViews>
  <sheetFormatPr defaultRowHeight="14.5" x14ac:dyDescent="0.35"/>
  <sheetData>
    <row r="1" spans="1:51" x14ac:dyDescent="0.35">
      <c r="A1" s="30"/>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81</v>
      </c>
      <c r="B2">
        <v>0</v>
      </c>
      <c r="C2" cm="1">
        <f t="array" ref="C2:AV2">TRANSPOSE(TableIncome[InvestmentP1])</f>
        <v>52645.200000000004</v>
      </c>
      <c r="D2">
        <v>53171.652000000002</v>
      </c>
      <c r="E2">
        <v>59020.533719999999</v>
      </c>
      <c r="F2">
        <v>59610.7390572</v>
      </c>
      <c r="G2">
        <v>60206.846447771997</v>
      </c>
      <c r="H2">
        <v>60808.914912249718</v>
      </c>
      <c r="I2">
        <v>67497.895552597183</v>
      </c>
      <c r="J2">
        <v>68172.874508123146</v>
      </c>
      <c r="K2">
        <v>68854.603253204376</v>
      </c>
      <c r="L2">
        <v>69543.149285736421</v>
      </c>
      <c r="M2">
        <v>77192.895707167438</v>
      </c>
      <c r="N2">
        <v>77964.824664239117</v>
      </c>
      <c r="O2">
        <v>78744.472910881508</v>
      </c>
      <c r="P2">
        <v>79531.917639990323</v>
      </c>
      <c r="Q2">
        <v>88280.428580389256</v>
      </c>
      <c r="R2">
        <v>89163.232866193153</v>
      </c>
      <c r="S2">
        <v>90054.865194855098</v>
      </c>
      <c r="T2">
        <v>90955.413846803654</v>
      </c>
      <c r="U2">
        <v>100960.50936995204</v>
      </c>
      <c r="V2">
        <v>101970.11446365155</v>
      </c>
      <c r="W2">
        <v>102989.81560828809</v>
      </c>
      <c r="X2">
        <v>104019.71376437096</v>
      </c>
      <c r="Y2">
        <v>115461.88227845177</v>
      </c>
      <c r="Z2">
        <v>116616.50110123628</v>
      </c>
      <c r="AA2">
        <v>117782.66611224865</v>
      </c>
      <c r="AB2">
        <v>118960.49277337115</v>
      </c>
      <c r="AC2">
        <v>120150.09770110488</v>
      </c>
      <c r="AD2">
        <v>121351.5986781159</v>
      </c>
      <c r="AE2">
        <v>122565.11466489708</v>
      </c>
      <c r="AF2">
        <v>123790.76581154604</v>
      </c>
      <c r="AG2">
        <v>125028.6734696615</v>
      </c>
      <c r="AH2">
        <v>126278.96020435813</v>
      </c>
      <c r="AI2">
        <v>127541.7498064017</v>
      </c>
      <c r="AJ2">
        <v>128817.16730446572</v>
      </c>
      <c r="AK2">
        <v>130105.33897751037</v>
      </c>
      <c r="AL2">
        <v>144416.92626503651</v>
      </c>
      <c r="AM2">
        <v>145861.09552768685</v>
      </c>
      <c r="AN2">
        <v>147319.70648296372</v>
      </c>
      <c r="AO2">
        <v>148792.90354779336</v>
      </c>
      <c r="AP2">
        <v>150280.83258327132</v>
      </c>
      <c r="AQ2">
        <v>151783.64090910403</v>
      </c>
      <c r="AR2">
        <v>153301.47731819507</v>
      </c>
      <c r="AS2">
        <v>154834.49209137703</v>
      </c>
      <c r="AT2">
        <v>156382.83701229081</v>
      </c>
      <c r="AU2">
        <v>157946.66538241372</v>
      </c>
      <c r="AV2">
        <v>0</v>
      </c>
    </row>
    <row r="3" spans="1:51" x14ac:dyDescent="0.35">
      <c r="A3" t="s">
        <v>80</v>
      </c>
      <c r="B3">
        <v>200000</v>
      </c>
      <c r="C3" cm="1">
        <f t="array" ref="C3:AV3">TRANSPOSE(TableIncome[InvestmentP2])</f>
        <v>76801.2</v>
      </c>
      <c r="D3">
        <v>77569.212</v>
      </c>
      <c r="E3">
        <v>78344.904120000007</v>
      </c>
      <c r="F3">
        <v>86962.843573200007</v>
      </c>
      <c r="G3">
        <v>87832.472008932018</v>
      </c>
      <c r="H3">
        <v>88710.796729021313</v>
      </c>
      <c r="I3">
        <v>89597.90469631154</v>
      </c>
      <c r="J3">
        <v>99453.674212905811</v>
      </c>
      <c r="K3">
        <v>100448.21095503487</v>
      </c>
      <c r="L3">
        <v>101452.69306458521</v>
      </c>
      <c r="M3">
        <v>102467.21999523108</v>
      </c>
      <c r="N3">
        <v>103491.89219518339</v>
      </c>
      <c r="O3">
        <v>104526.81111713522</v>
      </c>
      <c r="P3">
        <v>105572.07922830657</v>
      </c>
      <c r="Q3">
        <v>106627.80002058964</v>
      </c>
      <c r="R3">
        <v>107694.07802079554</v>
      </c>
      <c r="S3">
        <v>108771.01880100352</v>
      </c>
      <c r="T3">
        <v>109858.72898901354</v>
      </c>
      <c r="U3">
        <v>110957.31627890366</v>
      </c>
      <c r="V3">
        <v>112066.88944169272</v>
      </c>
      <c r="W3">
        <v>124394.2472802789</v>
      </c>
      <c r="X3">
        <v>125638.18975308171</v>
      </c>
      <c r="Y3">
        <v>126894.5716506125</v>
      </c>
      <c r="Z3">
        <v>128163.51736711862</v>
      </c>
      <c r="AA3">
        <v>129445.15254078983</v>
      </c>
      <c r="AB3">
        <v>130739.60406619772</v>
      </c>
      <c r="AC3">
        <v>132047.00010685969</v>
      </c>
      <c r="AD3">
        <v>133367.4701079283</v>
      </c>
      <c r="AE3">
        <v>134701.14480900762</v>
      </c>
      <c r="AF3">
        <v>136048.15625709767</v>
      </c>
      <c r="AG3">
        <v>0</v>
      </c>
      <c r="AH3">
        <v>0</v>
      </c>
      <c r="AI3">
        <v>0</v>
      </c>
      <c r="AJ3">
        <v>0</v>
      </c>
      <c r="AK3">
        <v>0</v>
      </c>
      <c r="AL3">
        <v>0</v>
      </c>
      <c r="AM3">
        <v>0</v>
      </c>
      <c r="AN3">
        <v>0</v>
      </c>
      <c r="AO3">
        <v>0</v>
      </c>
      <c r="AP3">
        <v>0</v>
      </c>
      <c r="AQ3">
        <v>0</v>
      </c>
      <c r="AR3">
        <v>0</v>
      </c>
      <c r="AS3">
        <v>0</v>
      </c>
      <c r="AT3">
        <v>0</v>
      </c>
      <c r="AU3">
        <v>0</v>
      </c>
      <c r="AV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workbookViewId="0">
      <selection activeCell="F2" sqref="F2"/>
    </sheetView>
  </sheetViews>
  <sheetFormatPr defaultRowHeight="14.5" x14ac:dyDescent="0.35"/>
  <cols>
    <col min="2" max="2" width="10.54296875" bestFit="1" customWidth="1"/>
    <col min="3" max="12" width="11.26953125" bestFit="1" customWidth="1"/>
    <col min="13" max="13" width="13.26953125" bestFit="1" customWidth="1"/>
    <col min="14" max="15" width="12.7265625" bestFit="1" customWidth="1"/>
    <col min="16" max="51" width="12.81640625" bestFit="1" customWidth="1"/>
    <col min="52" max="52" width="13.269531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2" t="s">
        <v>173</v>
      </c>
    </row>
    <row r="2" spans="1:52" x14ac:dyDescent="0.35">
      <c r="A2" t="s">
        <v>81</v>
      </c>
      <c r="B2" s="21">
        <f>SUMIF(TableIncome[Year], "&lt;=" &amp; B1, TableIncome[InvestmentP1])</f>
        <v>52645.200000000004</v>
      </c>
      <c r="C2" s="21">
        <f>SUMIF(TableIncome[Year], "&lt;=" &amp; C1, TableIncome[InvestmentP1])</f>
        <v>105816.85200000001</v>
      </c>
      <c r="D2" s="21">
        <f>SUMIF(TableIncome[Year], "&lt;=" &amp; D1, TableIncome[InvestmentP1])</f>
        <v>164837.38572000002</v>
      </c>
      <c r="E2" s="21">
        <f>SUMIF(TableIncome[Year], "&lt;=" &amp; E1, TableIncome[InvestmentP1])</f>
        <v>224448.12477720002</v>
      </c>
      <c r="F2" s="21">
        <f>SUMIF(TableIncome[Year], "&lt;=" &amp; F1, TableIncome[InvestmentP1])</f>
        <v>284654.97122497205</v>
      </c>
      <c r="G2" s="21">
        <f>SUMIF(TableIncome[Year], "&lt;=" &amp; G1, TableIncome[InvestmentP1])</f>
        <v>345463.88613722177</v>
      </c>
      <c r="H2" s="21">
        <f>SUMIF(TableIncome[Year], "&lt;=" &amp; H1, TableIncome[InvestmentP1])</f>
        <v>412961.78168981895</v>
      </c>
      <c r="I2" s="21">
        <f>SUMIF(TableIncome[Year], "&lt;=" &amp; I1, TableIncome[InvestmentP1])</f>
        <v>481134.65619794209</v>
      </c>
      <c r="J2" s="21">
        <f>SUMIF(TableIncome[Year], "&lt;=" &amp; J1, TableIncome[InvestmentP1])</f>
        <v>549989.25945114647</v>
      </c>
      <c r="K2" s="21">
        <f>SUMIF(TableIncome[Year], "&lt;=" &amp; K1, TableIncome[InvestmentP1])</f>
        <v>619532.40873688285</v>
      </c>
      <c r="L2" s="21">
        <f>SUMIF(TableIncome[Year], "&lt;=" &amp; L1, TableIncome[InvestmentP1])</f>
        <v>696725.3044440503</v>
      </c>
      <c r="M2" s="21">
        <f>SUMIF(TableIncome[Year], "&lt;=" &amp; M1, TableIncome[InvestmentP1])</f>
        <v>774690.12910828937</v>
      </c>
      <c r="N2" s="21">
        <f>SUMIF(TableIncome[Year], "&lt;=" &amp; N1, TableIncome[InvestmentP1])</f>
        <v>853434.60201917088</v>
      </c>
      <c r="O2" s="21">
        <f>SUMIF(TableIncome[Year], "&lt;=" &amp; O1, TableIncome[InvestmentP1])</f>
        <v>932966.51965916122</v>
      </c>
      <c r="P2" s="21">
        <f>SUMIF(TableIncome[Year], "&lt;=" &amp; P1, TableIncome[InvestmentP1])</f>
        <v>1021246.9482395505</v>
      </c>
      <c r="Q2" s="21">
        <f>SUMIF(TableIncome[Year], "&lt;=" &amp; Q1, TableIncome[InvestmentP1])</f>
        <v>1110410.1811057436</v>
      </c>
      <c r="R2" s="21">
        <f>SUMIF(TableIncome[Year], "&lt;=" &amp; R1, TableIncome[InvestmentP1])</f>
        <v>1200465.0463005987</v>
      </c>
      <c r="S2" s="21">
        <f>SUMIF(TableIncome[Year], "&lt;=" &amp; S1, TableIncome[InvestmentP1])</f>
        <v>1291420.4601474022</v>
      </c>
      <c r="T2" s="21">
        <f>SUMIF(TableIncome[Year], "&lt;=" &amp; T1, TableIncome[InvestmentP1])</f>
        <v>1392380.9695173544</v>
      </c>
      <c r="U2" s="21">
        <f>SUMIF(TableIncome[Year], "&lt;=" &amp; U1, TableIncome[InvestmentP1])</f>
        <v>1494351.0839810059</v>
      </c>
      <c r="V2" s="21">
        <f>SUMIF(TableIncome[Year], "&lt;=" &amp; V1, TableIncome[InvestmentP1])</f>
        <v>1597340.8995892941</v>
      </c>
      <c r="W2" s="21">
        <f>SUMIF(TableIncome[Year], "&lt;=" &amp; W1, TableIncome[InvestmentP1])</f>
        <v>1701360.613353665</v>
      </c>
      <c r="X2" s="21">
        <f>SUMIF(TableIncome[Year], "&lt;=" &amp; X1, TableIncome[InvestmentP1])</f>
        <v>1816822.4956321167</v>
      </c>
      <c r="Y2" s="21">
        <f>SUMIF(TableIncome[Year], "&lt;=" &amp; Y1, TableIncome[InvestmentP1])</f>
        <v>1933438.996733353</v>
      </c>
      <c r="Z2" s="21">
        <f>SUMIF(TableIncome[Year], "&lt;=" &amp; Z1, TableIncome[InvestmentP1])</f>
        <v>2051221.6628456016</v>
      </c>
      <c r="AA2" s="21">
        <f>SUMIF(TableIncome[Year], "&lt;=" &amp; AA1, TableIncome[InvestmentP1])</f>
        <v>2170182.1556189726</v>
      </c>
      <c r="AB2" s="21">
        <f>SUMIF(TableIncome[Year], "&lt;=" &amp; AB1, TableIncome[InvestmentP1])</f>
        <v>2290332.2533200774</v>
      </c>
      <c r="AC2" s="21">
        <f>SUMIF(TableIncome[Year], "&lt;=" &amp; AC1, TableIncome[InvestmentP1])</f>
        <v>2411683.8519981932</v>
      </c>
      <c r="AD2" s="21">
        <f>SUMIF(TableIncome[Year], "&lt;=" &amp; AD1, TableIncome[InvestmentP1])</f>
        <v>2534248.96666309</v>
      </c>
      <c r="AE2" s="21">
        <f>SUMIF(TableIncome[Year], "&lt;=" &amp; AE1, TableIncome[InvestmentP1])</f>
        <v>2658039.7324746363</v>
      </c>
      <c r="AF2" s="21">
        <f>SUMIF(TableIncome[Year], "&lt;=" &amp; AF1, TableIncome[InvestmentP1])</f>
        <v>2783068.405944298</v>
      </c>
      <c r="AG2" s="21">
        <f>SUMIF(TableIncome[Year], "&lt;=" &amp; AG1, TableIncome[InvestmentP1])</f>
        <v>2909347.3661486562</v>
      </c>
      <c r="AH2" s="21">
        <f>SUMIF(TableIncome[Year], "&lt;=" &amp; AH1, TableIncome[InvestmentP1])</f>
        <v>3036889.115955058</v>
      </c>
      <c r="AI2" s="21">
        <f>SUMIF(TableIncome[Year], "&lt;=" &amp; AI1, TableIncome[InvestmentP1])</f>
        <v>3165706.2832595236</v>
      </c>
      <c r="AJ2" s="21">
        <f>SUMIF(TableIncome[Year], "&lt;=" &amp; AJ1, TableIncome[InvestmentP1])</f>
        <v>3295811.6222370341</v>
      </c>
      <c r="AK2" s="21">
        <f>SUMIF(TableIncome[Year], "&lt;=" &amp; AK1, TableIncome[InvestmentP1])</f>
        <v>3440228.5485020708</v>
      </c>
      <c r="AL2" s="21">
        <f>SUMIF(TableIncome[Year], "&lt;=" &amp; AL1, TableIncome[InvestmentP1])</f>
        <v>3586089.6440297575</v>
      </c>
      <c r="AM2" s="21">
        <f>SUMIF(TableIncome[Year], "&lt;=" &amp; AM1, TableIncome[InvestmentP1])</f>
        <v>3733409.3505127211</v>
      </c>
      <c r="AN2" s="21">
        <f>SUMIF(TableIncome[Year], "&lt;=" &amp; AN1, TableIncome[InvestmentP1])</f>
        <v>3882202.2540605143</v>
      </c>
      <c r="AO2" s="21">
        <f>SUMIF(TableIncome[Year], "&lt;=" &amp; AO1, TableIncome[InvestmentP1])</f>
        <v>4032483.0866437857</v>
      </c>
      <c r="AP2" s="21">
        <f>SUMIF(TableIncome[Year], "&lt;=" &amp; AP1, TableIncome[InvestmentP1])</f>
        <v>4184266.7275528898</v>
      </c>
      <c r="AQ2" s="21">
        <f>SUMIF(TableIncome[Year], "&lt;=" &amp; AQ1, TableIncome[InvestmentP1])</f>
        <v>4337568.2048710845</v>
      </c>
      <c r="AR2" s="21">
        <f>SUMIF(TableIncome[Year], "&lt;=" &amp; AR1, TableIncome[InvestmentP1])</f>
        <v>4492402.6969624618</v>
      </c>
      <c r="AS2" s="21">
        <f>SUMIF(TableIncome[Year], "&lt;=" &amp; AS1, TableIncome[InvestmentP1])</f>
        <v>4648785.5339747528</v>
      </c>
      <c r="AT2" s="21">
        <f>SUMIF(TableIncome[Year], "&lt;=" &amp; AT1, TableIncome[InvestmentP1])</f>
        <v>4806732.1993571669</v>
      </c>
      <c r="AU2" s="21">
        <f>SUMIF(TableIncome[Year], "&lt;=" &amp; AU1, TableIncome[InvestmentP1])</f>
        <v>4806732.1993571669</v>
      </c>
      <c r="AV2" s="21">
        <f>SUMIF(TableIncome[Year], "&lt;=" &amp; AV1, TableIncome[InvestmentP1])</f>
        <v>4806732.1993571669</v>
      </c>
      <c r="AW2" s="21">
        <f>SUMIF(TableIncome[Year], "&lt;=" &amp; AW1, TableIncome[InvestmentP1])</f>
        <v>4806732.1993571669</v>
      </c>
      <c r="AX2" s="21">
        <f>SUMIF(TableIncome[Year], "&lt;=" &amp; AX1, TableIncome[InvestmentP1])</f>
        <v>4806732.1993571669</v>
      </c>
      <c r="AY2" s="21">
        <f>SUMIF(TableIncome[Year], "&lt;=" &amp; AY1, TableIncome[InvestmentP1])</f>
        <v>4806732.1993571669</v>
      </c>
      <c r="AZ2" s="21">
        <f>SUMIF(TableIncome[Year], "&lt;=" &amp; AZ1, TableIncome[InvestmentP1])</f>
        <v>4806732.1993571669</v>
      </c>
    </row>
    <row r="3" spans="1:52" x14ac:dyDescent="0.35">
      <c r="A3" t="s">
        <v>80</v>
      </c>
      <c r="B3" s="21">
        <f>SUMIF(TableIncome[Year], "&lt;=" &amp; B1, TableIncome[InvestmentP2])</f>
        <v>76801.2</v>
      </c>
      <c r="C3" s="21">
        <f>SUMIF(TableIncome[Year], "&lt;=" &amp; C1, TableIncome[InvestmentP2])</f>
        <v>154370.41200000001</v>
      </c>
      <c r="D3" s="21">
        <f>SUMIF(TableIncome[Year], "&lt;=" &amp; D1, TableIncome[InvestmentP2])</f>
        <v>232715.31612000003</v>
      </c>
      <c r="E3" s="21">
        <f>SUMIF(TableIncome[Year], "&lt;=" &amp; E1, TableIncome[InvestmentP2])</f>
        <v>319678.15969320002</v>
      </c>
      <c r="F3" s="21">
        <f>SUMIF(TableIncome[Year], "&lt;=" &amp; F1, TableIncome[InvestmentP2])</f>
        <v>407510.63170213206</v>
      </c>
      <c r="G3" s="21">
        <f>SUMIF(TableIncome[Year], "&lt;=" &amp; G1, TableIncome[InvestmentP2])</f>
        <v>496221.42843115336</v>
      </c>
      <c r="H3" s="21">
        <f>SUMIF(TableIncome[Year], "&lt;=" &amp; H1, TableIncome[InvestmentP2])</f>
        <v>585819.33312746487</v>
      </c>
      <c r="I3" s="21">
        <f>SUMIF(TableIncome[Year], "&lt;=" &amp; I1, TableIncome[InvestmentP2])</f>
        <v>685273.00734037068</v>
      </c>
      <c r="J3" s="21">
        <f>SUMIF(TableIncome[Year], "&lt;=" &amp; J1, TableIncome[InvestmentP2])</f>
        <v>785721.2182954055</v>
      </c>
      <c r="K3" s="21">
        <f>SUMIF(TableIncome[Year], "&lt;=" &amp; K1, TableIncome[InvestmentP2])</f>
        <v>887173.91135999071</v>
      </c>
      <c r="L3" s="21">
        <f>SUMIF(TableIncome[Year], "&lt;=" &amp; L1, TableIncome[InvestmentP2])</f>
        <v>989641.13135522185</v>
      </c>
      <c r="M3" s="21">
        <f>SUMIF(TableIncome[Year], "&lt;=" &amp; M1, TableIncome[InvestmentP2])</f>
        <v>1093133.0235504052</v>
      </c>
      <c r="N3" s="21">
        <f>SUMIF(TableIncome[Year], "&lt;=" &amp; N1, TableIncome[InvestmentP2])</f>
        <v>1197659.8346675404</v>
      </c>
      <c r="O3" s="21">
        <f>SUMIF(TableIncome[Year], "&lt;=" &amp; O1, TableIncome[InvestmentP2])</f>
        <v>1303231.913895847</v>
      </c>
      <c r="P3" s="21">
        <f>SUMIF(TableIncome[Year], "&lt;=" &amp; P1, TableIncome[InvestmentP2])</f>
        <v>1409859.7139164368</v>
      </c>
      <c r="Q3" s="21">
        <f>SUMIF(TableIncome[Year], "&lt;=" &amp; Q1, TableIncome[InvestmentP2])</f>
        <v>1517553.7919372323</v>
      </c>
      <c r="R3" s="21">
        <f>SUMIF(TableIncome[Year], "&lt;=" &amp; R1, TableIncome[InvestmentP2])</f>
        <v>1626324.8107382357</v>
      </c>
      <c r="S3" s="21">
        <f>SUMIF(TableIncome[Year], "&lt;=" &amp; S1, TableIncome[InvestmentP2])</f>
        <v>1736183.5397272492</v>
      </c>
      <c r="T3" s="21">
        <f>SUMIF(TableIncome[Year], "&lt;=" &amp; T1, TableIncome[InvestmentP2])</f>
        <v>1847140.8560061529</v>
      </c>
      <c r="U3" s="21">
        <f>SUMIF(TableIncome[Year], "&lt;=" &amp; U1, TableIncome[InvestmentP2])</f>
        <v>1959207.7454478457</v>
      </c>
      <c r="V3" s="21">
        <f>SUMIF(TableIncome[Year], "&lt;=" &amp; V1, TableIncome[InvestmentP2])</f>
        <v>2083601.9927281246</v>
      </c>
      <c r="W3" s="21">
        <f>SUMIF(TableIncome[Year], "&lt;=" &amp; W1, TableIncome[InvestmentP2])</f>
        <v>2209240.1824812065</v>
      </c>
      <c r="X3" s="21">
        <f>SUMIF(TableIncome[Year], "&lt;=" &amp; X1, TableIncome[InvestmentP2])</f>
        <v>2336134.7541318191</v>
      </c>
      <c r="Y3" s="21">
        <f>SUMIF(TableIncome[Year], "&lt;=" &amp; Y1, TableIncome[InvestmentP2])</f>
        <v>2464298.2714989376</v>
      </c>
      <c r="Z3" s="21">
        <f>SUMIF(TableIncome[Year], "&lt;=" &amp; Z1, TableIncome[InvestmentP2])</f>
        <v>2593743.4240397275</v>
      </c>
      <c r="AA3" s="21">
        <f>SUMIF(TableIncome[Year], "&lt;=" &amp; AA1, TableIncome[InvestmentP2])</f>
        <v>2724483.0281059253</v>
      </c>
      <c r="AB3" s="21">
        <f>SUMIF(TableIncome[Year], "&lt;=" &amp; AB1, TableIncome[InvestmentP2])</f>
        <v>2856530.0282127848</v>
      </c>
      <c r="AC3" s="21">
        <f>SUMIF(TableIncome[Year], "&lt;=" &amp; AC1, TableIncome[InvestmentP2])</f>
        <v>2989897.4983207132</v>
      </c>
      <c r="AD3" s="21">
        <f>SUMIF(TableIncome[Year], "&lt;=" &amp; AD1, TableIncome[InvestmentP2])</f>
        <v>3124598.6431297208</v>
      </c>
      <c r="AE3" s="21">
        <f>SUMIF(TableIncome[Year], "&lt;=" &amp; AE1, TableIncome[InvestmentP2])</f>
        <v>3260646.7993868184</v>
      </c>
      <c r="AF3" s="21">
        <f>SUMIF(TableIncome[Year], "&lt;=" &amp; AF1, TableIncome[InvestmentP2])</f>
        <v>3260646.7993868184</v>
      </c>
      <c r="AG3" s="21">
        <f>SUMIF(TableIncome[Year], "&lt;=" &amp; AG1, TableIncome[InvestmentP2])</f>
        <v>3260646.7993868184</v>
      </c>
      <c r="AH3" s="21">
        <f>SUMIF(TableIncome[Year], "&lt;=" &amp; AH1, TableIncome[InvestmentP2])</f>
        <v>3260646.7993868184</v>
      </c>
      <c r="AI3" s="21">
        <f>SUMIF(TableIncome[Year], "&lt;=" &amp; AI1, TableIncome[InvestmentP2])</f>
        <v>3260646.7993868184</v>
      </c>
      <c r="AJ3" s="21">
        <f>SUMIF(TableIncome[Year], "&lt;=" &amp; AJ1, TableIncome[InvestmentP2])</f>
        <v>3260646.7993868184</v>
      </c>
      <c r="AK3" s="21">
        <f>SUMIF(TableIncome[Year], "&lt;=" &amp; AK1, TableIncome[InvestmentP2])</f>
        <v>3260646.7993868184</v>
      </c>
      <c r="AL3" s="21">
        <f>SUMIF(TableIncome[Year], "&lt;=" &amp; AL1, TableIncome[InvestmentP2])</f>
        <v>3260646.7993868184</v>
      </c>
      <c r="AM3" s="21">
        <f>SUMIF(TableIncome[Year], "&lt;=" &amp; AM1, TableIncome[InvestmentP2])</f>
        <v>3260646.7993868184</v>
      </c>
      <c r="AN3" s="21">
        <f>SUMIF(TableIncome[Year], "&lt;=" &amp; AN1, TableIncome[InvestmentP2])</f>
        <v>3260646.7993868184</v>
      </c>
      <c r="AO3" s="21">
        <f>SUMIF(TableIncome[Year], "&lt;=" &amp; AO1, TableIncome[InvestmentP2])</f>
        <v>3260646.7993868184</v>
      </c>
      <c r="AP3" s="21">
        <f>SUMIF(TableIncome[Year], "&lt;=" &amp; AP1, TableIncome[InvestmentP2])</f>
        <v>3260646.7993868184</v>
      </c>
      <c r="AQ3" s="21">
        <f>SUMIF(TableIncome[Year], "&lt;=" &amp; AQ1, TableIncome[InvestmentP2])</f>
        <v>3260646.7993868184</v>
      </c>
      <c r="AR3" s="21">
        <f>SUMIF(TableIncome[Year], "&lt;=" &amp; AR1, TableIncome[InvestmentP2])</f>
        <v>3260646.7993868184</v>
      </c>
      <c r="AS3" s="21">
        <f>SUMIF(TableIncome[Year], "&lt;=" &amp; AS1, TableIncome[InvestmentP2])</f>
        <v>3260646.7993868184</v>
      </c>
      <c r="AT3" s="21">
        <f>SUMIF(TableIncome[Year], "&lt;=" &amp; AT1, TableIncome[InvestmentP2])</f>
        <v>3260646.7993868184</v>
      </c>
      <c r="AU3" s="21">
        <f>SUMIF(TableIncome[Year], "&lt;=" &amp; AU1, TableIncome[InvestmentP2])</f>
        <v>3260646.7993868184</v>
      </c>
      <c r="AV3" s="21">
        <f>SUMIF(TableIncome[Year], "&lt;=" &amp; AV1, TableIncome[InvestmentP2])</f>
        <v>3260646.7993868184</v>
      </c>
      <c r="AW3" s="21">
        <f>SUMIF(TableIncome[Year], "&lt;=" &amp; AW1, TableIncome[InvestmentP2])</f>
        <v>3260646.7993868184</v>
      </c>
      <c r="AX3" s="21">
        <f>SUMIF(TableIncome[Year], "&lt;=" &amp; AX1, TableIncome[InvestmentP2])</f>
        <v>3260646.7993868184</v>
      </c>
      <c r="AY3" s="21">
        <f>SUMIF(TableIncome[Year], "&lt;=" &amp; AY1, TableIncome[InvestmentP2])</f>
        <v>3260646.7993868184</v>
      </c>
      <c r="AZ3" s="21">
        <f>SUMIF(TableIncome[Year], "&lt;=" &amp; AZ1, TableIncome[InvestmentP2])</f>
        <v>3260646.7993868184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C7845-66C9-4B62-8816-3970D572CDFE}">
  <dimension ref="A1:AZ7"/>
  <sheetViews>
    <sheetView workbookViewId="0">
      <selection activeCell="C2" sqref="C2"/>
    </sheetView>
  </sheetViews>
  <sheetFormatPr defaultRowHeight="14.5" x14ac:dyDescent="0.35"/>
  <cols>
    <col min="1" max="1" width="13.453125" bestFit="1" customWidth="1"/>
    <col min="2" max="2" width="11.1796875" bestFit="1" customWidth="1"/>
    <col min="3" max="3" width="11.54296875" bestFit="1" customWidth="1"/>
    <col min="4" max="16" width="12.1796875" bestFit="1" customWidth="1"/>
    <col min="17" max="43" width="8.81640625" bestFit="1" customWidth="1"/>
    <col min="44" max="45" width="12.1796875" bestFit="1" customWidth="1"/>
    <col min="46" max="46" width="13.81640625" bestFit="1" customWidth="1"/>
    <col min="47" max="47" width="12.1796875" bestFit="1" customWidth="1"/>
    <col min="48" max="52" width="13.816406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35">
      <c r="A2" t="s">
        <v>163</v>
      </c>
      <c r="B2" s="31">
        <f>'GBI Allocations P1'!B2*Wealth!B$2</f>
        <v>2279.5371600000003</v>
      </c>
      <c r="C2" s="31">
        <f>'GBI Allocations P1'!C2*Wealth!C$2</f>
        <v>40379.710723199998</v>
      </c>
      <c r="D2" s="31">
        <f>'GBI Allocations P1'!D2*Wealth!D$2</f>
        <v>155787.81324397202</v>
      </c>
      <c r="E2" s="31">
        <f>'GBI Allocations P1'!E2*Wealth!E$2</f>
        <v>3119.82893440308</v>
      </c>
      <c r="F2" s="31">
        <f>'GBI Allocations P1'!F2*Wealth!F$2</f>
        <v>273610.35834144312</v>
      </c>
      <c r="G2" s="31">
        <f>'GBI Allocations P1'!G2*Wealth!G$2</f>
        <v>339867.37118179875</v>
      </c>
      <c r="H2" s="31">
        <f>'GBI Allocations P1'!H2*Wealth!H$2</f>
        <v>389670.73720251315</v>
      </c>
      <c r="I2" s="31">
        <f>'GBI Allocations P1'!I2*Wealth!I$2</f>
        <v>450775.05939185194</v>
      </c>
      <c r="J2" s="31">
        <f>'GBI Allocations P1'!J2*Wealth!J$2</f>
        <v>4729.9076312798597</v>
      </c>
      <c r="K2" s="31">
        <f>'GBI Allocations P1'!K2*Wealth!K$2</f>
        <v>603548.47259147128</v>
      </c>
      <c r="L2" s="31">
        <f>'GBI Allocations P1'!L2*Wealth!L$2</f>
        <v>13795.161027992195</v>
      </c>
      <c r="M2" s="31">
        <f>'GBI Allocations P1'!M2*Wealth!M$2</f>
        <v>40671.231778185189</v>
      </c>
      <c r="N2" s="31">
        <f>'GBI Allocations P1'!N2*Wealth!N$2</f>
        <v>497893.74681798433</v>
      </c>
      <c r="O2" s="31">
        <f>'GBI Allocations P1'!O2*Wealth!O$2</f>
        <v>1212.8564755569096</v>
      </c>
      <c r="P2" s="31">
        <f>'GBI Allocations P1'!P2*Wealth!P$2</f>
        <v>13888.958496057887</v>
      </c>
      <c r="Q2" s="31">
        <f>'GBI Allocations P1'!Q2*Wealth!Q$2</f>
        <v>1074877.0553103597</v>
      </c>
      <c r="R2" s="31">
        <f>'GBI Allocations P1'!R2*Wealth!R$2</f>
        <v>11644.510949115807</v>
      </c>
      <c r="S2" s="31">
        <f>'GBI Allocations P1'!S2*Wealth!S$2</f>
        <v>1258876.6645516877</v>
      </c>
      <c r="T2" s="31">
        <f>'GBI Allocations P1'!T2*Wealth!T$2</f>
        <v>974.66667866214823</v>
      </c>
      <c r="U2" s="31">
        <f>'GBI Allocations P1'!U2*Wealth!U$2</f>
        <v>568002.84702118032</v>
      </c>
      <c r="V2" s="31">
        <f>'GBI Allocations P1'!V2*Wealth!V$2</f>
        <v>5111.4908786857413</v>
      </c>
      <c r="W2" s="31">
        <f>'GBI Allocations P1'!W2*Wealth!W$2</f>
        <v>8336.6670054329588</v>
      </c>
      <c r="X2" s="31">
        <f>'GBI Allocations P1'!X2*Wealth!X$2</f>
        <v>631164.13498259743</v>
      </c>
      <c r="Y2" s="31">
        <f>'GBI Allocations P1'!Y2*Wealth!Y$2</f>
        <v>290982.56900836964</v>
      </c>
      <c r="Z2" s="31">
        <f>'GBI Allocations P1'!Z2*Wealth!Z$2</f>
        <v>141739.41690263106</v>
      </c>
      <c r="AA2" s="31">
        <f>'GBI Allocations P1'!AA2*Wealth!AA$2</f>
        <v>2054728.4649400434</v>
      </c>
      <c r="AB2" s="31">
        <f>'GBI Allocations P1'!AB2*Wealth!AB$2</f>
        <v>653660.82509755006</v>
      </c>
      <c r="AC2" s="31">
        <f>'GBI Allocations P1'!AC2*Wealth!AC$2</f>
        <v>229592.30271022799</v>
      </c>
      <c r="AD2" s="31">
        <f>'GBI Allocations P1'!AD2*Wealth!AD$2</f>
        <v>287890.68261292699</v>
      </c>
      <c r="AE2" s="31">
        <f>'GBI Allocations P1'!AE2*Wealth!AE$2</f>
        <v>162406.22765420028</v>
      </c>
      <c r="AF2" s="31">
        <f>'GBI Allocations P1'!AF2*Wealth!AF$2</f>
        <v>87110.041106056538</v>
      </c>
      <c r="AG2" s="31">
        <f>'GBI Allocations P1'!AG2*Wealth!AG$2</f>
        <v>160014.10513817609</v>
      </c>
      <c r="AH2" s="31">
        <f>'GBI Allocations P1'!AH2*Wealth!AH$2</f>
        <v>254491.3079170339</v>
      </c>
      <c r="AI2" s="31">
        <f>'GBI Allocations P1'!AI2*Wealth!AI$2</f>
        <v>567294.56596010667</v>
      </c>
      <c r="AJ2" s="31">
        <f>'GBI Allocations P1'!AJ2*Wealth!AJ$2</f>
        <v>142708.64324286356</v>
      </c>
      <c r="AK2" s="31">
        <f>'GBI Allocations P1'!AK2*Wealth!AK$2</f>
        <v>101142.71932596088</v>
      </c>
      <c r="AL2" s="31">
        <f>'GBI Allocations P1'!AL2*Wealth!AL$2</f>
        <v>42674.466763954108</v>
      </c>
      <c r="AM2" s="31">
        <f>'GBI Allocations P1'!AM2*Wealth!AM$2</f>
        <v>27253.888258742863</v>
      </c>
      <c r="AN2" s="31">
        <f>'GBI Allocations P1'!AN2*Wealth!AN$2</f>
        <v>65220.997868216633</v>
      </c>
      <c r="AO2" s="31">
        <f>'GBI Allocations P1'!AO2*Wealth!AO$2</f>
        <v>190333.20168958668</v>
      </c>
      <c r="AP2" s="31">
        <f>'GBI Allocations P1'!AP2*Wealth!AP$2</f>
        <v>42261.093948284186</v>
      </c>
      <c r="AQ2" s="31">
        <f>'GBI Allocations P1'!AQ2*Wealth!AQ$2</f>
        <v>0</v>
      </c>
      <c r="AR2" s="31">
        <f>'GBI Allocations P1'!AR2*Wealth!AR$2</f>
        <v>21563.532945419814</v>
      </c>
      <c r="AS2" s="31">
        <f>'GBI Allocations P1'!AS2*Wealth!AS$2</f>
        <v>17665.385029104062</v>
      </c>
      <c r="AT2" s="31">
        <f>'GBI Allocations P1'!AT2*Wealth!AT$2</f>
        <v>87482.526028300446</v>
      </c>
      <c r="AU2" s="31">
        <f>'GBI Allocations P1'!AU2*Wealth!AU$2</f>
        <v>59603.479272028868</v>
      </c>
      <c r="AV2" s="31">
        <f>'GBI Allocations P1'!AV2*Wealth!AV$2</f>
        <v>28840.393196143003</v>
      </c>
      <c r="AW2" s="31">
        <f>'GBI Allocations P1'!AW2*Wealth!AW$2</f>
        <v>42299.243354343074</v>
      </c>
      <c r="AX2" s="31">
        <f>'GBI Allocations P1'!AX2*Wealth!AX$2</f>
        <v>34127.79861543588</v>
      </c>
      <c r="AY2" s="31">
        <f>'GBI Allocations P1'!AY2*Wealth!AY$2</f>
        <v>33647.125395500167</v>
      </c>
      <c r="AZ2" s="31">
        <f>'GBI Allocations P1'!AZ2*Wealth!AZ$2</f>
        <v>14900.869818007217</v>
      </c>
    </row>
    <row r="3" spans="1:52" x14ac:dyDescent="0.35">
      <c r="A3" t="s">
        <v>164</v>
      </c>
      <c r="B3" s="31">
        <f>'GBI Allocations P1'!B3*Wealth!B$2</f>
        <v>7507.2055200000004</v>
      </c>
      <c r="C3" s="31">
        <f>'GBI Allocations P1'!C3*Wealth!C$2</f>
        <v>275.12381520000002</v>
      </c>
      <c r="D3" s="31">
        <f>'GBI Allocations P1'!D3*Wealth!D$2</f>
        <v>2373.6583543680003</v>
      </c>
      <c r="E3" s="31">
        <f>'GBI Allocations P1'!E3*Wealth!E$2</f>
        <v>211430.13354012242</v>
      </c>
      <c r="F3" s="31">
        <f>'GBI Allocations P1'!F3*Wealth!F$2</f>
        <v>1793.3263187173238</v>
      </c>
      <c r="G3" s="31">
        <f>'GBI Allocations P1'!G3*Wealth!G$2</f>
        <v>1485.4947103900536</v>
      </c>
      <c r="H3" s="31">
        <f>'GBI Allocations P1'!H3*Wealth!H$2</f>
        <v>6318.3152598542301</v>
      </c>
      <c r="I3" s="31">
        <f>'GBI Allocations P1'!I3*Wealth!I$2</f>
        <v>4378.3253714012735</v>
      </c>
      <c r="J3" s="31">
        <f>'GBI Allocations P1'!J3*Wealth!J$2</f>
        <v>3519.9312604873376</v>
      </c>
      <c r="K3" s="31">
        <f>'GBI Allocations P1'!K3*Wealth!K$2</f>
        <v>2292.2699123264665</v>
      </c>
      <c r="L3" s="31">
        <f>'GBI Allocations P1'!L3*Wealth!L$2</f>
        <v>32815.761839314771</v>
      </c>
      <c r="M3" s="31">
        <f>'GBI Allocations P1'!M3*Wealth!M$2</f>
        <v>2943.8224906114997</v>
      </c>
      <c r="N3" s="31">
        <f>'GBI Allocations P1'!N3*Wealth!N$2</f>
        <v>45488.064287621812</v>
      </c>
      <c r="O3" s="31">
        <f>'GBI Allocations P1'!O3*Wealth!O$2</f>
        <v>874469.51887653186</v>
      </c>
      <c r="P3" s="31">
        <f>'GBI Allocations P1'!P3*Wealth!P$2</f>
        <v>714.87286376768543</v>
      </c>
      <c r="Q3" s="31">
        <f>'GBI Allocations P1'!Q3*Wealth!Q$2</f>
        <v>5663.0919236392929</v>
      </c>
      <c r="R3" s="31">
        <f>'GBI Allocations P1'!R3*Wealth!R$2</f>
        <v>1080.4185416705388</v>
      </c>
      <c r="S3" s="31">
        <f>'GBI Allocations P1'!S3*Wealth!S$2</f>
        <v>3874.2613804422067</v>
      </c>
      <c r="T3" s="31">
        <f>'GBI Allocations P1'!T3*Wealth!T$2</f>
        <v>417.71429085520629</v>
      </c>
      <c r="U3" s="31">
        <f>'GBI Allocations P1'!U3*Wealth!U$2</f>
        <v>514803.94843145658</v>
      </c>
      <c r="V3" s="31">
        <f>'GBI Allocations P1'!V3*Wealth!V$2</f>
        <v>1500542.0410741828</v>
      </c>
      <c r="W3" s="31">
        <f>'GBI Allocations P1'!W3*Wealth!W$2</f>
        <v>1616973.1269313232</v>
      </c>
      <c r="X3" s="31">
        <f>'GBI Allocations P1'!X3*Wealth!X$2</f>
        <v>27615.701933608172</v>
      </c>
      <c r="Y3" s="31">
        <f>'GBI Allocations P1'!Y3*Wealth!Y$2</f>
        <v>142107.76625990143</v>
      </c>
      <c r="Z3" s="31">
        <f>'GBI Allocations P1'!Z3*Wealth!Z$2</f>
        <v>279171.26831328636</v>
      </c>
      <c r="AA3" s="31">
        <f>'GBI Allocations P1'!AA3*Wealth!AA$2</f>
        <v>30599.568394227514</v>
      </c>
      <c r="AB3" s="31">
        <f>'GBI Allocations P1'!AB3*Wealth!AB$2</f>
        <v>566399.16624605516</v>
      </c>
      <c r="AC3" s="31">
        <f>'GBI Allocations P1'!AC3*Wealth!AC$2</f>
        <v>89714.639294332796</v>
      </c>
      <c r="AD3" s="31">
        <f>'GBI Allocations P1'!AD3*Wealth!AD$2</f>
        <v>139637.11806313627</v>
      </c>
      <c r="AE3" s="31">
        <f>'GBI Allocations P1'!AE3*Wealth!AE$2</f>
        <v>191644.66471142127</v>
      </c>
      <c r="AF3" s="31">
        <f>'GBI Allocations P1'!AF3*Wealth!AF$2</f>
        <v>173663.4685309242</v>
      </c>
      <c r="AG3" s="31">
        <f>'GBI Allocations P1'!AG3*Wealth!AG$2</f>
        <v>16292.345250432478</v>
      </c>
      <c r="AH3" s="31">
        <f>'GBI Allocations P1'!AH3*Wealth!AH$2</f>
        <v>4859.0225855280933</v>
      </c>
      <c r="AI3" s="31">
        <f>'GBI Allocations P1'!AI3*Wealth!AI$2</f>
        <v>174430.41620759974</v>
      </c>
      <c r="AJ3" s="31">
        <f>'GBI Allocations P1'!AJ3*Wealth!AJ$2</f>
        <v>355288.49287715228</v>
      </c>
      <c r="AK3" s="31">
        <f>'GBI Allocations P1'!AK3*Wealth!AK$2</f>
        <v>37842.514033522784</v>
      </c>
      <c r="AL3" s="31">
        <f>'GBI Allocations P1'!AL3*Wealth!AL$2</f>
        <v>78535.363204251684</v>
      </c>
      <c r="AM3" s="31">
        <f>'GBI Allocations P1'!AM3*Wealth!AM$2</f>
        <v>42560.866595845015</v>
      </c>
      <c r="AN3" s="31">
        <f>'GBI Allocations P1'!AN3*Wealth!AN$2</f>
        <v>24846.094425987292</v>
      </c>
      <c r="AO3" s="31">
        <f>'GBI Allocations P1'!AO3*Wealth!AO$2</f>
        <v>38308.589323115964</v>
      </c>
      <c r="AP3" s="31">
        <f>'GBI Allocations P1'!AP3*Wealth!AP$2</f>
        <v>48537.494039613521</v>
      </c>
      <c r="AQ3" s="31">
        <f>'GBI Allocations P1'!AQ3*Wealth!AQ$2</f>
        <v>0</v>
      </c>
      <c r="AR3" s="31">
        <f>'GBI Allocations P1'!AR3*Wealth!AR$2</f>
        <v>113657.78823315028</v>
      </c>
      <c r="AS3" s="31">
        <f>'GBI Allocations P1'!AS3*Wealth!AS$2</f>
        <v>31611.741631028322</v>
      </c>
      <c r="AT3" s="31">
        <f>'GBI Allocations P1'!AT3*Wealth!AT$2</f>
        <v>179291.11103602231</v>
      </c>
      <c r="AU3" s="31">
        <f>'GBI Allocations P1'!AU3*Wealth!AU$2</f>
        <v>24033.660996785835</v>
      </c>
      <c r="AV3" s="31">
        <f>'GBI Allocations P1'!AV3*Wealth!AV$2</f>
        <v>24514.334216721552</v>
      </c>
      <c r="AW3" s="31">
        <f>'GBI Allocations P1'!AW3*Wealth!AW$2</f>
        <v>112958.20668489342</v>
      </c>
      <c r="AX3" s="31">
        <f>'GBI Allocations P1'!AX3*Wealth!AX$2</f>
        <v>7690.7715189714672</v>
      </c>
      <c r="AY3" s="31">
        <f>'GBI Allocations P1'!AY3*Wealth!AY$2</f>
        <v>57200.113172350284</v>
      </c>
      <c r="AZ3" s="31">
        <f>'GBI Allocations P1'!AZ3*Wealth!AZ$2</f>
        <v>27398.373536335846</v>
      </c>
    </row>
    <row r="4" spans="1:52" x14ac:dyDescent="0.35">
      <c r="A4" t="s">
        <v>165</v>
      </c>
      <c r="B4" s="31">
        <f>'GBI Allocations P1'!B4*Wealth!B$2</f>
        <v>10.529040000000002</v>
      </c>
      <c r="C4" s="31">
        <f>'GBI Allocations P1'!C4*Wealth!C$2</f>
        <v>1026.4234644000001</v>
      </c>
      <c r="D4" s="31">
        <f>'GBI Allocations P1'!D4*Wealth!D$2</f>
        <v>989.02431432000014</v>
      </c>
      <c r="E4" s="31">
        <f>'GBI Allocations P1'!E4*Wealth!E$2</f>
        <v>1773.1401857398803</v>
      </c>
      <c r="F4" s="31">
        <f>'GBI Allocations P1'!F4*Wealth!F$2</f>
        <v>2277.2397697997762</v>
      </c>
      <c r="G4" s="31">
        <f>'GBI Allocations P1'!G4*Wealth!G$2</f>
        <v>863.65971534305447</v>
      </c>
      <c r="H4" s="31">
        <f>'GBI Allocations P1'!H4*Wealth!H$2</f>
        <v>3551.4713225324431</v>
      </c>
      <c r="I4" s="31">
        <f>'GBI Allocations P1'!I4*Wealth!I$2</f>
        <v>8131.1756897452206</v>
      </c>
      <c r="J4" s="31">
        <f>'GBI Allocations P1'!J4*Wealth!J$2</f>
        <v>527164.70518392383</v>
      </c>
      <c r="K4" s="31">
        <f>'GBI Allocations P1'!K4*Wealth!K$2</f>
        <v>7558.2953865899699</v>
      </c>
      <c r="L4" s="31">
        <f>'GBI Allocations P1'!L4*Wealth!L$2</f>
        <v>8012.341001106578</v>
      </c>
      <c r="M4" s="31">
        <f>'GBI Allocations P1'!M4*Wealth!M$2</f>
        <v>464.81407746497359</v>
      </c>
      <c r="N4" s="31">
        <f>'GBI Allocations P1'!N4*Wealth!N$2</f>
        <v>48731.115775294653</v>
      </c>
      <c r="O4" s="31">
        <f>'GBI Allocations P1'!O4*Wealth!O$2</f>
        <v>19125.813653012803</v>
      </c>
      <c r="P4" s="31">
        <f>'GBI Allocations P1'!P4*Wealth!P$2</f>
        <v>976312.08251701016</v>
      </c>
      <c r="Q4" s="31">
        <f>'GBI Allocations P1'!Q4*Wealth!Q$2</f>
        <v>10659.937738615137</v>
      </c>
      <c r="R4" s="31">
        <f>'GBI Allocations P1'!R4*Wealth!R$2</f>
        <v>5762.2322222428729</v>
      </c>
      <c r="S4" s="31">
        <f>'GBI Allocations P1'!S4*Wealth!S$2</f>
        <v>2970.267058339025</v>
      </c>
      <c r="T4" s="31">
        <f>'GBI Allocations P1'!T4*Wealth!T$2</f>
        <v>13366.857307366601</v>
      </c>
      <c r="U4" s="31">
        <f>'GBI Allocations P1'!U4*Wealth!U$2</f>
        <v>28840.975920833411</v>
      </c>
      <c r="V4" s="31">
        <f>'GBI Allocations P1'!V4*Wealth!V$2</f>
        <v>30988.413452032306</v>
      </c>
      <c r="W4" s="31">
        <f>'GBI Allocations P1'!W4*Wealth!W$2</f>
        <v>21777.415850926915</v>
      </c>
      <c r="X4" s="31">
        <f>'GBI Allocations P1'!X4*Wealth!X$2</f>
        <v>13989.533216367299</v>
      </c>
      <c r="Y4" s="31">
        <f>'GBI Allocations P1'!Y4*Wealth!Y$2</f>
        <v>409695.72340779752</v>
      </c>
      <c r="Z4" s="31">
        <f>'GBI Allocations P1'!Z4*Wealth!Z$2</f>
        <v>235275.12472839051</v>
      </c>
      <c r="AA4" s="31">
        <f>'GBI Allocations P1'!AA4*Wealth!AA$2</f>
        <v>32118.695903160795</v>
      </c>
      <c r="AB4" s="31">
        <f>'GBI Allocations P1'!AB4*Wealth!AB$2</f>
        <v>592737.98715923599</v>
      </c>
      <c r="AC4" s="31">
        <f>'GBI Allocations P1'!AC4*Wealth!AC$2</f>
        <v>315689.41622656345</v>
      </c>
      <c r="AD4" s="31">
        <f>'GBI Allocations P1'!AD4*Wealth!AD$2</f>
        <v>350740.05698617164</v>
      </c>
      <c r="AE4" s="31">
        <f>'GBI Allocations P1'!AE4*Wealth!AE$2</f>
        <v>172506.77863760389</v>
      </c>
      <c r="AF4" s="31">
        <f>'GBI Allocations P1'!AF4*Wealth!AF$2</f>
        <v>185630.66267648467</v>
      </c>
      <c r="AG4" s="31">
        <f>'GBI Allocations P1'!AG4*Wealth!AG$2</f>
        <v>330210.92605787248</v>
      </c>
      <c r="AH4" s="31">
        <f>'GBI Allocations P1'!AH4*Wealth!AH$2</f>
        <v>373841.05017406767</v>
      </c>
      <c r="AI4" s="31">
        <f>'GBI Allocations P1'!AI4*Wealth!AI$2</f>
        <v>78826.086453162148</v>
      </c>
      <c r="AJ4" s="31">
        <f>'GBI Allocations P1'!AJ4*Wealth!AJ$2</f>
        <v>288053.93578351679</v>
      </c>
      <c r="AK4" s="31">
        <f>'GBI Allocations P1'!AK4*Wealth!AK$2</f>
        <v>10664.708500356419</v>
      </c>
      <c r="AL4" s="31">
        <f>'GBI Allocations P1'!AL4*Wealth!AL$2</f>
        <v>81045.625955072508</v>
      </c>
      <c r="AM4" s="31">
        <f>'GBI Allocations P1'!AM4*Wealth!AM$2</f>
        <v>746.68187010254428</v>
      </c>
      <c r="AN4" s="31">
        <f>'GBI Allocations P1'!AN4*Wealth!AN$2</f>
        <v>19799.231495708624</v>
      </c>
      <c r="AO4" s="31">
        <f>'GBI Allocations P1'!AO4*Wealth!AO$2</f>
        <v>149201.87420582009</v>
      </c>
      <c r="AP4" s="31">
        <f>'GBI Allocations P1'!AP4*Wealth!AP$2</f>
        <v>63600.854258803927</v>
      </c>
      <c r="AQ4" s="31">
        <f>'GBI Allocations P1'!AQ4*Wealth!AQ$2</f>
        <v>228156.08757621906</v>
      </c>
      <c r="AR4" s="31">
        <f>'GBI Allocations P1'!AR4*Wealth!AR$2</f>
        <v>79066.287466539332</v>
      </c>
      <c r="AS4" s="31">
        <f>'GBI Allocations P1'!AS4*Wealth!AS$2</f>
        <v>929.75710679495057</v>
      </c>
      <c r="AT4" s="31">
        <f>'GBI Allocations P1'!AT4*Wealth!AT$2</f>
        <v>163428.89477814367</v>
      </c>
      <c r="AU4" s="31">
        <f>'GBI Allocations P1'!AU4*Wealth!AU$2</f>
        <v>8652.1179588429004</v>
      </c>
      <c r="AV4" s="31">
        <f>'GBI Allocations P1'!AV4*Wealth!AV$2</f>
        <v>15862.21625787865</v>
      </c>
      <c r="AW4" s="31">
        <f>'GBI Allocations P1'!AW4*Wealth!AW$2</f>
        <v>68736.270450807482</v>
      </c>
      <c r="AX4" s="31">
        <f>'GBI Allocations P1'!AX4*Wealth!AX$2</f>
        <v>7690.7715189714672</v>
      </c>
      <c r="AY4" s="31">
        <f>'GBI Allocations P1'!AY4*Wealth!AY$2</f>
        <v>67774.924010936054</v>
      </c>
      <c r="AZ4" s="31">
        <f>'GBI Allocations P1'!AZ4*Wealth!AZ$2</f>
        <v>1442.01965980715</v>
      </c>
    </row>
    <row r="5" spans="1:52" x14ac:dyDescent="0.35">
      <c r="A5" t="s">
        <v>166</v>
      </c>
      <c r="B5" s="31">
        <f>'GBI Allocations P1'!B5*Wealth!B$2</f>
        <v>17636.142000000003</v>
      </c>
      <c r="C5" s="31">
        <f>'GBI Allocations P1'!C5*Wealth!C$2</f>
        <v>1386.2007612000002</v>
      </c>
      <c r="D5" s="31">
        <f>'GBI Allocations P1'!D5*Wealth!D$2</f>
        <v>2439.5933086560003</v>
      </c>
      <c r="E5" s="31">
        <f>'GBI Allocations P1'!E5*Wealth!E$2</f>
        <v>1458.9128110518002</v>
      </c>
      <c r="F5" s="31">
        <f>'GBI Allocations P1'!F5*Wealth!F$2</f>
        <v>2561.8947410247488</v>
      </c>
      <c r="G5" s="31">
        <f>'GBI Allocations P1'!G5*Wealth!G$2</f>
        <v>1381.8555445488871</v>
      </c>
      <c r="H5" s="31">
        <f>'GBI Allocations P1'!H5*Wealth!H$2</f>
        <v>3386.286609856515</v>
      </c>
      <c r="I5" s="31">
        <f>'GBI Allocations P1'!I5*Wealth!I$2</f>
        <v>6543.4313242920134</v>
      </c>
      <c r="J5" s="31">
        <f>'GBI Allocations P1'!J5*Wealth!J$2</f>
        <v>5444.8936685663493</v>
      </c>
      <c r="K5" s="31">
        <f>'GBI Allocations P1'!K5*Wealth!K$2</f>
        <v>4088.9138976634267</v>
      </c>
      <c r="L5" s="31">
        <f>'GBI Allocations P1'!L5*Wealth!L$2</f>
        <v>608728.89849276678</v>
      </c>
      <c r="M5" s="31">
        <f>'GBI Allocations P1'!M5*Wealth!M$2</f>
        <v>719454.72290286841</v>
      </c>
      <c r="N5" s="31">
        <f>'GBI Allocations P1'!N5*Wealth!N$2</f>
        <v>118200.69237965516</v>
      </c>
      <c r="O5" s="31">
        <f>'GBI Allocations P1'!O5*Wealth!O$2</f>
        <v>466.48325982958062</v>
      </c>
      <c r="P5" s="31">
        <f>'GBI Allocations P1'!P5*Wealth!P$2</f>
        <v>6740.2298583810334</v>
      </c>
      <c r="Q5" s="31">
        <f>'GBI Allocations P1'!Q5*Wealth!Q$2</f>
        <v>4552.6817425335485</v>
      </c>
      <c r="R5" s="31">
        <f>'GBI Allocations P1'!R5*Wealth!R$2</f>
        <v>1167812.3970412223</v>
      </c>
      <c r="S5" s="31">
        <f>'GBI Allocations P1'!S5*Wealth!S$2</f>
        <v>10718.789819223439</v>
      </c>
      <c r="T5" s="31">
        <f>'GBI Allocations P1'!T5*Wealth!T$2</f>
        <v>842808.20084885473</v>
      </c>
      <c r="U5" s="31">
        <f>'GBI Allocations P1'!U5*Wealth!U$2</f>
        <v>349229.8483263611</v>
      </c>
      <c r="V5" s="31">
        <f>'GBI Allocations P1'!V5*Wealth!V$2</f>
        <v>28592.402102648364</v>
      </c>
      <c r="W5" s="31">
        <f>'GBI Allocations P1'!W5*Wealth!W$2</f>
        <v>14631.701274841518</v>
      </c>
      <c r="X5" s="31">
        <f>'GBI Allocations P1'!X5*Wealth!X$2</f>
        <v>353735.33989957307</v>
      </c>
      <c r="Y5" s="31">
        <f>'GBI Allocations P1'!Y5*Wealth!Y$2</f>
        <v>93965.135241240961</v>
      </c>
      <c r="Z5" s="31">
        <f>'GBI Allocations P1'!Z5*Wealth!Z$2</f>
        <v>355271.59200485819</v>
      </c>
      <c r="AA5" s="31">
        <f>'GBI Allocations P1'!AA5*Wealth!AA$2</f>
        <v>19748.657616132652</v>
      </c>
      <c r="AB5" s="31">
        <f>'GBI Allocations P1'!AB5*Wealth!AB$2</f>
        <v>131236.03811524046</v>
      </c>
      <c r="AC5" s="31">
        <f>'GBI Allocations P1'!AC5*Wealth!AC$2</f>
        <v>295431.27186977863</v>
      </c>
      <c r="AD5" s="31">
        <f>'GBI Allocations P1'!AD5*Wealth!AD$2</f>
        <v>76027.468999892691</v>
      </c>
      <c r="AE5" s="31">
        <f>'GBI Allocations P1'!AE5*Wealth!AE$2</f>
        <v>116953.74822888401</v>
      </c>
      <c r="AF5" s="31">
        <f>'GBI Allocations P1'!AF5*Wealth!AF$2</f>
        <v>171993.62748735759</v>
      </c>
      <c r="AG5" s="31">
        <f>'GBI Allocations P1'!AG5*Wealth!AG$2</f>
        <v>596998.07953370421</v>
      </c>
      <c r="AH5" s="31">
        <f>'GBI Allocations P1'!AH5*Wealth!AH$2</f>
        <v>205597.39315015741</v>
      </c>
      <c r="AI5" s="31">
        <f>'GBI Allocations P1'!AI5*Wealth!AI$2</f>
        <v>580907.10297812265</v>
      </c>
      <c r="AJ5" s="31">
        <f>'GBI Allocations P1'!AJ5*Wealth!AJ$2</f>
        <v>282121.47486349015</v>
      </c>
      <c r="AK5" s="31">
        <f>'GBI Allocations P1'!AK5*Wealth!AK$2</f>
        <v>113527.54210056835</v>
      </c>
      <c r="AL5" s="31">
        <f>'GBI Allocations P1'!AL5*Wealth!AL$2</f>
        <v>64549.613592535643</v>
      </c>
      <c r="AM5" s="31">
        <f>'GBI Allocations P1'!AM5*Wealth!AM$2</f>
        <v>13066.932726794523</v>
      </c>
      <c r="AN5" s="31">
        <f>'GBI Allocations P1'!AN5*Wealth!AN$2</f>
        <v>29116.516905453856</v>
      </c>
      <c r="AO5" s="31">
        <f>'GBI Allocations P1'!AO5*Wealth!AO$2</f>
        <v>144766.14281051193</v>
      </c>
      <c r="AP5" s="31">
        <f>'GBI Allocations P1'!AP5*Wealth!AP$2</f>
        <v>53140.187439921698</v>
      </c>
      <c r="AQ5" s="31">
        <f>'GBI Allocations P1'!AQ5*Wealth!AQ$2</f>
        <v>7373.8659482808443</v>
      </c>
      <c r="AR5" s="31">
        <f>'GBI Allocations P1'!AR5*Wealth!AR$2</f>
        <v>16621.889978761108</v>
      </c>
      <c r="AS5" s="31">
        <f>'GBI Allocations P1'!AS5*Wealth!AS$2</f>
        <v>31611.741631028322</v>
      </c>
      <c r="AT5" s="31">
        <f>'GBI Allocations P1'!AT5*Wealth!AT$2</f>
        <v>254276.13334599414</v>
      </c>
      <c r="AU5" s="31">
        <f>'GBI Allocations P1'!AU5*Wealth!AU$2</f>
        <v>18265.582357557236</v>
      </c>
      <c r="AV5" s="31">
        <f>'GBI Allocations P1'!AV5*Wealth!AV$2</f>
        <v>69216.943670743203</v>
      </c>
      <c r="AW5" s="31">
        <f>'GBI Allocations P1'!AW5*Wealth!AW$2</f>
        <v>4806.7321993571668</v>
      </c>
      <c r="AX5" s="31">
        <f>'GBI Allocations P1'!AX5*Wealth!AX$2</f>
        <v>6729.425079100035</v>
      </c>
      <c r="AY5" s="31">
        <f>'GBI Allocations P1'!AY5*Wealth!AY$2</f>
        <v>72581.656210293222</v>
      </c>
      <c r="AZ5" s="31">
        <f>'GBI Allocations P1'!AZ5*Wealth!AZ$2</f>
        <v>44221.936234085937</v>
      </c>
    </row>
    <row r="6" spans="1:52" x14ac:dyDescent="0.35">
      <c r="A6" t="s">
        <v>167</v>
      </c>
      <c r="B6" s="31">
        <f>'GBI Allocations P1'!B6*Wealth!B$2</f>
        <v>17625.612960000002</v>
      </c>
      <c r="C6" s="31">
        <f>'GBI Allocations P1'!C6*Wealth!C$2</f>
        <v>61521.917752800007</v>
      </c>
      <c r="D6" s="31">
        <f>'GBI Allocations P1'!D6*Wealth!D$2</f>
        <v>1714.3088114880002</v>
      </c>
      <c r="E6" s="31">
        <f>'GBI Allocations P1'!E6*Wealth!E$2</f>
        <v>3501.3907465243205</v>
      </c>
      <c r="F6" s="31">
        <f>'GBI Allocations P1'!F6*Wealth!F$2</f>
        <v>284.65497122497203</v>
      </c>
      <c r="G6" s="31">
        <f>'GBI Allocations P1'!G6*Wealth!G$2</f>
        <v>1623.680264844942</v>
      </c>
      <c r="H6" s="31">
        <f>'GBI Allocations P1'!H6*Wealth!H$2</f>
        <v>4583.8757767569905</v>
      </c>
      <c r="I6" s="31">
        <f>'GBI Allocations P1'!I6*Wealth!I$2</f>
        <v>288.68079371876524</v>
      </c>
      <c r="J6" s="31">
        <f>'GBI Allocations P1'!J6*Wealth!J$2</f>
        <v>5389.8947426212353</v>
      </c>
      <c r="K6" s="31">
        <f>'GBI Allocations P1'!K6*Wealth!K$2</f>
        <v>495.6259269895063</v>
      </c>
      <c r="L6" s="31">
        <f>'GBI Allocations P1'!L6*Wealth!L$2</f>
        <v>2508.2110959985812</v>
      </c>
      <c r="M6" s="31">
        <f>'GBI Allocations P1'!M6*Wealth!M$2</f>
        <v>5500.2999166688542</v>
      </c>
      <c r="N6" s="31">
        <f>'GBI Allocations P1'!N6*Wealth!N$2</f>
        <v>74931.558057283197</v>
      </c>
      <c r="O6" s="31">
        <f>'GBI Allocations P1'!O6*Wealth!O$2</f>
        <v>18379.440437285473</v>
      </c>
      <c r="P6" s="31">
        <f>'GBI Allocations P1'!P6*Wealth!P$2</f>
        <v>12254.963378874605</v>
      </c>
      <c r="Q6" s="31">
        <f>'GBI Allocations P1'!Q6*Wealth!Q$2</f>
        <v>12769.717082716052</v>
      </c>
      <c r="R6" s="31">
        <f>'GBI Allocations P1'!R6*Wealth!R$2</f>
        <v>2280.8835879711373</v>
      </c>
      <c r="S6" s="31">
        <f>'GBI Allocations P1'!S6*Wealth!S$2</f>
        <v>10331.363681179218</v>
      </c>
      <c r="T6" s="31">
        <f>'GBI Allocations P1'!T6*Wealth!T$2</f>
        <v>527990.8636409808</v>
      </c>
      <c r="U6" s="31">
        <f>'GBI Allocations P1'!U6*Wealth!U$2</f>
        <v>25702.838644473301</v>
      </c>
      <c r="V6" s="31">
        <f>'GBI Allocations P1'!V6*Wealth!V$2</f>
        <v>4472.5545188500246</v>
      </c>
      <c r="W6" s="31">
        <f>'GBI Allocations P1'!W6*Wealth!W$2</f>
        <v>10888.707925463457</v>
      </c>
      <c r="X6" s="31">
        <f>'GBI Allocations P1'!X6*Wealth!X$2</f>
        <v>353735.33989957307</v>
      </c>
      <c r="Y6" s="31">
        <f>'GBI Allocations P1'!Y6*Wealth!Y$2</f>
        <v>226019.01871812894</v>
      </c>
      <c r="Z6" s="31">
        <f>'GBI Allocations P1'!Z6*Wealth!Z$2</f>
        <v>156713.33504140395</v>
      </c>
      <c r="AA6" s="31">
        <f>'GBI Allocations P1'!AA6*Wealth!AA$2</f>
        <v>32335.714118722692</v>
      </c>
      <c r="AB6" s="31">
        <f>'GBI Allocations P1'!AB6*Wealth!AB$2</f>
        <v>215978.33148808329</v>
      </c>
      <c r="AC6" s="31">
        <f>'GBI Allocations P1'!AC6*Wealth!AC$2</f>
        <v>199446.25456025056</v>
      </c>
      <c r="AD6" s="31">
        <f>'GBI Allocations P1'!AD6*Wealth!AD$2</f>
        <v>224534.45844634977</v>
      </c>
      <c r="AE6" s="31">
        <f>'GBI Allocations P1'!AE6*Wealth!AE$2</f>
        <v>181809.91770126513</v>
      </c>
      <c r="AF6" s="31">
        <f>'GBI Allocations P1'!AF6*Wealth!AF$2</f>
        <v>293892.02366771788</v>
      </c>
      <c r="AG6" s="31">
        <f>'GBI Allocations P1'!AG6*Wealth!AG$2</f>
        <v>290934.73661486566</v>
      </c>
      <c r="AH6" s="31">
        <f>'GBI Allocations P1'!AH6*Wealth!AH$2</f>
        <v>118742.36443384278</v>
      </c>
      <c r="AI6" s="31">
        <f>'GBI Allocations P1'!AI6*Wealth!AI$2</f>
        <v>85474.069648007149</v>
      </c>
      <c r="AJ6" s="31">
        <f>'GBI Allocations P1'!AJ6*Wealth!AJ$2</f>
        <v>792972.27631023037</v>
      </c>
      <c r="AK6" s="31">
        <f>'GBI Allocations P1'!AK6*Wealth!AK$2</f>
        <v>54011.588211482522</v>
      </c>
      <c r="AL6" s="31">
        <f>'GBI Allocations P1'!AL6*Wealth!AL$2</f>
        <v>51639.690874028507</v>
      </c>
      <c r="AM6" s="31">
        <f>'GBI Allocations P1'!AM6*Wealth!AM$2</f>
        <v>23893.819843281417</v>
      </c>
      <c r="AN6" s="31">
        <f>'GBI Allocations P1'!AN6*Wealth!AN$2</f>
        <v>34163.379835732529</v>
      </c>
      <c r="AO6" s="31">
        <f>'GBI Allocations P1'!AO6*Wealth!AO$2</f>
        <v>146782.3843538338</v>
      </c>
      <c r="AP6" s="31">
        <f>'GBI Allocations P1'!AP6*Wealth!AP$2</f>
        <v>53977.040785432277</v>
      </c>
      <c r="AQ6" s="31">
        <f>'GBI Allocations P1'!AQ6*Wealth!AQ$2</f>
        <v>140537.20983782317</v>
      </c>
      <c r="AR6" s="31">
        <f>'GBI Allocations P1'!AR6*Wealth!AR$2</f>
        <v>105571.46337861785</v>
      </c>
      <c r="AS6" s="31">
        <f>'GBI Allocations P1'!AS6*Wealth!AS$2</f>
        <v>45558.098232952572</v>
      </c>
      <c r="AT6" s="31">
        <f>'GBI Allocations P1'!AT6*Wealth!AT$2</f>
        <v>57680.786392286005</v>
      </c>
      <c r="AU6" s="31">
        <f>'GBI Allocations P1'!AU6*Wealth!AU$2</f>
        <v>278790.46756271564</v>
      </c>
      <c r="AV6" s="31">
        <f>'GBI Allocations P1'!AV6*Wealth!AV$2</f>
        <v>4806.7321993571668</v>
      </c>
      <c r="AW6" s="31">
        <f>'GBI Allocations P1'!AW6*Wealth!AW$2</f>
        <v>194672.65407396527</v>
      </c>
      <c r="AX6" s="31">
        <f>'GBI Allocations P1'!AX6*Wealth!AX$2</f>
        <v>20188.275237300099</v>
      </c>
      <c r="AY6" s="31">
        <f>'GBI Allocations P1'!AY6*Wealth!AY$2</f>
        <v>27398.373536335846</v>
      </c>
      <c r="AZ6" s="31">
        <f>'GBI Allocations P1'!AZ6*Wealth!AZ$2</f>
        <v>92769.931447593306</v>
      </c>
    </row>
    <row r="7" spans="1:52" x14ac:dyDescent="0.35">
      <c r="A7" t="s">
        <v>168</v>
      </c>
      <c r="B7" s="31">
        <f>'GBI Allocations P1'!B7*Wealth!B$2</f>
        <v>7586.1733200000008</v>
      </c>
      <c r="C7" s="31">
        <f>'GBI Allocations P1'!C7*Wealth!C$2</f>
        <v>1227.4754832000001</v>
      </c>
      <c r="D7" s="31">
        <f>'GBI Allocations P1'!D7*Wealth!D$2</f>
        <v>1532.9876871960003</v>
      </c>
      <c r="E7" s="31">
        <f>'GBI Allocations P1'!E7*Wealth!E$2</f>
        <v>3164.71855935852</v>
      </c>
      <c r="F7" s="31">
        <f>'GBI Allocations P1'!F7*Wealth!F$2</f>
        <v>4099.0315856395973</v>
      </c>
      <c r="G7" s="31">
        <f>'GBI Allocations P1'!G7*Wealth!G$2</f>
        <v>207.27833168233303</v>
      </c>
      <c r="H7" s="31">
        <f>'GBI Allocations P1'!H7*Wealth!H$2</f>
        <v>5451.0955183056103</v>
      </c>
      <c r="I7" s="31">
        <f>'GBI Allocations P1'!I7*Wealth!I$2</f>
        <v>11017.983626932873</v>
      </c>
      <c r="J7" s="31">
        <f>'GBI Allocations P1'!J7*Wealth!J$2</f>
        <v>3739.9269642677964</v>
      </c>
      <c r="K7" s="31">
        <f>'GBI Allocations P1'!K7*Wealth!K$2</f>
        <v>1548.8310218422071</v>
      </c>
      <c r="L7" s="31">
        <f>'GBI Allocations P1'!L7*Wealth!L$2</f>
        <v>30795.258456427022</v>
      </c>
      <c r="M7" s="31">
        <f>'GBI Allocations P1'!M7*Wealth!M$2</f>
        <v>5732.7069554013415</v>
      </c>
      <c r="N7" s="31">
        <f>'GBI Allocations P1'!N7*Wealth!N$2</f>
        <v>68189.424701331751</v>
      </c>
      <c r="O7" s="31">
        <f>'GBI Allocations P1'!O7*Wealth!O$2</f>
        <v>19312.406956944636</v>
      </c>
      <c r="P7" s="31">
        <f>'GBI Allocations P1'!P7*Wealth!P$2</f>
        <v>11437.965820282967</v>
      </c>
      <c r="Q7" s="31">
        <f>'GBI Allocations P1'!Q7*Wealth!Q$2</f>
        <v>1887.6973078797644</v>
      </c>
      <c r="R7" s="31">
        <f>'GBI Allocations P1'!R7*Wealth!R$2</f>
        <v>11884.603958375925</v>
      </c>
      <c r="S7" s="31">
        <f>'GBI Allocations P1'!S7*Wealth!S$2</f>
        <v>4519.9716105159077</v>
      </c>
      <c r="T7" s="31">
        <f>'GBI Allocations P1'!T7*Wealth!T$2</f>
        <v>6822.6667506350359</v>
      </c>
      <c r="U7" s="31">
        <f>'GBI Allocations P1'!U7*Wealth!U$2</f>
        <v>7920.0607450993311</v>
      </c>
      <c r="V7" s="31">
        <f>'GBI Allocations P1'!V7*Wealth!V$2</f>
        <v>27953.465742812648</v>
      </c>
      <c r="W7" s="31">
        <f>'GBI Allocations P1'!W7*Wealth!W$2</f>
        <v>28752.994365676936</v>
      </c>
      <c r="X7" s="31">
        <f>'GBI Allocations P1'!X7*Wealth!X$2</f>
        <v>436582.44570039766</v>
      </c>
      <c r="Y7" s="31">
        <f>'GBI Allocations P1'!Y7*Wealth!Y$2</f>
        <v>770668.78409791458</v>
      </c>
      <c r="Z7" s="31">
        <f>'GBI Allocations P1'!Z7*Wealth!Z$2</f>
        <v>883256.04802131606</v>
      </c>
      <c r="AA7" s="31">
        <f>'GBI Allocations P1'!AA7*Wealth!AA$2</f>
        <v>434.03643112379456</v>
      </c>
      <c r="AB7" s="31">
        <f>'GBI Allocations P1'!AB7*Wealth!AB$2</f>
        <v>130319.90521391243</v>
      </c>
      <c r="AC7" s="31">
        <f>'GBI Allocations P1'!AC7*Wealth!AC$2</f>
        <v>1281809.9673370395</v>
      </c>
      <c r="AD7" s="31">
        <f>'GBI Allocations P1'!AD7*Wealth!AD$2</f>
        <v>1455419.1815546127</v>
      </c>
      <c r="AE7" s="31">
        <f>'GBI Allocations P1'!AE7*Wealth!AE$2</f>
        <v>1832718.3955412616</v>
      </c>
      <c r="AF7" s="31">
        <f>'GBI Allocations P1'!AF7*Wealth!AF$2</f>
        <v>1870778.5824757572</v>
      </c>
      <c r="AG7" s="31">
        <f>'GBI Allocations P1'!AG7*Wealth!AG$2</f>
        <v>1514897.1735536056</v>
      </c>
      <c r="AH7" s="31">
        <f>'GBI Allocations P1'!AH7*Wealth!AH$2</f>
        <v>2079661.6666060239</v>
      </c>
      <c r="AI7" s="31">
        <f>'GBI Allocations P1'!AI7*Wealth!AI$2</f>
        <v>1678457.4713841993</v>
      </c>
      <c r="AJ7" s="31">
        <f>'GBI Allocations P1'!AJ7*Wealth!AJ$2</f>
        <v>1434666.7991597811</v>
      </c>
      <c r="AK7" s="31">
        <f>'GBI Allocations P1'!AK7*Wealth!AK$2</f>
        <v>3123039.4763301802</v>
      </c>
      <c r="AL7" s="31">
        <f>'GBI Allocations P1'!AL7*Wealth!AL$2</f>
        <v>3267644.8836399149</v>
      </c>
      <c r="AM7" s="31">
        <f>'GBI Allocations P1'!AM7*Wealth!AM$2</f>
        <v>3625887.1612179549</v>
      </c>
      <c r="AN7" s="31">
        <f>'GBI Allocations P1'!AN7*Wealth!AN$2</f>
        <v>3708667.8133040094</v>
      </c>
      <c r="AO7" s="31">
        <f>'GBI Allocations P1'!AO7*Wealth!AO$2</f>
        <v>3363090.8942609178</v>
      </c>
      <c r="AP7" s="31">
        <f>'GBI Allocations P1'!AP7*Wealth!AP$2</f>
        <v>3922750.0570808342</v>
      </c>
      <c r="AQ7" s="31">
        <f>'GBI Allocations P1'!AQ7*Wealth!AQ$2</f>
        <v>3961501.0415087617</v>
      </c>
      <c r="AR7" s="31">
        <f>'GBI Allocations P1'!AR7*Wealth!AR$2</f>
        <v>4155921.7349599735</v>
      </c>
      <c r="AS7" s="31">
        <f>'GBI Allocations P1'!AS7*Wealth!AS$2</f>
        <v>4521408.8103438448</v>
      </c>
      <c r="AT7" s="31">
        <f>'GBI Allocations P1'!AT7*Wealth!AT$2</f>
        <v>4064572.7477764203</v>
      </c>
      <c r="AU7" s="31">
        <f>'GBI Allocations P1'!AU7*Wealth!AU$2</f>
        <v>4417386.8912092363</v>
      </c>
      <c r="AV7" s="31">
        <f>'GBI Allocations P1'!AV7*Wealth!AV$2</f>
        <v>4663491.5798163228</v>
      </c>
      <c r="AW7" s="31">
        <f>'GBI Allocations P1'!AW7*Wealth!AW$2</f>
        <v>4383259.0925938003</v>
      </c>
      <c r="AX7" s="31">
        <f>'GBI Allocations P1'!AX7*Wealth!AX$2</f>
        <v>4729824.4841674529</v>
      </c>
      <c r="AY7" s="31">
        <f>'GBI Allocations P1'!AY7*Wealth!AY$2</f>
        <v>4548130.0070317518</v>
      </c>
      <c r="AZ7" s="31">
        <f>'GBI Allocations P1'!AZ7*Wealth!AZ$2</f>
        <v>4625999.0686613368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EF52E-E51B-4510-8A42-C1836EA2FECB}">
  <dimension ref="A1:AY3"/>
  <sheetViews>
    <sheetView workbookViewId="0">
      <selection activeCell="C26" sqref="C26"/>
    </sheetView>
  </sheetViews>
  <sheetFormatPr defaultRowHeight="14.5" x14ac:dyDescent="0.35"/>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81</v>
      </c>
    </row>
    <row r="3" spans="1:51" x14ac:dyDescent="0.35">
      <c r="A3" t="s">
        <v>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6B74A-2ABA-4A7C-A82B-67864F0DEA98}">
  <dimension ref="A1:AZ7"/>
  <sheetViews>
    <sheetView workbookViewId="0">
      <selection activeCell="B2" sqref="B2:AZ7"/>
    </sheetView>
  </sheetViews>
  <sheetFormatPr defaultRowHeight="14.5" x14ac:dyDescent="0.35"/>
  <cols>
    <col min="1" max="1" width="31.453125" bestFit="1" customWidth="1"/>
    <col min="3" max="3" width="8.816406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35">
      <c r="A2" t="s">
        <v>106</v>
      </c>
      <c r="B2" s="28">
        <v>4.3299999999999998E-2</v>
      </c>
      <c r="C2" s="28">
        <v>0.38159999999999994</v>
      </c>
      <c r="D2" s="28">
        <v>0.94510000000000005</v>
      </c>
      <c r="E2" s="28">
        <v>1.3899999999999999E-2</v>
      </c>
      <c r="F2" s="28">
        <v>0.96120000000000005</v>
      </c>
      <c r="G2" s="28">
        <v>0.98380000000000001</v>
      </c>
      <c r="H2" s="28">
        <v>0.94359999999999999</v>
      </c>
      <c r="I2" s="28">
        <v>0.93689999999999996</v>
      </c>
      <c r="J2" s="28">
        <v>8.6E-3</v>
      </c>
      <c r="K2" s="28">
        <v>0.97420000000000007</v>
      </c>
      <c r="L2" s="28">
        <v>1.9799999999999998E-2</v>
      </c>
      <c r="M2" s="28">
        <v>5.2499999999999998E-2</v>
      </c>
      <c r="N2" s="28">
        <v>0.58340000000000003</v>
      </c>
      <c r="O2" s="28">
        <v>1.2999999999999999E-3</v>
      </c>
      <c r="P2" s="28">
        <v>1.3600000000000001E-2</v>
      </c>
      <c r="Q2" s="28">
        <v>0.96799999999999997</v>
      </c>
      <c r="R2" s="28">
        <v>9.7000000000000003E-3</v>
      </c>
      <c r="S2" s="28">
        <v>0.9748</v>
      </c>
      <c r="T2" s="28">
        <v>7.000000000000001E-4</v>
      </c>
      <c r="U2" s="28">
        <v>0.38009999999999999</v>
      </c>
      <c r="V2" s="28">
        <v>3.2000000000000002E-3</v>
      </c>
      <c r="W2" s="28">
        <v>4.8999999999999998E-3</v>
      </c>
      <c r="X2" s="28">
        <v>0.34740000000000004</v>
      </c>
      <c r="Y2" s="28">
        <v>0.15049999999999999</v>
      </c>
      <c r="Z2" s="28">
        <v>6.9099999999999995E-2</v>
      </c>
      <c r="AA2" s="28">
        <v>0.94680000000000009</v>
      </c>
      <c r="AB2" s="28">
        <v>0.28539999999999999</v>
      </c>
      <c r="AC2" s="28">
        <v>9.5199999999999993E-2</v>
      </c>
      <c r="AD2" s="28">
        <v>0.11359999999999999</v>
      </c>
      <c r="AE2" s="28">
        <v>6.1100000000000002E-2</v>
      </c>
      <c r="AF2" s="28">
        <v>3.1300000000000001E-2</v>
      </c>
      <c r="AG2" s="28">
        <v>5.5E-2</v>
      </c>
      <c r="AH2" s="28">
        <v>8.3800000000000013E-2</v>
      </c>
      <c r="AI2" s="28">
        <v>0.17920000000000003</v>
      </c>
      <c r="AJ2" s="28">
        <v>4.3299999999999998E-2</v>
      </c>
      <c r="AK2" s="28">
        <v>2.9399999999999999E-2</v>
      </c>
      <c r="AL2" s="28">
        <v>1.1899999999999999E-2</v>
      </c>
      <c r="AM2" s="28">
        <v>7.3000000000000001E-3</v>
      </c>
      <c r="AN2" s="28">
        <v>1.6799999999999999E-2</v>
      </c>
      <c r="AO2" s="28">
        <v>4.7199999999999999E-2</v>
      </c>
      <c r="AP2" s="28">
        <v>1.01E-2</v>
      </c>
      <c r="AQ2" s="28">
        <v>0</v>
      </c>
      <c r="AR2" s="28">
        <v>4.7999999999999996E-3</v>
      </c>
      <c r="AS2" s="28">
        <v>3.8E-3</v>
      </c>
      <c r="AT2" s="28">
        <v>1.8200000000000001E-2</v>
      </c>
      <c r="AU2" s="28">
        <v>1.24E-2</v>
      </c>
      <c r="AV2" s="28">
        <v>6.0000000000000001E-3</v>
      </c>
      <c r="AW2" s="28">
        <v>8.8000000000000005E-3</v>
      </c>
      <c r="AX2" s="28">
        <v>7.0999999999999995E-3</v>
      </c>
      <c r="AY2" s="28">
        <v>6.9999999999999993E-3</v>
      </c>
      <c r="AZ2" s="28">
        <v>3.0999999999999999E-3</v>
      </c>
    </row>
    <row r="3" spans="1:52" x14ac:dyDescent="0.35">
      <c r="A3" t="s">
        <v>107</v>
      </c>
      <c r="B3" s="28">
        <v>0.1426</v>
      </c>
      <c r="C3" s="28">
        <v>2.5999999999999999E-3</v>
      </c>
      <c r="D3" s="28">
        <v>1.44E-2</v>
      </c>
      <c r="E3" s="28">
        <v>0.94200000000000006</v>
      </c>
      <c r="F3" s="28">
        <v>6.3E-3</v>
      </c>
      <c r="G3" s="28">
        <v>4.3E-3</v>
      </c>
      <c r="H3" s="28">
        <v>1.5300000000000001E-2</v>
      </c>
      <c r="I3" s="28">
        <v>9.1000000000000004E-3</v>
      </c>
      <c r="J3" s="28">
        <v>6.4000000000000003E-3</v>
      </c>
      <c r="K3" s="28">
        <v>3.7000000000000002E-3</v>
      </c>
      <c r="L3" s="28">
        <v>4.7100000000000003E-2</v>
      </c>
      <c r="M3" s="28">
        <v>3.8E-3</v>
      </c>
      <c r="N3" s="28">
        <v>5.33E-2</v>
      </c>
      <c r="O3" s="28">
        <v>0.93730000000000002</v>
      </c>
      <c r="P3" s="28">
        <v>7.000000000000001E-4</v>
      </c>
      <c r="Q3" s="28">
        <v>5.1000000000000004E-3</v>
      </c>
      <c r="R3" s="28">
        <v>8.9999999999999998E-4</v>
      </c>
      <c r="S3" s="28">
        <v>3.0000000000000001E-3</v>
      </c>
      <c r="T3" s="28">
        <v>2.9999999999999997E-4</v>
      </c>
      <c r="U3" s="28">
        <v>0.34450000000000003</v>
      </c>
      <c r="V3" s="28">
        <v>0.93940000000000001</v>
      </c>
      <c r="W3" s="28">
        <v>0.95040000000000002</v>
      </c>
      <c r="X3" s="28">
        <v>1.52E-2</v>
      </c>
      <c r="Y3" s="28">
        <v>7.3499999999999996E-2</v>
      </c>
      <c r="Z3" s="28">
        <v>0.1361</v>
      </c>
      <c r="AA3" s="28">
        <v>1.41E-2</v>
      </c>
      <c r="AB3" s="28">
        <v>0.24729999999999999</v>
      </c>
      <c r="AC3" s="28">
        <v>3.7200000000000004E-2</v>
      </c>
      <c r="AD3" s="28">
        <v>5.5099999999999996E-2</v>
      </c>
      <c r="AE3" s="28">
        <v>7.2099999999999997E-2</v>
      </c>
      <c r="AF3" s="28">
        <v>6.2400000000000004E-2</v>
      </c>
      <c r="AG3" s="28">
        <v>5.6000000000000008E-3</v>
      </c>
      <c r="AH3" s="28">
        <v>1.6000000000000001E-3</v>
      </c>
      <c r="AI3" s="28">
        <v>5.5099999999999996E-2</v>
      </c>
      <c r="AJ3" s="28">
        <v>0.10779999999999999</v>
      </c>
      <c r="AK3" s="28">
        <v>1.1000000000000001E-2</v>
      </c>
      <c r="AL3" s="28">
        <v>2.1899999999999999E-2</v>
      </c>
      <c r="AM3" s="28">
        <v>1.1399999999999999E-2</v>
      </c>
      <c r="AN3" s="28">
        <v>6.4000000000000003E-3</v>
      </c>
      <c r="AO3" s="28">
        <v>9.4999999999999998E-3</v>
      </c>
      <c r="AP3" s="28">
        <v>1.1599999999999999E-2</v>
      </c>
      <c r="AQ3" s="28">
        <v>0</v>
      </c>
      <c r="AR3" s="28">
        <v>2.53E-2</v>
      </c>
      <c r="AS3" s="28">
        <v>6.8000000000000005E-3</v>
      </c>
      <c r="AT3" s="28">
        <v>3.73E-2</v>
      </c>
      <c r="AU3" s="28">
        <v>5.0000000000000001E-3</v>
      </c>
      <c r="AV3" s="28">
        <v>5.1000000000000004E-3</v>
      </c>
      <c r="AW3" s="28">
        <v>2.35E-2</v>
      </c>
      <c r="AX3" s="28">
        <v>1.6000000000000001E-3</v>
      </c>
      <c r="AY3" s="28">
        <v>1.1899999999999999E-2</v>
      </c>
      <c r="AZ3" s="28">
        <v>5.6999999999999993E-3</v>
      </c>
    </row>
    <row r="4" spans="1:52" x14ac:dyDescent="0.35">
      <c r="A4" t="s">
        <v>161</v>
      </c>
      <c r="B4" s="28">
        <v>2.0000000000000001E-4</v>
      </c>
      <c r="C4" s="28">
        <v>9.7000000000000003E-3</v>
      </c>
      <c r="D4" s="28">
        <v>6.0000000000000001E-3</v>
      </c>
      <c r="E4" s="28">
        <v>7.9000000000000008E-3</v>
      </c>
      <c r="F4" s="28">
        <v>8.0000000000000002E-3</v>
      </c>
      <c r="G4" s="28">
        <v>2.5000000000000001E-3</v>
      </c>
      <c r="H4" s="28">
        <v>8.6E-3</v>
      </c>
      <c r="I4" s="28">
        <v>1.6899999999999998E-2</v>
      </c>
      <c r="J4" s="28">
        <v>0.95849999999999991</v>
      </c>
      <c r="K4" s="28">
        <v>1.2199999999999999E-2</v>
      </c>
      <c r="L4" s="28">
        <v>1.15E-2</v>
      </c>
      <c r="M4" s="28">
        <v>5.9999999999999995E-4</v>
      </c>
      <c r="N4" s="28">
        <v>5.7099999999999998E-2</v>
      </c>
      <c r="O4" s="28">
        <v>2.0499999999999997E-2</v>
      </c>
      <c r="P4" s="28">
        <v>0.95599999999999996</v>
      </c>
      <c r="Q4" s="28">
        <v>9.5999999999999992E-3</v>
      </c>
      <c r="R4" s="28">
        <v>4.7999999999999996E-3</v>
      </c>
      <c r="S4" s="28">
        <v>2.3E-3</v>
      </c>
      <c r="T4" s="28">
        <v>9.5999999999999992E-3</v>
      </c>
      <c r="U4" s="28">
        <v>1.9299999999999998E-2</v>
      </c>
      <c r="V4" s="28">
        <v>1.9400000000000001E-2</v>
      </c>
      <c r="W4" s="28">
        <v>1.2800000000000001E-2</v>
      </c>
      <c r="X4" s="28">
        <v>7.7000000000000002E-3</v>
      </c>
      <c r="Y4" s="28">
        <v>0.21190000000000001</v>
      </c>
      <c r="Z4" s="28">
        <v>0.11470000000000001</v>
      </c>
      <c r="AA4" s="28">
        <v>1.4800000000000001E-2</v>
      </c>
      <c r="AB4" s="28">
        <v>0.25879999999999997</v>
      </c>
      <c r="AC4" s="28">
        <v>0.13089999999999999</v>
      </c>
      <c r="AD4" s="28">
        <v>0.1384</v>
      </c>
      <c r="AE4" s="28">
        <v>6.4899999999999999E-2</v>
      </c>
      <c r="AF4" s="28">
        <v>6.6699999999999995E-2</v>
      </c>
      <c r="AG4" s="28">
        <v>0.11349999999999999</v>
      </c>
      <c r="AH4" s="28">
        <v>0.1231</v>
      </c>
      <c r="AI4" s="28">
        <v>2.4900000000000002E-2</v>
      </c>
      <c r="AJ4" s="28">
        <v>8.7400000000000005E-2</v>
      </c>
      <c r="AK4" s="28">
        <v>3.0999999999999999E-3</v>
      </c>
      <c r="AL4" s="28">
        <v>2.2599999999999999E-2</v>
      </c>
      <c r="AM4" s="28">
        <v>2.0000000000000001E-4</v>
      </c>
      <c r="AN4" s="28">
        <v>5.1000000000000004E-3</v>
      </c>
      <c r="AO4" s="28">
        <v>3.7000000000000005E-2</v>
      </c>
      <c r="AP4" s="28">
        <v>1.52E-2</v>
      </c>
      <c r="AQ4" s="28">
        <v>5.2600000000000001E-2</v>
      </c>
      <c r="AR4" s="28">
        <v>1.7600000000000001E-2</v>
      </c>
      <c r="AS4" s="28">
        <v>2.0000000000000001E-4</v>
      </c>
      <c r="AT4" s="28">
        <v>3.4000000000000002E-2</v>
      </c>
      <c r="AU4" s="28">
        <v>1.8E-3</v>
      </c>
      <c r="AV4" s="28">
        <v>3.3E-3</v>
      </c>
      <c r="AW4" s="28">
        <v>1.43E-2</v>
      </c>
      <c r="AX4" s="28">
        <v>1.6000000000000001E-3</v>
      </c>
      <c r="AY4" s="28">
        <v>1.41E-2</v>
      </c>
      <c r="AZ4" s="28">
        <v>2.9999999999999997E-4</v>
      </c>
    </row>
    <row r="5" spans="1:52" x14ac:dyDescent="0.35">
      <c r="A5" t="s">
        <v>160</v>
      </c>
      <c r="B5" s="28">
        <v>0.33500000000000002</v>
      </c>
      <c r="C5" s="28">
        <v>1.3100000000000001E-2</v>
      </c>
      <c r="D5" s="28">
        <v>1.4800000000000001E-2</v>
      </c>
      <c r="E5" s="28">
        <v>6.5000000000000006E-3</v>
      </c>
      <c r="F5" s="28">
        <v>9.0000000000000011E-3</v>
      </c>
      <c r="G5" s="28">
        <v>4.0000000000000001E-3</v>
      </c>
      <c r="H5" s="28">
        <v>8.199999999999999E-3</v>
      </c>
      <c r="I5" s="28">
        <v>1.3600000000000001E-2</v>
      </c>
      <c r="J5" s="28">
        <v>9.8999999999999991E-3</v>
      </c>
      <c r="K5" s="28">
        <v>6.6E-3</v>
      </c>
      <c r="L5" s="28">
        <v>0.87370000000000003</v>
      </c>
      <c r="M5" s="28">
        <v>0.92870000000000008</v>
      </c>
      <c r="N5" s="28">
        <v>0.13849999999999998</v>
      </c>
      <c r="O5" s="28">
        <v>5.0000000000000001E-4</v>
      </c>
      <c r="P5" s="28">
        <v>6.6E-3</v>
      </c>
      <c r="Q5" s="28">
        <v>4.0999999999999995E-3</v>
      </c>
      <c r="R5" s="28">
        <v>0.9728</v>
      </c>
      <c r="S5" s="28">
        <v>8.3000000000000001E-3</v>
      </c>
      <c r="T5" s="28">
        <v>0.60530000000000006</v>
      </c>
      <c r="U5" s="28">
        <v>0.23370000000000002</v>
      </c>
      <c r="V5" s="28">
        <v>1.7899999999999999E-2</v>
      </c>
      <c r="W5" s="28">
        <v>8.6E-3</v>
      </c>
      <c r="X5" s="28">
        <v>0.19469999999999998</v>
      </c>
      <c r="Y5" s="28">
        <v>4.8600000000000004E-2</v>
      </c>
      <c r="Z5" s="28">
        <v>0.17319999999999999</v>
      </c>
      <c r="AA5" s="28">
        <v>9.1000000000000004E-3</v>
      </c>
      <c r="AB5" s="28">
        <v>5.7300000000000004E-2</v>
      </c>
      <c r="AC5" s="28">
        <v>0.1225</v>
      </c>
      <c r="AD5" s="28">
        <v>0.03</v>
      </c>
      <c r="AE5" s="28">
        <v>4.4000000000000004E-2</v>
      </c>
      <c r="AF5" s="28">
        <v>6.1799999999999994E-2</v>
      </c>
      <c r="AG5" s="28">
        <v>0.20519999999999999</v>
      </c>
      <c r="AH5" s="28">
        <v>6.7699999999999996E-2</v>
      </c>
      <c r="AI5" s="28">
        <v>0.18350000000000002</v>
      </c>
      <c r="AJ5" s="28">
        <v>8.5600000000000009E-2</v>
      </c>
      <c r="AK5" s="28">
        <v>3.3000000000000002E-2</v>
      </c>
      <c r="AL5" s="28">
        <v>1.8000000000000002E-2</v>
      </c>
      <c r="AM5" s="28">
        <v>3.4999999999999996E-3</v>
      </c>
      <c r="AN5" s="28">
        <v>7.4999999999999997E-3</v>
      </c>
      <c r="AO5" s="28">
        <v>3.5900000000000001E-2</v>
      </c>
      <c r="AP5" s="28">
        <v>1.2699999999999999E-2</v>
      </c>
      <c r="AQ5" s="28">
        <v>1.7000000000000001E-3</v>
      </c>
      <c r="AR5" s="28">
        <v>3.7000000000000002E-3</v>
      </c>
      <c r="AS5" s="28">
        <v>6.8000000000000005E-3</v>
      </c>
      <c r="AT5" s="28">
        <v>5.2900000000000003E-2</v>
      </c>
      <c r="AU5" s="28">
        <v>3.8E-3</v>
      </c>
      <c r="AV5" s="28">
        <v>1.44E-2</v>
      </c>
      <c r="AW5" s="28">
        <v>1E-3</v>
      </c>
      <c r="AX5" s="28">
        <v>1.4000000000000002E-3</v>
      </c>
      <c r="AY5" s="28">
        <v>1.5100000000000001E-2</v>
      </c>
      <c r="AZ5" s="28">
        <v>9.1999999999999998E-3</v>
      </c>
    </row>
    <row r="6" spans="1:52" x14ac:dyDescent="0.35">
      <c r="A6" t="s">
        <v>159</v>
      </c>
      <c r="B6" s="28">
        <v>0.33479999999999999</v>
      </c>
      <c r="C6" s="28">
        <v>0.58140000000000003</v>
      </c>
      <c r="D6" s="28">
        <v>1.04E-2</v>
      </c>
      <c r="E6" s="28">
        <v>1.5600000000000001E-2</v>
      </c>
      <c r="F6" s="28">
        <v>1E-3</v>
      </c>
      <c r="G6" s="28">
        <v>4.6999999999999993E-3</v>
      </c>
      <c r="H6" s="28">
        <v>1.11E-2</v>
      </c>
      <c r="I6" s="28">
        <v>5.9999999999999995E-4</v>
      </c>
      <c r="J6" s="28">
        <v>9.7999999999999997E-3</v>
      </c>
      <c r="K6" s="28">
        <v>8.0000000000000004E-4</v>
      </c>
      <c r="L6" s="28">
        <v>3.5999999999999999E-3</v>
      </c>
      <c r="M6" s="28">
        <v>7.0999999999999995E-3</v>
      </c>
      <c r="N6" s="28">
        <v>8.7799999999999989E-2</v>
      </c>
      <c r="O6" s="28">
        <v>1.9699999999999999E-2</v>
      </c>
      <c r="P6" s="28">
        <v>1.2E-2</v>
      </c>
      <c r="Q6" s="28">
        <v>1.15E-2</v>
      </c>
      <c r="R6" s="28">
        <v>1.9E-3</v>
      </c>
      <c r="S6" s="28">
        <v>8.0000000000000002E-3</v>
      </c>
      <c r="T6" s="28">
        <v>0.37920000000000004</v>
      </c>
      <c r="U6" s="28">
        <v>1.72E-2</v>
      </c>
      <c r="V6" s="28">
        <v>2.8000000000000004E-3</v>
      </c>
      <c r="W6" s="28">
        <v>6.4000000000000003E-3</v>
      </c>
      <c r="X6" s="28">
        <v>0.19469999999999998</v>
      </c>
      <c r="Y6" s="28">
        <v>0.11689999999999999</v>
      </c>
      <c r="Z6" s="28">
        <v>7.6399999999999996E-2</v>
      </c>
      <c r="AA6" s="28">
        <v>1.49E-2</v>
      </c>
      <c r="AB6" s="28">
        <v>9.4299999999999995E-2</v>
      </c>
      <c r="AC6" s="28">
        <v>8.2699999999999996E-2</v>
      </c>
      <c r="AD6" s="28">
        <v>8.8599999999999998E-2</v>
      </c>
      <c r="AE6" s="28">
        <v>6.8400000000000002E-2</v>
      </c>
      <c r="AF6" s="28">
        <v>0.1056</v>
      </c>
      <c r="AG6" s="28">
        <v>0.1</v>
      </c>
      <c r="AH6" s="28">
        <v>3.9100000000000003E-2</v>
      </c>
      <c r="AI6" s="28">
        <v>2.7000000000000003E-2</v>
      </c>
      <c r="AJ6" s="28">
        <v>0.24059999999999998</v>
      </c>
      <c r="AK6" s="28">
        <v>1.5700000000000002E-2</v>
      </c>
      <c r="AL6" s="28">
        <v>1.44E-2</v>
      </c>
      <c r="AM6" s="28">
        <v>6.4000000000000003E-3</v>
      </c>
      <c r="AN6" s="28">
        <v>8.8000000000000005E-3</v>
      </c>
      <c r="AO6" s="28">
        <v>3.6400000000000002E-2</v>
      </c>
      <c r="AP6" s="28">
        <v>1.29E-2</v>
      </c>
      <c r="AQ6" s="28">
        <v>3.2400000000000005E-2</v>
      </c>
      <c r="AR6" s="28">
        <v>2.35E-2</v>
      </c>
      <c r="AS6" s="28">
        <v>9.7999999999999997E-3</v>
      </c>
      <c r="AT6" s="28">
        <v>1.2E-2</v>
      </c>
      <c r="AU6" s="28">
        <v>5.7999999999999996E-2</v>
      </c>
      <c r="AV6" s="28">
        <v>1E-3</v>
      </c>
      <c r="AW6" s="28">
        <v>4.0500000000000001E-2</v>
      </c>
      <c r="AX6" s="28">
        <v>4.1999999999999997E-3</v>
      </c>
      <c r="AY6" s="28">
        <v>5.6999999999999993E-3</v>
      </c>
      <c r="AZ6" s="28">
        <v>1.9299999999999998E-2</v>
      </c>
    </row>
    <row r="7" spans="1:52" x14ac:dyDescent="0.35">
      <c r="A7" t="s">
        <v>158</v>
      </c>
      <c r="B7" s="28">
        <v>0.14410000000000001</v>
      </c>
      <c r="C7" s="28">
        <v>1.1599999999999999E-2</v>
      </c>
      <c r="D7" s="28">
        <v>9.300000000000001E-3</v>
      </c>
      <c r="E7" s="28">
        <v>1.41E-2</v>
      </c>
      <c r="F7" s="28">
        <v>1.44E-2</v>
      </c>
      <c r="G7" s="28">
        <v>5.9999999999999995E-4</v>
      </c>
      <c r="H7" s="28">
        <v>1.32E-2</v>
      </c>
      <c r="I7" s="28">
        <v>2.29E-2</v>
      </c>
      <c r="J7" s="28">
        <v>6.8000000000000005E-3</v>
      </c>
      <c r="K7" s="28">
        <v>2.5000000000000001E-3</v>
      </c>
      <c r="L7" s="28">
        <v>4.4199999999999996E-2</v>
      </c>
      <c r="M7" s="28">
        <v>7.4000000000000003E-3</v>
      </c>
      <c r="N7" s="28">
        <v>7.9899999999999999E-2</v>
      </c>
      <c r="O7" s="28">
        <v>2.07E-2</v>
      </c>
      <c r="P7" s="28">
        <v>1.1200000000000002E-2</v>
      </c>
      <c r="Q7" s="28">
        <v>1.7000000000000001E-3</v>
      </c>
      <c r="R7" s="28">
        <v>9.8999999999999991E-3</v>
      </c>
      <c r="S7" s="28">
        <v>3.4999999999999996E-3</v>
      </c>
      <c r="T7" s="28">
        <v>4.8999999999999998E-3</v>
      </c>
      <c r="U7" s="28">
        <v>5.3E-3</v>
      </c>
      <c r="V7" s="28">
        <v>1.7500000000000002E-2</v>
      </c>
      <c r="W7" s="28">
        <v>1.6899999999999998E-2</v>
      </c>
      <c r="X7" s="28">
        <v>0.24030000000000001</v>
      </c>
      <c r="Y7" s="28">
        <v>0.39860000000000001</v>
      </c>
      <c r="Z7" s="28">
        <v>0.43060000000000004</v>
      </c>
      <c r="AA7" s="28">
        <v>2.0000000000000001E-4</v>
      </c>
      <c r="AB7" s="28">
        <v>5.6900000000000006E-2</v>
      </c>
      <c r="AC7" s="28">
        <v>0.53149999999999997</v>
      </c>
      <c r="AD7" s="28">
        <v>0.57430000000000003</v>
      </c>
      <c r="AE7" s="28">
        <v>0.6895</v>
      </c>
      <c r="AF7" s="28">
        <v>0.67220000000000002</v>
      </c>
      <c r="AG7" s="28">
        <v>0.52070000000000005</v>
      </c>
      <c r="AH7" s="28">
        <v>0.68480000000000008</v>
      </c>
      <c r="AI7" s="28">
        <v>0.5302</v>
      </c>
      <c r="AJ7" s="28">
        <v>0.43530000000000002</v>
      </c>
      <c r="AK7" s="28">
        <v>0.90780000000000005</v>
      </c>
      <c r="AL7" s="28">
        <v>0.91120000000000001</v>
      </c>
      <c r="AM7" s="28">
        <v>0.97120000000000006</v>
      </c>
      <c r="AN7" s="28">
        <v>0.95530000000000004</v>
      </c>
      <c r="AO7" s="28">
        <v>0.83400000000000007</v>
      </c>
      <c r="AP7" s="28">
        <v>0.9375</v>
      </c>
      <c r="AQ7" s="28">
        <v>0.9133</v>
      </c>
      <c r="AR7" s="28">
        <v>0.92510000000000003</v>
      </c>
      <c r="AS7" s="28">
        <v>0.97260000000000002</v>
      </c>
      <c r="AT7" s="28">
        <v>0.84560000000000002</v>
      </c>
      <c r="AU7" s="28">
        <v>0.91900000000000004</v>
      </c>
      <c r="AV7" s="28">
        <v>0.97019999999999995</v>
      </c>
      <c r="AW7" s="28">
        <v>0.91189999999999993</v>
      </c>
      <c r="AX7" s="28">
        <v>0.9840000000000001</v>
      </c>
      <c r="AY7" s="28">
        <v>0.94620000000000004</v>
      </c>
      <c r="AZ7" s="28">
        <v>0.96239999999999992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B312-685C-41F1-A0B9-5F2CAAFC3BC3}">
  <dimension ref="A1:AZ9"/>
  <sheetViews>
    <sheetView workbookViewId="0">
      <selection activeCell="B2" sqref="B2:AZ5"/>
    </sheetView>
  </sheetViews>
  <sheetFormatPr defaultRowHeight="14.5" x14ac:dyDescent="0.35"/>
  <cols>
    <col min="3" max="3" width="9.816406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35">
      <c r="A2" t="s">
        <v>169</v>
      </c>
      <c r="B2" s="28">
        <v>0.01</v>
      </c>
      <c r="C2" s="28">
        <v>9.9000000000000008E-3</v>
      </c>
      <c r="D2" s="28">
        <v>2.9700000000000001E-2</v>
      </c>
      <c r="E2" s="28">
        <v>0.03</v>
      </c>
      <c r="F2" s="28">
        <v>1.9800000000000002E-2</v>
      </c>
      <c r="G2" s="28">
        <v>9.7999999999999997E-3</v>
      </c>
      <c r="H2" s="28">
        <v>0.01</v>
      </c>
      <c r="I2" s="28">
        <v>4.9500000000000002E-2</v>
      </c>
      <c r="J2" s="28">
        <v>2.9700000000000001E-2</v>
      </c>
      <c r="K2" s="28">
        <v>0.01</v>
      </c>
      <c r="L2" s="28">
        <v>0.03</v>
      </c>
      <c r="M2" s="28">
        <v>9.9000000000000008E-3</v>
      </c>
      <c r="N2" s="28">
        <v>0.01</v>
      </c>
      <c r="O2" s="28">
        <v>0.02</v>
      </c>
      <c r="P2" s="28">
        <v>9.9000000000000008E-3</v>
      </c>
      <c r="Q2" s="28">
        <v>1.9800000000000002E-2</v>
      </c>
      <c r="R2" s="28">
        <v>0.02</v>
      </c>
      <c r="S2" s="28">
        <v>0.01</v>
      </c>
      <c r="T2" s="28">
        <v>9.9000000000000008E-3</v>
      </c>
      <c r="U2" s="28">
        <v>1.9800000000000002E-2</v>
      </c>
      <c r="V2" s="28">
        <v>1.9800000000000002E-2</v>
      </c>
      <c r="W2" s="28">
        <v>4.9500000000000002E-2</v>
      </c>
      <c r="X2" s="28">
        <v>0.03</v>
      </c>
      <c r="Y2" s="28">
        <v>0.01</v>
      </c>
      <c r="Z2" s="28">
        <v>1.01E-2</v>
      </c>
      <c r="AA2" s="28">
        <v>0.01</v>
      </c>
      <c r="AB2" s="28">
        <v>9.9000000000000008E-3</v>
      </c>
      <c r="AC2" s="28">
        <v>0.01</v>
      </c>
      <c r="AD2" s="28">
        <v>9.9000000000000008E-3</v>
      </c>
      <c r="AE2" s="28">
        <v>0.01</v>
      </c>
      <c r="AF2" s="28">
        <v>0.10100000000000001</v>
      </c>
      <c r="AG2" s="28">
        <v>0.06</v>
      </c>
      <c r="AH2" s="28">
        <v>8.9099999999999999E-2</v>
      </c>
      <c r="AI2" s="28">
        <v>1.01E-2</v>
      </c>
      <c r="AJ2" s="28">
        <v>9.9000000000000008E-3</v>
      </c>
      <c r="AK2" s="28">
        <v>0.02</v>
      </c>
      <c r="AL2" s="28">
        <v>0.03</v>
      </c>
      <c r="AM2" s="28">
        <v>0.03</v>
      </c>
      <c r="AN2" s="28">
        <v>0.02</v>
      </c>
      <c r="AO2" s="28">
        <v>4.0399999999999998E-2</v>
      </c>
      <c r="AP2" s="28">
        <v>0.01</v>
      </c>
      <c r="AQ2" s="28">
        <v>0.01</v>
      </c>
      <c r="AR2" s="28">
        <v>9.9000000000000008E-3</v>
      </c>
      <c r="AS2" s="28">
        <v>0.01</v>
      </c>
      <c r="AT2" s="28">
        <v>9.9000000000000008E-3</v>
      </c>
      <c r="AU2" s="28">
        <v>2.0199999999999999E-2</v>
      </c>
      <c r="AV2" s="28">
        <v>0.01</v>
      </c>
      <c r="AW2" s="28">
        <v>1.9800000000000002E-2</v>
      </c>
      <c r="AX2" s="28">
        <v>0.01</v>
      </c>
      <c r="AY2" s="28">
        <v>0.01</v>
      </c>
      <c r="AZ2" s="28">
        <v>9.9000000000000008E-3</v>
      </c>
    </row>
    <row r="3" spans="1:52" x14ac:dyDescent="0.35">
      <c r="A3" t="s">
        <v>170</v>
      </c>
      <c r="B3" s="28">
        <v>0.89</v>
      </c>
      <c r="C3" s="28">
        <v>0.96040000000000003</v>
      </c>
      <c r="D3" s="28">
        <v>0.93069999999999997</v>
      </c>
      <c r="E3" s="28">
        <v>0.94</v>
      </c>
      <c r="F3" s="28">
        <v>0.96040000000000003</v>
      </c>
      <c r="G3" s="28">
        <v>0.29409999999999997</v>
      </c>
      <c r="H3" s="28">
        <v>0.93</v>
      </c>
      <c r="I3" s="28">
        <v>0.93069999999999997</v>
      </c>
      <c r="J3" s="28">
        <v>0.95050000000000001</v>
      </c>
      <c r="K3" s="28">
        <v>0.95</v>
      </c>
      <c r="L3" s="28">
        <v>0.9</v>
      </c>
      <c r="M3" s="28">
        <v>0.97030000000000005</v>
      </c>
      <c r="N3" s="28">
        <v>0.56999999999999995</v>
      </c>
      <c r="O3" s="28">
        <v>0.93</v>
      </c>
      <c r="P3" s="28">
        <v>0.94059999999999999</v>
      </c>
      <c r="Q3" s="28">
        <v>0.96040000000000003</v>
      </c>
      <c r="R3" s="28">
        <v>0.96</v>
      </c>
      <c r="S3" s="28">
        <v>0.97</v>
      </c>
      <c r="T3" s="28">
        <v>0.97030000000000005</v>
      </c>
      <c r="U3" s="28">
        <v>0.93069999999999997</v>
      </c>
      <c r="V3" s="28">
        <v>0.93069999999999997</v>
      </c>
      <c r="W3" s="28">
        <v>0.93069999999999997</v>
      </c>
      <c r="X3" s="28">
        <v>0.93</v>
      </c>
      <c r="Y3" s="28">
        <v>0.59</v>
      </c>
      <c r="Z3" s="28">
        <v>0.62629999999999997</v>
      </c>
      <c r="AA3" s="28">
        <v>0.94</v>
      </c>
      <c r="AB3" s="28">
        <v>0.97030000000000005</v>
      </c>
      <c r="AC3" s="28">
        <v>0.4</v>
      </c>
      <c r="AD3" s="28">
        <v>0.47520000000000001</v>
      </c>
      <c r="AE3" s="28">
        <v>0.35</v>
      </c>
      <c r="AF3" s="28">
        <v>0.10100000000000001</v>
      </c>
      <c r="AG3" s="28">
        <v>0.51</v>
      </c>
      <c r="AH3" s="28">
        <v>0.32669999999999999</v>
      </c>
      <c r="AI3" s="28">
        <v>0.52529999999999999</v>
      </c>
      <c r="AJ3" s="28">
        <v>0.59409999999999996</v>
      </c>
      <c r="AK3" s="28">
        <v>0.08</v>
      </c>
      <c r="AL3" s="28">
        <v>0.06</v>
      </c>
      <c r="AM3" s="28">
        <v>0.01</v>
      </c>
      <c r="AN3" s="28">
        <v>0.02</v>
      </c>
      <c r="AO3" s="28">
        <v>0.17169999999999999</v>
      </c>
      <c r="AP3" s="28">
        <v>0.05</v>
      </c>
      <c r="AQ3" s="28">
        <v>0.14000000000000001</v>
      </c>
      <c r="AR3" s="28">
        <v>5.9400000000000001E-2</v>
      </c>
      <c r="AS3" s="28">
        <v>0.01</v>
      </c>
      <c r="AT3" s="28">
        <v>0.14849999999999999</v>
      </c>
      <c r="AU3" s="28">
        <v>1.01E-2</v>
      </c>
      <c r="AV3" s="28">
        <v>0.02</v>
      </c>
      <c r="AW3" s="28">
        <v>4.9500000000000002E-2</v>
      </c>
      <c r="AX3" s="28">
        <v>0.01</v>
      </c>
      <c r="AY3" s="28">
        <v>0.02</v>
      </c>
      <c r="AZ3" s="28">
        <v>2.9700000000000001E-2</v>
      </c>
    </row>
    <row r="4" spans="1:52" x14ac:dyDescent="0.35">
      <c r="A4" t="s">
        <v>171</v>
      </c>
      <c r="B4" s="28">
        <v>0.04</v>
      </c>
      <c r="C4" s="28">
        <v>9.9000000000000008E-3</v>
      </c>
      <c r="D4" s="28">
        <v>9.9000000000000008E-3</v>
      </c>
      <c r="E4" s="28">
        <v>0.02</v>
      </c>
      <c r="F4" s="28">
        <v>9.9000000000000008E-3</v>
      </c>
      <c r="G4" s="28">
        <v>9.7999999999999997E-3</v>
      </c>
      <c r="H4" s="28">
        <v>0.04</v>
      </c>
      <c r="I4" s="28">
        <v>9.9000000000000008E-3</v>
      </c>
      <c r="J4" s="28">
        <v>9.9000000000000008E-3</v>
      </c>
      <c r="K4" s="28">
        <v>0.01</v>
      </c>
      <c r="L4" s="28">
        <v>0.06</v>
      </c>
      <c r="M4" s="28">
        <v>9.9000000000000008E-3</v>
      </c>
      <c r="N4" s="28">
        <v>0.01</v>
      </c>
      <c r="O4" s="28">
        <v>0.04</v>
      </c>
      <c r="P4" s="28">
        <v>1.9800000000000002E-2</v>
      </c>
      <c r="Q4" s="28">
        <v>9.9000000000000008E-3</v>
      </c>
      <c r="R4" s="28">
        <v>0.01</v>
      </c>
      <c r="S4" s="28">
        <v>0.01</v>
      </c>
      <c r="T4" s="28">
        <v>9.9000000000000008E-3</v>
      </c>
      <c r="U4" s="28">
        <v>3.9600000000000003E-2</v>
      </c>
      <c r="V4" s="28">
        <v>3.9600000000000003E-2</v>
      </c>
      <c r="W4" s="28">
        <v>9.9000000000000008E-3</v>
      </c>
      <c r="X4" s="28">
        <v>0.02</v>
      </c>
      <c r="Y4" s="28">
        <v>0.39</v>
      </c>
      <c r="Z4" s="28">
        <v>0.35349999999999998</v>
      </c>
      <c r="AA4" s="28">
        <v>0.03</v>
      </c>
      <c r="AB4" s="28">
        <v>9.9000000000000008E-3</v>
      </c>
      <c r="AC4" s="28">
        <v>0.5</v>
      </c>
      <c r="AD4" s="28">
        <v>0.47520000000000001</v>
      </c>
      <c r="AE4" s="28">
        <v>0.61</v>
      </c>
      <c r="AF4" s="28">
        <v>0.56569999999999998</v>
      </c>
      <c r="AG4" s="28">
        <v>0.42</v>
      </c>
      <c r="AH4" s="28">
        <v>0.57430000000000003</v>
      </c>
      <c r="AI4" s="28">
        <v>0.44440000000000002</v>
      </c>
      <c r="AJ4" s="28">
        <v>0.36630000000000001</v>
      </c>
      <c r="AK4" s="28">
        <v>0.89</v>
      </c>
      <c r="AL4" s="28">
        <v>0.9</v>
      </c>
      <c r="AM4" s="28">
        <v>0.95</v>
      </c>
      <c r="AN4" s="28">
        <v>0.95</v>
      </c>
      <c r="AO4" s="28">
        <v>0.77780000000000005</v>
      </c>
      <c r="AP4" s="28">
        <v>0.92</v>
      </c>
      <c r="AQ4" s="28">
        <v>0.83</v>
      </c>
      <c r="AR4" s="28">
        <v>0.90100000000000002</v>
      </c>
      <c r="AS4" s="28">
        <v>0.97</v>
      </c>
      <c r="AT4" s="28">
        <v>0.79210000000000003</v>
      </c>
      <c r="AU4" s="28">
        <v>0.86870000000000003</v>
      </c>
      <c r="AV4" s="28">
        <v>0.96</v>
      </c>
      <c r="AW4" s="28">
        <v>0.90100000000000002</v>
      </c>
      <c r="AX4" s="28">
        <v>0.95</v>
      </c>
      <c r="AY4" s="28">
        <v>0.94</v>
      </c>
      <c r="AZ4" s="28">
        <v>0.94059999999999999</v>
      </c>
    </row>
    <row r="5" spans="1:52" x14ac:dyDescent="0.35">
      <c r="A5" t="s">
        <v>172</v>
      </c>
      <c r="B5" s="28">
        <v>0.06</v>
      </c>
      <c r="C5" s="28">
        <v>1.9800000000000002E-2</v>
      </c>
      <c r="D5" s="28">
        <v>2.9700000000000001E-2</v>
      </c>
      <c r="E5" s="28">
        <v>0.01</v>
      </c>
      <c r="F5" s="28">
        <v>9.9000000000000008E-3</v>
      </c>
      <c r="G5" s="28">
        <v>0.68630000000000002</v>
      </c>
      <c r="H5" s="28">
        <v>0.02</v>
      </c>
      <c r="I5" s="28">
        <v>9.9000000000000008E-3</v>
      </c>
      <c r="J5" s="28">
        <v>9.9000000000000008E-3</v>
      </c>
      <c r="K5" s="28">
        <v>0.03</v>
      </c>
      <c r="L5" s="28">
        <v>0.01</v>
      </c>
      <c r="M5" s="28">
        <v>9.9000000000000008E-3</v>
      </c>
      <c r="N5" s="28">
        <v>0.41</v>
      </c>
      <c r="O5" s="28">
        <v>0.01</v>
      </c>
      <c r="P5" s="28">
        <v>2.9700000000000001E-2</v>
      </c>
      <c r="Q5" s="28">
        <v>9.9000000000000008E-3</v>
      </c>
      <c r="R5" s="28">
        <v>0.01</v>
      </c>
      <c r="S5" s="28">
        <v>0.01</v>
      </c>
      <c r="T5" s="28">
        <v>9.9000000000000008E-3</v>
      </c>
      <c r="U5" s="28">
        <v>9.9000000000000008E-3</v>
      </c>
      <c r="V5" s="28">
        <v>9.9000000000000008E-3</v>
      </c>
      <c r="W5" s="28">
        <v>9.9000000000000008E-3</v>
      </c>
      <c r="X5" s="28">
        <v>0.02</v>
      </c>
      <c r="Y5" s="28">
        <v>0.01</v>
      </c>
      <c r="Z5" s="28">
        <v>1.01E-2</v>
      </c>
      <c r="AA5" s="28">
        <v>0.02</v>
      </c>
      <c r="AB5" s="28">
        <v>9.9000000000000008E-3</v>
      </c>
      <c r="AC5" s="28">
        <v>0.09</v>
      </c>
      <c r="AD5" s="28">
        <v>3.9600000000000003E-2</v>
      </c>
      <c r="AE5" s="28">
        <v>0.03</v>
      </c>
      <c r="AF5" s="28">
        <v>0.23230000000000001</v>
      </c>
      <c r="AG5" s="28">
        <v>0.01</v>
      </c>
      <c r="AH5" s="28">
        <v>9.9000000000000008E-3</v>
      </c>
      <c r="AI5" s="28">
        <v>2.0199999999999999E-2</v>
      </c>
      <c r="AJ5" s="28">
        <v>2.9700000000000001E-2</v>
      </c>
      <c r="AK5" s="28">
        <v>0.01</v>
      </c>
      <c r="AL5" s="28">
        <v>0.01</v>
      </c>
      <c r="AM5" s="28">
        <v>0.01</v>
      </c>
      <c r="AN5" s="28">
        <v>0.01</v>
      </c>
      <c r="AO5" s="28">
        <v>1.01E-2</v>
      </c>
      <c r="AP5" s="28">
        <v>0.02</v>
      </c>
      <c r="AQ5" s="28">
        <v>0.02</v>
      </c>
      <c r="AR5" s="28">
        <v>2.9700000000000001E-2</v>
      </c>
      <c r="AS5" s="28">
        <v>0.01</v>
      </c>
      <c r="AT5" s="28">
        <v>4.9500000000000002E-2</v>
      </c>
      <c r="AU5" s="28">
        <v>0.10100000000000001</v>
      </c>
      <c r="AV5" s="28">
        <v>0.01</v>
      </c>
      <c r="AW5" s="28">
        <v>2.9700000000000001E-2</v>
      </c>
      <c r="AX5" s="28">
        <v>0.03</v>
      </c>
      <c r="AY5" s="28">
        <v>0.03</v>
      </c>
      <c r="AZ5" s="28">
        <v>1.9800000000000002E-2</v>
      </c>
    </row>
    <row r="9" spans="1:52" x14ac:dyDescent="0.35">
      <c r="C9" s="2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133A-777A-45BD-A5DC-28656BDD3694}">
  <dimension ref="A1:AZ7"/>
  <sheetViews>
    <sheetView topLeftCell="B1" workbookViewId="0">
      <selection activeCell="J14" sqref="J14"/>
    </sheetView>
  </sheetViews>
  <sheetFormatPr defaultRowHeight="14.5" x14ac:dyDescent="0.35"/>
  <cols>
    <col min="1" max="1" width="31.4531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35">
      <c r="A2" t="s">
        <v>106</v>
      </c>
      <c r="B2" s="28">
        <v>0.96209999999999996</v>
      </c>
      <c r="C2" s="28">
        <v>0.3357</v>
      </c>
      <c r="D2" s="28">
        <v>0.98719999999999997</v>
      </c>
      <c r="E2" s="28">
        <v>5.4000000000000003E-3</v>
      </c>
      <c r="F2" s="28">
        <v>0.97400000000000009</v>
      </c>
      <c r="G2" s="28">
        <v>0.69739999999999991</v>
      </c>
      <c r="H2" s="28">
        <v>0.96290000000000009</v>
      </c>
      <c r="I2" s="28">
        <v>0.93340000000000001</v>
      </c>
      <c r="J2" s="28">
        <v>5.0799999999999998E-2</v>
      </c>
      <c r="K2" s="28">
        <v>0.93330000000000002</v>
      </c>
      <c r="L2" s="28">
        <v>1.7299999999999999E-2</v>
      </c>
      <c r="M2" s="28">
        <v>6.83E-2</v>
      </c>
      <c r="N2" s="28">
        <v>0.94769999999999999</v>
      </c>
      <c r="O2" s="28">
        <v>1.01E-2</v>
      </c>
      <c r="P2" s="28">
        <v>3.3E-3</v>
      </c>
      <c r="Q2" s="28">
        <v>0.93559999999999999</v>
      </c>
      <c r="R2" s="28">
        <v>2.5000000000000001E-3</v>
      </c>
      <c r="S2" s="28">
        <v>0.86019999999999996</v>
      </c>
      <c r="T2" s="28">
        <v>1.1000000000000001E-2</v>
      </c>
      <c r="U2" s="28">
        <v>0.36119999999999997</v>
      </c>
      <c r="V2" s="28">
        <v>1.6899999999999998E-2</v>
      </c>
      <c r="W2" s="28">
        <v>1.4499999999999999E-2</v>
      </c>
      <c r="X2" s="28">
        <v>1E-4</v>
      </c>
      <c r="Y2" s="28">
        <v>1.3100000000000001E-2</v>
      </c>
      <c r="Z2" s="28">
        <v>6.8099999999999994E-2</v>
      </c>
      <c r="AA2" s="28">
        <v>0.9355</v>
      </c>
      <c r="AB2" s="28">
        <v>7.1999999999999998E-3</v>
      </c>
      <c r="AC2" s="28">
        <v>5.5000000000000005E-3</v>
      </c>
      <c r="AD2" s="28">
        <v>7.4800000000000005E-2</v>
      </c>
      <c r="AE2" s="28">
        <v>0.12089999999999999</v>
      </c>
      <c r="AF2" s="28">
        <v>6.7199999999999996E-2</v>
      </c>
      <c r="AG2" s="28">
        <v>4.1599999999999998E-2</v>
      </c>
      <c r="AH2" s="28">
        <v>5.3E-3</v>
      </c>
      <c r="AI2" s="28">
        <v>8.4499999999999992E-2</v>
      </c>
      <c r="AJ2" s="28">
        <v>5.6100000000000004E-2</v>
      </c>
      <c r="AK2" s="28">
        <v>3.6600000000000001E-2</v>
      </c>
      <c r="AL2" s="28">
        <v>1.8799999999999997E-2</v>
      </c>
      <c r="AM2" s="28">
        <v>4.07E-2</v>
      </c>
      <c r="AN2" s="28">
        <v>1.7600000000000001E-2</v>
      </c>
      <c r="AO2" s="28">
        <v>1.83E-2</v>
      </c>
      <c r="AP2" s="28">
        <v>1.0800000000000001E-2</v>
      </c>
      <c r="AQ2" s="28">
        <v>2.3E-3</v>
      </c>
      <c r="AR2" s="28">
        <v>0.11960000000000001</v>
      </c>
      <c r="AS2" s="28">
        <v>2.07E-2</v>
      </c>
      <c r="AT2" s="28">
        <v>0.16420000000000001</v>
      </c>
      <c r="AU2" s="28">
        <v>1.1399999999999999E-2</v>
      </c>
      <c r="AV2" s="28">
        <v>1.1000000000000001E-2</v>
      </c>
      <c r="AW2" s="28">
        <v>1.5300000000000001E-2</v>
      </c>
      <c r="AX2" s="28">
        <v>7.4999999999999997E-3</v>
      </c>
      <c r="AY2" s="28">
        <v>6.5000000000000006E-3</v>
      </c>
      <c r="AZ2" s="28">
        <v>2.5999999999999999E-3</v>
      </c>
    </row>
    <row r="3" spans="1:52" x14ac:dyDescent="0.35">
      <c r="A3" t="s">
        <v>107</v>
      </c>
      <c r="B3" s="28">
        <v>1.1599999999999999E-2</v>
      </c>
      <c r="C3" s="28">
        <v>2.3E-3</v>
      </c>
      <c r="D3" s="28">
        <v>5.1000000000000004E-3</v>
      </c>
      <c r="E3" s="28">
        <v>0.96150000000000002</v>
      </c>
      <c r="F3" s="28">
        <v>6.7000000000000002E-3</v>
      </c>
      <c r="G3" s="28">
        <v>0.26390000000000002</v>
      </c>
      <c r="H3" s="28">
        <v>1.1000000000000001E-3</v>
      </c>
      <c r="I3" s="28">
        <v>1.2800000000000001E-2</v>
      </c>
      <c r="J3" s="28">
        <v>1.18E-2</v>
      </c>
      <c r="K3" s="28">
        <v>1.1899999999999999E-2</v>
      </c>
      <c r="L3" s="28">
        <v>6.3E-2</v>
      </c>
      <c r="M3" s="28">
        <v>5.0000000000000001E-4</v>
      </c>
      <c r="N3" s="28">
        <v>3.9000000000000003E-3</v>
      </c>
      <c r="O3" s="28">
        <v>1.6000000000000001E-3</v>
      </c>
      <c r="P3" s="28">
        <v>6.0000000000000001E-3</v>
      </c>
      <c r="Q3" s="28">
        <v>4.0999999999999995E-3</v>
      </c>
      <c r="R3" s="28">
        <v>4.7999999999999996E-3</v>
      </c>
      <c r="S3" s="28">
        <v>8.77E-2</v>
      </c>
      <c r="T3" s="28">
        <v>2.2000000000000001E-3</v>
      </c>
      <c r="U3" s="28">
        <v>0.4143</v>
      </c>
      <c r="V3" s="28">
        <v>0.91900000000000004</v>
      </c>
      <c r="W3" s="28">
        <v>0.94519999999999993</v>
      </c>
      <c r="X3" s="28">
        <v>0.96700000000000008</v>
      </c>
      <c r="Y3" s="28">
        <v>0.9224</v>
      </c>
      <c r="Z3" s="28">
        <v>0.18659999999999999</v>
      </c>
      <c r="AA3" s="28">
        <v>1.7299999999999999E-2</v>
      </c>
      <c r="AB3" s="28">
        <v>7.6E-3</v>
      </c>
      <c r="AC3" s="28">
        <v>1E-3</v>
      </c>
      <c r="AD3" s="28">
        <v>1.5E-3</v>
      </c>
      <c r="AE3" s="28">
        <v>6.6100000000000006E-2</v>
      </c>
      <c r="AF3" s="28">
        <v>0.2011</v>
      </c>
      <c r="AG3" s="28">
        <v>0.16649999999999998</v>
      </c>
      <c r="AH3" s="28">
        <v>0.11689999999999999</v>
      </c>
      <c r="AI3" s="28">
        <v>8.2400000000000001E-2</v>
      </c>
      <c r="AJ3" s="28">
        <v>8.2599999999999993E-2</v>
      </c>
      <c r="AK3" s="28">
        <v>2.5899999999999999E-2</v>
      </c>
      <c r="AL3" s="28">
        <v>2.1499999999999998E-2</v>
      </c>
      <c r="AM3" s="28">
        <v>3.4799999999999998E-2</v>
      </c>
      <c r="AN3" s="28">
        <v>6.6E-3</v>
      </c>
      <c r="AO3" s="28">
        <v>2.0999999999999999E-3</v>
      </c>
      <c r="AP3" s="28">
        <v>5.1999999999999998E-3</v>
      </c>
      <c r="AQ3" s="28">
        <v>1.8E-3</v>
      </c>
      <c r="AR3" s="28">
        <v>7.3200000000000001E-2</v>
      </c>
      <c r="AS3" s="28">
        <v>1.7399999999999999E-2</v>
      </c>
      <c r="AT3" s="28">
        <v>8.5500000000000007E-2</v>
      </c>
      <c r="AU3" s="28">
        <v>1.3600000000000001E-2</v>
      </c>
      <c r="AV3" s="28">
        <v>1.4800000000000001E-2</v>
      </c>
      <c r="AW3" s="28">
        <v>1.1999999999999999E-3</v>
      </c>
      <c r="AX3" s="28">
        <v>9.4999999999999998E-3</v>
      </c>
      <c r="AY3" s="28">
        <v>2.2099999999999998E-2</v>
      </c>
      <c r="AZ3" s="28">
        <v>5.1999999999999998E-3</v>
      </c>
    </row>
    <row r="4" spans="1:52" x14ac:dyDescent="0.35">
      <c r="A4" t="s">
        <v>161</v>
      </c>
      <c r="B4" s="28">
        <v>9.3999999999999986E-3</v>
      </c>
      <c r="C4" s="28">
        <v>3.8E-3</v>
      </c>
      <c r="D4" s="28">
        <v>2.0000000000000001E-4</v>
      </c>
      <c r="E4" s="28">
        <v>6.6E-3</v>
      </c>
      <c r="F4" s="28">
        <v>5.8999999999999999E-3</v>
      </c>
      <c r="G4" s="28">
        <v>9.3999999999999986E-3</v>
      </c>
      <c r="H4" s="28">
        <v>8.0000000000000002E-3</v>
      </c>
      <c r="I4" s="28">
        <v>1.52E-2</v>
      </c>
      <c r="J4" s="28">
        <v>0.90510000000000002</v>
      </c>
      <c r="K4" s="28">
        <v>5.0000000000000001E-4</v>
      </c>
      <c r="L4" s="28">
        <v>9.7000000000000003E-3</v>
      </c>
      <c r="M4" s="28">
        <v>4.9599999999999998E-2</v>
      </c>
      <c r="N4" s="28">
        <v>1.1299999999999999E-2</v>
      </c>
      <c r="O4" s="28">
        <v>5.1000000000000004E-3</v>
      </c>
      <c r="P4" s="28">
        <v>0.9405</v>
      </c>
      <c r="Q4" s="28">
        <v>2.46E-2</v>
      </c>
      <c r="R4" s="28">
        <v>9.7999999999999997E-3</v>
      </c>
      <c r="S4" s="28">
        <v>1.7000000000000001E-3</v>
      </c>
      <c r="T4" s="28">
        <v>2.3E-2</v>
      </c>
      <c r="U4" s="28">
        <v>3.0600000000000002E-2</v>
      </c>
      <c r="V4" s="28">
        <v>2.7799999999999998E-2</v>
      </c>
      <c r="W4" s="28">
        <v>1.04E-2</v>
      </c>
      <c r="X4" s="28">
        <v>9.300000000000001E-3</v>
      </c>
      <c r="Y4" s="28">
        <v>1.77E-2</v>
      </c>
      <c r="Z4" s="28">
        <v>0.19289999999999999</v>
      </c>
      <c r="AA4" s="28">
        <v>1E-4</v>
      </c>
      <c r="AB4" s="28">
        <v>1.3000000000000001E-2</v>
      </c>
      <c r="AC4" s="28">
        <v>2.5899999999999999E-2</v>
      </c>
      <c r="AD4" s="28">
        <v>0.151</v>
      </c>
      <c r="AE4" s="28">
        <v>1.6899999999999998E-2</v>
      </c>
      <c r="AF4" s="28">
        <v>0.1469</v>
      </c>
      <c r="AG4" s="28">
        <v>0.10800000000000001</v>
      </c>
      <c r="AH4" s="28">
        <v>0.11789999999999999</v>
      </c>
      <c r="AI4" s="28">
        <v>8.2299999999999998E-2</v>
      </c>
      <c r="AJ4" s="28">
        <v>5.7099999999999998E-2</v>
      </c>
      <c r="AK4" s="28">
        <v>1.9299999999999998E-2</v>
      </c>
      <c r="AL4" s="28">
        <v>5.0199999999999995E-2</v>
      </c>
      <c r="AM4" s="28">
        <v>4.9400000000000006E-2</v>
      </c>
      <c r="AN4" s="28">
        <v>3.0099999999999998E-2</v>
      </c>
      <c r="AO4" s="28">
        <v>1.6000000000000001E-3</v>
      </c>
      <c r="AP4" s="28">
        <v>5.6000000000000008E-3</v>
      </c>
      <c r="AQ4" s="28">
        <v>3.5099999999999999E-2</v>
      </c>
      <c r="AR4" s="28">
        <v>0.13439999999999999</v>
      </c>
      <c r="AS4" s="28">
        <v>2.4500000000000001E-2</v>
      </c>
      <c r="AT4" s="28">
        <v>0.2059</v>
      </c>
      <c r="AU4" s="28">
        <v>5.4000000000000003E-3</v>
      </c>
      <c r="AV4" s="28">
        <v>2.5099999999999997E-2</v>
      </c>
      <c r="AW4" s="28">
        <v>5.9999999999999995E-4</v>
      </c>
      <c r="AX4" s="28">
        <v>1.4000000000000002E-3</v>
      </c>
      <c r="AY4" s="28">
        <v>6.7000000000000002E-3</v>
      </c>
      <c r="AZ4" s="28">
        <v>9.1999999999999998E-3</v>
      </c>
    </row>
    <row r="5" spans="1:52" x14ac:dyDescent="0.35">
      <c r="A5" t="s">
        <v>160</v>
      </c>
      <c r="B5" s="28">
        <v>7.1999999999999998E-3</v>
      </c>
      <c r="C5" s="28">
        <v>3.4999999999999996E-3</v>
      </c>
      <c r="D5" s="28">
        <v>4.8999999999999998E-3</v>
      </c>
      <c r="E5" s="28">
        <v>1.3100000000000001E-2</v>
      </c>
      <c r="F5" s="28">
        <v>3.9000000000000003E-3</v>
      </c>
      <c r="G5" s="28">
        <v>1.11E-2</v>
      </c>
      <c r="H5" s="28">
        <v>1.1000000000000001E-3</v>
      </c>
      <c r="I5" s="28">
        <v>1.47E-2</v>
      </c>
      <c r="J5" s="28">
        <v>1.44E-2</v>
      </c>
      <c r="K5" s="28">
        <v>1.2E-2</v>
      </c>
      <c r="L5" s="28">
        <v>0.89670000000000005</v>
      </c>
      <c r="M5" s="28">
        <v>0.85129999999999995</v>
      </c>
      <c r="N5" s="28">
        <v>1.06E-2</v>
      </c>
      <c r="O5" s="28">
        <v>6.3E-3</v>
      </c>
      <c r="P5" s="28">
        <v>8.199999999999999E-3</v>
      </c>
      <c r="Q5" s="28">
        <v>2.46E-2</v>
      </c>
      <c r="R5" s="28">
        <v>0.43859999999999999</v>
      </c>
      <c r="S5" s="28">
        <v>3.0200000000000001E-2</v>
      </c>
      <c r="T5" s="28">
        <v>0.46610000000000001</v>
      </c>
      <c r="U5" s="28">
        <v>0.1527</v>
      </c>
      <c r="V5" s="28">
        <v>1.11E-2</v>
      </c>
      <c r="W5" s="28">
        <v>8.0000000000000002E-3</v>
      </c>
      <c r="X5" s="28">
        <v>1.5E-3</v>
      </c>
      <c r="Y5" s="28">
        <v>1.23E-2</v>
      </c>
      <c r="Z5" s="28">
        <v>3.4700000000000002E-2</v>
      </c>
      <c r="AA5" s="28">
        <v>3.5900000000000001E-2</v>
      </c>
      <c r="AB5" s="28">
        <v>0.9637</v>
      </c>
      <c r="AC5" s="28">
        <v>6.1200000000000004E-2</v>
      </c>
      <c r="AD5" s="28">
        <v>8.5000000000000006E-2</v>
      </c>
      <c r="AE5" s="28">
        <v>0.15109999999999998</v>
      </c>
      <c r="AF5" s="28">
        <v>8.0700000000000008E-2</v>
      </c>
      <c r="AG5" s="28">
        <v>3.4200000000000001E-2</v>
      </c>
      <c r="AH5" s="28">
        <v>2.6699999999999998E-2</v>
      </c>
      <c r="AI5" s="28">
        <v>3.6600000000000001E-2</v>
      </c>
      <c r="AJ5" s="28">
        <v>8.0299999999999996E-2</v>
      </c>
      <c r="AK5" s="28">
        <v>2.6000000000000002E-2</v>
      </c>
      <c r="AL5" s="28">
        <v>8.1000000000000013E-3</v>
      </c>
      <c r="AM5" s="28">
        <v>3.6499999999999998E-2</v>
      </c>
      <c r="AN5" s="28">
        <v>3.0800000000000001E-2</v>
      </c>
      <c r="AO5" s="28">
        <v>2.2000000000000001E-3</v>
      </c>
      <c r="AP5" s="28">
        <v>1.6399999999999998E-2</v>
      </c>
      <c r="AQ5" s="28">
        <v>8.0000000000000004E-4</v>
      </c>
      <c r="AR5" s="28">
        <v>1.8500000000000003E-2</v>
      </c>
      <c r="AS5" s="28">
        <v>2.86E-2</v>
      </c>
      <c r="AT5" s="28">
        <v>9.9199999999999997E-2</v>
      </c>
      <c r="AU5" s="28">
        <v>1.47E-2</v>
      </c>
      <c r="AV5" s="28">
        <v>1.66E-2</v>
      </c>
      <c r="AW5" s="28">
        <v>1.61E-2</v>
      </c>
      <c r="AX5" s="28">
        <v>0</v>
      </c>
      <c r="AY5" s="28">
        <v>1.23E-2</v>
      </c>
      <c r="AZ5" s="28">
        <v>8.6999999999999994E-3</v>
      </c>
    </row>
    <row r="6" spans="1:52" x14ac:dyDescent="0.35">
      <c r="A6" t="s">
        <v>159</v>
      </c>
      <c r="B6" s="28">
        <v>3.7000000000000002E-3</v>
      </c>
      <c r="C6" s="28">
        <v>0.65099999999999991</v>
      </c>
      <c r="D6" s="28">
        <v>5.0000000000000001E-4</v>
      </c>
      <c r="E6" s="28">
        <v>1.21E-2</v>
      </c>
      <c r="F6" s="28">
        <v>2.0000000000000001E-4</v>
      </c>
      <c r="G6" s="28">
        <v>7.1999999999999998E-3</v>
      </c>
      <c r="H6" s="28">
        <v>1.3100000000000001E-2</v>
      </c>
      <c r="I6" s="28">
        <v>1.0800000000000001E-2</v>
      </c>
      <c r="J6" s="28">
        <v>4.3E-3</v>
      </c>
      <c r="K6" s="28">
        <v>2.81E-2</v>
      </c>
      <c r="L6" s="28">
        <v>1E-3</v>
      </c>
      <c r="M6" s="28">
        <v>2.3599999999999999E-2</v>
      </c>
      <c r="N6" s="28">
        <v>1.54E-2</v>
      </c>
      <c r="O6" s="28">
        <v>0.97140000000000004</v>
      </c>
      <c r="P6" s="28">
        <v>1.2199999999999999E-2</v>
      </c>
      <c r="Q6" s="28">
        <v>6.3E-3</v>
      </c>
      <c r="R6" s="28">
        <v>0.53210000000000002</v>
      </c>
      <c r="S6" s="28">
        <v>1.1000000000000001E-3</v>
      </c>
      <c r="T6" s="28">
        <v>0.4768</v>
      </c>
      <c r="U6" s="28">
        <v>3.8699999999999998E-2</v>
      </c>
      <c r="V6" s="28">
        <v>1.7000000000000001E-3</v>
      </c>
      <c r="W6" s="28">
        <v>7.7000000000000002E-3</v>
      </c>
      <c r="X6" s="28">
        <v>8.6E-3</v>
      </c>
      <c r="Y6" s="28">
        <v>1.2699999999999999E-2</v>
      </c>
      <c r="Z6" s="28">
        <v>0.14599999999999999</v>
      </c>
      <c r="AA6" s="28">
        <v>9.1999999999999998E-3</v>
      </c>
      <c r="AB6" s="28">
        <v>4.5999999999999999E-3</v>
      </c>
      <c r="AC6" s="28">
        <v>3.3000000000000002E-2</v>
      </c>
      <c r="AD6" s="28">
        <v>6.3399999999999998E-2</v>
      </c>
      <c r="AE6" s="28">
        <v>9.1999999999999998E-3</v>
      </c>
      <c r="AF6" s="28">
        <v>1.47E-2</v>
      </c>
      <c r="AG6" s="28">
        <v>0.16059999999999999</v>
      </c>
      <c r="AH6" s="28">
        <v>1.5100000000000001E-2</v>
      </c>
      <c r="AI6" s="28">
        <v>3.5200000000000002E-2</v>
      </c>
      <c r="AJ6" s="28">
        <v>6.4899999999999999E-2</v>
      </c>
      <c r="AK6" s="28">
        <v>5.7999999999999996E-2</v>
      </c>
      <c r="AL6" s="28">
        <v>0.12189999999999999</v>
      </c>
      <c r="AM6" s="28">
        <v>2.46E-2</v>
      </c>
      <c r="AN6" s="28">
        <v>3.1300000000000001E-2</v>
      </c>
      <c r="AO6" s="28">
        <v>1.1399999999999999E-2</v>
      </c>
      <c r="AP6" s="28">
        <v>1.1000000000000001E-2</v>
      </c>
      <c r="AQ6" s="28">
        <v>4.6799999999999994E-2</v>
      </c>
      <c r="AR6" s="28">
        <v>9.6600000000000005E-2</v>
      </c>
      <c r="AS6" s="28">
        <v>4.82E-2</v>
      </c>
      <c r="AT6" s="28">
        <v>2.6099999999999998E-2</v>
      </c>
      <c r="AU6" s="28">
        <v>1.9900000000000001E-2</v>
      </c>
      <c r="AV6" s="28">
        <v>1.32E-2</v>
      </c>
      <c r="AW6" s="28">
        <v>7.000000000000001E-4</v>
      </c>
      <c r="AX6" s="28">
        <v>2.8900000000000002E-2</v>
      </c>
      <c r="AY6" s="28">
        <v>1.9299999999999998E-2</v>
      </c>
      <c r="AZ6" s="28">
        <v>2.4399999999999998E-2</v>
      </c>
    </row>
    <row r="7" spans="1:52" x14ac:dyDescent="0.35">
      <c r="A7" t="s">
        <v>158</v>
      </c>
      <c r="B7" s="28">
        <v>6.0000000000000001E-3</v>
      </c>
      <c r="C7" s="28">
        <v>3.8E-3</v>
      </c>
      <c r="D7" s="28">
        <v>2.2000000000000001E-3</v>
      </c>
      <c r="E7" s="28">
        <v>1.1999999999999999E-3</v>
      </c>
      <c r="F7" s="28">
        <v>9.300000000000001E-3</v>
      </c>
      <c r="G7" s="28">
        <v>1.1000000000000001E-2</v>
      </c>
      <c r="H7" s="28">
        <v>1.38E-2</v>
      </c>
      <c r="I7" s="28">
        <v>1.3100000000000001E-2</v>
      </c>
      <c r="J7" s="28">
        <v>1.3600000000000001E-2</v>
      </c>
      <c r="K7" s="28">
        <v>1.43E-2</v>
      </c>
      <c r="L7" s="28">
        <v>1.23E-2</v>
      </c>
      <c r="M7" s="28">
        <v>6.8000000000000005E-3</v>
      </c>
      <c r="N7" s="28">
        <v>1.1200000000000002E-2</v>
      </c>
      <c r="O7" s="28">
        <v>5.6000000000000008E-3</v>
      </c>
      <c r="P7" s="28">
        <v>2.98E-2</v>
      </c>
      <c r="Q7" s="28">
        <v>4.7999999999999996E-3</v>
      </c>
      <c r="R7" s="28">
        <v>1.23E-2</v>
      </c>
      <c r="S7" s="28">
        <v>1.9099999999999999E-2</v>
      </c>
      <c r="T7" s="28">
        <v>2.0799999999999999E-2</v>
      </c>
      <c r="U7" s="28">
        <v>2.5999999999999999E-3</v>
      </c>
      <c r="V7" s="28">
        <v>2.3399999999999997E-2</v>
      </c>
      <c r="W7" s="28">
        <v>1.4199999999999999E-2</v>
      </c>
      <c r="X7" s="28">
        <v>1.3500000000000002E-2</v>
      </c>
      <c r="Y7" s="28">
        <v>2.18E-2</v>
      </c>
      <c r="Z7" s="28">
        <v>0.37170000000000003</v>
      </c>
      <c r="AA7" s="28">
        <v>2E-3</v>
      </c>
      <c r="AB7" s="28">
        <v>3.9000000000000003E-3</v>
      </c>
      <c r="AC7" s="28">
        <v>0.87340000000000007</v>
      </c>
      <c r="AD7" s="28">
        <v>0.62419999999999998</v>
      </c>
      <c r="AE7" s="28">
        <v>0.63570000000000004</v>
      </c>
      <c r="AF7" s="28">
        <v>0.48930000000000001</v>
      </c>
      <c r="AG7" s="28">
        <v>0.48920000000000002</v>
      </c>
      <c r="AH7" s="28">
        <v>0.71810000000000007</v>
      </c>
      <c r="AI7" s="28">
        <v>0.67900000000000005</v>
      </c>
      <c r="AJ7" s="28">
        <v>0.65900000000000003</v>
      </c>
      <c r="AK7" s="28">
        <v>0.83430000000000004</v>
      </c>
      <c r="AL7" s="28">
        <v>0.77939999999999998</v>
      </c>
      <c r="AM7" s="28">
        <v>0.81400000000000006</v>
      </c>
      <c r="AN7" s="28">
        <v>0.88359999999999994</v>
      </c>
      <c r="AO7" s="28">
        <v>0.96439999999999992</v>
      </c>
      <c r="AP7" s="28">
        <v>0.95099999999999996</v>
      </c>
      <c r="AQ7" s="28">
        <v>0.9131999999999999</v>
      </c>
      <c r="AR7" s="28">
        <v>0.55770000000000008</v>
      </c>
      <c r="AS7" s="28">
        <v>0.86060000000000003</v>
      </c>
      <c r="AT7" s="28">
        <v>0.41909999999999997</v>
      </c>
      <c r="AU7" s="28">
        <v>0.93500000000000005</v>
      </c>
      <c r="AV7" s="28">
        <v>0.91930000000000012</v>
      </c>
      <c r="AW7" s="28">
        <v>0.96620000000000006</v>
      </c>
      <c r="AX7" s="28">
        <v>0.95269999999999999</v>
      </c>
      <c r="AY7" s="28">
        <v>0.93299999999999994</v>
      </c>
      <c r="AZ7" s="28">
        <v>0.95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election activeCell="B18" sqref="B18"/>
    </sheetView>
  </sheetViews>
  <sheetFormatPr defaultColWidth="9.1796875" defaultRowHeight="14.5" x14ac:dyDescent="0.35"/>
  <cols>
    <col min="1" max="1" width="9.1796875" style="1"/>
    <col min="2" max="2" width="134.7265625" style="1" customWidth="1"/>
    <col min="3" max="12" width="9.1796875" style="1"/>
    <col min="13" max="13" width="18.7265625" style="1" customWidth="1"/>
    <col min="14" max="14" width="15.453125" style="1" customWidth="1"/>
    <col min="15" max="16384" width="9.1796875" style="1"/>
  </cols>
  <sheetData>
    <row r="3" spans="2:2" x14ac:dyDescent="0.35">
      <c r="B3" s="1" t="s">
        <v>85</v>
      </c>
    </row>
    <row r="4" spans="2:2" x14ac:dyDescent="0.35">
      <c r="B4" s="1" t="s">
        <v>86</v>
      </c>
    </row>
    <row r="5" spans="2:2" x14ac:dyDescent="0.35">
      <c r="B5" s="1" t="s">
        <v>87</v>
      </c>
    </row>
    <row r="6" spans="2:2" x14ac:dyDescent="0.35">
      <c r="B6" s="1" t="s">
        <v>92</v>
      </c>
    </row>
    <row r="7" spans="2:2" x14ac:dyDescent="0.35">
      <c r="B7" s="1" t="s">
        <v>88</v>
      </c>
    </row>
    <row r="9" spans="2:2" x14ac:dyDescent="0.35">
      <c r="B9" s="1" t="s">
        <v>89</v>
      </c>
    </row>
    <row r="13" spans="2:2" x14ac:dyDescent="0.35">
      <c r="B13" s="1" t="s">
        <v>90</v>
      </c>
    </row>
    <row r="14" spans="2:2" x14ac:dyDescent="0.35">
      <c r="B14" s="1" t="s">
        <v>91</v>
      </c>
    </row>
    <row r="18" spans="2:2" x14ac:dyDescent="0.35">
      <c r="B18" s="1" t="s">
        <v>93</v>
      </c>
    </row>
    <row r="37" spans="2:14" x14ac:dyDescent="0.35">
      <c r="B37" s="1" t="s">
        <v>94</v>
      </c>
    </row>
    <row r="41" spans="2:14" x14ac:dyDescent="0.35">
      <c r="C41" s="1" t="s">
        <v>95</v>
      </c>
    </row>
    <row r="42" spans="2:14" x14ac:dyDescent="0.35">
      <c r="D42" s="1" t="s">
        <v>98</v>
      </c>
      <c r="E42" s="1" t="s">
        <v>99</v>
      </c>
    </row>
    <row r="43" spans="2:14" x14ac:dyDescent="0.35">
      <c r="C43" s="1" t="s">
        <v>96</v>
      </c>
      <c r="D43" s="26">
        <v>0.03</v>
      </c>
      <c r="E43" s="26">
        <v>0.01</v>
      </c>
      <c r="H43" s="1">
        <v>2025</v>
      </c>
      <c r="I43" s="1">
        <v>2026</v>
      </c>
      <c r="J43" s="1">
        <v>2027</v>
      </c>
      <c r="M43" s="34" t="s">
        <v>100</v>
      </c>
      <c r="N43" s="35" t="s">
        <v>101</v>
      </c>
    </row>
    <row r="44" spans="2:14" x14ac:dyDescent="0.35">
      <c r="C44" s="1" t="s">
        <v>97</v>
      </c>
      <c r="D44" s="26">
        <v>0.1</v>
      </c>
      <c r="E44" s="26">
        <v>0.03</v>
      </c>
      <c r="H44" s="26">
        <v>0.03</v>
      </c>
      <c r="I44" s="26">
        <v>0.04</v>
      </c>
      <c r="J44" s="26">
        <v>0.06</v>
      </c>
      <c r="K44" s="26">
        <v>7.0000000000000007E-2</v>
      </c>
      <c r="L44" s="26">
        <v>0.1</v>
      </c>
      <c r="M44" s="34"/>
      <c r="N44" s="35"/>
    </row>
    <row r="45" spans="2:14" x14ac:dyDescent="0.35">
      <c r="M45" s="34"/>
      <c r="N45" s="35"/>
    </row>
    <row r="46" spans="2:14" x14ac:dyDescent="0.35">
      <c r="H46" s="26">
        <f>AVERAGE(H44:L44)</f>
        <v>6.0000000000000012E-2</v>
      </c>
      <c r="I46" s="26">
        <f>AVERAGE(I44:L44)</f>
        <v>6.7500000000000004E-2</v>
      </c>
      <c r="M46" s="34"/>
      <c r="N46" s="35"/>
    </row>
    <row r="51" spans="2:21" x14ac:dyDescent="0.35">
      <c r="J51" s="1" t="s">
        <v>102</v>
      </c>
      <c r="L51" s="1" t="s">
        <v>103</v>
      </c>
    </row>
    <row r="53" spans="2:21" x14ac:dyDescent="0.35">
      <c r="J53" s="1">
        <v>2025</v>
      </c>
      <c r="K53" s="1">
        <v>2026</v>
      </c>
      <c r="L53" s="1">
        <v>2027</v>
      </c>
      <c r="M53" s="1">
        <v>2028</v>
      </c>
      <c r="N53" s="1">
        <v>2029</v>
      </c>
      <c r="O53" s="1">
        <v>2030</v>
      </c>
      <c r="P53" s="1">
        <v>2031</v>
      </c>
      <c r="Q53" s="1">
        <v>2032</v>
      </c>
      <c r="R53" s="1">
        <v>2033</v>
      </c>
      <c r="S53" s="1">
        <v>2034</v>
      </c>
      <c r="U53" s="1" t="s">
        <v>104</v>
      </c>
    </row>
    <row r="54" spans="2:21" x14ac:dyDescent="0.35">
      <c r="J54" s="27">
        <f t="shared" ref="J54:S54" si="0">$U$54*10%</f>
        <v>200000</v>
      </c>
      <c r="K54" s="27">
        <f t="shared" si="0"/>
        <v>200000</v>
      </c>
      <c r="L54" s="27">
        <f t="shared" si="0"/>
        <v>200000</v>
      </c>
      <c r="M54" s="27">
        <f t="shared" si="0"/>
        <v>200000</v>
      </c>
      <c r="N54" s="27">
        <f t="shared" si="0"/>
        <v>200000</v>
      </c>
      <c r="O54" s="27">
        <f t="shared" si="0"/>
        <v>200000</v>
      </c>
      <c r="P54" s="27">
        <f t="shared" si="0"/>
        <v>200000</v>
      </c>
      <c r="Q54" s="27">
        <f t="shared" si="0"/>
        <v>200000</v>
      </c>
      <c r="R54" s="27">
        <f t="shared" si="0"/>
        <v>200000</v>
      </c>
      <c r="S54" s="27">
        <f t="shared" si="0"/>
        <v>200000</v>
      </c>
      <c r="T54" s="27"/>
      <c r="U54" s="1">
        <v>2000000</v>
      </c>
    </row>
    <row r="57" spans="2:21" x14ac:dyDescent="0.35">
      <c r="B57" s="27" t="s">
        <v>105</v>
      </c>
    </row>
  </sheetData>
  <mergeCells count="2">
    <mergeCell ref="M43:M46"/>
    <mergeCell ref="N43:N4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CF605-A567-418D-810B-893BBCEAF35A}">
  <dimension ref="A1:AZ5"/>
  <sheetViews>
    <sheetView topLeftCell="X1" workbookViewId="0">
      <selection activeCell="AZ2" sqref="AZ2"/>
    </sheetView>
  </sheetViews>
  <sheetFormatPr defaultRowHeight="14.5" x14ac:dyDescent="0.35"/>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35">
      <c r="A2" t="s">
        <v>169</v>
      </c>
      <c r="B2" s="28">
        <v>9.9000000000000008E-3</v>
      </c>
      <c r="C2" s="28">
        <v>0.01</v>
      </c>
      <c r="D2" s="28">
        <v>9.9000000000000008E-3</v>
      </c>
      <c r="E2" s="28">
        <v>2.9700000000000001E-2</v>
      </c>
      <c r="F2" s="28">
        <v>0.01</v>
      </c>
      <c r="G2" s="28">
        <v>1.9800000000000002E-2</v>
      </c>
      <c r="H2" s="28">
        <v>0.02</v>
      </c>
      <c r="I2" s="28">
        <v>0.04</v>
      </c>
      <c r="J2" s="28">
        <v>3.0300000000000001E-2</v>
      </c>
      <c r="K2" s="28">
        <v>9.9000000000000008E-3</v>
      </c>
      <c r="L2" s="28">
        <v>0.04</v>
      </c>
      <c r="M2" s="28">
        <v>0.03</v>
      </c>
      <c r="N2" s="28">
        <v>9.9000000000000008E-3</v>
      </c>
      <c r="O2" s="28">
        <v>9.9000000000000008E-3</v>
      </c>
      <c r="P2" s="28">
        <v>0.03</v>
      </c>
      <c r="Q2" s="28">
        <v>9.9000000000000008E-3</v>
      </c>
      <c r="R2" s="28">
        <v>9.9000000000000008E-3</v>
      </c>
      <c r="S2" s="28">
        <v>1.9800000000000002E-2</v>
      </c>
      <c r="T2" s="28">
        <v>0.01</v>
      </c>
      <c r="U2" s="28">
        <v>0.02</v>
      </c>
      <c r="V2" s="28">
        <v>4.9500000000000002E-2</v>
      </c>
      <c r="W2" s="28">
        <v>3.9600000000000003E-2</v>
      </c>
      <c r="X2" s="28">
        <v>9.9000000000000008E-3</v>
      </c>
      <c r="Y2" s="28">
        <v>6.8599999999999994E-2</v>
      </c>
      <c r="Z2" s="28">
        <v>0.01</v>
      </c>
      <c r="AA2" s="28">
        <v>9.9000000000000008E-3</v>
      </c>
      <c r="AB2" s="28">
        <v>0.02</v>
      </c>
      <c r="AC2" s="28">
        <v>0.01</v>
      </c>
      <c r="AD2" s="28">
        <v>9.9000000000000008E-3</v>
      </c>
      <c r="AE2" s="28">
        <v>0.01</v>
      </c>
      <c r="AF2" s="28">
        <v>0.02</v>
      </c>
      <c r="AG2" s="28">
        <v>0.03</v>
      </c>
      <c r="AH2" s="28">
        <v>0.02</v>
      </c>
      <c r="AI2" s="28">
        <v>0.01</v>
      </c>
      <c r="AJ2" s="28">
        <v>0.01</v>
      </c>
      <c r="AK2" s="28">
        <v>0.02</v>
      </c>
      <c r="AL2" s="28">
        <v>1.01E-2</v>
      </c>
      <c r="AM2" s="28">
        <v>0.02</v>
      </c>
      <c r="AN2" s="28">
        <v>9.9000000000000008E-3</v>
      </c>
      <c r="AO2" s="28">
        <v>0.03</v>
      </c>
      <c r="AP2" s="28">
        <v>0.03</v>
      </c>
      <c r="AQ2" s="28">
        <v>0.02</v>
      </c>
      <c r="AR2" s="28">
        <v>0.01</v>
      </c>
      <c r="AS2" s="28">
        <v>5.9400000000000001E-2</v>
      </c>
      <c r="AT2" s="28">
        <v>0.1414</v>
      </c>
      <c r="AU2" s="28">
        <v>9.9000000000000008E-3</v>
      </c>
      <c r="AV2" s="28">
        <v>1.01E-2</v>
      </c>
      <c r="AW2" s="28">
        <v>0.01</v>
      </c>
      <c r="AX2" s="28">
        <v>0.01</v>
      </c>
      <c r="AY2" s="28">
        <v>0.01</v>
      </c>
      <c r="AZ2" s="28">
        <v>0.01</v>
      </c>
    </row>
    <row r="3" spans="1:52" x14ac:dyDescent="0.35">
      <c r="A3" t="s">
        <v>170</v>
      </c>
      <c r="B3" s="28">
        <v>0.95050000000000001</v>
      </c>
      <c r="C3" s="28">
        <v>0.97</v>
      </c>
      <c r="D3" s="28">
        <v>0.47520000000000001</v>
      </c>
      <c r="E3" s="28">
        <v>0.95050000000000001</v>
      </c>
      <c r="F3" s="28">
        <v>0.2</v>
      </c>
      <c r="G3" s="28">
        <v>0.95050000000000001</v>
      </c>
      <c r="H3" s="28">
        <v>0.95</v>
      </c>
      <c r="I3" s="28">
        <v>0.93</v>
      </c>
      <c r="J3" s="28">
        <v>0.93940000000000001</v>
      </c>
      <c r="K3" s="28">
        <v>0.93069999999999997</v>
      </c>
      <c r="L3" s="28">
        <v>0.93</v>
      </c>
      <c r="M3" s="28">
        <v>0.93</v>
      </c>
      <c r="N3" s="28">
        <v>0.93069999999999997</v>
      </c>
      <c r="O3" s="28">
        <v>0.96040000000000003</v>
      </c>
      <c r="P3" s="28">
        <v>0.94</v>
      </c>
      <c r="Q3" s="28">
        <v>0.92079999999999995</v>
      </c>
      <c r="R3" s="28">
        <v>0.96040000000000003</v>
      </c>
      <c r="S3" s="28">
        <v>0.92079999999999995</v>
      </c>
      <c r="T3" s="28">
        <v>0.92</v>
      </c>
      <c r="U3" s="28">
        <v>0.87</v>
      </c>
      <c r="V3" s="28">
        <v>0.90100000000000002</v>
      </c>
      <c r="W3" s="28">
        <v>0.94059999999999999</v>
      </c>
      <c r="X3" s="28">
        <v>0.96040000000000003</v>
      </c>
      <c r="Y3" s="28">
        <v>0.91180000000000005</v>
      </c>
      <c r="Z3" s="28">
        <v>0.66</v>
      </c>
      <c r="AA3" s="28">
        <v>0.92079999999999995</v>
      </c>
      <c r="AB3" s="28">
        <v>0.95</v>
      </c>
      <c r="AC3" s="28">
        <v>0.15</v>
      </c>
      <c r="AD3" s="28">
        <v>0.46529999999999999</v>
      </c>
      <c r="AE3" s="28">
        <v>0.56999999999999995</v>
      </c>
      <c r="AF3" s="28">
        <v>0.26</v>
      </c>
      <c r="AG3" s="28">
        <v>0.51</v>
      </c>
      <c r="AH3" s="28">
        <v>0.34</v>
      </c>
      <c r="AI3" s="28">
        <v>0.34</v>
      </c>
      <c r="AJ3" s="28">
        <v>0.36</v>
      </c>
      <c r="AK3" s="28">
        <v>0.05</v>
      </c>
      <c r="AL3" s="28">
        <v>0.2828</v>
      </c>
      <c r="AM3" s="28">
        <v>0.2</v>
      </c>
      <c r="AN3" s="28">
        <v>9.9000000000000005E-2</v>
      </c>
      <c r="AO3" s="28">
        <v>0.02</v>
      </c>
      <c r="AP3" s="28">
        <v>0.02</v>
      </c>
      <c r="AQ3" s="28">
        <v>0.01</v>
      </c>
      <c r="AR3" s="28">
        <v>0.35</v>
      </c>
      <c r="AS3" s="28">
        <v>9.9000000000000005E-2</v>
      </c>
      <c r="AT3" s="28">
        <v>0.57579999999999998</v>
      </c>
      <c r="AU3" s="28">
        <v>6.93E-2</v>
      </c>
      <c r="AV3" s="28">
        <v>7.0699999999999999E-2</v>
      </c>
      <c r="AW3" s="28">
        <v>0.02</v>
      </c>
      <c r="AX3" s="28">
        <v>0.09</v>
      </c>
      <c r="AY3" s="28">
        <v>0.06</v>
      </c>
      <c r="AZ3" s="28">
        <v>0.05</v>
      </c>
    </row>
    <row r="4" spans="1:52" x14ac:dyDescent="0.35">
      <c r="A4" t="s">
        <v>171</v>
      </c>
      <c r="B4" s="28">
        <v>9.9000000000000008E-3</v>
      </c>
      <c r="C4" s="28">
        <v>0.01</v>
      </c>
      <c r="D4" s="28">
        <v>9.9000000000000008E-3</v>
      </c>
      <c r="E4" s="28">
        <v>9.9000000000000008E-3</v>
      </c>
      <c r="F4" s="28">
        <v>0.02</v>
      </c>
      <c r="G4" s="28">
        <v>1.9800000000000002E-2</v>
      </c>
      <c r="H4" s="28">
        <v>0.01</v>
      </c>
      <c r="I4" s="28">
        <v>0.02</v>
      </c>
      <c r="J4" s="28">
        <v>2.0199999999999999E-2</v>
      </c>
      <c r="K4" s="28">
        <v>2.9700000000000001E-2</v>
      </c>
      <c r="L4" s="28">
        <v>0.02</v>
      </c>
      <c r="M4" s="28">
        <v>0.03</v>
      </c>
      <c r="N4" s="28">
        <v>9.9000000000000008E-3</v>
      </c>
      <c r="O4" s="28">
        <v>1.9800000000000002E-2</v>
      </c>
      <c r="P4" s="28">
        <v>0.02</v>
      </c>
      <c r="Q4" s="28">
        <v>9.9000000000000008E-3</v>
      </c>
      <c r="R4" s="28">
        <v>1.9800000000000002E-2</v>
      </c>
      <c r="S4" s="28">
        <v>4.9500000000000002E-2</v>
      </c>
      <c r="T4" s="28">
        <v>0.01</v>
      </c>
      <c r="U4" s="28">
        <v>0.01</v>
      </c>
      <c r="V4" s="28">
        <v>9.9000000000000008E-3</v>
      </c>
      <c r="W4" s="28">
        <v>9.9000000000000008E-3</v>
      </c>
      <c r="X4" s="28">
        <v>1.9800000000000002E-2</v>
      </c>
      <c r="Y4" s="28">
        <v>9.7999999999999997E-3</v>
      </c>
      <c r="Z4" s="28">
        <v>0.28999999999999998</v>
      </c>
      <c r="AA4" s="28">
        <v>2.9700000000000001E-2</v>
      </c>
      <c r="AB4" s="28">
        <v>0.01</v>
      </c>
      <c r="AC4" s="28">
        <v>0.81</v>
      </c>
      <c r="AD4" s="28">
        <v>0.495</v>
      </c>
      <c r="AE4" s="28">
        <v>0.33</v>
      </c>
      <c r="AF4" s="28">
        <v>0.42</v>
      </c>
      <c r="AG4" s="28">
        <v>0.45</v>
      </c>
      <c r="AH4" s="28">
        <v>0.63</v>
      </c>
      <c r="AI4" s="28">
        <v>0.59</v>
      </c>
      <c r="AJ4" s="28">
        <v>0.61</v>
      </c>
      <c r="AK4" s="28">
        <v>0.79</v>
      </c>
      <c r="AL4" s="28">
        <v>0.68689999999999996</v>
      </c>
      <c r="AM4" s="28">
        <v>0.77</v>
      </c>
      <c r="AN4" s="28">
        <v>0.88119999999999998</v>
      </c>
      <c r="AO4" s="28">
        <v>0.94</v>
      </c>
      <c r="AP4" s="28">
        <v>0.9</v>
      </c>
      <c r="AQ4" s="28">
        <v>0.81</v>
      </c>
      <c r="AR4" s="28">
        <v>0.51</v>
      </c>
      <c r="AS4" s="28">
        <v>0.83169999999999999</v>
      </c>
      <c r="AT4" s="28">
        <v>0.2525</v>
      </c>
      <c r="AU4" s="28">
        <v>0.91090000000000004</v>
      </c>
      <c r="AV4" s="28">
        <v>0.89900000000000002</v>
      </c>
      <c r="AW4" s="28">
        <v>0.96</v>
      </c>
      <c r="AX4" s="28">
        <v>0.86</v>
      </c>
      <c r="AY4" s="28">
        <v>0.92</v>
      </c>
      <c r="AZ4" s="28">
        <v>0.93</v>
      </c>
    </row>
    <row r="5" spans="1:52" x14ac:dyDescent="0.35">
      <c r="A5" t="s">
        <v>172</v>
      </c>
      <c r="B5" s="28">
        <v>2.9700000000000001E-2</v>
      </c>
      <c r="C5" s="28">
        <v>0.01</v>
      </c>
      <c r="D5" s="28">
        <v>0.505</v>
      </c>
      <c r="E5" s="28">
        <v>9.9000000000000008E-3</v>
      </c>
      <c r="F5" s="28">
        <v>0.77</v>
      </c>
      <c r="G5" s="28">
        <v>9.9000000000000008E-3</v>
      </c>
      <c r="H5" s="28">
        <v>0.02</v>
      </c>
      <c r="I5" s="28">
        <v>0.01</v>
      </c>
      <c r="J5" s="28">
        <v>1.01E-2</v>
      </c>
      <c r="K5" s="28">
        <v>2.9700000000000001E-2</v>
      </c>
      <c r="L5" s="28">
        <v>0.01</v>
      </c>
      <c r="M5" s="28">
        <v>0.01</v>
      </c>
      <c r="N5" s="28">
        <v>4.9500000000000002E-2</v>
      </c>
      <c r="O5" s="28">
        <v>9.9000000000000008E-3</v>
      </c>
      <c r="P5" s="28">
        <v>0.01</v>
      </c>
      <c r="Q5" s="28">
        <v>5.9400000000000001E-2</v>
      </c>
      <c r="R5" s="28">
        <v>9.9000000000000008E-3</v>
      </c>
      <c r="S5" s="28">
        <v>9.9000000000000008E-3</v>
      </c>
      <c r="T5" s="28">
        <v>0.06</v>
      </c>
      <c r="U5" s="28">
        <v>0.1</v>
      </c>
      <c r="V5" s="28">
        <v>3.9600000000000003E-2</v>
      </c>
      <c r="W5" s="28">
        <v>9.9000000000000008E-3</v>
      </c>
      <c r="X5" s="28">
        <v>9.9000000000000008E-3</v>
      </c>
      <c r="Y5" s="28">
        <v>9.7999999999999997E-3</v>
      </c>
      <c r="Z5" s="28">
        <v>0.04</v>
      </c>
      <c r="AA5" s="28">
        <v>3.9600000000000003E-2</v>
      </c>
      <c r="AB5" s="28">
        <v>0.02</v>
      </c>
      <c r="AC5" s="28">
        <v>0.03</v>
      </c>
      <c r="AD5" s="28">
        <v>2.9700000000000001E-2</v>
      </c>
      <c r="AE5" s="28">
        <v>0.09</v>
      </c>
      <c r="AF5" s="28">
        <v>0.3</v>
      </c>
      <c r="AG5" s="28">
        <v>0.01</v>
      </c>
      <c r="AH5" s="28">
        <v>0.01</v>
      </c>
      <c r="AI5" s="28">
        <v>0.06</v>
      </c>
      <c r="AJ5" s="28">
        <v>0.02</v>
      </c>
      <c r="AK5" s="28">
        <v>0.14000000000000001</v>
      </c>
      <c r="AL5" s="28">
        <v>2.0199999999999999E-2</v>
      </c>
      <c r="AM5" s="28">
        <v>0.01</v>
      </c>
      <c r="AN5" s="28">
        <v>9.9000000000000008E-3</v>
      </c>
      <c r="AO5" s="28">
        <v>0.01</v>
      </c>
      <c r="AP5" s="28">
        <v>0.05</v>
      </c>
      <c r="AQ5" s="28">
        <v>0.16</v>
      </c>
      <c r="AR5" s="28">
        <v>0.13</v>
      </c>
      <c r="AS5" s="28">
        <v>9.9000000000000008E-3</v>
      </c>
      <c r="AT5" s="28">
        <v>3.0300000000000001E-2</v>
      </c>
      <c r="AU5" s="28">
        <v>9.9000000000000008E-3</v>
      </c>
      <c r="AV5" s="28">
        <v>2.0199999999999999E-2</v>
      </c>
      <c r="AW5" s="28">
        <v>0.01</v>
      </c>
      <c r="AX5" s="28">
        <v>0.04</v>
      </c>
      <c r="AY5" s="28">
        <v>0.01</v>
      </c>
      <c r="AZ5" s="28">
        <v>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Y7"/>
  <sheetViews>
    <sheetView workbookViewId="0">
      <selection activeCell="C8" sqref="C8:C15"/>
    </sheetView>
  </sheetViews>
  <sheetFormatPr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163</v>
      </c>
    </row>
    <row r="3" spans="1:51" x14ac:dyDescent="0.35">
      <c r="A3" t="s">
        <v>164</v>
      </c>
    </row>
    <row r="4" spans="1:51" x14ac:dyDescent="0.35">
      <c r="A4" t="s">
        <v>165</v>
      </c>
    </row>
    <row r="5" spans="1:51" x14ac:dyDescent="0.35">
      <c r="A5" t="s">
        <v>166</v>
      </c>
    </row>
    <row r="6" spans="1:51" x14ac:dyDescent="0.35">
      <c r="A6" t="s">
        <v>167</v>
      </c>
    </row>
    <row r="7" spans="1:51" x14ac:dyDescent="0.35">
      <c r="A7" t="s">
        <v>168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B4ACF-8769-4D41-B361-0B24E4C47EDE}">
  <dimension ref="A1:AZ7"/>
  <sheetViews>
    <sheetView topLeftCell="AH1" workbookViewId="0">
      <selection activeCell="AZ2" sqref="AZ2"/>
    </sheetView>
  </sheetViews>
  <sheetFormatPr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35">
      <c r="A2" t="s">
        <v>106</v>
      </c>
      <c r="B2">
        <v>-4.6374624539303522E-2</v>
      </c>
      <c r="C2">
        <v>0.25193929244792046</v>
      </c>
      <c r="D2">
        <v>0.25632261453563498</v>
      </c>
      <c r="E2">
        <v>-5.9773063379075286E-2</v>
      </c>
      <c r="F2">
        <v>0.4037825622478608</v>
      </c>
      <c r="G2">
        <v>0.31172393348028482</v>
      </c>
      <c r="H2">
        <v>5.9218288104509353E-2</v>
      </c>
      <c r="I2">
        <v>0.10707307173309566</v>
      </c>
      <c r="J2">
        <v>0.1143557726991431</v>
      </c>
      <c r="K2">
        <v>0.12346019482714743</v>
      </c>
      <c r="L2">
        <v>9.0155243291453413E-2</v>
      </c>
      <c r="M2">
        <v>0.16489957003965827</v>
      </c>
      <c r="N2">
        <v>-3.2891724441363568E-2</v>
      </c>
      <c r="O2">
        <v>-2.8709220895397625E-2</v>
      </c>
      <c r="P2">
        <v>-2.9700592918326052E-2</v>
      </c>
      <c r="Q2">
        <v>5.3046739497358164E-2</v>
      </c>
      <c r="R2">
        <v>4.0017378805269122E-2</v>
      </c>
      <c r="S2">
        <v>0.31809496159743089</v>
      </c>
      <c r="T2">
        <v>-3.0274921180414083E-2</v>
      </c>
      <c r="U2">
        <v>0.42106698481842941</v>
      </c>
      <c r="V2">
        <v>-0.15114640093107001</v>
      </c>
      <c r="W2">
        <v>0.11903432201536934</v>
      </c>
      <c r="X2">
        <v>-0.14501133771544472</v>
      </c>
      <c r="Y2">
        <v>-9.8981450678448213E-2</v>
      </c>
      <c r="Z2">
        <v>-0.28480526143549512</v>
      </c>
      <c r="AA2">
        <v>0.16386844102281728</v>
      </c>
      <c r="AB2">
        <v>-4.9048038763010116E-2</v>
      </c>
      <c r="AC2">
        <v>0.10968519365888074</v>
      </c>
      <c r="AD2">
        <v>-7.9101954782518469E-2</v>
      </c>
      <c r="AE2">
        <v>0.11709658947834378</v>
      </c>
      <c r="AF2">
        <v>0.42713820722628815</v>
      </c>
      <c r="AG2">
        <v>-0.26668674586449892</v>
      </c>
      <c r="AH2">
        <v>-0.1530648452641632</v>
      </c>
      <c r="AI2">
        <v>0.23493864763154781</v>
      </c>
      <c r="AJ2">
        <v>6.041256988737298E-2</v>
      </c>
      <c r="AK2">
        <v>1.4204164172181066E-2</v>
      </c>
      <c r="AL2">
        <v>-6.9574101825511381E-2</v>
      </c>
      <c r="AM2">
        <v>7.3240333938557445E-2</v>
      </c>
      <c r="AN2">
        <v>0.10362599817724494</v>
      </c>
      <c r="AO2">
        <v>5.1557175598106575E-2</v>
      </c>
      <c r="AP2">
        <v>-5.2116699156352086E-2</v>
      </c>
      <c r="AQ2">
        <v>-0.23205744218937063</v>
      </c>
      <c r="AR2">
        <v>0.46613427903603921</v>
      </c>
      <c r="AS2">
        <v>7.4472391324156284E-2</v>
      </c>
      <c r="AT2">
        <v>0.71150702464550397</v>
      </c>
      <c r="AU2">
        <v>2.0245654526625412E-2</v>
      </c>
      <c r="AV2">
        <v>0.27735916529071791</v>
      </c>
      <c r="AW2">
        <v>0.11781713077091949</v>
      </c>
      <c r="AX2">
        <v>-4.1329986166300792E-3</v>
      </c>
      <c r="AY2">
        <v>7.0092809209421958E-2</v>
      </c>
      <c r="AZ2">
        <v>0</v>
      </c>
    </row>
    <row r="3" spans="1:52" x14ac:dyDescent="0.35">
      <c r="A3" t="s">
        <v>107</v>
      </c>
      <c r="B3">
        <v>-3.4134004457981759E-2</v>
      </c>
      <c r="C3">
        <v>0.19511077137000687</v>
      </c>
      <c r="D3">
        <v>6.9691772197972179E-2</v>
      </c>
      <c r="E3">
        <v>0.1033057450186734</v>
      </c>
      <c r="F3">
        <v>7.6016162916965113E-2</v>
      </c>
      <c r="G3">
        <v>0.23027144965944113</v>
      </c>
      <c r="H3">
        <v>3.2689217671517445E-2</v>
      </c>
      <c r="I3">
        <v>-8.8332981043660608E-2</v>
      </c>
      <c r="J3">
        <v>-0.10923190033107699</v>
      </c>
      <c r="K3">
        <v>-4.3963023434883675E-2</v>
      </c>
      <c r="L3">
        <v>0.20956142406649048</v>
      </c>
      <c r="M3">
        <v>-1.5205665643450494E-2</v>
      </c>
      <c r="N3">
        <v>-5.9960028782211405E-2</v>
      </c>
      <c r="O3">
        <v>5.7027602095488295E-2</v>
      </c>
      <c r="P3">
        <v>-3.5388428115954884E-2</v>
      </c>
      <c r="Q3">
        <v>-4.1584959494241347E-2</v>
      </c>
      <c r="R3">
        <v>-6.6624170345609413E-3</v>
      </c>
      <c r="S3">
        <v>0.21043093873515328</v>
      </c>
      <c r="T3">
        <v>6.8683867347799188E-2</v>
      </c>
      <c r="U3">
        <v>0.37689316574426335</v>
      </c>
      <c r="V3">
        <v>4.2532040403342908E-2</v>
      </c>
      <c r="W3">
        <v>0.18667478780794977</v>
      </c>
      <c r="X3">
        <v>-2.3315533646275588E-2</v>
      </c>
      <c r="Y3">
        <v>2.0929003130567336E-2</v>
      </c>
      <c r="Z3">
        <v>-3.3223354241563752E-2</v>
      </c>
      <c r="AA3">
        <v>0.14205355388071439</v>
      </c>
      <c r="AB3">
        <v>-3.1351511198571491E-2</v>
      </c>
      <c r="AC3">
        <v>7.7272300158451657E-2</v>
      </c>
      <c r="AD3">
        <v>-7.6933006132187454E-2</v>
      </c>
      <c r="AE3">
        <v>4.2148946498898887E-3</v>
      </c>
      <c r="AF3">
        <v>0.39390059080264517</v>
      </c>
      <c r="AG3">
        <v>-9.848900274038308E-2</v>
      </c>
      <c r="AH3">
        <v>-9.6519892653231909E-2</v>
      </c>
      <c r="AI3">
        <v>0.17365697809383684</v>
      </c>
      <c r="AJ3">
        <v>0.13561299161585239</v>
      </c>
      <c r="AK3">
        <v>6.2760250987418553E-2</v>
      </c>
      <c r="AL3">
        <v>-1.9523505554479681E-2</v>
      </c>
      <c r="AM3">
        <v>0.13169239029263036</v>
      </c>
      <c r="AN3">
        <v>0.16529749354644085</v>
      </c>
      <c r="AO3">
        <v>6.9245797760353556E-2</v>
      </c>
      <c r="AP3">
        <v>-0.13108725517574527</v>
      </c>
      <c r="AQ3">
        <v>-0.12086994313042287</v>
      </c>
      <c r="AR3">
        <v>0.26810918058794209</v>
      </c>
      <c r="AS3">
        <v>2.1392416323751551E-2</v>
      </c>
      <c r="AT3">
        <v>0.29513880715473073</v>
      </c>
      <c r="AU3">
        <v>-1.6946598826961257E-3</v>
      </c>
      <c r="AV3">
        <v>7.6425522373073873E-2</v>
      </c>
      <c r="AW3">
        <v>0.10705452816213645</v>
      </c>
      <c r="AX3">
        <v>-1.1778299652929536E-2</v>
      </c>
      <c r="AY3">
        <v>0.12849202499791512</v>
      </c>
      <c r="AZ3">
        <v>0</v>
      </c>
    </row>
    <row r="4" spans="1:52" x14ac:dyDescent="0.35">
      <c r="A4" t="s">
        <v>161</v>
      </c>
      <c r="B4">
        <v>-2.4348050660809251E-2</v>
      </c>
      <c r="C4">
        <v>0.17899997942074442</v>
      </c>
      <c r="D4">
        <v>5.3592043458880134E-2</v>
      </c>
      <c r="E4">
        <v>-9.7456791152005784E-2</v>
      </c>
      <c r="F4">
        <v>9.9075542917716142E-2</v>
      </c>
      <c r="G4">
        <v>-1.2404188671498617E-2</v>
      </c>
      <c r="H4">
        <v>-2.0112401297278204E-2</v>
      </c>
      <c r="I4">
        <v>8.8319812711201706E-4</v>
      </c>
      <c r="J4">
        <v>0.13739337408998864</v>
      </c>
      <c r="K4">
        <v>4.93102042936715E-2</v>
      </c>
      <c r="L4">
        <v>0.16346340391895264</v>
      </c>
      <c r="M4">
        <v>0.15165498697161639</v>
      </c>
      <c r="N4">
        <v>-3.7833919205281896E-2</v>
      </c>
      <c r="O4">
        <v>-3.2854561153112916E-2</v>
      </c>
      <c r="P4">
        <v>8.8478774729274345E-2</v>
      </c>
      <c r="Q4">
        <v>5.2819549037135038E-2</v>
      </c>
      <c r="R4">
        <v>7.9197987324172381E-2</v>
      </c>
      <c r="S4">
        <v>2.0094932630428275E-2</v>
      </c>
      <c r="T4">
        <v>0.1675414410016085</v>
      </c>
      <c r="U4">
        <v>0.1310381975414967</v>
      </c>
      <c r="V4">
        <v>5.2266955821262284E-2</v>
      </c>
      <c r="W4">
        <v>1.4832552895459594E-2</v>
      </c>
      <c r="X4">
        <v>-1.9128735871546287E-2</v>
      </c>
      <c r="Y4">
        <v>-0.10185033256489218</v>
      </c>
      <c r="Z4">
        <v>-0.10937817346668721</v>
      </c>
      <c r="AA4">
        <v>5.4434209891755625E-2</v>
      </c>
      <c r="AB4">
        <v>3.2901852569451107E-2</v>
      </c>
      <c r="AC4">
        <v>0.13941133867926814</v>
      </c>
      <c r="AD4">
        <v>-1.9714931120616841E-3</v>
      </c>
      <c r="AE4">
        <v>9.5073761389524059E-2</v>
      </c>
      <c r="AF4">
        <v>0.23102348181169319</v>
      </c>
      <c r="AG4">
        <v>-5.5404051968755641E-2</v>
      </c>
      <c r="AH4">
        <v>-1.6079316485009265E-2</v>
      </c>
      <c r="AI4">
        <v>0.17435244591535337</v>
      </c>
      <c r="AJ4">
        <v>6.8288645445059748E-2</v>
      </c>
      <c r="AK4">
        <v>-0.10568757583847876</v>
      </c>
      <c r="AL4">
        <v>7.7890760169976314E-3</v>
      </c>
      <c r="AM4">
        <v>-9.7682374094033908E-2</v>
      </c>
      <c r="AN4">
        <v>-4.8483464601972281E-2</v>
      </c>
      <c r="AO4">
        <v>-3.0515458984663457E-3</v>
      </c>
      <c r="AP4">
        <v>2.7520955675692793E-3</v>
      </c>
      <c r="AQ4">
        <v>3.4665731121924281E-2</v>
      </c>
      <c r="AR4">
        <v>0.16682695641162315</v>
      </c>
      <c r="AS4">
        <v>3.9148103395052702E-2</v>
      </c>
      <c r="AT4">
        <v>0.19318839075466232</v>
      </c>
      <c r="AU4">
        <v>-6.6513778884906838E-3</v>
      </c>
      <c r="AV4">
        <v>0.15805628543610295</v>
      </c>
      <c r="AW4">
        <v>6.1989057853666374E-2</v>
      </c>
      <c r="AX4">
        <v>-0.10102989980336718</v>
      </c>
      <c r="AY4">
        <v>4.7570480242633773E-2</v>
      </c>
      <c r="AZ4">
        <v>0</v>
      </c>
    </row>
    <row r="5" spans="1:52" x14ac:dyDescent="0.35">
      <c r="A5" t="s">
        <v>160</v>
      </c>
      <c r="B5">
        <v>2.0947373043940232E-3</v>
      </c>
      <c r="C5">
        <v>0.16863527274992385</v>
      </c>
      <c r="D5">
        <v>-4.3988899549594396E-2</v>
      </c>
      <c r="E5">
        <v>9.2439085080484595E-3</v>
      </c>
      <c r="F5">
        <v>-5.8187200655120397E-2</v>
      </c>
      <c r="G5">
        <v>6.393462710665343E-2</v>
      </c>
      <c r="H5">
        <v>3.9390304980641E-2</v>
      </c>
      <c r="I5">
        <v>-4.8821518700243871E-3</v>
      </c>
      <c r="J5">
        <v>-1.0087751091934383E-2</v>
      </c>
      <c r="K5">
        <v>-4.0523476546512227E-2</v>
      </c>
      <c r="L5">
        <v>0.22293804810000961</v>
      </c>
      <c r="M5">
        <v>0.17926818565699532</v>
      </c>
      <c r="N5">
        <v>-1.3958242070529314E-2</v>
      </c>
      <c r="O5">
        <v>6.29207364008606E-2</v>
      </c>
      <c r="P5">
        <v>-5.8488370474529816E-4</v>
      </c>
      <c r="Q5">
        <v>-2.4558541927591326E-2</v>
      </c>
      <c r="R5">
        <v>9.9825643984252199E-2</v>
      </c>
      <c r="S5">
        <v>9.5745177078208954E-2</v>
      </c>
      <c r="T5">
        <v>0.18763394710053749</v>
      </c>
      <c r="U5">
        <v>0.25076435289002275</v>
      </c>
      <c r="V5">
        <v>4.3184299723693531E-2</v>
      </c>
      <c r="W5">
        <v>1.4553844236743441E-2</v>
      </c>
      <c r="X5">
        <v>-6.46543044094261E-2</v>
      </c>
      <c r="Y5">
        <v>-6.8264578060728831E-2</v>
      </c>
      <c r="Z5">
        <v>-6.1684509125154663E-2</v>
      </c>
      <c r="AA5">
        <v>9.5210856186225046E-2</v>
      </c>
      <c r="AB5">
        <v>0.11893617882276653</v>
      </c>
      <c r="AC5">
        <v>-3.1171782286205985E-2</v>
      </c>
      <c r="AD5">
        <v>1.8900135651397809E-2</v>
      </c>
      <c r="AE5">
        <v>1.2824898959576503E-2</v>
      </c>
      <c r="AF5">
        <v>0.21820203216987899</v>
      </c>
      <c r="AG5">
        <v>-2.4014377471840653E-2</v>
      </c>
      <c r="AH5">
        <v>3.8296852003223636E-2</v>
      </c>
      <c r="AI5">
        <v>1.9952541657046741E-2</v>
      </c>
      <c r="AJ5">
        <v>0.15024427853413069</v>
      </c>
      <c r="AK5">
        <v>-9.0532127248145189E-3</v>
      </c>
      <c r="AL5">
        <v>7.8239784778870725E-3</v>
      </c>
      <c r="AM5">
        <v>1.2720264634141998E-2</v>
      </c>
      <c r="AN5">
        <v>0.11698172627821091</v>
      </c>
      <c r="AO5">
        <v>1.3563192783854205E-2</v>
      </c>
      <c r="AP5">
        <v>-3.1307857227137026E-2</v>
      </c>
      <c r="AQ5">
        <v>-1.7042856163464459E-2</v>
      </c>
      <c r="AR5">
        <v>0.20639671534077375</v>
      </c>
      <c r="AS5">
        <v>5.989281647284872E-2</v>
      </c>
      <c r="AT5">
        <v>0.15184773869153112</v>
      </c>
      <c r="AU5">
        <v>5.3546078104615979E-3</v>
      </c>
      <c r="AV5">
        <v>6.5052611824913953E-2</v>
      </c>
      <c r="AW5">
        <v>7.8823819307450416E-2</v>
      </c>
      <c r="AX5">
        <v>-0.14338179349370206</v>
      </c>
      <c r="AY5">
        <v>0.11585202582222953</v>
      </c>
      <c r="AZ5">
        <v>0</v>
      </c>
    </row>
    <row r="6" spans="1:52" x14ac:dyDescent="0.35">
      <c r="A6" t="s">
        <v>159</v>
      </c>
      <c r="B6">
        <v>2.030658361074611E-2</v>
      </c>
      <c r="C6">
        <v>0.17407088736482224</v>
      </c>
      <c r="D6">
        <v>-4.6518788571582204E-2</v>
      </c>
      <c r="E6">
        <v>8.6784081187656348E-3</v>
      </c>
      <c r="F6">
        <v>-1.094991646316601E-2</v>
      </c>
      <c r="G6">
        <v>4.2874326827782028E-2</v>
      </c>
      <c r="H6">
        <v>4.2086601997496809E-2</v>
      </c>
      <c r="I6">
        <v>-1.7316859701690612E-2</v>
      </c>
      <c r="J6">
        <v>5.8994448996374516E-3</v>
      </c>
      <c r="K6">
        <v>1.566046272107835E-2</v>
      </c>
      <c r="L6">
        <v>0.13556024037343284</v>
      </c>
      <c r="M6">
        <v>9.9561145246060745E-2</v>
      </c>
      <c r="N6">
        <v>-1.1234137156741375E-2</v>
      </c>
      <c r="O6">
        <v>7.7927824267948642E-2</v>
      </c>
      <c r="P6">
        <v>7.6843927674916657E-2</v>
      </c>
      <c r="Q6">
        <v>-2.3689760318698072E-2</v>
      </c>
      <c r="R6">
        <v>9.5850567757821414E-2</v>
      </c>
      <c r="S6">
        <v>-1.6291818495720589E-3</v>
      </c>
      <c r="T6">
        <v>0.15662866258483188</v>
      </c>
      <c r="U6">
        <v>0.11023687113533853</v>
      </c>
      <c r="V6">
        <v>2.3511467000357333E-2</v>
      </c>
      <c r="W6">
        <v>3.6602317517634653E-2</v>
      </c>
      <c r="X6">
        <v>-4.8538279095632464E-2</v>
      </c>
      <c r="Y6">
        <v>-3.0067359701889673E-2</v>
      </c>
      <c r="Z6">
        <v>-3.4510361971969217E-2</v>
      </c>
      <c r="AA6">
        <v>9.5364119469438791E-2</v>
      </c>
      <c r="AB6">
        <v>1.4863393955985682E-2</v>
      </c>
      <c r="AC6">
        <v>-2.9047233095698566E-2</v>
      </c>
      <c r="AD6">
        <v>-1.5385537587214504E-2</v>
      </c>
      <c r="AE6">
        <v>-7.3986273175308259E-4</v>
      </c>
      <c r="AF6">
        <v>0.11899469604747615</v>
      </c>
      <c r="AG6">
        <v>7.204786691262699E-2</v>
      </c>
      <c r="AH6">
        <v>5.7388718776625325E-3</v>
      </c>
      <c r="AI6">
        <v>0.13027792547223549</v>
      </c>
      <c r="AJ6">
        <v>0.1133545730503398</v>
      </c>
      <c r="AK6">
        <v>6.023182481219802E-3</v>
      </c>
      <c r="AL6">
        <v>2.5378987462348235E-2</v>
      </c>
      <c r="AM6">
        <v>-3.319730127062881E-3</v>
      </c>
      <c r="AN6">
        <v>3.5408805121952325E-2</v>
      </c>
      <c r="AO6">
        <v>-1.1836192945465451E-2</v>
      </c>
      <c r="AP6">
        <v>3.4041737409844508E-3</v>
      </c>
      <c r="AQ6">
        <v>-1.5798285098030274E-2</v>
      </c>
      <c r="AR6">
        <v>0.12280627257731114</v>
      </c>
      <c r="AS6">
        <v>4.3636186103408248E-2</v>
      </c>
      <c r="AT6">
        <v>0.11189226414190867</v>
      </c>
      <c r="AU6">
        <v>4.2019732941085852E-2</v>
      </c>
      <c r="AV6">
        <v>4.830090038191881E-2</v>
      </c>
      <c r="AW6">
        <v>1.195386399278342E-2</v>
      </c>
      <c r="AX6">
        <v>-5.9960932960714364E-2</v>
      </c>
      <c r="AY6">
        <v>3.6272181257773983E-2</v>
      </c>
      <c r="AZ6">
        <v>0</v>
      </c>
    </row>
    <row r="7" spans="1:52" x14ac:dyDescent="0.35">
      <c r="A7" t="s">
        <v>158</v>
      </c>
      <c r="B7">
        <v>4.2149821151798994E-2</v>
      </c>
      <c r="C7">
        <v>0.10310123378760072</v>
      </c>
      <c r="D7">
        <v>3.1754403971268275E-2</v>
      </c>
      <c r="E7">
        <v>2.5015652143324685E-2</v>
      </c>
      <c r="F7">
        <v>1.9348110955474951E-2</v>
      </c>
      <c r="G7">
        <v>1.0157775343372144E-2</v>
      </c>
      <c r="H7">
        <v>4.9364963256446348E-2</v>
      </c>
      <c r="I7">
        <v>-1.0190624127589532E-2</v>
      </c>
      <c r="J7">
        <v>3.9711314704807599E-2</v>
      </c>
      <c r="K7">
        <v>1.7363413659658988E-3</v>
      </c>
      <c r="L7">
        <v>5.2922022453726125E-2</v>
      </c>
      <c r="M7">
        <v>7.1070860032021566E-2</v>
      </c>
      <c r="N7">
        <v>-1.7577139890127547E-2</v>
      </c>
      <c r="O7">
        <v>3.0519435576796816E-3</v>
      </c>
      <c r="P7">
        <v>7.7577743992467196E-2</v>
      </c>
      <c r="Q7">
        <v>3.0400247471855657E-3</v>
      </c>
      <c r="R7">
        <v>8.3761181406708518E-2</v>
      </c>
      <c r="S7">
        <v>-2.5010586373327315E-2</v>
      </c>
      <c r="T7">
        <v>0.11157190887237256</v>
      </c>
      <c r="U7">
        <v>3.9371753544031662E-2</v>
      </c>
      <c r="V7">
        <v>2.0310458220712091E-2</v>
      </c>
      <c r="W7">
        <v>5.9640325461275623E-2</v>
      </c>
      <c r="X7">
        <v>5.9617911935997192E-2</v>
      </c>
      <c r="Y7">
        <v>4.2957097710987213E-3</v>
      </c>
      <c r="Z7">
        <v>1.6193350720530519E-2</v>
      </c>
      <c r="AA7">
        <v>5.8660680685023614E-2</v>
      </c>
      <c r="AB7">
        <v>-1.4014379546415157E-2</v>
      </c>
      <c r="AC7">
        <v>3.1370644912172452E-2</v>
      </c>
      <c r="AD7">
        <v>-8.982946330022834E-3</v>
      </c>
      <c r="AE7">
        <v>1.6586273497583459E-2</v>
      </c>
      <c r="AF7">
        <v>6.4740848808989337E-2</v>
      </c>
      <c r="AG7">
        <v>1.0540152102622935E-2</v>
      </c>
      <c r="AH7">
        <v>3.9379022970009503E-2</v>
      </c>
      <c r="AI7">
        <v>6.5580331063234354E-2</v>
      </c>
      <c r="AJ7">
        <v>7.6254379826020013E-2</v>
      </c>
      <c r="AK7">
        <v>-2.4022284728990151E-2</v>
      </c>
      <c r="AL7">
        <v>7.6718608750679707E-2</v>
      </c>
      <c r="AM7">
        <v>-5.1493088273791843E-3</v>
      </c>
      <c r="AN7">
        <v>-1.1449030297456586E-2</v>
      </c>
      <c r="AO7">
        <v>2.57450236135921E-2</v>
      </c>
      <c r="AP7">
        <v>2.0794227346421668E-2</v>
      </c>
      <c r="AQ7">
        <v>7.6564054535642301E-2</v>
      </c>
      <c r="AR7">
        <v>1.2164388978604501E-2</v>
      </c>
      <c r="AS7">
        <v>5.9620057740045418E-2</v>
      </c>
      <c r="AT7">
        <v>2.0534110572525854E-2</v>
      </c>
      <c r="AU7">
        <v>2.6882986772883921E-2</v>
      </c>
      <c r="AV7">
        <v>3.2178990974434107E-2</v>
      </c>
      <c r="AW7">
        <v>3.5080280965447574E-2</v>
      </c>
      <c r="AX7">
        <v>7.7056709367708809E-3</v>
      </c>
      <c r="AY7">
        <v>2.4774392298001047E-2</v>
      </c>
      <c r="AZ7">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7"/>
  <sheetViews>
    <sheetView workbookViewId="0">
      <selection activeCell="C8" sqref="C8:C15"/>
    </sheetView>
  </sheetViews>
  <sheetFormatPr defaultColWidth="8.7265625" defaultRowHeight="14.5" x14ac:dyDescent="0.35"/>
  <cols>
    <col min="1" max="1" width="31.453125" style="1" bestFit="1" customWidth="1"/>
    <col min="2" max="2" width="29.7265625" style="1" bestFit="1" customWidth="1"/>
    <col min="3" max="16384" width="8.7265625" style="1"/>
  </cols>
  <sheetData>
    <row r="1" spans="1:2" x14ac:dyDescent="0.35">
      <c r="B1" s="1" t="s">
        <v>162</v>
      </c>
    </row>
    <row r="2" spans="1:2" x14ac:dyDescent="0.35">
      <c r="A2" s="1" t="s">
        <v>163</v>
      </c>
      <c r="B2" s="1">
        <v>0.17</v>
      </c>
    </row>
    <row r="3" spans="1:2" x14ac:dyDescent="0.35">
      <c r="A3" s="1" t="s">
        <v>164</v>
      </c>
      <c r="B3" s="1">
        <v>0.05</v>
      </c>
    </row>
    <row r="4" spans="1:2" x14ac:dyDescent="0.35">
      <c r="A4" s="1" t="s">
        <v>165</v>
      </c>
      <c r="B4" s="1">
        <v>0.19</v>
      </c>
    </row>
    <row r="5" spans="1:2" x14ac:dyDescent="0.35">
      <c r="A5" s="1" t="s">
        <v>166</v>
      </c>
      <c r="B5" s="1">
        <v>0.28000000000000003</v>
      </c>
    </row>
    <row r="6" spans="1:2" x14ac:dyDescent="0.35">
      <c r="A6" s="1" t="s">
        <v>167</v>
      </c>
      <c r="B6" s="1">
        <v>0.3</v>
      </c>
    </row>
    <row r="7" spans="1:2" x14ac:dyDescent="0.35">
      <c r="A7" s="1" t="s">
        <v>168</v>
      </c>
      <c r="B7" s="1">
        <v>0.82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election activeCell="C8" sqref="C8:C15"/>
    </sheetView>
  </sheetViews>
  <sheetFormatPr defaultColWidth="8.7265625" defaultRowHeight="14.5" x14ac:dyDescent="0.35"/>
  <cols>
    <col min="1" max="1" width="31.453125" style="1" bestFit="1" customWidth="1"/>
    <col min="2" max="2" width="29.7265625" style="1" bestFit="1" customWidth="1"/>
    <col min="3" max="16384" width="8.7265625" style="1"/>
  </cols>
  <sheetData>
    <row r="1" spans="1:2" x14ac:dyDescent="0.35">
      <c r="B1" s="1" t="s">
        <v>162</v>
      </c>
    </row>
    <row r="2" spans="1:2" x14ac:dyDescent="0.35">
      <c r="A2" s="1" t="s">
        <v>106</v>
      </c>
      <c r="B2" s="1">
        <v>8.5999999999999993E-2</v>
      </c>
    </row>
    <row r="3" spans="1:2" x14ac:dyDescent="0.35">
      <c r="A3" s="1" t="s">
        <v>107</v>
      </c>
      <c r="B3" s="1">
        <v>7.0000000000000007E-2</v>
      </c>
    </row>
    <row r="4" spans="1:2" x14ac:dyDescent="0.35">
      <c r="A4" s="1" t="s">
        <v>161</v>
      </c>
      <c r="B4" s="1">
        <v>4.9000000000000002E-2</v>
      </c>
    </row>
    <row r="5" spans="1:2" x14ac:dyDescent="0.35">
      <c r="A5" s="1" t="s">
        <v>160</v>
      </c>
      <c r="B5" s="1">
        <v>0.05</v>
      </c>
    </row>
    <row r="6" spans="1:2" x14ac:dyDescent="0.35">
      <c r="A6" s="1" t="s">
        <v>159</v>
      </c>
      <c r="B6" s="1">
        <v>3.6999999999999998E-2</v>
      </c>
    </row>
    <row r="7" spans="1:2" x14ac:dyDescent="0.35">
      <c r="A7" s="1" t="s">
        <v>158</v>
      </c>
      <c r="B7" s="1">
        <v>2.9000000000000001E-2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election activeCell="C8" sqref="C8:C15"/>
    </sheetView>
  </sheetViews>
  <sheetFormatPr defaultRowHeight="14.5" x14ac:dyDescent="0.35"/>
  <cols>
    <col min="1" max="1" width="31.453125" bestFit="1" customWidth="1"/>
    <col min="2" max="2" width="29.54296875" bestFit="1" customWidth="1"/>
    <col min="3" max="3" width="31.453125" bestFit="1" customWidth="1"/>
    <col min="4" max="4" width="24.81640625" bestFit="1" customWidth="1"/>
    <col min="5" max="5" width="30.81640625" bestFit="1" customWidth="1"/>
    <col min="6" max="6" width="24.453125" bestFit="1" customWidth="1"/>
    <col min="7" max="7" width="23.26953125" bestFit="1" customWidth="1"/>
  </cols>
  <sheetData>
    <row r="1" spans="1:7" x14ac:dyDescent="0.35">
      <c r="B1" t="s">
        <v>158</v>
      </c>
      <c r="C1" t="s">
        <v>159</v>
      </c>
      <c r="D1" t="s">
        <v>160</v>
      </c>
      <c r="E1" t="s">
        <v>161</v>
      </c>
      <c r="F1" t="s">
        <v>107</v>
      </c>
      <c r="G1" t="s">
        <v>106</v>
      </c>
    </row>
    <row r="2" spans="1:7" x14ac:dyDescent="0.35">
      <c r="A2" t="s">
        <v>158</v>
      </c>
      <c r="B2">
        <v>1</v>
      </c>
      <c r="C2">
        <v>0.6</v>
      </c>
      <c r="D2">
        <v>0.2</v>
      </c>
      <c r="E2">
        <v>0.4</v>
      </c>
      <c r="F2">
        <v>0</v>
      </c>
      <c r="G2">
        <v>0</v>
      </c>
    </row>
    <row r="3" spans="1:7" x14ac:dyDescent="0.35">
      <c r="A3" t="s">
        <v>159</v>
      </c>
      <c r="B3">
        <v>0.6</v>
      </c>
      <c r="C3">
        <v>1</v>
      </c>
      <c r="D3">
        <v>0.7</v>
      </c>
      <c r="E3">
        <v>0.6</v>
      </c>
      <c r="F3">
        <v>0.3</v>
      </c>
      <c r="G3">
        <v>0.3</v>
      </c>
    </row>
    <row r="4" spans="1:7" x14ac:dyDescent="0.35">
      <c r="A4" t="s">
        <v>160</v>
      </c>
      <c r="B4">
        <v>0.2</v>
      </c>
      <c r="C4">
        <v>0.7</v>
      </c>
      <c r="D4">
        <v>1</v>
      </c>
      <c r="E4">
        <v>0.7</v>
      </c>
      <c r="F4">
        <v>0.7</v>
      </c>
      <c r="G4">
        <v>0.6</v>
      </c>
    </row>
    <row r="5" spans="1:7" x14ac:dyDescent="0.35">
      <c r="A5" t="s">
        <v>161</v>
      </c>
      <c r="B5">
        <v>0.4</v>
      </c>
      <c r="C5">
        <v>0.6</v>
      </c>
      <c r="D5">
        <v>0.7</v>
      </c>
      <c r="E5">
        <v>1</v>
      </c>
      <c r="F5">
        <v>0.5</v>
      </c>
      <c r="G5">
        <v>0.7</v>
      </c>
    </row>
    <row r="6" spans="1:7" x14ac:dyDescent="0.35">
      <c r="A6" t="s">
        <v>107</v>
      </c>
      <c r="B6">
        <v>0</v>
      </c>
      <c r="C6">
        <v>0.3</v>
      </c>
      <c r="D6">
        <v>0.7</v>
      </c>
      <c r="E6">
        <v>0.5</v>
      </c>
      <c r="F6">
        <v>1</v>
      </c>
      <c r="G6">
        <v>0.7</v>
      </c>
    </row>
    <row r="7" spans="1:7" x14ac:dyDescent="0.35">
      <c r="A7" t="s">
        <v>106</v>
      </c>
      <c r="B7">
        <v>0</v>
      </c>
      <c r="C7">
        <v>0.3</v>
      </c>
      <c r="D7">
        <v>0.6</v>
      </c>
      <c r="E7">
        <v>0.7</v>
      </c>
      <c r="F7">
        <v>0.7</v>
      </c>
      <c r="G7">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G7"/>
  <sheetViews>
    <sheetView workbookViewId="0">
      <selection activeCell="C8" sqref="C8:C15"/>
    </sheetView>
  </sheetViews>
  <sheetFormatPr defaultRowHeight="14.5" x14ac:dyDescent="0.35"/>
  <cols>
    <col min="1" max="1" width="31.453125" bestFit="1" customWidth="1"/>
    <col min="2" max="2" width="29.54296875" bestFit="1" customWidth="1"/>
    <col min="3" max="3" width="31.453125" bestFit="1" customWidth="1"/>
    <col min="4" max="4" width="24.81640625" bestFit="1" customWidth="1"/>
    <col min="5" max="5" width="30.81640625" bestFit="1" customWidth="1"/>
    <col min="6" max="6" width="24.453125" bestFit="1" customWidth="1"/>
    <col min="7" max="7" width="23.26953125" bestFit="1" customWidth="1"/>
  </cols>
  <sheetData>
    <row r="1" spans="1:7" x14ac:dyDescent="0.35">
      <c r="B1" t="str" cm="1">
        <f t="array" ref="B1:G1">TRANSPOSE(A2:A7)</f>
        <v>Small Cap</v>
      </c>
      <c r="C1" t="str">
        <v>US Agg Bond</v>
      </c>
      <c r="D1" t="str">
        <v>Gold</v>
      </c>
      <c r="E1" t="str">
        <v>Private Equity</v>
      </c>
      <c r="F1" t="str">
        <v>Venture Capital</v>
      </c>
      <c r="G1" t="str">
        <v>Angel Venture</v>
      </c>
    </row>
    <row r="2" spans="1:7" x14ac:dyDescent="0.35">
      <c r="A2" t="s">
        <v>163</v>
      </c>
      <c r="B2">
        <v>1</v>
      </c>
      <c r="C2">
        <v>-8.6999999999999994E-2</v>
      </c>
      <c r="D2">
        <v>-0.01</v>
      </c>
      <c r="E2">
        <v>0.78600000000000003</v>
      </c>
      <c r="F2">
        <v>0.68700000000000006</v>
      </c>
      <c r="G2">
        <v>0.45800000000000002</v>
      </c>
    </row>
    <row r="3" spans="1:7" x14ac:dyDescent="0.35">
      <c r="A3" t="s">
        <v>164</v>
      </c>
      <c r="B3">
        <v>-8.6999999999999994E-2</v>
      </c>
      <c r="C3">
        <v>1</v>
      </c>
      <c r="D3">
        <v>0.40799999999999997</v>
      </c>
      <c r="E3">
        <v>3.4000000000000002E-2</v>
      </c>
      <c r="F3">
        <v>-0.11</v>
      </c>
      <c r="G3">
        <v>-0.01</v>
      </c>
    </row>
    <row r="4" spans="1:7" x14ac:dyDescent="0.35">
      <c r="A4" t="s">
        <v>165</v>
      </c>
      <c r="B4">
        <v>-0.01</v>
      </c>
      <c r="C4">
        <v>0.40799999999999997</v>
      </c>
      <c r="D4">
        <v>1</v>
      </c>
      <c r="E4">
        <v>0.03</v>
      </c>
      <c r="F4">
        <v>2.5999999999999999E-2</v>
      </c>
      <c r="G4">
        <v>-0.01</v>
      </c>
    </row>
    <row r="5" spans="1:7" x14ac:dyDescent="0.35">
      <c r="A5" t="s">
        <v>166</v>
      </c>
      <c r="B5">
        <v>0.78600000000000003</v>
      </c>
      <c r="C5">
        <v>3.4000000000000002E-2</v>
      </c>
      <c r="D5">
        <v>0.03</v>
      </c>
      <c r="E5">
        <v>1</v>
      </c>
      <c r="F5">
        <v>0.56999999999999995</v>
      </c>
      <c r="G5">
        <v>0.92200000000000004</v>
      </c>
    </row>
    <row r="6" spans="1:7" x14ac:dyDescent="0.35">
      <c r="A6" t="s">
        <v>167</v>
      </c>
      <c r="B6">
        <v>0.68700000000000006</v>
      </c>
      <c r="C6">
        <v>-0.11</v>
      </c>
      <c r="D6">
        <v>2.5999999999999999E-2</v>
      </c>
      <c r="E6">
        <v>0.56999999999999995</v>
      </c>
      <c r="F6">
        <v>1</v>
      </c>
      <c r="G6">
        <v>0.82499999999999996</v>
      </c>
    </row>
    <row r="7" spans="1:7" x14ac:dyDescent="0.35">
      <c r="A7" t="s">
        <v>168</v>
      </c>
      <c r="B7">
        <v>0.45800000000000002</v>
      </c>
      <c r="C7">
        <v>-0.01</v>
      </c>
      <c r="D7">
        <v>-0.01</v>
      </c>
      <c r="E7">
        <v>0.92200000000000004</v>
      </c>
      <c r="F7">
        <v>0.82499999999999996</v>
      </c>
      <c r="G7">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4" tint="0.79998168889431442"/>
  </sheetPr>
  <dimension ref="B2:G10"/>
  <sheetViews>
    <sheetView workbookViewId="0">
      <selection activeCell="F4" sqref="F4"/>
    </sheetView>
  </sheetViews>
  <sheetFormatPr defaultColWidth="8.7265625" defaultRowHeight="14.5" x14ac:dyDescent="0.35"/>
  <cols>
    <col min="1" max="1" width="3.1796875" style="1" customWidth="1"/>
    <col min="2" max="2" width="18.1796875" style="1" bestFit="1" customWidth="1"/>
    <col min="3" max="4" width="13.26953125" style="1" bestFit="1" customWidth="1"/>
    <col min="5" max="5" width="13.81640625" style="1" bestFit="1" customWidth="1"/>
    <col min="6" max="6" width="13.26953125" style="1" bestFit="1" customWidth="1"/>
    <col min="7" max="16384" width="8.7265625" style="1"/>
  </cols>
  <sheetData>
    <row r="2" spans="2:7" x14ac:dyDescent="0.35">
      <c r="B2" t="s">
        <v>79</v>
      </c>
      <c r="C2" t="s">
        <v>75</v>
      </c>
      <c r="D2" t="s">
        <v>76</v>
      </c>
      <c r="E2" t="s">
        <v>77</v>
      </c>
      <c r="F2" t="s">
        <v>78</v>
      </c>
      <c r="G2" s="36" t="s">
        <v>81</v>
      </c>
    </row>
    <row r="3" spans="2:7" x14ac:dyDescent="0.35">
      <c r="B3" t="s">
        <v>72</v>
      </c>
      <c r="C3">
        <v>1</v>
      </c>
      <c r="D3">
        <v>0.45</v>
      </c>
      <c r="E3">
        <v>0.5</v>
      </c>
      <c r="F3">
        <v>0.57999999999999996</v>
      </c>
      <c r="G3" s="36"/>
    </row>
    <row r="4" spans="2:7" x14ac:dyDescent="0.35">
      <c r="B4" t="s">
        <v>73</v>
      </c>
      <c r="C4" s="23">
        <v>5157000</v>
      </c>
      <c r="D4" s="23">
        <v>5000000</v>
      </c>
      <c r="E4" s="23">
        <v>713500</v>
      </c>
      <c r="F4" s="23">
        <v>8812000</v>
      </c>
      <c r="G4" s="36"/>
    </row>
    <row r="5" spans="2:7" x14ac:dyDescent="0.35">
      <c r="B5" t="s">
        <v>74</v>
      </c>
      <c r="C5">
        <v>10</v>
      </c>
      <c r="D5">
        <v>30</v>
      </c>
      <c r="E5">
        <v>4</v>
      </c>
      <c r="F5">
        <v>18</v>
      </c>
      <c r="G5" s="36"/>
    </row>
    <row r="7" spans="2:7" x14ac:dyDescent="0.35">
      <c r="B7" t="s">
        <v>79</v>
      </c>
      <c r="C7" t="s">
        <v>75</v>
      </c>
      <c r="D7" t="s">
        <v>76</v>
      </c>
      <c r="E7" t="s">
        <v>77</v>
      </c>
      <c r="F7" t="s">
        <v>78</v>
      </c>
      <c r="G7" s="36" t="s">
        <v>80</v>
      </c>
    </row>
    <row r="8" spans="2:7" x14ac:dyDescent="0.35">
      <c r="B8" t="s">
        <v>72</v>
      </c>
      <c r="C8">
        <v>1</v>
      </c>
      <c r="D8">
        <v>0.45</v>
      </c>
      <c r="E8">
        <v>0.5</v>
      </c>
      <c r="F8">
        <v>0.57999999999999996</v>
      </c>
      <c r="G8" s="36"/>
    </row>
    <row r="9" spans="2:7" x14ac:dyDescent="0.35">
      <c r="B9" t="s">
        <v>73</v>
      </c>
      <c r="C9" s="23">
        <v>1000000</v>
      </c>
      <c r="D9" s="23">
        <v>2000000</v>
      </c>
      <c r="E9" s="23">
        <v>20000</v>
      </c>
      <c r="F9" s="23">
        <v>100000</v>
      </c>
      <c r="G9" s="36"/>
    </row>
    <row r="10" spans="2:7" x14ac:dyDescent="0.35">
      <c r="B10" t="s">
        <v>74</v>
      </c>
      <c r="C10">
        <v>10</v>
      </c>
      <c r="D10">
        <v>30</v>
      </c>
      <c r="E10">
        <v>4</v>
      </c>
      <c r="F10">
        <v>18</v>
      </c>
      <c r="G10" s="36"/>
    </row>
  </sheetData>
  <mergeCells count="2">
    <mergeCell ref="G7:G10"/>
    <mergeCell ref="G2:G5"/>
  </mergeCells>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7" tint="0.79998168889431442"/>
  </sheetPr>
  <dimension ref="B2:P48"/>
  <sheetViews>
    <sheetView topLeftCell="A2" zoomScale="115" zoomScaleNormal="115" workbookViewId="0">
      <selection activeCell="C8" sqref="C8:C15"/>
    </sheetView>
  </sheetViews>
  <sheetFormatPr defaultColWidth="8.7265625" defaultRowHeight="14.5" x14ac:dyDescent="0.35"/>
  <cols>
    <col min="1" max="1" width="3.453125" style="1" customWidth="1"/>
    <col min="2" max="2" width="13.1796875" style="1" customWidth="1"/>
    <col min="3" max="3" width="16.26953125" style="1" customWidth="1"/>
    <col min="4" max="4" width="18.26953125" style="1" bestFit="1" customWidth="1"/>
    <col min="5" max="6" width="18.26953125" style="1" customWidth="1"/>
    <col min="7" max="7" width="14.453125" style="1" customWidth="1"/>
    <col min="8" max="8" width="34.81640625" style="1" bestFit="1" customWidth="1"/>
    <col min="9" max="11" width="8.7265625" style="1"/>
    <col min="12" max="12" width="11.453125" style="1" bestFit="1" customWidth="1"/>
    <col min="13" max="14" width="21.54296875" style="1" customWidth="1"/>
    <col min="15" max="16" width="14.1796875" style="1" bestFit="1" customWidth="1"/>
    <col min="17" max="16384" width="8.7265625" style="1"/>
  </cols>
  <sheetData>
    <row r="2" spans="2:16" x14ac:dyDescent="0.35">
      <c r="B2" s="2" t="s">
        <v>1</v>
      </c>
      <c r="C2" s="2" t="s">
        <v>5</v>
      </c>
      <c r="D2" s="2" t="s">
        <v>6</v>
      </c>
      <c r="E2" s="2" t="s">
        <v>83</v>
      </c>
      <c r="F2" s="2" t="s">
        <v>84</v>
      </c>
      <c r="G2" s="22"/>
      <c r="H2" s="18" t="s">
        <v>68</v>
      </c>
      <c r="I2" s="19">
        <v>0.04</v>
      </c>
      <c r="M2" s="5" t="s">
        <v>7</v>
      </c>
      <c r="N2" s="5" t="s">
        <v>8</v>
      </c>
      <c r="O2" s="5" t="s">
        <v>62</v>
      </c>
      <c r="P2" s="5" t="s">
        <v>63</v>
      </c>
    </row>
    <row r="3" spans="2:16" x14ac:dyDescent="0.35">
      <c r="B3" s="2">
        <v>2025</v>
      </c>
      <c r="C3" s="3">
        <f>(TableIncomeCalculations[[#This Row],[GrossMonthlySalaryP1]]*12)</f>
        <v>526452</v>
      </c>
      <c r="D3" s="24">
        <f>(TableIncomeCalculations[[#This Row],[GrossMonthlySalaryP2]]*12)</f>
        <v>768012</v>
      </c>
      <c r="E3" s="3">
        <f>TableIncome[[#This Row],[SalaryP1]]*$I$6</f>
        <v>52645.200000000004</v>
      </c>
      <c r="F3" s="3">
        <f>TableIncome[[#This Row],[SalaryP2]]*$I$6</f>
        <v>76801.2</v>
      </c>
      <c r="G3" s="22"/>
      <c r="H3" s="18" t="s">
        <v>69</v>
      </c>
      <c r="I3" s="19">
        <v>0.05</v>
      </c>
      <c r="M3" s="21">
        <v>43871</v>
      </c>
      <c r="N3" s="20">
        <v>64001</v>
      </c>
      <c r="O3" t="str">
        <f>_xlfn.XLOOKUP(_xlfn.XLOOKUP(TableIncome[[#This Row],[Year]],Loop!C:C,Loop!D:D),'Job Hopping'!B:B,'Job Hopping'!F:F)</f>
        <v>N</v>
      </c>
      <c r="P3" t="str">
        <f>_xlfn.XLOOKUP(_xlfn.XLOOKUP(TableIncome[[#This Row],[Year]],Loop!C:C,Loop!E:E),'Job Hopping'!B:B,'Job Hopping'!G:G)</f>
        <v>N</v>
      </c>
    </row>
    <row r="4" spans="2:16" x14ac:dyDescent="0.35">
      <c r="B4" s="2">
        <v>2026</v>
      </c>
      <c r="C4" s="4">
        <f>(TableIncomeCalculations[[#This Row],[GrossMonthlySalaryP1]]*12)</f>
        <v>531716.52</v>
      </c>
      <c r="D4" s="24">
        <f>(TableIncomeCalculations[[#This Row],[GrossMonthlySalaryP2]]*12)</f>
        <v>775692.12</v>
      </c>
      <c r="E4" s="3">
        <f>TableIncome[[#This Row],[SalaryP1]]*$I$6</f>
        <v>53171.652000000002</v>
      </c>
      <c r="F4" s="3">
        <f>TableIncome[[#This Row],[SalaryP2]]*$I$6</f>
        <v>77569.212</v>
      </c>
      <c r="G4" s="22"/>
      <c r="H4" s="18" t="s">
        <v>71</v>
      </c>
      <c r="I4" s="19">
        <f>I3-I2</f>
        <v>1.0000000000000002E-2</v>
      </c>
      <c r="M4" s="21">
        <f>IF(_xlfn.XLOOKUP(TableIncome[[#This Row],[Year]],Loop!C:C,Loop!D:D)&lt;70,(M3*(1+$I$4))+IF(TableIncomeCalculations[[#This Row],[SwitchP1]]="Y",M3*$I$5,0),0)</f>
        <v>44309.71</v>
      </c>
      <c r="N4" s="21">
        <f>IF(_xlfn.XLOOKUP(TableIncome[[#This Row],[Year]],Loop!C:C,Loop!E:E)&lt;70,(N3*(1+$I$4))+IF(TableIncomeCalculations[[#This Row],[SwitchP2]]="Y",N3*$I$5,0),0)</f>
        <v>64641.01</v>
      </c>
      <c r="O4" t="str">
        <f>_xlfn.XLOOKUP(_xlfn.XLOOKUP(TableIncome[[#This Row],[Year]],Loop!C:C,Loop!D:D),'Job Hopping'!B:B,'Job Hopping'!F:F)</f>
        <v>N</v>
      </c>
      <c r="P4" t="str">
        <f>_xlfn.XLOOKUP(_xlfn.XLOOKUP(TableIncome[[#This Row],[Year]],Loop!C:C,Loop!E:E),'Job Hopping'!B:B,'Job Hopping'!G:G)</f>
        <v>N</v>
      </c>
    </row>
    <row r="5" spans="2:16" x14ac:dyDescent="0.35">
      <c r="B5" s="2">
        <v>2027</v>
      </c>
      <c r="C5" s="4">
        <f>(TableIncomeCalculations[[#This Row],[GrossMonthlySalaryP1]]*12)</f>
        <v>590205.33719999995</v>
      </c>
      <c r="D5" s="24">
        <f>(TableIncomeCalculations[[#This Row],[GrossMonthlySalaryP2]]*12)</f>
        <v>783449.04120000009</v>
      </c>
      <c r="E5" s="3">
        <f>TableIncome[[#This Row],[SalaryP1]]*$I$6</f>
        <v>59020.533719999999</v>
      </c>
      <c r="F5" s="3">
        <f>TableIncome[[#This Row],[SalaryP2]]*$I$6</f>
        <v>78344.904120000007</v>
      </c>
      <c r="G5" s="22"/>
      <c r="H5" s="18" t="s">
        <v>70</v>
      </c>
      <c r="I5" s="19">
        <v>0.1</v>
      </c>
      <c r="M5" s="21">
        <f>IF(_xlfn.XLOOKUP(TableIncome[[#This Row],[Year]],Loop!C:C,Loop!D:D)&lt;70,(M4*(1+$I$4))+IF(TableIncomeCalculations[[#This Row],[SwitchP1]]="Y",M4*$I$5,0),0)</f>
        <v>49183.778099999996</v>
      </c>
      <c r="N5" s="21">
        <f>IF(_xlfn.XLOOKUP(TableIncome[[#This Row],[Year]],Loop!C:C,Loop!E:E)&lt;70,(N4*(1+$I$4))+IF(TableIncomeCalculations[[#This Row],[SwitchP2]]="Y",N4*$I$5,0),0)</f>
        <v>65287.420100000003</v>
      </c>
      <c r="O5" t="str">
        <f>_xlfn.XLOOKUP(_xlfn.XLOOKUP(TableIncome[[#This Row],[Year]],Loop!C:C,Loop!D:D),'Job Hopping'!B:B,'Job Hopping'!F:F)</f>
        <v>Y</v>
      </c>
      <c r="P5" t="str">
        <f>_xlfn.XLOOKUP(_xlfn.XLOOKUP(TableIncome[[#This Row],[Year]],Loop!C:C,Loop!E:E),'Job Hopping'!B:B,'Job Hopping'!G:G)</f>
        <v>N</v>
      </c>
    </row>
    <row r="6" spans="2:16" x14ac:dyDescent="0.35">
      <c r="B6" s="2">
        <v>2028</v>
      </c>
      <c r="C6" s="4">
        <f>(TableIncomeCalculations[[#This Row],[GrossMonthlySalaryP1]]*12)</f>
        <v>596107.39057199995</v>
      </c>
      <c r="D6" s="24">
        <f>(TableIncomeCalculations[[#This Row],[GrossMonthlySalaryP2]]*12)</f>
        <v>869628.43573200004</v>
      </c>
      <c r="E6" s="3">
        <f>TableIncome[[#This Row],[SalaryP1]]*$I$6</f>
        <v>59610.7390572</v>
      </c>
      <c r="F6" s="3">
        <f>TableIncome[[#This Row],[SalaryP2]]*$I$6</f>
        <v>86962.843573200007</v>
      </c>
      <c r="G6" s="22"/>
      <c r="H6" s="18" t="s">
        <v>82</v>
      </c>
      <c r="I6" s="19">
        <v>0.1</v>
      </c>
      <c r="M6" s="21">
        <f>IF(_xlfn.XLOOKUP(TableIncome[[#This Row],[Year]],Loop!C:C,Loop!D:D)&lt;70,(M5*(1+$I$4))+IF(TableIncomeCalculations[[#This Row],[SwitchP1]]="Y",M5*$I$5,0),0)</f>
        <v>49675.615880999998</v>
      </c>
      <c r="N6" s="21">
        <f>IF(_xlfn.XLOOKUP(TableIncome[[#This Row],[Year]],Loop!C:C,Loop!E:E)&lt;70,(N5*(1+$I$4))+IF(TableIncomeCalculations[[#This Row],[SwitchP2]]="Y",N5*$I$5,0),0)</f>
        <v>72469.036311000003</v>
      </c>
      <c r="O6" t="str">
        <f>_xlfn.XLOOKUP(_xlfn.XLOOKUP(TableIncome[[#This Row],[Year]],Loop!C:C,Loop!D:D),'Job Hopping'!B:B,'Job Hopping'!F:F)</f>
        <v>N</v>
      </c>
      <c r="P6" t="str">
        <f>_xlfn.XLOOKUP(_xlfn.XLOOKUP(TableIncome[[#This Row],[Year]],Loop!C:C,Loop!E:E),'Job Hopping'!B:B,'Job Hopping'!G:G)</f>
        <v>Y</v>
      </c>
    </row>
    <row r="7" spans="2:16" x14ac:dyDescent="0.35">
      <c r="B7" s="2">
        <v>2029</v>
      </c>
      <c r="C7" s="4">
        <f>(TableIncomeCalculations[[#This Row],[GrossMonthlySalaryP1]]*12)</f>
        <v>602068.46447771997</v>
      </c>
      <c r="D7" s="24">
        <f>(TableIncomeCalculations[[#This Row],[GrossMonthlySalaryP2]]*12)</f>
        <v>878324.72008932009</v>
      </c>
      <c r="E7" s="3">
        <f>TableIncome[[#This Row],[SalaryP1]]*$I$6</f>
        <v>60206.846447771997</v>
      </c>
      <c r="F7" s="3">
        <f>TableIncome[[#This Row],[SalaryP2]]*$I$6</f>
        <v>87832.472008932018</v>
      </c>
      <c r="G7" s="22"/>
      <c r="H7" s="25"/>
      <c r="M7" s="21">
        <f>IF(_xlfn.XLOOKUP(TableIncome[[#This Row],[Year]],Loop!C:C,Loop!D:D)&lt;70,(M6*(1+$I$4))+IF(TableIncomeCalculations[[#This Row],[SwitchP1]]="Y",M6*$I$5,0),0)</f>
        <v>50172.372039809998</v>
      </c>
      <c r="N7" s="21">
        <f>IF(_xlfn.XLOOKUP(TableIncome[[#This Row],[Year]],Loop!C:C,Loop!E:E)&lt;70,(N6*(1+$I$4))+IF(TableIncomeCalculations[[#This Row],[SwitchP2]]="Y",N6*$I$5,0),0)</f>
        <v>73193.726674110003</v>
      </c>
      <c r="O7" t="str">
        <f>_xlfn.XLOOKUP(_xlfn.XLOOKUP(TableIncome[[#This Row],[Year]],Loop!C:C,Loop!D:D),'Job Hopping'!B:B,'Job Hopping'!F:F)</f>
        <v>N</v>
      </c>
      <c r="P7" t="str">
        <f>_xlfn.XLOOKUP(_xlfn.XLOOKUP(TableIncome[[#This Row],[Year]],Loop!C:C,Loop!E:E),'Job Hopping'!B:B,'Job Hopping'!G:G)</f>
        <v>N</v>
      </c>
    </row>
    <row r="8" spans="2:16" x14ac:dyDescent="0.35">
      <c r="B8" s="2">
        <v>2030</v>
      </c>
      <c r="C8" s="4">
        <f>(TableIncomeCalculations[[#This Row],[GrossMonthlySalaryP1]]*12)</f>
        <v>608089.14912249718</v>
      </c>
      <c r="D8" s="24">
        <f>(TableIncomeCalculations[[#This Row],[GrossMonthlySalaryP2]]*12)</f>
        <v>887107.9672902131</v>
      </c>
      <c r="E8" s="3">
        <f>TableIncome[[#This Row],[SalaryP1]]*$I$6</f>
        <v>60808.914912249718</v>
      </c>
      <c r="F8" s="3">
        <f>TableIncome[[#This Row],[SalaryP2]]*$I$6</f>
        <v>88710.796729021313</v>
      </c>
      <c r="G8" s="22"/>
      <c r="M8" s="21">
        <f>IF(_xlfn.XLOOKUP(TableIncome[[#This Row],[Year]],Loop!C:C,Loop!D:D)&lt;70,(M7*(1+$I$4))+IF(TableIncomeCalculations[[#This Row],[SwitchP1]]="Y",M7*$I$5,0),0)</f>
        <v>50674.095760208096</v>
      </c>
      <c r="N8" s="21">
        <f>IF(_xlfn.XLOOKUP(TableIncome[[#This Row],[Year]],Loop!C:C,Loop!E:E)&lt;70,(N7*(1+$I$4))+IF(TableIncomeCalculations[[#This Row],[SwitchP2]]="Y",N7*$I$5,0),0)</f>
        <v>73925.663940851096</v>
      </c>
      <c r="O8" t="str">
        <f>_xlfn.XLOOKUP(_xlfn.XLOOKUP(TableIncome[[#This Row],[Year]],Loop!C:C,Loop!D:D),'Job Hopping'!B:B,'Job Hopping'!F:F)</f>
        <v>N</v>
      </c>
      <c r="P8" t="str">
        <f>_xlfn.XLOOKUP(_xlfn.XLOOKUP(TableIncome[[#This Row],[Year]],Loop!C:C,Loop!E:E),'Job Hopping'!B:B,'Job Hopping'!G:G)</f>
        <v>N</v>
      </c>
    </row>
    <row r="9" spans="2:16" x14ac:dyDescent="0.35">
      <c r="B9" s="2">
        <v>2031</v>
      </c>
      <c r="C9" s="4">
        <f>(TableIncomeCalculations[[#This Row],[GrossMonthlySalaryP1]]*12)</f>
        <v>674978.95552597183</v>
      </c>
      <c r="D9" s="24">
        <f>(TableIncomeCalculations[[#This Row],[GrossMonthlySalaryP2]]*12)</f>
        <v>895979.04696311534</v>
      </c>
      <c r="E9" s="3">
        <f>TableIncome[[#This Row],[SalaryP1]]*$I$6</f>
        <v>67497.895552597183</v>
      </c>
      <c r="F9" s="3">
        <f>TableIncome[[#This Row],[SalaryP2]]*$I$6</f>
        <v>89597.90469631154</v>
      </c>
      <c r="G9" s="22"/>
      <c r="M9" s="21">
        <f>IF(_xlfn.XLOOKUP(TableIncome[[#This Row],[Year]],Loop!C:C,Loop!D:D)&lt;70,(M8*(1+$I$4))+IF(TableIncomeCalculations[[#This Row],[SwitchP1]]="Y",M8*$I$5,0),0)</f>
        <v>56248.246293830984</v>
      </c>
      <c r="N9" s="21">
        <f>IF(_xlfn.XLOOKUP(TableIncome[[#This Row],[Year]],Loop!C:C,Loop!E:E)&lt;70,(N8*(1+$I$4))+IF(TableIncomeCalculations[[#This Row],[SwitchP2]]="Y",N8*$I$5,0),0)</f>
        <v>74664.920580259612</v>
      </c>
      <c r="O9" t="str">
        <f>_xlfn.XLOOKUP(_xlfn.XLOOKUP(TableIncome[[#This Row],[Year]],Loop!C:C,Loop!D:D),'Job Hopping'!B:B,'Job Hopping'!F:F)</f>
        <v>Y</v>
      </c>
      <c r="P9" t="str">
        <f>_xlfn.XLOOKUP(_xlfn.XLOOKUP(TableIncome[[#This Row],[Year]],Loop!C:C,Loop!E:E),'Job Hopping'!B:B,'Job Hopping'!G:G)</f>
        <v>N</v>
      </c>
    </row>
    <row r="10" spans="2:16" x14ac:dyDescent="0.35">
      <c r="B10" s="2">
        <v>2032</v>
      </c>
      <c r="C10" s="4">
        <f>(TableIncomeCalculations[[#This Row],[GrossMonthlySalaryP1]]*12)</f>
        <v>681728.74508123146</v>
      </c>
      <c r="D10" s="24">
        <f>(TableIncomeCalculations[[#This Row],[GrossMonthlySalaryP2]]*12)</f>
        <v>994536.742129058</v>
      </c>
      <c r="E10" s="3">
        <f>TableIncome[[#This Row],[SalaryP1]]*$I$6</f>
        <v>68172.874508123146</v>
      </c>
      <c r="F10" s="3">
        <f>TableIncome[[#This Row],[SalaryP2]]*$I$6</f>
        <v>99453.674212905811</v>
      </c>
      <c r="G10" s="22"/>
      <c r="M10" s="21">
        <f>IF(_xlfn.XLOOKUP(TableIncome[[#This Row],[Year]],Loop!C:C,Loop!D:D)&lt;70,(M9*(1+$I$4))+IF(TableIncomeCalculations[[#This Row],[SwitchP1]]="Y",M9*$I$5,0),0)</f>
        <v>56810.728756769291</v>
      </c>
      <c r="N10" s="21">
        <f>IF(_xlfn.XLOOKUP(TableIncome[[#This Row],[Year]],Loop!C:C,Loop!E:E)&lt;70,(N9*(1+$I$4))+IF(TableIncomeCalculations[[#This Row],[SwitchP2]]="Y",N9*$I$5,0),0)</f>
        <v>82878.061844088166</v>
      </c>
      <c r="O10" t="str">
        <f>_xlfn.XLOOKUP(_xlfn.XLOOKUP(TableIncome[[#This Row],[Year]],Loop!C:C,Loop!D:D),'Job Hopping'!B:B,'Job Hopping'!F:F)</f>
        <v>N</v>
      </c>
      <c r="P10" t="str">
        <f>_xlfn.XLOOKUP(_xlfn.XLOOKUP(TableIncome[[#This Row],[Year]],Loop!C:C,Loop!E:E),'Job Hopping'!B:B,'Job Hopping'!G:G)</f>
        <v>Y</v>
      </c>
    </row>
    <row r="11" spans="2:16" x14ac:dyDescent="0.35">
      <c r="B11" s="2">
        <v>2033</v>
      </c>
      <c r="C11" s="4">
        <f>(TableIncomeCalculations[[#This Row],[GrossMonthlySalaryP1]]*12)</f>
        <v>688546.03253204376</v>
      </c>
      <c r="D11" s="24">
        <f>(TableIncomeCalculations[[#This Row],[GrossMonthlySalaryP2]]*12)</f>
        <v>1004482.1095503486</v>
      </c>
      <c r="E11" s="3">
        <f>TableIncome[[#This Row],[SalaryP1]]*$I$6</f>
        <v>68854.603253204376</v>
      </c>
      <c r="F11" s="3">
        <f>TableIncome[[#This Row],[SalaryP2]]*$I$6</f>
        <v>100448.21095503487</v>
      </c>
      <c r="G11" s="22"/>
      <c r="M11" s="21">
        <f>IF(_xlfn.XLOOKUP(TableIncome[[#This Row],[Year]],Loop!C:C,Loop!D:D)&lt;70,(M10*(1+$I$4))+IF(TableIncomeCalculations[[#This Row],[SwitchP1]]="Y",M10*$I$5,0),0)</f>
        <v>57378.836044336982</v>
      </c>
      <c r="N11" s="21">
        <f>IF(_xlfn.XLOOKUP(TableIncome[[#This Row],[Year]],Loop!C:C,Loop!E:E)&lt;70,(N10*(1+$I$4))+IF(TableIncomeCalculations[[#This Row],[SwitchP2]]="Y",N10*$I$5,0),0)</f>
        <v>83706.84246252905</v>
      </c>
      <c r="O11" t="str">
        <f>_xlfn.XLOOKUP(_xlfn.XLOOKUP(TableIncome[[#This Row],[Year]],Loop!C:C,Loop!D:D),'Job Hopping'!B:B,'Job Hopping'!F:F)</f>
        <v>N</v>
      </c>
      <c r="P11" t="str">
        <f>_xlfn.XLOOKUP(_xlfn.XLOOKUP(TableIncome[[#This Row],[Year]],Loop!C:C,Loop!E:E),'Job Hopping'!B:B,'Job Hopping'!G:G)</f>
        <v>N</v>
      </c>
    </row>
    <row r="12" spans="2:16" x14ac:dyDescent="0.35">
      <c r="B12" s="2">
        <v>2034</v>
      </c>
      <c r="C12" s="4">
        <f>(TableIncomeCalculations[[#This Row],[GrossMonthlySalaryP1]]*12)</f>
        <v>695431.49285736424</v>
      </c>
      <c r="D12" s="24">
        <f>(TableIncomeCalculations[[#This Row],[GrossMonthlySalaryP2]]*12)</f>
        <v>1014526.9306458521</v>
      </c>
      <c r="E12" s="3">
        <f>TableIncome[[#This Row],[SalaryP1]]*$I$6</f>
        <v>69543.149285736421</v>
      </c>
      <c r="F12" s="3">
        <f>TableIncome[[#This Row],[SalaryP2]]*$I$6</f>
        <v>101452.69306458521</v>
      </c>
      <c r="G12" s="22"/>
      <c r="M12" s="21">
        <f>IF(_xlfn.XLOOKUP(TableIncome[[#This Row],[Year]],Loop!C:C,Loop!D:D)&lt;70,(M11*(1+$I$4))+IF(TableIncomeCalculations[[#This Row],[SwitchP1]]="Y",M11*$I$5,0),0)</f>
        <v>57952.624404780356</v>
      </c>
      <c r="N12" s="21">
        <f>IF(_xlfn.XLOOKUP(TableIncome[[#This Row],[Year]],Loop!C:C,Loop!E:E)&lt;70,(N11*(1+$I$4))+IF(TableIncomeCalculations[[#This Row],[SwitchP2]]="Y",N11*$I$5,0),0)</f>
        <v>84543.910887154343</v>
      </c>
      <c r="O12" t="str">
        <f>_xlfn.XLOOKUP(_xlfn.XLOOKUP(TableIncome[[#This Row],[Year]],Loop!C:C,Loop!D:D),'Job Hopping'!B:B,'Job Hopping'!F:F)</f>
        <v>N</v>
      </c>
      <c r="P12" t="str">
        <f>_xlfn.XLOOKUP(_xlfn.XLOOKUP(TableIncome[[#This Row],[Year]],Loop!C:C,Loop!E:E),'Job Hopping'!B:B,'Job Hopping'!G:G)</f>
        <v>N</v>
      </c>
    </row>
    <row r="13" spans="2:16" x14ac:dyDescent="0.35">
      <c r="B13" s="2">
        <v>2035</v>
      </c>
      <c r="C13" s="4">
        <f>(TableIncomeCalculations[[#This Row],[GrossMonthlySalaryP1]]*12)</f>
        <v>771928.95707167429</v>
      </c>
      <c r="D13" s="24">
        <f>(TableIncomeCalculations[[#This Row],[GrossMonthlySalaryP2]]*12)</f>
        <v>1024672.1999523106</v>
      </c>
      <c r="E13" s="3">
        <f>TableIncome[[#This Row],[SalaryP1]]*$I$6</f>
        <v>77192.895707167438</v>
      </c>
      <c r="F13" s="3">
        <f>TableIncome[[#This Row],[SalaryP2]]*$I$6</f>
        <v>102467.21999523108</v>
      </c>
      <c r="G13" s="22"/>
      <c r="M13" s="21">
        <f>IF(_xlfn.XLOOKUP(TableIncome[[#This Row],[Year]],Loop!C:C,Loop!D:D)&lt;70,(M12*(1+$I$4))+IF(TableIncomeCalculations[[#This Row],[SwitchP1]]="Y",M12*$I$5,0),0)</f>
        <v>64327.413089306196</v>
      </c>
      <c r="N13" s="21">
        <f>IF(_xlfn.XLOOKUP(TableIncome[[#This Row],[Year]],Loop!C:C,Loop!E:E)&lt;70,(N12*(1+$I$4))+IF(TableIncomeCalculations[[#This Row],[SwitchP2]]="Y",N12*$I$5,0),0)</f>
        <v>85389.349996025892</v>
      </c>
      <c r="O13" t="str">
        <f>_xlfn.XLOOKUP(_xlfn.XLOOKUP(TableIncome[[#This Row],[Year]],Loop!C:C,Loop!D:D),'Job Hopping'!B:B,'Job Hopping'!F:F)</f>
        <v>Y</v>
      </c>
      <c r="P13" t="str">
        <f>_xlfn.XLOOKUP(_xlfn.XLOOKUP(TableIncome[[#This Row],[Year]],Loop!C:C,Loop!E:E),'Job Hopping'!B:B,'Job Hopping'!G:G)</f>
        <v>N</v>
      </c>
    </row>
    <row r="14" spans="2:16" x14ac:dyDescent="0.35">
      <c r="B14" s="2">
        <v>2036</v>
      </c>
      <c r="C14" s="4">
        <f>(TableIncomeCalculations[[#This Row],[GrossMonthlySalaryP1]]*12)</f>
        <v>779648.24664239108</v>
      </c>
      <c r="D14" s="24">
        <f>(TableIncomeCalculations[[#This Row],[GrossMonthlySalaryP2]]*12)</f>
        <v>1034918.9219518339</v>
      </c>
      <c r="E14" s="3">
        <f>TableIncome[[#This Row],[SalaryP1]]*$I$6</f>
        <v>77964.824664239117</v>
      </c>
      <c r="F14" s="3">
        <f>TableIncome[[#This Row],[SalaryP2]]*$I$6</f>
        <v>103491.89219518339</v>
      </c>
      <c r="G14" s="22"/>
      <c r="M14" s="21">
        <f>IF(_xlfn.XLOOKUP(TableIncome[[#This Row],[Year]],Loop!C:C,Loop!D:D)&lt;70,(M13*(1+$I$4))+IF(TableIncomeCalculations[[#This Row],[SwitchP1]]="Y",M13*$I$5,0),0)</f>
        <v>64970.687220199259</v>
      </c>
      <c r="N14" s="21">
        <f>IF(_xlfn.XLOOKUP(TableIncome[[#This Row],[Year]],Loop!C:C,Loop!E:E)&lt;70,(N13*(1+$I$4))+IF(TableIncomeCalculations[[#This Row],[SwitchP2]]="Y",N13*$I$5,0),0)</f>
        <v>86243.243495986157</v>
      </c>
      <c r="O14" t="str">
        <f>_xlfn.XLOOKUP(_xlfn.XLOOKUP(TableIncome[[#This Row],[Year]],Loop!C:C,Loop!D:D),'Job Hopping'!B:B,'Job Hopping'!F:F)</f>
        <v>N</v>
      </c>
      <c r="P14" t="str">
        <f>_xlfn.XLOOKUP(_xlfn.XLOOKUP(TableIncome[[#This Row],[Year]],Loop!C:C,Loop!E:E),'Job Hopping'!B:B,'Job Hopping'!G:G)</f>
        <v>N</v>
      </c>
    </row>
    <row r="15" spans="2:16" x14ac:dyDescent="0.35">
      <c r="B15" s="2">
        <v>2037</v>
      </c>
      <c r="C15" s="4">
        <f>(TableIncomeCalculations[[#This Row],[GrossMonthlySalaryP1]]*12)</f>
        <v>787444.72910881508</v>
      </c>
      <c r="D15" s="24">
        <f>(TableIncomeCalculations[[#This Row],[GrossMonthlySalaryP2]]*12)</f>
        <v>1045268.1111713522</v>
      </c>
      <c r="E15" s="3">
        <f>TableIncome[[#This Row],[SalaryP1]]*$I$6</f>
        <v>78744.472910881508</v>
      </c>
      <c r="F15" s="3">
        <f>TableIncome[[#This Row],[SalaryP2]]*$I$6</f>
        <v>104526.81111713522</v>
      </c>
      <c r="G15" s="22"/>
      <c r="M15" s="21">
        <f>IF(_xlfn.XLOOKUP(TableIncome[[#This Row],[Year]],Loop!C:C,Loop!D:D)&lt;70,(M14*(1+$I$4))+IF(TableIncomeCalculations[[#This Row],[SwitchP1]]="Y",M14*$I$5,0),0)</f>
        <v>65620.394092401257</v>
      </c>
      <c r="N15" s="21">
        <f>IF(_xlfn.XLOOKUP(TableIncome[[#This Row],[Year]],Loop!C:C,Loop!E:E)&lt;70,(N14*(1+$I$4))+IF(TableIncomeCalculations[[#This Row],[SwitchP2]]="Y",N14*$I$5,0),0)</f>
        <v>87105.675930946018</v>
      </c>
      <c r="O15" t="str">
        <f>_xlfn.XLOOKUP(_xlfn.XLOOKUP(TableIncome[[#This Row],[Year]],Loop!C:C,Loop!D:D),'Job Hopping'!B:B,'Job Hopping'!F:F)</f>
        <v>N</v>
      </c>
      <c r="P15" t="str">
        <f>_xlfn.XLOOKUP(_xlfn.XLOOKUP(TableIncome[[#This Row],[Year]],Loop!C:C,Loop!E:E),'Job Hopping'!B:B,'Job Hopping'!G:G)</f>
        <v>N</v>
      </c>
    </row>
    <row r="16" spans="2:16" x14ac:dyDescent="0.35">
      <c r="B16" s="2">
        <v>2038</v>
      </c>
      <c r="C16" s="4">
        <f>(TableIncomeCalculations[[#This Row],[GrossMonthlySalaryP1]]*12)</f>
        <v>795319.17639990314</v>
      </c>
      <c r="D16" s="24">
        <f>(TableIncomeCalculations[[#This Row],[GrossMonthlySalaryP2]]*12)</f>
        <v>1055720.7922830656</v>
      </c>
      <c r="E16" s="3">
        <f>TableIncome[[#This Row],[SalaryP1]]*$I$6</f>
        <v>79531.917639990323</v>
      </c>
      <c r="F16" s="3">
        <f>TableIncome[[#This Row],[SalaryP2]]*$I$6</f>
        <v>105572.07922830657</v>
      </c>
      <c r="G16" s="22"/>
      <c r="M16" s="21">
        <f>IF(_xlfn.XLOOKUP(TableIncome[[#This Row],[Year]],Loop!C:C,Loop!D:D)&lt;70,(M15*(1+$I$4))+IF(TableIncomeCalculations[[#This Row],[SwitchP1]]="Y",M15*$I$5,0),0)</f>
        <v>66276.598033325266</v>
      </c>
      <c r="N16" s="21">
        <f>IF(_xlfn.XLOOKUP(TableIncome[[#This Row],[Year]],Loop!C:C,Loop!E:E)&lt;70,(N15*(1+$I$4))+IF(TableIncomeCalculations[[#This Row],[SwitchP2]]="Y",N15*$I$5,0),0)</f>
        <v>87976.732690255478</v>
      </c>
      <c r="O16" t="str">
        <f>_xlfn.XLOOKUP(_xlfn.XLOOKUP(TableIncome[[#This Row],[Year]],Loop!C:C,Loop!D:D),'Job Hopping'!B:B,'Job Hopping'!F:F)</f>
        <v>N</v>
      </c>
      <c r="P16" t="str">
        <f>_xlfn.XLOOKUP(_xlfn.XLOOKUP(TableIncome[[#This Row],[Year]],Loop!C:C,Loop!E:E),'Job Hopping'!B:B,'Job Hopping'!G:G)</f>
        <v>N</v>
      </c>
    </row>
    <row r="17" spans="2:16" x14ac:dyDescent="0.35">
      <c r="B17" s="2">
        <v>2039</v>
      </c>
      <c r="C17" s="4">
        <f>(TableIncomeCalculations[[#This Row],[GrossMonthlySalaryP1]]*12)</f>
        <v>882804.28580389253</v>
      </c>
      <c r="D17" s="24">
        <f>(TableIncomeCalculations[[#This Row],[GrossMonthlySalaryP2]]*12)</f>
        <v>1066278.0002058963</v>
      </c>
      <c r="E17" s="3">
        <f>TableIncome[[#This Row],[SalaryP1]]*$I$6</f>
        <v>88280.428580389256</v>
      </c>
      <c r="F17" s="3">
        <f>TableIncome[[#This Row],[SalaryP2]]*$I$6</f>
        <v>106627.80002058964</v>
      </c>
      <c r="G17" s="22"/>
      <c r="M17" s="21">
        <f>IF(_xlfn.XLOOKUP(TableIncome[[#This Row],[Year]],Loop!C:C,Loop!D:D)&lt;70,(M16*(1+$I$4))+IF(TableIncomeCalculations[[#This Row],[SwitchP1]]="Y",M16*$I$5,0),0)</f>
        <v>73567.023816991044</v>
      </c>
      <c r="N17" s="21">
        <f>IF(_xlfn.XLOOKUP(TableIncome[[#This Row],[Year]],Loop!C:C,Loop!E:E)&lt;70,(N16*(1+$I$4))+IF(TableIncomeCalculations[[#This Row],[SwitchP2]]="Y",N16*$I$5,0),0)</f>
        <v>88856.500017158032</v>
      </c>
      <c r="O17" t="str">
        <f>_xlfn.XLOOKUP(_xlfn.XLOOKUP(TableIncome[[#This Row],[Year]],Loop!C:C,Loop!D:D),'Job Hopping'!B:B,'Job Hopping'!F:F)</f>
        <v>Y</v>
      </c>
      <c r="P17" t="str">
        <f>_xlfn.XLOOKUP(_xlfn.XLOOKUP(TableIncome[[#This Row],[Year]],Loop!C:C,Loop!E:E),'Job Hopping'!B:B,'Job Hopping'!G:G)</f>
        <v>N</v>
      </c>
    </row>
    <row r="18" spans="2:16" x14ac:dyDescent="0.35">
      <c r="B18" s="2">
        <v>2040</v>
      </c>
      <c r="C18" s="4">
        <f>(TableIncomeCalculations[[#This Row],[GrossMonthlySalaryP1]]*12)</f>
        <v>891632.32866193145</v>
      </c>
      <c r="D18" s="24">
        <f>(TableIncomeCalculations[[#This Row],[GrossMonthlySalaryP2]]*12)</f>
        <v>1076940.7802079553</v>
      </c>
      <c r="E18" s="3">
        <f>TableIncome[[#This Row],[SalaryP1]]*$I$6</f>
        <v>89163.232866193153</v>
      </c>
      <c r="F18" s="3">
        <f>TableIncome[[#This Row],[SalaryP2]]*$I$6</f>
        <v>107694.07802079554</v>
      </c>
      <c r="G18" s="22"/>
      <c r="M18" s="21">
        <f>IF(_xlfn.XLOOKUP(TableIncome[[#This Row],[Year]],Loop!C:C,Loop!D:D)&lt;70,(M17*(1+$I$4))+IF(TableIncomeCalculations[[#This Row],[SwitchP1]]="Y",M17*$I$5,0),0)</f>
        <v>74302.694055160959</v>
      </c>
      <c r="N18" s="21">
        <f>IF(_xlfn.XLOOKUP(TableIncome[[#This Row],[Year]],Loop!C:C,Loop!E:E)&lt;70,(N17*(1+$I$4))+IF(TableIncomeCalculations[[#This Row],[SwitchP2]]="Y",N17*$I$5,0),0)</f>
        <v>89745.065017329616</v>
      </c>
      <c r="O18" t="str">
        <f>_xlfn.XLOOKUP(_xlfn.XLOOKUP(TableIncome[[#This Row],[Year]],Loop!C:C,Loop!D:D),'Job Hopping'!B:B,'Job Hopping'!F:F)</f>
        <v>N</v>
      </c>
      <c r="P18" t="str">
        <f>_xlfn.XLOOKUP(_xlfn.XLOOKUP(TableIncome[[#This Row],[Year]],Loop!C:C,Loop!E:E),'Job Hopping'!B:B,'Job Hopping'!G:G)</f>
        <v>N</v>
      </c>
    </row>
    <row r="19" spans="2:16" x14ac:dyDescent="0.35">
      <c r="B19" s="2">
        <v>2041</v>
      </c>
      <c r="C19" s="4">
        <f>(TableIncomeCalculations[[#This Row],[GrossMonthlySalaryP1]]*12)</f>
        <v>900548.65194855095</v>
      </c>
      <c r="D19" s="24">
        <f>(TableIncomeCalculations[[#This Row],[GrossMonthlySalaryP2]]*12)</f>
        <v>1087710.1880100351</v>
      </c>
      <c r="E19" s="3">
        <f>TableIncome[[#This Row],[SalaryP1]]*$I$6</f>
        <v>90054.865194855098</v>
      </c>
      <c r="F19" s="3">
        <f>TableIncome[[#This Row],[SalaryP2]]*$I$6</f>
        <v>108771.01880100352</v>
      </c>
      <c r="G19" s="22"/>
      <c r="M19" s="21">
        <f>IF(_xlfn.XLOOKUP(TableIncome[[#This Row],[Year]],Loop!C:C,Loop!D:D)&lt;70,(M18*(1+$I$4))+IF(TableIncomeCalculations[[#This Row],[SwitchP1]]="Y",M18*$I$5,0),0)</f>
        <v>75045.720995712574</v>
      </c>
      <c r="N19" s="21">
        <f>IF(_xlfn.XLOOKUP(TableIncome[[#This Row],[Year]],Loop!C:C,Loop!E:E)&lt;70,(N18*(1+$I$4))+IF(TableIncomeCalculations[[#This Row],[SwitchP2]]="Y",N18*$I$5,0),0)</f>
        <v>90642.515667502914</v>
      </c>
      <c r="O19" t="str">
        <f>_xlfn.XLOOKUP(_xlfn.XLOOKUP(TableIncome[[#This Row],[Year]],Loop!C:C,Loop!D:D),'Job Hopping'!B:B,'Job Hopping'!F:F)</f>
        <v>N</v>
      </c>
      <c r="P19" t="str">
        <f>_xlfn.XLOOKUP(_xlfn.XLOOKUP(TableIncome[[#This Row],[Year]],Loop!C:C,Loop!E:E),'Job Hopping'!B:B,'Job Hopping'!G:G)</f>
        <v>N</v>
      </c>
    </row>
    <row r="20" spans="2:16" x14ac:dyDescent="0.35">
      <c r="B20" s="2">
        <v>2042</v>
      </c>
      <c r="C20" s="4">
        <f>(TableIncomeCalculations[[#This Row],[GrossMonthlySalaryP1]]*12)</f>
        <v>909554.13846803643</v>
      </c>
      <c r="D20" s="24">
        <f>(TableIncomeCalculations[[#This Row],[GrossMonthlySalaryP2]]*12)</f>
        <v>1098587.2898901354</v>
      </c>
      <c r="E20" s="3">
        <f>TableIncome[[#This Row],[SalaryP1]]*$I$6</f>
        <v>90955.413846803654</v>
      </c>
      <c r="F20" s="3">
        <f>TableIncome[[#This Row],[SalaryP2]]*$I$6</f>
        <v>109858.72898901354</v>
      </c>
      <c r="G20" s="22"/>
      <c r="M20" s="21">
        <f>IF(_xlfn.XLOOKUP(TableIncome[[#This Row],[Year]],Loop!C:C,Loop!D:D)&lt;70,(M19*(1+$I$4))+IF(TableIncomeCalculations[[#This Row],[SwitchP1]]="Y",M19*$I$5,0),0)</f>
        <v>75796.178205669697</v>
      </c>
      <c r="N20" s="21">
        <f>IF(_xlfn.XLOOKUP(TableIncome[[#This Row],[Year]],Loop!C:C,Loop!E:E)&lt;70,(N19*(1+$I$4))+IF(TableIncomeCalculations[[#This Row],[SwitchP2]]="Y",N19*$I$5,0),0)</f>
        <v>91548.940824177946</v>
      </c>
      <c r="O20" t="str">
        <f>_xlfn.XLOOKUP(_xlfn.XLOOKUP(TableIncome[[#This Row],[Year]],Loop!C:C,Loop!D:D),'Job Hopping'!B:B,'Job Hopping'!F:F)</f>
        <v>N</v>
      </c>
      <c r="P20" t="str">
        <f>_xlfn.XLOOKUP(_xlfn.XLOOKUP(TableIncome[[#This Row],[Year]],Loop!C:C,Loop!E:E),'Job Hopping'!B:B,'Job Hopping'!G:G)</f>
        <v>N</v>
      </c>
    </row>
    <row r="21" spans="2:16" x14ac:dyDescent="0.35">
      <c r="B21" s="2">
        <v>2043</v>
      </c>
      <c r="C21" s="4">
        <f>(TableIncomeCalculations[[#This Row],[GrossMonthlySalaryP1]]*12)</f>
        <v>1009605.0936995203</v>
      </c>
      <c r="D21" s="24">
        <f>(TableIncomeCalculations[[#This Row],[GrossMonthlySalaryP2]]*12)</f>
        <v>1109573.1627890365</v>
      </c>
      <c r="E21" s="3">
        <f>TableIncome[[#This Row],[SalaryP1]]*$I$6</f>
        <v>100960.50936995204</v>
      </c>
      <c r="F21" s="3">
        <f>TableIncome[[#This Row],[SalaryP2]]*$I$6</f>
        <v>110957.31627890366</v>
      </c>
      <c r="G21" s="22"/>
      <c r="M21" s="21">
        <f>IF(_xlfn.XLOOKUP(TableIncome[[#This Row],[Year]],Loop!C:C,Loop!D:D)&lt;70,(M20*(1+$I$4))+IF(TableIncomeCalculations[[#This Row],[SwitchP1]]="Y",M20*$I$5,0),0)</f>
        <v>84133.757808293361</v>
      </c>
      <c r="N21" s="21">
        <f>IF(_xlfn.XLOOKUP(TableIncome[[#This Row],[Year]],Loop!C:C,Loop!E:E)&lt;70,(N20*(1+$I$4))+IF(TableIncomeCalculations[[#This Row],[SwitchP2]]="Y",N20*$I$5,0),0)</f>
        <v>92464.43023241972</v>
      </c>
      <c r="O21" t="str">
        <f>_xlfn.XLOOKUP(_xlfn.XLOOKUP(TableIncome[[#This Row],[Year]],Loop!C:C,Loop!D:D),'Job Hopping'!B:B,'Job Hopping'!F:F)</f>
        <v>Y</v>
      </c>
      <c r="P21" t="str">
        <f>_xlfn.XLOOKUP(_xlfn.XLOOKUP(TableIncome[[#This Row],[Year]],Loop!C:C,Loop!E:E),'Job Hopping'!B:B,'Job Hopping'!G:G)</f>
        <v>N</v>
      </c>
    </row>
    <row r="22" spans="2:16" x14ac:dyDescent="0.35">
      <c r="B22" s="2">
        <v>2044</v>
      </c>
      <c r="C22" s="4">
        <f>(TableIncomeCalculations[[#This Row],[GrossMonthlySalaryP1]]*12)</f>
        <v>1019701.1446365155</v>
      </c>
      <c r="D22" s="24">
        <f>(TableIncomeCalculations[[#This Row],[GrossMonthlySalaryP2]]*12)</f>
        <v>1120668.8944169271</v>
      </c>
      <c r="E22" s="3">
        <f>TableIncome[[#This Row],[SalaryP1]]*$I$6</f>
        <v>101970.11446365155</v>
      </c>
      <c r="F22" s="3">
        <f>TableIncome[[#This Row],[SalaryP2]]*$I$6</f>
        <v>112066.88944169272</v>
      </c>
      <c r="G22" s="22"/>
      <c r="M22" s="21">
        <f>IF(_xlfn.XLOOKUP(TableIncome[[#This Row],[Year]],Loop!C:C,Loop!D:D)&lt;70,(M21*(1+$I$4))+IF(TableIncomeCalculations[[#This Row],[SwitchP1]]="Y",M21*$I$5,0),0)</f>
        <v>84975.095386376299</v>
      </c>
      <c r="N22" s="21">
        <f>IF(_xlfn.XLOOKUP(TableIncome[[#This Row],[Year]],Loop!C:C,Loop!E:E)&lt;70,(N21*(1+$I$4))+IF(TableIncomeCalculations[[#This Row],[SwitchP2]]="Y",N21*$I$5,0),0)</f>
        <v>93389.074534743922</v>
      </c>
      <c r="O22" t="str">
        <f>_xlfn.XLOOKUP(_xlfn.XLOOKUP(TableIncome[[#This Row],[Year]],Loop!C:C,Loop!D:D),'Job Hopping'!B:B,'Job Hopping'!F:F)</f>
        <v>N</v>
      </c>
      <c r="P22" t="str">
        <f>_xlfn.XLOOKUP(_xlfn.XLOOKUP(TableIncome[[#This Row],[Year]],Loop!C:C,Loop!E:E),'Job Hopping'!B:B,'Job Hopping'!G:G)</f>
        <v>N</v>
      </c>
    </row>
    <row r="23" spans="2:16" x14ac:dyDescent="0.35">
      <c r="B23" s="2">
        <v>2045</v>
      </c>
      <c r="C23" s="4">
        <f>(TableIncomeCalculations[[#This Row],[GrossMonthlySalaryP1]]*12)</f>
        <v>1029898.1560828808</v>
      </c>
      <c r="D23" s="24">
        <f>(TableIncomeCalculations[[#This Row],[GrossMonthlySalaryP2]]*12)</f>
        <v>1243942.472802789</v>
      </c>
      <c r="E23" s="3">
        <f>TableIncome[[#This Row],[SalaryP1]]*$I$6</f>
        <v>102989.81560828809</v>
      </c>
      <c r="F23" s="3">
        <f>TableIncome[[#This Row],[SalaryP2]]*$I$6</f>
        <v>124394.2472802789</v>
      </c>
      <c r="G23" s="22"/>
      <c r="M23" s="21">
        <f>IF(_xlfn.XLOOKUP(TableIncome[[#This Row],[Year]],Loop!C:C,Loop!D:D)&lt;70,(M22*(1+$I$4))+IF(TableIncomeCalculations[[#This Row],[SwitchP1]]="Y",M22*$I$5,0),0)</f>
        <v>85824.846340240067</v>
      </c>
      <c r="N23" s="21">
        <f>IF(_xlfn.XLOOKUP(TableIncome[[#This Row],[Year]],Loop!C:C,Loop!E:E)&lt;70,(N22*(1+$I$4))+IF(TableIncomeCalculations[[#This Row],[SwitchP2]]="Y",N22*$I$5,0),0)</f>
        <v>103661.87273356575</v>
      </c>
      <c r="O23" t="str">
        <f>_xlfn.XLOOKUP(_xlfn.XLOOKUP(TableIncome[[#This Row],[Year]],Loop!C:C,Loop!D:D),'Job Hopping'!B:B,'Job Hopping'!F:F)</f>
        <v>N</v>
      </c>
      <c r="P23" t="str">
        <f>_xlfn.XLOOKUP(_xlfn.XLOOKUP(TableIncome[[#This Row],[Year]],Loop!C:C,Loop!E:E),'Job Hopping'!B:B,'Job Hopping'!G:G)</f>
        <v>Y</v>
      </c>
    </row>
    <row r="24" spans="2:16" x14ac:dyDescent="0.35">
      <c r="B24" s="2">
        <v>2046</v>
      </c>
      <c r="C24" s="4">
        <f>(TableIncomeCalculations[[#This Row],[GrossMonthlySalaryP1]]*12)</f>
        <v>1040197.1376437095</v>
      </c>
      <c r="D24" s="24">
        <f>(TableIncomeCalculations[[#This Row],[GrossMonthlySalaryP2]]*12)</f>
        <v>1256381.897530817</v>
      </c>
      <c r="E24" s="3">
        <f>TableIncome[[#This Row],[SalaryP1]]*$I$6</f>
        <v>104019.71376437096</v>
      </c>
      <c r="F24" s="3">
        <f>TableIncome[[#This Row],[SalaryP2]]*$I$6</f>
        <v>125638.18975308171</v>
      </c>
      <c r="G24" s="22"/>
      <c r="M24" s="21">
        <f>IF(_xlfn.XLOOKUP(TableIncome[[#This Row],[Year]],Loop!C:C,Loop!D:D)&lt;70,(M23*(1+$I$4))+IF(TableIncomeCalculations[[#This Row],[SwitchP1]]="Y",M23*$I$5,0),0)</f>
        <v>86683.094803642467</v>
      </c>
      <c r="N24" s="21">
        <f>IF(_xlfn.XLOOKUP(TableIncome[[#This Row],[Year]],Loop!C:C,Loop!E:E)&lt;70,(N23*(1+$I$4))+IF(TableIncomeCalculations[[#This Row],[SwitchP2]]="Y",N23*$I$5,0),0)</f>
        <v>104698.49146090141</v>
      </c>
      <c r="O24" t="str">
        <f>_xlfn.XLOOKUP(_xlfn.XLOOKUP(TableIncome[[#This Row],[Year]],Loop!C:C,Loop!D:D),'Job Hopping'!B:B,'Job Hopping'!F:F)</f>
        <v>N</v>
      </c>
      <c r="P24" t="str">
        <f>_xlfn.XLOOKUP(_xlfn.XLOOKUP(TableIncome[[#This Row],[Year]],Loop!C:C,Loop!E:E),'Job Hopping'!B:B,'Job Hopping'!G:G)</f>
        <v>N</v>
      </c>
    </row>
    <row r="25" spans="2:16" x14ac:dyDescent="0.35">
      <c r="B25" s="2">
        <v>2047</v>
      </c>
      <c r="C25" s="4">
        <f>(TableIncomeCalculations[[#This Row],[GrossMonthlySalaryP1]]*12)</f>
        <v>1154618.8227845177</v>
      </c>
      <c r="D25" s="24">
        <f>(TableIncomeCalculations[[#This Row],[GrossMonthlySalaryP2]]*12)</f>
        <v>1268945.7165061249</v>
      </c>
      <c r="E25" s="3">
        <f>TableIncome[[#This Row],[SalaryP1]]*$I$6</f>
        <v>115461.88227845177</v>
      </c>
      <c r="F25" s="3">
        <f>TableIncome[[#This Row],[SalaryP2]]*$I$6</f>
        <v>126894.5716506125</v>
      </c>
      <c r="G25" s="22"/>
      <c r="M25" s="21">
        <f>IF(_xlfn.XLOOKUP(TableIncome[[#This Row],[Year]],Loop!C:C,Loop!D:D)&lt;70,(M24*(1+$I$4))+IF(TableIncomeCalculations[[#This Row],[SwitchP1]]="Y",M24*$I$5,0),0)</f>
        <v>96218.235232043138</v>
      </c>
      <c r="N25" s="21">
        <f>IF(_xlfn.XLOOKUP(TableIncome[[#This Row],[Year]],Loop!C:C,Loop!E:E)&lt;70,(N24*(1+$I$4))+IF(TableIncomeCalculations[[#This Row],[SwitchP2]]="Y",N24*$I$5,0),0)</f>
        <v>105745.47637551042</v>
      </c>
      <c r="O25" t="str">
        <f>_xlfn.XLOOKUP(_xlfn.XLOOKUP(TableIncome[[#This Row],[Year]],Loop!C:C,Loop!D:D),'Job Hopping'!B:B,'Job Hopping'!F:F)</f>
        <v>Y</v>
      </c>
      <c r="P25" t="str">
        <f>_xlfn.XLOOKUP(_xlfn.XLOOKUP(TableIncome[[#This Row],[Year]],Loop!C:C,Loop!E:E),'Job Hopping'!B:B,'Job Hopping'!G:G)</f>
        <v>N</v>
      </c>
    </row>
    <row r="26" spans="2:16" x14ac:dyDescent="0.35">
      <c r="B26" s="2">
        <v>2048</v>
      </c>
      <c r="C26" s="4">
        <f>(TableIncomeCalculations[[#This Row],[GrossMonthlySalaryP1]]*12)</f>
        <v>1166165.0110123628</v>
      </c>
      <c r="D26" s="24">
        <f>(TableIncomeCalculations[[#This Row],[GrossMonthlySalaryP2]]*12)</f>
        <v>1281635.1736711862</v>
      </c>
      <c r="E26" s="3">
        <f>TableIncome[[#This Row],[SalaryP1]]*$I$6</f>
        <v>116616.50110123628</v>
      </c>
      <c r="F26" s="3">
        <f>TableIncome[[#This Row],[SalaryP2]]*$I$6</f>
        <v>128163.51736711862</v>
      </c>
      <c r="G26" s="22"/>
      <c r="M26" s="21">
        <f>IF(_xlfn.XLOOKUP(TableIncome[[#This Row],[Year]],Loop!C:C,Loop!D:D)&lt;70,(M25*(1+$I$4))+IF(TableIncomeCalculations[[#This Row],[SwitchP1]]="Y",M25*$I$5,0),0)</f>
        <v>97180.417584363575</v>
      </c>
      <c r="N26" s="21">
        <f>IF(_xlfn.XLOOKUP(TableIncome[[#This Row],[Year]],Loop!C:C,Loop!E:E)&lt;70,(N25*(1+$I$4))+IF(TableIncomeCalculations[[#This Row],[SwitchP2]]="Y",N25*$I$5,0),0)</f>
        <v>106802.93113926552</v>
      </c>
      <c r="O26" t="str">
        <f>_xlfn.XLOOKUP(_xlfn.XLOOKUP(TableIncome[[#This Row],[Year]],Loop!C:C,Loop!D:D),'Job Hopping'!B:B,'Job Hopping'!F:F)</f>
        <v>N</v>
      </c>
      <c r="P26" t="str">
        <f>_xlfn.XLOOKUP(_xlfn.XLOOKUP(TableIncome[[#This Row],[Year]],Loop!C:C,Loop!E:E),'Job Hopping'!B:B,'Job Hopping'!G:G)</f>
        <v>N</v>
      </c>
    </row>
    <row r="27" spans="2:16" x14ac:dyDescent="0.35">
      <c r="B27" s="2">
        <v>2049</v>
      </c>
      <c r="C27" s="4">
        <f>(TableIncomeCalculations[[#This Row],[GrossMonthlySalaryP1]]*12)</f>
        <v>1177826.6611224865</v>
      </c>
      <c r="D27" s="24">
        <f>(TableIncomeCalculations[[#This Row],[GrossMonthlySalaryP2]]*12)</f>
        <v>1294451.5254078982</v>
      </c>
      <c r="E27" s="3">
        <f>TableIncome[[#This Row],[SalaryP1]]*$I$6</f>
        <v>117782.66611224865</v>
      </c>
      <c r="F27" s="3">
        <f>TableIncome[[#This Row],[SalaryP2]]*$I$6</f>
        <v>129445.15254078983</v>
      </c>
      <c r="G27" s="22"/>
      <c r="M27" s="21">
        <f>IF(_xlfn.XLOOKUP(TableIncome[[#This Row],[Year]],Loop!C:C,Loop!D:D)&lt;70,(M26*(1+$I$4))+IF(TableIncomeCalculations[[#This Row],[SwitchP1]]="Y",M26*$I$5,0),0)</f>
        <v>98152.221760207205</v>
      </c>
      <c r="N27" s="21">
        <f>IF(_xlfn.XLOOKUP(TableIncome[[#This Row],[Year]],Loop!C:C,Loop!E:E)&lt;70,(N26*(1+$I$4))+IF(TableIncomeCalculations[[#This Row],[SwitchP2]]="Y",N26*$I$5,0),0)</f>
        <v>107870.96045065818</v>
      </c>
      <c r="O27" t="str">
        <f>_xlfn.XLOOKUP(_xlfn.XLOOKUP(TableIncome[[#This Row],[Year]],Loop!C:C,Loop!D:D),'Job Hopping'!B:B,'Job Hopping'!F:F)</f>
        <v>N</v>
      </c>
      <c r="P27" t="str">
        <f>_xlfn.XLOOKUP(_xlfn.XLOOKUP(TableIncome[[#This Row],[Year]],Loop!C:C,Loop!E:E),'Job Hopping'!B:B,'Job Hopping'!G:G)</f>
        <v>N</v>
      </c>
    </row>
    <row r="28" spans="2:16" x14ac:dyDescent="0.35">
      <c r="B28" s="2">
        <v>2050</v>
      </c>
      <c r="C28" s="4">
        <f>(TableIncomeCalculations[[#This Row],[GrossMonthlySalaryP1]]*12)</f>
        <v>1189604.9277337114</v>
      </c>
      <c r="D28" s="24">
        <f>(TableIncomeCalculations[[#This Row],[GrossMonthlySalaryP2]]*12)</f>
        <v>1307396.0406619771</v>
      </c>
      <c r="E28" s="3">
        <f>TableIncome[[#This Row],[SalaryP1]]*$I$6</f>
        <v>118960.49277337115</v>
      </c>
      <c r="F28" s="3">
        <f>TableIncome[[#This Row],[SalaryP2]]*$I$6</f>
        <v>130739.60406619772</v>
      </c>
      <c r="G28" s="22"/>
      <c r="M28" s="21">
        <f>IF(_xlfn.XLOOKUP(TableIncome[[#This Row],[Year]],Loop!C:C,Loop!D:D)&lt;70,(M27*(1+$I$4))+IF(TableIncomeCalculations[[#This Row],[SwitchP1]]="Y",M27*$I$5,0),0)</f>
        <v>99133.743977809281</v>
      </c>
      <c r="N28" s="21">
        <f>IF(_xlfn.XLOOKUP(TableIncome[[#This Row],[Year]],Loop!C:C,Loop!E:E)&lt;70,(N27*(1+$I$4))+IF(TableIncomeCalculations[[#This Row],[SwitchP2]]="Y",N27*$I$5,0),0)</f>
        <v>108949.67005516477</v>
      </c>
      <c r="O28" t="str">
        <f>_xlfn.XLOOKUP(_xlfn.XLOOKUP(TableIncome[[#This Row],[Year]],Loop!C:C,Loop!D:D),'Job Hopping'!B:B,'Job Hopping'!F:F)</f>
        <v>N</v>
      </c>
      <c r="P28" t="str">
        <f>_xlfn.XLOOKUP(_xlfn.XLOOKUP(TableIncome[[#This Row],[Year]],Loop!C:C,Loop!E:E),'Job Hopping'!B:B,'Job Hopping'!G:G)</f>
        <v>N</v>
      </c>
    </row>
    <row r="29" spans="2:16" x14ac:dyDescent="0.35">
      <c r="B29" s="2">
        <v>2051</v>
      </c>
      <c r="C29" s="4">
        <f>(TableIncomeCalculations[[#This Row],[GrossMonthlySalaryP1]]*12)</f>
        <v>1201500.9770110487</v>
      </c>
      <c r="D29" s="24">
        <f>(TableIncomeCalculations[[#This Row],[GrossMonthlySalaryP2]]*12)</f>
        <v>1320470.001068597</v>
      </c>
      <c r="E29" s="3">
        <f>TableIncome[[#This Row],[SalaryP1]]*$I$6</f>
        <v>120150.09770110488</v>
      </c>
      <c r="F29" s="3">
        <f>TableIncome[[#This Row],[SalaryP2]]*$I$6</f>
        <v>132047.00010685969</v>
      </c>
      <c r="G29" s="22"/>
      <c r="M29" s="21">
        <f>IF(_xlfn.XLOOKUP(TableIncome[[#This Row],[Year]],Loop!C:C,Loop!D:D)&lt;70,(M28*(1+$I$4))+IF(TableIncomeCalculations[[#This Row],[SwitchP1]]="Y",M28*$I$5,0),0)</f>
        <v>100125.08141758738</v>
      </c>
      <c r="N29" s="21">
        <f>IF(_xlfn.XLOOKUP(TableIncome[[#This Row],[Year]],Loop!C:C,Loop!E:E)&lt;70,(N28*(1+$I$4))+IF(TableIncomeCalculations[[#This Row],[SwitchP2]]="Y",N28*$I$5,0),0)</f>
        <v>110039.16675571642</v>
      </c>
      <c r="O29" t="str">
        <f>_xlfn.XLOOKUP(_xlfn.XLOOKUP(TableIncome[[#This Row],[Year]],Loop!C:C,Loop!D:D),'Job Hopping'!B:B,'Job Hopping'!F:F)</f>
        <v>N</v>
      </c>
      <c r="P29" t="str">
        <f>_xlfn.XLOOKUP(_xlfn.XLOOKUP(TableIncome[[#This Row],[Year]],Loop!C:C,Loop!E:E),'Job Hopping'!B:B,'Job Hopping'!G:G)</f>
        <v>N</v>
      </c>
    </row>
    <row r="30" spans="2:16" x14ac:dyDescent="0.35">
      <c r="B30" s="2">
        <v>2052</v>
      </c>
      <c r="C30" s="4">
        <f>(TableIncomeCalculations[[#This Row],[GrossMonthlySalaryP1]]*12)</f>
        <v>1213515.986781159</v>
      </c>
      <c r="D30" s="24">
        <f>(TableIncomeCalculations[[#This Row],[GrossMonthlySalaryP2]]*12)</f>
        <v>1333674.7010792829</v>
      </c>
      <c r="E30" s="3">
        <f>TableIncome[[#This Row],[SalaryP1]]*$I$6</f>
        <v>121351.5986781159</v>
      </c>
      <c r="F30" s="3">
        <f>TableIncome[[#This Row],[SalaryP2]]*$I$6</f>
        <v>133367.4701079283</v>
      </c>
      <c r="G30" s="22"/>
      <c r="M30" s="21">
        <f>IF(_xlfn.XLOOKUP(TableIncome[[#This Row],[Year]],Loop!C:C,Loop!D:D)&lt;70,(M29*(1+$I$4))+IF(TableIncomeCalculations[[#This Row],[SwitchP1]]="Y",M29*$I$5,0),0)</f>
        <v>101126.33223176326</v>
      </c>
      <c r="N30" s="21">
        <f>IF(_xlfn.XLOOKUP(TableIncome[[#This Row],[Year]],Loop!C:C,Loop!E:E)&lt;70,(N29*(1+$I$4))+IF(TableIncomeCalculations[[#This Row],[SwitchP2]]="Y",N29*$I$5,0),0)</f>
        <v>111139.55842327359</v>
      </c>
      <c r="O30" t="str">
        <f>_xlfn.XLOOKUP(_xlfn.XLOOKUP(TableIncome[[#This Row],[Year]],Loop!C:C,Loop!D:D),'Job Hopping'!B:B,'Job Hopping'!F:F)</f>
        <v>N</v>
      </c>
      <c r="P30" t="str">
        <f>_xlfn.XLOOKUP(_xlfn.XLOOKUP(TableIncome[[#This Row],[Year]],Loop!C:C,Loop!E:E),'Job Hopping'!B:B,'Job Hopping'!G:G)</f>
        <v>N</v>
      </c>
    </row>
    <row r="31" spans="2:16" x14ac:dyDescent="0.35">
      <c r="B31" s="2">
        <v>2053</v>
      </c>
      <c r="C31" s="4">
        <f>(TableIncomeCalculations[[#This Row],[GrossMonthlySalaryP1]]*12)</f>
        <v>1225651.1466489707</v>
      </c>
      <c r="D31" s="24">
        <f>(TableIncomeCalculations[[#This Row],[GrossMonthlySalaryP2]]*12)</f>
        <v>1347011.448090076</v>
      </c>
      <c r="E31" s="3">
        <f>TableIncome[[#This Row],[SalaryP1]]*$I$6</f>
        <v>122565.11466489708</v>
      </c>
      <c r="F31" s="3">
        <f>TableIncome[[#This Row],[SalaryP2]]*$I$6</f>
        <v>134701.14480900762</v>
      </c>
      <c r="G31" s="22"/>
      <c r="M31" s="21">
        <f>IF(_xlfn.XLOOKUP(TableIncome[[#This Row],[Year]],Loop!C:C,Loop!D:D)&lt;70,(M30*(1+$I$4))+IF(TableIncomeCalculations[[#This Row],[SwitchP1]]="Y",M30*$I$5,0),0)</f>
        <v>102137.59555408089</v>
      </c>
      <c r="N31" s="21">
        <f>IF(_xlfn.XLOOKUP(TableIncome[[#This Row],[Year]],Loop!C:C,Loop!E:E)&lt;70,(N30*(1+$I$4))+IF(TableIncomeCalculations[[#This Row],[SwitchP2]]="Y",N30*$I$5,0),0)</f>
        <v>112250.95400750633</v>
      </c>
      <c r="O31" t="str">
        <f>_xlfn.XLOOKUP(_xlfn.XLOOKUP(TableIncome[[#This Row],[Year]],Loop!C:C,Loop!D:D),'Job Hopping'!B:B,'Job Hopping'!F:F)</f>
        <v>N</v>
      </c>
      <c r="P31" t="str">
        <f>_xlfn.XLOOKUP(_xlfn.XLOOKUP(TableIncome[[#This Row],[Year]],Loop!C:C,Loop!E:E),'Job Hopping'!B:B,'Job Hopping'!G:G)</f>
        <v>N</v>
      </c>
    </row>
    <row r="32" spans="2:16" x14ac:dyDescent="0.35">
      <c r="B32" s="2">
        <v>2054</v>
      </c>
      <c r="C32" s="4">
        <f>(TableIncomeCalculations[[#This Row],[GrossMonthlySalaryP1]]*12)</f>
        <v>1237907.6581154603</v>
      </c>
      <c r="D32" s="24">
        <f>(TableIncomeCalculations[[#This Row],[GrossMonthlySalaryP2]]*12)</f>
        <v>1360481.5625709766</v>
      </c>
      <c r="E32" s="3">
        <f>TableIncome[[#This Row],[SalaryP1]]*$I$6</f>
        <v>123790.76581154604</v>
      </c>
      <c r="F32" s="3">
        <f>TableIncome[[#This Row],[SalaryP2]]*$I$6</f>
        <v>136048.15625709767</v>
      </c>
      <c r="G32" s="22"/>
      <c r="M32" s="21">
        <f>IF(_xlfn.XLOOKUP(TableIncome[[#This Row],[Year]],Loop!C:C,Loop!D:D)&lt;70,(M31*(1+$I$4))+IF(TableIncomeCalculations[[#This Row],[SwitchP1]]="Y",M31*$I$5,0),0)</f>
        <v>103158.9715096217</v>
      </c>
      <c r="N32" s="21">
        <f>IF(_xlfn.XLOOKUP(TableIncome[[#This Row],[Year]],Loop!C:C,Loop!E:E)&lt;70,(N31*(1+$I$4))+IF(TableIncomeCalculations[[#This Row],[SwitchP2]]="Y",N31*$I$5,0),0)</f>
        <v>113373.46354758138</v>
      </c>
      <c r="O32" t="str">
        <f>_xlfn.XLOOKUP(_xlfn.XLOOKUP(TableIncome[[#This Row],[Year]],Loop!C:C,Loop!D:D),'Job Hopping'!B:B,'Job Hopping'!F:F)</f>
        <v>N</v>
      </c>
      <c r="P32" t="str">
        <f>_xlfn.XLOOKUP(_xlfn.XLOOKUP(TableIncome[[#This Row],[Year]],Loop!C:C,Loop!E:E),'Job Hopping'!B:B,'Job Hopping'!G:G)</f>
        <v>N</v>
      </c>
    </row>
    <row r="33" spans="2:16" x14ac:dyDescent="0.35">
      <c r="B33" s="2">
        <v>2055</v>
      </c>
      <c r="C33" s="4">
        <f>(TableIncomeCalculations[[#This Row],[GrossMonthlySalaryP1]]*12)</f>
        <v>1250286.734696615</v>
      </c>
      <c r="D33" s="24">
        <f>(TableIncomeCalculations[[#This Row],[GrossMonthlySalaryP2]]*12)</f>
        <v>0</v>
      </c>
      <c r="E33" s="3">
        <f>TableIncome[[#This Row],[SalaryP1]]*$I$6</f>
        <v>125028.6734696615</v>
      </c>
      <c r="F33" s="3">
        <f>TableIncome[[#This Row],[SalaryP2]]*$I$6</f>
        <v>0</v>
      </c>
      <c r="G33" s="22"/>
      <c r="M33" s="21">
        <f>IF(_xlfn.XLOOKUP(TableIncome[[#This Row],[Year]],Loop!C:C,Loop!D:D)&lt;70,(M32*(1+$I$4))+IF(TableIncomeCalculations[[#This Row],[SwitchP1]]="Y",M32*$I$5,0),0)</f>
        <v>104190.56122471791</v>
      </c>
      <c r="N33" s="21">
        <f>IF(_xlfn.XLOOKUP(TableIncome[[#This Row],[Year]],Loop!C:C,Loop!E:E)&lt;70,(N32*(1+$I$4))+IF(TableIncomeCalculations[[#This Row],[SwitchP2]]="Y",N32*$I$5,0),0)</f>
        <v>0</v>
      </c>
      <c r="O33" t="str">
        <f>_xlfn.XLOOKUP(_xlfn.XLOOKUP(TableIncome[[#This Row],[Year]],Loop!C:C,Loop!D:D),'Job Hopping'!B:B,'Job Hopping'!F:F)</f>
        <v>N</v>
      </c>
      <c r="P33" t="str">
        <f>_xlfn.XLOOKUP(_xlfn.XLOOKUP(TableIncome[[#This Row],[Year]],Loop!C:C,Loop!E:E),'Job Hopping'!B:B,'Job Hopping'!G:G)</f>
        <v>N</v>
      </c>
    </row>
    <row r="34" spans="2:16" x14ac:dyDescent="0.35">
      <c r="B34" s="2">
        <v>2056</v>
      </c>
      <c r="C34" s="4">
        <f>(TableIncomeCalculations[[#This Row],[GrossMonthlySalaryP1]]*12)</f>
        <v>1262789.6020435812</v>
      </c>
      <c r="D34" s="24">
        <f>(TableIncomeCalculations[[#This Row],[GrossMonthlySalaryP2]]*12)</f>
        <v>0</v>
      </c>
      <c r="E34" s="3">
        <f>TableIncome[[#This Row],[SalaryP1]]*$I$6</f>
        <v>126278.96020435813</v>
      </c>
      <c r="F34" s="3">
        <f>TableIncome[[#This Row],[SalaryP2]]*$I$6</f>
        <v>0</v>
      </c>
      <c r="G34" s="22"/>
      <c r="M34" s="21">
        <f>IF(_xlfn.XLOOKUP(TableIncome[[#This Row],[Year]],Loop!C:C,Loop!D:D)&lt;70,(M33*(1+$I$4))+IF(TableIncomeCalculations[[#This Row],[SwitchP1]]="Y",M33*$I$5,0),0)</f>
        <v>105232.46683696509</v>
      </c>
      <c r="N34" s="21">
        <f>IF(_xlfn.XLOOKUP(TableIncome[[#This Row],[Year]],Loop!C:C,Loop!E:E)&lt;70,(N33*(1+$I$4))+IF(TableIncomeCalculations[[#This Row],[SwitchP2]]="Y",N33*$I$5,0),0)</f>
        <v>0</v>
      </c>
      <c r="O34" t="str">
        <f>_xlfn.XLOOKUP(_xlfn.XLOOKUP(TableIncome[[#This Row],[Year]],Loop!C:C,Loop!D:D),'Job Hopping'!B:B,'Job Hopping'!F:F)</f>
        <v>N</v>
      </c>
      <c r="P34" t="str">
        <f>_xlfn.XLOOKUP(_xlfn.XLOOKUP(TableIncome[[#This Row],[Year]],Loop!C:C,Loop!E:E),'Job Hopping'!B:B,'Job Hopping'!G:G)</f>
        <v>N</v>
      </c>
    </row>
    <row r="35" spans="2:16" x14ac:dyDescent="0.35">
      <c r="B35" s="2">
        <v>2057</v>
      </c>
      <c r="C35" s="4">
        <f>(TableIncomeCalculations[[#This Row],[GrossMonthlySalaryP1]]*12)</f>
        <v>1275417.4980640169</v>
      </c>
      <c r="D35" s="24">
        <f>(TableIncomeCalculations[[#This Row],[GrossMonthlySalaryP2]]*12)</f>
        <v>0</v>
      </c>
      <c r="E35" s="3">
        <f>TableIncome[[#This Row],[SalaryP1]]*$I$6</f>
        <v>127541.7498064017</v>
      </c>
      <c r="F35" s="3">
        <f>TableIncome[[#This Row],[SalaryP2]]*$I$6</f>
        <v>0</v>
      </c>
      <c r="G35" s="22"/>
      <c r="M35" s="21">
        <f>IF(_xlfn.XLOOKUP(TableIncome[[#This Row],[Year]],Loop!C:C,Loop!D:D)&lt;70,(M34*(1+$I$4))+IF(TableIncomeCalculations[[#This Row],[SwitchP1]]="Y",M34*$I$5,0),0)</f>
        <v>106284.79150533474</v>
      </c>
      <c r="N35" s="21">
        <f>IF(_xlfn.XLOOKUP(TableIncome[[#This Row],[Year]],Loop!C:C,Loop!E:E)&lt;70,(N34*(1+$I$4))+IF(TableIncomeCalculations[[#This Row],[SwitchP2]]="Y",N34*$I$5,0),0)</f>
        <v>0</v>
      </c>
      <c r="O35" t="str">
        <f>_xlfn.XLOOKUP(_xlfn.XLOOKUP(TableIncome[[#This Row],[Year]],Loop!C:C,Loop!D:D),'Job Hopping'!B:B,'Job Hopping'!F:F)</f>
        <v>N</v>
      </c>
      <c r="P35" t="str">
        <f>_xlfn.XLOOKUP(_xlfn.XLOOKUP(TableIncome[[#This Row],[Year]],Loop!C:C,Loop!E:E),'Job Hopping'!B:B,'Job Hopping'!G:G)</f>
        <v>N</v>
      </c>
    </row>
    <row r="36" spans="2:16" x14ac:dyDescent="0.35">
      <c r="B36" s="2">
        <v>2058</v>
      </c>
      <c r="C36" s="4">
        <f>(TableIncomeCalculations[[#This Row],[GrossMonthlySalaryP1]]*12)</f>
        <v>1288171.6730446571</v>
      </c>
      <c r="D36" s="24">
        <f>(TableIncomeCalculations[[#This Row],[GrossMonthlySalaryP2]]*12)</f>
        <v>0</v>
      </c>
      <c r="E36" s="3">
        <f>TableIncome[[#This Row],[SalaryP1]]*$I$6</f>
        <v>128817.16730446572</v>
      </c>
      <c r="F36" s="3">
        <f>TableIncome[[#This Row],[SalaryP2]]*$I$6</f>
        <v>0</v>
      </c>
      <c r="G36" s="22"/>
      <c r="M36" s="21">
        <f>IF(_xlfn.XLOOKUP(TableIncome[[#This Row],[Year]],Loop!C:C,Loop!D:D)&lt;70,(M35*(1+$I$4))+IF(TableIncomeCalculations[[#This Row],[SwitchP1]]="Y",M35*$I$5,0),0)</f>
        <v>107347.63942038809</v>
      </c>
      <c r="N36" s="21">
        <f>IF(_xlfn.XLOOKUP(TableIncome[[#This Row],[Year]],Loop!C:C,Loop!E:E)&lt;70,(N35*(1+$I$4))+IF(TableIncomeCalculations[[#This Row],[SwitchP2]]="Y",N35*$I$5,0),0)</f>
        <v>0</v>
      </c>
      <c r="O36" t="str">
        <f>_xlfn.XLOOKUP(_xlfn.XLOOKUP(TableIncome[[#This Row],[Year]],Loop!C:C,Loop!D:D),'Job Hopping'!B:B,'Job Hopping'!F:F)</f>
        <v>N</v>
      </c>
      <c r="P36" t="str">
        <f>_xlfn.XLOOKUP(_xlfn.XLOOKUP(TableIncome[[#This Row],[Year]],Loop!C:C,Loop!E:E),'Job Hopping'!B:B,'Job Hopping'!G:G)</f>
        <v>N</v>
      </c>
    </row>
    <row r="37" spans="2:16" x14ac:dyDescent="0.35">
      <c r="B37" s="2">
        <v>2059</v>
      </c>
      <c r="C37" s="4">
        <f>(TableIncomeCalculations[[#This Row],[GrossMonthlySalaryP1]]*12)</f>
        <v>1301053.3897751037</v>
      </c>
      <c r="D37" s="24">
        <f>(TableIncomeCalculations[[#This Row],[GrossMonthlySalaryP2]]*12)</f>
        <v>0</v>
      </c>
      <c r="E37" s="3">
        <f>TableIncome[[#This Row],[SalaryP1]]*$I$6</f>
        <v>130105.33897751037</v>
      </c>
      <c r="F37" s="3">
        <f>TableIncome[[#This Row],[SalaryP2]]*$I$6</f>
        <v>0</v>
      </c>
      <c r="G37" s="22"/>
      <c r="M37" s="21">
        <f>IF(_xlfn.XLOOKUP(TableIncome[[#This Row],[Year]],Loop!C:C,Loop!D:D)&lt;70,(M36*(1+$I$4))+IF(TableIncomeCalculations[[#This Row],[SwitchP1]]="Y",M36*$I$5,0),0)</f>
        <v>108421.11581459198</v>
      </c>
      <c r="N37" s="21">
        <f>IF(_xlfn.XLOOKUP(TableIncome[[#This Row],[Year]],Loop!C:C,Loop!E:E)&lt;70,(N36*(1+$I$4))+IF(TableIncomeCalculations[[#This Row],[SwitchP2]]="Y",N36*$I$5,0),0)</f>
        <v>0</v>
      </c>
      <c r="O37" t="str">
        <f>_xlfn.XLOOKUP(_xlfn.XLOOKUP(TableIncome[[#This Row],[Year]],Loop!C:C,Loop!D:D),'Job Hopping'!B:B,'Job Hopping'!F:F)</f>
        <v>N</v>
      </c>
      <c r="P37" t="str">
        <f>_xlfn.XLOOKUP(_xlfn.XLOOKUP(TableIncome[[#This Row],[Year]],Loop!C:C,Loop!E:E),'Job Hopping'!B:B,'Job Hopping'!G:G)</f>
        <v>N</v>
      </c>
    </row>
    <row r="38" spans="2:16" x14ac:dyDescent="0.35">
      <c r="B38" s="2">
        <v>2060</v>
      </c>
      <c r="C38" s="4">
        <f>(TableIncomeCalculations[[#This Row],[GrossMonthlySalaryP1]]*12)</f>
        <v>1444169.262650365</v>
      </c>
      <c r="D38" s="24">
        <f>(TableIncomeCalculations[[#This Row],[GrossMonthlySalaryP2]]*12)</f>
        <v>0</v>
      </c>
      <c r="E38" s="3">
        <f>TableIncome[[#This Row],[SalaryP1]]*$I$6</f>
        <v>144416.92626503651</v>
      </c>
      <c r="F38" s="3">
        <f>TableIncome[[#This Row],[SalaryP2]]*$I$6</f>
        <v>0</v>
      </c>
      <c r="G38" s="22"/>
      <c r="M38" s="21">
        <f>IF(_xlfn.XLOOKUP(TableIncome[[#This Row],[Year]],Loop!C:C,Loop!D:D)&lt;70,(M37*(1+$I$4))+IF(TableIncomeCalculations[[#This Row],[SwitchP1]]="Y",M37*$I$5,0),0)</f>
        <v>120347.43855419708</v>
      </c>
      <c r="N38" s="21">
        <f>IF(_xlfn.XLOOKUP(TableIncome[[#This Row],[Year]],Loop!C:C,Loop!E:E)&lt;70,(N37*(1+$I$4))+IF(TableIncomeCalculations[[#This Row],[SwitchP2]]="Y",N37*$I$5,0),0)</f>
        <v>0</v>
      </c>
      <c r="O38" t="str">
        <f>_xlfn.XLOOKUP(_xlfn.XLOOKUP(TableIncome[[#This Row],[Year]],Loop!C:C,Loop!D:D),'Job Hopping'!B:B,'Job Hopping'!F:F)</f>
        <v>Y</v>
      </c>
      <c r="P38" t="str">
        <f>_xlfn.XLOOKUP(_xlfn.XLOOKUP(TableIncome[[#This Row],[Year]],Loop!C:C,Loop!E:E),'Job Hopping'!B:B,'Job Hopping'!G:G)</f>
        <v>N</v>
      </c>
    </row>
    <row r="39" spans="2:16" x14ac:dyDescent="0.35">
      <c r="B39" s="2">
        <v>2061</v>
      </c>
      <c r="C39" s="4">
        <f>(TableIncomeCalculations[[#This Row],[GrossMonthlySalaryP1]]*12)</f>
        <v>1458610.9552768685</v>
      </c>
      <c r="D39" s="24">
        <f>(TableIncomeCalculations[[#This Row],[GrossMonthlySalaryP2]]*12)</f>
        <v>0</v>
      </c>
      <c r="E39" s="3">
        <f>TableIncome[[#This Row],[SalaryP1]]*$I$6</f>
        <v>145861.09552768685</v>
      </c>
      <c r="F39" s="3">
        <f>TableIncome[[#This Row],[SalaryP2]]*$I$6</f>
        <v>0</v>
      </c>
      <c r="G39" s="22"/>
      <c r="M39" s="21">
        <f>IF(_xlfn.XLOOKUP(TableIncome[[#This Row],[Year]],Loop!C:C,Loop!D:D)&lt;70,(M38*(1+$I$4))+IF(TableIncomeCalculations[[#This Row],[SwitchP1]]="Y",M38*$I$5,0),0)</f>
        <v>121550.91293973905</v>
      </c>
      <c r="N39" s="21">
        <f>IF(_xlfn.XLOOKUP(TableIncome[[#This Row],[Year]],Loop!C:C,Loop!E:E)&lt;70,(N38*(1+$I$4))+IF(TableIncomeCalculations[[#This Row],[SwitchP2]]="Y",N38*$I$5,0),0)</f>
        <v>0</v>
      </c>
      <c r="O39" t="str">
        <f>_xlfn.XLOOKUP(_xlfn.XLOOKUP(TableIncome[[#This Row],[Year]],Loop!C:C,Loop!D:D),'Job Hopping'!B:B,'Job Hopping'!F:F)</f>
        <v>N</v>
      </c>
      <c r="P39" t="str">
        <f>_xlfn.XLOOKUP(_xlfn.XLOOKUP(TableIncome[[#This Row],[Year]],Loop!C:C,Loop!E:E),'Job Hopping'!B:B,'Job Hopping'!G:G)</f>
        <v>N</v>
      </c>
    </row>
    <row r="40" spans="2:16" x14ac:dyDescent="0.35">
      <c r="B40" s="2">
        <v>2062</v>
      </c>
      <c r="C40" s="4">
        <f>(TableIncomeCalculations[[#This Row],[GrossMonthlySalaryP1]]*12)</f>
        <v>1473197.0648296373</v>
      </c>
      <c r="D40" s="24">
        <f>(TableIncomeCalculations[[#This Row],[GrossMonthlySalaryP2]]*12)</f>
        <v>0</v>
      </c>
      <c r="E40" s="3">
        <f>TableIncome[[#This Row],[SalaryP1]]*$I$6</f>
        <v>147319.70648296372</v>
      </c>
      <c r="F40" s="3">
        <f>TableIncome[[#This Row],[SalaryP2]]*$I$6</f>
        <v>0</v>
      </c>
      <c r="G40" s="22"/>
      <c r="M40" s="21">
        <f>IF(_xlfn.XLOOKUP(TableIncome[[#This Row],[Year]],Loop!C:C,Loop!D:D)&lt;70,(M39*(1+$I$4))+IF(TableIncomeCalculations[[#This Row],[SwitchP1]]="Y",M39*$I$5,0),0)</f>
        <v>122766.42206913645</v>
      </c>
      <c r="N40" s="21">
        <f>IF(_xlfn.XLOOKUP(TableIncome[[#This Row],[Year]],Loop!C:C,Loop!E:E)&lt;70,(N39*(1+$I$4))+IF(TableIncomeCalculations[[#This Row],[SwitchP2]]="Y",N39*$I$5,0),0)</f>
        <v>0</v>
      </c>
      <c r="O40" t="str">
        <f>_xlfn.XLOOKUP(_xlfn.XLOOKUP(TableIncome[[#This Row],[Year]],Loop!C:C,Loop!D:D),'Job Hopping'!B:B,'Job Hopping'!F:F)</f>
        <v>N</v>
      </c>
      <c r="P40" t="str">
        <f>_xlfn.XLOOKUP(_xlfn.XLOOKUP(TableIncome[[#This Row],[Year]],Loop!C:C,Loop!E:E),'Job Hopping'!B:B,'Job Hopping'!G:G)</f>
        <v>N</v>
      </c>
    </row>
    <row r="41" spans="2:16" x14ac:dyDescent="0.35">
      <c r="B41" s="2">
        <v>2063</v>
      </c>
      <c r="C41" s="4">
        <f>(TableIncomeCalculations[[#This Row],[GrossMonthlySalaryP1]]*12)</f>
        <v>1487929.0354779337</v>
      </c>
      <c r="D41" s="24">
        <f>(TableIncomeCalculations[[#This Row],[GrossMonthlySalaryP2]]*12)</f>
        <v>0</v>
      </c>
      <c r="E41" s="3">
        <f>TableIncome[[#This Row],[SalaryP1]]*$I$6</f>
        <v>148792.90354779336</v>
      </c>
      <c r="F41" s="3">
        <f>TableIncome[[#This Row],[SalaryP2]]*$I$6</f>
        <v>0</v>
      </c>
      <c r="G41" s="22"/>
      <c r="M41" s="21">
        <f>IF(_xlfn.XLOOKUP(TableIncome[[#This Row],[Year]],Loop!C:C,Loop!D:D)&lt;70,(M40*(1+$I$4))+IF(TableIncomeCalculations[[#This Row],[SwitchP1]]="Y",M40*$I$5,0),0)</f>
        <v>123994.08628982781</v>
      </c>
      <c r="N41" s="21">
        <f>IF(_xlfn.XLOOKUP(TableIncome[[#This Row],[Year]],Loop!C:C,Loop!E:E)&lt;70,(N40*(1+$I$4))+IF(TableIncomeCalculations[[#This Row],[SwitchP2]]="Y",N40*$I$5,0),0)</f>
        <v>0</v>
      </c>
      <c r="O41" t="str">
        <f>_xlfn.XLOOKUP(_xlfn.XLOOKUP(TableIncome[[#This Row],[Year]],Loop!C:C,Loop!D:D),'Job Hopping'!B:B,'Job Hopping'!F:F)</f>
        <v>N</v>
      </c>
      <c r="P41" t="str">
        <f>_xlfn.XLOOKUP(_xlfn.XLOOKUP(TableIncome[[#This Row],[Year]],Loop!C:C,Loop!E:E),'Job Hopping'!B:B,'Job Hopping'!G:G)</f>
        <v>N</v>
      </c>
    </row>
    <row r="42" spans="2:16" x14ac:dyDescent="0.35">
      <c r="B42" s="2">
        <v>2064</v>
      </c>
      <c r="C42" s="4">
        <f>(TableIncomeCalculations[[#This Row],[GrossMonthlySalaryP1]]*12)</f>
        <v>1502808.3258327132</v>
      </c>
      <c r="D42" s="24">
        <f>(TableIncomeCalculations[[#This Row],[GrossMonthlySalaryP2]]*12)</f>
        <v>0</v>
      </c>
      <c r="E42" s="3">
        <f>TableIncome[[#This Row],[SalaryP1]]*$I$6</f>
        <v>150280.83258327132</v>
      </c>
      <c r="F42" s="3">
        <f>TableIncome[[#This Row],[SalaryP2]]*$I$6</f>
        <v>0</v>
      </c>
      <c r="G42" s="22"/>
      <c r="M42" s="21">
        <f>IF(_xlfn.XLOOKUP(TableIncome[[#This Row],[Year]],Loop!C:C,Loop!D:D)&lt;70,(M41*(1+$I$4))+IF(TableIncomeCalculations[[#This Row],[SwitchP1]]="Y",M41*$I$5,0),0)</f>
        <v>125234.02715272609</v>
      </c>
      <c r="N42" s="21">
        <f>IF(_xlfn.XLOOKUP(TableIncome[[#This Row],[Year]],Loop!C:C,Loop!E:E)&lt;70,(N41*(1+$I$4))+IF(TableIncomeCalculations[[#This Row],[SwitchP2]]="Y",N41*$I$5,0),0)</f>
        <v>0</v>
      </c>
      <c r="O42" t="str">
        <f>_xlfn.XLOOKUP(_xlfn.XLOOKUP(TableIncome[[#This Row],[Year]],Loop!C:C,Loop!D:D),'Job Hopping'!B:B,'Job Hopping'!F:F)</f>
        <v>N</v>
      </c>
      <c r="P42" t="str">
        <f>_xlfn.XLOOKUP(_xlfn.XLOOKUP(TableIncome[[#This Row],[Year]],Loop!C:C,Loop!E:E),'Job Hopping'!B:B,'Job Hopping'!G:G)</f>
        <v>N</v>
      </c>
    </row>
    <row r="43" spans="2:16" x14ac:dyDescent="0.35">
      <c r="B43" s="2">
        <v>2065</v>
      </c>
      <c r="C43" s="4">
        <f>(TableIncomeCalculations[[#This Row],[GrossMonthlySalaryP1]]*12)</f>
        <v>1517836.4090910403</v>
      </c>
      <c r="D43" s="24">
        <f>(TableIncomeCalculations[[#This Row],[GrossMonthlySalaryP2]]*12)</f>
        <v>0</v>
      </c>
      <c r="E43" s="3">
        <f>TableIncome[[#This Row],[SalaryP1]]*$I$6</f>
        <v>151783.64090910403</v>
      </c>
      <c r="F43" s="3">
        <f>TableIncome[[#This Row],[SalaryP2]]*$I$6</f>
        <v>0</v>
      </c>
      <c r="G43" s="22"/>
      <c r="M43" s="21">
        <f>IF(_xlfn.XLOOKUP(TableIncome[[#This Row],[Year]],Loop!C:C,Loop!D:D)&lt;70,(M42*(1+$I$4))+IF(TableIncomeCalculations[[#This Row],[SwitchP1]]="Y",M42*$I$5,0),0)</f>
        <v>126486.36742425336</v>
      </c>
      <c r="N43" s="21">
        <f>IF(_xlfn.XLOOKUP(TableIncome[[#This Row],[Year]],Loop!C:C,Loop!E:E)&lt;70,(N42*(1+$I$4))+IF(TableIncomeCalculations[[#This Row],[SwitchP2]]="Y",N42*$I$5,0),0)</f>
        <v>0</v>
      </c>
      <c r="O43" t="str">
        <f>_xlfn.XLOOKUP(_xlfn.XLOOKUP(TableIncome[[#This Row],[Year]],Loop!C:C,Loop!D:D),'Job Hopping'!B:B,'Job Hopping'!F:F)</f>
        <v>N</v>
      </c>
      <c r="P43" t="str">
        <f>_xlfn.XLOOKUP(_xlfn.XLOOKUP(TableIncome[[#This Row],[Year]],Loop!C:C,Loop!E:E),'Job Hopping'!B:B,'Job Hopping'!G:G)</f>
        <v>N</v>
      </c>
    </row>
    <row r="44" spans="2:16" x14ac:dyDescent="0.35">
      <c r="B44" s="2">
        <v>2066</v>
      </c>
      <c r="C44" s="4">
        <f>(TableIncomeCalculations[[#This Row],[GrossMonthlySalaryP1]]*12)</f>
        <v>1533014.7731819507</v>
      </c>
      <c r="D44" s="24">
        <f>(TableIncomeCalculations[[#This Row],[GrossMonthlySalaryP2]]*12)</f>
        <v>0</v>
      </c>
      <c r="E44" s="3">
        <f>TableIncome[[#This Row],[SalaryP1]]*$I$6</f>
        <v>153301.47731819507</v>
      </c>
      <c r="F44" s="3">
        <f>TableIncome[[#This Row],[SalaryP2]]*$I$6</f>
        <v>0</v>
      </c>
      <c r="G44" s="22"/>
      <c r="M44" s="21">
        <f>IF(_xlfn.XLOOKUP(TableIncome[[#This Row],[Year]],Loop!C:C,Loop!D:D)&lt;70,(M43*(1+$I$4))+IF(TableIncomeCalculations[[#This Row],[SwitchP1]]="Y",M43*$I$5,0),0)</f>
        <v>127751.23109849589</v>
      </c>
      <c r="N44" s="21">
        <f>IF(_xlfn.XLOOKUP(TableIncome[[#This Row],[Year]],Loop!C:C,Loop!E:E)&lt;70,(N43*(1+$I$4))+IF(TableIncomeCalculations[[#This Row],[SwitchP2]]="Y",N43*$I$5,0),0)</f>
        <v>0</v>
      </c>
      <c r="O44" t="str">
        <f>_xlfn.XLOOKUP(_xlfn.XLOOKUP(TableIncome[[#This Row],[Year]],Loop!C:C,Loop!D:D),'Job Hopping'!B:B,'Job Hopping'!F:F)</f>
        <v>N</v>
      </c>
      <c r="P44" t="str">
        <f>_xlfn.XLOOKUP(_xlfn.XLOOKUP(TableIncome[[#This Row],[Year]],Loop!C:C,Loop!E:E),'Job Hopping'!B:B,'Job Hopping'!G:G)</f>
        <v>N</v>
      </c>
    </row>
    <row r="45" spans="2:16" x14ac:dyDescent="0.35">
      <c r="B45" s="2">
        <v>2067</v>
      </c>
      <c r="C45" s="4">
        <f>(TableIncomeCalculations[[#This Row],[GrossMonthlySalaryP1]]*12)</f>
        <v>1548344.9209137703</v>
      </c>
      <c r="D45" s="24">
        <f>(TableIncomeCalculations[[#This Row],[GrossMonthlySalaryP2]]*12)</f>
        <v>0</v>
      </c>
      <c r="E45" s="3">
        <f>TableIncome[[#This Row],[SalaryP1]]*$I$6</f>
        <v>154834.49209137703</v>
      </c>
      <c r="F45" s="3">
        <f>TableIncome[[#This Row],[SalaryP2]]*$I$6</f>
        <v>0</v>
      </c>
      <c r="G45" s="22"/>
      <c r="M45" s="21">
        <f>IF(_xlfn.XLOOKUP(TableIncome[[#This Row],[Year]],Loop!C:C,Loop!D:D)&lt;70,(M44*(1+$I$4))+IF(TableIncomeCalculations[[#This Row],[SwitchP1]]="Y",M44*$I$5,0),0)</f>
        <v>129028.74340948086</v>
      </c>
      <c r="N45" s="21">
        <f>IF(_xlfn.XLOOKUP(TableIncome[[#This Row],[Year]],Loop!C:C,Loop!E:E)&lt;70,(N44*(1+$I$4))+IF(TableIncomeCalculations[[#This Row],[SwitchP2]]="Y",N44*$I$5,0),0)</f>
        <v>0</v>
      </c>
      <c r="O45" t="str">
        <f>_xlfn.XLOOKUP(_xlfn.XLOOKUP(TableIncome[[#This Row],[Year]],Loop!C:C,Loop!D:D),'Job Hopping'!B:B,'Job Hopping'!F:F)</f>
        <v>N</v>
      </c>
      <c r="P45" t="str">
        <f>_xlfn.XLOOKUP(_xlfn.XLOOKUP(TableIncome[[#This Row],[Year]],Loop!C:C,Loop!E:E),'Job Hopping'!B:B,'Job Hopping'!G:G)</f>
        <v>N</v>
      </c>
    </row>
    <row r="46" spans="2:16" x14ac:dyDescent="0.35">
      <c r="B46" s="2">
        <v>2068</v>
      </c>
      <c r="C46" s="4">
        <f>(TableIncomeCalculations[[#This Row],[GrossMonthlySalaryP1]]*12)</f>
        <v>1563828.3701229079</v>
      </c>
      <c r="D46" s="24">
        <f>(TableIncomeCalculations[[#This Row],[GrossMonthlySalaryP2]]*12)</f>
        <v>0</v>
      </c>
      <c r="E46" s="3">
        <f>TableIncome[[#This Row],[SalaryP1]]*$I$6</f>
        <v>156382.83701229081</v>
      </c>
      <c r="F46" s="3">
        <f>TableIncome[[#This Row],[SalaryP2]]*$I$6</f>
        <v>0</v>
      </c>
      <c r="G46" s="22"/>
      <c r="M46" s="21">
        <f>IF(_xlfn.XLOOKUP(TableIncome[[#This Row],[Year]],Loop!C:C,Loop!D:D)&lt;70,(M45*(1+$I$4))+IF(TableIncomeCalculations[[#This Row],[SwitchP1]]="Y",M45*$I$5,0),0)</f>
        <v>130319.03084357566</v>
      </c>
      <c r="N46" s="21">
        <f>IF(_xlfn.XLOOKUP(TableIncome[[#This Row],[Year]],Loop!C:C,Loop!E:E)&lt;70,(N45*(1+$I$4))+IF(TableIncomeCalculations[[#This Row],[SwitchP2]]="Y",N45*$I$5,0),0)</f>
        <v>0</v>
      </c>
      <c r="O46" t="str">
        <f>_xlfn.XLOOKUP(_xlfn.XLOOKUP(TableIncome[[#This Row],[Year]],Loop!C:C,Loop!D:D),'Job Hopping'!B:B,'Job Hopping'!F:F)</f>
        <v>N</v>
      </c>
      <c r="P46" t="str">
        <f>_xlfn.XLOOKUP(_xlfn.XLOOKUP(TableIncome[[#This Row],[Year]],Loop!C:C,Loop!E:E),'Job Hopping'!B:B,'Job Hopping'!G:G)</f>
        <v>N</v>
      </c>
    </row>
    <row r="47" spans="2:16" x14ac:dyDescent="0.35">
      <c r="B47" s="2">
        <v>2069</v>
      </c>
      <c r="C47" s="4">
        <f>(TableIncomeCalculations[[#This Row],[GrossMonthlySalaryP1]]*12)</f>
        <v>1579466.6538241371</v>
      </c>
      <c r="D47" s="24">
        <f>(TableIncomeCalculations[[#This Row],[GrossMonthlySalaryP2]]*12)</f>
        <v>0</v>
      </c>
      <c r="E47" s="3">
        <f>TableIncome[[#This Row],[SalaryP1]]*$I$6</f>
        <v>157946.66538241372</v>
      </c>
      <c r="F47" s="3">
        <f>TableIncome[[#This Row],[SalaryP2]]*$I$6</f>
        <v>0</v>
      </c>
      <c r="G47" s="22"/>
      <c r="M47" s="21">
        <f>IF(_xlfn.XLOOKUP(TableIncome[[#This Row],[Year]],Loop!C:C,Loop!D:D)&lt;70,(M46*(1+$I$4))+IF(TableIncomeCalculations[[#This Row],[SwitchP1]]="Y",M46*$I$5,0),0)</f>
        <v>131622.22115201142</v>
      </c>
      <c r="N47" s="21">
        <f>IF(_xlfn.XLOOKUP(TableIncome[[#This Row],[Year]],Loop!C:C,Loop!E:E)&lt;70,(N46*(1+$I$4))+IF(TableIncomeCalculations[[#This Row],[SwitchP2]]="Y",N46*$I$5,0),0)</f>
        <v>0</v>
      </c>
      <c r="O47" t="str">
        <f>_xlfn.XLOOKUP(_xlfn.XLOOKUP(TableIncome[[#This Row],[Year]],Loop!C:C,Loop!D:D),'Job Hopping'!B:B,'Job Hopping'!F:F)</f>
        <v>N</v>
      </c>
      <c r="P47" t="str">
        <f>_xlfn.XLOOKUP(_xlfn.XLOOKUP(TableIncome[[#This Row],[Year]],Loop!C:C,Loop!E:E),'Job Hopping'!B:B,'Job Hopping'!G:G)</f>
        <v>N</v>
      </c>
    </row>
    <row r="48" spans="2:16" x14ac:dyDescent="0.35">
      <c r="B48" s="2">
        <v>2070</v>
      </c>
      <c r="C48" s="4">
        <f>(TableIncomeCalculations[[#This Row],[GrossMonthlySalaryP1]]*12)</f>
        <v>0</v>
      </c>
      <c r="D48" s="24">
        <f>(TableIncomeCalculations[[#This Row],[GrossMonthlySalaryP2]]*12)</f>
        <v>0</v>
      </c>
      <c r="E48" s="3">
        <f>TableIncome[[#This Row],[SalaryP1]]*$I$6</f>
        <v>0</v>
      </c>
      <c r="F48" s="3">
        <f>TableIncome[[#This Row],[SalaryP2]]*$I$6</f>
        <v>0</v>
      </c>
      <c r="G48" s="22"/>
      <c r="M48" s="21">
        <f>IF(_xlfn.XLOOKUP(TableIncome[[#This Row],[Year]],Loop!C:C,Loop!D:D)&lt;70,(M47*(1+$I$4))+IF(TableIncomeCalculations[[#This Row],[SwitchP1]]="Y",M47*$I$5,0),0)</f>
        <v>0</v>
      </c>
      <c r="N48" s="21">
        <f>IF(_xlfn.XLOOKUP(TableIncome[[#This Row],[Year]],Loop!C:C,Loop!E:E)&lt;70,(N47*(1+$I$4))+IF(TableIncomeCalculations[[#This Row],[SwitchP2]]="Y",N47*$I$5,0),0)</f>
        <v>0</v>
      </c>
      <c r="O48" t="str">
        <f>_xlfn.XLOOKUP(_xlfn.XLOOKUP(TableIncome[[#This Row],[Year]],Loop!C:C,Loop!D:D),'Job Hopping'!B:B,'Job Hopping'!F:F)</f>
        <v>N</v>
      </c>
      <c r="P48" t="str">
        <f>_xlfn.XLOOKUP(_xlfn.XLOOKUP(TableIncome[[#This Row],[Year]],Loop!C:C,Loop!E:E),'Job Hopping'!B:B,'Job Hopping'!G:G)</f>
        <v>N</v>
      </c>
    </row>
  </sheetData>
  <phoneticPr fontId="8" type="noConversion"/>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4" tint="0.79998168889431442"/>
  </sheetPr>
  <dimension ref="B2:T101"/>
  <sheetViews>
    <sheetView topLeftCell="F1" workbookViewId="0">
      <selection activeCell="C8" sqref="C8:C15"/>
    </sheetView>
  </sheetViews>
  <sheetFormatPr defaultColWidth="8.7265625" defaultRowHeight="14.5" x14ac:dyDescent="0.35"/>
  <cols>
    <col min="1" max="2" width="8.7265625" style="1"/>
    <col min="3" max="3" width="11.26953125" style="1" customWidth="1"/>
    <col min="4" max="4" width="8.453125" style="1" customWidth="1"/>
    <col min="5" max="5" width="12.453125" style="1" customWidth="1"/>
    <col min="6" max="7" width="20.7265625" style="1" bestFit="1" customWidth="1"/>
    <col min="8" max="13" width="8.7265625" style="1"/>
    <col min="14" max="14" width="11.26953125" style="1" customWidth="1"/>
    <col min="15" max="15" width="16.7265625" style="1" customWidth="1"/>
    <col min="16" max="16" width="16.81640625" style="1" customWidth="1"/>
    <col min="17" max="18" width="8.7265625" style="1"/>
    <col min="19" max="19" width="11.26953125" style="1" customWidth="1"/>
    <col min="20" max="16384" width="8.7265625" style="1"/>
  </cols>
  <sheetData>
    <row r="2" spans="2:20" x14ac:dyDescent="0.35">
      <c r="B2" s="5" t="s">
        <v>54</v>
      </c>
      <c r="C2" s="5" t="s">
        <v>55</v>
      </c>
      <c r="D2" s="5" t="s">
        <v>58</v>
      </c>
      <c r="E2" s="5" t="s">
        <v>67</v>
      </c>
      <c r="F2" s="5" t="s">
        <v>65</v>
      </c>
      <c r="G2" s="5" t="s">
        <v>66</v>
      </c>
      <c r="M2" s="5" t="s">
        <v>1</v>
      </c>
      <c r="N2" s="5" t="s">
        <v>55</v>
      </c>
      <c r="O2" s="5" t="s">
        <v>56</v>
      </c>
      <c r="P2" s="5" t="s">
        <v>57</v>
      </c>
      <c r="Q2" s="5" t="s">
        <v>58</v>
      </c>
      <c r="S2" s="5" t="s">
        <v>55</v>
      </c>
      <c r="T2" s="5" t="s">
        <v>59</v>
      </c>
    </row>
    <row r="3" spans="2:20" x14ac:dyDescent="0.35">
      <c r="B3" s="5">
        <v>25</v>
      </c>
      <c r="C3" s="5" t="str">
        <f>IF(B3&lt;30, "25-29 år", IF(B3&lt;35, "30-34 år", IF(B3&lt;40, "35-39 år", IF(B3&lt;45, "40-44 år", IF(B3&lt;50, "45-49 år", IF(B3&lt;55, "50-54 år", IF(B3&lt;60, "55-59 år", IF(B3&lt;65, "60-64 år", "65+ år"))))))))</f>
        <v>25-29 år</v>
      </c>
      <c r="D3" s="16">
        <f t="shared" ref="D3:D34" si="0">_xlfn.XLOOKUP(C3,S:S,T:T)</f>
        <v>0.51651947969596046</v>
      </c>
      <c r="E3" s="5" t="str">
        <f ca="1">IF(OR(JobHopping[[#This Row],[Age]]=25,JobHopping[[#This Row],[Age]]&gt;69),"N",IF(AND(E1="N",E2="N", RAND()&lt;=D3), "Y", "N"))</f>
        <v>N</v>
      </c>
      <c r="F3" s="5" t="s">
        <v>0</v>
      </c>
      <c r="G3" s="5" t="str">
        <f>IF(JobHopping[[#This Row],[Age]]&lt;40,"",JobHopping[[#This Row],[SwitchP1Static]])</f>
        <v/>
      </c>
      <c r="M3" s="5">
        <v>2013</v>
      </c>
      <c r="N3" s="5" t="s">
        <v>16</v>
      </c>
      <c r="O3" s="5">
        <f>_xlfn.XLOOKUP(M3&amp;"-"&amp;N3,'Djøf Finance Workers'!D:D,'Djøf Finance Workers'!C:C,0,1)</f>
        <v>6202</v>
      </c>
      <c r="P3" s="5">
        <f>_xlfn.XLOOKUP(M3&amp;"-"&amp;N3,'Djøf Finance Hoppers'!D:D,'Djøf Finance Hoppers'!C:C,0,1)</f>
        <v>2524</v>
      </c>
      <c r="Q3" s="16">
        <f t="shared" ref="Q3:Q66" si="1">IF(O3&gt;0, P3/O3, 0)</f>
        <v>0.40696549500161239</v>
      </c>
      <c r="S3" s="5" t="s">
        <v>16</v>
      </c>
      <c r="T3" s="5">
        <f t="shared" ref="T3:T11" si="2">SUMIFS(Q:Q,N:N,S3)/(MAX($M$3:$M$101)-MIN($M$3:$M$101))</f>
        <v>0.51651947969596046</v>
      </c>
    </row>
    <row r="4" spans="2:20" x14ac:dyDescent="0.35">
      <c r="B4" s="5">
        <v>26</v>
      </c>
      <c r="C4" s="5" t="str">
        <f>IF(B4&lt;30, "25-29 år", IF(B4&lt;35, "30-34 år", IF(B4&lt;40, "35-39 år", IF(B4&lt;45, "40-44 år", IF(B4&lt;50, "45-49 år", IF(B4&lt;55, "50-54 år", IF(B4&lt;60, "55-59 år", IF(B4&lt;65, "60-64 år", "65+ år"))))))))</f>
        <v>25-29 år</v>
      </c>
      <c r="D4" s="16">
        <f t="shared" si="0"/>
        <v>0.51651947969596046</v>
      </c>
      <c r="E4" s="5" t="str">
        <f ca="1">IF(OR(JobHopping[[#This Row],[Age]]=25,JobHopping[[#This Row],[Age]]&gt;69),"N",IF(AND(E2="N",E3="N", RAND()&lt;=D4), "Y", "N"))</f>
        <v>N</v>
      </c>
      <c r="F4" s="5" t="s">
        <v>0</v>
      </c>
      <c r="G4" s="5" t="str">
        <f>IF(JobHopping[[#This Row],[Age]]&lt;40,"",JobHopping[[#This Row],[SwitchP1Static]])</f>
        <v/>
      </c>
      <c r="M4" s="5">
        <v>2013</v>
      </c>
      <c r="N4" s="5" t="s">
        <v>17</v>
      </c>
      <c r="O4" s="5">
        <f>_xlfn.XLOOKUP(M4&amp;"-"&amp;N4,'Djøf Finance Workers'!D:D,'Djøf Finance Workers'!C:C,0,1)</f>
        <v>8560</v>
      </c>
      <c r="P4" s="5">
        <f>_xlfn.XLOOKUP(M4&amp;"-"&amp;N4,'Djøf Finance Hoppers'!D:D,'Djøf Finance Hoppers'!C:C,0,1)</f>
        <v>2176</v>
      </c>
      <c r="Q4" s="16">
        <f t="shared" si="1"/>
        <v>0.25420560747663551</v>
      </c>
      <c r="S4" s="5" t="s">
        <v>17</v>
      </c>
      <c r="T4" s="5">
        <f t="shared" si="2"/>
        <v>0.33908020385851029</v>
      </c>
    </row>
    <row r="5" spans="2:20" x14ac:dyDescent="0.35">
      <c r="B5" s="5">
        <v>27</v>
      </c>
      <c r="C5" s="5" t="str">
        <f>IF(B5&lt;30, "25-29 år", IF(B5&lt;35, "30-34 år", IF(B5&lt;40, "35-39 år", IF(B5&lt;45, "40-44 år", IF(B5&lt;50, "45-49 år", IF(B5&lt;55, "50-54 år", IF(B5&lt;60, "55-59 år", IF(B5&lt;65, "60-64 år", "65+ år"))))))))</f>
        <v>25-29 år</v>
      </c>
      <c r="D5" s="16">
        <f t="shared" si="0"/>
        <v>0.51651947969596046</v>
      </c>
      <c r="E5" s="5" t="str">
        <f ca="1">IF(OR(JobHopping[[#This Row],[Age]]=25,JobHopping[[#This Row],[Age]]&gt;69),"N",IF(AND(E3="N",E4="N", RAND()&lt;=D5), "Y", "N"))</f>
        <v>N</v>
      </c>
      <c r="F5" s="5" t="s">
        <v>64</v>
      </c>
      <c r="G5" s="5" t="str">
        <f>IF(JobHopping[[#This Row],[Age]]&lt;40,"",JobHopping[[#This Row],[SwitchP1Static]])</f>
        <v/>
      </c>
      <c r="M5" s="5">
        <v>2013</v>
      </c>
      <c r="N5" s="5" t="s">
        <v>18</v>
      </c>
      <c r="O5" s="5">
        <f>_xlfn.XLOOKUP(M5&amp;"-"&amp;N5,'Djøf Finance Workers'!D:D,'Djøf Finance Workers'!C:C,0,1)</f>
        <v>9790</v>
      </c>
      <c r="P5" s="5">
        <f>_xlfn.XLOOKUP(M5&amp;"-"&amp;N5,'Djøf Finance Hoppers'!D:D,'Djøf Finance Hoppers'!C:C,0,1)</f>
        <v>1896</v>
      </c>
      <c r="Q5" s="16">
        <f t="shared" si="1"/>
        <v>0.19366700715015323</v>
      </c>
      <c r="S5" s="5" t="s">
        <v>18</v>
      </c>
      <c r="T5" s="5">
        <f t="shared" si="2"/>
        <v>0.2624026948424838</v>
      </c>
    </row>
    <row r="6" spans="2:20" x14ac:dyDescent="0.35">
      <c r="B6" s="5">
        <v>28</v>
      </c>
      <c r="C6" s="5" t="str">
        <f t="shared" ref="C6:C48" si="3">IF(B6&lt;30, "25-29 år", IF(B6&lt;35, "30-34 år", IF(B6&lt;40, "35-39 år", IF(B6&lt;45, "40-44 år", IF(B6&lt;50, "45-49 år", IF(B6&lt;55, "50-54 år", IF(B6&lt;60, "55-59 år", IF(B6&lt;65, "60-64 år", "65+ år"))))))))</f>
        <v>25-29 år</v>
      </c>
      <c r="D6" s="16">
        <f t="shared" si="0"/>
        <v>0.51651947969596046</v>
      </c>
      <c r="E6" s="5" t="str">
        <f ca="1">IF(OR(JobHopping[[#This Row],[Age]]=25,JobHopping[[#This Row],[Age]]&gt;69),"N",IF(AND(E4="N",E5="N", RAND()&lt;=D6), "Y", "N"))</f>
        <v>N</v>
      </c>
      <c r="F6" s="5" t="s">
        <v>0</v>
      </c>
      <c r="G6" s="5" t="str">
        <f>IF(JobHopping[[#This Row],[Age]]&lt;40,"",JobHopping[[#This Row],[SwitchP1Static]])</f>
        <v/>
      </c>
      <c r="M6" s="5">
        <v>2013</v>
      </c>
      <c r="N6" s="5" t="s">
        <v>19</v>
      </c>
      <c r="O6" s="5">
        <f>_xlfn.XLOOKUP(M6&amp;"-"&amp;N6,'Djøf Finance Workers'!D:D,'Djøf Finance Workers'!C:C,0,1)</f>
        <v>9383</v>
      </c>
      <c r="P6" s="5">
        <f>_xlfn.XLOOKUP(M6&amp;"-"&amp;N6,'Djøf Finance Hoppers'!D:D,'Djøf Finance Hoppers'!C:C,0,1)</f>
        <v>1579</v>
      </c>
      <c r="Q6" s="16">
        <f t="shared" si="1"/>
        <v>0.16828306511776617</v>
      </c>
      <c r="S6" s="5" t="s">
        <v>19</v>
      </c>
      <c r="T6" s="5">
        <f t="shared" si="2"/>
        <v>0.2213187304833609</v>
      </c>
    </row>
    <row r="7" spans="2:20" x14ac:dyDescent="0.35">
      <c r="B7" s="5">
        <v>29</v>
      </c>
      <c r="C7" s="5" t="str">
        <f t="shared" si="3"/>
        <v>25-29 år</v>
      </c>
      <c r="D7" s="16">
        <f t="shared" si="0"/>
        <v>0.51651947969596046</v>
      </c>
      <c r="E7" s="5" t="str">
        <f ca="1">IF(OR(JobHopping[[#This Row],[Age]]=25,JobHopping[[#This Row],[Age]]&gt;69),"N",IF(AND(E5="N",E6="N", RAND()&lt;=D7), "Y", "N"))</f>
        <v>N</v>
      </c>
      <c r="F7" s="5" t="s">
        <v>0</v>
      </c>
      <c r="G7" s="5" t="str">
        <f>IF(JobHopping[[#This Row],[Age]]&lt;40,"",JobHopping[[#This Row],[SwitchP1Static]])</f>
        <v/>
      </c>
      <c r="M7" s="5">
        <v>2013</v>
      </c>
      <c r="N7" s="5" t="s">
        <v>20</v>
      </c>
      <c r="O7" s="5">
        <f>_xlfn.XLOOKUP(M7&amp;"-"&amp;N7,'Djøf Finance Workers'!D:D,'Djøf Finance Workers'!C:C,0,1)</f>
        <v>12762</v>
      </c>
      <c r="P7" s="5">
        <f>_xlfn.XLOOKUP(M7&amp;"-"&amp;N7,'Djøf Finance Hoppers'!D:D,'Djøf Finance Hoppers'!C:C,0,1)</f>
        <v>1915</v>
      </c>
      <c r="Q7" s="16">
        <f t="shared" si="1"/>
        <v>0.15005485033693777</v>
      </c>
      <c r="S7" s="5" t="s">
        <v>20</v>
      </c>
      <c r="T7" s="5">
        <f t="shared" si="2"/>
        <v>0.19929479981866399</v>
      </c>
    </row>
    <row r="8" spans="2:20" x14ac:dyDescent="0.35">
      <c r="B8" s="5">
        <v>30</v>
      </c>
      <c r="C8" s="5" t="str">
        <f t="shared" si="3"/>
        <v>30-34 år</v>
      </c>
      <c r="D8" s="16">
        <f t="shared" si="0"/>
        <v>0.33908020385851029</v>
      </c>
      <c r="E8" s="5" t="str">
        <f ca="1">IF(OR(JobHopping[[#This Row],[Age]]=25,JobHopping[[#This Row],[Age]]&gt;69),"N",IF(AND(E6="N",E7="N", RAND()&lt;=D8), "Y", "N"))</f>
        <v>Y</v>
      </c>
      <c r="F8" s="5" t="s">
        <v>0</v>
      </c>
      <c r="G8" s="5" t="str">
        <f>IF(JobHopping[[#This Row],[Age]]&lt;40,"",JobHopping[[#This Row],[SwitchP1Static]])</f>
        <v/>
      </c>
      <c r="M8" s="5">
        <v>2013</v>
      </c>
      <c r="N8" s="5" t="s">
        <v>21</v>
      </c>
      <c r="O8" s="5">
        <f>_xlfn.XLOOKUP(M8&amp;"-"&amp;N8,'Djøf Finance Workers'!D:D,'Djøf Finance Workers'!C:C,0,1)</f>
        <v>10587</v>
      </c>
      <c r="P8" s="5">
        <f>_xlfn.XLOOKUP(M8&amp;"-"&amp;N8,'Djøf Finance Hoppers'!D:D,'Djøf Finance Hoppers'!C:C,0,1)</f>
        <v>1462</v>
      </c>
      <c r="Q8" s="16">
        <f t="shared" si="1"/>
        <v>0.13809388873146311</v>
      </c>
      <c r="S8" s="5" t="s">
        <v>21</v>
      </c>
      <c r="T8" s="5">
        <f t="shared" si="2"/>
        <v>0.17668929185764676</v>
      </c>
    </row>
    <row r="9" spans="2:20" x14ac:dyDescent="0.35">
      <c r="B9" s="5">
        <v>31</v>
      </c>
      <c r="C9" s="5" t="str">
        <f t="shared" si="3"/>
        <v>30-34 år</v>
      </c>
      <c r="D9" s="16">
        <f t="shared" si="0"/>
        <v>0.33908020385851029</v>
      </c>
      <c r="E9" s="5" t="str">
        <f ca="1">IF(OR(JobHopping[[#This Row],[Age]]=25,JobHopping[[#This Row],[Age]]&gt;69),"N",IF(AND(E7="N",E8="N", RAND()&lt;=D9), "Y", "N"))</f>
        <v>N</v>
      </c>
      <c r="F9" s="5" t="s">
        <v>64</v>
      </c>
      <c r="G9" s="5" t="str">
        <f>IF(JobHopping[[#This Row],[Age]]&lt;40,"",JobHopping[[#This Row],[SwitchP1Static]])</f>
        <v/>
      </c>
      <c r="M9" s="5">
        <v>2013</v>
      </c>
      <c r="N9" s="5" t="s">
        <v>22</v>
      </c>
      <c r="O9" s="5">
        <f>_xlfn.XLOOKUP(M9&amp;"-"&amp;N9,'Djøf Finance Workers'!D:D,'Djøf Finance Workers'!C:C,0,1)</f>
        <v>8811</v>
      </c>
      <c r="P9" s="5">
        <f>_xlfn.XLOOKUP(M9&amp;"-"&amp;N9,'Djøf Finance Hoppers'!D:D,'Djøf Finance Hoppers'!C:C,0,1)</f>
        <v>1227</v>
      </c>
      <c r="Q9" s="16">
        <f t="shared" si="1"/>
        <v>0.13925774599931903</v>
      </c>
      <c r="S9" s="5" t="s">
        <v>22</v>
      </c>
      <c r="T9" s="5">
        <f t="shared" si="2"/>
        <v>0.15515674597479437</v>
      </c>
    </row>
    <row r="10" spans="2:20" x14ac:dyDescent="0.35">
      <c r="B10" s="5">
        <v>32</v>
      </c>
      <c r="C10" s="5" t="str">
        <f t="shared" si="3"/>
        <v>30-34 år</v>
      </c>
      <c r="D10" s="16">
        <f t="shared" si="0"/>
        <v>0.33908020385851029</v>
      </c>
      <c r="E10" s="5" t="str">
        <f ca="1">IF(OR(JobHopping[[#This Row],[Age]]=25,JobHopping[[#This Row],[Age]]&gt;69),"N",IF(AND(E8="N",E9="N", RAND()&lt;=D10), "Y", "N"))</f>
        <v>N</v>
      </c>
      <c r="F10" s="5" t="s">
        <v>0</v>
      </c>
      <c r="G10" s="5" t="str">
        <f>IF(JobHopping[[#This Row],[Age]]&lt;40,"",JobHopping[[#This Row],[SwitchP1Static]])</f>
        <v/>
      </c>
      <c r="M10" s="5">
        <v>2013</v>
      </c>
      <c r="N10" s="5" t="s">
        <v>23</v>
      </c>
      <c r="O10" s="5">
        <f>_xlfn.XLOOKUP(M10&amp;"-"&amp;N10,'Djøf Finance Workers'!D:D,'Djøf Finance Workers'!C:C,0,1)</f>
        <v>5072</v>
      </c>
      <c r="P10" s="5">
        <f>_xlfn.XLOOKUP(M10&amp;"-"&amp;N10,'Djøf Finance Hoppers'!D:D,'Djøf Finance Hoppers'!C:C,0,1)</f>
        <v>667</v>
      </c>
      <c r="Q10" s="16">
        <f t="shared" si="1"/>
        <v>0.13150630914826497</v>
      </c>
      <c r="S10" s="5" t="s">
        <v>23</v>
      </c>
      <c r="T10" s="5">
        <f t="shared" si="2"/>
        <v>0.13997311637990331</v>
      </c>
    </row>
    <row r="11" spans="2:20" x14ac:dyDescent="0.35">
      <c r="B11" s="5">
        <v>33</v>
      </c>
      <c r="C11" s="5" t="str">
        <f t="shared" si="3"/>
        <v>30-34 år</v>
      </c>
      <c r="D11" s="16">
        <f t="shared" si="0"/>
        <v>0.33908020385851029</v>
      </c>
      <c r="E11" s="5" t="str">
        <f ca="1">IF(OR(JobHopping[[#This Row],[Age]]=25,JobHopping[[#This Row],[Age]]&gt;69),"N",IF(AND(E9="N",E10="N", RAND()&lt;=D11), "Y", "N"))</f>
        <v>Y</v>
      </c>
      <c r="F11" s="5" t="s">
        <v>0</v>
      </c>
      <c r="G11" s="5" t="str">
        <f>IF(JobHopping[[#This Row],[Age]]&lt;40,"",JobHopping[[#This Row],[SwitchP1Static]])</f>
        <v/>
      </c>
      <c r="M11" s="5">
        <v>2013</v>
      </c>
      <c r="N11" s="5" t="s">
        <v>24</v>
      </c>
      <c r="O11" s="5">
        <f>_xlfn.XLOOKUP(M11&amp;"-"&amp;N11,'Djøf Finance Workers'!D:D,'Djøf Finance Workers'!C:C,0,1)</f>
        <v>1539</v>
      </c>
      <c r="P11" s="5">
        <f>_xlfn.XLOOKUP(M11&amp;"-"&amp;N11,'Djøf Finance Hoppers'!D:D,'Djøf Finance Hoppers'!C:C,0,1)</f>
        <v>224</v>
      </c>
      <c r="Q11" s="16">
        <f t="shared" si="1"/>
        <v>0.14554905782975958</v>
      </c>
      <c r="S11" s="5" t="s">
        <v>24</v>
      </c>
      <c r="T11" s="5">
        <f t="shared" si="2"/>
        <v>0.11691873000664299</v>
      </c>
    </row>
    <row r="12" spans="2:20" x14ac:dyDescent="0.35">
      <c r="B12" s="5">
        <v>34</v>
      </c>
      <c r="C12" s="5" t="str">
        <f t="shared" si="3"/>
        <v>30-34 år</v>
      </c>
      <c r="D12" s="16">
        <f t="shared" si="0"/>
        <v>0.33908020385851029</v>
      </c>
      <c r="E12" s="5" t="str">
        <f ca="1">IF(OR(JobHopping[[#This Row],[Age]]=25,JobHopping[[#This Row],[Age]]&gt;69),"N",IF(AND(E10="N",E11="N", RAND()&lt;=D12), "Y", "N"))</f>
        <v>N</v>
      </c>
      <c r="F12" s="5" t="s">
        <v>0</v>
      </c>
      <c r="G12" s="5" t="str">
        <f>IF(JobHopping[[#This Row],[Age]]&lt;40,"",JobHopping[[#This Row],[SwitchP1Static]])</f>
        <v/>
      </c>
      <c r="M12" s="5">
        <v>2014</v>
      </c>
      <c r="N12" s="5" t="s">
        <v>16</v>
      </c>
      <c r="O12" s="5">
        <f>_xlfn.XLOOKUP(M12&amp;"-"&amp;N12,'Djøf Finance Workers'!D:D,'Djøf Finance Workers'!C:C,0,1)</f>
        <v>6041</v>
      </c>
      <c r="P12" s="5">
        <f>_xlfn.XLOOKUP(M12&amp;"-"&amp;N12,'Djøf Finance Hoppers'!D:D,'Djøf Finance Hoppers'!C:C,0,1)</f>
        <v>2521</v>
      </c>
      <c r="Q12" s="16">
        <f t="shared" si="1"/>
        <v>0.41731501407051813</v>
      </c>
    </row>
    <row r="13" spans="2:20" x14ac:dyDescent="0.35">
      <c r="B13" s="5">
        <v>35</v>
      </c>
      <c r="C13" s="5" t="str">
        <f t="shared" si="3"/>
        <v>35-39 år</v>
      </c>
      <c r="D13" s="16">
        <f t="shared" si="0"/>
        <v>0.2624026948424838</v>
      </c>
      <c r="E13" s="5" t="str">
        <f ca="1">IF(OR(JobHopping[[#This Row],[Age]]=25,JobHopping[[#This Row],[Age]]&gt;69),"N",IF(AND(E11="N",E12="N", RAND()&lt;=D13), "Y", "N"))</f>
        <v>N</v>
      </c>
      <c r="F13" s="5" t="s">
        <v>64</v>
      </c>
      <c r="G13" s="5" t="str">
        <f>IF(JobHopping[[#This Row],[Age]]&lt;40,"",JobHopping[[#This Row],[SwitchP1Static]])</f>
        <v/>
      </c>
      <c r="M13" s="5">
        <v>2014</v>
      </c>
      <c r="N13" s="5" t="s">
        <v>17</v>
      </c>
      <c r="O13" s="5">
        <f>_xlfn.XLOOKUP(M13&amp;"-"&amp;N13,'Djøf Finance Workers'!D:D,'Djøf Finance Workers'!C:C,0,1)</f>
        <v>8203</v>
      </c>
      <c r="P13" s="5">
        <f>_xlfn.XLOOKUP(M13&amp;"-"&amp;N13,'Djøf Finance Hoppers'!D:D,'Djøf Finance Hoppers'!C:C,0,1)</f>
        <v>2178</v>
      </c>
      <c r="Q13" s="16">
        <f t="shared" si="1"/>
        <v>0.26551261733512127</v>
      </c>
    </row>
    <row r="14" spans="2:20" x14ac:dyDescent="0.35">
      <c r="B14" s="5">
        <v>36</v>
      </c>
      <c r="C14" s="5" t="str">
        <f t="shared" si="3"/>
        <v>35-39 år</v>
      </c>
      <c r="D14" s="16">
        <f t="shared" si="0"/>
        <v>0.2624026948424838</v>
      </c>
      <c r="E14" s="5" t="str">
        <f ca="1">IF(OR(JobHopping[[#This Row],[Age]]=25,JobHopping[[#This Row],[Age]]&gt;69),"N",IF(AND(E12="N",E13="N", RAND()&lt;=D14), "Y", "N"))</f>
        <v>Y</v>
      </c>
      <c r="F14" s="5" t="s">
        <v>0</v>
      </c>
      <c r="G14" s="5" t="str">
        <f>IF(JobHopping[[#This Row],[Age]]&lt;40,"",JobHopping[[#This Row],[SwitchP1Static]])</f>
        <v/>
      </c>
      <c r="M14" s="5">
        <v>2014</v>
      </c>
      <c r="N14" s="5" t="s">
        <v>18</v>
      </c>
      <c r="O14" s="5">
        <f>_xlfn.XLOOKUP(M14&amp;"-"&amp;N14,'Djøf Finance Workers'!D:D,'Djøf Finance Workers'!C:C,0,1)</f>
        <v>9972</v>
      </c>
      <c r="P14" s="5">
        <f>_xlfn.XLOOKUP(M14&amp;"-"&amp;N14,'Djøf Finance Hoppers'!D:D,'Djøf Finance Hoppers'!C:C,0,1)</f>
        <v>2066</v>
      </c>
      <c r="Q14" s="16">
        <f t="shared" si="1"/>
        <v>0.20718010429201764</v>
      </c>
    </row>
    <row r="15" spans="2:20" x14ac:dyDescent="0.35">
      <c r="B15" s="5">
        <v>37</v>
      </c>
      <c r="C15" s="5" t="str">
        <f t="shared" si="3"/>
        <v>35-39 år</v>
      </c>
      <c r="D15" s="16">
        <f t="shared" si="0"/>
        <v>0.2624026948424838</v>
      </c>
      <c r="E15" s="5" t="str">
        <f ca="1">IF(OR(JobHopping[[#This Row],[Age]]=25,JobHopping[[#This Row],[Age]]&gt;69),"N",IF(AND(E13="N",E14="N", RAND()&lt;=D15), "Y", "N"))</f>
        <v>N</v>
      </c>
      <c r="F15" s="5" t="s">
        <v>0</v>
      </c>
      <c r="G15" s="5" t="str">
        <f>IF(JobHopping[[#This Row],[Age]]&lt;40,"",JobHopping[[#This Row],[SwitchP1Static]])</f>
        <v/>
      </c>
      <c r="M15" s="5">
        <v>2014</v>
      </c>
      <c r="N15" s="5" t="s">
        <v>19</v>
      </c>
      <c r="O15" s="5">
        <f>_xlfn.XLOOKUP(M15&amp;"-"&amp;N15,'Djøf Finance Workers'!D:D,'Djøf Finance Workers'!C:C,0,1)</f>
        <v>9409</v>
      </c>
      <c r="P15" s="5">
        <f>_xlfn.XLOOKUP(M15&amp;"-"&amp;N15,'Djøf Finance Hoppers'!D:D,'Djøf Finance Hoppers'!C:C,0,1)</f>
        <v>1647</v>
      </c>
      <c r="Q15" s="16">
        <f t="shared" si="1"/>
        <v>0.17504516951854607</v>
      </c>
    </row>
    <row r="16" spans="2:20" x14ac:dyDescent="0.35">
      <c r="B16" s="5">
        <v>38</v>
      </c>
      <c r="C16" s="5" t="str">
        <f t="shared" si="3"/>
        <v>35-39 år</v>
      </c>
      <c r="D16" s="16">
        <f t="shared" si="0"/>
        <v>0.2624026948424838</v>
      </c>
      <c r="E16" s="5" t="str">
        <f ca="1">IF(OR(JobHopping[[#This Row],[Age]]=25,JobHopping[[#This Row],[Age]]&gt;69),"N",IF(AND(E14="N",E15="N", RAND()&lt;=D16), "Y", "N"))</f>
        <v>N</v>
      </c>
      <c r="F16" s="5" t="s">
        <v>0</v>
      </c>
      <c r="G16" s="5" t="str">
        <f>IF(JobHopping[[#This Row],[Age]]&lt;40,"",JobHopping[[#This Row],[SwitchP1Static]])</f>
        <v/>
      </c>
      <c r="M16" s="5">
        <v>2014</v>
      </c>
      <c r="N16" s="5" t="s">
        <v>20</v>
      </c>
      <c r="O16" s="5">
        <f>_xlfn.XLOOKUP(M16&amp;"-"&amp;N16,'Djøf Finance Workers'!D:D,'Djøf Finance Workers'!C:C,0,1)</f>
        <v>12377</v>
      </c>
      <c r="P16" s="5">
        <f>_xlfn.XLOOKUP(M16&amp;"-"&amp;N16,'Djøf Finance Hoppers'!D:D,'Djøf Finance Hoppers'!C:C,0,1)</f>
        <v>1953</v>
      </c>
      <c r="Q16" s="16">
        <f t="shared" si="1"/>
        <v>0.15779267997091379</v>
      </c>
    </row>
    <row r="17" spans="2:17" x14ac:dyDescent="0.35">
      <c r="B17" s="5">
        <v>39</v>
      </c>
      <c r="C17" s="5" t="str">
        <f t="shared" si="3"/>
        <v>35-39 år</v>
      </c>
      <c r="D17" s="16">
        <f t="shared" si="0"/>
        <v>0.2624026948424838</v>
      </c>
      <c r="E17" s="5" t="str">
        <f ca="1">IF(OR(JobHopping[[#This Row],[Age]]=25,JobHopping[[#This Row],[Age]]&gt;69),"N",IF(AND(E15="N",E16="N", RAND()&lt;=D17), "Y", "N"))</f>
        <v>N</v>
      </c>
      <c r="F17" s="5" t="s">
        <v>64</v>
      </c>
      <c r="G17" s="5" t="str">
        <f>IF(JobHopping[[#This Row],[Age]]&lt;40,"",JobHopping[[#This Row],[SwitchP1Static]])</f>
        <v/>
      </c>
      <c r="M17" s="5">
        <v>2014</v>
      </c>
      <c r="N17" s="5" t="s">
        <v>21</v>
      </c>
      <c r="O17" s="5">
        <f>_xlfn.XLOOKUP(M17&amp;"-"&amp;N17,'Djøf Finance Workers'!D:D,'Djøf Finance Workers'!C:C,0,1)</f>
        <v>10828</v>
      </c>
      <c r="P17" s="5">
        <f>_xlfn.XLOOKUP(M17&amp;"-"&amp;N17,'Djøf Finance Hoppers'!D:D,'Djøf Finance Hoppers'!C:C,0,1)</f>
        <v>1636</v>
      </c>
      <c r="Q17" s="16">
        <f t="shared" si="1"/>
        <v>0.15108976727004064</v>
      </c>
    </row>
    <row r="18" spans="2:17" x14ac:dyDescent="0.35">
      <c r="B18" s="5">
        <v>40</v>
      </c>
      <c r="C18" s="5" t="str">
        <f t="shared" si="3"/>
        <v>40-44 år</v>
      </c>
      <c r="D18" s="16">
        <f t="shared" si="0"/>
        <v>0.2213187304833609</v>
      </c>
      <c r="E18" s="5" t="str">
        <f ca="1">IF(OR(JobHopping[[#This Row],[Age]]=25,JobHopping[[#This Row],[Age]]&gt;69),"N",IF(AND(E16="N",E17="N", RAND()&lt;=D18), "Y", "N"))</f>
        <v>Y</v>
      </c>
      <c r="F18" s="5" t="s">
        <v>0</v>
      </c>
      <c r="G18" s="5" t="str">
        <f>IF(JobHopping[[#This Row],[Age]]&lt;40,"",JobHopping[[#This Row],[SwitchP1Static]])</f>
        <v>N</v>
      </c>
      <c r="M18" s="5">
        <v>2014</v>
      </c>
      <c r="N18" s="5" t="s">
        <v>22</v>
      </c>
      <c r="O18" s="5">
        <f>_xlfn.XLOOKUP(M18&amp;"-"&amp;N18,'Djøf Finance Workers'!D:D,'Djøf Finance Workers'!C:C,0,1)</f>
        <v>8888</v>
      </c>
      <c r="P18" s="5">
        <f>_xlfn.XLOOKUP(M18&amp;"-"&amp;N18,'Djøf Finance Hoppers'!D:D,'Djøf Finance Hoppers'!C:C,0,1)</f>
        <v>1231</v>
      </c>
      <c r="Q18" s="16">
        <f t="shared" si="1"/>
        <v>0.1385013501350135</v>
      </c>
    </row>
    <row r="19" spans="2:17" x14ac:dyDescent="0.35">
      <c r="B19" s="5">
        <v>41</v>
      </c>
      <c r="C19" s="5" t="str">
        <f t="shared" si="3"/>
        <v>40-44 år</v>
      </c>
      <c r="D19" s="16">
        <f t="shared" si="0"/>
        <v>0.2213187304833609</v>
      </c>
      <c r="E19" s="5" t="str">
        <f ca="1">IF(OR(JobHopping[[#This Row],[Age]]=25,JobHopping[[#This Row],[Age]]&gt;69),"N",IF(AND(E17="N",E18="N", RAND()&lt;=D19), "Y", "N"))</f>
        <v>N</v>
      </c>
      <c r="F19" s="5" t="s">
        <v>0</v>
      </c>
      <c r="G19" s="5" t="str">
        <f>IF(JobHopping[[#This Row],[Age]]&lt;40,"",JobHopping[[#This Row],[SwitchP1Static]])</f>
        <v>N</v>
      </c>
      <c r="M19" s="5">
        <v>2014</v>
      </c>
      <c r="N19" s="5" t="s">
        <v>23</v>
      </c>
      <c r="O19" s="5">
        <f>_xlfn.XLOOKUP(M19&amp;"-"&amp;N19,'Djøf Finance Workers'!D:D,'Djøf Finance Workers'!C:C,0,1)</f>
        <v>5141</v>
      </c>
      <c r="P19" s="5">
        <f>_xlfn.XLOOKUP(M19&amp;"-"&amp;N19,'Djøf Finance Hoppers'!D:D,'Djøf Finance Hoppers'!C:C,0,1)</f>
        <v>706</v>
      </c>
      <c r="Q19" s="16">
        <f t="shared" si="1"/>
        <v>0.13732736821630034</v>
      </c>
    </row>
    <row r="20" spans="2:17" x14ac:dyDescent="0.35">
      <c r="B20" s="5">
        <v>42</v>
      </c>
      <c r="C20" s="5" t="str">
        <f t="shared" si="3"/>
        <v>40-44 år</v>
      </c>
      <c r="D20" s="16">
        <f t="shared" si="0"/>
        <v>0.2213187304833609</v>
      </c>
      <c r="E20" s="5" t="str">
        <f ca="1">IF(OR(JobHopping[[#This Row],[Age]]=25,JobHopping[[#This Row],[Age]]&gt;69),"N",IF(AND(E18="N",E19="N", RAND()&lt;=D20), "Y", "N"))</f>
        <v>N</v>
      </c>
      <c r="F20" s="5" t="s">
        <v>0</v>
      </c>
      <c r="G20" s="5" t="str">
        <f>IF(JobHopping[[#This Row],[Age]]&lt;40,"",JobHopping[[#This Row],[SwitchP1Static]])</f>
        <v>N</v>
      </c>
      <c r="M20" s="5">
        <v>2014</v>
      </c>
      <c r="N20" s="5" t="s">
        <v>24</v>
      </c>
      <c r="O20" s="5">
        <f>_xlfn.XLOOKUP(M20&amp;"-"&amp;N20,'Djøf Finance Workers'!D:D,'Djøf Finance Workers'!C:C,0,1)</f>
        <v>1600</v>
      </c>
      <c r="P20" s="5">
        <f>_xlfn.XLOOKUP(M20&amp;"-"&amp;N20,'Djøf Finance Hoppers'!D:D,'Djøf Finance Hoppers'!C:C,0,1)</f>
        <v>204</v>
      </c>
      <c r="Q20" s="16">
        <f t="shared" si="1"/>
        <v>0.1275</v>
      </c>
    </row>
    <row r="21" spans="2:17" x14ac:dyDescent="0.35">
      <c r="B21" s="5">
        <v>43</v>
      </c>
      <c r="C21" s="5" t="str">
        <f t="shared" si="3"/>
        <v>40-44 år</v>
      </c>
      <c r="D21" s="16">
        <f t="shared" si="0"/>
        <v>0.2213187304833609</v>
      </c>
      <c r="E21" s="5" t="str">
        <f ca="1">IF(OR(JobHopping[[#This Row],[Age]]=25,JobHopping[[#This Row],[Age]]&gt;69),"N",IF(AND(E19="N",E20="N", RAND()&lt;=D21), "Y", "N"))</f>
        <v>N</v>
      </c>
      <c r="F21" s="5" t="s">
        <v>64</v>
      </c>
      <c r="G21" s="5" t="str">
        <f>IF(JobHopping[[#This Row],[Age]]&lt;40,"",JobHopping[[#This Row],[SwitchP1Static]])</f>
        <v>Y</v>
      </c>
      <c r="M21" s="5">
        <v>2015</v>
      </c>
      <c r="N21" s="5" t="s">
        <v>16</v>
      </c>
      <c r="O21" s="5">
        <f>_xlfn.XLOOKUP(M21&amp;"-"&amp;N21,'Djøf Finance Workers'!D:D,'Djøf Finance Workers'!C:C,0,1)</f>
        <v>5834</v>
      </c>
      <c r="P21" s="5">
        <f>_xlfn.XLOOKUP(M21&amp;"-"&amp;N21,'Djøf Finance Hoppers'!D:D,'Djøf Finance Hoppers'!C:C,0,1)</f>
        <v>2715</v>
      </c>
      <c r="Q21" s="16">
        <f t="shared" si="1"/>
        <v>0.46537538567020914</v>
      </c>
    </row>
    <row r="22" spans="2:17" x14ac:dyDescent="0.35">
      <c r="B22" s="5">
        <v>44</v>
      </c>
      <c r="C22" s="5" t="str">
        <f t="shared" si="3"/>
        <v>40-44 år</v>
      </c>
      <c r="D22" s="16">
        <f t="shared" si="0"/>
        <v>0.2213187304833609</v>
      </c>
      <c r="E22" s="5" t="str">
        <f ca="1">IF(OR(JobHopping[[#This Row],[Age]]=25,JobHopping[[#This Row],[Age]]&gt;69),"N",IF(AND(E20="N",E21="N", RAND()&lt;=D22), "Y", "N"))</f>
        <v>N</v>
      </c>
      <c r="F22" s="5" t="s">
        <v>0</v>
      </c>
      <c r="G22" s="5" t="str">
        <f>IF(JobHopping[[#This Row],[Age]]&lt;40,"",JobHopping[[#This Row],[SwitchP1Static]])</f>
        <v>N</v>
      </c>
      <c r="M22" s="5">
        <v>2015</v>
      </c>
      <c r="N22" s="5" t="s">
        <v>17</v>
      </c>
      <c r="O22" s="5">
        <f>_xlfn.XLOOKUP(M22&amp;"-"&amp;N22,'Djøf Finance Workers'!D:D,'Djøf Finance Workers'!C:C,0,1)</f>
        <v>7834</v>
      </c>
      <c r="P22" s="5">
        <f>_xlfn.XLOOKUP(M22&amp;"-"&amp;N22,'Djøf Finance Hoppers'!D:D,'Djøf Finance Hoppers'!C:C,0,1)</f>
        <v>2473</v>
      </c>
      <c r="Q22" s="16">
        <f t="shared" si="1"/>
        <v>0.31567526167985704</v>
      </c>
    </row>
    <row r="23" spans="2:17" x14ac:dyDescent="0.35">
      <c r="B23" s="5">
        <v>45</v>
      </c>
      <c r="C23" s="5" t="str">
        <f t="shared" si="3"/>
        <v>45-49 år</v>
      </c>
      <c r="D23" s="16">
        <f t="shared" si="0"/>
        <v>0.19929479981866399</v>
      </c>
      <c r="E23" s="5" t="str">
        <f ca="1">IF(OR(JobHopping[[#This Row],[Age]]=25,JobHopping[[#This Row],[Age]]&gt;69),"N",IF(AND(E21="N",E22="N", RAND()&lt;=D23), "Y", "N"))</f>
        <v>Y</v>
      </c>
      <c r="F23" s="5" t="s">
        <v>0</v>
      </c>
      <c r="G23" s="5" t="str">
        <f>IF(JobHopping[[#This Row],[Age]]&lt;40,"",JobHopping[[#This Row],[SwitchP1Static]])</f>
        <v>N</v>
      </c>
      <c r="M23" s="5">
        <v>2015</v>
      </c>
      <c r="N23" s="5" t="s">
        <v>18</v>
      </c>
      <c r="O23" s="5">
        <f>_xlfn.XLOOKUP(M23&amp;"-"&amp;N23,'Djøf Finance Workers'!D:D,'Djøf Finance Workers'!C:C,0,1)</f>
        <v>9897</v>
      </c>
      <c r="P23" s="5">
        <f>_xlfn.XLOOKUP(M23&amp;"-"&amp;N23,'Djøf Finance Hoppers'!D:D,'Djøf Finance Hoppers'!C:C,0,1)</f>
        <v>2378</v>
      </c>
      <c r="Q23" s="16">
        <f t="shared" si="1"/>
        <v>0.24027483075679498</v>
      </c>
    </row>
    <row r="24" spans="2:17" x14ac:dyDescent="0.35">
      <c r="B24" s="5">
        <v>46</v>
      </c>
      <c r="C24" s="5" t="str">
        <f t="shared" si="3"/>
        <v>45-49 år</v>
      </c>
      <c r="D24" s="16">
        <f t="shared" si="0"/>
        <v>0.19929479981866399</v>
      </c>
      <c r="E24" s="5" t="str">
        <f ca="1">IF(OR(JobHopping[[#This Row],[Age]]=25,JobHopping[[#This Row],[Age]]&gt;69),"N",IF(AND(E22="N",E23="N", RAND()&lt;=D24), "Y", "N"))</f>
        <v>N</v>
      </c>
      <c r="F24" s="5" t="s">
        <v>0</v>
      </c>
      <c r="G24" s="5" t="str">
        <f>IF(JobHopping[[#This Row],[Age]]&lt;40,"",JobHopping[[#This Row],[SwitchP1Static]])</f>
        <v>N</v>
      </c>
      <c r="M24" s="5">
        <v>2015</v>
      </c>
      <c r="N24" s="5" t="s">
        <v>19</v>
      </c>
      <c r="O24" s="5">
        <f>_xlfn.XLOOKUP(M24&amp;"-"&amp;N24,'Djøf Finance Workers'!D:D,'Djøf Finance Workers'!C:C,0,1)</f>
        <v>9571</v>
      </c>
      <c r="P24" s="5">
        <f>_xlfn.XLOOKUP(M24&amp;"-"&amp;N24,'Djøf Finance Hoppers'!D:D,'Djøf Finance Hoppers'!C:C,0,1)</f>
        <v>1902</v>
      </c>
      <c r="Q24" s="16">
        <f t="shared" si="1"/>
        <v>0.19872531605892801</v>
      </c>
    </row>
    <row r="25" spans="2:17" x14ac:dyDescent="0.35">
      <c r="B25" s="5">
        <v>47</v>
      </c>
      <c r="C25" s="5" t="str">
        <f t="shared" si="3"/>
        <v>45-49 år</v>
      </c>
      <c r="D25" s="16">
        <f t="shared" si="0"/>
        <v>0.19929479981866399</v>
      </c>
      <c r="E25" s="5" t="str">
        <f ca="1">IF(OR(JobHopping[[#This Row],[Age]]=25,JobHopping[[#This Row],[Age]]&gt;69),"N",IF(AND(E23="N",E24="N", RAND()&lt;=D25), "Y", "N"))</f>
        <v>N</v>
      </c>
      <c r="F25" s="5" t="s">
        <v>64</v>
      </c>
      <c r="G25" s="5" t="str">
        <f>IF(JobHopping[[#This Row],[Age]]&lt;40,"",JobHopping[[#This Row],[SwitchP1Static]])</f>
        <v>Y</v>
      </c>
      <c r="M25" s="5">
        <v>2015</v>
      </c>
      <c r="N25" s="5" t="s">
        <v>20</v>
      </c>
      <c r="O25" s="5">
        <f>_xlfn.XLOOKUP(M25&amp;"-"&amp;N25,'Djøf Finance Workers'!D:D,'Djøf Finance Workers'!C:C,0,1)</f>
        <v>11603</v>
      </c>
      <c r="P25" s="5">
        <f>_xlfn.XLOOKUP(M25&amp;"-"&amp;N25,'Djøf Finance Hoppers'!D:D,'Djøf Finance Hoppers'!C:C,0,1)</f>
        <v>2085</v>
      </c>
      <c r="Q25" s="16">
        <f t="shared" si="1"/>
        <v>0.17969490648970093</v>
      </c>
    </row>
    <row r="26" spans="2:17" x14ac:dyDescent="0.35">
      <c r="B26" s="5">
        <v>48</v>
      </c>
      <c r="C26" s="5" t="str">
        <f t="shared" si="3"/>
        <v>45-49 år</v>
      </c>
      <c r="D26" s="16">
        <f t="shared" si="0"/>
        <v>0.19929479981866399</v>
      </c>
      <c r="E26" s="5" t="str">
        <f ca="1">IF(OR(JobHopping[[#This Row],[Age]]=25,JobHopping[[#This Row],[Age]]&gt;69),"N",IF(AND(E24="N",E25="N", RAND()&lt;=D26), "Y", "N"))</f>
        <v>N</v>
      </c>
      <c r="F26" s="5" t="s">
        <v>0</v>
      </c>
      <c r="G26" s="5" t="str">
        <f>IF(JobHopping[[#This Row],[Age]]&lt;40,"",JobHopping[[#This Row],[SwitchP1Static]])</f>
        <v>N</v>
      </c>
      <c r="M26" s="5">
        <v>2015</v>
      </c>
      <c r="N26" s="5" t="s">
        <v>21</v>
      </c>
      <c r="O26" s="5">
        <f>_xlfn.XLOOKUP(M26&amp;"-"&amp;N26,'Djøf Finance Workers'!D:D,'Djøf Finance Workers'!C:C,0,1)</f>
        <v>11160</v>
      </c>
      <c r="P26" s="5">
        <f>_xlfn.XLOOKUP(M26&amp;"-"&amp;N26,'Djøf Finance Hoppers'!D:D,'Djøf Finance Hoppers'!C:C,0,1)</f>
        <v>1717</v>
      </c>
      <c r="Q26" s="16">
        <f t="shared" si="1"/>
        <v>0.15385304659498208</v>
      </c>
    </row>
    <row r="27" spans="2:17" x14ac:dyDescent="0.35">
      <c r="B27" s="5">
        <v>49</v>
      </c>
      <c r="C27" s="5" t="str">
        <f t="shared" si="3"/>
        <v>45-49 år</v>
      </c>
      <c r="D27" s="16">
        <f t="shared" si="0"/>
        <v>0.19929479981866399</v>
      </c>
      <c r="E27" s="5" t="str">
        <f ca="1">IF(OR(JobHopping[[#This Row],[Age]]=25,JobHopping[[#This Row],[Age]]&gt;69),"N",IF(AND(E25="N",E26="N", RAND()&lt;=D27), "Y", "N"))</f>
        <v>N</v>
      </c>
      <c r="F27" s="5" t="s">
        <v>0</v>
      </c>
      <c r="G27" s="5" t="str">
        <f>IF(JobHopping[[#This Row],[Age]]&lt;40,"",JobHopping[[#This Row],[SwitchP1Static]])</f>
        <v>N</v>
      </c>
      <c r="M27" s="5">
        <v>2015</v>
      </c>
      <c r="N27" s="5" t="s">
        <v>22</v>
      </c>
      <c r="O27" s="5">
        <f>_xlfn.XLOOKUP(M27&amp;"-"&amp;N27,'Djøf Finance Workers'!D:D,'Djøf Finance Workers'!C:C,0,1)</f>
        <v>8969</v>
      </c>
      <c r="P27" s="5">
        <f>_xlfn.XLOOKUP(M27&amp;"-"&amp;N27,'Djøf Finance Hoppers'!D:D,'Djøf Finance Hoppers'!C:C,0,1)</f>
        <v>1226</v>
      </c>
      <c r="Q27" s="16">
        <f t="shared" si="1"/>
        <v>0.13669305385215744</v>
      </c>
    </row>
    <row r="28" spans="2:17" x14ac:dyDescent="0.35">
      <c r="B28" s="5">
        <v>50</v>
      </c>
      <c r="C28" s="5" t="str">
        <f t="shared" si="3"/>
        <v>50-54 år</v>
      </c>
      <c r="D28" s="16">
        <f t="shared" si="0"/>
        <v>0.17668929185764676</v>
      </c>
      <c r="E28" s="5" t="str">
        <f ca="1">IF(OR(JobHopping[[#This Row],[Age]]=25,JobHopping[[#This Row],[Age]]&gt;69),"N",IF(AND(E26="N",E27="N", RAND()&lt;=D28), "Y", "N"))</f>
        <v>Y</v>
      </c>
      <c r="F28" s="5" t="s">
        <v>0</v>
      </c>
      <c r="G28" s="5" t="str">
        <f>IF(JobHopping[[#This Row],[Age]]&lt;40,"",JobHopping[[#This Row],[SwitchP1Static]])</f>
        <v>N</v>
      </c>
      <c r="M28" s="5">
        <v>2015</v>
      </c>
      <c r="N28" s="5" t="s">
        <v>23</v>
      </c>
      <c r="O28" s="5">
        <f>_xlfn.XLOOKUP(M28&amp;"-"&amp;N28,'Djøf Finance Workers'!D:D,'Djøf Finance Workers'!C:C,0,1)</f>
        <v>5167</v>
      </c>
      <c r="P28" s="5">
        <f>_xlfn.XLOOKUP(M28&amp;"-"&amp;N28,'Djøf Finance Hoppers'!D:D,'Djøf Finance Hoppers'!C:C,0,1)</f>
        <v>583</v>
      </c>
      <c r="Q28" s="16">
        <f t="shared" si="1"/>
        <v>0.11283143023030773</v>
      </c>
    </row>
    <row r="29" spans="2:17" x14ac:dyDescent="0.35">
      <c r="B29" s="5">
        <v>51</v>
      </c>
      <c r="C29" s="5" t="str">
        <f t="shared" si="3"/>
        <v>50-54 år</v>
      </c>
      <c r="D29" s="16">
        <f t="shared" si="0"/>
        <v>0.17668929185764676</v>
      </c>
      <c r="E29" s="5" t="str">
        <f ca="1">IF(OR(JobHopping[[#This Row],[Age]]=25,JobHopping[[#This Row],[Age]]&gt;69),"N",IF(AND(E27="N",E28="N", RAND()&lt;=D29), "Y", "N"))</f>
        <v>N</v>
      </c>
      <c r="F29" s="5" t="s">
        <v>0</v>
      </c>
      <c r="G29" s="5" t="str">
        <f>IF(JobHopping[[#This Row],[Age]]&lt;40,"",JobHopping[[#This Row],[SwitchP1Static]])</f>
        <v>N</v>
      </c>
      <c r="M29" s="5">
        <v>2015</v>
      </c>
      <c r="N29" s="5" t="s">
        <v>24</v>
      </c>
      <c r="O29" s="5">
        <f>_xlfn.XLOOKUP(M29&amp;"-"&amp;N29,'Djøf Finance Workers'!D:D,'Djøf Finance Workers'!C:C,0,1)</f>
        <v>1642</v>
      </c>
      <c r="P29" s="5">
        <f>_xlfn.XLOOKUP(M29&amp;"-"&amp;N29,'Djøf Finance Hoppers'!D:D,'Djøf Finance Hoppers'!C:C,0,1)</f>
        <v>211</v>
      </c>
      <c r="Q29" s="16">
        <f t="shared" si="1"/>
        <v>0.12850182704019489</v>
      </c>
    </row>
    <row r="30" spans="2:17" x14ac:dyDescent="0.35">
      <c r="B30" s="5">
        <v>52</v>
      </c>
      <c r="C30" s="5" t="str">
        <f t="shared" si="3"/>
        <v>50-54 år</v>
      </c>
      <c r="D30" s="16">
        <f t="shared" si="0"/>
        <v>0.17668929185764676</v>
      </c>
      <c r="E30" s="5" t="str">
        <f ca="1">IF(OR(JobHopping[[#This Row],[Age]]=25,JobHopping[[#This Row],[Age]]&gt;69),"N",IF(AND(E28="N",E29="N", RAND()&lt;=D30), "Y", "N"))</f>
        <v>N</v>
      </c>
      <c r="F30" s="5" t="s">
        <v>0</v>
      </c>
      <c r="G30" s="5" t="str">
        <f>IF(JobHopping[[#This Row],[Age]]&lt;40,"",JobHopping[[#This Row],[SwitchP1Static]])</f>
        <v>N</v>
      </c>
      <c r="M30" s="5">
        <v>2016</v>
      </c>
      <c r="N30" s="5" t="s">
        <v>16</v>
      </c>
      <c r="O30" s="5">
        <f>_xlfn.XLOOKUP(M30&amp;"-"&amp;N30,'Djøf Finance Workers'!D:D,'Djøf Finance Workers'!C:C,0,1)</f>
        <v>5701</v>
      </c>
      <c r="P30" s="5">
        <f>_xlfn.XLOOKUP(M30&amp;"-"&amp;N30,'Djøf Finance Hoppers'!D:D,'Djøf Finance Hoppers'!C:C,0,1)</f>
        <v>3005</v>
      </c>
      <c r="Q30" s="16">
        <f t="shared" si="1"/>
        <v>0.52710050868268721</v>
      </c>
    </row>
    <row r="31" spans="2:17" x14ac:dyDescent="0.35">
      <c r="B31" s="5">
        <v>53</v>
      </c>
      <c r="C31" s="5" t="str">
        <f t="shared" si="3"/>
        <v>50-54 år</v>
      </c>
      <c r="D31" s="16">
        <f t="shared" si="0"/>
        <v>0.17668929185764676</v>
      </c>
      <c r="E31" s="5" t="str">
        <f ca="1">IF(OR(JobHopping[[#This Row],[Age]]=25,JobHopping[[#This Row],[Age]]&gt;69),"N",IF(AND(E29="N",E30="N", RAND()&lt;=D31), "Y", "N"))</f>
        <v>Y</v>
      </c>
      <c r="F31" s="5" t="s">
        <v>0</v>
      </c>
      <c r="G31" s="5" t="str">
        <f>IF(JobHopping[[#This Row],[Age]]&lt;40,"",JobHopping[[#This Row],[SwitchP1Static]])</f>
        <v>N</v>
      </c>
      <c r="M31" s="5">
        <v>2016</v>
      </c>
      <c r="N31" s="5" t="s">
        <v>17</v>
      </c>
      <c r="O31" s="5">
        <f>_xlfn.XLOOKUP(M31&amp;"-"&amp;N31,'Djøf Finance Workers'!D:D,'Djøf Finance Workers'!C:C,0,1)</f>
        <v>7831</v>
      </c>
      <c r="P31" s="5">
        <f>_xlfn.XLOOKUP(M31&amp;"-"&amp;N31,'Djøf Finance Hoppers'!D:D,'Djøf Finance Hoppers'!C:C,0,1)</f>
        <v>2584</v>
      </c>
      <c r="Q31" s="16">
        <f t="shared" si="1"/>
        <v>0.32997062954922746</v>
      </c>
    </row>
    <row r="32" spans="2:17" x14ac:dyDescent="0.35">
      <c r="B32" s="5">
        <v>54</v>
      </c>
      <c r="C32" s="5" t="str">
        <f t="shared" si="3"/>
        <v>50-54 år</v>
      </c>
      <c r="D32" s="16">
        <f t="shared" si="0"/>
        <v>0.17668929185764676</v>
      </c>
      <c r="E32" s="5" t="str">
        <f ca="1">IF(OR(JobHopping[[#This Row],[Age]]=25,JobHopping[[#This Row],[Age]]&gt;69),"N",IF(AND(E30="N",E31="N", RAND()&lt;=D32), "Y", "N"))</f>
        <v>N</v>
      </c>
      <c r="F32" s="5" t="s">
        <v>0</v>
      </c>
      <c r="G32" s="5" t="str">
        <f>IF(JobHopping[[#This Row],[Age]]&lt;40,"",JobHopping[[#This Row],[SwitchP1Static]])</f>
        <v>N</v>
      </c>
      <c r="M32" s="5">
        <v>2016</v>
      </c>
      <c r="N32" s="5" t="s">
        <v>18</v>
      </c>
      <c r="O32" s="5">
        <f>_xlfn.XLOOKUP(M32&amp;"-"&amp;N32,'Djøf Finance Workers'!D:D,'Djøf Finance Workers'!C:C,0,1)</f>
        <v>9564</v>
      </c>
      <c r="P32" s="5">
        <f>_xlfn.XLOOKUP(M32&amp;"-"&amp;N32,'Djøf Finance Hoppers'!D:D,'Djøf Finance Hoppers'!C:C,0,1)</f>
        <v>2311</v>
      </c>
      <c r="Q32" s="16">
        <f t="shared" si="1"/>
        <v>0.24163529903805939</v>
      </c>
    </row>
    <row r="33" spans="2:17" x14ac:dyDescent="0.35">
      <c r="B33" s="5">
        <v>55</v>
      </c>
      <c r="C33" s="5" t="str">
        <f t="shared" si="3"/>
        <v>55-59 år</v>
      </c>
      <c r="D33" s="16">
        <f t="shared" si="0"/>
        <v>0.15515674597479437</v>
      </c>
      <c r="E33" s="5" t="str">
        <f ca="1">IF(OR(JobHopping[[#This Row],[Age]]=25,JobHopping[[#This Row],[Age]]&gt;69),"N",IF(AND(E31="N",E32="N", RAND()&lt;=D33), "Y", "N"))</f>
        <v>N</v>
      </c>
      <c r="F33" s="5" t="s">
        <v>0</v>
      </c>
      <c r="G33" s="5" t="str">
        <f>IF(JobHopping[[#This Row],[Age]]&lt;40,"",JobHopping[[#This Row],[SwitchP1Static]])</f>
        <v>N</v>
      </c>
      <c r="M33" s="5">
        <v>2016</v>
      </c>
      <c r="N33" s="5" t="s">
        <v>19</v>
      </c>
      <c r="O33" s="5">
        <f>_xlfn.XLOOKUP(M33&amp;"-"&amp;N33,'Djøf Finance Workers'!D:D,'Djøf Finance Workers'!C:C,0,1)</f>
        <v>9711</v>
      </c>
      <c r="P33" s="5">
        <f>_xlfn.XLOOKUP(M33&amp;"-"&amp;N33,'Djøf Finance Hoppers'!D:D,'Djøf Finance Hoppers'!C:C,0,1)</f>
        <v>2111</v>
      </c>
      <c r="Q33" s="16">
        <f t="shared" si="1"/>
        <v>0.21738234991247041</v>
      </c>
    </row>
    <row r="34" spans="2:17" x14ac:dyDescent="0.35">
      <c r="B34" s="5">
        <v>56</v>
      </c>
      <c r="C34" s="5" t="str">
        <f t="shared" si="3"/>
        <v>55-59 år</v>
      </c>
      <c r="D34" s="16">
        <f t="shared" si="0"/>
        <v>0.15515674597479437</v>
      </c>
      <c r="E34" s="5" t="str">
        <f ca="1">IF(OR(JobHopping[[#This Row],[Age]]=25,JobHopping[[#This Row],[Age]]&gt;69),"N",IF(AND(E32="N",E33="N", RAND()&lt;=D34), "Y", "N"))</f>
        <v>N</v>
      </c>
      <c r="F34" s="5" t="s">
        <v>0</v>
      </c>
      <c r="G34" s="5" t="str">
        <f>IF(JobHopping[[#This Row],[Age]]&lt;40,"",JobHopping[[#This Row],[SwitchP1Static]])</f>
        <v>N</v>
      </c>
      <c r="M34" s="5">
        <v>2016</v>
      </c>
      <c r="N34" s="5" t="s">
        <v>20</v>
      </c>
      <c r="O34" s="5">
        <f>_xlfn.XLOOKUP(M34&amp;"-"&amp;N34,'Djøf Finance Workers'!D:D,'Djøf Finance Workers'!C:C,0,1)</f>
        <v>10533</v>
      </c>
      <c r="P34" s="5">
        <f>_xlfn.XLOOKUP(M34&amp;"-"&amp;N34,'Djøf Finance Hoppers'!D:D,'Djøf Finance Hoppers'!C:C,0,1)</f>
        <v>2000</v>
      </c>
      <c r="Q34" s="16">
        <f t="shared" si="1"/>
        <v>0.18987942656413179</v>
      </c>
    </row>
    <row r="35" spans="2:17" x14ac:dyDescent="0.35">
      <c r="B35" s="5">
        <v>57</v>
      </c>
      <c r="C35" s="5" t="str">
        <f t="shared" si="3"/>
        <v>55-59 år</v>
      </c>
      <c r="D35" s="16">
        <f t="shared" ref="D35:D66" si="4">_xlfn.XLOOKUP(C35,S:S,T:T)</f>
        <v>0.15515674597479437</v>
      </c>
      <c r="E35" s="5" t="str">
        <f ca="1">IF(OR(JobHopping[[#This Row],[Age]]=25,JobHopping[[#This Row],[Age]]&gt;69),"N",IF(AND(E33="N",E34="N", RAND()&lt;=D35), "Y", "N"))</f>
        <v>N</v>
      </c>
      <c r="F35" s="5" t="s">
        <v>0</v>
      </c>
      <c r="G35" s="5" t="str">
        <f>IF(JobHopping[[#This Row],[Age]]&lt;40,"",JobHopping[[#This Row],[SwitchP1Static]])</f>
        <v>N</v>
      </c>
      <c r="M35" s="5">
        <v>2016</v>
      </c>
      <c r="N35" s="5" t="s">
        <v>21</v>
      </c>
      <c r="O35" s="5">
        <f>_xlfn.XLOOKUP(M35&amp;"-"&amp;N35,'Djøf Finance Workers'!D:D,'Djøf Finance Workers'!C:C,0,1)</f>
        <v>11490</v>
      </c>
      <c r="P35" s="5">
        <f>_xlfn.XLOOKUP(M35&amp;"-"&amp;N35,'Djøf Finance Hoppers'!D:D,'Djøf Finance Hoppers'!C:C,0,1)</f>
        <v>1808</v>
      </c>
      <c r="Q35" s="16">
        <f t="shared" si="1"/>
        <v>0.15735422106179286</v>
      </c>
    </row>
    <row r="36" spans="2:17" x14ac:dyDescent="0.35">
      <c r="B36" s="5">
        <v>58</v>
      </c>
      <c r="C36" s="5" t="str">
        <f t="shared" si="3"/>
        <v>55-59 år</v>
      </c>
      <c r="D36" s="16">
        <f t="shared" si="4"/>
        <v>0.15515674597479437</v>
      </c>
      <c r="E36" s="5" t="str">
        <f ca="1">IF(OR(JobHopping[[#This Row],[Age]]=25,JobHopping[[#This Row],[Age]]&gt;69),"N",IF(AND(E34="N",E35="N", RAND()&lt;=D36), "Y", "N"))</f>
        <v>N</v>
      </c>
      <c r="F36" s="5" t="s">
        <v>0</v>
      </c>
      <c r="G36" s="5" t="str">
        <f>IF(JobHopping[[#This Row],[Age]]&lt;40,"",JobHopping[[#This Row],[SwitchP1Static]])</f>
        <v>N</v>
      </c>
      <c r="M36" s="5">
        <v>2016</v>
      </c>
      <c r="N36" s="5" t="s">
        <v>22</v>
      </c>
      <c r="O36" s="5">
        <f>_xlfn.XLOOKUP(M36&amp;"-"&amp;N36,'Djøf Finance Workers'!D:D,'Djøf Finance Workers'!C:C,0,1)</f>
        <v>9121</v>
      </c>
      <c r="P36" s="5">
        <f>_xlfn.XLOOKUP(M36&amp;"-"&amp;N36,'Djøf Finance Hoppers'!D:D,'Djøf Finance Hoppers'!C:C,0,1)</f>
        <v>1301</v>
      </c>
      <c r="Q36" s="16">
        <f t="shared" si="1"/>
        <v>0.14263786865475278</v>
      </c>
    </row>
    <row r="37" spans="2:17" x14ac:dyDescent="0.35">
      <c r="B37" s="5">
        <v>59</v>
      </c>
      <c r="C37" s="5" t="str">
        <f t="shared" si="3"/>
        <v>55-59 år</v>
      </c>
      <c r="D37" s="16">
        <f t="shared" si="4"/>
        <v>0.15515674597479437</v>
      </c>
      <c r="E37" s="5" t="str">
        <f ca="1">IF(OR(JobHopping[[#This Row],[Age]]=25,JobHopping[[#This Row],[Age]]&gt;69),"N",IF(AND(E35="N",E36="N", RAND()&lt;=D37), "Y", "N"))</f>
        <v>N</v>
      </c>
      <c r="F37" s="5" t="s">
        <v>0</v>
      </c>
      <c r="G37" s="5" t="str">
        <f>IF(JobHopping[[#This Row],[Age]]&lt;40,"",JobHopping[[#This Row],[SwitchP1Static]])</f>
        <v>N</v>
      </c>
      <c r="M37" s="5">
        <v>2016</v>
      </c>
      <c r="N37" s="5" t="s">
        <v>23</v>
      </c>
      <c r="O37" s="5">
        <f>_xlfn.XLOOKUP(M37&amp;"-"&amp;N37,'Djøf Finance Workers'!D:D,'Djøf Finance Workers'!C:C,0,1)</f>
        <v>5304</v>
      </c>
      <c r="P37" s="5">
        <f>_xlfn.XLOOKUP(M37&amp;"-"&amp;N37,'Djøf Finance Hoppers'!D:D,'Djøf Finance Hoppers'!C:C,0,1)</f>
        <v>708</v>
      </c>
      <c r="Q37" s="16">
        <f t="shared" si="1"/>
        <v>0.1334841628959276</v>
      </c>
    </row>
    <row r="38" spans="2:17" x14ac:dyDescent="0.35">
      <c r="B38" s="5">
        <v>60</v>
      </c>
      <c r="C38" s="5" t="str">
        <f t="shared" si="3"/>
        <v>60-64 år</v>
      </c>
      <c r="D38" s="16">
        <f t="shared" si="4"/>
        <v>0.13997311637990331</v>
      </c>
      <c r="E38" s="5" t="str">
        <f ca="1">IF(OR(JobHopping[[#This Row],[Age]]=25,JobHopping[[#This Row],[Age]]&gt;69),"N",IF(AND(E36="N",E37="N", RAND()&lt;=D38), "Y", "N"))</f>
        <v>Y</v>
      </c>
      <c r="F38" s="5" t="s">
        <v>64</v>
      </c>
      <c r="G38" s="5" t="str">
        <f>IF(JobHopping[[#This Row],[Age]]&lt;40,"",JobHopping[[#This Row],[SwitchP1Static]])</f>
        <v>Y</v>
      </c>
      <c r="M38" s="5">
        <v>2016</v>
      </c>
      <c r="N38" s="5" t="s">
        <v>24</v>
      </c>
      <c r="O38" s="5">
        <f>_xlfn.XLOOKUP(M38&amp;"-"&amp;N38,'Djøf Finance Workers'!D:D,'Djøf Finance Workers'!C:C,0,1)</f>
        <v>1680</v>
      </c>
      <c r="P38" s="5">
        <f>_xlfn.XLOOKUP(M38&amp;"-"&amp;N38,'Djøf Finance Hoppers'!D:D,'Djøf Finance Hoppers'!C:C,0,1)</f>
        <v>183</v>
      </c>
      <c r="Q38" s="16">
        <f t="shared" si="1"/>
        <v>0.10892857142857143</v>
      </c>
    </row>
    <row r="39" spans="2:17" x14ac:dyDescent="0.35">
      <c r="B39" s="5">
        <v>61</v>
      </c>
      <c r="C39" s="5" t="str">
        <f t="shared" si="3"/>
        <v>60-64 år</v>
      </c>
      <c r="D39" s="16">
        <f t="shared" si="4"/>
        <v>0.13997311637990331</v>
      </c>
      <c r="E39" s="5" t="str">
        <f ca="1">IF(OR(JobHopping[[#This Row],[Age]]=25,JobHopping[[#This Row],[Age]]&gt;69),"N",IF(AND(E37="N",E38="N", RAND()&lt;=D39), "Y", "N"))</f>
        <v>N</v>
      </c>
      <c r="F39" s="5" t="s">
        <v>0</v>
      </c>
      <c r="G39" s="5" t="str">
        <f>IF(JobHopping[[#This Row],[Age]]&lt;40,"",JobHopping[[#This Row],[SwitchP1Static]])</f>
        <v>N</v>
      </c>
      <c r="M39" s="5">
        <v>2017</v>
      </c>
      <c r="N39" s="5" t="s">
        <v>16</v>
      </c>
      <c r="O39" s="5">
        <f>_xlfn.XLOOKUP(M39&amp;"-"&amp;N39,'Djøf Finance Workers'!D:D,'Djøf Finance Workers'!C:C,0,1)</f>
        <v>5951</v>
      </c>
      <c r="P39" s="5">
        <f>_xlfn.XLOOKUP(M39&amp;"-"&amp;N39,'Djøf Finance Hoppers'!D:D,'Djøf Finance Hoppers'!C:C,0,1)</f>
        <v>3106</v>
      </c>
      <c r="Q39" s="16">
        <f t="shared" si="1"/>
        <v>0.52192908754831124</v>
      </c>
    </row>
    <row r="40" spans="2:17" x14ac:dyDescent="0.35">
      <c r="B40" s="5">
        <v>62</v>
      </c>
      <c r="C40" s="5" t="str">
        <f t="shared" si="3"/>
        <v>60-64 år</v>
      </c>
      <c r="D40" s="16">
        <f t="shared" si="4"/>
        <v>0.13997311637990331</v>
      </c>
      <c r="E40" s="5" t="str">
        <f ca="1">IF(OR(JobHopping[[#This Row],[Age]]=25,JobHopping[[#This Row],[Age]]&gt;69),"N",IF(AND(E38="N",E39="N", RAND()&lt;=D40), "Y", "N"))</f>
        <v>N</v>
      </c>
      <c r="F40" s="5" t="s">
        <v>0</v>
      </c>
      <c r="G40" s="5" t="str">
        <f>IF(JobHopping[[#This Row],[Age]]&lt;40,"",JobHopping[[#This Row],[SwitchP1Static]])</f>
        <v>N</v>
      </c>
      <c r="M40" s="5">
        <v>2017</v>
      </c>
      <c r="N40" s="5" t="s">
        <v>17</v>
      </c>
      <c r="O40" s="5">
        <f>_xlfn.XLOOKUP(M40&amp;"-"&amp;N40,'Djøf Finance Workers'!D:D,'Djøf Finance Workers'!C:C,0,1)</f>
        <v>8016</v>
      </c>
      <c r="P40" s="5">
        <f>_xlfn.XLOOKUP(M40&amp;"-"&amp;N40,'Djøf Finance Hoppers'!D:D,'Djøf Finance Hoppers'!C:C,0,1)</f>
        <v>2692</v>
      </c>
      <c r="Q40" s="16">
        <f t="shared" si="1"/>
        <v>0.33582834331337325</v>
      </c>
    </row>
    <row r="41" spans="2:17" x14ac:dyDescent="0.35">
      <c r="B41" s="5">
        <v>63</v>
      </c>
      <c r="C41" s="5" t="str">
        <f t="shared" si="3"/>
        <v>60-64 år</v>
      </c>
      <c r="D41" s="16">
        <f t="shared" si="4"/>
        <v>0.13997311637990331</v>
      </c>
      <c r="E41" s="5" t="str">
        <f ca="1">IF(OR(JobHopping[[#This Row],[Age]]=25,JobHopping[[#This Row],[Age]]&gt;69),"N",IF(AND(E39="N",E40="N", RAND()&lt;=D41), "Y", "N"))</f>
        <v>N</v>
      </c>
      <c r="F41" s="5" t="s">
        <v>0</v>
      </c>
      <c r="G41" s="5" t="str">
        <f>IF(JobHopping[[#This Row],[Age]]&lt;40,"",JobHopping[[#This Row],[SwitchP1Static]])</f>
        <v>N</v>
      </c>
      <c r="M41" s="5">
        <v>2017</v>
      </c>
      <c r="N41" s="5" t="s">
        <v>18</v>
      </c>
      <c r="O41" s="5">
        <f>_xlfn.XLOOKUP(M41&amp;"-"&amp;N41,'Djøf Finance Workers'!D:D,'Djøf Finance Workers'!C:C,0,1)</f>
        <v>9344</v>
      </c>
      <c r="P41" s="5">
        <f>_xlfn.XLOOKUP(M41&amp;"-"&amp;N41,'Djøf Finance Hoppers'!D:D,'Djøf Finance Hoppers'!C:C,0,1)</f>
        <v>2452</v>
      </c>
      <c r="Q41" s="16">
        <f t="shared" si="1"/>
        <v>0.26241438356164382</v>
      </c>
    </row>
    <row r="42" spans="2:17" x14ac:dyDescent="0.35">
      <c r="B42" s="5">
        <v>64</v>
      </c>
      <c r="C42" s="5" t="str">
        <f t="shared" si="3"/>
        <v>60-64 år</v>
      </c>
      <c r="D42" s="16">
        <f t="shared" si="4"/>
        <v>0.13997311637990331</v>
      </c>
      <c r="E42" s="5" t="str">
        <f ca="1">IF(OR(JobHopping[[#This Row],[Age]]=25,JobHopping[[#This Row],[Age]]&gt;69),"N",IF(AND(E40="N",E41="N", RAND()&lt;=D42), "Y", "N"))</f>
        <v>N</v>
      </c>
      <c r="F42" s="5" t="s">
        <v>0</v>
      </c>
      <c r="G42" s="5" t="str">
        <f>IF(JobHopping[[#This Row],[Age]]&lt;40,"",JobHopping[[#This Row],[SwitchP1Static]])</f>
        <v>N</v>
      </c>
      <c r="M42" s="5">
        <v>2017</v>
      </c>
      <c r="N42" s="5" t="s">
        <v>19</v>
      </c>
      <c r="O42" s="5">
        <f>_xlfn.XLOOKUP(M42&amp;"-"&amp;N42,'Djøf Finance Workers'!D:D,'Djøf Finance Workers'!C:C,0,1)</f>
        <v>9699</v>
      </c>
      <c r="P42" s="5">
        <f>_xlfn.XLOOKUP(M42&amp;"-"&amp;N42,'Djøf Finance Hoppers'!D:D,'Djøf Finance Hoppers'!C:C,0,1)</f>
        <v>2105</v>
      </c>
      <c r="Q42" s="16">
        <f t="shared" si="1"/>
        <v>0.21703268378183319</v>
      </c>
    </row>
    <row r="43" spans="2:17" x14ac:dyDescent="0.35">
      <c r="B43" s="5">
        <v>65</v>
      </c>
      <c r="C43" s="5" t="str">
        <f t="shared" si="3"/>
        <v>65+ år</v>
      </c>
      <c r="D43" s="16">
        <f t="shared" si="4"/>
        <v>0.11691873000664299</v>
      </c>
      <c r="E43" s="5" t="str">
        <f ca="1">IF(OR(JobHopping[[#This Row],[Age]]=25,JobHopping[[#This Row],[Age]]&gt;69),"N",IF(AND(E41="N",E42="N", RAND()&lt;=D43), "Y", "N"))</f>
        <v>N</v>
      </c>
      <c r="F43" s="5" t="s">
        <v>0</v>
      </c>
      <c r="G43" s="5" t="str">
        <f>IF(JobHopping[[#This Row],[Age]]&lt;40,"",JobHopping[[#This Row],[SwitchP1Static]])</f>
        <v>N</v>
      </c>
      <c r="M43" s="5">
        <v>2017</v>
      </c>
      <c r="N43" s="5" t="s">
        <v>20</v>
      </c>
      <c r="O43" s="5">
        <f>_xlfn.XLOOKUP(M43&amp;"-"&amp;N43,'Djøf Finance Workers'!D:D,'Djøf Finance Workers'!C:C,0,1)</f>
        <v>9778</v>
      </c>
      <c r="P43" s="5">
        <f>_xlfn.XLOOKUP(M43&amp;"-"&amp;N43,'Djøf Finance Hoppers'!D:D,'Djøf Finance Hoppers'!C:C,0,1)</f>
        <v>1892</v>
      </c>
      <c r="Q43" s="16">
        <f t="shared" si="1"/>
        <v>0.19349560237267335</v>
      </c>
    </row>
    <row r="44" spans="2:17" x14ac:dyDescent="0.35">
      <c r="B44" s="5">
        <v>66</v>
      </c>
      <c r="C44" s="5" t="str">
        <f t="shared" si="3"/>
        <v>65+ år</v>
      </c>
      <c r="D44" s="16">
        <f t="shared" si="4"/>
        <v>0.11691873000664299</v>
      </c>
      <c r="E44" s="5" t="str">
        <f ca="1">IF(OR(JobHopping[[#This Row],[Age]]=25,JobHopping[[#This Row],[Age]]&gt;69),"N",IF(AND(E42="N",E43="N", RAND()&lt;=D44), "Y", "N"))</f>
        <v>N</v>
      </c>
      <c r="F44" s="5" t="s">
        <v>0</v>
      </c>
      <c r="G44" s="5" t="str">
        <f>IF(JobHopping[[#This Row],[Age]]&lt;40,"",JobHopping[[#This Row],[SwitchP1Static]])</f>
        <v>N</v>
      </c>
      <c r="M44" s="5">
        <v>2017</v>
      </c>
      <c r="N44" s="5" t="s">
        <v>21</v>
      </c>
      <c r="O44" s="5">
        <f>_xlfn.XLOOKUP(M44&amp;"-"&amp;N44,'Djøf Finance Workers'!D:D,'Djøf Finance Workers'!C:C,0,1)</f>
        <v>11940</v>
      </c>
      <c r="P44" s="5">
        <f>_xlfn.XLOOKUP(M44&amp;"-"&amp;N44,'Djøf Finance Hoppers'!D:D,'Djøf Finance Hoppers'!C:C,0,1)</f>
        <v>2042</v>
      </c>
      <c r="Q44" s="16">
        <f t="shared" si="1"/>
        <v>0.1710217755443886</v>
      </c>
    </row>
    <row r="45" spans="2:17" x14ac:dyDescent="0.35">
      <c r="B45" s="5">
        <v>67</v>
      </c>
      <c r="C45" s="5" t="str">
        <f t="shared" si="3"/>
        <v>65+ år</v>
      </c>
      <c r="D45" s="16">
        <f t="shared" si="4"/>
        <v>0.11691873000664299</v>
      </c>
      <c r="E45" s="5" t="str">
        <f ca="1">IF(OR(JobHopping[[#This Row],[Age]]=25,JobHopping[[#This Row],[Age]]&gt;69),"N",IF(AND(E43="N",E44="N", RAND()&lt;=D45), "Y", "N"))</f>
        <v>N</v>
      </c>
      <c r="F45" s="5" t="s">
        <v>0</v>
      </c>
      <c r="G45" s="5" t="str">
        <f>IF(JobHopping[[#This Row],[Age]]&lt;40,"",JobHopping[[#This Row],[SwitchP1Static]])</f>
        <v>N</v>
      </c>
      <c r="M45" s="5">
        <v>2017</v>
      </c>
      <c r="N45" s="5" t="s">
        <v>22</v>
      </c>
      <c r="O45" s="5">
        <f>_xlfn.XLOOKUP(M45&amp;"-"&amp;N45,'Djøf Finance Workers'!D:D,'Djøf Finance Workers'!C:C,0,1)</f>
        <v>9231</v>
      </c>
      <c r="P45" s="5">
        <f>_xlfn.XLOOKUP(M45&amp;"-"&amp;N45,'Djøf Finance Hoppers'!D:D,'Djøf Finance Hoppers'!C:C,0,1)</f>
        <v>1410</v>
      </c>
      <c r="Q45" s="16">
        <f t="shared" si="1"/>
        <v>0.15274618134546636</v>
      </c>
    </row>
    <row r="46" spans="2:17" x14ac:dyDescent="0.35">
      <c r="B46" s="5">
        <v>68</v>
      </c>
      <c r="C46" s="5" t="str">
        <f t="shared" si="3"/>
        <v>65+ år</v>
      </c>
      <c r="D46" s="16">
        <f t="shared" si="4"/>
        <v>0.11691873000664299</v>
      </c>
      <c r="E46" s="5" t="str">
        <f ca="1">IF(OR(JobHopping[[#This Row],[Age]]=25,JobHopping[[#This Row],[Age]]&gt;69),"N",IF(AND(E44="N",E45="N", RAND()&lt;=D46), "Y", "N"))</f>
        <v>N</v>
      </c>
      <c r="F46" s="5" t="s">
        <v>0</v>
      </c>
      <c r="G46" s="5" t="str">
        <f>IF(JobHopping[[#This Row],[Age]]&lt;40,"",JobHopping[[#This Row],[SwitchP1Static]])</f>
        <v>N</v>
      </c>
      <c r="M46" s="5">
        <v>2017</v>
      </c>
      <c r="N46" s="5" t="s">
        <v>23</v>
      </c>
      <c r="O46" s="5">
        <f>_xlfn.XLOOKUP(M46&amp;"-"&amp;N46,'Djøf Finance Workers'!D:D,'Djøf Finance Workers'!C:C,0,1)</f>
        <v>5403</v>
      </c>
      <c r="P46" s="5">
        <f>_xlfn.XLOOKUP(M46&amp;"-"&amp;N46,'Djøf Finance Hoppers'!D:D,'Djøf Finance Hoppers'!C:C,0,1)</f>
        <v>757</v>
      </c>
      <c r="Q46" s="16">
        <f t="shared" si="1"/>
        <v>0.14010734776975753</v>
      </c>
    </row>
    <row r="47" spans="2:17" x14ac:dyDescent="0.35">
      <c r="B47" s="5">
        <v>69</v>
      </c>
      <c r="C47" s="5" t="str">
        <f t="shared" si="3"/>
        <v>65+ år</v>
      </c>
      <c r="D47" s="16">
        <f t="shared" si="4"/>
        <v>0.11691873000664299</v>
      </c>
      <c r="E47" s="5" t="str">
        <f ca="1">IF(OR(JobHopping[[#This Row],[Age]]=25,JobHopping[[#This Row],[Age]]&gt;69),"N",IF(AND(E45="N",E46="N", RAND()&lt;=D47), "Y", "N"))</f>
        <v>N</v>
      </c>
      <c r="F47" s="5" t="s">
        <v>0</v>
      </c>
      <c r="G47" s="5" t="str">
        <f>IF(JobHopping[[#This Row],[Age]]&lt;40,"",JobHopping[[#This Row],[SwitchP1Static]])</f>
        <v>N</v>
      </c>
      <c r="M47" s="5">
        <v>2017</v>
      </c>
      <c r="N47" s="5" t="s">
        <v>24</v>
      </c>
      <c r="O47" s="5">
        <f>_xlfn.XLOOKUP(M47&amp;"-"&amp;N47,'Djøf Finance Workers'!D:D,'Djøf Finance Workers'!C:C,0,1)</f>
        <v>1775</v>
      </c>
      <c r="P47" s="5">
        <f>_xlfn.XLOOKUP(M47&amp;"-"&amp;N47,'Djøf Finance Hoppers'!D:D,'Djøf Finance Hoppers'!C:C,0,1)</f>
        <v>194</v>
      </c>
      <c r="Q47" s="16">
        <f t="shared" si="1"/>
        <v>0.10929577464788733</v>
      </c>
    </row>
    <row r="48" spans="2:17" x14ac:dyDescent="0.35">
      <c r="B48" s="5">
        <v>70</v>
      </c>
      <c r="C48" s="5" t="str">
        <f t="shared" si="3"/>
        <v>65+ år</v>
      </c>
      <c r="D48" s="16">
        <f t="shared" si="4"/>
        <v>0.11691873000664299</v>
      </c>
      <c r="E48" s="5" t="str">
        <f ca="1">IF(OR(JobHopping[[#This Row],[Age]]=25,JobHopping[[#This Row],[Age]]&gt;69),"N",IF(AND(E46="N",E47="N", RAND()&lt;=D48), "Y", "N"))</f>
        <v>N</v>
      </c>
      <c r="F48" s="5" t="s">
        <v>0</v>
      </c>
      <c r="G48" s="5" t="str">
        <f>IF(JobHopping[[#This Row],[Age]]&lt;40,"",JobHopping[[#This Row],[SwitchP1Static]])</f>
        <v>N</v>
      </c>
      <c r="M48" s="5">
        <v>2018</v>
      </c>
      <c r="N48" s="5" t="s">
        <v>16</v>
      </c>
      <c r="O48" s="5">
        <f>_xlfn.XLOOKUP(M48&amp;"-"&amp;N48,'Djøf Finance Workers'!D:D,'Djøf Finance Workers'!C:C,0,1)</f>
        <v>6353</v>
      </c>
      <c r="P48" s="5">
        <f>_xlfn.XLOOKUP(M48&amp;"-"&amp;N48,'Djøf Finance Hoppers'!D:D,'Djøf Finance Hoppers'!C:C,0,1)</f>
        <v>3149</v>
      </c>
      <c r="Q48" s="16">
        <f t="shared" si="1"/>
        <v>0.49567133637651506</v>
      </c>
    </row>
    <row r="49" spans="2:17" x14ac:dyDescent="0.35">
      <c r="B49" s="5">
        <v>71</v>
      </c>
      <c r="C49" s="5" t="str">
        <f t="shared" ref="C49:C54" si="5">IF(B49&lt;30, "25-29 år", IF(B49&lt;35, "30-34 år", IF(B49&lt;40, "35-39 år", IF(B49&lt;45, "40-44 år", IF(B49&lt;50, "45-49 år", IF(B49&lt;55, "50-54 år", IF(B49&lt;60, "55-59 år", IF(B49&lt;65, "60-64 år", "65+ år"))))))))</f>
        <v>65+ år</v>
      </c>
      <c r="D49" s="16">
        <f t="shared" si="4"/>
        <v>0.11691873000664299</v>
      </c>
      <c r="E49" s="5" t="str">
        <f ca="1">IF(OR(JobHopping[[#This Row],[Age]]=25,JobHopping[[#This Row],[Age]]&gt;69),"N",IF(AND(E47="N",E48="N", RAND()&lt;=D49), "Y", "N"))</f>
        <v>N</v>
      </c>
      <c r="F49" s="5" t="s">
        <v>0</v>
      </c>
      <c r="G49" s="5" t="str">
        <f>IF(JobHopping[[#This Row],[Age]]&lt;40,"",JobHopping[[#This Row],[SwitchP1Static]])</f>
        <v>N</v>
      </c>
      <c r="M49" s="5">
        <v>2018</v>
      </c>
      <c r="N49" s="5" t="s">
        <v>17</v>
      </c>
      <c r="O49" s="5">
        <f>_xlfn.XLOOKUP(M49&amp;"-"&amp;N49,'Djøf Finance Workers'!D:D,'Djøf Finance Workers'!C:C,0,1)</f>
        <v>8276</v>
      </c>
      <c r="P49" s="5">
        <f>_xlfn.XLOOKUP(M49&amp;"-"&amp;N49,'Djøf Finance Hoppers'!D:D,'Djøf Finance Hoppers'!C:C,0,1)</f>
        <v>2658</v>
      </c>
      <c r="Q49" s="16">
        <f t="shared" si="1"/>
        <v>0.32116964717254715</v>
      </c>
    </row>
    <row r="50" spans="2:17" x14ac:dyDescent="0.35">
      <c r="B50" s="5">
        <v>72</v>
      </c>
      <c r="C50" s="5" t="str">
        <f t="shared" si="5"/>
        <v>65+ år</v>
      </c>
      <c r="D50" s="16">
        <f t="shared" si="4"/>
        <v>0.11691873000664299</v>
      </c>
      <c r="E50" s="5" t="str">
        <f ca="1">IF(OR(JobHopping[[#This Row],[Age]]=25,JobHopping[[#This Row],[Age]]&gt;69),"N",IF(AND(E48="N",E49="N", RAND()&lt;=D50), "Y", "N"))</f>
        <v>N</v>
      </c>
      <c r="F50" s="5" t="s">
        <v>0</v>
      </c>
      <c r="G50" s="5" t="str">
        <f>IF(JobHopping[[#This Row],[Age]]&lt;40,"",JobHopping[[#This Row],[SwitchP1Static]])</f>
        <v>N</v>
      </c>
      <c r="M50" s="5">
        <v>2018</v>
      </c>
      <c r="N50" s="5" t="s">
        <v>18</v>
      </c>
      <c r="O50" s="5">
        <f>_xlfn.XLOOKUP(M50&amp;"-"&amp;N50,'Djøf Finance Workers'!D:D,'Djøf Finance Workers'!C:C,0,1)</f>
        <v>9245</v>
      </c>
      <c r="P50" s="5">
        <f>_xlfn.XLOOKUP(M50&amp;"-"&amp;N50,'Djøf Finance Hoppers'!D:D,'Djøf Finance Hoppers'!C:C,0,1)</f>
        <v>2333</v>
      </c>
      <c r="Q50" s="16">
        <f t="shared" si="1"/>
        <v>0.25235262303948081</v>
      </c>
    </row>
    <row r="51" spans="2:17" x14ac:dyDescent="0.35">
      <c r="B51" s="5">
        <v>73</v>
      </c>
      <c r="C51" s="5" t="str">
        <f t="shared" si="5"/>
        <v>65+ år</v>
      </c>
      <c r="D51" s="16">
        <f t="shared" si="4"/>
        <v>0.11691873000664299</v>
      </c>
      <c r="E51" s="5" t="str">
        <f ca="1">IF(OR(JobHopping[[#This Row],[Age]]=25,JobHopping[[#This Row],[Age]]&gt;69),"N",IF(AND(E49="N",E50="N", RAND()&lt;=D51), "Y", "N"))</f>
        <v>N</v>
      </c>
      <c r="F51" s="5" t="s">
        <v>0</v>
      </c>
      <c r="G51" s="5" t="str">
        <f>IF(JobHopping[[#This Row],[Age]]&lt;40,"",JobHopping[[#This Row],[SwitchP1Static]])</f>
        <v>N</v>
      </c>
      <c r="M51" s="5">
        <v>2018</v>
      </c>
      <c r="N51" s="5" t="s">
        <v>19</v>
      </c>
      <c r="O51" s="5">
        <f>_xlfn.XLOOKUP(M51&amp;"-"&amp;N51,'Djøf Finance Workers'!D:D,'Djøf Finance Workers'!C:C,0,1)</f>
        <v>9937</v>
      </c>
      <c r="P51" s="5">
        <f>_xlfn.XLOOKUP(M51&amp;"-"&amp;N51,'Djøf Finance Hoppers'!D:D,'Djøf Finance Hoppers'!C:C,0,1)</f>
        <v>2068</v>
      </c>
      <c r="Q51" s="16">
        <f t="shared" si="1"/>
        <v>0.2081110999295562</v>
      </c>
    </row>
    <row r="52" spans="2:17" x14ac:dyDescent="0.35">
      <c r="B52" s="5">
        <v>74</v>
      </c>
      <c r="C52" s="5" t="str">
        <f t="shared" si="5"/>
        <v>65+ år</v>
      </c>
      <c r="D52" s="16">
        <f t="shared" si="4"/>
        <v>0.11691873000664299</v>
      </c>
      <c r="E52" s="5" t="str">
        <f ca="1">IF(OR(JobHopping[[#This Row],[Age]]=25,JobHopping[[#This Row],[Age]]&gt;69),"N",IF(AND(E50="N",E51="N", RAND()&lt;=D52), "Y", "N"))</f>
        <v>N</v>
      </c>
      <c r="F52" s="5" t="s">
        <v>0</v>
      </c>
      <c r="G52" s="5" t="str">
        <f>IF(JobHopping[[#This Row],[Age]]&lt;40,"",JobHopping[[#This Row],[SwitchP1Static]])</f>
        <v>N</v>
      </c>
      <c r="M52" s="5">
        <v>2018</v>
      </c>
      <c r="N52" s="5" t="s">
        <v>20</v>
      </c>
      <c r="O52" s="5">
        <f>_xlfn.XLOOKUP(M52&amp;"-"&amp;N52,'Djøf Finance Workers'!D:D,'Djøf Finance Workers'!C:C,0,1)</f>
        <v>9488</v>
      </c>
      <c r="P52" s="5">
        <f>_xlfn.XLOOKUP(M52&amp;"-"&amp;N52,'Djøf Finance Hoppers'!D:D,'Djøf Finance Hoppers'!C:C,0,1)</f>
        <v>1770</v>
      </c>
      <c r="Q52" s="16">
        <f t="shared" si="1"/>
        <v>0.18655143338954469</v>
      </c>
    </row>
    <row r="53" spans="2:17" x14ac:dyDescent="0.35">
      <c r="B53" s="5">
        <v>75</v>
      </c>
      <c r="C53" s="5" t="str">
        <f t="shared" si="5"/>
        <v>65+ år</v>
      </c>
      <c r="D53" s="16">
        <f t="shared" si="4"/>
        <v>0.11691873000664299</v>
      </c>
      <c r="E53" s="5" t="str">
        <f ca="1">IF(OR(JobHopping[[#This Row],[Age]]=25,JobHopping[[#This Row],[Age]]&gt;69),"N",IF(AND(E51="N",E52="N", RAND()&lt;=D53), "Y", "N"))</f>
        <v>N</v>
      </c>
      <c r="F53" s="5" t="s">
        <v>0</v>
      </c>
      <c r="G53" s="5" t="str">
        <f>IF(JobHopping[[#This Row],[Age]]&lt;40,"",JobHopping[[#This Row],[SwitchP1Static]])</f>
        <v>N</v>
      </c>
      <c r="M53" s="5">
        <v>2018</v>
      </c>
      <c r="N53" s="5" t="s">
        <v>21</v>
      </c>
      <c r="O53" s="5">
        <f>_xlfn.XLOOKUP(M53&amp;"-"&amp;N53,'Djøf Finance Workers'!D:D,'Djøf Finance Workers'!C:C,0,1)</f>
        <v>12171</v>
      </c>
      <c r="P53" s="5">
        <f>_xlfn.XLOOKUP(M53&amp;"-"&amp;N53,'Djøf Finance Hoppers'!D:D,'Djøf Finance Hoppers'!C:C,0,1)</f>
        <v>2055</v>
      </c>
      <c r="Q53" s="16">
        <f t="shared" si="1"/>
        <v>0.16884397337934434</v>
      </c>
    </row>
    <row r="54" spans="2:17" x14ac:dyDescent="0.35">
      <c r="B54" s="5">
        <v>76</v>
      </c>
      <c r="C54" s="5" t="str">
        <f t="shared" si="5"/>
        <v>65+ år</v>
      </c>
      <c r="D54" s="16">
        <f t="shared" si="4"/>
        <v>0.11691873000664299</v>
      </c>
      <c r="E54" s="5" t="str">
        <f ca="1">IF(OR(JobHopping[[#This Row],[Age]]=25,JobHopping[[#This Row],[Age]]&gt;69),"N",IF(AND(E52="N",E53="N", RAND()&lt;=D54), "Y", "N"))</f>
        <v>N</v>
      </c>
      <c r="F54" s="5" t="s">
        <v>0</v>
      </c>
      <c r="G54" s="5" t="str">
        <f>IF(JobHopping[[#This Row],[Age]]&lt;40,"",JobHopping[[#This Row],[SwitchP1Static]])</f>
        <v>N</v>
      </c>
      <c r="M54" s="5">
        <v>2018</v>
      </c>
      <c r="N54" s="5" t="s">
        <v>22</v>
      </c>
      <c r="O54" s="5">
        <f>_xlfn.XLOOKUP(M54&amp;"-"&amp;N54,'Djøf Finance Workers'!D:D,'Djøf Finance Workers'!C:C,0,1)</f>
        <v>9537</v>
      </c>
      <c r="P54" s="5">
        <f>_xlfn.XLOOKUP(M54&amp;"-"&amp;N54,'Djøf Finance Hoppers'!D:D,'Djøf Finance Hoppers'!C:C,0,1)</f>
        <v>1415</v>
      </c>
      <c r="Q54" s="16">
        <f t="shared" si="1"/>
        <v>0.14836950823109993</v>
      </c>
    </row>
    <row r="55" spans="2:17" x14ac:dyDescent="0.35">
      <c r="B55" s="5">
        <v>77</v>
      </c>
      <c r="C55" s="5" t="str">
        <f t="shared" ref="C55:C69" si="6">IF(B55&lt;30, "25-29 år", IF(B55&lt;35, "30-34 år", IF(B55&lt;40, "35-39 år", IF(B55&lt;45, "40-44 år", IF(B55&lt;50, "45-49 år", IF(B55&lt;55, "50-54 år", IF(B55&lt;60, "55-59 år", IF(B55&lt;65, "60-64 år", "65+ år"))))))))</f>
        <v>65+ år</v>
      </c>
      <c r="D55" s="16">
        <f t="shared" si="4"/>
        <v>0.11691873000664299</v>
      </c>
      <c r="E55" s="5" t="str">
        <f ca="1">IF(OR(JobHopping[[#This Row],[Age]]=25,JobHopping[[#This Row],[Age]]&gt;69),"N",IF(AND(E53="N",E54="N", RAND()&lt;=D55), "Y", "N"))</f>
        <v>N</v>
      </c>
      <c r="F55" s="5" t="s">
        <v>0</v>
      </c>
      <c r="G55" s="5" t="str">
        <f>IF(JobHopping[[#This Row],[Age]]&lt;40,"",JobHopping[[#This Row],[SwitchP1Static]])</f>
        <v>N</v>
      </c>
      <c r="M55" s="5">
        <v>2018</v>
      </c>
      <c r="N55" s="5" t="s">
        <v>23</v>
      </c>
      <c r="O55" s="5">
        <f>_xlfn.XLOOKUP(M55&amp;"-"&amp;N55,'Djøf Finance Workers'!D:D,'Djøf Finance Workers'!C:C,0,1)</f>
        <v>5638</v>
      </c>
      <c r="P55" s="5">
        <f>_xlfn.XLOOKUP(M55&amp;"-"&amp;N55,'Djøf Finance Hoppers'!D:D,'Djøf Finance Hoppers'!C:C,0,1)</f>
        <v>681</v>
      </c>
      <c r="Q55" s="16">
        <f t="shared" si="1"/>
        <v>0.12078751330258958</v>
      </c>
    </row>
    <row r="56" spans="2:17" x14ac:dyDescent="0.35">
      <c r="B56" s="5">
        <v>78</v>
      </c>
      <c r="C56" s="5" t="str">
        <f t="shared" si="6"/>
        <v>65+ år</v>
      </c>
      <c r="D56" s="16">
        <f t="shared" si="4"/>
        <v>0.11691873000664299</v>
      </c>
      <c r="E56" s="5" t="str">
        <f ca="1">IF(OR(JobHopping[[#This Row],[Age]]=25,JobHopping[[#This Row],[Age]]&gt;69),"N",IF(AND(E54="N",E55="N", RAND()&lt;=D56), "Y", "N"))</f>
        <v>N</v>
      </c>
      <c r="F56" s="5" t="s">
        <v>0</v>
      </c>
      <c r="G56" s="5" t="str">
        <f>IF(JobHopping[[#This Row],[Age]]&lt;40,"",JobHopping[[#This Row],[SwitchP1Static]])</f>
        <v>N</v>
      </c>
      <c r="M56" s="5">
        <v>2018</v>
      </c>
      <c r="N56" s="5" t="s">
        <v>24</v>
      </c>
      <c r="O56" s="5">
        <f>_xlfn.XLOOKUP(M56&amp;"-"&amp;N56,'Djøf Finance Workers'!D:D,'Djøf Finance Workers'!C:C,0,1)</f>
        <v>1897</v>
      </c>
      <c r="P56" s="5">
        <f>_xlfn.XLOOKUP(M56&amp;"-"&amp;N56,'Djøf Finance Hoppers'!D:D,'Djøf Finance Hoppers'!C:C,0,1)</f>
        <v>174</v>
      </c>
      <c r="Q56" s="16">
        <f t="shared" si="1"/>
        <v>9.1723774380600948E-2</v>
      </c>
    </row>
    <row r="57" spans="2:17" x14ac:dyDescent="0.35">
      <c r="B57" s="5">
        <v>79</v>
      </c>
      <c r="C57" s="5" t="str">
        <f t="shared" si="6"/>
        <v>65+ år</v>
      </c>
      <c r="D57" s="16">
        <f t="shared" si="4"/>
        <v>0.11691873000664299</v>
      </c>
      <c r="E57" s="5" t="str">
        <f ca="1">IF(OR(JobHopping[[#This Row],[Age]]=25,JobHopping[[#This Row],[Age]]&gt;69),"N",IF(AND(E55="N",E56="N", RAND()&lt;=D57), "Y", "N"))</f>
        <v>N</v>
      </c>
      <c r="F57" s="5" t="s">
        <v>0</v>
      </c>
      <c r="G57" s="5" t="str">
        <f>IF(JobHopping[[#This Row],[Age]]&lt;40,"",JobHopping[[#This Row],[SwitchP1Static]])</f>
        <v>N</v>
      </c>
      <c r="M57" s="5">
        <v>2019</v>
      </c>
      <c r="N57" s="5" t="s">
        <v>16</v>
      </c>
      <c r="O57" s="5">
        <f>_xlfn.XLOOKUP(M57&amp;"-"&amp;N57,'Djøf Finance Workers'!D:D,'Djøf Finance Workers'!C:C,0,1)</f>
        <v>6883</v>
      </c>
      <c r="P57" s="5">
        <f>_xlfn.XLOOKUP(M57&amp;"-"&amp;N57,'Djøf Finance Hoppers'!D:D,'Djøf Finance Hoppers'!C:C,0,1)</f>
        <v>3477</v>
      </c>
      <c r="Q57" s="16">
        <f t="shared" si="1"/>
        <v>0.50515763475228825</v>
      </c>
    </row>
    <row r="58" spans="2:17" x14ac:dyDescent="0.35">
      <c r="B58" s="5">
        <v>80</v>
      </c>
      <c r="C58" s="5" t="str">
        <f t="shared" si="6"/>
        <v>65+ år</v>
      </c>
      <c r="D58" s="16">
        <f t="shared" si="4"/>
        <v>0.11691873000664299</v>
      </c>
      <c r="E58" s="5" t="str">
        <f ca="1">IF(OR(JobHopping[[#This Row],[Age]]=25,JobHopping[[#This Row],[Age]]&gt;69),"N",IF(AND(E56="N",E57="N", RAND()&lt;=D58), "Y", "N"))</f>
        <v>N</v>
      </c>
      <c r="F58" s="5" t="s">
        <v>0</v>
      </c>
      <c r="G58" s="5" t="str">
        <f>IF(JobHopping[[#This Row],[Age]]&lt;40,"",JobHopping[[#This Row],[SwitchP1Static]])</f>
        <v>N</v>
      </c>
      <c r="M58" s="5">
        <v>2019</v>
      </c>
      <c r="N58" s="5" t="s">
        <v>17</v>
      </c>
      <c r="O58" s="5">
        <f>_xlfn.XLOOKUP(M58&amp;"-"&amp;N58,'Djøf Finance Workers'!D:D,'Djøf Finance Workers'!C:C,0,1)</f>
        <v>8461</v>
      </c>
      <c r="P58" s="5">
        <f>_xlfn.XLOOKUP(M58&amp;"-"&amp;N58,'Djøf Finance Hoppers'!D:D,'Djøf Finance Hoppers'!C:C,0,1)</f>
        <v>2839</v>
      </c>
      <c r="Q58" s="16">
        <f t="shared" si="1"/>
        <v>0.33553953433400308</v>
      </c>
    </row>
    <row r="59" spans="2:17" x14ac:dyDescent="0.35">
      <c r="B59" s="5">
        <v>81</v>
      </c>
      <c r="C59" s="5" t="str">
        <f t="shared" si="6"/>
        <v>65+ år</v>
      </c>
      <c r="D59" s="16">
        <f t="shared" si="4"/>
        <v>0.11691873000664299</v>
      </c>
      <c r="E59" s="5" t="str">
        <f ca="1">IF(OR(JobHopping[[#This Row],[Age]]=25,JobHopping[[#This Row],[Age]]&gt;69),"N",IF(AND(E57="N",E58="N", RAND()&lt;=D59), "Y", "N"))</f>
        <v>N</v>
      </c>
      <c r="F59" s="5" t="s">
        <v>0</v>
      </c>
      <c r="G59" s="5" t="str">
        <f>IF(JobHopping[[#This Row],[Age]]&lt;40,"",JobHopping[[#This Row],[SwitchP1Static]])</f>
        <v>N</v>
      </c>
      <c r="M59" s="5">
        <v>2019</v>
      </c>
      <c r="N59" s="5" t="s">
        <v>18</v>
      </c>
      <c r="O59" s="5">
        <f>_xlfn.XLOOKUP(M59&amp;"-"&amp;N59,'Djøf Finance Workers'!D:D,'Djøf Finance Workers'!C:C,0,1)</f>
        <v>9057</v>
      </c>
      <c r="P59" s="5">
        <f>_xlfn.XLOOKUP(M59&amp;"-"&amp;N59,'Djøf Finance Hoppers'!D:D,'Djøf Finance Hoppers'!C:C,0,1)</f>
        <v>2298</v>
      </c>
      <c r="Q59" s="16">
        <f t="shared" si="1"/>
        <v>0.25372639947002318</v>
      </c>
    </row>
    <row r="60" spans="2:17" x14ac:dyDescent="0.35">
      <c r="B60" s="5">
        <v>82</v>
      </c>
      <c r="C60" s="5" t="str">
        <f t="shared" si="6"/>
        <v>65+ år</v>
      </c>
      <c r="D60" s="16">
        <f t="shared" si="4"/>
        <v>0.11691873000664299</v>
      </c>
      <c r="E60" s="5" t="str">
        <f ca="1">IF(OR(JobHopping[[#This Row],[Age]]=25,JobHopping[[#This Row],[Age]]&gt;69),"N",IF(AND(E58="N",E59="N", RAND()&lt;=D60), "Y", "N"))</f>
        <v>N</v>
      </c>
      <c r="F60" s="5" t="s">
        <v>0</v>
      </c>
      <c r="G60" s="5" t="str">
        <f>IF(JobHopping[[#This Row],[Age]]&lt;40,"",JobHopping[[#This Row],[SwitchP1Static]])</f>
        <v>N</v>
      </c>
      <c r="M60" s="5">
        <v>2019</v>
      </c>
      <c r="N60" s="5" t="s">
        <v>19</v>
      </c>
      <c r="O60" s="5">
        <f>_xlfn.XLOOKUP(M60&amp;"-"&amp;N60,'Djøf Finance Workers'!D:D,'Djøf Finance Workers'!C:C,0,1)</f>
        <v>10158</v>
      </c>
      <c r="P60" s="5">
        <f>_xlfn.XLOOKUP(M60&amp;"-"&amp;N60,'Djøf Finance Hoppers'!D:D,'Djøf Finance Hoppers'!C:C,0,1)</f>
        <v>2100</v>
      </c>
      <c r="Q60" s="16">
        <f t="shared" si="1"/>
        <v>0.2067336089781453</v>
      </c>
    </row>
    <row r="61" spans="2:17" x14ac:dyDescent="0.35">
      <c r="B61" s="5">
        <v>83</v>
      </c>
      <c r="C61" s="5" t="str">
        <f t="shared" si="6"/>
        <v>65+ år</v>
      </c>
      <c r="D61" s="16">
        <f t="shared" si="4"/>
        <v>0.11691873000664299</v>
      </c>
      <c r="E61" s="5" t="str">
        <f ca="1">IF(OR(JobHopping[[#This Row],[Age]]=25,JobHopping[[#This Row],[Age]]&gt;69),"N",IF(AND(E59="N",E60="N", RAND()&lt;=D61), "Y", "N"))</f>
        <v>N</v>
      </c>
      <c r="F61" s="5" t="s">
        <v>0</v>
      </c>
      <c r="G61" s="5" t="str">
        <f>IF(JobHopping[[#This Row],[Age]]&lt;40,"",JobHopping[[#This Row],[SwitchP1Static]])</f>
        <v>N</v>
      </c>
      <c r="M61" s="5">
        <v>2019</v>
      </c>
      <c r="N61" s="5" t="s">
        <v>20</v>
      </c>
      <c r="O61" s="5">
        <f>_xlfn.XLOOKUP(M61&amp;"-"&amp;N61,'Djøf Finance Workers'!D:D,'Djøf Finance Workers'!C:C,0,1)</f>
        <v>9482</v>
      </c>
      <c r="P61" s="5">
        <f>_xlfn.XLOOKUP(M61&amp;"-"&amp;N61,'Djøf Finance Hoppers'!D:D,'Djøf Finance Hoppers'!C:C,0,1)</f>
        <v>1802</v>
      </c>
      <c r="Q61" s="16">
        <f t="shared" si="1"/>
        <v>0.19004429445264712</v>
      </c>
    </row>
    <row r="62" spans="2:17" x14ac:dyDescent="0.35">
      <c r="B62" s="5">
        <v>84</v>
      </c>
      <c r="C62" s="5" t="str">
        <f t="shared" si="6"/>
        <v>65+ år</v>
      </c>
      <c r="D62" s="16">
        <f t="shared" si="4"/>
        <v>0.11691873000664299</v>
      </c>
      <c r="E62" s="5" t="str">
        <f ca="1">IF(OR(JobHopping[[#This Row],[Age]]=25,JobHopping[[#This Row],[Age]]&gt;69),"N",IF(AND(E60="N",E61="N", RAND()&lt;=D62), "Y", "N"))</f>
        <v>N</v>
      </c>
      <c r="F62" s="5" t="s">
        <v>0</v>
      </c>
      <c r="G62" s="5" t="str">
        <f>IF(JobHopping[[#This Row],[Age]]&lt;40,"",JobHopping[[#This Row],[SwitchP1Static]])</f>
        <v>N</v>
      </c>
      <c r="M62" s="5">
        <v>2019</v>
      </c>
      <c r="N62" s="5" t="s">
        <v>21</v>
      </c>
      <c r="O62" s="5">
        <f>_xlfn.XLOOKUP(M62&amp;"-"&amp;N62,'Djøf Finance Workers'!D:D,'Djøf Finance Workers'!C:C,0,1)</f>
        <v>11866</v>
      </c>
      <c r="P62" s="5">
        <f>_xlfn.XLOOKUP(M62&amp;"-"&amp;N62,'Djøf Finance Hoppers'!D:D,'Djøf Finance Hoppers'!C:C,0,1)</f>
        <v>2054</v>
      </c>
      <c r="Q62" s="16">
        <f t="shared" si="1"/>
        <v>0.1730996123377718</v>
      </c>
    </row>
    <row r="63" spans="2:17" x14ac:dyDescent="0.35">
      <c r="B63" s="5">
        <v>85</v>
      </c>
      <c r="C63" s="5" t="str">
        <f t="shared" si="6"/>
        <v>65+ år</v>
      </c>
      <c r="D63" s="16">
        <f t="shared" si="4"/>
        <v>0.11691873000664299</v>
      </c>
      <c r="E63" s="5" t="str">
        <f ca="1">IF(OR(JobHopping[[#This Row],[Age]]=25,JobHopping[[#This Row],[Age]]&gt;69),"N",IF(AND(E61="N",E62="N", RAND()&lt;=D63), "Y", "N"))</f>
        <v>N</v>
      </c>
      <c r="F63" s="5" t="s">
        <v>0</v>
      </c>
      <c r="G63" s="5" t="str">
        <f>IF(JobHopping[[#This Row],[Age]]&lt;40,"",JobHopping[[#This Row],[SwitchP1Static]])</f>
        <v>N</v>
      </c>
      <c r="M63" s="5">
        <v>2019</v>
      </c>
      <c r="N63" s="5" t="s">
        <v>22</v>
      </c>
      <c r="O63" s="5">
        <f>_xlfn.XLOOKUP(M63&amp;"-"&amp;N63,'Djøf Finance Workers'!D:D,'Djøf Finance Workers'!C:C,0,1)</f>
        <v>9811</v>
      </c>
      <c r="P63" s="5">
        <f>_xlfn.XLOOKUP(M63&amp;"-"&amp;N63,'Djøf Finance Hoppers'!D:D,'Djøf Finance Hoppers'!C:C,0,1)</f>
        <v>1383</v>
      </c>
      <c r="Q63" s="16">
        <f t="shared" si="1"/>
        <v>0.14096422383039445</v>
      </c>
    </row>
    <row r="64" spans="2:17" x14ac:dyDescent="0.35">
      <c r="B64" s="5">
        <v>86</v>
      </c>
      <c r="C64" s="5" t="str">
        <f t="shared" si="6"/>
        <v>65+ år</v>
      </c>
      <c r="D64" s="16">
        <f t="shared" si="4"/>
        <v>0.11691873000664299</v>
      </c>
      <c r="E64" s="5" t="str">
        <f ca="1">IF(OR(JobHopping[[#This Row],[Age]]=25,JobHopping[[#This Row],[Age]]&gt;69),"N",IF(AND(E62="N",E63="N", RAND()&lt;=D64), "Y", "N"))</f>
        <v>N</v>
      </c>
      <c r="F64" s="5" t="s">
        <v>0</v>
      </c>
      <c r="G64" s="5" t="str">
        <f>IF(JobHopping[[#This Row],[Age]]&lt;40,"",JobHopping[[#This Row],[SwitchP1Static]])</f>
        <v>N</v>
      </c>
      <c r="M64" s="5">
        <v>2019</v>
      </c>
      <c r="N64" s="5" t="s">
        <v>23</v>
      </c>
      <c r="O64" s="5">
        <f>_xlfn.XLOOKUP(M64&amp;"-"&amp;N64,'Djøf Finance Workers'!D:D,'Djøf Finance Workers'!C:C,0,1)</f>
        <v>5907</v>
      </c>
      <c r="P64" s="5">
        <f>_xlfn.XLOOKUP(M64&amp;"-"&amp;N64,'Djøf Finance Hoppers'!D:D,'Djøf Finance Hoppers'!C:C,0,1)</f>
        <v>791</v>
      </c>
      <c r="Q64" s="16">
        <f t="shared" si="1"/>
        <v>0.13390892161841883</v>
      </c>
    </row>
    <row r="65" spans="2:17" x14ac:dyDescent="0.35">
      <c r="B65" s="5">
        <v>87</v>
      </c>
      <c r="C65" s="5" t="str">
        <f t="shared" si="6"/>
        <v>65+ år</v>
      </c>
      <c r="D65" s="16">
        <f t="shared" si="4"/>
        <v>0.11691873000664299</v>
      </c>
      <c r="E65" s="5" t="str">
        <f ca="1">IF(OR(JobHopping[[#This Row],[Age]]=25,JobHopping[[#This Row],[Age]]&gt;69),"N",IF(AND(E63="N",E64="N", RAND()&lt;=D65), "Y", "N"))</f>
        <v>N</v>
      </c>
      <c r="F65" s="5" t="s">
        <v>0</v>
      </c>
      <c r="G65" s="5" t="str">
        <f>IF(JobHopping[[#This Row],[Age]]&lt;40,"",JobHopping[[#This Row],[SwitchP1Static]])</f>
        <v>N</v>
      </c>
      <c r="M65" s="5">
        <v>2019</v>
      </c>
      <c r="N65" s="5" t="s">
        <v>24</v>
      </c>
      <c r="O65" s="5">
        <f>_xlfn.XLOOKUP(M65&amp;"-"&amp;N65,'Djøf Finance Workers'!D:D,'Djøf Finance Workers'!C:C,0,1)</f>
        <v>2030</v>
      </c>
      <c r="P65" s="5">
        <f>_xlfn.XLOOKUP(M65&amp;"-"&amp;N65,'Djøf Finance Hoppers'!D:D,'Djøf Finance Hoppers'!C:C,0,1)</f>
        <v>188</v>
      </c>
      <c r="Q65" s="16">
        <f t="shared" si="1"/>
        <v>9.2610837438423646E-2</v>
      </c>
    </row>
    <row r="66" spans="2:17" x14ac:dyDescent="0.35">
      <c r="B66" s="5">
        <v>88</v>
      </c>
      <c r="C66" s="5" t="str">
        <f t="shared" si="6"/>
        <v>65+ år</v>
      </c>
      <c r="D66" s="16">
        <f t="shared" si="4"/>
        <v>0.11691873000664299</v>
      </c>
      <c r="E66" s="5" t="str">
        <f ca="1">IF(OR(JobHopping[[#This Row],[Age]]=25,JobHopping[[#This Row],[Age]]&gt;69),"N",IF(AND(E64="N",E65="N", RAND()&lt;=D66), "Y", "N"))</f>
        <v>N</v>
      </c>
      <c r="F66" s="5" t="s">
        <v>0</v>
      </c>
      <c r="G66" s="5" t="str">
        <f>IF(JobHopping[[#This Row],[Age]]&lt;40,"",JobHopping[[#This Row],[SwitchP1Static]])</f>
        <v>N</v>
      </c>
      <c r="M66" s="5">
        <v>2020</v>
      </c>
      <c r="N66" s="5" t="s">
        <v>16</v>
      </c>
      <c r="O66" s="5">
        <f>_xlfn.XLOOKUP(M66&amp;"-"&amp;N66,'Djøf Finance Workers'!D:D,'Djøf Finance Workers'!C:C,0,1)</f>
        <v>7337</v>
      </c>
      <c r="P66" s="5">
        <f>_xlfn.XLOOKUP(M66&amp;"-"&amp;N66,'Djøf Finance Hoppers'!D:D,'Djøf Finance Hoppers'!C:C,0,1)</f>
        <v>3028</v>
      </c>
      <c r="Q66" s="16">
        <f t="shared" si="1"/>
        <v>0.41270273953932124</v>
      </c>
    </row>
    <row r="67" spans="2:17" x14ac:dyDescent="0.35">
      <c r="B67" s="5">
        <v>89</v>
      </c>
      <c r="C67" s="5" t="str">
        <f t="shared" si="6"/>
        <v>65+ år</v>
      </c>
      <c r="D67" s="16">
        <f t="shared" ref="D67:D78" si="7">_xlfn.XLOOKUP(C67,S:S,T:T)</f>
        <v>0.11691873000664299</v>
      </c>
      <c r="E67" s="5" t="str">
        <f ca="1">IF(OR(JobHopping[[#This Row],[Age]]=25,JobHopping[[#This Row],[Age]]&gt;69),"N",IF(AND(E65="N",E66="N", RAND()&lt;=D67), "Y", "N"))</f>
        <v>N</v>
      </c>
      <c r="F67" s="5" t="s">
        <v>0</v>
      </c>
      <c r="G67" s="5" t="str">
        <f>IF(JobHopping[[#This Row],[Age]]&lt;40,"",JobHopping[[#This Row],[SwitchP1Static]])</f>
        <v>N</v>
      </c>
      <c r="M67" s="5">
        <v>2020</v>
      </c>
      <c r="N67" s="5" t="s">
        <v>17</v>
      </c>
      <c r="O67" s="5">
        <f>_xlfn.XLOOKUP(M67&amp;"-"&amp;N67,'Djøf Finance Workers'!D:D,'Djøf Finance Workers'!C:C,0,1)</f>
        <v>8658</v>
      </c>
      <c r="P67" s="5">
        <f>_xlfn.XLOOKUP(M67&amp;"-"&amp;N67,'Djøf Finance Hoppers'!D:D,'Djøf Finance Hoppers'!C:C,0,1)</f>
        <v>2339</v>
      </c>
      <c r="Q67" s="16">
        <f t="shared" ref="Q67:Q100" si="8">IF(O67&gt;0, P67/O67, 0)</f>
        <v>0.27015477015477013</v>
      </c>
    </row>
    <row r="68" spans="2:17" x14ac:dyDescent="0.35">
      <c r="B68" s="5">
        <v>90</v>
      </c>
      <c r="C68" s="5" t="str">
        <f t="shared" si="6"/>
        <v>65+ år</v>
      </c>
      <c r="D68" s="16">
        <f t="shared" si="7"/>
        <v>0.11691873000664299</v>
      </c>
      <c r="E68" s="5" t="str">
        <f ca="1">IF(OR(JobHopping[[#This Row],[Age]]=25,JobHopping[[#This Row],[Age]]&gt;69),"N",IF(AND(E66="N",E67="N", RAND()&lt;=D68), "Y", "N"))</f>
        <v>N</v>
      </c>
      <c r="F68" s="5" t="s">
        <v>0</v>
      </c>
      <c r="G68" s="5" t="str">
        <f>IF(JobHopping[[#This Row],[Age]]&lt;40,"",JobHopping[[#This Row],[SwitchP1Static]])</f>
        <v>N</v>
      </c>
      <c r="M68" s="5">
        <v>2020</v>
      </c>
      <c r="N68" s="5" t="s">
        <v>18</v>
      </c>
      <c r="O68" s="5">
        <f>_xlfn.XLOOKUP(M68&amp;"-"&amp;N68,'Djøf Finance Workers'!D:D,'Djøf Finance Workers'!C:C,0,1)</f>
        <v>8798</v>
      </c>
      <c r="P68" s="5">
        <f>_xlfn.XLOOKUP(M68&amp;"-"&amp;N68,'Djøf Finance Hoppers'!D:D,'Djøf Finance Hoppers'!C:C,0,1)</f>
        <v>1929</v>
      </c>
      <c r="Q68" s="16">
        <f t="shared" si="8"/>
        <v>0.21925437599454423</v>
      </c>
    </row>
    <row r="69" spans="2:17" x14ac:dyDescent="0.35">
      <c r="B69" s="5">
        <v>91</v>
      </c>
      <c r="C69" s="5" t="str">
        <f t="shared" si="6"/>
        <v>65+ år</v>
      </c>
      <c r="D69" s="16">
        <f t="shared" si="7"/>
        <v>0.11691873000664299</v>
      </c>
      <c r="E69" s="5" t="str">
        <f ca="1">IF(OR(JobHopping[[#This Row],[Age]]=25,JobHopping[[#This Row],[Age]]&gt;69),"N",IF(AND(E67="N",E68="N", RAND()&lt;=D69), "Y", "N"))</f>
        <v>N</v>
      </c>
      <c r="F69" s="5" t="s">
        <v>0</v>
      </c>
      <c r="G69" s="5" t="str">
        <f>IF(JobHopping[[#This Row],[Age]]&lt;40,"",JobHopping[[#This Row],[SwitchP1Static]])</f>
        <v>N</v>
      </c>
      <c r="M69" s="5">
        <v>2020</v>
      </c>
      <c r="N69" s="5" t="s">
        <v>19</v>
      </c>
      <c r="O69" s="5">
        <f>_xlfn.XLOOKUP(M69&amp;"-"&amp;N69,'Djøf Finance Workers'!D:D,'Djøf Finance Workers'!C:C,0,1)</f>
        <v>10129</v>
      </c>
      <c r="P69" s="5">
        <f>_xlfn.XLOOKUP(M69&amp;"-"&amp;N69,'Djøf Finance Hoppers'!D:D,'Djøf Finance Hoppers'!C:C,0,1)</f>
        <v>1758</v>
      </c>
      <c r="Q69" s="16">
        <f t="shared" si="8"/>
        <v>0.17356106229637674</v>
      </c>
    </row>
    <row r="70" spans="2:17" x14ac:dyDescent="0.35">
      <c r="B70" s="5">
        <v>92</v>
      </c>
      <c r="C70" s="5" t="str">
        <f t="shared" ref="C70:C78" si="9">IF(B70&lt;30, "25-29 år", IF(B70&lt;35, "30-34 år", IF(B70&lt;40, "35-39 år", IF(B70&lt;45, "40-44 år", IF(B70&lt;50, "45-49 år", IF(B70&lt;55, "50-54 år", IF(B70&lt;60, "55-59 år", IF(B70&lt;65, "60-64 år", "65+ år"))))))))</f>
        <v>65+ år</v>
      </c>
      <c r="D70" s="16">
        <f t="shared" si="7"/>
        <v>0.11691873000664299</v>
      </c>
      <c r="E70" s="5" t="str">
        <f ca="1">IF(OR(JobHopping[[#This Row],[Age]]=25,JobHopping[[#This Row],[Age]]&gt;69),"N",IF(AND(E68="N",E69="N", RAND()&lt;=D70), "Y", "N"))</f>
        <v>N</v>
      </c>
      <c r="F70" s="5" t="s">
        <v>0</v>
      </c>
      <c r="G70" s="5" t="str">
        <f>IF(JobHopping[[#This Row],[Age]]&lt;40,"",JobHopping[[#This Row],[SwitchP1Static]])</f>
        <v>N</v>
      </c>
      <c r="M70" s="5">
        <v>2020</v>
      </c>
      <c r="N70" s="5" t="s">
        <v>20</v>
      </c>
      <c r="O70" s="5">
        <f>_xlfn.XLOOKUP(M70&amp;"-"&amp;N70,'Djøf Finance Workers'!D:D,'Djøf Finance Workers'!C:C,0,1)</f>
        <v>9740</v>
      </c>
      <c r="P70" s="5">
        <f>_xlfn.XLOOKUP(M70&amp;"-"&amp;N70,'Djøf Finance Hoppers'!D:D,'Djøf Finance Hoppers'!C:C,0,1)</f>
        <v>1654</v>
      </c>
      <c r="Q70" s="16">
        <f t="shared" si="8"/>
        <v>0.1698151950718686</v>
      </c>
    </row>
    <row r="71" spans="2:17" x14ac:dyDescent="0.35">
      <c r="B71" s="5">
        <v>93</v>
      </c>
      <c r="C71" s="5" t="str">
        <f t="shared" si="9"/>
        <v>65+ år</v>
      </c>
      <c r="D71" s="16">
        <f t="shared" si="7"/>
        <v>0.11691873000664299</v>
      </c>
      <c r="E71" s="5" t="str">
        <f ca="1">IF(OR(JobHopping[[#This Row],[Age]]=25,JobHopping[[#This Row],[Age]]&gt;69),"N",IF(AND(E69="N",E70="N", RAND()&lt;=D71), "Y", "N"))</f>
        <v>N</v>
      </c>
      <c r="F71" s="5" t="s">
        <v>0</v>
      </c>
      <c r="G71" s="5" t="str">
        <f>IF(JobHopping[[#This Row],[Age]]&lt;40,"",JobHopping[[#This Row],[SwitchP1Static]])</f>
        <v>N</v>
      </c>
      <c r="M71" s="5">
        <v>2020</v>
      </c>
      <c r="N71" s="5" t="s">
        <v>21</v>
      </c>
      <c r="O71" s="5">
        <f>_xlfn.XLOOKUP(M71&amp;"-"&amp;N71,'Djøf Finance Workers'!D:D,'Djøf Finance Workers'!C:C,0,1)</f>
        <v>11187</v>
      </c>
      <c r="P71" s="5">
        <f>_xlfn.XLOOKUP(M71&amp;"-"&amp;N71,'Djøf Finance Hoppers'!D:D,'Djøf Finance Hoppers'!C:C,0,1)</f>
        <v>1616</v>
      </c>
      <c r="Q71" s="16">
        <f t="shared" si="8"/>
        <v>0.14445338339143649</v>
      </c>
    </row>
    <row r="72" spans="2:17" x14ac:dyDescent="0.35">
      <c r="B72" s="5">
        <v>94</v>
      </c>
      <c r="C72" s="5" t="str">
        <f t="shared" si="9"/>
        <v>65+ år</v>
      </c>
      <c r="D72" s="16">
        <f t="shared" si="7"/>
        <v>0.11691873000664299</v>
      </c>
      <c r="E72" s="5" t="str">
        <f ca="1">IF(OR(JobHopping[[#This Row],[Age]]=25,JobHopping[[#This Row],[Age]]&gt;69),"N",IF(AND(E70="N",E71="N", RAND()&lt;=D72), "Y", "N"))</f>
        <v>N</v>
      </c>
      <c r="F72" s="5" t="s">
        <v>0</v>
      </c>
      <c r="G72" s="5" t="str">
        <f>IF(JobHopping[[#This Row],[Age]]&lt;40,"",JobHopping[[#This Row],[SwitchP1Static]])</f>
        <v>N</v>
      </c>
      <c r="M72" s="5">
        <v>2020</v>
      </c>
      <c r="N72" s="5" t="s">
        <v>22</v>
      </c>
      <c r="O72" s="5">
        <f>_xlfn.XLOOKUP(M72&amp;"-"&amp;N72,'Djøf Finance Workers'!D:D,'Djøf Finance Workers'!C:C,0,1)</f>
        <v>10215</v>
      </c>
      <c r="P72" s="5">
        <f>_xlfn.XLOOKUP(M72&amp;"-"&amp;N72,'Djøf Finance Hoppers'!D:D,'Djøf Finance Hoppers'!C:C,0,1)</f>
        <v>1279</v>
      </c>
      <c r="Q72" s="16">
        <f t="shared" si="8"/>
        <v>0.12520802741067058</v>
      </c>
    </row>
    <row r="73" spans="2:17" x14ac:dyDescent="0.35">
      <c r="B73" s="5">
        <v>95</v>
      </c>
      <c r="C73" s="5" t="str">
        <f t="shared" si="9"/>
        <v>65+ år</v>
      </c>
      <c r="D73" s="16">
        <f t="shared" si="7"/>
        <v>0.11691873000664299</v>
      </c>
      <c r="E73" s="5" t="str">
        <f ca="1">IF(OR(JobHopping[[#This Row],[Age]]=25,JobHopping[[#This Row],[Age]]&gt;69),"N",IF(AND(E71="N",E72="N", RAND()&lt;=D73), "Y", "N"))</f>
        <v>N</v>
      </c>
      <c r="F73" s="5" t="s">
        <v>0</v>
      </c>
      <c r="G73" s="5" t="str">
        <f>IF(JobHopping[[#This Row],[Age]]&lt;40,"",JobHopping[[#This Row],[SwitchP1Static]])</f>
        <v>N</v>
      </c>
      <c r="M73" s="5">
        <v>2020</v>
      </c>
      <c r="N73" s="5" t="s">
        <v>23</v>
      </c>
      <c r="O73" s="5">
        <f>_xlfn.XLOOKUP(M73&amp;"-"&amp;N73,'Djøf Finance Workers'!D:D,'Djøf Finance Workers'!C:C,0,1)</f>
        <v>6305</v>
      </c>
      <c r="P73" s="5">
        <f>_xlfn.XLOOKUP(M73&amp;"-"&amp;N73,'Djøf Finance Hoppers'!D:D,'Djøf Finance Hoppers'!C:C,0,1)</f>
        <v>623</v>
      </c>
      <c r="Q73" s="16">
        <f t="shared" si="8"/>
        <v>9.8810467882632827E-2</v>
      </c>
    </row>
    <row r="74" spans="2:17" x14ac:dyDescent="0.35">
      <c r="B74" s="5">
        <v>96</v>
      </c>
      <c r="C74" s="5" t="str">
        <f t="shared" si="9"/>
        <v>65+ år</v>
      </c>
      <c r="D74" s="16">
        <f t="shared" si="7"/>
        <v>0.11691873000664299</v>
      </c>
      <c r="E74" s="5" t="str">
        <f ca="1">IF(OR(JobHopping[[#This Row],[Age]]=25,JobHopping[[#This Row],[Age]]&gt;69),"N",IF(AND(E72="N",E73="N", RAND()&lt;=D74), "Y", "N"))</f>
        <v>N</v>
      </c>
      <c r="F74" s="5" t="s">
        <v>0</v>
      </c>
      <c r="G74" s="5" t="str">
        <f>IF(JobHopping[[#This Row],[Age]]&lt;40,"",JobHopping[[#This Row],[SwitchP1Static]])</f>
        <v>N</v>
      </c>
      <c r="M74" s="5">
        <v>2020</v>
      </c>
      <c r="N74" s="5" t="s">
        <v>24</v>
      </c>
      <c r="O74" s="5">
        <f>_xlfn.XLOOKUP(M74&amp;"-"&amp;N74,'Djøf Finance Workers'!D:D,'Djøf Finance Workers'!C:C,0,1)</f>
        <v>2231</v>
      </c>
      <c r="P74" s="5">
        <f>_xlfn.XLOOKUP(M74&amp;"-"&amp;N74,'Djøf Finance Hoppers'!D:D,'Djøf Finance Hoppers'!C:C,0,1)</f>
        <v>201</v>
      </c>
      <c r="Q74" s="16">
        <f t="shared" si="8"/>
        <v>9.0094128193635145E-2</v>
      </c>
    </row>
    <row r="75" spans="2:17" x14ac:dyDescent="0.35">
      <c r="B75" s="5">
        <v>97</v>
      </c>
      <c r="C75" s="5" t="str">
        <f t="shared" si="9"/>
        <v>65+ år</v>
      </c>
      <c r="D75" s="16">
        <f t="shared" si="7"/>
        <v>0.11691873000664299</v>
      </c>
      <c r="E75" s="5" t="str">
        <f ca="1">IF(OR(JobHopping[[#This Row],[Age]]=25,JobHopping[[#This Row],[Age]]&gt;69),"N",IF(AND(E73="N",E74="N", RAND()&lt;=D75), "Y", "N"))</f>
        <v>N</v>
      </c>
      <c r="F75" s="5" t="s">
        <v>0</v>
      </c>
      <c r="G75" s="5" t="str">
        <f>IF(JobHopping[[#This Row],[Age]]&lt;40,"",JobHopping[[#This Row],[SwitchP1Static]])</f>
        <v>N</v>
      </c>
      <c r="M75" s="5">
        <v>2021</v>
      </c>
      <c r="N75" s="5" t="s">
        <v>16</v>
      </c>
      <c r="O75" s="5">
        <f>_xlfn.XLOOKUP(M75&amp;"-"&amp;N75,'Djøf Finance Workers'!D:D,'Djøf Finance Workers'!C:C,0,1)</f>
        <v>7687</v>
      </c>
      <c r="P75" s="5">
        <f>_xlfn.XLOOKUP(M75&amp;"-"&amp;N75,'Djøf Finance Hoppers'!D:D,'Djøf Finance Hoppers'!C:C,0,1)</f>
        <v>3854</v>
      </c>
      <c r="Q75" s="16">
        <f t="shared" si="8"/>
        <v>0.50136594250032518</v>
      </c>
    </row>
    <row r="76" spans="2:17" x14ac:dyDescent="0.35">
      <c r="B76" s="5">
        <v>98</v>
      </c>
      <c r="C76" s="5" t="str">
        <f t="shared" si="9"/>
        <v>65+ år</v>
      </c>
      <c r="D76" s="16">
        <f t="shared" si="7"/>
        <v>0.11691873000664299</v>
      </c>
      <c r="E76" s="5" t="str">
        <f ca="1">IF(OR(JobHopping[[#This Row],[Age]]=25,JobHopping[[#This Row],[Age]]&gt;69),"N",IF(AND(E74="N",E75="N", RAND()&lt;=D76), "Y", "N"))</f>
        <v>N</v>
      </c>
      <c r="F76" s="5" t="s">
        <v>0</v>
      </c>
      <c r="G76" s="5" t="str">
        <f>IF(JobHopping[[#This Row],[Age]]&lt;40,"",JobHopping[[#This Row],[SwitchP1Static]])</f>
        <v>N</v>
      </c>
      <c r="M76" s="5">
        <v>2021</v>
      </c>
      <c r="N76" s="5" t="s">
        <v>17</v>
      </c>
      <c r="O76" s="5">
        <f>_xlfn.XLOOKUP(M76&amp;"-"&amp;N76,'Djøf Finance Workers'!D:D,'Djøf Finance Workers'!C:C,0,1)</f>
        <v>8844</v>
      </c>
      <c r="P76" s="5">
        <f>_xlfn.XLOOKUP(M76&amp;"-"&amp;N76,'Djøf Finance Hoppers'!D:D,'Djøf Finance Hoppers'!C:C,0,1)</f>
        <v>3059</v>
      </c>
      <c r="Q76" s="16">
        <f t="shared" si="8"/>
        <v>0.34588421528720037</v>
      </c>
    </row>
    <row r="77" spans="2:17" x14ac:dyDescent="0.35">
      <c r="B77" s="5">
        <v>99</v>
      </c>
      <c r="C77" s="5" t="str">
        <f t="shared" si="9"/>
        <v>65+ år</v>
      </c>
      <c r="D77" s="16">
        <f t="shared" si="7"/>
        <v>0.11691873000664299</v>
      </c>
      <c r="E77" s="5" t="str">
        <f ca="1">IF(OR(JobHopping[[#This Row],[Age]]=25,JobHopping[[#This Row],[Age]]&gt;69),"N",IF(AND(E75="N",E76="N", RAND()&lt;=D77), "Y", "N"))</f>
        <v>N</v>
      </c>
      <c r="F77" s="5" t="s">
        <v>0</v>
      </c>
      <c r="G77" s="5" t="str">
        <f>IF(JobHopping[[#This Row],[Age]]&lt;40,"",JobHopping[[#This Row],[SwitchP1Static]])</f>
        <v>N</v>
      </c>
      <c r="M77" s="5">
        <v>2021</v>
      </c>
      <c r="N77" s="5" t="s">
        <v>18</v>
      </c>
      <c r="O77" s="5">
        <f>_xlfn.XLOOKUP(M77&amp;"-"&amp;N77,'Djøf Finance Workers'!D:D,'Djøf Finance Workers'!C:C,0,1)</f>
        <v>8987</v>
      </c>
      <c r="P77" s="5">
        <f>_xlfn.XLOOKUP(M77&amp;"-"&amp;N77,'Djøf Finance Hoppers'!D:D,'Djøf Finance Hoppers'!C:C,0,1)</f>
        <v>2330</v>
      </c>
      <c r="Q77" s="16">
        <f t="shared" si="8"/>
        <v>0.25926338043841102</v>
      </c>
    </row>
    <row r="78" spans="2:17" x14ac:dyDescent="0.35">
      <c r="B78" s="5">
        <v>100</v>
      </c>
      <c r="C78" s="5" t="str">
        <f t="shared" si="9"/>
        <v>65+ år</v>
      </c>
      <c r="D78" s="16">
        <f t="shared" si="7"/>
        <v>0.11691873000664299</v>
      </c>
      <c r="E78" s="5" t="str">
        <f ca="1">IF(OR(JobHopping[[#This Row],[Age]]=25,JobHopping[[#This Row],[Age]]&gt;69),"N",IF(AND(E76="N",E77="N", RAND()&lt;=D78), "Y", "N"))</f>
        <v>N</v>
      </c>
      <c r="F78" s="5" t="s">
        <v>0</v>
      </c>
      <c r="G78" s="5" t="str">
        <f>IF(JobHopping[[#This Row],[Age]]&lt;40,"",JobHopping[[#This Row],[SwitchP1Static]])</f>
        <v>N</v>
      </c>
      <c r="M78" s="5">
        <v>2021</v>
      </c>
      <c r="N78" s="5" t="s">
        <v>19</v>
      </c>
      <c r="O78" s="5">
        <f>_xlfn.XLOOKUP(M78&amp;"-"&amp;N78,'Djøf Finance Workers'!D:D,'Djøf Finance Workers'!C:C,0,1)</f>
        <v>10002</v>
      </c>
      <c r="P78" s="5">
        <f>_xlfn.XLOOKUP(M78&amp;"-"&amp;N78,'Djøf Finance Hoppers'!D:D,'Djøf Finance Hoppers'!C:C,0,1)</f>
        <v>2220</v>
      </c>
      <c r="Q78" s="16">
        <f t="shared" si="8"/>
        <v>0.22195560887822435</v>
      </c>
    </row>
    <row r="79" spans="2:17" x14ac:dyDescent="0.35">
      <c r="M79" s="5">
        <v>2021</v>
      </c>
      <c r="N79" s="5" t="s">
        <v>20</v>
      </c>
      <c r="O79" s="5">
        <f>_xlfn.XLOOKUP(M79&amp;"-"&amp;N79,'Djøf Finance Workers'!D:D,'Djøf Finance Workers'!C:C,0,1)</f>
        <v>10036</v>
      </c>
      <c r="P79" s="5">
        <f>_xlfn.XLOOKUP(M79&amp;"-"&amp;N79,'Djøf Finance Hoppers'!D:D,'Djøf Finance Hoppers'!C:C,0,1)</f>
        <v>1980</v>
      </c>
      <c r="Q79" s="16">
        <f t="shared" si="8"/>
        <v>0.19728975687524911</v>
      </c>
    </row>
    <row r="80" spans="2:17" x14ac:dyDescent="0.35">
      <c r="M80" s="5">
        <v>2021</v>
      </c>
      <c r="N80" s="5" t="s">
        <v>21</v>
      </c>
      <c r="O80" s="5">
        <f>_xlfn.XLOOKUP(M80&amp;"-"&amp;N80,'Djøf Finance Workers'!D:D,'Djøf Finance Workers'!C:C,0,1)</f>
        <v>10467</v>
      </c>
      <c r="P80" s="5">
        <f>_xlfn.XLOOKUP(M80&amp;"-"&amp;N80,'Djøf Finance Hoppers'!D:D,'Djøf Finance Hoppers'!C:C,0,1)</f>
        <v>1810</v>
      </c>
      <c r="Q80" s="16">
        <f t="shared" si="8"/>
        <v>0.17292442915830705</v>
      </c>
    </row>
    <row r="81" spans="13:17" x14ac:dyDescent="0.35">
      <c r="M81" s="5">
        <v>2021</v>
      </c>
      <c r="N81" s="5" t="s">
        <v>22</v>
      </c>
      <c r="O81" s="5">
        <f>_xlfn.XLOOKUP(M81&amp;"-"&amp;N81,'Djøf Finance Workers'!D:D,'Djøf Finance Workers'!C:C,0,1)</f>
        <v>10749</v>
      </c>
      <c r="P81" s="5">
        <f>_xlfn.XLOOKUP(M81&amp;"-"&amp;N81,'Djøf Finance Hoppers'!D:D,'Djøf Finance Hoppers'!C:C,0,1)</f>
        <v>1631</v>
      </c>
      <c r="Q81" s="16">
        <f t="shared" si="8"/>
        <v>0.15173504512047634</v>
      </c>
    </row>
    <row r="82" spans="13:17" x14ac:dyDescent="0.35">
      <c r="M82" s="5">
        <v>2021</v>
      </c>
      <c r="N82" s="5" t="s">
        <v>23</v>
      </c>
      <c r="O82" s="5">
        <f>_xlfn.XLOOKUP(M82&amp;"-"&amp;N82,'Djøf Finance Workers'!D:D,'Djøf Finance Workers'!C:C,0,1)</f>
        <v>6688</v>
      </c>
      <c r="P82" s="5">
        <f>_xlfn.XLOOKUP(M82&amp;"-"&amp;N82,'Djøf Finance Hoppers'!D:D,'Djøf Finance Hoppers'!C:C,0,1)</f>
        <v>962</v>
      </c>
      <c r="Q82" s="16">
        <f t="shared" si="8"/>
        <v>0.1438397129186603</v>
      </c>
    </row>
    <row r="83" spans="13:17" x14ac:dyDescent="0.35">
      <c r="M83" s="5">
        <v>2021</v>
      </c>
      <c r="N83" s="5" t="s">
        <v>24</v>
      </c>
      <c r="O83" s="5">
        <f>_xlfn.XLOOKUP(M83&amp;"-"&amp;N83,'Djøf Finance Workers'!D:D,'Djøf Finance Workers'!C:C,0,1)</f>
        <v>2522</v>
      </c>
      <c r="P83" s="5">
        <f>_xlfn.XLOOKUP(M83&amp;"-"&amp;N83,'Djøf Finance Hoppers'!D:D,'Djøf Finance Hoppers'!C:C,0,1)</f>
        <v>216</v>
      </c>
      <c r="Q83" s="16">
        <f t="shared" si="8"/>
        <v>8.5646312450436163E-2</v>
      </c>
    </row>
    <row r="84" spans="13:17" x14ac:dyDescent="0.35">
      <c r="M84" s="5">
        <v>2022</v>
      </c>
      <c r="N84" s="5" t="s">
        <v>16</v>
      </c>
      <c r="O84" s="5">
        <f>_xlfn.XLOOKUP(M84&amp;"-"&amp;N84,'Djøf Finance Workers'!D:D,'Djøf Finance Workers'!C:C,0,1)</f>
        <v>8107</v>
      </c>
      <c r="P84" s="5">
        <f>_xlfn.XLOOKUP(M84&amp;"-"&amp;N84,'Djøf Finance Hoppers'!D:D,'Djøf Finance Hoppers'!C:C,0,1)</f>
        <v>3870</v>
      </c>
      <c r="Q84" s="16">
        <f t="shared" si="8"/>
        <v>0.4773652399161219</v>
      </c>
    </row>
    <row r="85" spans="13:17" x14ac:dyDescent="0.35">
      <c r="M85" s="5">
        <v>2022</v>
      </c>
      <c r="N85" s="5" t="s">
        <v>17</v>
      </c>
      <c r="O85" s="5">
        <f>_xlfn.XLOOKUP(M85&amp;"-"&amp;N85,'Djøf Finance Workers'!D:D,'Djøf Finance Workers'!C:C,0,1)</f>
        <v>9307</v>
      </c>
      <c r="P85" s="5">
        <f>_xlfn.XLOOKUP(M85&amp;"-"&amp;N85,'Djøf Finance Hoppers'!D:D,'Djøf Finance Hoppers'!C:C,0,1)</f>
        <v>3004</v>
      </c>
      <c r="Q85" s="16">
        <f t="shared" si="8"/>
        <v>0.3227678091758891</v>
      </c>
    </row>
    <row r="86" spans="13:17" x14ac:dyDescent="0.35">
      <c r="M86" s="5">
        <v>2022</v>
      </c>
      <c r="N86" s="5" t="s">
        <v>18</v>
      </c>
      <c r="O86" s="5">
        <f>_xlfn.XLOOKUP(M86&amp;"-"&amp;N86,'Djøf Finance Workers'!D:D,'Djøf Finance Workers'!C:C,0,1)</f>
        <v>9287</v>
      </c>
      <c r="P86" s="5">
        <f>_xlfn.XLOOKUP(M86&amp;"-"&amp;N86,'Djøf Finance Hoppers'!D:D,'Djøf Finance Hoppers'!C:C,0,1)</f>
        <v>2511</v>
      </c>
      <c r="Q86" s="16">
        <f t="shared" si="8"/>
        <v>0.27037794766878431</v>
      </c>
    </row>
    <row r="87" spans="13:17" x14ac:dyDescent="0.35">
      <c r="M87" s="5">
        <v>2022</v>
      </c>
      <c r="N87" s="5" t="s">
        <v>19</v>
      </c>
      <c r="O87" s="5">
        <f>_xlfn.XLOOKUP(M87&amp;"-"&amp;N87,'Djøf Finance Workers'!D:D,'Djøf Finance Workers'!C:C,0,1)</f>
        <v>9808</v>
      </c>
      <c r="P87" s="5">
        <f>_xlfn.XLOOKUP(M87&amp;"-"&amp;N87,'Djøf Finance Hoppers'!D:D,'Djøf Finance Hoppers'!C:C,0,1)</f>
        <v>2191</v>
      </c>
      <c r="Q87" s="16">
        <f t="shared" si="8"/>
        <v>0.22338907014681891</v>
      </c>
    </row>
    <row r="88" spans="13:17" x14ac:dyDescent="0.35">
      <c r="M88" s="5">
        <v>2022</v>
      </c>
      <c r="N88" s="5" t="s">
        <v>20</v>
      </c>
      <c r="O88" s="5">
        <f>_xlfn.XLOOKUP(M88&amp;"-"&amp;N88,'Djøf Finance Workers'!D:D,'Djøf Finance Workers'!C:C,0,1)</f>
        <v>10063</v>
      </c>
      <c r="P88" s="5">
        <f>_xlfn.XLOOKUP(M88&amp;"-"&amp;N88,'Djøf Finance Hoppers'!D:D,'Djøf Finance Hoppers'!C:C,0,1)</f>
        <v>2044</v>
      </c>
      <c r="Q88" s="16">
        <f t="shared" si="8"/>
        <v>0.20312034184636787</v>
      </c>
    </row>
    <row r="89" spans="13:17" x14ac:dyDescent="0.35">
      <c r="M89" s="5">
        <v>2022</v>
      </c>
      <c r="N89" s="5" t="s">
        <v>21</v>
      </c>
      <c r="O89" s="5">
        <f>_xlfn.XLOOKUP(M89&amp;"-"&amp;N89,'Djøf Finance Workers'!D:D,'Djøf Finance Workers'!C:C,0,1)</f>
        <v>9799</v>
      </c>
      <c r="P89" s="5">
        <f>_xlfn.XLOOKUP(M89&amp;"-"&amp;N89,'Djøf Finance Hoppers'!D:D,'Djøf Finance Hoppers'!C:C,0,1)</f>
        <v>1683</v>
      </c>
      <c r="Q89" s="16">
        <f t="shared" si="8"/>
        <v>0.17175221961424636</v>
      </c>
    </row>
    <row r="90" spans="13:17" x14ac:dyDescent="0.35">
      <c r="M90" s="5">
        <v>2022</v>
      </c>
      <c r="N90" s="5" t="s">
        <v>22</v>
      </c>
      <c r="O90" s="5">
        <f>_xlfn.XLOOKUP(M90&amp;"-"&amp;N90,'Djøf Finance Workers'!D:D,'Djøf Finance Workers'!C:C,0,1)</f>
        <v>11340</v>
      </c>
      <c r="P90" s="5">
        <f>_xlfn.XLOOKUP(M90&amp;"-"&amp;N90,'Djøf Finance Hoppers'!D:D,'Djøf Finance Hoppers'!C:C,0,1)</f>
        <v>1578</v>
      </c>
      <c r="Q90" s="16">
        <f t="shared" si="8"/>
        <v>0.13915343915343914</v>
      </c>
    </row>
    <row r="91" spans="13:17" x14ac:dyDescent="0.35">
      <c r="M91" s="5">
        <v>2022</v>
      </c>
      <c r="N91" s="5" t="s">
        <v>23</v>
      </c>
      <c r="O91" s="5">
        <f>_xlfn.XLOOKUP(M91&amp;"-"&amp;N91,'Djøf Finance Workers'!D:D,'Djøf Finance Workers'!C:C,0,1)</f>
        <v>6943</v>
      </c>
      <c r="P91" s="5">
        <f>_xlfn.XLOOKUP(M91&amp;"-"&amp;N91,'Djøf Finance Hoppers'!D:D,'Djøf Finance Hoppers'!C:C,0,1)</f>
        <v>880</v>
      </c>
      <c r="Q91" s="16">
        <f t="shared" si="8"/>
        <v>0.12674636324355465</v>
      </c>
    </row>
    <row r="92" spans="13:17" x14ac:dyDescent="0.35">
      <c r="M92" s="5">
        <v>2022</v>
      </c>
      <c r="N92" s="5" t="s">
        <v>24</v>
      </c>
      <c r="O92" s="5">
        <f>_xlfn.XLOOKUP(M92&amp;"-"&amp;N92,'Djøf Finance Workers'!D:D,'Djøf Finance Workers'!C:C,0,1)</f>
        <v>2779</v>
      </c>
      <c r="P92" s="5">
        <f>_xlfn.XLOOKUP(M92&amp;"-"&amp;N92,'Djøf Finance Hoppers'!D:D,'Djøf Finance Hoppers'!C:C,0,1)</f>
        <v>265</v>
      </c>
      <c r="Q92" s="16">
        <f t="shared" si="8"/>
        <v>9.5358042461317016E-2</v>
      </c>
    </row>
    <row r="93" spans="13:17" x14ac:dyDescent="0.35">
      <c r="M93" s="5">
        <v>2023</v>
      </c>
      <c r="N93" s="5" t="s">
        <v>16</v>
      </c>
      <c r="O93" s="5">
        <f>_xlfn.XLOOKUP(M93&amp;"-"&amp;N93,'Djøf Finance Workers'!D:D,'Djøf Finance Workers'!C:C,0,1)</f>
        <v>8433</v>
      </c>
      <c r="P93" s="5">
        <f>_xlfn.XLOOKUP(M93&amp;"-"&amp;N93,'Djøf Finance Hoppers'!D:D,'Djøf Finance Hoppers'!C:C,0,1)</f>
        <v>3662</v>
      </c>
      <c r="Q93" s="16">
        <f t="shared" si="8"/>
        <v>0.43424641290169574</v>
      </c>
    </row>
    <row r="94" spans="13:17" x14ac:dyDescent="0.35">
      <c r="M94" s="5">
        <v>2023</v>
      </c>
      <c r="N94" s="5" t="s">
        <v>17</v>
      </c>
      <c r="O94" s="5">
        <f>_xlfn.XLOOKUP(M94&amp;"-"&amp;N94,'Djøf Finance Workers'!D:D,'Djøf Finance Workers'!C:C,0,1)</f>
        <v>9786</v>
      </c>
      <c r="P94" s="5">
        <f>_xlfn.XLOOKUP(M94&amp;"-"&amp;N94,'Djøf Finance Hoppers'!D:D,'Djøf Finance Hoppers'!C:C,0,1)</f>
        <v>2878</v>
      </c>
      <c r="Q94" s="16">
        <f t="shared" si="8"/>
        <v>0.29409360310647864</v>
      </c>
    </row>
    <row r="95" spans="13:17" x14ac:dyDescent="0.35">
      <c r="M95" s="5">
        <v>2023</v>
      </c>
      <c r="N95" s="5" t="s">
        <v>18</v>
      </c>
      <c r="O95" s="5">
        <f>_xlfn.XLOOKUP(M95&amp;"-"&amp;N95,'Djøf Finance Workers'!D:D,'Djøf Finance Workers'!C:C,0,1)</f>
        <v>9648</v>
      </c>
      <c r="P95" s="5">
        <f>_xlfn.XLOOKUP(M95&amp;"-"&amp;N95,'Djøf Finance Hoppers'!D:D,'Djøf Finance Hoppers'!C:C,0,1)</f>
        <v>2160</v>
      </c>
      <c r="Q95" s="16">
        <f t="shared" si="8"/>
        <v>0.22388059701492538</v>
      </c>
    </row>
    <row r="96" spans="13:17" x14ac:dyDescent="0.35">
      <c r="M96" s="5">
        <v>2023</v>
      </c>
      <c r="N96" s="5" t="s">
        <v>19</v>
      </c>
      <c r="O96" s="5">
        <f>_xlfn.XLOOKUP(M96&amp;"-"&amp;N96,'Djøf Finance Workers'!D:D,'Djøf Finance Workers'!C:C,0,1)</f>
        <v>9770</v>
      </c>
      <c r="P96" s="5">
        <f>_xlfn.XLOOKUP(M96&amp;"-"&amp;N96,'Djøf Finance Hoppers'!D:D,'Djøf Finance Hoppers'!C:C,0,1)</f>
        <v>1983</v>
      </c>
      <c r="Q96" s="16">
        <f t="shared" si="8"/>
        <v>0.20296827021494371</v>
      </c>
    </row>
    <row r="97" spans="13:17" x14ac:dyDescent="0.35">
      <c r="M97" s="5">
        <v>2023</v>
      </c>
      <c r="N97" s="5" t="s">
        <v>20</v>
      </c>
      <c r="O97" s="5">
        <f>_xlfn.XLOOKUP(M97&amp;"-"&amp;N97,'Djøf Finance Workers'!D:D,'Djøf Finance Workers'!C:C,0,1)</f>
        <v>10262</v>
      </c>
      <c r="P97" s="5">
        <f>_xlfn.XLOOKUP(M97&amp;"-"&amp;N97,'Djøf Finance Hoppers'!D:D,'Djøf Finance Hoppers'!C:C,0,1)</f>
        <v>1798</v>
      </c>
      <c r="Q97" s="16">
        <f t="shared" si="8"/>
        <v>0.17520951081660496</v>
      </c>
    </row>
    <row r="98" spans="13:17" x14ac:dyDescent="0.35">
      <c r="M98" s="5">
        <v>2023</v>
      </c>
      <c r="N98" s="5" t="s">
        <v>21</v>
      </c>
      <c r="O98" s="5">
        <f>_xlfn.XLOOKUP(M98&amp;"-"&amp;N98,'Djøf Finance Workers'!D:D,'Djøf Finance Workers'!C:C,0,1)</f>
        <v>9513</v>
      </c>
      <c r="P98" s="5">
        <f>_xlfn.XLOOKUP(M98&amp;"-"&amp;N98,'Djøf Finance Hoppers'!D:D,'Djøf Finance Hoppers'!C:C,0,1)</f>
        <v>1564</v>
      </c>
      <c r="Q98" s="16">
        <f t="shared" si="8"/>
        <v>0.1644066014926942</v>
      </c>
    </row>
    <row r="99" spans="13:17" x14ac:dyDescent="0.35">
      <c r="M99" s="5">
        <v>2023</v>
      </c>
      <c r="N99" s="5" t="s">
        <v>22</v>
      </c>
      <c r="O99" s="5">
        <f>_xlfn.XLOOKUP(M99&amp;"-"&amp;N99,'Djøf Finance Workers'!D:D,'Djøf Finance Workers'!C:C,0,1)</f>
        <v>11614</v>
      </c>
      <c r="P99" s="5">
        <f>_xlfn.XLOOKUP(M99&amp;"-"&amp;N99,'Djøf Finance Hoppers'!D:D,'Djøf Finance Hoppers'!C:C,0,1)</f>
        <v>1583</v>
      </c>
      <c r="Q99" s="16">
        <f t="shared" si="8"/>
        <v>0.13630101601515413</v>
      </c>
    </row>
    <row r="100" spans="13:17" x14ac:dyDescent="0.35">
      <c r="M100" s="5">
        <v>2023</v>
      </c>
      <c r="N100" s="5" t="s">
        <v>23</v>
      </c>
      <c r="O100" s="5">
        <f>_xlfn.XLOOKUP(M100&amp;"-"&amp;N100,'Djøf Finance Workers'!D:D,'Djøf Finance Workers'!C:C,0,1)</f>
        <v>7443</v>
      </c>
      <c r="P100" s="5">
        <f>_xlfn.XLOOKUP(M100&amp;"-"&amp;N100,'Djøf Finance Hoppers'!D:D,'Djøf Finance Hoppers'!C:C,0,1)</f>
        <v>896</v>
      </c>
      <c r="Q100" s="16">
        <f t="shared" si="8"/>
        <v>0.12038156657261857</v>
      </c>
    </row>
    <row r="101" spans="13:17" x14ac:dyDescent="0.35">
      <c r="M101" s="5">
        <v>2023</v>
      </c>
      <c r="N101" s="5" t="s">
        <v>24</v>
      </c>
      <c r="O101" s="5">
        <f>_xlfn.XLOOKUP(M101&amp;"-"&amp;N101,'Djøf Finance Workers'!D:D,'Djøf Finance Workers'!C:C,0,1)</f>
        <v>3139</v>
      </c>
      <c r="P101" s="5">
        <f>_xlfn.XLOOKUP(M101&amp;"-"&amp;N101,'Djøf Finance Hoppers'!D:D,'Djøf Finance Hoppers'!C:C,0,1)</f>
        <v>295</v>
      </c>
      <c r="Q101" s="16">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9" tint="0.79998168889431442"/>
  </sheetPr>
  <dimension ref="A1:D163"/>
  <sheetViews>
    <sheetView workbookViewId="0">
      <selection activeCell="C8" sqref="C8:C15"/>
    </sheetView>
  </sheetViews>
  <sheetFormatPr defaultRowHeight="14.5" x14ac:dyDescent="0.35"/>
  <cols>
    <col min="2" max="2" width="13" customWidth="1"/>
    <col min="3" max="3" width="56" customWidth="1"/>
  </cols>
  <sheetData>
    <row r="1" spans="1:4" ht="24" thickBot="1" x14ac:dyDescent="0.6">
      <c r="A1" s="6" t="s">
        <v>9</v>
      </c>
      <c r="B1" s="7"/>
      <c r="C1" s="7"/>
    </row>
    <row r="2" spans="1:4" ht="15" thickTop="1" x14ac:dyDescent="0.35">
      <c r="C2" s="8" t="s">
        <v>10</v>
      </c>
    </row>
    <row r="3" spans="1:4" x14ac:dyDescent="0.35">
      <c r="C3" s="8" t="s">
        <v>11</v>
      </c>
    </row>
    <row r="4" spans="1:4" x14ac:dyDescent="0.35">
      <c r="C4" s="8" t="s">
        <v>12</v>
      </c>
    </row>
    <row r="5" spans="1:4" x14ac:dyDescent="0.35">
      <c r="C5" s="8" t="s">
        <v>13</v>
      </c>
    </row>
    <row r="6" spans="1:4" x14ac:dyDescent="0.35">
      <c r="C6" s="8" t="s">
        <v>14</v>
      </c>
    </row>
    <row r="7" spans="1:4" x14ac:dyDescent="0.35">
      <c r="A7" s="8" t="s">
        <v>15</v>
      </c>
      <c r="B7" s="8" t="s">
        <v>16</v>
      </c>
      <c r="C7" s="9">
        <v>6876</v>
      </c>
      <c r="D7" t="str">
        <f t="shared" ref="D7:D70" si="0">A7&amp;"-"&amp;B7</f>
        <v>2008-25-29 år</v>
      </c>
    </row>
    <row r="8" spans="1:4" x14ac:dyDescent="0.35">
      <c r="A8" s="8" t="s">
        <v>15</v>
      </c>
      <c r="B8" s="8" t="s">
        <v>17</v>
      </c>
      <c r="C8" s="9">
        <v>8541</v>
      </c>
      <c r="D8" t="str">
        <f t="shared" si="0"/>
        <v>2008-30-34 år</v>
      </c>
    </row>
    <row r="9" spans="1:4" x14ac:dyDescent="0.35">
      <c r="A9" s="8" t="s">
        <v>15</v>
      </c>
      <c r="B9" s="8" t="s">
        <v>18</v>
      </c>
      <c r="C9" s="9">
        <v>8222</v>
      </c>
      <c r="D9" t="str">
        <f t="shared" si="0"/>
        <v>2008-35-39 år</v>
      </c>
    </row>
    <row r="10" spans="1:4" x14ac:dyDescent="0.35">
      <c r="A10" s="8" t="s">
        <v>15</v>
      </c>
      <c r="B10" s="8" t="s">
        <v>19</v>
      </c>
      <c r="C10" s="9">
        <v>11172</v>
      </c>
      <c r="D10" t="str">
        <f t="shared" si="0"/>
        <v>2008-40-44 år</v>
      </c>
    </row>
    <row r="11" spans="1:4" x14ac:dyDescent="0.35">
      <c r="A11" s="8" t="s">
        <v>15</v>
      </c>
      <c r="B11" s="8" t="s">
        <v>20</v>
      </c>
      <c r="C11" s="9">
        <v>9399</v>
      </c>
      <c r="D11" t="str">
        <f t="shared" si="0"/>
        <v>2008-45-49 år</v>
      </c>
    </row>
    <row r="12" spans="1:4" x14ac:dyDescent="0.35">
      <c r="A12" s="8" t="s">
        <v>15</v>
      </c>
      <c r="B12" s="8" t="s">
        <v>21</v>
      </c>
      <c r="C12" s="9">
        <v>8459</v>
      </c>
      <c r="D12" t="str">
        <f t="shared" si="0"/>
        <v>2008-50-54 år</v>
      </c>
    </row>
    <row r="13" spans="1:4" x14ac:dyDescent="0.35">
      <c r="A13" s="8" t="s">
        <v>15</v>
      </c>
      <c r="B13" s="8" t="s">
        <v>22</v>
      </c>
      <c r="C13" s="9">
        <v>7916</v>
      </c>
      <c r="D13" t="str">
        <f t="shared" si="0"/>
        <v>2008-55-59 år</v>
      </c>
    </row>
    <row r="14" spans="1:4" x14ac:dyDescent="0.35">
      <c r="A14" s="8" t="s">
        <v>15</v>
      </c>
      <c r="B14" s="8" t="s">
        <v>23</v>
      </c>
      <c r="C14" s="9">
        <v>4371</v>
      </c>
      <c r="D14" t="str">
        <f t="shared" si="0"/>
        <v>2008-60-64 år</v>
      </c>
    </row>
    <row r="15" spans="1:4" x14ac:dyDescent="0.35">
      <c r="A15" s="8" t="s">
        <v>15</v>
      </c>
      <c r="B15" s="8" t="s">
        <v>24</v>
      </c>
      <c r="C15" s="9">
        <v>857</v>
      </c>
      <c r="D15" t="str">
        <f t="shared" si="0"/>
        <v>2008-65+ år</v>
      </c>
    </row>
    <row r="16" spans="1:4" x14ac:dyDescent="0.35">
      <c r="A16" s="8" t="s">
        <v>25</v>
      </c>
      <c r="B16" s="8" t="s">
        <v>16</v>
      </c>
      <c r="C16" s="9">
        <v>7284</v>
      </c>
      <c r="D16" t="str">
        <f t="shared" si="0"/>
        <v>2009-25-29 år</v>
      </c>
    </row>
    <row r="17" spans="1:4" x14ac:dyDescent="0.35">
      <c r="A17" s="8" t="s">
        <v>25</v>
      </c>
      <c r="B17" s="8" t="s">
        <v>17</v>
      </c>
      <c r="C17" s="9">
        <v>9750</v>
      </c>
      <c r="D17" t="str">
        <f t="shared" si="0"/>
        <v>2009-30-34 år</v>
      </c>
    </row>
    <row r="18" spans="1:4" x14ac:dyDescent="0.35">
      <c r="A18" s="8" t="s">
        <v>25</v>
      </c>
      <c r="B18" s="8" t="s">
        <v>18</v>
      </c>
      <c r="C18" s="9">
        <v>9328</v>
      </c>
      <c r="D18" t="str">
        <f t="shared" si="0"/>
        <v>2009-35-39 år</v>
      </c>
    </row>
    <row r="19" spans="1:4" x14ac:dyDescent="0.35">
      <c r="A19" s="8" t="s">
        <v>25</v>
      </c>
      <c r="B19" s="8" t="s">
        <v>19</v>
      </c>
      <c r="C19" s="9">
        <v>12571</v>
      </c>
      <c r="D19" t="str">
        <f t="shared" si="0"/>
        <v>2009-40-44 år</v>
      </c>
    </row>
    <row r="20" spans="1:4" x14ac:dyDescent="0.35">
      <c r="A20" s="8" t="s">
        <v>25</v>
      </c>
      <c r="B20" s="8" t="s">
        <v>20</v>
      </c>
      <c r="C20" s="9">
        <v>11248</v>
      </c>
      <c r="D20" t="str">
        <f t="shared" si="0"/>
        <v>2009-45-49 år</v>
      </c>
    </row>
    <row r="21" spans="1:4" x14ac:dyDescent="0.35">
      <c r="A21" s="8" t="s">
        <v>25</v>
      </c>
      <c r="B21" s="8" t="s">
        <v>21</v>
      </c>
      <c r="C21" s="9">
        <v>9862</v>
      </c>
      <c r="D21" t="str">
        <f t="shared" si="0"/>
        <v>2009-50-54 år</v>
      </c>
    </row>
    <row r="22" spans="1:4" x14ac:dyDescent="0.35">
      <c r="A22" s="8" t="s">
        <v>25</v>
      </c>
      <c r="B22" s="8" t="s">
        <v>22</v>
      </c>
      <c r="C22" s="9">
        <v>9081</v>
      </c>
      <c r="D22" t="str">
        <f t="shared" si="0"/>
        <v>2009-55-59 år</v>
      </c>
    </row>
    <row r="23" spans="1:4" x14ac:dyDescent="0.35">
      <c r="A23" s="8" t="s">
        <v>25</v>
      </c>
      <c r="B23" s="8" t="s">
        <v>23</v>
      </c>
      <c r="C23" s="9">
        <v>5056</v>
      </c>
      <c r="D23" t="str">
        <f t="shared" si="0"/>
        <v>2009-60-64 år</v>
      </c>
    </row>
    <row r="24" spans="1:4" x14ac:dyDescent="0.35">
      <c r="A24" s="8" t="s">
        <v>25</v>
      </c>
      <c r="B24" s="8" t="s">
        <v>24</v>
      </c>
      <c r="C24" s="9">
        <v>984</v>
      </c>
      <c r="D24" t="str">
        <f t="shared" si="0"/>
        <v>2009-65+ år</v>
      </c>
    </row>
    <row r="25" spans="1:4" x14ac:dyDescent="0.35">
      <c r="A25" s="8" t="s">
        <v>26</v>
      </c>
      <c r="B25" s="8" t="s">
        <v>16</v>
      </c>
      <c r="C25" s="9">
        <v>6802</v>
      </c>
      <c r="D25" t="str">
        <f t="shared" si="0"/>
        <v>2010-25-29 år</v>
      </c>
    </row>
    <row r="26" spans="1:4" x14ac:dyDescent="0.35">
      <c r="A26" s="8" t="s">
        <v>26</v>
      </c>
      <c r="B26" s="8" t="s">
        <v>17</v>
      </c>
      <c r="C26" s="9">
        <v>9673</v>
      </c>
      <c r="D26" t="str">
        <f t="shared" si="0"/>
        <v>2010-30-34 år</v>
      </c>
    </row>
    <row r="27" spans="1:4" x14ac:dyDescent="0.35">
      <c r="A27" s="8" t="s">
        <v>26</v>
      </c>
      <c r="B27" s="8" t="s">
        <v>18</v>
      </c>
      <c r="C27" s="9">
        <v>9565</v>
      </c>
      <c r="D27" t="str">
        <f t="shared" si="0"/>
        <v>2010-35-39 år</v>
      </c>
    </row>
    <row r="28" spans="1:4" x14ac:dyDescent="0.35">
      <c r="A28" s="8" t="s">
        <v>26</v>
      </c>
      <c r="B28" s="8" t="s">
        <v>19</v>
      </c>
      <c r="C28" s="9">
        <v>11893</v>
      </c>
      <c r="D28" t="str">
        <f t="shared" si="0"/>
        <v>2010-40-44 år</v>
      </c>
    </row>
    <row r="29" spans="1:4" x14ac:dyDescent="0.35">
      <c r="A29" s="8" t="s">
        <v>26</v>
      </c>
      <c r="B29" s="8" t="s">
        <v>20</v>
      </c>
      <c r="C29" s="9">
        <v>11808</v>
      </c>
      <c r="D29" t="str">
        <f t="shared" si="0"/>
        <v>2010-45-49 år</v>
      </c>
    </row>
    <row r="30" spans="1:4" x14ac:dyDescent="0.35">
      <c r="A30" s="8" t="s">
        <v>26</v>
      </c>
      <c r="B30" s="8" t="s">
        <v>21</v>
      </c>
      <c r="C30" s="9">
        <v>10091</v>
      </c>
      <c r="D30" t="str">
        <f t="shared" si="0"/>
        <v>2010-50-54 år</v>
      </c>
    </row>
    <row r="31" spans="1:4" x14ac:dyDescent="0.35">
      <c r="A31" s="8" t="s">
        <v>26</v>
      </c>
      <c r="B31" s="8" t="s">
        <v>22</v>
      </c>
      <c r="C31" s="9">
        <v>9186</v>
      </c>
      <c r="D31" t="str">
        <f t="shared" si="0"/>
        <v>2010-55-59 år</v>
      </c>
    </row>
    <row r="32" spans="1:4" x14ac:dyDescent="0.35">
      <c r="A32" s="8" t="s">
        <v>26</v>
      </c>
      <c r="B32" s="8" t="s">
        <v>23</v>
      </c>
      <c r="C32" s="9">
        <v>5175</v>
      </c>
      <c r="D32" t="str">
        <f t="shared" si="0"/>
        <v>2010-60-64 år</v>
      </c>
    </row>
    <row r="33" spans="1:4" x14ac:dyDescent="0.35">
      <c r="A33" s="8" t="s">
        <v>26</v>
      </c>
      <c r="B33" s="8" t="s">
        <v>24</v>
      </c>
      <c r="C33" s="9">
        <v>1161</v>
      </c>
      <c r="D33" t="str">
        <f t="shared" si="0"/>
        <v>2010-65+ år</v>
      </c>
    </row>
    <row r="34" spans="1:4" x14ac:dyDescent="0.35">
      <c r="A34" s="8" t="s">
        <v>27</v>
      </c>
      <c r="B34" s="8" t="s">
        <v>16</v>
      </c>
      <c r="C34" s="9">
        <v>6619</v>
      </c>
      <c r="D34" t="str">
        <f t="shared" si="0"/>
        <v>2011-25-29 år</v>
      </c>
    </row>
    <row r="35" spans="1:4" x14ac:dyDescent="0.35">
      <c r="A35" s="8" t="s">
        <v>27</v>
      </c>
      <c r="B35" s="8" t="s">
        <v>17</v>
      </c>
      <c r="C35" s="9">
        <v>9409</v>
      </c>
      <c r="D35" t="str">
        <f t="shared" si="0"/>
        <v>2011-30-34 år</v>
      </c>
    </row>
    <row r="36" spans="1:4" x14ac:dyDescent="0.35">
      <c r="A36" s="8" t="s">
        <v>27</v>
      </c>
      <c r="B36" s="8" t="s">
        <v>18</v>
      </c>
      <c r="C36" s="9">
        <v>9809</v>
      </c>
      <c r="D36" t="str">
        <f t="shared" si="0"/>
        <v>2011-35-39 år</v>
      </c>
    </row>
    <row r="37" spans="1:4" x14ac:dyDescent="0.35">
      <c r="A37" s="8" t="s">
        <v>27</v>
      </c>
      <c r="B37" s="8" t="s">
        <v>19</v>
      </c>
      <c r="C37" s="9">
        <v>10924</v>
      </c>
      <c r="D37" t="str">
        <f t="shared" si="0"/>
        <v>2011-40-44 år</v>
      </c>
    </row>
    <row r="38" spans="1:4" x14ac:dyDescent="0.35">
      <c r="A38" s="8" t="s">
        <v>27</v>
      </c>
      <c r="B38" s="8" t="s">
        <v>20</v>
      </c>
      <c r="C38" s="9">
        <v>12323</v>
      </c>
      <c r="D38" t="str">
        <f t="shared" si="0"/>
        <v>2011-45-49 år</v>
      </c>
    </row>
    <row r="39" spans="1:4" x14ac:dyDescent="0.35">
      <c r="A39" s="8" t="s">
        <v>27</v>
      </c>
      <c r="B39" s="8" t="s">
        <v>21</v>
      </c>
      <c r="C39" s="9">
        <v>10305</v>
      </c>
      <c r="D39" t="str">
        <f t="shared" si="0"/>
        <v>2011-50-54 år</v>
      </c>
    </row>
    <row r="40" spans="1:4" x14ac:dyDescent="0.35">
      <c r="A40" s="8" t="s">
        <v>27</v>
      </c>
      <c r="B40" s="8" t="s">
        <v>22</v>
      </c>
      <c r="C40" s="9">
        <v>9210</v>
      </c>
      <c r="D40" t="str">
        <f t="shared" si="0"/>
        <v>2011-55-59 år</v>
      </c>
    </row>
    <row r="41" spans="1:4" x14ac:dyDescent="0.35">
      <c r="A41" s="8" t="s">
        <v>27</v>
      </c>
      <c r="B41" s="8" t="s">
        <v>23</v>
      </c>
      <c r="C41" s="9">
        <v>5200</v>
      </c>
      <c r="D41" t="str">
        <f t="shared" si="0"/>
        <v>2011-60-64 år</v>
      </c>
    </row>
    <row r="42" spans="1:4" x14ac:dyDescent="0.35">
      <c r="A42" s="8" t="s">
        <v>27</v>
      </c>
      <c r="B42" s="8" t="s">
        <v>24</v>
      </c>
      <c r="C42" s="9">
        <v>1320</v>
      </c>
      <c r="D42" t="str">
        <f t="shared" si="0"/>
        <v>2011-65+ år</v>
      </c>
    </row>
    <row r="43" spans="1:4" x14ac:dyDescent="0.35">
      <c r="A43" s="8" t="s">
        <v>28</v>
      </c>
      <c r="B43" s="8" t="s">
        <v>16</v>
      </c>
      <c r="C43" s="9">
        <v>6332</v>
      </c>
      <c r="D43" t="str">
        <f t="shared" si="0"/>
        <v>2012-25-29 år</v>
      </c>
    </row>
    <row r="44" spans="1:4" x14ac:dyDescent="0.35">
      <c r="A44" s="8" t="s">
        <v>28</v>
      </c>
      <c r="B44" s="8" t="s">
        <v>17</v>
      </c>
      <c r="C44" s="9">
        <v>8887</v>
      </c>
      <c r="D44" t="str">
        <f t="shared" si="0"/>
        <v>2012-30-34 år</v>
      </c>
    </row>
    <row r="45" spans="1:4" x14ac:dyDescent="0.35">
      <c r="A45" s="8" t="s">
        <v>28</v>
      </c>
      <c r="B45" s="8" t="s">
        <v>18</v>
      </c>
      <c r="C45" s="9">
        <v>9638</v>
      </c>
      <c r="D45" t="str">
        <f t="shared" si="0"/>
        <v>2012-35-39 år</v>
      </c>
    </row>
    <row r="46" spans="1:4" x14ac:dyDescent="0.35">
      <c r="A46" s="8" t="s">
        <v>28</v>
      </c>
      <c r="B46" s="8" t="s">
        <v>19</v>
      </c>
      <c r="C46" s="9">
        <v>9823</v>
      </c>
      <c r="D46" t="str">
        <f t="shared" si="0"/>
        <v>2012-40-44 år</v>
      </c>
    </row>
    <row r="47" spans="1:4" x14ac:dyDescent="0.35">
      <c r="A47" s="8" t="s">
        <v>28</v>
      </c>
      <c r="B47" s="8" t="s">
        <v>20</v>
      </c>
      <c r="C47" s="9">
        <v>12680</v>
      </c>
      <c r="D47" t="str">
        <f t="shared" si="0"/>
        <v>2012-45-49 år</v>
      </c>
    </row>
    <row r="48" spans="1:4" x14ac:dyDescent="0.35">
      <c r="A48" s="8" t="s">
        <v>28</v>
      </c>
      <c r="B48" s="8" t="s">
        <v>21</v>
      </c>
      <c r="C48" s="9">
        <v>10381</v>
      </c>
      <c r="D48" t="str">
        <f t="shared" si="0"/>
        <v>2012-50-54 år</v>
      </c>
    </row>
    <row r="49" spans="1:4" x14ac:dyDescent="0.35">
      <c r="A49" s="8" t="s">
        <v>28</v>
      </c>
      <c r="B49" s="8" t="s">
        <v>22</v>
      </c>
      <c r="C49" s="9">
        <v>9032</v>
      </c>
      <c r="D49" t="str">
        <f t="shared" si="0"/>
        <v>2012-55-59 år</v>
      </c>
    </row>
    <row r="50" spans="1:4" x14ac:dyDescent="0.35">
      <c r="A50" s="8" t="s">
        <v>28</v>
      </c>
      <c r="B50" s="8" t="s">
        <v>23</v>
      </c>
      <c r="C50" s="9">
        <v>5237</v>
      </c>
      <c r="D50" t="str">
        <f t="shared" si="0"/>
        <v>2012-60-64 år</v>
      </c>
    </row>
    <row r="51" spans="1:4" x14ac:dyDescent="0.35">
      <c r="A51" s="8" t="s">
        <v>28</v>
      </c>
      <c r="B51" s="8" t="s">
        <v>24</v>
      </c>
      <c r="C51" s="9">
        <v>1446</v>
      </c>
      <c r="D51" t="str">
        <f t="shared" si="0"/>
        <v>2012-65+ år</v>
      </c>
    </row>
    <row r="52" spans="1:4" x14ac:dyDescent="0.35">
      <c r="A52" s="8" t="s">
        <v>29</v>
      </c>
      <c r="B52" s="8" t="s">
        <v>16</v>
      </c>
      <c r="C52" s="9">
        <v>6202</v>
      </c>
      <c r="D52" t="str">
        <f t="shared" si="0"/>
        <v>2013-25-29 år</v>
      </c>
    </row>
    <row r="53" spans="1:4" x14ac:dyDescent="0.35">
      <c r="A53" s="8" t="s">
        <v>29</v>
      </c>
      <c r="B53" s="8" t="s">
        <v>17</v>
      </c>
      <c r="C53" s="9">
        <v>8560</v>
      </c>
      <c r="D53" t="str">
        <f t="shared" si="0"/>
        <v>2013-30-34 år</v>
      </c>
    </row>
    <row r="54" spans="1:4" x14ac:dyDescent="0.35">
      <c r="A54" s="8" t="s">
        <v>29</v>
      </c>
      <c r="B54" s="8" t="s">
        <v>18</v>
      </c>
      <c r="C54" s="9">
        <v>9790</v>
      </c>
      <c r="D54" t="str">
        <f t="shared" si="0"/>
        <v>2013-35-39 år</v>
      </c>
    </row>
    <row r="55" spans="1:4" x14ac:dyDescent="0.35">
      <c r="A55" s="8" t="s">
        <v>29</v>
      </c>
      <c r="B55" s="8" t="s">
        <v>19</v>
      </c>
      <c r="C55" s="9">
        <v>9383</v>
      </c>
      <c r="D55" t="str">
        <f t="shared" si="0"/>
        <v>2013-40-44 år</v>
      </c>
    </row>
    <row r="56" spans="1:4" x14ac:dyDescent="0.35">
      <c r="A56" s="8" t="s">
        <v>29</v>
      </c>
      <c r="B56" s="8" t="s">
        <v>20</v>
      </c>
      <c r="C56" s="9">
        <v>12762</v>
      </c>
      <c r="D56" t="str">
        <f t="shared" si="0"/>
        <v>2013-45-49 år</v>
      </c>
    </row>
    <row r="57" spans="1:4" x14ac:dyDescent="0.35">
      <c r="A57" s="8" t="s">
        <v>29</v>
      </c>
      <c r="B57" s="8" t="s">
        <v>21</v>
      </c>
      <c r="C57" s="9">
        <v>10587</v>
      </c>
      <c r="D57" t="str">
        <f t="shared" si="0"/>
        <v>2013-50-54 år</v>
      </c>
    </row>
    <row r="58" spans="1:4" x14ac:dyDescent="0.35">
      <c r="A58" s="8" t="s">
        <v>29</v>
      </c>
      <c r="B58" s="8" t="s">
        <v>22</v>
      </c>
      <c r="C58" s="9">
        <v>8811</v>
      </c>
      <c r="D58" t="str">
        <f t="shared" si="0"/>
        <v>2013-55-59 år</v>
      </c>
    </row>
    <row r="59" spans="1:4" x14ac:dyDescent="0.35">
      <c r="A59" s="8" t="s">
        <v>29</v>
      </c>
      <c r="B59" s="8" t="s">
        <v>23</v>
      </c>
      <c r="C59" s="9">
        <v>5072</v>
      </c>
      <c r="D59" t="str">
        <f t="shared" si="0"/>
        <v>2013-60-64 år</v>
      </c>
    </row>
    <row r="60" spans="1:4" x14ac:dyDescent="0.35">
      <c r="A60" s="8" t="s">
        <v>29</v>
      </c>
      <c r="B60" s="8" t="s">
        <v>24</v>
      </c>
      <c r="C60" s="9">
        <v>1539</v>
      </c>
      <c r="D60" t="str">
        <f t="shared" si="0"/>
        <v>2013-65+ år</v>
      </c>
    </row>
    <row r="61" spans="1:4" x14ac:dyDescent="0.35">
      <c r="A61" s="8" t="s">
        <v>30</v>
      </c>
      <c r="B61" s="8" t="s">
        <v>16</v>
      </c>
      <c r="C61" s="9">
        <v>6041</v>
      </c>
      <c r="D61" t="str">
        <f t="shared" si="0"/>
        <v>2014-25-29 år</v>
      </c>
    </row>
    <row r="62" spans="1:4" x14ac:dyDescent="0.35">
      <c r="A62" s="8" t="s">
        <v>30</v>
      </c>
      <c r="B62" s="8" t="s">
        <v>17</v>
      </c>
      <c r="C62" s="9">
        <v>8203</v>
      </c>
      <c r="D62" t="str">
        <f t="shared" si="0"/>
        <v>2014-30-34 år</v>
      </c>
    </row>
    <row r="63" spans="1:4" x14ac:dyDescent="0.35">
      <c r="A63" s="8" t="s">
        <v>30</v>
      </c>
      <c r="B63" s="8" t="s">
        <v>18</v>
      </c>
      <c r="C63" s="9">
        <v>9972</v>
      </c>
      <c r="D63" t="str">
        <f t="shared" si="0"/>
        <v>2014-35-39 år</v>
      </c>
    </row>
    <row r="64" spans="1:4" x14ac:dyDescent="0.35">
      <c r="A64" s="8" t="s">
        <v>30</v>
      </c>
      <c r="B64" s="8" t="s">
        <v>19</v>
      </c>
      <c r="C64" s="9">
        <v>9409</v>
      </c>
      <c r="D64" t="str">
        <f t="shared" si="0"/>
        <v>2014-40-44 år</v>
      </c>
    </row>
    <row r="65" spans="1:4" x14ac:dyDescent="0.35">
      <c r="A65" s="8" t="s">
        <v>30</v>
      </c>
      <c r="B65" s="8" t="s">
        <v>20</v>
      </c>
      <c r="C65" s="9">
        <v>12377</v>
      </c>
      <c r="D65" t="str">
        <f t="shared" si="0"/>
        <v>2014-45-49 år</v>
      </c>
    </row>
    <row r="66" spans="1:4" x14ac:dyDescent="0.35">
      <c r="A66" s="8" t="s">
        <v>30</v>
      </c>
      <c r="B66" s="8" t="s">
        <v>21</v>
      </c>
      <c r="C66" s="9">
        <v>10828</v>
      </c>
      <c r="D66" t="str">
        <f t="shared" si="0"/>
        <v>2014-50-54 år</v>
      </c>
    </row>
    <row r="67" spans="1:4" x14ac:dyDescent="0.35">
      <c r="A67" s="8" t="s">
        <v>30</v>
      </c>
      <c r="B67" s="8" t="s">
        <v>22</v>
      </c>
      <c r="C67" s="9">
        <v>8888</v>
      </c>
      <c r="D67" t="str">
        <f t="shared" si="0"/>
        <v>2014-55-59 år</v>
      </c>
    </row>
    <row r="68" spans="1:4" x14ac:dyDescent="0.35">
      <c r="A68" s="8" t="s">
        <v>30</v>
      </c>
      <c r="B68" s="8" t="s">
        <v>23</v>
      </c>
      <c r="C68" s="9">
        <v>5141</v>
      </c>
      <c r="D68" t="str">
        <f t="shared" si="0"/>
        <v>2014-60-64 år</v>
      </c>
    </row>
    <row r="69" spans="1:4" x14ac:dyDescent="0.35">
      <c r="A69" s="8" t="s">
        <v>30</v>
      </c>
      <c r="B69" s="8" t="s">
        <v>24</v>
      </c>
      <c r="C69" s="9">
        <v>1600</v>
      </c>
      <c r="D69" t="str">
        <f t="shared" si="0"/>
        <v>2014-65+ år</v>
      </c>
    </row>
    <row r="70" spans="1:4" x14ac:dyDescent="0.35">
      <c r="A70" s="8" t="s">
        <v>31</v>
      </c>
      <c r="B70" s="8" t="s">
        <v>16</v>
      </c>
      <c r="C70" s="9">
        <v>5834</v>
      </c>
      <c r="D70" t="str">
        <f t="shared" si="0"/>
        <v>2015-25-29 år</v>
      </c>
    </row>
    <row r="71" spans="1:4" x14ac:dyDescent="0.35">
      <c r="A71" s="8" t="s">
        <v>31</v>
      </c>
      <c r="B71" s="8" t="s">
        <v>17</v>
      </c>
      <c r="C71" s="9">
        <v>7834</v>
      </c>
      <c r="D71" t="str">
        <f t="shared" ref="D71:D134" si="1">A71&amp;"-"&amp;B71</f>
        <v>2015-30-34 år</v>
      </c>
    </row>
    <row r="72" spans="1:4" x14ac:dyDescent="0.35">
      <c r="A72" s="8" t="s">
        <v>31</v>
      </c>
      <c r="B72" s="8" t="s">
        <v>18</v>
      </c>
      <c r="C72" s="9">
        <v>9897</v>
      </c>
      <c r="D72" t="str">
        <f t="shared" si="1"/>
        <v>2015-35-39 år</v>
      </c>
    </row>
    <row r="73" spans="1:4" x14ac:dyDescent="0.35">
      <c r="A73" s="8" t="s">
        <v>31</v>
      </c>
      <c r="B73" s="8" t="s">
        <v>19</v>
      </c>
      <c r="C73" s="9">
        <v>9571</v>
      </c>
      <c r="D73" t="str">
        <f t="shared" si="1"/>
        <v>2015-40-44 år</v>
      </c>
    </row>
    <row r="74" spans="1:4" x14ac:dyDescent="0.35">
      <c r="A74" s="8" t="s">
        <v>31</v>
      </c>
      <c r="B74" s="8" t="s">
        <v>20</v>
      </c>
      <c r="C74" s="9">
        <v>11603</v>
      </c>
      <c r="D74" t="str">
        <f t="shared" si="1"/>
        <v>2015-45-49 år</v>
      </c>
    </row>
    <row r="75" spans="1:4" x14ac:dyDescent="0.35">
      <c r="A75" s="8" t="s">
        <v>31</v>
      </c>
      <c r="B75" s="8" t="s">
        <v>21</v>
      </c>
      <c r="C75" s="9">
        <v>11160</v>
      </c>
      <c r="D75" t="str">
        <f t="shared" si="1"/>
        <v>2015-50-54 år</v>
      </c>
    </row>
    <row r="76" spans="1:4" x14ac:dyDescent="0.35">
      <c r="A76" s="8" t="s">
        <v>31</v>
      </c>
      <c r="B76" s="8" t="s">
        <v>22</v>
      </c>
      <c r="C76" s="9">
        <v>8969</v>
      </c>
      <c r="D76" t="str">
        <f t="shared" si="1"/>
        <v>2015-55-59 år</v>
      </c>
    </row>
    <row r="77" spans="1:4" x14ac:dyDescent="0.35">
      <c r="A77" s="8" t="s">
        <v>31</v>
      </c>
      <c r="B77" s="8" t="s">
        <v>23</v>
      </c>
      <c r="C77" s="9">
        <v>5167</v>
      </c>
      <c r="D77" t="str">
        <f t="shared" si="1"/>
        <v>2015-60-64 år</v>
      </c>
    </row>
    <row r="78" spans="1:4" x14ac:dyDescent="0.35">
      <c r="A78" s="8" t="s">
        <v>31</v>
      </c>
      <c r="B78" s="8" t="s">
        <v>24</v>
      </c>
      <c r="C78" s="9">
        <v>1642</v>
      </c>
      <c r="D78" t="str">
        <f t="shared" si="1"/>
        <v>2015-65+ år</v>
      </c>
    </row>
    <row r="79" spans="1:4" x14ac:dyDescent="0.35">
      <c r="A79" s="8" t="s">
        <v>32</v>
      </c>
      <c r="B79" s="8" t="s">
        <v>16</v>
      </c>
      <c r="C79" s="9">
        <v>5701</v>
      </c>
      <c r="D79" t="str">
        <f t="shared" si="1"/>
        <v>2016-25-29 år</v>
      </c>
    </row>
    <row r="80" spans="1:4" x14ac:dyDescent="0.35">
      <c r="A80" s="8" t="s">
        <v>32</v>
      </c>
      <c r="B80" s="8" t="s">
        <v>17</v>
      </c>
      <c r="C80" s="9">
        <v>7831</v>
      </c>
      <c r="D80" t="str">
        <f t="shared" si="1"/>
        <v>2016-30-34 år</v>
      </c>
    </row>
    <row r="81" spans="1:4" x14ac:dyDescent="0.35">
      <c r="A81" s="8" t="s">
        <v>32</v>
      </c>
      <c r="B81" s="8" t="s">
        <v>18</v>
      </c>
      <c r="C81" s="9">
        <v>9564</v>
      </c>
      <c r="D81" t="str">
        <f t="shared" si="1"/>
        <v>2016-35-39 år</v>
      </c>
    </row>
    <row r="82" spans="1:4" x14ac:dyDescent="0.35">
      <c r="A82" s="8" t="s">
        <v>32</v>
      </c>
      <c r="B82" s="8" t="s">
        <v>19</v>
      </c>
      <c r="C82" s="9">
        <v>9711</v>
      </c>
      <c r="D82" t="str">
        <f t="shared" si="1"/>
        <v>2016-40-44 år</v>
      </c>
    </row>
    <row r="83" spans="1:4" x14ac:dyDescent="0.35">
      <c r="A83" s="8" t="s">
        <v>32</v>
      </c>
      <c r="B83" s="8" t="s">
        <v>20</v>
      </c>
      <c r="C83" s="9">
        <v>10533</v>
      </c>
      <c r="D83" t="str">
        <f t="shared" si="1"/>
        <v>2016-45-49 år</v>
      </c>
    </row>
    <row r="84" spans="1:4" x14ac:dyDescent="0.35">
      <c r="A84" s="8" t="s">
        <v>32</v>
      </c>
      <c r="B84" s="8" t="s">
        <v>21</v>
      </c>
      <c r="C84" s="9">
        <v>11490</v>
      </c>
      <c r="D84" t="str">
        <f t="shared" si="1"/>
        <v>2016-50-54 år</v>
      </c>
    </row>
    <row r="85" spans="1:4" x14ac:dyDescent="0.35">
      <c r="A85" s="8" t="s">
        <v>32</v>
      </c>
      <c r="B85" s="8" t="s">
        <v>22</v>
      </c>
      <c r="C85" s="9">
        <v>9121</v>
      </c>
      <c r="D85" t="str">
        <f t="shared" si="1"/>
        <v>2016-55-59 år</v>
      </c>
    </row>
    <row r="86" spans="1:4" x14ac:dyDescent="0.35">
      <c r="A86" s="8" t="s">
        <v>32</v>
      </c>
      <c r="B86" s="8" t="s">
        <v>23</v>
      </c>
      <c r="C86" s="9">
        <v>5304</v>
      </c>
      <c r="D86" t="str">
        <f t="shared" si="1"/>
        <v>2016-60-64 år</v>
      </c>
    </row>
    <row r="87" spans="1:4" x14ac:dyDescent="0.35">
      <c r="A87" s="8" t="s">
        <v>32</v>
      </c>
      <c r="B87" s="8" t="s">
        <v>24</v>
      </c>
      <c r="C87" s="9">
        <v>1680</v>
      </c>
      <c r="D87" t="str">
        <f t="shared" si="1"/>
        <v>2016-65+ år</v>
      </c>
    </row>
    <row r="88" spans="1:4" x14ac:dyDescent="0.35">
      <c r="A88" s="8" t="s">
        <v>33</v>
      </c>
      <c r="B88" s="8" t="s">
        <v>16</v>
      </c>
      <c r="C88" s="9">
        <v>5951</v>
      </c>
      <c r="D88" t="str">
        <f t="shared" si="1"/>
        <v>2017-25-29 år</v>
      </c>
    </row>
    <row r="89" spans="1:4" x14ac:dyDescent="0.35">
      <c r="A89" s="8" t="s">
        <v>33</v>
      </c>
      <c r="B89" s="8" t="s">
        <v>17</v>
      </c>
      <c r="C89" s="9">
        <v>8016</v>
      </c>
      <c r="D89" t="str">
        <f t="shared" si="1"/>
        <v>2017-30-34 år</v>
      </c>
    </row>
    <row r="90" spans="1:4" x14ac:dyDescent="0.35">
      <c r="A90" s="8" t="s">
        <v>33</v>
      </c>
      <c r="B90" s="8" t="s">
        <v>18</v>
      </c>
      <c r="C90" s="9">
        <v>9344</v>
      </c>
      <c r="D90" t="str">
        <f t="shared" si="1"/>
        <v>2017-35-39 år</v>
      </c>
    </row>
    <row r="91" spans="1:4" x14ac:dyDescent="0.35">
      <c r="A91" s="8" t="s">
        <v>33</v>
      </c>
      <c r="B91" s="8" t="s">
        <v>19</v>
      </c>
      <c r="C91" s="9">
        <v>9699</v>
      </c>
      <c r="D91" t="str">
        <f t="shared" si="1"/>
        <v>2017-40-44 år</v>
      </c>
    </row>
    <row r="92" spans="1:4" x14ac:dyDescent="0.35">
      <c r="A92" s="8" t="s">
        <v>33</v>
      </c>
      <c r="B92" s="8" t="s">
        <v>20</v>
      </c>
      <c r="C92" s="9">
        <v>9778</v>
      </c>
      <c r="D92" t="str">
        <f t="shared" si="1"/>
        <v>2017-45-49 år</v>
      </c>
    </row>
    <row r="93" spans="1:4" x14ac:dyDescent="0.35">
      <c r="A93" s="8" t="s">
        <v>33</v>
      </c>
      <c r="B93" s="8" t="s">
        <v>21</v>
      </c>
      <c r="C93" s="9">
        <v>11940</v>
      </c>
      <c r="D93" t="str">
        <f t="shared" si="1"/>
        <v>2017-50-54 år</v>
      </c>
    </row>
    <row r="94" spans="1:4" x14ac:dyDescent="0.35">
      <c r="A94" s="8" t="s">
        <v>33</v>
      </c>
      <c r="B94" s="8" t="s">
        <v>22</v>
      </c>
      <c r="C94" s="9">
        <v>9231</v>
      </c>
      <c r="D94" t="str">
        <f t="shared" si="1"/>
        <v>2017-55-59 år</v>
      </c>
    </row>
    <row r="95" spans="1:4" x14ac:dyDescent="0.35">
      <c r="A95" s="8" t="s">
        <v>33</v>
      </c>
      <c r="B95" s="8" t="s">
        <v>23</v>
      </c>
      <c r="C95" s="9">
        <v>5403</v>
      </c>
      <c r="D95" t="str">
        <f t="shared" si="1"/>
        <v>2017-60-64 år</v>
      </c>
    </row>
    <row r="96" spans="1:4" x14ac:dyDescent="0.35">
      <c r="A96" s="8" t="s">
        <v>33</v>
      </c>
      <c r="B96" s="8" t="s">
        <v>24</v>
      </c>
      <c r="C96" s="9">
        <v>1775</v>
      </c>
      <c r="D96" t="str">
        <f t="shared" si="1"/>
        <v>2017-65+ år</v>
      </c>
    </row>
    <row r="97" spans="1:4" x14ac:dyDescent="0.35">
      <c r="A97" s="8" t="s">
        <v>34</v>
      </c>
      <c r="B97" s="8" t="s">
        <v>16</v>
      </c>
      <c r="C97" s="9">
        <v>6353</v>
      </c>
      <c r="D97" t="str">
        <f t="shared" si="1"/>
        <v>2018-25-29 år</v>
      </c>
    </row>
    <row r="98" spans="1:4" x14ac:dyDescent="0.35">
      <c r="A98" s="8" t="s">
        <v>34</v>
      </c>
      <c r="B98" s="8" t="s">
        <v>17</v>
      </c>
      <c r="C98" s="9">
        <v>8276</v>
      </c>
      <c r="D98" t="str">
        <f t="shared" si="1"/>
        <v>2018-30-34 år</v>
      </c>
    </row>
    <row r="99" spans="1:4" x14ac:dyDescent="0.35">
      <c r="A99" s="8" t="s">
        <v>34</v>
      </c>
      <c r="B99" s="8" t="s">
        <v>18</v>
      </c>
      <c r="C99" s="9">
        <v>9245</v>
      </c>
      <c r="D99" t="str">
        <f t="shared" si="1"/>
        <v>2018-35-39 år</v>
      </c>
    </row>
    <row r="100" spans="1:4" x14ac:dyDescent="0.35">
      <c r="A100" s="8" t="s">
        <v>34</v>
      </c>
      <c r="B100" s="8" t="s">
        <v>19</v>
      </c>
      <c r="C100" s="9">
        <v>9937</v>
      </c>
      <c r="D100" t="str">
        <f t="shared" si="1"/>
        <v>2018-40-44 år</v>
      </c>
    </row>
    <row r="101" spans="1:4" x14ac:dyDescent="0.35">
      <c r="A101" s="8" t="s">
        <v>34</v>
      </c>
      <c r="B101" s="8" t="s">
        <v>20</v>
      </c>
      <c r="C101" s="9">
        <v>9488</v>
      </c>
      <c r="D101" t="str">
        <f t="shared" si="1"/>
        <v>2018-45-49 år</v>
      </c>
    </row>
    <row r="102" spans="1:4" x14ac:dyDescent="0.35">
      <c r="A102" s="8" t="s">
        <v>34</v>
      </c>
      <c r="B102" s="8" t="s">
        <v>21</v>
      </c>
      <c r="C102" s="9">
        <v>12171</v>
      </c>
      <c r="D102" t="str">
        <f t="shared" si="1"/>
        <v>2018-50-54 år</v>
      </c>
    </row>
    <row r="103" spans="1:4" x14ac:dyDescent="0.35">
      <c r="A103" s="8" t="s">
        <v>34</v>
      </c>
      <c r="B103" s="8" t="s">
        <v>22</v>
      </c>
      <c r="C103" s="9">
        <v>9537</v>
      </c>
      <c r="D103" t="str">
        <f t="shared" si="1"/>
        <v>2018-55-59 år</v>
      </c>
    </row>
    <row r="104" spans="1:4" x14ac:dyDescent="0.35">
      <c r="A104" s="8" t="s">
        <v>34</v>
      </c>
      <c r="B104" s="8" t="s">
        <v>23</v>
      </c>
      <c r="C104" s="9">
        <v>5638</v>
      </c>
      <c r="D104" t="str">
        <f t="shared" si="1"/>
        <v>2018-60-64 år</v>
      </c>
    </row>
    <row r="105" spans="1:4" x14ac:dyDescent="0.35">
      <c r="A105" s="8" t="s">
        <v>34</v>
      </c>
      <c r="B105" s="8" t="s">
        <v>24</v>
      </c>
      <c r="C105" s="9">
        <v>1897</v>
      </c>
      <c r="D105" t="str">
        <f t="shared" si="1"/>
        <v>2018-65+ år</v>
      </c>
    </row>
    <row r="106" spans="1:4" x14ac:dyDescent="0.35">
      <c r="A106" s="8" t="s">
        <v>35</v>
      </c>
      <c r="B106" s="8" t="s">
        <v>16</v>
      </c>
      <c r="C106" s="9">
        <v>6883</v>
      </c>
      <c r="D106" t="str">
        <f t="shared" si="1"/>
        <v>2019-25-29 år</v>
      </c>
    </row>
    <row r="107" spans="1:4" x14ac:dyDescent="0.35">
      <c r="A107" s="8" t="s">
        <v>35</v>
      </c>
      <c r="B107" s="8" t="s">
        <v>17</v>
      </c>
      <c r="C107" s="9">
        <v>8461</v>
      </c>
      <c r="D107" t="str">
        <f t="shared" si="1"/>
        <v>2019-30-34 år</v>
      </c>
    </row>
    <row r="108" spans="1:4" x14ac:dyDescent="0.35">
      <c r="A108" s="8" t="s">
        <v>35</v>
      </c>
      <c r="B108" s="8" t="s">
        <v>18</v>
      </c>
      <c r="C108" s="9">
        <v>9057</v>
      </c>
      <c r="D108" t="str">
        <f t="shared" si="1"/>
        <v>2019-35-39 år</v>
      </c>
    </row>
    <row r="109" spans="1:4" x14ac:dyDescent="0.35">
      <c r="A109" s="8" t="s">
        <v>35</v>
      </c>
      <c r="B109" s="8" t="s">
        <v>19</v>
      </c>
      <c r="C109" s="9">
        <v>10158</v>
      </c>
      <c r="D109" t="str">
        <f t="shared" si="1"/>
        <v>2019-40-44 år</v>
      </c>
    </row>
    <row r="110" spans="1:4" x14ac:dyDescent="0.35">
      <c r="A110" s="8" t="s">
        <v>35</v>
      </c>
      <c r="B110" s="8" t="s">
        <v>20</v>
      </c>
      <c r="C110" s="9">
        <v>9482</v>
      </c>
      <c r="D110" t="str">
        <f t="shared" si="1"/>
        <v>2019-45-49 år</v>
      </c>
    </row>
    <row r="111" spans="1:4" x14ac:dyDescent="0.35">
      <c r="A111" s="8" t="s">
        <v>35</v>
      </c>
      <c r="B111" s="8" t="s">
        <v>21</v>
      </c>
      <c r="C111" s="9">
        <v>11866</v>
      </c>
      <c r="D111" t="str">
        <f t="shared" si="1"/>
        <v>2019-50-54 år</v>
      </c>
    </row>
    <row r="112" spans="1:4" x14ac:dyDescent="0.35">
      <c r="A112" s="8" t="s">
        <v>35</v>
      </c>
      <c r="B112" s="8" t="s">
        <v>22</v>
      </c>
      <c r="C112" s="9">
        <v>9811</v>
      </c>
      <c r="D112" t="str">
        <f t="shared" si="1"/>
        <v>2019-55-59 år</v>
      </c>
    </row>
    <row r="113" spans="1:4" x14ac:dyDescent="0.35">
      <c r="A113" s="8" t="s">
        <v>35</v>
      </c>
      <c r="B113" s="8" t="s">
        <v>23</v>
      </c>
      <c r="C113" s="9">
        <v>5907</v>
      </c>
      <c r="D113" t="str">
        <f t="shared" si="1"/>
        <v>2019-60-64 år</v>
      </c>
    </row>
    <row r="114" spans="1:4" x14ac:dyDescent="0.35">
      <c r="A114" s="8" t="s">
        <v>35</v>
      </c>
      <c r="B114" s="8" t="s">
        <v>24</v>
      </c>
      <c r="C114" s="9">
        <v>2030</v>
      </c>
      <c r="D114" t="str">
        <f t="shared" si="1"/>
        <v>2019-65+ år</v>
      </c>
    </row>
    <row r="115" spans="1:4" x14ac:dyDescent="0.35">
      <c r="A115" s="8" t="s">
        <v>36</v>
      </c>
      <c r="B115" s="8" t="s">
        <v>16</v>
      </c>
      <c r="C115" s="9">
        <v>7337</v>
      </c>
      <c r="D115" t="str">
        <f t="shared" si="1"/>
        <v>2020-25-29 år</v>
      </c>
    </row>
    <row r="116" spans="1:4" x14ac:dyDescent="0.35">
      <c r="A116" s="8" t="s">
        <v>36</v>
      </c>
      <c r="B116" s="8" t="s">
        <v>17</v>
      </c>
      <c r="C116" s="9">
        <v>8658</v>
      </c>
      <c r="D116" t="str">
        <f t="shared" si="1"/>
        <v>2020-30-34 år</v>
      </c>
    </row>
    <row r="117" spans="1:4" x14ac:dyDescent="0.35">
      <c r="A117" s="8" t="s">
        <v>36</v>
      </c>
      <c r="B117" s="8" t="s">
        <v>18</v>
      </c>
      <c r="C117" s="9">
        <v>8798</v>
      </c>
      <c r="D117" t="str">
        <f t="shared" si="1"/>
        <v>2020-35-39 år</v>
      </c>
    </row>
    <row r="118" spans="1:4" x14ac:dyDescent="0.35">
      <c r="A118" s="8" t="s">
        <v>36</v>
      </c>
      <c r="B118" s="8" t="s">
        <v>19</v>
      </c>
      <c r="C118" s="9">
        <v>10129</v>
      </c>
      <c r="D118" t="str">
        <f t="shared" si="1"/>
        <v>2020-40-44 år</v>
      </c>
    </row>
    <row r="119" spans="1:4" x14ac:dyDescent="0.35">
      <c r="A119" s="8" t="s">
        <v>36</v>
      </c>
      <c r="B119" s="8" t="s">
        <v>20</v>
      </c>
      <c r="C119" s="9">
        <v>9740</v>
      </c>
      <c r="D119" t="str">
        <f t="shared" si="1"/>
        <v>2020-45-49 år</v>
      </c>
    </row>
    <row r="120" spans="1:4" x14ac:dyDescent="0.35">
      <c r="A120" s="8" t="s">
        <v>36</v>
      </c>
      <c r="B120" s="8" t="s">
        <v>21</v>
      </c>
      <c r="C120" s="9">
        <v>11187</v>
      </c>
      <c r="D120" t="str">
        <f t="shared" si="1"/>
        <v>2020-50-54 år</v>
      </c>
    </row>
    <row r="121" spans="1:4" x14ac:dyDescent="0.35">
      <c r="A121" s="8" t="s">
        <v>36</v>
      </c>
      <c r="B121" s="8" t="s">
        <v>22</v>
      </c>
      <c r="C121" s="9">
        <v>10215</v>
      </c>
      <c r="D121" t="str">
        <f t="shared" si="1"/>
        <v>2020-55-59 år</v>
      </c>
    </row>
    <row r="122" spans="1:4" x14ac:dyDescent="0.35">
      <c r="A122" s="8" t="s">
        <v>36</v>
      </c>
      <c r="B122" s="8" t="s">
        <v>23</v>
      </c>
      <c r="C122" s="9">
        <v>6305</v>
      </c>
      <c r="D122" t="str">
        <f t="shared" si="1"/>
        <v>2020-60-64 år</v>
      </c>
    </row>
    <row r="123" spans="1:4" x14ac:dyDescent="0.35">
      <c r="A123" s="8" t="s">
        <v>36</v>
      </c>
      <c r="B123" s="8" t="s">
        <v>24</v>
      </c>
      <c r="C123" s="9">
        <v>2231</v>
      </c>
      <c r="D123" t="str">
        <f t="shared" si="1"/>
        <v>2020-65+ år</v>
      </c>
    </row>
    <row r="124" spans="1:4" x14ac:dyDescent="0.35">
      <c r="A124" s="8" t="s">
        <v>37</v>
      </c>
      <c r="B124" s="8" t="s">
        <v>16</v>
      </c>
      <c r="C124" s="9">
        <v>7687</v>
      </c>
      <c r="D124" t="str">
        <f t="shared" si="1"/>
        <v>2021-25-29 år</v>
      </c>
    </row>
    <row r="125" spans="1:4" x14ac:dyDescent="0.35">
      <c r="A125" s="8" t="s">
        <v>37</v>
      </c>
      <c r="B125" s="8" t="s">
        <v>17</v>
      </c>
      <c r="C125" s="9">
        <v>8844</v>
      </c>
      <c r="D125" t="str">
        <f t="shared" si="1"/>
        <v>2021-30-34 år</v>
      </c>
    </row>
    <row r="126" spans="1:4" x14ac:dyDescent="0.35">
      <c r="A126" s="8" t="s">
        <v>37</v>
      </c>
      <c r="B126" s="8" t="s">
        <v>18</v>
      </c>
      <c r="C126" s="9">
        <v>8987</v>
      </c>
      <c r="D126" t="str">
        <f t="shared" si="1"/>
        <v>2021-35-39 år</v>
      </c>
    </row>
    <row r="127" spans="1:4" x14ac:dyDescent="0.35">
      <c r="A127" s="8" t="s">
        <v>37</v>
      </c>
      <c r="B127" s="8" t="s">
        <v>19</v>
      </c>
      <c r="C127" s="9">
        <v>10002</v>
      </c>
      <c r="D127" t="str">
        <f t="shared" si="1"/>
        <v>2021-40-44 år</v>
      </c>
    </row>
    <row r="128" spans="1:4" x14ac:dyDescent="0.35">
      <c r="A128" s="8" t="s">
        <v>37</v>
      </c>
      <c r="B128" s="8" t="s">
        <v>20</v>
      </c>
      <c r="C128" s="9">
        <v>10036</v>
      </c>
      <c r="D128" t="str">
        <f t="shared" si="1"/>
        <v>2021-45-49 år</v>
      </c>
    </row>
    <row r="129" spans="1:4" x14ac:dyDescent="0.35">
      <c r="A129" s="8" t="s">
        <v>37</v>
      </c>
      <c r="B129" s="8" t="s">
        <v>21</v>
      </c>
      <c r="C129" s="9">
        <v>10467</v>
      </c>
      <c r="D129" t="str">
        <f t="shared" si="1"/>
        <v>2021-50-54 år</v>
      </c>
    </row>
    <row r="130" spans="1:4" x14ac:dyDescent="0.35">
      <c r="A130" s="8" t="s">
        <v>37</v>
      </c>
      <c r="B130" s="8" t="s">
        <v>22</v>
      </c>
      <c r="C130" s="9">
        <v>10749</v>
      </c>
      <c r="D130" t="str">
        <f t="shared" si="1"/>
        <v>2021-55-59 år</v>
      </c>
    </row>
    <row r="131" spans="1:4" x14ac:dyDescent="0.35">
      <c r="A131" s="8" t="s">
        <v>37</v>
      </c>
      <c r="B131" s="8" t="s">
        <v>23</v>
      </c>
      <c r="C131" s="9">
        <v>6688</v>
      </c>
      <c r="D131" t="str">
        <f t="shared" si="1"/>
        <v>2021-60-64 år</v>
      </c>
    </row>
    <row r="132" spans="1:4" x14ac:dyDescent="0.35">
      <c r="A132" s="8" t="s">
        <v>37</v>
      </c>
      <c r="B132" s="8" t="s">
        <v>24</v>
      </c>
      <c r="C132" s="9">
        <v>2522</v>
      </c>
      <c r="D132" t="str">
        <f t="shared" si="1"/>
        <v>2021-65+ år</v>
      </c>
    </row>
    <row r="133" spans="1:4" x14ac:dyDescent="0.35">
      <c r="A133" s="8" t="s">
        <v>38</v>
      </c>
      <c r="B133" s="8" t="s">
        <v>16</v>
      </c>
      <c r="C133" s="9">
        <v>8107</v>
      </c>
      <c r="D133" t="str">
        <f t="shared" si="1"/>
        <v>2022-25-29 år</v>
      </c>
    </row>
    <row r="134" spans="1:4" x14ac:dyDescent="0.35">
      <c r="A134" s="8" t="s">
        <v>38</v>
      </c>
      <c r="B134" s="8" t="s">
        <v>17</v>
      </c>
      <c r="C134" s="9">
        <v>9307</v>
      </c>
      <c r="D134" t="str">
        <f t="shared" si="1"/>
        <v>2022-30-34 år</v>
      </c>
    </row>
    <row r="135" spans="1:4" x14ac:dyDescent="0.35">
      <c r="A135" s="8" t="s">
        <v>38</v>
      </c>
      <c r="B135" s="8" t="s">
        <v>18</v>
      </c>
      <c r="C135" s="9">
        <v>9287</v>
      </c>
      <c r="D135" t="str">
        <f t="shared" ref="D135:D158" si="2">A135&amp;"-"&amp;B135</f>
        <v>2022-35-39 år</v>
      </c>
    </row>
    <row r="136" spans="1:4" x14ac:dyDescent="0.35">
      <c r="A136" s="8" t="s">
        <v>38</v>
      </c>
      <c r="B136" s="8" t="s">
        <v>19</v>
      </c>
      <c r="C136" s="9">
        <v>9808</v>
      </c>
      <c r="D136" t="str">
        <f t="shared" si="2"/>
        <v>2022-40-44 år</v>
      </c>
    </row>
    <row r="137" spans="1:4" x14ac:dyDescent="0.35">
      <c r="A137" s="8" t="s">
        <v>38</v>
      </c>
      <c r="B137" s="8" t="s">
        <v>20</v>
      </c>
      <c r="C137" s="9">
        <v>10063</v>
      </c>
      <c r="D137" t="str">
        <f t="shared" si="2"/>
        <v>2022-45-49 år</v>
      </c>
    </row>
    <row r="138" spans="1:4" x14ac:dyDescent="0.35">
      <c r="A138" s="8" t="s">
        <v>38</v>
      </c>
      <c r="B138" s="8" t="s">
        <v>21</v>
      </c>
      <c r="C138" s="9">
        <v>9799</v>
      </c>
      <c r="D138" t="str">
        <f t="shared" si="2"/>
        <v>2022-50-54 år</v>
      </c>
    </row>
    <row r="139" spans="1:4" x14ac:dyDescent="0.35">
      <c r="A139" s="8" t="s">
        <v>38</v>
      </c>
      <c r="B139" s="8" t="s">
        <v>22</v>
      </c>
      <c r="C139" s="9">
        <v>11340</v>
      </c>
      <c r="D139" t="str">
        <f t="shared" si="2"/>
        <v>2022-55-59 år</v>
      </c>
    </row>
    <row r="140" spans="1:4" x14ac:dyDescent="0.35">
      <c r="A140" s="8" t="s">
        <v>38</v>
      </c>
      <c r="B140" s="8" t="s">
        <v>23</v>
      </c>
      <c r="C140" s="9">
        <v>6943</v>
      </c>
      <c r="D140" t="str">
        <f t="shared" si="2"/>
        <v>2022-60-64 år</v>
      </c>
    </row>
    <row r="141" spans="1:4" x14ac:dyDescent="0.35">
      <c r="A141" s="8" t="s">
        <v>38</v>
      </c>
      <c r="B141" s="8" t="s">
        <v>24</v>
      </c>
      <c r="C141" s="9">
        <v>2779</v>
      </c>
      <c r="D141" t="str">
        <f t="shared" si="2"/>
        <v>2022-65+ år</v>
      </c>
    </row>
    <row r="142" spans="1:4" x14ac:dyDescent="0.35">
      <c r="A142" s="8" t="s">
        <v>39</v>
      </c>
      <c r="B142" s="8" t="s">
        <v>16</v>
      </c>
      <c r="C142" s="9">
        <v>8433</v>
      </c>
      <c r="D142" t="str">
        <f t="shared" si="2"/>
        <v>2023-25-29 år</v>
      </c>
    </row>
    <row r="143" spans="1:4" x14ac:dyDescent="0.35">
      <c r="A143" s="8" t="s">
        <v>39</v>
      </c>
      <c r="B143" s="8" t="s">
        <v>17</v>
      </c>
      <c r="C143" s="9">
        <v>9786</v>
      </c>
      <c r="D143" t="str">
        <f t="shared" si="2"/>
        <v>2023-30-34 år</v>
      </c>
    </row>
    <row r="144" spans="1:4" x14ac:dyDescent="0.35">
      <c r="A144" s="8" t="s">
        <v>39</v>
      </c>
      <c r="B144" s="8" t="s">
        <v>18</v>
      </c>
      <c r="C144" s="9">
        <v>9648</v>
      </c>
      <c r="D144" t="str">
        <f t="shared" si="2"/>
        <v>2023-35-39 år</v>
      </c>
    </row>
    <row r="145" spans="1:4" x14ac:dyDescent="0.35">
      <c r="A145" s="8" t="s">
        <v>39</v>
      </c>
      <c r="B145" s="8" t="s">
        <v>19</v>
      </c>
      <c r="C145" s="9">
        <v>9770</v>
      </c>
      <c r="D145" t="str">
        <f t="shared" si="2"/>
        <v>2023-40-44 år</v>
      </c>
    </row>
    <row r="146" spans="1:4" x14ac:dyDescent="0.35">
      <c r="A146" s="8" t="s">
        <v>39</v>
      </c>
      <c r="B146" s="8" t="s">
        <v>20</v>
      </c>
      <c r="C146" s="9">
        <v>10262</v>
      </c>
      <c r="D146" t="str">
        <f t="shared" si="2"/>
        <v>2023-45-49 år</v>
      </c>
    </row>
    <row r="147" spans="1:4" x14ac:dyDescent="0.35">
      <c r="A147" s="8" t="s">
        <v>39</v>
      </c>
      <c r="B147" s="8" t="s">
        <v>21</v>
      </c>
      <c r="C147" s="9">
        <v>9513</v>
      </c>
      <c r="D147" t="str">
        <f t="shared" si="2"/>
        <v>2023-50-54 år</v>
      </c>
    </row>
    <row r="148" spans="1:4" x14ac:dyDescent="0.35">
      <c r="A148" s="8" t="s">
        <v>39</v>
      </c>
      <c r="B148" s="8" t="s">
        <v>22</v>
      </c>
      <c r="C148" s="9">
        <v>11614</v>
      </c>
      <c r="D148" t="str">
        <f t="shared" si="2"/>
        <v>2023-55-59 år</v>
      </c>
    </row>
    <row r="149" spans="1:4" x14ac:dyDescent="0.35">
      <c r="A149" s="8" t="s">
        <v>39</v>
      </c>
      <c r="B149" s="8" t="s">
        <v>23</v>
      </c>
      <c r="C149" s="9">
        <v>7443</v>
      </c>
      <c r="D149" t="str">
        <f t="shared" si="2"/>
        <v>2023-60-64 år</v>
      </c>
    </row>
    <row r="150" spans="1:4" x14ac:dyDescent="0.35">
      <c r="A150" s="8" t="s">
        <v>39</v>
      </c>
      <c r="B150" s="8" t="s">
        <v>24</v>
      </c>
      <c r="C150" s="9">
        <v>3139</v>
      </c>
      <c r="D150" t="str">
        <f t="shared" si="2"/>
        <v>2023-65+ år</v>
      </c>
    </row>
    <row r="151" spans="1:4" x14ac:dyDescent="0.35">
      <c r="A151" s="8" t="s">
        <v>40</v>
      </c>
      <c r="B151" s="8" t="s">
        <v>16</v>
      </c>
      <c r="C151" s="9">
        <v>8560</v>
      </c>
      <c r="D151" t="str">
        <f t="shared" si="2"/>
        <v>2024-25-29 år</v>
      </c>
    </row>
    <row r="152" spans="1:4" x14ac:dyDescent="0.35">
      <c r="A152" s="8" t="s">
        <v>40</v>
      </c>
      <c r="B152" s="8" t="s">
        <v>17</v>
      </c>
      <c r="C152" s="9">
        <v>10150</v>
      </c>
      <c r="D152" t="str">
        <f t="shared" si="2"/>
        <v>2024-30-34 år</v>
      </c>
    </row>
    <row r="153" spans="1:4" x14ac:dyDescent="0.35">
      <c r="A153" s="8" t="s">
        <v>40</v>
      </c>
      <c r="B153" s="8" t="s">
        <v>18</v>
      </c>
      <c r="C153" s="9">
        <v>9885</v>
      </c>
      <c r="D153" t="str">
        <f t="shared" si="2"/>
        <v>2024-35-39 år</v>
      </c>
    </row>
    <row r="154" spans="1:4" x14ac:dyDescent="0.35">
      <c r="A154" s="8" t="s">
        <v>40</v>
      </c>
      <c r="B154" s="8" t="s">
        <v>19</v>
      </c>
      <c r="C154" s="9">
        <v>9594</v>
      </c>
      <c r="D154" t="str">
        <f t="shared" si="2"/>
        <v>2024-40-44 år</v>
      </c>
    </row>
    <row r="155" spans="1:4" x14ac:dyDescent="0.35">
      <c r="A155" s="8" t="s">
        <v>40</v>
      </c>
      <c r="B155" s="8" t="s">
        <v>20</v>
      </c>
      <c r="C155" s="9">
        <v>10483</v>
      </c>
      <c r="D155" t="str">
        <f t="shared" si="2"/>
        <v>2024-45-49 år</v>
      </c>
    </row>
    <row r="156" spans="1:4" x14ac:dyDescent="0.35">
      <c r="A156" s="8" t="s">
        <v>40</v>
      </c>
      <c r="B156" s="8" t="s">
        <v>21</v>
      </c>
      <c r="C156" s="9">
        <v>9604</v>
      </c>
      <c r="D156" t="str">
        <f t="shared" si="2"/>
        <v>2024-50-54 år</v>
      </c>
    </row>
    <row r="157" spans="1:4" x14ac:dyDescent="0.35">
      <c r="A157" s="8" t="s">
        <v>40</v>
      </c>
      <c r="B157" s="8" t="s">
        <v>22</v>
      </c>
      <c r="C157" s="9">
        <v>11402</v>
      </c>
      <c r="D157" t="str">
        <f t="shared" si="2"/>
        <v>2024-55-59 år</v>
      </c>
    </row>
    <row r="158" spans="1:4" x14ac:dyDescent="0.35">
      <c r="A158" s="8" t="s">
        <v>40</v>
      </c>
      <c r="B158" s="8" t="s">
        <v>23</v>
      </c>
      <c r="C158" s="9">
        <v>7871</v>
      </c>
      <c r="D158" t="str">
        <f t="shared" si="2"/>
        <v>2024-60-64 år</v>
      </c>
    </row>
    <row r="159" spans="1:4" ht="15" thickBot="1" x14ac:dyDescent="0.4">
      <c r="A159" s="8" t="s">
        <v>40</v>
      </c>
      <c r="B159" s="8" t="s">
        <v>24</v>
      </c>
      <c r="C159" s="9">
        <v>3573</v>
      </c>
      <c r="D159" t="str">
        <f>A159&amp;"-"&amp;B159</f>
        <v>2024-65+ år</v>
      </c>
    </row>
    <row r="160" spans="1:4" ht="15" thickTop="1" x14ac:dyDescent="0.35">
      <c r="A160" s="10"/>
      <c r="B160" s="10"/>
      <c r="C160" s="10"/>
    </row>
    <row r="162" spans="1:1" x14ac:dyDescent="0.35">
      <c r="A162" t="s">
        <v>41</v>
      </c>
    </row>
    <row r="163" spans="1:1" x14ac:dyDescent="0.35">
      <c r="A163" t="s">
        <v>42</v>
      </c>
    </row>
  </sheetData>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9" tint="0.79998168889431442"/>
  </sheetPr>
  <dimension ref="A1:D146"/>
  <sheetViews>
    <sheetView workbookViewId="0">
      <selection activeCell="C8" sqref="C8:C13"/>
    </sheetView>
  </sheetViews>
  <sheetFormatPr defaultRowHeight="14.5" x14ac:dyDescent="0.35"/>
  <cols>
    <col min="2" max="2" width="13" customWidth="1"/>
    <col min="3" max="3" width="31" customWidth="1"/>
  </cols>
  <sheetData>
    <row r="1" spans="1:4" ht="24" thickBot="1" x14ac:dyDescent="0.6">
      <c r="A1" s="6" t="s">
        <v>43</v>
      </c>
      <c r="B1" s="7"/>
      <c r="C1" s="7"/>
    </row>
    <row r="2" spans="1:4" ht="15" thickTop="1" x14ac:dyDescent="0.35">
      <c r="C2" s="8" t="s">
        <v>10</v>
      </c>
    </row>
    <row r="3" spans="1:4" x14ac:dyDescent="0.35">
      <c r="C3" s="8" t="s">
        <v>44</v>
      </c>
    </row>
    <row r="4" spans="1:4" x14ac:dyDescent="0.35">
      <c r="C4" s="8" t="s">
        <v>11</v>
      </c>
    </row>
    <row r="5" spans="1:4" x14ac:dyDescent="0.35">
      <c r="C5" s="8" t="s">
        <v>12</v>
      </c>
    </row>
    <row r="6" spans="1:4" x14ac:dyDescent="0.35">
      <c r="C6" s="8" t="s">
        <v>13</v>
      </c>
    </row>
    <row r="7" spans="1:4" x14ac:dyDescent="0.35">
      <c r="C7" s="8" t="s">
        <v>45</v>
      </c>
    </row>
    <row r="8" spans="1:4" x14ac:dyDescent="0.35">
      <c r="A8" s="8" t="s">
        <v>25</v>
      </c>
      <c r="B8" s="8" t="s">
        <v>16</v>
      </c>
      <c r="C8" s="9">
        <v>3410</v>
      </c>
      <c r="D8" t="str">
        <f t="shared" ref="D8:D71" si="0">A8&amp;"-"&amp;B8</f>
        <v>2009-25-29 år</v>
      </c>
    </row>
    <row r="9" spans="1:4" x14ac:dyDescent="0.35">
      <c r="A9" s="8" t="s">
        <v>25</v>
      </c>
      <c r="B9" s="8" t="s">
        <v>17</v>
      </c>
      <c r="C9" s="9">
        <v>3525</v>
      </c>
      <c r="D9" t="str">
        <f t="shared" si="0"/>
        <v>2009-30-34 år</v>
      </c>
    </row>
    <row r="10" spans="1:4" x14ac:dyDescent="0.35">
      <c r="A10" s="8" t="s">
        <v>25</v>
      </c>
      <c r="B10" s="8" t="s">
        <v>18</v>
      </c>
      <c r="C10" s="9">
        <v>3090</v>
      </c>
      <c r="D10" t="str">
        <f t="shared" si="0"/>
        <v>2009-35-39 år</v>
      </c>
    </row>
    <row r="11" spans="1:4" x14ac:dyDescent="0.35">
      <c r="A11" s="8" t="s">
        <v>25</v>
      </c>
      <c r="B11" s="8" t="s">
        <v>19</v>
      </c>
      <c r="C11" s="9">
        <v>4180</v>
      </c>
      <c r="D11" t="str">
        <f t="shared" si="0"/>
        <v>2009-40-44 år</v>
      </c>
    </row>
    <row r="12" spans="1:4" x14ac:dyDescent="0.35">
      <c r="A12" s="8" t="s">
        <v>25</v>
      </c>
      <c r="B12" s="8" t="s">
        <v>20</v>
      </c>
      <c r="C12" s="9">
        <v>3533</v>
      </c>
      <c r="D12" t="str">
        <f t="shared" si="0"/>
        <v>2009-45-49 år</v>
      </c>
    </row>
    <row r="13" spans="1:4" x14ac:dyDescent="0.35">
      <c r="A13" s="8" t="s">
        <v>25</v>
      </c>
      <c r="B13" s="8" t="s">
        <v>21</v>
      </c>
      <c r="C13" s="9">
        <v>2940</v>
      </c>
      <c r="D13" t="str">
        <f t="shared" si="0"/>
        <v>2009-50-54 år</v>
      </c>
    </row>
    <row r="14" spans="1:4" x14ac:dyDescent="0.35">
      <c r="A14" s="8" t="s">
        <v>25</v>
      </c>
      <c r="B14" s="8" t="s">
        <v>22</v>
      </c>
      <c r="C14" s="9">
        <v>2419</v>
      </c>
      <c r="D14" t="str">
        <f t="shared" si="0"/>
        <v>2009-55-59 år</v>
      </c>
    </row>
    <row r="15" spans="1:4" x14ac:dyDescent="0.35">
      <c r="A15" s="8" t="s">
        <v>25</v>
      </c>
      <c r="B15" s="8" t="s">
        <v>23</v>
      </c>
      <c r="C15" s="9">
        <v>1263</v>
      </c>
      <c r="D15" t="str">
        <f t="shared" si="0"/>
        <v>2009-60-64 år</v>
      </c>
    </row>
    <row r="16" spans="1:4" x14ac:dyDescent="0.35">
      <c r="A16" s="8" t="s">
        <v>25</v>
      </c>
      <c r="B16" s="8" t="s">
        <v>46</v>
      </c>
      <c r="C16" s="9">
        <v>196</v>
      </c>
      <c r="D16" t="str">
        <f t="shared" si="0"/>
        <v>2009-65-69 år</v>
      </c>
    </row>
    <row r="17" spans="1:4" x14ac:dyDescent="0.35">
      <c r="A17" s="8" t="s">
        <v>26</v>
      </c>
      <c r="B17" s="8" t="s">
        <v>16</v>
      </c>
      <c r="C17" s="9">
        <v>2457</v>
      </c>
      <c r="D17" t="str">
        <f t="shared" si="0"/>
        <v>2010-25-29 år</v>
      </c>
    </row>
    <row r="18" spans="1:4" x14ac:dyDescent="0.35">
      <c r="A18" s="8" t="s">
        <v>26</v>
      </c>
      <c r="B18" s="8" t="s">
        <v>17</v>
      </c>
      <c r="C18" s="9">
        <v>2382</v>
      </c>
      <c r="D18" t="str">
        <f t="shared" si="0"/>
        <v>2010-30-34 år</v>
      </c>
    </row>
    <row r="19" spans="1:4" x14ac:dyDescent="0.35">
      <c r="A19" s="8" t="s">
        <v>26</v>
      </c>
      <c r="B19" s="8" t="s">
        <v>18</v>
      </c>
      <c r="C19" s="9">
        <v>1880</v>
      </c>
      <c r="D19" t="str">
        <f t="shared" si="0"/>
        <v>2010-35-39 år</v>
      </c>
    </row>
    <row r="20" spans="1:4" x14ac:dyDescent="0.35">
      <c r="A20" s="8" t="s">
        <v>26</v>
      </c>
      <c r="B20" s="8" t="s">
        <v>19</v>
      </c>
      <c r="C20" s="9">
        <v>2045</v>
      </c>
      <c r="D20" t="str">
        <f t="shared" si="0"/>
        <v>2010-40-44 år</v>
      </c>
    </row>
    <row r="21" spans="1:4" x14ac:dyDescent="0.35">
      <c r="A21" s="8" t="s">
        <v>26</v>
      </c>
      <c r="B21" s="8" t="s">
        <v>20</v>
      </c>
      <c r="C21" s="9">
        <v>1826</v>
      </c>
      <c r="D21" t="str">
        <f t="shared" si="0"/>
        <v>2010-45-49 år</v>
      </c>
    </row>
    <row r="22" spans="1:4" x14ac:dyDescent="0.35">
      <c r="A22" s="8" t="s">
        <v>26</v>
      </c>
      <c r="B22" s="8" t="s">
        <v>21</v>
      </c>
      <c r="C22" s="9">
        <v>1417</v>
      </c>
      <c r="D22" t="str">
        <f t="shared" si="0"/>
        <v>2010-50-54 år</v>
      </c>
    </row>
    <row r="23" spans="1:4" x14ac:dyDescent="0.35">
      <c r="A23" s="8" t="s">
        <v>26</v>
      </c>
      <c r="B23" s="8" t="s">
        <v>22</v>
      </c>
      <c r="C23" s="9">
        <v>1229</v>
      </c>
      <c r="D23" t="str">
        <f t="shared" si="0"/>
        <v>2010-55-59 år</v>
      </c>
    </row>
    <row r="24" spans="1:4" x14ac:dyDescent="0.35">
      <c r="A24" s="8" t="s">
        <v>26</v>
      </c>
      <c r="B24" s="8" t="s">
        <v>23</v>
      </c>
      <c r="C24" s="9">
        <v>712</v>
      </c>
      <c r="D24" t="str">
        <f t="shared" si="0"/>
        <v>2010-60-64 år</v>
      </c>
    </row>
    <row r="25" spans="1:4" x14ac:dyDescent="0.35">
      <c r="A25" s="8" t="s">
        <v>26</v>
      </c>
      <c r="B25" s="8" t="s">
        <v>46</v>
      </c>
      <c r="C25" s="9">
        <v>220</v>
      </c>
      <c r="D25" t="str">
        <f t="shared" si="0"/>
        <v>2010-65-69 år</v>
      </c>
    </row>
    <row r="26" spans="1:4" x14ac:dyDescent="0.35">
      <c r="A26" s="8" t="s">
        <v>27</v>
      </c>
      <c r="B26" s="8" t="s">
        <v>16</v>
      </c>
      <c r="C26" s="9">
        <v>2791</v>
      </c>
      <c r="D26" t="str">
        <f t="shared" si="0"/>
        <v>2011-25-29 år</v>
      </c>
    </row>
    <row r="27" spans="1:4" x14ac:dyDescent="0.35">
      <c r="A27" s="8" t="s">
        <v>27</v>
      </c>
      <c r="B27" s="8" t="s">
        <v>17</v>
      </c>
      <c r="C27" s="9">
        <v>2600</v>
      </c>
      <c r="D27" t="str">
        <f t="shared" si="0"/>
        <v>2011-30-34 år</v>
      </c>
    </row>
    <row r="28" spans="1:4" x14ac:dyDescent="0.35">
      <c r="A28" s="8" t="s">
        <v>27</v>
      </c>
      <c r="B28" s="8" t="s">
        <v>18</v>
      </c>
      <c r="C28" s="9">
        <v>2164</v>
      </c>
      <c r="D28" t="str">
        <f t="shared" si="0"/>
        <v>2011-35-39 år</v>
      </c>
    </row>
    <row r="29" spans="1:4" x14ac:dyDescent="0.35">
      <c r="A29" s="8" t="s">
        <v>27</v>
      </c>
      <c r="B29" s="8" t="s">
        <v>19</v>
      </c>
      <c r="C29" s="9">
        <v>2134</v>
      </c>
      <c r="D29" t="str">
        <f t="shared" si="0"/>
        <v>2011-40-44 år</v>
      </c>
    </row>
    <row r="30" spans="1:4" x14ac:dyDescent="0.35">
      <c r="A30" s="8" t="s">
        <v>27</v>
      </c>
      <c r="B30" s="8" t="s">
        <v>20</v>
      </c>
      <c r="C30" s="9">
        <v>2030</v>
      </c>
      <c r="D30" t="str">
        <f t="shared" si="0"/>
        <v>2011-45-49 år</v>
      </c>
    </row>
    <row r="31" spans="1:4" x14ac:dyDescent="0.35">
      <c r="A31" s="8" t="s">
        <v>27</v>
      </c>
      <c r="B31" s="8" t="s">
        <v>21</v>
      </c>
      <c r="C31" s="9">
        <v>1660</v>
      </c>
      <c r="D31" t="str">
        <f t="shared" si="0"/>
        <v>2011-50-54 år</v>
      </c>
    </row>
    <row r="32" spans="1:4" x14ac:dyDescent="0.35">
      <c r="A32" s="8" t="s">
        <v>27</v>
      </c>
      <c r="B32" s="8" t="s">
        <v>22</v>
      </c>
      <c r="C32" s="9">
        <v>1415</v>
      </c>
      <c r="D32" t="str">
        <f t="shared" si="0"/>
        <v>2011-55-59 år</v>
      </c>
    </row>
    <row r="33" spans="1:4" x14ac:dyDescent="0.35">
      <c r="A33" s="8" t="s">
        <v>27</v>
      </c>
      <c r="B33" s="8" t="s">
        <v>23</v>
      </c>
      <c r="C33" s="9">
        <v>726</v>
      </c>
      <c r="D33" t="str">
        <f t="shared" si="0"/>
        <v>2011-60-64 år</v>
      </c>
    </row>
    <row r="34" spans="1:4" x14ac:dyDescent="0.35">
      <c r="A34" s="8" t="s">
        <v>27</v>
      </c>
      <c r="B34" s="8" t="s">
        <v>46</v>
      </c>
      <c r="C34" s="9">
        <v>197</v>
      </c>
      <c r="D34" t="str">
        <f t="shared" si="0"/>
        <v>2011-65-69 år</v>
      </c>
    </row>
    <row r="35" spans="1:4" x14ac:dyDescent="0.35">
      <c r="A35" s="8" t="s">
        <v>28</v>
      </c>
      <c r="B35" s="8" t="s">
        <v>16</v>
      </c>
      <c r="C35" s="9">
        <v>2457</v>
      </c>
      <c r="D35" t="str">
        <f t="shared" si="0"/>
        <v>2012-25-29 år</v>
      </c>
    </row>
    <row r="36" spans="1:4" x14ac:dyDescent="0.35">
      <c r="A36" s="8" t="s">
        <v>28</v>
      </c>
      <c r="B36" s="8" t="s">
        <v>17</v>
      </c>
      <c r="C36" s="9">
        <v>2116</v>
      </c>
      <c r="D36" t="str">
        <f t="shared" si="0"/>
        <v>2012-30-34 år</v>
      </c>
    </row>
    <row r="37" spans="1:4" x14ac:dyDescent="0.35">
      <c r="A37" s="8" t="s">
        <v>28</v>
      </c>
      <c r="B37" s="8" t="s">
        <v>18</v>
      </c>
      <c r="C37" s="9">
        <v>1935</v>
      </c>
      <c r="D37" t="str">
        <f t="shared" si="0"/>
        <v>2012-35-39 år</v>
      </c>
    </row>
    <row r="38" spans="1:4" x14ac:dyDescent="0.35">
      <c r="A38" s="8" t="s">
        <v>28</v>
      </c>
      <c r="B38" s="8" t="s">
        <v>19</v>
      </c>
      <c r="C38" s="9">
        <v>1734</v>
      </c>
      <c r="D38" t="str">
        <f t="shared" si="0"/>
        <v>2012-40-44 år</v>
      </c>
    </row>
    <row r="39" spans="1:4" x14ac:dyDescent="0.35">
      <c r="A39" s="8" t="s">
        <v>28</v>
      </c>
      <c r="B39" s="8" t="s">
        <v>20</v>
      </c>
      <c r="C39" s="9">
        <v>1913</v>
      </c>
      <c r="D39" t="str">
        <f t="shared" si="0"/>
        <v>2012-45-49 år</v>
      </c>
    </row>
    <row r="40" spans="1:4" x14ac:dyDescent="0.35">
      <c r="A40" s="8" t="s">
        <v>28</v>
      </c>
      <c r="B40" s="8" t="s">
        <v>21</v>
      </c>
      <c r="C40" s="9">
        <v>1465</v>
      </c>
      <c r="D40" t="str">
        <f t="shared" si="0"/>
        <v>2012-50-54 år</v>
      </c>
    </row>
    <row r="41" spans="1:4" x14ac:dyDescent="0.35">
      <c r="A41" s="8" t="s">
        <v>28</v>
      </c>
      <c r="B41" s="8" t="s">
        <v>22</v>
      </c>
      <c r="C41" s="9">
        <v>1254</v>
      </c>
      <c r="D41" t="str">
        <f t="shared" si="0"/>
        <v>2012-55-59 år</v>
      </c>
    </row>
    <row r="42" spans="1:4" x14ac:dyDescent="0.35">
      <c r="A42" s="8" t="s">
        <v>28</v>
      </c>
      <c r="B42" s="8" t="s">
        <v>23</v>
      </c>
      <c r="C42" s="9">
        <v>718</v>
      </c>
      <c r="D42" t="str">
        <f t="shared" si="0"/>
        <v>2012-60-64 år</v>
      </c>
    </row>
    <row r="43" spans="1:4" x14ac:dyDescent="0.35">
      <c r="A43" s="8" t="s">
        <v>28</v>
      </c>
      <c r="B43" s="8" t="s">
        <v>46</v>
      </c>
      <c r="C43" s="9">
        <v>208</v>
      </c>
      <c r="D43" t="str">
        <f t="shared" si="0"/>
        <v>2012-65-69 år</v>
      </c>
    </row>
    <row r="44" spans="1:4" x14ac:dyDescent="0.35">
      <c r="A44" s="8" t="s">
        <v>29</v>
      </c>
      <c r="B44" s="8" t="s">
        <v>16</v>
      </c>
      <c r="C44" s="9">
        <v>2524</v>
      </c>
      <c r="D44" t="str">
        <f t="shared" si="0"/>
        <v>2013-25-29 år</v>
      </c>
    </row>
    <row r="45" spans="1:4" x14ac:dyDescent="0.35">
      <c r="A45" s="8" t="s">
        <v>29</v>
      </c>
      <c r="B45" s="8" t="s">
        <v>17</v>
      </c>
      <c r="C45" s="9">
        <v>2176</v>
      </c>
      <c r="D45" t="str">
        <f t="shared" si="0"/>
        <v>2013-30-34 år</v>
      </c>
    </row>
    <row r="46" spans="1:4" x14ac:dyDescent="0.35">
      <c r="A46" s="8" t="s">
        <v>29</v>
      </c>
      <c r="B46" s="8" t="s">
        <v>18</v>
      </c>
      <c r="C46" s="9">
        <v>1896</v>
      </c>
      <c r="D46" t="str">
        <f t="shared" si="0"/>
        <v>2013-35-39 år</v>
      </c>
    </row>
    <row r="47" spans="1:4" x14ac:dyDescent="0.35">
      <c r="A47" s="8" t="s">
        <v>29</v>
      </c>
      <c r="B47" s="8" t="s">
        <v>19</v>
      </c>
      <c r="C47" s="9">
        <v>1579</v>
      </c>
      <c r="D47" t="str">
        <f t="shared" si="0"/>
        <v>2013-40-44 år</v>
      </c>
    </row>
    <row r="48" spans="1:4" x14ac:dyDescent="0.35">
      <c r="A48" s="8" t="s">
        <v>29</v>
      </c>
      <c r="B48" s="8" t="s">
        <v>20</v>
      </c>
      <c r="C48" s="9">
        <v>1915</v>
      </c>
      <c r="D48" t="str">
        <f t="shared" si="0"/>
        <v>2013-45-49 år</v>
      </c>
    </row>
    <row r="49" spans="1:4" x14ac:dyDescent="0.35">
      <c r="A49" s="8" t="s">
        <v>29</v>
      </c>
      <c r="B49" s="8" t="s">
        <v>21</v>
      </c>
      <c r="C49" s="9">
        <v>1462</v>
      </c>
      <c r="D49" t="str">
        <f t="shared" si="0"/>
        <v>2013-50-54 år</v>
      </c>
    </row>
    <row r="50" spans="1:4" x14ac:dyDescent="0.35">
      <c r="A50" s="8" t="s">
        <v>29</v>
      </c>
      <c r="B50" s="8" t="s">
        <v>22</v>
      </c>
      <c r="C50" s="9">
        <v>1227</v>
      </c>
      <c r="D50" t="str">
        <f t="shared" si="0"/>
        <v>2013-55-59 år</v>
      </c>
    </row>
    <row r="51" spans="1:4" x14ac:dyDescent="0.35">
      <c r="A51" s="8" t="s">
        <v>29</v>
      </c>
      <c r="B51" s="8" t="s">
        <v>23</v>
      </c>
      <c r="C51" s="9">
        <v>667</v>
      </c>
      <c r="D51" t="str">
        <f t="shared" si="0"/>
        <v>2013-60-64 år</v>
      </c>
    </row>
    <row r="52" spans="1:4" x14ac:dyDescent="0.35">
      <c r="A52" s="8" t="s">
        <v>29</v>
      </c>
      <c r="B52" s="8" t="s">
        <v>46</v>
      </c>
      <c r="C52" s="9">
        <v>224</v>
      </c>
      <c r="D52" t="str">
        <f t="shared" si="0"/>
        <v>2013-65-69 år</v>
      </c>
    </row>
    <row r="53" spans="1:4" x14ac:dyDescent="0.35">
      <c r="A53" s="8" t="s">
        <v>30</v>
      </c>
      <c r="B53" s="8" t="s">
        <v>16</v>
      </c>
      <c r="C53" s="9">
        <v>2521</v>
      </c>
      <c r="D53" t="str">
        <f t="shared" si="0"/>
        <v>2014-25-29 år</v>
      </c>
    </row>
    <row r="54" spans="1:4" x14ac:dyDescent="0.35">
      <c r="A54" s="8" t="s">
        <v>30</v>
      </c>
      <c r="B54" s="8" t="s">
        <v>17</v>
      </c>
      <c r="C54" s="9">
        <v>2178</v>
      </c>
      <c r="D54" t="str">
        <f t="shared" si="0"/>
        <v>2014-30-34 år</v>
      </c>
    </row>
    <row r="55" spans="1:4" x14ac:dyDescent="0.35">
      <c r="A55" s="8" t="s">
        <v>30</v>
      </c>
      <c r="B55" s="8" t="s">
        <v>18</v>
      </c>
      <c r="C55" s="9">
        <v>2066</v>
      </c>
      <c r="D55" t="str">
        <f t="shared" si="0"/>
        <v>2014-35-39 år</v>
      </c>
    </row>
    <row r="56" spans="1:4" x14ac:dyDescent="0.35">
      <c r="A56" s="8" t="s">
        <v>30</v>
      </c>
      <c r="B56" s="8" t="s">
        <v>19</v>
      </c>
      <c r="C56" s="9">
        <v>1647</v>
      </c>
      <c r="D56" t="str">
        <f t="shared" si="0"/>
        <v>2014-40-44 år</v>
      </c>
    </row>
    <row r="57" spans="1:4" x14ac:dyDescent="0.35">
      <c r="A57" s="8" t="s">
        <v>30</v>
      </c>
      <c r="B57" s="8" t="s">
        <v>20</v>
      </c>
      <c r="C57" s="9">
        <v>1953</v>
      </c>
      <c r="D57" t="str">
        <f t="shared" si="0"/>
        <v>2014-45-49 år</v>
      </c>
    </row>
    <row r="58" spans="1:4" x14ac:dyDescent="0.35">
      <c r="A58" s="8" t="s">
        <v>30</v>
      </c>
      <c r="B58" s="8" t="s">
        <v>21</v>
      </c>
      <c r="C58" s="9">
        <v>1636</v>
      </c>
      <c r="D58" t="str">
        <f t="shared" si="0"/>
        <v>2014-50-54 år</v>
      </c>
    </row>
    <row r="59" spans="1:4" x14ac:dyDescent="0.35">
      <c r="A59" s="8" t="s">
        <v>30</v>
      </c>
      <c r="B59" s="8" t="s">
        <v>22</v>
      </c>
      <c r="C59" s="9">
        <v>1231</v>
      </c>
      <c r="D59" t="str">
        <f t="shared" si="0"/>
        <v>2014-55-59 år</v>
      </c>
    </row>
    <row r="60" spans="1:4" x14ac:dyDescent="0.35">
      <c r="A60" s="8" t="s">
        <v>30</v>
      </c>
      <c r="B60" s="8" t="s">
        <v>23</v>
      </c>
      <c r="C60" s="9">
        <v>706</v>
      </c>
      <c r="D60" t="str">
        <f t="shared" si="0"/>
        <v>2014-60-64 år</v>
      </c>
    </row>
    <row r="61" spans="1:4" x14ac:dyDescent="0.35">
      <c r="A61" s="8" t="s">
        <v>30</v>
      </c>
      <c r="B61" s="8" t="s">
        <v>46</v>
      </c>
      <c r="C61" s="9">
        <v>204</v>
      </c>
      <c r="D61" t="str">
        <f t="shared" si="0"/>
        <v>2014-65-69 år</v>
      </c>
    </row>
    <row r="62" spans="1:4" x14ac:dyDescent="0.35">
      <c r="A62" s="8" t="s">
        <v>31</v>
      </c>
      <c r="B62" s="8" t="s">
        <v>16</v>
      </c>
      <c r="C62" s="9">
        <v>2715</v>
      </c>
      <c r="D62" t="str">
        <f t="shared" si="0"/>
        <v>2015-25-29 år</v>
      </c>
    </row>
    <row r="63" spans="1:4" x14ac:dyDescent="0.35">
      <c r="A63" s="8" t="s">
        <v>31</v>
      </c>
      <c r="B63" s="8" t="s">
        <v>17</v>
      </c>
      <c r="C63" s="9">
        <v>2473</v>
      </c>
      <c r="D63" t="str">
        <f t="shared" si="0"/>
        <v>2015-30-34 år</v>
      </c>
    </row>
    <row r="64" spans="1:4" x14ac:dyDescent="0.35">
      <c r="A64" s="8" t="s">
        <v>31</v>
      </c>
      <c r="B64" s="8" t="s">
        <v>18</v>
      </c>
      <c r="C64" s="9">
        <v>2378</v>
      </c>
      <c r="D64" t="str">
        <f t="shared" si="0"/>
        <v>2015-35-39 år</v>
      </c>
    </row>
    <row r="65" spans="1:4" x14ac:dyDescent="0.35">
      <c r="A65" s="8" t="s">
        <v>31</v>
      </c>
      <c r="B65" s="8" t="s">
        <v>19</v>
      </c>
      <c r="C65" s="9">
        <v>1902</v>
      </c>
      <c r="D65" t="str">
        <f t="shared" si="0"/>
        <v>2015-40-44 år</v>
      </c>
    </row>
    <row r="66" spans="1:4" x14ac:dyDescent="0.35">
      <c r="A66" s="8" t="s">
        <v>31</v>
      </c>
      <c r="B66" s="8" t="s">
        <v>20</v>
      </c>
      <c r="C66" s="9">
        <v>2085</v>
      </c>
      <c r="D66" t="str">
        <f t="shared" si="0"/>
        <v>2015-45-49 år</v>
      </c>
    </row>
    <row r="67" spans="1:4" x14ac:dyDescent="0.35">
      <c r="A67" s="8" t="s">
        <v>31</v>
      </c>
      <c r="B67" s="8" t="s">
        <v>21</v>
      </c>
      <c r="C67" s="9">
        <v>1717</v>
      </c>
      <c r="D67" t="str">
        <f t="shared" si="0"/>
        <v>2015-50-54 år</v>
      </c>
    </row>
    <row r="68" spans="1:4" x14ac:dyDescent="0.35">
      <c r="A68" s="8" t="s">
        <v>31</v>
      </c>
      <c r="B68" s="8" t="s">
        <v>22</v>
      </c>
      <c r="C68" s="9">
        <v>1226</v>
      </c>
      <c r="D68" t="str">
        <f t="shared" si="0"/>
        <v>2015-55-59 år</v>
      </c>
    </row>
    <row r="69" spans="1:4" x14ac:dyDescent="0.35">
      <c r="A69" s="8" t="s">
        <v>31</v>
      </c>
      <c r="B69" s="8" t="s">
        <v>23</v>
      </c>
      <c r="C69" s="9">
        <v>583</v>
      </c>
      <c r="D69" t="str">
        <f t="shared" si="0"/>
        <v>2015-60-64 år</v>
      </c>
    </row>
    <row r="70" spans="1:4" x14ac:dyDescent="0.35">
      <c r="A70" s="8" t="s">
        <v>31</v>
      </c>
      <c r="B70" s="8" t="s">
        <v>46</v>
      </c>
      <c r="C70" s="9">
        <v>211</v>
      </c>
      <c r="D70" t="str">
        <f t="shared" si="0"/>
        <v>2015-65-69 år</v>
      </c>
    </row>
    <row r="71" spans="1:4" x14ac:dyDescent="0.35">
      <c r="A71" s="8" t="s">
        <v>32</v>
      </c>
      <c r="B71" s="8" t="s">
        <v>16</v>
      </c>
      <c r="C71" s="9">
        <v>3005</v>
      </c>
      <c r="D71" t="str">
        <f t="shared" si="0"/>
        <v>2016-25-29 år</v>
      </c>
    </row>
    <row r="72" spans="1:4" x14ac:dyDescent="0.35">
      <c r="A72" s="8" t="s">
        <v>32</v>
      </c>
      <c r="B72" s="8" t="s">
        <v>17</v>
      </c>
      <c r="C72" s="9">
        <v>2584</v>
      </c>
      <c r="D72" t="str">
        <f t="shared" ref="D72:D135" si="1">A72&amp;"-"&amp;B72</f>
        <v>2016-30-34 år</v>
      </c>
    </row>
    <row r="73" spans="1:4" x14ac:dyDescent="0.35">
      <c r="A73" s="8" t="s">
        <v>32</v>
      </c>
      <c r="B73" s="8" t="s">
        <v>18</v>
      </c>
      <c r="C73" s="9">
        <v>2311</v>
      </c>
      <c r="D73" t="str">
        <f t="shared" si="1"/>
        <v>2016-35-39 år</v>
      </c>
    </row>
    <row r="74" spans="1:4" x14ac:dyDescent="0.35">
      <c r="A74" s="8" t="s">
        <v>32</v>
      </c>
      <c r="B74" s="8" t="s">
        <v>19</v>
      </c>
      <c r="C74" s="9">
        <v>2111</v>
      </c>
      <c r="D74" t="str">
        <f t="shared" si="1"/>
        <v>2016-40-44 år</v>
      </c>
    </row>
    <row r="75" spans="1:4" x14ac:dyDescent="0.35">
      <c r="A75" s="8" t="s">
        <v>32</v>
      </c>
      <c r="B75" s="8" t="s">
        <v>20</v>
      </c>
      <c r="C75" s="9">
        <v>2000</v>
      </c>
      <c r="D75" t="str">
        <f t="shared" si="1"/>
        <v>2016-45-49 år</v>
      </c>
    </row>
    <row r="76" spans="1:4" x14ac:dyDescent="0.35">
      <c r="A76" s="8" t="s">
        <v>32</v>
      </c>
      <c r="B76" s="8" t="s">
        <v>21</v>
      </c>
      <c r="C76" s="9">
        <v>1808</v>
      </c>
      <c r="D76" t="str">
        <f t="shared" si="1"/>
        <v>2016-50-54 år</v>
      </c>
    </row>
    <row r="77" spans="1:4" x14ac:dyDescent="0.35">
      <c r="A77" s="8" t="s">
        <v>32</v>
      </c>
      <c r="B77" s="8" t="s">
        <v>22</v>
      </c>
      <c r="C77" s="9">
        <v>1301</v>
      </c>
      <c r="D77" t="str">
        <f t="shared" si="1"/>
        <v>2016-55-59 år</v>
      </c>
    </row>
    <row r="78" spans="1:4" x14ac:dyDescent="0.35">
      <c r="A78" s="8" t="s">
        <v>32</v>
      </c>
      <c r="B78" s="8" t="s">
        <v>23</v>
      </c>
      <c r="C78" s="9">
        <v>708</v>
      </c>
      <c r="D78" t="str">
        <f t="shared" si="1"/>
        <v>2016-60-64 år</v>
      </c>
    </row>
    <row r="79" spans="1:4" x14ac:dyDescent="0.35">
      <c r="A79" s="8" t="s">
        <v>32</v>
      </c>
      <c r="B79" s="8" t="s">
        <v>46</v>
      </c>
      <c r="C79" s="9">
        <v>183</v>
      </c>
      <c r="D79" t="str">
        <f t="shared" si="1"/>
        <v>2016-65-69 år</v>
      </c>
    </row>
    <row r="80" spans="1:4" x14ac:dyDescent="0.35">
      <c r="A80" s="8" t="s">
        <v>33</v>
      </c>
      <c r="B80" s="8" t="s">
        <v>16</v>
      </c>
      <c r="C80" s="9">
        <v>3106</v>
      </c>
      <c r="D80" t="str">
        <f t="shared" si="1"/>
        <v>2017-25-29 år</v>
      </c>
    </row>
    <row r="81" spans="1:4" x14ac:dyDescent="0.35">
      <c r="A81" s="8" t="s">
        <v>33</v>
      </c>
      <c r="B81" s="8" t="s">
        <v>17</v>
      </c>
      <c r="C81" s="9">
        <v>2692</v>
      </c>
      <c r="D81" t="str">
        <f t="shared" si="1"/>
        <v>2017-30-34 år</v>
      </c>
    </row>
    <row r="82" spans="1:4" x14ac:dyDescent="0.35">
      <c r="A82" s="8" t="s">
        <v>33</v>
      </c>
      <c r="B82" s="8" t="s">
        <v>18</v>
      </c>
      <c r="C82" s="9">
        <v>2452</v>
      </c>
      <c r="D82" t="str">
        <f t="shared" si="1"/>
        <v>2017-35-39 år</v>
      </c>
    </row>
    <row r="83" spans="1:4" x14ac:dyDescent="0.35">
      <c r="A83" s="8" t="s">
        <v>33</v>
      </c>
      <c r="B83" s="8" t="s">
        <v>19</v>
      </c>
      <c r="C83" s="9">
        <v>2105</v>
      </c>
      <c r="D83" t="str">
        <f t="shared" si="1"/>
        <v>2017-40-44 år</v>
      </c>
    </row>
    <row r="84" spans="1:4" x14ac:dyDescent="0.35">
      <c r="A84" s="8" t="s">
        <v>33</v>
      </c>
      <c r="B84" s="8" t="s">
        <v>20</v>
      </c>
      <c r="C84" s="9">
        <v>1892</v>
      </c>
      <c r="D84" t="str">
        <f t="shared" si="1"/>
        <v>2017-45-49 år</v>
      </c>
    </row>
    <row r="85" spans="1:4" x14ac:dyDescent="0.35">
      <c r="A85" s="8" t="s">
        <v>33</v>
      </c>
      <c r="B85" s="8" t="s">
        <v>21</v>
      </c>
      <c r="C85" s="9">
        <v>2042</v>
      </c>
      <c r="D85" t="str">
        <f t="shared" si="1"/>
        <v>2017-50-54 år</v>
      </c>
    </row>
    <row r="86" spans="1:4" x14ac:dyDescent="0.35">
      <c r="A86" s="8" t="s">
        <v>33</v>
      </c>
      <c r="B86" s="8" t="s">
        <v>22</v>
      </c>
      <c r="C86" s="9">
        <v>1410</v>
      </c>
      <c r="D86" t="str">
        <f t="shared" si="1"/>
        <v>2017-55-59 år</v>
      </c>
    </row>
    <row r="87" spans="1:4" x14ac:dyDescent="0.35">
      <c r="A87" s="8" t="s">
        <v>33</v>
      </c>
      <c r="B87" s="8" t="s">
        <v>23</v>
      </c>
      <c r="C87" s="9">
        <v>757</v>
      </c>
      <c r="D87" t="str">
        <f t="shared" si="1"/>
        <v>2017-60-64 år</v>
      </c>
    </row>
    <row r="88" spans="1:4" x14ac:dyDescent="0.35">
      <c r="A88" s="8" t="s">
        <v>33</v>
      </c>
      <c r="B88" s="8" t="s">
        <v>46</v>
      </c>
      <c r="C88" s="9">
        <v>194</v>
      </c>
      <c r="D88" t="str">
        <f t="shared" si="1"/>
        <v>2017-65-69 år</v>
      </c>
    </row>
    <row r="89" spans="1:4" x14ac:dyDescent="0.35">
      <c r="A89" s="8" t="s">
        <v>34</v>
      </c>
      <c r="B89" s="8" t="s">
        <v>16</v>
      </c>
      <c r="C89" s="9">
        <v>3149</v>
      </c>
      <c r="D89" t="str">
        <f t="shared" si="1"/>
        <v>2018-25-29 år</v>
      </c>
    </row>
    <row r="90" spans="1:4" x14ac:dyDescent="0.35">
      <c r="A90" s="8" t="s">
        <v>34</v>
      </c>
      <c r="B90" s="8" t="s">
        <v>17</v>
      </c>
      <c r="C90" s="9">
        <v>2658</v>
      </c>
      <c r="D90" t="str">
        <f t="shared" si="1"/>
        <v>2018-30-34 år</v>
      </c>
    </row>
    <row r="91" spans="1:4" x14ac:dyDescent="0.35">
      <c r="A91" s="8" t="s">
        <v>34</v>
      </c>
      <c r="B91" s="8" t="s">
        <v>18</v>
      </c>
      <c r="C91" s="9">
        <v>2333</v>
      </c>
      <c r="D91" t="str">
        <f t="shared" si="1"/>
        <v>2018-35-39 år</v>
      </c>
    </row>
    <row r="92" spans="1:4" x14ac:dyDescent="0.35">
      <c r="A92" s="8" t="s">
        <v>34</v>
      </c>
      <c r="B92" s="8" t="s">
        <v>19</v>
      </c>
      <c r="C92" s="9">
        <v>2068</v>
      </c>
      <c r="D92" t="str">
        <f t="shared" si="1"/>
        <v>2018-40-44 år</v>
      </c>
    </row>
    <row r="93" spans="1:4" x14ac:dyDescent="0.35">
      <c r="A93" s="8" t="s">
        <v>34</v>
      </c>
      <c r="B93" s="8" t="s">
        <v>20</v>
      </c>
      <c r="C93" s="9">
        <v>1770</v>
      </c>
      <c r="D93" t="str">
        <f t="shared" si="1"/>
        <v>2018-45-49 år</v>
      </c>
    </row>
    <row r="94" spans="1:4" x14ac:dyDescent="0.35">
      <c r="A94" s="8" t="s">
        <v>34</v>
      </c>
      <c r="B94" s="8" t="s">
        <v>21</v>
      </c>
      <c r="C94" s="9">
        <v>2055</v>
      </c>
      <c r="D94" t="str">
        <f t="shared" si="1"/>
        <v>2018-50-54 år</v>
      </c>
    </row>
    <row r="95" spans="1:4" x14ac:dyDescent="0.35">
      <c r="A95" s="8" t="s">
        <v>34</v>
      </c>
      <c r="B95" s="8" t="s">
        <v>22</v>
      </c>
      <c r="C95" s="9">
        <v>1415</v>
      </c>
      <c r="D95" t="str">
        <f t="shared" si="1"/>
        <v>2018-55-59 år</v>
      </c>
    </row>
    <row r="96" spans="1:4" x14ac:dyDescent="0.35">
      <c r="A96" s="8" t="s">
        <v>34</v>
      </c>
      <c r="B96" s="8" t="s">
        <v>23</v>
      </c>
      <c r="C96" s="9">
        <v>681</v>
      </c>
      <c r="D96" t="str">
        <f t="shared" si="1"/>
        <v>2018-60-64 år</v>
      </c>
    </row>
    <row r="97" spans="1:4" x14ac:dyDescent="0.35">
      <c r="A97" s="8" t="s">
        <v>34</v>
      </c>
      <c r="B97" s="8" t="s">
        <v>46</v>
      </c>
      <c r="C97" s="9">
        <v>174</v>
      </c>
      <c r="D97" t="str">
        <f t="shared" si="1"/>
        <v>2018-65-69 år</v>
      </c>
    </row>
    <row r="98" spans="1:4" x14ac:dyDescent="0.35">
      <c r="A98" s="8" t="s">
        <v>35</v>
      </c>
      <c r="B98" s="8" t="s">
        <v>16</v>
      </c>
      <c r="C98" s="9">
        <v>3477</v>
      </c>
      <c r="D98" t="str">
        <f t="shared" si="1"/>
        <v>2019-25-29 år</v>
      </c>
    </row>
    <row r="99" spans="1:4" x14ac:dyDescent="0.35">
      <c r="A99" s="8" t="s">
        <v>35</v>
      </c>
      <c r="B99" s="8" t="s">
        <v>17</v>
      </c>
      <c r="C99" s="9">
        <v>2839</v>
      </c>
      <c r="D99" t="str">
        <f t="shared" si="1"/>
        <v>2019-30-34 år</v>
      </c>
    </row>
    <row r="100" spans="1:4" x14ac:dyDescent="0.35">
      <c r="A100" s="8" t="s">
        <v>35</v>
      </c>
      <c r="B100" s="8" t="s">
        <v>18</v>
      </c>
      <c r="C100" s="9">
        <v>2298</v>
      </c>
      <c r="D100" t="str">
        <f t="shared" si="1"/>
        <v>2019-35-39 år</v>
      </c>
    </row>
    <row r="101" spans="1:4" x14ac:dyDescent="0.35">
      <c r="A101" s="8" t="s">
        <v>35</v>
      </c>
      <c r="B101" s="8" t="s">
        <v>19</v>
      </c>
      <c r="C101" s="9">
        <v>2100</v>
      </c>
      <c r="D101" t="str">
        <f t="shared" si="1"/>
        <v>2019-40-44 år</v>
      </c>
    </row>
    <row r="102" spans="1:4" x14ac:dyDescent="0.35">
      <c r="A102" s="8" t="s">
        <v>35</v>
      </c>
      <c r="B102" s="8" t="s">
        <v>20</v>
      </c>
      <c r="C102" s="9">
        <v>1802</v>
      </c>
      <c r="D102" t="str">
        <f t="shared" si="1"/>
        <v>2019-45-49 år</v>
      </c>
    </row>
    <row r="103" spans="1:4" x14ac:dyDescent="0.35">
      <c r="A103" s="8" t="s">
        <v>35</v>
      </c>
      <c r="B103" s="8" t="s">
        <v>21</v>
      </c>
      <c r="C103" s="9">
        <v>2054</v>
      </c>
      <c r="D103" t="str">
        <f t="shared" si="1"/>
        <v>2019-50-54 år</v>
      </c>
    </row>
    <row r="104" spans="1:4" x14ac:dyDescent="0.35">
      <c r="A104" s="8" t="s">
        <v>35</v>
      </c>
      <c r="B104" s="8" t="s">
        <v>22</v>
      </c>
      <c r="C104" s="9">
        <v>1383</v>
      </c>
      <c r="D104" t="str">
        <f t="shared" si="1"/>
        <v>2019-55-59 år</v>
      </c>
    </row>
    <row r="105" spans="1:4" x14ac:dyDescent="0.35">
      <c r="A105" s="8" t="s">
        <v>35</v>
      </c>
      <c r="B105" s="8" t="s">
        <v>23</v>
      </c>
      <c r="C105" s="9">
        <v>791</v>
      </c>
      <c r="D105" t="str">
        <f t="shared" si="1"/>
        <v>2019-60-64 år</v>
      </c>
    </row>
    <row r="106" spans="1:4" x14ac:dyDescent="0.35">
      <c r="A106" s="8" t="s">
        <v>35</v>
      </c>
      <c r="B106" s="8" t="s">
        <v>46</v>
      </c>
      <c r="C106" s="9">
        <v>188</v>
      </c>
      <c r="D106" t="str">
        <f t="shared" si="1"/>
        <v>2019-65-69 år</v>
      </c>
    </row>
    <row r="107" spans="1:4" x14ac:dyDescent="0.35">
      <c r="A107" s="8" t="s">
        <v>36</v>
      </c>
      <c r="B107" s="8" t="s">
        <v>16</v>
      </c>
      <c r="C107" s="9">
        <v>3028</v>
      </c>
      <c r="D107" t="str">
        <f t="shared" si="1"/>
        <v>2020-25-29 år</v>
      </c>
    </row>
    <row r="108" spans="1:4" x14ac:dyDescent="0.35">
      <c r="A108" s="8" t="s">
        <v>36</v>
      </c>
      <c r="B108" s="8" t="s">
        <v>17</v>
      </c>
      <c r="C108" s="9">
        <v>2339</v>
      </c>
      <c r="D108" t="str">
        <f t="shared" si="1"/>
        <v>2020-30-34 år</v>
      </c>
    </row>
    <row r="109" spans="1:4" x14ac:dyDescent="0.35">
      <c r="A109" s="8" t="s">
        <v>36</v>
      </c>
      <c r="B109" s="8" t="s">
        <v>18</v>
      </c>
      <c r="C109" s="9">
        <v>1929</v>
      </c>
      <c r="D109" t="str">
        <f t="shared" si="1"/>
        <v>2020-35-39 år</v>
      </c>
    </row>
    <row r="110" spans="1:4" x14ac:dyDescent="0.35">
      <c r="A110" s="8" t="s">
        <v>36</v>
      </c>
      <c r="B110" s="8" t="s">
        <v>19</v>
      </c>
      <c r="C110" s="9">
        <v>1758</v>
      </c>
      <c r="D110" t="str">
        <f t="shared" si="1"/>
        <v>2020-40-44 år</v>
      </c>
    </row>
    <row r="111" spans="1:4" x14ac:dyDescent="0.35">
      <c r="A111" s="8" t="s">
        <v>36</v>
      </c>
      <c r="B111" s="8" t="s">
        <v>20</v>
      </c>
      <c r="C111" s="9">
        <v>1654</v>
      </c>
      <c r="D111" t="str">
        <f t="shared" si="1"/>
        <v>2020-45-49 år</v>
      </c>
    </row>
    <row r="112" spans="1:4" x14ac:dyDescent="0.35">
      <c r="A112" s="8" t="s">
        <v>36</v>
      </c>
      <c r="B112" s="8" t="s">
        <v>21</v>
      </c>
      <c r="C112" s="9">
        <v>1616</v>
      </c>
      <c r="D112" t="str">
        <f t="shared" si="1"/>
        <v>2020-50-54 år</v>
      </c>
    </row>
    <row r="113" spans="1:4" x14ac:dyDescent="0.35">
      <c r="A113" s="8" t="s">
        <v>36</v>
      </c>
      <c r="B113" s="8" t="s">
        <v>22</v>
      </c>
      <c r="C113" s="9">
        <v>1279</v>
      </c>
      <c r="D113" t="str">
        <f t="shared" si="1"/>
        <v>2020-55-59 år</v>
      </c>
    </row>
    <row r="114" spans="1:4" x14ac:dyDescent="0.35">
      <c r="A114" s="8" t="s">
        <v>36</v>
      </c>
      <c r="B114" s="8" t="s">
        <v>23</v>
      </c>
      <c r="C114" s="9">
        <v>623</v>
      </c>
      <c r="D114" t="str">
        <f t="shared" si="1"/>
        <v>2020-60-64 år</v>
      </c>
    </row>
    <row r="115" spans="1:4" x14ac:dyDescent="0.35">
      <c r="A115" s="8" t="s">
        <v>36</v>
      </c>
      <c r="B115" s="8" t="s">
        <v>46</v>
      </c>
      <c r="C115" s="9">
        <v>201</v>
      </c>
      <c r="D115" t="str">
        <f t="shared" si="1"/>
        <v>2020-65-69 år</v>
      </c>
    </row>
    <row r="116" spans="1:4" x14ac:dyDescent="0.35">
      <c r="A116" s="8" t="s">
        <v>37</v>
      </c>
      <c r="B116" s="8" t="s">
        <v>16</v>
      </c>
      <c r="C116" s="9">
        <v>3854</v>
      </c>
      <c r="D116" t="str">
        <f t="shared" si="1"/>
        <v>2021-25-29 år</v>
      </c>
    </row>
    <row r="117" spans="1:4" x14ac:dyDescent="0.35">
      <c r="A117" s="8" t="s">
        <v>37</v>
      </c>
      <c r="B117" s="8" t="s">
        <v>17</v>
      </c>
      <c r="C117" s="9">
        <v>3059</v>
      </c>
      <c r="D117" t="str">
        <f t="shared" si="1"/>
        <v>2021-30-34 år</v>
      </c>
    </row>
    <row r="118" spans="1:4" x14ac:dyDescent="0.35">
      <c r="A118" s="8" t="s">
        <v>37</v>
      </c>
      <c r="B118" s="8" t="s">
        <v>18</v>
      </c>
      <c r="C118" s="9">
        <v>2330</v>
      </c>
      <c r="D118" t="str">
        <f t="shared" si="1"/>
        <v>2021-35-39 år</v>
      </c>
    </row>
    <row r="119" spans="1:4" x14ac:dyDescent="0.35">
      <c r="A119" s="8" t="s">
        <v>37</v>
      </c>
      <c r="B119" s="8" t="s">
        <v>19</v>
      </c>
      <c r="C119" s="9">
        <v>2220</v>
      </c>
      <c r="D119" t="str">
        <f t="shared" si="1"/>
        <v>2021-40-44 år</v>
      </c>
    </row>
    <row r="120" spans="1:4" x14ac:dyDescent="0.35">
      <c r="A120" s="8" t="s">
        <v>37</v>
      </c>
      <c r="B120" s="8" t="s">
        <v>20</v>
      </c>
      <c r="C120" s="9">
        <v>1980</v>
      </c>
      <c r="D120" t="str">
        <f t="shared" si="1"/>
        <v>2021-45-49 år</v>
      </c>
    </row>
    <row r="121" spans="1:4" x14ac:dyDescent="0.35">
      <c r="A121" s="8" t="s">
        <v>37</v>
      </c>
      <c r="B121" s="8" t="s">
        <v>21</v>
      </c>
      <c r="C121" s="9">
        <v>1810</v>
      </c>
      <c r="D121" t="str">
        <f t="shared" si="1"/>
        <v>2021-50-54 år</v>
      </c>
    </row>
    <row r="122" spans="1:4" x14ac:dyDescent="0.35">
      <c r="A122" s="8" t="s">
        <v>37</v>
      </c>
      <c r="B122" s="8" t="s">
        <v>22</v>
      </c>
      <c r="C122" s="9">
        <v>1631</v>
      </c>
      <c r="D122" t="str">
        <f t="shared" si="1"/>
        <v>2021-55-59 år</v>
      </c>
    </row>
    <row r="123" spans="1:4" x14ac:dyDescent="0.35">
      <c r="A123" s="8" t="s">
        <v>37</v>
      </c>
      <c r="B123" s="8" t="s">
        <v>23</v>
      </c>
      <c r="C123" s="9">
        <v>962</v>
      </c>
      <c r="D123" t="str">
        <f t="shared" si="1"/>
        <v>2021-60-64 år</v>
      </c>
    </row>
    <row r="124" spans="1:4" x14ac:dyDescent="0.35">
      <c r="A124" s="8" t="s">
        <v>37</v>
      </c>
      <c r="B124" s="8" t="s">
        <v>46</v>
      </c>
      <c r="C124" s="9">
        <v>216</v>
      </c>
      <c r="D124" t="str">
        <f t="shared" si="1"/>
        <v>2021-65-69 år</v>
      </c>
    </row>
    <row r="125" spans="1:4" x14ac:dyDescent="0.35">
      <c r="A125" s="8" t="s">
        <v>38</v>
      </c>
      <c r="B125" s="8" t="s">
        <v>16</v>
      </c>
      <c r="C125" s="9">
        <v>3870</v>
      </c>
      <c r="D125" t="str">
        <f t="shared" si="1"/>
        <v>2022-25-29 år</v>
      </c>
    </row>
    <row r="126" spans="1:4" x14ac:dyDescent="0.35">
      <c r="A126" s="8" t="s">
        <v>38</v>
      </c>
      <c r="B126" s="8" t="s">
        <v>17</v>
      </c>
      <c r="C126" s="9">
        <v>3004</v>
      </c>
      <c r="D126" t="str">
        <f t="shared" si="1"/>
        <v>2022-30-34 år</v>
      </c>
    </row>
    <row r="127" spans="1:4" x14ac:dyDescent="0.35">
      <c r="A127" s="8" t="s">
        <v>38</v>
      </c>
      <c r="B127" s="8" t="s">
        <v>18</v>
      </c>
      <c r="C127" s="9">
        <v>2511</v>
      </c>
      <c r="D127" t="str">
        <f t="shared" si="1"/>
        <v>2022-35-39 år</v>
      </c>
    </row>
    <row r="128" spans="1:4" x14ac:dyDescent="0.35">
      <c r="A128" s="8" t="s">
        <v>38</v>
      </c>
      <c r="B128" s="8" t="s">
        <v>19</v>
      </c>
      <c r="C128" s="9">
        <v>2191</v>
      </c>
      <c r="D128" t="str">
        <f t="shared" si="1"/>
        <v>2022-40-44 år</v>
      </c>
    </row>
    <row r="129" spans="1:4" x14ac:dyDescent="0.35">
      <c r="A129" s="8" t="s">
        <v>38</v>
      </c>
      <c r="B129" s="8" t="s">
        <v>20</v>
      </c>
      <c r="C129" s="9">
        <v>2044</v>
      </c>
      <c r="D129" t="str">
        <f t="shared" si="1"/>
        <v>2022-45-49 år</v>
      </c>
    </row>
    <row r="130" spans="1:4" x14ac:dyDescent="0.35">
      <c r="A130" s="8" t="s">
        <v>38</v>
      </c>
      <c r="B130" s="8" t="s">
        <v>21</v>
      </c>
      <c r="C130" s="9">
        <v>1683</v>
      </c>
      <c r="D130" t="str">
        <f t="shared" si="1"/>
        <v>2022-50-54 år</v>
      </c>
    </row>
    <row r="131" spans="1:4" x14ac:dyDescent="0.35">
      <c r="A131" s="8" t="s">
        <v>38</v>
      </c>
      <c r="B131" s="8" t="s">
        <v>22</v>
      </c>
      <c r="C131" s="9">
        <v>1578</v>
      </c>
      <c r="D131" t="str">
        <f t="shared" si="1"/>
        <v>2022-55-59 år</v>
      </c>
    </row>
    <row r="132" spans="1:4" x14ac:dyDescent="0.35">
      <c r="A132" s="8" t="s">
        <v>38</v>
      </c>
      <c r="B132" s="8" t="s">
        <v>23</v>
      </c>
      <c r="C132" s="9">
        <v>880</v>
      </c>
      <c r="D132" t="str">
        <f t="shared" si="1"/>
        <v>2022-60-64 år</v>
      </c>
    </row>
    <row r="133" spans="1:4" x14ac:dyDescent="0.35">
      <c r="A133" s="8" t="s">
        <v>38</v>
      </c>
      <c r="B133" s="8" t="s">
        <v>46</v>
      </c>
      <c r="C133" s="9">
        <v>265</v>
      </c>
      <c r="D133" t="str">
        <f t="shared" si="1"/>
        <v>2022-65-69 år</v>
      </c>
    </row>
    <row r="134" spans="1:4" x14ac:dyDescent="0.35">
      <c r="A134" s="8" t="s">
        <v>39</v>
      </c>
      <c r="B134" s="8" t="s">
        <v>16</v>
      </c>
      <c r="C134" s="9">
        <v>3662</v>
      </c>
      <c r="D134" t="str">
        <f t="shared" si="1"/>
        <v>2023-25-29 år</v>
      </c>
    </row>
    <row r="135" spans="1:4" x14ac:dyDescent="0.35">
      <c r="A135" s="8" t="s">
        <v>39</v>
      </c>
      <c r="B135" s="8" t="s">
        <v>17</v>
      </c>
      <c r="C135" s="9">
        <v>2878</v>
      </c>
      <c r="D135" t="str">
        <f t="shared" si="1"/>
        <v>2023-30-34 år</v>
      </c>
    </row>
    <row r="136" spans="1:4" x14ac:dyDescent="0.35">
      <c r="A136" s="8" t="s">
        <v>39</v>
      </c>
      <c r="B136" s="8" t="s">
        <v>18</v>
      </c>
      <c r="C136" s="9">
        <v>2160</v>
      </c>
      <c r="D136" t="str">
        <f t="shared" ref="D136:D141" si="2">A136&amp;"-"&amp;B136</f>
        <v>2023-35-39 år</v>
      </c>
    </row>
    <row r="137" spans="1:4" x14ac:dyDescent="0.35">
      <c r="A137" s="8" t="s">
        <v>39</v>
      </c>
      <c r="B137" s="8" t="s">
        <v>19</v>
      </c>
      <c r="C137" s="9">
        <v>1983</v>
      </c>
      <c r="D137" t="str">
        <f t="shared" si="2"/>
        <v>2023-40-44 år</v>
      </c>
    </row>
    <row r="138" spans="1:4" x14ac:dyDescent="0.35">
      <c r="A138" s="8" t="s">
        <v>39</v>
      </c>
      <c r="B138" s="8" t="s">
        <v>20</v>
      </c>
      <c r="C138" s="9">
        <v>1798</v>
      </c>
      <c r="D138" t="str">
        <f t="shared" si="2"/>
        <v>2023-45-49 år</v>
      </c>
    </row>
    <row r="139" spans="1:4" x14ac:dyDescent="0.35">
      <c r="A139" s="8" t="s">
        <v>39</v>
      </c>
      <c r="B139" s="8" t="s">
        <v>21</v>
      </c>
      <c r="C139" s="9">
        <v>1564</v>
      </c>
      <c r="D139" t="str">
        <f t="shared" si="2"/>
        <v>2023-50-54 år</v>
      </c>
    </row>
    <row r="140" spans="1:4" x14ac:dyDescent="0.35">
      <c r="A140" s="8" t="s">
        <v>39</v>
      </c>
      <c r="B140" s="8" t="s">
        <v>22</v>
      </c>
      <c r="C140" s="9">
        <v>1583</v>
      </c>
      <c r="D140" t="str">
        <f t="shared" si="2"/>
        <v>2023-55-59 år</v>
      </c>
    </row>
    <row r="141" spans="1:4" x14ac:dyDescent="0.35">
      <c r="A141" s="8" t="s">
        <v>39</v>
      </c>
      <c r="B141" s="8" t="s">
        <v>23</v>
      </c>
      <c r="C141" s="9">
        <v>896</v>
      </c>
      <c r="D141" t="str">
        <f t="shared" si="2"/>
        <v>2023-60-64 år</v>
      </c>
    </row>
    <row r="142" spans="1:4" ht="15" thickBot="1" x14ac:dyDescent="0.4">
      <c r="A142" s="8" t="s">
        <v>39</v>
      </c>
      <c r="B142" s="8" t="s">
        <v>46</v>
      </c>
      <c r="C142" s="9">
        <v>295</v>
      </c>
      <c r="D142" t="str">
        <f t="shared" ref="D142" si="3">A142&amp;"-"&amp;B142</f>
        <v>2023-65-69 år</v>
      </c>
    </row>
    <row r="143" spans="1:4" ht="15" thickTop="1" x14ac:dyDescent="0.35">
      <c r="A143" s="10"/>
      <c r="B143" s="10"/>
      <c r="C143" s="10"/>
    </row>
    <row r="145" spans="1:1" x14ac:dyDescent="0.35">
      <c r="A145" t="s">
        <v>41</v>
      </c>
    </row>
    <row r="146" spans="1:1" x14ac:dyDescent="0.35">
      <c r="A146" t="s">
        <v>42</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A68922-5A48-4B96-9E98-5EC81105CF13}">
  <ds:schemaRefs>
    <ds:schemaRef ds:uri="http://www.w3.org/2001/XMLSchema"/>
    <ds:schemaRef ds:uri="http://www.boozallen.com/argo/guid"/>
  </ds:schemaRefs>
</ds:datastoreItem>
</file>

<file path=customXml/itemProps4.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Index</vt:lpstr>
      <vt:lpstr>Loop</vt:lpstr>
      <vt:lpstr>Salary</vt:lpstr>
      <vt:lpstr>Wealth</vt:lpstr>
      <vt:lpstr>GBI Investment</vt:lpstr>
      <vt:lpstr>Aktiesparekonto</vt:lpstr>
      <vt:lpstr>GBI Allocations P1</vt:lpstr>
      <vt:lpstr>GBI Goals P1</vt:lpstr>
      <vt:lpstr>GBI Allocations P2</vt:lpstr>
      <vt:lpstr>notes next time talk</vt:lpstr>
      <vt:lpstr>GBI Goals P2</vt:lpstr>
      <vt:lpstr>Returns2</vt:lpstr>
      <vt:lpstr>Returns</vt:lpstr>
      <vt:lpstr>Volatilities2</vt:lpstr>
      <vt:lpstr>Volatilities</vt:lpstr>
      <vt:lpstr>Correlation</vt:lpstr>
      <vt:lpstr>Correlation2</vt:lpstr>
      <vt:lpstr>Goals</vt:lpstr>
      <vt:lpstr>Income</vt:lpstr>
      <vt:lpstr>Job Hopping</vt:lpstr>
      <vt:lpstr>Djøf Finance Workers</vt:lpstr>
      <vt:lpstr>Djøf Finance Hoppers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2025-04-09T12:04:57Z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