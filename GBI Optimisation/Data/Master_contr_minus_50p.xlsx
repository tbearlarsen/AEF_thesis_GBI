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C33306DF-0130-544C-B1F5-AFA4A8F271D5}" xr6:coauthVersionLast="47" xr6:coauthVersionMax="47" xr10:uidLastSave="{00000000-0000-0000-0000-000000000000}"/>
  <bookViews>
    <workbookView xWindow="0" yWindow="760" windowWidth="30240" windowHeight="17640" tabRatio="972" activeTab="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1" l="1"/>
  <c r="C7" i="51"/>
  <c r="B22" i="55"/>
  <c r="B5" i="55"/>
  <c r="B3" i="55"/>
  <c r="N39" i="2"/>
  <c r="N40" i="2"/>
  <c r="N41" i="2"/>
  <c r="N42" i="2"/>
  <c r="N43" i="2"/>
  <c r="N44" i="2"/>
  <c r="N45" i="2"/>
  <c r="N46" i="2"/>
  <c r="N47" i="2"/>
  <c r="N48" i="2"/>
  <c r="N49" i="2"/>
  <c r="D49" i="2" s="1"/>
  <c r="N50" i="2"/>
  <c r="D50" i="2" s="1"/>
  <c r="N51" i="2"/>
  <c r="D51" i="2" s="1"/>
  <c r="N52" i="2"/>
  <c r="N53" i="2"/>
  <c r="E39" i="56"/>
  <c r="F39" i="56" s="1"/>
  <c r="B14" i="56"/>
  <c r="B43" i="55" s="1"/>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W8" i="56" l="1"/>
  <c r="B45" i="55"/>
  <c r="BA8" i="56"/>
  <c r="O8" i="56"/>
  <c r="Q8" i="56"/>
  <c r="R8" i="56"/>
  <c r="AE8" i="56"/>
  <c r="Z8" i="56"/>
  <c r="AX8" i="56"/>
  <c r="AH8" i="56"/>
  <c r="BB8" i="56"/>
  <c r="G8" i="56"/>
  <c r="AM8" i="56"/>
  <c r="I8" i="56"/>
  <c r="AO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C46" i="55"/>
  <c r="C47" i="55" s="1"/>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P12" i="2"/>
  <c r="H47" i="55"/>
  <c r="I43" i="55" s="1"/>
  <c r="I54" i="55"/>
  <c r="J50" i="55" s="1"/>
  <c r="Q12" i="2"/>
  <c r="O12" i="2"/>
  <c r="R12" i="2"/>
  <c r="H9" i="53"/>
  <c r="O13" i="53" a="1"/>
  <c r="O13" i="53" s="1"/>
  <c r="G8" i="53"/>
  <c r="N14" i="53" a="1"/>
  <c r="N14" i="53" s="1"/>
  <c r="Q14" i="53" s="1"/>
  <c r="I45" i="46"/>
  <c r="I46" i="46" s="1"/>
  <c r="D13" i="45"/>
  <c r="E13" i="45"/>
  <c r="E12" i="8"/>
  <c r="H54" i="46" l="1"/>
  <c r="I50" i="46" s="1"/>
  <c r="I52" i="46" s="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s="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P17" i="2"/>
  <c r="Q17" i="2"/>
  <c r="L52" i="55"/>
  <c r="L53" i="55" s="1"/>
  <c r="K45" i="55"/>
  <c r="K46" i="55" s="1"/>
  <c r="O17" i="2"/>
  <c r="R17" i="2"/>
  <c r="H14" i="53"/>
  <c r="O8" i="53" a="1"/>
  <c r="O8" i="53" s="1"/>
  <c r="G13" i="53"/>
  <c r="N9" i="53" a="1"/>
  <c r="N9" i="53" s="1"/>
  <c r="Q9" i="53" s="1"/>
  <c r="E18" i="8"/>
  <c r="E19" i="8" s="1"/>
  <c r="L47" i="46"/>
  <c r="M43" i="46" s="1"/>
  <c r="D18" i="45"/>
  <c r="E18" i="45"/>
  <c r="L54" i="46" l="1"/>
  <c r="M50" i="46" s="1"/>
  <c r="M52" i="46"/>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P20" i="2"/>
  <c r="Q20" i="2"/>
  <c r="L47" i="55"/>
  <c r="M43" i="55" s="1"/>
  <c r="M54" i="55"/>
  <c r="N50" i="55" s="1"/>
  <c r="R20" i="2"/>
  <c r="O20" i="2"/>
  <c r="H17" i="53"/>
  <c r="O5" i="53" a="1"/>
  <c r="O5" i="53" s="1"/>
  <c r="G16" i="53"/>
  <c r="N6" i="53" a="1"/>
  <c r="N6" i="53" s="1"/>
  <c r="Q6" i="53" s="1"/>
  <c r="N45" i="46"/>
  <c r="N46" i="46" s="1"/>
  <c r="E21" i="45"/>
  <c r="D21" i="45"/>
  <c r="E23" i="8"/>
  <c r="E24" i="8" s="1"/>
  <c r="O54" i="46" l="1"/>
  <c r="P50" i="46" s="1"/>
  <c r="P52" i="46" s="1"/>
  <c r="P53" i="46" s="1"/>
  <c r="P21" i="2"/>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N13" i="56" l="1"/>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E35" i="45"/>
  <c r="E43" i="8"/>
  <c r="O35" i="2" l="1"/>
  <c r="P35" i="2"/>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L36" i="55" s="1"/>
  <c r="L37"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C5" i="56" s="1"/>
  <c r="AC6" i="56" s="1"/>
  <c r="AC7" i="56" s="1"/>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W11" i="56"/>
  <c r="AW12" i="56"/>
  <c r="V12" i="56"/>
  <c r="V11" i="56"/>
  <c r="M38" i="55"/>
  <c r="N34" i="55" s="1"/>
  <c r="Y12" i="56"/>
  <c r="Y11" i="56"/>
  <c r="W12" i="56"/>
  <c r="W11" i="56"/>
  <c r="AY11" i="56"/>
  <c r="AY12" i="56"/>
  <c r="AC12" i="56"/>
  <c r="AC11" i="56"/>
  <c r="AR11" i="56"/>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A13" i="56" l="1"/>
  <c r="AA14" i="56" s="1"/>
  <c r="AA16" i="56" s="1"/>
  <c r="AA17" i="56" s="1"/>
  <c r="AR13" i="56"/>
  <c r="AR14" i="56" s="1"/>
  <c r="AR16" i="56" s="1"/>
  <c r="AR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38" i="55"/>
  <c r="O34" i="55" s="1"/>
  <c r="Z52" i="55"/>
  <c r="Z53" i="55" s="1"/>
  <c r="Y47" i="55"/>
  <c r="Z43" i="55" s="1"/>
  <c r="Q43" i="2"/>
  <c r="P43" i="2"/>
  <c r="R43" i="2"/>
  <c r="AE54" i="46"/>
  <c r="AF50" i="46" s="1"/>
  <c r="AC47" i="46"/>
  <c r="AD43" i="46" s="1"/>
  <c r="E44" i="45"/>
  <c r="D44" i="45"/>
  <c r="N4" i="2" l="1"/>
  <c r="N26" i="2"/>
  <c r="N8" i="2"/>
  <c r="N14" i="2"/>
  <c r="N13" i="2"/>
  <c r="N24" i="2"/>
  <c r="N33" i="2"/>
  <c r="D33" i="2" s="1"/>
  <c r="F33" i="2" s="1"/>
  <c r="L33" i="2" s="1"/>
  <c r="N19" i="2"/>
  <c r="N10" i="2"/>
  <c r="N25" i="2"/>
  <c r="N30" i="2"/>
  <c r="N28" i="2"/>
  <c r="N5" i="2"/>
  <c r="N31" i="2"/>
  <c r="N35" i="2"/>
  <c r="D35" i="2" s="1"/>
  <c r="F35" i="2" s="1"/>
  <c r="L35" i="2" s="1"/>
  <c r="N11" i="2"/>
  <c r="N23" i="2"/>
  <c r="N9" i="2"/>
  <c r="N18" i="2"/>
  <c r="N37" i="2"/>
  <c r="D37" i="2" s="1"/>
  <c r="F37" i="2" s="1"/>
  <c r="L37" i="2" s="1"/>
  <c r="L32" i="56" s="1"/>
  <c r="N7" i="2"/>
  <c r="BI2" i="56"/>
  <c r="N3" i="2" s="1"/>
  <c r="N12" i="2"/>
  <c r="N21" i="2"/>
  <c r="N34" i="2"/>
  <c r="D34" i="2" s="1"/>
  <c r="F34" i="2" s="1"/>
  <c r="L34" i="2" s="1"/>
  <c r="N16" i="2"/>
  <c r="N6" i="2"/>
  <c r="N15" i="2"/>
  <c r="N32" i="2"/>
  <c r="N36" i="2"/>
  <c r="D36" i="2" s="1"/>
  <c r="F36" i="2" s="1"/>
  <c r="L36" i="2" s="1"/>
  <c r="N20" i="2"/>
  <c r="N29" i="2"/>
  <c r="N38" i="2"/>
  <c r="D38" i="2" s="1"/>
  <c r="F38" i="2" s="1"/>
  <c r="L38" i="2" s="1"/>
  <c r="N22" i="2"/>
  <c r="N17" i="2"/>
  <c r="J32" i="56"/>
  <c r="K32" i="56"/>
  <c r="F32" i="56"/>
  <c r="O36" i="55"/>
  <c r="O37" i="55" s="1"/>
  <c r="Z45" i="55"/>
  <c r="Z46" i="55" s="1"/>
  <c r="Z54" i="55"/>
  <c r="AA50" i="55" s="1"/>
  <c r="Q44" i="2"/>
  <c r="O44" i="2"/>
  <c r="P44" i="2"/>
  <c r="R44" i="2"/>
  <c r="AF52" i="46"/>
  <c r="AF53" i="46" s="1"/>
  <c r="AD45" i="46"/>
  <c r="AD46" i="46" s="1"/>
  <c r="D45" i="45"/>
  <c r="E45" i="45"/>
  <c r="N32" i="56" l="1"/>
  <c r="Q32" i="56"/>
  <c r="H32" i="56"/>
  <c r="Z32" i="56"/>
  <c r="V32" i="56"/>
  <c r="AB32" i="56"/>
  <c r="U32" i="56"/>
  <c r="AC32" i="56"/>
  <c r="I32" i="56"/>
  <c r="Y32" i="56"/>
  <c r="O32" i="56"/>
  <c r="E32" i="56"/>
  <c r="R32" i="56"/>
  <c r="P32" i="56"/>
  <c r="AA32" i="56"/>
  <c r="W32" i="56"/>
  <c r="G32" i="56"/>
  <c r="X32" i="56"/>
  <c r="M32" i="56"/>
  <c r="T32" i="56"/>
  <c r="S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AC52" i="55" s="1"/>
  <c r="AC53" i="55" s="1"/>
  <c r="Q48" i="2"/>
  <c r="Q36" i="55"/>
  <c r="Q37" i="55" s="1"/>
  <c r="AB47" i="55"/>
  <c r="AC4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L6" i="46" s="1"/>
  <c r="AA3" i="47"/>
  <c r="T4" i="46"/>
  <c r="W4" i="47" s="1"/>
  <c r="AQ4" i="46"/>
  <c r="AT4" i="47" s="1"/>
  <c r="AM4" i="46"/>
  <c r="AM6" i="46" s="1"/>
  <c r="D4" i="46"/>
  <c r="G4" i="47" s="1"/>
  <c r="AS4" i="46"/>
  <c r="AV4"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O4" i="47"/>
  <c r="AS6" i="46" l="1"/>
  <c r="D6" i="46"/>
  <c r="AB5" i="47"/>
  <c r="AB6" i="47" s="1"/>
  <c r="AB7" i="47" s="1"/>
  <c r="S38" i="55"/>
  <c r="T34" i="55" s="1"/>
  <c r="AP4" i="47"/>
  <c r="AP5" i="47" s="1"/>
  <c r="AP6" i="47" s="1"/>
  <c r="AP7" i="47" s="1"/>
  <c r="AP10" i="47" s="1"/>
  <c r="J6" i="46"/>
  <c r="AM4" i="47"/>
  <c r="AM5" i="47" s="1"/>
  <c r="AM6" i="47" s="1"/>
  <c r="AM7" i="47" s="1"/>
  <c r="AV5" i="47"/>
  <c r="AV6" i="47" s="1"/>
  <c r="AV7" i="47" s="1"/>
  <c r="AV9" i="47" s="1"/>
  <c r="I4" i="47"/>
  <c r="E10" i="47"/>
  <c r="E9" i="47"/>
  <c r="K6" i="46"/>
  <c r="S4" i="47"/>
  <c r="S5" i="47" s="1"/>
  <c r="S6" i="47" s="1"/>
  <c r="S7" i="47" s="1"/>
  <c r="AN5" i="47"/>
  <c r="AN6" i="47" s="1"/>
  <c r="AN7" i="47" s="1"/>
  <c r="AN10" i="47" s="1"/>
  <c r="T4" i="47"/>
  <c r="T5" i="47" s="1"/>
  <c r="T6" i="47" s="1"/>
  <c r="T7" i="47" s="1"/>
  <c r="T10" i="47" s="1"/>
  <c r="AU6" i="46"/>
  <c r="AU7" i="46" s="1"/>
  <c r="AU8" i="46" s="1"/>
  <c r="F5" i="47"/>
  <c r="F6" i="47" s="1"/>
  <c r="F7" i="47" s="1"/>
  <c r="F10" i="47" s="1"/>
  <c r="AK5" i="47"/>
  <c r="AK6" i="47" s="1"/>
  <c r="AK7" i="47" s="1"/>
  <c r="AK10" i="47" s="1"/>
  <c r="T6" i="46"/>
  <c r="T7" i="46" s="1"/>
  <c r="T8" i="46" s="1"/>
  <c r="AB6" i="46"/>
  <c r="AB7" i="46" s="1"/>
  <c r="AB8" i="46" s="1"/>
  <c r="G5" i="47"/>
  <c r="G6" i="47" s="1"/>
  <c r="G7" i="47" s="1"/>
  <c r="G10" i="47" s="1"/>
  <c r="T36" i="55"/>
  <c r="T37" i="55" s="1"/>
  <c r="L6" i="46"/>
  <c r="L7" i="46" s="1"/>
  <c r="L8" i="46" s="1"/>
  <c r="AI5" i="47"/>
  <c r="AI6" i="47" s="1"/>
  <c r="AI7" i="47" s="1"/>
  <c r="AI10" i="47" s="1"/>
  <c r="AH5" i="47"/>
  <c r="AH6" i="47" s="1"/>
  <c r="AH7" i="47" s="1"/>
  <c r="AH10" i="47" s="1"/>
  <c r="AQ6" i="46"/>
  <c r="AQ7" i="46" s="1"/>
  <c r="AQ8" i="46" s="1"/>
  <c r="Y6" i="46"/>
  <c r="Y7" i="46" s="1"/>
  <c r="Y8" i="46" s="1"/>
  <c r="G6" i="46"/>
  <c r="G7" i="46" s="1"/>
  <c r="G8" i="46" s="1"/>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J10" i="47"/>
  <c r="AJ9" i="47"/>
  <c r="AB9" i="47"/>
  <c r="AB10" i="47"/>
  <c r="AV10" i="47"/>
  <c r="D7" i="46"/>
  <c r="D8" i="46" s="1"/>
  <c r="AJ7" i="46"/>
  <c r="AJ8" i="46" s="1"/>
  <c r="Z7" i="46"/>
  <c r="Z8" i="46" s="1"/>
  <c r="U7" i="46"/>
  <c r="U8" i="46" s="1"/>
  <c r="AA7" i="46"/>
  <c r="AA8" i="46" s="1"/>
  <c r="AC7" i="46"/>
  <c r="AC8" i="46" s="1"/>
  <c r="O7" i="46"/>
  <c r="O8" i="46" s="1"/>
  <c r="AS7" i="46"/>
  <c r="AS8" i="46" s="1"/>
  <c r="F7" i="46"/>
  <c r="F8" i="46" s="1"/>
  <c r="AL7" i="46"/>
  <c r="AL8" i="46" s="1"/>
  <c r="J7" i="46"/>
  <c r="J8" i="46" s="1"/>
  <c r="Q7" i="46"/>
  <c r="Q8" i="46" s="1"/>
  <c r="E7" i="46"/>
  <c r="E8" i="46" s="1"/>
  <c r="K7" i="46"/>
  <c r="K8" i="46" s="1"/>
  <c r="AN7" i="46"/>
  <c r="AN8" i="46" s="1"/>
  <c r="AM7" i="46"/>
  <c r="AM8" i="46" s="1"/>
  <c r="X7" i="46"/>
  <c r="X8" i="46" s="1"/>
  <c r="P7" i="46"/>
  <c r="P8" i="46" s="1"/>
  <c r="N7" i="46"/>
  <c r="N8" i="46" s="1"/>
  <c r="AO7" i="46"/>
  <c r="AO8" i="46" s="1"/>
  <c r="R7" i="46"/>
  <c r="R8" i="46" s="1"/>
  <c r="T9" i="47" l="1"/>
  <c r="AM10" i="47"/>
  <c r="AM9" i="47"/>
  <c r="AM12" i="47" s="1"/>
  <c r="G9" i="47"/>
  <c r="G11" i="47" s="1"/>
  <c r="AO10" i="47"/>
  <c r="AI9" i="47"/>
  <c r="AI11" i="47" s="1"/>
  <c r="F9" i="47"/>
  <c r="F11" i="47" s="1"/>
  <c r="V9" i="47"/>
  <c r="V11" i="47" s="1"/>
  <c r="AN9" i="47"/>
  <c r="AN11" i="47" s="1"/>
  <c r="S9" i="47"/>
  <c r="S11" i="47" s="1"/>
  <c r="S10" i="47"/>
  <c r="AK9" i="47"/>
  <c r="AK12" i="47" s="1"/>
  <c r="E12" i="47"/>
  <c r="E11" i="47"/>
  <c r="AF10" i="47"/>
  <c r="Z10" i="47"/>
  <c r="X10" i="47"/>
  <c r="L9" i="47"/>
  <c r="L12" i="47" s="1"/>
  <c r="AH9" i="47"/>
  <c r="AH11"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O11" i="47"/>
  <c r="O12" i="47"/>
  <c r="P11" i="47"/>
  <c r="P12" i="47"/>
  <c r="W12" i="47"/>
  <c r="W11" i="47"/>
  <c r="N12" i="47"/>
  <c r="N11" i="47"/>
  <c r="AB11" i="47"/>
  <c r="AB12" i="47"/>
  <c r="AD11" i="47"/>
  <c r="AD12" i="47"/>
  <c r="AV11" i="47"/>
  <c r="AV12" i="47"/>
  <c r="X12" i="47"/>
  <c r="X11" i="47"/>
  <c r="AW12" i="47"/>
  <c r="AW11" i="47"/>
  <c r="AJ11" i="47"/>
  <c r="AJ12" i="47"/>
  <c r="M12" i="47"/>
  <c r="M11" i="47"/>
  <c r="AF11" i="47"/>
  <c r="AF12" i="47"/>
  <c r="H12" i="47"/>
  <c r="H11" i="47"/>
  <c r="AO11" i="47"/>
  <c r="AO12" i="47"/>
  <c r="T12" i="47"/>
  <c r="T11" i="47"/>
  <c r="R11" i="47"/>
  <c r="R12" i="47"/>
  <c r="AA12" i="47"/>
  <c r="AA11" i="47"/>
  <c r="Z12" i="47"/>
  <c r="Z11" i="47"/>
  <c r="F12" i="47" l="1"/>
  <c r="G12" i="47"/>
  <c r="AM11" i="47"/>
  <c r="AS12" i="47"/>
  <c r="AN12" i="47"/>
  <c r="AN13" i="47" s="1"/>
  <c r="AN14" i="47" s="1"/>
  <c r="AN16" i="47" s="1"/>
  <c r="AN17" i="47" s="1"/>
  <c r="AU12" i="47"/>
  <c r="AI12" i="47"/>
  <c r="V12" i="47"/>
  <c r="V13" i="47" s="1"/>
  <c r="V14" i="47" s="1"/>
  <c r="V16" i="47" s="1"/>
  <c r="V17" i="47" s="1"/>
  <c r="AH12" i="47"/>
  <c r="AH13" i="47" s="1"/>
  <c r="AH14" i="47" s="1"/>
  <c r="AH16" i="47" s="1"/>
  <c r="AH17" i="47" s="1"/>
  <c r="S12" i="47"/>
  <c r="S13" i="47" s="1"/>
  <c r="S14" i="47" s="1"/>
  <c r="S16" i="47" s="1"/>
  <c r="S17" i="47" s="1"/>
  <c r="AY11" i="47"/>
  <c r="AY13" i="47" s="1"/>
  <c r="AY14" i="47" s="1"/>
  <c r="AY16" i="47" s="1"/>
  <c r="AY17" i="47" s="1"/>
  <c r="E13" i="47"/>
  <c r="E14" i="47" s="1"/>
  <c r="E16" i="47" s="1"/>
  <c r="E17" i="47" s="1"/>
  <c r="AK11" i="47"/>
  <c r="AK13" i="47" s="1"/>
  <c r="AK14" i="47" s="1"/>
  <c r="AK16" i="47" s="1"/>
  <c r="AK17" i="47" s="1"/>
  <c r="AE12" i="47"/>
  <c r="AE13" i="47" s="1"/>
  <c r="AE14" i="47" s="1"/>
  <c r="AE16" i="47" s="1"/>
  <c r="AE17" i="47" s="1"/>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N13" i="47"/>
  <c r="N14" i="47" s="1"/>
  <c r="N16" i="47" s="1"/>
  <c r="N17" i="47" s="1"/>
  <c r="P13" i="47"/>
  <c r="P14" i="47" s="1"/>
  <c r="P16" i="47" s="1"/>
  <c r="P17" i="47" s="1"/>
  <c r="AA13" i="47"/>
  <c r="AA14" i="47" s="1"/>
  <c r="AA16" i="47" s="1"/>
  <c r="AA17" i="47" s="1"/>
  <c r="T13" i="47"/>
  <c r="T14" i="47" s="1"/>
  <c r="T16" i="47" s="1"/>
  <c r="T17" i="47" s="1"/>
  <c r="AD13" i="47"/>
  <c r="AD14" i="47" s="1"/>
  <c r="AD16" i="47" s="1"/>
  <c r="AD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L52" i="55" s="1"/>
  <c r="AL53" i="55" s="1"/>
  <c r="AA38" i="55"/>
  <c r="AB34"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I36" i="55" s="1"/>
  <c r="AI37" i="55" s="1"/>
  <c r="AI38" i="55" s="1"/>
  <c r="AJ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T45" i="55" s="1"/>
  <c r="AT46" i="55" s="1"/>
  <c r="AN36" i="55"/>
  <c r="AN37" i="55" s="1"/>
  <c r="AN38" i="55" s="1"/>
  <c r="AO34" i="55" s="1"/>
  <c r="AT54" i="55"/>
  <c r="AU50" i="55" s="1"/>
  <c r="AU52" i="55" s="1"/>
  <c r="AU53" i="55" s="1"/>
  <c r="AU54" i="55" s="1"/>
  <c r="AV50" i="55" s="1"/>
  <c r="U38" i="46"/>
  <c r="V34" i="46" s="1"/>
  <c r="AV52" i="55" l="1"/>
  <c r="AV53" i="55" s="1"/>
  <c r="AO36" i="55"/>
  <c r="AO37" i="55" s="1"/>
  <c r="AO38" i="55" s="1"/>
  <c r="AP34" i="55" s="1"/>
  <c r="AT47" i="55"/>
  <c r="AU43" i="55" s="1"/>
  <c r="V36" i="46"/>
  <c r="V37" i="46" s="1"/>
  <c r="AV54" i="55" l="1"/>
  <c r="AW50" i="55" s="1"/>
  <c r="AW52" i="55" s="1"/>
  <c r="AW53" i="55" s="1"/>
  <c r="AU45" i="55"/>
  <c r="AU46" i="55" s="1"/>
  <c r="AP36" i="55"/>
  <c r="AP37" i="55" s="1"/>
  <c r="AP38" i="55" s="1"/>
  <c r="AQ34" i="55" s="1"/>
  <c r="V38" i="46"/>
  <c r="W34" i="46" s="1"/>
  <c r="W36" i="46" s="1"/>
  <c r="W37" i="46" s="1"/>
  <c r="AU47" i="55" l="1"/>
  <c r="AV43" i="55" s="1"/>
  <c r="AV45" i="55" s="1"/>
  <c r="AV46" i="55" s="1"/>
  <c r="AW54" i="55"/>
  <c r="AX50"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7" i="47" l="1"/>
  <c r="AA26" i="47"/>
  <c r="J25" i="47"/>
  <c r="X26" i="47"/>
  <c r="U25" i="47"/>
  <c r="X27" i="47"/>
  <c r="E27" i="47"/>
  <c r="E25" i="47"/>
  <c r="E26" i="47"/>
  <c r="W26" i="47"/>
  <c r="I27" i="47"/>
  <c r="W27" i="47"/>
  <c r="H27" i="47"/>
  <c r="AA25" i="47"/>
  <c r="I25" i="47"/>
  <c r="I28" i="47" s="1"/>
  <c r="I29" i="47" s="1"/>
  <c r="I31" i="47" s="1"/>
  <c r="I33" i="47" s="1"/>
  <c r="I34" i="47" s="1"/>
  <c r="I35" i="47" s="1"/>
  <c r="F25" i="47"/>
  <c r="G27" i="47"/>
  <c r="R27" i="47"/>
  <c r="H25" i="47"/>
  <c r="L25" i="47"/>
  <c r="N25" i="47"/>
  <c r="N26" i="47"/>
  <c r="L27" i="47"/>
  <c r="AB25" i="47"/>
  <c r="F26" i="47"/>
  <c r="J27" i="47"/>
  <c r="AB26" i="47"/>
  <c r="P25" i="47"/>
  <c r="T26" i="47"/>
  <c r="Z26" i="47"/>
  <c r="Z25" i="47"/>
  <c r="Z28" i="47" s="1"/>
  <c r="Z29" i="47" s="1"/>
  <c r="Z31" i="47" s="1"/>
  <c r="Z33" i="47" s="1"/>
  <c r="Z34" i="47" s="1"/>
  <c r="Z35" i="47" s="1"/>
  <c r="AC25" i="47"/>
  <c r="K25" i="47"/>
  <c r="P26" i="47"/>
  <c r="G26" i="47"/>
  <c r="AC27" i="47"/>
  <c r="M26" i="47"/>
  <c r="M28" i="47" s="1"/>
  <c r="M29" i="47" s="1"/>
  <c r="M31" i="47" s="1"/>
  <c r="M33" i="47" s="1"/>
  <c r="M34" i="47" s="1"/>
  <c r="M35" i="47" s="1"/>
  <c r="Y26" i="47"/>
  <c r="Y27" i="47"/>
  <c r="V26" i="47"/>
  <c r="V25" i="47"/>
  <c r="K26" i="47"/>
  <c r="S25" i="47"/>
  <c r="O25" i="47"/>
  <c r="Q27" i="47"/>
  <c r="S27" i="47"/>
  <c r="O27" i="47"/>
  <c r="T25" i="47"/>
  <c r="Q26" i="47"/>
  <c r="R25" i="47"/>
  <c r="R28" i="47" s="1"/>
  <c r="R29" i="47" s="1"/>
  <c r="R31" i="47" s="1"/>
  <c r="R33" i="47" s="1"/>
  <c r="R34" i="47" s="1"/>
  <c r="R35" i="47" s="1"/>
  <c r="V28" i="47" l="1"/>
  <c r="V29" i="47" s="1"/>
  <c r="V31" i="47" s="1"/>
  <c r="V33" i="47" s="1"/>
  <c r="V34" i="47" s="1"/>
  <c r="V35" i="47" s="1"/>
  <c r="F28" i="47"/>
  <c r="F29" i="47" s="1"/>
  <c r="F31" i="47" s="1"/>
  <c r="F33" i="47" s="1"/>
  <c r="F34" i="47" s="1"/>
  <c r="F35" i="47" s="1"/>
  <c r="U28" i="47"/>
  <c r="U29" i="47" s="1"/>
  <c r="U31" i="47" s="1"/>
  <c r="U33" i="47" s="1"/>
  <c r="U34" i="47" s="1"/>
  <c r="U35" i="47" s="1"/>
  <c r="J28" i="47"/>
  <c r="J29" i="47" s="1"/>
  <c r="J31" i="47" s="1"/>
  <c r="J33" i="47" s="1"/>
  <c r="J34" i="47" s="1"/>
  <c r="J35" i="47" s="1"/>
  <c r="X28" i="47"/>
  <c r="X29" i="47" s="1"/>
  <c r="X31" i="47" s="1"/>
  <c r="X33" i="47" s="1"/>
  <c r="X34" i="47" s="1"/>
  <c r="X35" i="47" s="1"/>
  <c r="AA28" i="47"/>
  <c r="AA29" i="47" s="1"/>
  <c r="AA31" i="47" s="1"/>
  <c r="AA33" i="47" s="1"/>
  <c r="AA34" i="47" s="1"/>
  <c r="AA35" i="47" s="1"/>
  <c r="L28" i="47"/>
  <c r="L29" i="47" s="1"/>
  <c r="L31" i="47" s="1"/>
  <c r="L33" i="47" s="1"/>
  <c r="L34" i="47" s="1"/>
  <c r="L35" i="47" s="1"/>
  <c r="N28" i="47"/>
  <c r="N29" i="47" s="1"/>
  <c r="N31" i="47" s="1"/>
  <c r="N33" i="47" s="1"/>
  <c r="N34" i="47" s="1"/>
  <c r="N35" i="47" s="1"/>
  <c r="G28" i="47"/>
  <c r="G29" i="47" s="1"/>
  <c r="G31" i="47" s="1"/>
  <c r="G33" i="47" s="1"/>
  <c r="G34" i="47" s="1"/>
  <c r="G35" i="47" s="1"/>
  <c r="AB28" i="47"/>
  <c r="AB29" i="47" s="1"/>
  <c r="AB31" i="47" s="1"/>
  <c r="AB33" i="47" s="1"/>
  <c r="AB34" i="47" s="1"/>
  <c r="AB35" i="47" s="1"/>
  <c r="W28" i="47"/>
  <c r="W29" i="47" s="1"/>
  <c r="W31" i="47" s="1"/>
  <c r="W33" i="47" s="1"/>
  <c r="W34" i="47" s="1"/>
  <c r="W35" i="47" s="1"/>
  <c r="H28" i="47"/>
  <c r="H29" i="47" s="1"/>
  <c r="H31" i="47" s="1"/>
  <c r="H33" i="47" s="1"/>
  <c r="H34" i="47" s="1"/>
  <c r="H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<sst xmlns="http://schemas.openxmlformats.org/spreadsheetml/2006/main" count="1524" uniqueCount="278">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</sst>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tabSelected="1"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f>20%*(1-50%)</f>
        <v>0.1</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0.1</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28296.857336658824</v>
      </c>
      <c r="F3" s="36">
        <f>TableIncome[[#This Row],[SalaryP2]]*$I$7</f>
        <v>46356.403929042361</v>
      </c>
      <c r="G3" s="16"/>
      <c r="H3" s="14" t="s">
        <v>63</v>
      </c>
      <c r="I3" s="15" cm="1">
        <f t="array" ref="I3:I7">'Salary Variables'!$C$4:$C$8</f>
        <v>0.03</v>
      </c>
      <c r="K3" s="57">
        <f>(TableIncome[[#This Row],[SalaryP1]]-TableIncome[[#This Row],[InvestmentP1]])/12</f>
        <v>21222.643002494118</v>
      </c>
      <c r="L3" s="57">
        <f>(TableIncome[[#This Row],[SalaryP2]]-TableIncome[[#This Row],[InvestmentP2]])/12</f>
        <v>34767.302946781769</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28583.717205529418</v>
      </c>
      <c r="F4" s="36">
        <f>TableIncome[[#This Row],[SalaryP2]]*$I$7</f>
        <v>46723.195319836785</v>
      </c>
      <c r="G4" s="16"/>
      <c r="H4" s="14" t="s">
        <v>65</v>
      </c>
      <c r="I4" s="15">
        <v>9.9999999999999985E-3</v>
      </c>
      <c r="K4" s="57">
        <f>(TableIncome[[#This Row],[SalaryP1]]-TableIncome[[#This Row],[InvestmentP1]])/12</f>
        <v>21437.787904147062</v>
      </c>
      <c r="L4" s="57">
        <f>(TableIncome[[#This Row],[SalaryP2]]-TableIncome[[#This Row],[InvestmentP2]])/12</f>
        <v>35042.396489877588</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30032.359543325882</v>
      </c>
      <c r="F5" s="36">
        <f>TableIncome[[#This Row],[SalaryP2]]*$I$7</f>
        <v>48575.491843348631</v>
      </c>
      <c r="G5" s="16"/>
      <c r="H5" s="14" t="s">
        <v>64</v>
      </c>
      <c r="I5" s="15">
        <v>0.06</v>
      </c>
      <c r="K5" s="57">
        <f>(TableIncome[[#This Row],[SalaryP1]]-TableIncome[[#This Row],[InvestmentP1]])/12</f>
        <v>22524.269657494409</v>
      </c>
      <c r="L5" s="57">
        <f>(TableIncome[[#This Row],[SalaryP2]]-TableIncome[[#This Row],[InvestmentP2]])/12</f>
        <v>36431.618882511473</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30336.574434263144</v>
      </c>
      <c r="F6" s="36">
        <f>TableIncome[[#This Row],[SalaryP2]]*$I$7</f>
        <v>48964.474113286116</v>
      </c>
      <c r="G6" s="16"/>
      <c r="H6" s="14" t="s">
        <v>175</v>
      </c>
      <c r="I6" s="15">
        <v>3.9999999999999994E-2</v>
      </c>
      <c r="K6" s="57">
        <f>(TableIncome[[#This Row],[SalaryP1]]-TableIncome[[#This Row],[InvestmentP1]])/12</f>
        <v>22752.430825697356</v>
      </c>
      <c r="L6" s="57">
        <f>(TableIncome[[#This Row],[SalaryP2]]-TableIncome[[#This Row],[InvestmentP2]])/12</f>
        <v>36723.355584964585</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30643.831474109764</v>
      </c>
      <c r="F7" s="36">
        <f>TableIncome[[#This Row],[SalaryP2]]*$I$7</f>
        <v>49357.346205922964</v>
      </c>
      <c r="G7" s="16"/>
      <c r="H7" s="14" t="s">
        <v>76</v>
      </c>
      <c r="I7" s="15">
        <v>0.1</v>
      </c>
      <c r="K7" s="57">
        <f>(TableIncome[[#This Row],[SalaryP1]]-TableIncome[[#This Row],[InvestmentP1]])/12</f>
        <v>22982.873605582321</v>
      </c>
      <c r="L7" s="57">
        <f>(TableIncome[[#This Row],[SalaryP2]]-TableIncome[[#This Row],[InvestmentP2]])/12</f>
        <v>37018.009654442219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30954.16108435487</v>
      </c>
      <c r="F8" s="36">
        <f>TableIncome[[#This Row],[SalaryP2]]*$I$7</f>
        <v>49754.14701948619</v>
      </c>
      <c r="G8" s="16"/>
      <c r="I8" s="17"/>
      <c r="K8" s="57">
        <f>(TableIncome[[#This Row],[SalaryP1]]-TableIncome[[#This Row],[InvestmentP1]])/12</f>
        <v>23215.620813266152</v>
      </c>
      <c r="L8" s="57">
        <f>(TableIncome[[#This Row],[SalaryP2]]-TableIncome[[#This Row],[InvestmentP2]])/12</f>
        <v>37315.610264614639</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32521.325616092621</v>
      </c>
      <c r="F9" s="36">
        <f>TableIncome[[#This Row],[SalaryP2]]*$I$7</f>
        <v>51757.991127980502</v>
      </c>
      <c r="G9" s="16"/>
      <c r="K9" s="57">
        <f>(TableIncome[[#This Row],[SalaryP1]]-TableIncome[[#This Row],[InvestmentP1]])/12</f>
        <v>24390.994212069465</v>
      </c>
      <c r="L9" s="57">
        <f>(TableIncome[[#This Row],[SalaryP2]]-TableIncome[[#This Row],[InvestmentP2]])/12</f>
        <v>38818.493345985371</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32850.430167757549</v>
      </c>
      <c r="F10" s="36">
        <f>TableIncome[[#This Row],[SalaryP2]]*$I$7</f>
        <v>52178.798390764307</v>
      </c>
      <c r="G10" s="16"/>
      <c r="H10" s="28"/>
      <c r="K10" s="57">
        <f>(TableIncome[[#This Row],[SalaryP1]]-TableIncome[[#This Row],[InvestmentP1]])/12</f>
        <v>24637.822625818157</v>
      </c>
      <c r="L10" s="57">
        <f>(TableIncome[[#This Row],[SalaryP2]]-TableIncome[[#This Row],[InvestmentP2]])/12</f>
        <v>39134.09879307323</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33182.825764939123</v>
      </c>
      <c r="F11" s="36">
        <f>TableIncome[[#This Row],[SalaryP2]]*$I$7</f>
        <v>52603.813726175955</v>
      </c>
      <c r="G11" s="16"/>
      <c r="K11" s="57">
        <f>(TableIncome[[#This Row],[SalaryP1]]-TableIncome[[#This Row],[InvestmentP1]])/12</f>
        <v>24887.119323704337</v>
      </c>
      <c r="L11" s="57">
        <f>(TableIncome[[#This Row],[SalaryP2]]-TableIncome[[#This Row],[InvestmentP2]])/12</f>
        <v>39452.860294631966</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33518.545318092511</v>
      </c>
      <c r="F12" s="36">
        <f>TableIncome[[#This Row],[SalaryP2]]*$I$7</f>
        <v>53033.07921494171</v>
      </c>
      <c r="G12" s="16"/>
      <c r="K12" s="57">
        <f>(TableIncome[[#This Row],[SalaryP1]]-TableIncome[[#This Row],[InvestmentP1]])/12</f>
        <v>25138.908988569383</v>
      </c>
      <c r="L12" s="57">
        <f>(TableIncome[[#This Row],[SalaryP2]]-TableIncome[[#This Row],[InvestmentP2]])/12</f>
        <v>39774.809411206283</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35213.929061517134</v>
      </c>
      <c r="F13" s="36">
        <f>TableIncome[[#This Row],[SalaryP2]]*$I$7</f>
        <v>55200.8699332088</v>
      </c>
      <c r="G13" s="16"/>
      <c r="K13" s="57">
        <f>(TableIncome[[#This Row],[SalaryP1]]-TableIncome[[#This Row],[InvestmentP1]])/12</f>
        <v>26410.44679613785</v>
      </c>
      <c r="L13" s="57">
        <f>(TableIncome[[#This Row],[SalaryP2]]-TableIncome[[#This Row],[InvestmentP2]])/12</f>
        <v>41400.6524499066</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35569.959647636315</v>
      </c>
      <c r="F14" s="36">
        <f>TableIncome[[#This Row],[SalaryP2]]*$I$7</f>
        <v>55656.105984044894</v>
      </c>
      <c r="G14" s="16"/>
      <c r="K14" s="57">
        <f>(TableIncome[[#This Row],[SalaryP1]]-TableIncome[[#This Row],[InvestmentP1]])/12</f>
        <v>26677.469735727234</v>
      </c>
      <c r="L14" s="57">
        <f>(TableIncome[[#This Row],[SalaryP2]]-TableIncome[[#This Row],[InvestmentP2]])/12</f>
        <v>41742.079488033669</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35929.55053961667</v>
      </c>
      <c r="F15" s="36">
        <f>TableIncome[[#This Row],[SalaryP2]]*$I$7</f>
        <v>56115.894395389339</v>
      </c>
      <c r="G15" s="16"/>
      <c r="K15" s="57">
        <f>(TableIncome[[#This Row],[SalaryP1]]-TableIncome[[#This Row],[InvestmentP1]])/12</f>
        <v>26947.162904712502</v>
      </c>
      <c r="L15" s="57">
        <f>(TableIncome[[#This Row],[SalaryP2]]-TableIncome[[#This Row],[InvestmentP2]])/12</f>
        <v>42086.920796541999</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37745.484544117506</v>
      </c>
      <c r="F16" s="36">
        <f>TableIncome[[#This Row],[SalaryP2]]*$I$7</f>
        <v>58437.825872678812</v>
      </c>
      <c r="G16" s="16"/>
      <c r="K16" s="57">
        <f>(TableIncome[[#This Row],[SalaryP1]]-TableIncome[[#This Row],[InvestmentP1]])/12</f>
        <v>28309.113408088127</v>
      </c>
      <c r="L16" s="57">
        <f>(TableIncome[[#This Row],[SalaryP2]]-TableIncome[[#This Row],[InvestmentP2]])/12</f>
        <v>43828.369404509111</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38126.830685062683</v>
      </c>
      <c r="F17" s="36">
        <f>TableIncome[[#This Row],[SalaryP2]]*$I$7</f>
        <v>58925.431482909597</v>
      </c>
      <c r="G17" s="16"/>
      <c r="K17" s="57">
        <f>(TableIncome[[#This Row],[SalaryP1]]-TableIncome[[#This Row],[InvestmentP1]])/12</f>
        <v>28595.123013797012</v>
      </c>
      <c r="L17" s="57">
        <f>(TableIncome[[#This Row],[SalaryP2]]-TableIncome[[#This Row],[InvestmentP2]])/12</f>
        <v>44194.073612182197</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38511.99028741732</v>
      </c>
      <c r="F18" s="36">
        <f>TableIncome[[#This Row],[SalaryP2]]*$I$7</f>
        <v>59417.91314924269</v>
      </c>
      <c r="G18" s="16"/>
      <c r="K18" s="57">
        <f>(TableIncome[[#This Row],[SalaryP1]]-TableIncome[[#This Row],[InvestmentP1]])/12</f>
        <v>28883.992715562988</v>
      </c>
      <c r="L18" s="57">
        <f>(TableIncome[[#This Row],[SalaryP2]]-TableIncome[[#This Row],[InvestmentP2]])/12</f>
        <v>44563.434861932015</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38901.001485795488</v>
      </c>
      <c r="F19" s="36">
        <f>TableIncome[[#This Row],[SalaryP2]]*$I$7</f>
        <v>59915.319632239109</v>
      </c>
      <c r="G19" s="16"/>
      <c r="K19" s="57">
        <f>(TableIncome[[#This Row],[SalaryP1]]-TableIncome[[#This Row],[InvestmentP1]])/12</f>
        <v>29175.751114346614</v>
      </c>
      <c r="L19" s="57">
        <f>(TableIncome[[#This Row],[SalaryP2]]-TableIncome[[#This Row],[InvestmentP2]])/12</f>
        <v>44936.48972417933</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39293.902796157454</v>
      </c>
      <c r="F20" s="36">
        <f>TableIncome[[#This Row],[SalaryP2]]*$I$7</f>
        <v>60417.70018006552</v>
      </c>
      <c r="G20" s="16"/>
      <c r="K20" s="57">
        <f>(TableIncome[[#This Row],[SalaryP1]]-TableIncome[[#This Row],[InvestmentP1]])/12</f>
        <v>29470.427097118085</v>
      </c>
      <c r="L20" s="57">
        <f>(TableIncome[[#This Row],[SalaryP2]]-TableIncome[[#This Row],[InvestmentP2]])/12</f>
        <v>45313.275135049138</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41278.054413485312</v>
      </c>
      <c r="F21" s="36">
        <f>TableIncome[[#This Row],[SalaryP2]]*$I$7</f>
        <v>62954.72194658879</v>
      </c>
      <c r="G21" s="16"/>
      <c r="K21" s="57">
        <f>(TableIncome[[#This Row],[SalaryP1]]-TableIncome[[#This Row],[InvestmentP1]])/12</f>
        <v>30958.540810113976</v>
      </c>
      <c r="L21" s="57">
        <f>(TableIncome[[#This Row],[SalaryP2]]-TableIncome[[#This Row],[InvestmentP2]])/12</f>
        <v>47216.041459941589</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41694.726253124179</v>
      </c>
      <c r="F22" s="36">
        <f>TableIncome[[#This Row],[SalaryP2]]*$I$7</f>
        <v>63487.496517558677</v>
      </c>
      <c r="G22" s="16"/>
      <c r="K22" s="57">
        <f>(TableIncome[[#This Row],[SalaryP1]]-TableIncome[[#This Row],[InvestmentP1]])/12</f>
        <v>31271.044689843129</v>
      </c>
      <c r="L22" s="57">
        <f>(TableIncome[[#This Row],[SalaryP2]]-TableIncome[[#This Row],[InvestmentP2]])/12</f>
        <v>47615.622388169002</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42060.187256509613</v>
      </c>
      <c r="F23" s="36">
        <f>TableIncome[[#This Row],[SalaryP2]]*$I$7</f>
        <v>64025.598834238277</v>
      </c>
      <c r="G23" s="16"/>
      <c r="K23" s="57">
        <f>(TableIncome[[#This Row],[SalaryP1]]-TableIncome[[#This Row],[InvestmentP1]])/12</f>
        <v>31545.14044238221</v>
      </c>
      <c r="L23" s="57">
        <f>(TableIncome[[#This Row],[SalaryP2]]-TableIncome[[#This Row],[InvestmentP2]])/12</f>
        <v>48019.199125678708</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42384.016480578706</v>
      </c>
      <c r="F24" s="36">
        <f>TableIncome[[#This Row],[SalaryP2]]*$I$7</f>
        <v>64569.082174084666</v>
      </c>
      <c r="G24" s="16"/>
      <c r="K24" s="57">
        <f>(TableIncome[[#This Row],[SalaryP1]]-TableIncome[[#This Row],[InvestmentP1]])/12</f>
        <v>31788.01236043403</v>
      </c>
      <c r="L24" s="57">
        <f>(TableIncome[[#This Row],[SalaryP2]]-TableIncome[[#This Row],[InvestmentP2]])/12</f>
        <v>48426.811630563498</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44019.354062127648</v>
      </c>
      <c r="F25" s="36">
        <f>TableIncome[[#This Row],[SalaryP2]]*$I$7</f>
        <v>67313.673040308888</v>
      </c>
      <c r="G25" s="16"/>
      <c r="K25" s="57">
        <f>(TableIncome[[#This Row],[SalaryP1]]-TableIncome[[#This Row],[InvestmentP1]])/12</f>
        <v>33014.515546595736</v>
      </c>
      <c r="L25" s="57">
        <f>(TableIncome[[#This Row],[SalaryP2]]-TableIncome[[#This Row],[InvestmentP2]])/12</f>
        <v>50485.254780231662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44362.774954252927</v>
      </c>
      <c r="F26" s="36">
        <f>TableIncome[[#This Row],[SalaryP2]]*$I$7</f>
        <v>67890.037122215974</v>
      </c>
      <c r="G26" s="16"/>
      <c r="K26" s="57">
        <f>(TableIncome[[#This Row],[SalaryP1]]-TableIncome[[#This Row],[InvestmentP1]])/12</f>
        <v>33272.081215689694</v>
      </c>
      <c r="L26" s="57">
        <f>(TableIncome[[#This Row],[SalaryP2]]-TableIncome[[#This Row],[InvestmentP2]])/12</f>
        <v>50917.527841661977</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44709.630055299451</v>
      </c>
      <c r="F27" s="36">
        <f>TableIncome[[#This Row],[SalaryP2]]*$I$7</f>
        <v>68472.164844942148</v>
      </c>
      <c r="G27" s="16"/>
      <c r="K27" s="57">
        <f>(TableIncome[[#This Row],[SalaryP1]]-TableIncome[[#This Row],[InvestmentP1]])/12</f>
        <v>33532.222541474584</v>
      </c>
      <c r="L27" s="57">
        <f>(TableIncome[[#This Row],[SalaryP2]]-TableIncome[[#This Row],[InvestmentP2]])/12</f>
        <v>51354.1236337066</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45059.95370735645</v>
      </c>
      <c r="F28" s="36">
        <f>TableIncome[[#This Row],[SalaryP2]]*$I$7</f>
        <v>69060.113844895561</v>
      </c>
      <c r="G28" s="16"/>
      <c r="K28" s="57">
        <f>(TableIncome[[#This Row],[SalaryP1]]-TableIncome[[#This Row],[InvestmentP1]])/12</f>
        <v>33794.965280517332</v>
      </c>
      <c r="L28" s="57">
        <f>(TableIncome[[#This Row],[SalaryP2]]-TableIncome[[#This Row],[InvestmentP2]])/12</f>
        <v>51795.085383671663</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45413.780595934018</v>
      </c>
      <c r="F29" s="36">
        <f>TableIncome[[#This Row],[SalaryP2]]*$I$7</f>
        <v>69653.942334848529</v>
      </c>
      <c r="G29" s="16"/>
      <c r="K29" s="57">
        <f>(TableIncome[[#This Row],[SalaryP1]]-TableIncome[[#This Row],[InvestmentP1]])/12</f>
        <v>34060.335446950514</v>
      </c>
      <c r="L29" s="57">
        <f>(TableIncome[[#This Row],[SalaryP2]]-TableIncome[[#This Row],[InvestmentP2]])/12</f>
        <v>52240.456751136393</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45771.145753397352</v>
      </c>
      <c r="F30" s="36">
        <f>TableIncome[[#This Row],[SalaryP2]]*$I$7</f>
        <v>70253.709109701012</v>
      </c>
      <c r="G30" s="16"/>
      <c r="K30" s="57">
        <f>(TableIncome[[#This Row],[SalaryP1]]-TableIncome[[#This Row],[InvestmentP1]])/12</f>
        <v>34328.359315048008</v>
      </c>
      <c r="L30" s="57">
        <f>(TableIncome[[#This Row],[SalaryP2]]-TableIncome[[#This Row],[InvestmentP2]])/12</f>
        <v>52690.281832275759</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46132.084562435331</v>
      </c>
      <c r="F31" s="36">
        <f>TableIncome[[#This Row],[SalaryP2]]*$I$7</f>
        <v>70859.473552302021</v>
      </c>
      <c r="G31" s="16"/>
      <c r="K31" s="57">
        <f>(TableIncome[[#This Row],[SalaryP1]]-TableIncome[[#This Row],[InvestmentP1]])/12</f>
        <v>34599.063421826497</v>
      </c>
      <c r="L31" s="57">
        <f>(TableIncome[[#This Row],[SalaryP2]]-TableIncome[[#This Row],[InvestmentP2]])/12</f>
        <v>53144.605164226516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46496.632759563683</v>
      </c>
      <c r="F32" s="36">
        <f>TableIncome[[#This Row],[SalaryP2]]*$I$7</f>
        <v>71471.295639329051</v>
      </c>
      <c r="G32" s="16"/>
      <c r="K32" s="57">
        <f>(TableIncome[[#This Row],[SalaryP1]]-TableIncome[[#This Row],[InvestmentP1]])/12</f>
        <v>34872.474569672762</v>
      </c>
      <c r="L32" s="57">
        <f>(TableIncome[[#This Row],[SalaryP2]]-TableIncome[[#This Row],[InvestmentP2]])/12</f>
        <v>53603.471729496792</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46864.826438663324</v>
      </c>
      <c r="F33" s="36">
        <f>TableIncome[[#This Row],[SalaryP2]]*$I$7</f>
        <v>72089.235947226334</v>
      </c>
      <c r="G33" s="16"/>
      <c r="K33" s="57">
        <f>(TableIncome[[#This Row],[SalaryP1]]-TableIncome[[#This Row],[InvestmentP1]])/12</f>
        <v>35148.619828997493</v>
      </c>
      <c r="L33" s="57">
        <f>(TableIncome[[#This Row],[SalaryP2]]-TableIncome[[#This Row],[InvestmentP2]])/12</f>
        <v>54066.926960419754</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47236.702054553956</v>
      </c>
      <c r="F34" s="36">
        <f>TableIncome[[#This Row],[SalaryP2]]*$I$7</f>
        <v>72713.355658202592</v>
      </c>
      <c r="G34" s="16"/>
      <c r="K34" s="57">
        <f>(TableIncome[[#This Row],[SalaryP1]]-TableIncome[[#This Row],[InvestmentP1]])/12</f>
        <v>35427.52654091546</v>
      </c>
      <c r="L34" s="57">
        <f>(TableIncome[[#This Row],[SalaryP2]]-TableIncome[[#This Row],[InvestmentP2]])/12</f>
        <v>54535.016743651948</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47612.296426603491</v>
      </c>
      <c r="F35" s="36">
        <f>TableIncome[[#This Row],[SalaryP2]]*$I$7</f>
        <v>73343.71656628864</v>
      </c>
      <c r="G35" s="16"/>
      <c r="K35" s="57">
        <f>(TableIncome[[#This Row],[SalaryP1]]-TableIncome[[#This Row],[InvestmentP1]])/12</f>
        <v>35709.222319952612</v>
      </c>
      <c r="L35" s="57">
        <f>(TableIncome[[#This Row],[SalaryP2]]-TableIncome[[#This Row],[InvestmentP2]])/12</f>
        <v>55007.78742471648</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47991.646742373523</v>
      </c>
      <c r="F36" s="36">
        <f>TableIncome[[#This Row],[SalaryP2]]*$I$7</f>
        <v>73980.381083455504</v>
      </c>
      <c r="G36" s="16"/>
      <c r="K36" s="57">
        <f>(TableIncome[[#This Row],[SalaryP1]]-TableIncome[[#This Row],[InvestmentP1]])/12</f>
        <v>35993.73505678014</v>
      </c>
      <c r="L36" s="57">
        <f>(TableIncome[[#This Row],[SalaryP2]]-TableIncome[[#This Row],[InvestmentP2]])/12</f>
        <v>55485.285812591617</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48374.790561301263</v>
      </c>
      <c r="F37" s="36">
        <f>TableIncome[[#This Row],[SalaryP2]]*$I$7</f>
        <v>74623.412245794083</v>
      </c>
      <c r="G37" s="16"/>
      <c r="K37" s="57">
        <f>(TableIncome[[#This Row],[SalaryP1]]-TableIncome[[#This Row],[InvestmentP1]])/12</f>
        <v>36281.092920975942</v>
      </c>
      <c r="L37" s="57">
        <f>(TableIncome[[#This Row],[SalaryP2]]-TableIncome[[#This Row],[InvestmentP2]])/12</f>
        <v>55967.559184345562</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50309.666846886335</v>
      </c>
      <c r="F38" s="36">
        <f>TableIncome[[#This Row],[SalaryP2]]*$I$7</f>
        <v>0</v>
      </c>
      <c r="G38" s="16"/>
      <c r="K38" s="57">
        <f>(TableIncome[[#This Row],[SalaryP1]]-TableIncome[[#This Row],[InvestmentP1]])/12</f>
        <v>37732.250135164744</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50715.990866859189</v>
      </c>
      <c r="F39" s="36">
        <f>TableIncome[[#This Row],[SalaryP2]]*$I$7</f>
        <v>0</v>
      </c>
      <c r="G39" s="16"/>
      <c r="K39" s="57">
        <f>(TableIncome[[#This Row],[SalaryP1]]-TableIncome[[#This Row],[InvestmentP1]])/12</f>
        <v>38036.993150144386</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51126.378127031778</v>
      </c>
      <c r="F40" s="36">
        <f>TableIncome[[#This Row],[SalaryP2]]*$I$7</f>
        <v>0</v>
      </c>
      <c r="G40" s="16"/>
      <c r="K40" s="57">
        <f>(TableIncome[[#This Row],[SalaryP1]]-TableIncome[[#This Row],[InvestmentP1]])/12</f>
        <v>38344.783595273831</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51540.869259806095</v>
      </c>
      <c r="F41" s="36">
        <f>TableIncome[[#This Row],[SalaryP2]]*$I$7</f>
        <v>0</v>
      </c>
      <c r="G41" s="16"/>
      <c r="K41" s="57">
        <f>(TableIncome[[#This Row],[SalaryP1]]-TableIncome[[#This Row],[InvestmentP1]])/12</f>
        <v>38655.651944854566</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51959.505303908154</v>
      </c>
      <c r="F42" s="36">
        <f>TableIncome[[#This Row],[SalaryP2]]*$I$7</f>
        <v>0</v>
      </c>
      <c r="G42" s="16"/>
      <c r="K42" s="57">
        <f>(TableIncome[[#This Row],[SalaryP1]]-TableIncome[[#This Row],[InvestmentP1]])/12</f>
        <v>38969.628977931112</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52382.327708451245</v>
      </c>
      <c r="F43" s="36">
        <f>TableIncome[[#This Row],[SalaryP2]]*$I$7</f>
        <v>0</v>
      </c>
      <c r="G43" s="16"/>
      <c r="K43" s="57">
        <f>(TableIncome[[#This Row],[SalaryP1]]-TableIncome[[#This Row],[InvestmentP1]])/12</f>
        <v>39286.745781338432</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52809.378337039758</v>
      </c>
      <c r="F44" s="36">
        <f>TableIncome[[#This Row],[SalaryP2]]*$I$7</f>
        <v>0</v>
      </c>
      <c r="G44" s="16"/>
      <c r="K44" s="57">
        <f>(TableIncome[[#This Row],[SalaryP1]]-TableIncome[[#This Row],[InvestmentP1]])/12</f>
        <v>39607.033752779818</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53240.699471914151</v>
      </c>
      <c r="F45" s="36">
        <f>TableIncome[[#This Row],[SalaryP2]]*$I$7</f>
        <v>0</v>
      </c>
      <c r="G45" s="16"/>
      <c r="K45" s="57">
        <f>(TableIncome[[#This Row],[SalaryP1]]-TableIncome[[#This Row],[InvestmentP1]])/12</f>
        <v>39930.524603935613</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53676.333818137296</v>
      </c>
      <c r="F46" s="36">
        <f>TableIncome[[#This Row],[SalaryP2]]*$I$7</f>
        <v>0</v>
      </c>
      <c r="G46" s="16"/>
      <c r="K46" s="57">
        <f>(TableIncome[[#This Row],[SalaryP1]]-TableIncome[[#This Row],[InvestmentP1]])/12</f>
        <v>40257.250363602972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54116.324507822661</v>
      </c>
      <c r="F47" s="36">
        <f>TableIncome[[#This Row],[SalaryP2]]*$I$7</f>
        <v>0</v>
      </c>
      <c r="G47" s="16"/>
      <c r="K47" s="57">
        <f>(TableIncome[[#This Row],[SalaryP1]]-TableIncome[[#This Row],[InvestmentP1]])/12</f>
        <v>40587.243380866996</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54560.715104404888</v>
      </c>
      <c r="F48" s="36">
        <f>TableIncome[[#This Row],[SalaryP2]]*$I$7</f>
        <v>0</v>
      </c>
      <c r="G48" s="16"/>
      <c r="K48" s="57">
        <f>(TableIncome[[#This Row],[SalaryP1]]-TableIncome[[#This Row],[InvestmentP1]])/12</f>
        <v>40920.536328303664</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55009.549606952933</v>
      </c>
      <c r="F49" s="36">
        <f>TableIncome[[#This Row],[SalaryP2]]*$I$7</f>
        <v>0</v>
      </c>
      <c r="K49" s="57">
        <f>(TableIncome[[#This Row],[SalaryP1]]-TableIncome[[#This Row],[InvestmentP1]])/12</f>
        <v>41257.162205214699</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55462.872454526463</v>
      </c>
      <c r="F50" s="36">
        <f>TableIncome[[#This Row],[SalaryP2]]*$I$7</f>
        <v>0</v>
      </c>
      <c r="K50" s="57">
        <f>(TableIncome[[#This Row],[SalaryP1]]-TableIncome[[#This Row],[InvestmentP1]])/12</f>
        <v>41597.154340894842</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55920.728530575732</v>
      </c>
      <c r="F51" s="36">
        <f>TableIncome[[#This Row],[SalaryP2]]*$I$7</f>
        <v>0</v>
      </c>
      <c r="K51" s="57">
        <f>(TableIncome[[#This Row],[SalaryP1]]-TableIncome[[#This Row],[InvestmentP1]])/12</f>
        <v>41940.546397931794</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56383.163167385494</v>
      </c>
      <c r="F52" s="36">
        <f>TableIncome[[#This Row],[SalaryP2]]*$I$7</f>
        <v>0</v>
      </c>
      <c r="K52" s="57">
        <f>(TableIncome[[#This Row],[SalaryP1]]-TableIncome[[#This Row],[InvestmentP1]])/12</f>
        <v>42287.372375539118</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55967.559184345562</v>
      </c>
      <c r="F32" s="26">
        <f>Income!$L$37</f>
        <v>55967.559184345562</v>
      </c>
      <c r="G32" s="26">
        <f>Income!$L$37</f>
        <v>55967.559184345562</v>
      </c>
      <c r="H32" s="26">
        <f>Income!$L$37</f>
        <v>55967.559184345562</v>
      </c>
      <c r="I32" s="26">
        <f>Income!$L$37</f>
        <v>55967.559184345562</v>
      </c>
      <c r="J32" s="26">
        <f>Income!$L$37</f>
        <v>55967.559184345562</v>
      </c>
      <c r="K32" s="26">
        <f>Income!$L$37</f>
        <v>55967.559184345562</v>
      </c>
      <c r="L32" s="26">
        <f>Income!$L$37</f>
        <v>55967.559184345562</v>
      </c>
      <c r="M32" s="26">
        <f>Income!$L$37</f>
        <v>55967.559184345562</v>
      </c>
      <c r="N32" s="26">
        <f>Income!$L$37</f>
        <v>55967.559184345562</v>
      </c>
      <c r="O32" s="26">
        <f>Income!$L$37</f>
        <v>55967.559184345562</v>
      </c>
      <c r="P32" s="26">
        <f>Income!$L$37</f>
        <v>55967.559184345562</v>
      </c>
      <c r="Q32" s="26">
        <f>Income!$L$37</f>
        <v>55967.559184345562</v>
      </c>
      <c r="R32" s="26">
        <f>Income!$L$37</f>
        <v>55967.559184345562</v>
      </c>
      <c r="S32" s="26">
        <f>Income!$L$37</f>
        <v>55967.559184345562</v>
      </c>
      <c r="T32" s="26">
        <f>Income!$L$37</f>
        <v>55967.559184345562</v>
      </c>
      <c r="U32" s="26">
        <f>Income!$L$37</f>
        <v>55967.559184345562</v>
      </c>
      <c r="V32" s="26">
        <f>Income!$L$37</f>
        <v>55967.559184345562</v>
      </c>
      <c r="W32" s="26">
        <f>Income!$L$37</f>
        <v>55967.559184345562</v>
      </c>
      <c r="X32" s="26">
        <f>Income!$L$37</f>
        <v>55967.559184345562</v>
      </c>
      <c r="Y32" s="26">
        <f>Income!$L$37</f>
        <v>55967.559184345562</v>
      </c>
      <c r="Z32" s="26">
        <f>Income!$L$37</f>
        <v>55967.559184345562</v>
      </c>
      <c r="AA32" s="26">
        <f>Income!$L$37</f>
        <v>55967.559184345562</v>
      </c>
      <c r="AB32" s="26">
        <f>Income!$L$37</f>
        <v>55967.559184345562</v>
      </c>
      <c r="AC32" s="26">
        <f>Income!$L$37</f>
        <v>55967.559184345562</v>
      </c>
      <c r="BI32" s="2">
        <v>60074.363289355279</v>
      </c>
    </row>
    <row r="33" spans="4:61" x14ac:dyDescent="0.2">
      <c r="D33" s="2" t="s">
        <v>204</v>
      </c>
      <c r="E33" s="26">
        <f>E32-E31</f>
        <v>17275.46628364599</v>
      </c>
      <c r="F33" s="26">
        <f t="shared" ref="F33:AC33" si="33">F32-F31</f>
        <v>17275.46628364599</v>
      </c>
      <c r="G33" s="26">
        <f t="shared" si="33"/>
        <v>17275.46628364599</v>
      </c>
      <c r="H33" s="26">
        <f t="shared" si="33"/>
        <v>17275.46628364599</v>
      </c>
      <c r="I33" s="26">
        <f t="shared" si="33"/>
        <v>17275.46628364599</v>
      </c>
      <c r="J33" s="26">
        <f t="shared" si="33"/>
        <v>17275.46628364599</v>
      </c>
      <c r="K33" s="26">
        <f t="shared" si="33"/>
        <v>17275.46628364599</v>
      </c>
      <c r="L33" s="26">
        <f t="shared" si="33"/>
        <v>17275.46628364599</v>
      </c>
      <c r="M33" s="26">
        <f t="shared" si="33"/>
        <v>17275.46628364599</v>
      </c>
      <c r="N33" s="26">
        <f t="shared" si="33"/>
        <v>17275.46628364599</v>
      </c>
      <c r="O33" s="26">
        <f t="shared" si="33"/>
        <v>17275.46628364599</v>
      </c>
      <c r="P33" s="26">
        <f t="shared" si="33"/>
        <v>17275.46628364599</v>
      </c>
      <c r="Q33" s="26">
        <f t="shared" si="33"/>
        <v>17275.46628364599</v>
      </c>
      <c r="R33" s="26">
        <f t="shared" si="33"/>
        <v>17275.46628364599</v>
      </c>
      <c r="S33" s="26">
        <f t="shared" si="33"/>
        <v>17275.46628364599</v>
      </c>
      <c r="T33" s="26">
        <f t="shared" si="33"/>
        <v>17275.46628364599</v>
      </c>
      <c r="U33" s="26">
        <f t="shared" si="33"/>
        <v>17275.46628364599</v>
      </c>
      <c r="V33" s="26">
        <f t="shared" si="33"/>
        <v>17275.46628364599</v>
      </c>
      <c r="W33" s="26">
        <f t="shared" si="33"/>
        <v>17275.46628364599</v>
      </c>
      <c r="X33" s="26">
        <f t="shared" si="33"/>
        <v>17275.46628364599</v>
      </c>
      <c r="Y33" s="26">
        <f t="shared" si="33"/>
        <v>17275.46628364599</v>
      </c>
      <c r="Z33" s="26">
        <f t="shared" si="33"/>
        <v>17275.46628364599</v>
      </c>
      <c r="AA33" s="26">
        <f t="shared" si="33"/>
        <v>17275.46628364599</v>
      </c>
      <c r="AB33" s="26">
        <f t="shared" si="33"/>
        <v>17275.46628364599</v>
      </c>
      <c r="AC33" s="26">
        <f t="shared" si="33"/>
        <v>17275.46628364599</v>
      </c>
      <c r="BI33" s="2">
        <v>60594.463048502163</v>
      </c>
    </row>
    <row r="34" spans="4:61" x14ac:dyDescent="0.2">
      <c r="D34" s="2" t="s">
        <v>264</v>
      </c>
      <c r="E34" s="26">
        <f>E33*(1+$B$10)</f>
        <v>21939.842180230407</v>
      </c>
      <c r="F34" s="26">
        <f t="shared" ref="F34:AC34" si="34">F33*(1+$B$10)</f>
        <v>21939.842180230407</v>
      </c>
      <c r="G34" s="26">
        <f t="shared" si="34"/>
        <v>21939.842180230407</v>
      </c>
      <c r="H34" s="26">
        <f t="shared" si="34"/>
        <v>21939.842180230407</v>
      </c>
      <c r="I34" s="26">
        <f t="shared" si="34"/>
        <v>21939.842180230407</v>
      </c>
      <c r="J34" s="26">
        <f t="shared" si="34"/>
        <v>21939.842180230407</v>
      </c>
      <c r="K34" s="26">
        <f t="shared" si="34"/>
        <v>21939.842180230407</v>
      </c>
      <c r="L34" s="26">
        <f t="shared" si="34"/>
        <v>21939.842180230407</v>
      </c>
      <c r="M34" s="26">
        <f t="shared" si="34"/>
        <v>21939.842180230407</v>
      </c>
      <c r="N34" s="26">
        <f t="shared" si="34"/>
        <v>21939.842180230407</v>
      </c>
      <c r="O34" s="26">
        <f t="shared" si="34"/>
        <v>21939.842180230407</v>
      </c>
      <c r="P34" s="26">
        <f t="shared" si="34"/>
        <v>21939.842180230407</v>
      </c>
      <c r="Q34" s="26">
        <f t="shared" si="34"/>
        <v>21939.842180230407</v>
      </c>
      <c r="R34" s="26">
        <f t="shared" si="34"/>
        <v>21939.842180230407</v>
      </c>
      <c r="S34" s="26">
        <f t="shared" si="34"/>
        <v>21939.842180230407</v>
      </c>
      <c r="T34" s="26">
        <f t="shared" si="34"/>
        <v>21939.842180230407</v>
      </c>
      <c r="U34" s="26">
        <f t="shared" si="34"/>
        <v>21939.842180230407</v>
      </c>
      <c r="V34" s="26">
        <f t="shared" si="34"/>
        <v>21939.842180230407</v>
      </c>
      <c r="W34" s="26">
        <f t="shared" si="34"/>
        <v>21939.842180230407</v>
      </c>
      <c r="X34" s="26">
        <f t="shared" si="34"/>
        <v>21939.842180230407</v>
      </c>
      <c r="Y34" s="26">
        <f t="shared" si="34"/>
        <v>21939.842180230407</v>
      </c>
      <c r="Z34" s="26">
        <f t="shared" si="34"/>
        <v>21939.842180230407</v>
      </c>
      <c r="AA34" s="26">
        <f t="shared" si="34"/>
        <v>21939.842180230407</v>
      </c>
      <c r="AB34" s="26">
        <f t="shared" si="34"/>
        <v>21939.842180230407</v>
      </c>
      <c r="AC34" s="26">
        <f t="shared" si="34"/>
        <v>21939.842180230407</v>
      </c>
      <c r="BI34" s="2">
        <v>61119.763805240531</v>
      </c>
    </row>
    <row r="35" spans="4:61" x14ac:dyDescent="0.2">
      <c r="D35" s="2" t="s">
        <v>265</v>
      </c>
      <c r="E35" s="26">
        <f>E34*12</f>
        <v>263278.10616276489</v>
      </c>
      <c r="F35" s="26">
        <f t="shared" ref="F35:AC35" si="35">F34*12</f>
        <v>263278.10616276489</v>
      </c>
      <c r="G35" s="26">
        <f t="shared" si="35"/>
        <v>263278.10616276489</v>
      </c>
      <c r="H35" s="26">
        <f t="shared" si="35"/>
        <v>263278.10616276489</v>
      </c>
      <c r="I35" s="26">
        <f t="shared" si="35"/>
        <v>263278.10616276489</v>
      </c>
      <c r="J35" s="26">
        <f t="shared" si="35"/>
        <v>263278.10616276489</v>
      </c>
      <c r="K35" s="26">
        <f t="shared" si="35"/>
        <v>263278.10616276489</v>
      </c>
      <c r="L35" s="26">
        <f t="shared" si="35"/>
        <v>263278.10616276489</v>
      </c>
      <c r="M35" s="26">
        <f t="shared" si="35"/>
        <v>263278.10616276489</v>
      </c>
      <c r="N35" s="26">
        <f t="shared" si="35"/>
        <v>263278.10616276489</v>
      </c>
      <c r="O35" s="26">
        <f t="shared" si="35"/>
        <v>263278.10616276489</v>
      </c>
      <c r="P35" s="26">
        <f t="shared" si="35"/>
        <v>263278.10616276489</v>
      </c>
      <c r="Q35" s="26">
        <f t="shared" si="35"/>
        <v>263278.10616276489</v>
      </c>
      <c r="R35" s="26">
        <f t="shared" si="35"/>
        <v>263278.10616276489</v>
      </c>
      <c r="S35" s="26">
        <f t="shared" si="35"/>
        <v>263278.10616276489</v>
      </c>
      <c r="T35" s="26">
        <f t="shared" si="35"/>
        <v>263278.10616276489</v>
      </c>
      <c r="U35" s="26">
        <f t="shared" si="35"/>
        <v>263278.10616276489</v>
      </c>
      <c r="V35" s="26">
        <f t="shared" si="35"/>
        <v>263278.10616276489</v>
      </c>
      <c r="W35" s="26">
        <f t="shared" si="35"/>
        <v>263278.10616276489</v>
      </c>
      <c r="X35" s="26">
        <f t="shared" si="35"/>
        <v>263278.10616276489</v>
      </c>
      <c r="Y35" s="26">
        <f t="shared" si="35"/>
        <v>263278.10616276489</v>
      </c>
      <c r="Z35" s="26">
        <f t="shared" si="35"/>
        <v>263278.10616276489</v>
      </c>
      <c r="AA35" s="26">
        <f t="shared" si="35"/>
        <v>263278.10616276489</v>
      </c>
      <c r="AB35" s="26">
        <f t="shared" si="35"/>
        <v>263278.10616276489</v>
      </c>
      <c r="AC35" s="26">
        <f t="shared" si="35"/>
        <v>263278.10616276489</v>
      </c>
      <c r="BI35" s="2">
        <v>61650.317569546249</v>
      </c>
    </row>
    <row r="36" spans="4:61" x14ac:dyDescent="0.2">
      <c r="BI36" s="2">
        <v>62186.176871495067</v>
      </c>
    </row>
    <row r="37" spans="4:61" x14ac:dyDescent="0.2">
      <c r="D37" s="2" t="s">
        <v>205</v>
      </c>
      <c r="E37" s="27">
        <f>SUM(E35:AC35)</f>
        <v>6581952.6540691247</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42287.372375539118</v>
      </c>
      <c r="F32" s="26">
        <f>Income!$K$52</f>
        <v>42287.372375539118</v>
      </c>
      <c r="G32" s="26">
        <f>Income!$K$52</f>
        <v>42287.372375539118</v>
      </c>
      <c r="H32" s="26">
        <f>Income!$K$52</f>
        <v>42287.372375539118</v>
      </c>
      <c r="I32" s="26">
        <f>Income!$K$52</f>
        <v>42287.372375539118</v>
      </c>
      <c r="J32" s="26">
        <f>Income!$K$52</f>
        <v>42287.372375539118</v>
      </c>
      <c r="K32" s="26">
        <f>Income!$K$52</f>
        <v>42287.372375539118</v>
      </c>
      <c r="L32" s="26">
        <f>Income!$K$52</f>
        <v>42287.372375539118</v>
      </c>
      <c r="M32" s="26">
        <f>Income!$K$52</f>
        <v>42287.372375539118</v>
      </c>
      <c r="N32" s="26">
        <f>Income!$K$52</f>
        <v>42287.372375539118</v>
      </c>
      <c r="O32" s="26">
        <f>Income!$K$52</f>
        <v>42287.372375539118</v>
      </c>
      <c r="P32" s="26">
        <f>Income!$K$52</f>
        <v>42287.372375539118</v>
      </c>
      <c r="Q32" s="26">
        <f>Income!$K$52</f>
        <v>42287.372375539118</v>
      </c>
      <c r="R32" s="26">
        <f>Income!$K$52</f>
        <v>42287.372375539118</v>
      </c>
      <c r="S32" s="26">
        <f>Income!$K$52</f>
        <v>42287.372375539118</v>
      </c>
      <c r="T32" s="26">
        <f>Income!$K$52</f>
        <v>42287.372375539118</v>
      </c>
      <c r="U32" s="26">
        <f>Income!$K$52</f>
        <v>42287.372375539118</v>
      </c>
      <c r="V32" s="26">
        <f>Income!$K$52</f>
        <v>42287.372375539118</v>
      </c>
      <c r="W32" s="26">
        <f>Income!$K$52</f>
        <v>42287.372375539118</v>
      </c>
      <c r="X32" s="26">
        <f>Income!$K$52</f>
        <v>42287.372375539118</v>
      </c>
      <c r="Y32" s="26">
        <f>Income!$K$52</f>
        <v>42287.372375539118</v>
      </c>
      <c r="Z32" s="26">
        <f>Income!$K$52</f>
        <v>42287.372375539118</v>
      </c>
      <c r="AA32" s="26">
        <f>Income!$K$52</f>
        <v>42287.372375539118</v>
      </c>
      <c r="AB32" s="26">
        <f>Income!$K$52</f>
        <v>42287.372375539118</v>
      </c>
      <c r="AC32" s="26">
        <f>Income!$K$52</f>
        <v>42287.372375539118</v>
      </c>
      <c r="BI32" s="2">
        <v>39054.022032219429</v>
      </c>
    </row>
    <row r="33" spans="4:61" x14ac:dyDescent="0.2">
      <c r="D33" s="2" t="s">
        <v>204</v>
      </c>
      <c r="E33" s="26">
        <f>E32-E31</f>
        <v>9591.6889288942039</v>
      </c>
      <c r="F33" s="26">
        <f t="shared" ref="F33:AC33" si="33">F32-F31</f>
        <v>9591.6889288942039</v>
      </c>
      <c r="G33" s="26">
        <f t="shared" si="33"/>
        <v>9591.6889288942039</v>
      </c>
      <c r="H33" s="26">
        <f t="shared" si="33"/>
        <v>9591.6889288942039</v>
      </c>
      <c r="I33" s="26">
        <f t="shared" si="33"/>
        <v>9591.6889288942039</v>
      </c>
      <c r="J33" s="26">
        <f t="shared" si="33"/>
        <v>9591.6889288942039</v>
      </c>
      <c r="K33" s="26">
        <f t="shared" si="33"/>
        <v>9591.6889288942039</v>
      </c>
      <c r="L33" s="26">
        <f t="shared" si="33"/>
        <v>9591.6889288942039</v>
      </c>
      <c r="M33" s="26">
        <f t="shared" si="33"/>
        <v>9591.6889288942039</v>
      </c>
      <c r="N33" s="26">
        <f t="shared" si="33"/>
        <v>9591.6889288942039</v>
      </c>
      <c r="O33" s="26">
        <f t="shared" si="33"/>
        <v>9591.6889288942039</v>
      </c>
      <c r="P33" s="26">
        <f t="shared" si="33"/>
        <v>9591.6889288942039</v>
      </c>
      <c r="Q33" s="26">
        <f t="shared" si="33"/>
        <v>9591.6889288942039</v>
      </c>
      <c r="R33" s="26">
        <f t="shared" si="33"/>
        <v>9591.6889288942039</v>
      </c>
      <c r="S33" s="26">
        <f t="shared" si="33"/>
        <v>9591.6889288942039</v>
      </c>
      <c r="T33" s="26">
        <f t="shared" si="33"/>
        <v>9591.6889288942039</v>
      </c>
      <c r="U33" s="26">
        <f t="shared" si="33"/>
        <v>9591.6889288942039</v>
      </c>
      <c r="V33" s="26">
        <f t="shared" si="33"/>
        <v>9591.6889288942039</v>
      </c>
      <c r="W33" s="26">
        <f t="shared" si="33"/>
        <v>9591.6889288942039</v>
      </c>
      <c r="X33" s="26">
        <f t="shared" si="33"/>
        <v>9591.6889288942039</v>
      </c>
      <c r="Y33" s="26">
        <f t="shared" si="33"/>
        <v>9591.6889288942039</v>
      </c>
      <c r="Z33" s="26">
        <f t="shared" si="33"/>
        <v>9591.6889288942039</v>
      </c>
      <c r="AA33" s="26">
        <f t="shared" si="33"/>
        <v>9591.6889288942039</v>
      </c>
      <c r="AB33" s="26">
        <f t="shared" si="33"/>
        <v>9591.6889288942039</v>
      </c>
      <c r="AC33" s="26">
        <f t="shared" si="33"/>
        <v>9591.6889288942039</v>
      </c>
      <c r="BI33" s="2">
        <v>39363.918378794959</v>
      </c>
    </row>
    <row r="34" spans="4:61" x14ac:dyDescent="0.2">
      <c r="D34" s="2" t="s">
        <v>264</v>
      </c>
      <c r="E34" s="26">
        <f>E33*(1+$B$10)</f>
        <v>12181.444939695639</v>
      </c>
      <c r="F34" s="26">
        <f t="shared" ref="F34:AC34" si="34">F33*(1+$B$10)</f>
        <v>12181.444939695639</v>
      </c>
      <c r="G34" s="26">
        <f t="shared" si="34"/>
        <v>12181.444939695639</v>
      </c>
      <c r="H34" s="26">
        <f t="shared" si="34"/>
        <v>12181.444939695639</v>
      </c>
      <c r="I34" s="26">
        <f t="shared" si="34"/>
        <v>12181.444939695639</v>
      </c>
      <c r="J34" s="26">
        <f t="shared" si="34"/>
        <v>12181.444939695639</v>
      </c>
      <c r="K34" s="26">
        <f t="shared" si="34"/>
        <v>12181.444939695639</v>
      </c>
      <c r="L34" s="26">
        <f t="shared" si="34"/>
        <v>12181.444939695639</v>
      </c>
      <c r="M34" s="26">
        <f t="shared" si="34"/>
        <v>12181.444939695639</v>
      </c>
      <c r="N34" s="26">
        <f t="shared" si="34"/>
        <v>12181.444939695639</v>
      </c>
      <c r="O34" s="26">
        <f t="shared" si="34"/>
        <v>12181.444939695639</v>
      </c>
      <c r="P34" s="26">
        <f t="shared" si="34"/>
        <v>12181.444939695639</v>
      </c>
      <c r="Q34" s="26">
        <f t="shared" si="34"/>
        <v>12181.444939695639</v>
      </c>
      <c r="R34" s="26">
        <f t="shared" si="34"/>
        <v>12181.444939695639</v>
      </c>
      <c r="S34" s="26">
        <f t="shared" si="34"/>
        <v>12181.444939695639</v>
      </c>
      <c r="T34" s="26">
        <f t="shared" si="34"/>
        <v>12181.444939695639</v>
      </c>
      <c r="U34" s="26">
        <f t="shared" si="34"/>
        <v>12181.444939695639</v>
      </c>
      <c r="V34" s="26">
        <f t="shared" si="34"/>
        <v>12181.444939695639</v>
      </c>
      <c r="W34" s="26">
        <f t="shared" si="34"/>
        <v>12181.444939695639</v>
      </c>
      <c r="X34" s="26">
        <f t="shared" si="34"/>
        <v>12181.444939695639</v>
      </c>
      <c r="Y34" s="26">
        <f t="shared" si="34"/>
        <v>12181.444939695639</v>
      </c>
      <c r="Z34" s="26">
        <f t="shared" si="34"/>
        <v>12181.444939695639</v>
      </c>
      <c r="AA34" s="26">
        <f t="shared" si="34"/>
        <v>12181.444939695639</v>
      </c>
      <c r="AB34" s="26">
        <f t="shared" si="34"/>
        <v>12181.444939695639</v>
      </c>
      <c r="AC34" s="26">
        <f t="shared" si="34"/>
        <v>12181.444939695639</v>
      </c>
      <c r="BI34" s="2">
        <v>39676.913688836241</v>
      </c>
    </row>
    <row r="35" spans="4:61" x14ac:dyDescent="0.2">
      <c r="D35" s="2" t="s">
        <v>265</v>
      </c>
      <c r="E35" s="26">
        <f>E34*12</f>
        <v>146177.33927634766</v>
      </c>
      <c r="F35" s="26">
        <f t="shared" ref="F35:AC35" si="35">F34*12</f>
        <v>146177.33927634766</v>
      </c>
      <c r="G35" s="26">
        <f t="shared" si="35"/>
        <v>146177.33927634766</v>
      </c>
      <c r="H35" s="26">
        <f t="shared" si="35"/>
        <v>146177.33927634766</v>
      </c>
      <c r="I35" s="26">
        <f t="shared" si="35"/>
        <v>146177.33927634766</v>
      </c>
      <c r="J35" s="26">
        <f t="shared" si="35"/>
        <v>146177.33927634766</v>
      </c>
      <c r="K35" s="26">
        <f t="shared" si="35"/>
        <v>146177.33927634766</v>
      </c>
      <c r="L35" s="26">
        <f t="shared" si="35"/>
        <v>146177.33927634766</v>
      </c>
      <c r="M35" s="26">
        <f t="shared" si="35"/>
        <v>146177.33927634766</v>
      </c>
      <c r="N35" s="26">
        <f t="shared" si="35"/>
        <v>146177.33927634766</v>
      </c>
      <c r="O35" s="26">
        <f t="shared" si="35"/>
        <v>146177.33927634766</v>
      </c>
      <c r="P35" s="26">
        <f t="shared" si="35"/>
        <v>146177.33927634766</v>
      </c>
      <c r="Q35" s="26">
        <f t="shared" si="35"/>
        <v>146177.33927634766</v>
      </c>
      <c r="R35" s="26">
        <f t="shared" si="35"/>
        <v>146177.33927634766</v>
      </c>
      <c r="S35" s="26">
        <f t="shared" si="35"/>
        <v>146177.33927634766</v>
      </c>
      <c r="T35" s="26">
        <f t="shared" si="35"/>
        <v>146177.33927634766</v>
      </c>
      <c r="U35" s="26">
        <f t="shared" si="35"/>
        <v>146177.33927634766</v>
      </c>
      <c r="V35" s="26">
        <f t="shared" si="35"/>
        <v>146177.33927634766</v>
      </c>
      <c r="W35" s="26">
        <f t="shared" si="35"/>
        <v>146177.33927634766</v>
      </c>
      <c r="X35" s="26">
        <f t="shared" si="35"/>
        <v>146177.33927634766</v>
      </c>
      <c r="Y35" s="26">
        <f t="shared" si="35"/>
        <v>146177.33927634766</v>
      </c>
      <c r="Z35" s="26">
        <f t="shared" si="35"/>
        <v>146177.33927634766</v>
      </c>
      <c r="AA35" s="26">
        <f t="shared" si="35"/>
        <v>146177.33927634766</v>
      </c>
      <c r="AB35" s="26">
        <f t="shared" si="35"/>
        <v>146177.33927634766</v>
      </c>
      <c r="AC35" s="26">
        <f t="shared" si="35"/>
        <v>146177.33927634766</v>
      </c>
      <c r="BI35" s="2">
        <v>39993.038951977935</v>
      </c>
    </row>
    <row r="36" spans="4:61" x14ac:dyDescent="0.2">
      <c r="BI36" s="2">
        <v>40312.325467751049</v>
      </c>
    </row>
    <row r="37" spans="4:61" x14ac:dyDescent="0.2">
      <c r="D37" s="2" t="s">
        <v>205</v>
      </c>
      <c r="E37" s="27">
        <f>SUM(E35:AC35)</f>
        <v>3654433.4819086934</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Y</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Y</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Y</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Y</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Y</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Y</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3654433.4819086934</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6581952.6540691247</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28296.857336658824</v>
      </c>
      <c r="D2" s="67">
        <v>28583.717205529418</v>
      </c>
      <c r="E2" s="67">
        <v>30032.359543325882</v>
      </c>
      <c r="F2" s="67">
        <v>30336.574434263144</v>
      </c>
      <c r="G2" s="67">
        <v>30643.831474109764</v>
      </c>
      <c r="H2" s="67">
        <v>30954.16108435487</v>
      </c>
      <c r="I2" s="67">
        <v>32521.325616092621</v>
      </c>
      <c r="J2" s="67">
        <v>32850.430167757549</v>
      </c>
      <c r="K2" s="67">
        <v>33182.825764939123</v>
      </c>
      <c r="L2" s="67">
        <v>33518.545318092511</v>
      </c>
      <c r="M2" s="67">
        <v>35213.929061517134</v>
      </c>
      <c r="N2" s="67">
        <v>35569.959647636315</v>
      </c>
      <c r="O2" s="67">
        <v>35929.55053961667</v>
      </c>
      <c r="P2" s="67">
        <v>37745.484544117506</v>
      </c>
      <c r="Q2" s="67">
        <v>38126.830685062683</v>
      </c>
      <c r="R2" s="67">
        <v>38511.99028741732</v>
      </c>
      <c r="S2" s="67">
        <v>38901.001485795488</v>
      </c>
      <c r="T2" s="67">
        <v>39293.902796157454</v>
      </c>
      <c r="U2" s="67">
        <v>41278.054413485312</v>
      </c>
      <c r="V2" s="67">
        <v>41694.726253124179</v>
      </c>
      <c r="W2" s="67">
        <v>42060.187256509613</v>
      </c>
      <c r="X2" s="67">
        <v>42384.016480578706</v>
      </c>
      <c r="Y2" s="67">
        <v>44019.354062127648</v>
      </c>
      <c r="Z2" s="67">
        <v>44362.774954252927</v>
      </c>
      <c r="AA2" s="67">
        <v>44709.630055299451</v>
      </c>
      <c r="AB2" s="67">
        <v>45059.95370735645</v>
      </c>
      <c r="AC2" s="67">
        <v>45413.780595934018</v>
      </c>
      <c r="AD2" s="67">
        <v>45771.145753397352</v>
      </c>
      <c r="AE2" s="67">
        <v>46132.084562435331</v>
      </c>
      <c r="AF2" s="67">
        <v>46496.632759563683</v>
      </c>
      <c r="AG2" s="67">
        <v>46864.826438663324</v>
      </c>
      <c r="AH2" s="67">
        <v>47236.702054553956</v>
      </c>
      <c r="AI2" s="67">
        <v>47612.296426603491</v>
      </c>
      <c r="AJ2" s="67">
        <v>47991.646742373523</v>
      </c>
      <c r="AK2" s="67">
        <v>48374.790561301263</v>
      </c>
      <c r="AL2" s="67">
        <v>50309.666846886335</v>
      </c>
      <c r="AM2" s="67">
        <v>50715.990866859189</v>
      </c>
      <c r="AN2" s="67">
        <v>51126.378127031778</v>
      </c>
      <c r="AO2" s="67">
        <v>51540.869259806095</v>
      </c>
      <c r="AP2" s="67">
        <v>51959.505303908154</v>
      </c>
      <c r="AQ2" s="67">
        <v>52382.327708451245</v>
      </c>
      <c r="AR2" s="67">
        <v>52809.378337039758</v>
      </c>
      <c r="AS2" s="67">
        <v>53240.699471914151</v>
      </c>
      <c r="AT2" s="67">
        <v>53676.333818137296</v>
      </c>
      <c r="AU2" s="67">
        <v>54116.324507822661</v>
      </c>
      <c r="AV2" s="67">
        <v>54560.715104404888</v>
      </c>
      <c r="AW2" s="67">
        <v>55009.549606952933</v>
      </c>
      <c r="AX2" s="67">
        <v>55462.872454526463</v>
      </c>
      <c r="AY2" s="67">
        <v>55920.728530575732</v>
      </c>
      <c r="AZ2" s="67">
        <v>56383.163167385494</v>
      </c>
      <c r="BA2">
        <v>0</v>
      </c>
    </row>
    <row r="3" spans="1:53" x14ac:dyDescent="0.2">
      <c r="A3" s="67" t="s">
        <v>74</v>
      </c>
      <c r="B3" s="69">
        <v>200000</v>
      </c>
      <c r="C3" s="67" cm="1">
        <f t="array" ref="C3:BA3">TRANSPOSE(TableIncome[InvestmentP2])</f>
        <v>46356.403929042361</v>
      </c>
      <c r="D3" s="67">
        <v>46723.195319836785</v>
      </c>
      <c r="E3" s="67">
        <v>48575.491843348631</v>
      </c>
      <c r="F3" s="67">
        <v>48964.474113286116</v>
      </c>
      <c r="G3" s="67">
        <v>49357.346205922964</v>
      </c>
      <c r="H3" s="67">
        <v>49754.14701948619</v>
      </c>
      <c r="I3" s="67">
        <v>51757.991127980502</v>
      </c>
      <c r="J3" s="67">
        <v>52178.798390764307</v>
      </c>
      <c r="K3" s="67">
        <v>52603.813726175955</v>
      </c>
      <c r="L3" s="67">
        <v>53033.07921494171</v>
      </c>
      <c r="M3" s="67">
        <v>55200.8699332088</v>
      </c>
      <c r="N3" s="67">
        <v>55656.105984044894</v>
      </c>
      <c r="O3" s="67">
        <v>56115.894395389339</v>
      </c>
      <c r="P3" s="67">
        <v>58437.825872678812</v>
      </c>
      <c r="Q3" s="67">
        <v>58925.431482909597</v>
      </c>
      <c r="R3" s="67">
        <v>59417.91314924269</v>
      </c>
      <c r="S3" s="67">
        <v>59915.319632239109</v>
      </c>
      <c r="T3" s="67">
        <v>60417.70018006552</v>
      </c>
      <c r="U3" s="67">
        <v>62954.72194658879</v>
      </c>
      <c r="V3" s="67">
        <v>63487.496517558677</v>
      </c>
      <c r="W3" s="67">
        <v>64025.598834238277</v>
      </c>
      <c r="X3" s="67">
        <v>64569.082174084666</v>
      </c>
      <c r="Y3" s="67">
        <v>67313.673040308888</v>
      </c>
      <c r="Z3" s="67">
        <v>67890.037122215974</v>
      </c>
      <c r="AA3" s="67">
        <v>68472.164844942148</v>
      </c>
      <c r="AB3" s="67">
        <v>69060.113844895561</v>
      </c>
      <c r="AC3" s="67">
        <v>69653.942334848529</v>
      </c>
      <c r="AD3" s="67">
        <v>70253.709109701012</v>
      </c>
      <c r="AE3" s="67">
        <v>70859.473552302021</v>
      </c>
      <c r="AF3" s="67">
        <v>71471.295639329051</v>
      </c>
      <c r="AG3" s="67">
        <v>72089.235947226334</v>
      </c>
      <c r="AH3" s="67">
        <v>72713.355658202592</v>
      </c>
      <c r="AI3" s="67">
        <v>73343.71656628864</v>
      </c>
      <c r="AJ3" s="67">
        <v>73980.381083455504</v>
      </c>
      <c r="AK3" s="67">
        <v>74623.412245794083</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28296.857336658824</v>
      </c>
      <c r="C2" s="71">
        <f>SUMIF(TableIncome[Year], "&lt;=" &amp; C1, TableIncome[InvestmentP1])</f>
        <v>56880.574542188246</v>
      </c>
      <c r="D2" s="71">
        <f>SUMIF(TableIncome[Year], "&lt;=" &amp; D1, TableIncome[InvestmentP1])</f>
        <v>86912.934085514134</v>
      </c>
      <c r="E2" s="71">
        <f>SUMIF(TableIncome[Year], "&lt;=" &amp; E1, TableIncome[InvestmentP1])</f>
        <v>117249.50851977727</v>
      </c>
      <c r="F2" s="71">
        <f>SUMIF(TableIncome[Year], "&lt;=" &amp; F1, TableIncome[InvestmentP1])</f>
        <v>147893.33999388703</v>
      </c>
      <c r="G2" s="71">
        <f>SUMIF(TableIncome[Year], "&lt;=" &amp; G1, TableIncome[InvestmentP1])</f>
        <v>178847.50107824191</v>
      </c>
      <c r="H2" s="71">
        <f>SUMIF(TableIncome[Year], "&lt;=" &amp; H1, TableIncome[InvestmentP1])</f>
        <v>211368.82669433454</v>
      </c>
      <c r="I2" s="71">
        <f>SUMIF(TableIncome[Year], "&lt;=" &amp; I1, TableIncome[InvestmentP1])</f>
        <v>244219.25686209209</v>
      </c>
      <c r="J2" s="71">
        <f>SUMIF(TableIncome[Year], "&lt;=" &amp; J1, TableIncome[InvestmentP1])</f>
        <v>277402.0826270312</v>
      </c>
      <c r="K2" s="71">
        <f>SUMIF(TableIncome[Year], "&lt;=" &amp; K1, TableIncome[InvestmentP1])</f>
        <v>310920.62794512371</v>
      </c>
      <c r="L2" s="71">
        <f>SUMIF(TableIncome[Year], "&lt;=" &amp; L1, TableIncome[InvestmentP1])</f>
        <v>346134.55700664083</v>
      </c>
      <c r="M2" s="71">
        <f>SUMIF(TableIncome[Year], "&lt;=" &amp; M1, TableIncome[InvestmentP1])</f>
        <v>381704.51665427716</v>
      </c>
      <c r="N2" s="71">
        <f>SUMIF(TableIncome[Year], "&lt;=" &amp; N1, TableIncome[InvestmentP1])</f>
        <v>417634.06719389383</v>
      </c>
      <c r="O2" s="71">
        <f>SUMIF(TableIncome[Year], "&lt;=" &amp; O1, TableIncome[InvestmentP1])</f>
        <v>455379.55173801136</v>
      </c>
      <c r="P2" s="71">
        <f>SUMIF(TableIncome[Year], "&lt;=" &amp; P1, TableIncome[InvestmentP1])</f>
        <v>493506.38242307404</v>
      </c>
      <c r="Q2" s="71">
        <f>SUMIF(TableIncome[Year], "&lt;=" &amp; Q1, TableIncome[InvestmentP1])</f>
        <v>532018.37271049141</v>
      </c>
      <c r="R2" s="71">
        <f>SUMIF(TableIncome[Year], "&lt;=" &amp; R1, TableIncome[InvestmentP1])</f>
        <v>570919.3741962869</v>
      </c>
      <c r="S2" s="71">
        <f>SUMIF(TableIncome[Year], "&lt;=" &amp; S1, TableIncome[InvestmentP1])</f>
        <v>610213.2769924443</v>
      </c>
      <c r="T2" s="71">
        <f>SUMIF(TableIncome[Year], "&lt;=" &amp; T1, TableIncome[InvestmentP1])</f>
        <v>651491.33140592964</v>
      </c>
      <c r="U2" s="71">
        <f>SUMIF(TableIncome[Year], "&lt;=" &amp; U1, TableIncome[InvestmentP1])</f>
        <v>693186.05765905383</v>
      </c>
      <c r="V2" s="71">
        <f>SUMIF(TableIncome[Year], "&lt;=" &amp; V1, TableIncome[InvestmentP1])</f>
        <v>735246.24491556338</v>
      </c>
      <c r="W2" s="71">
        <f>SUMIF(TableIncome[Year], "&lt;=" &amp; W1, TableIncome[InvestmentP1])</f>
        <v>777630.26139614207</v>
      </c>
      <c r="X2" s="71">
        <f>SUMIF(TableIncome[Year], "&lt;=" &amp; X1, TableIncome[InvestmentP1])</f>
        <v>821649.61545826972</v>
      </c>
      <c r="Y2" s="71">
        <f>SUMIF(TableIncome[Year], "&lt;=" &amp; Y1, TableIncome[InvestmentP1])</f>
        <v>866012.3904125226</v>
      </c>
      <c r="Z2" s="71">
        <f>SUMIF(TableIncome[Year], "&lt;=" &amp; Z1, TableIncome[InvestmentP1])</f>
        <v>910722.02046782209</v>
      </c>
      <c r="AA2" s="71">
        <f>SUMIF(TableIncome[Year], "&lt;=" &amp; AA1, TableIncome[InvestmentP1])</f>
        <v>955781.97417517856</v>
      </c>
      <c r="AB2" s="71">
        <f>SUMIF(TableIncome[Year], "&lt;=" &amp; AB1, TableIncome[InvestmentP1])</f>
        <v>1001195.7547711126</v>
      </c>
      <c r="AC2" s="71">
        <f>SUMIF(TableIncome[Year], "&lt;=" &amp; AC1, TableIncome[InvestmentP1])</f>
        <v>1046966.90052451</v>
      </c>
      <c r="AD2" s="71">
        <f>SUMIF(TableIncome[Year], "&lt;=" &amp; AD1, TableIncome[InvestmentP1])</f>
        <v>1093098.9850869454</v>
      </c>
      <c r="AE2" s="71">
        <f>SUMIF(TableIncome[Year], "&lt;=" &amp; AE1, TableIncome[InvestmentP1])</f>
        <v>1139595.617846509</v>
      </c>
      <c r="AF2" s="71">
        <f>SUMIF(TableIncome[Year], "&lt;=" &amp; AF1, TableIncome[InvestmentP1])</f>
        <v>1186460.4442851723</v>
      </c>
      <c r="AG2" s="71">
        <f>SUMIF(TableIncome[Year], "&lt;=" &amp; AG1, TableIncome[InvestmentP1])</f>
        <v>1233697.1463397262</v>
      </c>
      <c r="AH2" s="71">
        <f>SUMIF(TableIncome[Year], "&lt;=" &amp; AH1, TableIncome[InvestmentP1])</f>
        <v>1281309.4427663297</v>
      </c>
      <c r="AI2" s="71">
        <f>SUMIF(TableIncome[Year], "&lt;=" &amp; AI1, TableIncome[InvestmentP1])</f>
        <v>1329301.0895087032</v>
      </c>
      <c r="AJ2" s="71">
        <f>SUMIF(TableIncome[Year], "&lt;=" &amp; AJ1, TableIncome[InvestmentP1])</f>
        <v>1377675.8800700044</v>
      </c>
      <c r="AK2" s="71">
        <f>SUMIF(TableIncome[Year], "&lt;=" &amp; AK1, TableIncome[InvestmentP1])</f>
        <v>1427985.5469168907</v>
      </c>
      <c r="AL2" s="71">
        <f>SUMIF(TableIncome[Year], "&lt;=" &amp; AL1, TableIncome[InvestmentP1])</f>
        <v>1478701.5377837499</v>
      </c>
      <c r="AM2" s="71">
        <f>SUMIF(TableIncome[Year], "&lt;=" &amp; AM1, TableIncome[InvestmentP1])</f>
        <v>1529827.9159107816</v>
      </c>
      <c r="AN2" s="71">
        <f>SUMIF(TableIncome[Year], "&lt;=" &amp; AN1, TableIncome[InvestmentP1])</f>
        <v>1581368.7851705877</v>
      </c>
      <c r="AO2" s="71">
        <f>SUMIF(TableIncome[Year], "&lt;=" &amp; AO1, TableIncome[InvestmentP1])</f>
        <v>1633328.2904744959</v>
      </c>
      <c r="AP2" s="71">
        <f>SUMIF(TableIncome[Year], "&lt;=" &amp; AP1, TableIncome[InvestmentP1])</f>
        <v>1685710.6181829472</v>
      </c>
      <c r="AQ2" s="71">
        <f>SUMIF(TableIncome[Year], "&lt;=" &amp; AQ1, TableIncome[InvestmentP1])</f>
        <v>1738519.996519987</v>
      </c>
      <c r="AR2" s="71">
        <f>SUMIF(TableIncome[Year], "&lt;=" &amp; AR1, TableIncome[InvestmentP1])</f>
        <v>1791760.6959919012</v>
      </c>
      <c r="AS2" s="71">
        <f>SUMIF(TableIncome[Year], "&lt;=" &amp; AS1, TableIncome[InvestmentP1])</f>
        <v>1845437.0298100384</v>
      </c>
      <c r="AT2" s="71">
        <f>SUMIF(TableIncome[Year], "&lt;=" &amp; AT1, TableIncome[InvestmentP1])</f>
        <v>1899553.3543178611</v>
      </c>
      <c r="AU2" s="71">
        <f>SUMIF(TableIncome[Year], "&lt;=" &amp; AU1, TableIncome[InvestmentP1])</f>
        <v>1954114.069422266</v>
      </c>
      <c r="AV2" s="71">
        <f>SUMIF(TableIncome[Year], "&lt;=" &amp; AV1, TableIncome[InvestmentP1])</f>
        <v>2009123.6190292188</v>
      </c>
      <c r="AW2" s="71">
        <f>SUMIF(TableIncome[Year], "&lt;=" &amp; AW1, TableIncome[InvestmentP1])</f>
        <v>2064586.4914837452</v>
      </c>
      <c r="AX2" s="71">
        <f>SUMIF(TableIncome[Year], "&lt;=" &amp; AX1, TableIncome[InvestmentP1])</f>
        <v>2120507.2200143207</v>
      </c>
      <c r="AY2" s="71">
        <f>SUMIF(TableIncome[Year], "&lt;=" &amp; AY1, TableIncome[InvestmentP1])</f>
        <v>2176890.3831817061</v>
      </c>
      <c r="AZ2" s="71">
        <f>SUMIF(TableIncome[Year], "&lt;=" &amp; AZ1, TableIncome[InvestmentP1])</f>
        <v>2176890.3831817061</v>
      </c>
    </row>
    <row r="3" spans="1:52" x14ac:dyDescent="0.2">
      <c r="A3" s="67" t="s">
        <v>74</v>
      </c>
      <c r="B3" s="71">
        <f>SUMIF(TableIncome[Year], "&lt;=" &amp; B1, TableIncome[InvestmentP2])</f>
        <v>46356.403929042361</v>
      </c>
      <c r="C3" s="71">
        <f>SUMIF(TableIncome[Year], "&lt;=" &amp; C1, TableIncome[InvestmentP2])</f>
        <v>93079.599248879153</v>
      </c>
      <c r="D3" s="71">
        <f>SUMIF(TableIncome[Year], "&lt;=" &amp; D1, TableIncome[InvestmentP2])</f>
        <v>141655.09109222778</v>
      </c>
      <c r="E3" s="71">
        <f>SUMIF(TableIncome[Year], "&lt;=" &amp; E1, TableIncome[InvestmentP2])</f>
        <v>190619.56520551391</v>
      </c>
      <c r="F3" s="71">
        <f>SUMIF(TableIncome[Year], "&lt;=" &amp; F1, TableIncome[InvestmentP2])</f>
        <v>239976.91141143686</v>
      </c>
      <c r="G3" s="71">
        <f>SUMIF(TableIncome[Year], "&lt;=" &amp; G1, TableIncome[InvestmentP2])</f>
        <v>289731.05843092303</v>
      </c>
      <c r="H3" s="71">
        <f>SUMIF(TableIncome[Year], "&lt;=" &amp; H1, TableIncome[InvestmentP2])</f>
        <v>341489.04955890356</v>
      </c>
      <c r="I3" s="71">
        <f>SUMIF(TableIncome[Year], "&lt;=" &amp; I1, TableIncome[InvestmentP2])</f>
        <v>393667.84794966783</v>
      </c>
      <c r="J3" s="71">
        <f>SUMIF(TableIncome[Year], "&lt;=" &amp; J1, TableIncome[InvestmentP2])</f>
        <v>446271.66167584376</v>
      </c>
      <c r="K3" s="71">
        <f>SUMIF(TableIncome[Year], "&lt;=" &amp; K1, TableIncome[InvestmentP2])</f>
        <v>499304.74089078547</v>
      </c>
      <c r="L3" s="71">
        <f>SUMIF(TableIncome[Year], "&lt;=" &amp; L1, TableIncome[InvestmentP2])</f>
        <v>554505.61082399427</v>
      </c>
      <c r="M3" s="71">
        <f>SUMIF(TableIncome[Year], "&lt;=" &amp; M1, TableIncome[InvestmentP2])</f>
        <v>610161.71680803911</v>
      </c>
      <c r="N3" s="71">
        <f>SUMIF(TableIncome[Year], "&lt;=" &amp; N1, TableIncome[InvestmentP2])</f>
        <v>666277.61120342847</v>
      </c>
      <c r="O3" s="71">
        <f>SUMIF(TableIncome[Year], "&lt;=" &amp; O1, TableIncome[InvestmentP2])</f>
        <v>724715.43707610725</v>
      </c>
      <c r="P3" s="71">
        <f>SUMIF(TableIncome[Year], "&lt;=" &amp; P1, TableIncome[InvestmentP2])</f>
        <v>783640.86855901685</v>
      </c>
      <c r="Q3" s="71">
        <f>SUMIF(TableIncome[Year], "&lt;=" &amp; Q1, TableIncome[InvestmentP2])</f>
        <v>843058.78170825948</v>
      </c>
      <c r="R3" s="71">
        <f>SUMIF(TableIncome[Year], "&lt;=" &amp; R1, TableIncome[InvestmentP2])</f>
        <v>902974.10134049854</v>
      </c>
      <c r="S3" s="71">
        <f>SUMIF(TableIncome[Year], "&lt;=" &amp; S1, TableIncome[InvestmentP2])</f>
        <v>963391.80152056401</v>
      </c>
      <c r="T3" s="71">
        <f>SUMIF(TableIncome[Year], "&lt;=" &amp; T1, TableIncome[InvestmentP2])</f>
        <v>1026346.5234671528</v>
      </c>
      <c r="U3" s="71">
        <f>SUMIF(TableIncome[Year], "&lt;=" &amp; U1, TableIncome[InvestmentP2])</f>
        <v>1089834.0199847114</v>
      </c>
      <c r="V3" s="71">
        <f>SUMIF(TableIncome[Year], "&lt;=" &amp; V1, TableIncome[InvestmentP2])</f>
        <v>1153859.6188189497</v>
      </c>
      <c r="W3" s="71">
        <f>SUMIF(TableIncome[Year], "&lt;=" &amp; W1, TableIncome[InvestmentP2])</f>
        <v>1218428.7009930343</v>
      </c>
      <c r="X3" s="71">
        <f>SUMIF(TableIncome[Year], "&lt;=" &amp; X1, TableIncome[InvestmentP2])</f>
        <v>1285742.3740333433</v>
      </c>
      <c r="Y3" s="71">
        <f>SUMIF(TableIncome[Year], "&lt;=" &amp; Y1, TableIncome[InvestmentP2])</f>
        <v>1353632.4111555594</v>
      </c>
      <c r="Z3" s="71">
        <f>SUMIF(TableIncome[Year], "&lt;=" &amp; Z1, TableIncome[InvestmentP2])</f>
        <v>1422104.5760005014</v>
      </c>
      <c r="AA3" s="71">
        <f>SUMIF(TableIncome[Year], "&lt;=" &amp; AA1, TableIncome[InvestmentP2])</f>
        <v>1491164.6898453969</v>
      </c>
      <c r="AB3" s="71">
        <f>SUMIF(TableIncome[Year], "&lt;=" &amp; AB1, TableIncome[InvestmentP2])</f>
        <v>1560818.6321802454</v>
      </c>
      <c r="AC3" s="71">
        <f>SUMIF(TableIncome[Year], "&lt;=" &amp; AC1, TableIncome[InvestmentP2])</f>
        <v>1631072.3412899463</v>
      </c>
      <c r="AD3" s="71">
        <f>SUMIF(TableIncome[Year], "&lt;=" &amp; AD1, TableIncome[InvestmentP2])</f>
        <v>1701931.8148422483</v>
      </c>
      <c r="AE3" s="71">
        <f>SUMIF(TableIncome[Year], "&lt;=" &amp; AE1, TableIncome[InvestmentP2])</f>
        <v>1773403.1104815775</v>
      </c>
      <c r="AF3" s="71">
        <f>SUMIF(TableIncome[Year], "&lt;=" &amp; AF1, TableIncome[InvestmentP2])</f>
        <v>1845492.3464288039</v>
      </c>
      <c r="AG3" s="71">
        <f>SUMIF(TableIncome[Year], "&lt;=" &amp; AG1, TableIncome[InvestmentP2])</f>
        <v>1918205.7020870065</v>
      </c>
      <c r="AH3" s="71">
        <f>SUMIF(TableIncome[Year], "&lt;=" &amp; AH1, TableIncome[InvestmentP2])</f>
        <v>1991549.4186532951</v>
      </c>
      <c r="AI3" s="71">
        <f>SUMIF(TableIncome[Year], "&lt;=" &amp; AI1, TableIncome[InvestmentP2])</f>
        <v>2065529.7997367505</v>
      </c>
      <c r="AJ3" s="71">
        <f>SUMIF(TableIncome[Year], "&lt;=" &amp; AJ1, TableIncome[InvestmentP2])</f>
        <v>2140153.2119825445</v>
      </c>
      <c r="AK3" s="71">
        <f>SUMIF(TableIncome[Year], "&lt;=" &amp; AK1, TableIncome[InvestmentP2])</f>
        <v>2140153.2119825445</v>
      </c>
      <c r="AL3" s="71">
        <f>SUMIF(TableIncome[Year], "&lt;=" &amp; AL1, TableIncome[InvestmentP2])</f>
        <v>2140153.2119825445</v>
      </c>
      <c r="AM3" s="71">
        <f>SUMIF(TableIncome[Year], "&lt;=" &amp; AM1, TableIncome[InvestmentP2])</f>
        <v>2140153.2119825445</v>
      </c>
      <c r="AN3" s="71">
        <f>SUMIF(TableIncome[Year], "&lt;=" &amp; AN1, TableIncome[InvestmentP2])</f>
        <v>2140153.2119825445</v>
      </c>
      <c r="AO3" s="71">
        <f>SUMIF(TableIncome[Year], "&lt;=" &amp; AO1, TableIncome[InvestmentP2])</f>
        <v>2140153.2119825445</v>
      </c>
      <c r="AP3" s="71">
        <f>SUMIF(TableIncome[Year], "&lt;=" &amp; AP1, TableIncome[InvestmentP2])</f>
        <v>2140153.2119825445</v>
      </c>
      <c r="AQ3" s="71">
        <f>SUMIF(TableIncome[Year], "&lt;=" &amp; AQ1, TableIncome[InvestmentP2])</f>
        <v>2140153.2119825445</v>
      </c>
      <c r="AR3" s="71">
        <f>SUMIF(TableIncome[Year], "&lt;=" &amp; AR1, TableIncome[InvestmentP2])</f>
        <v>2140153.2119825445</v>
      </c>
      <c r="AS3" s="71">
        <f>SUMIF(TableIncome[Year], "&lt;=" &amp; AS1, TableIncome[InvestmentP2])</f>
        <v>2140153.2119825445</v>
      </c>
      <c r="AT3" s="71">
        <f>SUMIF(TableIncome[Year], "&lt;=" &amp; AT1, TableIncome[InvestmentP2])</f>
        <v>2140153.2119825445</v>
      </c>
      <c r="AU3" s="71">
        <f>SUMIF(TableIncome[Year], "&lt;=" &amp; AU1, TableIncome[InvestmentP2])</f>
        <v>2140153.2119825445</v>
      </c>
      <c r="AV3" s="71">
        <f>SUMIF(TableIncome[Year], "&lt;=" &amp; AV1, TableIncome[InvestmentP2])</f>
        <v>2140153.2119825445</v>
      </c>
      <c r="AW3" s="71">
        <f>SUMIF(TableIncome[Year], "&lt;=" &amp; AW1, TableIncome[InvestmentP2])</f>
        <v>2140153.2119825445</v>
      </c>
      <c r="AX3" s="71">
        <f>SUMIF(TableIncome[Year], "&lt;=" &amp; AX1, TableIncome[InvestmentP2])</f>
        <v>2140153.2119825445</v>
      </c>
      <c r="AY3" s="71">
        <f>SUMIF(TableIncome[Year], "&lt;=" &amp; AY1, TableIncome[InvestmentP2])</f>
        <v>2140153.2119825445</v>
      </c>
      <c r="AZ3" s="71">
        <f>SUMIF(TableIncome[Year], "&lt;=" &amp; AZ1, TableIncome[InvestmentP2])</f>
        <v>2140153.2119825445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2.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3.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2025-05-07T19:20:07Z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