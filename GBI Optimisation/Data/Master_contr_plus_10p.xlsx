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65B6C8E6-E9B1-E44A-9480-239E9D6D100B}" xr6:coauthVersionLast="47" xr6:coauthVersionMax="47" xr10:uidLastSave="{00000000-0000-0000-0000-000000000000}"/>
  <bookViews>
    <workbookView xWindow="0" yWindow="760" windowWidth="30240" windowHeight="17640" tabRatio="972" activeTab="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1" l="1"/>
  <c r="C7" i="51"/>
  <c r="B22" i="55"/>
  <c r="B5" i="55"/>
  <c r="B3" i="55"/>
  <c r="N39" i="2"/>
  <c r="N40" i="2"/>
  <c r="N41" i="2"/>
  <c r="N42" i="2"/>
  <c r="N43" i="2"/>
  <c r="N44" i="2"/>
  <c r="N45" i="2"/>
  <c r="N46" i="2"/>
  <c r="N47" i="2"/>
  <c r="N48" i="2"/>
  <c r="N49" i="2"/>
  <c r="D49" i="2" s="1"/>
  <c r="N50" i="2"/>
  <c r="D50" i="2" s="1"/>
  <c r="N51" i="2"/>
  <c r="D51" i="2" s="1"/>
  <c r="N52" i="2"/>
  <c r="N53" i="2"/>
  <c r="BA8" i="56"/>
  <c r="E39" i="56"/>
  <c r="F39" i="56" s="1"/>
  <c r="B14" i="56"/>
  <c r="B43" i="55" s="1"/>
  <c r="B45" i="55" s="1"/>
  <c r="AW8" i="56"/>
  <c r="AE8" i="56"/>
  <c r="R8" i="56"/>
  <c r="Q8" i="56"/>
  <c r="O8" i="56"/>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2" i="2"/>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Z8" i="56" l="1"/>
  <c r="AX8" i="56"/>
  <c r="AH8" i="56"/>
  <c r="BB8" i="56"/>
  <c r="G8" i="56"/>
  <c r="AM8" i="56"/>
  <c r="I8" i="56"/>
  <c r="AO8" i="56"/>
  <c r="A4" i="56"/>
  <c r="Y8" i="56"/>
  <c r="AU8" i="56"/>
  <c r="AZ8" i="56"/>
  <c r="B52" i="55"/>
  <c r="B53" i="55" s="1"/>
  <c r="J8" i="56"/>
  <c r="AG8" i="56"/>
  <c r="AC15" i="56"/>
  <c r="AX15" i="56"/>
  <c r="AY15" i="56"/>
  <c r="AZ15" i="56"/>
  <c r="B50" i="55"/>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C46" i="55"/>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s="1"/>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P17" i="2"/>
  <c r="Q17" i="2"/>
  <c r="L52" i="55"/>
  <c r="L53" i="55" s="1"/>
  <c r="K45" i="55"/>
  <c r="K46" i="55" s="1"/>
  <c r="O17" i="2"/>
  <c r="R17" i="2"/>
  <c r="H14" i="53"/>
  <c r="O8" i="53" a="1"/>
  <c r="O8" i="53" s="1"/>
  <c r="G13" i="53"/>
  <c r="N9" i="53" a="1"/>
  <c r="N9" i="53" s="1"/>
  <c r="Q9" i="53" s="1"/>
  <c r="E18" i="8"/>
  <c r="E19" i="8" s="1"/>
  <c r="L47" i="46"/>
  <c r="M43" i="46" s="1"/>
  <c r="D18" i="45"/>
  <c r="E18" i="45"/>
  <c r="L54" i="46" l="1"/>
  <c r="M50" i="46" s="1"/>
  <c r="M52" i="46"/>
  <c r="M53" i="46" s="1"/>
  <c r="M54" i="46"/>
  <c r="N50" i="46" s="1"/>
  <c r="P18" i="2"/>
  <c r="Q18" i="2"/>
  <c r="K47" i="55"/>
  <c r="L43" i="55" s="1"/>
  <c r="L54" i="55"/>
  <c r="M50" i="55" s="1"/>
  <c r="R18" i="2"/>
  <c r="O18" i="2"/>
  <c r="H15" i="53"/>
  <c r="O7" i="53" a="1"/>
  <c r="O7" i="53" s="1"/>
  <c r="G14" i="53"/>
  <c r="N8" i="53" a="1"/>
  <c r="N8" i="53" s="1"/>
  <c r="Q8" i="53" s="1"/>
  <c r="M45" i="46"/>
  <c r="M46" i="46" s="1"/>
  <c r="E19" i="45"/>
  <c r="D19" i="45"/>
  <c r="E20" i="8"/>
  <c r="N52" i="46" l="1"/>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P20" i="2"/>
  <c r="Q20" i="2"/>
  <c r="L47" i="55"/>
  <c r="M43" i="55" s="1"/>
  <c r="M54" i="55"/>
  <c r="N50" i="55" s="1"/>
  <c r="R20" i="2"/>
  <c r="O20" i="2"/>
  <c r="H17" i="53"/>
  <c r="O5" i="53" a="1"/>
  <c r="O5" i="53" s="1"/>
  <c r="G16" i="53"/>
  <c r="N6" i="53" a="1"/>
  <c r="N6" i="53" s="1"/>
  <c r="Q6" i="53" s="1"/>
  <c r="N45" i="46"/>
  <c r="N46" i="46" s="1"/>
  <c r="E21" i="45"/>
  <c r="D21" i="45"/>
  <c r="E23" i="8"/>
  <c r="E24" i="8" s="1"/>
  <c r="O54" i="46" l="1"/>
  <c r="P50" i="46" s="1"/>
  <c r="P52" i="46" s="1"/>
  <c r="P53" i="46" s="1"/>
  <c r="P21" i="2"/>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N13" i="56" l="1"/>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R11" i="56"/>
  <c r="AR13" i="56" s="1"/>
  <c r="AR14" i="56" s="1"/>
  <c r="AR16" i="56" s="1"/>
  <c r="AR17" i="56" s="1"/>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C13" i="56" l="1"/>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21" i="2"/>
  <c r="N7" i="2"/>
  <c r="N9" i="2"/>
  <c r="N35" i="2"/>
  <c r="D35" i="2" s="1"/>
  <c r="F35" i="2" s="1"/>
  <c r="L35" i="2" s="1"/>
  <c r="N4" i="2"/>
  <c r="N25" i="2"/>
  <c r="N33" i="2"/>
  <c r="D33" i="2" s="1"/>
  <c r="F33" i="2" s="1"/>
  <c r="L33" i="2" s="1"/>
  <c r="N14" i="2"/>
  <c r="N12" i="2"/>
  <c r="N37" i="2"/>
  <c r="D37" i="2" s="1"/>
  <c r="F37" i="2" s="1"/>
  <c r="L37" i="2" s="1"/>
  <c r="L32" i="56" s="1"/>
  <c r="N23" i="2"/>
  <c r="N31" i="2"/>
  <c r="N28" i="2"/>
  <c r="N10" i="2"/>
  <c r="N24" i="2"/>
  <c r="N8" i="2"/>
  <c r="BI2" i="56"/>
  <c r="N3" i="2" s="1"/>
  <c r="N18" i="2"/>
  <c r="N11" i="2"/>
  <c r="N5" i="2"/>
  <c r="N30" i="2"/>
  <c r="N19" i="2"/>
  <c r="N13" i="2"/>
  <c r="N26" i="2"/>
  <c r="N38" i="55"/>
  <c r="O34" i="55" s="1"/>
  <c r="Z52" i="55"/>
  <c r="Z53" i="55" s="1"/>
  <c r="Y47" i="55"/>
  <c r="Z43" i="55" s="1"/>
  <c r="Q43" i="2"/>
  <c r="P43" i="2"/>
  <c r="R43" i="2"/>
  <c r="AE54" i="46"/>
  <c r="AF50" i="46" s="1"/>
  <c r="AC47" i="46"/>
  <c r="AD43" i="46" s="1"/>
  <c r="E44" i="45"/>
  <c r="D44" i="45"/>
  <c r="G32" i="56" l="1"/>
  <c r="AA32" i="56"/>
  <c r="N34" i="2"/>
  <c r="D34" i="2" s="1"/>
  <c r="F34" i="2" s="1"/>
  <c r="L34" i="2" s="1"/>
  <c r="N16" i="2"/>
  <c r="N6" i="2"/>
  <c r="N15" i="2"/>
  <c r="N32" i="2"/>
  <c r="N36" i="2"/>
  <c r="D36" i="2" s="1"/>
  <c r="F36" i="2" s="1"/>
  <c r="L36" i="2" s="1"/>
  <c r="N20" i="2"/>
  <c r="N29" i="2"/>
  <c r="S32" i="56"/>
  <c r="E32" i="56"/>
  <c r="Y32" i="56"/>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54" i="55"/>
  <c r="AC50" i="55" s="1"/>
  <c r="AB45" i="55"/>
  <c r="AB46" i="55" s="1"/>
  <c r="R47" i="2"/>
  <c r="P47" i="2"/>
  <c r="AH54" i="46"/>
  <c r="AI50" i="46" s="1"/>
  <c r="AE47" i="46"/>
  <c r="AF43" i="46" s="1"/>
  <c r="AF45" i="46" s="1"/>
  <c r="AF46" i="46" s="1"/>
  <c r="E48" i="45"/>
  <c r="D48" i="45"/>
  <c r="Q48" i="2" l="1"/>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c r="T34"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AV4" i="47" s="1"/>
  <c r="AV5" i="47" s="1"/>
  <c r="AV6" i="47" s="1"/>
  <c r="AV7"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P4" i="47"/>
  <c r="AS6" i="46"/>
  <c r="I4" i="47"/>
  <c r="AM4" i="47"/>
  <c r="D6" i="46"/>
  <c r="J6" i="46"/>
  <c r="E10" i="47" l="1"/>
  <c r="E9" i="47"/>
  <c r="K6" i="46"/>
  <c r="S4" i="47"/>
  <c r="S5" i="47" s="1"/>
  <c r="S6" i="47" s="1"/>
  <c r="S7" i="47" s="1"/>
  <c r="AN5" i="47"/>
  <c r="AN6" i="47" s="1"/>
  <c r="AN7" i="47" s="1"/>
  <c r="AN10" i="47" s="1"/>
  <c r="T4" i="47"/>
  <c r="T5" i="47" s="1"/>
  <c r="T6" i="47" s="1"/>
  <c r="T7" i="47" s="1"/>
  <c r="T10" i="47" s="1"/>
  <c r="AU6" i="46"/>
  <c r="AU7" i="46" s="1"/>
  <c r="AU8" i="46" s="1"/>
  <c r="F5" i="47"/>
  <c r="F6" i="47" s="1"/>
  <c r="F7" i="47" s="1"/>
  <c r="F10" i="47" s="1"/>
  <c r="AK5" i="47"/>
  <c r="AK6" i="47" s="1"/>
  <c r="AK7" i="47" s="1"/>
  <c r="AK10" i="47" s="1"/>
  <c r="T6" i="46"/>
  <c r="AB6" i="46"/>
  <c r="AM5" i="47"/>
  <c r="AM6" i="47" s="1"/>
  <c r="AM7" i="47" s="1"/>
  <c r="G5" i="47"/>
  <c r="G6" i="47" s="1"/>
  <c r="G7" i="47" s="1"/>
  <c r="T36" i="55"/>
  <c r="T37" i="55" s="1"/>
  <c r="L6" i="46"/>
  <c r="L7" i="46" s="1"/>
  <c r="L8" i="46" s="1"/>
  <c r="AI5" i="47"/>
  <c r="AI6" i="47" s="1"/>
  <c r="AI7" i="47" s="1"/>
  <c r="AI10" i="47" s="1"/>
  <c r="AH5" i="47"/>
  <c r="AH6" i="47" s="1"/>
  <c r="AH7" i="47" s="1"/>
  <c r="AH10" i="47" s="1"/>
  <c r="AQ6" i="46"/>
  <c r="AQ7" i="46" s="1"/>
  <c r="AQ8" i="46" s="1"/>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H7" i="46" s="1"/>
  <c r="AH8" i="46" s="1"/>
  <c r="AR4" i="47"/>
  <c r="AR5" i="47" s="1"/>
  <c r="AR6" i="47" s="1"/>
  <c r="AR7" i="47" s="1"/>
  <c r="AR10" i="47" s="1"/>
  <c r="I6" i="46"/>
  <c r="I7" i="46" s="1"/>
  <c r="I8" i="46" s="1"/>
  <c r="AE5" i="47"/>
  <c r="AE6" i="47" s="1"/>
  <c r="AE7" i="47" s="1"/>
  <c r="AE10" i="47" s="1"/>
  <c r="V6" i="46"/>
  <c r="V7" i="46" s="1"/>
  <c r="V8" i="46"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O10" i="47"/>
  <c r="AO9" i="47"/>
  <c r="AJ10" i="47"/>
  <c r="AJ9" i="47"/>
  <c r="T9" i="47"/>
  <c r="AB9" i="47"/>
  <c r="AB10" i="47"/>
  <c r="AV10" i="47"/>
  <c r="AV9" i="47"/>
  <c r="G10" i="47"/>
  <c r="G9" i="47"/>
  <c r="AM10" i="47"/>
  <c r="AM9" i="47"/>
  <c r="D7" i="46"/>
  <c r="D8" i="46" s="1"/>
  <c r="AJ7" i="46"/>
  <c r="AJ8" i="46" s="1"/>
  <c r="Z7" i="46"/>
  <c r="Z8" i="46" s="1"/>
  <c r="U7" i="46"/>
  <c r="U8" i="46" s="1"/>
  <c r="Y7" i="46"/>
  <c r="Y8" i="46" s="1"/>
  <c r="AA7" i="46"/>
  <c r="AA8" i="46" s="1"/>
  <c r="AC7" i="46"/>
  <c r="AC8" i="46" s="1"/>
  <c r="O7" i="46"/>
  <c r="O8" i="46" s="1"/>
  <c r="AS7" i="46"/>
  <c r="AS8" i="46" s="1"/>
  <c r="AB7" i="46"/>
  <c r="AB8" i="46" s="1"/>
  <c r="F7" i="46"/>
  <c r="F8" i="46" s="1"/>
  <c r="AL7" i="46"/>
  <c r="AL8" i="46" s="1"/>
  <c r="J7" i="46"/>
  <c r="J8" i="46" s="1"/>
  <c r="G7" i="46"/>
  <c r="G8" i="46" s="1"/>
  <c r="Q7" i="46"/>
  <c r="Q8" i="46" s="1"/>
  <c r="E7" i="46"/>
  <c r="E8" i="46" s="1"/>
  <c r="AF7" i="46"/>
  <c r="AF8" i="46" s="1"/>
  <c r="K7" i="46"/>
  <c r="K8" i="46" s="1"/>
  <c r="AN7" i="46"/>
  <c r="AN8" i="46" s="1"/>
  <c r="AM7" i="46"/>
  <c r="AM8" i="46" s="1"/>
  <c r="T7" i="46"/>
  <c r="T8" i="46" s="1"/>
  <c r="X7" i="46"/>
  <c r="X8" i="46" s="1"/>
  <c r="P7" i="46"/>
  <c r="P8" i="46" s="1"/>
  <c r="N7" i="46"/>
  <c r="N8" i="46" s="1"/>
  <c r="AO7" i="46"/>
  <c r="AO8" i="46" s="1"/>
  <c r="R7" i="46"/>
  <c r="R8" i="46" s="1"/>
  <c r="AI9" i="47" l="1"/>
  <c r="F9" i="47"/>
  <c r="V9" i="47"/>
  <c r="V11" i="47" s="1"/>
  <c r="AN9" i="47"/>
  <c r="AN11" i="47" s="1"/>
  <c r="S9" i="47"/>
  <c r="S11" i="47" s="1"/>
  <c r="S10" i="47"/>
  <c r="AK9" i="47"/>
  <c r="AK12" i="47" s="1"/>
  <c r="E12" i="47"/>
  <c r="E11" i="47"/>
  <c r="AF10" i="47"/>
  <c r="Z10" i="47"/>
  <c r="X10" i="47"/>
  <c r="L9" i="47"/>
  <c r="L12" i="47" s="1"/>
  <c r="AH9" i="47"/>
  <c r="AH11" i="47" s="1"/>
  <c r="P10" i="47"/>
  <c r="H10" i="47"/>
  <c r="AA10" i="47"/>
  <c r="AY9" i="47"/>
  <c r="AY12" i="47" s="1"/>
  <c r="T38" i="55"/>
  <c r="U34" i="55" s="1"/>
  <c r="AS9" i="47"/>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U12" i="47"/>
  <c r="AV11" i="47"/>
  <c r="AV12" i="47"/>
  <c r="X12" i="47"/>
  <c r="X11" i="47"/>
  <c r="AW12" i="47"/>
  <c r="AW11" i="47"/>
  <c r="AJ11" i="47"/>
  <c r="AJ12" i="47"/>
  <c r="AN12" i="47"/>
  <c r="AI12" i="47"/>
  <c r="AI11" i="47"/>
  <c r="F11" i="47"/>
  <c r="F12" i="47"/>
  <c r="V12" i="47"/>
  <c r="G11" i="47"/>
  <c r="G12" i="47"/>
  <c r="M12" i="47"/>
  <c r="M11" i="47"/>
  <c r="AF11" i="47"/>
  <c r="AF12" i="47"/>
  <c r="AS11" i="47"/>
  <c r="AS12" i="47"/>
  <c r="H12" i="47"/>
  <c r="H11" i="47"/>
  <c r="AO11" i="47"/>
  <c r="AO12" i="47"/>
  <c r="T12" i="47"/>
  <c r="T11" i="47"/>
  <c r="R11" i="47"/>
  <c r="R12" i="47"/>
  <c r="AA12" i="47"/>
  <c r="AA11" i="47"/>
  <c r="Z12" i="47"/>
  <c r="Z11" i="47"/>
  <c r="AH12" i="47" l="1"/>
  <c r="S12" i="47"/>
  <c r="AY11" i="47"/>
  <c r="E13" i="47"/>
  <c r="E14" i="47" s="1"/>
  <c r="E16" i="47" s="1"/>
  <c r="E17" i="47" s="1"/>
  <c r="AK11" i="47"/>
  <c r="AK13" i="47" s="1"/>
  <c r="AK14" i="47" s="1"/>
  <c r="AK16" i="47" s="1"/>
  <c r="AK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V38" i="55"/>
  <c r="W34"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W36" i="55" l="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K54" i="55"/>
  <c r="AL50" i="55" s="1"/>
  <c r="AJ47" i="55"/>
  <c r="AK43" i="55" s="1"/>
  <c r="AR52" i="46"/>
  <c r="AR53" i="46" s="1"/>
  <c r="L38" i="46"/>
  <c r="M34" i="46" s="1"/>
  <c r="AO45" i="46"/>
  <c r="AO46" i="46" s="1"/>
  <c r="AA38" i="55" l="1"/>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U27" i="47"/>
  <c r="AA26" i="47"/>
  <c r="J25" i="47" l="1"/>
  <c r="X26" i="47"/>
  <c r="U25" i="47"/>
  <c r="X27" i="47"/>
  <c r="X28" i="47" s="1"/>
  <c r="X29" i="47" s="1"/>
  <c r="X31" i="47" s="1"/>
  <c r="X33" i="47" s="1"/>
  <c r="X34" i="47" s="1"/>
  <c r="X35" i="47" s="1"/>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F28" i="47" s="1"/>
  <c r="F29" i="47" s="1"/>
  <c r="F31" i="47" s="1"/>
  <c r="F33" i="47" s="1"/>
  <c r="F34" i="47" s="1"/>
  <c r="F35" i="47" s="1"/>
  <c r="J27" i="47"/>
  <c r="J28" i="47" s="1"/>
  <c r="J29" i="47" s="1"/>
  <c r="J31" i="47" s="1"/>
  <c r="J33" i="47" s="1"/>
  <c r="J34" i="47" s="1"/>
  <c r="J35" i="47" s="1"/>
  <c r="AB26" i="47"/>
  <c r="P25" i="47"/>
  <c r="T26" i="47"/>
  <c r="Z26" i="47"/>
  <c r="Z25" i="47"/>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U28" i="47"/>
  <c r="U29" i="47" s="1"/>
  <c r="U31" i="47" s="1"/>
  <c r="U33" i="47" s="1"/>
  <c r="U34" i="47" s="1"/>
  <c r="U35" i="47" s="1"/>
  <c r="Z28" i="47"/>
  <c r="Z29" i="47" s="1"/>
  <c r="Z31" i="47" s="1"/>
  <c r="Z33" i="47" s="1"/>
  <c r="Z34" i="47" s="1"/>
  <c r="Z35" i="47" s="1"/>
  <c r="L28" i="47" l="1"/>
  <c r="L29" i="47" s="1"/>
  <c r="L31" i="47" s="1"/>
  <c r="L33" i="47" s="1"/>
  <c r="L34" i="47" s="1"/>
  <c r="L35" i="47" s="1"/>
  <c r="N28" i="47"/>
  <c r="N29" i="47" s="1"/>
  <c r="N31" i="47" s="1"/>
  <c r="N33" i="47" s="1"/>
  <c r="N34" i="47" s="1"/>
  <c r="N35" i="47" s="1"/>
  <c r="G28" i="47"/>
  <c r="G29" i="47" s="1"/>
  <c r="G31" i="47" s="1"/>
  <c r="G33" i="47" s="1"/>
  <c r="G34" i="47" s="1"/>
  <c r="G35" i="47" s="1"/>
  <c r="AB28" i="47"/>
  <c r="AB29" i="47" s="1"/>
  <c r="AB31" i="47" s="1"/>
  <c r="AB33" i="47" s="1"/>
  <c r="AB34" i="47" s="1"/>
  <c r="AB35" i="47" s="1"/>
  <c r="W28" i="47"/>
  <c r="W29" i="47" s="1"/>
  <c r="W31" i="47" s="1"/>
  <c r="W33" i="47" s="1"/>
  <c r="W34" i="47" s="1"/>
  <c r="W35" i="47" s="1"/>
  <c r="H28" i="47"/>
  <c r="H29" i="47" s="1"/>
  <c r="H31" i="47" s="1"/>
  <c r="H33" i="47" s="1"/>
  <c r="H34" i="47" s="1"/>
  <c r="H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<sst xmlns="http://schemas.openxmlformats.org/spreadsheetml/2006/main" count="1524" uniqueCount="278">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</sst>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tabSelected="1" workbookViewId="0">
      <selection activeCell="C9" sqref="C9"/>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v>0.02</v>
      </c>
    </row>
    <row r="3" spans="2:3" x14ac:dyDescent="0.2">
      <c r="B3" s="40" t="s">
        <v>217</v>
      </c>
      <c r="C3" s="43"/>
    </row>
    <row r="4" spans="2:3" x14ac:dyDescent="0.2">
      <c r="B4" s="45" t="s">
        <v>63</v>
      </c>
      <c r="C4" s="46">
        <v>0.03</v>
      </c>
    </row>
    <row r="5" spans="2:3" x14ac:dyDescent="0.2">
      <c r="B5" s="47" t="s">
        <v>65</v>
      </c>
      <c r="C5" s="48">
        <f>C4-C2</f>
        <v>9.9999999999999985E-3</v>
      </c>
    </row>
    <row r="6" spans="2:3" x14ac:dyDescent="0.2">
      <c r="B6" s="47" t="s">
        <v>64</v>
      </c>
      <c r="C6" s="48">
        <v>0.06</v>
      </c>
    </row>
    <row r="7" spans="2:3" x14ac:dyDescent="0.2">
      <c r="B7" s="47" t="s">
        <v>175</v>
      </c>
      <c r="C7" s="48">
        <f>C6-C2</f>
        <v>3.9999999999999994E-2</v>
      </c>
    </row>
    <row r="8" spans="2:3" x14ac:dyDescent="0.2">
      <c r="B8" s="47" t="s">
        <v>76</v>
      </c>
      <c r="C8" s="48">
        <f>20%*(1+10%)</f>
        <v>0.22000000000000003</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0.02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
      <c r="A7" s="16"/>
      <c r="B7" s="14" t="s">
        <v>76</v>
      </c>
      <c r="C7" s="15">
        <f>Income!I7</f>
        <v>0.22000000000000003</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
      <c r="A19" s="16"/>
      <c r="M19" s="62"/>
    </row>
    <row r="20" spans="1:17" x14ac:dyDescent="0.2">
      <c r="A20" s="16"/>
    </row>
    <row r="21" spans="1:17" x14ac:dyDescent="0.2">
      <c r="A21" s="16"/>
      <c r="Q21" s="63">
        <f>SUM(Q3:Q18)</f>
        <v>198719.14865950411</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282968.57336658821</v>
      </c>
      <c r="D3" s="37">
        <f>(TableIncomeCalculations[[#This Row],[NetMonthlySalaryP2]]*12)</f>
        <v>463564.03929042356</v>
      </c>
      <c r="E3" s="36">
        <f>TableIncome[[#This Row],[SalaryP1]]*$I$7</f>
        <v>62253.086140649415</v>
      </c>
      <c r="F3" s="36">
        <f>TableIncome[[#This Row],[SalaryP2]]*$I$7</f>
        <v>101984.08864389319</v>
      </c>
      <c r="G3" s="16"/>
      <c r="H3" s="14" t="s">
        <v>63</v>
      </c>
      <c r="I3" s="15" cm="1">
        <f t="array" ref="I3:I7">'Salary Variables'!$C$4:$C$8</f>
        <v>0.03</v>
      </c>
      <c r="K3" s="57">
        <f>(TableIncome[[#This Row],[SalaryP1]]-TableIncome[[#This Row],[InvestmentP1]])/12</f>
        <v>18392.957268828231</v>
      </c>
      <c r="L3" s="57">
        <f>(TableIncome[[#This Row],[SalaryP2]]-TableIncome[[#This Row],[InvestmentP2]])/12</f>
        <v>30131.66255387753</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285837.17205529416</v>
      </c>
      <c r="D4" s="37">
        <f>(TableIncomeCalculations[[#This Row],[NetMonthlySalaryP2]]*12)</f>
        <v>467231.95319836785</v>
      </c>
      <c r="E4" s="36">
        <f>TableIncome[[#This Row],[SalaryP1]]*$I$7</f>
        <v>62884.177852164721</v>
      </c>
      <c r="F4" s="36">
        <f>TableIncome[[#This Row],[SalaryP2]]*$I$7</f>
        <v>102791.02970364095</v>
      </c>
      <c r="G4" s="16"/>
      <c r="H4" s="14" t="s">
        <v>65</v>
      </c>
      <c r="I4" s="15">
        <v>9.9999999999999985E-3</v>
      </c>
      <c r="K4" s="57">
        <f>(TableIncome[[#This Row],[SalaryP1]]-TableIncome[[#This Row],[InvestmentP1]])/12</f>
        <v>18579.41618359412</v>
      </c>
      <c r="L4" s="57">
        <f>(TableIncome[[#This Row],[SalaryP2]]-TableIncome[[#This Row],[InvestmentP2]])/12</f>
        <v>30370.076957893907</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300323.5954332588</v>
      </c>
      <c r="D5" s="37">
        <f>(TableIncomeCalculations[[#This Row],[NetMonthlySalaryP2]]*12)</f>
        <v>485754.91843348625</v>
      </c>
      <c r="E5" s="36">
        <f>TableIncome[[#This Row],[SalaryP1]]*$I$7</f>
        <v>66071.190995316938</v>
      </c>
      <c r="F5" s="36">
        <f>TableIncome[[#This Row],[SalaryP2]]*$I$7</f>
        <v>106866.08205536699</v>
      </c>
      <c r="G5" s="16"/>
      <c r="H5" s="14" t="s">
        <v>64</v>
      </c>
      <c r="I5" s="15">
        <v>0.06</v>
      </c>
      <c r="K5" s="57">
        <f>(TableIncome[[#This Row],[SalaryP1]]-TableIncome[[#This Row],[InvestmentP1]])/12</f>
        <v>19521.033703161822</v>
      </c>
      <c r="L5" s="57">
        <f>(TableIncome[[#This Row],[SalaryP2]]-TableIncome[[#This Row],[InvestmentP2]])/12</f>
        <v>31574.069698176605</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303365.74434263143</v>
      </c>
      <c r="D6" s="37">
        <f>(TableIncomeCalculations[[#This Row],[NetMonthlySalaryP2]]*12)</f>
        <v>489644.74113286112</v>
      </c>
      <c r="E6" s="36">
        <f>TableIncome[[#This Row],[SalaryP1]]*$I$7</f>
        <v>66740.463755378922</v>
      </c>
      <c r="F6" s="36">
        <f>TableIncome[[#This Row],[SalaryP2]]*$I$7</f>
        <v>107721.84304922946</v>
      </c>
      <c r="G6" s="16"/>
      <c r="H6" s="14" t="s">
        <v>175</v>
      </c>
      <c r="I6" s="15">
        <v>3.9999999999999994E-2</v>
      </c>
      <c r="K6" s="57">
        <f>(TableIncome[[#This Row],[SalaryP1]]-TableIncome[[#This Row],[InvestmentP1]])/12</f>
        <v>19718.773382271043</v>
      </c>
      <c r="L6" s="57">
        <f>(TableIncome[[#This Row],[SalaryP2]]-TableIncome[[#This Row],[InvestmentP2]])/12</f>
        <v>31826.908173635969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306438.31474109762</v>
      </c>
      <c r="D7" s="37">
        <f>(TableIncomeCalculations[[#This Row],[NetMonthlySalaryP2]]*12)</f>
        <v>493573.46205922961</v>
      </c>
      <c r="E7" s="36">
        <f>TableIncome[[#This Row],[SalaryP1]]*$I$7</f>
        <v>67416.429243041479</v>
      </c>
      <c r="F7" s="36">
        <f>TableIncome[[#This Row],[SalaryP2]]*$I$7</f>
        <v>108586.16165303053</v>
      </c>
      <c r="G7" s="16"/>
      <c r="H7" s="14" t="s">
        <v>76</v>
      </c>
      <c r="I7" s="15">
        <v>0.22000000000000003</v>
      </c>
      <c r="K7" s="57">
        <f>(TableIncome[[#This Row],[SalaryP1]]-TableIncome[[#This Row],[InvestmentP1]])/12</f>
        <v>19918.490458171345</v>
      </c>
      <c r="L7" s="57">
        <f>(TableIncome[[#This Row],[SalaryP2]]-TableIncome[[#This Row],[InvestmentP2]])/12</f>
        <v>32082.275033849921</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309541.61084354867</v>
      </c>
      <c r="D8" s="37">
        <f>(TableIncomeCalculations[[#This Row],[NetMonthlySalaryP2]]*12)</f>
        <v>497541.47019486187</v>
      </c>
      <c r="E8" s="36">
        <f>TableIncome[[#This Row],[SalaryP1]]*$I$7</f>
        <v>68099.15438558071</v>
      </c>
      <c r="F8" s="36">
        <f>TableIncome[[#This Row],[SalaryP2]]*$I$7</f>
        <v>109459.12344286963</v>
      </c>
      <c r="G8" s="16"/>
      <c r="I8" s="17"/>
      <c r="K8" s="57">
        <f>(TableIncome[[#This Row],[SalaryP1]]-TableIncome[[#This Row],[InvestmentP1]])/12</f>
        <v>20120.204704830663</v>
      </c>
      <c r="L8" s="57">
        <f>(TableIncome[[#This Row],[SalaryP2]]-TableIncome[[#This Row],[InvestmentP2]])/12</f>
        <v>32340.19556266602</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325213.25616092619</v>
      </c>
      <c r="D9" s="37">
        <f>(TableIncomeCalculations[[#This Row],[NetMonthlySalaryP2]]*12)</f>
        <v>517579.911279805</v>
      </c>
      <c r="E9" s="36">
        <f>TableIncome[[#This Row],[SalaryP1]]*$I$7</f>
        <v>71546.916355403766</v>
      </c>
      <c r="F9" s="36">
        <f>TableIncome[[#This Row],[SalaryP2]]*$I$7</f>
        <v>113867.58048155712</v>
      </c>
      <c r="G9" s="16"/>
      <c r="K9" s="57">
        <f>(TableIncome[[#This Row],[SalaryP1]]-TableIncome[[#This Row],[InvestmentP1]])/12</f>
        <v>21138.8616504602</v>
      </c>
      <c r="L9" s="57">
        <f>(TableIncome[[#This Row],[SalaryP2]]-TableIncome[[#This Row],[InvestmentP2]])/12</f>
        <v>33642.694233187322</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328504.30167757545</v>
      </c>
      <c r="D10" s="37">
        <f>(TableIncomeCalculations[[#This Row],[NetMonthlySalaryP2]]*12)</f>
        <v>521787.98390764301</v>
      </c>
      <c r="E10" s="36">
        <f>TableIncome[[#This Row],[SalaryP1]]*$I$7</f>
        <v>72270.946369066602</v>
      </c>
      <c r="F10" s="36">
        <f>TableIncome[[#This Row],[SalaryP2]]*$I$7</f>
        <v>114793.35645968148</v>
      </c>
      <c r="G10" s="16"/>
      <c r="H10" s="28"/>
      <c r="K10" s="57">
        <f>(TableIncome[[#This Row],[SalaryP1]]-TableIncome[[#This Row],[InvestmentP1]])/12</f>
        <v>21352.779609042405</v>
      </c>
      <c r="L10" s="57">
        <f>(TableIncome[[#This Row],[SalaryP2]]-TableIncome[[#This Row],[InvestmentP2]])/12</f>
        <v>33916.218953996795</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331828.25764939119</v>
      </c>
      <c r="D11" s="37">
        <f>(TableIncomeCalculations[[#This Row],[NetMonthlySalaryP2]]*12)</f>
        <v>526038.13726175949</v>
      </c>
      <c r="E11" s="36">
        <f>TableIncome[[#This Row],[SalaryP1]]*$I$7</f>
        <v>73002.21668286607</v>
      </c>
      <c r="F11" s="36">
        <f>TableIncome[[#This Row],[SalaryP2]]*$I$7</f>
        <v>115728.3901975871</v>
      </c>
      <c r="G11" s="16"/>
      <c r="K11" s="57">
        <f>(TableIncome[[#This Row],[SalaryP1]]-TableIncome[[#This Row],[InvestmentP1]])/12</f>
        <v>21568.836747210426</v>
      </c>
      <c r="L11" s="57">
        <f>(TableIncome[[#This Row],[SalaryP2]]-TableIncome[[#This Row],[InvestmentP2]])/12</f>
        <v>34192.478922014365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335185.45318092511</v>
      </c>
      <c r="D12" s="37">
        <f>(TableIncomeCalculations[[#This Row],[NetMonthlySalaryP2]]*12)</f>
        <v>530330.7921494171</v>
      </c>
      <c r="E12" s="36">
        <f>TableIncome[[#This Row],[SalaryP1]]*$I$7</f>
        <v>73740.799699803538</v>
      </c>
      <c r="F12" s="36">
        <f>TableIncome[[#This Row],[SalaryP2]]*$I$7</f>
        <v>116672.77427287177</v>
      </c>
      <c r="G12" s="16"/>
      <c r="K12" s="57">
        <f>(TableIncome[[#This Row],[SalaryP1]]-TableIncome[[#This Row],[InvestmentP1]])/12</f>
        <v>21787.054456760132</v>
      </c>
      <c r="L12" s="57">
        <f>(TableIncome[[#This Row],[SalaryP2]]-TableIncome[[#This Row],[InvestmentP2]])/12</f>
        <v>34471.501489712107</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352139.29061517131</v>
      </c>
      <c r="D13" s="37">
        <f>(TableIncomeCalculations[[#This Row],[NetMonthlySalaryP2]]*12)</f>
        <v>552008.699332088</v>
      </c>
      <c r="E13" s="36">
        <f>TableIncome[[#This Row],[SalaryP1]]*$I$7</f>
        <v>77470.643935337692</v>
      </c>
      <c r="F13" s="36">
        <f>TableIncome[[#This Row],[SalaryP2]]*$I$7</f>
        <v>121441.91385305938</v>
      </c>
      <c r="G13" s="16"/>
      <c r="K13" s="57">
        <f>(TableIncome[[#This Row],[SalaryP1]]-TableIncome[[#This Row],[InvestmentP1]])/12</f>
        <v>22889.053889986139</v>
      </c>
      <c r="L13" s="57">
        <f>(TableIncome[[#This Row],[SalaryP2]]-TableIncome[[#This Row],[InvestmentP2]])/12</f>
        <v>35880.565456585718</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355699.59647636313</v>
      </c>
      <c r="D14" s="37">
        <f>(TableIncomeCalculations[[#This Row],[NetMonthlySalaryP2]]*12)</f>
        <v>556561.0598404489</v>
      </c>
      <c r="E14" s="36">
        <f>TableIncome[[#This Row],[SalaryP1]]*$I$7</f>
        <v>78253.9112247999</v>
      </c>
      <c r="F14" s="36">
        <f>TableIncome[[#This Row],[SalaryP2]]*$I$7</f>
        <v>122443.43316489877</v>
      </c>
      <c r="G14" s="16"/>
      <c r="K14" s="57">
        <f>(TableIncome[[#This Row],[SalaryP1]]-TableIncome[[#This Row],[InvestmentP1]])/12</f>
        <v>23120.473770963599</v>
      </c>
      <c r="L14" s="57">
        <f>(TableIncome[[#This Row],[SalaryP2]]-TableIncome[[#This Row],[InvestmentP2]])/12</f>
        <v>36176.468889629177</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359295.5053961667</v>
      </c>
      <c r="D15" s="37">
        <f>(TableIncomeCalculations[[#This Row],[NetMonthlySalaryP2]]*12)</f>
        <v>561158.94395389338</v>
      </c>
      <c r="E15" s="36">
        <f>TableIncome[[#This Row],[SalaryP1]]*$I$7</f>
        <v>79045.011187156691</v>
      </c>
      <c r="F15" s="36">
        <f>TableIncome[[#This Row],[SalaryP2]]*$I$7</f>
        <v>123454.96766985656</v>
      </c>
      <c r="G15" s="16"/>
      <c r="K15" s="57">
        <f>(TableIncome[[#This Row],[SalaryP1]]-TableIncome[[#This Row],[InvestmentP1]])/12</f>
        <v>23354.207850750838</v>
      </c>
      <c r="L15" s="57">
        <f>(TableIncome[[#This Row],[SalaryP2]]-TableIncome[[#This Row],[InvestmentP2]])/12</f>
        <v>36475.331357003066</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377454.84544117504</v>
      </c>
      <c r="D16" s="37">
        <f>(TableIncomeCalculations[[#This Row],[NetMonthlySalaryP2]]*12)</f>
        <v>584378.2587267881</v>
      </c>
      <c r="E16" s="36">
        <f>TableIncome[[#This Row],[SalaryP1]]*$I$7</f>
        <v>83040.065997058526</v>
      </c>
      <c r="F16" s="36">
        <f>TableIncome[[#This Row],[SalaryP2]]*$I$7</f>
        <v>128563.2169198934</v>
      </c>
      <c r="G16" s="16"/>
      <c r="K16" s="57">
        <f>(TableIncome[[#This Row],[SalaryP1]]-TableIncome[[#This Row],[InvestmentP1]])/12</f>
        <v>24534.564953676378</v>
      </c>
      <c r="L16" s="57">
        <f>(TableIncome[[#This Row],[SalaryP2]]-TableIncome[[#This Row],[InvestmentP2]])/12</f>
        <v>37984.586817241223</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381268.30685062683</v>
      </c>
      <c r="D17" s="37">
        <f>(TableIncomeCalculations[[#This Row],[NetMonthlySalaryP2]]*12)</f>
        <v>589254.31482909597</v>
      </c>
      <c r="E17" s="36">
        <f>TableIncome[[#This Row],[SalaryP1]]*$I$7</f>
        <v>83879.027507137915</v>
      </c>
      <c r="F17" s="36">
        <f>TableIncome[[#This Row],[SalaryP2]]*$I$7</f>
        <v>129635.94926240113</v>
      </c>
      <c r="G17" s="16"/>
      <c r="K17" s="57">
        <f>(TableIncome[[#This Row],[SalaryP1]]-TableIncome[[#This Row],[InvestmentP1]])/12</f>
        <v>24782.439945290742</v>
      </c>
      <c r="L17" s="57">
        <f>(TableIncome[[#This Row],[SalaryP2]]-TableIncome[[#This Row],[InvestmentP2]])/12</f>
        <v>38301.530463891235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385119.90287417319</v>
      </c>
      <c r="D18" s="37">
        <f>(TableIncomeCalculations[[#This Row],[NetMonthlySalaryP2]]*12)</f>
        <v>594179.13149242685</v>
      </c>
      <c r="E18" s="36">
        <f>TableIncome[[#This Row],[SalaryP1]]*$I$7</f>
        <v>84726.378632318112</v>
      </c>
      <c r="F18" s="36">
        <f>TableIncome[[#This Row],[SalaryP2]]*$I$7</f>
        <v>130719.40892833393</v>
      </c>
      <c r="G18" s="16"/>
      <c r="K18" s="57">
        <f>(TableIncome[[#This Row],[SalaryP1]]-TableIncome[[#This Row],[InvestmentP1]])/12</f>
        <v>25032.793686821256</v>
      </c>
      <c r="L18" s="57">
        <f>(TableIncome[[#This Row],[SalaryP2]]-TableIncome[[#This Row],[InvestmentP2]])/12</f>
        <v>38621.643547007749</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389010.01485795487</v>
      </c>
      <c r="D19" s="37">
        <f>(TableIncomeCalculations[[#This Row],[NetMonthlySalaryP2]]*12)</f>
        <v>599153.19632239104</v>
      </c>
      <c r="E19" s="36">
        <f>TableIncome[[#This Row],[SalaryP1]]*$I$7</f>
        <v>85582.203268750076</v>
      </c>
      <c r="F19" s="36">
        <f>TableIncome[[#This Row],[SalaryP2]]*$I$7</f>
        <v>131813.70319092605</v>
      </c>
      <c r="G19" s="16"/>
      <c r="K19" s="57">
        <f>(TableIncome[[#This Row],[SalaryP1]]-TableIncome[[#This Row],[InvestmentP1]])/12</f>
        <v>25285.650965767069</v>
      </c>
      <c r="L19" s="57">
        <f>(TableIncome[[#This Row],[SalaryP2]]-TableIncome[[#This Row],[InvestmentP2]])/12</f>
        <v>38944.957760955418</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392939.02796157449</v>
      </c>
      <c r="D20" s="37">
        <f>(TableIncomeCalculations[[#This Row],[NetMonthlySalaryP2]]*12)</f>
        <v>604177.00180065515</v>
      </c>
      <c r="E20" s="36">
        <f>TableIncome[[#This Row],[SalaryP1]]*$I$7</f>
        <v>86446.586151546406</v>
      </c>
      <c r="F20" s="36">
        <f>TableIncome[[#This Row],[SalaryP2]]*$I$7</f>
        <v>132918.94039614414</v>
      </c>
      <c r="G20" s="16"/>
      <c r="K20" s="57">
        <f>(TableIncome[[#This Row],[SalaryP1]]-TableIncome[[#This Row],[InvestmentP1]])/12</f>
        <v>25541.036817502343</v>
      </c>
      <c r="L20" s="57">
        <f>(TableIncome[[#This Row],[SalaryP2]]-TableIncome[[#This Row],[InvestmentP2]])/12</f>
        <v>39271.50511704258</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412780.54413485306</v>
      </c>
      <c r="D21" s="37">
        <f>(TableIncomeCalculations[[#This Row],[NetMonthlySalaryP2]]*12)</f>
        <v>629547.21946588787</v>
      </c>
      <c r="E21" s="36">
        <f>TableIncome[[#This Row],[SalaryP1]]*$I$7</f>
        <v>90811.719709667683</v>
      </c>
      <c r="F21" s="36">
        <f>TableIncome[[#This Row],[SalaryP2]]*$I$7</f>
        <v>138500.38828249535</v>
      </c>
      <c r="G21" s="16"/>
      <c r="K21" s="57">
        <f>(TableIncome[[#This Row],[SalaryP1]]-TableIncome[[#This Row],[InvestmentP1]])/12</f>
        <v>26830.73536876545</v>
      </c>
      <c r="L21" s="57">
        <f>(TableIncome[[#This Row],[SalaryP2]]-TableIncome[[#This Row],[InvestmentP2]])/12</f>
        <v>40920.569265282713</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416947.26253124175</v>
      </c>
      <c r="D22" s="37">
        <f>(TableIncomeCalculations[[#This Row],[NetMonthlySalaryP2]]*12)</f>
        <v>634874.96517558675</v>
      </c>
      <c r="E22" s="36">
        <f>TableIncome[[#This Row],[SalaryP1]]*$I$7</f>
        <v>91728.397756873193</v>
      </c>
      <c r="F22" s="36">
        <f>TableIncome[[#This Row],[SalaryP2]]*$I$7</f>
        <v>139672.49233862909</v>
      </c>
      <c r="G22" s="16"/>
      <c r="K22" s="57">
        <f>(TableIncome[[#This Row],[SalaryP1]]-TableIncome[[#This Row],[InvestmentP1]])/12</f>
        <v>27101.572064530716</v>
      </c>
      <c r="L22" s="57">
        <f>(TableIncome[[#This Row],[SalaryP2]]-TableIncome[[#This Row],[InvestmentP2]])/12</f>
        <v>41266.872736413141</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420601.87256509613</v>
      </c>
      <c r="D23" s="37">
        <f>(TableIncomeCalculations[[#This Row],[NetMonthlySalaryP2]]*12)</f>
        <v>640255.98834238271</v>
      </c>
      <c r="E23" s="36">
        <f>TableIncome[[#This Row],[SalaryP1]]*$I$7</f>
        <v>92532.41196432116</v>
      </c>
      <c r="F23" s="36">
        <f>TableIncome[[#This Row],[SalaryP2]]*$I$7</f>
        <v>140856.31743532422</v>
      </c>
      <c r="G23" s="16"/>
      <c r="K23" s="57">
        <f>(TableIncome[[#This Row],[SalaryP1]]-TableIncome[[#This Row],[InvestmentP1]])/12</f>
        <v>27339.121716731246</v>
      </c>
      <c r="L23" s="57">
        <f>(TableIncome[[#This Row],[SalaryP2]]-TableIncome[[#This Row],[InvestmentP2]])/12</f>
        <v>41616.639242254874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423840.16480578703</v>
      </c>
      <c r="D24" s="37">
        <f>(TableIncomeCalculations[[#This Row],[NetMonthlySalaryP2]]*12)</f>
        <v>645690.82174084662</v>
      </c>
      <c r="E24" s="36">
        <f>TableIncome[[#This Row],[SalaryP1]]*$I$7</f>
        <v>93244.836257273157</v>
      </c>
      <c r="F24" s="36">
        <f>TableIncome[[#This Row],[SalaryP2]]*$I$7</f>
        <v>142051.98078298627</v>
      </c>
      <c r="G24" s="16"/>
      <c r="K24" s="57">
        <f>(TableIncome[[#This Row],[SalaryP1]]-TableIncome[[#This Row],[InvestmentP1]])/12</f>
        <v>27549.610712376158</v>
      </c>
      <c r="L24" s="57">
        <f>(TableIncome[[#This Row],[SalaryP2]]-TableIncome[[#This Row],[InvestmentP2]])/12</f>
        <v>41969.903413155029</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440193.54062127648</v>
      </c>
      <c r="D25" s="37">
        <f>(TableIncomeCalculations[[#This Row],[NetMonthlySalaryP2]]*12)</f>
        <v>673136.73040308885</v>
      </c>
      <c r="E25" s="36">
        <f>TableIncome[[#This Row],[SalaryP1]]*$I$7</f>
        <v>96842.578936680831</v>
      </c>
      <c r="F25" s="36">
        <f>TableIncome[[#This Row],[SalaryP2]]*$I$7</f>
        <v>148090.08068867956</v>
      </c>
      <c r="G25" s="16"/>
      <c r="K25" s="57">
        <f>(TableIncome[[#This Row],[SalaryP1]]-TableIncome[[#This Row],[InvestmentP1]])/12</f>
        <v>28612.580140382972</v>
      </c>
      <c r="L25" s="57">
        <f>(TableIncome[[#This Row],[SalaryP2]]-TableIncome[[#This Row],[InvestmentP2]])/12</f>
        <v>43753.887476200769</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443627.74954252923</v>
      </c>
      <c r="D26" s="37">
        <f>(TableIncomeCalculations[[#This Row],[NetMonthlySalaryP2]]*12)</f>
        <v>678900.37122215971</v>
      </c>
      <c r="E26" s="36">
        <f>TableIncome[[#This Row],[SalaryP1]]*$I$7</f>
        <v>97598.104899356447</v>
      </c>
      <c r="F26" s="36">
        <f>TableIncome[[#This Row],[SalaryP2]]*$I$7</f>
        <v>149358.08166887515</v>
      </c>
      <c r="G26" s="16"/>
      <c r="K26" s="57">
        <f>(TableIncome[[#This Row],[SalaryP1]]-TableIncome[[#This Row],[InvestmentP1]])/12</f>
        <v>28835.803720264401</v>
      </c>
      <c r="L26" s="57">
        <f>(TableIncome[[#This Row],[SalaryP2]]-TableIncome[[#This Row],[InvestmentP2]])/12</f>
        <v>44128.524129440375</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447096.30055299448</v>
      </c>
      <c r="D27" s="37">
        <f>(TableIncomeCalculations[[#This Row],[NetMonthlySalaryP2]]*12)</f>
        <v>684721.64844942139</v>
      </c>
      <c r="E27" s="36">
        <f>TableIncome[[#This Row],[SalaryP1]]*$I$7</f>
        <v>98361.1861216588</v>
      </c>
      <c r="F27" s="36">
        <f>TableIncome[[#This Row],[SalaryP2]]*$I$7</f>
        <v>150638.76265887273</v>
      </c>
      <c r="G27" s="16"/>
      <c r="K27" s="57">
        <f>(TableIncome[[#This Row],[SalaryP1]]-TableIncome[[#This Row],[InvestmentP1]])/12</f>
        <v>29061.259535944642</v>
      </c>
      <c r="L27" s="57">
        <f>(TableIncome[[#This Row],[SalaryP2]]-TableIncome[[#This Row],[InvestmentP2]])/12</f>
        <v>44506.907149212384</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450599.53707356448</v>
      </c>
      <c r="D28" s="37">
        <f>(TableIncomeCalculations[[#This Row],[NetMonthlySalaryP2]]*12)</f>
        <v>690601.13844895561</v>
      </c>
      <c r="E28" s="36">
        <f>TableIncome[[#This Row],[SalaryP1]]*$I$7</f>
        <v>99131.898156184194</v>
      </c>
      <c r="F28" s="36">
        <f>TableIncome[[#This Row],[SalaryP2]]*$I$7</f>
        <v>151932.25045877026</v>
      </c>
      <c r="G28" s="16"/>
      <c r="K28" s="57">
        <f>(TableIncome[[#This Row],[SalaryP1]]-TableIncome[[#This Row],[InvestmentP1]])/12</f>
        <v>29288.969909781692</v>
      </c>
      <c r="L28" s="57">
        <f>(TableIncome[[#This Row],[SalaryP2]]-TableIncome[[#This Row],[InvestmentP2]])/12</f>
        <v>44889.07399918211</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454137.80595934018</v>
      </c>
      <c r="D29" s="37">
        <f>(TableIncomeCalculations[[#This Row],[NetMonthlySalaryP2]]*12)</f>
        <v>696539.42334848526</v>
      </c>
      <c r="E29" s="36">
        <f>TableIncome[[#This Row],[SalaryP1]]*$I$7</f>
        <v>99910.317311054852</v>
      </c>
      <c r="F29" s="36">
        <f>TableIncome[[#This Row],[SalaryP2]]*$I$7</f>
        <v>153238.67313666677</v>
      </c>
      <c r="G29" s="16"/>
      <c r="K29" s="57">
        <f>(TableIncome[[#This Row],[SalaryP1]]-TableIncome[[#This Row],[InvestmentP1]])/12</f>
        <v>29518.95738735711</v>
      </c>
      <c r="L29" s="57">
        <f>(TableIncome[[#This Row],[SalaryP2]]-TableIncome[[#This Row],[InvestmentP2]])/12</f>
        <v>45275.062517651539</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457711.4575339735</v>
      </c>
      <c r="D30" s="37">
        <f>(TableIncomeCalculations[[#This Row],[NetMonthlySalaryP2]]*12)</f>
        <v>702537.09109701007</v>
      </c>
      <c r="E30" s="36">
        <f>TableIncome[[#This Row],[SalaryP1]]*$I$7</f>
        <v>100696.52065747419</v>
      </c>
      <c r="F30" s="36">
        <f>TableIncome[[#This Row],[SalaryP2]]*$I$7</f>
        <v>154558.16004134223</v>
      </c>
      <c r="G30" s="16"/>
      <c r="K30" s="57">
        <f>(TableIncome[[#This Row],[SalaryP1]]-TableIncome[[#This Row],[InvestmentP1]])/12</f>
        <v>29751.244739708276</v>
      </c>
      <c r="L30" s="57">
        <f>(TableIncome[[#This Row],[SalaryP2]]-TableIncome[[#This Row],[InvestmentP2]])/12</f>
        <v>45664.910921305651</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461320.84562435327</v>
      </c>
      <c r="D31" s="37">
        <f>(TableIncomeCalculations[[#This Row],[NetMonthlySalaryP2]]*12)</f>
        <v>708594.73552302015</v>
      </c>
      <c r="E31" s="36">
        <f>TableIncome[[#This Row],[SalaryP1]]*$I$7</f>
        <v>101490.58603735773</v>
      </c>
      <c r="F31" s="36">
        <f>TableIncome[[#This Row],[SalaryP2]]*$I$7</f>
        <v>155890.84181506446</v>
      </c>
      <c r="G31" s="16"/>
      <c r="K31" s="57">
        <f>(TableIncome[[#This Row],[SalaryP1]]-TableIncome[[#This Row],[InvestmentP1]])/12</f>
        <v>29985.854965582959</v>
      </c>
      <c r="L31" s="57">
        <f>(TableIncome[[#This Row],[SalaryP2]]-TableIncome[[#This Row],[InvestmentP2]])/12</f>
        <v>46058.657808996308</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464966.32759563683</v>
      </c>
      <c r="D32" s="37">
        <f>(TableIncomeCalculations[[#This Row],[NetMonthlySalaryP2]]*12)</f>
        <v>714712.95639329054</v>
      </c>
      <c r="E32" s="36">
        <f>TableIncome[[#This Row],[SalaryP1]]*$I$7</f>
        <v>102292.59207104011</v>
      </c>
      <c r="F32" s="36">
        <f>TableIncome[[#This Row],[SalaryP2]]*$I$7</f>
        <v>157236.85040652394</v>
      </c>
      <c r="G32" s="16"/>
      <c r="K32" s="57">
        <f>(TableIncome[[#This Row],[SalaryP1]]-TableIncome[[#This Row],[InvestmentP1]])/12</f>
        <v>30222.811293716393</v>
      </c>
      <c r="L32" s="57">
        <f>(TableIncome[[#This Row],[SalaryP2]]-TableIncome[[#This Row],[InvestmentP2]])/12</f>
        <v>46456.342165563889</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468648.26438663318</v>
      </c>
      <c r="D33" s="37">
        <f>(TableIncomeCalculations[[#This Row],[NetMonthlySalaryP2]]*12)</f>
        <v>720892.35947226337</v>
      </c>
      <c r="E33" s="36">
        <f>TableIncome[[#This Row],[SalaryP1]]*$I$7</f>
        <v>103102.61816505931</v>
      </c>
      <c r="F33" s="36">
        <f>TableIncome[[#This Row],[SalaryP2]]*$I$7</f>
        <v>158596.31908389795</v>
      </c>
      <c r="G33" s="16"/>
      <c r="K33" s="57">
        <f>(TableIncome[[#This Row],[SalaryP1]]-TableIncome[[#This Row],[InvestmentP1]])/12</f>
        <v>30462.137185131156</v>
      </c>
      <c r="L33" s="57">
        <f>(TableIncome[[#This Row],[SalaryP2]]-TableIncome[[#This Row],[InvestmentP2]])/12</f>
        <v>46858.003365697114</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472367.0205455395</v>
      </c>
      <c r="D34" s="37">
        <f>(TableIncomeCalculations[[#This Row],[NetMonthlySalaryP2]]*12)</f>
        <v>727133.55658202595</v>
      </c>
      <c r="E34" s="36">
        <f>TableIncome[[#This Row],[SalaryP1]]*$I$7</f>
        <v>103920.74452001871</v>
      </c>
      <c r="F34" s="36">
        <f>TableIncome[[#This Row],[SalaryP2]]*$I$7</f>
        <v>159969.38244804574</v>
      </c>
      <c r="G34" s="16"/>
      <c r="K34" s="57">
        <f>(TableIncome[[#This Row],[SalaryP1]]-TableIncome[[#This Row],[InvestmentP1]])/12</f>
        <v>30703.856335460066</v>
      </c>
      <c r="L34" s="57">
        <f>(TableIncome[[#This Row],[SalaryP2]]-TableIncome[[#This Row],[InvestmentP2]])/12</f>
        <v>47263.681177831684</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476122.96426603489</v>
      </c>
      <c r="D35" s="37">
        <f>(TableIncomeCalculations[[#This Row],[NetMonthlySalaryP2]]*12)</f>
        <v>733437.16566288634</v>
      </c>
      <c r="E35" s="36">
        <f>TableIncome[[#This Row],[SalaryP1]]*$I$7</f>
        <v>104747.0521385277</v>
      </c>
      <c r="F35" s="36">
        <f>TableIncome[[#This Row],[SalaryP2]]*$I$7</f>
        <v>161356.17644583501</v>
      </c>
      <c r="G35" s="16"/>
      <c r="K35" s="57">
        <f>(TableIncome[[#This Row],[SalaryP1]]-TableIncome[[#This Row],[InvestmentP1]])/12</f>
        <v>30947.992677292266</v>
      </c>
      <c r="L35" s="57">
        <f>(TableIncome[[#This Row],[SalaryP2]]-TableIncome[[#This Row],[InvestmentP2]])/12</f>
        <v>47673.415768087609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479916.46742373519</v>
      </c>
      <c r="D36" s="37">
        <f>(TableIncomeCalculations[[#This Row],[NetMonthlySalaryP2]]*12)</f>
        <v>739803.81083455496</v>
      </c>
      <c r="E36" s="36">
        <f>TableIncome[[#This Row],[SalaryP1]]*$I$7</f>
        <v>105581.62283322176</v>
      </c>
      <c r="F36" s="36">
        <f>TableIncome[[#This Row],[SalaryP2]]*$I$7</f>
        <v>162756.83838360212</v>
      </c>
      <c r="G36" s="16"/>
      <c r="K36" s="57">
        <f>(TableIncome[[#This Row],[SalaryP1]]-TableIncome[[#This Row],[InvestmentP1]])/12</f>
        <v>31194.570382542788</v>
      </c>
      <c r="L36" s="57">
        <f>(TableIncome[[#This Row],[SalaryP2]]-TableIncome[[#This Row],[InvestmentP2]])/12</f>
        <v>48087.247704246074</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483747.90561301261</v>
      </c>
      <c r="D37" s="37">
        <f>(TableIncomeCalculations[[#This Row],[NetMonthlySalaryP2]]*12)</f>
        <v>746234.12245794083</v>
      </c>
      <c r="E37" s="36">
        <f>TableIncome[[#This Row],[SalaryP1]]*$I$7</f>
        <v>106424.53923486279</v>
      </c>
      <c r="F37" s="36">
        <f>TableIncome[[#This Row],[SalaryP2]]*$I$7</f>
        <v>164171.506940747</v>
      </c>
      <c r="G37" s="16"/>
      <c r="K37" s="57">
        <f>(TableIncome[[#This Row],[SalaryP1]]-TableIncome[[#This Row],[InvestmentP1]])/12</f>
        <v>31443.613864845818</v>
      </c>
      <c r="L37" s="57">
        <f>(TableIncome[[#This Row],[SalaryP2]]-TableIncome[[#This Row],[InvestmentP2]])/12</f>
        <v>48505.217959766152</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503096.6684688633</v>
      </c>
      <c r="D38" s="37">
        <f>(TableIncomeCalculations[[#This Row],[NetMonthlySalaryP2]]*12)</f>
        <v>0</v>
      </c>
      <c r="E38" s="36">
        <f>TableIncome[[#This Row],[SalaryP1]]*$I$7</f>
        <v>110681.26706314993</v>
      </c>
      <c r="F38" s="36">
        <f>TableIncome[[#This Row],[SalaryP2]]*$I$7</f>
        <v>0</v>
      </c>
      <c r="G38" s="16"/>
      <c r="K38" s="57">
        <f>(TableIncome[[#This Row],[SalaryP1]]-TableIncome[[#This Row],[InvestmentP1]])/12</f>
        <v>32701.283450476112</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507159.90866859187</v>
      </c>
      <c r="D39" s="37">
        <f>(TableIncomeCalculations[[#This Row],[NetMonthlySalaryP2]]*12)</f>
        <v>0</v>
      </c>
      <c r="E39" s="36">
        <f>TableIncome[[#This Row],[SalaryP1]]*$I$7</f>
        <v>111575.17990709022</v>
      </c>
      <c r="F39" s="36">
        <f>TableIncome[[#This Row],[SalaryP2]]*$I$7</f>
        <v>0</v>
      </c>
      <c r="G39" s="16"/>
      <c r="K39" s="57">
        <f>(TableIncome[[#This Row],[SalaryP1]]-TableIncome[[#This Row],[InvestmentP1]])/12</f>
        <v>32965.394063458472</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511263.78127031773</v>
      </c>
      <c r="D40" s="37">
        <f>(TableIncomeCalculations[[#This Row],[NetMonthlySalaryP2]]*12)</f>
        <v>0</v>
      </c>
      <c r="E40" s="36">
        <f>TableIncome[[#This Row],[SalaryP1]]*$I$7</f>
        <v>112478.03187946991</v>
      </c>
      <c r="F40" s="36">
        <f>TableIncome[[#This Row],[SalaryP2]]*$I$7</f>
        <v>0</v>
      </c>
      <c r="G40" s="16"/>
      <c r="K40" s="57">
        <f>(TableIncome[[#This Row],[SalaryP1]]-TableIncome[[#This Row],[InvestmentP1]])/12</f>
        <v>33232.145782570653</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515408.69259806094</v>
      </c>
      <c r="D41" s="37">
        <f>(TableIncomeCalculations[[#This Row],[NetMonthlySalaryP2]]*12)</f>
        <v>0</v>
      </c>
      <c r="E41" s="36">
        <f>TableIncome[[#This Row],[SalaryP1]]*$I$7</f>
        <v>113389.91237157342</v>
      </c>
      <c r="F41" s="36">
        <f>TableIncome[[#This Row],[SalaryP2]]*$I$7</f>
        <v>0</v>
      </c>
      <c r="G41" s="16"/>
      <c r="K41" s="57">
        <f>(TableIncome[[#This Row],[SalaryP1]]-TableIncome[[#This Row],[InvestmentP1]])/12</f>
        <v>33501.56501887396</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519595.05303908151</v>
      </c>
      <c r="D42" s="37">
        <f>(TableIncomeCalculations[[#This Row],[NetMonthlySalaryP2]]*12)</f>
        <v>0</v>
      </c>
      <c r="E42" s="36">
        <f>TableIncome[[#This Row],[SalaryP1]]*$I$7</f>
        <v>114310.91166859795</v>
      </c>
      <c r="F42" s="36">
        <f>TableIncome[[#This Row],[SalaryP2]]*$I$7</f>
        <v>0</v>
      </c>
      <c r="G42" s="16"/>
      <c r="K42" s="57">
        <f>(TableIncome[[#This Row],[SalaryP1]]-TableIncome[[#This Row],[InvestmentP1]])/12</f>
        <v>33773.678447540296</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523823.2770845124</v>
      </c>
      <c r="D43" s="37">
        <f>(TableIncomeCalculations[[#This Row],[NetMonthlySalaryP2]]*12)</f>
        <v>0</v>
      </c>
      <c r="E43" s="36">
        <f>TableIncome[[#This Row],[SalaryP1]]*$I$7</f>
        <v>115241.12095859274</v>
      </c>
      <c r="F43" s="36">
        <f>TableIncome[[#This Row],[SalaryP2]]*$I$7</f>
        <v>0</v>
      </c>
      <c r="G43" s="16"/>
      <c r="K43" s="57">
        <f>(TableIncome[[#This Row],[SalaryP1]]-TableIncome[[#This Row],[InvestmentP1]])/12</f>
        <v>34048.513010493305</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528093.78337039752</v>
      </c>
      <c r="D44" s="37">
        <f>(TableIncomeCalculations[[#This Row],[NetMonthlySalaryP2]]*12)</f>
        <v>0</v>
      </c>
      <c r="E44" s="36">
        <f>TableIncome[[#This Row],[SalaryP1]]*$I$7</f>
        <v>116180.63234148746</v>
      </c>
      <c r="F44" s="36">
        <f>TableIncome[[#This Row],[SalaryP2]]*$I$7</f>
        <v>0</v>
      </c>
      <c r="G44" s="16"/>
      <c r="K44" s="57">
        <f>(TableIncome[[#This Row],[SalaryP1]]-TableIncome[[#This Row],[InvestmentP1]])/12</f>
        <v>34326.095919075837</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532406.99471914151</v>
      </c>
      <c r="D45" s="37">
        <f>(TableIncomeCalculations[[#This Row],[NetMonthlySalaryP2]]*12)</f>
        <v>0</v>
      </c>
      <c r="E45" s="36">
        <f>TableIncome[[#This Row],[SalaryP1]]*$I$7</f>
        <v>117129.53883821114</v>
      </c>
      <c r="F45" s="36">
        <f>TableIncome[[#This Row],[SalaryP2]]*$I$7</f>
        <v>0</v>
      </c>
      <c r="G45" s="16"/>
      <c r="K45" s="57">
        <f>(TableIncome[[#This Row],[SalaryP1]]-TableIncome[[#This Row],[InvestmentP1]])/12</f>
        <v>34606.454656744194</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536763.33818137296</v>
      </c>
      <c r="D46" s="37">
        <f>(TableIncomeCalculations[[#This Row],[NetMonthlySalaryP2]]*12)</f>
        <v>0</v>
      </c>
      <c r="E46" s="36">
        <f>TableIncome[[#This Row],[SalaryP1]]*$I$7</f>
        <v>118087.93439990206</v>
      </c>
      <c r="F46" s="36">
        <f>TableIncome[[#This Row],[SalaryP2]]*$I$7</f>
        <v>0</v>
      </c>
      <c r="G46" s="16"/>
      <c r="K46" s="57">
        <f>(TableIncome[[#This Row],[SalaryP1]]-TableIncome[[#This Row],[InvestmentP1]])/12</f>
        <v>34889.616981789244</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541163.24507822655</v>
      </c>
      <c r="D47" s="37">
        <f>(TableIncomeCalculations[[#This Row],[NetMonthlySalaryP2]]*12)</f>
        <v>0</v>
      </c>
      <c r="E47" s="36">
        <f>TableIncome[[#This Row],[SalaryP1]]*$I$7</f>
        <v>119055.91391720985</v>
      </c>
      <c r="F47" s="36">
        <f>TableIncome[[#This Row],[SalaryP2]]*$I$7</f>
        <v>0</v>
      </c>
      <c r="G47" s="16"/>
      <c r="K47" s="57">
        <f>(TableIncome[[#This Row],[SalaryP1]]-TableIncome[[#This Row],[InvestmentP1]])/12</f>
        <v>35175.610930084724</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545607.15104404883</v>
      </c>
      <c r="D48" s="37">
        <f>(TableIncomeCalculations[[#This Row],[NetMonthlySalaryP2]]*12)</f>
        <v>0</v>
      </c>
      <c r="E48" s="36">
        <f>TableIncome[[#This Row],[SalaryP1]]*$I$7</f>
        <v>120033.57322969077</v>
      </c>
      <c r="F48" s="36">
        <f>TableIncome[[#This Row],[SalaryP2]]*$I$7</f>
        <v>0</v>
      </c>
      <c r="G48" s="16"/>
      <c r="K48" s="57">
        <f>(TableIncome[[#This Row],[SalaryP1]]-TableIncome[[#This Row],[InvestmentP1]])/12</f>
        <v>35464.464817863169</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550095.49606952933</v>
      </c>
      <c r="D49" s="37">
        <f>(TableIncomeCalculations[[#This Row],[NetMonthlySalaryP2]]*12)</f>
        <v>0</v>
      </c>
      <c r="E49" s="36">
        <f>TableIncome[[#This Row],[SalaryP1]]*$I$7</f>
        <v>121021.00913529647</v>
      </c>
      <c r="F49" s="36">
        <f>TableIncome[[#This Row],[SalaryP2]]*$I$7</f>
        <v>0</v>
      </c>
      <c r="K49" s="57">
        <f>(TableIncome[[#This Row],[SalaryP1]]-TableIncome[[#This Row],[InvestmentP1]])/12</f>
        <v>35756.207244519406</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554628.72454526462</v>
      </c>
      <c r="D50" s="37">
        <f>(TableIncomeCalculations[[#This Row],[NetMonthlySalaryP2]]*12)</f>
        <v>0</v>
      </c>
      <c r="E50" s="36">
        <f>TableIncome[[#This Row],[SalaryP1]]*$I$7</f>
        <v>122018.31939995823</v>
      </c>
      <c r="F50" s="36">
        <f>TableIncome[[#This Row],[SalaryP2]]*$I$7</f>
        <v>0</v>
      </c>
      <c r="K50" s="57">
        <f>(TableIncome[[#This Row],[SalaryP1]]-TableIncome[[#This Row],[InvestmentP1]])/12</f>
        <v>36050.867095442198</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559207.28530575731</v>
      </c>
      <c r="D51" s="37">
        <f>(TableIncomeCalculations[[#This Row],[NetMonthlySalaryP2]]*12)</f>
        <v>0</v>
      </c>
      <c r="E51" s="36">
        <f>TableIncome[[#This Row],[SalaryP1]]*$I$7</f>
        <v>123025.60276726662</v>
      </c>
      <c r="F51" s="36">
        <f>TableIncome[[#This Row],[SalaryP2]]*$I$7</f>
        <v>0</v>
      </c>
      <c r="K51" s="57">
        <f>(TableIncome[[#This Row],[SalaryP1]]-TableIncome[[#This Row],[InvestmentP1]])/12</f>
        <v>36348.473544874221</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563831.63167385489</v>
      </c>
      <c r="D52" s="37">
        <f>(TableIncomeCalculations[[#This Row],[NetMonthlySalaryP2]]*12)</f>
        <v>0</v>
      </c>
      <c r="E52" s="36">
        <f>TableIncome[[#This Row],[SalaryP1]]*$I$7</f>
        <v>124042.95896824809</v>
      </c>
      <c r="F52" s="36">
        <f>TableIncome[[#This Row],[SalaryP2]]*$I$7</f>
        <v>0</v>
      </c>
      <c r="K52" s="57">
        <f>(TableIncome[[#This Row],[SalaryP1]]-TableIncome[[#This Row],[InvestmentP1]])/12</f>
        <v>36649.056058800568</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11542485.609751757</v>
      </c>
    </row>
    <row r="17" spans="1:4" x14ac:dyDescent="0.2">
      <c r="A17" s="2" t="s">
        <v>184</v>
      </c>
      <c r="B17" s="28">
        <f>B16/25</f>
        <v>461699.42439007031</v>
      </c>
      <c r="C17" s="2" t="s">
        <v>182</v>
      </c>
    </row>
    <row r="18" spans="1:4" x14ac:dyDescent="0.2">
      <c r="A18" s="2" t="s">
        <v>183</v>
      </c>
      <c r="B18" s="30">
        <f>B17/12</f>
        <v>38474.952032505862</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
      <c r="A40" s="2" t="s">
        <v>250</v>
      </c>
      <c r="B40" s="26">
        <f>AT38</f>
        <v>9402684.2786489464</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14854176.445099022</v>
      </c>
    </row>
    <row r="17" spans="1:4" x14ac:dyDescent="0.2">
      <c r="A17" s="2" t="s">
        <v>184</v>
      </c>
      <c r="B17" s="28">
        <f>B16/25</f>
        <v>594167.05780396087</v>
      </c>
      <c r="C17" s="2" t="s">
        <v>182</v>
      </c>
    </row>
    <row r="18" spans="1:4" x14ac:dyDescent="0.2">
      <c r="A18" s="2" t="s">
        <v>183</v>
      </c>
      <c r="B18" s="30">
        <f>B17/12</f>
        <v>49513.921483663406</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0.02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
      <c r="BI18" s="2">
        <v>49929.433026865918</v>
      </c>
    </row>
    <row r="19" spans="4:61" x14ac:dyDescent="0.2">
      <c r="BI19" s="2">
        <v>50348.083483387927</v>
      </c>
    </row>
    <row r="20" spans="4:61" x14ac:dyDescent="0.2">
      <c r="D20" s="26"/>
      <c r="BI20" s="2">
        <v>52462.268288823987</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
      <c r="D32" s="2" t="s">
        <v>274</v>
      </c>
      <c r="E32" s="26">
        <f>Income!$L$37</f>
        <v>48505.217959766152</v>
      </c>
      <c r="F32" s="26">
        <f>Income!$L$37</f>
        <v>48505.217959766152</v>
      </c>
      <c r="G32" s="26">
        <f>Income!$L$37</f>
        <v>48505.217959766152</v>
      </c>
      <c r="H32" s="26">
        <f>Income!$L$37</f>
        <v>48505.217959766152</v>
      </c>
      <c r="I32" s="26">
        <f>Income!$L$37</f>
        <v>48505.217959766152</v>
      </c>
      <c r="J32" s="26">
        <f>Income!$L$37</f>
        <v>48505.217959766152</v>
      </c>
      <c r="K32" s="26">
        <f>Income!$L$37</f>
        <v>48505.217959766152</v>
      </c>
      <c r="L32" s="26">
        <f>Income!$L$37</f>
        <v>48505.217959766152</v>
      </c>
      <c r="M32" s="26">
        <f>Income!$L$37</f>
        <v>48505.217959766152</v>
      </c>
      <c r="N32" s="26">
        <f>Income!$L$37</f>
        <v>48505.217959766152</v>
      </c>
      <c r="O32" s="26">
        <f>Income!$L$37</f>
        <v>48505.217959766152</v>
      </c>
      <c r="P32" s="26">
        <f>Income!$L$37</f>
        <v>48505.217959766152</v>
      </c>
      <c r="Q32" s="26">
        <f>Income!$L$37</f>
        <v>48505.217959766152</v>
      </c>
      <c r="R32" s="26">
        <f>Income!$L$37</f>
        <v>48505.217959766152</v>
      </c>
      <c r="S32" s="26">
        <f>Income!$L$37</f>
        <v>48505.217959766152</v>
      </c>
      <c r="T32" s="26">
        <f>Income!$L$37</f>
        <v>48505.217959766152</v>
      </c>
      <c r="U32" s="26">
        <f>Income!$L$37</f>
        <v>48505.217959766152</v>
      </c>
      <c r="V32" s="26">
        <f>Income!$L$37</f>
        <v>48505.217959766152</v>
      </c>
      <c r="W32" s="26">
        <f>Income!$L$37</f>
        <v>48505.217959766152</v>
      </c>
      <c r="X32" s="26">
        <f>Income!$L$37</f>
        <v>48505.217959766152</v>
      </c>
      <c r="Y32" s="26">
        <f>Income!$L$37</f>
        <v>48505.217959766152</v>
      </c>
      <c r="Z32" s="26">
        <f>Income!$L$37</f>
        <v>48505.217959766152</v>
      </c>
      <c r="AA32" s="26">
        <f>Income!$L$37</f>
        <v>48505.217959766152</v>
      </c>
      <c r="AB32" s="26">
        <f>Income!$L$37</f>
        <v>48505.217959766152</v>
      </c>
      <c r="AC32" s="26">
        <f>Income!$L$37</f>
        <v>48505.217959766152</v>
      </c>
      <c r="BI32" s="2">
        <v>60074.363289355279</v>
      </c>
    </row>
    <row r="33" spans="4:61" x14ac:dyDescent="0.2">
      <c r="D33" s="2" t="s">
        <v>204</v>
      </c>
      <c r="E33" s="26">
        <f>E32-E31</f>
        <v>9813.1250590665804</v>
      </c>
      <c r="F33" s="26">
        <f t="shared" ref="F33:AC33" si="33">F32-F31</f>
        <v>9813.1250590665804</v>
      </c>
      <c r="G33" s="26">
        <f t="shared" si="33"/>
        <v>9813.1250590665804</v>
      </c>
      <c r="H33" s="26">
        <f t="shared" si="33"/>
        <v>9813.1250590665804</v>
      </c>
      <c r="I33" s="26">
        <f t="shared" si="33"/>
        <v>9813.1250590665804</v>
      </c>
      <c r="J33" s="26">
        <f t="shared" si="33"/>
        <v>9813.1250590665804</v>
      </c>
      <c r="K33" s="26">
        <f t="shared" si="33"/>
        <v>9813.1250590665804</v>
      </c>
      <c r="L33" s="26">
        <f t="shared" si="33"/>
        <v>9813.1250590665804</v>
      </c>
      <c r="M33" s="26">
        <f t="shared" si="33"/>
        <v>9813.1250590665804</v>
      </c>
      <c r="N33" s="26">
        <f t="shared" si="33"/>
        <v>9813.1250590665804</v>
      </c>
      <c r="O33" s="26">
        <f t="shared" si="33"/>
        <v>9813.1250590665804</v>
      </c>
      <c r="P33" s="26">
        <f t="shared" si="33"/>
        <v>9813.1250590665804</v>
      </c>
      <c r="Q33" s="26">
        <f t="shared" si="33"/>
        <v>9813.1250590665804</v>
      </c>
      <c r="R33" s="26">
        <f t="shared" si="33"/>
        <v>9813.1250590665804</v>
      </c>
      <c r="S33" s="26">
        <f t="shared" si="33"/>
        <v>9813.1250590665804</v>
      </c>
      <c r="T33" s="26">
        <f t="shared" si="33"/>
        <v>9813.1250590665804</v>
      </c>
      <c r="U33" s="26">
        <f t="shared" si="33"/>
        <v>9813.1250590665804</v>
      </c>
      <c r="V33" s="26">
        <f t="shared" si="33"/>
        <v>9813.1250590665804</v>
      </c>
      <c r="W33" s="26">
        <f t="shared" si="33"/>
        <v>9813.1250590665804</v>
      </c>
      <c r="X33" s="26">
        <f t="shared" si="33"/>
        <v>9813.1250590665804</v>
      </c>
      <c r="Y33" s="26">
        <f t="shared" si="33"/>
        <v>9813.1250590665804</v>
      </c>
      <c r="Z33" s="26">
        <f t="shared" si="33"/>
        <v>9813.1250590665804</v>
      </c>
      <c r="AA33" s="26">
        <f t="shared" si="33"/>
        <v>9813.1250590665804</v>
      </c>
      <c r="AB33" s="26">
        <f t="shared" si="33"/>
        <v>9813.1250590665804</v>
      </c>
      <c r="AC33" s="26">
        <f t="shared" si="33"/>
        <v>9813.1250590665804</v>
      </c>
      <c r="BI33" s="2">
        <v>60594.463048502163</v>
      </c>
    </row>
    <row r="34" spans="4:61" x14ac:dyDescent="0.2">
      <c r="D34" s="2" t="s">
        <v>264</v>
      </c>
      <c r="E34" s="26">
        <f>E33*(1+$B$10)</f>
        <v>12462.668825014558</v>
      </c>
      <c r="F34" s="26">
        <f t="shared" ref="F34:AC34" si="34">F33*(1+$B$10)</f>
        <v>12462.668825014558</v>
      </c>
      <c r="G34" s="26">
        <f t="shared" si="34"/>
        <v>12462.668825014558</v>
      </c>
      <c r="H34" s="26">
        <f t="shared" si="34"/>
        <v>12462.668825014558</v>
      </c>
      <c r="I34" s="26">
        <f t="shared" si="34"/>
        <v>12462.668825014558</v>
      </c>
      <c r="J34" s="26">
        <f t="shared" si="34"/>
        <v>12462.668825014558</v>
      </c>
      <c r="K34" s="26">
        <f t="shared" si="34"/>
        <v>12462.668825014558</v>
      </c>
      <c r="L34" s="26">
        <f t="shared" si="34"/>
        <v>12462.668825014558</v>
      </c>
      <c r="M34" s="26">
        <f t="shared" si="34"/>
        <v>12462.668825014558</v>
      </c>
      <c r="N34" s="26">
        <f t="shared" si="34"/>
        <v>12462.668825014558</v>
      </c>
      <c r="O34" s="26">
        <f t="shared" si="34"/>
        <v>12462.668825014558</v>
      </c>
      <c r="P34" s="26">
        <f t="shared" si="34"/>
        <v>12462.668825014558</v>
      </c>
      <c r="Q34" s="26">
        <f t="shared" si="34"/>
        <v>12462.668825014558</v>
      </c>
      <c r="R34" s="26">
        <f t="shared" si="34"/>
        <v>12462.668825014558</v>
      </c>
      <c r="S34" s="26">
        <f t="shared" si="34"/>
        <v>12462.668825014558</v>
      </c>
      <c r="T34" s="26">
        <f t="shared" si="34"/>
        <v>12462.668825014558</v>
      </c>
      <c r="U34" s="26">
        <f t="shared" si="34"/>
        <v>12462.668825014558</v>
      </c>
      <c r="V34" s="26">
        <f t="shared" si="34"/>
        <v>12462.668825014558</v>
      </c>
      <c r="W34" s="26">
        <f t="shared" si="34"/>
        <v>12462.668825014558</v>
      </c>
      <c r="X34" s="26">
        <f t="shared" si="34"/>
        <v>12462.668825014558</v>
      </c>
      <c r="Y34" s="26">
        <f t="shared" si="34"/>
        <v>12462.668825014558</v>
      </c>
      <c r="Z34" s="26">
        <f t="shared" si="34"/>
        <v>12462.668825014558</v>
      </c>
      <c r="AA34" s="26">
        <f t="shared" si="34"/>
        <v>12462.668825014558</v>
      </c>
      <c r="AB34" s="26">
        <f t="shared" si="34"/>
        <v>12462.668825014558</v>
      </c>
      <c r="AC34" s="26">
        <f t="shared" si="34"/>
        <v>12462.668825014558</v>
      </c>
      <c r="BI34" s="2">
        <v>61119.763805240531</v>
      </c>
    </row>
    <row r="35" spans="4:61" x14ac:dyDescent="0.2">
      <c r="D35" s="2" t="s">
        <v>265</v>
      </c>
      <c r="E35" s="26">
        <f>E34*12</f>
        <v>149552.02590017469</v>
      </c>
      <c r="F35" s="26">
        <f t="shared" ref="F35:AC35" si="35">F34*12</f>
        <v>149552.02590017469</v>
      </c>
      <c r="G35" s="26">
        <f t="shared" si="35"/>
        <v>149552.02590017469</v>
      </c>
      <c r="H35" s="26">
        <f t="shared" si="35"/>
        <v>149552.02590017469</v>
      </c>
      <c r="I35" s="26">
        <f t="shared" si="35"/>
        <v>149552.02590017469</v>
      </c>
      <c r="J35" s="26">
        <f t="shared" si="35"/>
        <v>149552.02590017469</v>
      </c>
      <c r="K35" s="26">
        <f t="shared" si="35"/>
        <v>149552.02590017469</v>
      </c>
      <c r="L35" s="26">
        <f t="shared" si="35"/>
        <v>149552.02590017469</v>
      </c>
      <c r="M35" s="26">
        <f t="shared" si="35"/>
        <v>149552.02590017469</v>
      </c>
      <c r="N35" s="26">
        <f t="shared" si="35"/>
        <v>149552.02590017469</v>
      </c>
      <c r="O35" s="26">
        <f t="shared" si="35"/>
        <v>149552.02590017469</v>
      </c>
      <c r="P35" s="26">
        <f t="shared" si="35"/>
        <v>149552.02590017469</v>
      </c>
      <c r="Q35" s="26">
        <f t="shared" si="35"/>
        <v>149552.02590017469</v>
      </c>
      <c r="R35" s="26">
        <f t="shared" si="35"/>
        <v>149552.02590017469</v>
      </c>
      <c r="S35" s="26">
        <f t="shared" si="35"/>
        <v>149552.02590017469</v>
      </c>
      <c r="T35" s="26">
        <f t="shared" si="35"/>
        <v>149552.02590017469</v>
      </c>
      <c r="U35" s="26">
        <f t="shared" si="35"/>
        <v>149552.02590017469</v>
      </c>
      <c r="V35" s="26">
        <f t="shared" si="35"/>
        <v>149552.02590017469</v>
      </c>
      <c r="W35" s="26">
        <f t="shared" si="35"/>
        <v>149552.02590017469</v>
      </c>
      <c r="X35" s="26">
        <f t="shared" si="35"/>
        <v>149552.02590017469</v>
      </c>
      <c r="Y35" s="26">
        <f t="shared" si="35"/>
        <v>149552.02590017469</v>
      </c>
      <c r="Z35" s="26">
        <f t="shared" si="35"/>
        <v>149552.02590017469</v>
      </c>
      <c r="AA35" s="26">
        <f t="shared" si="35"/>
        <v>149552.02590017469</v>
      </c>
      <c r="AB35" s="26">
        <f t="shared" si="35"/>
        <v>149552.02590017469</v>
      </c>
      <c r="AC35" s="26">
        <f t="shared" si="35"/>
        <v>149552.02590017469</v>
      </c>
      <c r="BI35" s="2">
        <v>61650.317569546249</v>
      </c>
    </row>
    <row r="36" spans="4:61" x14ac:dyDescent="0.2">
      <c r="BI36" s="2">
        <v>62186.176871495067</v>
      </c>
    </row>
    <row r="37" spans="4:61" x14ac:dyDescent="0.2">
      <c r="D37" s="2" t="s">
        <v>205</v>
      </c>
      <c r="E37" s="27">
        <f>SUM(E35:AC35)</f>
        <v>3738800.6475043683</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
      <c r="BI18" s="2">
        <v>32417.501238162906</v>
      </c>
    </row>
    <row r="19" spans="4:61" x14ac:dyDescent="0.2">
      <c r="BI19" s="2">
        <v>32744.918996797875</v>
      </c>
    </row>
    <row r="20" spans="4:61" x14ac:dyDescent="0.2">
      <c r="D20" s="26"/>
      <c r="BI20" s="2">
        <v>34398.378677904424</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
      <c r="D32" s="2" t="s">
        <v>274</v>
      </c>
      <c r="E32" s="26">
        <f>Income!$K$52</f>
        <v>36649.056058800568</v>
      </c>
      <c r="F32" s="26">
        <f>Income!$K$52</f>
        <v>36649.056058800568</v>
      </c>
      <c r="G32" s="26">
        <f>Income!$K$52</f>
        <v>36649.056058800568</v>
      </c>
      <c r="H32" s="26">
        <f>Income!$K$52</f>
        <v>36649.056058800568</v>
      </c>
      <c r="I32" s="26">
        <f>Income!$K$52</f>
        <v>36649.056058800568</v>
      </c>
      <c r="J32" s="26">
        <f>Income!$K$52</f>
        <v>36649.056058800568</v>
      </c>
      <c r="K32" s="26">
        <f>Income!$K$52</f>
        <v>36649.056058800568</v>
      </c>
      <c r="L32" s="26">
        <f>Income!$K$52</f>
        <v>36649.056058800568</v>
      </c>
      <c r="M32" s="26">
        <f>Income!$K$52</f>
        <v>36649.056058800568</v>
      </c>
      <c r="N32" s="26">
        <f>Income!$K$52</f>
        <v>36649.056058800568</v>
      </c>
      <c r="O32" s="26">
        <f>Income!$K$52</f>
        <v>36649.056058800568</v>
      </c>
      <c r="P32" s="26">
        <f>Income!$K$52</f>
        <v>36649.056058800568</v>
      </c>
      <c r="Q32" s="26">
        <f>Income!$K$52</f>
        <v>36649.056058800568</v>
      </c>
      <c r="R32" s="26">
        <f>Income!$K$52</f>
        <v>36649.056058800568</v>
      </c>
      <c r="S32" s="26">
        <f>Income!$K$52</f>
        <v>36649.056058800568</v>
      </c>
      <c r="T32" s="26">
        <f>Income!$K$52</f>
        <v>36649.056058800568</v>
      </c>
      <c r="U32" s="26">
        <f>Income!$K$52</f>
        <v>36649.056058800568</v>
      </c>
      <c r="V32" s="26">
        <f>Income!$K$52</f>
        <v>36649.056058800568</v>
      </c>
      <c r="W32" s="26">
        <f>Income!$K$52</f>
        <v>36649.056058800568</v>
      </c>
      <c r="X32" s="26">
        <f>Income!$K$52</f>
        <v>36649.056058800568</v>
      </c>
      <c r="Y32" s="26">
        <f>Income!$K$52</f>
        <v>36649.056058800568</v>
      </c>
      <c r="Z32" s="26">
        <f>Income!$K$52</f>
        <v>36649.056058800568</v>
      </c>
      <c r="AA32" s="26">
        <f>Income!$K$52</f>
        <v>36649.056058800568</v>
      </c>
      <c r="AB32" s="26">
        <f>Income!$K$52</f>
        <v>36649.056058800568</v>
      </c>
      <c r="AC32" s="26">
        <f>Income!$K$52</f>
        <v>36649.056058800568</v>
      </c>
      <c r="BI32" s="2">
        <v>39054.022032219429</v>
      </c>
    </row>
    <row r="33" spans="4:61" x14ac:dyDescent="0.2">
      <c r="D33" s="2" t="s">
        <v>204</v>
      </c>
      <c r="E33" s="26">
        <f>E32-E31</f>
        <v>3953.3726121556538</v>
      </c>
      <c r="F33" s="26">
        <f t="shared" ref="F33:AC33" si="33">F32-F31</f>
        <v>3953.3726121556538</v>
      </c>
      <c r="G33" s="26">
        <f t="shared" si="33"/>
        <v>3953.3726121556538</v>
      </c>
      <c r="H33" s="26">
        <f t="shared" si="33"/>
        <v>3953.3726121556538</v>
      </c>
      <c r="I33" s="26">
        <f t="shared" si="33"/>
        <v>3953.3726121556538</v>
      </c>
      <c r="J33" s="26">
        <f t="shared" si="33"/>
        <v>3953.3726121556538</v>
      </c>
      <c r="K33" s="26">
        <f t="shared" si="33"/>
        <v>3953.3726121556538</v>
      </c>
      <c r="L33" s="26">
        <f t="shared" si="33"/>
        <v>3953.3726121556538</v>
      </c>
      <c r="M33" s="26">
        <f t="shared" si="33"/>
        <v>3953.3726121556538</v>
      </c>
      <c r="N33" s="26">
        <f t="shared" si="33"/>
        <v>3953.3726121556538</v>
      </c>
      <c r="O33" s="26">
        <f t="shared" si="33"/>
        <v>3953.3726121556538</v>
      </c>
      <c r="P33" s="26">
        <f t="shared" si="33"/>
        <v>3953.3726121556538</v>
      </c>
      <c r="Q33" s="26">
        <f t="shared" si="33"/>
        <v>3953.3726121556538</v>
      </c>
      <c r="R33" s="26">
        <f t="shared" si="33"/>
        <v>3953.3726121556538</v>
      </c>
      <c r="S33" s="26">
        <f t="shared" si="33"/>
        <v>3953.3726121556538</v>
      </c>
      <c r="T33" s="26">
        <f t="shared" si="33"/>
        <v>3953.3726121556538</v>
      </c>
      <c r="U33" s="26">
        <f t="shared" si="33"/>
        <v>3953.3726121556538</v>
      </c>
      <c r="V33" s="26">
        <f t="shared" si="33"/>
        <v>3953.3726121556538</v>
      </c>
      <c r="W33" s="26">
        <f t="shared" si="33"/>
        <v>3953.3726121556538</v>
      </c>
      <c r="X33" s="26">
        <f t="shared" si="33"/>
        <v>3953.3726121556538</v>
      </c>
      <c r="Y33" s="26">
        <f t="shared" si="33"/>
        <v>3953.3726121556538</v>
      </c>
      <c r="Z33" s="26">
        <f t="shared" si="33"/>
        <v>3953.3726121556538</v>
      </c>
      <c r="AA33" s="26">
        <f t="shared" si="33"/>
        <v>3953.3726121556538</v>
      </c>
      <c r="AB33" s="26">
        <f t="shared" si="33"/>
        <v>3953.3726121556538</v>
      </c>
      <c r="AC33" s="26">
        <f t="shared" si="33"/>
        <v>3953.3726121556538</v>
      </c>
      <c r="BI33" s="2">
        <v>39363.918378794959</v>
      </c>
    </row>
    <row r="34" spans="4:61" x14ac:dyDescent="0.2">
      <c r="D34" s="2" t="s">
        <v>264</v>
      </c>
      <c r="E34" s="26">
        <f>E33*(1+$B$10)</f>
        <v>5020.7832174376799</v>
      </c>
      <c r="F34" s="26">
        <f t="shared" ref="F34:AC34" si="34">F33*(1+$B$10)</f>
        <v>5020.7832174376799</v>
      </c>
      <c r="G34" s="26">
        <f t="shared" si="34"/>
        <v>5020.7832174376799</v>
      </c>
      <c r="H34" s="26">
        <f t="shared" si="34"/>
        <v>5020.7832174376799</v>
      </c>
      <c r="I34" s="26">
        <f t="shared" si="34"/>
        <v>5020.7832174376799</v>
      </c>
      <c r="J34" s="26">
        <f t="shared" si="34"/>
        <v>5020.7832174376799</v>
      </c>
      <c r="K34" s="26">
        <f t="shared" si="34"/>
        <v>5020.7832174376799</v>
      </c>
      <c r="L34" s="26">
        <f t="shared" si="34"/>
        <v>5020.7832174376799</v>
      </c>
      <c r="M34" s="26">
        <f t="shared" si="34"/>
        <v>5020.7832174376799</v>
      </c>
      <c r="N34" s="26">
        <f t="shared" si="34"/>
        <v>5020.7832174376799</v>
      </c>
      <c r="O34" s="26">
        <f t="shared" si="34"/>
        <v>5020.7832174376799</v>
      </c>
      <c r="P34" s="26">
        <f t="shared" si="34"/>
        <v>5020.7832174376799</v>
      </c>
      <c r="Q34" s="26">
        <f t="shared" si="34"/>
        <v>5020.7832174376799</v>
      </c>
      <c r="R34" s="26">
        <f t="shared" si="34"/>
        <v>5020.7832174376799</v>
      </c>
      <c r="S34" s="26">
        <f t="shared" si="34"/>
        <v>5020.7832174376799</v>
      </c>
      <c r="T34" s="26">
        <f t="shared" si="34"/>
        <v>5020.7832174376799</v>
      </c>
      <c r="U34" s="26">
        <f t="shared" si="34"/>
        <v>5020.7832174376799</v>
      </c>
      <c r="V34" s="26">
        <f t="shared" si="34"/>
        <v>5020.7832174376799</v>
      </c>
      <c r="W34" s="26">
        <f t="shared" si="34"/>
        <v>5020.7832174376799</v>
      </c>
      <c r="X34" s="26">
        <f t="shared" si="34"/>
        <v>5020.7832174376799</v>
      </c>
      <c r="Y34" s="26">
        <f t="shared" si="34"/>
        <v>5020.7832174376799</v>
      </c>
      <c r="Z34" s="26">
        <f t="shared" si="34"/>
        <v>5020.7832174376799</v>
      </c>
      <c r="AA34" s="26">
        <f t="shared" si="34"/>
        <v>5020.7832174376799</v>
      </c>
      <c r="AB34" s="26">
        <f t="shared" si="34"/>
        <v>5020.7832174376799</v>
      </c>
      <c r="AC34" s="26">
        <f t="shared" si="34"/>
        <v>5020.7832174376799</v>
      </c>
      <c r="BI34" s="2">
        <v>39676.913688836241</v>
      </c>
    </row>
    <row r="35" spans="4:61" x14ac:dyDescent="0.2">
      <c r="D35" s="2" t="s">
        <v>265</v>
      </c>
      <c r="E35" s="26">
        <f>E34*12</f>
        <v>60249.398609252159</v>
      </c>
      <c r="F35" s="26">
        <f t="shared" ref="F35:AC35" si="35">F34*12</f>
        <v>60249.398609252159</v>
      </c>
      <c r="G35" s="26">
        <f t="shared" si="35"/>
        <v>60249.398609252159</v>
      </c>
      <c r="H35" s="26">
        <f t="shared" si="35"/>
        <v>60249.398609252159</v>
      </c>
      <c r="I35" s="26">
        <f t="shared" si="35"/>
        <v>60249.398609252159</v>
      </c>
      <c r="J35" s="26">
        <f t="shared" si="35"/>
        <v>60249.398609252159</v>
      </c>
      <c r="K35" s="26">
        <f t="shared" si="35"/>
        <v>60249.398609252159</v>
      </c>
      <c r="L35" s="26">
        <f t="shared" si="35"/>
        <v>60249.398609252159</v>
      </c>
      <c r="M35" s="26">
        <f t="shared" si="35"/>
        <v>60249.398609252159</v>
      </c>
      <c r="N35" s="26">
        <f t="shared" si="35"/>
        <v>60249.398609252159</v>
      </c>
      <c r="O35" s="26">
        <f t="shared" si="35"/>
        <v>60249.398609252159</v>
      </c>
      <c r="P35" s="26">
        <f t="shared" si="35"/>
        <v>60249.398609252159</v>
      </c>
      <c r="Q35" s="26">
        <f t="shared" si="35"/>
        <v>60249.398609252159</v>
      </c>
      <c r="R35" s="26">
        <f t="shared" si="35"/>
        <v>60249.398609252159</v>
      </c>
      <c r="S35" s="26">
        <f t="shared" si="35"/>
        <v>60249.398609252159</v>
      </c>
      <c r="T35" s="26">
        <f t="shared" si="35"/>
        <v>60249.398609252159</v>
      </c>
      <c r="U35" s="26">
        <f t="shared" si="35"/>
        <v>60249.398609252159</v>
      </c>
      <c r="V35" s="26">
        <f t="shared" si="35"/>
        <v>60249.398609252159</v>
      </c>
      <c r="W35" s="26">
        <f t="shared" si="35"/>
        <v>60249.398609252159</v>
      </c>
      <c r="X35" s="26">
        <f t="shared" si="35"/>
        <v>60249.398609252159</v>
      </c>
      <c r="Y35" s="26">
        <f t="shared" si="35"/>
        <v>60249.398609252159</v>
      </c>
      <c r="Z35" s="26">
        <f t="shared" si="35"/>
        <v>60249.398609252159</v>
      </c>
      <c r="AA35" s="26">
        <f t="shared" si="35"/>
        <v>60249.398609252159</v>
      </c>
      <c r="AB35" s="26">
        <f t="shared" si="35"/>
        <v>60249.398609252159</v>
      </c>
      <c r="AC35" s="26">
        <f t="shared" si="35"/>
        <v>60249.398609252159</v>
      </c>
      <c r="BI35" s="2">
        <v>39993.038951977935</v>
      </c>
    </row>
    <row r="36" spans="4:61" x14ac:dyDescent="0.2">
      <c r="BI36" s="2">
        <v>40312.325467751049</v>
      </c>
    </row>
    <row r="37" spans="4:61" x14ac:dyDescent="0.2">
      <c r="D37" s="2" t="s">
        <v>205</v>
      </c>
      <c r="E37" s="27">
        <f>SUM(E35:AC35)</f>
        <v>1506234.9652313043</v>
      </c>
      <c r="BI37" s="2">
        <v>41924.722372405275</v>
      </c>
    </row>
    <row r="38" spans="4:61" x14ac:dyDescent="0.2">
      <c r="E38" s="26"/>
      <c r="BI38" s="2">
        <v>42263.325722382659</v>
      </c>
    </row>
    <row r="39" spans="4:61" x14ac:dyDescent="0.2">
      <c r="E39" s="57">
        <f>1500000</f>
        <v>1500000</v>
      </c>
      <c r="F39" s="57">
        <f>E39/25</f>
        <v>60000</v>
      </c>
      <c r="BI39" s="2">
        <v>42605.315105859809</v>
      </c>
    </row>
    <row r="40" spans="4:61" x14ac:dyDescent="0.2">
      <c r="BI40" s="2">
        <v>42950.724383171742</v>
      </c>
    </row>
    <row r="41" spans="4:61" x14ac:dyDescent="0.2">
      <c r="BI41" s="2">
        <v>43299.58775325679</v>
      </c>
    </row>
    <row r="42" spans="4:61" x14ac:dyDescent="0.2">
      <c r="BI42" s="2">
        <v>43651.939757042703</v>
      </c>
    </row>
    <row r="43" spans="4:61" x14ac:dyDescent="0.2">
      <c r="E43" s="28"/>
      <c r="BI43" s="2">
        <v>44007.81528086646</v>
      </c>
    </row>
    <row r="44" spans="4:61" x14ac:dyDescent="0.2">
      <c r="E44" s="28"/>
      <c r="BI44" s="2">
        <v>44367.249559928459</v>
      </c>
    </row>
    <row r="45" spans="4:61" x14ac:dyDescent="0.2">
      <c r="E45" s="26"/>
      <c r="BI45" s="2">
        <v>44730.278181781083</v>
      </c>
    </row>
    <row r="46" spans="4:61" x14ac:dyDescent="0.2">
      <c r="E46" s="26"/>
      <c r="BI46" s="2">
        <v>45096.93708985221</v>
      </c>
    </row>
    <row r="47" spans="4:61" x14ac:dyDescent="0.2">
      <c r="E47" s="26"/>
      <c r="BI47" s="2">
        <v>45467.262587004072</v>
      </c>
    </row>
    <row r="48" spans="4:61" x14ac:dyDescent="0.2">
      <c r="E48" s="26"/>
      <c r="BI48" s="2">
        <v>45841.291339127441</v>
      </c>
    </row>
    <row r="49" spans="5:61" x14ac:dyDescent="0.2">
      <c r="E49" s="26"/>
      <c r="BI49" s="2">
        <v>46219.060378772054</v>
      </c>
    </row>
    <row r="50" spans="5:61" x14ac:dyDescent="0.2">
      <c r="E50" s="26"/>
      <c r="BI50" s="2">
        <v>46600.607108813107</v>
      </c>
    </row>
    <row r="51" spans="5:61" x14ac:dyDescent="0.2">
      <c r="E51" s="26"/>
      <c r="BI51" s="2">
        <v>46985.969306154577</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Y</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Y</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Y</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Y</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Y</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Y</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1506234.9652313043</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f>'Net Salary P2'!E37</f>
        <v>3738800.6475043683</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62253.086140649415</v>
      </c>
      <c r="D2" s="67">
        <v>62884.177852164721</v>
      </c>
      <c r="E2" s="67">
        <v>66071.190995316938</v>
      </c>
      <c r="F2" s="67">
        <v>66740.463755378922</v>
      </c>
      <c r="G2" s="67">
        <v>67416.429243041479</v>
      </c>
      <c r="H2" s="67">
        <v>68099.15438558071</v>
      </c>
      <c r="I2" s="67">
        <v>71546.916355403766</v>
      </c>
      <c r="J2" s="67">
        <v>72270.946369066602</v>
      </c>
      <c r="K2" s="67">
        <v>73002.21668286607</v>
      </c>
      <c r="L2" s="67">
        <v>73740.799699803538</v>
      </c>
      <c r="M2" s="67">
        <v>77470.643935337692</v>
      </c>
      <c r="N2" s="67">
        <v>78253.9112247999</v>
      </c>
      <c r="O2" s="67">
        <v>79045.011187156691</v>
      </c>
      <c r="P2" s="67">
        <v>83040.065997058526</v>
      </c>
      <c r="Q2" s="67">
        <v>83879.027507137915</v>
      </c>
      <c r="R2" s="67">
        <v>84726.378632318112</v>
      </c>
      <c r="S2" s="67">
        <v>85582.203268750076</v>
      </c>
      <c r="T2" s="67">
        <v>86446.586151546406</v>
      </c>
      <c r="U2" s="67">
        <v>90811.719709667683</v>
      </c>
      <c r="V2" s="67">
        <v>91728.397756873193</v>
      </c>
      <c r="W2" s="67">
        <v>92532.41196432116</v>
      </c>
      <c r="X2" s="67">
        <v>93244.836257273157</v>
      </c>
      <c r="Y2" s="67">
        <v>96842.578936680831</v>
      </c>
      <c r="Z2" s="67">
        <v>97598.104899356447</v>
      </c>
      <c r="AA2" s="67">
        <v>98361.1861216588</v>
      </c>
      <c r="AB2" s="67">
        <v>99131.898156184194</v>
      </c>
      <c r="AC2" s="67">
        <v>99910.317311054852</v>
      </c>
      <c r="AD2" s="67">
        <v>100696.52065747419</v>
      </c>
      <c r="AE2" s="67">
        <v>101490.58603735773</v>
      </c>
      <c r="AF2" s="67">
        <v>102292.59207104011</v>
      </c>
      <c r="AG2" s="67">
        <v>103102.61816505931</v>
      </c>
      <c r="AH2" s="67">
        <v>103920.74452001871</v>
      </c>
      <c r="AI2" s="67">
        <v>104747.0521385277</v>
      </c>
      <c r="AJ2" s="67">
        <v>105581.62283322176</v>
      </c>
      <c r="AK2" s="67">
        <v>106424.53923486279</v>
      </c>
      <c r="AL2" s="67">
        <v>110681.26706314993</v>
      </c>
      <c r="AM2" s="67">
        <v>111575.17990709022</v>
      </c>
      <c r="AN2" s="67">
        <v>112478.03187946991</v>
      </c>
      <c r="AO2" s="67">
        <v>113389.91237157342</v>
      </c>
      <c r="AP2" s="67">
        <v>114310.91166859795</v>
      </c>
      <c r="AQ2" s="67">
        <v>115241.12095859274</v>
      </c>
      <c r="AR2" s="67">
        <v>116180.63234148746</v>
      </c>
      <c r="AS2" s="67">
        <v>117129.53883821114</v>
      </c>
      <c r="AT2" s="67">
        <v>118087.93439990206</v>
      </c>
      <c r="AU2" s="67">
        <v>119055.91391720985</v>
      </c>
      <c r="AV2" s="67">
        <v>120033.57322969077</v>
      </c>
      <c r="AW2" s="67">
        <v>121021.00913529647</v>
      </c>
      <c r="AX2" s="67">
        <v>122018.31939995823</v>
      </c>
      <c r="AY2" s="67">
        <v>123025.60276726662</v>
      </c>
      <c r="AZ2" s="67">
        <v>124042.95896824809</v>
      </c>
      <c r="BA2">
        <v>0</v>
      </c>
    </row>
    <row r="3" spans="1:53" x14ac:dyDescent="0.2">
      <c r="A3" s="67" t="s">
        <v>74</v>
      </c>
      <c r="B3" s="69">
        <v>200000</v>
      </c>
      <c r="C3" s="67" cm="1">
        <f t="array" ref="C3:BA3">TRANSPOSE(TableIncome[InvestmentP2])</f>
        <v>101984.08864389319</v>
      </c>
      <c r="D3" s="67">
        <v>102791.02970364095</v>
      </c>
      <c r="E3" s="67">
        <v>106866.08205536699</v>
      </c>
      <c r="F3" s="67">
        <v>107721.84304922946</v>
      </c>
      <c r="G3" s="67">
        <v>108586.16165303053</v>
      </c>
      <c r="H3" s="67">
        <v>109459.12344286963</v>
      </c>
      <c r="I3" s="67">
        <v>113867.58048155712</v>
      </c>
      <c r="J3" s="67">
        <v>114793.35645968148</v>
      </c>
      <c r="K3" s="67">
        <v>115728.3901975871</v>
      </c>
      <c r="L3" s="67">
        <v>116672.77427287177</v>
      </c>
      <c r="M3" s="67">
        <v>121441.91385305938</v>
      </c>
      <c r="N3" s="67">
        <v>122443.43316489877</v>
      </c>
      <c r="O3" s="67">
        <v>123454.96766985656</v>
      </c>
      <c r="P3" s="67">
        <v>128563.2169198934</v>
      </c>
      <c r="Q3" s="67">
        <v>129635.94926240113</v>
      </c>
      <c r="R3" s="67">
        <v>130719.40892833393</v>
      </c>
      <c r="S3" s="67">
        <v>131813.70319092605</v>
      </c>
      <c r="T3" s="67">
        <v>132918.94039614414</v>
      </c>
      <c r="U3" s="67">
        <v>138500.38828249535</v>
      </c>
      <c r="V3" s="67">
        <v>139672.49233862909</v>
      </c>
      <c r="W3" s="67">
        <v>140856.31743532422</v>
      </c>
      <c r="X3" s="67">
        <v>142051.98078298627</v>
      </c>
      <c r="Y3" s="67">
        <v>148090.08068867956</v>
      </c>
      <c r="Z3" s="67">
        <v>149358.08166887515</v>
      </c>
      <c r="AA3" s="67">
        <v>150638.76265887273</v>
      </c>
      <c r="AB3" s="67">
        <v>151932.25045877026</v>
      </c>
      <c r="AC3" s="67">
        <v>153238.67313666677</v>
      </c>
      <c r="AD3" s="67">
        <v>154558.16004134223</v>
      </c>
      <c r="AE3" s="67">
        <v>155890.84181506446</v>
      </c>
      <c r="AF3" s="67">
        <v>157236.85040652394</v>
      </c>
      <c r="AG3" s="67">
        <v>158596.31908389795</v>
      </c>
      <c r="AH3" s="67">
        <v>159969.38244804574</v>
      </c>
      <c r="AI3" s="67">
        <v>161356.17644583501</v>
      </c>
      <c r="AJ3" s="67">
        <v>162756.83838360212</v>
      </c>
      <c r="AK3" s="67">
        <v>164171.506940747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62253.086140649415</v>
      </c>
      <c r="C2" s="71">
        <f>SUMIF(TableIncome[Year], "&lt;=" &amp; C1, TableIncome[InvestmentP1])</f>
        <v>125137.26399281414</v>
      </c>
      <c r="D2" s="71">
        <f>SUMIF(TableIncome[Year], "&lt;=" &amp; D1, TableIncome[InvestmentP1])</f>
        <v>191208.45498813107</v>
      </c>
      <c r="E2" s="71">
        <f>SUMIF(TableIncome[Year], "&lt;=" &amp; E1, TableIncome[InvestmentP1])</f>
        <v>257948.91874350997</v>
      </c>
      <c r="F2" s="71">
        <f>SUMIF(TableIncome[Year], "&lt;=" &amp; F1, TableIncome[InvestmentP1])</f>
        <v>325365.34798655147</v>
      </c>
      <c r="G2" s="71">
        <f>SUMIF(TableIncome[Year], "&lt;=" &amp; G1, TableIncome[InvestmentP1])</f>
        <v>393464.50237213215</v>
      </c>
      <c r="H2" s="71">
        <f>SUMIF(TableIncome[Year], "&lt;=" &amp; H1, TableIncome[InvestmentP1])</f>
        <v>465011.41872753593</v>
      </c>
      <c r="I2" s="71">
        <f>SUMIF(TableIncome[Year], "&lt;=" &amp; I1, TableIncome[InvestmentP1])</f>
        <v>537282.36509660259</v>
      </c>
      <c r="J2" s="71">
        <f>SUMIF(TableIncome[Year], "&lt;=" &amp; J1, TableIncome[InvestmentP1])</f>
        <v>610284.58177946869</v>
      </c>
      <c r="K2" s="71">
        <f>SUMIF(TableIncome[Year], "&lt;=" &amp; K1, TableIncome[InvestmentP1])</f>
        <v>684025.38147927227</v>
      </c>
      <c r="L2" s="71">
        <f>SUMIF(TableIncome[Year], "&lt;=" &amp; L1, TableIncome[InvestmentP1])</f>
        <v>761496.02541460993</v>
      </c>
      <c r="M2" s="71">
        <f>SUMIF(TableIncome[Year], "&lt;=" &amp; M1, TableIncome[InvestmentP1])</f>
        <v>839749.93663940986</v>
      </c>
      <c r="N2" s="71">
        <f>SUMIF(TableIncome[Year], "&lt;=" &amp; N1, TableIncome[InvestmentP1])</f>
        <v>918794.94782656652</v>
      </c>
      <c r="O2" s="71">
        <f>SUMIF(TableIncome[Year], "&lt;=" &amp; O1, TableIncome[InvestmentP1])</f>
        <v>1001835.013823625</v>
      </c>
      <c r="P2" s="71">
        <f>SUMIF(TableIncome[Year], "&lt;=" &amp; P1, TableIncome[InvestmentP1])</f>
        <v>1085714.0413307629</v>
      </c>
      <c r="Q2" s="71">
        <f>SUMIF(TableIncome[Year], "&lt;=" &amp; Q1, TableIncome[InvestmentP1])</f>
        <v>1170440.4199630809</v>
      </c>
      <c r="R2" s="71">
        <f>SUMIF(TableIncome[Year], "&lt;=" &amp; R1, TableIncome[InvestmentP1])</f>
        <v>1256022.623231831</v>
      </c>
      <c r="S2" s="71">
        <f>SUMIF(TableIncome[Year], "&lt;=" &amp; S1, TableIncome[InvestmentP1])</f>
        <v>1342469.2093833773</v>
      </c>
      <c r="T2" s="71">
        <f>SUMIF(TableIncome[Year], "&lt;=" &amp; T1, TableIncome[InvestmentP1])</f>
        <v>1433280.9290930449</v>
      </c>
      <c r="U2" s="71">
        <f>SUMIF(TableIncome[Year], "&lt;=" &amp; U1, TableIncome[InvestmentP1])</f>
        <v>1525009.3268499181</v>
      </c>
      <c r="V2" s="71">
        <f>SUMIF(TableIncome[Year], "&lt;=" &amp; V1, TableIncome[InvestmentP1])</f>
        <v>1617541.7388142394</v>
      </c>
      <c r="W2" s="71">
        <f>SUMIF(TableIncome[Year], "&lt;=" &amp; W1, TableIncome[InvestmentP1])</f>
        <v>1710786.5750715125</v>
      </c>
      <c r="X2" s="71">
        <f>SUMIF(TableIncome[Year], "&lt;=" &amp; X1, TableIncome[InvestmentP1])</f>
        <v>1807629.1540081934</v>
      </c>
      <c r="Y2" s="71">
        <f>SUMIF(TableIncome[Year], "&lt;=" &amp; Y1, TableIncome[InvestmentP1])</f>
        <v>1905227.2589075498</v>
      </c>
      <c r="Z2" s="71">
        <f>SUMIF(TableIncome[Year], "&lt;=" &amp; Z1, TableIncome[InvestmentP1])</f>
        <v>2003588.4450292087</v>
      </c>
      <c r="AA2" s="71">
        <f>SUMIF(TableIncome[Year], "&lt;=" &amp; AA1, TableIncome[InvestmentP1])</f>
        <v>2102720.3431853927</v>
      </c>
      <c r="AB2" s="71">
        <f>SUMIF(TableIncome[Year], "&lt;=" &amp; AB1, TableIncome[InvestmentP1])</f>
        <v>2202630.6604964477</v>
      </c>
      <c r="AC2" s="71">
        <f>SUMIF(TableIncome[Year], "&lt;=" &amp; AC1, TableIncome[InvestmentP1])</f>
        <v>2303327.1811539219</v>
      </c>
      <c r="AD2" s="71">
        <f>SUMIF(TableIncome[Year], "&lt;=" &amp; AD1, TableIncome[InvestmentP1])</f>
        <v>2404817.7671912797</v>
      </c>
      <c r="AE2" s="71">
        <f>SUMIF(TableIncome[Year], "&lt;=" &amp; AE1, TableIncome[InvestmentP1])</f>
        <v>2507110.3592623197</v>
      </c>
      <c r="AF2" s="71">
        <f>SUMIF(TableIncome[Year], "&lt;=" &amp; AF1, TableIncome[InvestmentP1])</f>
        <v>2610212.9774273792</v>
      </c>
      <c r="AG2" s="71">
        <f>SUMIF(TableIncome[Year], "&lt;=" &amp; AG1, TableIncome[InvestmentP1])</f>
        <v>2714133.721947398</v>
      </c>
      <c r="AH2" s="71">
        <f>SUMIF(TableIncome[Year], "&lt;=" &amp; AH1, TableIncome[InvestmentP1])</f>
        <v>2818880.7740859259</v>
      </c>
      <c r="AI2" s="71">
        <f>SUMIF(TableIncome[Year], "&lt;=" &amp; AI1, TableIncome[InvestmentP1])</f>
        <v>2924462.3969191476</v>
      </c>
      <c r="AJ2" s="71">
        <f>SUMIF(TableIncome[Year], "&lt;=" &amp; AJ1, TableIncome[InvestmentP1])</f>
        <v>3030886.9361540102</v>
      </c>
      <c r="AK2" s="71">
        <f>SUMIF(TableIncome[Year], "&lt;=" &amp; AK1, TableIncome[InvestmentP1])</f>
        <v>3141568.20321716</v>
      </c>
      <c r="AL2" s="71">
        <f>SUMIF(TableIncome[Year], "&lt;=" &amp; AL1, TableIncome[InvestmentP1])</f>
        <v>3253143.38312425</v>
      </c>
      <c r="AM2" s="71">
        <f>SUMIF(TableIncome[Year], "&lt;=" &amp; AM1, TableIncome[InvestmentP1])</f>
        <v>3365621.4150037197</v>
      </c>
      <c r="AN2" s="71">
        <f>SUMIF(TableIncome[Year], "&lt;=" &amp; AN1, TableIncome[InvestmentP1])</f>
        <v>3479011.3273752932</v>
      </c>
      <c r="AO2" s="71">
        <f>SUMIF(TableIncome[Year], "&lt;=" &amp; AO1, TableIncome[InvestmentP1])</f>
        <v>3593322.2390438914</v>
      </c>
      <c r="AP2" s="71">
        <f>SUMIF(TableIncome[Year], "&lt;=" &amp; AP1, TableIncome[InvestmentP1])</f>
        <v>3708563.3600024842</v>
      </c>
      <c r="AQ2" s="71">
        <f>SUMIF(TableIncome[Year], "&lt;=" &amp; AQ1, TableIncome[InvestmentP1])</f>
        <v>3824743.9923439715</v>
      </c>
      <c r="AR2" s="71">
        <f>SUMIF(TableIncome[Year], "&lt;=" &amp; AR1, TableIncome[InvestmentP1])</f>
        <v>3941873.5311821825</v>
      </c>
      <c r="AS2" s="71">
        <f>SUMIF(TableIncome[Year], "&lt;=" &amp; AS1, TableIncome[InvestmentP1])</f>
        <v>4059961.4655820844</v>
      </c>
      <c r="AT2" s="71">
        <f>SUMIF(TableIncome[Year], "&lt;=" &amp; AT1, TableIncome[InvestmentP1])</f>
        <v>4179017.3794992943</v>
      </c>
      <c r="AU2" s="71">
        <f>SUMIF(TableIncome[Year], "&lt;=" &amp; AU1, TableIncome[InvestmentP1])</f>
        <v>4299050.9527289849</v>
      </c>
      <c r="AV2" s="71">
        <f>SUMIF(TableIncome[Year], "&lt;=" &amp; AV1, TableIncome[InvestmentP1])</f>
        <v>4420071.9618642814</v>
      </c>
      <c r="AW2" s="71">
        <f>SUMIF(TableIncome[Year], "&lt;=" &amp; AW1, TableIncome[InvestmentP1])</f>
        <v>4542090.2812642399</v>
      </c>
      <c r="AX2" s="71">
        <f>SUMIF(TableIncome[Year], "&lt;=" &amp; AX1, TableIncome[InvestmentP1])</f>
        <v>4665115.8840315063</v>
      </c>
      <c r="AY2" s="71">
        <f>SUMIF(TableIncome[Year], "&lt;=" &amp; AY1, TableIncome[InvestmentP1])</f>
        <v>4789158.8429997545</v>
      </c>
      <c r="AZ2" s="71">
        <f>SUMIF(TableIncome[Year], "&lt;=" &amp; AZ1, TableIncome[InvestmentP1])</f>
        <v>4789158.8429997545</v>
      </c>
    </row>
    <row r="3" spans="1:52" x14ac:dyDescent="0.2">
      <c r="A3" s="67" t="s">
        <v>74</v>
      </c>
      <c r="B3" s="71">
        <f>SUMIF(TableIncome[Year], "&lt;=" &amp; B1, TableIncome[InvestmentP2])</f>
        <v>101984.08864389319</v>
      </c>
      <c r="C3" s="71">
        <f>SUMIF(TableIncome[Year], "&lt;=" &amp; C1, TableIncome[InvestmentP2])</f>
        <v>204775.11834753415</v>
      </c>
      <c r="D3" s="71">
        <f>SUMIF(TableIncome[Year], "&lt;=" &amp; D1, TableIncome[InvestmentP2])</f>
        <v>311641.20040290116</v>
      </c>
      <c r="E3" s="71">
        <f>SUMIF(TableIncome[Year], "&lt;=" &amp; E1, TableIncome[InvestmentP2])</f>
        <v>419363.04345213063</v>
      </c>
      <c r="F3" s="71">
        <f>SUMIF(TableIncome[Year], "&lt;=" &amp; F1, TableIncome[InvestmentP2])</f>
        <v>527949.20510516118</v>
      </c>
      <c r="G3" s="71">
        <f>SUMIF(TableIncome[Year], "&lt;=" &amp; G1, TableIncome[InvestmentP2])</f>
        <v>637408.32854803081</v>
      </c>
      <c r="H3" s="71">
        <f>SUMIF(TableIncome[Year], "&lt;=" &amp; H1, TableIncome[InvestmentP2])</f>
        <v>751275.90902958787</v>
      </c>
      <c r="I3" s="71">
        <f>SUMIF(TableIncome[Year], "&lt;=" &amp; I1, TableIncome[InvestmentP2])</f>
        <v>866069.2654892694</v>
      </c>
      <c r="J3" s="71">
        <f>SUMIF(TableIncome[Year], "&lt;=" &amp; J1, TableIncome[InvestmentP2])</f>
        <v>981797.65568685648</v>
      </c>
      <c r="K3" s="71">
        <f>SUMIF(TableIncome[Year], "&lt;=" &amp; K1, TableIncome[InvestmentP2])</f>
        <v>1098470.4299597281</v>
      </c>
      <c r="L3" s="71">
        <f>SUMIF(TableIncome[Year], "&lt;=" &amp; L1, TableIncome[InvestmentP2])</f>
        <v>1219912.3438127874</v>
      </c>
      <c r="M3" s="71">
        <f>SUMIF(TableIncome[Year], "&lt;=" &amp; M1, TableIncome[InvestmentP2])</f>
        <v>1342355.7769776862</v>
      </c>
      <c r="N3" s="71">
        <f>SUMIF(TableIncome[Year], "&lt;=" &amp; N1, TableIncome[InvestmentP2])</f>
        <v>1465810.7446475427</v>
      </c>
      <c r="O3" s="71">
        <f>SUMIF(TableIncome[Year], "&lt;=" &amp; O1, TableIncome[InvestmentP2])</f>
        <v>1594373.9615674361</v>
      </c>
      <c r="P3" s="71">
        <f>SUMIF(TableIncome[Year], "&lt;=" &amp; P1, TableIncome[InvestmentP2])</f>
        <v>1724009.9108298372</v>
      </c>
      <c r="Q3" s="71">
        <f>SUMIF(TableIncome[Year], "&lt;=" &amp; Q1, TableIncome[InvestmentP2])</f>
        <v>1854729.3197581712</v>
      </c>
      <c r="R3" s="71">
        <f>SUMIF(TableIncome[Year], "&lt;=" &amp; R1, TableIncome[InvestmentP2])</f>
        <v>1986543.0229490972</v>
      </c>
      <c r="S3" s="71">
        <f>SUMIF(TableIncome[Year], "&lt;=" &amp; S1, TableIncome[InvestmentP2])</f>
        <v>2119461.9633452413</v>
      </c>
      <c r="T3" s="71">
        <f>SUMIF(TableIncome[Year], "&lt;=" &amp; T1, TableIncome[InvestmentP2])</f>
        <v>2257962.3516277368</v>
      </c>
      <c r="U3" s="71">
        <f>SUMIF(TableIncome[Year], "&lt;=" &amp; U1, TableIncome[InvestmentP2])</f>
        <v>2397634.8439663658</v>
      </c>
      <c r="V3" s="71">
        <f>SUMIF(TableIncome[Year], "&lt;=" &amp; V1, TableIncome[InvestmentP2])</f>
        <v>2538491.16140169</v>
      </c>
      <c r="W3" s="71">
        <f>SUMIF(TableIncome[Year], "&lt;=" &amp; W1, TableIncome[InvestmentP2])</f>
        <v>2680543.1421846761</v>
      </c>
      <c r="X3" s="71">
        <f>SUMIF(TableIncome[Year], "&lt;=" &amp; X1, TableIncome[InvestmentP2])</f>
        <v>2828633.2228733557</v>
      </c>
      <c r="Y3" s="71">
        <f>SUMIF(TableIncome[Year], "&lt;=" &amp; Y1, TableIncome[InvestmentP2])</f>
        <v>2977991.3045422309</v>
      </c>
      <c r="Z3" s="71">
        <f>SUMIF(TableIncome[Year], "&lt;=" &amp; Z1, TableIncome[InvestmentP2])</f>
        <v>3128630.0672011035</v>
      </c>
      <c r="AA3" s="71">
        <f>SUMIF(TableIncome[Year], "&lt;=" &amp; AA1, TableIncome[InvestmentP2])</f>
        <v>3280562.317659874</v>
      </c>
      <c r="AB3" s="71">
        <f>SUMIF(TableIncome[Year], "&lt;=" &amp; AB1, TableIncome[InvestmentP2])</f>
        <v>3433800.9907965409</v>
      </c>
      <c r="AC3" s="71">
        <f>SUMIF(TableIncome[Year], "&lt;=" &amp; AC1, TableIncome[InvestmentP2])</f>
        <v>3588359.1508378829</v>
      </c>
      <c r="AD3" s="71">
        <f>SUMIF(TableIncome[Year], "&lt;=" &amp; AD1, TableIncome[InvestmentP2])</f>
        <v>3744249.9926529475</v>
      </c>
      <c r="AE3" s="71">
        <f>SUMIF(TableIncome[Year], "&lt;=" &amp; AE1, TableIncome[InvestmentP2])</f>
        <v>3901486.8430594713</v>
      </c>
      <c r="AF3" s="71">
        <f>SUMIF(TableIncome[Year], "&lt;=" &amp; AF1, TableIncome[InvestmentP2])</f>
        <v>4060083.1621433692</v>
      </c>
      <c r="AG3" s="71">
        <f>SUMIF(TableIncome[Year], "&lt;=" &amp; AG1, TableIncome[InvestmentP2])</f>
        <v>4220052.5445914147</v>
      </c>
      <c r="AH3" s="71">
        <f>SUMIF(TableIncome[Year], "&lt;=" &amp; AH1, TableIncome[InvestmentP2])</f>
        <v>4381408.72103725</v>
      </c>
      <c r="AI3" s="71">
        <f>SUMIF(TableIncome[Year], "&lt;=" &amp; AI1, TableIncome[InvestmentP2])</f>
        <v>4544165.559420852</v>
      </c>
      <c r="AJ3" s="71">
        <f>SUMIF(TableIncome[Year], "&lt;=" &amp; AJ1, TableIncome[InvestmentP2])</f>
        <v>4708337.0663615987</v>
      </c>
      <c r="AK3" s="71">
        <f>SUMIF(TableIncome[Year], "&lt;=" &amp; AK1, TableIncome[InvestmentP2])</f>
        <v>4708337.0663615987</v>
      </c>
      <c r="AL3" s="71">
        <f>SUMIF(TableIncome[Year], "&lt;=" &amp; AL1, TableIncome[InvestmentP2])</f>
        <v>4708337.0663615987</v>
      </c>
      <c r="AM3" s="71">
        <f>SUMIF(TableIncome[Year], "&lt;=" &amp; AM1, TableIncome[InvestmentP2])</f>
        <v>4708337.0663615987</v>
      </c>
      <c r="AN3" s="71">
        <f>SUMIF(TableIncome[Year], "&lt;=" &amp; AN1, TableIncome[InvestmentP2])</f>
        <v>4708337.0663615987</v>
      </c>
      <c r="AO3" s="71">
        <f>SUMIF(TableIncome[Year], "&lt;=" &amp; AO1, TableIncome[InvestmentP2])</f>
        <v>4708337.0663615987</v>
      </c>
      <c r="AP3" s="71">
        <f>SUMIF(TableIncome[Year], "&lt;=" &amp; AP1, TableIncome[InvestmentP2])</f>
        <v>4708337.0663615987</v>
      </c>
      <c r="AQ3" s="71">
        <f>SUMIF(TableIncome[Year], "&lt;=" &amp; AQ1, TableIncome[InvestmentP2])</f>
        <v>4708337.0663615987</v>
      </c>
      <c r="AR3" s="71">
        <f>SUMIF(TableIncome[Year], "&lt;=" &amp; AR1, TableIncome[InvestmentP2])</f>
        <v>4708337.0663615987</v>
      </c>
      <c r="AS3" s="71">
        <f>SUMIF(TableIncome[Year], "&lt;=" &amp; AS1, TableIncome[InvestmentP2])</f>
        <v>4708337.0663615987</v>
      </c>
      <c r="AT3" s="71">
        <f>SUMIF(TableIncome[Year], "&lt;=" &amp; AT1, TableIncome[InvestmentP2])</f>
        <v>4708337.0663615987</v>
      </c>
      <c r="AU3" s="71">
        <f>SUMIF(TableIncome[Year], "&lt;=" &amp; AU1, TableIncome[InvestmentP2])</f>
        <v>4708337.0663615987</v>
      </c>
      <c r="AV3" s="71">
        <f>SUMIF(TableIncome[Year], "&lt;=" &amp; AV1, TableIncome[InvestmentP2])</f>
        <v>4708337.0663615987</v>
      </c>
      <c r="AW3" s="71">
        <f>SUMIF(TableIncome[Year], "&lt;=" &amp; AW1, TableIncome[InvestmentP2])</f>
        <v>4708337.0663615987</v>
      </c>
      <c r="AX3" s="71">
        <f>SUMIF(TableIncome[Year], "&lt;=" &amp; AX1, TableIncome[InvestmentP2])</f>
        <v>4708337.0663615987</v>
      </c>
      <c r="AY3" s="71">
        <f>SUMIF(TableIncome[Year], "&lt;=" &amp; AY1, TableIncome[InvestmentP2])</f>
        <v>4708337.0663615987</v>
      </c>
      <c r="AZ3" s="71">
        <f>SUMIF(TableIncome[Year], "&lt;=" &amp; AZ1, TableIncome[InvestmentP2])</f>
        <v>4708337.0663615987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4.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2025-05-07T19:18:20Z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