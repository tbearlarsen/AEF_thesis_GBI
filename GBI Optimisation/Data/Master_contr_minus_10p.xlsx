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45478021-1485-C640-94CE-386294672294}" xr6:coauthVersionLast="47" xr6:coauthVersionMax="47" xr10:uidLastSave="{00000000-0000-0000-0000-000000000000}"/>
  <bookViews>
    <workbookView xWindow="0" yWindow="760" windowWidth="30240" windowHeight="17640" tabRatio="972" activeTab="1"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51" l="1"/>
  <c r="C7" i="51"/>
  <c r="B22" i="55"/>
  <c r="B5" i="55"/>
  <c r="B3" i="55"/>
  <c r="N39" i="2"/>
  <c r="N40" i="2"/>
  <c r="N41" i="2"/>
  <c r="N42" i="2"/>
  <c r="N43" i="2"/>
  <c r="N44" i="2"/>
  <c r="N45" i="2"/>
  <c r="N46" i="2"/>
  <c r="N47" i="2"/>
  <c r="N48" i="2"/>
  <c r="N49" i="2"/>
  <c r="D49" i="2" s="1"/>
  <c r="N50" i="2"/>
  <c r="D50" i="2" s="1"/>
  <c r="N51" i="2"/>
  <c r="D51" i="2" s="1"/>
  <c r="N52" i="2"/>
  <c r="D52" i="2" s="1"/>
  <c r="N53" i="2"/>
  <c r="E39" i="56"/>
  <c r="F39" i="56" s="1"/>
  <c r="B14" i="56"/>
  <c r="B43" i="55" s="1"/>
  <c r="Q8" i="56"/>
  <c r="O8" i="56"/>
  <c r="A4" i="56" a="1"/>
  <c r="AY8" i="56" s="1"/>
  <c r="B2" i="56"/>
  <c r="BB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AW8" i="56" l="1"/>
  <c r="B45" i="55"/>
  <c r="BA8" i="56"/>
  <c r="R8" i="56"/>
  <c r="AE8" i="56"/>
  <c r="Z8" i="56"/>
  <c r="AX8" i="56"/>
  <c r="AH8" i="56"/>
  <c r="BB8" i="56"/>
  <c r="G8" i="56"/>
  <c r="AM8" i="56"/>
  <c r="I8" i="56"/>
  <c r="AO8" i="56"/>
  <c r="A4" i="56"/>
  <c r="Y8" i="56"/>
  <c r="AU8" i="56"/>
  <c r="AZ8" i="56"/>
  <c r="B52" i="55"/>
  <c r="B53" i="55" s="1"/>
  <c r="J8" i="56"/>
  <c r="AG8" i="56"/>
  <c r="AC15" i="56"/>
  <c r="AX15" i="56"/>
  <c r="AY15" i="56"/>
  <c r="AZ15" i="56"/>
  <c r="B50" i="55"/>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54" i="55" l="1"/>
  <c r="D50" i="55" s="1"/>
  <c r="C46" i="55"/>
  <c r="C47" i="55"/>
  <c r="D43" i="55" s="1"/>
  <c r="D45" i="55" s="1"/>
  <c r="D46" i="55" s="1"/>
  <c r="B46" i="46"/>
  <c r="B47" i="46" s="1"/>
  <c r="C43" i="46" s="1"/>
  <c r="C45" i="46" s="1"/>
  <c r="C46" i="46" s="1"/>
  <c r="C47" i="46" s="1"/>
  <c r="D43" i="46"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F52" i="55" s="1"/>
  <c r="F53" i="55" s="1"/>
  <c r="E45" i="55"/>
  <c r="E46"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E54" i="46"/>
  <c r="F50"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P12" i="2"/>
  <c r="H47" i="55"/>
  <c r="I43" i="55" s="1"/>
  <c r="I54" i="55"/>
  <c r="J50" i="55" s="1"/>
  <c r="Q12" i="2"/>
  <c r="O12" i="2"/>
  <c r="R12" i="2"/>
  <c r="H9" i="53"/>
  <c r="O13" i="53" a="1"/>
  <c r="O13" i="53" s="1"/>
  <c r="G8" i="53"/>
  <c r="N14" i="53" a="1"/>
  <c r="N14" i="53" s="1"/>
  <c r="Q14" i="53" s="1"/>
  <c r="I45" i="46"/>
  <c r="I46" i="46" s="1"/>
  <c r="D13" i="45"/>
  <c r="E13" i="45"/>
  <c r="E12" i="8"/>
  <c r="H54" i="46" l="1"/>
  <c r="I50" i="46" s="1"/>
  <c r="I52" i="46" s="1"/>
  <c r="I53" i="46" s="1"/>
  <c r="P13" i="2"/>
  <c r="J52" i="55"/>
  <c r="J53" i="55" s="1"/>
  <c r="I45" i="55"/>
  <c r="I46" i="55" s="1"/>
  <c r="Q13" i="2"/>
  <c r="R13" i="2"/>
  <c r="O13" i="2"/>
  <c r="H10" i="53"/>
  <c r="O12" i="53" a="1"/>
  <c r="O12" i="53" s="1"/>
  <c r="G9" i="53"/>
  <c r="N13" i="53" a="1"/>
  <c r="N13" i="53" s="1"/>
  <c r="Q13" i="53" s="1"/>
  <c r="I47" i="46"/>
  <c r="J43" i="46" s="1"/>
  <c r="E14" i="45"/>
  <c r="D14" i="45"/>
  <c r="E13" i="8"/>
  <c r="I54" i="46" l="1"/>
  <c r="J50" i="46" s="1"/>
  <c r="J52" i="46" s="1"/>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K54" i="46"/>
  <c r="L50"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L52" i="46" l="1"/>
  <c r="L53" i="46" s="1"/>
  <c r="P17" i="2"/>
  <c r="Q17" i="2"/>
  <c r="L52" i="55"/>
  <c r="L53" i="55" s="1"/>
  <c r="K45" i="55"/>
  <c r="K46" i="55" s="1"/>
  <c r="O17" i="2"/>
  <c r="R17" i="2"/>
  <c r="H14" i="53"/>
  <c r="O8" i="53" a="1"/>
  <c r="O8" i="53" s="1"/>
  <c r="G13" i="53"/>
  <c r="N9" i="53" a="1"/>
  <c r="N9" i="53" s="1"/>
  <c r="Q9" i="53" s="1"/>
  <c r="E18" i="8"/>
  <c r="E19" i="8" s="1"/>
  <c r="L47" i="46"/>
  <c r="M43" i="46" s="1"/>
  <c r="D18" i="45"/>
  <c r="E18" i="45"/>
  <c r="L54" i="46" l="1"/>
  <c r="M50" i="46" s="1"/>
  <c r="M52" i="46"/>
  <c r="M53" i="46" s="1"/>
  <c r="P18" i="2"/>
  <c r="Q18" i="2"/>
  <c r="K47" i="55"/>
  <c r="L43" i="55" s="1"/>
  <c r="L54" i="55"/>
  <c r="M50" i="55" s="1"/>
  <c r="R18" i="2"/>
  <c r="O18" i="2"/>
  <c r="H15" i="53"/>
  <c r="O7" i="53" a="1"/>
  <c r="O7" i="53" s="1"/>
  <c r="G14" i="53"/>
  <c r="N8" i="53" a="1"/>
  <c r="N8" i="53" s="1"/>
  <c r="Q8" i="53" s="1"/>
  <c r="M45" i="46"/>
  <c r="M46" i="46" s="1"/>
  <c r="E19" i="45"/>
  <c r="D19" i="45"/>
  <c r="E20" i="8"/>
  <c r="M54" i="46" l="1"/>
  <c r="N50" i="46" s="1"/>
  <c r="N52" i="46"/>
  <c r="N53" i="46" s="1"/>
  <c r="P19" i="2"/>
  <c r="Q19" i="2"/>
  <c r="M52" i="55"/>
  <c r="M53" i="55" s="1"/>
  <c r="L45" i="55"/>
  <c r="L46" i="55" s="1"/>
  <c r="O19" i="2"/>
  <c r="R19" i="2"/>
  <c r="G15" i="53"/>
  <c r="N7" i="53" a="1"/>
  <c r="N7" i="53" s="1"/>
  <c r="Q7" i="53" s="1"/>
  <c r="H16" i="53"/>
  <c r="O6" i="53" a="1"/>
  <c r="O6" i="53" s="1"/>
  <c r="M47" i="46"/>
  <c r="N43" i="46" s="1"/>
  <c r="D20" i="45"/>
  <c r="E20" i="45"/>
  <c r="E21" i="8"/>
  <c r="E22" i="8" s="1"/>
  <c r="N54" i="46" l="1"/>
  <c r="O50" i="46" s="1"/>
  <c r="O52" i="46" s="1"/>
  <c r="O53" i="46" s="1"/>
  <c r="P20" i="2"/>
  <c r="Q20" i="2"/>
  <c r="L47" i="55"/>
  <c r="M43" i="55" s="1"/>
  <c r="M54" i="55"/>
  <c r="N50" i="55" s="1"/>
  <c r="R20" i="2"/>
  <c r="O20" i="2"/>
  <c r="H17" i="53"/>
  <c r="O5" i="53" a="1"/>
  <c r="O5" i="53" s="1"/>
  <c r="G16" i="53"/>
  <c r="N6" i="53" a="1"/>
  <c r="N6" i="53" s="1"/>
  <c r="Q6" i="53" s="1"/>
  <c r="N45" i="46"/>
  <c r="N46" i="46" s="1"/>
  <c r="E21" i="45"/>
  <c r="D21" i="45"/>
  <c r="E23" i="8"/>
  <c r="E24" i="8" s="1"/>
  <c r="O54" i="46" l="1"/>
  <c r="P50" i="46" s="1"/>
  <c r="P52" i="46" s="1"/>
  <c r="P53" i="46" s="1"/>
  <c r="P21" i="2"/>
  <c r="Q21" i="2"/>
  <c r="N52" i="55"/>
  <c r="N53" i="55" s="1"/>
  <c r="M45" i="55"/>
  <c r="M46" i="55" s="1"/>
  <c r="M47" i="55"/>
  <c r="N43"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P22" i="2" l="1"/>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E27" i="8"/>
  <c r="E28" i="8" s="1"/>
  <c r="P24" i="2" l="1"/>
  <c r="B2" i="55"/>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2" i="56"/>
  <c r="E12" i="56"/>
  <c r="E11" i="56"/>
  <c r="E13" i="56" s="1"/>
  <c r="E14" i="56" s="1"/>
  <c r="E16" i="56" s="1"/>
  <c r="E17" i="56" s="1"/>
  <c r="H11" i="56"/>
  <c r="H12" i="56"/>
  <c r="N11" i="56"/>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N13" i="56" l="1"/>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E35" i="45"/>
  <c r="E43" i="8"/>
  <c r="O35" i="2" l="1"/>
  <c r="P35" i="2"/>
  <c r="I38" i="55"/>
  <c r="J34" i="55" s="1"/>
  <c r="U45" i="55"/>
  <c r="U46" i="55" s="1"/>
  <c r="U47" i="55" s="1"/>
  <c r="V43" i="55" s="1"/>
  <c r="U52" i="55"/>
  <c r="U53" i="55" s="1"/>
  <c r="R35" i="2"/>
  <c r="Q35" i="2"/>
  <c r="AA52" i="46"/>
  <c r="AA53" i="46" s="1"/>
  <c r="X47" i="46"/>
  <c r="Y43" i="46" s="1"/>
  <c r="E36" i="45"/>
  <c r="D36" i="45"/>
  <c r="O36" i="2" s="1"/>
  <c r="E44" i="8"/>
  <c r="P36" i="2" l="1"/>
  <c r="U54" i="55"/>
  <c r="V50" i="55" s="1"/>
  <c r="J36" i="55"/>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C5" i="56" s="1"/>
  <c r="AC6" i="56" s="1"/>
  <c r="AC7" i="56" s="1"/>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AY11" i="56"/>
  <c r="AY12" i="56"/>
  <c r="AC12" i="56"/>
  <c r="AC11" i="56"/>
  <c r="AR11" i="56"/>
  <c r="AR13" i="56" s="1"/>
  <c r="AR14" i="56" s="1"/>
  <c r="AR16" i="56" s="1"/>
  <c r="AR17" i="56" s="1"/>
  <c r="AR12" i="56"/>
  <c r="AF12" i="56"/>
  <c r="AF11" i="56"/>
  <c r="AP12" i="56"/>
  <c r="AP11" i="56"/>
  <c r="AE12" i="56"/>
  <c r="AE11" i="56"/>
  <c r="AE13" i="56" s="1"/>
  <c r="AE14" i="56" s="1"/>
  <c r="AE16" i="56" s="1"/>
  <c r="AE17" i="56" s="1"/>
  <c r="AK12" i="56"/>
  <c r="AK11" i="56"/>
  <c r="AD12" i="56"/>
  <c r="AD11" i="56"/>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C13" i="56" l="1"/>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38" i="55"/>
  <c r="O34" i="55" s="1"/>
  <c r="Z52" i="55"/>
  <c r="Z53" i="55" s="1"/>
  <c r="Y47" i="55"/>
  <c r="Z43" i="55" s="1"/>
  <c r="Q43" i="2"/>
  <c r="P43" i="2"/>
  <c r="R43" i="2"/>
  <c r="AE54" i="46"/>
  <c r="AF50" i="46" s="1"/>
  <c r="AC47" i="46"/>
  <c r="AD43" i="46" s="1"/>
  <c r="E44" i="45"/>
  <c r="D44" i="45"/>
  <c r="N12" i="2" l="1"/>
  <c r="N24" i="2"/>
  <c r="N10" i="2"/>
  <c r="N26" i="2"/>
  <c r="N19" i="2"/>
  <c r="N25" i="2"/>
  <c r="N8" i="2"/>
  <c r="N14" i="2"/>
  <c r="N13" i="2"/>
  <c r="N33" i="2"/>
  <c r="D33" i="2" s="1"/>
  <c r="F33" i="2" s="1"/>
  <c r="L33" i="2" s="1"/>
  <c r="BI2" i="56"/>
  <c r="N3" i="2" s="1"/>
  <c r="N21" i="2"/>
  <c r="N30" i="2"/>
  <c r="N28" i="2"/>
  <c r="N4" i="2"/>
  <c r="N5" i="2"/>
  <c r="N31" i="2"/>
  <c r="N35" i="2"/>
  <c r="D35" i="2" s="1"/>
  <c r="F35" i="2" s="1"/>
  <c r="L35" i="2" s="1"/>
  <c r="N11" i="2"/>
  <c r="N23" i="2"/>
  <c r="N9" i="2"/>
  <c r="N18" i="2"/>
  <c r="N37" i="2"/>
  <c r="D37" i="2" s="1"/>
  <c r="F37" i="2" s="1"/>
  <c r="L37" i="2" s="1"/>
  <c r="L32" i="56" s="1"/>
  <c r="N7" i="2"/>
  <c r="G32" i="56"/>
  <c r="N34" i="2"/>
  <c r="D34" i="2" s="1"/>
  <c r="F34" i="2" s="1"/>
  <c r="L34" i="2" s="1"/>
  <c r="N16" i="2"/>
  <c r="N6" i="2"/>
  <c r="N15" i="2"/>
  <c r="N32" i="2"/>
  <c r="N36" i="2"/>
  <c r="D36" i="2" s="1"/>
  <c r="F36" i="2" s="1"/>
  <c r="L36" i="2" s="1"/>
  <c r="N20" i="2"/>
  <c r="N29" i="2"/>
  <c r="N38" i="2"/>
  <c r="D38" i="2" s="1"/>
  <c r="F38" i="2" s="1"/>
  <c r="L38" i="2" s="1"/>
  <c r="N22" i="2"/>
  <c r="N17" i="2"/>
  <c r="N32" i="56"/>
  <c r="J32" i="56"/>
  <c r="AC32" i="56"/>
  <c r="H32" i="56"/>
  <c r="K32" i="56"/>
  <c r="O36" i="55"/>
  <c r="O37" i="55" s="1"/>
  <c r="Z45" i="55"/>
  <c r="Z46" i="55" s="1"/>
  <c r="Z54" i="55"/>
  <c r="AA50" i="55" s="1"/>
  <c r="Q44" i="2"/>
  <c r="O44" i="2"/>
  <c r="P44" i="2"/>
  <c r="R44" i="2"/>
  <c r="AF52" i="46"/>
  <c r="AF53" i="46" s="1"/>
  <c r="AD45" i="46"/>
  <c r="AD46" i="46" s="1"/>
  <c r="D45" i="45"/>
  <c r="E45" i="45"/>
  <c r="Q32" i="56" l="1"/>
  <c r="V32" i="56"/>
  <c r="Z32" i="56"/>
  <c r="I32" i="56"/>
  <c r="U32" i="56"/>
  <c r="P32" i="56"/>
  <c r="O32" i="56"/>
  <c r="W32" i="56"/>
  <c r="E32" i="56"/>
  <c r="X32" i="56"/>
  <c r="M32" i="56"/>
  <c r="T32" i="56"/>
  <c r="S32" i="56"/>
  <c r="R32" i="56"/>
  <c r="Y32" i="56"/>
  <c r="F32" i="56"/>
  <c r="AB32" i="56"/>
  <c r="AA32" i="56"/>
  <c r="Z47" i="55"/>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AG54" i="46"/>
  <c r="AH50" i="46" s="1"/>
  <c r="AH52" i="46" s="1"/>
  <c r="AH53" i="46" s="1"/>
  <c r="AE45" i="46"/>
  <c r="AE46" i="46" s="1"/>
  <c r="E47" i="45"/>
  <c r="D47" i="45"/>
  <c r="O47" i="2" l="1"/>
  <c r="Q47" i="2"/>
  <c r="P38" i="55"/>
  <c r="Q34" i="55" s="1"/>
  <c r="AB52" i="55"/>
  <c r="AB53" i="55" s="1"/>
  <c r="AB54" i="55"/>
  <c r="AC50" i="55" s="1"/>
  <c r="AB45" i="55"/>
  <c r="AB46" i="55" s="1"/>
  <c r="R47" i="2"/>
  <c r="P47" i="2"/>
  <c r="AH54" i="46"/>
  <c r="AI50" i="46" s="1"/>
  <c r="AE47" i="46"/>
  <c r="AF43" i="46" s="1"/>
  <c r="AF45" i="46" s="1"/>
  <c r="AF46" i="46" s="1"/>
  <c r="E48" i="45"/>
  <c r="D48" i="45"/>
  <c r="Q48" i="2" l="1"/>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AM3" i="47"/>
  <c r="AV3" i="47"/>
  <c r="X3" i="47"/>
  <c r="AC3" i="47"/>
  <c r="AD54" i="55"/>
  <c r="AE50" i="55" s="1"/>
  <c r="AD45" i="55"/>
  <c r="AD46" i="55" s="1"/>
  <c r="AB3" i="47"/>
  <c r="T3" i="47"/>
  <c r="AJ4" i="46"/>
  <c r="AJ6" i="46" s="1"/>
  <c r="AL4" i="46"/>
  <c r="AA3" i="47"/>
  <c r="T4" i="46"/>
  <c r="W4" i="47" s="1"/>
  <c r="AQ4" i="46"/>
  <c r="AT4" i="47" s="1"/>
  <c r="AM4" i="46"/>
  <c r="AM6" i="46" s="1"/>
  <c r="D4" i="46"/>
  <c r="G4" i="47" s="1"/>
  <c r="AS4" i="46"/>
  <c r="AV4" i="47" s="1"/>
  <c r="AV5" i="47" s="1"/>
  <c r="AV6" i="47" s="1"/>
  <c r="AV7" i="47" s="1"/>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S6" i="46"/>
  <c r="D6" i="46"/>
  <c r="J6" i="46"/>
  <c r="AP4" i="47" l="1"/>
  <c r="S38" i="55"/>
  <c r="T34" i="55" s="1"/>
  <c r="AM4" i="47"/>
  <c r="I4" i="47"/>
  <c r="I5" i="47" s="1"/>
  <c r="I6" i="47" s="1"/>
  <c r="I7" i="47" s="1"/>
  <c r="I10" i="47" s="1"/>
  <c r="E10" i="47"/>
  <c r="E9" i="47"/>
  <c r="K6" i="46"/>
  <c r="S4" i="47"/>
  <c r="S5" i="47" s="1"/>
  <c r="S6" i="47" s="1"/>
  <c r="S7" i="47" s="1"/>
  <c r="AN5" i="47"/>
  <c r="AN6" i="47" s="1"/>
  <c r="AN7" i="47" s="1"/>
  <c r="AN10" i="47" s="1"/>
  <c r="T4" i="47"/>
  <c r="T5" i="47" s="1"/>
  <c r="T6" i="47" s="1"/>
  <c r="T7" i="47" s="1"/>
  <c r="T10" i="47" s="1"/>
  <c r="AU6" i="46"/>
  <c r="AU7" i="46" s="1"/>
  <c r="AU8" i="46" s="1"/>
  <c r="F5" i="47"/>
  <c r="F6" i="47" s="1"/>
  <c r="F7" i="47" s="1"/>
  <c r="F10" i="47" s="1"/>
  <c r="AK5" i="47"/>
  <c r="AK6" i="47" s="1"/>
  <c r="AK7" i="47" s="1"/>
  <c r="AK10" i="47" s="1"/>
  <c r="T6" i="46"/>
  <c r="T7" i="46" s="1"/>
  <c r="T8" i="46" s="1"/>
  <c r="AB6" i="46"/>
  <c r="AM5" i="47"/>
  <c r="AM6" i="47" s="1"/>
  <c r="AM7" i="47" s="1"/>
  <c r="AM10" i="47" s="1"/>
  <c r="G5" i="47"/>
  <c r="G6" i="47" s="1"/>
  <c r="G7" i="47" s="1"/>
  <c r="T36" i="55"/>
  <c r="T37" i="55" s="1"/>
  <c r="L6" i="46"/>
  <c r="L7" i="46" s="1"/>
  <c r="L8" i="46" s="1"/>
  <c r="AI5" i="47"/>
  <c r="AI6" i="47" s="1"/>
  <c r="AI7" i="47" s="1"/>
  <c r="AI10" i="47" s="1"/>
  <c r="AH5" i="47"/>
  <c r="AH6" i="47" s="1"/>
  <c r="AH7" i="47" s="1"/>
  <c r="AH10" i="47" s="1"/>
  <c r="AQ6" i="46"/>
  <c r="AQ7" i="46" s="1"/>
  <c r="AQ8" i="46" s="1"/>
  <c r="Y6" i="46"/>
  <c r="G6" i="46"/>
  <c r="P5" i="47"/>
  <c r="P6" i="47" s="1"/>
  <c r="P7" i="47" s="1"/>
  <c r="P9" i="47" s="1"/>
  <c r="AD47" i="55"/>
  <c r="AE43" i="55" s="1"/>
  <c r="AE52" i="55"/>
  <c r="AE53" i="55" s="1"/>
  <c r="V5" i="47"/>
  <c r="V6" i="47" s="1"/>
  <c r="V7" i="47" s="1"/>
  <c r="V10" i="47" s="1"/>
  <c r="X4" i="47"/>
  <c r="X5" i="47" s="1"/>
  <c r="X6" i="47" s="1"/>
  <c r="X7" i="47" s="1"/>
  <c r="X9" i="47" s="1"/>
  <c r="Y5" i="47"/>
  <c r="Y6" i="47" s="1"/>
  <c r="Y7" i="47" s="1"/>
  <c r="Y10" i="47" s="1"/>
  <c r="W5" i="47"/>
  <c r="W6" i="47" s="1"/>
  <c r="W7" i="47" s="1"/>
  <c r="W9" i="47" s="1"/>
  <c r="AO5" i="47"/>
  <c r="AO6" i="47" s="1"/>
  <c r="AO7" i="47" s="1"/>
  <c r="AO9"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H7" i="46" s="1"/>
  <c r="AH8" i="46" s="1"/>
  <c r="AR4" i="47"/>
  <c r="AR5" i="47" s="1"/>
  <c r="AR6" i="47" s="1"/>
  <c r="AR7" i="47" s="1"/>
  <c r="AR10" i="47" s="1"/>
  <c r="I6" i="46"/>
  <c r="I7" i="46" s="1"/>
  <c r="I8" i="46" s="1"/>
  <c r="AE5" i="47"/>
  <c r="AE6" i="47" s="1"/>
  <c r="AE7" i="47" s="1"/>
  <c r="AE10" i="47" s="1"/>
  <c r="V6" i="46"/>
  <c r="V7" i="46" s="1"/>
  <c r="V8" i="46" s="1"/>
  <c r="M6" i="46"/>
  <c r="M7" i="46" s="1"/>
  <c r="M8" i="46"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AF7" i="46" s="1"/>
  <c r="AF8" i="46" s="1"/>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O10" i="47"/>
  <c r="AJ10" i="47"/>
  <c r="AJ9" i="47"/>
  <c r="AB9" i="47"/>
  <c r="AB10" i="47"/>
  <c r="AV10" i="47"/>
  <c r="AV9" i="47"/>
  <c r="G10" i="47"/>
  <c r="G9" i="47"/>
  <c r="D7" i="46"/>
  <c r="D8" i="46" s="1"/>
  <c r="AJ7" i="46"/>
  <c r="AJ8" i="46" s="1"/>
  <c r="Z7" i="46"/>
  <c r="Z8" i="46" s="1"/>
  <c r="U7" i="46"/>
  <c r="U8" i="46" s="1"/>
  <c r="Y7" i="46"/>
  <c r="Y8" i="46" s="1"/>
  <c r="AA7" i="46"/>
  <c r="AA8" i="46" s="1"/>
  <c r="AC7" i="46"/>
  <c r="AC8" i="46" s="1"/>
  <c r="O7" i="46"/>
  <c r="O8" i="46" s="1"/>
  <c r="AS7" i="46"/>
  <c r="AS8" i="46" s="1"/>
  <c r="AB7" i="46"/>
  <c r="AB8" i="46" s="1"/>
  <c r="F7" i="46"/>
  <c r="F8" i="46" s="1"/>
  <c r="AL7" i="46"/>
  <c r="AL8" i="46" s="1"/>
  <c r="J7" i="46"/>
  <c r="J8" i="46" s="1"/>
  <c r="G7" i="46"/>
  <c r="G8" i="46" s="1"/>
  <c r="Q7" i="46"/>
  <c r="Q8" i="46" s="1"/>
  <c r="E7" i="46"/>
  <c r="E8" i="46" s="1"/>
  <c r="K7" i="46"/>
  <c r="K8" i="46" s="1"/>
  <c r="AN7" i="46"/>
  <c r="AN8" i="46" s="1"/>
  <c r="AM7" i="46"/>
  <c r="AM8" i="46" s="1"/>
  <c r="X7" i="46"/>
  <c r="X8" i="46" s="1"/>
  <c r="P7" i="46"/>
  <c r="P8" i="46" s="1"/>
  <c r="N7" i="46"/>
  <c r="N8" i="46" s="1"/>
  <c r="AO7" i="46"/>
  <c r="AO8" i="46" s="1"/>
  <c r="R7" i="46"/>
  <c r="R8" i="46" s="1"/>
  <c r="AM9" i="47" l="1"/>
  <c r="AM11" i="47" s="1"/>
  <c r="T9" i="47"/>
  <c r="T12" i="47" s="1"/>
  <c r="AI9" i="47"/>
  <c r="AI12" i="47" s="1"/>
  <c r="F9" i="47"/>
  <c r="V9" i="47"/>
  <c r="V11" i="47" s="1"/>
  <c r="AN9" i="47"/>
  <c r="AN11" i="47" s="1"/>
  <c r="S9" i="47"/>
  <c r="S11" i="47" s="1"/>
  <c r="S10" i="47"/>
  <c r="AK9" i="47"/>
  <c r="AK12" i="47" s="1"/>
  <c r="E12" i="47"/>
  <c r="E11" i="47"/>
  <c r="AF10" i="47"/>
  <c r="Z10" i="47"/>
  <c r="X10" i="47"/>
  <c r="L9" i="47"/>
  <c r="L12" i="47" s="1"/>
  <c r="AH9" i="47"/>
  <c r="AH11" i="47" s="1"/>
  <c r="P10" i="47"/>
  <c r="H10" i="47"/>
  <c r="AA10" i="47"/>
  <c r="AY9" i="47"/>
  <c r="AY12" i="47" s="1"/>
  <c r="T38" i="55"/>
  <c r="U34" i="55" s="1"/>
  <c r="AS9" i="47"/>
  <c r="AS11" i="47" s="1"/>
  <c r="Y9" i="47"/>
  <c r="Y12" i="47" s="1"/>
  <c r="W10" i="47"/>
  <c r="BB9" i="47"/>
  <c r="BB11" i="47" s="1"/>
  <c r="AE54" i="55"/>
  <c r="AF50" i="55" s="1"/>
  <c r="AE45" i="55"/>
  <c r="AE46" i="55" s="1"/>
  <c r="AX9" i="47"/>
  <c r="AX11" i="47" s="1"/>
  <c r="N10" i="47"/>
  <c r="AU9" i="47"/>
  <c r="AU11"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Z12" i="47"/>
  <c r="AZ11" i="47"/>
  <c r="BA12" i="47"/>
  <c r="BA11" i="47"/>
  <c r="AK54" i="46"/>
  <c r="AL50" i="46" s="1"/>
  <c r="B34" i="46"/>
  <c r="B36" i="46" s="1"/>
  <c r="AI47" i="46"/>
  <c r="AJ43" i="46" s="1"/>
  <c r="AM12" i="47"/>
  <c r="O11" i="47"/>
  <c r="O12" i="47"/>
  <c r="P11" i="47"/>
  <c r="P12" i="47"/>
  <c r="W12" i="47"/>
  <c r="W11" i="47"/>
  <c r="N12" i="47"/>
  <c r="N11" i="47"/>
  <c r="AB11" i="47"/>
  <c r="AB12" i="47"/>
  <c r="AD11" i="47"/>
  <c r="AD12" i="47"/>
  <c r="AU12" i="47"/>
  <c r="AV11" i="47"/>
  <c r="AV12" i="47"/>
  <c r="X12" i="47"/>
  <c r="X11" i="47"/>
  <c r="AW12" i="47"/>
  <c r="AW11" i="47"/>
  <c r="AJ11" i="47"/>
  <c r="AJ12" i="47"/>
  <c r="AN12" i="47"/>
  <c r="AI11" i="47"/>
  <c r="F11" i="47"/>
  <c r="F12" i="47"/>
  <c r="V12" i="47"/>
  <c r="G11" i="47"/>
  <c r="G12" i="47"/>
  <c r="M12" i="47"/>
  <c r="M11" i="47"/>
  <c r="AF11" i="47"/>
  <c r="AF12" i="47"/>
  <c r="H12" i="47"/>
  <c r="H11" i="47"/>
  <c r="AO11" i="47"/>
  <c r="AO12" i="47"/>
  <c r="T11" i="47"/>
  <c r="R11" i="47"/>
  <c r="R12" i="47"/>
  <c r="AA12" i="47"/>
  <c r="AA11" i="47"/>
  <c r="Z12" i="47"/>
  <c r="Z11" i="47"/>
  <c r="AS12" i="47" l="1"/>
  <c r="AH12" i="47"/>
  <c r="S12" i="47"/>
  <c r="AY11" i="47"/>
  <c r="E13" i="47"/>
  <c r="E14" i="47" s="1"/>
  <c r="E16" i="47" s="1"/>
  <c r="E17" i="47" s="1"/>
  <c r="AK11" i="47"/>
  <c r="AK13" i="47" s="1"/>
  <c r="AK14" i="47" s="1"/>
  <c r="AK16" i="47" s="1"/>
  <c r="AK17" i="47" s="1"/>
  <c r="AE12" i="47"/>
  <c r="AE13" i="47" s="1"/>
  <c r="AE14" i="47" s="1"/>
  <c r="AE16" i="47" s="1"/>
  <c r="AE17" i="47" s="1"/>
  <c r="AX12" i="47"/>
  <c r="AX13" i="47" s="1"/>
  <c r="AX14" i="47" s="1"/>
  <c r="AX16" i="47" s="1"/>
  <c r="AX17" i="47" s="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L13" i="47" s="1"/>
  <c r="L14" i="47" s="1"/>
  <c r="L16" i="47" s="1"/>
  <c r="L17" i="47" s="1"/>
  <c r="AL12" i="47"/>
  <c r="AL13" i="47" s="1"/>
  <c r="AL14" i="47" s="1"/>
  <c r="AL16" i="47" s="1"/>
  <c r="AL17" i="47" s="1"/>
  <c r="BB12" i="47"/>
  <c r="BB13" i="47" s="1"/>
  <c r="BB14" i="47" s="1"/>
  <c r="BB16" i="47" s="1"/>
  <c r="BB17" i="47" s="1"/>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U13" i="47" s="1"/>
  <c r="U14" i="47" s="1"/>
  <c r="U16" i="47" s="1"/>
  <c r="U17" i="47" s="1"/>
  <c r="AC11" i="47"/>
  <c r="AC13" i="47" s="1"/>
  <c r="AC14" i="47" s="1"/>
  <c r="AC16" i="47" s="1"/>
  <c r="AC17" i="47" s="1"/>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BA13" i="47"/>
  <c r="BA14" i="47" s="1"/>
  <c r="BA16" i="47" s="1"/>
  <c r="BA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P13" i="47"/>
  <c r="P14" i="47" s="1"/>
  <c r="P16" i="47" s="1"/>
  <c r="P17" i="47" s="1"/>
  <c r="AA13" i="47"/>
  <c r="AA14" i="47" s="1"/>
  <c r="AA16" i="47" s="1"/>
  <c r="AA17" i="47" s="1"/>
  <c r="T13" i="47"/>
  <c r="T14" i="47" s="1"/>
  <c r="T16" i="47" s="1"/>
  <c r="T17" i="47" s="1"/>
  <c r="AD13" i="47"/>
  <c r="AD14" i="47" s="1"/>
  <c r="AD16" i="47" s="1"/>
  <c r="AD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E9" i="2" s="1"/>
  <c r="K9" i="2" s="1"/>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J47" i="55"/>
  <c r="AK43" i="55" s="1"/>
  <c r="AR52" i="46"/>
  <c r="AR53" i="46" s="1"/>
  <c r="L38" i="46"/>
  <c r="M34" i="46" s="1"/>
  <c r="AO45" i="46"/>
  <c r="AO46" i="46" s="1"/>
  <c r="AK54" i="55" l="1"/>
  <c r="AL50" i="55" s="1"/>
  <c r="AL52" i="55" s="1"/>
  <c r="AL53" i="55" s="1"/>
  <c r="AA38" i="55"/>
  <c r="AB34"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c r="AE37" i="55" s="1"/>
  <c r="AM47" i="55"/>
  <c r="AN43" i="55" s="1"/>
  <c r="AN45" i="55"/>
  <c r="AN46" i="55" s="1"/>
  <c r="AO52" i="55"/>
  <c r="AO53"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45" i="55" s="1"/>
  <c r="AO46" i="55" s="1"/>
  <c r="AO54" i="55"/>
  <c r="AP50" i="55" s="1"/>
  <c r="Q36" i="46"/>
  <c r="Q37" i="46" s="1"/>
  <c r="AS45" i="46"/>
  <c r="AS46" i="46" s="1"/>
  <c r="AG36" i="55" l="1"/>
  <c r="AG37" i="55" s="1"/>
  <c r="AG38" i="55" s="1"/>
  <c r="AH34" i="55" s="1"/>
  <c r="AO47" i="55"/>
  <c r="AP43" i="55" s="1"/>
  <c r="AP52" i="55"/>
  <c r="AP53" i="55" s="1"/>
  <c r="Q38" i="46"/>
  <c r="R34" i="46" s="1"/>
  <c r="AS47" i="46"/>
  <c r="AT43" i="46" s="1"/>
  <c r="AH36" i="55" l="1"/>
  <c r="AH37" i="55" s="1"/>
  <c r="AP45" i="55"/>
  <c r="AP46" i="55" s="1"/>
  <c r="AP54" i="55"/>
  <c r="AQ50" i="55" s="1"/>
  <c r="R36" i="46"/>
  <c r="R37" i="46" s="1"/>
  <c r="AT45" i="46"/>
  <c r="AT46" i="46" s="1"/>
  <c r="AT47" i="46" s="1"/>
  <c r="AH38" i="55" l="1"/>
  <c r="AI34" i="55" s="1"/>
  <c r="AI36" i="55" s="1"/>
  <c r="AI37" i="55" s="1"/>
  <c r="AI38" i="55" s="1"/>
  <c r="AJ34" i="55" s="1"/>
  <c r="AU43" i="46"/>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S52" i="55" s="1"/>
  <c r="AS53" i="55" s="1"/>
  <c r="AK36" i="55"/>
  <c r="AK37" i="55" s="1"/>
  <c r="AR45" i="55"/>
  <c r="AR46"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T52" i="55"/>
  <c r="AT53" i="55" s="1"/>
  <c r="U36" i="46"/>
  <c r="U37" i="46" s="1"/>
  <c r="AS47" i="55" l="1"/>
  <c r="AT43" i="55" s="1"/>
  <c r="AT45" i="55" s="1"/>
  <c r="AT46" i="55" s="1"/>
  <c r="AN36" i="55"/>
  <c r="AN37" i="55" s="1"/>
  <c r="AN38" i="55" s="1"/>
  <c r="AO34" i="55" s="1"/>
  <c r="AT54" i="55"/>
  <c r="AU50" i="55" s="1"/>
  <c r="AU52" i="55" s="1"/>
  <c r="AU53" i="55" s="1"/>
  <c r="AU54" i="55" s="1"/>
  <c r="AV50" i="55" s="1"/>
  <c r="U38" i="46"/>
  <c r="V34" i="46" s="1"/>
  <c r="AV52" i="55" l="1"/>
  <c r="AV53" i="55" s="1"/>
  <c r="AO36" i="55"/>
  <c r="AO37" i="55" s="1"/>
  <c r="AO38" i="55" s="1"/>
  <c r="AP34" i="55" s="1"/>
  <c r="AT47" i="55"/>
  <c r="AU43" i="55" s="1"/>
  <c r="V36" i="46"/>
  <c r="V37" i="46" s="1"/>
  <c r="AV54" i="55" l="1"/>
  <c r="AW50" i="55" s="1"/>
  <c r="AW52" i="55" s="1"/>
  <c r="AW53" i="55" s="1"/>
  <c r="AU45" i="55"/>
  <c r="AU46" i="55" s="1"/>
  <c r="AU47" i="55"/>
  <c r="AV43" i="55" s="1"/>
  <c r="AP36" i="55"/>
  <c r="AP37" i="55" s="1"/>
  <c r="AP38" i="55" s="1"/>
  <c r="AQ34" i="55" s="1"/>
  <c r="V38" i="46"/>
  <c r="W34" i="46" s="1"/>
  <c r="W36" i="46" s="1"/>
  <c r="W37" i="46" s="1"/>
  <c r="AW54" i="55" l="1"/>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6"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U27" i="47" l="1"/>
  <c r="M27" i="47"/>
  <c r="AA26" i="47"/>
  <c r="J25" i="47"/>
  <c r="X26" i="47"/>
  <c r="U25" i="47"/>
  <c r="U28" i="47" s="1"/>
  <c r="U29" i="47" s="1"/>
  <c r="U31" i="47" s="1"/>
  <c r="U33" i="47" s="1"/>
  <c r="U34" i="47" s="1"/>
  <c r="U35" i="47" s="1"/>
  <c r="X27" i="47"/>
  <c r="X28" i="47" s="1"/>
  <c r="X29" i="47" s="1"/>
  <c r="X31" i="47" s="1"/>
  <c r="X33" i="47" s="1"/>
  <c r="X34" i="47" s="1"/>
  <c r="X35" i="47" s="1"/>
  <c r="E27" i="47"/>
  <c r="E25" i="47"/>
  <c r="E26" i="47"/>
  <c r="W26" i="47"/>
  <c r="I27" i="47"/>
  <c r="W27" i="47"/>
  <c r="H27" i="47"/>
  <c r="AA25" i="47"/>
  <c r="AA28" i="47" s="1"/>
  <c r="AA29" i="47" s="1"/>
  <c r="AA31" i="47" s="1"/>
  <c r="AA33" i="47" s="1"/>
  <c r="AA34" i="47" s="1"/>
  <c r="AA35" i="47" s="1"/>
  <c r="I25" i="47"/>
  <c r="I28" i="47" s="1"/>
  <c r="I29" i="47" s="1"/>
  <c r="I31" i="47" s="1"/>
  <c r="I33" i="47" s="1"/>
  <c r="I34" i="47" s="1"/>
  <c r="I35" i="47" s="1"/>
  <c r="F25" i="47"/>
  <c r="G27" i="47"/>
  <c r="R27" i="47"/>
  <c r="H25" i="47"/>
  <c r="L25" i="47"/>
  <c r="N25" i="47"/>
  <c r="N26" i="47"/>
  <c r="L27" i="47"/>
  <c r="AB25" i="47"/>
  <c r="F26" i="47"/>
  <c r="J27" i="47"/>
  <c r="AB26" i="47"/>
  <c r="P25" i="47"/>
  <c r="T26" i="47"/>
  <c r="Z26" i="47"/>
  <c r="Z25" i="47"/>
  <c r="Z28" i="47" s="1"/>
  <c r="Z29" i="47" s="1"/>
  <c r="Z31" i="47" s="1"/>
  <c r="Z33" i="47" s="1"/>
  <c r="Z34" i="47" s="1"/>
  <c r="Z35" i="47" s="1"/>
  <c r="AC25" i="47"/>
  <c r="K25" i="47"/>
  <c r="P26" i="47"/>
  <c r="G26" i="47"/>
  <c r="AC27" i="47"/>
  <c r="M26" i="47"/>
  <c r="Y26" i="47"/>
  <c r="Y27" i="47"/>
  <c r="V26" i="47"/>
  <c r="V25" i="47"/>
  <c r="K26" i="47"/>
  <c r="S25" i="47"/>
  <c r="O25" i="47"/>
  <c r="Q27" i="47"/>
  <c r="S27" i="47"/>
  <c r="O27" i="47"/>
  <c r="T25" i="47"/>
  <c r="Q26" i="47"/>
  <c r="R25" i="47"/>
  <c r="R28" i="47" s="1"/>
  <c r="R29" i="47" s="1"/>
  <c r="R31" i="47" s="1"/>
  <c r="R33" i="47" s="1"/>
  <c r="R34" i="47" s="1"/>
  <c r="R35" i="47" s="1"/>
  <c r="J28" i="47" l="1"/>
  <c r="J29" i="47" s="1"/>
  <c r="J31" i="47" s="1"/>
  <c r="J33" i="47" s="1"/>
  <c r="J34" i="47" s="1"/>
  <c r="J35" i="47" s="1"/>
  <c r="V28" i="47"/>
  <c r="V29" i="47" s="1"/>
  <c r="V31" i="47" s="1"/>
  <c r="V33" i="47" s="1"/>
  <c r="V34" i="47" s="1"/>
  <c r="V35" i="47" s="1"/>
  <c r="F28" i="47"/>
  <c r="F29" i="47" s="1"/>
  <c r="F31" i="47" s="1"/>
  <c r="F33" i="47" s="1"/>
  <c r="F34" i="47" s="1"/>
  <c r="F35" i="47" s="1"/>
  <c r="M28" i="47"/>
  <c r="M29" i="47" s="1"/>
  <c r="M31" i="47" s="1"/>
  <c r="M33" i="47" s="1"/>
  <c r="M34" i="47" s="1"/>
  <c r="M35" i="47" s="1"/>
  <c r="L28" i="47"/>
  <c r="L29" i="47" s="1"/>
  <c r="L31" i="47" s="1"/>
  <c r="L33" i="47" s="1"/>
  <c r="L34" i="47" s="1"/>
  <c r="L35" i="47" s="1"/>
  <c r="N28" i="47"/>
  <c r="N29" i="47" s="1"/>
  <c r="N31" i="47" s="1"/>
  <c r="N33" i="47" s="1"/>
  <c r="N34" i="47" s="1"/>
  <c r="N35" i="47" s="1"/>
  <c r="G28" i="47"/>
  <c r="G29" i="47" s="1"/>
  <c r="G31" i="47" s="1"/>
  <c r="G33" i="47" s="1"/>
  <c r="G34" i="47" s="1"/>
  <c r="G35" i="47" s="1"/>
  <c r="AB28" i="47"/>
  <c r="AB29" i="47" s="1"/>
  <c r="AB31" i="47" s="1"/>
  <c r="AB33" i="47" s="1"/>
  <c r="AB34" i="47" s="1"/>
  <c r="AB35" i="47" s="1"/>
  <c r="W28" i="47"/>
  <c r="W29" i="47" s="1"/>
  <c r="W31" i="47" s="1"/>
  <c r="W33" i="47" s="1"/>
  <c r="W34" i="47" s="1"/>
  <c r="W35" i="47" s="1"/>
  <c r="H28" i="47"/>
  <c r="H29" i="47" s="1"/>
  <c r="H31" i="47" s="1"/>
  <c r="H33" i="47" s="1"/>
  <c r="H34" i="47" s="1"/>
  <c r="H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<sst xmlns="http://schemas.openxmlformats.org/spreadsheetml/2006/main" count="1524" uniqueCount="278">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</sst>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tabSelected="1" workbookViewId="0">
      <selection activeCell="C9" sqref="C9"/>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v>0.02</v>
      </c>
    </row>
    <row r="3" spans="2:3" x14ac:dyDescent="0.2">
      <c r="B3" s="40" t="s">
        <v>217</v>
      </c>
      <c r="C3" s="43"/>
    </row>
    <row r="4" spans="2:3" x14ac:dyDescent="0.2">
      <c r="B4" s="45" t="s">
        <v>63</v>
      </c>
      <c r="C4" s="46">
        <v>0.03</v>
      </c>
    </row>
    <row r="5" spans="2:3" x14ac:dyDescent="0.2">
      <c r="B5" s="47" t="s">
        <v>65</v>
      </c>
      <c r="C5" s="48">
        <f>C4-C2</f>
        <v>9.9999999999999985E-3</v>
      </c>
    </row>
    <row r="6" spans="2:3" x14ac:dyDescent="0.2">
      <c r="B6" s="47" t="s">
        <v>64</v>
      </c>
      <c r="C6" s="48">
        <v>0.06</v>
      </c>
    </row>
    <row r="7" spans="2:3" x14ac:dyDescent="0.2">
      <c r="B7" s="47" t="s">
        <v>175</v>
      </c>
      <c r="C7" s="48">
        <f>C6-C2</f>
        <v>3.9999999999999994E-2</v>
      </c>
    </row>
    <row r="8" spans="2:3" x14ac:dyDescent="0.2">
      <c r="B8" s="47" t="s">
        <v>76</v>
      </c>
      <c r="C8" s="48">
        <f>20%*(1-10%)</f>
        <v>0.18000000000000002</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0.02</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
      <c r="A7" s="16"/>
      <c r="B7" s="14" t="s">
        <v>76</v>
      </c>
      <c r="C7" s="15">
        <f>Income!I7</f>
        <v>0.18000000000000002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
      <c r="A19" s="16"/>
      <c r="M19" s="62"/>
    </row>
    <row r="20" spans="1:17" x14ac:dyDescent="0.2">
      <c r="A20" s="16"/>
    </row>
    <row r="21" spans="1:17" x14ac:dyDescent="0.2">
      <c r="A21" s="16"/>
      <c r="Q21" s="63">
        <f>SUM(Q3:Q18)</f>
        <v>198719.14865950411</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282968.57336658821</v>
      </c>
      <c r="D3" s="37">
        <f>(TableIncomeCalculations[[#This Row],[NetMonthlySalaryP2]]*12)</f>
        <v>463564.03929042356</v>
      </c>
      <c r="E3" s="36">
        <f>TableIncome[[#This Row],[SalaryP1]]*$I$7</f>
        <v>50934.343205985882</v>
      </c>
      <c r="F3" s="36">
        <f>TableIncome[[#This Row],[SalaryP2]]*$I$7</f>
        <v>83441.527072276251</v>
      </c>
      <c r="G3" s="16"/>
      <c r="H3" s="14" t="s">
        <v>63</v>
      </c>
      <c r="I3" s="15" cm="1">
        <f t="array" ref="I3:I7">'Salary Variables'!$C$4:$C$8</f>
        <v>0.03</v>
      </c>
      <c r="K3" s="57">
        <f>(TableIncome[[#This Row],[SalaryP1]]-TableIncome[[#This Row],[InvestmentP1]])/12</f>
        <v>19336.18584671686</v>
      </c>
      <c r="L3" s="57">
        <f>(TableIncome[[#This Row],[SalaryP2]]-TableIncome[[#This Row],[InvestmentP2]])/12</f>
        <v>31676.87601817894</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285837.17205529416</v>
      </c>
      <c r="D4" s="37">
        <f>(TableIncomeCalculations[[#This Row],[NetMonthlySalaryP2]]*12)</f>
        <v>467231.95319836785</v>
      </c>
      <c r="E4" s="36">
        <f>TableIncome[[#This Row],[SalaryP1]]*$I$7</f>
        <v>51450.690969952957</v>
      </c>
      <c r="F4" s="36">
        <f>TableIncome[[#This Row],[SalaryP2]]*$I$7</f>
        <v>84101.751575706221</v>
      </c>
      <c r="G4" s="16"/>
      <c r="H4" s="14" t="s">
        <v>65</v>
      </c>
      <c r="I4" s="15">
        <v>9.9999999999999985E-3</v>
      </c>
      <c r="K4" s="57">
        <f>(TableIncome[[#This Row],[SalaryP1]]-TableIncome[[#This Row],[InvestmentP1]])/12</f>
        <v>19532.206757111766</v>
      </c>
      <c r="L4" s="57">
        <f>(TableIncome[[#This Row],[SalaryP2]]-TableIncome[[#This Row],[InvestmentP2]])/12</f>
        <v>31927.516801888469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300323.5954332588</v>
      </c>
      <c r="D5" s="37">
        <f>(TableIncomeCalculations[[#This Row],[NetMonthlySalaryP2]]*12)</f>
        <v>485754.91843348625</v>
      </c>
      <c r="E5" s="36">
        <f>TableIncome[[#This Row],[SalaryP1]]*$I$7</f>
        <v>54058.247177986588</v>
      </c>
      <c r="F5" s="36">
        <f>TableIncome[[#This Row],[SalaryP2]]*$I$7</f>
        <v>87435.885318027533</v>
      </c>
      <c r="G5" s="16"/>
      <c r="H5" s="14" t="s">
        <v>64</v>
      </c>
      <c r="I5" s="15">
        <v>0.06</v>
      </c>
      <c r="K5" s="57">
        <f>(TableIncome[[#This Row],[SalaryP1]]-TableIncome[[#This Row],[InvestmentP1]])/12</f>
        <v>20522.112354606015</v>
      </c>
      <c r="L5" s="57">
        <f>(TableIncome[[#This Row],[SalaryP2]]-TableIncome[[#This Row],[InvestmentP2]])/12</f>
        <v>33193.252759621559</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303365.74434263143</v>
      </c>
      <c r="D6" s="37">
        <f>(TableIncomeCalculations[[#This Row],[NetMonthlySalaryP2]]*12)</f>
        <v>489644.74113286112</v>
      </c>
      <c r="E6" s="36">
        <f>TableIncome[[#This Row],[SalaryP1]]*$I$7</f>
        <v>54605.833981673662</v>
      </c>
      <c r="F6" s="36">
        <f>TableIncome[[#This Row],[SalaryP2]]*$I$7</f>
        <v>88136.053403915008</v>
      </c>
      <c r="G6" s="16"/>
      <c r="H6" s="14" t="s">
        <v>175</v>
      </c>
      <c r="I6" s="15">
        <v>3.9999999999999994E-2</v>
      </c>
      <c r="K6" s="57">
        <f>(TableIncome[[#This Row],[SalaryP1]]-TableIncome[[#This Row],[InvestmentP1]])/12</f>
        <v>20729.992530079813</v>
      </c>
      <c r="L6" s="57">
        <f>(TableIncome[[#This Row],[SalaryP2]]-TableIncome[[#This Row],[InvestmentP2]])/12</f>
        <v>33459.057310745506</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306438.31474109762</v>
      </c>
      <c r="D7" s="37">
        <f>(TableIncomeCalculations[[#This Row],[NetMonthlySalaryP2]]*12)</f>
        <v>493573.46205922961</v>
      </c>
      <c r="E7" s="36">
        <f>TableIncome[[#This Row],[SalaryP1]]*$I$7</f>
        <v>55158.896653397576</v>
      </c>
      <c r="F7" s="36">
        <f>TableIncome[[#This Row],[SalaryP2]]*$I$7</f>
        <v>88843.223170661338</v>
      </c>
      <c r="G7" s="16"/>
      <c r="H7" s="14" t="s">
        <v>76</v>
      </c>
      <c r="I7" s="15">
        <v>0.18000000000000002</v>
      </c>
      <c r="K7" s="57">
        <f>(TableIncome[[#This Row],[SalaryP1]]-TableIncome[[#This Row],[InvestmentP1]])/12</f>
        <v>20939.951507308335</v>
      </c>
      <c r="L7" s="57">
        <f>(TableIncome[[#This Row],[SalaryP2]]-TableIncome[[#This Row],[InvestmentP2]])/12</f>
        <v>33727.519907380687</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309541.61084354867</v>
      </c>
      <c r="D8" s="37">
        <f>(TableIncomeCalculations[[#This Row],[NetMonthlySalaryP2]]*12)</f>
        <v>497541.47019486187</v>
      </c>
      <c r="E8" s="36">
        <f>TableIncome[[#This Row],[SalaryP1]]*$I$7</f>
        <v>55717.489951838768</v>
      </c>
      <c r="F8" s="36">
        <f>TableIncome[[#This Row],[SalaryP2]]*$I$7</f>
        <v>89557.464635075143</v>
      </c>
      <c r="G8" s="16"/>
      <c r="I8" s="17"/>
      <c r="K8" s="57">
        <f>(TableIncome[[#This Row],[SalaryP1]]-TableIncome[[#This Row],[InvestmentP1]])/12</f>
        <v>21152.010074309157</v>
      </c>
      <c r="L8" s="57">
        <f>(TableIncome[[#This Row],[SalaryP2]]-TableIncome[[#This Row],[InvestmentP2]])/12</f>
        <v>33998.667129982226</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325213.25616092619</v>
      </c>
      <c r="D9" s="37">
        <f>(TableIncomeCalculations[[#This Row],[NetMonthlySalaryP2]]*12)</f>
        <v>517579.911279805</v>
      </c>
      <c r="E9" s="36">
        <f>TableIncome[[#This Row],[SalaryP1]]*$I$7</f>
        <v>58538.386108966719</v>
      </c>
      <c r="F9" s="36">
        <f>TableIncome[[#This Row],[SalaryP2]]*$I$7</f>
        <v>93164.384030364905</v>
      </c>
      <c r="G9" s="16"/>
      <c r="K9" s="57">
        <f>(TableIncome[[#This Row],[SalaryP1]]-TableIncome[[#This Row],[InvestmentP1]])/12</f>
        <v>22222.905837663289</v>
      </c>
      <c r="L9" s="57">
        <f>(TableIncome[[#This Row],[SalaryP2]]-TableIncome[[#This Row],[InvestmentP2]])/12</f>
        <v>35367.96060412001</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328504.30167757545</v>
      </c>
      <c r="D10" s="37">
        <f>(TableIncomeCalculations[[#This Row],[NetMonthlySalaryP2]]*12)</f>
        <v>521787.98390764301</v>
      </c>
      <c r="E10" s="36">
        <f>TableIncome[[#This Row],[SalaryP1]]*$I$7</f>
        <v>59130.774301963589</v>
      </c>
      <c r="F10" s="36">
        <f>TableIncome[[#This Row],[SalaryP2]]*$I$7</f>
        <v>93921.837103375758</v>
      </c>
      <c r="G10" s="16"/>
      <c r="H10" s="28"/>
      <c r="K10" s="57">
        <f>(TableIncome[[#This Row],[SalaryP1]]-TableIncome[[#This Row],[InvestmentP1]])/12</f>
        <v>22447.793947967657</v>
      </c>
      <c r="L10" s="57">
        <f>(TableIncome[[#This Row],[SalaryP2]]-TableIncome[[#This Row],[InvestmentP2]])/12</f>
        <v>35655.51223368894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331828.25764939119</v>
      </c>
      <c r="D11" s="37">
        <f>(TableIncomeCalculations[[#This Row],[NetMonthlySalaryP2]]*12)</f>
        <v>526038.13726175949</v>
      </c>
      <c r="E11" s="36">
        <f>TableIncome[[#This Row],[SalaryP1]]*$I$7</f>
        <v>59729.086376890424</v>
      </c>
      <c r="F11" s="36">
        <f>TableIncome[[#This Row],[SalaryP2]]*$I$7</f>
        <v>94686.864707116722</v>
      </c>
      <c r="G11" s="16"/>
      <c r="K11" s="57">
        <f>(TableIncome[[#This Row],[SalaryP1]]-TableIncome[[#This Row],[InvestmentP1]])/12</f>
        <v>22674.930939375063</v>
      </c>
      <c r="L11" s="57">
        <f>(TableIncome[[#This Row],[SalaryP2]]-TableIncome[[#This Row],[InvestmentP2]])/12</f>
        <v>35945.939379553565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335185.45318092511</v>
      </c>
      <c r="D12" s="37">
        <f>(TableIncomeCalculations[[#This Row],[NetMonthlySalaryP2]]*12)</f>
        <v>530330.7921494171</v>
      </c>
      <c r="E12" s="36">
        <f>TableIncome[[#This Row],[SalaryP1]]*$I$7</f>
        <v>60333.381572566526</v>
      </c>
      <c r="F12" s="36">
        <f>TableIncome[[#This Row],[SalaryP2]]*$I$7</f>
        <v>95459.542586895084</v>
      </c>
      <c r="G12" s="16"/>
      <c r="K12" s="57">
        <f>(TableIncome[[#This Row],[SalaryP1]]-TableIncome[[#This Row],[InvestmentP1]])/12</f>
        <v>22904.339300696549</v>
      </c>
      <c r="L12" s="57">
        <f>(TableIncome[[#This Row],[SalaryP2]]-TableIncome[[#This Row],[InvestmentP2]])/12</f>
        <v>36239.270796876837</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352139.29061517131</v>
      </c>
      <c r="D13" s="37">
        <f>(TableIncomeCalculations[[#This Row],[NetMonthlySalaryP2]]*12)</f>
        <v>552008.699332088</v>
      </c>
      <c r="E13" s="36">
        <f>TableIncome[[#This Row],[SalaryP1]]*$I$7</f>
        <v>63385.072310730844</v>
      </c>
      <c r="F13" s="36">
        <f>TableIncome[[#This Row],[SalaryP2]]*$I$7</f>
        <v>99361.565879775851</v>
      </c>
      <c r="G13" s="16"/>
      <c r="K13" s="57">
        <f>(TableIncome[[#This Row],[SalaryP1]]-TableIncome[[#This Row],[InvestmentP1]])/12</f>
        <v>24062.851525370043</v>
      </c>
      <c r="L13" s="57">
        <f>(TableIncome[[#This Row],[SalaryP2]]-TableIncome[[#This Row],[InvestmentP2]])/12</f>
        <v>37720.594454359343</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355699.59647636313</v>
      </c>
      <c r="D14" s="37">
        <f>(TableIncomeCalculations[[#This Row],[NetMonthlySalaryP2]]*12)</f>
        <v>556561.0598404489</v>
      </c>
      <c r="E14" s="36">
        <f>TableIncome[[#This Row],[SalaryP1]]*$I$7</f>
        <v>64025.927365745374</v>
      </c>
      <c r="F14" s="36">
        <f>TableIncome[[#This Row],[SalaryP2]]*$I$7</f>
        <v>100180.99077128082</v>
      </c>
      <c r="G14" s="16"/>
      <c r="K14" s="57">
        <f>(TableIncome[[#This Row],[SalaryP1]]-TableIncome[[#This Row],[InvestmentP1]])/12</f>
        <v>24306.139092551482</v>
      </c>
      <c r="L14" s="57">
        <f>(TableIncome[[#This Row],[SalaryP2]]-TableIncome[[#This Row],[InvestmentP2]])/12</f>
        <v>38031.672422430674</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359295.5053961667</v>
      </c>
      <c r="D15" s="37">
        <f>(TableIncomeCalculations[[#This Row],[NetMonthlySalaryP2]]*12)</f>
        <v>561158.94395389338</v>
      </c>
      <c r="E15" s="36">
        <f>TableIncome[[#This Row],[SalaryP1]]*$I$7</f>
        <v>64673.19097131001</v>
      </c>
      <c r="F15" s="36">
        <f>TableIncome[[#This Row],[SalaryP2]]*$I$7</f>
        <v>101008.60991170083</v>
      </c>
      <c r="G15" s="16"/>
      <c r="K15" s="57">
        <f>(TableIncome[[#This Row],[SalaryP1]]-TableIncome[[#This Row],[InvestmentP1]])/12</f>
        <v>24551.859535404725</v>
      </c>
      <c r="L15" s="57">
        <f>(TableIncome[[#This Row],[SalaryP2]]-TableIncome[[#This Row],[InvestmentP2]])/12</f>
        <v>38345.86117018271</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377454.84544117504</v>
      </c>
      <c r="D16" s="37">
        <f>(TableIncomeCalculations[[#This Row],[NetMonthlySalaryP2]]*12)</f>
        <v>584378.2587267881</v>
      </c>
      <c r="E16" s="36">
        <f>TableIncome[[#This Row],[SalaryP1]]*$I$7</f>
        <v>67941.872179411512</v>
      </c>
      <c r="F16" s="36">
        <f>TableIncome[[#This Row],[SalaryP2]]*$I$7</f>
        <v>105188.08657082188</v>
      </c>
      <c r="G16" s="16"/>
      <c r="K16" s="57">
        <f>(TableIncome[[#This Row],[SalaryP1]]-TableIncome[[#This Row],[InvestmentP1]])/12</f>
        <v>25792.747771813625</v>
      </c>
      <c r="L16" s="57">
        <f>(TableIncome[[#This Row],[SalaryP2]]-TableIncome[[#This Row],[InvestmentP2]])/12</f>
        <v>39932.514346330521</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381268.30685062683</v>
      </c>
      <c r="D17" s="37">
        <f>(TableIncomeCalculations[[#This Row],[NetMonthlySalaryP2]]*12)</f>
        <v>589254.31482909597</v>
      </c>
      <c r="E17" s="36">
        <f>TableIncome[[#This Row],[SalaryP1]]*$I$7</f>
        <v>68628.295233112833</v>
      </c>
      <c r="F17" s="36">
        <f>TableIncome[[#This Row],[SalaryP2]]*$I$7</f>
        <v>106065.77666923728</v>
      </c>
      <c r="G17" s="16"/>
      <c r="K17" s="57">
        <f>(TableIncome[[#This Row],[SalaryP1]]-TableIncome[[#This Row],[InvestmentP1]])/12</f>
        <v>26053.334301459501</v>
      </c>
      <c r="L17" s="57">
        <f>(TableIncome[[#This Row],[SalaryP2]]-TableIncome[[#This Row],[InvestmentP2]])/12</f>
        <v>40265.711513321556</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385119.90287417319</v>
      </c>
      <c r="D18" s="37">
        <f>(TableIncomeCalculations[[#This Row],[NetMonthlySalaryP2]]*12)</f>
        <v>594179.13149242685</v>
      </c>
      <c r="E18" s="36">
        <f>TableIncome[[#This Row],[SalaryP1]]*$I$7</f>
        <v>69321.582517351184</v>
      </c>
      <c r="F18" s="36">
        <f>TableIncome[[#This Row],[SalaryP2]]*$I$7</f>
        <v>106952.24366863685</v>
      </c>
      <c r="G18" s="16"/>
      <c r="K18" s="57">
        <f>(TableIncome[[#This Row],[SalaryP1]]-TableIncome[[#This Row],[InvestmentP1]])/12</f>
        <v>26316.526696401834</v>
      </c>
      <c r="L18" s="57">
        <f>(TableIncome[[#This Row],[SalaryP2]]-TableIncome[[#This Row],[InvestmentP2]])/12</f>
        <v>40602.240651982502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389010.01485795487</v>
      </c>
      <c r="D19" s="37">
        <f>(TableIncomeCalculations[[#This Row],[NetMonthlySalaryP2]]*12)</f>
        <v>599153.19632239104</v>
      </c>
      <c r="E19" s="36">
        <f>TableIncome[[#This Row],[SalaryP1]]*$I$7</f>
        <v>70021.802674431878</v>
      </c>
      <c r="F19" s="36">
        <f>TableIncome[[#This Row],[SalaryP2]]*$I$7</f>
        <v>107847.57533803039</v>
      </c>
      <c r="G19" s="16"/>
      <c r="K19" s="57">
        <f>(TableIncome[[#This Row],[SalaryP1]]-TableIncome[[#This Row],[InvestmentP1]])/12</f>
        <v>26582.351015293581</v>
      </c>
      <c r="L19" s="57">
        <f>(TableIncome[[#This Row],[SalaryP2]]-TableIncome[[#This Row],[InvestmentP2]])/12</f>
        <v>40942.13508203005</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392939.02796157449</v>
      </c>
      <c r="D20" s="37">
        <f>(TableIncomeCalculations[[#This Row],[NetMonthlySalaryP2]]*12)</f>
        <v>604177.00180065515</v>
      </c>
      <c r="E20" s="36">
        <f>TableIncome[[#This Row],[SalaryP1]]*$I$7</f>
        <v>70729.025033083424</v>
      </c>
      <c r="F20" s="36">
        <f>TableIncome[[#This Row],[SalaryP2]]*$I$7</f>
        <v>108751.86032411794</v>
      </c>
      <c r="G20" s="16"/>
      <c r="K20" s="57">
        <f>(TableIncome[[#This Row],[SalaryP1]]-TableIncome[[#This Row],[InvestmentP1]])/12</f>
        <v>26850.833577374258</v>
      </c>
      <c r="L20" s="57">
        <f>(TableIncome[[#This Row],[SalaryP2]]-TableIncome[[#This Row],[InvestmentP2]])/12</f>
        <v>41285.428456378104</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412780.54413485306</v>
      </c>
      <c r="D21" s="37">
        <f>(TableIncomeCalculations[[#This Row],[NetMonthlySalaryP2]]*12)</f>
        <v>629547.21946588787</v>
      </c>
      <c r="E21" s="36">
        <f>TableIncome[[#This Row],[SalaryP1]]*$I$7</f>
        <v>74300.497944273564</v>
      </c>
      <c r="F21" s="36">
        <f>TableIncome[[#This Row],[SalaryP2]]*$I$7</f>
        <v>113318.49950385983</v>
      </c>
      <c r="G21" s="16"/>
      <c r="K21" s="57">
        <f>(TableIncome[[#This Row],[SalaryP1]]-TableIncome[[#This Row],[InvestmentP1]])/12</f>
        <v>28206.670515881622</v>
      </c>
      <c r="L21" s="57">
        <f>(TableIncome[[#This Row],[SalaryP2]]-TableIncome[[#This Row],[InvestmentP2]])/12</f>
        <v>43019.059996835669</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416947.26253124175</v>
      </c>
      <c r="D22" s="37">
        <f>(TableIncomeCalculations[[#This Row],[NetMonthlySalaryP2]]*12)</f>
        <v>634874.96517558675</v>
      </c>
      <c r="E22" s="36">
        <f>TableIncome[[#This Row],[SalaryP1]]*$I$7</f>
        <v>75050.507255623525</v>
      </c>
      <c r="F22" s="36">
        <f>TableIncome[[#This Row],[SalaryP2]]*$I$7</f>
        <v>114277.49373160563</v>
      </c>
      <c r="G22" s="16"/>
      <c r="K22" s="57">
        <f>(TableIncome[[#This Row],[SalaryP1]]-TableIncome[[#This Row],[InvestmentP1]])/12</f>
        <v>28491.396272968184</v>
      </c>
      <c r="L22" s="57">
        <f>(TableIncome[[#This Row],[SalaryP2]]-TableIncome[[#This Row],[InvestmentP2]])/12</f>
        <v>43383.122620331756</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420601.87256509613</v>
      </c>
      <c r="D23" s="37">
        <f>(TableIncomeCalculations[[#This Row],[NetMonthlySalaryP2]]*12)</f>
        <v>640255.98834238271</v>
      </c>
      <c r="E23" s="36">
        <f>TableIncome[[#This Row],[SalaryP1]]*$I$7</f>
        <v>75708.337061717306</v>
      </c>
      <c r="F23" s="36">
        <f>TableIncome[[#This Row],[SalaryP2]]*$I$7</f>
        <v>115246.0779016289</v>
      </c>
      <c r="G23" s="16"/>
      <c r="K23" s="57">
        <f>(TableIncome[[#This Row],[SalaryP1]]-TableIncome[[#This Row],[InvestmentP1]])/12</f>
        <v>28741.127958614903</v>
      </c>
      <c r="L23" s="57">
        <f>(TableIncome[[#This Row],[SalaryP2]]-TableIncome[[#This Row],[InvestmentP2]])/12</f>
        <v>43750.825870062814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423840.16480578703</v>
      </c>
      <c r="D24" s="37">
        <f>(TableIncomeCalculations[[#This Row],[NetMonthlySalaryP2]]*12)</f>
        <v>645690.82174084662</v>
      </c>
      <c r="E24" s="36">
        <f>TableIncome[[#This Row],[SalaryP1]]*$I$7</f>
        <v>76291.229665041668</v>
      </c>
      <c r="F24" s="36">
        <f>TableIncome[[#This Row],[SalaryP2]]*$I$7</f>
        <v>116224.34791335241</v>
      </c>
      <c r="G24" s="16"/>
      <c r="K24" s="57">
        <f>(TableIncome[[#This Row],[SalaryP1]]-TableIncome[[#This Row],[InvestmentP1]])/12</f>
        <v>28962.411261728779</v>
      </c>
      <c r="L24" s="57">
        <f>(TableIncome[[#This Row],[SalaryP2]]-TableIncome[[#This Row],[InvestmentP2]])/12</f>
        <v>44122.206152291183</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440193.54062127648</v>
      </c>
      <c r="D25" s="37">
        <f>(TableIncomeCalculations[[#This Row],[NetMonthlySalaryP2]]*12)</f>
        <v>673136.73040308885</v>
      </c>
      <c r="E25" s="36">
        <f>TableIncome[[#This Row],[SalaryP1]]*$I$7</f>
        <v>79234.837311829775</v>
      </c>
      <c r="F25" s="36">
        <f>TableIncome[[#This Row],[SalaryP2]]*$I$7</f>
        <v>121164.611472556</v>
      </c>
      <c r="G25" s="16"/>
      <c r="K25" s="57">
        <f>(TableIncome[[#This Row],[SalaryP1]]-TableIncome[[#This Row],[InvestmentP1]])/12</f>
        <v>30079.891942453891</v>
      </c>
      <c r="L25" s="57">
        <f>(TableIncome[[#This Row],[SalaryP2]]-TableIncome[[#This Row],[InvestmentP2]])/12</f>
        <v>45997.6765775444</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443627.74954252923</v>
      </c>
      <c r="D26" s="37">
        <f>(TableIncomeCalculations[[#This Row],[NetMonthlySalaryP2]]*12)</f>
        <v>678900.37122215971</v>
      </c>
      <c r="E26" s="36">
        <f>TableIncome[[#This Row],[SalaryP1]]*$I$7</f>
        <v>79852.994917655276</v>
      </c>
      <c r="F26" s="36">
        <f>TableIncome[[#This Row],[SalaryP2]]*$I$7</f>
        <v>122202.06681998876</v>
      </c>
      <c r="G26" s="16"/>
      <c r="K26" s="57">
        <f>(TableIncome[[#This Row],[SalaryP1]]-TableIncome[[#This Row],[InvestmentP1]])/12</f>
        <v>30314.562885406165</v>
      </c>
      <c r="L26" s="57">
        <f>(TableIncome[[#This Row],[SalaryP2]]-TableIncome[[#This Row],[InvestmentP2]])/12</f>
        <v>46391.525366847578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447096.30055299448</v>
      </c>
      <c r="D27" s="37">
        <f>(TableIncomeCalculations[[#This Row],[NetMonthlySalaryP2]]*12)</f>
        <v>684721.64844942139</v>
      </c>
      <c r="E27" s="36">
        <f>TableIncome[[#This Row],[SalaryP1]]*$I$7</f>
        <v>80477.334099539017</v>
      </c>
      <c r="F27" s="36">
        <f>TableIncome[[#This Row],[SalaryP2]]*$I$7</f>
        <v>123249.89672089586</v>
      </c>
      <c r="G27" s="16"/>
      <c r="K27" s="57">
        <f>(TableIncome[[#This Row],[SalaryP1]]-TableIncome[[#This Row],[InvestmentP1]])/12</f>
        <v>30551.580537787955</v>
      </c>
      <c r="L27" s="57">
        <f>(TableIncome[[#This Row],[SalaryP2]]-TableIncome[[#This Row],[InvestmentP2]])/12</f>
        <v>46789.312644043792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450599.53707356448</v>
      </c>
      <c r="D28" s="37">
        <f>(TableIncomeCalculations[[#This Row],[NetMonthlySalaryP2]]*12)</f>
        <v>690601.13844895561</v>
      </c>
      <c r="E28" s="36">
        <f>TableIncome[[#This Row],[SalaryP1]]*$I$7</f>
        <v>81107.91667324162</v>
      </c>
      <c r="F28" s="36">
        <f>TableIncome[[#This Row],[SalaryP2]]*$I$7</f>
        <v>124308.20492081203</v>
      </c>
      <c r="G28" s="16"/>
      <c r="K28" s="57">
        <f>(TableIncome[[#This Row],[SalaryP1]]-TableIncome[[#This Row],[InvestmentP1]])/12</f>
        <v>30790.968366693571</v>
      </c>
      <c r="L28" s="57">
        <f>(TableIncome[[#This Row],[SalaryP2]]-TableIncome[[#This Row],[InvestmentP2]])/12</f>
        <v>47191.077794011966</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454137.80595934018</v>
      </c>
      <c r="D29" s="37">
        <f>(TableIncomeCalculations[[#This Row],[NetMonthlySalaryP2]]*12)</f>
        <v>696539.42334848526</v>
      </c>
      <c r="E29" s="36">
        <f>TableIncome[[#This Row],[SalaryP1]]*$I$7</f>
        <v>81744.805072681236</v>
      </c>
      <c r="F29" s="36">
        <f>TableIncome[[#This Row],[SalaryP2]]*$I$7</f>
        <v>125377.09620272736</v>
      </c>
      <c r="G29" s="16"/>
      <c r="K29" s="57">
        <f>(TableIncome[[#This Row],[SalaryP1]]-TableIncome[[#This Row],[InvestmentP1]])/12</f>
        <v>31032.750073888248</v>
      </c>
      <c r="L29" s="57">
        <f>(TableIncome[[#This Row],[SalaryP2]]-TableIncome[[#This Row],[InvestmentP2]])/12</f>
        <v>47596.860595479819</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457711.4575339735</v>
      </c>
      <c r="D30" s="37">
        <f>(TableIncomeCalculations[[#This Row],[NetMonthlySalaryP2]]*12)</f>
        <v>702537.09109701007</v>
      </c>
      <c r="E30" s="36">
        <f>TableIncome[[#This Row],[SalaryP1]]*$I$7</f>
        <v>82388.062356115246</v>
      </c>
      <c r="F30" s="36">
        <f>TableIncome[[#This Row],[SalaryP2]]*$I$7</f>
        <v>126456.67639746182</v>
      </c>
      <c r="G30" s="16"/>
      <c r="K30" s="57">
        <f>(TableIncome[[#This Row],[SalaryP1]]-TableIncome[[#This Row],[InvestmentP1]])/12</f>
        <v>31276.949598154853</v>
      </c>
      <c r="L30" s="57">
        <f>(TableIncome[[#This Row],[SalaryP2]]-TableIncome[[#This Row],[InvestmentP2]])/12</f>
        <v>48006.701224962359</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461320.84562435327</v>
      </c>
      <c r="D31" s="37">
        <f>(TableIncomeCalculations[[#This Row],[NetMonthlySalaryP2]]*12)</f>
        <v>708594.73552302015</v>
      </c>
      <c r="E31" s="36">
        <f>TableIncome[[#This Row],[SalaryP1]]*$I$7</f>
        <v>83037.752212383595</v>
      </c>
      <c r="F31" s="36">
        <f>TableIncome[[#This Row],[SalaryP2]]*$I$7</f>
        <v>127547.05239414364</v>
      </c>
      <c r="G31" s="16"/>
      <c r="K31" s="57">
        <f>(TableIncome[[#This Row],[SalaryP1]]-TableIncome[[#This Row],[InvestmentP1]])/12</f>
        <v>31523.591117664138</v>
      </c>
      <c r="L31" s="57">
        <f>(TableIncome[[#This Row],[SalaryP2]]-TableIncome[[#This Row],[InvestmentP2]])/12</f>
        <v>48420.64026073971</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464966.32759563683</v>
      </c>
      <c r="D32" s="37">
        <f>(TableIncomeCalculations[[#This Row],[NetMonthlySalaryP2]]*12)</f>
        <v>714712.95639329054</v>
      </c>
      <c r="E32" s="36">
        <f>TableIncome[[#This Row],[SalaryP1]]*$I$7</f>
        <v>83693.938967214635</v>
      </c>
      <c r="F32" s="36">
        <f>TableIncome[[#This Row],[SalaryP2]]*$I$7</f>
        <v>128648.33215079231</v>
      </c>
      <c r="G32" s="16"/>
      <c r="K32" s="57">
        <f>(TableIncome[[#This Row],[SalaryP1]]-TableIncome[[#This Row],[InvestmentP1]])/12</f>
        <v>31772.699052368513</v>
      </c>
      <c r="L32" s="57">
        <f>(TableIncome[[#This Row],[SalaryP2]]-TableIncome[[#This Row],[InvestmentP2]])/12</f>
        <v>48838.718686874847</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468648.26438663318</v>
      </c>
      <c r="D33" s="37">
        <f>(TableIncomeCalculations[[#This Row],[NetMonthlySalaryP2]]*12)</f>
        <v>720892.35947226337</v>
      </c>
      <c r="E33" s="36">
        <f>TableIncome[[#This Row],[SalaryP1]]*$I$7</f>
        <v>84356.687589593988</v>
      </c>
      <c r="F33" s="36">
        <f>TableIncome[[#This Row],[SalaryP2]]*$I$7</f>
        <v>129760.62470500742</v>
      </c>
      <c r="G33" s="16"/>
      <c r="K33" s="57">
        <f>(TableIncome[[#This Row],[SalaryP1]]-TableIncome[[#This Row],[InvestmentP1]])/12</f>
        <v>32024.298066419931</v>
      </c>
      <c r="L33" s="57">
        <f>(TableIncome[[#This Row],[SalaryP2]]-TableIncome[[#This Row],[InvestmentP2]])/12</f>
        <v>49260.977897271332</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472367.0205455395</v>
      </c>
      <c r="D34" s="37">
        <f>(TableIncomeCalculations[[#This Row],[NetMonthlySalaryP2]]*12)</f>
        <v>727133.55658202595</v>
      </c>
      <c r="E34" s="36">
        <f>TableIncome[[#This Row],[SalaryP1]]*$I$7</f>
        <v>85026.063698197118</v>
      </c>
      <c r="F34" s="36">
        <f>TableIncome[[#This Row],[SalaryP2]]*$I$7</f>
        <v>130884.04018476469</v>
      </c>
      <c r="G34" s="16"/>
      <c r="K34" s="57">
        <f>(TableIncome[[#This Row],[SalaryP1]]-TableIncome[[#This Row],[InvestmentP1]])/12</f>
        <v>32278.413070611863</v>
      </c>
      <c r="L34" s="57">
        <f>(TableIncome[[#This Row],[SalaryP2]]-TableIncome[[#This Row],[InvestmentP2]])/12</f>
        <v>49687.459699771774</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476122.96426603489</v>
      </c>
      <c r="D35" s="37">
        <f>(TableIncomeCalculations[[#This Row],[NetMonthlySalaryP2]]*12)</f>
        <v>733437.16566288634</v>
      </c>
      <c r="E35" s="36">
        <f>TableIncome[[#This Row],[SalaryP1]]*$I$7</f>
        <v>85702.133567886296</v>
      </c>
      <c r="F35" s="36">
        <f>TableIncome[[#This Row],[SalaryP2]]*$I$7</f>
        <v>132018.68981931955</v>
      </c>
      <c r="G35" s="16"/>
      <c r="K35" s="57">
        <f>(TableIncome[[#This Row],[SalaryP1]]-TableIncome[[#This Row],[InvestmentP1]])/12</f>
        <v>32535.069224845716</v>
      </c>
      <c r="L35" s="57">
        <f>(TableIncome[[#This Row],[SalaryP2]]-TableIncome[[#This Row],[InvestmentP2]])/12</f>
        <v>50118.206320297235</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479916.46742373519</v>
      </c>
      <c r="D36" s="37">
        <f>(TableIncomeCalculations[[#This Row],[NetMonthlySalaryP2]]*12)</f>
        <v>739803.81083455496</v>
      </c>
      <c r="E36" s="36">
        <f>TableIncome[[#This Row],[SalaryP1]]*$I$7</f>
        <v>86384.964136272349</v>
      </c>
      <c r="F36" s="36">
        <f>TableIncome[[#This Row],[SalaryP2]]*$I$7</f>
        <v>133164.68595021989</v>
      </c>
      <c r="G36" s="16"/>
      <c r="K36" s="57">
        <f>(TableIncome[[#This Row],[SalaryP1]]-TableIncome[[#This Row],[InvestmentP1]])/12</f>
        <v>32794.291940621908</v>
      </c>
      <c r="L36" s="57">
        <f>(TableIncome[[#This Row],[SalaryP2]]-TableIncome[[#This Row],[InvestmentP2]])/12</f>
        <v>50553.260407027927</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483747.90561301261</v>
      </c>
      <c r="D37" s="37">
        <f>(TableIncomeCalculations[[#This Row],[NetMonthlySalaryP2]]*12)</f>
        <v>746234.12245794083</v>
      </c>
      <c r="E37" s="36">
        <f>TableIncome[[#This Row],[SalaryP1]]*$I$7</f>
        <v>87074.623010342286</v>
      </c>
      <c r="F37" s="36">
        <f>TableIncome[[#This Row],[SalaryP2]]*$I$7</f>
        <v>134322.14204242936</v>
      </c>
      <c r="G37" s="16"/>
      <c r="K37" s="57">
        <f>(TableIncome[[#This Row],[SalaryP1]]-TableIncome[[#This Row],[InvestmentP1]])/12</f>
        <v>33056.106883555862</v>
      </c>
      <c r="L37" s="57">
        <f>(TableIncome[[#This Row],[SalaryP2]]-TableIncome[[#This Row],[InvestmentP2]])/12</f>
        <v>50992.665034625948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503096.6684688633</v>
      </c>
      <c r="D38" s="37">
        <f>(TableIncomeCalculations[[#This Row],[NetMonthlySalaryP2]]*12)</f>
        <v>0</v>
      </c>
      <c r="E38" s="36">
        <f>TableIncome[[#This Row],[SalaryP1]]*$I$7</f>
        <v>90557.400324395407</v>
      </c>
      <c r="F38" s="36">
        <f>TableIncome[[#This Row],[SalaryP2]]*$I$7</f>
        <v>0</v>
      </c>
      <c r="G38" s="16"/>
      <c r="K38" s="57">
        <f>(TableIncome[[#This Row],[SalaryP1]]-TableIncome[[#This Row],[InvestmentP1]])/12</f>
        <v>34378.272345372323</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507159.90866859187</v>
      </c>
      <c r="D39" s="37">
        <f>(TableIncomeCalculations[[#This Row],[NetMonthlySalaryP2]]*12)</f>
        <v>0</v>
      </c>
      <c r="E39" s="36">
        <f>TableIncome[[#This Row],[SalaryP1]]*$I$7</f>
        <v>91288.78356034655</v>
      </c>
      <c r="F39" s="36">
        <f>TableIncome[[#This Row],[SalaryP2]]*$I$7</f>
        <v>0</v>
      </c>
      <c r="G39" s="16"/>
      <c r="K39" s="57">
        <f>(TableIncome[[#This Row],[SalaryP1]]-TableIncome[[#This Row],[InvestmentP1]])/12</f>
        <v>34655.927092353777</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511263.78127031773</v>
      </c>
      <c r="D40" s="37">
        <f>(TableIncomeCalculations[[#This Row],[NetMonthlySalaryP2]]*12)</f>
        <v>0</v>
      </c>
      <c r="E40" s="36">
        <f>TableIncome[[#This Row],[SalaryP1]]*$I$7</f>
        <v>92027.480628657198</v>
      </c>
      <c r="F40" s="36">
        <f>TableIncome[[#This Row],[SalaryP2]]*$I$7</f>
        <v>0</v>
      </c>
      <c r="G40" s="16"/>
      <c r="K40" s="57">
        <f>(TableIncome[[#This Row],[SalaryP1]]-TableIncome[[#This Row],[InvestmentP1]])/12</f>
        <v>34936.358386805041</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515408.69259806094</v>
      </c>
      <c r="D41" s="37">
        <f>(TableIncomeCalculations[[#This Row],[NetMonthlySalaryP2]]*12)</f>
        <v>0</v>
      </c>
      <c r="E41" s="36">
        <f>TableIncome[[#This Row],[SalaryP1]]*$I$7</f>
        <v>92773.564667650979</v>
      </c>
      <c r="F41" s="36">
        <f>TableIncome[[#This Row],[SalaryP2]]*$I$7</f>
        <v>0</v>
      </c>
      <c r="G41" s="16"/>
      <c r="K41" s="57">
        <f>(TableIncome[[#This Row],[SalaryP1]]-TableIncome[[#This Row],[InvestmentP1]])/12</f>
        <v>35219.593994200834</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519595.05303908151</v>
      </c>
      <c r="D42" s="37">
        <f>(TableIncomeCalculations[[#This Row],[NetMonthlySalaryP2]]*12)</f>
        <v>0</v>
      </c>
      <c r="E42" s="36">
        <f>TableIncome[[#This Row],[SalaryP1]]*$I$7</f>
        <v>93527.109547034677</v>
      </c>
      <c r="F42" s="36">
        <f>TableIncome[[#This Row],[SalaryP2]]*$I$7</f>
        <v>0</v>
      </c>
      <c r="G42" s="16"/>
      <c r="K42" s="57">
        <f>(TableIncome[[#This Row],[SalaryP1]]-TableIncome[[#This Row],[InvestmentP1]])/12</f>
        <v>35505.661957670571</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523823.2770845124</v>
      </c>
      <c r="D43" s="37">
        <f>(TableIncomeCalculations[[#This Row],[NetMonthlySalaryP2]]*12)</f>
        <v>0</v>
      </c>
      <c r="E43" s="36">
        <f>TableIncome[[#This Row],[SalaryP1]]*$I$7</f>
        <v>94288.189875212251</v>
      </c>
      <c r="F43" s="36">
        <f>TableIncome[[#This Row],[SalaryP2]]*$I$7</f>
        <v>0</v>
      </c>
      <c r="G43" s="16"/>
      <c r="K43" s="57">
        <f>(TableIncome[[#This Row],[SalaryP1]]-TableIncome[[#This Row],[InvestmentP1]])/12</f>
        <v>35794.590600775009</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528093.78337039752</v>
      </c>
      <c r="D44" s="37">
        <f>(TableIncomeCalculations[[#This Row],[NetMonthlySalaryP2]]*12)</f>
        <v>0</v>
      </c>
      <c r="E44" s="36">
        <f>TableIncome[[#This Row],[SalaryP1]]*$I$7</f>
        <v>95056.881006671567</v>
      </c>
      <c r="F44" s="36">
        <f>TableIncome[[#This Row],[SalaryP2]]*$I$7</f>
        <v>0</v>
      </c>
      <c r="G44" s="16"/>
      <c r="K44" s="57">
        <f>(TableIncome[[#This Row],[SalaryP1]]-TableIncome[[#This Row],[InvestmentP1]])/12</f>
        <v>36086.408530310495</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532406.99471914151</v>
      </c>
      <c r="D45" s="37">
        <f>(TableIncomeCalculations[[#This Row],[NetMonthlySalaryP2]]*12)</f>
        <v>0</v>
      </c>
      <c r="E45" s="36">
        <f>TableIncome[[#This Row],[SalaryP1]]*$I$7</f>
        <v>95833.259049445478</v>
      </c>
      <c r="F45" s="36">
        <f>TableIncome[[#This Row],[SalaryP2]]*$I$7</f>
        <v>0</v>
      </c>
      <c r="G45" s="16"/>
      <c r="K45" s="57">
        <f>(TableIncome[[#This Row],[SalaryP1]]-TableIncome[[#This Row],[InvestmentP1]])/12</f>
        <v>36381.144639141334</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536763.33818137296</v>
      </c>
      <c r="D46" s="37">
        <f>(TableIncomeCalculations[[#This Row],[NetMonthlySalaryP2]]*12)</f>
        <v>0</v>
      </c>
      <c r="E46" s="36">
        <f>TableIncome[[#This Row],[SalaryP1]]*$I$7</f>
        <v>96617.400872647151</v>
      </c>
      <c r="F46" s="36">
        <f>TableIncome[[#This Row],[SalaryP2]]*$I$7</f>
        <v>0</v>
      </c>
      <c r="G46" s="16"/>
      <c r="K46" s="57">
        <f>(TableIncome[[#This Row],[SalaryP1]]-TableIncome[[#This Row],[InvestmentP1]])/12</f>
        <v>36678.82810906048</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541163.24507822655</v>
      </c>
      <c r="D47" s="37">
        <f>(TableIncomeCalculations[[#This Row],[NetMonthlySalaryP2]]*12)</f>
        <v>0</v>
      </c>
      <c r="E47" s="36">
        <f>TableIncome[[#This Row],[SalaryP1]]*$I$7</f>
        <v>97409.384114080793</v>
      </c>
      <c r="F47" s="36">
        <f>TableIncome[[#This Row],[SalaryP2]]*$I$7</f>
        <v>0</v>
      </c>
      <c r="G47" s="16"/>
      <c r="K47" s="57">
        <f>(TableIncome[[#This Row],[SalaryP1]]-TableIncome[[#This Row],[InvestmentP1]])/12</f>
        <v>36979.48841367881</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545607.15104404883</v>
      </c>
      <c r="D48" s="37">
        <f>(TableIncomeCalculations[[#This Row],[NetMonthlySalaryP2]]*12)</f>
        <v>0</v>
      </c>
      <c r="E48" s="36">
        <f>TableIncome[[#This Row],[SalaryP1]]*$I$7</f>
        <v>98209.2871879288</v>
      </c>
      <c r="F48" s="36">
        <f>TableIncome[[#This Row],[SalaryP2]]*$I$7</f>
        <v>0</v>
      </c>
      <c r="G48" s="16"/>
      <c r="K48" s="57">
        <f>(TableIncome[[#This Row],[SalaryP1]]-TableIncome[[#This Row],[InvestmentP1]])/12</f>
        <v>37283.155321343336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550095.49606952933</v>
      </c>
      <c r="D49" s="37">
        <f>(TableIncomeCalculations[[#This Row],[NetMonthlySalaryP2]]*12)</f>
        <v>0</v>
      </c>
      <c r="E49" s="36">
        <f>TableIncome[[#This Row],[SalaryP1]]*$I$7</f>
        <v>99017.189292515293</v>
      </c>
      <c r="F49" s="36">
        <f>TableIncome[[#This Row],[SalaryP2]]*$I$7</f>
        <v>0</v>
      </c>
      <c r="K49" s="57">
        <f>(TableIncome[[#This Row],[SalaryP1]]-TableIncome[[#This Row],[InvestmentP1]])/12</f>
        <v>37589.858898084502</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554628.72454526462</v>
      </c>
      <c r="D50" s="37">
        <f>(TableIncomeCalculations[[#This Row],[NetMonthlySalaryP2]]*12)</f>
        <v>0</v>
      </c>
      <c r="E50" s="36">
        <f>TableIncome[[#This Row],[SalaryP1]]*$I$7</f>
        <v>99833.170418147638</v>
      </c>
      <c r="F50" s="36">
        <f>TableIncome[[#This Row],[SalaryP2]]*$I$7</f>
        <v>0</v>
      </c>
      <c r="K50" s="57">
        <f>(TableIncome[[#This Row],[SalaryP1]]-TableIncome[[#This Row],[InvestmentP1]])/12</f>
        <v>37899.629510593084</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559207.28530575731</v>
      </c>
      <c r="D51" s="37">
        <f>(TableIncomeCalculations[[#This Row],[NetMonthlySalaryP2]]*12)</f>
        <v>0</v>
      </c>
      <c r="E51" s="36">
        <f>TableIncome[[#This Row],[SalaryP1]]*$I$7</f>
        <v>100657.31135503633</v>
      </c>
      <c r="F51" s="36">
        <f>TableIncome[[#This Row],[SalaryP2]]*$I$7</f>
        <v>0</v>
      </c>
      <c r="K51" s="57">
        <f>(TableIncome[[#This Row],[SalaryP1]]-TableIncome[[#This Row],[InvestmentP1]])/12</f>
        <v>38212.497829226748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563831.63167385489</v>
      </c>
      <c r="D52" s="37">
        <f>(TableIncomeCalculations[[#This Row],[NetMonthlySalaryP2]]*12)</f>
        <v>0</v>
      </c>
      <c r="E52" s="36">
        <f>TableIncome[[#This Row],[SalaryP1]]*$I$7</f>
        <v>101489.69370129389</v>
      </c>
      <c r="F52" s="36">
        <f>TableIncome[[#This Row],[SalaryP2]]*$I$7</f>
        <v>0</v>
      </c>
      <c r="K52" s="57">
        <f>(TableIncome[[#This Row],[SalaryP1]]-TableIncome[[#This Row],[InvestmentP1]])/12</f>
        <v>38528.494831046752</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11542485.609751757</v>
      </c>
    </row>
    <row r="17" spans="1:4" x14ac:dyDescent="0.2">
      <c r="A17" s="2" t="s">
        <v>184</v>
      </c>
      <c r="B17" s="28">
        <f>B16/25</f>
        <v>461699.42439007031</v>
      </c>
      <c r="C17" s="2" t="s">
        <v>182</v>
      </c>
    </row>
    <row r="18" spans="1:4" x14ac:dyDescent="0.2">
      <c r="A18" s="2" t="s">
        <v>183</v>
      </c>
      <c r="B18" s="30">
        <f>B17/12</f>
        <v>38474.952032505862</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
      <c r="A40" s="2" t="s">
        <v>250</v>
      </c>
      <c r="B40" s="26">
        <f>AT38</f>
        <v>9402684.2786489464</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14854176.445099022</v>
      </c>
    </row>
    <row r="17" spans="1:4" x14ac:dyDescent="0.2">
      <c r="A17" s="2" t="s">
        <v>184</v>
      </c>
      <c r="B17" s="28">
        <f>B16/25</f>
        <v>594167.05780396087</v>
      </c>
      <c r="C17" s="2" t="s">
        <v>182</v>
      </c>
    </row>
    <row r="18" spans="1:4" x14ac:dyDescent="0.2">
      <c r="A18" s="2" t="s">
        <v>183</v>
      </c>
      <c r="B18" s="30">
        <f>B17/12</f>
        <v>49513.921483663406</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
      <c r="BI18" s="2">
        <v>49929.433026865918</v>
      </c>
    </row>
    <row r="19" spans="4:61" x14ac:dyDescent="0.2">
      <c r="BI19" s="2">
        <v>50348.083483387927</v>
      </c>
    </row>
    <row r="20" spans="4:61" x14ac:dyDescent="0.2">
      <c r="D20" s="26"/>
      <c r="BI20" s="2">
        <v>52462.268288823987</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
      <c r="D32" s="2" t="s">
        <v>274</v>
      </c>
      <c r="E32" s="26">
        <f>Income!$L$37</f>
        <v>50992.665034625948</v>
      </c>
      <c r="F32" s="26">
        <f>Income!$L$37</f>
        <v>50992.665034625948</v>
      </c>
      <c r="G32" s="26">
        <f>Income!$L$37</f>
        <v>50992.665034625948</v>
      </c>
      <c r="H32" s="26">
        <f>Income!$L$37</f>
        <v>50992.665034625948</v>
      </c>
      <c r="I32" s="26">
        <f>Income!$L$37</f>
        <v>50992.665034625948</v>
      </c>
      <c r="J32" s="26">
        <f>Income!$L$37</f>
        <v>50992.665034625948</v>
      </c>
      <c r="K32" s="26">
        <f>Income!$L$37</f>
        <v>50992.665034625948</v>
      </c>
      <c r="L32" s="26">
        <f>Income!$L$37</f>
        <v>50992.665034625948</v>
      </c>
      <c r="M32" s="26">
        <f>Income!$L$37</f>
        <v>50992.665034625948</v>
      </c>
      <c r="N32" s="26">
        <f>Income!$L$37</f>
        <v>50992.665034625948</v>
      </c>
      <c r="O32" s="26">
        <f>Income!$L$37</f>
        <v>50992.665034625948</v>
      </c>
      <c r="P32" s="26">
        <f>Income!$L$37</f>
        <v>50992.665034625948</v>
      </c>
      <c r="Q32" s="26">
        <f>Income!$L$37</f>
        <v>50992.665034625948</v>
      </c>
      <c r="R32" s="26">
        <f>Income!$L$37</f>
        <v>50992.665034625948</v>
      </c>
      <c r="S32" s="26">
        <f>Income!$L$37</f>
        <v>50992.665034625948</v>
      </c>
      <c r="T32" s="26">
        <f>Income!$L$37</f>
        <v>50992.665034625948</v>
      </c>
      <c r="U32" s="26">
        <f>Income!$L$37</f>
        <v>50992.665034625948</v>
      </c>
      <c r="V32" s="26">
        <f>Income!$L$37</f>
        <v>50992.665034625948</v>
      </c>
      <c r="W32" s="26">
        <f>Income!$L$37</f>
        <v>50992.665034625948</v>
      </c>
      <c r="X32" s="26">
        <f>Income!$L$37</f>
        <v>50992.665034625948</v>
      </c>
      <c r="Y32" s="26">
        <f>Income!$L$37</f>
        <v>50992.665034625948</v>
      </c>
      <c r="Z32" s="26">
        <f>Income!$L$37</f>
        <v>50992.665034625948</v>
      </c>
      <c r="AA32" s="26">
        <f>Income!$L$37</f>
        <v>50992.665034625948</v>
      </c>
      <c r="AB32" s="26">
        <f>Income!$L$37</f>
        <v>50992.665034625948</v>
      </c>
      <c r="AC32" s="26">
        <f>Income!$L$37</f>
        <v>50992.665034625948</v>
      </c>
      <c r="BI32" s="2">
        <v>60074.363289355279</v>
      </c>
    </row>
    <row r="33" spans="4:61" x14ac:dyDescent="0.2">
      <c r="D33" s="2" t="s">
        <v>204</v>
      </c>
      <c r="E33" s="26">
        <f>E32-E31</f>
        <v>12300.572133926376</v>
      </c>
      <c r="F33" s="26">
        <f t="shared" ref="F33:AC33" si="33">F32-F31</f>
        <v>12300.572133926376</v>
      </c>
      <c r="G33" s="26">
        <f t="shared" si="33"/>
        <v>12300.572133926376</v>
      </c>
      <c r="H33" s="26">
        <f t="shared" si="33"/>
        <v>12300.572133926376</v>
      </c>
      <c r="I33" s="26">
        <f t="shared" si="33"/>
        <v>12300.572133926376</v>
      </c>
      <c r="J33" s="26">
        <f t="shared" si="33"/>
        <v>12300.572133926376</v>
      </c>
      <c r="K33" s="26">
        <f t="shared" si="33"/>
        <v>12300.572133926376</v>
      </c>
      <c r="L33" s="26">
        <f t="shared" si="33"/>
        <v>12300.572133926376</v>
      </c>
      <c r="M33" s="26">
        <f t="shared" si="33"/>
        <v>12300.572133926376</v>
      </c>
      <c r="N33" s="26">
        <f t="shared" si="33"/>
        <v>12300.572133926376</v>
      </c>
      <c r="O33" s="26">
        <f t="shared" si="33"/>
        <v>12300.572133926376</v>
      </c>
      <c r="P33" s="26">
        <f t="shared" si="33"/>
        <v>12300.572133926376</v>
      </c>
      <c r="Q33" s="26">
        <f t="shared" si="33"/>
        <v>12300.572133926376</v>
      </c>
      <c r="R33" s="26">
        <f t="shared" si="33"/>
        <v>12300.572133926376</v>
      </c>
      <c r="S33" s="26">
        <f t="shared" si="33"/>
        <v>12300.572133926376</v>
      </c>
      <c r="T33" s="26">
        <f t="shared" si="33"/>
        <v>12300.572133926376</v>
      </c>
      <c r="U33" s="26">
        <f t="shared" si="33"/>
        <v>12300.572133926376</v>
      </c>
      <c r="V33" s="26">
        <f t="shared" si="33"/>
        <v>12300.572133926376</v>
      </c>
      <c r="W33" s="26">
        <f t="shared" si="33"/>
        <v>12300.572133926376</v>
      </c>
      <c r="X33" s="26">
        <f t="shared" si="33"/>
        <v>12300.572133926376</v>
      </c>
      <c r="Y33" s="26">
        <f t="shared" si="33"/>
        <v>12300.572133926376</v>
      </c>
      <c r="Z33" s="26">
        <f t="shared" si="33"/>
        <v>12300.572133926376</v>
      </c>
      <c r="AA33" s="26">
        <f t="shared" si="33"/>
        <v>12300.572133926376</v>
      </c>
      <c r="AB33" s="26">
        <f t="shared" si="33"/>
        <v>12300.572133926376</v>
      </c>
      <c r="AC33" s="26">
        <f t="shared" si="33"/>
        <v>12300.572133926376</v>
      </c>
      <c r="BI33" s="2">
        <v>60594.463048502163</v>
      </c>
    </row>
    <row r="34" spans="4:61" x14ac:dyDescent="0.2">
      <c r="D34" s="2" t="s">
        <v>264</v>
      </c>
      <c r="E34" s="26">
        <f>E33*(1+$B$10)</f>
        <v>15621.726610086498</v>
      </c>
      <c r="F34" s="26">
        <f t="shared" ref="F34:AC34" si="34">F33*(1+$B$10)</f>
        <v>15621.726610086498</v>
      </c>
      <c r="G34" s="26">
        <f t="shared" si="34"/>
        <v>15621.726610086498</v>
      </c>
      <c r="H34" s="26">
        <f t="shared" si="34"/>
        <v>15621.726610086498</v>
      </c>
      <c r="I34" s="26">
        <f t="shared" si="34"/>
        <v>15621.726610086498</v>
      </c>
      <c r="J34" s="26">
        <f t="shared" si="34"/>
        <v>15621.726610086498</v>
      </c>
      <c r="K34" s="26">
        <f t="shared" si="34"/>
        <v>15621.726610086498</v>
      </c>
      <c r="L34" s="26">
        <f t="shared" si="34"/>
        <v>15621.726610086498</v>
      </c>
      <c r="M34" s="26">
        <f t="shared" si="34"/>
        <v>15621.726610086498</v>
      </c>
      <c r="N34" s="26">
        <f t="shared" si="34"/>
        <v>15621.726610086498</v>
      </c>
      <c r="O34" s="26">
        <f t="shared" si="34"/>
        <v>15621.726610086498</v>
      </c>
      <c r="P34" s="26">
        <f t="shared" si="34"/>
        <v>15621.726610086498</v>
      </c>
      <c r="Q34" s="26">
        <f t="shared" si="34"/>
        <v>15621.726610086498</v>
      </c>
      <c r="R34" s="26">
        <f t="shared" si="34"/>
        <v>15621.726610086498</v>
      </c>
      <c r="S34" s="26">
        <f t="shared" si="34"/>
        <v>15621.726610086498</v>
      </c>
      <c r="T34" s="26">
        <f t="shared" si="34"/>
        <v>15621.726610086498</v>
      </c>
      <c r="U34" s="26">
        <f t="shared" si="34"/>
        <v>15621.726610086498</v>
      </c>
      <c r="V34" s="26">
        <f t="shared" si="34"/>
        <v>15621.726610086498</v>
      </c>
      <c r="W34" s="26">
        <f t="shared" si="34"/>
        <v>15621.726610086498</v>
      </c>
      <c r="X34" s="26">
        <f t="shared" si="34"/>
        <v>15621.726610086498</v>
      </c>
      <c r="Y34" s="26">
        <f t="shared" si="34"/>
        <v>15621.726610086498</v>
      </c>
      <c r="Z34" s="26">
        <f t="shared" si="34"/>
        <v>15621.726610086498</v>
      </c>
      <c r="AA34" s="26">
        <f t="shared" si="34"/>
        <v>15621.726610086498</v>
      </c>
      <c r="AB34" s="26">
        <f t="shared" si="34"/>
        <v>15621.726610086498</v>
      </c>
      <c r="AC34" s="26">
        <f t="shared" si="34"/>
        <v>15621.726610086498</v>
      </c>
      <c r="BI34" s="2">
        <v>61119.763805240531</v>
      </c>
    </row>
    <row r="35" spans="4:61" x14ac:dyDescent="0.2">
      <c r="D35" s="2" t="s">
        <v>265</v>
      </c>
      <c r="E35" s="26">
        <f>E34*12</f>
        <v>187460.71932103799</v>
      </c>
      <c r="F35" s="26">
        <f t="shared" ref="F35:AC35" si="35">F34*12</f>
        <v>187460.71932103799</v>
      </c>
      <c r="G35" s="26">
        <f t="shared" si="35"/>
        <v>187460.71932103799</v>
      </c>
      <c r="H35" s="26">
        <f t="shared" si="35"/>
        <v>187460.71932103799</v>
      </c>
      <c r="I35" s="26">
        <f t="shared" si="35"/>
        <v>187460.71932103799</v>
      </c>
      <c r="J35" s="26">
        <f t="shared" si="35"/>
        <v>187460.71932103799</v>
      </c>
      <c r="K35" s="26">
        <f t="shared" si="35"/>
        <v>187460.71932103799</v>
      </c>
      <c r="L35" s="26">
        <f t="shared" si="35"/>
        <v>187460.71932103799</v>
      </c>
      <c r="M35" s="26">
        <f t="shared" si="35"/>
        <v>187460.71932103799</v>
      </c>
      <c r="N35" s="26">
        <f t="shared" si="35"/>
        <v>187460.71932103799</v>
      </c>
      <c r="O35" s="26">
        <f t="shared" si="35"/>
        <v>187460.71932103799</v>
      </c>
      <c r="P35" s="26">
        <f t="shared" si="35"/>
        <v>187460.71932103799</v>
      </c>
      <c r="Q35" s="26">
        <f t="shared" si="35"/>
        <v>187460.71932103799</v>
      </c>
      <c r="R35" s="26">
        <f t="shared" si="35"/>
        <v>187460.71932103799</v>
      </c>
      <c r="S35" s="26">
        <f t="shared" si="35"/>
        <v>187460.71932103799</v>
      </c>
      <c r="T35" s="26">
        <f t="shared" si="35"/>
        <v>187460.71932103799</v>
      </c>
      <c r="U35" s="26">
        <f t="shared" si="35"/>
        <v>187460.71932103799</v>
      </c>
      <c r="V35" s="26">
        <f t="shared" si="35"/>
        <v>187460.71932103799</v>
      </c>
      <c r="W35" s="26">
        <f t="shared" si="35"/>
        <v>187460.71932103799</v>
      </c>
      <c r="X35" s="26">
        <f t="shared" si="35"/>
        <v>187460.71932103799</v>
      </c>
      <c r="Y35" s="26">
        <f t="shared" si="35"/>
        <v>187460.71932103799</v>
      </c>
      <c r="Z35" s="26">
        <f t="shared" si="35"/>
        <v>187460.71932103799</v>
      </c>
      <c r="AA35" s="26">
        <f t="shared" si="35"/>
        <v>187460.71932103799</v>
      </c>
      <c r="AB35" s="26">
        <f t="shared" si="35"/>
        <v>187460.71932103799</v>
      </c>
      <c r="AC35" s="26">
        <f t="shared" si="35"/>
        <v>187460.71932103799</v>
      </c>
      <c r="BI35" s="2">
        <v>61650.317569546249</v>
      </c>
    </row>
    <row r="36" spans="4:61" x14ac:dyDescent="0.2">
      <c r="BI36" s="2">
        <v>62186.176871495067</v>
      </c>
    </row>
    <row r="37" spans="4:61" x14ac:dyDescent="0.2">
      <c r="D37" s="2" t="s">
        <v>205</v>
      </c>
      <c r="E37" s="27">
        <f>SUM(E35:AC35)</f>
        <v>4686517.9830259504</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
      <c r="BI18" s="2">
        <v>32417.501238162906</v>
      </c>
    </row>
    <row r="19" spans="4:61" x14ac:dyDescent="0.2">
      <c r="BI19" s="2">
        <v>32744.918996797875</v>
      </c>
    </row>
    <row r="20" spans="4:61" x14ac:dyDescent="0.2">
      <c r="D20" s="26"/>
      <c r="BI20" s="2">
        <v>34398.378677904424</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
      <c r="D32" s="2" t="s">
        <v>274</v>
      </c>
      <c r="E32" s="26">
        <f>Income!$K$52</f>
        <v>38528.494831046752</v>
      </c>
      <c r="F32" s="26">
        <f>Income!$K$52</f>
        <v>38528.494831046752</v>
      </c>
      <c r="G32" s="26">
        <f>Income!$K$52</f>
        <v>38528.494831046752</v>
      </c>
      <c r="H32" s="26">
        <f>Income!$K$52</f>
        <v>38528.494831046752</v>
      </c>
      <c r="I32" s="26">
        <f>Income!$K$52</f>
        <v>38528.494831046752</v>
      </c>
      <c r="J32" s="26">
        <f>Income!$K$52</f>
        <v>38528.494831046752</v>
      </c>
      <c r="K32" s="26">
        <f>Income!$K$52</f>
        <v>38528.494831046752</v>
      </c>
      <c r="L32" s="26">
        <f>Income!$K$52</f>
        <v>38528.494831046752</v>
      </c>
      <c r="M32" s="26">
        <f>Income!$K$52</f>
        <v>38528.494831046752</v>
      </c>
      <c r="N32" s="26">
        <f>Income!$K$52</f>
        <v>38528.494831046752</v>
      </c>
      <c r="O32" s="26">
        <f>Income!$K$52</f>
        <v>38528.494831046752</v>
      </c>
      <c r="P32" s="26">
        <f>Income!$K$52</f>
        <v>38528.494831046752</v>
      </c>
      <c r="Q32" s="26">
        <f>Income!$K$52</f>
        <v>38528.494831046752</v>
      </c>
      <c r="R32" s="26">
        <f>Income!$K$52</f>
        <v>38528.494831046752</v>
      </c>
      <c r="S32" s="26">
        <f>Income!$K$52</f>
        <v>38528.494831046752</v>
      </c>
      <c r="T32" s="26">
        <f>Income!$K$52</f>
        <v>38528.494831046752</v>
      </c>
      <c r="U32" s="26">
        <f>Income!$K$52</f>
        <v>38528.494831046752</v>
      </c>
      <c r="V32" s="26">
        <f>Income!$K$52</f>
        <v>38528.494831046752</v>
      </c>
      <c r="W32" s="26">
        <f>Income!$K$52</f>
        <v>38528.494831046752</v>
      </c>
      <c r="X32" s="26">
        <f>Income!$K$52</f>
        <v>38528.494831046752</v>
      </c>
      <c r="Y32" s="26">
        <f>Income!$K$52</f>
        <v>38528.494831046752</v>
      </c>
      <c r="Z32" s="26">
        <f>Income!$K$52</f>
        <v>38528.494831046752</v>
      </c>
      <c r="AA32" s="26">
        <f>Income!$K$52</f>
        <v>38528.494831046752</v>
      </c>
      <c r="AB32" s="26">
        <f>Income!$K$52</f>
        <v>38528.494831046752</v>
      </c>
      <c r="AC32" s="26">
        <f>Income!$K$52</f>
        <v>38528.494831046752</v>
      </c>
      <c r="BI32" s="2">
        <v>39054.022032219429</v>
      </c>
    </row>
    <row r="33" spans="4:61" x14ac:dyDescent="0.2">
      <c r="D33" s="2" t="s">
        <v>204</v>
      </c>
      <c r="E33" s="26">
        <f>E32-E31</f>
        <v>5832.8113844018371</v>
      </c>
      <c r="F33" s="26">
        <f t="shared" ref="F33:AC33" si="33">F32-F31</f>
        <v>5832.8113844018371</v>
      </c>
      <c r="G33" s="26">
        <f t="shared" si="33"/>
        <v>5832.8113844018371</v>
      </c>
      <c r="H33" s="26">
        <f t="shared" si="33"/>
        <v>5832.8113844018371</v>
      </c>
      <c r="I33" s="26">
        <f t="shared" si="33"/>
        <v>5832.8113844018371</v>
      </c>
      <c r="J33" s="26">
        <f t="shared" si="33"/>
        <v>5832.8113844018371</v>
      </c>
      <c r="K33" s="26">
        <f t="shared" si="33"/>
        <v>5832.8113844018371</v>
      </c>
      <c r="L33" s="26">
        <f t="shared" si="33"/>
        <v>5832.8113844018371</v>
      </c>
      <c r="M33" s="26">
        <f t="shared" si="33"/>
        <v>5832.8113844018371</v>
      </c>
      <c r="N33" s="26">
        <f t="shared" si="33"/>
        <v>5832.8113844018371</v>
      </c>
      <c r="O33" s="26">
        <f t="shared" si="33"/>
        <v>5832.8113844018371</v>
      </c>
      <c r="P33" s="26">
        <f t="shared" si="33"/>
        <v>5832.8113844018371</v>
      </c>
      <c r="Q33" s="26">
        <f t="shared" si="33"/>
        <v>5832.8113844018371</v>
      </c>
      <c r="R33" s="26">
        <f t="shared" si="33"/>
        <v>5832.8113844018371</v>
      </c>
      <c r="S33" s="26">
        <f t="shared" si="33"/>
        <v>5832.8113844018371</v>
      </c>
      <c r="T33" s="26">
        <f t="shared" si="33"/>
        <v>5832.8113844018371</v>
      </c>
      <c r="U33" s="26">
        <f t="shared" si="33"/>
        <v>5832.8113844018371</v>
      </c>
      <c r="V33" s="26">
        <f t="shared" si="33"/>
        <v>5832.8113844018371</v>
      </c>
      <c r="W33" s="26">
        <f t="shared" si="33"/>
        <v>5832.8113844018371</v>
      </c>
      <c r="X33" s="26">
        <f t="shared" si="33"/>
        <v>5832.8113844018371</v>
      </c>
      <c r="Y33" s="26">
        <f t="shared" si="33"/>
        <v>5832.8113844018371</v>
      </c>
      <c r="Z33" s="26">
        <f t="shared" si="33"/>
        <v>5832.8113844018371</v>
      </c>
      <c r="AA33" s="26">
        <f t="shared" si="33"/>
        <v>5832.8113844018371</v>
      </c>
      <c r="AB33" s="26">
        <f t="shared" si="33"/>
        <v>5832.8113844018371</v>
      </c>
      <c r="AC33" s="26">
        <f t="shared" si="33"/>
        <v>5832.8113844018371</v>
      </c>
      <c r="BI33" s="2">
        <v>39363.918378794959</v>
      </c>
    </row>
    <row r="34" spans="4:61" x14ac:dyDescent="0.2">
      <c r="D34" s="2" t="s">
        <v>264</v>
      </c>
      <c r="E34" s="26">
        <f>E33*(1+$B$10)</f>
        <v>7407.6704581903332</v>
      </c>
      <c r="F34" s="26">
        <f t="shared" ref="F34:AC34" si="34">F33*(1+$B$10)</f>
        <v>7407.6704581903332</v>
      </c>
      <c r="G34" s="26">
        <f t="shared" si="34"/>
        <v>7407.6704581903332</v>
      </c>
      <c r="H34" s="26">
        <f t="shared" si="34"/>
        <v>7407.6704581903332</v>
      </c>
      <c r="I34" s="26">
        <f t="shared" si="34"/>
        <v>7407.6704581903332</v>
      </c>
      <c r="J34" s="26">
        <f t="shared" si="34"/>
        <v>7407.6704581903332</v>
      </c>
      <c r="K34" s="26">
        <f t="shared" si="34"/>
        <v>7407.6704581903332</v>
      </c>
      <c r="L34" s="26">
        <f t="shared" si="34"/>
        <v>7407.6704581903332</v>
      </c>
      <c r="M34" s="26">
        <f t="shared" si="34"/>
        <v>7407.6704581903332</v>
      </c>
      <c r="N34" s="26">
        <f t="shared" si="34"/>
        <v>7407.6704581903332</v>
      </c>
      <c r="O34" s="26">
        <f t="shared" si="34"/>
        <v>7407.6704581903332</v>
      </c>
      <c r="P34" s="26">
        <f t="shared" si="34"/>
        <v>7407.6704581903332</v>
      </c>
      <c r="Q34" s="26">
        <f t="shared" si="34"/>
        <v>7407.6704581903332</v>
      </c>
      <c r="R34" s="26">
        <f t="shared" si="34"/>
        <v>7407.6704581903332</v>
      </c>
      <c r="S34" s="26">
        <f t="shared" si="34"/>
        <v>7407.6704581903332</v>
      </c>
      <c r="T34" s="26">
        <f t="shared" si="34"/>
        <v>7407.6704581903332</v>
      </c>
      <c r="U34" s="26">
        <f t="shared" si="34"/>
        <v>7407.6704581903332</v>
      </c>
      <c r="V34" s="26">
        <f t="shared" si="34"/>
        <v>7407.6704581903332</v>
      </c>
      <c r="W34" s="26">
        <f t="shared" si="34"/>
        <v>7407.6704581903332</v>
      </c>
      <c r="X34" s="26">
        <f t="shared" si="34"/>
        <v>7407.6704581903332</v>
      </c>
      <c r="Y34" s="26">
        <f t="shared" si="34"/>
        <v>7407.6704581903332</v>
      </c>
      <c r="Z34" s="26">
        <f t="shared" si="34"/>
        <v>7407.6704581903332</v>
      </c>
      <c r="AA34" s="26">
        <f t="shared" si="34"/>
        <v>7407.6704581903332</v>
      </c>
      <c r="AB34" s="26">
        <f t="shared" si="34"/>
        <v>7407.6704581903332</v>
      </c>
      <c r="AC34" s="26">
        <f t="shared" si="34"/>
        <v>7407.6704581903332</v>
      </c>
      <c r="BI34" s="2">
        <v>39676.913688836241</v>
      </c>
    </row>
    <row r="35" spans="4:61" x14ac:dyDescent="0.2">
      <c r="D35" s="2" t="s">
        <v>265</v>
      </c>
      <c r="E35" s="26">
        <f>E34*12</f>
        <v>88892.045498284002</v>
      </c>
      <c r="F35" s="26">
        <f t="shared" ref="F35:AC35" si="35">F34*12</f>
        <v>88892.045498284002</v>
      </c>
      <c r="G35" s="26">
        <f t="shared" si="35"/>
        <v>88892.045498284002</v>
      </c>
      <c r="H35" s="26">
        <f t="shared" si="35"/>
        <v>88892.045498284002</v>
      </c>
      <c r="I35" s="26">
        <f t="shared" si="35"/>
        <v>88892.045498284002</v>
      </c>
      <c r="J35" s="26">
        <f t="shared" si="35"/>
        <v>88892.045498284002</v>
      </c>
      <c r="K35" s="26">
        <f t="shared" si="35"/>
        <v>88892.045498284002</v>
      </c>
      <c r="L35" s="26">
        <f t="shared" si="35"/>
        <v>88892.045498284002</v>
      </c>
      <c r="M35" s="26">
        <f t="shared" si="35"/>
        <v>88892.045498284002</v>
      </c>
      <c r="N35" s="26">
        <f t="shared" si="35"/>
        <v>88892.045498284002</v>
      </c>
      <c r="O35" s="26">
        <f t="shared" si="35"/>
        <v>88892.045498284002</v>
      </c>
      <c r="P35" s="26">
        <f t="shared" si="35"/>
        <v>88892.045498284002</v>
      </c>
      <c r="Q35" s="26">
        <f t="shared" si="35"/>
        <v>88892.045498284002</v>
      </c>
      <c r="R35" s="26">
        <f t="shared" si="35"/>
        <v>88892.045498284002</v>
      </c>
      <c r="S35" s="26">
        <f t="shared" si="35"/>
        <v>88892.045498284002</v>
      </c>
      <c r="T35" s="26">
        <f t="shared" si="35"/>
        <v>88892.045498284002</v>
      </c>
      <c r="U35" s="26">
        <f t="shared" si="35"/>
        <v>88892.045498284002</v>
      </c>
      <c r="V35" s="26">
        <f t="shared" si="35"/>
        <v>88892.045498284002</v>
      </c>
      <c r="W35" s="26">
        <f t="shared" si="35"/>
        <v>88892.045498284002</v>
      </c>
      <c r="X35" s="26">
        <f t="shared" si="35"/>
        <v>88892.045498284002</v>
      </c>
      <c r="Y35" s="26">
        <f t="shared" si="35"/>
        <v>88892.045498284002</v>
      </c>
      <c r="Z35" s="26">
        <f t="shared" si="35"/>
        <v>88892.045498284002</v>
      </c>
      <c r="AA35" s="26">
        <f t="shared" si="35"/>
        <v>88892.045498284002</v>
      </c>
      <c r="AB35" s="26">
        <f t="shared" si="35"/>
        <v>88892.045498284002</v>
      </c>
      <c r="AC35" s="26">
        <f t="shared" si="35"/>
        <v>88892.045498284002</v>
      </c>
      <c r="BI35" s="2">
        <v>39993.038951977935</v>
      </c>
    </row>
    <row r="36" spans="4:61" x14ac:dyDescent="0.2">
      <c r="BI36" s="2">
        <v>40312.325467751049</v>
      </c>
    </row>
    <row r="37" spans="4:61" x14ac:dyDescent="0.2">
      <c r="D37" s="2" t="s">
        <v>205</v>
      </c>
      <c r="E37" s="27">
        <f>SUM(E35:AC35)</f>
        <v>2222301.1374571007</v>
      </c>
      <c r="BI37" s="2">
        <v>41924.722372405275</v>
      </c>
    </row>
    <row r="38" spans="4:61" x14ac:dyDescent="0.2">
      <c r="E38" s="26"/>
      <c r="BI38" s="2">
        <v>42263.325722382659</v>
      </c>
    </row>
    <row r="39" spans="4:61" x14ac:dyDescent="0.2">
      <c r="E39" s="57">
        <f>1500000</f>
        <v>1500000</v>
      </c>
      <c r="F39" s="57">
        <f>E39/25</f>
        <v>60000</v>
      </c>
      <c r="BI39" s="2">
        <v>42605.315105859809</v>
      </c>
    </row>
    <row r="40" spans="4:61" x14ac:dyDescent="0.2">
      <c r="BI40" s="2">
        <v>42950.724383171742</v>
      </c>
    </row>
    <row r="41" spans="4:61" x14ac:dyDescent="0.2">
      <c r="BI41" s="2">
        <v>43299.58775325679</v>
      </c>
    </row>
    <row r="42" spans="4:61" x14ac:dyDescent="0.2">
      <c r="BI42" s="2">
        <v>43651.939757042703</v>
      </c>
    </row>
    <row r="43" spans="4:61" x14ac:dyDescent="0.2">
      <c r="E43" s="28"/>
      <c r="BI43" s="2">
        <v>44007.81528086646</v>
      </c>
    </row>
    <row r="44" spans="4:61" x14ac:dyDescent="0.2">
      <c r="E44" s="28"/>
      <c r="BI44" s="2">
        <v>44367.249559928459</v>
      </c>
    </row>
    <row r="45" spans="4:61" x14ac:dyDescent="0.2">
      <c r="E45" s="26"/>
      <c r="BI45" s="2">
        <v>44730.278181781083</v>
      </c>
    </row>
    <row r="46" spans="4:61" x14ac:dyDescent="0.2">
      <c r="E46" s="26"/>
      <c r="BI46" s="2">
        <v>45096.93708985221</v>
      </c>
    </row>
    <row r="47" spans="4:61" x14ac:dyDescent="0.2">
      <c r="E47" s="26"/>
      <c r="BI47" s="2">
        <v>45467.262587004072</v>
      </c>
    </row>
    <row r="48" spans="4:61" x14ac:dyDescent="0.2">
      <c r="E48" s="26"/>
      <c r="BI48" s="2">
        <v>45841.291339127441</v>
      </c>
    </row>
    <row r="49" spans="5:61" x14ac:dyDescent="0.2">
      <c r="E49" s="26"/>
      <c r="BI49" s="2">
        <v>46219.060378772054</v>
      </c>
    </row>
    <row r="50" spans="5:61" x14ac:dyDescent="0.2">
      <c r="E50" s="26"/>
      <c r="BI50" s="2">
        <v>46600.607108813107</v>
      </c>
    </row>
    <row r="51" spans="5:61" x14ac:dyDescent="0.2">
      <c r="E51" s="26"/>
      <c r="BI51" s="2">
        <v>46985.969306154577</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Y</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Y</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Y</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Y</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Y</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Y</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N</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Y</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N</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v>1</v>
      </c>
      <c r="D3">
        <v>0.75</v>
      </c>
      <c r="E3">
        <v>0.5</v>
      </c>
      <c r="F3">
        <v>0.25</v>
      </c>
      <c r="G3" s="84"/>
    </row>
    <row r="4" spans="2:7" x14ac:dyDescent="0.2">
      <c r="B4" t="s">
        <v>67</v>
      </c>
      <c r="C4" s="34">
        <f>'Net Salary P1'!E37</f>
        <v>2222301.1374571007</v>
      </c>
      <c r="D4" s="34">
        <f>3500000*0.2</f>
        <v>700000</v>
      </c>
      <c r="E4" s="34">
        <v>72530</v>
      </c>
      <c r="F4" s="34">
        <f>2500000*0.3</f>
        <v>750000</v>
      </c>
      <c r="G4" s="84"/>
    </row>
    <row r="5" spans="2:7" x14ac:dyDescent="0.2">
      <c r="B5" t="s">
        <v>68</v>
      </c>
      <c r="C5">
        <v>50</v>
      </c>
      <c r="D5">
        <v>10</v>
      </c>
      <c r="E5">
        <v>20</v>
      </c>
      <c r="F5">
        <v>30</v>
      </c>
      <c r="G5" s="84"/>
    </row>
    <row r="7" spans="2:7" x14ac:dyDescent="0.2">
      <c r="B7" t="s">
        <v>73</v>
      </c>
      <c r="C7" t="s">
        <v>69</v>
      </c>
      <c r="D7" t="s">
        <v>70</v>
      </c>
      <c r="E7" t="s">
        <v>71</v>
      </c>
      <c r="F7" t="s">
        <v>72</v>
      </c>
      <c r="G7" s="84" t="s">
        <v>74</v>
      </c>
    </row>
    <row r="8" spans="2:7" x14ac:dyDescent="0.2">
      <c r="B8" t="s">
        <v>66</v>
      </c>
      <c r="C8">
        <v>1</v>
      </c>
      <c r="D8">
        <v>0.75</v>
      </c>
      <c r="E8">
        <v>0.5</v>
      </c>
      <c r="F8">
        <v>0.25</v>
      </c>
      <c r="G8" s="84"/>
    </row>
    <row r="9" spans="2:7" x14ac:dyDescent="0.2">
      <c r="B9" t="s">
        <v>67</v>
      </c>
      <c r="C9" s="34">
        <f>'Net Salary P2'!E37</f>
        <v>4686517.9830259504</v>
      </c>
      <c r="D9" s="34">
        <f>3500000*0.2</f>
        <v>700000</v>
      </c>
      <c r="E9" s="34">
        <v>75176</v>
      </c>
      <c r="F9" s="34">
        <f>2500000*0.3</f>
        <v>750000</v>
      </c>
      <c r="G9" s="84"/>
    </row>
    <row r="10" spans="2:7" x14ac:dyDescent="0.2">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baseColWidth="10" defaultColWidth="8.83203125" defaultRowHeight="15" x14ac:dyDescent="0.2"/>
  <cols>
    <col min="1" max="1" width="3.1640625" bestFit="1" customWidth="1"/>
    <col min="2" max="2" width="10.16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7">
        <v>0</v>
      </c>
      <c r="C2" s="67" cm="1">
        <f t="array" ref="C2:BA2">TRANSPOSE(TableIncome[InvestmentP1])</f>
        <v>50934.343205985882</v>
      </c>
      <c r="D2" s="67">
        <v>51450.690969952957</v>
      </c>
      <c r="E2" s="67">
        <v>54058.247177986588</v>
      </c>
      <c r="F2" s="67">
        <v>54605.833981673662</v>
      </c>
      <c r="G2" s="67">
        <v>55158.896653397576</v>
      </c>
      <c r="H2" s="67">
        <v>55717.489951838768</v>
      </c>
      <c r="I2" s="67">
        <v>58538.386108966719</v>
      </c>
      <c r="J2" s="67">
        <v>59130.774301963589</v>
      </c>
      <c r="K2" s="67">
        <v>59729.086376890424</v>
      </c>
      <c r="L2" s="67">
        <v>60333.381572566526</v>
      </c>
      <c r="M2" s="67">
        <v>63385.072310730844</v>
      </c>
      <c r="N2" s="67">
        <v>64025.927365745374</v>
      </c>
      <c r="O2" s="67">
        <v>64673.19097131001</v>
      </c>
      <c r="P2" s="67">
        <v>67941.872179411512</v>
      </c>
      <c r="Q2" s="67">
        <v>68628.295233112833</v>
      </c>
      <c r="R2" s="67">
        <v>69321.582517351184</v>
      </c>
      <c r="S2" s="67">
        <v>70021.802674431878</v>
      </c>
      <c r="T2" s="67">
        <v>70729.025033083424</v>
      </c>
      <c r="U2" s="67">
        <v>74300.497944273564</v>
      </c>
      <c r="V2" s="67">
        <v>75050.507255623525</v>
      </c>
      <c r="W2" s="67">
        <v>75708.337061717306</v>
      </c>
      <c r="X2" s="67">
        <v>76291.229665041668</v>
      </c>
      <c r="Y2" s="67">
        <v>79234.837311829775</v>
      </c>
      <c r="Z2" s="67">
        <v>79852.994917655276</v>
      </c>
      <c r="AA2" s="67">
        <v>80477.334099539017</v>
      </c>
      <c r="AB2" s="67">
        <v>81107.91667324162</v>
      </c>
      <c r="AC2" s="67">
        <v>81744.805072681236</v>
      </c>
      <c r="AD2" s="67">
        <v>82388.062356115246</v>
      </c>
      <c r="AE2" s="67">
        <v>83037.752212383595</v>
      </c>
      <c r="AF2" s="67">
        <v>83693.938967214635</v>
      </c>
      <c r="AG2" s="67">
        <v>84356.687589593988</v>
      </c>
      <c r="AH2" s="67">
        <v>85026.063698197118</v>
      </c>
      <c r="AI2" s="67">
        <v>85702.133567886296</v>
      </c>
      <c r="AJ2" s="67">
        <v>86384.964136272349</v>
      </c>
      <c r="AK2" s="67">
        <v>87074.623010342286</v>
      </c>
      <c r="AL2" s="67">
        <v>90557.400324395407</v>
      </c>
      <c r="AM2" s="67">
        <v>91288.78356034655</v>
      </c>
      <c r="AN2" s="67">
        <v>92027.480628657198</v>
      </c>
      <c r="AO2" s="67">
        <v>92773.564667650979</v>
      </c>
      <c r="AP2" s="67">
        <v>93527.109547034677</v>
      </c>
      <c r="AQ2" s="67">
        <v>94288.189875212251</v>
      </c>
      <c r="AR2" s="67">
        <v>95056.881006671567</v>
      </c>
      <c r="AS2" s="67">
        <v>95833.259049445478</v>
      </c>
      <c r="AT2" s="67">
        <v>96617.400872647151</v>
      </c>
      <c r="AU2" s="67">
        <v>97409.384114080793</v>
      </c>
      <c r="AV2" s="67">
        <v>98209.2871879288</v>
      </c>
      <c r="AW2" s="67">
        <v>99017.189292515293</v>
      </c>
      <c r="AX2" s="67">
        <v>99833.170418147638</v>
      </c>
      <c r="AY2" s="67">
        <v>100657.31135503633</v>
      </c>
      <c r="AZ2" s="67">
        <v>101489.69370129389</v>
      </c>
      <c r="BA2">
        <v>0</v>
      </c>
    </row>
    <row r="3" spans="1:53" x14ac:dyDescent="0.2">
      <c r="A3" s="67" t="s">
        <v>74</v>
      </c>
      <c r="B3" s="69">
        <v>200000</v>
      </c>
      <c r="C3" s="67" cm="1">
        <f t="array" ref="C3:BA3">TRANSPOSE(TableIncome[InvestmentP2])</f>
        <v>83441.527072276251</v>
      </c>
      <c r="D3" s="67">
        <v>84101.751575706221</v>
      </c>
      <c r="E3" s="67">
        <v>87435.885318027533</v>
      </c>
      <c r="F3" s="67">
        <v>88136.053403915008</v>
      </c>
      <c r="G3" s="67">
        <v>88843.223170661338</v>
      </c>
      <c r="H3" s="67">
        <v>89557.464635075143</v>
      </c>
      <c r="I3" s="67">
        <v>93164.384030364905</v>
      </c>
      <c r="J3" s="67">
        <v>93921.837103375758</v>
      </c>
      <c r="K3" s="67">
        <v>94686.864707116722</v>
      </c>
      <c r="L3" s="67">
        <v>95459.542586895084</v>
      </c>
      <c r="M3" s="67">
        <v>99361.565879775851</v>
      </c>
      <c r="N3" s="67">
        <v>100180.99077128082</v>
      </c>
      <c r="O3" s="67">
        <v>101008.60991170083</v>
      </c>
      <c r="P3" s="67">
        <v>105188.08657082188</v>
      </c>
      <c r="Q3" s="67">
        <v>106065.77666923728</v>
      </c>
      <c r="R3" s="67">
        <v>106952.24366863685</v>
      </c>
      <c r="S3" s="67">
        <v>107847.57533803039</v>
      </c>
      <c r="T3" s="67">
        <v>108751.86032411794</v>
      </c>
      <c r="U3" s="67">
        <v>113318.49950385983</v>
      </c>
      <c r="V3" s="67">
        <v>114277.49373160563</v>
      </c>
      <c r="W3" s="67">
        <v>115246.0779016289</v>
      </c>
      <c r="X3" s="67">
        <v>116224.34791335241</v>
      </c>
      <c r="Y3" s="67">
        <v>121164.611472556</v>
      </c>
      <c r="Z3" s="67">
        <v>122202.06681998876</v>
      </c>
      <c r="AA3" s="67">
        <v>123249.89672089586</v>
      </c>
      <c r="AB3" s="67">
        <v>124308.20492081203</v>
      </c>
      <c r="AC3" s="67">
        <v>125377.09620272736</v>
      </c>
      <c r="AD3" s="67">
        <v>126456.67639746182</v>
      </c>
      <c r="AE3" s="67">
        <v>127547.05239414364</v>
      </c>
      <c r="AF3" s="67">
        <v>128648.33215079231</v>
      </c>
      <c r="AG3" s="67">
        <v>129760.62470500742</v>
      </c>
      <c r="AH3" s="67">
        <v>130884.04018476469</v>
      </c>
      <c r="AI3" s="67">
        <v>132018.68981931955</v>
      </c>
      <c r="AJ3" s="67">
        <v>133164.68595021989</v>
      </c>
      <c r="AK3" s="67">
        <v>134322.14204242936</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50934.343205985882</v>
      </c>
      <c r="C2" s="71">
        <f>SUMIF(TableIncome[Year], "&lt;=" &amp; C1, TableIncome[InvestmentP1])</f>
        <v>102385.03417593884</v>
      </c>
      <c r="D2" s="71">
        <f>SUMIF(TableIncome[Year], "&lt;=" &amp; D1, TableIncome[InvestmentP1])</f>
        <v>156443.28135392541</v>
      </c>
      <c r="E2" s="71">
        <f>SUMIF(TableIncome[Year], "&lt;=" &amp; E1, TableIncome[InvestmentP1])</f>
        <v>211049.11533559908</v>
      </c>
      <c r="F2" s="71">
        <f>SUMIF(TableIncome[Year], "&lt;=" &amp; F1, TableIncome[InvestmentP1])</f>
        <v>266208.01198899664</v>
      </c>
      <c r="G2" s="71">
        <f>SUMIF(TableIncome[Year], "&lt;=" &amp; G1, TableIncome[InvestmentP1])</f>
        <v>321925.50194083538</v>
      </c>
      <c r="H2" s="71">
        <f>SUMIF(TableIncome[Year], "&lt;=" &amp; H1, TableIncome[InvestmentP1])</f>
        <v>380463.8880498021</v>
      </c>
      <c r="I2" s="71">
        <f>SUMIF(TableIncome[Year], "&lt;=" &amp; I1, TableIncome[InvestmentP1])</f>
        <v>439594.66235176567</v>
      </c>
      <c r="J2" s="71">
        <f>SUMIF(TableIncome[Year], "&lt;=" &amp; J1, TableIncome[InvestmentP1])</f>
        <v>499323.74872865609</v>
      </c>
      <c r="K2" s="71">
        <f>SUMIF(TableIncome[Year], "&lt;=" &amp; K1, TableIncome[InvestmentP1])</f>
        <v>559657.13030122267</v>
      </c>
      <c r="L2" s="71">
        <f>SUMIF(TableIncome[Year], "&lt;=" &amp; L1, TableIncome[InvestmentP1])</f>
        <v>623042.20261195349</v>
      </c>
      <c r="M2" s="71">
        <f>SUMIF(TableIncome[Year], "&lt;=" &amp; M1, TableIncome[InvestmentP1])</f>
        <v>687068.1299776989</v>
      </c>
      <c r="N2" s="71">
        <f>SUMIF(TableIncome[Year], "&lt;=" &amp; N1, TableIncome[InvestmentP1])</f>
        <v>751741.32094900892</v>
      </c>
      <c r="O2" s="71">
        <f>SUMIF(TableIncome[Year], "&lt;=" &amp; O1, TableIncome[InvestmentP1])</f>
        <v>819683.19312842039</v>
      </c>
      <c r="P2" s="71">
        <f>SUMIF(TableIncome[Year], "&lt;=" &amp; P1, TableIncome[InvestmentP1])</f>
        <v>888311.48836153327</v>
      </c>
      <c r="Q2" s="71">
        <f>SUMIF(TableIncome[Year], "&lt;=" &amp; Q1, TableIncome[InvestmentP1])</f>
        <v>957633.07087888441</v>
      </c>
      <c r="R2" s="71">
        <f>SUMIF(TableIncome[Year], "&lt;=" &amp; R1, TableIncome[InvestmentP1])</f>
        <v>1027654.8735533163</v>
      </c>
      <c r="S2" s="71">
        <f>SUMIF(TableIncome[Year], "&lt;=" &amp; S1, TableIncome[InvestmentP1])</f>
        <v>1098383.8985863999</v>
      </c>
      <c r="T2" s="71">
        <f>SUMIF(TableIncome[Year], "&lt;=" &amp; T1, TableIncome[InvestmentP1])</f>
        <v>1172684.3965306734</v>
      </c>
      <c r="U2" s="71">
        <f>SUMIF(TableIncome[Year], "&lt;=" &amp; U1, TableIncome[InvestmentP1])</f>
        <v>1247734.903786297</v>
      </c>
      <c r="V2" s="71">
        <f>SUMIF(TableIncome[Year], "&lt;=" &amp; V1, TableIncome[InvestmentP1])</f>
        <v>1323443.2408480144</v>
      </c>
      <c r="W2" s="71">
        <f>SUMIF(TableIncome[Year], "&lt;=" &amp; W1, TableIncome[InvestmentP1])</f>
        <v>1399734.470513056</v>
      </c>
      <c r="X2" s="71">
        <f>SUMIF(TableIncome[Year], "&lt;=" &amp; X1, TableIncome[InvestmentP1])</f>
        <v>1478969.3078248857</v>
      </c>
      <c r="Y2" s="71">
        <f>SUMIF(TableIncome[Year], "&lt;=" &amp; Y1, TableIncome[InvestmentP1])</f>
        <v>1558822.3027425411</v>
      </c>
      <c r="Z2" s="71">
        <f>SUMIF(TableIncome[Year], "&lt;=" &amp; Z1, TableIncome[InvestmentP1])</f>
        <v>1639299.6368420802</v>
      </c>
      <c r="AA2" s="71">
        <f>SUMIF(TableIncome[Year], "&lt;=" &amp; AA1, TableIncome[InvestmentP1])</f>
        <v>1720407.5535153218</v>
      </c>
      <c r="AB2" s="71">
        <f>SUMIF(TableIncome[Year], "&lt;=" &amp; AB1, TableIncome[InvestmentP1])</f>
        <v>1802152.3585880031</v>
      </c>
      <c r="AC2" s="71">
        <f>SUMIF(TableIncome[Year], "&lt;=" &amp; AC1, TableIncome[InvestmentP1])</f>
        <v>1884540.4209441184</v>
      </c>
      <c r="AD2" s="71">
        <f>SUMIF(TableIncome[Year], "&lt;=" &amp; AD1, TableIncome[InvestmentP1])</f>
        <v>1967578.173156502</v>
      </c>
      <c r="AE2" s="71">
        <f>SUMIF(TableIncome[Year], "&lt;=" &amp; AE1, TableIncome[InvestmentP1])</f>
        <v>2051272.1121237166</v>
      </c>
      <c r="AF2" s="71">
        <f>SUMIF(TableIncome[Year], "&lt;=" &amp; AF1, TableIncome[InvestmentP1])</f>
        <v>2135628.7997133108</v>
      </c>
      <c r="AG2" s="71">
        <f>SUMIF(TableIncome[Year], "&lt;=" &amp; AG1, TableIncome[InvestmentP1])</f>
        <v>2220654.863411508</v>
      </c>
      <c r="AH2" s="71">
        <f>SUMIF(TableIncome[Year], "&lt;=" &amp; AH1, TableIncome[InvestmentP1])</f>
        <v>2306356.9969793945</v>
      </c>
      <c r="AI2" s="71">
        <f>SUMIF(TableIncome[Year], "&lt;=" &amp; AI1, TableIncome[InvestmentP1])</f>
        <v>2392741.9611156667</v>
      </c>
      <c r="AJ2" s="71">
        <f>SUMIF(TableIncome[Year], "&lt;=" &amp; AJ1, TableIncome[InvestmentP1])</f>
        <v>2479816.5841260091</v>
      </c>
      <c r="AK2" s="71">
        <f>SUMIF(TableIncome[Year], "&lt;=" &amp; AK1, TableIncome[InvestmentP1])</f>
        <v>2570373.9844504045</v>
      </c>
      <c r="AL2" s="71">
        <f>SUMIF(TableIncome[Year], "&lt;=" &amp; AL1, TableIncome[InvestmentP1])</f>
        <v>2661662.7680107509</v>
      </c>
      <c r="AM2" s="71">
        <f>SUMIF(TableIncome[Year], "&lt;=" &amp; AM1, TableIncome[InvestmentP1])</f>
        <v>2753690.248639408</v>
      </c>
      <c r="AN2" s="71">
        <f>SUMIF(TableIncome[Year], "&lt;=" &amp; AN1, TableIncome[InvestmentP1])</f>
        <v>2846463.813307059</v>
      </c>
      <c r="AO2" s="71">
        <f>SUMIF(TableIncome[Year], "&lt;=" &amp; AO1, TableIncome[InvestmentP1])</f>
        <v>2939990.9228540938</v>
      </c>
      <c r="AP2" s="71">
        <f>SUMIF(TableIncome[Year], "&lt;=" &amp; AP1, TableIncome[InvestmentP1])</f>
        <v>3034279.1127293059</v>
      </c>
      <c r="AQ2" s="71">
        <f>SUMIF(TableIncome[Year], "&lt;=" &amp; AQ1, TableIncome[InvestmentP1])</f>
        <v>3129335.9937359774</v>
      </c>
      <c r="AR2" s="71">
        <f>SUMIF(TableIncome[Year], "&lt;=" &amp; AR1, TableIncome[InvestmentP1])</f>
        <v>3225169.2527854228</v>
      </c>
      <c r="AS2" s="71">
        <f>SUMIF(TableIncome[Year], "&lt;=" &amp; AS1, TableIncome[InvestmentP1])</f>
        <v>3321786.6536580701</v>
      </c>
      <c r="AT2" s="71">
        <f>SUMIF(TableIncome[Year], "&lt;=" &amp; AT1, TableIncome[InvestmentP1])</f>
        <v>3419196.0377721507</v>
      </c>
      <c r="AU2" s="71">
        <f>SUMIF(TableIncome[Year], "&lt;=" &amp; AU1, TableIncome[InvestmentP1])</f>
        <v>3517405.3249600795</v>
      </c>
      <c r="AV2" s="71">
        <f>SUMIF(TableIncome[Year], "&lt;=" &amp; AV1, TableIncome[InvestmentP1])</f>
        <v>3616422.5142525947</v>
      </c>
      <c r="AW2" s="71">
        <f>SUMIF(TableIncome[Year], "&lt;=" &amp; AW1, TableIncome[InvestmentP1])</f>
        <v>3716255.6846707421</v>
      </c>
      <c r="AX2" s="71">
        <f>SUMIF(TableIncome[Year], "&lt;=" &amp; AX1, TableIncome[InvestmentP1])</f>
        <v>3816912.9960257784</v>
      </c>
      <c r="AY2" s="71">
        <f>SUMIF(TableIncome[Year], "&lt;=" &amp; AY1, TableIncome[InvestmentP1])</f>
        <v>3918402.6897270721</v>
      </c>
      <c r="AZ2" s="71">
        <f>SUMIF(TableIncome[Year], "&lt;=" &amp; AZ1, TableIncome[InvestmentP1])</f>
        <v>3918402.6897270721</v>
      </c>
    </row>
    <row r="3" spans="1:52" x14ac:dyDescent="0.2">
      <c r="A3" s="67" t="s">
        <v>74</v>
      </c>
      <c r="B3" s="71">
        <f>SUMIF(TableIncome[Year], "&lt;=" &amp; B1, TableIncome[InvestmentP2])</f>
        <v>83441.527072276251</v>
      </c>
      <c r="C3" s="71">
        <f>SUMIF(TableIncome[Year], "&lt;=" &amp; C1, TableIncome[InvestmentP2])</f>
        <v>167543.27864798246</v>
      </c>
      <c r="D3" s="71">
        <f>SUMIF(TableIncome[Year], "&lt;=" &amp; D1, TableIncome[InvestmentP2])</f>
        <v>254979.16396600998</v>
      </c>
      <c r="E3" s="71">
        <f>SUMIF(TableIncome[Year], "&lt;=" &amp; E1, TableIncome[InvestmentP2])</f>
        <v>343115.217369925</v>
      </c>
      <c r="F3" s="71">
        <f>SUMIF(TableIncome[Year], "&lt;=" &amp; F1, TableIncome[InvestmentP2])</f>
        <v>431958.44054058637</v>
      </c>
      <c r="G3" s="71">
        <f>SUMIF(TableIncome[Year], "&lt;=" &amp; G1, TableIncome[InvestmentP2])</f>
        <v>521515.90517566149</v>
      </c>
      <c r="H3" s="71">
        <f>SUMIF(TableIncome[Year], "&lt;=" &amp; H1, TableIncome[InvestmentP2])</f>
        <v>614680.28920602635</v>
      </c>
      <c r="I3" s="71">
        <f>SUMIF(TableIncome[Year], "&lt;=" &amp; I1, TableIncome[InvestmentP2])</f>
        <v>708602.12630940205</v>
      </c>
      <c r="J3" s="71">
        <f>SUMIF(TableIncome[Year], "&lt;=" &amp; J1, TableIncome[InvestmentP2])</f>
        <v>803288.99101651879</v>
      </c>
      <c r="K3" s="71">
        <f>SUMIF(TableIncome[Year], "&lt;=" &amp; K1, TableIncome[InvestmentP2])</f>
        <v>898748.53360341385</v>
      </c>
      <c r="L3" s="71">
        <f>SUMIF(TableIncome[Year], "&lt;=" &amp; L1, TableIncome[InvestmentP2])</f>
        <v>998110.09948318964</v>
      </c>
      <c r="M3" s="71">
        <f>SUMIF(TableIncome[Year], "&lt;=" &amp; M1, TableIncome[InvestmentP2])</f>
        <v>1098291.0902544705</v>
      </c>
      <c r="N3" s="71">
        <f>SUMIF(TableIncome[Year], "&lt;=" &amp; N1, TableIncome[InvestmentP2])</f>
        <v>1199299.7001661714</v>
      </c>
      <c r="O3" s="71">
        <f>SUMIF(TableIncome[Year], "&lt;=" &amp; O1, TableIncome[InvestmentP2])</f>
        <v>1304487.7867369934</v>
      </c>
      <c r="P3" s="71">
        <f>SUMIF(TableIncome[Year], "&lt;=" &amp; P1, TableIncome[InvestmentP2])</f>
        <v>1410553.5634062306</v>
      </c>
      <c r="Q3" s="71">
        <f>SUMIF(TableIncome[Year], "&lt;=" &amp; Q1, TableIncome[InvestmentP2])</f>
        <v>1517505.8070748674</v>
      </c>
      <c r="R3" s="71">
        <f>SUMIF(TableIncome[Year], "&lt;=" &amp; R1, TableIncome[InvestmentP2])</f>
        <v>1625353.3824128979</v>
      </c>
      <c r="S3" s="71">
        <f>SUMIF(TableIncome[Year], "&lt;=" &amp; S1, TableIncome[InvestmentP2])</f>
        <v>1734105.2427370157</v>
      </c>
      <c r="T3" s="71">
        <f>SUMIF(TableIncome[Year], "&lt;=" &amp; T1, TableIncome[InvestmentP2])</f>
        <v>1847423.7422408755</v>
      </c>
      <c r="U3" s="71">
        <f>SUMIF(TableIncome[Year], "&lt;=" &amp; U1, TableIncome[InvestmentP2])</f>
        <v>1961701.2359724811</v>
      </c>
      <c r="V3" s="71">
        <f>SUMIF(TableIncome[Year], "&lt;=" &amp; V1, TableIncome[InvestmentP2])</f>
        <v>2076947.3138741099</v>
      </c>
      <c r="W3" s="71">
        <f>SUMIF(TableIncome[Year], "&lt;=" &amp; W1, TableIncome[InvestmentP2])</f>
        <v>2193171.6617874624</v>
      </c>
      <c r="X3" s="71">
        <f>SUMIF(TableIncome[Year], "&lt;=" &amp; X1, TableIncome[InvestmentP2])</f>
        <v>2314336.2732600183</v>
      </c>
      <c r="Y3" s="71">
        <f>SUMIF(TableIncome[Year], "&lt;=" &amp; Y1, TableIncome[InvestmentP2])</f>
        <v>2436538.340080007</v>
      </c>
      <c r="Z3" s="71">
        <f>SUMIF(TableIncome[Year], "&lt;=" &amp; Z1, TableIncome[InvestmentP2])</f>
        <v>2559788.236800903</v>
      </c>
      <c r="AA3" s="71">
        <f>SUMIF(TableIncome[Year], "&lt;=" &amp; AA1, TableIncome[InvestmentP2])</f>
        <v>2684096.441721715</v>
      </c>
      <c r="AB3" s="71">
        <f>SUMIF(TableIncome[Year], "&lt;=" &amp; AB1, TableIncome[InvestmentP2])</f>
        <v>2809473.5379244424</v>
      </c>
      <c r="AC3" s="71">
        <f>SUMIF(TableIncome[Year], "&lt;=" &amp; AC1, TableIncome[InvestmentP2])</f>
        <v>2935930.2143219044</v>
      </c>
      <c r="AD3" s="71">
        <f>SUMIF(TableIncome[Year], "&lt;=" &amp; AD1, TableIncome[InvestmentP2])</f>
        <v>3063477.2667160481</v>
      </c>
      <c r="AE3" s="71">
        <f>SUMIF(TableIncome[Year], "&lt;=" &amp; AE1, TableIncome[InvestmentP2])</f>
        <v>3192125.5988668404</v>
      </c>
      <c r="AF3" s="71">
        <f>SUMIF(TableIncome[Year], "&lt;=" &amp; AF1, TableIncome[InvestmentP2])</f>
        <v>3321886.2235718477</v>
      </c>
      <c r="AG3" s="71">
        <f>SUMIF(TableIncome[Year], "&lt;=" &amp; AG1, TableIncome[InvestmentP2])</f>
        <v>3452770.2637566123</v>
      </c>
      <c r="AH3" s="71">
        <f>SUMIF(TableIncome[Year], "&lt;=" &amp; AH1, TableIncome[InvestmentP2])</f>
        <v>3584788.953575932</v>
      </c>
      <c r="AI3" s="71">
        <f>SUMIF(TableIncome[Year], "&lt;=" &amp; AI1, TableIncome[InvestmentP2])</f>
        <v>3717953.6395261521</v>
      </c>
      <c r="AJ3" s="71">
        <f>SUMIF(TableIncome[Year], "&lt;=" &amp; AJ1, TableIncome[InvestmentP2])</f>
        <v>3852275.7815685812</v>
      </c>
      <c r="AK3" s="71">
        <f>SUMIF(TableIncome[Year], "&lt;=" &amp; AK1, TableIncome[InvestmentP2])</f>
        <v>3852275.7815685812</v>
      </c>
      <c r="AL3" s="71">
        <f>SUMIF(TableIncome[Year], "&lt;=" &amp; AL1, TableIncome[InvestmentP2])</f>
        <v>3852275.7815685812</v>
      </c>
      <c r="AM3" s="71">
        <f>SUMIF(TableIncome[Year], "&lt;=" &amp; AM1, TableIncome[InvestmentP2])</f>
        <v>3852275.7815685812</v>
      </c>
      <c r="AN3" s="71">
        <f>SUMIF(TableIncome[Year], "&lt;=" &amp; AN1, TableIncome[InvestmentP2])</f>
        <v>3852275.7815685812</v>
      </c>
      <c r="AO3" s="71">
        <f>SUMIF(TableIncome[Year], "&lt;=" &amp; AO1, TableIncome[InvestmentP2])</f>
        <v>3852275.7815685812</v>
      </c>
      <c r="AP3" s="71">
        <f>SUMIF(TableIncome[Year], "&lt;=" &amp; AP1, TableIncome[InvestmentP2])</f>
        <v>3852275.7815685812</v>
      </c>
      <c r="AQ3" s="71">
        <f>SUMIF(TableIncome[Year], "&lt;=" &amp; AQ1, TableIncome[InvestmentP2])</f>
        <v>3852275.7815685812</v>
      </c>
      <c r="AR3" s="71">
        <f>SUMIF(TableIncome[Year], "&lt;=" &amp; AR1, TableIncome[InvestmentP2])</f>
        <v>3852275.7815685812</v>
      </c>
      <c r="AS3" s="71">
        <f>SUMIF(TableIncome[Year], "&lt;=" &amp; AS1, TableIncome[InvestmentP2])</f>
        <v>3852275.7815685812</v>
      </c>
      <c r="AT3" s="71">
        <f>SUMIF(TableIncome[Year], "&lt;=" &amp; AT1, TableIncome[InvestmentP2])</f>
        <v>3852275.7815685812</v>
      </c>
      <c r="AU3" s="71">
        <f>SUMIF(TableIncome[Year], "&lt;=" &amp; AU1, TableIncome[InvestmentP2])</f>
        <v>3852275.7815685812</v>
      </c>
      <c r="AV3" s="71">
        <f>SUMIF(TableIncome[Year], "&lt;=" &amp; AV1, TableIncome[InvestmentP2])</f>
        <v>3852275.7815685812</v>
      </c>
      <c r="AW3" s="71">
        <f>SUMIF(TableIncome[Year], "&lt;=" &amp; AW1, TableIncome[InvestmentP2])</f>
        <v>3852275.7815685812</v>
      </c>
      <c r="AX3" s="71">
        <f>SUMIF(TableIncome[Year], "&lt;=" &amp; AX1, TableIncome[InvestmentP2])</f>
        <v>3852275.7815685812</v>
      </c>
      <c r="AY3" s="71">
        <f>SUMIF(TableIncome[Year], "&lt;=" &amp; AY1, TableIncome[InvestmentP2])</f>
        <v>3852275.7815685812</v>
      </c>
      <c r="AZ3" s="71">
        <f>SUMIF(TableIncome[Year], "&lt;=" &amp; AZ1, TableIncome[InvestmentP2])</f>
        <v>3852275.7815685812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3.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4.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2025-05-07T19:19:51Z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