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F8BD4731-1D64-5543-8FAC-91E372AD5AB3}" xr6:coauthVersionLast="47" xr6:coauthVersionMax="47" xr10:uidLastSave="{00000000-0000-0000-0000-000000000000}"/>
  <bookViews>
    <workbookView xWindow="0" yWindow="760" windowWidth="30240" windowHeight="17640" tabRatio="972" activeTab="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1" l="1"/>
  <c r="C7" i="51"/>
  <c r="B22" i="55"/>
  <c r="B5" i="55"/>
  <c r="B3" i="55"/>
  <c r="N39" i="2"/>
  <c r="N40" i="2"/>
  <c r="N41" i="2"/>
  <c r="N42" i="2"/>
  <c r="N43" i="2"/>
  <c r="N44" i="2"/>
  <c r="N45" i="2"/>
  <c r="N46" i="2"/>
  <c r="N47" i="2"/>
  <c r="N48" i="2"/>
  <c r="N49" i="2"/>
  <c r="D49" i="2" s="1"/>
  <c r="N50" i="2"/>
  <c r="D50" i="2" s="1"/>
  <c r="N51" i="2"/>
  <c r="D51" i="2" s="1"/>
  <c r="N52" i="2"/>
  <c r="N53" i="2"/>
  <c r="E39" i="56"/>
  <c r="F39" i="56" s="1"/>
  <c r="B14" i="56"/>
  <c r="B43" i="55" s="1"/>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W8" i="56" l="1"/>
  <c r="B45" i="55"/>
  <c r="BA8" i="56"/>
  <c r="O8" i="56"/>
  <c r="Q8" i="56"/>
  <c r="R8" i="56"/>
  <c r="AE8" i="56"/>
  <c r="Z8" i="56"/>
  <c r="AX8" i="56"/>
  <c r="AH8" i="56"/>
  <c r="BB8" i="56"/>
  <c r="G8" i="56"/>
  <c r="AM8" i="56"/>
  <c r="I8" i="56"/>
  <c r="AO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C46" i="55"/>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Q97" i="8"/>
  <c r="Q91" i="8"/>
  <c r="Q85" i="8"/>
  <c r="Q17" i="8"/>
  <c r="Q76" i="8"/>
  <c r="Q51" i="8"/>
  <c r="Q24" i="8"/>
  <c r="Q101" i="8"/>
  <c r="T11" i="8" s="1"/>
  <c r="Q49" i="8"/>
  <c r="Q25" i="8"/>
  <c r="T3" i="8" l="1"/>
  <c r="D3" i="8" s="1"/>
  <c r="D54" i="46"/>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l="1"/>
  <c r="D4" i="8"/>
  <c r="E4" i="8" s="1"/>
  <c r="E5" i="8" s="1"/>
  <c r="D5" i="8"/>
  <c r="D6" i="8"/>
  <c r="E52" i="46"/>
  <c r="E53" i="46" s="1"/>
  <c r="F47" i="55"/>
  <c r="G43" i="55" s="1"/>
  <c r="G54" i="55"/>
  <c r="H50" i="55" s="1"/>
  <c r="D40" i="8"/>
  <c r="D42" i="8"/>
  <c r="D41" i="8"/>
  <c r="D38" i="8"/>
  <c r="P8" i="2"/>
  <c r="Q8" i="2"/>
  <c r="O8" i="2"/>
  <c r="R8" i="2"/>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c r="F53" i="46" s="1"/>
  <c r="P9" i="2"/>
  <c r="H52" i="55"/>
  <c r="H53" i="55" s="1"/>
  <c r="G45" i="55"/>
  <c r="G46" i="55" s="1"/>
  <c r="R9" i="2"/>
  <c r="O9" i="2"/>
  <c r="Q9" i="2"/>
  <c r="H6" i="53"/>
  <c r="O16" i="53" a="1"/>
  <c r="O16" i="53" s="1"/>
  <c r="G5" i="53"/>
  <c r="N17" i="53" a="1"/>
  <c r="N17" i="53" s="1"/>
  <c r="Q17" i="53" s="1"/>
  <c r="G47" i="46"/>
  <c r="H43" i="46" s="1"/>
  <c r="E10" i="45"/>
  <c r="D10" i="45"/>
  <c r="E6" i="8"/>
  <c r="E7" i="8" s="1"/>
  <c r="F54" i="46" l="1"/>
  <c r="G50" i="46" s="1"/>
  <c r="G52" i="46" s="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P12" i="2"/>
  <c r="H47" i="55"/>
  <c r="I43" i="55" s="1"/>
  <c r="I54" i="55"/>
  <c r="J50" i="55" s="1"/>
  <c r="Q12" i="2"/>
  <c r="O12" i="2"/>
  <c r="R12" i="2"/>
  <c r="H9" i="53"/>
  <c r="O13" i="53" a="1"/>
  <c r="O13" i="53" s="1"/>
  <c r="G8" i="53"/>
  <c r="N14" i="53" a="1"/>
  <c r="N14" i="53" s="1"/>
  <c r="Q14" i="53" s="1"/>
  <c r="I45" i="46"/>
  <c r="I46" i="46" s="1"/>
  <c r="D13" i="45"/>
  <c r="E13" i="45"/>
  <c r="E12" i="8"/>
  <c r="H54" i="46" l="1"/>
  <c r="I50" i="46" s="1"/>
  <c r="I52" i="46" s="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s="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K54" i="46" l="1"/>
  <c r="L50" i="46" s="1"/>
  <c r="L52" i="46" s="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P18" i="2"/>
  <c r="Q18" i="2"/>
  <c r="K47" i="55"/>
  <c r="L43" i="55" s="1"/>
  <c r="L54" i="55"/>
  <c r="M50" i="55" s="1"/>
  <c r="R18" i="2"/>
  <c r="O18" i="2"/>
  <c r="H15" i="53"/>
  <c r="O7" i="53" a="1"/>
  <c r="O7" i="53" s="1"/>
  <c r="G14" i="53"/>
  <c r="N8" i="53" a="1"/>
  <c r="N8" i="53" s="1"/>
  <c r="Q8" i="53" s="1"/>
  <c r="M45" i="46"/>
  <c r="M46" i="46" s="1"/>
  <c r="E19" i="45"/>
  <c r="D19" i="45"/>
  <c r="E20" i="8"/>
  <c r="M52" i="46" l="1"/>
  <c r="M53" i="46" s="1"/>
  <c r="P19" i="2"/>
  <c r="Q19" i="2"/>
  <c r="M52" i="55"/>
  <c r="M53" i="55" s="1"/>
  <c r="L45" i="55"/>
  <c r="L46" i="55" s="1"/>
  <c r="O19" i="2"/>
  <c r="R19" i="2"/>
  <c r="G15" i="53"/>
  <c r="N7" i="53" a="1"/>
  <c r="N7" i="53" s="1"/>
  <c r="Q7" i="53" s="1"/>
  <c r="H16" i="53"/>
  <c r="O6" i="53" a="1"/>
  <c r="O6" i="53" s="1"/>
  <c r="M47" i="46"/>
  <c r="N43" i="46" s="1"/>
  <c r="D20" i="45"/>
  <c r="E20" i="45"/>
  <c r="E21" i="8"/>
  <c r="E22" i="8" s="1"/>
  <c r="M54" i="46" l="1"/>
  <c r="N50" i="46" s="1"/>
  <c r="N52" i="46" s="1"/>
  <c r="N53" i="46" s="1"/>
  <c r="P20" i="2"/>
  <c r="Q20" i="2"/>
  <c r="L47" i="55"/>
  <c r="M43" i="55" s="1"/>
  <c r="M54" i="55"/>
  <c r="N50" i="55" s="1"/>
  <c r="R20" i="2"/>
  <c r="O20" i="2"/>
  <c r="H17" i="53"/>
  <c r="O5" i="53" a="1"/>
  <c r="O5" i="53" s="1"/>
  <c r="G16" i="53"/>
  <c r="N6" i="53" a="1"/>
  <c r="N6" i="53" s="1"/>
  <c r="Q6" i="53" s="1"/>
  <c r="N45" i="46"/>
  <c r="N46" i="46" s="1"/>
  <c r="E21" i="45"/>
  <c r="D21" i="45"/>
  <c r="E23" i="8"/>
  <c r="E24" i="8" s="1"/>
  <c r="N54" i="46" l="1"/>
  <c r="O50" i="46" s="1"/>
  <c r="O52" i="46" s="1"/>
  <c r="O53" i="46" s="1"/>
  <c r="P21" i="2"/>
  <c r="Q21" i="2"/>
  <c r="N52" i="55"/>
  <c r="N53" i="55" s="1"/>
  <c r="M45" i="55"/>
  <c r="M46" i="55" s="1"/>
  <c r="M47" i="55"/>
  <c r="N43" i="55" s="1"/>
  <c r="O21" i="2"/>
  <c r="R21" i="2"/>
  <c r="H18" i="53"/>
  <c r="O3" i="53" s="1" a="1"/>
  <c r="O3" i="53" s="1"/>
  <c r="O4" i="53" a="1"/>
  <c r="O4" i="53" s="1"/>
  <c r="G17" i="53"/>
  <c r="N5" i="53" a="1"/>
  <c r="N5" i="53" s="1"/>
  <c r="Q5" i="53" s="1"/>
  <c r="N47" i="46"/>
  <c r="O43" i="46" s="1"/>
  <c r="D22" i="45"/>
  <c r="Q22" i="2" s="1"/>
  <c r="E22" i="45"/>
  <c r="E25" i="8"/>
  <c r="E26" i="8" s="1"/>
  <c r="O54" i="46" l="1"/>
  <c r="P50" i="46" s="1"/>
  <c r="P22" i="2"/>
  <c r="N45" i="55"/>
  <c r="N46" i="55" s="1"/>
  <c r="N54" i="55"/>
  <c r="O50" i="55" s="1"/>
  <c r="R22" i="2"/>
  <c r="O22" i="2"/>
  <c r="G18" i="53"/>
  <c r="N3" i="53" s="1" a="1"/>
  <c r="N3" i="53" s="1"/>
  <c r="N4" i="53" a="1"/>
  <c r="N4" i="53" s="1"/>
  <c r="Q4" i="53" s="1"/>
  <c r="O45" i="46"/>
  <c r="O46" i="46" s="1"/>
  <c r="E23" i="45"/>
  <c r="D23" i="45"/>
  <c r="Q23" i="2" s="1"/>
  <c r="P52" i="46" l="1"/>
  <c r="P53" i="46" s="1"/>
  <c r="P54" i="46"/>
  <c r="Q50" i="46" s="1"/>
  <c r="P23" i="2"/>
  <c r="Q3" i="53"/>
  <c r="Q21" i="53" s="1"/>
  <c r="E2" i="56" a="1"/>
  <c r="B2" i="55" a="1"/>
  <c r="O52" i="55"/>
  <c r="O53" i="55" s="1"/>
  <c r="N47" i="55"/>
  <c r="O43" i="55" s="1"/>
  <c r="O23" i="2"/>
  <c r="R23" i="2"/>
  <c r="O47" i="46"/>
  <c r="P43" i="46" s="1"/>
  <c r="P45" i="46" s="1"/>
  <c r="P46" i="46" s="1"/>
  <c r="D24" i="45"/>
  <c r="Q24" i="2" s="1"/>
  <c r="E24" i="45"/>
  <c r="P24" i="2" s="1"/>
  <c r="E27" i="8"/>
  <c r="E28" i="8" s="1"/>
  <c r="Q52" i="46" l="1"/>
  <c r="Q53" i="46" s="1"/>
  <c r="Q54" i="46"/>
  <c r="R50" i="46" s="1"/>
  <c r="R52" i="46" s="1"/>
  <c r="R53" i="46" s="1"/>
  <c r="B2" i="55"/>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W11" i="56"/>
  <c r="AW12" i="56"/>
  <c r="V12" i="56"/>
  <c r="V11" i="56"/>
  <c r="M38" i="55"/>
  <c r="N34" i="55" s="1"/>
  <c r="Y12" i="56"/>
  <c r="Y11" i="56"/>
  <c r="W12" i="56"/>
  <c r="W11" i="56"/>
  <c r="AY11" i="56"/>
  <c r="AY12" i="56"/>
  <c r="AC12" i="56"/>
  <c r="AC11" i="56"/>
  <c r="AR11" i="56"/>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BA12" i="56"/>
  <c r="BA11" i="56"/>
  <c r="BA13" i="56" s="1"/>
  <c r="BA14" i="56" s="1"/>
  <c r="BA16" i="56" s="1"/>
  <c r="BA17" i="56" s="1"/>
  <c r="AL12" i="56"/>
  <c r="AL11" i="56"/>
  <c r="AO12" i="56"/>
  <c r="AO11" i="56"/>
  <c r="AV12" i="56"/>
  <c r="AV11" i="56"/>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V13" i="56" l="1"/>
  <c r="AV14" i="56" s="1"/>
  <c r="AV16" i="56" s="1"/>
  <c r="AV17" i="56" s="1"/>
  <c r="AS13" i="56"/>
  <c r="AS14" i="56" s="1"/>
  <c r="AS16" i="56" s="1"/>
  <c r="AS17" i="56" s="1"/>
  <c r="AR13" i="56"/>
  <c r="AR14" i="56" s="1"/>
  <c r="AR16" i="56" s="1"/>
  <c r="AR17" i="56" s="1"/>
  <c r="AA13" i="56"/>
  <c r="AA14" i="56" s="1"/>
  <c r="AA16" i="56" s="1"/>
  <c r="AA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7" i="2"/>
  <c r="N9" i="2"/>
  <c r="N23" i="2"/>
  <c r="N31" i="2"/>
  <c r="N28" i="2"/>
  <c r="N5" i="2"/>
  <c r="N30" i="2"/>
  <c r="N19" i="2"/>
  <c r="N38" i="55"/>
  <c r="O34" i="55" s="1"/>
  <c r="Z52" i="55"/>
  <c r="Z53" i="55" s="1"/>
  <c r="Y47" i="55"/>
  <c r="Z43" i="55" s="1"/>
  <c r="Q43" i="2"/>
  <c r="P43" i="2"/>
  <c r="R43" i="2"/>
  <c r="AE54" i="46"/>
  <c r="AF50" i="46" s="1"/>
  <c r="AC47" i="46"/>
  <c r="AD43" i="46" s="1"/>
  <c r="E44" i="45"/>
  <c r="D44" i="45"/>
  <c r="N11" i="2" l="1"/>
  <c r="N14" i="2"/>
  <c r="N18" i="2"/>
  <c r="N33" i="2"/>
  <c r="D33" i="2" s="1"/>
  <c r="F33" i="2" s="1"/>
  <c r="L33" i="2" s="1"/>
  <c r="N8" i="2"/>
  <c r="N25" i="2"/>
  <c r="N26" i="2"/>
  <c r="N24" i="2"/>
  <c r="N4" i="2"/>
  <c r="N13" i="2"/>
  <c r="N10" i="2"/>
  <c r="N35" i="2"/>
  <c r="D35" i="2" s="1"/>
  <c r="F35" i="2" s="1"/>
  <c r="L35" i="2" s="1"/>
  <c r="N37" i="2"/>
  <c r="D37" i="2" s="1"/>
  <c r="F37" i="2" s="1"/>
  <c r="L37" i="2" s="1"/>
  <c r="L32" i="56" s="1"/>
  <c r="BI2" i="56"/>
  <c r="N3" i="2" s="1"/>
  <c r="N12" i="2"/>
  <c r="N21" i="2"/>
  <c r="N34" i="2"/>
  <c r="D34" i="2" s="1"/>
  <c r="F34" i="2" s="1"/>
  <c r="L34" i="2" s="1"/>
  <c r="N16" i="2"/>
  <c r="N6" i="2"/>
  <c r="N15" i="2"/>
  <c r="N32" i="2"/>
  <c r="N36" i="2"/>
  <c r="D36" i="2" s="1"/>
  <c r="F36" i="2" s="1"/>
  <c r="L36" i="2" s="1"/>
  <c r="N20" i="2"/>
  <c r="N29" i="2"/>
  <c r="U32" i="56"/>
  <c r="V32" i="56"/>
  <c r="N38" i="2"/>
  <c r="D38" i="2" s="1"/>
  <c r="F38" i="2" s="1"/>
  <c r="L38" i="2" s="1"/>
  <c r="N22" i="2"/>
  <c r="N17" i="2"/>
  <c r="Q32" i="56"/>
  <c r="N32" i="56"/>
  <c r="J32" i="56"/>
  <c r="AB32" i="56"/>
  <c r="H32" i="56"/>
  <c r="K32" i="56"/>
  <c r="F32" i="56"/>
  <c r="X32" i="56"/>
  <c r="O36" i="55"/>
  <c r="O37" i="55" s="1"/>
  <c r="Z45" i="55"/>
  <c r="Z46" i="55" s="1"/>
  <c r="Z54" i="55"/>
  <c r="AA50" i="55" s="1"/>
  <c r="Q44" i="2"/>
  <c r="O44" i="2"/>
  <c r="P44" i="2"/>
  <c r="R44" i="2"/>
  <c r="AF52" i="46"/>
  <c r="AF53" i="46" s="1"/>
  <c r="AD45" i="46"/>
  <c r="AD46" i="46" s="1"/>
  <c r="D45" i="45"/>
  <c r="E45" i="45"/>
  <c r="I32" i="56" l="1"/>
  <c r="Z32" i="56"/>
  <c r="O32" i="56"/>
  <c r="AC32" i="56"/>
  <c r="Y32" i="56"/>
  <c r="S32" i="56"/>
  <c r="R32" i="56"/>
  <c r="T32" i="56"/>
  <c r="AA32" i="56"/>
  <c r="M32" i="56"/>
  <c r="G32" i="56"/>
  <c r="W32" i="56"/>
  <c r="P32" i="56"/>
  <c r="E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L6" i="46" s="1"/>
  <c r="AA3" i="47"/>
  <c r="T4" i="46"/>
  <c r="W4" i="47" s="1"/>
  <c r="AQ4" i="46"/>
  <c r="AT4" i="47" s="1"/>
  <c r="AM4" i="46"/>
  <c r="AM6" i="46" s="1"/>
  <c r="D4" i="46"/>
  <c r="G4" i="47" s="1"/>
  <c r="AS4" i="46"/>
  <c r="AV4"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O4" i="47"/>
  <c r="D6" i="46"/>
  <c r="AS6" i="46" l="1"/>
  <c r="AP4" i="47"/>
  <c r="J6" i="46"/>
  <c r="AM4" i="47"/>
  <c r="AM5" i="47" s="1"/>
  <c r="AM6" i="47" s="1"/>
  <c r="AM7" i="47" s="1"/>
  <c r="AV5" i="47"/>
  <c r="AV6" i="47" s="1"/>
  <c r="AV7" i="47" s="1"/>
  <c r="AV9" i="47" s="1"/>
  <c r="I4" i="47"/>
  <c r="E10" i="47"/>
  <c r="E9" i="47"/>
  <c r="K6" i="46"/>
  <c r="K7" i="46" s="1"/>
  <c r="K8" i="46" s="1"/>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T7" i="46" s="1"/>
  <c r="T8" i="46" s="1"/>
  <c r="AB6" i="46"/>
  <c r="AB7" i="46" s="1"/>
  <c r="AB8" i="46" s="1"/>
  <c r="G5" i="47"/>
  <c r="G6" i="47" s="1"/>
  <c r="G7" i="47" s="1"/>
  <c r="T36" i="55"/>
  <c r="T37" i="55" s="1"/>
  <c r="L6" i="46"/>
  <c r="L7" i="46" s="1"/>
  <c r="L8" i="46" s="1"/>
  <c r="AI5" i="47"/>
  <c r="AI6" i="47" s="1"/>
  <c r="AI7" i="47" s="1"/>
  <c r="AI10" i="47" s="1"/>
  <c r="AH5" i="47"/>
  <c r="AH6" i="47" s="1"/>
  <c r="AH7" i="47" s="1"/>
  <c r="AH10" i="47" s="1"/>
  <c r="AQ6" i="46"/>
  <c r="AQ7" i="46" s="1"/>
  <c r="AQ8" i="46" s="1"/>
  <c r="Y6" i="46"/>
  <c r="Y7" i="46" s="1"/>
  <c r="Y8" i="46" s="1"/>
  <c r="G6" i="46"/>
  <c r="G7" i="46" s="1"/>
  <c r="G8" i="46" s="1"/>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J10" i="47"/>
  <c r="AJ9" i="47"/>
  <c r="AB9" i="47"/>
  <c r="AB10" i="47"/>
  <c r="AV10" i="47"/>
  <c r="G10" i="47"/>
  <c r="G9" i="47"/>
  <c r="D7" i="46"/>
  <c r="D8" i="46" s="1"/>
  <c r="AJ7" i="46"/>
  <c r="AJ8" i="46" s="1"/>
  <c r="Z7" i="46"/>
  <c r="Z8" i="46" s="1"/>
  <c r="U7" i="46"/>
  <c r="U8" i="46" s="1"/>
  <c r="AA7" i="46"/>
  <c r="AA8" i="46" s="1"/>
  <c r="AC7" i="46"/>
  <c r="AC8" i="46" s="1"/>
  <c r="O7" i="46"/>
  <c r="O8" i="46" s="1"/>
  <c r="AS7" i="46"/>
  <c r="AS8" i="46" s="1"/>
  <c r="F7" i="46"/>
  <c r="F8" i="46" s="1"/>
  <c r="AL7" i="46"/>
  <c r="AL8" i="46" s="1"/>
  <c r="J7" i="46"/>
  <c r="J8" i="46" s="1"/>
  <c r="Q7" i="46"/>
  <c r="Q8" i="46" s="1"/>
  <c r="E7" i="46"/>
  <c r="E8" i="46" s="1"/>
  <c r="AF7" i="46"/>
  <c r="AF8" i="46" s="1"/>
  <c r="AN7" i="46"/>
  <c r="AN8" i="46" s="1"/>
  <c r="AM7" i="46"/>
  <c r="AM8" i="46" s="1"/>
  <c r="X7" i="46"/>
  <c r="X8" i="46" s="1"/>
  <c r="P7" i="46"/>
  <c r="P8" i="46" s="1"/>
  <c r="N7" i="46"/>
  <c r="N8" i="46" s="1"/>
  <c r="AO7" i="46"/>
  <c r="AO8" i="46" s="1"/>
  <c r="R7" i="46"/>
  <c r="R8" i="46" s="1"/>
  <c r="T9" i="47" l="1"/>
  <c r="AO10" i="47"/>
  <c r="AM10" i="47"/>
  <c r="AM9" i="47"/>
  <c r="AM11" i="47" s="1"/>
  <c r="AI9" i="47"/>
  <c r="AI12" i="47" s="1"/>
  <c r="F9" i="47"/>
  <c r="F11" i="47" s="1"/>
  <c r="V9" i="47"/>
  <c r="V11" i="47" s="1"/>
  <c r="AN9" i="47"/>
  <c r="AN11" i="47" s="1"/>
  <c r="S9" i="47"/>
  <c r="S11" i="47" s="1"/>
  <c r="S10" i="47"/>
  <c r="AK9" i="47"/>
  <c r="AK12" i="47" s="1"/>
  <c r="E12" i="47"/>
  <c r="E11" i="47"/>
  <c r="AF10" i="47"/>
  <c r="Z10" i="47"/>
  <c r="X10" i="47"/>
  <c r="L9" i="47"/>
  <c r="L12" i="47" s="1"/>
  <c r="AH9" i="47"/>
  <c r="AH11"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2" i="47"/>
  <c r="O11" i="47"/>
  <c r="O12" i="47"/>
  <c r="P11" i="47"/>
  <c r="P12" i="47"/>
  <c r="W12" i="47"/>
  <c r="W11" i="47"/>
  <c r="N12" i="47"/>
  <c r="N11" i="47"/>
  <c r="AB11" i="47"/>
  <c r="AB12" i="47"/>
  <c r="AD11" i="47"/>
  <c r="AD12" i="47"/>
  <c r="AV11" i="47"/>
  <c r="AV12" i="47"/>
  <c r="X12" i="47"/>
  <c r="X11" i="47"/>
  <c r="AW12" i="47"/>
  <c r="AW11" i="47"/>
  <c r="AJ11" i="47"/>
  <c r="AJ12" i="47"/>
  <c r="G11" i="47"/>
  <c r="G12" i="47"/>
  <c r="M12" i="47"/>
  <c r="M11" i="47"/>
  <c r="AF11" i="47"/>
  <c r="AF12" i="47"/>
  <c r="H12" i="47"/>
  <c r="H11" i="47"/>
  <c r="AO11" i="47"/>
  <c r="AO12" i="47"/>
  <c r="T12" i="47"/>
  <c r="T11" i="47"/>
  <c r="R11" i="47"/>
  <c r="R12" i="47"/>
  <c r="AA12" i="47"/>
  <c r="AA11" i="47"/>
  <c r="Z12" i="47"/>
  <c r="Z11" i="47"/>
  <c r="AU12" i="47" l="1"/>
  <c r="V12" i="47"/>
  <c r="AS12" i="47"/>
  <c r="AS13" i="47" s="1"/>
  <c r="AS14" i="47" s="1"/>
  <c r="AS16" i="47" s="1"/>
  <c r="AS17" i="47" s="1"/>
  <c r="F12" i="47"/>
  <c r="F13" i="47" s="1"/>
  <c r="F14" i="47" s="1"/>
  <c r="F16" i="47" s="1"/>
  <c r="F17" i="47" s="1"/>
  <c r="AI11" i="47"/>
  <c r="AN12" i="47"/>
  <c r="AN13" i="47" s="1"/>
  <c r="AN14" i="47" s="1"/>
  <c r="AN16" i="47" s="1"/>
  <c r="AN17" i="47" s="1"/>
  <c r="AH12" i="47"/>
  <c r="AH13" i="47" s="1"/>
  <c r="AH14" i="47" s="1"/>
  <c r="AH16" i="47" s="1"/>
  <c r="AH17" i="47" s="1"/>
  <c r="S12" i="47"/>
  <c r="S13" i="47" s="1"/>
  <c r="S14" i="47" s="1"/>
  <c r="S16" i="47" s="1"/>
  <c r="S17" i="47" s="1"/>
  <c r="AY11" i="47"/>
  <c r="AY13" i="47" s="1"/>
  <c r="AY14" i="47" s="1"/>
  <c r="AY16" i="47" s="1"/>
  <c r="AY17" i="47" s="1"/>
  <c r="E13" i="47"/>
  <c r="E14" i="47" s="1"/>
  <c r="E16" i="47" s="1"/>
  <c r="E17" i="47" s="1"/>
  <c r="AK11" i="47"/>
  <c r="AK13" i="47" s="1"/>
  <c r="AK14" i="47" s="1"/>
  <c r="AK16" i="47" s="1"/>
  <c r="AK17" i="47" s="1"/>
  <c r="AE12" i="47"/>
  <c r="AE13" i="47" s="1"/>
  <c r="AE14" i="47" s="1"/>
  <c r="AE16" i="47" s="1"/>
  <c r="AE17" i="47" s="1"/>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V13" i="47"/>
  <c r="V14" i="47" s="1"/>
  <c r="V16" i="47" s="1"/>
  <c r="V17" i="47" s="1"/>
  <c r="N13" i="47"/>
  <c r="N14" i="47" s="1"/>
  <c r="N16" i="47" s="1"/>
  <c r="N17" i="47" s="1"/>
  <c r="P13" i="47"/>
  <c r="P14" i="47" s="1"/>
  <c r="P16" i="47" s="1"/>
  <c r="P17" i="47" s="1"/>
  <c r="AA13" i="47"/>
  <c r="AA14" i="47" s="1"/>
  <c r="AA16" i="47" s="1"/>
  <c r="AA17" i="47" s="1"/>
  <c r="T13" i="47"/>
  <c r="T14" i="47" s="1"/>
  <c r="T16" i="47" s="1"/>
  <c r="T17" i="47" s="1"/>
  <c r="AD13" i="47"/>
  <c r="AD14" i="47" s="1"/>
  <c r="AD16" i="47" s="1"/>
  <c r="AD17" i="47" s="1"/>
  <c r="AW13" i="47"/>
  <c r="AW14" i="47" s="1"/>
  <c r="AW16" i="47" s="1"/>
  <c r="AW17" i="47" s="1"/>
  <c r="G13" i="47"/>
  <c r="G14" i="47" s="1"/>
  <c r="G16" i="47" s="1"/>
  <c r="G17" i="47" s="1"/>
  <c r="W13" i="47"/>
  <c r="W14" i="47" s="1"/>
  <c r="W16" i="47" s="1"/>
  <c r="W17" i="47" s="1"/>
  <c r="AV13" i="47"/>
  <c r="AV14" i="47" s="1"/>
  <c r="AV16" i="47" s="1"/>
  <c r="AV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K54" i="55"/>
  <c r="AL50"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O52" i="55" s="1"/>
  <c r="AO53" i="55" s="1"/>
  <c r="AD38" i="55"/>
  <c r="AE34" i="55" s="1"/>
  <c r="AE36" i="55"/>
  <c r="AE37" i="55" s="1"/>
  <c r="AM47" i="55"/>
  <c r="AN43" i="55" s="1"/>
  <c r="AN45" i="55"/>
  <c r="AN46"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N36" i="55"/>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s="1"/>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AA26" i="47" l="1"/>
  <c r="M27" i="47"/>
  <c r="U27" i="47"/>
  <c r="J25" i="47"/>
  <c r="X26" i="47"/>
  <c r="U25" i="47"/>
  <c r="X27" i="47"/>
  <c r="X28" i="47" s="1"/>
  <c r="X29" i="47" s="1"/>
  <c r="X31" i="47" s="1"/>
  <c r="X33" i="47" s="1"/>
  <c r="X34" i="47" s="1"/>
  <c r="X35" i="47" s="1"/>
  <c r="E27" i="47"/>
  <c r="E25" i="47"/>
  <c r="E26" i="47"/>
  <c r="W26" i="47"/>
  <c r="I27" i="47"/>
  <c r="W27" i="47"/>
  <c r="H27" i="47"/>
  <c r="AA25" i="47"/>
  <c r="I25" i="47"/>
  <c r="I28" i="47" s="1"/>
  <c r="I29" i="47" s="1"/>
  <c r="I31" i="47" s="1"/>
  <c r="I33" i="47" s="1"/>
  <c r="I34" i="47" s="1"/>
  <c r="I35" i="47" s="1"/>
  <c r="F25" i="47"/>
  <c r="G27" i="47"/>
  <c r="R27" i="47"/>
  <c r="H25" i="47"/>
  <c r="L25" i="47"/>
  <c r="N25" i="47"/>
  <c r="N26" i="47"/>
  <c r="L27" i="47"/>
  <c r="AB25" i="47"/>
  <c r="F26" i="47"/>
  <c r="J27" i="47"/>
  <c r="AB26" i="47"/>
  <c r="P25" i="47"/>
  <c r="T26" i="47"/>
  <c r="Z26" i="47"/>
  <c r="Z25" i="47"/>
  <c r="Z28" i="47" s="1"/>
  <c r="Z29" i="47" s="1"/>
  <c r="Z31" i="47" s="1"/>
  <c r="Z33" i="47" s="1"/>
  <c r="Z34" i="47" s="1"/>
  <c r="Z35" i="47" s="1"/>
  <c r="AC25" i="47"/>
  <c r="K25" i="47"/>
  <c r="P26" i="47"/>
  <c r="G26" i="47"/>
  <c r="AC27" i="47"/>
  <c r="M26" i="47"/>
  <c r="Y26" i="47"/>
  <c r="Y27" i="47"/>
  <c r="V26" i="47"/>
  <c r="V25" i="47"/>
  <c r="K26" i="47"/>
  <c r="S25" i="47"/>
  <c r="O25" i="47"/>
  <c r="Q27" i="47"/>
  <c r="S27" i="47"/>
  <c r="O27" i="47"/>
  <c r="T25" i="47"/>
  <c r="Q26" i="47"/>
  <c r="R25" i="47"/>
  <c r="R28" i="47" s="1"/>
  <c r="R29" i="47" s="1"/>
  <c r="R31" i="47" s="1"/>
  <c r="R33" i="47" s="1"/>
  <c r="R34" i="47" s="1"/>
  <c r="R35" i="47" s="1"/>
  <c r="AA28" i="47" l="1"/>
  <c r="AA29" i="47" s="1"/>
  <c r="AA31" i="47" s="1"/>
  <c r="AA33" i="47" s="1"/>
  <c r="AA34" i="47" s="1"/>
  <c r="AA35" i="47" s="1"/>
  <c r="M28" i="47"/>
  <c r="M29" i="47" s="1"/>
  <c r="M31" i="47" s="1"/>
  <c r="M33" i="47" s="1"/>
  <c r="M34" i="47" s="1"/>
  <c r="M35" i="47" s="1"/>
  <c r="U28" i="47"/>
  <c r="U29" i="47" s="1"/>
  <c r="U31" i="47" s="1"/>
  <c r="U33" i="47" s="1"/>
  <c r="U34" i="47" s="1"/>
  <c r="U35" i="47" s="1"/>
  <c r="V28" i="47"/>
  <c r="V29" i="47" s="1"/>
  <c r="V31" i="47" s="1"/>
  <c r="V33" i="47" s="1"/>
  <c r="V34" i="47" s="1"/>
  <c r="V35" i="47" s="1"/>
  <c r="F28" i="47"/>
  <c r="F29" i="47" s="1"/>
  <c r="F31" i="47" s="1"/>
  <c r="F33" i="47" s="1"/>
  <c r="F34" i="47" s="1"/>
  <c r="F35" i="47" s="1"/>
  <c r="J28" i="47"/>
  <c r="J29" i="47" s="1"/>
  <c r="J31" i="47" s="1"/>
  <c r="J33" i="47" s="1"/>
  <c r="J34" i="47" s="1"/>
  <c r="J35" i="47" s="1"/>
  <c r="L28" i="47"/>
  <c r="L29" i="47" s="1"/>
  <c r="L31" i="47" s="1"/>
  <c r="L33" i="47" s="1"/>
  <c r="L34" i="47" s="1"/>
  <c r="L35" i="47" s="1"/>
  <c r="N28" i="47"/>
  <c r="N29" i="47" s="1"/>
  <c r="N31" i="47" s="1"/>
  <c r="N33" i="47" s="1"/>
  <c r="N34" i="47" s="1"/>
  <c r="N35" i="47" s="1"/>
  <c r="G28" i="47"/>
  <c r="G29" i="47" s="1"/>
  <c r="G31" i="47" s="1"/>
  <c r="G33" i="47" s="1"/>
  <c r="G34" i="47" s="1"/>
  <c r="G35" i="47" s="1"/>
  <c r="AB28" i="47"/>
  <c r="AB29" i="47" s="1"/>
  <c r="AB31" i="47" s="1"/>
  <c r="AB33" i="47" s="1"/>
  <c r="AB34" i="47" s="1"/>
  <c r="AB35" i="47" s="1"/>
  <c r="W28" i="47"/>
  <c r="W29" i="47" s="1"/>
  <c r="W31" i="47" s="1"/>
  <c r="W33" i="47" s="1"/>
  <c r="W34" i="47" s="1"/>
  <c r="W35" i="47" s="1"/>
  <c r="H28" i="47"/>
  <c r="H29" i="47" s="1"/>
  <c r="H31" i="47" s="1"/>
  <c r="H33" i="47" s="1"/>
  <c r="H34" i="47" s="1"/>
  <c r="H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<sst xmlns="http://schemas.openxmlformats.org/spreadsheetml/2006/main" count="1524" uniqueCount="278">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</sst>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tabSelected="1"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f>20%*(1-25%)</f>
        <v>0.15000000000000002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0.15000000000000002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42445.286004988237</v>
      </c>
      <c r="F3" s="36">
        <f>TableIncome[[#This Row],[SalaryP2]]*$I$7</f>
        <v>69534.605893563552</v>
      </c>
      <c r="G3" s="16"/>
      <c r="H3" s="14" t="s">
        <v>63</v>
      </c>
      <c r="I3" s="15" cm="1">
        <f t="array" ref="I3:I7">'Salary Variables'!$C$4:$C$8</f>
        <v>0.03</v>
      </c>
      <c r="K3" s="57">
        <f>(TableIncome[[#This Row],[SalaryP1]]-TableIncome[[#This Row],[InvestmentP1]])/12</f>
        <v>20043.607280133332</v>
      </c>
      <c r="L3" s="57">
        <f>(TableIncome[[#This Row],[SalaryP2]]-TableIncome[[#This Row],[InvestmentP2]])/12</f>
        <v>32835.786116405005</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42875.575808294132</v>
      </c>
      <c r="F4" s="36">
        <f>TableIncome[[#This Row],[SalaryP2]]*$I$7</f>
        <v>70084.792979755191</v>
      </c>
      <c r="G4" s="16"/>
      <c r="H4" s="14" t="s">
        <v>65</v>
      </c>
      <c r="I4" s="15">
        <v>9.9999999999999985E-3</v>
      </c>
      <c r="K4" s="57">
        <f>(TableIncome[[#This Row],[SalaryP1]]-TableIncome[[#This Row],[InvestmentP1]])/12</f>
        <v>20246.799687250004</v>
      </c>
      <c r="L4" s="57">
        <f>(TableIncome[[#This Row],[SalaryP2]]-TableIncome[[#This Row],[InvestmentP2]])/12</f>
        <v>33095.596684884389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45048.539314988826</v>
      </c>
      <c r="F5" s="36">
        <f>TableIncome[[#This Row],[SalaryP2]]*$I$7</f>
        <v>72863.237765022946</v>
      </c>
      <c r="G5" s="16"/>
      <c r="H5" s="14" t="s">
        <v>64</v>
      </c>
      <c r="I5" s="15">
        <v>0.06</v>
      </c>
      <c r="K5" s="57">
        <f>(TableIncome[[#This Row],[SalaryP1]]-TableIncome[[#This Row],[InvestmentP1]])/12</f>
        <v>21272.921343189166</v>
      </c>
      <c r="L5" s="57">
        <f>(TableIncome[[#This Row],[SalaryP2]]-TableIncome[[#This Row],[InvestmentP2]])/12</f>
        <v>34407.640055705277</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45504.86165139472</v>
      </c>
      <c r="F6" s="36">
        <f>TableIncome[[#This Row],[SalaryP2]]*$I$7</f>
        <v>73446.711169929185</v>
      </c>
      <c r="G6" s="16"/>
      <c r="H6" s="14" t="s">
        <v>175</v>
      </c>
      <c r="I6" s="15">
        <v>3.9999999999999994E-2</v>
      </c>
      <c r="K6" s="57">
        <f>(TableIncome[[#This Row],[SalaryP1]]-TableIncome[[#This Row],[InvestmentP1]])/12</f>
        <v>21488.406890936392</v>
      </c>
      <c r="L6" s="57">
        <f>(TableIncome[[#This Row],[SalaryP2]]-TableIncome[[#This Row],[InvestmentP2]])/12</f>
        <v>34683.169163577659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45965.747211164649</v>
      </c>
      <c r="F7" s="36">
        <f>TableIncome[[#This Row],[SalaryP2]]*$I$7</f>
        <v>74036.019308884453</v>
      </c>
      <c r="G7" s="16"/>
      <c r="H7" s="14" t="s">
        <v>76</v>
      </c>
      <c r="I7" s="15">
        <v>0.15000000000000002</v>
      </c>
      <c r="K7" s="57">
        <f>(TableIncome[[#This Row],[SalaryP1]]-TableIncome[[#This Row],[InvestmentP1]])/12</f>
        <v>21706.047294161082</v>
      </c>
      <c r="L7" s="57">
        <f>(TableIncome[[#This Row],[SalaryP2]]-TableIncome[[#This Row],[InvestmentP2]])/12</f>
        <v>34961.453562528761</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46431.241626532305</v>
      </c>
      <c r="F8" s="36">
        <f>TableIncome[[#This Row],[SalaryP2]]*$I$7</f>
        <v>74631.220529229293</v>
      </c>
      <c r="G8" s="16"/>
      <c r="I8" s="17"/>
      <c r="K8" s="57">
        <f>(TableIncome[[#This Row],[SalaryP1]]-TableIncome[[#This Row],[InvestmentP1]])/12</f>
        <v>21925.864101418032</v>
      </c>
      <c r="L8" s="57">
        <f>(TableIncome[[#This Row],[SalaryP2]]-TableIncome[[#This Row],[InvestmentP2]])/12</f>
        <v>35242.520805469387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48781.988424138937</v>
      </c>
      <c r="F9" s="36">
        <f>TableIncome[[#This Row],[SalaryP2]]*$I$7</f>
        <v>77636.986691970757</v>
      </c>
      <c r="G9" s="16"/>
      <c r="K9" s="57">
        <f>(TableIncome[[#This Row],[SalaryP1]]-TableIncome[[#This Row],[InvestmentP1]])/12</f>
        <v>23035.938978065606</v>
      </c>
      <c r="L9" s="57">
        <f>(TableIncome[[#This Row],[SalaryP2]]-TableIncome[[#This Row],[InvestmentP2]])/12</f>
        <v>36661.910382319526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49275.645251636328</v>
      </c>
      <c r="F10" s="36">
        <f>TableIncome[[#This Row],[SalaryP2]]*$I$7</f>
        <v>78268.19758614646</v>
      </c>
      <c r="G10" s="16"/>
      <c r="H10" s="28"/>
      <c r="K10" s="57">
        <f>(TableIncome[[#This Row],[SalaryP1]]-TableIncome[[#This Row],[InvestmentP1]])/12</f>
        <v>23269.054702161593</v>
      </c>
      <c r="L10" s="57">
        <f>(TableIncome[[#This Row],[SalaryP2]]-TableIncome[[#This Row],[InvestmentP2]])/12</f>
        <v>36959.982193458047</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49774.238647408689</v>
      </c>
      <c r="F11" s="36">
        <f>TableIncome[[#This Row],[SalaryP2]]*$I$7</f>
        <v>78905.720589263932</v>
      </c>
      <c r="G11" s="16"/>
      <c r="K11" s="57">
        <f>(TableIncome[[#This Row],[SalaryP1]]-TableIncome[[#This Row],[InvestmentP1]])/12</f>
        <v>23504.501583498542</v>
      </c>
      <c r="L11" s="57">
        <f>(TableIncome[[#This Row],[SalaryP2]]-TableIncome[[#This Row],[InvestmentP2]])/12</f>
        <v>37261.034722707962</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50277.817977138773</v>
      </c>
      <c r="F12" s="36">
        <f>TableIncome[[#This Row],[SalaryP2]]*$I$7</f>
        <v>79549.61882241258</v>
      </c>
      <c r="G12" s="16"/>
      <c r="K12" s="57">
        <f>(TableIncome[[#This Row],[SalaryP1]]-TableIncome[[#This Row],[InvestmentP1]])/12</f>
        <v>23742.302933648858</v>
      </c>
      <c r="L12" s="57">
        <f>(TableIncome[[#This Row],[SalaryP2]]-TableIncome[[#This Row],[InvestmentP2]])/12</f>
        <v>37565.097777250376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52820.893592275701</v>
      </c>
      <c r="F13" s="36">
        <f>TableIncome[[#This Row],[SalaryP2]]*$I$7</f>
        <v>82801.304899813214</v>
      </c>
      <c r="G13" s="16"/>
      <c r="K13" s="57">
        <f>(TableIncome[[#This Row],[SalaryP1]]-TableIncome[[#This Row],[InvestmentP1]])/12</f>
        <v>24943.19975190797</v>
      </c>
      <c r="L13" s="57">
        <f>(TableIncome[[#This Row],[SalaryP2]]-TableIncome[[#This Row],[InvestmentP2]])/12</f>
        <v>39100.616202689569</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53354.939471454476</v>
      </c>
      <c r="F14" s="36">
        <f>TableIncome[[#This Row],[SalaryP2]]*$I$7</f>
        <v>83484.158976067352</v>
      </c>
      <c r="G14" s="16"/>
      <c r="K14" s="57">
        <f>(TableIncome[[#This Row],[SalaryP1]]-TableIncome[[#This Row],[InvestmentP1]])/12</f>
        <v>25195.388083742389</v>
      </c>
      <c r="L14" s="57">
        <f>(TableIncome[[#This Row],[SalaryP2]]-TableIncome[[#This Row],[InvestmentP2]])/12</f>
        <v>39423.075072031796</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53894.325809425012</v>
      </c>
      <c r="F15" s="36">
        <f>TableIncome[[#This Row],[SalaryP2]]*$I$7</f>
        <v>84173.841593084013</v>
      </c>
      <c r="G15" s="16"/>
      <c r="K15" s="57">
        <f>(TableIncome[[#This Row],[SalaryP1]]-TableIncome[[#This Row],[InvestmentP1]])/12</f>
        <v>25450.09829889514</v>
      </c>
      <c r="L15" s="57">
        <f>(TableIncome[[#This Row],[SalaryP2]]-TableIncome[[#This Row],[InvestmentP2]])/12</f>
        <v>39748.758530067447</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56618.226816176262</v>
      </c>
      <c r="F16" s="36">
        <f>TableIncome[[#This Row],[SalaryP2]]*$I$7</f>
        <v>87656.738809018221</v>
      </c>
      <c r="G16" s="16"/>
      <c r="K16" s="57">
        <f>(TableIncome[[#This Row],[SalaryP1]]-TableIncome[[#This Row],[InvestmentP1]])/12</f>
        <v>26736.384885416566</v>
      </c>
      <c r="L16" s="57">
        <f>(TableIncome[[#This Row],[SalaryP2]]-TableIncome[[#This Row],[InvestmentP2]])/12</f>
        <v>41393.459993147488</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57190.246027594032</v>
      </c>
      <c r="F17" s="36">
        <f>TableIncome[[#This Row],[SalaryP2]]*$I$7</f>
        <v>88388.147224364409</v>
      </c>
      <c r="G17" s="16"/>
      <c r="K17" s="57">
        <f>(TableIncome[[#This Row],[SalaryP1]]-TableIncome[[#This Row],[InvestmentP1]])/12</f>
        <v>27006.505068586066</v>
      </c>
      <c r="L17" s="57">
        <f>(TableIncome[[#This Row],[SalaryP2]]-TableIncome[[#This Row],[InvestmentP2]])/12</f>
        <v>41738.8473003943</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57767.985431125984</v>
      </c>
      <c r="F18" s="36">
        <f>TableIncome[[#This Row],[SalaryP2]]*$I$7</f>
        <v>89126.869723864045</v>
      </c>
      <c r="G18" s="16"/>
      <c r="K18" s="57">
        <f>(TableIncome[[#This Row],[SalaryP1]]-TableIncome[[#This Row],[InvestmentP1]])/12</f>
        <v>27279.326453587269</v>
      </c>
      <c r="L18" s="57">
        <f>(TableIncome[[#This Row],[SalaryP2]]-TableIncome[[#This Row],[InvestmentP2]])/12</f>
        <v>42087.688480713572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58351.502228693236</v>
      </c>
      <c r="F19" s="36">
        <f>TableIncome[[#This Row],[SalaryP2]]*$I$7</f>
        <v>89872.979448358674</v>
      </c>
      <c r="G19" s="16"/>
      <c r="K19" s="57">
        <f>(TableIncome[[#This Row],[SalaryP1]]-TableIncome[[#This Row],[InvestmentP1]])/12</f>
        <v>27554.876052438471</v>
      </c>
      <c r="L19" s="57">
        <f>(TableIncome[[#This Row],[SalaryP2]]-TableIncome[[#This Row],[InvestmentP2]])/12</f>
        <v>42440.018072836036</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58940.854194236184</v>
      </c>
      <c r="F20" s="36">
        <f>TableIncome[[#This Row],[SalaryP2]]*$I$7</f>
        <v>90626.550270098291</v>
      </c>
      <c r="G20" s="16"/>
      <c r="K20" s="57">
        <f>(TableIncome[[#This Row],[SalaryP1]]-TableIncome[[#This Row],[InvestmentP1]])/12</f>
        <v>27833.181147278196</v>
      </c>
      <c r="L20" s="57">
        <f>(TableIncome[[#This Row],[SalaryP2]]-TableIncome[[#This Row],[InvestmentP2]])/12</f>
        <v>42795.870960879744</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61917.081620227968</v>
      </c>
      <c r="F21" s="36">
        <f>TableIncome[[#This Row],[SalaryP2]]*$I$7</f>
        <v>94432.082919883193</v>
      </c>
      <c r="G21" s="16"/>
      <c r="K21" s="57">
        <f>(TableIncome[[#This Row],[SalaryP1]]-TableIncome[[#This Row],[InvestmentP1]])/12</f>
        <v>29238.62187621876</v>
      </c>
      <c r="L21" s="57">
        <f>(TableIncome[[#This Row],[SalaryP2]]-TableIncome[[#This Row],[InvestmentP2]])/12</f>
        <v>44592.92804550039</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62542.089379686273</v>
      </c>
      <c r="F22" s="36">
        <f>TableIncome[[#This Row],[SalaryP2]]*$I$7</f>
        <v>95231.244776338033</v>
      </c>
      <c r="G22" s="16"/>
      <c r="K22" s="57">
        <f>(TableIncome[[#This Row],[SalaryP1]]-TableIncome[[#This Row],[InvestmentP1]])/12</f>
        <v>29533.76442929629</v>
      </c>
      <c r="L22" s="57">
        <f>(TableIncome[[#This Row],[SalaryP2]]-TableIncome[[#This Row],[InvestmentP2]])/12</f>
        <v>44970.310033270733</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63090.280884764426</v>
      </c>
      <c r="F23" s="36">
        <f>TableIncome[[#This Row],[SalaryP2]]*$I$7</f>
        <v>96038.398251357416</v>
      </c>
      <c r="G23" s="16"/>
      <c r="K23" s="57">
        <f>(TableIncome[[#This Row],[SalaryP1]]-TableIncome[[#This Row],[InvestmentP1]])/12</f>
        <v>29792.632640027641</v>
      </c>
      <c r="L23" s="57">
        <f>(TableIncome[[#This Row],[SalaryP2]]-TableIncome[[#This Row],[InvestmentP2]])/12</f>
        <v>45351.465840918776</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63576.024720868067</v>
      </c>
      <c r="F24" s="36">
        <f>TableIncome[[#This Row],[SalaryP2]]*$I$7</f>
        <v>96853.62326112701</v>
      </c>
      <c r="G24" s="16"/>
      <c r="K24" s="57">
        <f>(TableIncome[[#This Row],[SalaryP1]]-TableIncome[[#This Row],[InvestmentP1]])/12</f>
        <v>30022.011673743244</v>
      </c>
      <c r="L24" s="57">
        <f>(TableIncome[[#This Row],[SalaryP2]]-TableIncome[[#This Row],[InvestmentP2]])/12</f>
        <v>45736.433206643298</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66029.031093191486</v>
      </c>
      <c r="F25" s="36">
        <f>TableIncome[[#This Row],[SalaryP2]]*$I$7</f>
        <v>100970.50956046334</v>
      </c>
      <c r="G25" s="16"/>
      <c r="K25" s="57">
        <f>(TableIncome[[#This Row],[SalaryP1]]-TableIncome[[#This Row],[InvestmentP1]])/12</f>
        <v>31180.375794007083</v>
      </c>
      <c r="L25" s="57">
        <f>(TableIncome[[#This Row],[SalaryP2]]-TableIncome[[#This Row],[InvestmentP2]])/12</f>
        <v>47680.518403552123</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66544.162431379387</v>
      </c>
      <c r="F26" s="36">
        <f>TableIncome[[#This Row],[SalaryP2]]*$I$7</f>
        <v>101835.05568332397</v>
      </c>
      <c r="G26" s="16"/>
      <c r="K26" s="57">
        <f>(TableIncome[[#This Row],[SalaryP1]]-TableIncome[[#This Row],[InvestmentP1]])/12</f>
        <v>31423.632259262489</v>
      </c>
      <c r="L26" s="57">
        <f>(TableIncome[[#This Row],[SalaryP2]]-TableIncome[[#This Row],[InvestmentP2]])/12</f>
        <v>48088.776294902978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67064.445082949183</v>
      </c>
      <c r="F27" s="36">
        <f>TableIncome[[#This Row],[SalaryP2]]*$I$7</f>
        <v>102708.24726741323</v>
      </c>
      <c r="G27" s="16"/>
      <c r="K27" s="57">
        <f>(TableIncome[[#This Row],[SalaryP1]]-TableIncome[[#This Row],[InvestmentP1]])/12</f>
        <v>31669.321289170442</v>
      </c>
      <c r="L27" s="57">
        <f>(TableIncome[[#This Row],[SalaryP2]]-TableIncome[[#This Row],[InvestmentP2]])/12</f>
        <v>48501.116765167353</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67589.930561034678</v>
      </c>
      <c r="F28" s="36">
        <f>TableIncome[[#This Row],[SalaryP2]]*$I$7</f>
        <v>103590.17076734336</v>
      </c>
      <c r="G28" s="16"/>
      <c r="K28" s="57">
        <f>(TableIncome[[#This Row],[SalaryP1]]-TableIncome[[#This Row],[InvestmentP1]])/12</f>
        <v>31917.467209377483</v>
      </c>
      <c r="L28" s="57">
        <f>(TableIncome[[#This Row],[SalaryP2]]-TableIncome[[#This Row],[InvestmentP2]])/12</f>
        <v>48917.580640134351</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68120.670893901042</v>
      </c>
      <c r="F29" s="36">
        <f>TableIncome[[#This Row],[SalaryP2]]*$I$7</f>
        <v>104480.9135022728</v>
      </c>
      <c r="G29" s="16"/>
      <c r="K29" s="57">
        <f>(TableIncome[[#This Row],[SalaryP1]]-TableIncome[[#This Row],[InvestmentP1]])/12</f>
        <v>32168.094588786596</v>
      </c>
      <c r="L29" s="57">
        <f>(TableIncome[[#This Row],[SalaryP2]]-TableIncome[[#This Row],[InvestmentP2]])/12</f>
        <v>49338.209153851036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68656.718630096031</v>
      </c>
      <c r="F30" s="36">
        <f>TableIncome[[#This Row],[SalaryP2]]*$I$7</f>
        <v>105380.56366455152</v>
      </c>
      <c r="G30" s="16"/>
      <c r="K30" s="57">
        <f>(TableIncome[[#This Row],[SalaryP1]]-TableIncome[[#This Row],[InvestmentP1]])/12</f>
        <v>32421.228241989786</v>
      </c>
      <c r="L30" s="57">
        <f>(TableIncome[[#This Row],[SalaryP2]]-TableIncome[[#This Row],[InvestmentP2]])/12</f>
        <v>49763.04395270488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69198.126843653008</v>
      </c>
      <c r="F31" s="36">
        <f>TableIncome[[#This Row],[SalaryP2]]*$I$7</f>
        <v>106289.21032845303</v>
      </c>
      <c r="G31" s="16"/>
      <c r="K31" s="57">
        <f>(TableIncome[[#This Row],[SalaryP1]]-TableIncome[[#This Row],[InvestmentP1]])/12</f>
        <v>32676.893231725018</v>
      </c>
      <c r="L31" s="57">
        <f>(TableIncome[[#This Row],[SalaryP2]]-TableIncome[[#This Row],[InvestmentP2]])/12</f>
        <v>50192.127099547266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69744.949139345539</v>
      </c>
      <c r="F32" s="36">
        <f>TableIncome[[#This Row],[SalaryP2]]*$I$7</f>
        <v>107206.9434589936</v>
      </c>
      <c r="G32" s="16"/>
      <c r="K32" s="57">
        <f>(TableIncome[[#This Row],[SalaryP1]]-TableIncome[[#This Row],[InvestmentP1]])/12</f>
        <v>32935.114871357604</v>
      </c>
      <c r="L32" s="57">
        <f>(TableIncome[[#This Row],[SalaryP2]]-TableIncome[[#This Row],[InvestmentP2]])/12</f>
        <v>50625.501077858084</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70297.239657994985</v>
      </c>
      <c r="F33" s="36">
        <f>TableIncome[[#This Row],[SalaryP2]]*$I$7</f>
        <v>108133.85392083952</v>
      </c>
      <c r="G33" s="16"/>
      <c r="K33" s="57">
        <f>(TableIncome[[#This Row],[SalaryP1]]-TableIncome[[#This Row],[InvestmentP1]])/12</f>
        <v>33195.918727386517</v>
      </c>
      <c r="L33" s="57">
        <f>(TableIncome[[#This Row],[SalaryP2]]-TableIncome[[#This Row],[InvestmentP2]])/12</f>
        <v>51063.208795951992</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70855.053081830934</v>
      </c>
      <c r="F34" s="36">
        <f>TableIncome[[#This Row],[SalaryP2]]*$I$7</f>
        <v>109070.03348730391</v>
      </c>
      <c r="G34" s="16"/>
      <c r="K34" s="57">
        <f>(TableIncome[[#This Row],[SalaryP1]]-TableIncome[[#This Row],[InvestmentP1]])/12</f>
        <v>33459.330621975714</v>
      </c>
      <c r="L34" s="57">
        <f>(TableIncome[[#This Row],[SalaryP2]]-TableIncome[[#This Row],[InvestmentP2]])/12</f>
        <v>51505.293591226837</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71418.444639905239</v>
      </c>
      <c r="F35" s="36">
        <f>TableIncome[[#This Row],[SalaryP2]]*$I$7</f>
        <v>110015.57484943297</v>
      </c>
      <c r="G35" s="16"/>
      <c r="K35" s="57">
        <f>(TableIncome[[#This Row],[SalaryP1]]-TableIncome[[#This Row],[InvestmentP1]])/12</f>
        <v>33725.376635510802</v>
      </c>
      <c r="L35" s="57">
        <f>(TableIncome[[#This Row],[SalaryP2]]-TableIncome[[#This Row],[InvestmentP2]])/12</f>
        <v>51951.79923445444</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71987.470113560295</v>
      </c>
      <c r="F36" s="36">
        <f>TableIncome[[#This Row],[SalaryP2]]*$I$7</f>
        <v>110970.57162518326</v>
      </c>
      <c r="G36" s="16"/>
      <c r="K36" s="57">
        <f>(TableIncome[[#This Row],[SalaryP1]]-TableIncome[[#This Row],[InvestmentP1]])/12</f>
        <v>33994.083109181236</v>
      </c>
      <c r="L36" s="57">
        <f>(TableIncome[[#This Row],[SalaryP2]]-TableIncome[[#This Row],[InvestmentP2]])/12</f>
        <v>52402.769934114309</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72562.185841951898</v>
      </c>
      <c r="F37" s="36">
        <f>TableIncome[[#This Row],[SalaryP2]]*$I$7</f>
        <v>111935.11836869114</v>
      </c>
      <c r="G37" s="16"/>
      <c r="K37" s="57">
        <f>(TableIncome[[#This Row],[SalaryP1]]-TableIncome[[#This Row],[InvestmentP1]])/12</f>
        <v>34265.476647588395</v>
      </c>
      <c r="L37" s="57">
        <f>(TableIncome[[#This Row],[SalaryP2]]-TableIncome[[#This Row],[InvestmentP2]])/12</f>
        <v>52858.250340770806</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75464.500270329503</v>
      </c>
      <c r="F38" s="36">
        <f>TableIncome[[#This Row],[SalaryP2]]*$I$7</f>
        <v>0</v>
      </c>
      <c r="G38" s="16"/>
      <c r="K38" s="57">
        <f>(TableIncome[[#This Row],[SalaryP1]]-TableIncome[[#This Row],[InvestmentP1]])/12</f>
        <v>35636.014016544483</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76073.986300288787</v>
      </c>
      <c r="F39" s="36">
        <f>TableIncome[[#This Row],[SalaryP2]]*$I$7</f>
        <v>0</v>
      </c>
      <c r="G39" s="16"/>
      <c r="K39" s="57">
        <f>(TableIncome[[#This Row],[SalaryP1]]-TableIncome[[#This Row],[InvestmentP1]])/12</f>
        <v>35923.826864025257</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76689.567190547677</v>
      </c>
      <c r="F40" s="36">
        <f>TableIncome[[#This Row],[SalaryP2]]*$I$7</f>
        <v>0</v>
      </c>
      <c r="G40" s="16"/>
      <c r="K40" s="57">
        <f>(TableIncome[[#This Row],[SalaryP1]]-TableIncome[[#This Row],[InvestmentP1]])/12</f>
        <v>36214.517839980836</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77311.303889709146</v>
      </c>
      <c r="F41" s="36">
        <f>TableIncome[[#This Row],[SalaryP2]]*$I$7</f>
        <v>0</v>
      </c>
      <c r="G41" s="16"/>
      <c r="K41" s="57">
        <f>(TableIncome[[#This Row],[SalaryP1]]-TableIncome[[#This Row],[InvestmentP1]])/12</f>
        <v>36508.115725695978</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77939.257955862238</v>
      </c>
      <c r="F42" s="36">
        <f>TableIncome[[#This Row],[SalaryP2]]*$I$7</f>
        <v>0</v>
      </c>
      <c r="G42" s="16"/>
      <c r="K42" s="57">
        <f>(TableIncome[[#This Row],[SalaryP1]]-TableIncome[[#This Row],[InvestmentP1]])/12</f>
        <v>36804.649590268273</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78573.491562676878</v>
      </c>
      <c r="F43" s="36">
        <f>TableIncome[[#This Row],[SalaryP2]]*$I$7</f>
        <v>0</v>
      </c>
      <c r="G43" s="16"/>
      <c r="K43" s="57">
        <f>(TableIncome[[#This Row],[SalaryP1]]-TableIncome[[#This Row],[InvestmentP1]])/12</f>
        <v>37104.148793486296</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79214.067505559637</v>
      </c>
      <c r="F44" s="36">
        <f>TableIncome[[#This Row],[SalaryP2]]*$I$7</f>
        <v>0</v>
      </c>
      <c r="G44" s="16"/>
      <c r="K44" s="57">
        <f>(TableIncome[[#This Row],[SalaryP1]]-TableIncome[[#This Row],[InvestmentP1]])/12</f>
        <v>37406.642988736487</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79861.049207871241</v>
      </c>
      <c r="F45" s="36">
        <f>TableIncome[[#This Row],[SalaryP2]]*$I$7</f>
        <v>0</v>
      </c>
      <c r="G45" s="16"/>
      <c r="K45" s="57">
        <f>(TableIncome[[#This Row],[SalaryP1]]-TableIncome[[#This Row],[InvestmentP1]])/12</f>
        <v>37712.16212593919</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80514.500727205959</v>
      </c>
      <c r="F46" s="36">
        <f>TableIncome[[#This Row],[SalaryP2]]*$I$7</f>
        <v>0</v>
      </c>
      <c r="G46" s="16"/>
      <c r="K46" s="57">
        <f>(TableIncome[[#This Row],[SalaryP1]]-TableIncome[[#This Row],[InvestmentP1]])/12</f>
        <v>38020.736454513921</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81174.486761733991</v>
      </c>
      <c r="F47" s="36">
        <f>TableIncome[[#This Row],[SalaryP2]]*$I$7</f>
        <v>0</v>
      </c>
      <c r="G47" s="16"/>
      <c r="K47" s="57">
        <f>(TableIncome[[#This Row],[SalaryP1]]-TableIncome[[#This Row],[InvestmentP1]])/12</f>
        <v>38332.396526374381</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81841.072656607343</v>
      </c>
      <c r="F48" s="36">
        <f>TableIncome[[#This Row],[SalaryP2]]*$I$7</f>
        <v>0</v>
      </c>
      <c r="G48" s="16"/>
      <c r="K48" s="57">
        <f>(TableIncome[[#This Row],[SalaryP1]]-TableIncome[[#This Row],[InvestmentP1]])/12</f>
        <v>38647.173198953453</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82514.324410429414</v>
      </c>
      <c r="F49" s="36">
        <f>TableIncome[[#This Row],[SalaryP2]]*$I$7</f>
        <v>0</v>
      </c>
      <c r="K49" s="57">
        <f>(TableIncome[[#This Row],[SalaryP1]]-TableIncome[[#This Row],[InvestmentP1]])/12</f>
        <v>38965.097638258325</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83194.308681789698</v>
      </c>
      <c r="F50" s="36">
        <f>TableIncome[[#This Row],[SalaryP2]]*$I$7</f>
        <v>0</v>
      </c>
      <c r="K50" s="57">
        <f>(TableIncome[[#This Row],[SalaryP1]]-TableIncome[[#This Row],[InvestmentP1]])/12</f>
        <v>39286.201321956243</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83881.092795863602</v>
      </c>
      <c r="F51" s="36">
        <f>TableIncome[[#This Row],[SalaryP2]]*$I$7</f>
        <v>0</v>
      </c>
      <c r="K51" s="57">
        <f>(TableIncome[[#This Row],[SalaryP1]]-TableIncome[[#This Row],[InvestmentP1]])/12</f>
        <v>39610.516042491137</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84574.744751078251</v>
      </c>
      <c r="F52" s="36">
        <f>TableIncome[[#This Row],[SalaryP2]]*$I$7</f>
        <v>0</v>
      </c>
      <c r="K52" s="57">
        <f>(TableIncome[[#This Row],[SalaryP1]]-TableIncome[[#This Row],[InvestmentP1]])/12</f>
        <v>39938.073910231389</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52858.250340770806</v>
      </c>
      <c r="F32" s="26">
        <f>Income!$L$37</f>
        <v>52858.250340770806</v>
      </c>
      <c r="G32" s="26">
        <f>Income!$L$37</f>
        <v>52858.250340770806</v>
      </c>
      <c r="H32" s="26">
        <f>Income!$L$37</f>
        <v>52858.250340770806</v>
      </c>
      <c r="I32" s="26">
        <f>Income!$L$37</f>
        <v>52858.250340770806</v>
      </c>
      <c r="J32" s="26">
        <f>Income!$L$37</f>
        <v>52858.250340770806</v>
      </c>
      <c r="K32" s="26">
        <f>Income!$L$37</f>
        <v>52858.250340770806</v>
      </c>
      <c r="L32" s="26">
        <f>Income!$L$37</f>
        <v>52858.250340770806</v>
      </c>
      <c r="M32" s="26">
        <f>Income!$L$37</f>
        <v>52858.250340770806</v>
      </c>
      <c r="N32" s="26">
        <f>Income!$L$37</f>
        <v>52858.250340770806</v>
      </c>
      <c r="O32" s="26">
        <f>Income!$L$37</f>
        <v>52858.250340770806</v>
      </c>
      <c r="P32" s="26">
        <f>Income!$L$37</f>
        <v>52858.250340770806</v>
      </c>
      <c r="Q32" s="26">
        <f>Income!$L$37</f>
        <v>52858.250340770806</v>
      </c>
      <c r="R32" s="26">
        <f>Income!$L$37</f>
        <v>52858.250340770806</v>
      </c>
      <c r="S32" s="26">
        <f>Income!$L$37</f>
        <v>52858.250340770806</v>
      </c>
      <c r="T32" s="26">
        <f>Income!$L$37</f>
        <v>52858.250340770806</v>
      </c>
      <c r="U32" s="26">
        <f>Income!$L$37</f>
        <v>52858.250340770806</v>
      </c>
      <c r="V32" s="26">
        <f>Income!$L$37</f>
        <v>52858.250340770806</v>
      </c>
      <c r="W32" s="26">
        <f>Income!$L$37</f>
        <v>52858.250340770806</v>
      </c>
      <c r="X32" s="26">
        <f>Income!$L$37</f>
        <v>52858.250340770806</v>
      </c>
      <c r="Y32" s="26">
        <f>Income!$L$37</f>
        <v>52858.250340770806</v>
      </c>
      <c r="Z32" s="26">
        <f>Income!$L$37</f>
        <v>52858.250340770806</v>
      </c>
      <c r="AA32" s="26">
        <f>Income!$L$37</f>
        <v>52858.250340770806</v>
      </c>
      <c r="AB32" s="26">
        <f>Income!$L$37</f>
        <v>52858.250340770806</v>
      </c>
      <c r="AC32" s="26">
        <f>Income!$L$37</f>
        <v>52858.250340770806</v>
      </c>
      <c r="BI32" s="2">
        <v>60074.363289355279</v>
      </c>
    </row>
    <row r="33" spans="4:61" x14ac:dyDescent="0.2">
      <c r="D33" s="2" t="s">
        <v>204</v>
      </c>
      <c r="E33" s="26">
        <f>E32-E31</f>
        <v>14166.157440071234</v>
      </c>
      <c r="F33" s="26">
        <f t="shared" ref="F33:AC33" si="33">F32-F31</f>
        <v>14166.157440071234</v>
      </c>
      <c r="G33" s="26">
        <f t="shared" si="33"/>
        <v>14166.157440071234</v>
      </c>
      <c r="H33" s="26">
        <f t="shared" si="33"/>
        <v>14166.157440071234</v>
      </c>
      <c r="I33" s="26">
        <f t="shared" si="33"/>
        <v>14166.157440071234</v>
      </c>
      <c r="J33" s="26">
        <f t="shared" si="33"/>
        <v>14166.157440071234</v>
      </c>
      <c r="K33" s="26">
        <f t="shared" si="33"/>
        <v>14166.157440071234</v>
      </c>
      <c r="L33" s="26">
        <f t="shared" si="33"/>
        <v>14166.157440071234</v>
      </c>
      <c r="M33" s="26">
        <f t="shared" si="33"/>
        <v>14166.157440071234</v>
      </c>
      <c r="N33" s="26">
        <f t="shared" si="33"/>
        <v>14166.157440071234</v>
      </c>
      <c r="O33" s="26">
        <f t="shared" si="33"/>
        <v>14166.157440071234</v>
      </c>
      <c r="P33" s="26">
        <f t="shared" si="33"/>
        <v>14166.157440071234</v>
      </c>
      <c r="Q33" s="26">
        <f t="shared" si="33"/>
        <v>14166.157440071234</v>
      </c>
      <c r="R33" s="26">
        <f t="shared" si="33"/>
        <v>14166.157440071234</v>
      </c>
      <c r="S33" s="26">
        <f t="shared" si="33"/>
        <v>14166.157440071234</v>
      </c>
      <c r="T33" s="26">
        <f t="shared" si="33"/>
        <v>14166.157440071234</v>
      </c>
      <c r="U33" s="26">
        <f t="shared" si="33"/>
        <v>14166.157440071234</v>
      </c>
      <c r="V33" s="26">
        <f t="shared" si="33"/>
        <v>14166.157440071234</v>
      </c>
      <c r="W33" s="26">
        <f t="shared" si="33"/>
        <v>14166.157440071234</v>
      </c>
      <c r="X33" s="26">
        <f t="shared" si="33"/>
        <v>14166.157440071234</v>
      </c>
      <c r="Y33" s="26">
        <f t="shared" si="33"/>
        <v>14166.157440071234</v>
      </c>
      <c r="Z33" s="26">
        <f t="shared" si="33"/>
        <v>14166.157440071234</v>
      </c>
      <c r="AA33" s="26">
        <f t="shared" si="33"/>
        <v>14166.157440071234</v>
      </c>
      <c r="AB33" s="26">
        <f t="shared" si="33"/>
        <v>14166.157440071234</v>
      </c>
      <c r="AC33" s="26">
        <f t="shared" si="33"/>
        <v>14166.157440071234</v>
      </c>
      <c r="BI33" s="2">
        <v>60594.463048502163</v>
      </c>
    </row>
    <row r="34" spans="4:61" x14ac:dyDescent="0.2">
      <c r="D34" s="2" t="s">
        <v>264</v>
      </c>
      <c r="E34" s="26">
        <f>E33*(1+$B$10)</f>
        <v>17991.019948890469</v>
      </c>
      <c r="F34" s="26">
        <f t="shared" ref="F34:AC34" si="34">F33*(1+$B$10)</f>
        <v>17991.019948890469</v>
      </c>
      <c r="G34" s="26">
        <f t="shared" si="34"/>
        <v>17991.019948890469</v>
      </c>
      <c r="H34" s="26">
        <f t="shared" si="34"/>
        <v>17991.019948890469</v>
      </c>
      <c r="I34" s="26">
        <f t="shared" si="34"/>
        <v>17991.019948890469</v>
      </c>
      <c r="J34" s="26">
        <f t="shared" si="34"/>
        <v>17991.019948890469</v>
      </c>
      <c r="K34" s="26">
        <f t="shared" si="34"/>
        <v>17991.019948890469</v>
      </c>
      <c r="L34" s="26">
        <f t="shared" si="34"/>
        <v>17991.019948890469</v>
      </c>
      <c r="M34" s="26">
        <f t="shared" si="34"/>
        <v>17991.019948890469</v>
      </c>
      <c r="N34" s="26">
        <f t="shared" si="34"/>
        <v>17991.019948890469</v>
      </c>
      <c r="O34" s="26">
        <f t="shared" si="34"/>
        <v>17991.019948890469</v>
      </c>
      <c r="P34" s="26">
        <f t="shared" si="34"/>
        <v>17991.019948890469</v>
      </c>
      <c r="Q34" s="26">
        <f t="shared" si="34"/>
        <v>17991.019948890469</v>
      </c>
      <c r="R34" s="26">
        <f t="shared" si="34"/>
        <v>17991.019948890469</v>
      </c>
      <c r="S34" s="26">
        <f t="shared" si="34"/>
        <v>17991.019948890469</v>
      </c>
      <c r="T34" s="26">
        <f t="shared" si="34"/>
        <v>17991.019948890469</v>
      </c>
      <c r="U34" s="26">
        <f t="shared" si="34"/>
        <v>17991.019948890469</v>
      </c>
      <c r="V34" s="26">
        <f t="shared" si="34"/>
        <v>17991.019948890469</v>
      </c>
      <c r="W34" s="26">
        <f t="shared" si="34"/>
        <v>17991.019948890469</v>
      </c>
      <c r="X34" s="26">
        <f t="shared" si="34"/>
        <v>17991.019948890469</v>
      </c>
      <c r="Y34" s="26">
        <f t="shared" si="34"/>
        <v>17991.019948890469</v>
      </c>
      <c r="Z34" s="26">
        <f t="shared" si="34"/>
        <v>17991.019948890469</v>
      </c>
      <c r="AA34" s="26">
        <f t="shared" si="34"/>
        <v>17991.019948890469</v>
      </c>
      <c r="AB34" s="26">
        <f t="shared" si="34"/>
        <v>17991.019948890469</v>
      </c>
      <c r="AC34" s="26">
        <f t="shared" si="34"/>
        <v>17991.019948890469</v>
      </c>
      <c r="BI34" s="2">
        <v>61119.763805240531</v>
      </c>
    </row>
    <row r="35" spans="4:61" x14ac:dyDescent="0.2">
      <c r="D35" s="2" t="s">
        <v>265</v>
      </c>
      <c r="E35" s="26">
        <f>E34*12</f>
        <v>215892.23938668563</v>
      </c>
      <c r="F35" s="26">
        <f t="shared" ref="F35:AC35" si="35">F34*12</f>
        <v>215892.23938668563</v>
      </c>
      <c r="G35" s="26">
        <f t="shared" si="35"/>
        <v>215892.23938668563</v>
      </c>
      <c r="H35" s="26">
        <f t="shared" si="35"/>
        <v>215892.23938668563</v>
      </c>
      <c r="I35" s="26">
        <f t="shared" si="35"/>
        <v>215892.23938668563</v>
      </c>
      <c r="J35" s="26">
        <f t="shared" si="35"/>
        <v>215892.23938668563</v>
      </c>
      <c r="K35" s="26">
        <f t="shared" si="35"/>
        <v>215892.23938668563</v>
      </c>
      <c r="L35" s="26">
        <f t="shared" si="35"/>
        <v>215892.23938668563</v>
      </c>
      <c r="M35" s="26">
        <f t="shared" si="35"/>
        <v>215892.23938668563</v>
      </c>
      <c r="N35" s="26">
        <f t="shared" si="35"/>
        <v>215892.23938668563</v>
      </c>
      <c r="O35" s="26">
        <f t="shared" si="35"/>
        <v>215892.23938668563</v>
      </c>
      <c r="P35" s="26">
        <f t="shared" si="35"/>
        <v>215892.23938668563</v>
      </c>
      <c r="Q35" s="26">
        <f t="shared" si="35"/>
        <v>215892.23938668563</v>
      </c>
      <c r="R35" s="26">
        <f t="shared" si="35"/>
        <v>215892.23938668563</v>
      </c>
      <c r="S35" s="26">
        <f t="shared" si="35"/>
        <v>215892.23938668563</v>
      </c>
      <c r="T35" s="26">
        <f t="shared" si="35"/>
        <v>215892.23938668563</v>
      </c>
      <c r="U35" s="26">
        <f t="shared" si="35"/>
        <v>215892.23938668563</v>
      </c>
      <c r="V35" s="26">
        <f t="shared" si="35"/>
        <v>215892.23938668563</v>
      </c>
      <c r="W35" s="26">
        <f t="shared" si="35"/>
        <v>215892.23938668563</v>
      </c>
      <c r="X35" s="26">
        <f t="shared" si="35"/>
        <v>215892.23938668563</v>
      </c>
      <c r="Y35" s="26">
        <f t="shared" si="35"/>
        <v>215892.23938668563</v>
      </c>
      <c r="Z35" s="26">
        <f t="shared" si="35"/>
        <v>215892.23938668563</v>
      </c>
      <c r="AA35" s="26">
        <f t="shared" si="35"/>
        <v>215892.23938668563</v>
      </c>
      <c r="AB35" s="26">
        <f t="shared" si="35"/>
        <v>215892.23938668563</v>
      </c>
      <c r="AC35" s="26">
        <f t="shared" si="35"/>
        <v>215892.23938668563</v>
      </c>
      <c r="BI35" s="2">
        <v>61650.317569546249</v>
      </c>
    </row>
    <row r="36" spans="4:61" x14ac:dyDescent="0.2">
      <c r="BI36" s="2">
        <v>62186.176871495067</v>
      </c>
    </row>
    <row r="37" spans="4:61" x14ac:dyDescent="0.2">
      <c r="D37" s="2" t="s">
        <v>205</v>
      </c>
      <c r="E37" s="27">
        <f>SUM(E35:AC35)</f>
        <v>5397305.9846671382</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39938.073910231389</v>
      </c>
      <c r="F32" s="26">
        <f>Income!$K$52</f>
        <v>39938.073910231389</v>
      </c>
      <c r="G32" s="26">
        <f>Income!$K$52</f>
        <v>39938.073910231389</v>
      </c>
      <c r="H32" s="26">
        <f>Income!$K$52</f>
        <v>39938.073910231389</v>
      </c>
      <c r="I32" s="26">
        <f>Income!$K$52</f>
        <v>39938.073910231389</v>
      </c>
      <c r="J32" s="26">
        <f>Income!$K$52</f>
        <v>39938.073910231389</v>
      </c>
      <c r="K32" s="26">
        <f>Income!$K$52</f>
        <v>39938.073910231389</v>
      </c>
      <c r="L32" s="26">
        <f>Income!$K$52</f>
        <v>39938.073910231389</v>
      </c>
      <c r="M32" s="26">
        <f>Income!$K$52</f>
        <v>39938.073910231389</v>
      </c>
      <c r="N32" s="26">
        <f>Income!$K$52</f>
        <v>39938.073910231389</v>
      </c>
      <c r="O32" s="26">
        <f>Income!$K$52</f>
        <v>39938.073910231389</v>
      </c>
      <c r="P32" s="26">
        <f>Income!$K$52</f>
        <v>39938.073910231389</v>
      </c>
      <c r="Q32" s="26">
        <f>Income!$K$52</f>
        <v>39938.073910231389</v>
      </c>
      <c r="R32" s="26">
        <f>Income!$K$52</f>
        <v>39938.073910231389</v>
      </c>
      <c r="S32" s="26">
        <f>Income!$K$52</f>
        <v>39938.073910231389</v>
      </c>
      <c r="T32" s="26">
        <f>Income!$K$52</f>
        <v>39938.073910231389</v>
      </c>
      <c r="U32" s="26">
        <f>Income!$K$52</f>
        <v>39938.073910231389</v>
      </c>
      <c r="V32" s="26">
        <f>Income!$K$52</f>
        <v>39938.073910231389</v>
      </c>
      <c r="W32" s="26">
        <f>Income!$K$52</f>
        <v>39938.073910231389</v>
      </c>
      <c r="X32" s="26">
        <f>Income!$K$52</f>
        <v>39938.073910231389</v>
      </c>
      <c r="Y32" s="26">
        <f>Income!$K$52</f>
        <v>39938.073910231389</v>
      </c>
      <c r="Z32" s="26">
        <f>Income!$K$52</f>
        <v>39938.073910231389</v>
      </c>
      <c r="AA32" s="26">
        <f>Income!$K$52</f>
        <v>39938.073910231389</v>
      </c>
      <c r="AB32" s="26">
        <f>Income!$K$52</f>
        <v>39938.073910231389</v>
      </c>
      <c r="AC32" s="26">
        <f>Income!$K$52</f>
        <v>39938.073910231389</v>
      </c>
      <c r="BI32" s="2">
        <v>39054.022032219429</v>
      </c>
    </row>
    <row r="33" spans="4:61" x14ac:dyDescent="0.2">
      <c r="D33" s="2" t="s">
        <v>204</v>
      </c>
      <c r="E33" s="26">
        <f>E32-E31</f>
        <v>7242.3904635864747</v>
      </c>
      <c r="F33" s="26">
        <f t="shared" ref="F33:AC33" si="33">F32-F31</f>
        <v>7242.3904635864747</v>
      </c>
      <c r="G33" s="26">
        <f t="shared" si="33"/>
        <v>7242.3904635864747</v>
      </c>
      <c r="H33" s="26">
        <f t="shared" si="33"/>
        <v>7242.3904635864747</v>
      </c>
      <c r="I33" s="26">
        <f t="shared" si="33"/>
        <v>7242.3904635864747</v>
      </c>
      <c r="J33" s="26">
        <f t="shared" si="33"/>
        <v>7242.3904635864747</v>
      </c>
      <c r="K33" s="26">
        <f t="shared" si="33"/>
        <v>7242.3904635864747</v>
      </c>
      <c r="L33" s="26">
        <f t="shared" si="33"/>
        <v>7242.3904635864747</v>
      </c>
      <c r="M33" s="26">
        <f t="shared" si="33"/>
        <v>7242.3904635864747</v>
      </c>
      <c r="N33" s="26">
        <f t="shared" si="33"/>
        <v>7242.3904635864747</v>
      </c>
      <c r="O33" s="26">
        <f t="shared" si="33"/>
        <v>7242.3904635864747</v>
      </c>
      <c r="P33" s="26">
        <f t="shared" si="33"/>
        <v>7242.3904635864747</v>
      </c>
      <c r="Q33" s="26">
        <f t="shared" si="33"/>
        <v>7242.3904635864747</v>
      </c>
      <c r="R33" s="26">
        <f t="shared" si="33"/>
        <v>7242.3904635864747</v>
      </c>
      <c r="S33" s="26">
        <f t="shared" si="33"/>
        <v>7242.3904635864747</v>
      </c>
      <c r="T33" s="26">
        <f t="shared" si="33"/>
        <v>7242.3904635864747</v>
      </c>
      <c r="U33" s="26">
        <f t="shared" si="33"/>
        <v>7242.3904635864747</v>
      </c>
      <c r="V33" s="26">
        <f t="shared" si="33"/>
        <v>7242.3904635864747</v>
      </c>
      <c r="W33" s="26">
        <f t="shared" si="33"/>
        <v>7242.3904635864747</v>
      </c>
      <c r="X33" s="26">
        <f t="shared" si="33"/>
        <v>7242.3904635864747</v>
      </c>
      <c r="Y33" s="26">
        <f t="shared" si="33"/>
        <v>7242.3904635864747</v>
      </c>
      <c r="Z33" s="26">
        <f t="shared" si="33"/>
        <v>7242.3904635864747</v>
      </c>
      <c r="AA33" s="26">
        <f t="shared" si="33"/>
        <v>7242.3904635864747</v>
      </c>
      <c r="AB33" s="26">
        <f t="shared" si="33"/>
        <v>7242.3904635864747</v>
      </c>
      <c r="AC33" s="26">
        <f t="shared" si="33"/>
        <v>7242.3904635864747</v>
      </c>
      <c r="BI33" s="2">
        <v>39363.918378794959</v>
      </c>
    </row>
    <row r="34" spans="4:61" x14ac:dyDescent="0.2">
      <c r="D34" s="2" t="s">
        <v>264</v>
      </c>
      <c r="E34" s="26">
        <f>E33*(1+$B$10)</f>
        <v>9197.8358887548238</v>
      </c>
      <c r="F34" s="26">
        <f t="shared" ref="F34:AC34" si="34">F33*(1+$B$10)</f>
        <v>9197.8358887548238</v>
      </c>
      <c r="G34" s="26">
        <f t="shared" si="34"/>
        <v>9197.8358887548238</v>
      </c>
      <c r="H34" s="26">
        <f t="shared" si="34"/>
        <v>9197.8358887548238</v>
      </c>
      <c r="I34" s="26">
        <f t="shared" si="34"/>
        <v>9197.8358887548238</v>
      </c>
      <c r="J34" s="26">
        <f t="shared" si="34"/>
        <v>9197.8358887548238</v>
      </c>
      <c r="K34" s="26">
        <f t="shared" si="34"/>
        <v>9197.8358887548238</v>
      </c>
      <c r="L34" s="26">
        <f t="shared" si="34"/>
        <v>9197.8358887548238</v>
      </c>
      <c r="M34" s="26">
        <f t="shared" si="34"/>
        <v>9197.8358887548238</v>
      </c>
      <c r="N34" s="26">
        <f t="shared" si="34"/>
        <v>9197.8358887548238</v>
      </c>
      <c r="O34" s="26">
        <f t="shared" si="34"/>
        <v>9197.8358887548238</v>
      </c>
      <c r="P34" s="26">
        <f t="shared" si="34"/>
        <v>9197.8358887548238</v>
      </c>
      <c r="Q34" s="26">
        <f t="shared" si="34"/>
        <v>9197.8358887548238</v>
      </c>
      <c r="R34" s="26">
        <f t="shared" si="34"/>
        <v>9197.8358887548238</v>
      </c>
      <c r="S34" s="26">
        <f t="shared" si="34"/>
        <v>9197.8358887548238</v>
      </c>
      <c r="T34" s="26">
        <f t="shared" si="34"/>
        <v>9197.8358887548238</v>
      </c>
      <c r="U34" s="26">
        <f t="shared" si="34"/>
        <v>9197.8358887548238</v>
      </c>
      <c r="V34" s="26">
        <f t="shared" si="34"/>
        <v>9197.8358887548238</v>
      </c>
      <c r="W34" s="26">
        <f t="shared" si="34"/>
        <v>9197.8358887548238</v>
      </c>
      <c r="X34" s="26">
        <f t="shared" si="34"/>
        <v>9197.8358887548238</v>
      </c>
      <c r="Y34" s="26">
        <f t="shared" si="34"/>
        <v>9197.8358887548238</v>
      </c>
      <c r="Z34" s="26">
        <f t="shared" si="34"/>
        <v>9197.8358887548238</v>
      </c>
      <c r="AA34" s="26">
        <f t="shared" si="34"/>
        <v>9197.8358887548238</v>
      </c>
      <c r="AB34" s="26">
        <f t="shared" si="34"/>
        <v>9197.8358887548238</v>
      </c>
      <c r="AC34" s="26">
        <f t="shared" si="34"/>
        <v>9197.8358887548238</v>
      </c>
      <c r="BI34" s="2">
        <v>39676.913688836241</v>
      </c>
    </row>
    <row r="35" spans="4:61" x14ac:dyDescent="0.2">
      <c r="D35" s="2" t="s">
        <v>265</v>
      </c>
      <c r="E35" s="26">
        <f>E34*12</f>
        <v>110374.03066505789</v>
      </c>
      <c r="F35" s="26">
        <f t="shared" ref="F35:AC35" si="35">F34*12</f>
        <v>110374.03066505789</v>
      </c>
      <c r="G35" s="26">
        <f t="shared" si="35"/>
        <v>110374.03066505789</v>
      </c>
      <c r="H35" s="26">
        <f t="shared" si="35"/>
        <v>110374.03066505789</v>
      </c>
      <c r="I35" s="26">
        <f t="shared" si="35"/>
        <v>110374.03066505789</v>
      </c>
      <c r="J35" s="26">
        <f t="shared" si="35"/>
        <v>110374.03066505789</v>
      </c>
      <c r="K35" s="26">
        <f t="shared" si="35"/>
        <v>110374.03066505789</v>
      </c>
      <c r="L35" s="26">
        <f t="shared" si="35"/>
        <v>110374.03066505789</v>
      </c>
      <c r="M35" s="26">
        <f t="shared" si="35"/>
        <v>110374.03066505789</v>
      </c>
      <c r="N35" s="26">
        <f t="shared" si="35"/>
        <v>110374.03066505789</v>
      </c>
      <c r="O35" s="26">
        <f t="shared" si="35"/>
        <v>110374.03066505789</v>
      </c>
      <c r="P35" s="26">
        <f t="shared" si="35"/>
        <v>110374.03066505789</v>
      </c>
      <c r="Q35" s="26">
        <f t="shared" si="35"/>
        <v>110374.03066505789</v>
      </c>
      <c r="R35" s="26">
        <f t="shared" si="35"/>
        <v>110374.03066505789</v>
      </c>
      <c r="S35" s="26">
        <f t="shared" si="35"/>
        <v>110374.03066505789</v>
      </c>
      <c r="T35" s="26">
        <f t="shared" si="35"/>
        <v>110374.03066505789</v>
      </c>
      <c r="U35" s="26">
        <f t="shared" si="35"/>
        <v>110374.03066505789</v>
      </c>
      <c r="V35" s="26">
        <f t="shared" si="35"/>
        <v>110374.03066505789</v>
      </c>
      <c r="W35" s="26">
        <f t="shared" si="35"/>
        <v>110374.03066505789</v>
      </c>
      <c r="X35" s="26">
        <f t="shared" si="35"/>
        <v>110374.03066505789</v>
      </c>
      <c r="Y35" s="26">
        <f t="shared" si="35"/>
        <v>110374.03066505789</v>
      </c>
      <c r="Z35" s="26">
        <f t="shared" si="35"/>
        <v>110374.03066505789</v>
      </c>
      <c r="AA35" s="26">
        <f t="shared" si="35"/>
        <v>110374.03066505789</v>
      </c>
      <c r="AB35" s="26">
        <f t="shared" si="35"/>
        <v>110374.03066505789</v>
      </c>
      <c r="AC35" s="26">
        <f t="shared" si="35"/>
        <v>110374.03066505789</v>
      </c>
      <c r="BI35" s="2">
        <v>39993.038951977935</v>
      </c>
    </row>
    <row r="36" spans="4:61" x14ac:dyDescent="0.2">
      <c r="BI36" s="2">
        <v>40312.325467751049</v>
      </c>
    </row>
    <row r="37" spans="4:61" x14ac:dyDescent="0.2">
      <c r="D37" s="2" t="s">
        <v>205</v>
      </c>
      <c r="E37" s="27">
        <f>SUM(E35:AC35)</f>
        <v>2759350.766626447</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Y</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Y</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Y</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Y</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Y</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Y</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Y</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2759350.766626447</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5397305.9846671382</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42445.286004988237</v>
      </c>
      <c r="D2" s="67">
        <v>42875.575808294132</v>
      </c>
      <c r="E2" s="67">
        <v>45048.539314988826</v>
      </c>
      <c r="F2" s="67">
        <v>45504.86165139472</v>
      </c>
      <c r="G2" s="67">
        <v>45965.747211164649</v>
      </c>
      <c r="H2" s="67">
        <v>46431.241626532305</v>
      </c>
      <c r="I2" s="67">
        <v>48781.988424138937</v>
      </c>
      <c r="J2" s="67">
        <v>49275.645251636328</v>
      </c>
      <c r="K2" s="67">
        <v>49774.238647408689</v>
      </c>
      <c r="L2" s="67">
        <v>50277.817977138773</v>
      </c>
      <c r="M2" s="67">
        <v>52820.893592275701</v>
      </c>
      <c r="N2" s="67">
        <v>53354.939471454476</v>
      </c>
      <c r="O2" s="67">
        <v>53894.325809425012</v>
      </c>
      <c r="P2" s="67">
        <v>56618.226816176262</v>
      </c>
      <c r="Q2" s="67">
        <v>57190.246027594032</v>
      </c>
      <c r="R2" s="67">
        <v>57767.985431125984</v>
      </c>
      <c r="S2" s="67">
        <v>58351.502228693236</v>
      </c>
      <c r="T2" s="67">
        <v>58940.854194236184</v>
      </c>
      <c r="U2" s="67">
        <v>61917.081620227968</v>
      </c>
      <c r="V2" s="67">
        <v>62542.089379686273</v>
      </c>
      <c r="W2" s="67">
        <v>63090.280884764426</v>
      </c>
      <c r="X2" s="67">
        <v>63576.024720868067</v>
      </c>
      <c r="Y2" s="67">
        <v>66029.031093191486</v>
      </c>
      <c r="Z2" s="67">
        <v>66544.162431379387</v>
      </c>
      <c r="AA2" s="67">
        <v>67064.445082949183</v>
      </c>
      <c r="AB2" s="67">
        <v>67589.930561034678</v>
      </c>
      <c r="AC2" s="67">
        <v>68120.670893901042</v>
      </c>
      <c r="AD2" s="67">
        <v>68656.718630096031</v>
      </c>
      <c r="AE2" s="67">
        <v>69198.126843653008</v>
      </c>
      <c r="AF2" s="67">
        <v>69744.949139345539</v>
      </c>
      <c r="AG2" s="67">
        <v>70297.239657994985</v>
      </c>
      <c r="AH2" s="67">
        <v>70855.053081830934</v>
      </c>
      <c r="AI2" s="67">
        <v>71418.444639905239</v>
      </c>
      <c r="AJ2" s="67">
        <v>71987.470113560295</v>
      </c>
      <c r="AK2" s="67">
        <v>72562.185841951898</v>
      </c>
      <c r="AL2" s="67">
        <v>75464.500270329503</v>
      </c>
      <c r="AM2" s="67">
        <v>76073.986300288787</v>
      </c>
      <c r="AN2" s="67">
        <v>76689.567190547677</v>
      </c>
      <c r="AO2" s="67">
        <v>77311.303889709146</v>
      </c>
      <c r="AP2" s="67">
        <v>77939.257955862238</v>
      </c>
      <c r="AQ2" s="67">
        <v>78573.491562676878</v>
      </c>
      <c r="AR2" s="67">
        <v>79214.067505559637</v>
      </c>
      <c r="AS2" s="67">
        <v>79861.049207871241</v>
      </c>
      <c r="AT2" s="67">
        <v>80514.500727205959</v>
      </c>
      <c r="AU2" s="67">
        <v>81174.486761733991</v>
      </c>
      <c r="AV2" s="67">
        <v>81841.072656607343</v>
      </c>
      <c r="AW2" s="67">
        <v>82514.324410429414</v>
      </c>
      <c r="AX2" s="67">
        <v>83194.308681789698</v>
      </c>
      <c r="AY2" s="67">
        <v>83881.092795863602</v>
      </c>
      <c r="AZ2" s="67">
        <v>84574.744751078251</v>
      </c>
      <c r="BA2">
        <v>0</v>
      </c>
    </row>
    <row r="3" spans="1:53" x14ac:dyDescent="0.2">
      <c r="A3" s="67" t="s">
        <v>74</v>
      </c>
      <c r="B3" s="69">
        <v>200000</v>
      </c>
      <c r="C3" s="67" cm="1">
        <f t="array" ref="C3:BA3">TRANSPOSE(TableIncome[InvestmentP2])</f>
        <v>69534.605893563552</v>
      </c>
      <c r="D3" s="67">
        <v>70084.792979755191</v>
      </c>
      <c r="E3" s="67">
        <v>72863.237765022946</v>
      </c>
      <c r="F3" s="67">
        <v>73446.711169929185</v>
      </c>
      <c r="G3" s="67">
        <v>74036.019308884453</v>
      </c>
      <c r="H3" s="67">
        <v>74631.220529229293</v>
      </c>
      <c r="I3" s="67">
        <v>77636.986691970757</v>
      </c>
      <c r="J3" s="67">
        <v>78268.19758614646</v>
      </c>
      <c r="K3" s="67">
        <v>78905.720589263932</v>
      </c>
      <c r="L3" s="67">
        <v>79549.61882241258</v>
      </c>
      <c r="M3" s="67">
        <v>82801.304899813214</v>
      </c>
      <c r="N3" s="67">
        <v>83484.158976067352</v>
      </c>
      <c r="O3" s="67">
        <v>84173.841593084013</v>
      </c>
      <c r="P3" s="67">
        <v>87656.738809018221</v>
      </c>
      <c r="Q3" s="67">
        <v>88388.147224364409</v>
      </c>
      <c r="R3" s="67">
        <v>89126.869723864045</v>
      </c>
      <c r="S3" s="67">
        <v>89872.979448358674</v>
      </c>
      <c r="T3" s="67">
        <v>90626.550270098291</v>
      </c>
      <c r="U3" s="67">
        <v>94432.082919883193</v>
      </c>
      <c r="V3" s="67">
        <v>95231.244776338033</v>
      </c>
      <c r="W3" s="67">
        <v>96038.398251357416</v>
      </c>
      <c r="X3" s="67">
        <v>96853.62326112701</v>
      </c>
      <c r="Y3" s="67">
        <v>100970.50956046334</v>
      </c>
      <c r="Z3" s="67">
        <v>101835.05568332397</v>
      </c>
      <c r="AA3" s="67">
        <v>102708.24726741323</v>
      </c>
      <c r="AB3" s="67">
        <v>103590.17076734336</v>
      </c>
      <c r="AC3" s="67">
        <v>104480.9135022728</v>
      </c>
      <c r="AD3" s="67">
        <v>105380.56366455152</v>
      </c>
      <c r="AE3" s="67">
        <v>106289.21032845303</v>
      </c>
      <c r="AF3" s="67">
        <v>107206.9434589936</v>
      </c>
      <c r="AG3" s="67">
        <v>108133.85392083952</v>
      </c>
      <c r="AH3" s="67">
        <v>109070.03348730391</v>
      </c>
      <c r="AI3" s="67">
        <v>110015.57484943297</v>
      </c>
      <c r="AJ3" s="67">
        <v>110970.57162518326</v>
      </c>
      <c r="AK3" s="67">
        <v>111935.11836869114</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42445.286004988237</v>
      </c>
      <c r="C2" s="71">
        <f>SUMIF(TableIncome[Year], "&lt;=" &amp; C1, TableIncome[InvestmentP1])</f>
        <v>85320.861813282361</v>
      </c>
      <c r="D2" s="71">
        <f>SUMIF(TableIncome[Year], "&lt;=" &amp; D1, TableIncome[InvestmentP1])</f>
        <v>130369.40112827119</v>
      </c>
      <c r="E2" s="71">
        <f>SUMIF(TableIncome[Year], "&lt;=" &amp; E1, TableIncome[InvestmentP1])</f>
        <v>175874.26277966591</v>
      </c>
      <c r="F2" s="71">
        <f>SUMIF(TableIncome[Year], "&lt;=" &amp; F1, TableIncome[InvestmentP1])</f>
        <v>221840.00999083056</v>
      </c>
      <c r="G2" s="71">
        <f>SUMIF(TableIncome[Year], "&lt;=" &amp; G1, TableIncome[InvestmentP1])</f>
        <v>268271.25161736284</v>
      </c>
      <c r="H2" s="71">
        <f>SUMIF(TableIncome[Year], "&lt;=" &amp; H1, TableIncome[InvestmentP1])</f>
        <v>317053.24004150176</v>
      </c>
      <c r="I2" s="71">
        <f>SUMIF(TableIncome[Year], "&lt;=" &amp; I1, TableIncome[InvestmentP1])</f>
        <v>366328.8852931381</v>
      </c>
      <c r="J2" s="71">
        <f>SUMIF(TableIncome[Year], "&lt;=" &amp; J1, TableIncome[InvestmentP1])</f>
        <v>416103.12394054676</v>
      </c>
      <c r="K2" s="71">
        <f>SUMIF(TableIncome[Year], "&lt;=" &amp; K1, TableIncome[InvestmentP1])</f>
        <v>466380.94191768556</v>
      </c>
      <c r="L2" s="71">
        <f>SUMIF(TableIncome[Year], "&lt;=" &amp; L1, TableIncome[InvestmentP1])</f>
        <v>519201.83550996124</v>
      </c>
      <c r="M2" s="71">
        <f>SUMIF(TableIncome[Year], "&lt;=" &amp; M1, TableIncome[InvestmentP1])</f>
        <v>572556.77498141571</v>
      </c>
      <c r="N2" s="71">
        <f>SUMIF(TableIncome[Year], "&lt;=" &amp; N1, TableIncome[InvestmentP1])</f>
        <v>626451.10079084069</v>
      </c>
      <c r="O2" s="71">
        <f>SUMIF(TableIncome[Year], "&lt;=" &amp; O1, TableIncome[InvestmentP1])</f>
        <v>683069.32760701701</v>
      </c>
      <c r="P2" s="71">
        <f>SUMIF(TableIncome[Year], "&lt;=" &amp; P1, TableIncome[InvestmentP1])</f>
        <v>740259.57363461109</v>
      </c>
      <c r="Q2" s="71">
        <f>SUMIF(TableIncome[Year], "&lt;=" &amp; Q1, TableIncome[InvestmentP1])</f>
        <v>798027.55906573706</v>
      </c>
      <c r="R2" s="71">
        <f>SUMIF(TableIncome[Year], "&lt;=" &amp; R1, TableIncome[InvestmentP1])</f>
        <v>856379.06129443028</v>
      </c>
      <c r="S2" s="71">
        <f>SUMIF(TableIncome[Year], "&lt;=" &amp; S1, TableIncome[InvestmentP1])</f>
        <v>915319.91548866651</v>
      </c>
      <c r="T2" s="71">
        <f>SUMIF(TableIncome[Year], "&lt;=" &amp; T1, TableIncome[InvestmentP1])</f>
        <v>977236.99710889452</v>
      </c>
      <c r="U2" s="71">
        <f>SUMIF(TableIncome[Year], "&lt;=" &amp; U1, TableIncome[InvestmentP1])</f>
        <v>1039779.0864885808</v>
      </c>
      <c r="V2" s="71">
        <f>SUMIF(TableIncome[Year], "&lt;=" &amp; V1, TableIncome[InvestmentP1])</f>
        <v>1102869.3673733452</v>
      </c>
      <c r="W2" s="71">
        <f>SUMIF(TableIncome[Year], "&lt;=" &amp; W1, TableIncome[InvestmentP1])</f>
        <v>1166445.3920942133</v>
      </c>
      <c r="X2" s="71">
        <f>SUMIF(TableIncome[Year], "&lt;=" &amp; X1, TableIncome[InvestmentP1])</f>
        <v>1232474.4231874049</v>
      </c>
      <c r="Y2" s="71">
        <f>SUMIF(TableIncome[Year], "&lt;=" &amp; Y1, TableIncome[InvestmentP1])</f>
        <v>1299018.5856187842</v>
      </c>
      <c r="Z2" s="71">
        <f>SUMIF(TableIncome[Year], "&lt;=" &amp; Z1, TableIncome[InvestmentP1])</f>
        <v>1366083.0307017334</v>
      </c>
      <c r="AA2" s="71">
        <f>SUMIF(TableIncome[Year], "&lt;=" &amp; AA1, TableIncome[InvestmentP1])</f>
        <v>1433672.9612627681</v>
      </c>
      <c r="AB2" s="71">
        <f>SUMIF(TableIncome[Year], "&lt;=" &amp; AB1, TableIncome[InvestmentP1])</f>
        <v>1501793.6321566692</v>
      </c>
      <c r="AC2" s="71">
        <f>SUMIF(TableIncome[Year], "&lt;=" &amp; AC1, TableIncome[InvestmentP1])</f>
        <v>1570450.3507867651</v>
      </c>
      <c r="AD2" s="71">
        <f>SUMIF(TableIncome[Year], "&lt;=" &amp; AD1, TableIncome[InvestmentP1])</f>
        <v>1639648.477630418</v>
      </c>
      <c r="AE2" s="71">
        <f>SUMIF(TableIncome[Year], "&lt;=" &amp; AE1, TableIncome[InvestmentP1])</f>
        <v>1709393.4267697635</v>
      </c>
      <c r="AF2" s="71">
        <f>SUMIF(TableIncome[Year], "&lt;=" &amp; AF1, TableIncome[InvestmentP1])</f>
        <v>1779690.6664277585</v>
      </c>
      <c r="AG2" s="71">
        <f>SUMIF(TableIncome[Year], "&lt;=" &amp; AG1, TableIncome[InvestmentP1])</f>
        <v>1850545.7195095895</v>
      </c>
      <c r="AH2" s="71">
        <f>SUMIF(TableIncome[Year], "&lt;=" &amp; AH1, TableIncome[InvestmentP1])</f>
        <v>1921964.1641494948</v>
      </c>
      <c r="AI2" s="71">
        <f>SUMIF(TableIncome[Year], "&lt;=" &amp; AI1, TableIncome[InvestmentP1])</f>
        <v>1993951.6342630552</v>
      </c>
      <c r="AJ2" s="71">
        <f>SUMIF(TableIncome[Year], "&lt;=" &amp; AJ1, TableIncome[InvestmentP1])</f>
        <v>2066513.8201050072</v>
      </c>
      <c r="AK2" s="71">
        <f>SUMIF(TableIncome[Year], "&lt;=" &amp; AK1, TableIncome[InvestmentP1])</f>
        <v>2141978.3203753368</v>
      </c>
      <c r="AL2" s="71">
        <f>SUMIF(TableIncome[Year], "&lt;=" &amp; AL1, TableIncome[InvestmentP1])</f>
        <v>2218052.3066756255</v>
      </c>
      <c r="AM2" s="71">
        <f>SUMIF(TableIncome[Year], "&lt;=" &amp; AM1, TableIncome[InvestmentP1])</f>
        <v>2294741.873866173</v>
      </c>
      <c r="AN2" s="71">
        <f>SUMIF(TableIncome[Year], "&lt;=" &amp; AN1, TableIncome[InvestmentP1])</f>
        <v>2372053.177755882</v>
      </c>
      <c r="AO2" s="71">
        <f>SUMIF(TableIncome[Year], "&lt;=" &amp; AO1, TableIncome[InvestmentP1])</f>
        <v>2449992.4357117442</v>
      </c>
      <c r="AP2" s="71">
        <f>SUMIF(TableIncome[Year], "&lt;=" &amp; AP1, TableIncome[InvestmentP1])</f>
        <v>2528565.9272744213</v>
      </c>
      <c r="AQ2" s="71">
        <f>SUMIF(TableIncome[Year], "&lt;=" &amp; AQ1, TableIncome[InvestmentP1])</f>
        <v>2607779.9947799807</v>
      </c>
      <c r="AR2" s="71">
        <f>SUMIF(TableIncome[Year], "&lt;=" &amp; AR1, TableIncome[InvestmentP1])</f>
        <v>2687641.0439878521</v>
      </c>
      <c r="AS2" s="71">
        <f>SUMIF(TableIncome[Year], "&lt;=" &amp; AS1, TableIncome[InvestmentP1])</f>
        <v>2768155.5447150581</v>
      </c>
      <c r="AT2" s="71">
        <f>SUMIF(TableIncome[Year], "&lt;=" &amp; AT1, TableIncome[InvestmentP1])</f>
        <v>2849330.0314767919</v>
      </c>
      <c r="AU2" s="71">
        <f>SUMIF(TableIncome[Year], "&lt;=" &amp; AU1, TableIncome[InvestmentP1])</f>
        <v>2931171.1041333992</v>
      </c>
      <c r="AV2" s="71">
        <f>SUMIF(TableIncome[Year], "&lt;=" &amp; AV1, TableIncome[InvestmentP1])</f>
        <v>3013685.4285438284</v>
      </c>
      <c r="AW2" s="71">
        <f>SUMIF(TableIncome[Year], "&lt;=" &amp; AW1, TableIncome[InvestmentP1])</f>
        <v>3096879.7372256182</v>
      </c>
      <c r="AX2" s="71">
        <f>SUMIF(TableIncome[Year], "&lt;=" &amp; AX1, TableIncome[InvestmentP1])</f>
        <v>3180760.830021482</v>
      </c>
      <c r="AY2" s="71">
        <f>SUMIF(TableIncome[Year], "&lt;=" &amp; AY1, TableIncome[InvestmentP1])</f>
        <v>3265335.57477256</v>
      </c>
      <c r="AZ2" s="71">
        <f>SUMIF(TableIncome[Year], "&lt;=" &amp; AZ1, TableIncome[InvestmentP1])</f>
        <v>3265335.57477256</v>
      </c>
    </row>
    <row r="3" spans="1:52" x14ac:dyDescent="0.2">
      <c r="A3" s="67" t="s">
        <v>74</v>
      </c>
      <c r="B3" s="71">
        <f>SUMIF(TableIncome[Year], "&lt;=" &amp; B1, TableIncome[InvestmentP2])</f>
        <v>69534.605893563552</v>
      </c>
      <c r="C3" s="71">
        <f>SUMIF(TableIncome[Year], "&lt;=" &amp; C1, TableIncome[InvestmentP2])</f>
        <v>139619.39887331874</v>
      </c>
      <c r="D3" s="71">
        <f>SUMIF(TableIncome[Year], "&lt;=" &amp; D1, TableIncome[InvestmentP2])</f>
        <v>212482.6366383417</v>
      </c>
      <c r="E3" s="71">
        <f>SUMIF(TableIncome[Year], "&lt;=" &amp; E1, TableIncome[InvestmentP2])</f>
        <v>285929.34780827089</v>
      </c>
      <c r="F3" s="71">
        <f>SUMIF(TableIncome[Year], "&lt;=" &amp; F1, TableIncome[InvestmentP2])</f>
        <v>359965.36711715534</v>
      </c>
      <c r="G3" s="71">
        <f>SUMIF(TableIncome[Year], "&lt;=" &amp; G1, TableIncome[InvestmentP2])</f>
        <v>434596.58764638461</v>
      </c>
      <c r="H3" s="71">
        <f>SUMIF(TableIncome[Year], "&lt;=" &amp; H1, TableIncome[InvestmentP2])</f>
        <v>512233.57433835533</v>
      </c>
      <c r="I3" s="71">
        <f>SUMIF(TableIncome[Year], "&lt;=" &amp; I1, TableIncome[InvestmentP2])</f>
        <v>590501.77192450175</v>
      </c>
      <c r="J3" s="71">
        <f>SUMIF(TableIncome[Year], "&lt;=" &amp; J1, TableIncome[InvestmentP2])</f>
        <v>669407.4925137657</v>
      </c>
      <c r="K3" s="71">
        <f>SUMIF(TableIncome[Year], "&lt;=" &amp; K1, TableIncome[InvestmentP2])</f>
        <v>748957.11133617826</v>
      </c>
      <c r="L3" s="71">
        <f>SUMIF(TableIncome[Year], "&lt;=" &amp; L1, TableIncome[InvestmentP2])</f>
        <v>831758.41623599152</v>
      </c>
      <c r="M3" s="71">
        <f>SUMIF(TableIncome[Year], "&lt;=" &amp; M1, TableIncome[InvestmentP2])</f>
        <v>915242.57521205884</v>
      </c>
      <c r="N3" s="71">
        <f>SUMIF(TableIncome[Year], "&lt;=" &amp; N1, TableIncome[InvestmentP2])</f>
        <v>999416.41680514289</v>
      </c>
      <c r="O3" s="71">
        <f>SUMIF(TableIncome[Year], "&lt;=" &amp; O1, TableIncome[InvestmentP2])</f>
        <v>1087073.1556141612</v>
      </c>
      <c r="P3" s="71">
        <f>SUMIF(TableIncome[Year], "&lt;=" &amp; P1, TableIncome[InvestmentP2])</f>
        <v>1175461.3028385255</v>
      </c>
      <c r="Q3" s="71">
        <f>SUMIF(TableIncome[Year], "&lt;=" &amp; Q1, TableIncome[InvestmentP2])</f>
        <v>1264588.1725623896</v>
      </c>
      <c r="R3" s="71">
        <f>SUMIF(TableIncome[Year], "&lt;=" &amp; R1, TableIncome[InvestmentP2])</f>
        <v>1354461.1520107484</v>
      </c>
      <c r="S3" s="71">
        <f>SUMIF(TableIncome[Year], "&lt;=" &amp; S1, TableIncome[InvestmentP2])</f>
        <v>1445087.7022808467</v>
      </c>
      <c r="T3" s="71">
        <f>SUMIF(TableIncome[Year], "&lt;=" &amp; T1, TableIncome[InvestmentP2])</f>
        <v>1539519.78520073</v>
      </c>
      <c r="U3" s="71">
        <f>SUMIF(TableIncome[Year], "&lt;=" &amp; U1, TableIncome[InvestmentP2])</f>
        <v>1634751.0299770681</v>
      </c>
      <c r="V3" s="71">
        <f>SUMIF(TableIncome[Year], "&lt;=" &amp; V1, TableIncome[InvestmentP2])</f>
        <v>1730789.4282284256</v>
      </c>
      <c r="W3" s="71">
        <f>SUMIF(TableIncome[Year], "&lt;=" &amp; W1, TableIncome[InvestmentP2])</f>
        <v>1827643.0514895525</v>
      </c>
      <c r="X3" s="71">
        <f>SUMIF(TableIncome[Year], "&lt;=" &amp; X1, TableIncome[InvestmentP2])</f>
        <v>1928613.5610500157</v>
      </c>
      <c r="Y3" s="71">
        <f>SUMIF(TableIncome[Year], "&lt;=" &amp; Y1, TableIncome[InvestmentP2])</f>
        <v>2030448.6167333396</v>
      </c>
      <c r="Z3" s="71">
        <f>SUMIF(TableIncome[Year], "&lt;=" &amp; Z1, TableIncome[InvestmentP2])</f>
        <v>2133156.864000753</v>
      </c>
      <c r="AA3" s="71">
        <f>SUMIF(TableIncome[Year], "&lt;=" &amp; AA1, TableIncome[InvestmentP2])</f>
        <v>2236747.0347680962</v>
      </c>
      <c r="AB3" s="71">
        <f>SUMIF(TableIncome[Year], "&lt;=" &amp; AB1, TableIncome[InvestmentP2])</f>
        <v>2341227.9482703689</v>
      </c>
      <c r="AC3" s="71">
        <f>SUMIF(TableIncome[Year], "&lt;=" &amp; AC1, TableIncome[InvestmentP2])</f>
        <v>2446608.5119349202</v>
      </c>
      <c r="AD3" s="71">
        <f>SUMIF(TableIncome[Year], "&lt;=" &amp; AD1, TableIncome[InvestmentP2])</f>
        <v>2552897.7222633734</v>
      </c>
      <c r="AE3" s="71">
        <f>SUMIF(TableIncome[Year], "&lt;=" &amp; AE1, TableIncome[InvestmentP2])</f>
        <v>2660104.6657223669</v>
      </c>
      <c r="AF3" s="71">
        <f>SUMIF(TableIncome[Year], "&lt;=" &amp; AF1, TableIncome[InvestmentP2])</f>
        <v>2768238.5196432066</v>
      </c>
      <c r="AG3" s="71">
        <f>SUMIF(TableIncome[Year], "&lt;=" &amp; AG1, TableIncome[InvestmentP2])</f>
        <v>2877308.5531305107</v>
      </c>
      <c r="AH3" s="71">
        <f>SUMIF(TableIncome[Year], "&lt;=" &amp; AH1, TableIncome[InvestmentP2])</f>
        <v>2987324.1279799435</v>
      </c>
      <c r="AI3" s="71">
        <f>SUMIF(TableIncome[Year], "&lt;=" &amp; AI1, TableIncome[InvestmentP2])</f>
        <v>3098294.6996051269</v>
      </c>
      <c r="AJ3" s="71">
        <f>SUMIF(TableIncome[Year], "&lt;=" &amp; AJ1, TableIncome[InvestmentP2])</f>
        <v>3210229.8179738182</v>
      </c>
      <c r="AK3" s="71">
        <f>SUMIF(TableIncome[Year], "&lt;=" &amp; AK1, TableIncome[InvestmentP2])</f>
        <v>3210229.8179738182</v>
      </c>
      <c r="AL3" s="71">
        <f>SUMIF(TableIncome[Year], "&lt;=" &amp; AL1, TableIncome[InvestmentP2])</f>
        <v>3210229.8179738182</v>
      </c>
      <c r="AM3" s="71">
        <f>SUMIF(TableIncome[Year], "&lt;=" &amp; AM1, TableIncome[InvestmentP2])</f>
        <v>3210229.8179738182</v>
      </c>
      <c r="AN3" s="71">
        <f>SUMIF(TableIncome[Year], "&lt;=" &amp; AN1, TableIncome[InvestmentP2])</f>
        <v>3210229.8179738182</v>
      </c>
      <c r="AO3" s="71">
        <f>SUMIF(TableIncome[Year], "&lt;=" &amp; AO1, TableIncome[InvestmentP2])</f>
        <v>3210229.8179738182</v>
      </c>
      <c r="AP3" s="71">
        <f>SUMIF(TableIncome[Year], "&lt;=" &amp; AP1, TableIncome[InvestmentP2])</f>
        <v>3210229.8179738182</v>
      </c>
      <c r="AQ3" s="71">
        <f>SUMIF(TableIncome[Year], "&lt;=" &amp; AQ1, TableIncome[InvestmentP2])</f>
        <v>3210229.8179738182</v>
      </c>
      <c r="AR3" s="71">
        <f>SUMIF(TableIncome[Year], "&lt;=" &amp; AR1, TableIncome[InvestmentP2])</f>
        <v>3210229.8179738182</v>
      </c>
      <c r="AS3" s="71">
        <f>SUMIF(TableIncome[Year], "&lt;=" &amp; AS1, TableIncome[InvestmentP2])</f>
        <v>3210229.8179738182</v>
      </c>
      <c r="AT3" s="71">
        <f>SUMIF(TableIncome[Year], "&lt;=" &amp; AT1, TableIncome[InvestmentP2])</f>
        <v>3210229.8179738182</v>
      </c>
      <c r="AU3" s="71">
        <f>SUMIF(TableIncome[Year], "&lt;=" &amp; AU1, TableIncome[InvestmentP2])</f>
        <v>3210229.8179738182</v>
      </c>
      <c r="AV3" s="71">
        <f>SUMIF(TableIncome[Year], "&lt;=" &amp; AV1, TableIncome[InvestmentP2])</f>
        <v>3210229.8179738182</v>
      </c>
      <c r="AW3" s="71">
        <f>SUMIF(TableIncome[Year], "&lt;=" &amp; AW1, TableIncome[InvestmentP2])</f>
        <v>3210229.8179738182</v>
      </c>
      <c r="AX3" s="71">
        <f>SUMIF(TableIncome[Year], "&lt;=" &amp; AX1, TableIncome[InvestmentP2])</f>
        <v>3210229.8179738182</v>
      </c>
      <c r="AY3" s="71">
        <f>SUMIF(TableIncome[Year], "&lt;=" &amp; AY1, TableIncome[InvestmentP2])</f>
        <v>3210229.8179738182</v>
      </c>
      <c r="AZ3" s="71">
        <f>SUMIF(TableIncome[Year], "&lt;=" &amp; AZ1, TableIncome[InvestmentP2])</f>
        <v>3210229.8179738182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2025-05-07T19:19:59Z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