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0B034530-A036-4339-A9AB-29CE0D107EA9}" xr6:coauthVersionLast="47" xr6:coauthVersionMax="47" xr10:uidLastSave="{00000000-0000-0000-0000-000000000000}"/>
  <bookViews>
    <workbookView xWindow="-120" yWindow="-120" windowWidth="29040" windowHeight="15720" tabRatio="972" firstSheet="5" activeTab="19"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7" l="1"/>
  <c r="L3" i="23" s="1"/>
  <c r="D8" i="57"/>
  <c r="D6" i="57"/>
  <c r="D4" i="57"/>
  <c r="D3" i="57"/>
  <c r="C8" i="57"/>
  <c r="E8" i="57" s="1"/>
  <c r="L7" i="23" s="1"/>
  <c r="C7" i="57"/>
  <c r="E7" i="57" s="1"/>
  <c r="L6" i="23" s="1"/>
  <c r="C6" i="57"/>
  <c r="E6" i="57" s="1"/>
  <c r="L5" i="23" s="1"/>
  <c r="C5" i="57"/>
  <c r="E5" i="57" s="1"/>
  <c r="L4" i="23" s="1"/>
  <c r="C4" i="57"/>
  <c r="C3" i="57"/>
  <c r="E3" i="57" s="1"/>
  <c r="L2" i="23" s="1"/>
  <c r="B8" i="57"/>
  <c r="B7" i="57"/>
  <c r="D7" i="57" s="1"/>
  <c r="B6" i="57"/>
  <c r="B5" i="57"/>
  <c r="D5" i="57" s="1"/>
  <c r="B4" i="57"/>
  <c r="B3" i="57"/>
  <c r="C7" i="51"/>
  <c r="B22" i="55"/>
  <c r="B5" i="55"/>
  <c r="B3" i="55"/>
  <c r="N39" i="2"/>
  <c r="N40" i="2"/>
  <c r="N41" i="2"/>
  <c r="N42" i="2"/>
  <c r="N43" i="2"/>
  <c r="N44" i="2"/>
  <c r="N45" i="2"/>
  <c r="N46" i="2"/>
  <c r="N47" i="2"/>
  <c r="N48" i="2"/>
  <c r="N49" i="2"/>
  <c r="D49" i="2" s="1"/>
  <c r="N50" i="2"/>
  <c r="D50" i="2" s="1"/>
  <c r="N51" i="2"/>
  <c r="D51" i="2" s="1"/>
  <c r="N52" i="2"/>
  <c r="D52" i="2" s="1"/>
  <c r="N53" i="2"/>
  <c r="BB15" i="56"/>
  <c r="AX15" i="56"/>
  <c r="E39" i="56"/>
  <c r="F39" i="56" s="1"/>
  <c r="AC15" i="56"/>
  <c r="B14" i="56"/>
  <c r="B43" i="55" s="1"/>
  <c r="B45"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Y15" i="56" l="1"/>
  <c r="A4" i="56"/>
  <c r="AU8" i="56"/>
  <c r="G8" i="56"/>
  <c r="AW8" i="56"/>
  <c r="I8" i="56"/>
  <c r="J8" i="56"/>
  <c r="O8" i="56"/>
  <c r="Q8" i="56"/>
  <c r="B50" i="55"/>
  <c r="B52" i="55" s="1"/>
  <c r="B53" i="55" s="1"/>
  <c r="R8" i="56"/>
  <c r="AX8" i="56"/>
  <c r="W8" i="56"/>
  <c r="AY8" i="56"/>
  <c r="Y8" i="56"/>
  <c r="AZ8" i="56"/>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6" i="38"/>
  <c r="B5" i="38"/>
  <c r="B4" i="38"/>
  <c r="B3" i="38"/>
  <c r="B2" i="38"/>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B2" i="23" l="1"/>
  <c r="C2" i="23" s="1"/>
  <c r="D2" i="23" s="1"/>
  <c r="E2" i="23" s="1"/>
  <c r="F2" i="23" s="1"/>
  <c r="G2" i="23" s="1"/>
  <c r="H2" i="23" s="1"/>
  <c r="I2" i="23" s="1"/>
  <c r="J2" i="23" s="1"/>
  <c r="K2" i="23" s="1"/>
  <c r="B4" i="23"/>
  <c r="C4" i="23" s="1"/>
  <c r="D4" i="23" s="1"/>
  <c r="E4" i="23" s="1"/>
  <c r="F4" i="23" s="1"/>
  <c r="G4" i="23" s="1"/>
  <c r="H4" i="23" s="1"/>
  <c r="I4" i="23" s="1"/>
  <c r="J4" i="23" s="1"/>
  <c r="K4" i="23" s="1"/>
  <c r="B5" i="23"/>
  <c r="C5" i="23" s="1"/>
  <c r="D5" i="23" s="1"/>
  <c r="E5" i="23" s="1"/>
  <c r="F5" i="23" s="1"/>
  <c r="G5" i="23" s="1"/>
  <c r="H5" i="23" s="1"/>
  <c r="I5" i="23" s="1"/>
  <c r="J5" i="23" s="1"/>
  <c r="K5" i="23" s="1"/>
  <c r="B3" i="23"/>
  <c r="C3" i="23" s="1"/>
  <c r="D3" i="23" s="1"/>
  <c r="E3" i="23" s="1"/>
  <c r="F3" i="23" s="1"/>
  <c r="G3" i="23" s="1"/>
  <c r="H3" i="23" s="1"/>
  <c r="I3" i="23" s="1"/>
  <c r="J3" i="23" s="1"/>
  <c r="K3" i="23" s="1"/>
  <c r="B6" i="23"/>
  <c r="C6" i="23" s="1"/>
  <c r="D6" i="23" s="1"/>
  <c r="E6" i="23" s="1"/>
  <c r="F6" i="23" s="1"/>
  <c r="G6" i="23" s="1"/>
  <c r="H6" i="23" s="1"/>
  <c r="I6" i="23" s="1"/>
  <c r="J6" i="23" s="1"/>
  <c r="K6" i="23" s="1"/>
  <c r="B7" i="23"/>
  <c r="C7" i="23" s="1"/>
  <c r="D7" i="23" s="1"/>
  <c r="E7" i="23" s="1"/>
  <c r="F7" i="23" s="1"/>
  <c r="G7" i="23" s="1"/>
  <c r="H7" i="23" s="1"/>
  <c r="I7" i="23" s="1"/>
  <c r="J7" i="23" s="1"/>
  <c r="K7" i="23" s="1"/>
  <c r="D50" i="46"/>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82" i="8" l="1"/>
  <c r="Q70"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N45" i="55" s="1"/>
  <c r="N46" i="55" s="1"/>
  <c r="P22" i="2"/>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F13" i="56" l="1"/>
  <c r="F14" i="56" s="1"/>
  <c r="F16" i="56" s="1"/>
  <c r="F17" i="56" s="1"/>
  <c r="R13" i="56"/>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F13" i="56" s="1"/>
  <c r="AF14" i="56" s="1"/>
  <c r="AF16" i="56" s="1"/>
  <c r="AF17" i="56" s="1"/>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W13" i="56" l="1"/>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9" i="2"/>
  <c r="N4" i="2"/>
  <c r="N29" i="2"/>
  <c r="N15" i="2"/>
  <c r="N25" i="2"/>
  <c r="N33" i="2"/>
  <c r="D33" i="2" s="1"/>
  <c r="F33" i="2" s="1"/>
  <c r="L33" i="2" s="1"/>
  <c r="N14" i="2"/>
  <c r="N12" i="2"/>
  <c r="N37" i="2"/>
  <c r="D37" i="2" s="1"/>
  <c r="F37" i="2" s="1"/>
  <c r="L37" i="2" s="1"/>
  <c r="N23" i="2"/>
  <c r="N20" i="2"/>
  <c r="N6" i="2"/>
  <c r="N31" i="2"/>
  <c r="N10" i="2"/>
  <c r="N8" i="2"/>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36" i="2" l="1"/>
  <c r="D36" i="2" s="1"/>
  <c r="F36" i="2" s="1"/>
  <c r="L36" i="2" s="1"/>
  <c r="BI2" i="56"/>
  <c r="N3" i="2" s="1"/>
  <c r="N35" i="2"/>
  <c r="D35" i="2" s="1"/>
  <c r="F35" i="2" s="1"/>
  <c r="L35" i="2" s="1"/>
  <c r="N24" i="2"/>
  <c r="N7" i="2"/>
  <c r="S32" i="56"/>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V4" i="47"/>
  <c r="AV5" i="47" s="1"/>
  <c r="AV6" i="47" s="1"/>
  <c r="AV7" i="47" s="1"/>
  <c r="AS6" i="46"/>
  <c r="D6" i="46" l="1"/>
  <c r="E10" i="47"/>
  <c r="E9" i="47"/>
  <c r="P6" i="46"/>
  <c r="J6" i="46"/>
  <c r="AM4" i="47"/>
  <c r="I4" i="47"/>
  <c r="K6" i="46"/>
  <c r="T4" i="47"/>
  <c r="T5" i="47" s="1"/>
  <c r="T6" i="47" s="1"/>
  <c r="T7" i="47" s="1"/>
  <c r="AU6" i="46"/>
  <c r="AU7" i="46" s="1"/>
  <c r="AU8" i="46" s="1"/>
  <c r="F5" i="47"/>
  <c r="F6" i="47" s="1"/>
  <c r="F7" i="47" s="1"/>
  <c r="AK5" i="47"/>
  <c r="AK6" i="47" s="1"/>
  <c r="AK7"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10" i="47"/>
  <c r="AK9" i="47"/>
  <c r="AN9" i="47"/>
  <c r="AN10" i="47"/>
  <c r="AJ10" i="47"/>
  <c r="AJ9" i="47"/>
  <c r="T10" i="47"/>
  <c r="T9" i="47"/>
  <c r="AB9" i="47"/>
  <c r="AB10" i="47"/>
  <c r="AV10" i="47"/>
  <c r="AV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S10" i="47" l="1"/>
  <c r="AM9" i="47"/>
  <c r="G9" i="47"/>
  <c r="AO9" i="47"/>
  <c r="E12" i="47"/>
  <c r="E11" i="47"/>
  <c r="E13" i="47"/>
  <c r="E14" i="47" s="1"/>
  <c r="E16" i="47" s="1"/>
  <c r="E17" i="47" s="1"/>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H11" i="47"/>
  <c r="AE12" i="47"/>
  <c r="AF11" i="47"/>
  <c r="AF12" i="47"/>
  <c r="AS11" i="47"/>
  <c r="AS12" i="47"/>
  <c r="H12" i="47"/>
  <c r="H11" i="47"/>
  <c r="AO11" i="47"/>
  <c r="AO12" i="47"/>
  <c r="AK12" i="47"/>
  <c r="AK11" i="47"/>
  <c r="T12" i="47"/>
  <c r="T11" i="47"/>
  <c r="R11" i="47"/>
  <c r="R12" i="47"/>
  <c r="AA12" i="47"/>
  <c r="AA11" i="47"/>
  <c r="Z12" i="47"/>
  <c r="Z11" i="47"/>
  <c r="AY11" i="47" l="1"/>
  <c r="AU11" i="47"/>
  <c r="B37" i="46"/>
  <c r="B38" i="46" s="1"/>
  <c r="C34" i="46" s="1"/>
  <c r="C36" i="46" s="1"/>
  <c r="C37" i="46" s="1"/>
  <c r="C38" i="46" s="1"/>
  <c r="D34" i="46" s="1"/>
  <c r="D36" i="46" s="1"/>
  <c r="D37" i="46" s="1"/>
  <c r="D38" i="46" s="1"/>
  <c r="E34" i="46" s="1"/>
  <c r="AR11" i="47"/>
  <c r="AR13" i="47" s="1"/>
  <c r="AR14" i="47" s="1"/>
  <c r="AR16" i="47" s="1"/>
  <c r="AR17" i="47" s="1"/>
  <c r="Y11" i="47"/>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Y13" i="47"/>
  <c r="Y14" i="47" s="1"/>
  <c r="Y16" i="47" s="1"/>
  <c r="Y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E37" i="56" s="1"/>
  <c r="C9" i="10"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AG36" i="46" l="1"/>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l="1"/>
  <c r="J25" i="47"/>
  <c r="W27" i="47"/>
  <c r="W26" i="47"/>
  <c r="X26" i="47"/>
  <c r="E27" i="47"/>
  <c r="E25" i="47"/>
  <c r="E26" i="47"/>
  <c r="H27" i="47"/>
  <c r="F25" i="47"/>
  <c r="H25" i="47"/>
  <c r="H28" i="47" s="1"/>
  <c r="H29" i="47" s="1"/>
  <c r="H31" i="47" s="1"/>
  <c r="H33" i="47" s="1"/>
  <c r="H34" i="47" s="1"/>
  <c r="H35" i="47" s="1"/>
  <c r="G27" i="47"/>
  <c r="I26" i="47"/>
  <c r="AA25" i="47"/>
  <c r="I25" i="47"/>
  <c r="L25" i="47"/>
  <c r="L28" i="47" s="1"/>
  <c r="L29" i="47" s="1"/>
  <c r="L31" i="47" s="1"/>
  <c r="L33" i="47" s="1"/>
  <c r="L34" i="47" s="1"/>
  <c r="L35" i="47" s="1"/>
  <c r="N25" i="47"/>
  <c r="N26" i="47"/>
  <c r="L27" i="47"/>
  <c r="AB25" i="47"/>
  <c r="F26" i="47"/>
  <c r="J27" i="47"/>
  <c r="AB26" i="47"/>
  <c r="P25" i="47"/>
  <c r="T26" i="47"/>
  <c r="Z26" i="47"/>
  <c r="Z25" i="47"/>
  <c r="Z28" i="47" s="1"/>
  <c r="Z29" i="47" s="1"/>
  <c r="Z31" i="47" s="1"/>
  <c r="Z33" i="47" s="1"/>
  <c r="Z34" i="47" s="1"/>
  <c r="Z35" i="47" s="1"/>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J28" i="47"/>
  <c r="J29" i="47" s="1"/>
  <c r="J31" i="47" s="1"/>
  <c r="J33" i="47" s="1"/>
  <c r="J34" i="47" s="1"/>
  <c r="J35" i="47" s="1"/>
  <c r="N28" i="47" l="1"/>
  <c r="N29" i="47" s="1"/>
  <c r="N31" i="47" s="1"/>
  <c r="N33" i="47" s="1"/>
  <c r="N34" i="47" s="1"/>
  <c r="N35" i="47" s="1"/>
  <c r="Y28" i="47"/>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<sst xmlns="http://schemas.openxmlformats.org/spreadsheetml/2006/main" count="1535" uniqueCount="281">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</sst>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Y</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6.25E-2</v>
      </c>
      <c r="C2" s="72">
        <f>B2</f>
        <v>6.25E-2</v>
      </c>
      <c r="D2" s="72">
        <f t="shared" ref="D2:K2" si="0">C2</f>
        <v>6.25E-2</v>
      </c>
      <c r="E2" s="72">
        <f t="shared" si="0"/>
        <v>6.25E-2</v>
      </c>
      <c r="F2" s="72">
        <f t="shared" si="0"/>
        <v>6.25E-2</v>
      </c>
      <c r="G2" s="72">
        <f t="shared" si="0"/>
        <v>6.25E-2</v>
      </c>
      <c r="H2" s="72">
        <f t="shared" si="0"/>
        <v>6.25E-2</v>
      </c>
      <c r="I2" s="72">
        <f t="shared" si="0"/>
        <v>6.25E-2</v>
      </c>
      <c r="J2" s="72">
        <f t="shared" si="0"/>
        <v>6.25E-2</v>
      </c>
      <c r="K2" s="72">
        <f t="shared" si="0"/>
        <v>6.25E-2</v>
      </c>
      <c r="L2" s="73">
        <f>'Return Modifiers'!$E$3-0.2%</f>
        <v>4.675E-2</v>
      </c>
      <c r="M2" s="72">
        <f t="shared" ref="C2:M7" si="1">L2</f>
        <v>4.675E-2</v>
      </c>
      <c r="N2" s="72">
        <f t="shared" ref="N2:N7" si="2">M2</f>
        <v>4.675E-2</v>
      </c>
      <c r="O2" s="72">
        <f t="shared" ref="O2:O7" si="3">N2</f>
        <v>4.675E-2</v>
      </c>
      <c r="P2" s="72">
        <f t="shared" ref="P2:P7" si="4">O2</f>
        <v>4.675E-2</v>
      </c>
      <c r="Q2" s="72">
        <f t="shared" ref="Q2:Q7" si="5">P2</f>
        <v>4.675E-2</v>
      </c>
      <c r="R2" s="72">
        <f t="shared" ref="R2:R7" si="6">Q2</f>
        <v>4.675E-2</v>
      </c>
      <c r="S2" s="72">
        <f t="shared" ref="S2:S7" si="7">R2</f>
        <v>4.675E-2</v>
      </c>
      <c r="T2" s="72">
        <f t="shared" ref="T2:T7" si="8">S2</f>
        <v>4.675E-2</v>
      </c>
      <c r="U2" s="72">
        <f t="shared" ref="U2:U7" si="9">T2</f>
        <v>4.675E-2</v>
      </c>
      <c r="V2" s="72">
        <f t="shared" ref="V2:V7" si="10">U2</f>
        <v>4.675E-2</v>
      </c>
      <c r="W2" s="72">
        <f t="shared" ref="W2:W7" si="11">V2</f>
        <v>4.675E-2</v>
      </c>
      <c r="X2" s="72">
        <f t="shared" ref="X2:X7" si="12">W2</f>
        <v>4.675E-2</v>
      </c>
      <c r="Y2" s="72">
        <f t="shared" ref="Y2:Y7" si="13">X2</f>
        <v>4.675E-2</v>
      </c>
      <c r="Z2" s="72">
        <f t="shared" ref="Z2:Z7" si="14">Y2</f>
        <v>4.675E-2</v>
      </c>
      <c r="AA2" s="72">
        <f t="shared" ref="AA2:AA7" si="15">Z2</f>
        <v>4.675E-2</v>
      </c>
      <c r="AB2" s="72">
        <f t="shared" ref="AB2:AB7" si="16">AA2</f>
        <v>4.675E-2</v>
      </c>
      <c r="AC2" s="72">
        <f t="shared" ref="AC2:AC7" si="17">AB2</f>
        <v>4.675E-2</v>
      </c>
      <c r="AD2" s="72">
        <f t="shared" ref="AD2:AD7" si="18">AC2</f>
        <v>4.675E-2</v>
      </c>
      <c r="AE2" s="72">
        <f t="shared" ref="AE2:AE7" si="19">AD2</f>
        <v>4.675E-2</v>
      </c>
      <c r="AF2" s="72">
        <f t="shared" ref="AF2:AF7" si="20">AE2</f>
        <v>4.675E-2</v>
      </c>
      <c r="AG2" s="72">
        <f t="shared" ref="AG2:AG7" si="21">AF2</f>
        <v>4.675E-2</v>
      </c>
      <c r="AH2" s="72">
        <f t="shared" ref="AH2:AH7" si="22">AG2</f>
        <v>4.675E-2</v>
      </c>
      <c r="AI2" s="72">
        <f t="shared" ref="AI2:AI7" si="23">AH2</f>
        <v>4.675E-2</v>
      </c>
      <c r="AJ2" s="72">
        <f t="shared" ref="AJ2:AJ7" si="24">AI2</f>
        <v>4.675E-2</v>
      </c>
      <c r="AK2" s="72">
        <f t="shared" ref="AK2:AK7" si="25">AJ2</f>
        <v>4.675E-2</v>
      </c>
      <c r="AL2" s="72">
        <f t="shared" ref="AL2:AL7" si="26">AK2</f>
        <v>4.675E-2</v>
      </c>
      <c r="AM2" s="72">
        <f t="shared" ref="AM2:AM7" si="27">AL2</f>
        <v>4.675E-2</v>
      </c>
      <c r="AN2" s="72">
        <f t="shared" ref="AN2:AN7" si="28">AM2</f>
        <v>4.675E-2</v>
      </c>
      <c r="AO2" s="72">
        <f t="shared" ref="AO2:AO7" si="29">AN2</f>
        <v>4.675E-2</v>
      </c>
      <c r="AP2" s="72">
        <f t="shared" ref="AP2:AP7" si="30">AO2</f>
        <v>4.675E-2</v>
      </c>
      <c r="AQ2" s="72">
        <f t="shared" ref="AQ2:AQ7" si="31">AP2</f>
        <v>4.675E-2</v>
      </c>
      <c r="AR2" s="72">
        <f t="shared" ref="AR2:AR7" si="32">AQ2</f>
        <v>4.675E-2</v>
      </c>
      <c r="AS2" s="72">
        <f t="shared" ref="AS2:AS7" si="33">AR2</f>
        <v>4.675E-2</v>
      </c>
      <c r="AT2" s="72">
        <f t="shared" ref="AT2:AT7" si="34">AS2</f>
        <v>4.675E-2</v>
      </c>
      <c r="AU2" s="72">
        <f t="shared" ref="AU2:AU7" si="35">AT2</f>
        <v>4.675E-2</v>
      </c>
      <c r="AV2" s="72">
        <f t="shared" ref="AV2:AV7" si="36">AU2</f>
        <v>4.675E-2</v>
      </c>
      <c r="AW2" s="72">
        <f t="shared" ref="AW2:AW7" si="37">AV2</f>
        <v>4.675E-2</v>
      </c>
      <c r="AX2" s="72">
        <f t="shared" ref="AX2:AX7" si="38">AW2</f>
        <v>4.675E-2</v>
      </c>
      <c r="AY2" s="72">
        <f t="shared" ref="AY2:AY7" si="39">AX2</f>
        <v>4.675E-2</v>
      </c>
      <c r="AZ2" s="72">
        <f t="shared" ref="AZ2:AZ7" si="40">AY2</f>
        <v>4.675E-2</v>
      </c>
    </row>
    <row r="3" spans="1:52" x14ac:dyDescent="0.25">
      <c r="A3" s="67" t="s">
        <v>101</v>
      </c>
      <c r="B3" s="72">
        <f>'Return Modifiers'!$D$4-_xlfn.XLOOKUP(A3,BasisPointCost!$A:$A,BasisPointCost!$B:$B)</f>
        <v>5.0500000000000003E-2</v>
      </c>
      <c r="C3" s="72">
        <f>B3</f>
        <v>5.0500000000000003E-2</v>
      </c>
      <c r="D3" s="72">
        <f t="shared" ref="D3:K3" si="41">C3</f>
        <v>5.0500000000000003E-2</v>
      </c>
      <c r="E3" s="72">
        <f t="shared" si="41"/>
        <v>5.0500000000000003E-2</v>
      </c>
      <c r="F3" s="72">
        <f t="shared" si="41"/>
        <v>5.0500000000000003E-2</v>
      </c>
      <c r="G3" s="72">
        <f t="shared" si="41"/>
        <v>5.0500000000000003E-2</v>
      </c>
      <c r="H3" s="72">
        <f t="shared" si="41"/>
        <v>5.0500000000000003E-2</v>
      </c>
      <c r="I3" s="72">
        <f t="shared" si="41"/>
        <v>5.0500000000000003E-2</v>
      </c>
      <c r="J3" s="72">
        <f t="shared" si="41"/>
        <v>5.0500000000000003E-2</v>
      </c>
      <c r="K3" s="72">
        <f t="shared" si="41"/>
        <v>5.0500000000000003E-2</v>
      </c>
      <c r="L3" s="73">
        <f>'Return Modifiers'!$E$4-0.2%</f>
        <v>4.675E-2</v>
      </c>
      <c r="M3" s="72">
        <f t="shared" si="1"/>
        <v>4.675E-2</v>
      </c>
      <c r="N3" s="72">
        <f t="shared" si="2"/>
        <v>4.675E-2</v>
      </c>
      <c r="O3" s="72">
        <f t="shared" si="3"/>
        <v>4.675E-2</v>
      </c>
      <c r="P3" s="72">
        <f t="shared" si="4"/>
        <v>4.675E-2</v>
      </c>
      <c r="Q3" s="72">
        <f t="shared" si="5"/>
        <v>4.675E-2</v>
      </c>
      <c r="R3" s="72">
        <f t="shared" si="6"/>
        <v>4.675E-2</v>
      </c>
      <c r="S3" s="72">
        <f t="shared" si="7"/>
        <v>4.675E-2</v>
      </c>
      <c r="T3" s="72">
        <f t="shared" si="8"/>
        <v>4.675E-2</v>
      </c>
      <c r="U3" s="72">
        <f t="shared" si="9"/>
        <v>4.675E-2</v>
      </c>
      <c r="V3" s="72">
        <f t="shared" si="10"/>
        <v>4.675E-2</v>
      </c>
      <c r="W3" s="72">
        <f t="shared" si="11"/>
        <v>4.675E-2</v>
      </c>
      <c r="X3" s="72">
        <f t="shared" si="12"/>
        <v>4.675E-2</v>
      </c>
      <c r="Y3" s="72">
        <f t="shared" si="13"/>
        <v>4.675E-2</v>
      </c>
      <c r="Z3" s="72">
        <f t="shared" si="14"/>
        <v>4.675E-2</v>
      </c>
      <c r="AA3" s="72">
        <f t="shared" si="15"/>
        <v>4.675E-2</v>
      </c>
      <c r="AB3" s="72">
        <f t="shared" si="16"/>
        <v>4.675E-2</v>
      </c>
      <c r="AC3" s="72">
        <f t="shared" si="17"/>
        <v>4.675E-2</v>
      </c>
      <c r="AD3" s="72">
        <f t="shared" si="18"/>
        <v>4.675E-2</v>
      </c>
      <c r="AE3" s="72">
        <f t="shared" si="19"/>
        <v>4.675E-2</v>
      </c>
      <c r="AF3" s="72">
        <f t="shared" si="20"/>
        <v>4.675E-2</v>
      </c>
      <c r="AG3" s="72">
        <f t="shared" si="21"/>
        <v>4.675E-2</v>
      </c>
      <c r="AH3" s="72">
        <f t="shared" si="22"/>
        <v>4.675E-2</v>
      </c>
      <c r="AI3" s="72">
        <f t="shared" si="23"/>
        <v>4.675E-2</v>
      </c>
      <c r="AJ3" s="72">
        <f t="shared" si="24"/>
        <v>4.675E-2</v>
      </c>
      <c r="AK3" s="72">
        <f t="shared" si="25"/>
        <v>4.675E-2</v>
      </c>
      <c r="AL3" s="72">
        <f t="shared" si="26"/>
        <v>4.675E-2</v>
      </c>
      <c r="AM3" s="72">
        <f t="shared" si="27"/>
        <v>4.675E-2</v>
      </c>
      <c r="AN3" s="72">
        <f t="shared" si="28"/>
        <v>4.675E-2</v>
      </c>
      <c r="AO3" s="72">
        <f t="shared" si="29"/>
        <v>4.675E-2</v>
      </c>
      <c r="AP3" s="72">
        <f t="shared" si="30"/>
        <v>4.675E-2</v>
      </c>
      <c r="AQ3" s="72">
        <f t="shared" si="31"/>
        <v>4.675E-2</v>
      </c>
      <c r="AR3" s="72">
        <f t="shared" si="32"/>
        <v>4.675E-2</v>
      </c>
      <c r="AS3" s="72">
        <f t="shared" si="33"/>
        <v>4.675E-2</v>
      </c>
      <c r="AT3" s="72">
        <f t="shared" si="34"/>
        <v>4.675E-2</v>
      </c>
      <c r="AU3" s="72">
        <f t="shared" si="35"/>
        <v>4.675E-2</v>
      </c>
      <c r="AV3" s="72">
        <f t="shared" si="36"/>
        <v>4.675E-2</v>
      </c>
      <c r="AW3" s="72">
        <f t="shared" si="37"/>
        <v>4.675E-2</v>
      </c>
      <c r="AX3" s="72">
        <f t="shared" si="38"/>
        <v>4.675E-2</v>
      </c>
      <c r="AY3" s="72">
        <f t="shared" si="39"/>
        <v>4.675E-2</v>
      </c>
      <c r="AZ3" s="72">
        <f t="shared" si="40"/>
        <v>4.675E-2</v>
      </c>
    </row>
    <row r="4" spans="1:52" x14ac:dyDescent="0.25">
      <c r="A4" s="67" t="s">
        <v>155</v>
      </c>
      <c r="B4" s="72">
        <f>'Return Modifiers'!$D$5-_xlfn.XLOOKUP(A4,BasisPointCost!$A:$A,BasisPointCost!$B:$B)</f>
        <v>3.6050000000000006E-2</v>
      </c>
      <c r="C4" s="72">
        <f t="shared" si="1"/>
        <v>3.6050000000000006E-2</v>
      </c>
      <c r="D4" s="72">
        <f t="shared" si="1"/>
        <v>3.6050000000000006E-2</v>
      </c>
      <c r="E4" s="72">
        <f t="shared" si="1"/>
        <v>3.6050000000000006E-2</v>
      </c>
      <c r="F4" s="72">
        <f t="shared" si="1"/>
        <v>3.6050000000000006E-2</v>
      </c>
      <c r="G4" s="72">
        <f t="shared" si="1"/>
        <v>3.6050000000000006E-2</v>
      </c>
      <c r="H4" s="72">
        <f t="shared" si="1"/>
        <v>3.6050000000000006E-2</v>
      </c>
      <c r="I4" s="72">
        <f t="shared" si="1"/>
        <v>3.6050000000000006E-2</v>
      </c>
      <c r="J4" s="72">
        <f t="shared" si="1"/>
        <v>3.6050000000000006E-2</v>
      </c>
      <c r="K4" s="72">
        <f t="shared" si="1"/>
        <v>3.6050000000000006E-2</v>
      </c>
      <c r="L4" s="73">
        <f>'Return Modifiers'!$E$5-0.07%</f>
        <v>2.5550000000000003E-2</v>
      </c>
      <c r="M4" s="72">
        <f t="shared" si="1"/>
        <v>2.5550000000000003E-2</v>
      </c>
      <c r="N4" s="72">
        <f t="shared" si="2"/>
        <v>2.5550000000000003E-2</v>
      </c>
      <c r="O4" s="72">
        <f t="shared" si="3"/>
        <v>2.5550000000000003E-2</v>
      </c>
      <c r="P4" s="72">
        <f t="shared" si="4"/>
        <v>2.5550000000000003E-2</v>
      </c>
      <c r="Q4" s="72">
        <f t="shared" si="5"/>
        <v>2.5550000000000003E-2</v>
      </c>
      <c r="R4" s="72">
        <f t="shared" si="6"/>
        <v>2.5550000000000003E-2</v>
      </c>
      <c r="S4" s="72">
        <f t="shared" si="7"/>
        <v>2.5550000000000003E-2</v>
      </c>
      <c r="T4" s="72">
        <f t="shared" si="8"/>
        <v>2.5550000000000003E-2</v>
      </c>
      <c r="U4" s="72">
        <f t="shared" si="9"/>
        <v>2.5550000000000003E-2</v>
      </c>
      <c r="V4" s="72">
        <f t="shared" si="10"/>
        <v>2.5550000000000003E-2</v>
      </c>
      <c r="W4" s="72">
        <f t="shared" si="11"/>
        <v>2.5550000000000003E-2</v>
      </c>
      <c r="X4" s="72">
        <f t="shared" si="12"/>
        <v>2.5550000000000003E-2</v>
      </c>
      <c r="Y4" s="72">
        <f t="shared" si="13"/>
        <v>2.5550000000000003E-2</v>
      </c>
      <c r="Z4" s="72">
        <f t="shared" si="14"/>
        <v>2.5550000000000003E-2</v>
      </c>
      <c r="AA4" s="72">
        <f t="shared" si="15"/>
        <v>2.5550000000000003E-2</v>
      </c>
      <c r="AB4" s="72">
        <f t="shared" si="16"/>
        <v>2.5550000000000003E-2</v>
      </c>
      <c r="AC4" s="72">
        <f t="shared" si="17"/>
        <v>2.5550000000000003E-2</v>
      </c>
      <c r="AD4" s="72">
        <f t="shared" si="18"/>
        <v>2.5550000000000003E-2</v>
      </c>
      <c r="AE4" s="72">
        <f t="shared" si="19"/>
        <v>2.5550000000000003E-2</v>
      </c>
      <c r="AF4" s="72">
        <f t="shared" si="20"/>
        <v>2.5550000000000003E-2</v>
      </c>
      <c r="AG4" s="72">
        <f t="shared" si="21"/>
        <v>2.5550000000000003E-2</v>
      </c>
      <c r="AH4" s="72">
        <f t="shared" si="22"/>
        <v>2.5550000000000003E-2</v>
      </c>
      <c r="AI4" s="72">
        <f t="shared" si="23"/>
        <v>2.5550000000000003E-2</v>
      </c>
      <c r="AJ4" s="72">
        <f t="shared" si="24"/>
        <v>2.5550000000000003E-2</v>
      </c>
      <c r="AK4" s="72">
        <f t="shared" si="25"/>
        <v>2.5550000000000003E-2</v>
      </c>
      <c r="AL4" s="72">
        <f t="shared" si="26"/>
        <v>2.5550000000000003E-2</v>
      </c>
      <c r="AM4" s="72">
        <f t="shared" si="27"/>
        <v>2.5550000000000003E-2</v>
      </c>
      <c r="AN4" s="72">
        <f t="shared" si="28"/>
        <v>2.5550000000000003E-2</v>
      </c>
      <c r="AO4" s="72">
        <f t="shared" si="29"/>
        <v>2.5550000000000003E-2</v>
      </c>
      <c r="AP4" s="72">
        <f t="shared" si="30"/>
        <v>2.5550000000000003E-2</v>
      </c>
      <c r="AQ4" s="72">
        <f t="shared" si="31"/>
        <v>2.5550000000000003E-2</v>
      </c>
      <c r="AR4" s="72">
        <f t="shared" si="32"/>
        <v>2.5550000000000003E-2</v>
      </c>
      <c r="AS4" s="72">
        <f t="shared" si="33"/>
        <v>2.5550000000000003E-2</v>
      </c>
      <c r="AT4" s="72">
        <f t="shared" si="34"/>
        <v>2.5550000000000003E-2</v>
      </c>
      <c r="AU4" s="72">
        <f t="shared" si="35"/>
        <v>2.5550000000000003E-2</v>
      </c>
      <c r="AV4" s="72">
        <f t="shared" si="36"/>
        <v>2.5550000000000003E-2</v>
      </c>
      <c r="AW4" s="72">
        <f t="shared" si="37"/>
        <v>2.5550000000000003E-2</v>
      </c>
      <c r="AX4" s="72">
        <f t="shared" si="38"/>
        <v>2.5550000000000003E-2</v>
      </c>
      <c r="AY4" s="72">
        <f t="shared" si="39"/>
        <v>2.5550000000000003E-2</v>
      </c>
      <c r="AZ4" s="72">
        <f t="shared" si="40"/>
        <v>2.5550000000000003E-2</v>
      </c>
    </row>
    <row r="5" spans="1:52" x14ac:dyDescent="0.25">
      <c r="A5" s="67" t="s">
        <v>154</v>
      </c>
      <c r="B5" s="72">
        <f>'Return Modifiers'!$D$6-_xlfn.XLOOKUP(A5,BasisPointCost!$A:$A,BasisPointCost!$B:$B)</f>
        <v>3.6800000000000006E-2</v>
      </c>
      <c r="C5" s="72">
        <f t="shared" si="1"/>
        <v>3.6800000000000006E-2</v>
      </c>
      <c r="D5" s="72">
        <f t="shared" si="1"/>
        <v>3.6800000000000006E-2</v>
      </c>
      <c r="E5" s="72">
        <f t="shared" si="1"/>
        <v>3.6800000000000006E-2</v>
      </c>
      <c r="F5" s="72">
        <f t="shared" si="1"/>
        <v>3.6800000000000006E-2</v>
      </c>
      <c r="G5" s="72">
        <f t="shared" si="1"/>
        <v>3.6800000000000006E-2</v>
      </c>
      <c r="H5" s="72">
        <f t="shared" si="1"/>
        <v>3.6800000000000006E-2</v>
      </c>
      <c r="I5" s="72">
        <f t="shared" si="1"/>
        <v>3.6800000000000006E-2</v>
      </c>
      <c r="J5" s="72">
        <f t="shared" si="1"/>
        <v>3.6800000000000006E-2</v>
      </c>
      <c r="K5" s="72">
        <f t="shared" si="1"/>
        <v>3.6800000000000006E-2</v>
      </c>
      <c r="L5" s="73">
        <f>'Return Modifiers'!$E$6-0.07%</f>
        <v>2.5550000000000003E-2</v>
      </c>
      <c r="M5" s="72">
        <f t="shared" si="1"/>
        <v>2.5550000000000003E-2</v>
      </c>
      <c r="N5" s="72">
        <f t="shared" si="2"/>
        <v>2.5550000000000003E-2</v>
      </c>
      <c r="O5" s="72">
        <f t="shared" si="3"/>
        <v>2.5550000000000003E-2</v>
      </c>
      <c r="P5" s="72">
        <f t="shared" si="4"/>
        <v>2.5550000000000003E-2</v>
      </c>
      <c r="Q5" s="72">
        <f t="shared" si="5"/>
        <v>2.5550000000000003E-2</v>
      </c>
      <c r="R5" s="72">
        <f t="shared" si="6"/>
        <v>2.5550000000000003E-2</v>
      </c>
      <c r="S5" s="72">
        <f t="shared" si="7"/>
        <v>2.5550000000000003E-2</v>
      </c>
      <c r="T5" s="72">
        <f t="shared" si="8"/>
        <v>2.5550000000000003E-2</v>
      </c>
      <c r="U5" s="72">
        <f t="shared" si="9"/>
        <v>2.5550000000000003E-2</v>
      </c>
      <c r="V5" s="72">
        <f t="shared" si="10"/>
        <v>2.5550000000000003E-2</v>
      </c>
      <c r="W5" s="72">
        <f t="shared" si="11"/>
        <v>2.5550000000000003E-2</v>
      </c>
      <c r="X5" s="72">
        <f t="shared" si="12"/>
        <v>2.5550000000000003E-2</v>
      </c>
      <c r="Y5" s="72">
        <f t="shared" si="13"/>
        <v>2.5550000000000003E-2</v>
      </c>
      <c r="Z5" s="72">
        <f t="shared" si="14"/>
        <v>2.5550000000000003E-2</v>
      </c>
      <c r="AA5" s="72">
        <f t="shared" si="15"/>
        <v>2.5550000000000003E-2</v>
      </c>
      <c r="AB5" s="72">
        <f t="shared" si="16"/>
        <v>2.5550000000000003E-2</v>
      </c>
      <c r="AC5" s="72">
        <f t="shared" si="17"/>
        <v>2.5550000000000003E-2</v>
      </c>
      <c r="AD5" s="72">
        <f t="shared" si="18"/>
        <v>2.5550000000000003E-2</v>
      </c>
      <c r="AE5" s="72">
        <f t="shared" si="19"/>
        <v>2.5550000000000003E-2</v>
      </c>
      <c r="AF5" s="72">
        <f t="shared" si="20"/>
        <v>2.5550000000000003E-2</v>
      </c>
      <c r="AG5" s="72">
        <f t="shared" si="21"/>
        <v>2.5550000000000003E-2</v>
      </c>
      <c r="AH5" s="72">
        <f t="shared" si="22"/>
        <v>2.5550000000000003E-2</v>
      </c>
      <c r="AI5" s="72">
        <f t="shared" si="23"/>
        <v>2.5550000000000003E-2</v>
      </c>
      <c r="AJ5" s="72">
        <f t="shared" si="24"/>
        <v>2.5550000000000003E-2</v>
      </c>
      <c r="AK5" s="72">
        <f t="shared" si="25"/>
        <v>2.5550000000000003E-2</v>
      </c>
      <c r="AL5" s="72">
        <f t="shared" si="26"/>
        <v>2.5550000000000003E-2</v>
      </c>
      <c r="AM5" s="72">
        <f t="shared" si="27"/>
        <v>2.5550000000000003E-2</v>
      </c>
      <c r="AN5" s="72">
        <f t="shared" si="28"/>
        <v>2.5550000000000003E-2</v>
      </c>
      <c r="AO5" s="72">
        <f t="shared" si="29"/>
        <v>2.5550000000000003E-2</v>
      </c>
      <c r="AP5" s="72">
        <f t="shared" si="30"/>
        <v>2.5550000000000003E-2</v>
      </c>
      <c r="AQ5" s="72">
        <f t="shared" si="31"/>
        <v>2.5550000000000003E-2</v>
      </c>
      <c r="AR5" s="72">
        <f t="shared" si="32"/>
        <v>2.5550000000000003E-2</v>
      </c>
      <c r="AS5" s="72">
        <f t="shared" si="33"/>
        <v>2.5550000000000003E-2</v>
      </c>
      <c r="AT5" s="72">
        <f t="shared" si="34"/>
        <v>2.5550000000000003E-2</v>
      </c>
      <c r="AU5" s="72">
        <f t="shared" si="35"/>
        <v>2.5550000000000003E-2</v>
      </c>
      <c r="AV5" s="72">
        <f t="shared" si="36"/>
        <v>2.5550000000000003E-2</v>
      </c>
      <c r="AW5" s="72">
        <f t="shared" si="37"/>
        <v>2.5550000000000003E-2</v>
      </c>
      <c r="AX5" s="72">
        <f t="shared" si="38"/>
        <v>2.5550000000000003E-2</v>
      </c>
      <c r="AY5" s="72">
        <f t="shared" si="39"/>
        <v>2.5550000000000003E-2</v>
      </c>
      <c r="AZ5" s="72">
        <f t="shared" si="40"/>
        <v>2.5550000000000003E-2</v>
      </c>
    </row>
    <row r="6" spans="1:52" x14ac:dyDescent="0.25">
      <c r="A6" s="67" t="s">
        <v>153</v>
      </c>
      <c r="B6" s="72">
        <f>'Return Modifiers'!$D$7-_xlfn.XLOOKUP(A6,BasisPointCost!$A:$A,BasisPointCost!$B:$B)</f>
        <v>2.7050000000000005E-2</v>
      </c>
      <c r="C6" s="72">
        <f t="shared" si="1"/>
        <v>2.7050000000000005E-2</v>
      </c>
      <c r="D6" s="72">
        <f t="shared" si="1"/>
        <v>2.7050000000000005E-2</v>
      </c>
      <c r="E6" s="72">
        <f t="shared" si="1"/>
        <v>2.7050000000000005E-2</v>
      </c>
      <c r="F6" s="72">
        <f t="shared" si="1"/>
        <v>2.7050000000000005E-2</v>
      </c>
      <c r="G6" s="72">
        <f t="shared" si="1"/>
        <v>2.7050000000000005E-2</v>
      </c>
      <c r="H6" s="72">
        <f t="shared" si="1"/>
        <v>2.7050000000000005E-2</v>
      </c>
      <c r="I6" s="72">
        <f t="shared" si="1"/>
        <v>2.7050000000000005E-2</v>
      </c>
      <c r="J6" s="72">
        <f t="shared" si="1"/>
        <v>2.7050000000000005E-2</v>
      </c>
      <c r="K6" s="72">
        <f t="shared" si="1"/>
        <v>2.7050000000000005E-2</v>
      </c>
      <c r="L6" s="73">
        <f>'Return Modifiers'!$E$7-0.07%</f>
        <v>2.5550000000000003E-2</v>
      </c>
      <c r="M6" s="72">
        <f t="shared" si="1"/>
        <v>2.5550000000000003E-2</v>
      </c>
      <c r="N6" s="72">
        <f t="shared" si="2"/>
        <v>2.5550000000000003E-2</v>
      </c>
      <c r="O6" s="72">
        <f t="shared" si="3"/>
        <v>2.5550000000000003E-2</v>
      </c>
      <c r="P6" s="72">
        <f t="shared" si="4"/>
        <v>2.5550000000000003E-2</v>
      </c>
      <c r="Q6" s="72">
        <f t="shared" si="5"/>
        <v>2.5550000000000003E-2</v>
      </c>
      <c r="R6" s="72">
        <f t="shared" si="6"/>
        <v>2.5550000000000003E-2</v>
      </c>
      <c r="S6" s="72">
        <f t="shared" si="7"/>
        <v>2.5550000000000003E-2</v>
      </c>
      <c r="T6" s="72">
        <f t="shared" si="8"/>
        <v>2.5550000000000003E-2</v>
      </c>
      <c r="U6" s="72">
        <f t="shared" si="9"/>
        <v>2.5550000000000003E-2</v>
      </c>
      <c r="V6" s="72">
        <f t="shared" si="10"/>
        <v>2.5550000000000003E-2</v>
      </c>
      <c r="W6" s="72">
        <f t="shared" si="11"/>
        <v>2.5550000000000003E-2</v>
      </c>
      <c r="X6" s="72">
        <f t="shared" si="12"/>
        <v>2.5550000000000003E-2</v>
      </c>
      <c r="Y6" s="72">
        <f t="shared" si="13"/>
        <v>2.5550000000000003E-2</v>
      </c>
      <c r="Z6" s="72">
        <f t="shared" si="14"/>
        <v>2.5550000000000003E-2</v>
      </c>
      <c r="AA6" s="72">
        <f t="shared" si="15"/>
        <v>2.5550000000000003E-2</v>
      </c>
      <c r="AB6" s="72">
        <f t="shared" si="16"/>
        <v>2.5550000000000003E-2</v>
      </c>
      <c r="AC6" s="72">
        <f t="shared" si="17"/>
        <v>2.5550000000000003E-2</v>
      </c>
      <c r="AD6" s="72">
        <f t="shared" si="18"/>
        <v>2.5550000000000003E-2</v>
      </c>
      <c r="AE6" s="72">
        <f t="shared" si="19"/>
        <v>2.5550000000000003E-2</v>
      </c>
      <c r="AF6" s="72">
        <f t="shared" si="20"/>
        <v>2.5550000000000003E-2</v>
      </c>
      <c r="AG6" s="72">
        <f t="shared" si="21"/>
        <v>2.5550000000000003E-2</v>
      </c>
      <c r="AH6" s="72">
        <f t="shared" si="22"/>
        <v>2.5550000000000003E-2</v>
      </c>
      <c r="AI6" s="72">
        <f t="shared" si="23"/>
        <v>2.5550000000000003E-2</v>
      </c>
      <c r="AJ6" s="72">
        <f t="shared" si="24"/>
        <v>2.5550000000000003E-2</v>
      </c>
      <c r="AK6" s="72">
        <f t="shared" si="25"/>
        <v>2.5550000000000003E-2</v>
      </c>
      <c r="AL6" s="72">
        <f t="shared" si="26"/>
        <v>2.5550000000000003E-2</v>
      </c>
      <c r="AM6" s="72">
        <f t="shared" si="27"/>
        <v>2.5550000000000003E-2</v>
      </c>
      <c r="AN6" s="72">
        <f t="shared" si="28"/>
        <v>2.5550000000000003E-2</v>
      </c>
      <c r="AO6" s="72">
        <f t="shared" si="29"/>
        <v>2.5550000000000003E-2</v>
      </c>
      <c r="AP6" s="72">
        <f t="shared" si="30"/>
        <v>2.5550000000000003E-2</v>
      </c>
      <c r="AQ6" s="72">
        <f t="shared" si="31"/>
        <v>2.5550000000000003E-2</v>
      </c>
      <c r="AR6" s="72">
        <f t="shared" si="32"/>
        <v>2.5550000000000003E-2</v>
      </c>
      <c r="AS6" s="72">
        <f t="shared" si="33"/>
        <v>2.5550000000000003E-2</v>
      </c>
      <c r="AT6" s="72">
        <f t="shared" si="34"/>
        <v>2.5550000000000003E-2</v>
      </c>
      <c r="AU6" s="72">
        <f t="shared" si="35"/>
        <v>2.5550000000000003E-2</v>
      </c>
      <c r="AV6" s="72">
        <f t="shared" si="36"/>
        <v>2.5550000000000003E-2</v>
      </c>
      <c r="AW6" s="72">
        <f t="shared" si="37"/>
        <v>2.5550000000000003E-2</v>
      </c>
      <c r="AX6" s="72">
        <f t="shared" si="38"/>
        <v>2.5550000000000003E-2</v>
      </c>
      <c r="AY6" s="72">
        <f t="shared" si="39"/>
        <v>2.5550000000000003E-2</v>
      </c>
      <c r="AZ6" s="72">
        <f t="shared" si="40"/>
        <v>2.5550000000000003E-2</v>
      </c>
    </row>
    <row r="7" spans="1:52" x14ac:dyDescent="0.25">
      <c r="A7" s="67" t="s">
        <v>152</v>
      </c>
      <c r="B7" s="72">
        <f>'Return Modifiers'!$D$8-_xlfn.XLOOKUP($A7,BasisPointCost!$A:$A,BasisPointCost!$B:$B)</f>
        <v>2.1049999999999999E-2</v>
      </c>
      <c r="C7" s="72">
        <f t="shared" si="1"/>
        <v>2.1049999999999999E-2</v>
      </c>
      <c r="D7" s="72">
        <f t="shared" si="1"/>
        <v>2.1049999999999999E-2</v>
      </c>
      <c r="E7" s="72">
        <f t="shared" si="1"/>
        <v>2.1049999999999999E-2</v>
      </c>
      <c r="F7" s="72">
        <f t="shared" si="1"/>
        <v>2.1049999999999999E-2</v>
      </c>
      <c r="G7" s="72">
        <f t="shared" si="1"/>
        <v>2.1049999999999999E-2</v>
      </c>
      <c r="H7" s="72">
        <f t="shared" si="1"/>
        <v>2.1049999999999999E-2</v>
      </c>
      <c r="I7" s="72">
        <f t="shared" si="1"/>
        <v>2.1049999999999999E-2</v>
      </c>
      <c r="J7" s="72">
        <f t="shared" si="1"/>
        <v>2.1049999999999999E-2</v>
      </c>
      <c r="K7" s="72">
        <f t="shared" si="1"/>
        <v>2.1049999999999999E-2</v>
      </c>
      <c r="L7" s="73">
        <f>'Return Modifiers'!$E$8-0.07%</f>
        <v>2.5550000000000003E-2</v>
      </c>
      <c r="M7" s="72">
        <f t="shared" si="1"/>
        <v>2.5550000000000003E-2</v>
      </c>
      <c r="N7" s="72">
        <f t="shared" si="2"/>
        <v>2.5550000000000003E-2</v>
      </c>
      <c r="O7" s="72">
        <f t="shared" si="3"/>
        <v>2.5550000000000003E-2</v>
      </c>
      <c r="P7" s="72">
        <f t="shared" si="4"/>
        <v>2.5550000000000003E-2</v>
      </c>
      <c r="Q7" s="72">
        <f t="shared" si="5"/>
        <v>2.5550000000000003E-2</v>
      </c>
      <c r="R7" s="72">
        <f t="shared" si="6"/>
        <v>2.5550000000000003E-2</v>
      </c>
      <c r="S7" s="72">
        <f t="shared" si="7"/>
        <v>2.5550000000000003E-2</v>
      </c>
      <c r="T7" s="72">
        <f t="shared" si="8"/>
        <v>2.5550000000000003E-2</v>
      </c>
      <c r="U7" s="72">
        <f t="shared" si="9"/>
        <v>2.5550000000000003E-2</v>
      </c>
      <c r="V7" s="72">
        <f t="shared" si="10"/>
        <v>2.5550000000000003E-2</v>
      </c>
      <c r="W7" s="72">
        <f t="shared" si="11"/>
        <v>2.5550000000000003E-2</v>
      </c>
      <c r="X7" s="72">
        <f t="shared" si="12"/>
        <v>2.5550000000000003E-2</v>
      </c>
      <c r="Y7" s="72">
        <f t="shared" si="13"/>
        <v>2.5550000000000003E-2</v>
      </c>
      <c r="Z7" s="72">
        <f t="shared" si="14"/>
        <v>2.5550000000000003E-2</v>
      </c>
      <c r="AA7" s="72">
        <f t="shared" si="15"/>
        <v>2.5550000000000003E-2</v>
      </c>
      <c r="AB7" s="72">
        <f t="shared" si="16"/>
        <v>2.5550000000000003E-2</v>
      </c>
      <c r="AC7" s="72">
        <f t="shared" si="17"/>
        <v>2.5550000000000003E-2</v>
      </c>
      <c r="AD7" s="72">
        <f t="shared" si="18"/>
        <v>2.5550000000000003E-2</v>
      </c>
      <c r="AE7" s="72">
        <f t="shared" si="19"/>
        <v>2.5550000000000003E-2</v>
      </c>
      <c r="AF7" s="72">
        <f t="shared" si="20"/>
        <v>2.5550000000000003E-2</v>
      </c>
      <c r="AG7" s="72">
        <f t="shared" si="21"/>
        <v>2.5550000000000003E-2</v>
      </c>
      <c r="AH7" s="72">
        <f t="shared" si="22"/>
        <v>2.5550000000000003E-2</v>
      </c>
      <c r="AI7" s="72">
        <f t="shared" si="23"/>
        <v>2.5550000000000003E-2</v>
      </c>
      <c r="AJ7" s="72">
        <f t="shared" si="24"/>
        <v>2.5550000000000003E-2</v>
      </c>
      <c r="AK7" s="72">
        <f t="shared" si="25"/>
        <v>2.5550000000000003E-2</v>
      </c>
      <c r="AL7" s="72">
        <f t="shared" si="26"/>
        <v>2.5550000000000003E-2</v>
      </c>
      <c r="AM7" s="72">
        <f t="shared" si="27"/>
        <v>2.5550000000000003E-2</v>
      </c>
      <c r="AN7" s="72">
        <f t="shared" si="28"/>
        <v>2.5550000000000003E-2</v>
      </c>
      <c r="AO7" s="72">
        <f t="shared" si="29"/>
        <v>2.5550000000000003E-2</v>
      </c>
      <c r="AP7" s="72">
        <f t="shared" si="30"/>
        <v>2.5550000000000003E-2</v>
      </c>
      <c r="AQ7" s="72">
        <f t="shared" si="31"/>
        <v>2.5550000000000003E-2</v>
      </c>
      <c r="AR7" s="72">
        <f t="shared" si="32"/>
        <v>2.5550000000000003E-2</v>
      </c>
      <c r="AS7" s="72">
        <f t="shared" si="33"/>
        <v>2.5550000000000003E-2</v>
      </c>
      <c r="AT7" s="72">
        <f t="shared" si="34"/>
        <v>2.5550000000000003E-2</v>
      </c>
      <c r="AU7" s="72">
        <f t="shared" si="35"/>
        <v>2.5550000000000003E-2</v>
      </c>
      <c r="AV7" s="72">
        <f t="shared" si="36"/>
        <v>2.5550000000000003E-2</v>
      </c>
      <c r="AW7" s="72">
        <f t="shared" si="37"/>
        <v>2.5550000000000003E-2</v>
      </c>
      <c r="AX7" s="72">
        <f t="shared" si="38"/>
        <v>2.5550000000000003E-2</v>
      </c>
      <c r="AY7" s="72">
        <f t="shared" si="39"/>
        <v>2.5550000000000003E-2</v>
      </c>
      <c r="AZ7" s="72">
        <f t="shared" si="40"/>
        <v>2.5550000000000003E-2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abSelected="1" topLeftCell="A2" workbookViewId="0">
      <selection activeCell="B12" sqref="B12"/>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 t="shared" ref="D3:E8" si="0">B3*(1+$B$11)</f>
        <v>6.4500000000000002E-2</v>
      </c>
      <c r="E3">
        <f t="shared" si="0"/>
        <v>4.8750000000000002E-2</v>
      </c>
    </row>
    <row r="4" spans="1:5" x14ac:dyDescent="0.25">
      <c r="A4" s="67" t="s">
        <v>101</v>
      </c>
      <c r="B4" s="72">
        <f>7%</f>
        <v>7.0000000000000007E-2</v>
      </c>
      <c r="C4" s="73">
        <f>6.5%</f>
        <v>6.5000000000000002E-2</v>
      </c>
      <c r="D4">
        <f t="shared" si="0"/>
        <v>5.2500000000000005E-2</v>
      </c>
      <c r="E4">
        <f t="shared" si="0"/>
        <v>4.8750000000000002E-2</v>
      </c>
    </row>
    <row r="5" spans="1:5" x14ac:dyDescent="0.25">
      <c r="A5" s="67" t="s">
        <v>155</v>
      </c>
      <c r="B5" s="72">
        <f>4.9%</f>
        <v>4.9000000000000002E-2</v>
      </c>
      <c r="C5" s="73">
        <f>3.5%</f>
        <v>3.5000000000000003E-2</v>
      </c>
      <c r="D5">
        <f t="shared" si="0"/>
        <v>3.6750000000000005E-2</v>
      </c>
      <c r="E5">
        <f t="shared" si="0"/>
        <v>2.6250000000000002E-2</v>
      </c>
    </row>
    <row r="6" spans="1:5" x14ac:dyDescent="0.25">
      <c r="A6" s="67" t="s">
        <v>154</v>
      </c>
      <c r="B6" s="72">
        <f>5%</f>
        <v>0.05</v>
      </c>
      <c r="C6" s="73">
        <f>3.5%</f>
        <v>3.5000000000000003E-2</v>
      </c>
      <c r="D6">
        <f t="shared" si="0"/>
        <v>3.7500000000000006E-2</v>
      </c>
      <c r="E6">
        <f t="shared" si="0"/>
        <v>2.6250000000000002E-2</v>
      </c>
    </row>
    <row r="7" spans="1:5" x14ac:dyDescent="0.25">
      <c r="A7" s="67" t="s">
        <v>153</v>
      </c>
      <c r="B7" s="72">
        <f>3.7%</f>
        <v>3.7000000000000005E-2</v>
      </c>
      <c r="C7" s="73">
        <f>3.5%</f>
        <v>3.5000000000000003E-2</v>
      </c>
      <c r="D7">
        <f t="shared" si="0"/>
        <v>2.7750000000000004E-2</v>
      </c>
      <c r="E7">
        <f t="shared" si="0"/>
        <v>2.6250000000000002E-2</v>
      </c>
    </row>
    <row r="8" spans="1:5" x14ac:dyDescent="0.25">
      <c r="A8" s="67" t="s">
        <v>152</v>
      </c>
      <c r="B8" s="72">
        <f>2.9%</f>
        <v>2.8999999999999998E-2</v>
      </c>
      <c r="C8" s="73">
        <f>3.5%</f>
        <v>3.5000000000000003E-2</v>
      </c>
      <c r="D8">
        <f t="shared" si="0"/>
        <v>2.1749999999999999E-2</v>
      </c>
      <c r="E8">
        <f t="shared" si="0"/>
        <v>2.6250000000000002E-2</v>
      </c>
    </row>
    <row r="11" spans="1:5" x14ac:dyDescent="0.25">
      <c r="A11" t="s">
        <v>278</v>
      </c>
      <c r="B11" s="84">
        <v>-0.25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