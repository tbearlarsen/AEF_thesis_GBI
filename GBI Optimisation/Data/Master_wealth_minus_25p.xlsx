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hidePivotFieldList="1" defaultThemeVersion="202300"/>
  <mc:AlternateContent xmlns:mc="http://schemas.openxmlformats.org/markup-compatibility/2006">
    <mc:Choice Requires="x15">
      <x15ac:absPath xmlns:x15ac="http://schemas.microsoft.com/office/spreadsheetml/2010/11/ac" url="/Users/osito/Repositories/AEF_thesis_GBI/GBI Optimisation/Data/"/>
    </mc:Choice>
  </mc:AlternateContent>
  <xr:revisionPtr revIDLastSave="0" documentId="13_ncr:1_{32803140-7EC8-9A44-989E-B1F4E438A232}" xr6:coauthVersionLast="47" xr6:coauthVersionMax="47" xr10:uidLastSave="{00000000-0000-0000-0000-000000000000}"/>
  <bookViews>
    <workbookView xWindow="0" yWindow="760" windowWidth="19420" windowHeight="10300" tabRatio="972" firstSheet="11" activeTab="14" xr2:uid="{4E182251-F803-4366-87DB-239E9FF40EE2}"/>
  </bookViews>
  <sheets>
    <sheet name="Front Page" sheetId="7" r:id="rId1"/>
    <sheet name="Salary Variables" sheetId="51" r:id="rId2"/>
    <sheet name="Income - P2 Helper" sheetId="53" r:id="rId3"/>
    <sheet name="Income" sheetId="2" r:id="rId4"/>
    <sheet name="Pensions P1" sheetId="46" r:id="rId5"/>
    <sheet name="Pensions P2" sheetId="55" r:id="rId6"/>
    <sheet name="Net Salary P2" sheetId="56" r:id="rId7"/>
    <sheet name="Net Salary P1" sheetId="47" r:id="rId8"/>
    <sheet name="Job Hopping" sheetId="8" r:id="rId9"/>
    <sheet name="Djøf Finance Hoppers" sheetId="6" r:id="rId10"/>
    <sheet name="Djøf Finance Workers" sheetId="5" r:id="rId11"/>
    <sheet name="Goals" sheetId="10" r:id="rId12"/>
    <sheet name="Loop" sheetId="45"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BasisPointCost" sheetId="38" r:id="rId20"/>
    <sheet name="Returns2" sheetId="39" r:id="rId21"/>
    <sheet name="Volatilities" sheetId="20" r:id="rId22"/>
    <sheet name="Volatilities2" sheetId="24" r:id="rId23"/>
    <sheet name="Correlation" sheetId="22" r:id="rId24"/>
    <sheet name="Correlation2" sheetId="25"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__FDS_HYPERLINK_TOGGLE_STATE__" hidden="1">"ON"</definedName>
    <definedName name="_DLX1">[1]Rates!#REF!</definedName>
    <definedName name="_DLX1.INC">'[2]Car Air'!#REF!</definedName>
    <definedName name="_DLX10_INC">#REF!</definedName>
    <definedName name="_DLX10.INC">'[3]US&amp;Europe'!#REF!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_INC">#REF!</definedName>
    <definedName name="_DLX5.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2" hidden="1">{#N/A,#N/A,FALSE,"One Pager";#N/A,#N/A,FALSE,"Technical"}</definedName>
    <definedName name="_wrn111" hidden="1">{#N/A,#N/A,FALSE,"One Pager";#N/A,#N/A,FALSE,"Technical"}</definedName>
    <definedName name="_wrn2" localSheetId="12" hidden="1">{#N/A,#N/A,TRUE,"Financials";#N/A,#N/A,TRUE,"Operating Statistics";#N/A,#N/A,TRUE,"Capex &amp; Depreciation";#N/A,#N/A,TRUE,"Debt"}</definedName>
    <definedName name="_wrn2" hidden="1">{#N/A,#N/A,TRUE,"Financials";#N/A,#N/A,TRUE,"Operating Statistics";#N/A,#N/A,TRUE,"Capex &amp; Depreciation";#N/A,#N/A,TRUE,"Debt"}</definedName>
    <definedName name="_wrn3" localSheetId="1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2" hidden="1">{#N/A,#N/A,FALSE,"One Pager";#N/A,#N/A,FALSE,"Technical"}</definedName>
    <definedName name="wrn.One._.Pager._.plus._.Technicals." hidden="1">{#N/A,#N/A,FALSE,"One Pager";#N/A,#N/A,FALSE,"Technical"}</definedName>
    <definedName name="wrn1.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30" l="1"/>
  <c r="C7" i="51"/>
  <c r="B22" i="55"/>
  <c r="B5" i="55"/>
  <c r="B3" i="55"/>
  <c r="N39" i="2"/>
  <c r="N40" i="2"/>
  <c r="N41" i="2"/>
  <c r="N42" i="2"/>
  <c r="N43" i="2"/>
  <c r="N44" i="2"/>
  <c r="N45" i="2"/>
  <c r="N46" i="2"/>
  <c r="N47" i="2"/>
  <c r="N48" i="2"/>
  <c r="N49" i="2"/>
  <c r="D49" i="2" s="1"/>
  <c r="N50" i="2"/>
  <c r="D50" i="2" s="1"/>
  <c r="N51" i="2"/>
  <c r="D51" i="2" s="1"/>
  <c r="N52" i="2"/>
  <c r="N53" i="2"/>
  <c r="D53" i="2" s="1"/>
  <c r="BA8" i="56"/>
  <c r="E39" i="56"/>
  <c r="F39" i="56" s="1"/>
  <c r="B14" i="56"/>
  <c r="B43" i="55" s="1"/>
  <c r="Z8" i="56"/>
  <c r="Q8" i="56"/>
  <c r="A4" i="56" a="1"/>
  <c r="AY8" i="56" s="1"/>
  <c r="B2" i="56"/>
  <c r="BB15" i="56" s="1"/>
  <c r="B1" i="56"/>
  <c r="AY51" i="55"/>
  <c r="AX51" i="55"/>
  <c r="AW51" i="55"/>
  <c r="AV51" i="55"/>
  <c r="AU51" i="55"/>
  <c r="AT51" i="55"/>
  <c r="AS51" i="55"/>
  <c r="AR51" i="55"/>
  <c r="AQ51" i="55"/>
  <c r="AP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B51" i="55"/>
  <c r="AY44" i="55"/>
  <c r="AX44" i="55"/>
  <c r="AW44" i="55"/>
  <c r="AV44" i="55"/>
  <c r="AU44" i="55"/>
  <c r="AT44" i="55"/>
  <c r="AS44" i="55"/>
  <c r="AR44" i="55"/>
  <c r="AQ44" i="55"/>
  <c r="AP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B44" i="55"/>
  <c r="AY35" i="55"/>
  <c r="AX35" i="55"/>
  <c r="AW35" i="55"/>
  <c r="AV35" i="55"/>
  <c r="AU35" i="55"/>
  <c r="AT35" i="55"/>
  <c r="AS35" i="55"/>
  <c r="AR35" i="55"/>
  <c r="AQ35" i="55"/>
  <c r="AP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B35" i="55"/>
  <c r="B25" i="55"/>
  <c r="D22" i="55"/>
  <c r="B23" i="55"/>
  <c r="AY5" i="55"/>
  <c r="AX5" i="55"/>
  <c r="AW5" i="55"/>
  <c r="AV5" i="55"/>
  <c r="AU5" i="55"/>
  <c r="AT5" i="55"/>
  <c r="AS5" i="55"/>
  <c r="AR5" i="55"/>
  <c r="AQ5" i="55"/>
  <c r="AP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AY3" i="55"/>
  <c r="AX3" i="55"/>
  <c r="AW3" i="55"/>
  <c r="AV3" i="55"/>
  <c r="AU3" i="55"/>
  <c r="AT3" i="55"/>
  <c r="AS3" i="55"/>
  <c r="AR3" i="55"/>
  <c r="AQ3" i="55"/>
  <c r="AP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F9" i="10"/>
  <c r="F4" i="10"/>
  <c r="AY35" i="46"/>
  <c r="AX35" i="46"/>
  <c r="AW35" i="46"/>
  <c r="AV35" i="46"/>
  <c r="AU35" i="46"/>
  <c r="AY51" i="46"/>
  <c r="AX51" i="46"/>
  <c r="AW51" i="46"/>
  <c r="AV51" i="46"/>
  <c r="AU51" i="46"/>
  <c r="AY44" i="46"/>
  <c r="AX44" i="46"/>
  <c r="AW44" i="46"/>
  <c r="AV44" i="46"/>
  <c r="AU44" i="46"/>
  <c r="AY5" i="46"/>
  <c r="AX5" i="46"/>
  <c r="AW5" i="46"/>
  <c r="AV5" i="46"/>
  <c r="AU5" i="46"/>
  <c r="AY3" i="46"/>
  <c r="AX3" i="46"/>
  <c r="AW3" i="46"/>
  <c r="AV3" i="46"/>
  <c r="AU3" i="46"/>
  <c r="D52" i="2"/>
  <c r="S49" i="2"/>
  <c r="S50" i="2"/>
  <c r="S51" i="2"/>
  <c r="S52" i="2"/>
  <c r="S53" i="2"/>
  <c r="T49" i="2"/>
  <c r="T50" i="2"/>
  <c r="T51" i="2"/>
  <c r="T52" i="2"/>
  <c r="T53" i="2"/>
  <c r="AS51" i="46"/>
  <c r="AR51" i="46"/>
  <c r="AQ51" i="46"/>
  <c r="AP51" i="46"/>
  <c r="AO51" i="46"/>
  <c r="AN51" i="46"/>
  <c r="AM51" i="46"/>
  <c r="AL51" i="46"/>
  <c r="AK51" i="46"/>
  <c r="AJ51" i="46"/>
  <c r="AI51" i="46"/>
  <c r="AH51" i="46"/>
  <c r="AG51" i="46"/>
  <c r="AF51" i="46"/>
  <c r="AE51" i="46"/>
  <c r="AD51" i="46"/>
  <c r="AC51" i="46"/>
  <c r="AB51" i="46"/>
  <c r="AA51" i="46"/>
  <c r="Z51" i="46"/>
  <c r="Y51" i="46"/>
  <c r="X51" i="46"/>
  <c r="W51" i="46"/>
  <c r="V51" i="46"/>
  <c r="U51" i="46"/>
  <c r="T51" i="46"/>
  <c r="S51" i="46"/>
  <c r="R51" i="46"/>
  <c r="Q51" i="46"/>
  <c r="P51" i="46"/>
  <c r="O51" i="46"/>
  <c r="N51" i="46"/>
  <c r="M51" i="46"/>
  <c r="L51" i="46"/>
  <c r="K51" i="46"/>
  <c r="J51" i="46"/>
  <c r="I51" i="46"/>
  <c r="H51" i="46"/>
  <c r="G51" i="46"/>
  <c r="F51" i="46"/>
  <c r="E51" i="46"/>
  <c r="D51" i="46"/>
  <c r="AT51" i="46"/>
  <c r="C51" i="46"/>
  <c r="B51" i="46"/>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I18" i="53"/>
  <c r="J3" i="53" s="1" a="1"/>
  <c r="J3" i="53" s="1"/>
  <c r="I17" i="53"/>
  <c r="J4" i="53" s="1" a="1"/>
  <c r="J4" i="53" s="1"/>
  <c r="I16" i="53"/>
  <c r="J5" i="53" s="1" a="1"/>
  <c r="J5" i="53" s="1"/>
  <c r="I15" i="53"/>
  <c r="J6" i="53" s="1" a="1"/>
  <c r="J6" i="53" s="1"/>
  <c r="I14" i="53"/>
  <c r="J7" i="53" s="1" a="1"/>
  <c r="J7" i="53" s="1"/>
  <c r="I13" i="53"/>
  <c r="J8" i="53" s="1" a="1"/>
  <c r="J8" i="53" s="1"/>
  <c r="I12" i="53"/>
  <c r="J9" i="53" s="1" a="1"/>
  <c r="J9" i="53" s="1"/>
  <c r="I11" i="53"/>
  <c r="J10" i="53" s="1" a="1"/>
  <c r="J10" i="53" s="1"/>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J18" i="53" s="1" a="1"/>
  <c r="J18" i="53" s="1"/>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E3" i="8"/>
  <c r="B45" i="55" l="1"/>
  <c r="O8" i="56"/>
  <c r="AX8" i="56"/>
  <c r="R8" i="56"/>
  <c r="AE8" i="56"/>
  <c r="AW8" i="56"/>
  <c r="AH8" i="56"/>
  <c r="BB8" i="56"/>
  <c r="G8" i="56"/>
  <c r="AM8" i="56"/>
  <c r="I8" i="56"/>
  <c r="AO8" i="56"/>
  <c r="A4" i="56"/>
  <c r="Y8" i="56"/>
  <c r="AU8" i="56"/>
  <c r="AZ8" i="56"/>
  <c r="J8" i="56"/>
  <c r="AG8" i="56"/>
  <c r="AC15" i="56"/>
  <c r="AX15" i="56"/>
  <c r="AY15" i="56"/>
  <c r="AZ15" i="56"/>
  <c r="B50" i="55"/>
  <c r="B52" i="55" s="1"/>
  <c r="B53" i="55" s="1"/>
  <c r="BA15" i="56"/>
  <c r="W8" i="56"/>
  <c r="AP8" i="56"/>
  <c r="AP15" i="56"/>
  <c r="AH15" i="56"/>
  <c r="Z15" i="56"/>
  <c r="R15" i="56"/>
  <c r="J15" i="56"/>
  <c r="AW15" i="56"/>
  <c r="AO15" i="56"/>
  <c r="AG15" i="56"/>
  <c r="Y15" i="56"/>
  <c r="Q15" i="56"/>
  <c r="I15" i="56"/>
  <c r="AV15" i="56"/>
  <c r="AN15" i="56"/>
  <c r="AF15" i="56"/>
  <c r="X15" i="56"/>
  <c r="P15" i="56"/>
  <c r="H15" i="56"/>
  <c r="AU15" i="56"/>
  <c r="AM15" i="56"/>
  <c r="AE15" i="56"/>
  <c r="W15" i="56"/>
  <c r="O15" i="56"/>
  <c r="G15" i="56"/>
  <c r="AT15" i="56"/>
  <c r="AL15" i="56"/>
  <c r="AD15" i="56"/>
  <c r="V15" i="56"/>
  <c r="N15" i="56"/>
  <c r="F15" i="56"/>
  <c r="AR15" i="56"/>
  <c r="AJ15" i="56"/>
  <c r="AB15" i="56"/>
  <c r="T15" i="56"/>
  <c r="L15" i="56"/>
  <c r="S15" i="56"/>
  <c r="AS15" i="56"/>
  <c r="M15" i="56"/>
  <c r="AQ15" i="56"/>
  <c r="K15" i="56"/>
  <c r="AK15" i="56"/>
  <c r="E15" i="56"/>
  <c r="AI15" i="56"/>
  <c r="AA15" i="56"/>
  <c r="U15" i="56"/>
  <c r="H8" i="56"/>
  <c r="P8" i="56"/>
  <c r="X8" i="56"/>
  <c r="AF8" i="56"/>
  <c r="AN8" i="56"/>
  <c r="AV8" i="56"/>
  <c r="K8" i="56"/>
  <c r="S8" i="56"/>
  <c r="AA8" i="56"/>
  <c r="AI8" i="56"/>
  <c r="AQ8" i="56"/>
  <c r="L8" i="56"/>
  <c r="T8" i="56"/>
  <c r="AB8" i="56"/>
  <c r="AJ8" i="56"/>
  <c r="AR8" i="56"/>
  <c r="E8" i="56"/>
  <c r="M8" i="56"/>
  <c r="U8" i="56"/>
  <c r="AC8" i="56"/>
  <c r="AK8" i="56"/>
  <c r="AS8" i="56"/>
  <c r="F8" i="56"/>
  <c r="N8" i="56"/>
  <c r="V8" i="56"/>
  <c r="AD8" i="56"/>
  <c r="AL8" i="56"/>
  <c r="AT8" i="56"/>
  <c r="B46" i="55"/>
  <c r="B47" i="55" s="1"/>
  <c r="D22" i="46"/>
  <c r="B5" i="46"/>
  <c r="AS44" i="46"/>
  <c r="AR44" i="46"/>
  <c r="AQ44" i="46"/>
  <c r="AP44" i="46"/>
  <c r="AO44" i="46"/>
  <c r="AN44" i="46"/>
  <c r="AM44" i="46"/>
  <c r="AL44" i="46"/>
  <c r="AK44" i="46"/>
  <c r="AJ44" i="46"/>
  <c r="AI44" i="46"/>
  <c r="AH44" i="46"/>
  <c r="AG44" i="46"/>
  <c r="AF44" i="46"/>
  <c r="AE44" i="46"/>
  <c r="AD44" i="46"/>
  <c r="AC44" i="46"/>
  <c r="AB44" i="46"/>
  <c r="AA44" i="46"/>
  <c r="Z44" i="46"/>
  <c r="Y44" i="46"/>
  <c r="X44" i="46"/>
  <c r="W44" i="46"/>
  <c r="V44" i="46"/>
  <c r="U44" i="46"/>
  <c r="T44" i="46"/>
  <c r="S44" i="46"/>
  <c r="R44" i="46"/>
  <c r="Q44" i="46"/>
  <c r="P44" i="46"/>
  <c r="O44" i="46"/>
  <c r="N44" i="46"/>
  <c r="M44" i="46"/>
  <c r="L44" i="46"/>
  <c r="K44" i="46"/>
  <c r="J44" i="46"/>
  <c r="I44" i="46"/>
  <c r="H44" i="46"/>
  <c r="G44" i="46"/>
  <c r="F44" i="46"/>
  <c r="E44" i="46"/>
  <c r="D44" i="46"/>
  <c r="AT44" i="46"/>
  <c r="C44" i="46"/>
  <c r="B44" i="46"/>
  <c r="B14" i="47"/>
  <c r="B22" i="46"/>
  <c r="E39" i="47"/>
  <c r="F39" i="47" s="1"/>
  <c r="AT35" i="46"/>
  <c r="AS35" i="46"/>
  <c r="AR35" i="46"/>
  <c r="AQ35" i="46"/>
  <c r="AP35" i="46"/>
  <c r="AO35" i="46"/>
  <c r="AN35" i="46"/>
  <c r="AM35" i="46"/>
  <c r="AL35" i="46"/>
  <c r="AK35" i="46"/>
  <c r="AJ35" i="46"/>
  <c r="AI35" i="46"/>
  <c r="AH35" i="46"/>
  <c r="AG35" i="46"/>
  <c r="AF35" i="46"/>
  <c r="AE35" i="46"/>
  <c r="AD35" i="46"/>
  <c r="AC35" i="46"/>
  <c r="AB35" i="46"/>
  <c r="AA35" i="46"/>
  <c r="Z35" i="46"/>
  <c r="Y35" i="46"/>
  <c r="X35" i="46"/>
  <c r="W35" i="46"/>
  <c r="V35" i="46"/>
  <c r="U35" i="46"/>
  <c r="T35" i="46"/>
  <c r="S35" i="46"/>
  <c r="R35" i="46"/>
  <c r="Q35" i="46"/>
  <c r="P35" i="46"/>
  <c r="O35" i="46"/>
  <c r="N35" i="46"/>
  <c r="M35" i="46"/>
  <c r="L35" i="46"/>
  <c r="K35" i="46"/>
  <c r="J35" i="46"/>
  <c r="I35" i="46"/>
  <c r="H35" i="46"/>
  <c r="G35" i="46"/>
  <c r="F35" i="46"/>
  <c r="E35" i="46"/>
  <c r="D35" i="46"/>
  <c r="C35" i="46"/>
  <c r="B35" i="46"/>
  <c r="B54" i="55" l="1"/>
  <c r="C50" i="55" s="1"/>
  <c r="C52" i="55" s="1"/>
  <c r="C53" i="55" s="1"/>
  <c r="C54" i="55" s="1"/>
  <c r="D50" i="55" s="1"/>
  <c r="C43" i="55"/>
  <c r="C45" i="55" s="1"/>
  <c r="B43" i="46"/>
  <c r="B45" i="46" s="1"/>
  <c r="D9" i="10"/>
  <c r="D4" i="10"/>
  <c r="A4" i="47" a="1"/>
  <c r="E8" i="47" s="1"/>
  <c r="I2" i="2"/>
  <c r="B1" i="47"/>
  <c r="B2" i="47"/>
  <c r="E15"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5" i="51"/>
  <c r="D39" i="2"/>
  <c r="D40" i="2"/>
  <c r="D41" i="2"/>
  <c r="D42" i="2"/>
  <c r="D43" i="2"/>
  <c r="D44" i="2"/>
  <c r="D45" i="2"/>
  <c r="D46" i="2"/>
  <c r="D47" i="2"/>
  <c r="D48" i="2"/>
  <c r="B23" i="46"/>
  <c r="L7" i="23"/>
  <c r="L6" i="23"/>
  <c r="L5" i="23"/>
  <c r="L4" i="23"/>
  <c r="L3" i="23"/>
  <c r="L2" i="23"/>
  <c r="C46" i="55" l="1"/>
  <c r="C47" i="55"/>
  <c r="D43" i="55" s="1"/>
  <c r="D45" i="55" s="1"/>
  <c r="D46" i="55" s="1"/>
  <c r="B46" i="46"/>
  <c r="B47" i="46" s="1"/>
  <c r="C43" i="46" s="1"/>
  <c r="C45" i="46" s="1"/>
  <c r="C46" i="46" s="1"/>
  <c r="C47" i="46" s="1"/>
  <c r="D43" i="46" s="1"/>
  <c r="D52" i="55"/>
  <c r="D53" i="55" s="1"/>
  <c r="D54" i="55" s="1"/>
  <c r="E50" i="55" s="1"/>
  <c r="AZ8" i="47"/>
  <c r="AY8" i="47"/>
  <c r="AX8" i="47"/>
  <c r="BB8" i="47"/>
  <c r="BA8" i="47"/>
  <c r="AZ15" i="47"/>
  <c r="AY15" i="47"/>
  <c r="BB15" i="47"/>
  <c r="AX15" i="47"/>
  <c r="BA15" i="47"/>
  <c r="B50" i="46"/>
  <c r="B52" i="46" s="1"/>
  <c r="B53" i="46" s="1"/>
  <c r="B54" i="46" s="1"/>
  <c r="AP15" i="47"/>
  <c r="AH15" i="47"/>
  <c r="Z15" i="47"/>
  <c r="R15" i="47"/>
  <c r="J15" i="47"/>
  <c r="AW15" i="47"/>
  <c r="AO15" i="47"/>
  <c r="AG15" i="47"/>
  <c r="Y15" i="47"/>
  <c r="Q15" i="47"/>
  <c r="I15" i="47"/>
  <c r="AV15" i="47"/>
  <c r="AN15" i="47"/>
  <c r="AF15" i="47"/>
  <c r="X15" i="47"/>
  <c r="P15" i="47"/>
  <c r="H15" i="47"/>
  <c r="AU15" i="47"/>
  <c r="AM15" i="47"/>
  <c r="AE15" i="47"/>
  <c r="W15" i="47"/>
  <c r="O15" i="47"/>
  <c r="G15" i="47"/>
  <c r="AT15" i="47"/>
  <c r="AL15" i="47"/>
  <c r="AD15" i="47"/>
  <c r="V15" i="47"/>
  <c r="N15" i="47"/>
  <c r="F15" i="47"/>
  <c r="AS15" i="47"/>
  <c r="AK15" i="47"/>
  <c r="AC15" i="47"/>
  <c r="U15" i="47"/>
  <c r="M15" i="47"/>
  <c r="AR15" i="47"/>
  <c r="AJ15" i="47"/>
  <c r="AB15" i="47"/>
  <c r="T15" i="47"/>
  <c r="L15" i="47"/>
  <c r="AQ15" i="47"/>
  <c r="AI15" i="47"/>
  <c r="AA15" i="47"/>
  <c r="S15" i="47"/>
  <c r="K15" i="47"/>
  <c r="C2" i="53"/>
  <c r="A4" i="47"/>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C50" i="46" l="1"/>
  <c r="C52" i="46" s="1"/>
  <c r="C53" i="46" s="1"/>
  <c r="C54" i="46" s="1"/>
  <c r="E52" i="55"/>
  <c r="E53" i="55" s="1"/>
  <c r="D47" i="55"/>
  <c r="E43" i="55" s="1"/>
  <c r="F53" i="2"/>
  <c r="L53" i="2" s="1"/>
  <c r="F49" i="2"/>
  <c r="L49" i="2" s="1"/>
  <c r="F50" i="2"/>
  <c r="L50" i="2" s="1"/>
  <c r="F51" i="2"/>
  <c r="L51" i="2" s="1"/>
  <c r="F52" i="2"/>
  <c r="L52" i="2" s="1"/>
  <c r="I3" i="2"/>
  <c r="C5" i="53"/>
  <c r="C4" i="53"/>
  <c r="C7" i="53"/>
  <c r="C6" i="53"/>
  <c r="D45" i="46"/>
  <c r="D46"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7" i="23" s="1"/>
  <c r="C7" i="23" s="1"/>
  <c r="D7" i="23" s="1"/>
  <c r="E7" i="23" s="1"/>
  <c r="F7" i="23" s="1"/>
  <c r="G7" i="23" s="1"/>
  <c r="H7" i="23" s="1"/>
  <c r="I7" i="23" s="1"/>
  <c r="J7" i="23" s="1"/>
  <c r="K7" i="23" s="1"/>
  <c r="B6" i="38"/>
  <c r="B6" i="23" s="1"/>
  <c r="C6" i="23" s="1"/>
  <c r="D6" i="23" s="1"/>
  <c r="E6" i="23" s="1"/>
  <c r="F6" i="23" s="1"/>
  <c r="G6" i="23" s="1"/>
  <c r="H6" i="23" s="1"/>
  <c r="I6" i="23" s="1"/>
  <c r="J6" i="23" s="1"/>
  <c r="K6" i="23" s="1"/>
  <c r="B5" i="38"/>
  <c r="B5" i="23" s="1"/>
  <c r="C5" i="23" s="1"/>
  <c r="D5" i="23" s="1"/>
  <c r="E5" i="23" s="1"/>
  <c r="F5" i="23" s="1"/>
  <c r="G5" i="23" s="1"/>
  <c r="H5" i="23" s="1"/>
  <c r="I5" i="23" s="1"/>
  <c r="J5" i="23" s="1"/>
  <c r="K5" i="23" s="1"/>
  <c r="B4" i="38"/>
  <c r="B4" i="23" s="1"/>
  <c r="C4" i="23" s="1"/>
  <c r="D4" i="23" s="1"/>
  <c r="E4" i="23" s="1"/>
  <c r="F4" i="23" s="1"/>
  <c r="G4" i="23" s="1"/>
  <c r="H4" i="23" s="1"/>
  <c r="I4" i="23" s="1"/>
  <c r="J4" i="23" s="1"/>
  <c r="K4" i="23" s="1"/>
  <c r="B3" i="38"/>
  <c r="B3" i="23" s="1"/>
  <c r="C3" i="23" s="1"/>
  <c r="D3" i="23" s="1"/>
  <c r="E3" i="23" s="1"/>
  <c r="F3" i="23" s="1"/>
  <c r="G3" i="23" s="1"/>
  <c r="H3" i="23" s="1"/>
  <c r="I3" i="23" s="1"/>
  <c r="J3" i="23" s="1"/>
  <c r="K3" i="23" s="1"/>
  <c r="B2" i="38"/>
  <c r="B2" i="23" s="1"/>
  <c r="C2" i="23" s="1"/>
  <c r="D2" i="23" s="1"/>
  <c r="E2" i="23" s="1"/>
  <c r="F2" i="23" s="1"/>
  <c r="G2" i="23" s="1"/>
  <c r="H2" i="23" s="1"/>
  <c r="I2" i="23" s="1"/>
  <c r="J2" i="23" s="1"/>
  <c r="K2" i="23" s="1"/>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D50" i="46" l="1"/>
  <c r="E54" i="55"/>
  <c r="F50" i="55" s="1"/>
  <c r="E45" i="55"/>
  <c r="E46" i="55" s="1"/>
  <c r="F52" i="55"/>
  <c r="F53" i="55" s="1"/>
  <c r="R3" i="2"/>
  <c r="R4" i="2" s="1"/>
  <c r="R5" i="2" s="1"/>
  <c r="C3" i="53"/>
  <c r="Q3" i="2"/>
  <c r="Q4" i="2" s="1"/>
  <c r="Q5" i="2" s="1"/>
  <c r="D47" i="46"/>
  <c r="E43" i="46" s="1"/>
  <c r="E45" i="46" s="1"/>
  <c r="E46" i="46" s="1"/>
  <c r="E47" i="46" s="1"/>
  <c r="F43"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L40" i="2" s="1"/>
  <c r="P48" i="8"/>
  <c r="P26" i="8"/>
  <c r="P44" i="8"/>
  <c r="P62" i="8"/>
  <c r="P74" i="8"/>
  <c r="Q74" i="8" s="1"/>
  <c r="P86" i="8"/>
  <c r="Q86" i="8" s="1"/>
  <c r="P98" i="8"/>
  <c r="P3" i="8"/>
  <c r="P9" i="8"/>
  <c r="P15" i="8"/>
  <c r="P21" i="8"/>
  <c r="P27" i="8"/>
  <c r="P33" i="8"/>
  <c r="P39" i="8"/>
  <c r="P45" i="8"/>
  <c r="P51" i="8"/>
  <c r="P57" i="8"/>
  <c r="P63" i="8"/>
  <c r="P69" i="8"/>
  <c r="P75" i="8"/>
  <c r="P81" i="8"/>
  <c r="P87" i="8"/>
  <c r="Q87" i="8" s="1"/>
  <c r="P93" i="8"/>
  <c r="P99" i="8"/>
  <c r="P54" i="8"/>
  <c r="O10" i="8"/>
  <c r="O34" i="8"/>
  <c r="O52" i="8"/>
  <c r="O70" i="8"/>
  <c r="Q70" i="8" s="1"/>
  <c r="O94" i="8"/>
  <c r="P36" i="8"/>
  <c r="O4" i="8"/>
  <c r="O22" i="8"/>
  <c r="O40" i="8"/>
  <c r="O46" i="8"/>
  <c r="O64" i="8"/>
  <c r="O76" i="8"/>
  <c r="O82" i="8"/>
  <c r="O88" i="8"/>
  <c r="O100" i="8"/>
  <c r="P4" i="8"/>
  <c r="P10" i="8"/>
  <c r="Q10" i="8" s="1"/>
  <c r="P16" i="8"/>
  <c r="P22" i="8"/>
  <c r="P28" i="8"/>
  <c r="P34" i="8"/>
  <c r="P40" i="8"/>
  <c r="P46" i="8"/>
  <c r="P52" i="8"/>
  <c r="P58" i="8"/>
  <c r="P64" i="8"/>
  <c r="P70" i="8"/>
  <c r="P76" i="8"/>
  <c r="P82" i="8"/>
  <c r="Q82" i="8" s="1"/>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O12" i="8"/>
  <c r="O18" i="8"/>
  <c r="O24" i="8"/>
  <c r="O30" i="8"/>
  <c r="O36" i="8"/>
  <c r="Q36" i="8" s="1"/>
  <c r="O42" i="8"/>
  <c r="O48" i="8"/>
  <c r="O54" i="8"/>
  <c r="O60" i="8"/>
  <c r="O66" i="8"/>
  <c r="O72" i="8"/>
  <c r="O78" i="8"/>
  <c r="O84" i="8"/>
  <c r="Q84" i="8" s="1"/>
  <c r="O90" i="8"/>
  <c r="O7" i="8"/>
  <c r="O25" i="8"/>
  <c r="O43" i="8"/>
  <c r="O61" i="8"/>
  <c r="F48" i="2"/>
  <c r="L48" i="2" s="1"/>
  <c r="F41" i="2"/>
  <c r="L41" i="2" s="1"/>
  <c r="F45" i="2"/>
  <c r="L45" i="2" s="1"/>
  <c r="F46" i="2"/>
  <c r="L46" i="2" s="1"/>
  <c r="F39" i="2"/>
  <c r="L39" i="2" s="1"/>
  <c r="F47" i="2"/>
  <c r="L47" i="2" s="1"/>
  <c r="F42" i="2"/>
  <c r="L42" i="2" s="1"/>
  <c r="F43" i="2"/>
  <c r="L43" i="2" s="1"/>
  <c r="F44" i="2"/>
  <c r="L44" i="2" s="1"/>
  <c r="D52" i="46" l="1"/>
  <c r="D53" i="46" s="1"/>
  <c r="F54" i="55"/>
  <c r="G50" i="55" s="1"/>
  <c r="E47" i="55"/>
  <c r="F43" i="55" s="1"/>
  <c r="Q3" i="8"/>
  <c r="Q6" i="8"/>
  <c r="Q8" i="8"/>
  <c r="Q27" i="8"/>
  <c r="R6" i="2"/>
  <c r="Q6" i="2"/>
  <c r="O3" i="2"/>
  <c r="H3" i="53"/>
  <c r="P3" i="2"/>
  <c r="F45" i="46"/>
  <c r="F46"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34" i="8"/>
  <c r="Q42" i="8"/>
  <c r="Q77" i="8"/>
  <c r="Q5" i="8"/>
  <c r="Q13" i="8"/>
  <c r="D7" i="45"/>
  <c r="Q32" i="8"/>
  <c r="Q19" i="8"/>
  <c r="Q53" i="8"/>
  <c r="Q90" i="8"/>
  <c r="Q93" i="8"/>
  <c r="Q99" i="8"/>
  <c r="Q55" i="8"/>
  <c r="Q14" i="8"/>
  <c r="Q64" i="8"/>
  <c r="Q94" i="8"/>
  <c r="Q44" i="8"/>
  <c r="Q98" i="8"/>
  <c r="Q48" i="8"/>
  <c r="Q40" i="8"/>
  <c r="Q68" i="8"/>
  <c r="Q61" i="8"/>
  <c r="Q28" i="8"/>
  <c r="Q22" i="8"/>
  <c r="Q9" i="8"/>
  <c r="Q59" i="8"/>
  <c r="Q21" i="8"/>
  <c r="T3" i="8" s="1"/>
  <c r="D3" i="8" s="1"/>
  <c r="Q97" i="8"/>
  <c r="Q91" i="8"/>
  <c r="Q85" i="8"/>
  <c r="Q17" i="8"/>
  <c r="Q76" i="8"/>
  <c r="Q51" i="8"/>
  <c r="Q24" i="8"/>
  <c r="Q101" i="8"/>
  <c r="T11" i="8" s="1"/>
  <c r="Q49" i="8"/>
  <c r="Q25" i="8"/>
  <c r="D54" i="46" l="1"/>
  <c r="E50" i="46" s="1"/>
  <c r="P4" i="2"/>
  <c r="P5" i="2" s="1"/>
  <c r="P6" i="2" s="1"/>
  <c r="P7" i="2" s="1"/>
  <c r="G52" i="55"/>
  <c r="G53" i="55" s="1"/>
  <c r="F45" i="55"/>
  <c r="F46" i="55" s="1"/>
  <c r="T10" i="8"/>
  <c r="D39" i="8" s="1"/>
  <c r="R7" i="2"/>
  <c r="O4" i="2"/>
  <c r="O5" i="2" s="1"/>
  <c r="O6" i="2" s="1"/>
  <c r="O7" i="2" s="1"/>
  <c r="Q7" i="2"/>
  <c r="T5" i="8"/>
  <c r="D13" i="8" s="1"/>
  <c r="T7" i="8"/>
  <c r="D24" i="8" s="1"/>
  <c r="T4" i="8"/>
  <c r="D11" i="8" s="1"/>
  <c r="H4" i="53"/>
  <c r="O18" i="53" a="1"/>
  <c r="O18" i="53" s="1"/>
  <c r="G3" i="53"/>
  <c r="F47" i="46"/>
  <c r="G43" i="46" s="1"/>
  <c r="T6" i="8"/>
  <c r="D20" i="8" s="1"/>
  <c r="T8" i="8"/>
  <c r="D32" i="8" s="1"/>
  <c r="T9" i="8"/>
  <c r="D37" i="8" s="1"/>
  <c r="E8" i="45"/>
  <c r="D8" i="45"/>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48" i="8"/>
  <c r="D47" i="8"/>
  <c r="D46" i="8"/>
  <c r="D45" i="8"/>
  <c r="D44" i="8"/>
  <c r="D43" i="8"/>
  <c r="D7" i="8"/>
  <c r="D6" i="8"/>
  <c r="D5" i="8"/>
  <c r="D4" i="8"/>
  <c r="E4" i="8" s="1"/>
  <c r="E52" i="46" l="1"/>
  <c r="E53" i="46" s="1"/>
  <c r="E54" i="46"/>
  <c r="F50" i="46" s="1"/>
  <c r="F47" i="55"/>
  <c r="G43" i="55" s="1"/>
  <c r="G54" i="55"/>
  <c r="H50" i="55" s="1"/>
  <c r="D40" i="8"/>
  <c r="D42" i="8"/>
  <c r="D41" i="8"/>
  <c r="D38" i="8"/>
  <c r="P8" i="2"/>
  <c r="Q8" i="2"/>
  <c r="O8" i="2"/>
  <c r="R8" i="2"/>
  <c r="E5" i="8"/>
  <c r="D8" i="8"/>
  <c r="D12" i="8"/>
  <c r="D9" i="8"/>
  <c r="D10" i="8"/>
  <c r="D15" i="8"/>
  <c r="D14" i="8"/>
  <c r="D35" i="8"/>
  <c r="D25" i="8"/>
  <c r="D26" i="8"/>
  <c r="D16" i="8"/>
  <c r="D27" i="8"/>
  <c r="G4" i="53"/>
  <c r="N18" i="53" a="1"/>
  <c r="N18" i="53" s="1"/>
  <c r="Q18" i="53" s="1"/>
  <c r="D23" i="8"/>
  <c r="H5" i="53"/>
  <c r="O17" i="53" a="1"/>
  <c r="O17" i="53" s="1"/>
  <c r="D17" i="8"/>
  <c r="D36" i="8"/>
  <c r="D18" i="8"/>
  <c r="D19" i="8"/>
  <c r="D21" i="8"/>
  <c r="D22" i="8"/>
  <c r="G45" i="46"/>
  <c r="G46" i="46" s="1"/>
  <c r="D31" i="8"/>
  <c r="D28" i="8"/>
  <c r="D30" i="8"/>
  <c r="D33" i="8"/>
  <c r="D34" i="8"/>
  <c r="D29" i="8"/>
  <c r="D9" i="45"/>
  <c r="E9" i="45"/>
  <c r="F52" i="46" l="1"/>
  <c r="F53" i="46" s="1"/>
  <c r="P9" i="2"/>
  <c r="H52" i="55"/>
  <c r="H53" i="55" s="1"/>
  <c r="G45" i="55"/>
  <c r="G46" i="55" s="1"/>
  <c r="R9" i="2"/>
  <c r="O9" i="2"/>
  <c r="Q9" i="2"/>
  <c r="H6" i="53"/>
  <c r="O16" i="53" a="1"/>
  <c r="O16" i="53" s="1"/>
  <c r="G5" i="53"/>
  <c r="N17" i="53" a="1"/>
  <c r="N17" i="53" s="1"/>
  <c r="Q17" i="53" s="1"/>
  <c r="G47" i="46"/>
  <c r="H43" i="46" s="1"/>
  <c r="E10" i="45"/>
  <c r="D10" i="45"/>
  <c r="E6" i="8"/>
  <c r="E7" i="8" s="1"/>
  <c r="F54" i="46" l="1"/>
  <c r="G50" i="46" s="1"/>
  <c r="G52" i="46" s="1"/>
  <c r="G53" i="46" s="1"/>
  <c r="P10" i="2"/>
  <c r="G47" i="55"/>
  <c r="H43" i="55" s="1"/>
  <c r="H54" i="55"/>
  <c r="I50" i="55" s="1"/>
  <c r="Q10" i="2"/>
  <c r="O10" i="2"/>
  <c r="R10" i="2"/>
  <c r="H7" i="53"/>
  <c r="O15" i="53" a="1"/>
  <c r="O15" i="53" s="1"/>
  <c r="G6" i="53"/>
  <c r="N16" i="53" a="1"/>
  <c r="N16" i="53" s="1"/>
  <c r="Q16" i="53" s="1"/>
  <c r="H45" i="46"/>
  <c r="H46" i="46" s="1"/>
  <c r="D11" i="45"/>
  <c r="E11" i="45"/>
  <c r="E8" i="8"/>
  <c r="E9" i="8" s="1"/>
  <c r="G54" i="46" l="1"/>
  <c r="H50" i="46" s="1"/>
  <c r="P11" i="2"/>
  <c r="I52" i="55"/>
  <c r="I53" i="55" s="1"/>
  <c r="H45" i="55"/>
  <c r="H46" i="55" s="1"/>
  <c r="Q11" i="2"/>
  <c r="R11" i="2"/>
  <c r="O11" i="2"/>
  <c r="H8" i="53"/>
  <c r="O14" i="53" a="1"/>
  <c r="O14" i="53" s="1"/>
  <c r="G7" i="53"/>
  <c r="N15" i="53" a="1"/>
  <c r="N15" i="53" s="1"/>
  <c r="Q15" i="53" s="1"/>
  <c r="H47" i="46"/>
  <c r="I43" i="46" s="1"/>
  <c r="E12" i="45"/>
  <c r="D12" i="45"/>
  <c r="E10" i="8"/>
  <c r="E11" i="8" s="1"/>
  <c r="H52" i="46" l="1"/>
  <c r="H53" i="46" s="1"/>
  <c r="H54" i="46"/>
  <c r="I50" i="46" s="1"/>
  <c r="P12" i="2"/>
  <c r="H47" i="55"/>
  <c r="I43" i="55" s="1"/>
  <c r="I54" i="55"/>
  <c r="J50" i="55" s="1"/>
  <c r="Q12" i="2"/>
  <c r="O12" i="2"/>
  <c r="R12" i="2"/>
  <c r="H9" i="53"/>
  <c r="O13" i="53" a="1"/>
  <c r="O13" i="53" s="1"/>
  <c r="G8" i="53"/>
  <c r="N14" i="53" a="1"/>
  <c r="N14" i="53" s="1"/>
  <c r="Q14" i="53" s="1"/>
  <c r="I45" i="46"/>
  <c r="I46" i="46" s="1"/>
  <c r="D13" i="45"/>
  <c r="E13" i="45"/>
  <c r="E12" i="8"/>
  <c r="I52" i="46" l="1"/>
  <c r="I53" i="46" s="1"/>
  <c r="I54" i="46"/>
  <c r="J50" i="46" s="1"/>
  <c r="P13" i="2"/>
  <c r="J52" i="55"/>
  <c r="J53" i="55" s="1"/>
  <c r="I45" i="55"/>
  <c r="I46" i="55" s="1"/>
  <c r="Q13" i="2"/>
  <c r="R13" i="2"/>
  <c r="O13" i="2"/>
  <c r="H10" i="53"/>
  <c r="O12" i="53" a="1"/>
  <c r="O12" i="53" s="1"/>
  <c r="G9" i="53"/>
  <c r="N13" i="53" a="1"/>
  <c r="N13" i="53" s="1"/>
  <c r="Q13" i="53" s="1"/>
  <c r="I47" i="46"/>
  <c r="J43" i="46" s="1"/>
  <c r="E14" i="45"/>
  <c r="D14" i="45"/>
  <c r="E13" i="8"/>
  <c r="J52" i="46" l="1"/>
  <c r="J53" i="46" s="1"/>
  <c r="P14" i="2"/>
  <c r="I47" i="55"/>
  <c r="J43" i="55" s="1"/>
  <c r="J54" i="55"/>
  <c r="K50" i="55" s="1"/>
  <c r="Q14" i="2"/>
  <c r="O14" i="2"/>
  <c r="R14" i="2"/>
  <c r="H11" i="53"/>
  <c r="O11" i="53" a="1"/>
  <c r="O11" i="53" s="1"/>
  <c r="G10" i="53"/>
  <c r="N12" i="53" a="1"/>
  <c r="N12" i="53" s="1"/>
  <c r="Q12" i="53" s="1"/>
  <c r="J45" i="46"/>
  <c r="J46" i="46" s="1"/>
  <c r="E15" i="45"/>
  <c r="D15" i="45"/>
  <c r="E14" i="8"/>
  <c r="J54" i="46" l="1"/>
  <c r="K50" i="46" s="1"/>
  <c r="P15" i="2"/>
  <c r="Q15" i="2"/>
  <c r="K52" i="55"/>
  <c r="K53" i="55" s="1"/>
  <c r="J45" i="55"/>
  <c r="J46" i="55" s="1"/>
  <c r="R15" i="2"/>
  <c r="O15" i="2"/>
  <c r="H12" i="53"/>
  <c r="O10" i="53" a="1"/>
  <c r="O10" i="53" s="1"/>
  <c r="G11" i="53"/>
  <c r="N11" i="53" a="1"/>
  <c r="N11" i="53" s="1"/>
  <c r="Q11" i="53" s="1"/>
  <c r="J47" i="46"/>
  <c r="K43" i="46" s="1"/>
  <c r="K45" i="46" s="1"/>
  <c r="E16" i="45"/>
  <c r="D16" i="45"/>
  <c r="E15" i="8"/>
  <c r="E16" i="8" s="1"/>
  <c r="K52" i="46" l="1"/>
  <c r="K53" i="46" s="1"/>
  <c r="P16" i="2"/>
  <c r="Q16" i="2"/>
  <c r="J47" i="55"/>
  <c r="K43" i="55" s="1"/>
  <c r="K54" i="55"/>
  <c r="L50" i="55" s="1"/>
  <c r="O16" i="2"/>
  <c r="R16" i="2"/>
  <c r="H13" i="53"/>
  <c r="O9" i="53" a="1"/>
  <c r="O9" i="53" s="1"/>
  <c r="G12" i="53"/>
  <c r="N10" i="53" a="1"/>
  <c r="N10" i="53" s="1"/>
  <c r="Q10" i="53" s="1"/>
  <c r="K46" i="46"/>
  <c r="K47" i="46" s="1"/>
  <c r="L43" i="46" s="1"/>
  <c r="L45" i="46" s="1"/>
  <c r="L46" i="46" s="1"/>
  <c r="D17" i="45"/>
  <c r="E17" i="45"/>
  <c r="E17" i="8"/>
  <c r="K54" i="46" l="1"/>
  <c r="L50" i="46" s="1"/>
  <c r="L54" i="46" s="1"/>
  <c r="M50" i="46" s="1"/>
  <c r="L52" i="46"/>
  <c r="L53" i="46" s="1"/>
  <c r="P17" i="2"/>
  <c r="Q17" i="2"/>
  <c r="L52" i="55"/>
  <c r="L53" i="55" s="1"/>
  <c r="K45" i="55"/>
  <c r="K46" i="55" s="1"/>
  <c r="O17" i="2"/>
  <c r="R17" i="2"/>
  <c r="H14" i="53"/>
  <c r="O8" i="53" a="1"/>
  <c r="O8" i="53" s="1"/>
  <c r="G13" i="53"/>
  <c r="N9" i="53" a="1"/>
  <c r="N9" i="53" s="1"/>
  <c r="Q9" i="53" s="1"/>
  <c r="E18" i="8"/>
  <c r="E19" i="8" s="1"/>
  <c r="L47" i="46"/>
  <c r="M43" i="46" s="1"/>
  <c r="D18" i="45"/>
  <c r="E18" i="45"/>
  <c r="M52" i="46" l="1"/>
  <c r="M53" i="46" s="1"/>
  <c r="M54" i="46"/>
  <c r="N50" i="46" s="1"/>
  <c r="P18" i="2"/>
  <c r="Q18" i="2"/>
  <c r="K47" i="55"/>
  <c r="L43" i="55" s="1"/>
  <c r="L54" i="55"/>
  <c r="M50" i="55" s="1"/>
  <c r="R18" i="2"/>
  <c r="O18" i="2"/>
  <c r="H15" i="53"/>
  <c r="O7" i="53" a="1"/>
  <c r="O7" i="53" s="1"/>
  <c r="G14" i="53"/>
  <c r="N8" i="53" a="1"/>
  <c r="N8" i="53" s="1"/>
  <c r="Q8" i="53" s="1"/>
  <c r="M45" i="46"/>
  <c r="M46" i="46" s="1"/>
  <c r="E19" i="45"/>
  <c r="D19" i="45"/>
  <c r="E20" i="8"/>
  <c r="N52" i="46" l="1"/>
  <c r="N53" i="46" s="1"/>
  <c r="P19" i="2"/>
  <c r="Q19" i="2"/>
  <c r="M52" i="55"/>
  <c r="M53" i="55" s="1"/>
  <c r="L45" i="55"/>
  <c r="L46" i="55" s="1"/>
  <c r="O19" i="2"/>
  <c r="R19" i="2"/>
  <c r="G15" i="53"/>
  <c r="N7" i="53" a="1"/>
  <c r="N7" i="53" s="1"/>
  <c r="Q7" i="53" s="1"/>
  <c r="H16" i="53"/>
  <c r="O6" i="53" a="1"/>
  <c r="O6" i="53" s="1"/>
  <c r="M47" i="46"/>
  <c r="N43" i="46" s="1"/>
  <c r="D20" i="45"/>
  <c r="E20" i="45"/>
  <c r="E21" i="8"/>
  <c r="E22" i="8" s="1"/>
  <c r="N54" i="46" l="1"/>
  <c r="O50" i="46" s="1"/>
  <c r="O52" i="46" s="1"/>
  <c r="O53" i="46" s="1"/>
  <c r="P20" i="2"/>
  <c r="Q20" i="2"/>
  <c r="L47" i="55"/>
  <c r="M43" i="55" s="1"/>
  <c r="M54" i="55"/>
  <c r="N50" i="55" s="1"/>
  <c r="R20" i="2"/>
  <c r="O20" i="2"/>
  <c r="H17" i="53"/>
  <c r="O5" i="53" a="1"/>
  <c r="O5" i="53" s="1"/>
  <c r="G16" i="53"/>
  <c r="N6" i="53" a="1"/>
  <c r="N6" i="53" s="1"/>
  <c r="Q6" i="53" s="1"/>
  <c r="N45" i="46"/>
  <c r="N46" i="46" s="1"/>
  <c r="E21" i="45"/>
  <c r="D21" i="45"/>
  <c r="E23" i="8"/>
  <c r="E24" i="8" s="1"/>
  <c r="O54" i="46" l="1"/>
  <c r="P50" i="46" s="1"/>
  <c r="P52" i="46" s="1"/>
  <c r="P53" i="46" s="1"/>
  <c r="P21" i="2"/>
  <c r="Q21" i="2"/>
  <c r="N52" i="55"/>
  <c r="N53" i="55" s="1"/>
  <c r="M45" i="55"/>
  <c r="M46" i="55" s="1"/>
  <c r="O21" i="2"/>
  <c r="R21" i="2"/>
  <c r="P54" i="46"/>
  <c r="Q50" i="46" s="1"/>
  <c r="Q52" i="46" s="1"/>
  <c r="Q53" i="46" s="1"/>
  <c r="H18" i="53"/>
  <c r="O3" i="53" s="1" a="1"/>
  <c r="O3" i="53" s="1"/>
  <c r="O4" i="53" a="1"/>
  <c r="O4" i="53" s="1"/>
  <c r="G17" i="53"/>
  <c r="N5" i="53" a="1"/>
  <c r="N5" i="53" s="1"/>
  <c r="Q5" i="53" s="1"/>
  <c r="N47" i="46"/>
  <c r="O43" i="46" s="1"/>
  <c r="D22" i="45"/>
  <c r="Q22" i="2" s="1"/>
  <c r="E22" i="45"/>
  <c r="E25" i="8"/>
  <c r="E26" i="8" s="1"/>
  <c r="M47" i="55" l="1"/>
  <c r="N43" i="55" s="1"/>
  <c r="P22" i="2"/>
  <c r="N45" i="55"/>
  <c r="N46" i="55" s="1"/>
  <c r="N54" i="55"/>
  <c r="O50" i="55" s="1"/>
  <c r="R22" i="2"/>
  <c r="O22" i="2"/>
  <c r="Q54" i="46"/>
  <c r="R50" i="46" s="1"/>
  <c r="G18" i="53"/>
  <c r="N3" i="53" s="1" a="1"/>
  <c r="N3" i="53" s="1"/>
  <c r="N4" i="53" a="1"/>
  <c r="N4" i="53" s="1"/>
  <c r="Q4" i="53" s="1"/>
  <c r="O45" i="46"/>
  <c r="O46" i="46" s="1"/>
  <c r="E23" i="45"/>
  <c r="D23" i="45"/>
  <c r="Q23" i="2" s="1"/>
  <c r="P23" i="2" l="1"/>
  <c r="Q3" i="53"/>
  <c r="Q21" i="53" s="1"/>
  <c r="E2" i="56" a="1"/>
  <c r="B2" i="55" a="1"/>
  <c r="O52" i="55"/>
  <c r="O53" i="55" s="1"/>
  <c r="N47" i="55"/>
  <c r="O43" i="55" s="1"/>
  <c r="O23" i="2"/>
  <c r="R23" i="2"/>
  <c r="R52" i="46"/>
  <c r="R53" i="46" s="1"/>
  <c r="O47" i="46"/>
  <c r="P43" i="46" s="1"/>
  <c r="P45" i="46" s="1"/>
  <c r="P46" i="46" s="1"/>
  <c r="D24" i="45"/>
  <c r="Q24" i="2" s="1"/>
  <c r="E24" i="45"/>
  <c r="P24" i="2" s="1"/>
  <c r="E27" i="8"/>
  <c r="E28" i="8" s="1"/>
  <c r="B2" i="55" l="1"/>
  <c r="C4" i="55"/>
  <c r="D4" i="55"/>
  <c r="K4" i="55"/>
  <c r="L4" i="55"/>
  <c r="G4" i="55"/>
  <c r="O4" i="55"/>
  <c r="I4" i="55"/>
  <c r="F4" i="55"/>
  <c r="N4" i="55"/>
  <c r="H4" i="55"/>
  <c r="P4" i="55"/>
  <c r="E4" i="55"/>
  <c r="M4" i="55"/>
  <c r="J4" i="55"/>
  <c r="E2" i="56"/>
  <c r="E3" i="56" s="1"/>
  <c r="N3" i="56"/>
  <c r="M3" i="56"/>
  <c r="K3" i="56"/>
  <c r="H3" i="56"/>
  <c r="F3" i="56"/>
  <c r="S3" i="56"/>
  <c r="P3" i="56"/>
  <c r="O3" i="56"/>
  <c r="G3" i="56"/>
  <c r="L3" i="56"/>
  <c r="J3" i="56"/>
  <c r="R3" i="56"/>
  <c r="I3" i="56"/>
  <c r="Q3" i="56"/>
  <c r="O45" i="55"/>
  <c r="O46" i="55" s="1"/>
  <c r="O54" i="55"/>
  <c r="P50" i="55" s="1"/>
  <c r="R24" i="2"/>
  <c r="O24" i="2"/>
  <c r="R54" i="46"/>
  <c r="S50" i="46" s="1"/>
  <c r="S52" i="46" s="1"/>
  <c r="S53" i="46" s="1"/>
  <c r="P47" i="46"/>
  <c r="Q43" i="46" s="1"/>
  <c r="D25" i="45"/>
  <c r="Q25" i="2" s="1"/>
  <c r="E25" i="45"/>
  <c r="P25" i="2" s="1"/>
  <c r="E29" i="8"/>
  <c r="E30" i="8" s="1"/>
  <c r="M6" i="55" l="1"/>
  <c r="M7" i="55" s="1"/>
  <c r="M8" i="55" s="1"/>
  <c r="P4" i="56"/>
  <c r="P5" i="56" s="1"/>
  <c r="P6" i="56" s="1"/>
  <c r="P7" i="56" s="1"/>
  <c r="J4" i="56"/>
  <c r="J5" i="56" s="1"/>
  <c r="J6" i="56" s="1"/>
  <c r="J7" i="56" s="1"/>
  <c r="G6" i="55"/>
  <c r="G7" i="55" s="1"/>
  <c r="G8" i="55" s="1"/>
  <c r="E6" i="55"/>
  <c r="E7" i="55" s="1"/>
  <c r="E8" i="55" s="1"/>
  <c r="H4" i="56"/>
  <c r="H5" i="56" s="1"/>
  <c r="H6" i="56" s="1"/>
  <c r="H7" i="56" s="1"/>
  <c r="L6" i="55"/>
  <c r="L7" i="55" s="1"/>
  <c r="L8" i="55" s="1"/>
  <c r="O4" i="56"/>
  <c r="O5" i="56" s="1"/>
  <c r="O6" i="56" s="1"/>
  <c r="O7" i="56" s="1"/>
  <c r="J6" i="55"/>
  <c r="J7" i="55" s="1"/>
  <c r="J8" i="55" s="1"/>
  <c r="M4" i="56"/>
  <c r="M5" i="56" s="1"/>
  <c r="M6" i="56" s="1"/>
  <c r="M7" i="56" s="1"/>
  <c r="K6" i="55"/>
  <c r="K7" i="55" s="1"/>
  <c r="K8" i="55" s="1"/>
  <c r="N4" i="56"/>
  <c r="N5" i="56" s="1"/>
  <c r="N6" i="56" s="1"/>
  <c r="N7" i="56" s="1"/>
  <c r="H6" i="55"/>
  <c r="H7" i="55" s="1"/>
  <c r="H8" i="55" s="1"/>
  <c r="K4" i="56"/>
  <c r="K5" i="56" s="1"/>
  <c r="K6" i="56" s="1"/>
  <c r="K7" i="56" s="1"/>
  <c r="D6" i="55"/>
  <c r="D7" i="55" s="1"/>
  <c r="D8" i="55" s="1"/>
  <c r="G4" i="56"/>
  <c r="G5" i="56" s="1"/>
  <c r="G6" i="56" s="1"/>
  <c r="G7" i="56" s="1"/>
  <c r="O6" i="55"/>
  <c r="O7" i="55" s="1"/>
  <c r="O8" i="55" s="1"/>
  <c r="R4" i="56"/>
  <c r="R5" i="56" s="1"/>
  <c r="R6" i="56" s="1"/>
  <c r="R7" i="56" s="1"/>
  <c r="N6" i="55"/>
  <c r="N7" i="55" s="1"/>
  <c r="N8" i="55" s="1"/>
  <c r="Q4" i="56"/>
  <c r="Q5" i="56" s="1"/>
  <c r="Q6" i="56" s="1"/>
  <c r="Q7" i="56" s="1"/>
  <c r="C6" i="55"/>
  <c r="C7" i="55" s="1"/>
  <c r="C8" i="55" s="1"/>
  <c r="F4" i="56"/>
  <c r="F5" i="56" s="1"/>
  <c r="F6" i="56" s="1"/>
  <c r="F7" i="56" s="1"/>
  <c r="L4" i="56"/>
  <c r="L5" i="56" s="1"/>
  <c r="L6" i="56" s="1"/>
  <c r="L7" i="56" s="1"/>
  <c r="I6" i="55"/>
  <c r="I7" i="55" s="1"/>
  <c r="I8" i="55" s="1"/>
  <c r="P6" i="55"/>
  <c r="P7" i="55" s="1"/>
  <c r="P8" i="55" s="1"/>
  <c r="S4" i="56"/>
  <c r="S5" i="56" s="1"/>
  <c r="S6" i="56" s="1"/>
  <c r="S7" i="56" s="1"/>
  <c r="F6" i="55"/>
  <c r="F7" i="55" s="1"/>
  <c r="F8" i="55" s="1"/>
  <c r="I4" i="56"/>
  <c r="I5" i="56" s="1"/>
  <c r="I6" i="56" s="1"/>
  <c r="I7" i="56" s="1"/>
  <c r="B6" i="55"/>
  <c r="B4" i="55"/>
  <c r="E4" i="56" s="1"/>
  <c r="E5" i="56" s="1"/>
  <c r="E6" i="56" s="1"/>
  <c r="E7" i="56" s="1"/>
  <c r="P52" i="55"/>
  <c r="P53" i="55" s="1"/>
  <c r="O47" i="55"/>
  <c r="P43" i="55" s="1"/>
  <c r="O25" i="2"/>
  <c r="R25" i="2"/>
  <c r="S54" i="46"/>
  <c r="T50" i="46" s="1"/>
  <c r="T52" i="46" s="1"/>
  <c r="T53" i="46" s="1"/>
  <c r="Q45" i="46"/>
  <c r="Q46" i="46" s="1"/>
  <c r="D26" i="45"/>
  <c r="Q26" i="2" s="1"/>
  <c r="E26" i="45"/>
  <c r="P26" i="2" s="1"/>
  <c r="E31" i="8"/>
  <c r="B7" i="55" l="1"/>
  <c r="B8" i="55" s="1"/>
  <c r="B34" i="55" s="1"/>
  <c r="B36" i="55" s="1"/>
  <c r="B37" i="55" s="1"/>
  <c r="I10" i="56"/>
  <c r="I9" i="56"/>
  <c r="E9" i="56"/>
  <c r="E10" i="56"/>
  <c r="Q9" i="56"/>
  <c r="Q10" i="56"/>
  <c r="N10" i="56"/>
  <c r="N9" i="56"/>
  <c r="F10" i="56"/>
  <c r="F9" i="56"/>
  <c r="R10" i="56"/>
  <c r="R9" i="56"/>
  <c r="M10" i="56"/>
  <c r="M9" i="56"/>
  <c r="S10" i="56"/>
  <c r="S9" i="56"/>
  <c r="J9" i="56"/>
  <c r="J10" i="56"/>
  <c r="G10" i="56"/>
  <c r="G9" i="56"/>
  <c r="H10" i="56"/>
  <c r="H9" i="56"/>
  <c r="L9" i="56"/>
  <c r="L10" i="56"/>
  <c r="O10" i="56"/>
  <c r="O9" i="56"/>
  <c r="P10" i="56"/>
  <c r="P9" i="56"/>
  <c r="K10" i="56"/>
  <c r="K9" i="56"/>
  <c r="P45" i="55"/>
  <c r="P46" i="55" s="1"/>
  <c r="P54" i="55"/>
  <c r="Q50" i="55" s="1"/>
  <c r="R26" i="2"/>
  <c r="O26" i="2"/>
  <c r="T54" i="46"/>
  <c r="U50" i="46" s="1"/>
  <c r="U52" i="46" s="1"/>
  <c r="U53" i="46" s="1"/>
  <c r="E32" i="8"/>
  <c r="E33" i="8" s="1"/>
  <c r="Q47" i="46"/>
  <c r="R43" i="46" s="1"/>
  <c r="D27" i="45"/>
  <c r="Q27" i="2" s="1"/>
  <c r="E27" i="45"/>
  <c r="P27" i="2" s="1"/>
  <c r="P12" i="56" l="1"/>
  <c r="P11" i="56"/>
  <c r="G12" i="56"/>
  <c r="G11" i="56"/>
  <c r="G13" i="56" s="1"/>
  <c r="G14" i="56" s="1"/>
  <c r="G16" i="56" s="1"/>
  <c r="G17" i="56" s="1"/>
  <c r="M12" i="56"/>
  <c r="M11" i="56"/>
  <c r="Q12" i="56"/>
  <c r="Q11" i="56"/>
  <c r="J11" i="56"/>
  <c r="J12" i="56"/>
  <c r="E12" i="56"/>
  <c r="E11" i="56"/>
  <c r="E13" i="56" s="1"/>
  <c r="E14" i="56" s="1"/>
  <c r="E16" i="56" s="1"/>
  <c r="E17" i="56" s="1"/>
  <c r="H11" i="56"/>
  <c r="H12" i="56"/>
  <c r="N11" i="56"/>
  <c r="N12" i="56"/>
  <c r="O11" i="56"/>
  <c r="O12" i="56"/>
  <c r="B38" i="55"/>
  <c r="C34" i="55" s="1"/>
  <c r="F12" i="56"/>
  <c r="F11" i="56"/>
  <c r="F13" i="56" s="1"/>
  <c r="F14" i="56" s="1"/>
  <c r="F16" i="56" s="1"/>
  <c r="F17" i="56" s="1"/>
  <c r="I12" i="56"/>
  <c r="I11" i="56"/>
  <c r="K11" i="56"/>
  <c r="K12" i="56"/>
  <c r="S12" i="56"/>
  <c r="S11" i="56"/>
  <c r="R11" i="56"/>
  <c r="R12" i="56"/>
  <c r="R13" i="56" s="1"/>
  <c r="R14" i="56" s="1"/>
  <c r="R16" i="56" s="1"/>
  <c r="R17" i="56" s="1"/>
  <c r="L11" i="56"/>
  <c r="L12" i="56"/>
  <c r="Q52" i="55"/>
  <c r="Q53" i="55" s="1"/>
  <c r="P47" i="55"/>
  <c r="Q43" i="55" s="1"/>
  <c r="O27" i="2"/>
  <c r="R27" i="2"/>
  <c r="U54" i="46"/>
  <c r="V50" i="46" s="1"/>
  <c r="V52" i="46" s="1"/>
  <c r="V53" i="46" s="1"/>
  <c r="E34" i="8"/>
  <c r="E35" i="8" s="1"/>
  <c r="R45" i="46"/>
  <c r="R46" i="46" s="1"/>
  <c r="R47" i="46" s="1"/>
  <c r="S43" i="46" s="1"/>
  <c r="S45" i="46" s="1"/>
  <c r="S46" i="46" s="1"/>
  <c r="E28" i="45"/>
  <c r="P28" i="2" s="1"/>
  <c r="D28" i="45"/>
  <c r="Q28" i="2" s="1"/>
  <c r="N13" i="56" l="1"/>
  <c r="N14" i="56" s="1"/>
  <c r="N16" i="56" s="1"/>
  <c r="N17" i="56" s="1"/>
  <c r="J13" i="56"/>
  <c r="J14" i="56" s="1"/>
  <c r="J16" i="56" s="1"/>
  <c r="J17" i="56" s="1"/>
  <c r="L13" i="56"/>
  <c r="L14" i="56" s="1"/>
  <c r="L16" i="56" s="1"/>
  <c r="L17" i="56" s="1"/>
  <c r="M13" i="56"/>
  <c r="M14" i="56" s="1"/>
  <c r="M16" i="56" s="1"/>
  <c r="M17" i="56" s="1"/>
  <c r="P13" i="56"/>
  <c r="P14" i="56" s="1"/>
  <c r="P16" i="56" s="1"/>
  <c r="P17" i="56" s="1"/>
  <c r="S13" i="56"/>
  <c r="S14" i="56" s="1"/>
  <c r="S16" i="56" s="1"/>
  <c r="S17" i="56" s="1"/>
  <c r="O13" i="56"/>
  <c r="O14" i="56" s="1"/>
  <c r="O16" i="56" s="1"/>
  <c r="O17" i="56" s="1"/>
  <c r="Q13" i="56"/>
  <c r="Q14" i="56" s="1"/>
  <c r="Q16" i="56" s="1"/>
  <c r="Q17" i="56" s="1"/>
  <c r="K13" i="56"/>
  <c r="K14" i="56" s="1"/>
  <c r="K16" i="56" s="1"/>
  <c r="K17" i="56" s="1"/>
  <c r="I13" i="56"/>
  <c r="I14" i="56" s="1"/>
  <c r="I16" i="56" s="1"/>
  <c r="I17" i="56" s="1"/>
  <c r="H13" i="56"/>
  <c r="H14" i="56" s="1"/>
  <c r="H16" i="56" s="1"/>
  <c r="H17" i="56" s="1"/>
  <c r="C36" i="55"/>
  <c r="C37" i="55" s="1"/>
  <c r="Q45" i="55"/>
  <c r="Q46" i="55" s="1"/>
  <c r="Q54" i="55"/>
  <c r="R50" i="55" s="1"/>
  <c r="R28" i="2"/>
  <c r="O28" i="2"/>
  <c r="V54" i="46"/>
  <c r="W50" i="46" s="1"/>
  <c r="W52" i="46" s="1"/>
  <c r="W53" i="46" s="1"/>
  <c r="E36" i="8"/>
  <c r="E37" i="8" s="1"/>
  <c r="S47" i="46"/>
  <c r="T43" i="46" s="1"/>
  <c r="T45" i="46" s="1"/>
  <c r="T46" i="46" s="1"/>
  <c r="E29" i="45"/>
  <c r="P29" i="2" s="1"/>
  <c r="D29" i="45"/>
  <c r="Q29" i="2" s="1"/>
  <c r="C38" i="55" l="1"/>
  <c r="D34" i="55" s="1"/>
  <c r="D36" i="55" s="1"/>
  <c r="D37" i="55" s="1"/>
  <c r="D38" i="55" s="1"/>
  <c r="E34" i="55" s="1"/>
  <c r="R52" i="55"/>
  <c r="R53" i="55" s="1"/>
  <c r="Q47" i="55"/>
  <c r="R43" i="55" s="1"/>
  <c r="R29" i="2"/>
  <c r="O29" i="2"/>
  <c r="W54" i="46"/>
  <c r="X50" i="46" s="1"/>
  <c r="X52" i="46" s="1"/>
  <c r="X53" i="46" s="1"/>
  <c r="T47" i="46"/>
  <c r="U43" i="46" s="1"/>
  <c r="D30" i="45"/>
  <c r="Q30" i="2" s="1"/>
  <c r="E30" i="45"/>
  <c r="P30" i="2" s="1"/>
  <c r="E38" i="8"/>
  <c r="E36" i="55" l="1"/>
  <c r="E37" i="55" s="1"/>
  <c r="E38" i="55" s="1"/>
  <c r="F34" i="55" s="1"/>
  <c r="R54" i="55"/>
  <c r="S50" i="55" s="1"/>
  <c r="R45" i="55"/>
  <c r="R46" i="55" s="1"/>
  <c r="R47" i="55" s="1"/>
  <c r="S43" i="55" s="1"/>
  <c r="R30" i="2"/>
  <c r="O30" i="2"/>
  <c r="X54" i="46"/>
  <c r="Y50" i="46" s="1"/>
  <c r="U45" i="46"/>
  <c r="U46" i="46" s="1"/>
  <c r="E31" i="45"/>
  <c r="D31" i="45"/>
  <c r="Q31" i="2" s="1"/>
  <c r="E39" i="8"/>
  <c r="R31" i="2" l="1"/>
  <c r="F36" i="55"/>
  <c r="F37" i="55" s="1"/>
  <c r="S45" i="55"/>
  <c r="S46" i="55" s="1"/>
  <c r="S52" i="55"/>
  <c r="S53" i="55" s="1"/>
  <c r="O31" i="2"/>
  <c r="P31" i="2"/>
  <c r="Y52" i="46"/>
  <c r="Y53" i="46" s="1"/>
  <c r="U47" i="46"/>
  <c r="V43" i="46" s="1"/>
  <c r="V45" i="46" s="1"/>
  <c r="D32" i="45"/>
  <c r="Q32" i="2" s="1"/>
  <c r="E32" i="45"/>
  <c r="E40" i="8"/>
  <c r="R32" i="2" l="1"/>
  <c r="F38" i="55"/>
  <c r="G34" i="55" s="1"/>
  <c r="G36" i="55" s="1"/>
  <c r="G37" i="55" s="1"/>
  <c r="G38" i="55" s="1"/>
  <c r="H34" i="55" s="1"/>
  <c r="H36" i="55" s="1"/>
  <c r="H37" i="55" s="1"/>
  <c r="S54" i="55"/>
  <c r="T50" i="55" s="1"/>
  <c r="S47" i="55"/>
  <c r="T43" i="55" s="1"/>
  <c r="O32" i="2"/>
  <c r="P32" i="2"/>
  <c r="Y54" i="46"/>
  <c r="Z50" i="46" s="1"/>
  <c r="V46" i="46"/>
  <c r="V47" i="46" s="1"/>
  <c r="W43" i="46" s="1"/>
  <c r="W45" i="46" s="1"/>
  <c r="W46" i="46" s="1"/>
  <c r="D33" i="45"/>
  <c r="E33" i="45"/>
  <c r="E41" i="8"/>
  <c r="H38" i="55" l="1"/>
  <c r="I34" i="55" s="1"/>
  <c r="T45" i="55"/>
  <c r="T46" i="55" s="1"/>
  <c r="T52" i="55"/>
  <c r="T53" i="55" s="1"/>
  <c r="P33" i="2"/>
  <c r="O33" i="2"/>
  <c r="Q33" i="2"/>
  <c r="R33" i="2"/>
  <c r="Z52" i="46"/>
  <c r="Z53" i="46" s="1"/>
  <c r="W47" i="46"/>
  <c r="X43" i="46" s="1"/>
  <c r="E34" i="45"/>
  <c r="D34" i="45"/>
  <c r="E42" i="8"/>
  <c r="O34" i="2" l="1"/>
  <c r="P34" i="2"/>
  <c r="I36" i="55"/>
  <c r="I37" i="55" s="1"/>
  <c r="T54" i="55"/>
  <c r="U50" i="55" s="1"/>
  <c r="T47" i="55"/>
  <c r="U43" i="55" s="1"/>
  <c r="Q34" i="2"/>
  <c r="R34" i="2"/>
  <c r="Z54" i="46"/>
  <c r="AA50" i="46" s="1"/>
  <c r="X45" i="46"/>
  <c r="X46" i="46" s="1"/>
  <c r="D35" i="45"/>
  <c r="O35" i="2" s="1"/>
  <c r="E35" i="45"/>
  <c r="E43" i="8"/>
  <c r="P35" i="2" l="1"/>
  <c r="I38" i="55"/>
  <c r="J34" i="55" s="1"/>
  <c r="U45" i="55"/>
  <c r="U46" i="55" s="1"/>
  <c r="U47" i="55" s="1"/>
  <c r="V43" i="55" s="1"/>
  <c r="U52" i="55"/>
  <c r="U53" i="55" s="1"/>
  <c r="U54" i="55"/>
  <c r="V50" i="55" s="1"/>
  <c r="R35" i="2"/>
  <c r="Q35" i="2"/>
  <c r="AA52" i="46"/>
  <c r="AA53" i="46" s="1"/>
  <c r="X47" i="46"/>
  <c r="Y43" i="46" s="1"/>
  <c r="E36" i="45"/>
  <c r="P36" i="2" s="1"/>
  <c r="D36" i="45"/>
  <c r="O36" i="2" s="1"/>
  <c r="E44" i="8"/>
  <c r="J36" i="55" l="1"/>
  <c r="J37" i="55" s="1"/>
  <c r="V52" i="55"/>
  <c r="V53" i="55" s="1"/>
  <c r="V54" i="55" s="1"/>
  <c r="W50" i="55" s="1"/>
  <c r="V45" i="55"/>
  <c r="V46" i="55" s="1"/>
  <c r="Q36" i="2"/>
  <c r="R36" i="2"/>
  <c r="AA54" i="46"/>
  <c r="AB50" i="46" s="1"/>
  <c r="AB52" i="46" s="1"/>
  <c r="AB53" i="46" s="1"/>
  <c r="Y45" i="46"/>
  <c r="Y46" i="46" s="1"/>
  <c r="E37" i="45"/>
  <c r="P37" i="2" s="1"/>
  <c r="D37" i="45"/>
  <c r="O37" i="2" s="1"/>
  <c r="E45" i="8"/>
  <c r="T2" i="56" l="1" a="1"/>
  <c r="Q2" i="55" a="1"/>
  <c r="J38" i="55"/>
  <c r="K34" i="55" s="1"/>
  <c r="W52" i="55"/>
  <c r="W53" i="55" s="1"/>
  <c r="V47" i="55"/>
  <c r="W43" i="55" s="1"/>
  <c r="R37" i="2"/>
  <c r="Q37" i="2"/>
  <c r="AB54" i="46"/>
  <c r="AC50" i="46" s="1"/>
  <c r="Y47" i="46"/>
  <c r="Z43" i="46" s="1"/>
  <c r="Z45" i="46" s="1"/>
  <c r="Z46" i="46" s="1"/>
  <c r="E38" i="45"/>
  <c r="D38" i="45"/>
  <c r="O38" i="2" s="1"/>
  <c r="E46" i="8"/>
  <c r="E47" i="8" s="1"/>
  <c r="K36" i="55" l="1"/>
  <c r="K37" i="55" s="1"/>
  <c r="Q2" i="55"/>
  <c r="Q4" i="55" s="1"/>
  <c r="AQ4" i="55"/>
  <c r="V4" i="55"/>
  <c r="AY4" i="55"/>
  <c r="AI4" i="55"/>
  <c r="R4" i="55"/>
  <c r="T4" i="55"/>
  <c r="AC4" i="55"/>
  <c r="AL4" i="55"/>
  <c r="AO4" i="55"/>
  <c r="AH4" i="55"/>
  <c r="AW4" i="55"/>
  <c r="U4" i="55"/>
  <c r="AN4" i="55"/>
  <c r="AB4" i="55"/>
  <c r="W4" i="55"/>
  <c r="AS4" i="55"/>
  <c r="AM4" i="55"/>
  <c r="AA4" i="55"/>
  <c r="S4" i="55"/>
  <c r="AX4" i="55"/>
  <c r="AP4" i="55"/>
  <c r="AJ4" i="55"/>
  <c r="AK4" i="55"/>
  <c r="AE4" i="55"/>
  <c r="Y4" i="55"/>
  <c r="Z4" i="55"/>
  <c r="X4" i="55"/>
  <c r="AR4" i="55"/>
  <c r="AT4" i="55"/>
  <c r="AG4" i="55"/>
  <c r="AV4" i="55"/>
  <c r="AU4" i="55"/>
  <c r="AF4" i="55"/>
  <c r="AD4" i="55"/>
  <c r="T2" i="56"/>
  <c r="T3" i="56" s="1"/>
  <c r="AX3" i="56"/>
  <c r="AT3" i="56"/>
  <c r="AD3" i="56"/>
  <c r="AS3" i="56"/>
  <c r="AC3" i="56"/>
  <c r="AN3" i="56"/>
  <c r="AQ3" i="56"/>
  <c r="AA3" i="56"/>
  <c r="BB3" i="56"/>
  <c r="X3" i="56"/>
  <c r="AF3" i="56"/>
  <c r="BA3" i="56"/>
  <c r="AL3" i="56"/>
  <c r="V3" i="56"/>
  <c r="AZ3" i="56"/>
  <c r="AK3" i="56"/>
  <c r="U3" i="56"/>
  <c r="AY3" i="56"/>
  <c r="AI3" i="56"/>
  <c r="AV3" i="56"/>
  <c r="W3" i="56"/>
  <c r="Y3" i="56"/>
  <c r="AE3" i="56"/>
  <c r="AG3" i="56"/>
  <c r="AH3" i="56"/>
  <c r="AP3" i="56"/>
  <c r="AM3" i="56"/>
  <c r="AO3" i="56"/>
  <c r="AU3" i="56"/>
  <c r="AW3" i="56"/>
  <c r="AB3" i="56"/>
  <c r="Z3" i="56"/>
  <c r="AJ3" i="56"/>
  <c r="AR3" i="56"/>
  <c r="W45" i="55"/>
  <c r="W46" i="55" s="1"/>
  <c r="W54" i="55"/>
  <c r="X50" i="55" s="1"/>
  <c r="R38" i="2"/>
  <c r="P38" i="2"/>
  <c r="Q38" i="2"/>
  <c r="AC52" i="46"/>
  <c r="AC53" i="46" s="1"/>
  <c r="Z47" i="46"/>
  <c r="AA43" i="46" s="1"/>
  <c r="AA45" i="46" s="1"/>
  <c r="AA46" i="46" s="1"/>
  <c r="D39" i="45"/>
  <c r="O39" i="2" s="1"/>
  <c r="E39" i="45"/>
  <c r="K38" i="55" l="1"/>
  <c r="L34" i="55" s="1"/>
  <c r="AN6" i="55"/>
  <c r="AN7" i="55" s="1"/>
  <c r="AN8" i="55" s="1"/>
  <c r="AQ4" i="56"/>
  <c r="AQ5" i="56" s="1"/>
  <c r="AQ6" i="56" s="1"/>
  <c r="AQ7" i="56" s="1"/>
  <c r="AR6" i="55"/>
  <c r="AR7" i="55" s="1"/>
  <c r="AR8" i="55" s="1"/>
  <c r="AU4" i="56"/>
  <c r="AU5" i="56" s="1"/>
  <c r="AU6" i="56" s="1"/>
  <c r="AU7" i="56" s="1"/>
  <c r="AX6" i="55"/>
  <c r="AX7" i="55" s="1"/>
  <c r="AX8" i="55" s="1"/>
  <c r="BA4" i="56"/>
  <c r="BA5" i="56" s="1"/>
  <c r="BA6" i="56" s="1"/>
  <c r="BA7" i="56" s="1"/>
  <c r="U6" i="55"/>
  <c r="U7" i="55" s="1"/>
  <c r="U8" i="55" s="1"/>
  <c r="X4" i="56"/>
  <c r="X5" i="56" s="1"/>
  <c r="X6" i="56" s="1"/>
  <c r="X7" i="56" s="1"/>
  <c r="AI6" i="55"/>
  <c r="AI7" i="55" s="1"/>
  <c r="AI8" i="55" s="1"/>
  <c r="AL4" i="56"/>
  <c r="AL5" i="56" s="1"/>
  <c r="AL6" i="56" s="1"/>
  <c r="AL7" i="56" s="1"/>
  <c r="AT6" i="55"/>
  <c r="AT7" i="55" s="1"/>
  <c r="AT8" i="55" s="1"/>
  <c r="AW4" i="56"/>
  <c r="AW5" i="56" s="1"/>
  <c r="AW6" i="56" s="1"/>
  <c r="AW7" i="56" s="1"/>
  <c r="X6" i="55"/>
  <c r="X7" i="55" s="1"/>
  <c r="X8" i="55" s="1"/>
  <c r="AA4" i="56"/>
  <c r="AA5" i="56" s="1"/>
  <c r="AA6" i="56" s="1"/>
  <c r="AA7" i="56" s="1"/>
  <c r="S6" i="55"/>
  <c r="S7" i="55" s="1"/>
  <c r="S8" i="55" s="1"/>
  <c r="V4" i="56"/>
  <c r="V5" i="56" s="1"/>
  <c r="V6" i="56" s="1"/>
  <c r="V7" i="56" s="1"/>
  <c r="AW6" i="55"/>
  <c r="AW7" i="55" s="1"/>
  <c r="AW8" i="55" s="1"/>
  <c r="AZ4" i="56"/>
  <c r="AZ5" i="56" s="1"/>
  <c r="AZ6" i="56" s="1"/>
  <c r="AZ7" i="56" s="1"/>
  <c r="AY6" i="55"/>
  <c r="AY7" i="55" s="1"/>
  <c r="AY8" i="55" s="1"/>
  <c r="BB4" i="56"/>
  <c r="BB5" i="56" s="1"/>
  <c r="BB6" i="56" s="1"/>
  <c r="BB7" i="56" s="1"/>
  <c r="AD6" i="55"/>
  <c r="AD7" i="55" s="1"/>
  <c r="AD8" i="55" s="1"/>
  <c r="AG4" i="56"/>
  <c r="AG5" i="56" s="1"/>
  <c r="AG6" i="56" s="1"/>
  <c r="AG7" i="56" s="1"/>
  <c r="Z6" i="55"/>
  <c r="Z7" i="55" s="1"/>
  <c r="Z8" i="55" s="1"/>
  <c r="AC4" i="56"/>
  <c r="AA6" i="55"/>
  <c r="AA7" i="55" s="1"/>
  <c r="AA8" i="55" s="1"/>
  <c r="AD4" i="56"/>
  <c r="AD5" i="56" s="1"/>
  <c r="AD6" i="56" s="1"/>
  <c r="AD7" i="56" s="1"/>
  <c r="AH6" i="55"/>
  <c r="AH7" i="55" s="1"/>
  <c r="AH8" i="55" s="1"/>
  <c r="AK4" i="56"/>
  <c r="AK5" i="56" s="1"/>
  <c r="AK6" i="56" s="1"/>
  <c r="AK7" i="56" s="1"/>
  <c r="V6" i="55"/>
  <c r="V7" i="55" s="1"/>
  <c r="V8" i="55" s="1"/>
  <c r="Y4" i="56"/>
  <c r="Y5" i="56" s="1"/>
  <c r="Y6" i="56" s="1"/>
  <c r="Y7" i="56" s="1"/>
  <c r="AF6" i="55"/>
  <c r="AF7" i="55" s="1"/>
  <c r="AF8" i="55" s="1"/>
  <c r="AI4" i="56"/>
  <c r="AI5" i="56" s="1"/>
  <c r="AI6" i="56" s="1"/>
  <c r="AI7" i="56" s="1"/>
  <c r="AM6" i="55"/>
  <c r="AM7" i="55" s="1"/>
  <c r="AM8" i="55" s="1"/>
  <c r="AP4" i="56"/>
  <c r="AP5" i="56" s="1"/>
  <c r="AP6" i="56" s="1"/>
  <c r="AP7" i="56" s="1"/>
  <c r="AO6" i="55"/>
  <c r="AO7" i="55" s="1"/>
  <c r="AO8" i="55" s="1"/>
  <c r="AR4" i="56"/>
  <c r="AR5" i="56" s="1"/>
  <c r="AR6" i="56" s="1"/>
  <c r="AR7" i="56" s="1"/>
  <c r="AQ6" i="55"/>
  <c r="AQ7" i="55" s="1"/>
  <c r="AQ8" i="55" s="1"/>
  <c r="AT4" i="56"/>
  <c r="AT5" i="56" s="1"/>
  <c r="AT6" i="56" s="1"/>
  <c r="AT7" i="56" s="1"/>
  <c r="R6" i="55"/>
  <c r="R7" i="55" s="1"/>
  <c r="R8" i="55" s="1"/>
  <c r="U4" i="56"/>
  <c r="U5" i="56" s="1"/>
  <c r="U6" i="56" s="1"/>
  <c r="U7" i="56" s="1"/>
  <c r="AC5" i="56"/>
  <c r="AC6" i="56" s="1"/>
  <c r="AC7" i="56" s="1"/>
  <c r="AU6" i="55"/>
  <c r="AU7" i="55" s="1"/>
  <c r="AU8" i="55" s="1"/>
  <c r="AX4" i="56"/>
  <c r="AX5" i="56" s="1"/>
  <c r="AX6" i="56" s="1"/>
  <c r="AX7" i="56" s="1"/>
  <c r="AE6" i="55"/>
  <c r="AE7" i="55" s="1"/>
  <c r="AE8" i="55" s="1"/>
  <c r="AH4" i="56"/>
  <c r="AH5" i="56" s="1"/>
  <c r="AH6" i="56" s="1"/>
  <c r="AH7" i="56" s="1"/>
  <c r="AS6" i="55"/>
  <c r="AS7" i="55" s="1"/>
  <c r="AS8" i="55" s="1"/>
  <c r="AV4" i="56"/>
  <c r="AV5" i="56" s="1"/>
  <c r="AV6" i="56" s="1"/>
  <c r="AV7" i="56" s="1"/>
  <c r="AL6" i="55"/>
  <c r="AL7" i="55" s="1"/>
  <c r="AL8" i="55" s="1"/>
  <c r="AO4" i="56"/>
  <c r="AO5" i="56" s="1"/>
  <c r="AO6" i="56" s="1"/>
  <c r="AO7" i="56" s="1"/>
  <c r="Q6" i="55"/>
  <c r="Q7" i="55" s="1"/>
  <c r="Q8" i="55" s="1"/>
  <c r="T4" i="56"/>
  <c r="T5" i="56" s="1"/>
  <c r="T6" i="56" s="1"/>
  <c r="T7" i="56" s="1"/>
  <c r="Y6" i="55"/>
  <c r="Y7" i="55" s="1"/>
  <c r="Y8" i="55" s="1"/>
  <c r="AB4" i="56"/>
  <c r="AB5" i="56" s="1"/>
  <c r="AB6" i="56" s="1"/>
  <c r="AB7" i="56" s="1"/>
  <c r="AV6" i="55"/>
  <c r="AV7" i="55" s="1"/>
  <c r="AV8" i="55" s="1"/>
  <c r="AY4" i="56"/>
  <c r="AY5" i="56" s="1"/>
  <c r="AY6" i="56" s="1"/>
  <c r="AY7" i="56" s="1"/>
  <c r="AK6" i="55"/>
  <c r="AK7" i="55" s="1"/>
  <c r="AK8" i="55" s="1"/>
  <c r="AN4" i="56"/>
  <c r="AN5" i="56" s="1"/>
  <c r="AN6" i="56" s="1"/>
  <c r="AN7" i="56" s="1"/>
  <c r="W6" i="55"/>
  <c r="W7" i="55" s="1"/>
  <c r="W8" i="55" s="1"/>
  <c r="Z4" i="56"/>
  <c r="Z5" i="56" s="1"/>
  <c r="Z6" i="56" s="1"/>
  <c r="Z7" i="56" s="1"/>
  <c r="AC6" i="55"/>
  <c r="AC7" i="55" s="1"/>
  <c r="AC8" i="55" s="1"/>
  <c r="AF4" i="56"/>
  <c r="AF5" i="56" s="1"/>
  <c r="AF6" i="56" s="1"/>
  <c r="AF7" i="56" s="1"/>
  <c r="L36" i="55"/>
  <c r="L37" i="55" s="1"/>
  <c r="AP6" i="55"/>
  <c r="AP7" i="55" s="1"/>
  <c r="AP8" i="55" s="1"/>
  <c r="AS4" i="56"/>
  <c r="AS5" i="56" s="1"/>
  <c r="AS6" i="56" s="1"/>
  <c r="AS7" i="56" s="1"/>
  <c r="AG6" i="55"/>
  <c r="AG7" i="55" s="1"/>
  <c r="AG8" i="55" s="1"/>
  <c r="AJ4" i="56"/>
  <c r="AJ5" i="56" s="1"/>
  <c r="AJ6" i="56" s="1"/>
  <c r="AJ7" i="56" s="1"/>
  <c r="AJ6" i="55"/>
  <c r="AJ7" i="55" s="1"/>
  <c r="AJ8" i="55" s="1"/>
  <c r="AM4" i="56"/>
  <c r="AM5" i="56" s="1"/>
  <c r="AM6" i="56" s="1"/>
  <c r="AM7" i="56" s="1"/>
  <c r="AB6" i="55"/>
  <c r="AB7" i="55" s="1"/>
  <c r="AB8" i="55" s="1"/>
  <c r="AE4" i="56"/>
  <c r="AE5" i="56" s="1"/>
  <c r="AE6" i="56" s="1"/>
  <c r="AE7" i="56" s="1"/>
  <c r="T6" i="55"/>
  <c r="T7" i="55" s="1"/>
  <c r="T8" i="55" s="1"/>
  <c r="W4" i="56"/>
  <c r="W5" i="56" s="1"/>
  <c r="W6" i="56" s="1"/>
  <c r="W7" i="56" s="1"/>
  <c r="X52" i="55"/>
  <c r="X53" i="55" s="1"/>
  <c r="W47" i="55"/>
  <c r="X43" i="55" s="1"/>
  <c r="R39" i="2"/>
  <c r="P39" i="2"/>
  <c r="Q39" i="2"/>
  <c r="AC54" i="46"/>
  <c r="AD50" i="46" s="1"/>
  <c r="AA47" i="46"/>
  <c r="AB43" i="46" s="1"/>
  <c r="E40" i="45"/>
  <c r="D40" i="45"/>
  <c r="O40" i="2" s="1"/>
  <c r="L38" i="55" l="1"/>
  <c r="M34" i="55" s="1"/>
  <c r="M36" i="55" s="1"/>
  <c r="M37" i="55" s="1"/>
  <c r="AJ10" i="56"/>
  <c r="AJ9" i="56"/>
  <c r="Z9" i="56"/>
  <c r="Z10" i="56"/>
  <c r="AP9" i="56"/>
  <c r="AP10" i="56"/>
  <c r="AW10" i="56"/>
  <c r="AW9" i="56"/>
  <c r="AI10" i="56"/>
  <c r="AI9" i="56"/>
  <c r="AH10" i="56"/>
  <c r="AH9" i="56"/>
  <c r="W10" i="56"/>
  <c r="W9" i="56"/>
  <c r="AL9" i="56"/>
  <c r="AL10" i="56"/>
  <c r="T10" i="56"/>
  <c r="T9" i="56"/>
  <c r="AG10" i="56"/>
  <c r="AG9" i="56"/>
  <c r="AF9" i="56"/>
  <c r="AF10" i="56"/>
  <c r="AE9" i="56"/>
  <c r="AE10" i="56"/>
  <c r="X9" i="56"/>
  <c r="X10" i="56"/>
  <c r="BB9" i="56"/>
  <c r="BB10" i="56"/>
  <c r="AR9" i="56"/>
  <c r="AR10" i="56"/>
  <c r="AT9" i="56"/>
  <c r="AT10" i="56"/>
  <c r="AZ9" i="56"/>
  <c r="AZ10" i="56"/>
  <c r="AX10" i="56"/>
  <c r="AX9" i="56"/>
  <c r="Y10" i="56"/>
  <c r="Y9" i="56"/>
  <c r="BA9" i="56"/>
  <c r="BA10" i="56"/>
  <c r="AM9" i="56"/>
  <c r="AM10" i="56"/>
  <c r="U10" i="56"/>
  <c r="U9" i="56"/>
  <c r="AC9" i="56"/>
  <c r="AC10" i="56"/>
  <c r="AS10" i="56"/>
  <c r="AS9" i="56"/>
  <c r="AB9" i="56"/>
  <c r="AB10" i="56"/>
  <c r="AO9" i="56"/>
  <c r="AO10" i="56"/>
  <c r="AY9" i="56"/>
  <c r="AY10" i="56"/>
  <c r="AA10" i="56"/>
  <c r="AA9" i="56"/>
  <c r="AV10" i="56"/>
  <c r="AV9" i="56"/>
  <c r="AD10" i="56"/>
  <c r="AD9" i="56"/>
  <c r="AN10" i="56"/>
  <c r="AN9" i="56"/>
  <c r="AU9" i="56"/>
  <c r="AU10" i="56"/>
  <c r="AK10" i="56"/>
  <c r="AK9" i="56"/>
  <c r="V10" i="56"/>
  <c r="V9" i="56"/>
  <c r="AQ10" i="56"/>
  <c r="AQ9" i="56"/>
  <c r="X45" i="55"/>
  <c r="X46" i="55" s="1"/>
  <c r="X54" i="55"/>
  <c r="Y50" i="55" s="1"/>
  <c r="P40" i="2"/>
  <c r="R40" i="2"/>
  <c r="Q40" i="2"/>
  <c r="AD52" i="46"/>
  <c r="AD53" i="46" s="1"/>
  <c r="AB45" i="46"/>
  <c r="AB46" i="46" s="1"/>
  <c r="D41" i="45"/>
  <c r="O41" i="2" s="1"/>
  <c r="E41" i="45"/>
  <c r="AA12" i="56" l="1"/>
  <c r="AA11" i="56"/>
  <c r="AW11" i="56"/>
  <c r="AW12" i="56"/>
  <c r="V12" i="56"/>
  <c r="V11" i="56"/>
  <c r="M38" i="55"/>
  <c r="N34" i="55" s="1"/>
  <c r="Y12" i="56"/>
  <c r="Y11" i="56"/>
  <c r="W12" i="56"/>
  <c r="W11" i="56"/>
  <c r="AY11" i="56"/>
  <c r="AY12" i="56"/>
  <c r="AC12" i="56"/>
  <c r="AC11" i="56"/>
  <c r="AR11" i="56"/>
  <c r="AR12" i="56"/>
  <c r="AF12" i="56"/>
  <c r="AF11" i="56"/>
  <c r="AP12" i="56"/>
  <c r="AP11" i="56"/>
  <c r="AE12" i="56"/>
  <c r="AE11" i="56"/>
  <c r="AE13" i="56" s="1"/>
  <c r="AE14" i="56" s="1"/>
  <c r="AE16" i="56" s="1"/>
  <c r="AE17" i="56" s="1"/>
  <c r="AK12" i="56"/>
  <c r="AK11" i="56"/>
  <c r="AD12" i="56"/>
  <c r="AD11" i="56"/>
  <c r="U12" i="56"/>
  <c r="U11" i="56"/>
  <c r="AX12" i="56"/>
  <c r="AX11" i="56"/>
  <c r="AX13" i="56" s="1"/>
  <c r="AX14" i="56" s="1"/>
  <c r="AX16" i="56" s="1"/>
  <c r="AX17" i="56" s="1"/>
  <c r="AG12" i="56"/>
  <c r="AG11" i="56"/>
  <c r="AH11" i="56"/>
  <c r="AH12" i="56"/>
  <c r="AN11" i="56"/>
  <c r="AN12" i="56"/>
  <c r="AT12" i="56"/>
  <c r="AT11" i="56"/>
  <c r="AT13" i="56" s="1"/>
  <c r="AT14" i="56" s="1"/>
  <c r="AT16" i="56" s="1"/>
  <c r="AT17" i="56" s="1"/>
  <c r="BB12" i="56"/>
  <c r="BB11" i="56"/>
  <c r="Z11" i="56"/>
  <c r="Z12" i="56"/>
  <c r="AS12" i="56"/>
  <c r="AS11" i="56"/>
  <c r="AS13" i="56" s="1"/>
  <c r="AS14" i="56" s="1"/>
  <c r="AS16" i="56" s="1"/>
  <c r="AS17" i="56" s="1"/>
  <c r="BA12" i="56"/>
  <c r="BA11" i="56"/>
  <c r="BA13" i="56" s="1"/>
  <c r="BA14" i="56" s="1"/>
  <c r="BA16" i="56" s="1"/>
  <c r="BA17" i="56" s="1"/>
  <c r="AL12" i="56"/>
  <c r="AL11" i="56"/>
  <c r="AO12" i="56"/>
  <c r="AO11" i="56"/>
  <c r="AV12" i="56"/>
  <c r="AV11" i="56"/>
  <c r="AV13" i="56" s="1"/>
  <c r="AV14" i="56" s="1"/>
  <c r="AV16" i="56" s="1"/>
  <c r="AV17" i="56" s="1"/>
  <c r="T11" i="56"/>
  <c r="T12" i="56"/>
  <c r="T13" i="56" s="1"/>
  <c r="T14" i="56" s="1"/>
  <c r="T16" i="56" s="1"/>
  <c r="T17" i="56" s="1"/>
  <c r="AI12" i="56"/>
  <c r="AI11" i="56"/>
  <c r="AJ11" i="56"/>
  <c r="AJ12" i="56"/>
  <c r="AQ12" i="56"/>
  <c r="AQ11" i="56"/>
  <c r="AU12" i="56"/>
  <c r="AU11" i="56"/>
  <c r="AU13" i="56" s="1"/>
  <c r="AU14" i="56" s="1"/>
  <c r="AU16" i="56" s="1"/>
  <c r="AU17" i="56" s="1"/>
  <c r="AB12" i="56"/>
  <c r="AB11" i="56"/>
  <c r="AM12" i="56"/>
  <c r="AM11" i="56"/>
  <c r="AZ11" i="56"/>
  <c r="AZ12" i="56"/>
  <c r="X11" i="56"/>
  <c r="X12" i="56"/>
  <c r="Y52" i="55"/>
  <c r="Y53" i="55" s="1"/>
  <c r="X47" i="55"/>
  <c r="Y43" i="55" s="1"/>
  <c r="Q41" i="2"/>
  <c r="P41" i="2"/>
  <c r="R41" i="2"/>
  <c r="AD54" i="46"/>
  <c r="AE50" i="46" s="1"/>
  <c r="AB47" i="46"/>
  <c r="AC43" i="46" s="1"/>
  <c r="E42" i="45"/>
  <c r="D42" i="45"/>
  <c r="O42" i="2" s="1"/>
  <c r="AA13" i="56" l="1"/>
  <c r="AA14" i="56" s="1"/>
  <c r="AA16" i="56" s="1"/>
  <c r="AA17" i="56" s="1"/>
  <c r="AR13" i="56"/>
  <c r="AR14" i="56" s="1"/>
  <c r="AR16" i="56" s="1"/>
  <c r="AR17" i="56" s="1"/>
  <c r="AC13" i="56"/>
  <c r="AC14" i="56" s="1"/>
  <c r="AC16" i="56" s="1"/>
  <c r="AC17" i="56" s="1"/>
  <c r="AM13" i="56"/>
  <c r="AM14" i="56" s="1"/>
  <c r="AM16" i="56" s="1"/>
  <c r="AM17" i="56" s="1"/>
  <c r="AO13" i="56"/>
  <c r="AO14" i="56" s="1"/>
  <c r="AO16" i="56" s="1"/>
  <c r="AO17" i="56" s="1"/>
  <c r="AD13" i="56"/>
  <c r="AD14" i="56" s="1"/>
  <c r="AD16" i="56" s="1"/>
  <c r="AD17" i="56" s="1"/>
  <c r="AF13" i="56"/>
  <c r="AF14" i="56" s="1"/>
  <c r="AF16" i="56" s="1"/>
  <c r="AF17" i="56" s="1"/>
  <c r="W13" i="56"/>
  <c r="W14" i="56" s="1"/>
  <c r="W16" i="56" s="1"/>
  <c r="W17" i="56" s="1"/>
  <c r="AP13" i="56"/>
  <c r="AP14" i="56" s="1"/>
  <c r="AP16" i="56" s="1"/>
  <c r="AP17" i="56" s="1"/>
  <c r="AW13" i="56"/>
  <c r="AW14" i="56" s="1"/>
  <c r="AW16" i="56" s="1"/>
  <c r="AW17" i="56" s="1"/>
  <c r="AZ13" i="56"/>
  <c r="AZ14" i="56" s="1"/>
  <c r="AZ16" i="56" s="1"/>
  <c r="AZ17" i="56" s="1"/>
  <c r="AN13" i="56"/>
  <c r="AN14" i="56" s="1"/>
  <c r="AN16" i="56" s="1"/>
  <c r="AN17" i="56" s="1"/>
  <c r="AY13" i="56"/>
  <c r="AY14" i="56" s="1"/>
  <c r="AY16" i="56" s="1"/>
  <c r="AY17" i="56" s="1"/>
  <c r="V13" i="56"/>
  <c r="V14" i="56" s="1"/>
  <c r="V16" i="56" s="1"/>
  <c r="V17" i="56" s="1"/>
  <c r="AJ13" i="56"/>
  <c r="AJ14" i="56" s="1"/>
  <c r="AJ16" i="56" s="1"/>
  <c r="AJ17" i="56" s="1"/>
  <c r="Z13" i="56"/>
  <c r="Z14" i="56" s="1"/>
  <c r="Z16" i="56" s="1"/>
  <c r="Z17" i="56" s="1"/>
  <c r="AH13" i="56"/>
  <c r="AH14" i="56" s="1"/>
  <c r="AH16" i="56" s="1"/>
  <c r="AH17" i="56" s="1"/>
  <c r="AB13" i="56"/>
  <c r="AB14" i="56" s="1"/>
  <c r="AB16" i="56" s="1"/>
  <c r="AB17" i="56" s="1"/>
  <c r="AI13" i="56"/>
  <c r="AI14" i="56" s="1"/>
  <c r="AI16" i="56" s="1"/>
  <c r="AI17" i="56" s="1"/>
  <c r="AL13" i="56"/>
  <c r="AL14" i="56" s="1"/>
  <c r="AL16" i="56" s="1"/>
  <c r="AL17" i="56" s="1"/>
  <c r="BB13" i="56"/>
  <c r="BB14" i="56" s="1"/>
  <c r="BB16" i="56" s="1"/>
  <c r="BB17" i="56" s="1"/>
  <c r="AG13" i="56"/>
  <c r="AG14" i="56" s="1"/>
  <c r="AG16" i="56" s="1"/>
  <c r="AG17" i="56" s="1"/>
  <c r="AK13" i="56"/>
  <c r="AK14" i="56" s="1"/>
  <c r="AK16" i="56" s="1"/>
  <c r="AK17" i="56" s="1"/>
  <c r="Y13" i="56"/>
  <c r="Y14" i="56" s="1"/>
  <c r="Y16" i="56" s="1"/>
  <c r="Y17" i="56" s="1"/>
  <c r="AQ13" i="56"/>
  <c r="AQ14" i="56" s="1"/>
  <c r="AQ16" i="56" s="1"/>
  <c r="AQ17" i="56" s="1"/>
  <c r="U13" i="56"/>
  <c r="U14" i="56" s="1"/>
  <c r="U16" i="56" s="1"/>
  <c r="U17" i="56" s="1"/>
  <c r="X13" i="56"/>
  <c r="X14" i="56" s="1"/>
  <c r="X16" i="56" s="1"/>
  <c r="X17" i="56" s="1"/>
  <c r="N36" i="55"/>
  <c r="N37" i="55" s="1"/>
  <c r="Y45" i="55"/>
  <c r="Y46" i="55" s="1"/>
  <c r="Y54" i="55"/>
  <c r="Z50" i="55" s="1"/>
  <c r="Q42" i="2"/>
  <c r="P42" i="2"/>
  <c r="R42" i="2"/>
  <c r="AE52" i="46"/>
  <c r="AE53" i="46" s="1"/>
  <c r="AC45" i="46"/>
  <c r="AC46" i="46" s="1"/>
  <c r="D43" i="45"/>
  <c r="O43" i="2" s="1"/>
  <c r="E43" i="45"/>
  <c r="BI2" i="56" l="1" a="1"/>
  <c r="N27" i="2" s="1"/>
  <c r="N7" i="2"/>
  <c r="N9" i="2"/>
  <c r="N35" i="2"/>
  <c r="D35" i="2" s="1"/>
  <c r="F35" i="2" s="1"/>
  <c r="L35" i="2" s="1"/>
  <c r="N4" i="2"/>
  <c r="N29" i="2"/>
  <c r="N15" i="2"/>
  <c r="N25" i="2"/>
  <c r="N14" i="2"/>
  <c r="N12" i="2"/>
  <c r="N37" i="2"/>
  <c r="D37" i="2" s="1"/>
  <c r="F37" i="2" s="1"/>
  <c r="L37" i="2" s="1"/>
  <c r="L32" i="56" s="1"/>
  <c r="N23" i="2"/>
  <c r="N20" i="2"/>
  <c r="N6" i="2"/>
  <c r="N31" i="2"/>
  <c r="N10" i="2"/>
  <c r="N24" i="2"/>
  <c r="N8" i="2"/>
  <c r="BI2" i="56"/>
  <c r="N3" i="2" s="1"/>
  <c r="N36" i="2"/>
  <c r="D36" i="2" s="1"/>
  <c r="F36" i="2" s="1"/>
  <c r="L36" i="2" s="1"/>
  <c r="N16" i="2"/>
  <c r="N18" i="2"/>
  <c r="N11" i="2"/>
  <c r="N5" i="2"/>
  <c r="N30" i="2"/>
  <c r="N19" i="2"/>
  <c r="N13" i="2"/>
  <c r="N32" i="2"/>
  <c r="N34" i="2"/>
  <c r="D34" i="2" s="1"/>
  <c r="F34" i="2" s="1"/>
  <c r="L34" i="2" s="1"/>
  <c r="N26" i="2"/>
  <c r="N38" i="55"/>
  <c r="O34" i="55" s="1"/>
  <c r="Z52" i="55"/>
  <c r="Z53" i="55" s="1"/>
  <c r="Y47" i="55"/>
  <c r="Z43" i="55" s="1"/>
  <c r="Q43" i="2"/>
  <c r="P43" i="2"/>
  <c r="R43" i="2"/>
  <c r="AE54" i="46"/>
  <c r="AF50" i="46" s="1"/>
  <c r="AC47" i="46"/>
  <c r="AD43" i="46" s="1"/>
  <c r="E44" i="45"/>
  <c r="D44" i="45"/>
  <c r="N28" i="2" l="1"/>
  <c r="N33" i="2"/>
  <c r="D33" i="2" s="1"/>
  <c r="F33" i="2" s="1"/>
  <c r="L33" i="2" s="1"/>
  <c r="N21" i="2"/>
  <c r="AA32" i="56"/>
  <c r="G32" i="56"/>
  <c r="S32" i="56"/>
  <c r="E32" i="56"/>
  <c r="Y32" i="56"/>
  <c r="U32" i="56"/>
  <c r="V32" i="56"/>
  <c r="N38" i="2"/>
  <c r="D38" i="2" s="1"/>
  <c r="F38" i="2" s="1"/>
  <c r="L38" i="2" s="1"/>
  <c r="N22" i="2"/>
  <c r="N17" i="2"/>
  <c r="T32" i="56"/>
  <c r="P32" i="56"/>
  <c r="O32" i="56"/>
  <c r="I32" i="56"/>
  <c r="Q32" i="56"/>
  <c r="N32" i="56"/>
  <c r="J32" i="56"/>
  <c r="AB32" i="56"/>
  <c r="M32" i="56"/>
  <c r="W32" i="56"/>
  <c r="R32" i="56"/>
  <c r="Z32" i="56"/>
  <c r="AC32" i="56"/>
  <c r="H32" i="56"/>
  <c r="K32" i="56"/>
  <c r="F32" i="56"/>
  <c r="X32" i="56"/>
  <c r="O36" i="55"/>
  <c r="O37" i="55" s="1"/>
  <c r="Z45" i="55"/>
  <c r="Z46" i="55" s="1"/>
  <c r="Z54" i="55"/>
  <c r="AA50" i="55" s="1"/>
  <c r="Q44" i="2"/>
  <c r="O44" i="2"/>
  <c r="P44" i="2"/>
  <c r="R44" i="2"/>
  <c r="AF52" i="46"/>
  <c r="AF53" i="46" s="1"/>
  <c r="AD45" i="46"/>
  <c r="AD46" i="46" s="1"/>
  <c r="D45" i="45"/>
  <c r="E45" i="45"/>
  <c r="Z47" i="55" l="1"/>
  <c r="AA43" i="55" s="1"/>
  <c r="AA45" i="55" s="1"/>
  <c r="AA46" i="55" s="1"/>
  <c r="Q45" i="2"/>
  <c r="O38" i="55"/>
  <c r="P34" i="55" s="1"/>
  <c r="AA52" i="55"/>
  <c r="AA53" i="55" s="1"/>
  <c r="O45" i="2"/>
  <c r="P45" i="2"/>
  <c r="R45" i="2"/>
  <c r="AF54" i="46"/>
  <c r="AG50" i="46" s="1"/>
  <c r="AG52" i="46" s="1"/>
  <c r="AG53" i="46" s="1"/>
  <c r="AD47" i="46"/>
  <c r="AE43" i="46" s="1"/>
  <c r="D46" i="45"/>
  <c r="E46" i="45"/>
  <c r="Q46" i="2" l="1"/>
  <c r="P36" i="55"/>
  <c r="P37" i="55" s="1"/>
  <c r="AA47" i="55"/>
  <c r="AB43" i="55" s="1"/>
  <c r="AA54" i="55"/>
  <c r="AB50" i="55" s="1"/>
  <c r="R46" i="2"/>
  <c r="P46" i="2"/>
  <c r="O46" i="2"/>
  <c r="O47" i="2" s="1"/>
  <c r="AG54" i="46"/>
  <c r="AH50" i="46" s="1"/>
  <c r="AH52" i="46" s="1"/>
  <c r="AH53" i="46" s="1"/>
  <c r="AE45" i="46"/>
  <c r="AE46" i="46" s="1"/>
  <c r="E47" i="45"/>
  <c r="D47" i="45"/>
  <c r="Q47" i="2" l="1"/>
  <c r="P38" i="55"/>
  <c r="Q34" i="55" s="1"/>
  <c r="AB52" i="55"/>
  <c r="AB53" i="55" s="1"/>
  <c r="AB54" i="55"/>
  <c r="AC50" i="55" s="1"/>
  <c r="AB45" i="55"/>
  <c r="AB46" i="55" s="1"/>
  <c r="R47" i="2"/>
  <c r="P47" i="2"/>
  <c r="AH54" i="46"/>
  <c r="AI50" i="46" s="1"/>
  <c r="AE47" i="46"/>
  <c r="AF43" i="46" s="1"/>
  <c r="AF45" i="46" s="1"/>
  <c r="AF46" i="46" s="1"/>
  <c r="E48" i="45"/>
  <c r="D48" i="45"/>
  <c r="Q48" i="2" l="1"/>
  <c r="Q36" i="55"/>
  <c r="Q37" i="55" s="1"/>
  <c r="AB47" i="55"/>
  <c r="AC43" i="55" s="1"/>
  <c r="AC52" i="55"/>
  <c r="AC53" i="55" s="1"/>
  <c r="O48" i="2"/>
  <c r="P48" i="2"/>
  <c r="R48" i="2"/>
  <c r="AI52" i="46"/>
  <c r="AI53" i="46" s="1"/>
  <c r="AF47" i="46"/>
  <c r="AG43" i="46" s="1"/>
  <c r="D49" i="45"/>
  <c r="D50" i="45" s="1"/>
  <c r="D51" i="45" s="1"/>
  <c r="D52" i="45" s="1"/>
  <c r="D53" i="45" s="1"/>
  <c r="E49" i="45"/>
  <c r="Q38" i="55" l="1"/>
  <c r="R34" i="55" s="1"/>
  <c r="R36" i="55" s="1"/>
  <c r="R37" i="55" s="1"/>
  <c r="AC54" i="55"/>
  <c r="AD50" i="55" s="1"/>
  <c r="AC45" i="55"/>
  <c r="AC46" i="55" s="1"/>
  <c r="O49" i="2"/>
  <c r="O50" i="2" s="1"/>
  <c r="O51" i="2" s="1"/>
  <c r="O52" i="2" s="1"/>
  <c r="E50" i="45"/>
  <c r="P49" i="2"/>
  <c r="Q53" i="2"/>
  <c r="O53" i="2"/>
  <c r="Q49" i="2"/>
  <c r="Q50" i="2" s="1"/>
  <c r="Q51" i="2" s="1"/>
  <c r="Q52" i="2" s="1"/>
  <c r="AI54" i="46"/>
  <c r="AJ50" i="46" s="1"/>
  <c r="AG45" i="46"/>
  <c r="AG46" i="46" s="1"/>
  <c r="R38" i="55" l="1"/>
  <c r="S34" i="55" s="1"/>
  <c r="AC47" i="55"/>
  <c r="AD43" i="55" s="1"/>
  <c r="AD52" i="55"/>
  <c r="AD53" i="55" s="1"/>
  <c r="E2" i="47" a="1"/>
  <c r="E2" i="47" s="1"/>
  <c r="E3" i="47" s="1"/>
  <c r="B2" i="46" a="1"/>
  <c r="B2" i="46" s="1"/>
  <c r="E51" i="45"/>
  <c r="P50" i="2"/>
  <c r="AJ52" i="46"/>
  <c r="AJ53" i="46" s="1"/>
  <c r="AG47" i="46"/>
  <c r="AH43" i="46" s="1"/>
  <c r="AH45" i="46" s="1"/>
  <c r="AH46" i="46" s="1"/>
  <c r="S36" i="55" l="1"/>
  <c r="S37" i="55" s="1"/>
  <c r="S38" i="55"/>
  <c r="T34" i="55" s="1"/>
  <c r="AM3" i="47"/>
  <c r="AV3" i="47"/>
  <c r="X3" i="47"/>
  <c r="AC3" i="47"/>
  <c r="AD54" i="55"/>
  <c r="AE50" i="55" s="1"/>
  <c r="AD45" i="55"/>
  <c r="AD46" i="55" s="1"/>
  <c r="AB3" i="47"/>
  <c r="T3" i="47"/>
  <c r="AJ4" i="46"/>
  <c r="AJ6" i="46" s="1"/>
  <c r="AL4" i="46"/>
  <c r="AL6" i="46" s="1"/>
  <c r="AA3" i="47"/>
  <c r="T4" i="46"/>
  <c r="W4" i="47" s="1"/>
  <c r="AQ4" i="46"/>
  <c r="AT4" i="47" s="1"/>
  <c r="AM4" i="46"/>
  <c r="AM6" i="46" s="1"/>
  <c r="D4" i="46"/>
  <c r="G4" i="47" s="1"/>
  <c r="AS4" i="46"/>
  <c r="AV4" i="47" s="1"/>
  <c r="G3" i="47"/>
  <c r="AN3" i="47"/>
  <c r="R3" i="47"/>
  <c r="AQ3" i="47"/>
  <c r="L4" i="46"/>
  <c r="O4" i="47" s="1"/>
  <c r="I3" i="47"/>
  <c r="AH3" i="47"/>
  <c r="AK3" i="47"/>
  <c r="U3" i="47"/>
  <c r="AZ3" i="47"/>
  <c r="P4" i="46"/>
  <c r="P6" i="46" s="1"/>
  <c r="J4" i="46"/>
  <c r="M4" i="47" s="1"/>
  <c r="AI3" i="47"/>
  <c r="V3" i="47"/>
  <c r="P3" i="47"/>
  <c r="AO3" i="47"/>
  <c r="AO4" i="46"/>
  <c r="AO6" i="46" s="1"/>
  <c r="V4" i="46"/>
  <c r="Y4" i="47" s="1"/>
  <c r="AG3" i="47"/>
  <c r="AJ3" i="47"/>
  <c r="H3" i="47"/>
  <c r="W3" i="47"/>
  <c r="AV4" i="46"/>
  <c r="AV6" i="46" s="1"/>
  <c r="AV7" i="46" s="1"/>
  <c r="AV8" i="46" s="1"/>
  <c r="F4" i="46"/>
  <c r="F6" i="46" s="1"/>
  <c r="R4" i="46"/>
  <c r="R6" i="46" s="1"/>
  <c r="X4" i="46"/>
  <c r="X6" i="46" s="1"/>
  <c r="AL3" i="47"/>
  <c r="AF3" i="47"/>
  <c r="S3" i="47"/>
  <c r="BB3" i="47"/>
  <c r="Y3" i="47"/>
  <c r="F3" i="47"/>
  <c r="AT3" i="47"/>
  <c r="AY3" i="47"/>
  <c r="H4" i="46"/>
  <c r="K4" i="47" s="1"/>
  <c r="AB4" i="46"/>
  <c r="AE4" i="47" s="1"/>
  <c r="AD4" i="46"/>
  <c r="AG4" i="47" s="1"/>
  <c r="AF4" i="46"/>
  <c r="AI4" i="47" s="1"/>
  <c r="AH4" i="46"/>
  <c r="AK4" i="47" s="1"/>
  <c r="M4" i="46"/>
  <c r="P4" i="47" s="1"/>
  <c r="AR4" i="46"/>
  <c r="AU4" i="47" s="1"/>
  <c r="AW4" i="46"/>
  <c r="AW6" i="46" s="1"/>
  <c r="AW7" i="46" s="1"/>
  <c r="AW8" i="46" s="1"/>
  <c r="C4" i="46"/>
  <c r="F4" i="47" s="1"/>
  <c r="G4" i="46"/>
  <c r="J4" i="47" s="1"/>
  <c r="K4" i="46"/>
  <c r="N4" i="47" s="1"/>
  <c r="AD3" i="47"/>
  <c r="AU4" i="46"/>
  <c r="AX4" i="47" s="1"/>
  <c r="O4" i="46"/>
  <c r="O6" i="46" s="1"/>
  <c r="S4" i="46"/>
  <c r="V4" i="47" s="1"/>
  <c r="W4" i="46"/>
  <c r="Z4" i="47" s="1"/>
  <c r="M3" i="47"/>
  <c r="AR3" i="47"/>
  <c r="L3" i="47"/>
  <c r="AE3" i="47"/>
  <c r="AY4" i="46"/>
  <c r="BB4" i="47" s="1"/>
  <c r="AX3" i="47"/>
  <c r="AN4" i="46"/>
  <c r="AN6" i="46" s="1"/>
  <c r="AP4" i="46"/>
  <c r="AS4" i="47" s="1"/>
  <c r="AT4" i="46"/>
  <c r="AT6" i="46" s="1"/>
  <c r="AT7" i="46" s="1"/>
  <c r="AT8" i="46" s="1"/>
  <c r="Y4" i="46"/>
  <c r="AB4" i="47" s="1"/>
  <c r="AB5" i="47" s="1"/>
  <c r="AB6" i="47" s="1"/>
  <c r="AB7" i="47" s="1"/>
  <c r="E4" i="46"/>
  <c r="E6" i="46" s="1"/>
  <c r="I4" i="46"/>
  <c r="L4" i="47" s="1"/>
  <c r="AK4" i="46"/>
  <c r="AN4" i="47" s="1"/>
  <c r="O3" i="47"/>
  <c r="N3" i="47"/>
  <c r="AS3" i="47"/>
  <c r="AW3" i="47"/>
  <c r="BA3" i="47"/>
  <c r="Q4" i="46"/>
  <c r="Q6" i="46" s="1"/>
  <c r="U4" i="46"/>
  <c r="U6" i="46" s="1"/>
  <c r="N4" i="46"/>
  <c r="N6" i="46" s="1"/>
  <c r="Q3" i="47"/>
  <c r="AA4" i="46"/>
  <c r="AA6" i="46" s="1"/>
  <c r="AC4" i="46"/>
  <c r="AC6" i="46" s="1"/>
  <c r="AE4" i="46"/>
  <c r="AH4" i="47" s="1"/>
  <c r="AG4" i="46"/>
  <c r="AJ4" i="47" s="1"/>
  <c r="AJ5" i="47" s="1"/>
  <c r="AJ6" i="47" s="1"/>
  <c r="AJ7" i="47" s="1"/>
  <c r="AI4" i="46"/>
  <c r="AL4" i="47" s="1"/>
  <c r="Z4" i="46"/>
  <c r="Z6" i="46" s="1"/>
  <c r="K3" i="47"/>
  <c r="AP3" i="47"/>
  <c r="Z3" i="47"/>
  <c r="J3" i="47"/>
  <c r="AU3" i="47"/>
  <c r="AX4" i="46"/>
  <c r="BA4" i="47" s="1"/>
  <c r="BA5" i="47" s="1"/>
  <c r="BA6" i="47" s="1"/>
  <c r="BA7" i="47" s="1"/>
  <c r="E52" i="45"/>
  <c r="P51" i="2"/>
  <c r="AJ54" i="46"/>
  <c r="AK50" i="46" s="1"/>
  <c r="B6" i="46"/>
  <c r="B4" i="46"/>
  <c r="E4" i="47" s="1"/>
  <c r="E5" i="47" s="1"/>
  <c r="E6" i="47" s="1"/>
  <c r="E7" i="47" s="1"/>
  <c r="AH47" i="46"/>
  <c r="AI43" i="46" s="1"/>
  <c r="AO4" i="47"/>
  <c r="AP4" i="47"/>
  <c r="AS6" i="46"/>
  <c r="D6" i="46"/>
  <c r="J6" i="46"/>
  <c r="AM4" i="47" l="1"/>
  <c r="AV5" i="47"/>
  <c r="AV6" i="47" s="1"/>
  <c r="AV7" i="47" s="1"/>
  <c r="I4" i="47"/>
  <c r="E10" i="47"/>
  <c r="E9" i="47"/>
  <c r="K6" i="46"/>
  <c r="K7" i="46" s="1"/>
  <c r="K8" i="46" s="1"/>
  <c r="S4" i="47"/>
  <c r="S5" i="47" s="1"/>
  <c r="S6" i="47" s="1"/>
  <c r="S7" i="47" s="1"/>
  <c r="AN5" i="47"/>
  <c r="AN6" i="47" s="1"/>
  <c r="AN7" i="47" s="1"/>
  <c r="AN10" i="47" s="1"/>
  <c r="T4" i="47"/>
  <c r="T5" i="47" s="1"/>
  <c r="T6" i="47" s="1"/>
  <c r="T7" i="47" s="1"/>
  <c r="T10" i="47" s="1"/>
  <c r="AU6" i="46"/>
  <c r="AU7" i="46" s="1"/>
  <c r="AU8" i="46" s="1"/>
  <c r="F5" i="47"/>
  <c r="F6" i="47" s="1"/>
  <c r="F7" i="47" s="1"/>
  <c r="F9" i="47" s="1"/>
  <c r="AK5" i="47"/>
  <c r="AK6" i="47" s="1"/>
  <c r="AK7" i="47" s="1"/>
  <c r="AK10" i="47" s="1"/>
  <c r="T6" i="46"/>
  <c r="AB6" i="46"/>
  <c r="AB7" i="46" s="1"/>
  <c r="AB8" i="46" s="1"/>
  <c r="AM5" i="47"/>
  <c r="AM6" i="47" s="1"/>
  <c r="AM7" i="47" s="1"/>
  <c r="AM10" i="47" s="1"/>
  <c r="G5" i="47"/>
  <c r="G6" i="47" s="1"/>
  <c r="G7" i="47" s="1"/>
  <c r="G10" i="47" s="1"/>
  <c r="T36" i="55"/>
  <c r="T37" i="55" s="1"/>
  <c r="L6" i="46"/>
  <c r="L7" i="46" s="1"/>
  <c r="L8" i="46" s="1"/>
  <c r="AI5" i="47"/>
  <c r="AI6" i="47" s="1"/>
  <c r="AI7" i="47" s="1"/>
  <c r="AI10" i="47" s="1"/>
  <c r="AH5" i="47"/>
  <c r="AH6" i="47" s="1"/>
  <c r="AH7" i="47" s="1"/>
  <c r="AH10" i="47" s="1"/>
  <c r="AQ6" i="46"/>
  <c r="AQ7" i="46" s="1"/>
  <c r="AQ8" i="46" s="1"/>
  <c r="Y6" i="46"/>
  <c r="Y7" i="46" s="1"/>
  <c r="Y8" i="46" s="1"/>
  <c r="G6" i="46"/>
  <c r="G7" i="46" s="1"/>
  <c r="G8" i="46" s="1"/>
  <c r="P5" i="47"/>
  <c r="P6" i="47" s="1"/>
  <c r="P7" i="47" s="1"/>
  <c r="P9" i="47" s="1"/>
  <c r="AD47" i="55"/>
  <c r="AE43" i="55" s="1"/>
  <c r="AE52" i="55"/>
  <c r="AE53" i="55" s="1"/>
  <c r="V5" i="47"/>
  <c r="V6" i="47" s="1"/>
  <c r="V7" i="47" s="1"/>
  <c r="V10" i="47" s="1"/>
  <c r="X4" i="47"/>
  <c r="X5" i="47" s="1"/>
  <c r="X6" i="47" s="1"/>
  <c r="X7" i="47" s="1"/>
  <c r="X9" i="47" s="1"/>
  <c r="Y5" i="47"/>
  <c r="Y6" i="47" s="1"/>
  <c r="Y7" i="47" s="1"/>
  <c r="Y10" i="47" s="1"/>
  <c r="W5" i="47"/>
  <c r="W6" i="47" s="1"/>
  <c r="W7" i="47" s="1"/>
  <c r="W9" i="47" s="1"/>
  <c r="AO5" i="47"/>
  <c r="AO6" i="47" s="1"/>
  <c r="AO7" i="47" s="1"/>
  <c r="AO10" i="47" s="1"/>
  <c r="H4" i="47"/>
  <c r="H5" i="47" s="1"/>
  <c r="H6" i="47" s="1"/>
  <c r="H7" i="47" s="1"/>
  <c r="H9" i="47" s="1"/>
  <c r="AX6" i="46"/>
  <c r="AX7" i="46" s="1"/>
  <c r="AX8" i="46" s="1"/>
  <c r="AD6" i="46"/>
  <c r="AD7" i="46" s="1"/>
  <c r="AD8" i="46" s="1"/>
  <c r="AY4" i="47"/>
  <c r="AY5" i="47" s="1"/>
  <c r="AY6" i="47" s="1"/>
  <c r="AY7" i="47" s="1"/>
  <c r="AY10" i="47" s="1"/>
  <c r="L5" i="47"/>
  <c r="L6" i="47" s="1"/>
  <c r="L7" i="47" s="1"/>
  <c r="L10" i="47" s="1"/>
  <c r="AG6" i="46"/>
  <c r="AG7" i="46" s="1"/>
  <c r="AG8" i="46" s="1"/>
  <c r="AH6" i="46"/>
  <c r="AH7" i="46" s="1"/>
  <c r="AH8" i="46" s="1"/>
  <c r="AR4" i="47"/>
  <c r="AR5" i="47" s="1"/>
  <c r="AR6" i="47" s="1"/>
  <c r="AR7" i="47" s="1"/>
  <c r="AR10" i="47" s="1"/>
  <c r="I6" i="46"/>
  <c r="I7" i="46" s="1"/>
  <c r="I8" i="46" s="1"/>
  <c r="AE5" i="47"/>
  <c r="AE6" i="47" s="1"/>
  <c r="AE7" i="47" s="1"/>
  <c r="AE10" i="47" s="1"/>
  <c r="V6" i="46"/>
  <c r="V7" i="46" s="1"/>
  <c r="V8" i="46" s="1"/>
  <c r="M6" i="46"/>
  <c r="M7" i="46" s="1"/>
  <c r="M8" i="46" s="1"/>
  <c r="I5" i="47"/>
  <c r="I6" i="47" s="1"/>
  <c r="I7" i="47" s="1"/>
  <c r="I10" i="47" s="1"/>
  <c r="BB5" i="47"/>
  <c r="BB6" i="47" s="1"/>
  <c r="BB7" i="47" s="1"/>
  <c r="BB10" i="47" s="1"/>
  <c r="Z5" i="47"/>
  <c r="Z6" i="47" s="1"/>
  <c r="Z7" i="47" s="1"/>
  <c r="Z9" i="47" s="1"/>
  <c r="AU5" i="47"/>
  <c r="AU6" i="47" s="1"/>
  <c r="AU7" i="47" s="1"/>
  <c r="AU10" i="47" s="1"/>
  <c r="S6" i="46"/>
  <c r="S7" i="46" s="1"/>
  <c r="S8" i="46" s="1"/>
  <c r="R4" i="47"/>
  <c r="R5" i="47" s="1"/>
  <c r="R6" i="47" s="1"/>
  <c r="R7" i="47" s="1"/>
  <c r="R9" i="47" s="1"/>
  <c r="AC4" i="47"/>
  <c r="AC5" i="47" s="1"/>
  <c r="AC6" i="47" s="1"/>
  <c r="AC7" i="47" s="1"/>
  <c r="AC10" i="47" s="1"/>
  <c r="U4" i="47"/>
  <c r="U5" i="47" s="1"/>
  <c r="U6" i="47" s="1"/>
  <c r="U7" i="47" s="1"/>
  <c r="U10" i="47" s="1"/>
  <c r="AL5" i="47"/>
  <c r="AL6" i="47" s="1"/>
  <c r="AL7" i="47" s="1"/>
  <c r="AL10" i="47" s="1"/>
  <c r="AR6" i="46"/>
  <c r="AR7" i="46" s="1"/>
  <c r="AR8" i="46" s="1"/>
  <c r="AT5" i="47"/>
  <c r="AT6" i="47" s="1"/>
  <c r="AT7" i="47" s="1"/>
  <c r="AT10" i="47" s="1"/>
  <c r="AK6" i="46"/>
  <c r="AK7" i="46" s="1"/>
  <c r="AK8" i="46" s="1"/>
  <c r="AP5" i="47"/>
  <c r="AP6" i="47" s="1"/>
  <c r="AP7" i="47" s="1"/>
  <c r="AP10" i="47" s="1"/>
  <c r="AI6" i="46"/>
  <c r="AI7" i="46" s="1"/>
  <c r="AI8" i="46" s="1"/>
  <c r="AS5" i="47"/>
  <c r="AS6" i="47" s="1"/>
  <c r="AS7" i="47" s="1"/>
  <c r="AS10" i="47" s="1"/>
  <c r="H6" i="46"/>
  <c r="H7" i="46" s="1"/>
  <c r="H8" i="46" s="1"/>
  <c r="AE6" i="46"/>
  <c r="AE7" i="46" s="1"/>
  <c r="AE8" i="46" s="1"/>
  <c r="W6" i="46"/>
  <c r="W7" i="46" s="1"/>
  <c r="W8" i="46" s="1"/>
  <c r="Q4" i="47"/>
  <c r="Q5" i="47" s="1"/>
  <c r="Q6" i="47" s="1"/>
  <c r="Q7" i="47" s="1"/>
  <c r="AG5" i="47"/>
  <c r="AG6" i="47" s="1"/>
  <c r="AG7" i="47" s="1"/>
  <c r="AG10" i="47" s="1"/>
  <c r="AZ4" i="47"/>
  <c r="AZ5" i="47" s="1"/>
  <c r="AZ6" i="47" s="1"/>
  <c r="AZ7" i="47" s="1"/>
  <c r="AZ9" i="47" s="1"/>
  <c r="AW4" i="47"/>
  <c r="AW5" i="47" s="1"/>
  <c r="AW6" i="47" s="1"/>
  <c r="AW7" i="47" s="1"/>
  <c r="AW9" i="47" s="1"/>
  <c r="AA4" i="47"/>
  <c r="AA5" i="47" s="1"/>
  <c r="AA6" i="47" s="1"/>
  <c r="AA7" i="47" s="1"/>
  <c r="AA9" i="47" s="1"/>
  <c r="M5" i="47"/>
  <c r="M6" i="47" s="1"/>
  <c r="M7" i="47" s="1"/>
  <c r="M9" i="47" s="1"/>
  <c r="AF6" i="46"/>
  <c r="AF7" i="46" s="1"/>
  <c r="AF8" i="46" s="1"/>
  <c r="N5" i="47"/>
  <c r="N6" i="47" s="1"/>
  <c r="N7" i="47" s="1"/>
  <c r="N9" i="47" s="1"/>
  <c r="AP6" i="46"/>
  <c r="AP7" i="46" s="1"/>
  <c r="AP8" i="46" s="1"/>
  <c r="AX5" i="47"/>
  <c r="AX6" i="47" s="1"/>
  <c r="AX7" i="47" s="1"/>
  <c r="AX10" i="47" s="1"/>
  <c r="AD4" i="47"/>
  <c r="AD5" i="47" s="1"/>
  <c r="AD6" i="47" s="1"/>
  <c r="AD7" i="47" s="1"/>
  <c r="AD9" i="47" s="1"/>
  <c r="C6" i="46"/>
  <c r="C7" i="46" s="1"/>
  <c r="C8" i="46" s="1"/>
  <c r="J5" i="47"/>
  <c r="J6" i="47" s="1"/>
  <c r="J7" i="47" s="1"/>
  <c r="J10" i="47" s="1"/>
  <c r="K5" i="47"/>
  <c r="K6" i="47" s="1"/>
  <c r="K7" i="47" s="1"/>
  <c r="K10" i="47" s="1"/>
  <c r="AQ4" i="47"/>
  <c r="AQ5" i="47" s="1"/>
  <c r="AQ6" i="47" s="1"/>
  <c r="AQ7" i="47" s="1"/>
  <c r="AQ10" i="47" s="1"/>
  <c r="O5" i="47"/>
  <c r="O6" i="47" s="1"/>
  <c r="O7" i="47" s="1"/>
  <c r="O9" i="47" s="1"/>
  <c r="AF4" i="47"/>
  <c r="AF5" i="47" s="1"/>
  <c r="AF6" i="47" s="1"/>
  <c r="AF7" i="47" s="1"/>
  <c r="AF9" i="47" s="1"/>
  <c r="AY6" i="46"/>
  <c r="AY7" i="46" s="1"/>
  <c r="AY8" i="46" s="1"/>
  <c r="BA9" i="47"/>
  <c r="BA10" i="47"/>
  <c r="E53" i="45"/>
  <c r="P53" i="2" s="1"/>
  <c r="P52" i="2"/>
  <c r="AK52" i="46"/>
  <c r="AK53" i="46" s="1"/>
  <c r="B7" i="46"/>
  <c r="B8" i="46" s="1"/>
  <c r="AI45" i="46"/>
  <c r="AI46" i="46" s="1"/>
  <c r="AJ10" i="47"/>
  <c r="AJ9" i="47"/>
  <c r="AB9" i="47"/>
  <c r="AB10" i="47"/>
  <c r="AV10" i="47"/>
  <c r="AV9" i="47"/>
  <c r="G9" i="47"/>
  <c r="AI9" i="47"/>
  <c r="D7" i="46"/>
  <c r="D8" i="46" s="1"/>
  <c r="AJ7" i="46"/>
  <c r="AJ8" i="46" s="1"/>
  <c r="Z7" i="46"/>
  <c r="Z8" i="46" s="1"/>
  <c r="U7" i="46"/>
  <c r="U8" i="46" s="1"/>
  <c r="AA7" i="46"/>
  <c r="AA8" i="46" s="1"/>
  <c r="AC7" i="46"/>
  <c r="AC8" i="46" s="1"/>
  <c r="O7" i="46"/>
  <c r="O8" i="46" s="1"/>
  <c r="AS7" i="46"/>
  <c r="AS8" i="46" s="1"/>
  <c r="F7" i="46"/>
  <c r="F8" i="46" s="1"/>
  <c r="AL7" i="46"/>
  <c r="AL8" i="46" s="1"/>
  <c r="J7" i="46"/>
  <c r="J8" i="46" s="1"/>
  <c r="Q7" i="46"/>
  <c r="Q8" i="46" s="1"/>
  <c r="E7" i="46"/>
  <c r="E8" i="46" s="1"/>
  <c r="AN7" i="46"/>
  <c r="AN8" i="46" s="1"/>
  <c r="AM7" i="46"/>
  <c r="AM8" i="46" s="1"/>
  <c r="T7" i="46"/>
  <c r="T8" i="46" s="1"/>
  <c r="X7" i="46"/>
  <c r="X8" i="46" s="1"/>
  <c r="P7" i="46"/>
  <c r="P8" i="46" s="1"/>
  <c r="N7" i="46"/>
  <c r="N8" i="46" s="1"/>
  <c r="AO7" i="46"/>
  <c r="AO8" i="46" s="1"/>
  <c r="R7" i="46"/>
  <c r="R8" i="46" s="1"/>
  <c r="F10" i="47" l="1"/>
  <c r="V9" i="47"/>
  <c r="V11" i="47" s="1"/>
  <c r="AO9" i="47"/>
  <c r="AN9" i="47"/>
  <c r="AN11" i="47" s="1"/>
  <c r="AM9" i="47"/>
  <c r="AM12" i="47" s="1"/>
  <c r="T9" i="47"/>
  <c r="T12" i="47" s="1"/>
  <c r="S9" i="47"/>
  <c r="S11" i="47" s="1"/>
  <c r="S10" i="47"/>
  <c r="AK9" i="47"/>
  <c r="AK12" i="47" s="1"/>
  <c r="E12" i="47"/>
  <c r="E11" i="47"/>
  <c r="E13" i="47"/>
  <c r="E14" i="47" s="1"/>
  <c r="E16" i="47" s="1"/>
  <c r="E17" i="47" s="1"/>
  <c r="AF10" i="47"/>
  <c r="Z10" i="47"/>
  <c r="X10" i="47"/>
  <c r="L9" i="47"/>
  <c r="L12" i="47" s="1"/>
  <c r="AH9" i="47"/>
  <c r="P10" i="47"/>
  <c r="H10" i="47"/>
  <c r="AA10" i="47"/>
  <c r="AY9" i="47"/>
  <c r="AY12" i="47" s="1"/>
  <c r="T38" i="55"/>
  <c r="U34" i="55" s="1"/>
  <c r="AS9" i="47"/>
  <c r="AS12" i="47" s="1"/>
  <c r="Y9" i="47"/>
  <c r="Y12" i="47" s="1"/>
  <c r="W10" i="47"/>
  <c r="BB9" i="47"/>
  <c r="BB11" i="47" s="1"/>
  <c r="AE54" i="55"/>
  <c r="AF50" i="55" s="1"/>
  <c r="AE45" i="55"/>
  <c r="AE46" i="55" s="1"/>
  <c r="AX9" i="47"/>
  <c r="AX11" i="47" s="1"/>
  <c r="N10" i="47"/>
  <c r="AU9" i="47"/>
  <c r="AU12" i="47" s="1"/>
  <c r="AR9" i="47"/>
  <c r="AR12" i="47" s="1"/>
  <c r="AE9" i="47"/>
  <c r="AE11" i="47" s="1"/>
  <c r="AZ10" i="47"/>
  <c r="R10" i="47"/>
  <c r="AP9" i="47"/>
  <c r="AP11" i="47" s="1"/>
  <c r="AG9" i="47"/>
  <c r="AG12" i="47" s="1"/>
  <c r="I9" i="47"/>
  <c r="I11" i="47" s="1"/>
  <c r="AT9" i="47"/>
  <c r="AT11" i="47" s="1"/>
  <c r="AW10" i="47"/>
  <c r="AC9" i="47"/>
  <c r="AC12" i="47" s="1"/>
  <c r="J9" i="47"/>
  <c r="J11" i="47" s="1"/>
  <c r="M10" i="47"/>
  <c r="U9" i="47"/>
  <c r="U11" i="47" s="1"/>
  <c r="AL9" i="47"/>
  <c r="AL11" i="47" s="1"/>
  <c r="Q9" i="47"/>
  <c r="Q11" i="47" s="1"/>
  <c r="Q10" i="47"/>
  <c r="AD10" i="47"/>
  <c r="AQ9" i="47"/>
  <c r="AQ11" i="47" s="1"/>
  <c r="K9" i="47"/>
  <c r="K11" i="47" s="1"/>
  <c r="O10" i="47"/>
  <c r="AZ12" i="47"/>
  <c r="AZ11" i="47"/>
  <c r="BA12" i="47"/>
  <c r="BA11" i="47"/>
  <c r="AK54" i="46"/>
  <c r="AL50" i="46" s="1"/>
  <c r="B34" i="46"/>
  <c r="B36" i="46" s="1"/>
  <c r="AI47" i="46"/>
  <c r="AJ43" i="46" s="1"/>
  <c r="AM11" i="47"/>
  <c r="O11" i="47"/>
  <c r="O12" i="47"/>
  <c r="P11" i="47"/>
  <c r="P12" i="47"/>
  <c r="W12" i="47"/>
  <c r="W11" i="47"/>
  <c r="N12" i="47"/>
  <c r="N11" i="47"/>
  <c r="AB11" i="47"/>
  <c r="AB12" i="47"/>
  <c r="AD11" i="47"/>
  <c r="AD12" i="47"/>
  <c r="AV11" i="47"/>
  <c r="AV12" i="47"/>
  <c r="X12" i="47"/>
  <c r="X11" i="47"/>
  <c r="AW12" i="47"/>
  <c r="AW11" i="47"/>
  <c r="AJ11" i="47"/>
  <c r="AJ12" i="47"/>
  <c r="AI12" i="47"/>
  <c r="AI11" i="47"/>
  <c r="F11" i="47"/>
  <c r="F12" i="47"/>
  <c r="V12" i="47"/>
  <c r="G11" i="47"/>
  <c r="G12" i="47"/>
  <c r="M12" i="47"/>
  <c r="M11" i="47"/>
  <c r="AH12" i="47"/>
  <c r="AH11" i="47"/>
  <c r="AE12" i="47"/>
  <c r="AF11" i="47"/>
  <c r="AF12" i="47"/>
  <c r="H12" i="47"/>
  <c r="H11" i="47"/>
  <c r="AO11" i="47"/>
  <c r="AO12" i="47"/>
  <c r="AK11" i="47"/>
  <c r="R11" i="47"/>
  <c r="R12" i="47"/>
  <c r="AA12" i="47"/>
  <c r="AA11" i="47"/>
  <c r="Z12" i="47"/>
  <c r="Z11" i="47"/>
  <c r="AY11" i="47" l="1"/>
  <c r="AS11" i="47"/>
  <c r="AN12" i="47"/>
  <c r="T11" i="47"/>
  <c r="AU11" i="47"/>
  <c r="S12" i="47"/>
  <c r="AX12" i="47"/>
  <c r="AX13" i="47" s="1"/>
  <c r="AX14" i="47" s="1"/>
  <c r="AX16" i="47" s="1"/>
  <c r="AX17" i="47" s="1"/>
  <c r="B37" i="46"/>
  <c r="B38" i="46" s="1"/>
  <c r="C34" i="46" s="1"/>
  <c r="C36" i="46" s="1"/>
  <c r="C37" i="46" s="1"/>
  <c r="C38" i="46" s="1"/>
  <c r="D34" i="46" s="1"/>
  <c r="D36" i="46" s="1"/>
  <c r="D37" i="46" s="1"/>
  <c r="D38" i="46" s="1"/>
  <c r="E34" i="46" s="1"/>
  <c r="AR11" i="47"/>
  <c r="AR13" i="47" s="1"/>
  <c r="AR14" i="47" s="1"/>
  <c r="AR16" i="47" s="1"/>
  <c r="AR17" i="47" s="1"/>
  <c r="Y11" i="47"/>
  <c r="Y13" i="47" s="1"/>
  <c r="Y14" i="47" s="1"/>
  <c r="Y16" i="47" s="1"/>
  <c r="Y17" i="47" s="1"/>
  <c r="L11" i="47"/>
  <c r="L13" i="47" s="1"/>
  <c r="L14" i="47" s="1"/>
  <c r="L16" i="47" s="1"/>
  <c r="L17" i="47" s="1"/>
  <c r="AL12" i="47"/>
  <c r="AL13" i="47" s="1"/>
  <c r="AL14" i="47" s="1"/>
  <c r="AL16" i="47" s="1"/>
  <c r="AL17" i="47" s="1"/>
  <c r="BB12" i="47"/>
  <c r="BB13" i="47" s="1"/>
  <c r="BB14" i="47" s="1"/>
  <c r="BB16" i="47" s="1"/>
  <c r="BB17" i="47" s="1"/>
  <c r="U36" i="55"/>
  <c r="U37" i="55" s="1"/>
  <c r="AP12" i="47"/>
  <c r="AP13" i="47" s="1"/>
  <c r="AP14" i="47" s="1"/>
  <c r="AP16" i="47" s="1"/>
  <c r="AP17" i="47" s="1"/>
  <c r="AE47" i="55"/>
  <c r="AF43" i="55" s="1"/>
  <c r="AF52" i="55"/>
  <c r="AF53" i="55" s="1"/>
  <c r="I12" i="47"/>
  <c r="I13" i="47" s="1"/>
  <c r="I14" i="47" s="1"/>
  <c r="I16" i="47" s="1"/>
  <c r="I17" i="47" s="1"/>
  <c r="AG11" i="47"/>
  <c r="AG13" i="47" s="1"/>
  <c r="AG14" i="47" s="1"/>
  <c r="AG16" i="47" s="1"/>
  <c r="AG17" i="47" s="1"/>
  <c r="AT12" i="47"/>
  <c r="AT13" i="47" s="1"/>
  <c r="AT14" i="47" s="1"/>
  <c r="AT16" i="47" s="1"/>
  <c r="AT17" i="47" s="1"/>
  <c r="AY13" i="47"/>
  <c r="AY14" i="47" s="1"/>
  <c r="AY16" i="47" s="1"/>
  <c r="AY17" i="47" s="1"/>
  <c r="U12" i="47"/>
  <c r="U13" i="47" s="1"/>
  <c r="U14" i="47" s="1"/>
  <c r="U16" i="47" s="1"/>
  <c r="U17" i="47" s="1"/>
  <c r="AC11" i="47"/>
  <c r="AC13" i="47" s="1"/>
  <c r="AC14" i="47" s="1"/>
  <c r="AC16" i="47" s="1"/>
  <c r="AC17" i="47" s="1"/>
  <c r="J12" i="47"/>
  <c r="J13" i="47" s="1"/>
  <c r="J14" i="47" s="1"/>
  <c r="J16" i="47" s="1"/>
  <c r="J17" i="47" s="1"/>
  <c r="AZ13" i="47"/>
  <c r="AZ14" i="47" s="1"/>
  <c r="AZ16" i="47" s="1"/>
  <c r="AZ17" i="47" s="1"/>
  <c r="Q12" i="47"/>
  <c r="Q13" i="47" s="1"/>
  <c r="Q14" i="47" s="1"/>
  <c r="Q16" i="47" s="1"/>
  <c r="Q17" i="47" s="1"/>
  <c r="K12" i="47"/>
  <c r="K13" i="47" s="1"/>
  <c r="K14" i="47" s="1"/>
  <c r="K16" i="47" s="1"/>
  <c r="K17" i="47" s="1"/>
  <c r="AQ12" i="47"/>
  <c r="AQ13" i="47" s="1"/>
  <c r="AQ14" i="47" s="1"/>
  <c r="AQ16" i="47" s="1"/>
  <c r="AQ17" i="47" s="1"/>
  <c r="BA13" i="47"/>
  <c r="BA14" i="47" s="1"/>
  <c r="BA16" i="47" s="1"/>
  <c r="BA17" i="47" s="1"/>
  <c r="AL52" i="46"/>
  <c r="AL53" i="46" s="1"/>
  <c r="AJ45" i="46"/>
  <c r="AJ46" i="46" s="1"/>
  <c r="AM13" i="47"/>
  <c r="AM14" i="47" s="1"/>
  <c r="AM16" i="47" s="1"/>
  <c r="AM17" i="47" s="1"/>
  <c r="AI13" i="47"/>
  <c r="AI14" i="47" s="1"/>
  <c r="AI16" i="47" s="1"/>
  <c r="AI17" i="47" s="1"/>
  <c r="X13" i="47"/>
  <c r="X14" i="47" s="1"/>
  <c r="X16" i="47" s="1"/>
  <c r="X17" i="47" s="1"/>
  <c r="Z13" i="47"/>
  <c r="Z14" i="47" s="1"/>
  <c r="Z16" i="47" s="1"/>
  <c r="Z17" i="47" s="1"/>
  <c r="H13" i="47"/>
  <c r="H14" i="47" s="1"/>
  <c r="H16" i="47" s="1"/>
  <c r="H17" i="47" s="1"/>
  <c r="AS13" i="47"/>
  <c r="AS14" i="47" s="1"/>
  <c r="AS16" i="47" s="1"/>
  <c r="AS17" i="47" s="1"/>
  <c r="V13" i="47"/>
  <c r="V14" i="47" s="1"/>
  <c r="V16" i="47" s="1"/>
  <c r="V17" i="47" s="1"/>
  <c r="N13" i="47"/>
  <c r="N14" i="47" s="1"/>
  <c r="N16" i="47" s="1"/>
  <c r="N17" i="47" s="1"/>
  <c r="S13" i="47"/>
  <c r="S14" i="47" s="1"/>
  <c r="S16" i="47" s="1"/>
  <c r="S17" i="47" s="1"/>
  <c r="AK13" i="47"/>
  <c r="AK14" i="47" s="1"/>
  <c r="AK16" i="47" s="1"/>
  <c r="AK17" i="47" s="1"/>
  <c r="P13" i="47"/>
  <c r="P14" i="47" s="1"/>
  <c r="P16" i="47" s="1"/>
  <c r="P17" i="47" s="1"/>
  <c r="AA13" i="47"/>
  <c r="AA14" i="47" s="1"/>
  <c r="AA16" i="47" s="1"/>
  <c r="AA17" i="47" s="1"/>
  <c r="T13" i="47"/>
  <c r="T14" i="47" s="1"/>
  <c r="T16" i="47" s="1"/>
  <c r="T17" i="47" s="1"/>
  <c r="AD13" i="47"/>
  <c r="AD14" i="47" s="1"/>
  <c r="AD16" i="47" s="1"/>
  <c r="AD17" i="47" s="1"/>
  <c r="AH13" i="47"/>
  <c r="AH14" i="47" s="1"/>
  <c r="AH16" i="47" s="1"/>
  <c r="AH17" i="47" s="1"/>
  <c r="AW13" i="47"/>
  <c r="AW14" i="47" s="1"/>
  <c r="AW16" i="47" s="1"/>
  <c r="AW17" i="47" s="1"/>
  <c r="G13" i="47"/>
  <c r="G14" i="47" s="1"/>
  <c r="G16" i="47" s="1"/>
  <c r="G17" i="47" s="1"/>
  <c r="W13" i="47"/>
  <c r="W14" i="47" s="1"/>
  <c r="W16" i="47" s="1"/>
  <c r="W17" i="47" s="1"/>
  <c r="AV13" i="47"/>
  <c r="AV14" i="47" s="1"/>
  <c r="AV16" i="47" s="1"/>
  <c r="AV17" i="47" s="1"/>
  <c r="F13" i="47"/>
  <c r="F14" i="47" s="1"/>
  <c r="F16" i="47" s="1"/>
  <c r="F17" i="47" s="1"/>
  <c r="R13" i="47"/>
  <c r="R14" i="47" s="1"/>
  <c r="R16" i="47" s="1"/>
  <c r="R17" i="47" s="1"/>
  <c r="AU13" i="47"/>
  <c r="AU14" i="47" s="1"/>
  <c r="AU16" i="47" s="1"/>
  <c r="AU17" i="47" s="1"/>
  <c r="AO13" i="47"/>
  <c r="AO14" i="47" s="1"/>
  <c r="AO16" i="47" s="1"/>
  <c r="AO17" i="47" s="1"/>
  <c r="AF13" i="47"/>
  <c r="AF14" i="47" s="1"/>
  <c r="AF16" i="47" s="1"/>
  <c r="AF17" i="47" s="1"/>
  <c r="O13" i="47"/>
  <c r="O14" i="47" s="1"/>
  <c r="O16" i="47" s="1"/>
  <c r="O17" i="47" s="1"/>
  <c r="AN13" i="47"/>
  <c r="AN14" i="47" s="1"/>
  <c r="AN16" i="47" s="1"/>
  <c r="AN17" i="47" s="1"/>
  <c r="AE13" i="47"/>
  <c r="AE14" i="47" s="1"/>
  <c r="AE16" i="47" s="1"/>
  <c r="AE17" i="47" s="1"/>
  <c r="AB13" i="47"/>
  <c r="AB14" i="47" s="1"/>
  <c r="AB16" i="47" s="1"/>
  <c r="AB17" i="47" s="1"/>
  <c r="M13" i="47"/>
  <c r="M14" i="47" s="1"/>
  <c r="M16" i="47" s="1"/>
  <c r="M17" i="47" s="1"/>
  <c r="AJ13" i="47"/>
  <c r="AJ14" i="47" s="1"/>
  <c r="AJ16" i="47" s="1"/>
  <c r="AJ17" i="47" s="1"/>
  <c r="U38" i="55" l="1"/>
  <c r="V34" i="55" s="1"/>
  <c r="AF54" i="55"/>
  <c r="AG50" i="55" s="1"/>
  <c r="AF45" i="55"/>
  <c r="AF46" i="55" s="1"/>
  <c r="BI2" i="47" a="1"/>
  <c r="AL54" i="46"/>
  <c r="AM50" i="46" s="1"/>
  <c r="E36" i="46"/>
  <c r="E37" i="46" s="1"/>
  <c r="AJ47" i="46"/>
  <c r="AK43" i="46" s="1"/>
  <c r="V36" i="55" l="1"/>
  <c r="V37" i="55" s="1"/>
  <c r="AF47" i="55"/>
  <c r="AG43" i="55" s="1"/>
  <c r="AG52" i="55"/>
  <c r="AG53" i="55" s="1"/>
  <c r="BI2" i="47"/>
  <c r="M53" i="2"/>
  <c r="C53" i="2" s="1"/>
  <c r="E53" i="2" s="1"/>
  <c r="K53" i="2" s="1"/>
  <c r="M49" i="2"/>
  <c r="C49" i="2" s="1"/>
  <c r="E49" i="2" s="1"/>
  <c r="K49" i="2" s="1"/>
  <c r="M48" i="2"/>
  <c r="C48" i="2" s="1"/>
  <c r="E48" i="2" s="1"/>
  <c r="K48" i="2" s="1"/>
  <c r="M50" i="2"/>
  <c r="C50" i="2" s="1"/>
  <c r="E50" i="2" s="1"/>
  <c r="K50" i="2" s="1"/>
  <c r="M51" i="2"/>
  <c r="C51" i="2" s="1"/>
  <c r="E51" i="2" s="1"/>
  <c r="K51" i="2" s="1"/>
  <c r="M52" i="2"/>
  <c r="C52" i="2" s="1"/>
  <c r="E52" i="2" s="1"/>
  <c r="K52" i="2" s="1"/>
  <c r="E32" i="47" s="1"/>
  <c r="AM52" i="46"/>
  <c r="AM53" i="46" s="1"/>
  <c r="E38" i="46"/>
  <c r="F34" i="46" s="1"/>
  <c r="F36" i="46" s="1"/>
  <c r="F37" i="46" s="1"/>
  <c r="F38" i="46" s="1"/>
  <c r="G34" i="46" s="1"/>
  <c r="AK45" i="46"/>
  <c r="AK46" i="46" s="1"/>
  <c r="V38" i="55" l="1"/>
  <c r="W34" i="55" s="1"/>
  <c r="W36" i="55"/>
  <c r="W37" i="55" s="1"/>
  <c r="AG54" i="55"/>
  <c r="AH50" i="55" s="1"/>
  <c r="AG45" i="55"/>
  <c r="AG46" i="55" s="1"/>
  <c r="AC32" i="47"/>
  <c r="U32" i="47"/>
  <c r="M32" i="47"/>
  <c r="AB32" i="47"/>
  <c r="T32" i="47"/>
  <c r="L32" i="47"/>
  <c r="AA32" i="47"/>
  <c r="S32" i="47"/>
  <c r="K32" i="47"/>
  <c r="Z32" i="47"/>
  <c r="R32" i="47"/>
  <c r="J32" i="47"/>
  <c r="Y32" i="47"/>
  <c r="Q32" i="47"/>
  <c r="I32" i="47"/>
  <c r="X32" i="47"/>
  <c r="P32" i="47"/>
  <c r="H32" i="47"/>
  <c r="W32" i="47"/>
  <c r="O32" i="47"/>
  <c r="G32" i="47"/>
  <c r="V32" i="47"/>
  <c r="N32" i="47"/>
  <c r="F32" i="47"/>
  <c r="M4" i="2"/>
  <c r="C4" i="2" s="1"/>
  <c r="M47" i="2"/>
  <c r="C47" i="2" s="1"/>
  <c r="AM54" i="46"/>
  <c r="AN50" i="46" s="1"/>
  <c r="D10" i="2"/>
  <c r="D11" i="2"/>
  <c r="D19" i="2"/>
  <c r="D27" i="2"/>
  <c r="D4" i="2"/>
  <c r="D12" i="2"/>
  <c r="D7" i="2"/>
  <c r="D31" i="2"/>
  <c r="D8" i="2"/>
  <c r="D9" i="2"/>
  <c r="D20" i="2"/>
  <c r="D15" i="2"/>
  <c r="D24" i="2"/>
  <c r="D25" i="2"/>
  <c r="D16" i="2"/>
  <c r="D5" i="2"/>
  <c r="D21" i="2"/>
  <c r="D29" i="2"/>
  <c r="D6" i="2"/>
  <c r="D14" i="2"/>
  <c r="D22" i="2"/>
  <c r="D30" i="2"/>
  <c r="D23" i="2"/>
  <c r="D32" i="2"/>
  <c r="D17" i="2"/>
  <c r="M37" i="2"/>
  <c r="C37" i="2" s="1"/>
  <c r="M6" i="2"/>
  <c r="C6" i="2" s="1"/>
  <c r="M14" i="2"/>
  <c r="M30" i="2"/>
  <c r="M7" i="2"/>
  <c r="M15" i="2"/>
  <c r="C15" i="2" s="1"/>
  <c r="M23" i="2"/>
  <c r="C23" i="2" s="1"/>
  <c r="M31" i="2"/>
  <c r="C31" i="2" s="1"/>
  <c r="M39" i="2"/>
  <c r="C39" i="2" s="1"/>
  <c r="M16" i="2"/>
  <c r="M24" i="2"/>
  <c r="M32" i="2"/>
  <c r="M40" i="2"/>
  <c r="M34" i="2"/>
  <c r="M11" i="2"/>
  <c r="M27" i="2"/>
  <c r="C27" i="2" s="1"/>
  <c r="M12" i="2"/>
  <c r="C12" i="2" s="1"/>
  <c r="M28" i="2"/>
  <c r="M5" i="2"/>
  <c r="M29" i="2"/>
  <c r="C29" i="2" s="1"/>
  <c r="M46" i="2"/>
  <c r="C46" i="2" s="1"/>
  <c r="M8" i="2"/>
  <c r="C8" i="2" s="1"/>
  <c r="M43" i="2"/>
  <c r="M36" i="2"/>
  <c r="C36" i="2" s="1"/>
  <c r="M13" i="2"/>
  <c r="C13" i="2" s="1"/>
  <c r="M22" i="2"/>
  <c r="M9" i="2"/>
  <c r="M17" i="2"/>
  <c r="C17" i="2" s="1"/>
  <c r="M25" i="2"/>
  <c r="C25" i="2" s="1"/>
  <c r="M33" i="2"/>
  <c r="C33" i="2" s="1"/>
  <c r="M41" i="2"/>
  <c r="C41" i="2" s="1"/>
  <c r="M10" i="2"/>
  <c r="C10" i="2" s="1"/>
  <c r="M18" i="2"/>
  <c r="M26" i="2"/>
  <c r="M42" i="2"/>
  <c r="M19" i="2"/>
  <c r="M35" i="2"/>
  <c r="M20" i="2"/>
  <c r="M44" i="2"/>
  <c r="C44" i="2" s="1"/>
  <c r="M21" i="2"/>
  <c r="C21" i="2" s="1"/>
  <c r="M45" i="2"/>
  <c r="M38" i="2"/>
  <c r="G36" i="46"/>
  <c r="G37" i="46" s="1"/>
  <c r="AK47" i="46"/>
  <c r="AL43" i="46" s="1"/>
  <c r="M3" i="2"/>
  <c r="C3" i="2" s="1"/>
  <c r="D13" i="2"/>
  <c r="D26" i="2"/>
  <c r="D28" i="2"/>
  <c r="D18" i="2"/>
  <c r="W38" i="55" l="1"/>
  <c r="X34" i="55" s="1"/>
  <c r="X36" i="55" s="1"/>
  <c r="X37" i="55" s="1"/>
  <c r="AG47" i="55"/>
  <c r="AH43" i="55" s="1"/>
  <c r="AH52" i="55"/>
  <c r="AH53" i="55" s="1"/>
  <c r="C11" i="2"/>
  <c r="E11" i="2" s="1"/>
  <c r="K11" i="2" s="1"/>
  <c r="C34" i="2"/>
  <c r="E34" i="2" s="1"/>
  <c r="K34" i="2" s="1"/>
  <c r="C42" i="2"/>
  <c r="E42" i="2" s="1"/>
  <c r="K42" i="2" s="1"/>
  <c r="C9" i="2"/>
  <c r="E9" i="2" s="1"/>
  <c r="K9" i="2" s="1"/>
  <c r="C32" i="2"/>
  <c r="E32" i="2" s="1"/>
  <c r="K32" i="2" s="1"/>
  <c r="C7" i="2"/>
  <c r="E7" i="2" s="1"/>
  <c r="K7" i="2" s="1"/>
  <c r="C43" i="2"/>
  <c r="E43" i="2" s="1"/>
  <c r="K43" i="2" s="1"/>
  <c r="C35" i="2"/>
  <c r="E35" i="2" s="1"/>
  <c r="K35" i="2" s="1"/>
  <c r="C40" i="2"/>
  <c r="E40" i="2" s="1"/>
  <c r="K40" i="2" s="1"/>
  <c r="C38" i="2"/>
  <c r="E38" i="2" s="1"/>
  <c r="K38" i="2" s="1"/>
  <c r="C26" i="2"/>
  <c r="E26" i="2" s="1"/>
  <c r="K26" i="2" s="1"/>
  <c r="C22" i="2"/>
  <c r="E22" i="2" s="1"/>
  <c r="K22" i="2" s="1"/>
  <c r="C5" i="2"/>
  <c r="E5" i="2" s="1"/>
  <c r="K5" i="2" s="1"/>
  <c r="C24" i="2"/>
  <c r="E24" i="2" s="1"/>
  <c r="K24" i="2" s="1"/>
  <c r="C30" i="2"/>
  <c r="E30" i="2" s="1"/>
  <c r="K30" i="2" s="1"/>
  <c r="C19" i="2"/>
  <c r="E19" i="2" s="1"/>
  <c r="K19" i="2" s="1"/>
  <c r="C45" i="2"/>
  <c r="E45" i="2" s="1"/>
  <c r="K45" i="2" s="1"/>
  <c r="C18" i="2"/>
  <c r="E18" i="2" s="1"/>
  <c r="K18" i="2" s="1"/>
  <c r="C28" i="2"/>
  <c r="E28" i="2" s="1"/>
  <c r="K28" i="2" s="1"/>
  <c r="C16" i="2"/>
  <c r="E16" i="2" s="1"/>
  <c r="K16" i="2" s="1"/>
  <c r="C14" i="2"/>
  <c r="E14" i="2" s="1"/>
  <c r="K14" i="2" s="1"/>
  <c r="E10" i="2"/>
  <c r="K10" i="2" s="1"/>
  <c r="E12" i="2"/>
  <c r="K12" i="2" s="1"/>
  <c r="E47" i="2"/>
  <c r="K47" i="2" s="1"/>
  <c r="E6" i="2"/>
  <c r="K6" i="2" s="1"/>
  <c r="F6" i="2"/>
  <c r="L6" i="2" s="1"/>
  <c r="F20" i="2"/>
  <c r="L20" i="2" s="1"/>
  <c r="F19" i="2"/>
  <c r="L19" i="2" s="1"/>
  <c r="F26" i="2"/>
  <c r="L26" i="2" s="1"/>
  <c r="E44" i="2"/>
  <c r="K44" i="2" s="1"/>
  <c r="E41" i="2"/>
  <c r="K41" i="2" s="1"/>
  <c r="E4" i="2"/>
  <c r="E27" i="2"/>
  <c r="K27" i="2" s="1"/>
  <c r="E39" i="2"/>
  <c r="K39" i="2" s="1"/>
  <c r="E37" i="2"/>
  <c r="K37" i="2" s="1"/>
  <c r="F29" i="2"/>
  <c r="L29" i="2" s="1"/>
  <c r="F9" i="2"/>
  <c r="L9" i="2" s="1"/>
  <c r="F11" i="2"/>
  <c r="L11" i="2" s="1"/>
  <c r="F4" i="2"/>
  <c r="L4" i="2" s="1"/>
  <c r="F14" i="2"/>
  <c r="L14" i="2" s="1"/>
  <c r="E21" i="2"/>
  <c r="K21" i="2" s="1"/>
  <c r="F13" i="2"/>
  <c r="L13" i="2" s="1"/>
  <c r="E33" i="2"/>
  <c r="K33" i="2" s="1"/>
  <c r="E31" i="2"/>
  <c r="K31" i="2" s="1"/>
  <c r="F17" i="2"/>
  <c r="L17" i="2" s="1"/>
  <c r="F21" i="2"/>
  <c r="L21" i="2" s="1"/>
  <c r="F8" i="2"/>
  <c r="L8" i="2" s="1"/>
  <c r="F10" i="2"/>
  <c r="L10" i="2" s="1"/>
  <c r="F27" i="2"/>
  <c r="L27" i="2" s="1"/>
  <c r="F28" i="2"/>
  <c r="L28" i="2" s="1"/>
  <c r="F31" i="2"/>
  <c r="L31" i="2" s="1"/>
  <c r="F22" i="2"/>
  <c r="L22" i="2" s="1"/>
  <c r="F18" i="2"/>
  <c r="L18" i="2" s="1"/>
  <c r="E3" i="2"/>
  <c r="E25" i="2"/>
  <c r="K25" i="2" s="1"/>
  <c r="E23" i="2"/>
  <c r="K23" i="2" s="1"/>
  <c r="F5" i="2"/>
  <c r="L5" i="2" s="1"/>
  <c r="E17" i="2"/>
  <c r="K17" i="2" s="1"/>
  <c r="E46" i="2"/>
  <c r="K46" i="2" s="1"/>
  <c r="E15" i="2"/>
  <c r="K15" i="2" s="1"/>
  <c r="F23" i="2"/>
  <c r="L23" i="2" s="1"/>
  <c r="F16" i="2"/>
  <c r="L16" i="2" s="1"/>
  <c r="F7" i="2"/>
  <c r="L7" i="2" s="1"/>
  <c r="F24" i="2"/>
  <c r="L24" i="2" s="1"/>
  <c r="E13" i="2"/>
  <c r="K13" i="2" s="1"/>
  <c r="F15" i="2"/>
  <c r="L15" i="2" s="1"/>
  <c r="E36" i="2"/>
  <c r="K36" i="2" s="1"/>
  <c r="E8" i="2"/>
  <c r="K8" i="2" s="1"/>
  <c r="F32" i="2"/>
  <c r="L32" i="2" s="1"/>
  <c r="E29" i="2"/>
  <c r="K29" i="2" s="1"/>
  <c r="F30" i="2"/>
  <c r="L30" i="2" s="1"/>
  <c r="F25" i="2"/>
  <c r="L25" i="2" s="1"/>
  <c r="F12" i="2"/>
  <c r="L12" i="2" s="1"/>
  <c r="AN52" i="46"/>
  <c r="AN53" i="46" s="1"/>
  <c r="D3" i="2"/>
  <c r="G38" i="46"/>
  <c r="H34" i="46" s="1"/>
  <c r="H36" i="46" s="1"/>
  <c r="H37" i="46" s="1"/>
  <c r="AL45" i="46"/>
  <c r="AL46" i="46" s="1"/>
  <c r="C20" i="2"/>
  <c r="C2" i="33" l="1"/>
  <c r="X38" i="55"/>
  <c r="Y34" i="55" s="1"/>
  <c r="AH54" i="55"/>
  <c r="AI50" i="55" s="1"/>
  <c r="AH45" i="55"/>
  <c r="AH46" i="55" s="1"/>
  <c r="B2" i="33"/>
  <c r="D2" i="33"/>
  <c r="K3" i="2"/>
  <c r="K4" i="2"/>
  <c r="H2" i="33"/>
  <c r="O2" i="33"/>
  <c r="E2" i="33"/>
  <c r="G2" i="33"/>
  <c r="F2" i="33"/>
  <c r="R2" i="33"/>
  <c r="L2" i="33"/>
  <c r="K2" i="33"/>
  <c r="N2" i="33"/>
  <c r="F3" i="2"/>
  <c r="L3" i="2" s="1"/>
  <c r="I2" i="33"/>
  <c r="M2" i="33"/>
  <c r="J2" i="33"/>
  <c r="P2" i="33"/>
  <c r="Q2" i="33"/>
  <c r="E20" i="2"/>
  <c r="K20" i="2" s="1"/>
  <c r="AN54" i="46"/>
  <c r="AO50" i="46" s="1"/>
  <c r="H38" i="46"/>
  <c r="I34" i="46" s="1"/>
  <c r="I36" i="46" s="1"/>
  <c r="I37" i="46" s="1"/>
  <c r="AL47" i="46"/>
  <c r="AM43" i="46" s="1"/>
  <c r="Y36" i="55" l="1"/>
  <c r="Y37" i="55" s="1"/>
  <c r="Y38" i="55" s="1"/>
  <c r="Z34" i="55" s="1"/>
  <c r="AH47" i="55"/>
  <c r="AI43" i="55" s="1"/>
  <c r="AI52" i="55"/>
  <c r="AI53" i="55" s="1"/>
  <c r="C2" i="30" a="1"/>
  <c r="C2" i="30" s="1"/>
  <c r="AE3" i="33"/>
  <c r="G3" i="33"/>
  <c r="AL2" i="33"/>
  <c r="AW2" i="33"/>
  <c r="AD3" i="33"/>
  <c r="AR3" i="33"/>
  <c r="AB2" i="33"/>
  <c r="C3" i="33"/>
  <c r="AI2" i="33"/>
  <c r="M3" i="33"/>
  <c r="Y3" i="33"/>
  <c r="AM3" i="33"/>
  <c r="C3" i="30" a="1"/>
  <c r="C3" i="30" s="1"/>
  <c r="AY3" i="33"/>
  <c r="AP2" i="33"/>
  <c r="AO2" i="33"/>
  <c r="AY2" i="33"/>
  <c r="AV3" i="33"/>
  <c r="L3" i="33"/>
  <c r="AN3" i="33"/>
  <c r="V3" i="33"/>
  <c r="U3" i="33"/>
  <c r="AF3" i="33"/>
  <c r="E3" i="33"/>
  <c r="AD2" i="33"/>
  <c r="AC3" i="33"/>
  <c r="AS2" i="33"/>
  <c r="W2" i="33"/>
  <c r="AC2" i="33"/>
  <c r="X2" i="33"/>
  <c r="D3" i="33"/>
  <c r="AU3" i="33"/>
  <c r="I3" i="33"/>
  <c r="AA3" i="33"/>
  <c r="T3" i="33"/>
  <c r="AX3" i="33"/>
  <c r="W3" i="33"/>
  <c r="Z2" i="33"/>
  <c r="AI3" i="33"/>
  <c r="Z3" i="33"/>
  <c r="V2" i="33"/>
  <c r="AJ2" i="33"/>
  <c r="AN2" i="33"/>
  <c r="O3" i="33"/>
  <c r="N3" i="33"/>
  <c r="P3" i="33"/>
  <c r="T2" i="33"/>
  <c r="AV2" i="33"/>
  <c r="AE2" i="33"/>
  <c r="AM2" i="33"/>
  <c r="AK2" i="33"/>
  <c r="X3" i="33"/>
  <c r="AO3" i="33"/>
  <c r="J3" i="33"/>
  <c r="B3" i="33"/>
  <c r="R3" i="33"/>
  <c r="AK3" i="33"/>
  <c r="AG2" i="33"/>
  <c r="K3" i="33"/>
  <c r="AQ3" i="33"/>
  <c r="AT2" i="33"/>
  <c r="AH2" i="33"/>
  <c r="AF2" i="33"/>
  <c r="Y2" i="33"/>
  <c r="AA2" i="33"/>
  <c r="AZ2" i="33"/>
  <c r="AJ3" i="33"/>
  <c r="AS3" i="33"/>
  <c r="AG3" i="33"/>
  <c r="AP3" i="33"/>
  <c r="AT3" i="33"/>
  <c r="AZ3" i="33"/>
  <c r="AX2" i="33"/>
  <c r="H3" i="33"/>
  <c r="AQ2" i="33"/>
  <c r="S2" i="33"/>
  <c r="S3" i="33"/>
  <c r="AR2" i="33"/>
  <c r="U2" i="33"/>
  <c r="AU2" i="33"/>
  <c r="AL3" i="33"/>
  <c r="AH3" i="33"/>
  <c r="AB3" i="33"/>
  <c r="Q3" i="33"/>
  <c r="F3" i="33"/>
  <c r="AW3" i="33"/>
  <c r="AO52" i="46"/>
  <c r="AO53" i="46" s="1"/>
  <c r="I38" i="46"/>
  <c r="J34" i="46" s="1"/>
  <c r="AM45" i="46"/>
  <c r="AM46" i="46" s="1"/>
  <c r="Z36" i="55" l="1"/>
  <c r="Z37" i="55" s="1"/>
  <c r="AI54" i="55"/>
  <c r="AJ50" i="55" s="1"/>
  <c r="AI45" i="55"/>
  <c r="AI46" i="55" s="1"/>
  <c r="AI47" i="55" s="1"/>
  <c r="AJ43" i="55" s="1"/>
  <c r="AO54" i="46"/>
  <c r="AP50" i="46" s="1"/>
  <c r="AP52" i="46" s="1"/>
  <c r="AP53" i="46" s="1"/>
  <c r="AP54" i="46" s="1"/>
  <c r="AQ50" i="46" s="1"/>
  <c r="AQ52" i="46" s="1"/>
  <c r="AQ53" i="46" s="1"/>
  <c r="AM47" i="46"/>
  <c r="AN43" i="46" s="1"/>
  <c r="AN45" i="46" s="1"/>
  <c r="AN46" i="46" s="1"/>
  <c r="J36" i="46"/>
  <c r="J37" i="46" s="1"/>
  <c r="Z38" i="55" l="1"/>
  <c r="AA34" i="55" s="1"/>
  <c r="AJ45" i="55"/>
  <c r="AJ46" i="55" s="1"/>
  <c r="AJ52" i="55"/>
  <c r="AJ53" i="55" s="1"/>
  <c r="AJ54" i="55"/>
  <c r="AK50" i="55" s="1"/>
  <c r="AQ54" i="46"/>
  <c r="AR50" i="46" s="1"/>
  <c r="J38" i="46"/>
  <c r="K34" i="46" s="1"/>
  <c r="K36" i="46" s="1"/>
  <c r="K37" i="46" s="1"/>
  <c r="K38" i="46" s="1"/>
  <c r="L34" i="46" s="1"/>
  <c r="L36" i="46" s="1"/>
  <c r="L37" i="46" s="1"/>
  <c r="AN47" i="46"/>
  <c r="AO43" i="46" s="1"/>
  <c r="AA36" i="55" l="1"/>
  <c r="AA37" i="55" s="1"/>
  <c r="AK52" i="55"/>
  <c r="AK53" i="55" s="1"/>
  <c r="AK54" i="55"/>
  <c r="AL50" i="55" s="1"/>
  <c r="AJ47" i="55"/>
  <c r="AK43" i="55" s="1"/>
  <c r="AR52" i="46"/>
  <c r="AR53" i="46" s="1"/>
  <c r="L38" i="46"/>
  <c r="M34" i="46" s="1"/>
  <c r="AO45" i="46"/>
  <c r="AO46" i="46" s="1"/>
  <c r="AA38" i="55" l="1"/>
  <c r="AB34" i="55" s="1"/>
  <c r="AL52" i="55"/>
  <c r="AL53" i="55" s="1"/>
  <c r="AK45" i="55"/>
  <c r="AK46" i="55" s="1"/>
  <c r="AR54" i="46"/>
  <c r="AS50" i="46" s="1"/>
  <c r="M36" i="46"/>
  <c r="M37" i="46" s="1"/>
  <c r="AO47" i="46"/>
  <c r="AP43" i="46" s="1"/>
  <c r="AP45" i="46" s="1"/>
  <c r="AP46" i="46" s="1"/>
  <c r="AB36" i="55" l="1"/>
  <c r="AB37" i="55" s="1"/>
  <c r="AK47" i="55"/>
  <c r="AL43" i="55" s="1"/>
  <c r="AL54" i="55"/>
  <c r="AM50" i="55" s="1"/>
  <c r="AS52" i="46"/>
  <c r="AS53" i="46" s="1"/>
  <c r="M38" i="46"/>
  <c r="N34" i="46" s="1"/>
  <c r="AP47" i="46"/>
  <c r="AQ43" i="46" s="1"/>
  <c r="AB38" i="55" l="1"/>
  <c r="AC34" i="55" s="1"/>
  <c r="AM52" i="55"/>
  <c r="AM53" i="55" s="1"/>
  <c r="AL45" i="55"/>
  <c r="AL46" i="55" s="1"/>
  <c r="AS54" i="46"/>
  <c r="AT50" i="46" s="1"/>
  <c r="N36" i="46"/>
  <c r="N37" i="46" s="1"/>
  <c r="AQ45" i="46"/>
  <c r="AQ46" i="46" s="1"/>
  <c r="AC36" i="55" l="1"/>
  <c r="AC37" i="55" s="1"/>
  <c r="AC38" i="55" s="1"/>
  <c r="AD34" i="55" s="1"/>
  <c r="AL47" i="55"/>
  <c r="AM43" i="55" s="1"/>
  <c r="AM54" i="55"/>
  <c r="AN50" i="55" s="1"/>
  <c r="AT52" i="46"/>
  <c r="AT53" i="46" s="1"/>
  <c r="N38" i="46"/>
  <c r="O34" i="46" s="1"/>
  <c r="O36" i="46" s="1"/>
  <c r="O37" i="46" s="1"/>
  <c r="AQ47" i="46"/>
  <c r="AR43" i="46" s="1"/>
  <c r="AD36" i="55" l="1"/>
  <c r="AD37" i="55" s="1"/>
  <c r="AN52" i="55"/>
  <c r="AN53" i="55" s="1"/>
  <c r="AM45" i="55"/>
  <c r="AM46" i="55" s="1"/>
  <c r="AT54" i="46"/>
  <c r="O38" i="46"/>
  <c r="P34" i="46" s="1"/>
  <c r="AR45" i="46"/>
  <c r="AR46" i="46" s="1"/>
  <c r="AU50" i="46" l="1"/>
  <c r="AU52" i="46" s="1"/>
  <c r="AU53" i="46" s="1"/>
  <c r="AU54" i="46" s="1"/>
  <c r="AV50" i="46" s="1"/>
  <c r="AV52" i="46" s="1"/>
  <c r="AV53" i="46" s="1"/>
  <c r="AV54" i="46" s="1"/>
  <c r="AW50" i="46" s="1"/>
  <c r="AW52" i="46" s="1"/>
  <c r="AW53" i="46" s="1"/>
  <c r="AW54" i="46" s="1"/>
  <c r="AX50" i="46" s="1"/>
  <c r="AX52" i="46" s="1"/>
  <c r="AX53" i="46" s="1"/>
  <c r="AX54" i="46" s="1"/>
  <c r="AY50" i="46" s="1"/>
  <c r="AY52" i="46" s="1"/>
  <c r="AY53" i="46" s="1"/>
  <c r="AY54" i="46" s="1"/>
  <c r="B11" i="46" s="1"/>
  <c r="B12" i="46" s="1"/>
  <c r="B13" i="46" s="1"/>
  <c r="AN54" i="55"/>
  <c r="AO50" i="55" s="1"/>
  <c r="AD38" i="55"/>
  <c r="AE34" i="55" s="1"/>
  <c r="AE36" i="55"/>
  <c r="AE37" i="55" s="1"/>
  <c r="AM47" i="55"/>
  <c r="AN43" i="55" s="1"/>
  <c r="AN45" i="55"/>
  <c r="AN46" i="55" s="1"/>
  <c r="AO52" i="55"/>
  <c r="AO53" i="55" s="1"/>
  <c r="P36" i="46"/>
  <c r="P37" i="46" s="1"/>
  <c r="P38" i="46" s="1"/>
  <c r="Q34" i="46" s="1"/>
  <c r="AR47" i="46"/>
  <c r="AS43" i="46" s="1"/>
  <c r="E30" i="47" l="1"/>
  <c r="W30" i="47"/>
  <c r="M30" i="47"/>
  <c r="R30" i="47"/>
  <c r="AB30" i="47"/>
  <c r="G30" i="47"/>
  <c r="Y30" i="47"/>
  <c r="N30" i="47"/>
  <c r="AA30" i="47"/>
  <c r="AC30" i="47"/>
  <c r="O30" i="47"/>
  <c r="J30" i="47"/>
  <c r="T30" i="47"/>
  <c r="V30" i="47"/>
  <c r="L30" i="47"/>
  <c r="Q30" i="47"/>
  <c r="I30" i="47"/>
  <c r="F30" i="47"/>
  <c r="S30" i="47"/>
  <c r="X30" i="47"/>
  <c r="K30" i="47"/>
  <c r="P30" i="47"/>
  <c r="U30" i="47"/>
  <c r="Z30" i="47"/>
  <c r="H30" i="47"/>
  <c r="AE38" i="55"/>
  <c r="AF34" i="55" s="1"/>
  <c r="AF36" i="55" s="1"/>
  <c r="AF37" i="55" s="1"/>
  <c r="AF38" i="55" s="1"/>
  <c r="AG34" i="55" s="1"/>
  <c r="AN47" i="55"/>
  <c r="AO43" i="55" s="1"/>
  <c r="AO54" i="55"/>
  <c r="AP50" i="55" s="1"/>
  <c r="AO45" i="55"/>
  <c r="AO46" i="55" s="1"/>
  <c r="Q36" i="46"/>
  <c r="Q37" i="46" s="1"/>
  <c r="AS45" i="46"/>
  <c r="AS46" i="46" s="1"/>
  <c r="AG36" i="55" l="1"/>
  <c r="AG37" i="55" s="1"/>
  <c r="AG38" i="55" s="1"/>
  <c r="AH34" i="55" s="1"/>
  <c r="AO47" i="55"/>
  <c r="AP43" i="55" s="1"/>
  <c r="AP52" i="55"/>
  <c r="AP53" i="55" s="1"/>
  <c r="Q38" i="46"/>
  <c r="R34" i="46" s="1"/>
  <c r="AS47" i="46"/>
  <c r="AT43" i="46" s="1"/>
  <c r="AH36" i="55" l="1"/>
  <c r="AH37" i="55" s="1"/>
  <c r="AH38" i="55"/>
  <c r="AI34" i="55" s="1"/>
  <c r="AP45" i="55"/>
  <c r="AP46" i="55" s="1"/>
  <c r="AP54" i="55"/>
  <c r="AQ50" i="55" s="1"/>
  <c r="R36" i="46"/>
  <c r="R37" i="46" s="1"/>
  <c r="AT45" i="46"/>
  <c r="AT46" i="46" s="1"/>
  <c r="AT47" i="46" s="1"/>
  <c r="AU43" i="46" l="1"/>
  <c r="AU45" i="46" s="1"/>
  <c r="AU46" i="46" s="1"/>
  <c r="AU47" i="46" s="1"/>
  <c r="AV43" i="46" s="1"/>
  <c r="AV45" i="46" s="1"/>
  <c r="AV46" i="46" s="1"/>
  <c r="AV47" i="46" s="1"/>
  <c r="AW43" i="46" s="1"/>
  <c r="AW45" i="46" s="1"/>
  <c r="AW46" i="46" s="1"/>
  <c r="AW47" i="46" s="1"/>
  <c r="AX43" i="46" s="1"/>
  <c r="AX45" i="46" s="1"/>
  <c r="AX46" i="46" s="1"/>
  <c r="AX47" i="46" s="1"/>
  <c r="AY43" i="46" s="1"/>
  <c r="AY45" i="46" s="1"/>
  <c r="AY46" i="46" s="1"/>
  <c r="AY47" i="46" s="1"/>
  <c r="B29" i="46" s="1"/>
  <c r="B30" i="46" s="1"/>
  <c r="B31" i="46" s="1"/>
  <c r="AI36" i="55"/>
  <c r="AI37" i="55" s="1"/>
  <c r="AI38" i="55" s="1"/>
  <c r="AJ34" i="55" s="1"/>
  <c r="AQ52" i="55"/>
  <c r="AQ53" i="55" s="1"/>
  <c r="AP47" i="55"/>
  <c r="AQ43" i="55" s="1"/>
  <c r="R38" i="46"/>
  <c r="S34" i="46" s="1"/>
  <c r="AJ36" i="55" l="1"/>
  <c r="AJ37" i="55" s="1"/>
  <c r="AQ45" i="55"/>
  <c r="AQ46" i="55" s="1"/>
  <c r="AQ54" i="55"/>
  <c r="AR50" i="55" s="1"/>
  <c r="S36" i="46"/>
  <c r="S37" i="46" s="1"/>
  <c r="AJ38" i="55" l="1"/>
  <c r="AK34" i="55" s="1"/>
  <c r="AR52" i="55"/>
  <c r="AR53" i="55" s="1"/>
  <c r="AQ47" i="55"/>
  <c r="AR43" i="55" s="1"/>
  <c r="S38" i="46"/>
  <c r="T34" i="46" s="1"/>
  <c r="AR54" i="55" l="1"/>
  <c r="AS50" i="55" s="1"/>
  <c r="AK36" i="55"/>
  <c r="AK37" i="55" s="1"/>
  <c r="AR45" i="55"/>
  <c r="AR46" i="55" s="1"/>
  <c r="AS52" i="55"/>
  <c r="AS53" i="55" s="1"/>
  <c r="T36" i="46"/>
  <c r="T37" i="46" s="1"/>
  <c r="AK38" i="55" l="1"/>
  <c r="AL34" i="55" s="1"/>
  <c r="AL36" i="55"/>
  <c r="AL37" i="55" s="1"/>
  <c r="AL38" i="55" s="1"/>
  <c r="AM34" i="55" s="1"/>
  <c r="AS54" i="55"/>
  <c r="AT50" i="55" s="1"/>
  <c r="AR47" i="55"/>
  <c r="AS43" i="55" s="1"/>
  <c r="T38" i="46"/>
  <c r="U34" i="46" s="1"/>
  <c r="AM36" i="55" l="1"/>
  <c r="AM37" i="55" s="1"/>
  <c r="AM38" i="55" s="1"/>
  <c r="AN34" i="55" s="1"/>
  <c r="AS45" i="55"/>
  <c r="AS46" i="55" s="1"/>
  <c r="AS47" i="55"/>
  <c r="AT43" i="55" s="1"/>
  <c r="AT52" i="55"/>
  <c r="AT53" i="55" s="1"/>
  <c r="U36" i="46"/>
  <c r="U37" i="46" s="1"/>
  <c r="AN36" i="55" l="1"/>
  <c r="AN37" i="55" s="1"/>
  <c r="AN38" i="55" s="1"/>
  <c r="AO34" i="55" s="1"/>
  <c r="AT54" i="55"/>
  <c r="AU50" i="55" s="1"/>
  <c r="AU52" i="55" s="1"/>
  <c r="AU53" i="55" s="1"/>
  <c r="AU54" i="55" s="1"/>
  <c r="AV50" i="55" s="1"/>
  <c r="AT45" i="55"/>
  <c r="AT46" i="55" s="1"/>
  <c r="U38" i="46"/>
  <c r="V34" i="46" s="1"/>
  <c r="AV52" i="55" l="1"/>
  <c r="AV53" i="55" s="1"/>
  <c r="AO36" i="55"/>
  <c r="AO37" i="55" s="1"/>
  <c r="AO38" i="55" s="1"/>
  <c r="AP34" i="55" s="1"/>
  <c r="AT47" i="55"/>
  <c r="AU43" i="55" s="1"/>
  <c r="V36" i="46"/>
  <c r="V37" i="46" s="1"/>
  <c r="AV54" i="55" l="1"/>
  <c r="AW50" i="55" s="1"/>
  <c r="AW52" i="55" s="1"/>
  <c r="AW53" i="55" s="1"/>
  <c r="AU45" i="55"/>
  <c r="AU46" i="55" s="1"/>
  <c r="AU47" i="55"/>
  <c r="AV43" i="55" s="1"/>
  <c r="AP36" i="55"/>
  <c r="AP37" i="55" s="1"/>
  <c r="AP38" i="55" s="1"/>
  <c r="AQ34" i="55" s="1"/>
  <c r="V38" i="46"/>
  <c r="W34" i="46" s="1"/>
  <c r="W36" i="46" s="1"/>
  <c r="W37" i="46" s="1"/>
  <c r="AW54" i="55" l="1"/>
  <c r="AX50" i="55" s="1"/>
  <c r="AV45" i="55"/>
  <c r="AV46" i="55" s="1"/>
  <c r="AQ36" i="55"/>
  <c r="AQ37" i="55" s="1"/>
  <c r="AQ38" i="55" s="1"/>
  <c r="AR34" i="55" s="1"/>
  <c r="W38" i="46"/>
  <c r="X34" i="46" s="1"/>
  <c r="X36" i="46" s="1"/>
  <c r="X37" i="46" s="1"/>
  <c r="AX52" i="55" l="1"/>
  <c r="AX53" i="55" s="1"/>
  <c r="AV47" i="55"/>
  <c r="AW43" i="55" s="1"/>
  <c r="AR36" i="55"/>
  <c r="AR37" i="55" s="1"/>
  <c r="AR38" i="55" s="1"/>
  <c r="AS34" i="55" s="1"/>
  <c r="X38" i="46"/>
  <c r="Y34" i="46" s="1"/>
  <c r="AX54" i="55" l="1"/>
  <c r="AY50" i="55" s="1"/>
  <c r="AW45" i="55"/>
  <c r="AW46" i="55" s="1"/>
  <c r="AS36" i="55"/>
  <c r="AS37" i="55" s="1"/>
  <c r="AS38" i="55" s="1"/>
  <c r="AT34" i="55" s="1"/>
  <c r="Y36" i="46"/>
  <c r="Y37" i="46" s="1"/>
  <c r="AY52" i="55" l="1"/>
  <c r="AY53" i="55" s="1"/>
  <c r="AW47" i="55"/>
  <c r="AX43" i="55" s="1"/>
  <c r="AT36" i="55"/>
  <c r="AT37" i="55" s="1"/>
  <c r="AT38" i="55" s="1"/>
  <c r="Y38" i="46"/>
  <c r="Z34" i="46" s="1"/>
  <c r="Z36" i="46" s="1"/>
  <c r="Z37" i="46" s="1"/>
  <c r="AY54" i="55" l="1"/>
  <c r="B11" i="55" s="1"/>
  <c r="B12" i="55" s="1"/>
  <c r="B13" i="55" s="1"/>
  <c r="E30" i="56" s="1"/>
  <c r="AX45" i="55"/>
  <c r="AX46" i="55" s="1"/>
  <c r="AU34" i="55"/>
  <c r="Z38" i="46"/>
  <c r="AA34" i="46" s="1"/>
  <c r="V30" i="56" l="1"/>
  <c r="N30" i="56"/>
  <c r="F30" i="56"/>
  <c r="AC30" i="56"/>
  <c r="U30" i="56"/>
  <c r="M30" i="56"/>
  <c r="AB30" i="56"/>
  <c r="T30" i="56"/>
  <c r="L30" i="56"/>
  <c r="AA30" i="56"/>
  <c r="S30" i="56"/>
  <c r="K30" i="56"/>
  <c r="Z30" i="56"/>
  <c r="R30" i="56"/>
  <c r="J30" i="56"/>
  <c r="Y30" i="56"/>
  <c r="Q30" i="56"/>
  <c r="I30" i="56"/>
  <c r="X30" i="56"/>
  <c r="P30" i="56"/>
  <c r="H30" i="56"/>
  <c r="W30" i="56"/>
  <c r="O30" i="56"/>
  <c r="G30" i="56"/>
  <c r="AX47" i="55"/>
  <c r="AY43" i="55" s="1"/>
  <c r="AY45" i="55" s="1"/>
  <c r="AY46" i="55" s="1"/>
  <c r="AY47" i="55" s="1"/>
  <c r="AU36" i="55"/>
  <c r="AU37" i="55" s="1"/>
  <c r="AU38" i="55" s="1"/>
  <c r="AV34" i="55" s="1"/>
  <c r="AA36" i="46"/>
  <c r="AA37" i="46" s="1"/>
  <c r="B29" i="55" l="1"/>
  <c r="B30" i="55" s="1"/>
  <c r="B31" i="55" s="1"/>
  <c r="AV36" i="55"/>
  <c r="AV37" i="55" s="1"/>
  <c r="AV38" i="55" s="1"/>
  <c r="AW34" i="55" s="1"/>
  <c r="AA38" i="46"/>
  <c r="AB34" i="46" s="1"/>
  <c r="AW36" i="55" l="1"/>
  <c r="AW37" i="55" s="1"/>
  <c r="AB36" i="46"/>
  <c r="AB37" i="46" s="1"/>
  <c r="AW38" i="55" l="1"/>
  <c r="AX34" i="55" s="1"/>
  <c r="AX36" i="55" s="1"/>
  <c r="AX37" i="55" s="1"/>
  <c r="AB38" i="46"/>
  <c r="AC34" i="46" s="1"/>
  <c r="AX38" i="55" l="1"/>
  <c r="AY34" i="55" s="1"/>
  <c r="AY36" i="55" s="1"/>
  <c r="AY37" i="55" s="1"/>
  <c r="AC36" i="46"/>
  <c r="AC37" i="46" s="1"/>
  <c r="AY38" i="55" l="1"/>
  <c r="B16" i="55" s="1"/>
  <c r="B17" i="55" s="1"/>
  <c r="B18" i="55" s="1"/>
  <c r="E22" i="56" s="1"/>
  <c r="AC38" i="46"/>
  <c r="AD34" i="46" s="1"/>
  <c r="AD36" i="46" l="1"/>
  <c r="AD37" i="46" s="1"/>
  <c r="AB22" i="56" l="1"/>
  <c r="AB24" i="56" s="1"/>
  <c r="AA22" i="56"/>
  <c r="AA24" i="56" s="1"/>
  <c r="S22" i="56"/>
  <c r="S24" i="56" s="1"/>
  <c r="K22" i="56"/>
  <c r="K24" i="56" s="1"/>
  <c r="T22" i="56"/>
  <c r="T24" i="56" s="1"/>
  <c r="Z22" i="56"/>
  <c r="Z24" i="56" s="1"/>
  <c r="R22" i="56"/>
  <c r="R24" i="56" s="1"/>
  <c r="J22" i="56"/>
  <c r="J24" i="56" s="1"/>
  <c r="E24" i="56"/>
  <c r="Y22" i="56"/>
  <c r="Y24" i="56" s="1"/>
  <c r="Q22" i="56"/>
  <c r="Q24" i="56" s="1"/>
  <c r="I22" i="56"/>
  <c r="I24" i="56" s="1"/>
  <c r="X22" i="56"/>
  <c r="X24" i="56" s="1"/>
  <c r="P22" i="56"/>
  <c r="P24" i="56" s="1"/>
  <c r="H22" i="56"/>
  <c r="H24" i="56" s="1"/>
  <c r="W22" i="56"/>
  <c r="W24" i="56" s="1"/>
  <c r="O22" i="56"/>
  <c r="O24" i="56" s="1"/>
  <c r="G22" i="56"/>
  <c r="G24" i="56" s="1"/>
  <c r="U22" i="56"/>
  <c r="U24" i="56" s="1"/>
  <c r="M22" i="56"/>
  <c r="M24" i="56" s="1"/>
  <c r="V22" i="56"/>
  <c r="V24" i="56" s="1"/>
  <c r="N22" i="56"/>
  <c r="N24" i="56" s="1"/>
  <c r="F22" i="56"/>
  <c r="F24" i="56" s="1"/>
  <c r="AC22" i="56"/>
  <c r="AC24" i="56" s="1"/>
  <c r="L22" i="56"/>
  <c r="L24" i="56" s="1"/>
  <c r="AD38" i="46"/>
  <c r="AE34" i="46" s="1"/>
  <c r="AE36" i="46" s="1"/>
  <c r="AE37" i="46" s="1"/>
  <c r="E26" i="56" l="1"/>
  <c r="E25" i="56"/>
  <c r="R26" i="56"/>
  <c r="R25" i="56"/>
  <c r="R27" i="56"/>
  <c r="W27" i="56"/>
  <c r="W26" i="56"/>
  <c r="W25" i="56"/>
  <c r="F26" i="56"/>
  <c r="F25" i="56"/>
  <c r="F27" i="56"/>
  <c r="P27" i="56"/>
  <c r="P26" i="56"/>
  <c r="P25" i="56"/>
  <c r="V27" i="56"/>
  <c r="V26" i="56"/>
  <c r="V25" i="56"/>
  <c r="T26" i="56"/>
  <c r="T27" i="56"/>
  <c r="T25" i="56"/>
  <c r="M25" i="56"/>
  <c r="M27" i="56"/>
  <c r="M26" i="56"/>
  <c r="S27" i="56"/>
  <c r="S26" i="56"/>
  <c r="S25" i="56"/>
  <c r="J26" i="56"/>
  <c r="J27" i="56"/>
  <c r="J25" i="56"/>
  <c r="N27" i="56"/>
  <c r="N26" i="56"/>
  <c r="N25" i="56"/>
  <c r="X27" i="56"/>
  <c r="X26" i="56"/>
  <c r="X25" i="56"/>
  <c r="Y27" i="56"/>
  <c r="Y25" i="56"/>
  <c r="Y26" i="56"/>
  <c r="AC27" i="56"/>
  <c r="AC25" i="56"/>
  <c r="AC26" i="56"/>
  <c r="H27" i="56"/>
  <c r="H26" i="56"/>
  <c r="H25" i="56"/>
  <c r="Z27" i="56"/>
  <c r="Z26" i="56"/>
  <c r="Z25" i="56"/>
  <c r="Z28" i="56" s="1"/>
  <c r="Z29" i="56" s="1"/>
  <c r="Z31" i="56" s="1"/>
  <c r="Z33" i="56" s="1"/>
  <c r="Z34" i="56" s="1"/>
  <c r="Z35" i="56" s="1"/>
  <c r="I27" i="56"/>
  <c r="I25" i="56"/>
  <c r="I26" i="56"/>
  <c r="K26" i="56"/>
  <c r="K25" i="56"/>
  <c r="K27" i="56"/>
  <c r="U26" i="56"/>
  <c r="U25" i="56"/>
  <c r="U27" i="56"/>
  <c r="Q27" i="56"/>
  <c r="Q26" i="56"/>
  <c r="Q25" i="56"/>
  <c r="G26" i="56"/>
  <c r="G25" i="56"/>
  <c r="G27" i="56"/>
  <c r="AA25" i="56"/>
  <c r="AA26" i="56"/>
  <c r="AA27" i="56"/>
  <c r="L26" i="56"/>
  <c r="L25" i="56"/>
  <c r="L27" i="56"/>
  <c r="O27" i="56"/>
  <c r="O25" i="56"/>
  <c r="O26" i="56"/>
  <c r="E27" i="56"/>
  <c r="AB27" i="56"/>
  <c r="AB25" i="56"/>
  <c r="AB26" i="56"/>
  <c r="AE38" i="46"/>
  <c r="AF34" i="46" s="1"/>
  <c r="AF36" i="46" s="1"/>
  <c r="AF37" i="46" s="1"/>
  <c r="N28" i="56" l="1"/>
  <c r="N29" i="56" s="1"/>
  <c r="N31" i="56" s="1"/>
  <c r="N33" i="56" s="1"/>
  <c r="N34" i="56" s="1"/>
  <c r="N35" i="56" s="1"/>
  <c r="W28" i="56"/>
  <c r="W29" i="56" s="1"/>
  <c r="W31" i="56" s="1"/>
  <c r="W33" i="56" s="1"/>
  <c r="W34" i="56" s="1"/>
  <c r="W35" i="56" s="1"/>
  <c r="S28" i="56"/>
  <c r="S29" i="56" s="1"/>
  <c r="S31" i="56" s="1"/>
  <c r="S33" i="56" s="1"/>
  <c r="S34" i="56" s="1"/>
  <c r="S35" i="56" s="1"/>
  <c r="F28" i="56"/>
  <c r="F29" i="56" s="1"/>
  <c r="F31" i="56" s="1"/>
  <c r="F33" i="56" s="1"/>
  <c r="F34" i="56" s="1"/>
  <c r="F35" i="56" s="1"/>
  <c r="P28" i="56"/>
  <c r="P29" i="56" s="1"/>
  <c r="P31" i="56" s="1"/>
  <c r="P33" i="56" s="1"/>
  <c r="P34" i="56" s="1"/>
  <c r="P35" i="56" s="1"/>
  <c r="V28" i="56"/>
  <c r="V29" i="56" s="1"/>
  <c r="V31" i="56" s="1"/>
  <c r="V33" i="56" s="1"/>
  <c r="V34" i="56" s="1"/>
  <c r="V35" i="56" s="1"/>
  <c r="I28" i="56"/>
  <c r="I29" i="56" s="1"/>
  <c r="I31" i="56" s="1"/>
  <c r="I33" i="56" s="1"/>
  <c r="I34" i="56" s="1"/>
  <c r="I35" i="56" s="1"/>
  <c r="U28" i="56"/>
  <c r="U29" i="56" s="1"/>
  <c r="U31" i="56" s="1"/>
  <c r="U33" i="56" s="1"/>
  <c r="U34" i="56" s="1"/>
  <c r="U35" i="56" s="1"/>
  <c r="G28" i="56"/>
  <c r="G29" i="56" s="1"/>
  <c r="G31" i="56" s="1"/>
  <c r="G33" i="56" s="1"/>
  <c r="G34" i="56" s="1"/>
  <c r="G35" i="56" s="1"/>
  <c r="Y28" i="56"/>
  <c r="Y29" i="56" s="1"/>
  <c r="Y31" i="56" s="1"/>
  <c r="Y33" i="56" s="1"/>
  <c r="Y34" i="56" s="1"/>
  <c r="Y35" i="56" s="1"/>
  <c r="J28" i="56"/>
  <c r="J29" i="56" s="1"/>
  <c r="J31" i="56" s="1"/>
  <c r="J33" i="56" s="1"/>
  <c r="J34" i="56" s="1"/>
  <c r="J35" i="56" s="1"/>
  <c r="M28" i="56"/>
  <c r="M29" i="56" s="1"/>
  <c r="M31" i="56" s="1"/>
  <c r="M33" i="56" s="1"/>
  <c r="M34" i="56" s="1"/>
  <c r="M35" i="56" s="1"/>
  <c r="E28" i="56"/>
  <c r="E29" i="56" s="1"/>
  <c r="E31" i="56" s="1"/>
  <c r="E33" i="56" s="1"/>
  <c r="E34" i="56" s="1"/>
  <c r="E35" i="56" s="1"/>
  <c r="AC28" i="56"/>
  <c r="AC29" i="56" s="1"/>
  <c r="AC31" i="56" s="1"/>
  <c r="AC33" i="56" s="1"/>
  <c r="AC34" i="56" s="1"/>
  <c r="AC35" i="56" s="1"/>
  <c r="AA28" i="56"/>
  <c r="AA29" i="56" s="1"/>
  <c r="AA31" i="56" s="1"/>
  <c r="AA33" i="56" s="1"/>
  <c r="AA34" i="56" s="1"/>
  <c r="AA35" i="56" s="1"/>
  <c r="O28" i="56"/>
  <c r="O29" i="56" s="1"/>
  <c r="O31" i="56" s="1"/>
  <c r="O33" i="56" s="1"/>
  <c r="O34" i="56" s="1"/>
  <c r="O35" i="56" s="1"/>
  <c r="AB28" i="56"/>
  <c r="AB29" i="56" s="1"/>
  <c r="AB31" i="56" s="1"/>
  <c r="AB33" i="56" s="1"/>
  <c r="AB34" i="56" s="1"/>
  <c r="AB35" i="56" s="1"/>
  <c r="K28" i="56"/>
  <c r="K29" i="56" s="1"/>
  <c r="K31" i="56" s="1"/>
  <c r="K33" i="56" s="1"/>
  <c r="K34" i="56" s="1"/>
  <c r="K35" i="56" s="1"/>
  <c r="H28" i="56"/>
  <c r="H29" i="56" s="1"/>
  <c r="H31" i="56" s="1"/>
  <c r="H33" i="56" s="1"/>
  <c r="H34" i="56" s="1"/>
  <c r="H35" i="56" s="1"/>
  <c r="T28" i="56"/>
  <c r="T29" i="56" s="1"/>
  <c r="T31" i="56" s="1"/>
  <c r="T33" i="56" s="1"/>
  <c r="T34" i="56" s="1"/>
  <c r="T35" i="56" s="1"/>
  <c r="R28" i="56"/>
  <c r="R29" i="56" s="1"/>
  <c r="R31" i="56" s="1"/>
  <c r="R33" i="56" s="1"/>
  <c r="R34" i="56" s="1"/>
  <c r="R35" i="56" s="1"/>
  <c r="L28" i="56"/>
  <c r="L29" i="56" s="1"/>
  <c r="L31" i="56" s="1"/>
  <c r="L33" i="56" s="1"/>
  <c r="L34" i="56" s="1"/>
  <c r="L35" i="56" s="1"/>
  <c r="Q28" i="56"/>
  <c r="Q29" i="56" s="1"/>
  <c r="Q31" i="56" s="1"/>
  <c r="Q33" i="56" s="1"/>
  <c r="Q34" i="56" s="1"/>
  <c r="Q35" i="56" s="1"/>
  <c r="X28" i="56"/>
  <c r="X29" i="56" s="1"/>
  <c r="X31" i="56" s="1"/>
  <c r="X33" i="56" s="1"/>
  <c r="X34" i="56" s="1"/>
  <c r="X35" i="56" s="1"/>
  <c r="AF38" i="46"/>
  <c r="AG34" i="46" s="1"/>
  <c r="E37" i="56" l="1"/>
  <c r="C9" i="10" s="1"/>
  <c r="AG36" i="46"/>
  <c r="AG37" i="46" s="1"/>
  <c r="AG38" i="46" l="1"/>
  <c r="AH34" i="46" s="1"/>
  <c r="AH36" i="46" l="1"/>
  <c r="AH37" i="46" s="1"/>
  <c r="AH38" i="46" l="1"/>
  <c r="AI34" i="46" s="1"/>
  <c r="AI36" i="46" l="1"/>
  <c r="AI37" i="46" s="1"/>
  <c r="AI38" i="46" l="1"/>
  <c r="AJ34" i="46" s="1"/>
  <c r="AJ36" i="46" s="1"/>
  <c r="AJ37" i="46" s="1"/>
  <c r="AJ38" i="46" l="1"/>
  <c r="AK34" i="46" s="1"/>
  <c r="AK36" i="46" s="1"/>
  <c r="AK37" i="46" s="1"/>
  <c r="AK38" i="46" l="1"/>
  <c r="AL34" i="46" s="1"/>
  <c r="AL36" i="46" s="1"/>
  <c r="AL37" i="46" s="1"/>
  <c r="AL38" i="46" l="1"/>
  <c r="AM34" i="46" s="1"/>
  <c r="AM36" i="46" l="1"/>
  <c r="AM37" i="46" s="1"/>
  <c r="AM38" i="46" l="1"/>
  <c r="AN34" i="46" s="1"/>
  <c r="AN36" i="46" l="1"/>
  <c r="AN37" i="46" s="1"/>
  <c r="AN38" i="46" l="1"/>
  <c r="AO34" i="46" s="1"/>
  <c r="AO36" i="46" l="1"/>
  <c r="AO37" i="46" s="1"/>
  <c r="AO38" i="46" l="1"/>
  <c r="AP34" i="46" s="1"/>
  <c r="AP36" i="46" l="1"/>
  <c r="AP37" i="46" s="1"/>
  <c r="AP38" i="46" l="1"/>
  <c r="AQ34" i="46" s="1"/>
  <c r="AQ36" i="46" l="1"/>
  <c r="AQ37" i="46" s="1"/>
  <c r="AQ38" i="46" l="1"/>
  <c r="AR34" i="46" s="1"/>
  <c r="AR36" i="46" s="1"/>
  <c r="AR37" i="46" s="1"/>
  <c r="AR38" i="46" l="1"/>
  <c r="AS34" i="46" s="1"/>
  <c r="AS36" i="46" l="1"/>
  <c r="AS37" i="46" s="1"/>
  <c r="AS38" i="46" l="1"/>
  <c r="AT34" i="46" s="1"/>
  <c r="AT36" i="46" l="1"/>
  <c r="AT37" i="46" s="1"/>
  <c r="AT38" i="46" l="1"/>
  <c r="AU34" i="46" l="1"/>
  <c r="B40" i="46"/>
  <c r="AU36" i="46" l="1"/>
  <c r="AU37" i="46" s="1"/>
  <c r="AU38" i="46" l="1"/>
  <c r="AV34" i="46" s="1"/>
  <c r="AV36" i="46" l="1"/>
  <c r="AV37" i="46" s="1"/>
  <c r="AV38" i="46" l="1"/>
  <c r="AW34" i="46" s="1"/>
  <c r="AW36" i="46" s="1"/>
  <c r="AW37" i="46" l="1"/>
  <c r="AW38" i="46" s="1"/>
  <c r="AX34" i="46" s="1"/>
  <c r="AX36" i="46" s="1"/>
  <c r="AX37" i="46" s="1"/>
  <c r="AX38" i="46" l="1"/>
  <c r="AY34" i="46" s="1"/>
  <c r="AY36" i="46" l="1"/>
  <c r="AY37" i="46" s="1"/>
  <c r="AY38" i="46" l="1"/>
  <c r="B16" i="46" s="1"/>
  <c r="B17" i="46" s="1"/>
  <c r="B18" i="46" s="1"/>
  <c r="E22" i="47" l="1"/>
  <c r="E24" i="47" s="1"/>
  <c r="M22" i="47"/>
  <c r="M24" i="47" s="1"/>
  <c r="M25" i="47" s="1"/>
  <c r="R22" i="47"/>
  <c r="R24" i="47" s="1"/>
  <c r="R26" i="47" s="1"/>
  <c r="U22" i="47"/>
  <c r="U24" i="47" s="1"/>
  <c r="U26" i="47" s="1"/>
  <c r="AB22" i="47"/>
  <c r="AB24" i="47" s="1"/>
  <c r="AB27" i="47" s="1"/>
  <c r="AC22" i="47"/>
  <c r="AC24" i="47" s="1"/>
  <c r="AC26" i="47" s="1"/>
  <c r="L22" i="47"/>
  <c r="L24" i="47" s="1"/>
  <c r="L26" i="47" s="1"/>
  <c r="P22" i="47"/>
  <c r="P24" i="47" s="1"/>
  <c r="P27" i="47" s="1"/>
  <c r="T22" i="47"/>
  <c r="T24" i="47" s="1"/>
  <c r="T27" i="47" s="1"/>
  <c r="O22" i="47"/>
  <c r="O24" i="47" s="1"/>
  <c r="O26" i="47" s="1"/>
  <c r="AA22" i="47"/>
  <c r="AA24" i="47" s="1"/>
  <c r="AA27" i="47" s="1"/>
  <c r="H22" i="47"/>
  <c r="H24" i="47" s="1"/>
  <c r="H26" i="47" s="1"/>
  <c r="F22" i="47"/>
  <c r="F24" i="47" s="1"/>
  <c r="F27" i="47" s="1"/>
  <c r="G22" i="47"/>
  <c r="G24" i="47" s="1"/>
  <c r="G25" i="47" s="1"/>
  <c r="N22" i="47"/>
  <c r="N24" i="47" s="1"/>
  <c r="N27" i="47" s="1"/>
  <c r="X22" i="47"/>
  <c r="X24" i="47" s="1"/>
  <c r="X25" i="47" s="1"/>
  <c r="Z22" i="47"/>
  <c r="Z24" i="47" s="1"/>
  <c r="Z27" i="47" s="1"/>
  <c r="Y22" i="47"/>
  <c r="Y24" i="47" s="1"/>
  <c r="Y25" i="47" s="1"/>
  <c r="S22" i="47"/>
  <c r="S24" i="47" s="1"/>
  <c r="S26" i="47" s="1"/>
  <c r="I22" i="47"/>
  <c r="I24" i="47" s="1"/>
  <c r="I26" i="47" s="1"/>
  <c r="Q22" i="47"/>
  <c r="Q24" i="47" s="1"/>
  <c r="Q25" i="47" s="1"/>
  <c r="V22" i="47"/>
  <c r="V24" i="47" s="1"/>
  <c r="V27" i="47" s="1"/>
  <c r="W22" i="47"/>
  <c r="W24" i="47" s="1"/>
  <c r="W25" i="47" s="1"/>
  <c r="J22" i="47"/>
  <c r="J24" i="47" s="1"/>
  <c r="J26" i="47" s="1"/>
  <c r="K22" i="47"/>
  <c r="K24" i="47" s="1"/>
  <c r="K27" i="47" s="1"/>
  <c r="M27" i="47"/>
  <c r="AA26" i="47"/>
  <c r="X26" i="47" l="1"/>
  <c r="X28" i="47" s="1"/>
  <c r="X29" i="47" s="1"/>
  <c r="X31" i="47" s="1"/>
  <c r="X33" i="47" s="1"/>
  <c r="X34" i="47" s="1"/>
  <c r="X35" i="47" s="1"/>
  <c r="U27" i="47"/>
  <c r="U25" i="47"/>
  <c r="X27" i="47"/>
  <c r="J25" i="47"/>
  <c r="E27" i="47"/>
  <c r="E25" i="47"/>
  <c r="E26" i="47"/>
  <c r="W26" i="47"/>
  <c r="I27" i="47"/>
  <c r="W27" i="47"/>
  <c r="H27" i="47"/>
  <c r="AA25" i="47"/>
  <c r="AA28" i="47" s="1"/>
  <c r="AA29" i="47" s="1"/>
  <c r="AA31" i="47" s="1"/>
  <c r="AA33" i="47" s="1"/>
  <c r="AA34" i="47" s="1"/>
  <c r="AA35" i="47" s="1"/>
  <c r="I25" i="47"/>
  <c r="I28" i="47" s="1"/>
  <c r="I29" i="47" s="1"/>
  <c r="I31" i="47" s="1"/>
  <c r="I33" i="47" s="1"/>
  <c r="I34" i="47" s="1"/>
  <c r="I35" i="47" s="1"/>
  <c r="F25" i="47"/>
  <c r="G27" i="47"/>
  <c r="R27" i="47"/>
  <c r="H25" i="47"/>
  <c r="L25" i="47"/>
  <c r="N25" i="47"/>
  <c r="N26" i="47"/>
  <c r="L27" i="47"/>
  <c r="AB25" i="47"/>
  <c r="F26" i="47"/>
  <c r="F28" i="47" s="1"/>
  <c r="F29" i="47" s="1"/>
  <c r="F31" i="47" s="1"/>
  <c r="F33" i="47" s="1"/>
  <c r="F34" i="47" s="1"/>
  <c r="F35" i="47" s="1"/>
  <c r="J27" i="47"/>
  <c r="J28" i="47" s="1"/>
  <c r="J29" i="47" s="1"/>
  <c r="J31" i="47" s="1"/>
  <c r="J33" i="47" s="1"/>
  <c r="J34" i="47" s="1"/>
  <c r="J35" i="47" s="1"/>
  <c r="AB26" i="47"/>
  <c r="P25" i="47"/>
  <c r="T26" i="47"/>
  <c r="Z26" i="47"/>
  <c r="Z25" i="47"/>
  <c r="AC25" i="47"/>
  <c r="K25" i="47"/>
  <c r="P26" i="47"/>
  <c r="G26" i="47"/>
  <c r="AC27" i="47"/>
  <c r="M26" i="47"/>
  <c r="M28" i="47" s="1"/>
  <c r="M29" i="47" s="1"/>
  <c r="M31" i="47" s="1"/>
  <c r="M33" i="47" s="1"/>
  <c r="M34" i="47" s="1"/>
  <c r="M35" i="47" s="1"/>
  <c r="Y26" i="47"/>
  <c r="Y27" i="47"/>
  <c r="V26" i="47"/>
  <c r="V25" i="47"/>
  <c r="V28" i="47" s="1"/>
  <c r="V29" i="47" s="1"/>
  <c r="V31" i="47" s="1"/>
  <c r="V33" i="47" s="1"/>
  <c r="V34" i="47" s="1"/>
  <c r="V35" i="47" s="1"/>
  <c r="K26" i="47"/>
  <c r="S25" i="47"/>
  <c r="O25" i="47"/>
  <c r="Q27" i="47"/>
  <c r="S27" i="47"/>
  <c r="O27" i="47"/>
  <c r="T25" i="47"/>
  <c r="Q26" i="47"/>
  <c r="R25" i="47"/>
  <c r="R28" i="47" s="1"/>
  <c r="R29" i="47" s="1"/>
  <c r="R31" i="47" s="1"/>
  <c r="R33" i="47" s="1"/>
  <c r="R34" i="47" s="1"/>
  <c r="R35" i="47" s="1"/>
  <c r="U28" i="47"/>
  <c r="U29" i="47" s="1"/>
  <c r="U31" i="47" s="1"/>
  <c r="U33" i="47" s="1"/>
  <c r="U34" i="47" s="1"/>
  <c r="U35" i="47" s="1"/>
  <c r="Z28" i="47"/>
  <c r="Z29" i="47" s="1"/>
  <c r="Z31" i="47" s="1"/>
  <c r="Z33" i="47" s="1"/>
  <c r="Z34" i="47" s="1"/>
  <c r="Z35" i="47" s="1"/>
  <c r="L28" i="47" l="1"/>
  <c r="L29" i="47" s="1"/>
  <c r="L31" i="47" s="1"/>
  <c r="L33" i="47" s="1"/>
  <c r="L34" i="47" s="1"/>
  <c r="L35" i="47" s="1"/>
  <c r="G28" i="47"/>
  <c r="G29" i="47" s="1"/>
  <c r="G31" i="47" s="1"/>
  <c r="G33" i="47" s="1"/>
  <c r="G34" i="47" s="1"/>
  <c r="G35" i="47" s="1"/>
  <c r="AB28" i="47"/>
  <c r="AB29" i="47" s="1"/>
  <c r="AB31" i="47" s="1"/>
  <c r="AB33" i="47" s="1"/>
  <c r="AB34" i="47" s="1"/>
  <c r="AB35" i="47" s="1"/>
  <c r="H28" i="47"/>
  <c r="H29" i="47" s="1"/>
  <c r="H31" i="47" s="1"/>
  <c r="H33" i="47" s="1"/>
  <c r="H34" i="47" s="1"/>
  <c r="H35" i="47" s="1"/>
  <c r="W28" i="47"/>
  <c r="W29" i="47" s="1"/>
  <c r="W31" i="47" s="1"/>
  <c r="W33" i="47" s="1"/>
  <c r="W34" i="47" s="1"/>
  <c r="W35" i="47" s="1"/>
  <c r="N28" i="47"/>
  <c r="N29" i="47" s="1"/>
  <c r="N31" i="47" s="1"/>
  <c r="N33" i="47" s="1"/>
  <c r="N34" i="47" s="1"/>
  <c r="N35" i="47" s="1"/>
  <c r="P28" i="47"/>
  <c r="P29" i="47" s="1"/>
  <c r="P31" i="47" s="1"/>
  <c r="P33" i="47" s="1"/>
  <c r="P34" i="47" s="1"/>
  <c r="P35" i="47" s="1"/>
  <c r="Q28" i="47"/>
  <c r="Q29" i="47" s="1"/>
  <c r="Q31" i="47" s="1"/>
  <c r="Q33" i="47" s="1"/>
  <c r="Q34" i="47" s="1"/>
  <c r="Q35" i="47" s="1"/>
  <c r="K28" i="47"/>
  <c r="K29" i="47" s="1"/>
  <c r="K31" i="47" s="1"/>
  <c r="K33" i="47" s="1"/>
  <c r="K34" i="47" s="1"/>
  <c r="K35" i="47" s="1"/>
  <c r="T28" i="47"/>
  <c r="T29" i="47" s="1"/>
  <c r="T31" i="47" s="1"/>
  <c r="T33" i="47" s="1"/>
  <c r="T34" i="47" s="1"/>
  <c r="T35" i="47" s="1"/>
  <c r="E28" i="47"/>
  <c r="E29" i="47" s="1"/>
  <c r="E31" i="47" s="1"/>
  <c r="E33" i="47" s="1"/>
  <c r="E34" i="47" s="1"/>
  <c r="E35" i="47" s="1"/>
  <c r="Y28" i="47"/>
  <c r="Y29" i="47" s="1"/>
  <c r="Y31" i="47" s="1"/>
  <c r="Y33" i="47" s="1"/>
  <c r="Y34" i="47" s="1"/>
  <c r="Y35" i="47" s="1"/>
  <c r="AC28" i="47"/>
  <c r="AC29" i="47" s="1"/>
  <c r="AC31" i="47" s="1"/>
  <c r="AC33" i="47" s="1"/>
  <c r="AC34" i="47" s="1"/>
  <c r="AC35" i="47" s="1"/>
  <c r="O28" i="47"/>
  <c r="O29" i="47" s="1"/>
  <c r="O31" i="47" s="1"/>
  <c r="O33" i="47" s="1"/>
  <c r="O34" i="47" s="1"/>
  <c r="O35" i="47" s="1"/>
  <c r="S28" i="47"/>
  <c r="S29" i="47" s="1"/>
  <c r="S31" i="47" s="1"/>
  <c r="S33" i="47" s="1"/>
  <c r="S34" i="47" s="1"/>
  <c r="S35" i="47" s="1"/>
  <c r="E37" i="47" l="1"/>
  <c r="C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Thorbjørn Larsen</author>
  </authors>
  <commentList>
    <comment ref="B8" authorId="0" shapeId="0" xr:uid="{55844A1A-CD9E-40D7-A8D9-D39CE79F7176}">
      <text>
        <r>
          <rPr>
            <sz val="9"/>
            <color rgb="FF000000"/>
            <rFont val="Tahoma"/>
            <family val="2"/>
          </rPr>
          <t>If we download a report from a source, ex: Djøf, we will store it here and will not directly edit it</t>
        </r>
      </text>
    </comment>
    <comment ref="B9" authorId="0" shapeId="0" xr:uid="{C834B403-02CE-4023-A9EB-93187FD9FBBC}">
      <text>
        <r>
          <rPr>
            <sz val="9"/>
            <color indexed="81"/>
            <rFont val="Tahoma"/>
            <family val="2"/>
          </rPr>
          <t>Raw Report but a column has been added for lookups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<sst xmlns="http://schemas.openxmlformats.org/spreadsheetml/2006/main" count="1524" uniqueCount="278">
  <si>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</si>
  <si>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</si>
  <si>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</si>
  <si>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</si>
  <si>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</si>
  <si>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</si>
  <si>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</si>
  <si>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</si>
  <si>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</si>
  <si>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</si>
  <si>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</si>
  <si>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</si>
  <si>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</si>
  <si>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</si>
  <si>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</si>
  <si>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</si>
  <si>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</si>
  <si>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</si>
  <si>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</si>
  <si>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</si>
  <si>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</si>
  <si>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</si>
  <si>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</si>
  <si>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</si>
  <si>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</si>
  <si>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</si>
  <si>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</si>
  <si>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</si>
  <si>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</si>
  <si>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</si>
  <si>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</si>
  <si>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</si>
  <si>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</si>
  <si>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</si>
  <si>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</si>
  <si>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</si>
  <si>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</si>
  <si>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</si>
  <si>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</si>
  <si>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</si>
  <si>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</si>
  <si>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</si>
  <si>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</si>
  <si>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</si>
  <si>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Table Colors</t>
  </si>
  <si>
    <t>Uploaded to Python</t>
  </si>
  <si>
    <t>Raw Report</t>
  </si>
  <si>
    <t>Calculation</t>
  </si>
  <si>
    <t>Not Uploaded to Python</t>
  </si>
  <si>
    <t>Age</t>
  </si>
  <si>
    <t>Age Group</t>
  </si>
  <si>
    <t>Finance Workers</t>
  </si>
  <si>
    <t>Finance Hoppers</t>
  </si>
  <si>
    <t>FH/FW</t>
  </si>
  <si>
    <t>FH/FV</t>
  </si>
  <si>
    <t>Raw Report with Key</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</si>
  <si>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</si>
  <si>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</si>
  <si>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</si>
  <si>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</si>
  <si>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</si>
  <si>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</si>
  <si>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</si>
  <si>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</si>
  <si>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</si>
  <si>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</si>
  <si>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</si>
  <si>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</si>
  <si>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</si>
  <si>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</si>
  <si>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</si>
  <si>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</si>
  <si>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</si>
  <si>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</si>
  <si>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</si>
  <si>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</si>
  <si>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</si>
  <si>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</si>
  <si>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</si>
  <si>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</si>
  <si>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</si>
  <si>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</si>
  <si>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</si>
  <si>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</si>
  <si>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</si>
  <si>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</si>
  <si>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</si>
  <si>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</si>
  <si>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</si>
  <si>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</si>
  <si>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</si>
  <si>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</si>
  <si>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</si>
  <si>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</si>
  <si>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</si>
  <si>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</si>
  <si>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</si>
  <si>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</si>
  <si>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</si>
  <si>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</si>
  <si>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</si>
  <si>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</si>
  <si>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</si>
  <si>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</si>
  <si>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</si>
  <si>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</si>
  <si>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</si>
  <si>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</si>
  <si>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</si>
  <si>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</si>
  <si>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</si>
  <si>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</si>
  <si>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</si>
  <si>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</si>
  <si>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</si>
  <si>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</si>
  <si>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</si>
  <si>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</si>
  <si>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</si>
  <si>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</si>
  <si>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</si>
  <si>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</si>
  <si>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</si>
  <si>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</si>
  <si>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</si>
  <si>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</si>
  <si>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</si>
  <si>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</si>
  <si>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</si>
  <si>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</si>
  <si>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</si>
  <si>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</si>
  <si>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</si>
  <si>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</si>
  <si>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</si>
  <si>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</si>
  <si>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</si>
  <si>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</si>
  <si>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</si>
  <si>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</si>
  <si>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</si>
  <si>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</si>
  <si>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</si>
  <si>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</si>
  <si>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</si>
  <si>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</si>
  <si>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</si>
  <si>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</si>
  <si>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</si>
  <si>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</si>
  <si>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</si>
  <si>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</si>
  <si>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</si>
  <si>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</si>
  <si>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</si>
  <si>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</si>
  <si>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</si>
  <si>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</si>
  <si>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</si>
  <si>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</si>
  <si>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</si>
  <si>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</si>
  <si>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</si>
  <si>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</si>
  <si>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</si>
  <si>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</si>
  <si>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</si>
  <si>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</si>
  <si>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</si>
  <si>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</si>
  <si>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</si>
  <si>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</si>
  <si>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</si>
  <si>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</si>
  <si>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</si>
  <si>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</si>
  <si>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</si>
  <si>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</si>
  <si>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</si>
  <si>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</si>
  <si>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</si>
  <si>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</si>
  <si>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</si>
  <si>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</si>
  <si>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</si>
  <si>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per month (gross)</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</si>
  <si>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</si>
  <si>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</si>
  <si>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</si>
  <si>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</si>
  <si>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</si>
  <si>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</si>
  <si>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</si>
  <si>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</si>
  <si>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</si>
  <si>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</si>
  <si>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</si>
  <si>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</si>
  <si>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</si>
  <si>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</si>
  <si>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</si>
  <si>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</si>
  <si>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</si>
  <si>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</si>
  <si>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</si>
  <si>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</si>
  <si>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</si>
  <si>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</si>
  <si>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</si>
  <si>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</si>
  <si>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</si>
  <si>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</si>
  <si>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</si>
  <si>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</si>
  <si>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</si>
  <si>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</si>
  <si>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</si>
  <si>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</si>
  <si>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</si>
  <si>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</si>
  <si>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</si>
  <si>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</si>
  <si>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</si>
  <si>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</si>
  <si>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</si>
  <si>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</si>
  <si>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</si>
  <si>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</si>
  <si>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</si>
  <si>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</si>
  <si>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</si>
  <si>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</si>
  <si>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</si>
  <si>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</si>
  <si>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</si>
  <si>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</si>
  <si>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</si>
  <si>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</si>
  <si>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</si>
  <si>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</si>
  <si>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</si>
  <si>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</si>
  <si>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</si>
  <si>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</si>
  <si>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</si>
  <si>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</si>
  <si>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</si>
  <si>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</si>
  <si>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</si>
  <si>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</si>
  <si>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</si>
  <si>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</si>
  <si>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</si>
  <si>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</si>
  <si>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</si>
  <si>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</si>
  <si>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</si>
  <si>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</si>
  <si>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</si>
  <si>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</si>
  <si>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</si>
  <si>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</si>
  <si>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</si>
  <si>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</si>
  <si>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Monthly Target</t>
  </si>
  <si>
    <t>Yearly Target</t>
  </si>
  <si>
    <t>Alderopsparing</t>
  </si>
  <si>
    <t>Net Salary (Yearly)</t>
  </si>
  <si>
    <t>Aldersopsparing</t>
  </si>
  <si>
    <t>Start of year</t>
  </si>
  <si>
    <t>Aldersopsparing Total</t>
  </si>
  <si>
    <t>Divided by 25</t>
  </si>
  <si>
    <t>Taxed in retirement?</t>
  </si>
  <si>
    <t>No</t>
  </si>
  <si>
    <t>Last  Net Income from Work</t>
  </si>
  <si>
    <t>Post Investing</t>
  </si>
  <si>
    <t>Goal Details</t>
  </si>
  <si>
    <t>Work Pension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</si>
</sst>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00"/>
    <numFmt numFmtId="167" formatCode="_-* #,##0.0\ _k_r_._-;\-* #,##0.0\ _k_r_._-;_-* &quot;-&quot;?\ _k_r_._-;_-@_-"/>
  </numFmts>
  <fonts count="17"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12"/>
      <color theme="1"/>
      <name val="Aptos Narrow"/>
      <family val="2"/>
      <scheme val="minor"/>
    </font>
    <font>
      <b/>
      <sz val="12"/>
      <name val="Aptos Narrow"/>
      <family val="2"/>
      <scheme val="minor"/>
    </font>
    <font>
      <i/>
      <sz val="11"/>
      <name val="Aptos Narrow"/>
      <family val="2"/>
      <scheme val="minor"/>
    </font>
    <font>
      <i/>
      <sz val="11"/>
      <color theme="1"/>
      <name val="Aptos Narrow"/>
      <family val="2"/>
      <scheme val="minor"/>
    </font>
    <font>
      <sz val="9"/>
      <color rgb="FF000000"/>
      <name val="Tahoma"/>
      <family val="2"/>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2">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applyNumberFormat="0" applyFill="0" applyBorder="0" applyAlignment="0" applyProtection="0"/>
    <xf numFmtId="0" fontId="10" fillId="9" borderId="13" applyNumberFormat="0" applyBorder="0" applyAlignment="0" applyProtection="0">
      <alignment horizontal="left" indent="1"/>
    </xf>
    <xf numFmtId="0" fontId="10" fillId="6" borderId="19" applyNumberFormat="0" applyBorder="0" applyAlignment="0" applyProtection="0">
      <alignment horizontal="left" indent="1"/>
    </xf>
    <xf numFmtId="0" fontId="10" fillId="8" borderId="19" applyNumberFormat="0" applyBorder="0" applyAlignment="0" applyProtection="0">
      <alignment horizontal="left" indent="1"/>
    </xf>
    <xf numFmtId="0" fontId="10" fillId="7" borderId="9" applyNumberFormat="0" applyBorder="0" applyAlignment="0" applyProtection="0"/>
  </cellStyleXfs>
  <cellXfs count="87">
    <xf numFmtId="0" fontId="0" fillId="0" borderId="0" xfId="0"/>
    <xf numFmtId="0" fontId="0" fillId="0" borderId="9" xfId="0"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0" xfId="0" quotePrefix="1"/>
    <xf numFmtId="2" fontId="0" fillId="0" borderId="0" xfId="0" applyNumberFormat="1"/>
    <xf numFmtId="164" fontId="0" fillId="0" borderId="0" xfId="0" applyNumberFormat="1"/>
    <xf numFmtId="165"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0" xfId="0" applyFont="1" applyBorder="1"/>
    <xf numFmtId="0" fontId="7" fillId="0" borderId="11" xfId="0" applyFont="1" applyBorder="1"/>
    <xf numFmtId="0" fontId="0" fillId="0" borderId="12" xfId="0" applyBorder="1" applyAlignment="1">
      <alignment horizontal="left" indent="1"/>
    </xf>
    <xf numFmtId="10" fontId="0" fillId="0" borderId="9" xfId="2" applyNumberFormat="1" applyFont="1" applyBorder="1"/>
    <xf numFmtId="10" fontId="0" fillId="0" borderId="13" xfId="0" applyNumberFormat="1" applyBorder="1"/>
    <xf numFmtId="4" fontId="0" fillId="0" borderId="14" xfId="0" applyNumberFormat="1" applyBorder="1"/>
    <xf numFmtId="0" fontId="0" fillId="0" borderId="16" xfId="0" applyBorder="1" applyAlignment="1">
      <alignment horizontal="left" indent="1"/>
    </xf>
    <xf numFmtId="10" fontId="0" fillId="0" borderId="15" xfId="2" applyNumberFormat="1" applyFont="1" applyBorder="1"/>
    <xf numFmtId="0" fontId="0" fillId="0" borderId="17" xfId="0" applyBorder="1" applyAlignment="1">
      <alignment horizontal="left" indent="1"/>
    </xf>
    <xf numFmtId="10" fontId="0" fillId="0" borderId="18" xfId="2" applyNumberFormat="1" applyFont="1" applyBorder="1"/>
    <xf numFmtId="4" fontId="0" fillId="0" borderId="18" xfId="1" applyNumberFormat="1" applyFont="1" applyBorder="1"/>
    <xf numFmtId="4" fontId="0" fillId="0" borderId="18" xfId="0" applyNumberFormat="1" applyBorder="1"/>
    <xf numFmtId="10" fontId="0" fillId="0" borderId="18" xfId="0" applyNumberFormat="1" applyBorder="1"/>
    <xf numFmtId="4" fontId="0" fillId="0" borderId="15" xfId="2" applyNumberFormat="1" applyFont="1" applyBorder="1"/>
    <xf numFmtId="4" fontId="0" fillId="2" borderId="0" xfId="2" applyNumberFormat="1" applyFont="1" applyFill="1"/>
    <xf numFmtId="0" fontId="9" fillId="2" borderId="0" xfId="5" applyFill="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167" fontId="0" fillId="2" borderId="0" xfId="0" applyNumberFormat="1" applyFill="1"/>
    <xf numFmtId="0" fontId="10" fillId="9" borderId="9" xfId="6" applyBorder="1" applyAlignment="1"/>
    <xf numFmtId="0" fontId="10" fillId="6" borderId="9" xfId="7" applyBorder="1" applyAlignment="1"/>
    <xf numFmtId="0" fontId="10" fillId="8" borderId="9" xfId="8" applyBorder="1" applyAlignment="1"/>
    <xf numFmtId="0" fontId="0" fillId="0" borderId="9" xfId="0" applyBorder="1"/>
    <xf numFmtId="0" fontId="0" fillId="0" borderId="9" xfId="0" quotePrefix="1" applyBorder="1"/>
    <xf numFmtId="4" fontId="0" fillId="0" borderId="9" xfId="0" applyNumberFormat="1" applyBorder="1"/>
    <xf numFmtId="49" fontId="0" fillId="0" borderId="9" xfId="0" applyNumberFormat="1" applyBorder="1"/>
    <xf numFmtId="43" fontId="0" fillId="0" borderId="9" xfId="1" applyFont="1" applyBorder="1"/>
    <xf numFmtId="166" fontId="0" fillId="0" borderId="9" xfId="0" applyNumberFormat="1" applyBorder="1"/>
    <xf numFmtId="166" fontId="7" fillId="0" borderId="9" xfId="0" applyNumberFormat="1" applyFont="1" applyBorder="1"/>
    <xf numFmtId="0" fontId="10" fillId="7" borderId="9" xfId="9" applyBorder="1"/>
    <xf numFmtId="0" fontId="12" fillId="11" borderId="9" xfId="0" applyFont="1" applyFill="1" applyBorder="1"/>
    <xf numFmtId="0" fontId="13" fillId="12" borderId="9" xfId="0" applyFont="1" applyFill="1" applyBorder="1"/>
    <xf numFmtId="0" fontId="14" fillId="9" borderId="20" xfId="6" applyFont="1" applyBorder="1" applyAlignment="1">
      <alignment horizontal="left" indent="1"/>
    </xf>
    <xf numFmtId="0" fontId="14" fillId="6" borderId="18" xfId="7" applyFont="1" applyBorder="1" applyAlignment="1">
      <alignment horizontal="left" indent="1"/>
    </xf>
    <xf numFmtId="0" fontId="14" fillId="8" borderId="18" xfId="8" applyFont="1" applyBorder="1" applyAlignment="1">
      <alignment horizontal="left" indent="1"/>
    </xf>
    <xf numFmtId="0" fontId="14" fillId="8" borderId="21" xfId="8" applyFont="1" applyBorder="1" applyAlignment="1">
      <alignment horizontal="left" indent="1"/>
    </xf>
    <xf numFmtId="0" fontId="14" fillId="2" borderId="18" xfId="0" applyFont="1" applyFill="1" applyBorder="1"/>
    <xf numFmtId="0" fontId="15" fillId="2" borderId="18" xfId="0" applyFont="1" applyFill="1" applyBorder="1"/>
    <xf numFmtId="0" fontId="15" fillId="2" borderId="21" xfId="0" applyFont="1" applyFill="1" applyBorder="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10">
    <cellStyle name="Caculation TOC" xfId="7" xr:uid="{B58F482B-54F8-4190-9F28-6741D3685A8E}"/>
    <cellStyle name="Comma" xfId="1" builtinId="3"/>
    <cellStyle name="Hyperlink" xfId="5" builtinId="8"/>
    <cellStyle name="Input" xfId="3" builtinId="20"/>
    <cellStyle name="Inputs TOC" xfId="6" xr:uid="{B2216650-9B72-4BD8-A14C-054CAF20CBC1}"/>
    <cellStyle name="Normal" xfId="0" builtinId="0"/>
    <cellStyle name="Output" xfId="4" builtinId="21"/>
    <cellStyle name="Per cent" xfId="2" builtinId="5"/>
    <cellStyle name="Raw Report (Key) TOC" xfId="8" xr:uid="{A31553E3-DC1E-40AF-8CC3-66BE6ECFFF90}"/>
    <cellStyle name="Raw Report TOC" xfId="9" xr:uid="{E82399ED-3A64-435F-AD42-B07DCD5C5857}"/>
  </cellStyles>
  <dxfs count="69">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xml"/><Relationship Id="rId21" Type="http://schemas.openxmlformats.org/officeDocument/2006/relationships/worksheet" Target="worksheets/sheet21.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63" Type="http://schemas.openxmlformats.org/officeDocument/2006/relationships/styles" Target="styles.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externalLink" Target="externalLinks/externalLink28.xml"/><Relationship Id="rId58" Type="http://schemas.openxmlformats.org/officeDocument/2006/relationships/externalLink" Target="externalLinks/externalLink33.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3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56" Type="http://schemas.openxmlformats.org/officeDocument/2006/relationships/externalLink" Target="externalLinks/externalLink31.xml"/><Relationship Id="rId64" Type="http://schemas.openxmlformats.org/officeDocument/2006/relationships/sharedStrings" Target="sharedString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59" Type="http://schemas.openxmlformats.org/officeDocument/2006/relationships/externalLink" Target="externalLinks/externalLink34.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externalLink" Target="externalLinks/externalLink29.xml"/><Relationship Id="rId62" Type="http://schemas.openxmlformats.org/officeDocument/2006/relationships/theme" Target="theme/theme1.xml"/><Relationship Id="rId7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 Id="rId57" Type="http://schemas.openxmlformats.org/officeDocument/2006/relationships/externalLink" Target="externalLinks/externalLink32.xml"/><Relationship Id="rId10" Type="http://schemas.openxmlformats.org/officeDocument/2006/relationships/worksheet" Target="worksheets/sheet10.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externalLink" Target="externalLinks/externalLink27.xml"/><Relationship Id="rId60" Type="http://schemas.openxmlformats.org/officeDocument/2006/relationships/externalLink" Target="externalLinks/externalLink35.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4.xml"/><Relationship Id="rId34" Type="http://schemas.openxmlformats.org/officeDocument/2006/relationships/externalLink" Target="externalLinks/externalLink9.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20</xdr:col>
      <xdr:colOff>222405</xdr:colOff>
      <xdr:row>3</xdr:row>
      <xdr:rowOff>160385</xdr:rowOff>
    </xdr:from>
    <xdr:to>
      <xdr:col>25</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17</xdr:col>
      <xdr:colOff>1439931</xdr:colOff>
      <xdr:row>1</xdr:row>
      <xdr:rowOff>116267</xdr:rowOff>
    </xdr:from>
    <xdr:to>
      <xdr:col>20</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53" totalsRowShown="0" headerRowDxfId="56" dataDxfId="55">
  <autoFilter ref="B2:F53"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T53" totalsRowShown="0" headerRowDxfId="49" dataDxfId="48">
  <autoFilter ref="M2:T53"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20" dataDxfId="19">
  <autoFilter ref="B2:F5" xr:uid="{E6188FC4-483E-4C27-BFF6-3D5A9BEC7A02}"/>
  <tableColumns count="5">
    <tableColumn id="1" xr3:uid="{B2C6C0FB-6BCC-4A61-B677-3B10161A53EF}" name="Goal Info" dataDxfId="18"/>
    <tableColumn id="2" xr3:uid="{C536957A-8C0E-4218-9336-E98D68589B96}" name="GOAL A" dataDxfId="17"/>
    <tableColumn id="3" xr3:uid="{119B5EE3-3581-4D04-BB55-BCC2E702193C}" name="GOAL B" dataDxfId="16"/>
    <tableColumn id="4" xr3:uid="{6D7BF2C5-D2EB-4CDD-A1E3-639A94B04FB3}" name="GOAL C" dataDxfId="15"/>
    <tableColumn id="5" xr3:uid="{FC141F07-39CA-4E36-BE88-AE8259A28409}" name="GOAL D" dataDxfId="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13" dataDxfId="12">
  <autoFilter ref="B7:F10" xr:uid="{06296D22-18E1-44D3-A59A-E5E6D672089D}"/>
  <tableColumns count="5">
    <tableColumn id="1" xr3:uid="{B3C79FB9-971E-4621-BADB-62E0B6C842D7}" name="Goal Info" dataDxfId="11"/>
    <tableColumn id="2" xr3:uid="{08F0C2B6-02D7-4431-924D-D9E7C41049B7}" name="GOAL A" dataDxfId="10"/>
    <tableColumn id="3" xr3:uid="{7D5C117D-0D45-489D-81E8-DBEB6FE69CF3}" name="GOAL B" dataDxfId="9"/>
    <tableColumn id="4" xr3:uid="{900DE77F-2D16-4E30-8E7F-638FF98F2CDB}" name="GOAL C" dataDxfId="8"/>
    <tableColumn id="5" xr3:uid="{B0C50B12-C738-4419-9074-3A1A9E37C8AC}" name="GOAL D" dataDxfId="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6" dataDxfId="5">
  <autoFilter ref="B2:F53" xr:uid="{FCF7B272-2B0E-4976-9393-E73F3487686E}"/>
  <tableColumns count="5">
    <tableColumn id="1" xr3:uid="{D58C7B30-A492-4B74-BDE4-021BA5FDD463}" name="N" dataDxfId="4"/>
    <tableColumn id="2" xr3:uid="{9476476E-39E2-48A9-976E-32DDB37BA54B}" name="Year" dataDxfId="3"/>
    <tableColumn id="3" xr3:uid="{32E1CBDE-916A-4A47-B5C5-B62DE0AFD6F2}" name="AgeP1" dataDxfId="2">
      <calculatedColumnFormula>D2+1</calculatedColumnFormula>
    </tableColumn>
    <tableColumn id="4" xr3:uid="{6AC3787E-719B-482A-96B1-472E58822CE9}" name="AgeP2" dataDxfId="1">
      <calculatedColumnFormula>E2+1</calculatedColumnFormula>
    </tableColumn>
    <tableColumn id="5" xr3:uid="{5A11FA80-8E16-4604-BB85-0D6642EE67E7}" name="Loop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B53"/>
  <sheetViews>
    <sheetView workbookViewId="0"/>
  </sheetViews>
  <sheetFormatPr baseColWidth="10" defaultColWidth="8.6640625" defaultRowHeight="15" x14ac:dyDescent="0.2"/>
  <cols>
    <col min="1" max="1" width="3.33203125" style="2" customWidth="1"/>
    <col min="2" max="2" width="49.1640625" style="2" customWidth="1"/>
    <col min="3" max="3" width="9.5" style="2" customWidth="1"/>
    <col min="4" max="16384" width="8.6640625" style="2"/>
  </cols>
  <sheetData>
    <row r="1" spans="2:2" ht="24" x14ac:dyDescent="0.3">
      <c r="B1" s="10" t="s">
        <v>208</v>
      </c>
    </row>
    <row r="5" spans="2:2" ht="24" x14ac:dyDescent="0.3">
      <c r="B5" s="10" t="s">
        <v>237</v>
      </c>
    </row>
    <row r="6" spans="2:2" x14ac:dyDescent="0.2">
      <c r="B6" s="64" t="s">
        <v>242</v>
      </c>
    </row>
    <row r="7" spans="2:2" x14ac:dyDescent="0.2">
      <c r="B7" s="65" t="s">
        <v>47</v>
      </c>
    </row>
    <row r="8" spans="2:2" x14ac:dyDescent="0.2">
      <c r="B8" s="74" t="s">
        <v>46</v>
      </c>
    </row>
    <row r="9" spans="2:2" x14ac:dyDescent="0.2">
      <c r="B9" s="66" t="s">
        <v>55</v>
      </c>
    </row>
    <row r="11" spans="2:2" ht="24" x14ac:dyDescent="0.3">
      <c r="B11" s="10" t="s">
        <v>44</v>
      </c>
    </row>
    <row r="12" spans="2:2" x14ac:dyDescent="0.2">
      <c r="B12" s="11" t="s">
        <v>45</v>
      </c>
    </row>
    <row r="13" spans="2:2" x14ac:dyDescent="0.2">
      <c r="B13" s="12" t="s">
        <v>48</v>
      </c>
    </row>
    <row r="16" spans="2:2" ht="27" customHeight="1" x14ac:dyDescent="0.2">
      <c r="B16" s="55" t="s">
        <v>209</v>
      </c>
    </row>
    <row r="17" spans="2:2" ht="16" x14ac:dyDescent="0.2">
      <c r="B17" s="75" t="s">
        <v>210</v>
      </c>
    </row>
    <row r="18" spans="2:2" x14ac:dyDescent="0.2">
      <c r="B18" s="77" t="s">
        <v>228</v>
      </c>
    </row>
    <row r="19" spans="2:2" x14ac:dyDescent="0.2">
      <c r="B19" s="78" t="s">
        <v>227</v>
      </c>
    </row>
    <row r="20" spans="2:2" x14ac:dyDescent="0.2">
      <c r="B20" s="78" t="s">
        <v>225</v>
      </c>
    </row>
    <row r="21" spans="2:2" x14ac:dyDescent="0.2">
      <c r="B21" s="78" t="s">
        <v>226</v>
      </c>
    </row>
    <row r="22" spans="2:2" x14ac:dyDescent="0.2">
      <c r="B22" s="78" t="s">
        <v>223</v>
      </c>
    </row>
    <row r="23" spans="2:2" x14ac:dyDescent="0.2">
      <c r="B23" s="78" t="s">
        <v>224</v>
      </c>
    </row>
    <row r="24" spans="2:2" x14ac:dyDescent="0.2">
      <c r="B24" s="78" t="s">
        <v>239</v>
      </c>
    </row>
    <row r="25" spans="2:2" x14ac:dyDescent="0.2">
      <c r="B25" s="79" t="s">
        <v>240</v>
      </c>
    </row>
    <row r="26" spans="2:2" x14ac:dyDescent="0.2">
      <c r="B26" s="80" t="s">
        <v>241</v>
      </c>
    </row>
    <row r="27" spans="2:2" ht="16" x14ac:dyDescent="0.2">
      <c r="B27" s="76" t="s">
        <v>211</v>
      </c>
    </row>
    <row r="28" spans="2:2" x14ac:dyDescent="0.2">
      <c r="B28" s="77" t="s">
        <v>276</v>
      </c>
    </row>
    <row r="29" spans="2:2" x14ac:dyDescent="0.2">
      <c r="B29" s="78" t="s">
        <v>238</v>
      </c>
    </row>
    <row r="30" spans="2:2" x14ac:dyDescent="0.2">
      <c r="B30" s="81"/>
    </row>
    <row r="31" spans="2:2" x14ac:dyDescent="0.2">
      <c r="B31" s="81"/>
    </row>
    <row r="32" spans="2:2" x14ac:dyDescent="0.2">
      <c r="B32" s="82"/>
    </row>
    <row r="33" spans="2:2" x14ac:dyDescent="0.2">
      <c r="B33" s="82"/>
    </row>
    <row r="34" spans="2:2" x14ac:dyDescent="0.2">
      <c r="B34" s="82"/>
    </row>
    <row r="35" spans="2:2" x14ac:dyDescent="0.2">
      <c r="B35" s="82"/>
    </row>
    <row r="36" spans="2:2" x14ac:dyDescent="0.2">
      <c r="B36" s="82"/>
    </row>
    <row r="37" spans="2:2" x14ac:dyDescent="0.2">
      <c r="B37" s="82"/>
    </row>
    <row r="38" spans="2:2" x14ac:dyDescent="0.2">
      <c r="B38" s="82"/>
    </row>
    <row r="39" spans="2:2" x14ac:dyDescent="0.2">
      <c r="B39" s="82"/>
    </row>
    <row r="40" spans="2:2" x14ac:dyDescent="0.2">
      <c r="B40" s="82"/>
    </row>
    <row r="41" spans="2:2" x14ac:dyDescent="0.2">
      <c r="B41" s="82"/>
    </row>
    <row r="42" spans="2:2" x14ac:dyDescent="0.2">
      <c r="B42" s="82"/>
    </row>
    <row r="43" spans="2:2" x14ac:dyDescent="0.2">
      <c r="B43" s="82"/>
    </row>
    <row r="44" spans="2:2" x14ac:dyDescent="0.2">
      <c r="B44" s="82"/>
    </row>
    <row r="45" spans="2:2" x14ac:dyDescent="0.2">
      <c r="B45" s="82"/>
    </row>
    <row r="46" spans="2:2" x14ac:dyDescent="0.2">
      <c r="B46" s="82"/>
    </row>
    <row r="47" spans="2:2" x14ac:dyDescent="0.2">
      <c r="B47" s="82"/>
    </row>
    <row r="48" spans="2:2" x14ac:dyDescent="0.2">
      <c r="B48" s="82"/>
    </row>
    <row r="49" spans="2:2" x14ac:dyDescent="0.2">
      <c r="B49" s="82"/>
    </row>
    <row r="50" spans="2:2" x14ac:dyDescent="0.2">
      <c r="B50" s="82"/>
    </row>
    <row r="51" spans="2:2" x14ac:dyDescent="0.2">
      <c r="B51" s="82"/>
    </row>
    <row r="52" spans="2:2" x14ac:dyDescent="0.2">
      <c r="B52" s="82"/>
    </row>
    <row r="53" spans="2:2" x14ac:dyDescent="0.2">
      <c r="B53" s="83"/>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 ref="B28" location="Goals!A1" display="Goal Details" xr:uid="{EEA8037E-BCCB-4F88-B8EA-52D29C158128}"/>
    <hyperlink ref="B29" location="Loop!A1" display="Loop used when executing the python script" xr:uid="{155DB5B2-8065-460A-9090-A6B19C2220E1}"/>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workbookViewId="0">
      <selection activeCell="C9" sqref="C9"/>
    </sheetView>
  </sheetViews>
  <sheetFormatPr baseColWidth="10" defaultColWidth="8.83203125" defaultRowHeight="15" x14ac:dyDescent="0.2"/>
  <cols>
    <col min="1" max="1" width="3.1640625" customWidth="1"/>
    <col min="2" max="2" width="38.5" bestFit="1" customWidth="1"/>
    <col min="3" max="3" width="12.1640625" style="32" bestFit="1" customWidth="1"/>
  </cols>
  <sheetData>
    <row r="2" spans="2:3" x14ac:dyDescent="0.2">
      <c r="B2" s="39" t="s">
        <v>62</v>
      </c>
      <c r="C2" s="42">
        <v>0.02</v>
      </c>
    </row>
    <row r="3" spans="2:3" x14ac:dyDescent="0.2">
      <c r="B3" s="40" t="s">
        <v>217</v>
      </c>
      <c r="C3" s="43"/>
    </row>
    <row r="4" spans="2:3" x14ac:dyDescent="0.2">
      <c r="B4" s="45" t="s">
        <v>63</v>
      </c>
      <c r="C4" s="46">
        <v>0.03</v>
      </c>
    </row>
    <row r="5" spans="2:3" x14ac:dyDescent="0.2">
      <c r="B5" s="47" t="s">
        <v>65</v>
      </c>
      <c r="C5" s="48">
        <f>C4-C2</f>
        <v>9.9999999999999985E-3</v>
      </c>
    </row>
    <row r="6" spans="2:3" x14ac:dyDescent="0.2">
      <c r="B6" s="47" t="s">
        <v>64</v>
      </c>
      <c r="C6" s="48">
        <v>0.06</v>
      </c>
    </row>
    <row r="7" spans="2:3" x14ac:dyDescent="0.2">
      <c r="B7" s="47" t="s">
        <v>175</v>
      </c>
      <c r="C7" s="48">
        <f>C6-C2</f>
        <v>3.9999999999999994E-2</v>
      </c>
    </row>
    <row r="8" spans="2:3" x14ac:dyDescent="0.2">
      <c r="B8" s="47" t="s">
        <v>76</v>
      </c>
      <c r="C8" s="48">
        <v>0.2</v>
      </c>
    </row>
    <row r="9" spans="2:3" x14ac:dyDescent="0.2">
      <c r="B9" s="47" t="s">
        <v>221</v>
      </c>
      <c r="C9" s="49">
        <v>43871</v>
      </c>
    </row>
    <row r="10" spans="2:3" x14ac:dyDescent="0.2">
      <c r="B10" s="41" t="s">
        <v>222</v>
      </c>
      <c r="C10" s="44">
        <v>72000</v>
      </c>
    </row>
    <row r="11" spans="2:3" x14ac:dyDescent="0.2">
      <c r="B11" s="40" t="s">
        <v>212</v>
      </c>
      <c r="C11" s="43"/>
    </row>
    <row r="12" spans="2:3" x14ac:dyDescent="0.2">
      <c r="B12" s="45" t="s">
        <v>213</v>
      </c>
      <c r="C12" s="46">
        <v>0.05</v>
      </c>
    </row>
    <row r="13" spans="2:3" x14ac:dyDescent="0.2">
      <c r="B13" s="47" t="s">
        <v>214</v>
      </c>
      <c r="C13" s="48">
        <v>0.1</v>
      </c>
    </row>
    <row r="14" spans="2:3" x14ac:dyDescent="0.2">
      <c r="B14" s="41" t="s">
        <v>216</v>
      </c>
      <c r="C14" s="44">
        <v>9400</v>
      </c>
    </row>
    <row r="15" spans="2:3" x14ac:dyDescent="0.2">
      <c r="B15" s="40" t="s">
        <v>215</v>
      </c>
      <c r="C15" s="43"/>
    </row>
    <row r="16" spans="2:3" x14ac:dyDescent="0.2">
      <c r="B16" s="45" t="s">
        <v>188</v>
      </c>
      <c r="C16" s="46">
        <v>0.08</v>
      </c>
    </row>
    <row r="17" spans="2:3" x14ac:dyDescent="0.2">
      <c r="B17" s="45" t="s">
        <v>229</v>
      </c>
      <c r="C17" s="52">
        <v>51600</v>
      </c>
    </row>
    <row r="18" spans="2:3" x14ac:dyDescent="0.2">
      <c r="B18" s="47" t="s">
        <v>230</v>
      </c>
      <c r="C18" s="48">
        <v>0.1201</v>
      </c>
    </row>
    <row r="19" spans="2:3" x14ac:dyDescent="0.2">
      <c r="B19" s="47" t="s">
        <v>231</v>
      </c>
      <c r="C19" s="48">
        <v>0.15</v>
      </c>
    </row>
    <row r="20" spans="2:3" x14ac:dyDescent="0.2">
      <c r="B20" s="47" t="s">
        <v>232</v>
      </c>
      <c r="C20" s="50">
        <v>618400</v>
      </c>
    </row>
    <row r="21" spans="2:3" x14ac:dyDescent="0.2">
      <c r="B21" s="47" t="s">
        <v>233</v>
      </c>
      <c r="C21" s="48">
        <v>0.25</v>
      </c>
    </row>
    <row r="22" spans="2:3" x14ac:dyDescent="0.2">
      <c r="B22" s="47" t="s">
        <v>218</v>
      </c>
      <c r="C22" s="51">
        <v>0.27</v>
      </c>
    </row>
    <row r="23" spans="2:3" x14ac:dyDescent="0.2">
      <c r="B23" s="47" t="s">
        <v>219</v>
      </c>
      <c r="C23" s="51">
        <v>0.42</v>
      </c>
    </row>
    <row r="24" spans="2:3" x14ac:dyDescent="0.2">
      <c r="B24" s="41" t="s">
        <v>220</v>
      </c>
      <c r="C24" s="44">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Q48"/>
  <sheetViews>
    <sheetView topLeftCell="L1" zoomScale="65" workbookViewId="0"/>
  </sheetViews>
  <sheetFormatPr baseColWidth="10" defaultColWidth="15.33203125" defaultRowHeight="15" x14ac:dyDescent="0.2"/>
  <cols>
    <col min="1" max="1" width="4.5" style="2" customWidth="1"/>
    <col min="2" max="2" width="34.83203125" style="2" bestFit="1" customWidth="1"/>
    <col min="3" max="6" width="15.33203125" style="2"/>
    <col min="7" max="7" width="50.5" style="2" bestFit="1" customWidth="1"/>
    <col min="8" max="8" width="27.6640625" style="2" bestFit="1" customWidth="1"/>
    <col min="9" max="9" width="15.5" style="2" bestFit="1" customWidth="1"/>
    <col min="10" max="13" width="15.33203125" style="2"/>
    <col min="14" max="14" width="44" style="2" customWidth="1"/>
    <col min="15" max="15" width="31" style="2" customWidth="1"/>
    <col min="16" max="16384" width="15.33203125" style="2"/>
  </cols>
  <sheetData>
    <row r="2" spans="1:17" x14ac:dyDescent="0.2">
      <c r="A2" s="16"/>
      <c r="B2" s="14" t="s">
        <v>62</v>
      </c>
      <c r="C2" s="15">
        <f>Income!I2</f>
        <v>0.02</v>
      </c>
      <c r="G2" s="4" t="s">
        <v>173</v>
      </c>
      <c r="H2" s="4" t="s">
        <v>5</v>
      </c>
      <c r="I2" s="4" t="s">
        <v>57</v>
      </c>
      <c r="J2" s="59" t="s">
        <v>263</v>
      </c>
      <c r="K2" s="4" t="s">
        <v>1</v>
      </c>
      <c r="M2" s="60" t="s">
        <v>1</v>
      </c>
      <c r="N2" s="60" t="s">
        <v>173</v>
      </c>
      <c r="O2" s="60" t="s">
        <v>5</v>
      </c>
    </row>
    <row r="3" spans="1:17" x14ac:dyDescent="0.2">
      <c r="A3" s="16"/>
      <c r="B3" s="14" t="s">
        <v>63</v>
      </c>
      <c r="C3" s="15">
        <f>Income!I3</f>
        <v>0.03</v>
      </c>
      <c r="G3" s="31">
        <f>TableIncomeCalculations11[[#This Row],[GrossMonthlySalaryP2]]/(1+C2)</f>
        <v>72874.519607843133</v>
      </c>
      <c r="H3" s="31">
        <f>TableIncomeCalculations[[#This Row],[GrossMonthlySalaryP2]]</f>
        <v>74332.009999999995</v>
      </c>
      <c r="I3" t="str">
        <f>JobHopping[[#This Row],[SwitchP2Static]]</f>
        <v>N</v>
      </c>
      <c r="J3" t="str" cm="1">
        <f t="array" ref="J3">INDEX($I$3:$I$18,ROWS($I$3:$I$18)+ROW($I$3)-ROW())</f>
        <v>N</v>
      </c>
      <c r="K3">
        <v>2025</v>
      </c>
      <c r="M3" s="61" cm="1">
        <f t="array" ref="M3">INDEX($K$3:$K$18,ROWS($K$3:$K$18)+ROW($K$3)-ROW())</f>
        <v>2010</v>
      </c>
      <c r="N3" s="60" cm="1">
        <f t="array" ref="N3">INDEX($G$3:$G$18,ROWS($G$3:$G$18)+ROW($G$3)-ROW())</f>
        <v>53225.047210772755</v>
      </c>
      <c r="O3" s="60" cm="1">
        <f t="array" ref="O3">INDEX($H$3:$H$18,ROWS($H$3:$H$18)+ROW($H$3)-ROW())</f>
        <v>36965.72433477857</v>
      </c>
      <c r="Q3" s="63">
        <f>Table11[[#This Row],[GrossMonthlyInflationAdjustedP2]]*0.2</f>
        <v>10645.009442154551</v>
      </c>
    </row>
    <row r="4" spans="1:17" x14ac:dyDescent="0.2">
      <c r="A4" s="16"/>
      <c r="B4" s="14" t="s">
        <v>65</v>
      </c>
      <c r="C4" s="15">
        <f>Income!I4</f>
        <v>9.9999999999999985E-3</v>
      </c>
      <c r="G4" s="35">
        <f>(G3/(1+$C$4))-IF(TableIncomeCalculations11[[#This Row],[Inverse]]="Y",G3*$C$6,0)</f>
        <v>72152.989710735768</v>
      </c>
      <c r="H4" s="35">
        <f>(H3/(1+$C$3))-IF(TableIncomeCalculations11[[#This Row],[Inverse]]="Y",H3*$C$5,0)</f>
        <v>72167</v>
      </c>
      <c r="I4" t="str">
        <f>JobHopping[[#This Row],[SwitchP2Static]]</f>
        <v>N</v>
      </c>
      <c r="J4" t="str" cm="1">
        <f t="array" ref="J4">INDEX($I$3:$I$18,ROWS($I$3:$I$18)+ROW($I$3)-ROW())</f>
        <v>N</v>
      </c>
      <c r="K4">
        <v>2024</v>
      </c>
      <c r="M4" s="61" cm="1">
        <f t="array" ref="M4">INDEX($K$3:$K$18,ROWS($K$3:$K$18)+ROW($K$3)-ROW())</f>
        <v>2011</v>
      </c>
      <c r="N4" s="60" cm="1">
        <f t="array" ref="N4">INDEX($G$3:$G$18,ROWS($G$3:$G$18)+ROW($G$3)-ROW())</f>
        <v>53757.297682880482</v>
      </c>
      <c r="O4" s="60" cm="1">
        <f t="array" ref="O4">INDEX($H$3:$H$18,ROWS($H$3:$H$18)+ROW($H$3)-ROW())</f>
        <v>38074.696064821925</v>
      </c>
      <c r="Q4" s="63">
        <f>Table11[[#This Row],[GrossMonthlyInflationAdjustedP2]]*0.2</f>
        <v>10751.459536576098</v>
      </c>
    </row>
    <row r="5" spans="1:17" x14ac:dyDescent="0.2">
      <c r="A5" s="16"/>
      <c r="B5" s="14" t="s">
        <v>64</v>
      </c>
      <c r="C5" s="15">
        <f>Income!I5</f>
        <v>0.06</v>
      </c>
      <c r="G5" s="35">
        <f>(G4/(1+$C$4))-IF(TableIncomeCalculations11[[#This Row],[Inverse]]="Y",G4*$C$6,0)</f>
        <v>68552.484085566379</v>
      </c>
      <c r="H5" s="35">
        <f>(H4/(1+$C$3))-IF(TableIncomeCalculations11[[#This Row],[Inverse]]="Y",H4*$C$5,0)</f>
        <v>65735.028543689317</v>
      </c>
      <c r="I5" t="str">
        <f>JobHopping[[#This Row],[SwitchP2Static]]</f>
        <v>Y</v>
      </c>
      <c r="J5" t="str" cm="1">
        <f t="array" ref="J5">INDEX($I$3:$I$18,ROWS($I$3:$I$18)+ROW($I$3)-ROW())</f>
        <v>Y</v>
      </c>
      <c r="K5">
        <v>2023</v>
      </c>
      <c r="M5" s="61" cm="1">
        <f t="array" ref="M5">INDEX($K$3:$K$18,ROWS($K$3:$K$18)+ROW($K$3)-ROW())</f>
        <v>2012</v>
      </c>
      <c r="N5" s="60" cm="1">
        <f t="array" ref="N5">INDEX($G$3:$G$18,ROWS($G$3:$G$18)+ROW($G$3)-ROW())</f>
        <v>54294.87065970929</v>
      </c>
      <c r="O5" s="60" cm="1">
        <f t="array" ref="O5">INDEX($H$3:$H$18,ROWS($H$3:$H$18)+ROW($H$3)-ROW())</f>
        <v>39216.936946766582</v>
      </c>
      <c r="Q5" s="63">
        <f>Table11[[#This Row],[GrossMonthlyInflationAdjustedP2]]*0.2</f>
        <v>10858.974131941859</v>
      </c>
    </row>
    <row r="6" spans="1:17" x14ac:dyDescent="0.2">
      <c r="A6" s="16"/>
      <c r="B6" s="14" t="s">
        <v>175</v>
      </c>
      <c r="C6" s="15">
        <f>Income!I6</f>
        <v>3.9999999999999994E-2</v>
      </c>
      <c r="G6" s="35">
        <f>(G5/(1+$C$4))-IF(TableIncomeCalculations11[[#This Row],[Inverse]]="Y",G5*$C$6,0)</f>
        <v>67873.746619372658</v>
      </c>
      <c r="H6" s="35">
        <f>(H5/(1+$C$3))-IF(TableIncomeCalculations11[[#This Row],[Inverse]]="Y",H5*$C$5,0)</f>
        <v>63820.416061834287</v>
      </c>
      <c r="I6" t="str">
        <f>JobHopping[[#This Row],[SwitchP2Static]]</f>
        <v>N</v>
      </c>
      <c r="J6" t="str" cm="1">
        <f t="array" ref="J6">INDEX($I$3:$I$18,ROWS($I$3:$I$18)+ROW($I$3)-ROW())</f>
        <v>N</v>
      </c>
      <c r="K6">
        <v>2022</v>
      </c>
      <c r="M6" s="61" cm="1">
        <f t="array" ref="M6">INDEX($K$3:$K$18,ROWS($K$3:$K$18)+ROW($K$3)-ROW())</f>
        <v>2013</v>
      </c>
      <c r="N6" s="60" cm="1">
        <f t="array" ref="N6">INDEX($G$3:$G$18,ROWS($G$3:$G$18)+ROW($G$3)-ROW())</f>
        <v>57146.539564721112</v>
      </c>
      <c r="O6" s="60" cm="1">
        <f t="array" ref="O6">INDEX($H$3:$H$18,ROWS($H$3:$H$18)+ROW($H$3)-ROW())</f>
        <v>43054.194260466407</v>
      </c>
      <c r="Q6" s="63">
        <f>Table11[[#This Row],[GrossMonthlyInflationAdjustedP2]]*0.2</f>
        <v>11429.307912944223</v>
      </c>
    </row>
    <row r="7" spans="1:17" x14ac:dyDescent="0.2">
      <c r="A7" s="16"/>
      <c r="B7" s="14" t="s">
        <v>76</v>
      </c>
      <c r="C7" s="15">
        <f>Income!I7</f>
        <v>0.2</v>
      </c>
      <c r="G7" s="35">
        <f>(G6/(1+$C$4))-IF(TableIncomeCalculations11[[#This Row],[Inverse]]="Y",G6*$C$6,0)</f>
        <v>67201.729326111541</v>
      </c>
      <c r="H7" s="35">
        <f>(H6/(1+$C$3))-IF(TableIncomeCalculations11[[#This Row],[Inverse]]="Y",H6*$C$5,0)</f>
        <v>61961.56899207212</v>
      </c>
      <c r="I7" t="str">
        <f>JobHopping[[#This Row],[SwitchP2Static]]</f>
        <v>N</v>
      </c>
      <c r="J7" t="str" cm="1">
        <f t="array" ref="J7">INDEX($I$3:$I$18,ROWS($I$3:$I$18)+ROW($I$3)-ROW())</f>
        <v>N</v>
      </c>
      <c r="K7">
        <v>2021</v>
      </c>
      <c r="M7" s="61" cm="1">
        <f t="array" ref="M7">INDEX($K$3:$K$18,ROWS($K$3:$K$18)+ROW($K$3)-ROW())</f>
        <v>2014</v>
      </c>
      <c r="N7" s="60" cm="1">
        <f t="array" ref="N7">INDEX($G$3:$G$18,ROWS($G$3:$G$18)+ROW($G$3)-ROW())</f>
        <v>57718.004960368322</v>
      </c>
      <c r="O7" s="60" cm="1">
        <f t="array" ref="O7">INDEX($H$3:$H$18,ROWS($H$3:$H$18)+ROW($H$3)-ROW())</f>
        <v>44345.820088280401</v>
      </c>
      <c r="Q7" s="63">
        <f>Table11[[#This Row],[GrossMonthlyInflationAdjustedP2]]*0.2</f>
        <v>11543.600992073665</v>
      </c>
    </row>
    <row r="8" spans="1:17" x14ac:dyDescent="0.2">
      <c r="A8" s="16"/>
      <c r="C8" s="17"/>
      <c r="G8" s="35">
        <f>(G7/(1+$C$4))-IF(TableIncomeCalculations11[[#This Row],[Inverse]]="Y",G7*$C$6,0)</f>
        <v>63848.29649637291</v>
      </c>
      <c r="H8" s="35">
        <f>(H7/(1+$C$3))-IF(TableIncomeCalculations11[[#This Row],[Inverse]]="Y",H7*$C$5,0)</f>
        <v>56439.168959574818</v>
      </c>
      <c r="I8" t="str">
        <f>JobHopping[[#This Row],[SwitchP2Static]]</f>
        <v>N</v>
      </c>
      <c r="J8" t="str" cm="1">
        <f t="array" ref="J8">INDEX($I$3:$I$18,ROWS($I$3:$I$18)+ROW($I$3)-ROW())</f>
        <v>Y</v>
      </c>
      <c r="K8">
        <v>2020</v>
      </c>
      <c r="M8" s="61" cm="1">
        <f t="array" ref="M8">INDEX($K$3:$K$18,ROWS($K$3:$K$18)+ROW($K$3)-ROW())</f>
        <v>2015</v>
      </c>
      <c r="N8" s="60" cm="1">
        <f t="array" ref="N8">INDEX($G$3:$G$18,ROWS($G$3:$G$18)+ROW($G$3)-ROW())</f>
        <v>58295.185009972003</v>
      </c>
      <c r="O8" s="60" cm="1">
        <f t="array" ref="O8">INDEX($H$3:$H$18,ROWS($H$3:$H$18)+ROW($H$3)-ROW())</f>
        <v>45676.194690928816</v>
      </c>
      <c r="Q8" s="63">
        <f>Table11[[#This Row],[GrossMonthlyInflationAdjustedP2]]*0.2</f>
        <v>11659.037001994402</v>
      </c>
    </row>
    <row r="9" spans="1:17" x14ac:dyDescent="0.2">
      <c r="A9" s="16"/>
      <c r="G9" s="35">
        <f>(G8/(1+$C$4))-IF(TableIncomeCalculations11[[#This Row],[Inverse]]="Y",G8*$C$6,0)</f>
        <v>63216.135144923675</v>
      </c>
      <c r="H9" s="35">
        <f>(H8/(1+$C$3))-IF(TableIncomeCalculations11[[#This Row],[Inverse]]="Y",H8*$C$5,0)</f>
        <v>54795.309669490111</v>
      </c>
      <c r="I9" t="str">
        <f>JobHopping[[#This Row],[SwitchP2Static]]</f>
        <v>Y</v>
      </c>
      <c r="J9" t="str" cm="1">
        <f t="array" ref="J9">INDEX($I$3:$I$18,ROWS($I$3:$I$18)+ROW($I$3)-ROW())</f>
        <v>N</v>
      </c>
      <c r="K9">
        <v>2019</v>
      </c>
      <c r="M9" s="61" cm="1">
        <f t="array" ref="M9">INDEX($K$3:$K$18,ROWS($K$3:$K$18)+ROW($K$3)-ROW())</f>
        <v>2016</v>
      </c>
      <c r="N9" s="60" cm="1">
        <f t="array" ref="N9">INDEX($G$3:$G$18,ROWS($G$3:$G$18)+ROW($G$3)-ROW())</f>
        <v>58878.136860071725</v>
      </c>
      <c r="O9" s="60" cm="1">
        <f t="array" ref="O9">INDEX($H$3:$H$18,ROWS($H$3:$H$18)+ROW($H$3)-ROW())</f>
        <v>47046.480531656685</v>
      </c>
      <c r="Q9" s="63">
        <f>Table11[[#This Row],[GrossMonthlyInflationAdjustedP2]]*0.2</f>
        <v>11775.627372014345</v>
      </c>
    </row>
    <row r="10" spans="1:17" x14ac:dyDescent="0.2">
      <c r="A10" s="16"/>
      <c r="G10" s="35">
        <f>(G9/(1+$C$4))-IF(TableIncomeCalculations11[[#This Row],[Inverse]]="Y",G9*$C$6,0)</f>
        <v>62590.232816756114</v>
      </c>
      <c r="H10" s="35">
        <f>(H9/(1+$C$3))-IF(TableIncomeCalculations11[[#This Row],[Inverse]]="Y",H9*$C$5,0)</f>
        <v>53199.329776203987</v>
      </c>
      <c r="I10" t="str">
        <f>JobHopping[[#This Row],[SwitchP2Static]]</f>
        <v>N</v>
      </c>
      <c r="J10" t="str" cm="1">
        <f t="array" ref="J10">INDEX($I$3:$I$18,ROWS($I$3:$I$18)+ROW($I$3)-ROW())</f>
        <v>N</v>
      </c>
      <c r="K10">
        <v>2018</v>
      </c>
      <c r="M10" s="61" cm="1">
        <f t="array" ref="M10">INDEX($K$3:$K$18,ROWS($K$3:$K$18)+ROW($K$3)-ROW())</f>
        <v>2017</v>
      </c>
      <c r="N10" s="60" cm="1">
        <f t="array" ref="N10">INDEX($G$3:$G$18,ROWS($G$3:$G$18)+ROW($G$3)-ROW())</f>
        <v>61970.527541342686</v>
      </c>
      <c r="O10" s="60" cm="1">
        <f t="array" ref="O10">INDEX($H$3:$H$18,ROWS($H$3:$H$18)+ROW($H$3)-ROW())</f>
        <v>51649.834734178628</v>
      </c>
      <c r="Q10" s="63">
        <f>Table11[[#This Row],[GrossMonthlyInflationAdjustedP2]]*0.2</f>
        <v>12394.105508268538</v>
      </c>
    </row>
    <row r="11" spans="1:17" x14ac:dyDescent="0.2">
      <c r="A11" s="16"/>
      <c r="G11" s="35">
        <f>(G10/(1+$C$4))-IF(TableIncomeCalculations11[[#This Row],[Inverse]]="Y",G10*$C$6,0)</f>
        <v>61970.527541342686</v>
      </c>
      <c r="H11" s="35">
        <f>(H10/(1+$C$3))-IF(TableIncomeCalculations11[[#This Row],[Inverse]]="Y",H10*$C$5,0)</f>
        <v>51649.834734178628</v>
      </c>
      <c r="I11" t="str">
        <f>JobHopping[[#This Row],[SwitchP2Static]]</f>
        <v>N</v>
      </c>
      <c r="J11" t="str" cm="1">
        <f t="array" ref="J11">INDEX($I$3:$I$18,ROWS($I$3:$I$18)+ROW($I$3)-ROW())</f>
        <v>N</v>
      </c>
      <c r="K11">
        <v>2017</v>
      </c>
      <c r="M11" s="61" cm="1">
        <f t="array" ref="M11">INDEX($K$3:$K$18,ROWS($K$3:$K$18)+ROW($K$3)-ROW())</f>
        <v>2018</v>
      </c>
      <c r="N11" s="60" cm="1">
        <f t="array" ref="N11">INDEX($G$3:$G$18,ROWS($G$3:$G$18)+ROW($G$3)-ROW())</f>
        <v>62590.232816756114</v>
      </c>
      <c r="O11" s="60" cm="1">
        <f t="array" ref="O11">INDEX($H$3:$H$18,ROWS($H$3:$H$18)+ROW($H$3)-ROW())</f>
        <v>53199.329776203987</v>
      </c>
      <c r="Q11" s="63">
        <f>Table11[[#This Row],[GrossMonthlyInflationAdjustedP2]]*0.2</f>
        <v>12518.046563351223</v>
      </c>
    </row>
    <row r="12" spans="1:17" x14ac:dyDescent="0.2">
      <c r="A12" s="16"/>
      <c r="G12" s="35">
        <f>(G11/(1+$C$4))-IF(TableIncomeCalculations11[[#This Row],[Inverse]]="Y",G11*$C$6,0)</f>
        <v>58878.136860071725</v>
      </c>
      <c r="H12" s="35">
        <f>(H11/(1+$C$3))-IF(TableIncomeCalculations11[[#This Row],[Inverse]]="Y",H11*$C$5,0)</f>
        <v>47046.480531656685</v>
      </c>
      <c r="I12" t="str">
        <f>JobHopping[[#This Row],[SwitchP2Static]]</f>
        <v>N</v>
      </c>
      <c r="J12" t="str" cm="1">
        <f t="array" ref="J12">INDEX($I$3:$I$18,ROWS($I$3:$I$18)+ROW($I$3)-ROW())</f>
        <v>Y</v>
      </c>
      <c r="K12">
        <v>2016</v>
      </c>
      <c r="M12" s="61" cm="1">
        <f t="array" ref="M12">INDEX($K$3:$K$18,ROWS($K$3:$K$18)+ROW($K$3)-ROW())</f>
        <v>2019</v>
      </c>
      <c r="N12" s="60" cm="1">
        <f t="array" ref="N12">INDEX($G$3:$G$18,ROWS($G$3:$G$18)+ROW($G$3)-ROW())</f>
        <v>63216.135144923675</v>
      </c>
      <c r="O12" s="60" cm="1">
        <f t="array" ref="O12">INDEX($H$3:$H$18,ROWS($H$3:$H$18)+ROW($H$3)-ROW())</f>
        <v>54795.309669490111</v>
      </c>
      <c r="Q12" s="63">
        <f>Table11[[#This Row],[GrossMonthlyInflationAdjustedP2]]*0.2</f>
        <v>12643.227028984737</v>
      </c>
    </row>
    <row r="13" spans="1:17" x14ac:dyDescent="0.2">
      <c r="A13" s="16"/>
      <c r="G13" s="35">
        <f>(G12/(1+$C$4))-IF(TableIncomeCalculations11[[#This Row],[Inverse]]="Y",G12*$C$6,0)</f>
        <v>58295.185009972003</v>
      </c>
      <c r="H13" s="35">
        <f>(H12/(1+$C$3))-IF(TableIncomeCalculations11[[#This Row],[Inverse]]="Y",H12*$C$5,0)</f>
        <v>45676.194690928816</v>
      </c>
      <c r="I13" t="str">
        <f>JobHopping[[#This Row],[SwitchP2Static]]</f>
        <v>Y</v>
      </c>
      <c r="J13" t="str" cm="1">
        <f t="array" ref="J13">INDEX($I$3:$I$18,ROWS($I$3:$I$18)+ROW($I$3)-ROW())</f>
        <v>N</v>
      </c>
      <c r="K13">
        <v>2015</v>
      </c>
      <c r="M13" s="61" cm="1">
        <f t="array" ref="M13">INDEX($K$3:$K$18,ROWS($K$3:$K$18)+ROW($K$3)-ROW())</f>
        <v>2020</v>
      </c>
      <c r="N13" s="60" cm="1">
        <f t="array" ref="N13">INDEX($G$3:$G$18,ROWS($G$3:$G$18)+ROW($G$3)-ROW())</f>
        <v>63848.29649637291</v>
      </c>
      <c r="O13" s="60" cm="1">
        <f t="array" ref="O13">INDEX($H$3:$H$18,ROWS($H$3:$H$18)+ROW($H$3)-ROW())</f>
        <v>56439.168959574818</v>
      </c>
      <c r="Q13" s="63">
        <f>Table11[[#This Row],[GrossMonthlyInflationAdjustedP2]]*0.2</f>
        <v>12769.659299274583</v>
      </c>
    </row>
    <row r="14" spans="1:17" x14ac:dyDescent="0.2">
      <c r="A14" s="16"/>
      <c r="G14" s="35">
        <f>(G13/(1+$C$4))-IF(TableIncomeCalculations11[[#This Row],[Inverse]]="Y",G13*$C$6,0)</f>
        <v>57718.004960368322</v>
      </c>
      <c r="H14" s="35">
        <f>(H13/(1+$C$3))-IF(TableIncomeCalculations11[[#This Row],[Inverse]]="Y",H13*$C$5,0)</f>
        <v>44345.820088280401</v>
      </c>
      <c r="I14" t="str">
        <f>JobHopping[[#This Row],[SwitchP2Static]]</f>
        <v>N</v>
      </c>
      <c r="J14" t="str" cm="1">
        <f t="array" ref="J14">INDEX($I$3:$I$18,ROWS($I$3:$I$18)+ROW($I$3)-ROW())</f>
        <v>N</v>
      </c>
      <c r="K14">
        <v>2014</v>
      </c>
      <c r="M14" s="61" cm="1">
        <f t="array" ref="M14">INDEX($K$3:$K$18,ROWS($K$3:$K$18)+ROW($K$3)-ROW())</f>
        <v>2021</v>
      </c>
      <c r="N14" s="60" cm="1">
        <f t="array" ref="N14">INDEX($G$3:$G$18,ROWS($G$3:$G$18)+ROW($G$3)-ROW())</f>
        <v>67201.729326111541</v>
      </c>
      <c r="O14" s="60" cm="1">
        <f t="array" ref="O14">INDEX($H$3:$H$18,ROWS($H$3:$H$18)+ROW($H$3)-ROW())</f>
        <v>61961.56899207212</v>
      </c>
      <c r="Q14" s="63">
        <f>Table11[[#This Row],[GrossMonthlyInflationAdjustedP2]]*0.2</f>
        <v>13440.345865222309</v>
      </c>
    </row>
    <row r="15" spans="1:17" x14ac:dyDescent="0.2">
      <c r="A15" s="16"/>
      <c r="G15" s="35">
        <f>(G14/(1+$C$4))-IF(TableIncomeCalculations11[[#This Row],[Inverse]]="Y",G14*$C$6,0)</f>
        <v>57146.539564721112</v>
      </c>
      <c r="H15" s="35">
        <f>(H14/(1+$C$3))-IF(TableIncomeCalculations11[[#This Row],[Inverse]]="Y",H14*$C$5,0)</f>
        <v>43054.194260466407</v>
      </c>
      <c r="I15" t="str">
        <f>JobHopping[[#This Row],[SwitchP2Static]]</f>
        <v>N</v>
      </c>
      <c r="J15" t="str" cm="1">
        <f t="array" ref="J15">INDEX($I$3:$I$18,ROWS($I$3:$I$18)+ROW($I$3)-ROW())</f>
        <v>N</v>
      </c>
      <c r="K15">
        <v>2013</v>
      </c>
      <c r="M15" s="61" cm="1">
        <f t="array" ref="M15">INDEX($K$3:$K$18,ROWS($K$3:$K$18)+ROW($K$3)-ROW())</f>
        <v>2022</v>
      </c>
      <c r="N15" s="60" cm="1">
        <f t="array" ref="N15">INDEX($G$3:$G$18,ROWS($G$3:$G$18)+ROW($G$3)-ROW())</f>
        <v>67873.746619372658</v>
      </c>
      <c r="O15" s="60" cm="1">
        <f t="array" ref="O15">INDEX($H$3:$H$18,ROWS($H$3:$H$18)+ROW($H$3)-ROW())</f>
        <v>63820.416061834287</v>
      </c>
      <c r="Q15" s="63">
        <f>Table11[[#This Row],[GrossMonthlyInflationAdjustedP2]]*0.2</f>
        <v>13574.749323874532</v>
      </c>
    </row>
    <row r="16" spans="1:17" x14ac:dyDescent="0.2">
      <c r="A16" s="16"/>
      <c r="G16" s="35">
        <f>(G15/(1+$C$4))-IF(TableIncomeCalculations11[[#This Row],[Inverse]]="Y",G15*$C$6,0)</f>
        <v>54294.87065970929</v>
      </c>
      <c r="H16" s="35">
        <f>(H15/(1+$C$3))-IF(TableIncomeCalculations11[[#This Row],[Inverse]]="Y",H15*$C$5,0)</f>
        <v>39216.936946766582</v>
      </c>
      <c r="I16" t="str">
        <f>JobHopping[[#This Row],[SwitchP2Static]]</f>
        <v>Y</v>
      </c>
      <c r="J16" t="str" cm="1">
        <f t="array" ref="J16">INDEX($I$3:$I$18,ROWS($I$3:$I$18)+ROW($I$3)-ROW())</f>
        <v>Y</v>
      </c>
      <c r="K16">
        <v>2012</v>
      </c>
      <c r="M16" s="61" cm="1">
        <f t="array" ref="M16">INDEX($K$3:$K$18,ROWS($K$3:$K$18)+ROW($K$3)-ROW())</f>
        <v>2023</v>
      </c>
      <c r="N16" s="60" cm="1">
        <f t="array" ref="N16">INDEX($G$3:$G$18,ROWS($G$3:$G$18)+ROW($G$3)-ROW())</f>
        <v>68552.484085566379</v>
      </c>
      <c r="O16" s="60" cm="1">
        <f t="array" ref="O16">INDEX($H$3:$H$18,ROWS($H$3:$H$18)+ROW($H$3)-ROW())</f>
        <v>65735.028543689317</v>
      </c>
      <c r="Q16" s="63">
        <f>Table11[[#This Row],[GrossMonthlyInflationAdjustedP2]]*0.2</f>
        <v>13710.496817113277</v>
      </c>
    </row>
    <row r="17" spans="1:17" x14ac:dyDescent="0.2">
      <c r="A17" s="16"/>
      <c r="G17" s="35">
        <f>(G16/(1+$C$4))-IF(TableIncomeCalculations11[[#This Row],[Inverse]]="Y",G16*$C$6,0)</f>
        <v>53757.297682880482</v>
      </c>
      <c r="H17" s="35">
        <f>(H16/(1+$C$3))-IF(TableIncomeCalculations11[[#This Row],[Inverse]]="Y",H16*$C$5,0)</f>
        <v>38074.696064821925</v>
      </c>
      <c r="I17" t="str">
        <f>JobHopping[[#This Row],[SwitchP2Static]]</f>
        <v>N</v>
      </c>
      <c r="J17" t="str" cm="1">
        <f t="array" ref="J17">INDEX($I$3:$I$18,ROWS($I$3:$I$18)+ROW($I$3)-ROW())</f>
        <v>N</v>
      </c>
      <c r="K17">
        <v>2011</v>
      </c>
      <c r="M17" s="61" cm="1">
        <f t="array" ref="M17">INDEX($K$3:$K$18,ROWS($K$3:$K$18)+ROW($K$3)-ROW())</f>
        <v>2024</v>
      </c>
      <c r="N17" s="60" cm="1">
        <f t="array" ref="N17">INDEX($G$3:$G$18,ROWS($G$3:$G$18)+ROW($G$3)-ROW())</f>
        <v>72152.989710735768</v>
      </c>
      <c r="O17" s="60" cm="1">
        <f t="array" ref="O17">INDEX($H$3:$H$18,ROWS($H$3:$H$18)+ROW($H$3)-ROW())</f>
        <v>72167</v>
      </c>
      <c r="Q17" s="63">
        <f>Table11[[#This Row],[GrossMonthlyInflationAdjustedP2]]*0.2</f>
        <v>14430.597942147155</v>
      </c>
    </row>
    <row r="18" spans="1:17" x14ac:dyDescent="0.2">
      <c r="A18" s="16"/>
      <c r="G18" s="35">
        <f>(G17/(1+$C$4))-IF(TableIncomeCalculations11[[#This Row],[Inverse]]="Y",G17*$C$6,0)</f>
        <v>53225.047210772755</v>
      </c>
      <c r="H18" s="35">
        <f>(H17/(1+$C$3))-IF(TableIncomeCalculations11[[#This Row],[Inverse]]="Y",H17*$C$5,0)</f>
        <v>36965.72433477857</v>
      </c>
      <c r="I18" t="str">
        <f>JobHopping[[#This Row],[SwitchP2Static]]</f>
        <v>N</v>
      </c>
      <c r="J18" t="str" cm="1">
        <f t="array" ref="J18">INDEX($I$3:$I$18,ROWS($I$3:$I$18)+ROW($I$3)-ROW())</f>
        <v>N</v>
      </c>
      <c r="K18">
        <v>2010</v>
      </c>
      <c r="M18" s="61" cm="1">
        <f t="array" ref="M18">INDEX($K$3:$K$18,ROWS($K$3:$K$18)+ROW($K$3)-ROW())</f>
        <v>2025</v>
      </c>
      <c r="N18" s="60" cm="1">
        <f t="array" ref="N18">INDEX($G$3:$G$18,ROWS($G$3:$G$18)+ROW($G$3)-ROW())</f>
        <v>72874.519607843133</v>
      </c>
      <c r="O18" s="60" cm="1">
        <f t="array" ref="O18">INDEX($H$3:$H$18,ROWS($H$3:$H$18)+ROW($H$3)-ROW())</f>
        <v>74332.009999999995</v>
      </c>
      <c r="Q18" s="63">
        <f>Table11[[#This Row],[GrossMonthlyInflationAdjustedP2]]*0.2</f>
        <v>14574.903921568628</v>
      </c>
    </row>
    <row r="19" spans="1:17" x14ac:dyDescent="0.2">
      <c r="A19" s="16"/>
      <c r="M19" s="62"/>
    </row>
    <row r="20" spans="1:17" x14ac:dyDescent="0.2">
      <c r="A20" s="16"/>
    </row>
    <row r="21" spans="1:17" x14ac:dyDescent="0.2">
      <c r="A21" s="16"/>
      <c r="Q21" s="63">
        <f>SUM(Q3:Q18)</f>
        <v>198719.14865950411</v>
      </c>
    </row>
    <row r="22" spans="1:17" x14ac:dyDescent="0.2">
      <c r="A22" s="16"/>
    </row>
    <row r="23" spans="1:17" x14ac:dyDescent="0.2">
      <c r="A23" s="16"/>
    </row>
    <row r="24" spans="1:17" x14ac:dyDescent="0.2">
      <c r="A24" s="16"/>
    </row>
    <row r="25" spans="1:17" x14ac:dyDescent="0.2">
      <c r="A25" s="16"/>
    </row>
    <row r="26" spans="1:17" x14ac:dyDescent="0.2">
      <c r="A26" s="16"/>
    </row>
    <row r="27" spans="1:17" x14ac:dyDescent="0.2">
      <c r="A27" s="16"/>
    </row>
    <row r="28" spans="1:17" x14ac:dyDescent="0.2">
      <c r="A28" s="16"/>
    </row>
    <row r="29" spans="1:17" x14ac:dyDescent="0.2">
      <c r="A29" s="16"/>
    </row>
    <row r="30" spans="1:17" x14ac:dyDescent="0.2">
      <c r="A30" s="16"/>
    </row>
    <row r="31" spans="1:17" x14ac:dyDescent="0.2">
      <c r="A31" s="16"/>
    </row>
    <row r="32" spans="1:17" x14ac:dyDescent="0.2">
      <c r="A32" s="16"/>
    </row>
    <row r="33" spans="1:1" x14ac:dyDescent="0.2">
      <c r="A33" s="16"/>
    </row>
    <row r="34" spans="1:1" x14ac:dyDescent="0.2">
      <c r="A34" s="16"/>
    </row>
    <row r="35" spans="1:1" x14ac:dyDescent="0.2">
      <c r="A35" s="16"/>
    </row>
    <row r="36" spans="1:1" x14ac:dyDescent="0.2">
      <c r="A36" s="16"/>
    </row>
    <row r="37" spans="1:1" x14ac:dyDescent="0.2">
      <c r="A37" s="16"/>
    </row>
    <row r="38" spans="1:1" x14ac:dyDescent="0.2">
      <c r="A38" s="16"/>
    </row>
    <row r="39" spans="1:1" x14ac:dyDescent="0.2">
      <c r="A39" s="16"/>
    </row>
    <row r="40" spans="1:1" x14ac:dyDescent="0.2">
      <c r="A40" s="16"/>
    </row>
    <row r="41" spans="1:1" x14ac:dyDescent="0.2">
      <c r="A41" s="16"/>
    </row>
    <row r="42" spans="1:1" x14ac:dyDescent="0.2">
      <c r="A42" s="16"/>
    </row>
    <row r="43" spans="1:1" x14ac:dyDescent="0.2">
      <c r="A43" s="16"/>
    </row>
    <row r="44" spans="1:1" x14ac:dyDescent="0.2">
      <c r="A44" s="16"/>
    </row>
    <row r="45" spans="1:1" x14ac:dyDescent="0.2">
      <c r="A45" s="16"/>
    </row>
    <row r="46" spans="1:1" x14ac:dyDescent="0.2">
      <c r="A46" s="16"/>
    </row>
    <row r="47" spans="1:1" x14ac:dyDescent="0.2">
      <c r="A47" s="16"/>
    </row>
    <row r="48" spans="1:1" x14ac:dyDescent="0.2">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T53"/>
  <sheetViews>
    <sheetView topLeftCell="B31" zoomScale="65" workbookViewId="0">
      <selection activeCell="L37" sqref="L37"/>
    </sheetView>
  </sheetViews>
  <sheetFormatPr baseColWidth="10" defaultColWidth="15.33203125" defaultRowHeight="15" x14ac:dyDescent="0.2"/>
  <cols>
    <col min="1" max="1" width="3.83203125" style="2" customWidth="1"/>
    <col min="2" max="2" width="11.5" style="2" bestFit="1" customWidth="1"/>
    <col min="3" max="3" width="19.5" style="2" bestFit="1" customWidth="1"/>
    <col min="4" max="4" width="19.83203125" style="2" bestFit="1" customWidth="1"/>
    <col min="5" max="6" width="20" style="2" bestFit="1" customWidth="1"/>
    <col min="7" max="7" width="4.5" style="2" customWidth="1"/>
    <col min="8" max="8" width="34.83203125" style="2" bestFit="1" customWidth="1"/>
    <col min="9" max="12" width="15.33203125" style="2"/>
    <col min="13" max="14" width="25.6640625" style="2" bestFit="1" customWidth="1"/>
    <col min="15" max="16" width="38.33203125" style="2" bestFit="1" customWidth="1"/>
    <col min="17" max="18" width="27.6640625" style="2" bestFit="1" customWidth="1"/>
    <col min="19" max="20" width="15.5" style="2" bestFit="1" customWidth="1"/>
    <col min="21" max="16384" width="15.33203125" style="2"/>
  </cols>
  <sheetData>
    <row r="1" spans="1:20" x14ac:dyDescent="0.2">
      <c r="A1" s="54" t="s">
        <v>236</v>
      </c>
    </row>
    <row r="2" spans="1:20" x14ac:dyDescent="0.2">
      <c r="B2" s="3" t="s">
        <v>1</v>
      </c>
      <c r="C2" s="3" t="s">
        <v>2</v>
      </c>
      <c r="D2" s="3" t="s">
        <v>3</v>
      </c>
      <c r="E2" s="3" t="s">
        <v>77</v>
      </c>
      <c r="F2" s="3" t="s">
        <v>78</v>
      </c>
      <c r="G2" s="16"/>
      <c r="H2" s="14" t="s">
        <v>62</v>
      </c>
      <c r="I2" s="15">
        <f>'Salary Variables'!$C$2</f>
        <v>0.02</v>
      </c>
      <c r="K2" s="2" t="s">
        <v>275</v>
      </c>
      <c r="L2" s="2" t="s">
        <v>275</v>
      </c>
      <c r="M2" s="4" t="s">
        <v>171</v>
      </c>
      <c r="N2" s="4" t="s">
        <v>172</v>
      </c>
      <c r="O2" s="4" t="s">
        <v>174</v>
      </c>
      <c r="P2" s="4" t="s">
        <v>173</v>
      </c>
      <c r="Q2" s="4" t="s">
        <v>4</v>
      </c>
      <c r="R2" s="4" t="s">
        <v>5</v>
      </c>
      <c r="S2" s="4" t="s">
        <v>56</v>
      </c>
      <c r="T2" s="4" t="s">
        <v>57</v>
      </c>
    </row>
    <row r="3" spans="1:20" x14ac:dyDescent="0.2">
      <c r="B3" s="3">
        <v>2025</v>
      </c>
      <c r="C3" s="36">
        <f>(TableIncomeCalculations[[#This Row],[NetMonthlySalaryP1]]*12)</f>
        <v>282968.57336658821</v>
      </c>
      <c r="D3" s="37">
        <f>(TableIncomeCalculations[[#This Row],[NetMonthlySalaryP2]]*12)</f>
        <v>463564.03929042356</v>
      </c>
      <c r="E3" s="36">
        <f>TableIncome[[#This Row],[SalaryP1]]*$I$7</f>
        <v>56593.714673317649</v>
      </c>
      <c r="F3" s="36">
        <f>TableIncome[[#This Row],[SalaryP2]]*$I$7</f>
        <v>92712.807858084721</v>
      </c>
      <c r="G3" s="16"/>
      <c r="H3" s="14" t="s">
        <v>63</v>
      </c>
      <c r="I3" s="15" cm="1">
        <f t="array" ref="I3:I7">'Salary Variables'!$C$4:$C$8</f>
        <v>0.03</v>
      </c>
      <c r="K3" s="57">
        <f>(TableIncome[[#This Row],[SalaryP1]]-TableIncome[[#This Row],[InvestmentP1]])/12</f>
        <v>18864.571557772546</v>
      </c>
      <c r="L3" s="57">
        <f>(TableIncome[[#This Row],[SalaryP2]]-TableIncome[[#This Row],[InvestmentP2]])/12</f>
        <v>30904.269286028237</v>
      </c>
      <c r="M3" s="34">
        <f>'Net Salary P1'!BI2</f>
        <v>23580.714447215683</v>
      </c>
      <c r="N3" s="35">
        <f>'Net Salary P2'!BI2</f>
        <v>38630.336607535297</v>
      </c>
      <c r="O3" s="35">
        <f>TableIncomeCalculations[[#This Row],[GrossMonthlySalaryP1]]/(1+I2)</f>
        <v>43421.568627450979</v>
      </c>
      <c r="P3" s="31">
        <f>TableIncomeCalculations[[#This Row],[GrossMonthlySalaryP2]]/(1+I2)</f>
        <v>72874.519607843133</v>
      </c>
      <c r="Q3" s="35">
        <f>43000*(1+I3)</f>
        <v>44290</v>
      </c>
      <c r="R3" s="31">
        <f>72167*(1+I3)</f>
        <v>74332.009999999995</v>
      </c>
      <c r="S3" t="str">
        <f>JobHopping[[#This Row],[SwitchP1Static]]</f>
        <v>N</v>
      </c>
      <c r="T3" t="str">
        <f>JobHopping[[#This Row],[SwitchP2Static]]</f>
        <v>N</v>
      </c>
    </row>
    <row r="4" spans="1:20" x14ac:dyDescent="0.2">
      <c r="B4" s="3">
        <v>2026</v>
      </c>
      <c r="C4" s="38">
        <f>(TableIncomeCalculations[[#This Row],[NetMonthlySalaryP1]]*12)</f>
        <v>285837.17205529416</v>
      </c>
      <c r="D4" s="37">
        <f>(TableIncomeCalculations[[#This Row],[NetMonthlySalaryP2]]*12)</f>
        <v>467231.95319836785</v>
      </c>
      <c r="E4" s="36">
        <f>TableIncome[[#This Row],[SalaryP1]]*$I$7</f>
        <v>57167.434411058835</v>
      </c>
      <c r="F4" s="36">
        <f>TableIncome[[#This Row],[SalaryP2]]*$I$7</f>
        <v>93446.390639673569</v>
      </c>
      <c r="G4" s="16"/>
      <c r="H4" s="14" t="s">
        <v>65</v>
      </c>
      <c r="I4" s="15">
        <v>9.9999999999999985E-3</v>
      </c>
      <c r="K4" s="57">
        <f>(TableIncome[[#This Row],[SalaryP1]]-TableIncome[[#This Row],[InvestmentP1]])/12</f>
        <v>19055.811470352943</v>
      </c>
      <c r="L4" s="57">
        <f>(TableIncome[[#This Row],[SalaryP2]]-TableIncome[[#This Row],[InvestmentP2]])/12</f>
        <v>31148.79687989119</v>
      </c>
      <c r="M4" s="34">
        <f>'Net Salary P1'!BI3</f>
        <v>23819.764337941178</v>
      </c>
      <c r="N4" s="35">
        <f>'Net Salary P2'!BI3</f>
        <v>38935.996099863987</v>
      </c>
      <c r="O4" s="35">
        <f>IF(_xlfn.XLOOKUP(TableIncome[[#This Row],[Year]],Loop!C:C,Loop!D:D)&lt;75,(O3*(1+$I$4))+IF(TableIncomeCalculations[[#This Row],[SwitchP1]]="Y",O3*$I$6,0),0)</f>
        <v>43855.784313725489</v>
      </c>
      <c r="P4" s="35">
        <f>IF(_xlfn.XLOOKUP(TableIncome[[#This Row],[Year]],Loop!C:C,Loop!E:E)&lt;75,(P3*(1+$I$4))+IF(TableIncomeCalculations[[#This Row],[SwitchP2]]="Y",P3*$I$6,0),0)</f>
        <v>73603.264803921571</v>
      </c>
      <c r="Q4" s="35">
        <f>IF(_xlfn.XLOOKUP(TableIncome[[#This Row],[Year]],Loop!C:C,Loop!D:D)&lt;75,(Q3*(1+$I$3))+IF(TableIncomeCalculations[[#This Row],[SwitchP1]]="Y",Q3*$I$5,0),0)</f>
        <v>45618.700000000004</v>
      </c>
      <c r="R4" s="35">
        <f>IF(_xlfn.XLOOKUP(TableIncome[[#This Row],[Year]],Loop!C:C,Loop!E:E)&lt;75,(R3*(1+$I$3))+IF(TableIncomeCalculations[[#This Row],[SwitchP2]]="Y",R3*$I$5,0),0)</f>
        <v>76561.970300000001</v>
      </c>
      <c r="S4" t="str">
        <f>JobHopping[[#This Row],[SwitchP1Static]]</f>
        <v>N</v>
      </c>
      <c r="T4" t="str">
        <f>JobHopping[[#This Row],[SwitchP2Static]]</f>
        <v>N</v>
      </c>
    </row>
    <row r="5" spans="1:20" x14ac:dyDescent="0.2">
      <c r="B5" s="3">
        <v>2027</v>
      </c>
      <c r="C5" s="38">
        <f>(TableIncomeCalculations[[#This Row],[NetMonthlySalaryP1]]*12)</f>
        <v>300323.5954332588</v>
      </c>
      <c r="D5" s="37">
        <f>(TableIncomeCalculations[[#This Row],[NetMonthlySalaryP2]]*12)</f>
        <v>485754.91843348625</v>
      </c>
      <c r="E5" s="36">
        <f>TableIncome[[#This Row],[SalaryP1]]*$I$7</f>
        <v>60064.719086651763</v>
      </c>
      <c r="F5" s="36">
        <f>TableIncome[[#This Row],[SalaryP2]]*$I$7</f>
        <v>97150.983686697262</v>
      </c>
      <c r="G5" s="16"/>
      <c r="H5" s="14" t="s">
        <v>64</v>
      </c>
      <c r="I5" s="15">
        <v>0.06</v>
      </c>
      <c r="K5" s="57">
        <f>(TableIncome[[#This Row],[SalaryP1]]-TableIncome[[#This Row],[InvestmentP1]])/12</f>
        <v>20021.573028883922</v>
      </c>
      <c r="L5" s="57">
        <f>(TableIncome[[#This Row],[SalaryP2]]-TableIncome[[#This Row],[InvestmentP2]])/12</f>
        <v>32383.661228899084</v>
      </c>
      <c r="M5" s="34">
        <f>'Net Salary P1'!BI4</f>
        <v>25026.9662861049</v>
      </c>
      <c r="N5" s="35">
        <f>'Net Salary P2'!BI4</f>
        <v>40479.576536123852</v>
      </c>
      <c r="O5" s="35">
        <f>IF(_xlfn.XLOOKUP(TableIncome[[#This Row],[Year]],Loop!C:C,Loop!D:D)&lt;75,(O4*(1+$I$4))+IF(TableIncomeCalculations[[#This Row],[SwitchP1]]="Y",O4*$I$6,0),0)</f>
        <v>46048.573529411762</v>
      </c>
      <c r="P5" s="35">
        <f>IF(_xlfn.XLOOKUP(TableIncome[[#This Row],[Year]],Loop!C:C,Loop!E:E)&lt;75,(P4*(1+$I$4))+IF(TableIncomeCalculations[[#This Row],[SwitchP2]]="Y",P4*$I$6,0),0)</f>
        <v>77283.428044117638</v>
      </c>
      <c r="Q5" s="35">
        <f>IF(_xlfn.XLOOKUP(TableIncome[[#This Row],[Year]],Loop!C:C,Loop!D:D)&lt;75,(Q4*(1+$I$3))+IF(TableIncomeCalculations[[#This Row],[SwitchP1]]="Y",Q4*$I$5,0),0)</f>
        <v>49724.383000000009</v>
      </c>
      <c r="R5" s="35">
        <f>IF(_xlfn.XLOOKUP(TableIncome[[#This Row],[Year]],Loop!C:C,Loop!E:E)&lt;75,(R4*(1+$I$3))+IF(TableIncomeCalculations[[#This Row],[SwitchP2]]="Y",R4*$I$5,0),0)</f>
        <v>83452.547626999993</v>
      </c>
      <c r="S5" t="str">
        <f>JobHopping[[#This Row],[SwitchP1Static]]</f>
        <v>Y</v>
      </c>
      <c r="T5" t="str">
        <f>JobHopping[[#This Row],[SwitchP2Static]]</f>
        <v>Y</v>
      </c>
    </row>
    <row r="6" spans="1:20" x14ac:dyDescent="0.2">
      <c r="B6" s="3">
        <v>2028</v>
      </c>
      <c r="C6" s="38">
        <f>(TableIncomeCalculations[[#This Row],[NetMonthlySalaryP1]]*12)</f>
        <v>303365.74434263143</v>
      </c>
      <c r="D6" s="37">
        <f>(TableIncomeCalculations[[#This Row],[NetMonthlySalaryP2]]*12)</f>
        <v>489644.74113286112</v>
      </c>
      <c r="E6" s="36">
        <f>TableIncome[[#This Row],[SalaryP1]]*$I$7</f>
        <v>60673.148868526288</v>
      </c>
      <c r="F6" s="36">
        <f>TableIncome[[#This Row],[SalaryP2]]*$I$7</f>
        <v>97928.948226572233</v>
      </c>
      <c r="G6" s="16"/>
      <c r="H6" s="14" t="s">
        <v>175</v>
      </c>
      <c r="I6" s="15">
        <v>3.9999999999999994E-2</v>
      </c>
      <c r="K6" s="57">
        <f>(TableIncome[[#This Row],[SalaryP1]]-TableIncome[[#This Row],[InvestmentP1]])/12</f>
        <v>20224.382956175428</v>
      </c>
      <c r="L6" s="57">
        <f>(TableIncome[[#This Row],[SalaryP2]]-TableIncome[[#This Row],[InvestmentP2]])/12</f>
        <v>32642.982742190739</v>
      </c>
      <c r="M6" s="34">
        <f>'Net Salary P1'!BI5</f>
        <v>25280.478695219284</v>
      </c>
      <c r="N6" s="35">
        <f>'Net Salary P2'!BI5</f>
        <v>40803.728427738424</v>
      </c>
      <c r="O6" s="35">
        <f>IF(_xlfn.XLOOKUP(TableIncome[[#This Row],[Year]],Loop!C:C,Loop!D:D)&lt;75,(O5*(1+$I$4))+IF(TableIncomeCalculations[[#This Row],[SwitchP1]]="Y",O5*$I$6,0),0)</f>
        <v>46509.05926470588</v>
      </c>
      <c r="P6" s="35">
        <f>IF(_xlfn.XLOOKUP(TableIncome[[#This Row],[Year]],Loop!C:C,Loop!E:E)&lt;75,(P5*(1+$I$4))+IF(TableIncomeCalculations[[#This Row],[SwitchP2]]="Y",P5*$I$6,0),0)</f>
        <v>78056.262324558818</v>
      </c>
      <c r="Q6" s="35">
        <f>IF(_xlfn.XLOOKUP(TableIncome[[#This Row],[Year]],Loop!C:C,Loop!D:D)&lt;75,(Q5*(1+$I$3))+IF(TableIncomeCalculations[[#This Row],[SwitchP1]]="Y",Q5*$I$5,0),0)</f>
        <v>51216.114490000007</v>
      </c>
      <c r="R6" s="35">
        <f>IF(_xlfn.XLOOKUP(TableIncome[[#This Row],[Year]],Loop!C:C,Loop!E:E)&lt;75,(R5*(1+$I$3))+IF(TableIncomeCalculations[[#This Row],[SwitchP2]]="Y",R5*$I$5,0),0)</f>
        <v>85956.124055809996</v>
      </c>
      <c r="S6" t="str">
        <f>JobHopping[[#This Row],[SwitchP1Static]]</f>
        <v>N</v>
      </c>
      <c r="T6" t="str">
        <f>JobHopping[[#This Row],[SwitchP2Static]]</f>
        <v>N</v>
      </c>
    </row>
    <row r="7" spans="1:20" x14ac:dyDescent="0.2">
      <c r="B7" s="3">
        <v>2029</v>
      </c>
      <c r="C7" s="38">
        <f>(TableIncomeCalculations[[#This Row],[NetMonthlySalaryP1]]*12)</f>
        <v>306438.31474109762</v>
      </c>
      <c r="D7" s="37">
        <f>(TableIncomeCalculations[[#This Row],[NetMonthlySalaryP2]]*12)</f>
        <v>493573.46205922961</v>
      </c>
      <c r="E7" s="36">
        <f>TableIncome[[#This Row],[SalaryP1]]*$I$7</f>
        <v>61287.662948219528</v>
      </c>
      <c r="F7" s="36">
        <f>TableIncome[[#This Row],[SalaryP2]]*$I$7</f>
        <v>98714.692411845928</v>
      </c>
      <c r="G7" s="16"/>
      <c r="H7" s="14" t="s">
        <v>76</v>
      </c>
      <c r="I7" s="15">
        <v>0.2</v>
      </c>
      <c r="K7" s="57">
        <f>(TableIncome[[#This Row],[SalaryP1]]-TableIncome[[#This Row],[InvestmentP1]])/12</f>
        <v>20429.220982739844</v>
      </c>
      <c r="L7" s="57">
        <f>(TableIncome[[#This Row],[SalaryP2]]-TableIncome[[#This Row],[InvestmentP2]])/12</f>
        <v>32904.897470615309</v>
      </c>
      <c r="M7" s="34">
        <f>'Net Salary P1'!BI6</f>
        <v>25536.526228424802</v>
      </c>
      <c r="N7" s="35">
        <f>'Net Salary P2'!BI6</f>
        <v>41131.121838269137</v>
      </c>
      <c r="O7" s="35">
        <f>IF(_xlfn.XLOOKUP(TableIncome[[#This Row],[Year]],Loop!C:C,Loop!D:D)&lt;75,(O6*(1+$I$4))+IF(TableIncomeCalculations[[#This Row],[SwitchP1]]="Y",O6*$I$6,0),0)</f>
        <v>46974.149857352939</v>
      </c>
      <c r="P7" s="35">
        <f>IF(_xlfn.XLOOKUP(TableIncome[[#This Row],[Year]],Loop!C:C,Loop!E:E)&lt;75,(P6*(1+$I$4))+IF(TableIncomeCalculations[[#This Row],[SwitchP2]]="Y",P6*$I$6,0),0)</f>
        <v>78836.824947804402</v>
      </c>
      <c r="Q7" s="35">
        <f>IF(_xlfn.XLOOKUP(TableIncome[[#This Row],[Year]],Loop!C:C,Loop!D:D)&lt;75,(Q6*(1+$I$3))+IF(TableIncomeCalculations[[#This Row],[SwitchP1]]="Y",Q6*$I$5,0),0)</f>
        <v>52752.597924700007</v>
      </c>
      <c r="R7" s="35">
        <f>IF(_xlfn.XLOOKUP(TableIncome[[#This Row],[Year]],Loop!C:C,Loop!E:E)&lt;75,(R6*(1+$I$3))+IF(TableIncomeCalculations[[#This Row],[SwitchP2]]="Y",R6*$I$5,0),0)</f>
        <v>88534.807777484297</v>
      </c>
      <c r="S7" t="str">
        <f>JobHopping[[#This Row],[SwitchP1Static]]</f>
        <v>N</v>
      </c>
      <c r="T7" t="str">
        <f>JobHopping[[#This Row],[SwitchP2Static]]</f>
        <v>N</v>
      </c>
    </row>
    <row r="8" spans="1:20" x14ac:dyDescent="0.2">
      <c r="B8" s="3">
        <v>2030</v>
      </c>
      <c r="C8" s="38">
        <f>(TableIncomeCalculations[[#This Row],[NetMonthlySalaryP1]]*12)</f>
        <v>309541.61084354867</v>
      </c>
      <c r="D8" s="37">
        <f>(TableIncomeCalculations[[#This Row],[NetMonthlySalaryP2]]*12)</f>
        <v>497541.47019486187</v>
      </c>
      <c r="E8" s="36">
        <f>TableIncome[[#This Row],[SalaryP1]]*$I$7</f>
        <v>61908.322168709739</v>
      </c>
      <c r="F8" s="36">
        <f>TableIncome[[#This Row],[SalaryP2]]*$I$7</f>
        <v>99508.294038972381</v>
      </c>
      <c r="G8" s="16"/>
      <c r="I8" s="17"/>
      <c r="K8" s="57">
        <f>(TableIncome[[#This Row],[SalaryP1]]-TableIncome[[#This Row],[InvestmentP1]])/12</f>
        <v>20636.107389569912</v>
      </c>
      <c r="L8" s="57">
        <f>(TableIncome[[#This Row],[SalaryP2]]-TableIncome[[#This Row],[InvestmentP2]])/12</f>
        <v>33169.431346324127</v>
      </c>
      <c r="M8" s="34">
        <f>'Net Salary P1'!BI7</f>
        <v>25795.134236962389</v>
      </c>
      <c r="N8" s="35">
        <f>'Net Salary P2'!BI7</f>
        <v>41461.789182905159</v>
      </c>
      <c r="O8" s="35">
        <f>IF(_xlfn.XLOOKUP(TableIncome[[#This Row],[Year]],Loop!C:C,Loop!D:D)&lt;75,(O7*(1+$I$4))+IF(TableIncomeCalculations[[#This Row],[SwitchP1]]="Y",O7*$I$6,0),0)</f>
        <v>47443.891355926469</v>
      </c>
      <c r="P8" s="35">
        <f>IF(_xlfn.XLOOKUP(TableIncome[[#This Row],[Year]],Loop!C:C,Loop!E:E)&lt;75,(P7*(1+$I$4))+IF(TableIncomeCalculations[[#This Row],[SwitchP2]]="Y",P7*$I$6,0),0)</f>
        <v>79625.193197282453</v>
      </c>
      <c r="Q8" s="35">
        <f>IF(_xlfn.XLOOKUP(TableIncome[[#This Row],[Year]],Loop!C:C,Loop!D:D)&lt;75,(Q7*(1+$I$3))+IF(TableIncomeCalculations[[#This Row],[SwitchP1]]="Y",Q7*$I$5,0),0)</f>
        <v>54335.175862441007</v>
      </c>
      <c r="R8" s="35">
        <f>IF(_xlfn.XLOOKUP(TableIncome[[#This Row],[Year]],Loop!C:C,Loop!E:E)&lt;75,(R7*(1+$I$3))+IF(TableIncomeCalculations[[#This Row],[SwitchP2]]="Y",R7*$I$5,0),0)</f>
        <v>91190.852010808827</v>
      </c>
      <c r="S8" t="str">
        <f>JobHopping[[#This Row],[SwitchP1Static]]</f>
        <v>N</v>
      </c>
      <c r="T8" t="str">
        <f>JobHopping[[#This Row],[SwitchP2Static]]</f>
        <v>N</v>
      </c>
    </row>
    <row r="9" spans="1:20" x14ac:dyDescent="0.2">
      <c r="B9" s="3">
        <v>2031</v>
      </c>
      <c r="C9" s="38">
        <f>(TableIncomeCalculations[[#This Row],[NetMonthlySalaryP1]]*12)</f>
        <v>325213.25616092619</v>
      </c>
      <c r="D9" s="37">
        <f>(TableIncomeCalculations[[#This Row],[NetMonthlySalaryP2]]*12)</f>
        <v>517579.911279805</v>
      </c>
      <c r="E9" s="36">
        <f>TableIncome[[#This Row],[SalaryP1]]*$I$7</f>
        <v>65042.651232185242</v>
      </c>
      <c r="F9" s="36">
        <f>TableIncome[[#This Row],[SalaryP2]]*$I$7</f>
        <v>103515.982255961</v>
      </c>
      <c r="G9" s="16"/>
      <c r="K9" s="57">
        <f>(TableIncome[[#This Row],[SalaryP1]]-TableIncome[[#This Row],[InvestmentP1]])/12</f>
        <v>21680.883744061746</v>
      </c>
      <c r="L9" s="57">
        <f>(TableIncome[[#This Row],[SalaryP2]]-TableIncome[[#This Row],[InvestmentP2]])/12</f>
        <v>34505.327418653666</v>
      </c>
      <c r="M9" s="34">
        <f>'Net Salary P1'!BI8</f>
        <v>27101.104680077184</v>
      </c>
      <c r="N9" s="35">
        <f>'Net Salary P2'!BI8</f>
        <v>43131.659273317084</v>
      </c>
      <c r="O9" s="35">
        <f>IF(_xlfn.XLOOKUP(TableIncome[[#This Row],[Year]],Loop!C:C,Loop!D:D)&lt;75,(O8*(1+$I$4))+IF(TableIncomeCalculations[[#This Row],[SwitchP1]]="Y",O8*$I$6,0),0)</f>
        <v>49816.085923722792</v>
      </c>
      <c r="P9" s="35">
        <f>IF(_xlfn.XLOOKUP(TableIncome[[#This Row],[Year]],Loop!C:C,Loop!E:E)&lt;75,(P8*(1+$I$4))+IF(TableIncomeCalculations[[#This Row],[SwitchP2]]="Y",P8*$I$6,0),0)</f>
        <v>83606.452857146578</v>
      </c>
      <c r="Q9" s="35">
        <f>IF(_xlfn.XLOOKUP(TableIncome[[#This Row],[Year]],Loop!C:C,Loop!D:D)&lt;75,(Q8*(1+$I$3))+IF(TableIncomeCalculations[[#This Row],[SwitchP1]]="Y",Q8*$I$5,0),0)</f>
        <v>59225.341690060697</v>
      </c>
      <c r="R9" s="35">
        <f>IF(_xlfn.XLOOKUP(TableIncome[[#This Row],[Year]],Loop!C:C,Loop!E:E)&lt;75,(R8*(1+$I$3))+IF(TableIncomeCalculations[[#This Row],[SwitchP2]]="Y",R8*$I$5,0),0)</f>
        <v>99398.028691781627</v>
      </c>
      <c r="S9" t="str">
        <f>JobHopping[[#This Row],[SwitchP1Static]]</f>
        <v>Y</v>
      </c>
      <c r="T9" t="str">
        <f>JobHopping[[#This Row],[SwitchP2Static]]</f>
        <v>Y</v>
      </c>
    </row>
    <row r="10" spans="1:20" x14ac:dyDescent="0.2">
      <c r="B10" s="3">
        <v>2032</v>
      </c>
      <c r="C10" s="38">
        <f>(TableIncomeCalculations[[#This Row],[NetMonthlySalaryP1]]*12)</f>
        <v>328504.30167757545</v>
      </c>
      <c r="D10" s="37">
        <f>(TableIncomeCalculations[[#This Row],[NetMonthlySalaryP2]]*12)</f>
        <v>521787.98390764301</v>
      </c>
      <c r="E10" s="36">
        <f>TableIncome[[#This Row],[SalaryP1]]*$I$7</f>
        <v>65700.860335515099</v>
      </c>
      <c r="F10" s="36">
        <f>TableIncome[[#This Row],[SalaryP2]]*$I$7</f>
        <v>104357.59678152861</v>
      </c>
      <c r="G10" s="16"/>
      <c r="H10" s="28"/>
      <c r="K10" s="57">
        <f>(TableIncome[[#This Row],[SalaryP1]]-TableIncome[[#This Row],[InvestmentP1]])/12</f>
        <v>21900.286778505029</v>
      </c>
      <c r="L10" s="57">
        <f>(TableIncome[[#This Row],[SalaryP2]]-TableIncome[[#This Row],[InvestmentP2]])/12</f>
        <v>34785.865593842864</v>
      </c>
      <c r="M10" s="34">
        <f>'Net Salary P1'!BI9</f>
        <v>27375.358473131288</v>
      </c>
      <c r="N10" s="35">
        <f>'Net Salary P2'!BI9</f>
        <v>43482.331992303582</v>
      </c>
      <c r="O10" s="35">
        <f>IF(_xlfn.XLOOKUP(TableIncome[[#This Row],[Year]],Loop!C:C,Loop!D:D)&lt;75,(O9*(1+$I$4))+IF(TableIncomeCalculations[[#This Row],[SwitchP1]]="Y",O9*$I$6,0),0)</f>
        <v>50314.246782960021</v>
      </c>
      <c r="P10" s="35">
        <f>IF(_xlfn.XLOOKUP(TableIncome[[#This Row],[Year]],Loop!C:C,Loop!E:E)&lt;75,(P9*(1+$I$4))+IF(TableIncomeCalculations[[#This Row],[SwitchP2]]="Y",P9*$I$6,0),0)</f>
        <v>84442.517385718049</v>
      </c>
      <c r="Q10" s="35">
        <f>IF(_xlfn.XLOOKUP(TableIncome[[#This Row],[Year]],Loop!C:C,Loop!D:D)&lt;75,(Q9*(1+$I$3))+IF(TableIncomeCalculations[[#This Row],[SwitchP1]]="Y",Q9*$I$5,0),0)</f>
        <v>61002.101940762521</v>
      </c>
      <c r="R10" s="35">
        <f>IF(_xlfn.XLOOKUP(TableIncome[[#This Row],[Year]],Loop!C:C,Loop!E:E)&lt;75,(R9*(1+$I$3))+IF(TableIncomeCalculations[[#This Row],[SwitchP2]]="Y",R9*$I$5,0),0)</f>
        <v>102379.96955253508</v>
      </c>
      <c r="S10" t="str">
        <f>JobHopping[[#This Row],[SwitchP1Static]]</f>
        <v>N</v>
      </c>
      <c r="T10" t="str">
        <f>JobHopping[[#This Row],[SwitchP2Static]]</f>
        <v>N</v>
      </c>
    </row>
    <row r="11" spans="1:20" x14ac:dyDescent="0.2">
      <c r="B11" s="3">
        <v>2033</v>
      </c>
      <c r="C11" s="38">
        <f>(TableIncomeCalculations[[#This Row],[NetMonthlySalaryP1]]*12)</f>
        <v>331828.25764939119</v>
      </c>
      <c r="D11" s="37">
        <f>(TableIncomeCalculations[[#This Row],[NetMonthlySalaryP2]]*12)</f>
        <v>526038.13726175949</v>
      </c>
      <c r="E11" s="36">
        <f>TableIncome[[#This Row],[SalaryP1]]*$I$7</f>
        <v>66365.651529878247</v>
      </c>
      <c r="F11" s="36">
        <f>TableIncome[[#This Row],[SalaryP2]]*$I$7</f>
        <v>105207.62745235191</v>
      </c>
      <c r="G11" s="16"/>
      <c r="K11" s="57">
        <f>(TableIncome[[#This Row],[SalaryP1]]-TableIncome[[#This Row],[InvestmentP1]])/12</f>
        <v>22121.883843292744</v>
      </c>
      <c r="L11" s="57">
        <f>(TableIncome[[#This Row],[SalaryP2]]-TableIncome[[#This Row],[InvestmentP2]])/12</f>
        <v>35069.209150783965</v>
      </c>
      <c r="M11" s="34">
        <f>'Net Salary P1'!BI10</f>
        <v>27652.354804115934</v>
      </c>
      <c r="N11" s="35">
        <f>'Net Salary P2'!BI10</f>
        <v>43836.51143847996</v>
      </c>
      <c r="O11" s="35">
        <f>IF(_xlfn.XLOOKUP(TableIncome[[#This Row],[Year]],Loop!C:C,Loop!D:D)&lt;75,(O10*(1+$I$4))+IF(TableIncomeCalculations[[#This Row],[SwitchP1]]="Y",O10*$I$6,0),0)</f>
        <v>50817.389250789623</v>
      </c>
      <c r="P11" s="35">
        <f>IF(_xlfn.XLOOKUP(TableIncome[[#This Row],[Year]],Loop!C:C,Loop!E:E)&lt;75,(P10*(1+$I$4))+IF(TableIncomeCalculations[[#This Row],[SwitchP2]]="Y",P10*$I$6,0),0)</f>
        <v>85286.942559575225</v>
      </c>
      <c r="Q11" s="35">
        <f>IF(_xlfn.XLOOKUP(TableIncome[[#This Row],[Year]],Loop!C:C,Loop!D:D)&lt;75,(Q10*(1+$I$3))+IF(TableIncomeCalculations[[#This Row],[SwitchP1]]="Y",Q10*$I$5,0),0)</f>
        <v>62832.164998985398</v>
      </c>
      <c r="R11" s="35">
        <f>IF(_xlfn.XLOOKUP(TableIncome[[#This Row],[Year]],Loop!C:C,Loop!E:E)&lt;75,(R10*(1+$I$3))+IF(TableIncomeCalculations[[#This Row],[SwitchP2]]="Y",R10*$I$5,0),0)</f>
        <v>105451.36863911114</v>
      </c>
      <c r="S11" t="str">
        <f>JobHopping[[#This Row],[SwitchP1Static]]</f>
        <v>N</v>
      </c>
      <c r="T11" t="str">
        <f>JobHopping[[#This Row],[SwitchP2Static]]</f>
        <v>N</v>
      </c>
    </row>
    <row r="12" spans="1:20" x14ac:dyDescent="0.2">
      <c r="B12" s="3">
        <v>2034</v>
      </c>
      <c r="C12" s="38">
        <f>(TableIncomeCalculations[[#This Row],[NetMonthlySalaryP1]]*12)</f>
        <v>335185.45318092511</v>
      </c>
      <c r="D12" s="37">
        <f>(TableIncomeCalculations[[#This Row],[NetMonthlySalaryP2]]*12)</f>
        <v>530330.7921494171</v>
      </c>
      <c r="E12" s="36">
        <f>TableIncome[[#This Row],[SalaryP1]]*$I$7</f>
        <v>67037.090636185021</v>
      </c>
      <c r="F12" s="36">
        <f>TableIncome[[#This Row],[SalaryP2]]*$I$7</f>
        <v>106066.15842988342</v>
      </c>
      <c r="G12" s="16"/>
      <c r="K12" s="57">
        <f>(TableIncome[[#This Row],[SalaryP1]]-TableIncome[[#This Row],[InvestmentP1]])/12</f>
        <v>22345.69687872834</v>
      </c>
      <c r="L12" s="57">
        <f>(TableIncome[[#This Row],[SalaryP2]]-TableIncome[[#This Row],[InvestmentP2]])/12</f>
        <v>35355.386143294476</v>
      </c>
      <c r="M12" s="34">
        <f>'Net Salary P1'!BI11</f>
        <v>27932.121098410425</v>
      </c>
      <c r="N12" s="35">
        <f>'Net Salary P2'!BI11</f>
        <v>44194.232679118089</v>
      </c>
      <c r="O12" s="35">
        <f>IF(_xlfn.XLOOKUP(TableIncome[[#This Row],[Year]],Loop!C:C,Loop!D:D)&lt;75,(O11*(1+$I$4))+IF(TableIncomeCalculations[[#This Row],[SwitchP1]]="Y",O11*$I$6,0),0)</f>
        <v>51325.563143297521</v>
      </c>
      <c r="P12" s="35">
        <f>IF(_xlfn.XLOOKUP(TableIncome[[#This Row],[Year]],Loop!C:C,Loop!E:E)&lt;75,(P11*(1+$I$4))+IF(TableIncomeCalculations[[#This Row],[SwitchP2]]="Y",P11*$I$6,0),0)</f>
        <v>86139.811985170978</v>
      </c>
      <c r="Q12" s="35">
        <f>IF(_xlfn.XLOOKUP(TableIncome[[#This Row],[Year]],Loop!C:C,Loop!D:D)&lt;75,(Q11*(1+$I$3))+IF(TableIncomeCalculations[[#This Row],[SwitchP1]]="Y",Q11*$I$5,0),0)</f>
        <v>64717.129948954964</v>
      </c>
      <c r="R12" s="35">
        <f>IF(_xlfn.XLOOKUP(TableIncome[[#This Row],[Year]],Loop!C:C,Loop!E:E)&lt;75,(R11*(1+$I$3))+IF(TableIncomeCalculations[[#This Row],[SwitchP2]]="Y",R11*$I$5,0),0)</f>
        <v>108614.90969828448</v>
      </c>
      <c r="S12" t="str">
        <f>JobHopping[[#This Row],[SwitchP1Static]]</f>
        <v>N</v>
      </c>
      <c r="T12" t="str">
        <f>JobHopping[[#This Row],[SwitchP2Static]]</f>
        <v>N</v>
      </c>
    </row>
    <row r="13" spans="1:20" x14ac:dyDescent="0.2">
      <c r="B13" s="3">
        <v>2035</v>
      </c>
      <c r="C13" s="38">
        <f>(TableIncomeCalculations[[#This Row],[NetMonthlySalaryP1]]*12)</f>
        <v>352139.29061517131</v>
      </c>
      <c r="D13" s="37">
        <f>(TableIncomeCalculations[[#This Row],[NetMonthlySalaryP2]]*12)</f>
        <v>552008.699332088</v>
      </c>
      <c r="E13" s="36">
        <f>TableIncome[[#This Row],[SalaryP1]]*$I$7</f>
        <v>70427.858123034268</v>
      </c>
      <c r="F13" s="36">
        <f>TableIncome[[#This Row],[SalaryP2]]*$I$7</f>
        <v>110401.7398664176</v>
      </c>
      <c r="G13" s="16"/>
      <c r="K13" s="57">
        <f>(TableIncome[[#This Row],[SalaryP1]]-TableIncome[[#This Row],[InvestmentP1]])/12</f>
        <v>23475.952707678091</v>
      </c>
      <c r="L13" s="57">
        <f>(TableIncome[[#This Row],[SalaryP2]]-TableIncome[[#This Row],[InvestmentP2]])/12</f>
        <v>36800.579955472531</v>
      </c>
      <c r="M13" s="34">
        <f>'Net Salary P1'!BI12</f>
        <v>29344.94088459761</v>
      </c>
      <c r="N13" s="35">
        <f>'Net Salary P2'!BI12</f>
        <v>46000.724944340669</v>
      </c>
      <c r="O13" s="35">
        <f>IF(_xlfn.XLOOKUP(TableIncome[[#This Row],[Year]],Loop!C:C,Loop!D:D)&lt;75,(O12*(1+$I$4))+IF(TableIncomeCalculations[[#This Row],[SwitchP1]]="Y",O12*$I$6,0),0)</f>
        <v>53891.841300462402</v>
      </c>
      <c r="P13" s="35">
        <f>IF(_xlfn.XLOOKUP(TableIncome[[#This Row],[Year]],Loop!C:C,Loop!E:E)&lt;75,(P12*(1+$I$4))+IF(TableIncomeCalculations[[#This Row],[SwitchP2]]="Y",P12*$I$6,0),0)</f>
        <v>90446.802584429533</v>
      </c>
      <c r="Q13" s="35">
        <f>IF(_xlfn.XLOOKUP(TableIncome[[#This Row],[Year]],Loop!C:C,Loop!D:D)&lt;75,(Q12*(1+$I$3))+IF(TableIncomeCalculations[[#This Row],[SwitchP1]]="Y",Q12*$I$5,0),0)</f>
        <v>70541.671644360918</v>
      </c>
      <c r="R13" s="35">
        <f>IF(_xlfn.XLOOKUP(TableIncome[[#This Row],[Year]],Loop!C:C,Loop!E:E)&lt;75,(R12*(1+$I$3))+IF(TableIncomeCalculations[[#This Row],[SwitchP2]]="Y",R12*$I$5,0),0)</f>
        <v>118390.25157113008</v>
      </c>
      <c r="S13" t="str">
        <f>JobHopping[[#This Row],[SwitchP1Static]]</f>
        <v>Y</v>
      </c>
      <c r="T13" t="str">
        <f>JobHopping[[#This Row],[SwitchP2Static]]</f>
        <v>Y</v>
      </c>
    </row>
    <row r="14" spans="1:20" x14ac:dyDescent="0.2">
      <c r="B14" s="3">
        <v>2036</v>
      </c>
      <c r="C14" s="38">
        <f>(TableIncomeCalculations[[#This Row],[NetMonthlySalaryP1]]*12)</f>
        <v>355699.59647636313</v>
      </c>
      <c r="D14" s="37">
        <f>(TableIncomeCalculations[[#This Row],[NetMonthlySalaryP2]]*12)</f>
        <v>556561.0598404489</v>
      </c>
      <c r="E14" s="36">
        <f>TableIncome[[#This Row],[SalaryP1]]*$I$7</f>
        <v>71139.91929527263</v>
      </c>
      <c r="F14" s="36">
        <f>TableIncome[[#This Row],[SalaryP2]]*$I$7</f>
        <v>111312.21196808979</v>
      </c>
      <c r="G14" s="16"/>
      <c r="K14" s="57">
        <f>(TableIncome[[#This Row],[SalaryP1]]-TableIncome[[#This Row],[InvestmentP1]])/12</f>
        <v>23713.306431757544</v>
      </c>
      <c r="L14" s="57">
        <f>(TableIncome[[#This Row],[SalaryP2]]-TableIncome[[#This Row],[InvestmentP2]])/12</f>
        <v>37104.070656029922</v>
      </c>
      <c r="M14" s="34">
        <f>'Net Salary P1'!BI13</f>
        <v>29641.633039696928</v>
      </c>
      <c r="N14" s="35">
        <f>'Net Salary P2'!BI13</f>
        <v>46380.088320037408</v>
      </c>
      <c r="O14" s="35">
        <f>IF(_xlfn.XLOOKUP(TableIncome[[#This Row],[Year]],Loop!C:C,Loop!D:D)&lt;75,(O13*(1+$I$4))+IF(TableIncomeCalculations[[#This Row],[SwitchP1]]="Y",O13*$I$6,0),0)</f>
        <v>54430.759713467029</v>
      </c>
      <c r="P14" s="35">
        <f>IF(_xlfn.XLOOKUP(TableIncome[[#This Row],[Year]],Loop!C:C,Loop!E:E)&lt;75,(P13*(1+$I$4))+IF(TableIncomeCalculations[[#This Row],[SwitchP2]]="Y",P13*$I$6,0),0)</f>
        <v>91351.27061027383</v>
      </c>
      <c r="Q14" s="35">
        <f>IF(_xlfn.XLOOKUP(TableIncome[[#This Row],[Year]],Loop!C:C,Loop!D:D)&lt;75,(Q13*(1+$I$3))+IF(TableIncomeCalculations[[#This Row],[SwitchP1]]="Y",Q13*$I$5,0),0)</f>
        <v>72657.921793691741</v>
      </c>
      <c r="R14" s="35">
        <f>IF(_xlfn.XLOOKUP(TableIncome[[#This Row],[Year]],Loop!C:C,Loop!E:E)&lt;75,(R13*(1+$I$3))+IF(TableIncomeCalculations[[#This Row],[SwitchP2]]="Y",R13*$I$5,0),0)</f>
        <v>121941.95911826399</v>
      </c>
      <c r="S14" t="str">
        <f>JobHopping[[#This Row],[SwitchP1Static]]</f>
        <v>N</v>
      </c>
      <c r="T14" t="str">
        <f>JobHopping[[#This Row],[SwitchP2Static]]</f>
        <v>N</v>
      </c>
    </row>
    <row r="15" spans="1:20" x14ac:dyDescent="0.2">
      <c r="B15" s="3">
        <v>2037</v>
      </c>
      <c r="C15" s="38">
        <f>(TableIncomeCalculations[[#This Row],[NetMonthlySalaryP1]]*12)</f>
        <v>359295.5053961667</v>
      </c>
      <c r="D15" s="37">
        <f>(TableIncomeCalculations[[#This Row],[NetMonthlySalaryP2]]*12)</f>
        <v>561158.94395389338</v>
      </c>
      <c r="E15" s="36">
        <f>TableIncome[[#This Row],[SalaryP1]]*$I$7</f>
        <v>71859.10107923334</v>
      </c>
      <c r="F15" s="36">
        <f>TableIncome[[#This Row],[SalaryP2]]*$I$7</f>
        <v>112231.78879077868</v>
      </c>
      <c r="G15" s="16"/>
      <c r="K15" s="57">
        <f>(TableIncome[[#This Row],[SalaryP1]]-TableIncome[[#This Row],[InvestmentP1]])/12</f>
        <v>23953.033693077781</v>
      </c>
      <c r="L15" s="57">
        <f>(TableIncome[[#This Row],[SalaryP2]]-TableIncome[[#This Row],[InvestmentP2]])/12</f>
        <v>37410.596263592895</v>
      </c>
      <c r="M15" s="34">
        <f>'Net Salary P1'!BI14</f>
        <v>29941.292116347224</v>
      </c>
      <c r="N15" s="35">
        <f>'Net Salary P2'!BI14</f>
        <v>46763.245329491117</v>
      </c>
      <c r="O15" s="35">
        <f>IF(_xlfn.XLOOKUP(TableIncome[[#This Row],[Year]],Loop!C:C,Loop!D:D)&lt;75,(O14*(1+$I$4))+IF(TableIncomeCalculations[[#This Row],[SwitchP1]]="Y",O14*$I$6,0),0)</f>
        <v>54975.067310601698</v>
      </c>
      <c r="P15" s="35">
        <f>IF(_xlfn.XLOOKUP(TableIncome[[#This Row],[Year]],Loop!C:C,Loop!E:E)&lt;75,(P14*(1+$I$4))+IF(TableIncomeCalculations[[#This Row],[SwitchP2]]="Y",P14*$I$6,0),0)</f>
        <v>92264.783316376575</v>
      </c>
      <c r="Q15" s="35">
        <f>IF(_xlfn.XLOOKUP(TableIncome[[#This Row],[Year]],Loop!C:C,Loop!D:D)&lt;75,(Q14*(1+$I$3))+IF(TableIncomeCalculations[[#This Row],[SwitchP1]]="Y",Q14*$I$5,0),0)</f>
        <v>74837.65944750249</v>
      </c>
      <c r="R15" s="35">
        <f>IF(_xlfn.XLOOKUP(TableIncome[[#This Row],[Year]],Loop!C:C,Loop!E:E)&lt;75,(R14*(1+$I$3))+IF(TableIncomeCalculations[[#This Row],[SwitchP2]]="Y",R14*$I$5,0),0)</f>
        <v>125600.2178918119</v>
      </c>
      <c r="S15" t="str">
        <f>JobHopping[[#This Row],[SwitchP1Static]]</f>
        <v>N</v>
      </c>
      <c r="T15" t="str">
        <f>JobHopping[[#This Row],[SwitchP2Static]]</f>
        <v>N</v>
      </c>
    </row>
    <row r="16" spans="1:20" x14ac:dyDescent="0.2">
      <c r="B16" s="3">
        <v>2038</v>
      </c>
      <c r="C16" s="38">
        <f>(TableIncomeCalculations[[#This Row],[NetMonthlySalaryP1]]*12)</f>
        <v>377454.84544117504</v>
      </c>
      <c r="D16" s="37">
        <f>(TableIncomeCalculations[[#This Row],[NetMonthlySalaryP2]]*12)</f>
        <v>584378.2587267881</v>
      </c>
      <c r="E16" s="36">
        <f>TableIncome[[#This Row],[SalaryP1]]*$I$7</f>
        <v>75490.969088235011</v>
      </c>
      <c r="F16" s="36">
        <f>TableIncome[[#This Row],[SalaryP2]]*$I$7</f>
        <v>116875.65174535762</v>
      </c>
      <c r="G16" s="16"/>
      <c r="K16" s="57">
        <f>(TableIncome[[#This Row],[SalaryP1]]-TableIncome[[#This Row],[InvestmentP1]])/12</f>
        <v>25163.656362745005</v>
      </c>
      <c r="L16" s="57">
        <f>(TableIncome[[#This Row],[SalaryP2]]-TableIncome[[#This Row],[InvestmentP2]])/12</f>
        <v>38958.550581785872</v>
      </c>
      <c r="M16" s="34">
        <f>'Net Salary P1'!BI15</f>
        <v>31454.570453431254</v>
      </c>
      <c r="N16" s="35">
        <f>'Net Salary P2'!BI15</f>
        <v>48698.188227232342</v>
      </c>
      <c r="O16" s="35">
        <f>IF(_xlfn.XLOOKUP(TableIncome[[#This Row],[Year]],Loop!C:C,Loop!D:D)&lt;75,(O15*(1+$I$4))+IF(TableIncomeCalculations[[#This Row],[SwitchP1]]="Y",O15*$I$6,0),0)</f>
        <v>57723.820676131785</v>
      </c>
      <c r="P16" s="35">
        <f>IF(_xlfn.XLOOKUP(TableIncome[[#This Row],[Year]],Loop!C:C,Loop!E:E)&lt;75,(P15*(1+$I$4))+IF(TableIncomeCalculations[[#This Row],[SwitchP2]]="Y",P15*$I$6,0),0)</f>
        <v>96878.022482195403</v>
      </c>
      <c r="Q16" s="35">
        <f>IF(_xlfn.XLOOKUP(TableIncome[[#This Row],[Year]],Loop!C:C,Loop!D:D)&lt;75,(Q15*(1+$I$3))+IF(TableIncomeCalculations[[#This Row],[SwitchP1]]="Y",Q15*$I$5,0),0)</f>
        <v>81573.048797777708</v>
      </c>
      <c r="R16" s="35">
        <f>IF(_xlfn.XLOOKUP(TableIncome[[#This Row],[Year]],Loop!C:C,Loop!E:E)&lt;75,(R15*(1+$I$3))+IF(TableIncomeCalculations[[#This Row],[SwitchP2]]="Y",R15*$I$5,0),0)</f>
        <v>136904.23750207498</v>
      </c>
      <c r="S16" t="str">
        <f>JobHopping[[#This Row],[SwitchP1Static]]</f>
        <v>Y</v>
      </c>
      <c r="T16" t="str">
        <f>JobHopping[[#This Row],[SwitchP2Static]]</f>
        <v>Y</v>
      </c>
    </row>
    <row r="17" spans="2:20" x14ac:dyDescent="0.2">
      <c r="B17" s="3">
        <v>2039</v>
      </c>
      <c r="C17" s="38">
        <f>(TableIncomeCalculations[[#This Row],[NetMonthlySalaryP1]]*12)</f>
        <v>381268.30685062683</v>
      </c>
      <c r="D17" s="37">
        <f>(TableIncomeCalculations[[#This Row],[NetMonthlySalaryP2]]*12)</f>
        <v>589254.31482909597</v>
      </c>
      <c r="E17" s="36">
        <f>TableIncome[[#This Row],[SalaryP1]]*$I$7</f>
        <v>76253.661370125366</v>
      </c>
      <c r="F17" s="36">
        <f>TableIncome[[#This Row],[SalaryP2]]*$I$7</f>
        <v>117850.86296581919</v>
      </c>
      <c r="G17" s="16"/>
      <c r="K17" s="57">
        <f>(TableIncome[[#This Row],[SalaryP1]]-TableIncome[[#This Row],[InvestmentP1]])/12</f>
        <v>25417.887123375123</v>
      </c>
      <c r="L17" s="57">
        <f>(TableIncome[[#This Row],[SalaryP2]]-TableIncome[[#This Row],[InvestmentP2]])/12</f>
        <v>39283.620988606395</v>
      </c>
      <c r="M17" s="34">
        <f>'Net Salary P1'!BI16</f>
        <v>31772.358904218901</v>
      </c>
      <c r="N17" s="35">
        <f>'Net Salary P2'!BI16</f>
        <v>49104.526235758</v>
      </c>
      <c r="O17" s="35">
        <f>IF(_xlfn.XLOOKUP(TableIncome[[#This Row],[Year]],Loop!C:C,Loop!D:D)&lt;75,(O16*(1+$I$4))+IF(TableIncomeCalculations[[#This Row],[SwitchP1]]="Y",O16*$I$6,0),0)</f>
        <v>58301.058882893107</v>
      </c>
      <c r="P17" s="35">
        <f>IF(_xlfn.XLOOKUP(TableIncome[[#This Row],[Year]],Loop!C:C,Loop!E:E)&lt;75,(P16*(1+$I$4))+IF(TableIncomeCalculations[[#This Row],[SwitchP2]]="Y",P16*$I$6,0),0)</f>
        <v>97846.802707017356</v>
      </c>
      <c r="Q17" s="35">
        <f>IF(_xlfn.XLOOKUP(TableIncome[[#This Row],[Year]],Loop!C:C,Loop!D:D)&lt;75,(Q16*(1+$I$3))+IF(TableIncomeCalculations[[#This Row],[SwitchP1]]="Y",Q16*$I$5,0),0)</f>
        <v>84020.240261711035</v>
      </c>
      <c r="R17" s="35">
        <f>IF(_xlfn.XLOOKUP(TableIncome[[#This Row],[Year]],Loop!C:C,Loop!E:E)&lt;75,(R16*(1+$I$3))+IF(TableIncomeCalculations[[#This Row],[SwitchP2]]="Y",R16*$I$5,0),0)</f>
        <v>141011.36462713723</v>
      </c>
      <c r="S17" t="str">
        <f>JobHopping[[#This Row],[SwitchP1Static]]</f>
        <v>N</v>
      </c>
      <c r="T17" t="str">
        <f>JobHopping[[#This Row],[SwitchP2Static]]</f>
        <v>N</v>
      </c>
    </row>
    <row r="18" spans="2:20" x14ac:dyDescent="0.2">
      <c r="B18" s="3">
        <v>2040</v>
      </c>
      <c r="C18" s="38">
        <f>(TableIncomeCalculations[[#This Row],[NetMonthlySalaryP1]]*12)</f>
        <v>385119.90287417319</v>
      </c>
      <c r="D18" s="37">
        <f>(TableIncomeCalculations[[#This Row],[NetMonthlySalaryP2]]*12)</f>
        <v>594179.13149242685</v>
      </c>
      <c r="E18" s="36">
        <f>TableIncome[[#This Row],[SalaryP1]]*$I$7</f>
        <v>77023.980574834641</v>
      </c>
      <c r="F18" s="36">
        <f>TableIncome[[#This Row],[SalaryP2]]*$I$7</f>
        <v>118835.82629848538</v>
      </c>
      <c r="G18" s="16"/>
      <c r="K18" s="57">
        <f>(TableIncome[[#This Row],[SalaryP1]]-TableIncome[[#This Row],[InvestmentP1]])/12</f>
        <v>25674.660191611547</v>
      </c>
      <c r="L18" s="57">
        <f>(TableIncome[[#This Row],[SalaryP2]]-TableIncome[[#This Row],[InvestmentP2]])/12</f>
        <v>39611.942099495122</v>
      </c>
      <c r="M18" s="34">
        <f>'Net Salary P1'!BI17</f>
        <v>32093.325239514434</v>
      </c>
      <c r="N18" s="35">
        <f>'Net Salary P2'!BI17</f>
        <v>49514.927624368902</v>
      </c>
      <c r="O18" s="35">
        <f>IF(_xlfn.XLOOKUP(TableIncome[[#This Row],[Year]],Loop!C:C,Loop!D:D)&lt;75,(O17*(1+$I$4))+IF(TableIncomeCalculations[[#This Row],[SwitchP1]]="Y",O17*$I$6,0),0)</f>
        <v>58884.069471722039</v>
      </c>
      <c r="P18" s="35">
        <f>IF(_xlfn.XLOOKUP(TableIncome[[#This Row],[Year]],Loop!C:C,Loop!E:E)&lt;75,(P17*(1+$I$4))+IF(TableIncomeCalculations[[#This Row],[SwitchP2]]="Y",P17*$I$6,0),0)</f>
        <v>98825.270734087535</v>
      </c>
      <c r="Q18" s="35">
        <f>IF(_xlfn.XLOOKUP(TableIncome[[#This Row],[Year]],Loop!C:C,Loop!D:D)&lt;75,(Q17*(1+$I$3))+IF(TableIncomeCalculations[[#This Row],[SwitchP1]]="Y",Q17*$I$5,0),0)</f>
        <v>86540.847469562374</v>
      </c>
      <c r="R18" s="35">
        <f>IF(_xlfn.XLOOKUP(TableIncome[[#This Row],[Year]],Loop!C:C,Loop!E:E)&lt;75,(R17*(1+$I$3))+IF(TableIncomeCalculations[[#This Row],[SwitchP2]]="Y",R17*$I$5,0),0)</f>
        <v>145241.70556595136</v>
      </c>
      <c r="S18" t="str">
        <f>JobHopping[[#This Row],[SwitchP1Static]]</f>
        <v>N</v>
      </c>
      <c r="T18" t="str">
        <f>JobHopping[[#This Row],[SwitchP2Static]]</f>
        <v>N</v>
      </c>
    </row>
    <row r="19" spans="2:20" x14ac:dyDescent="0.2">
      <c r="B19" s="3">
        <v>2041</v>
      </c>
      <c r="C19" s="38">
        <f>(TableIncomeCalculations[[#This Row],[NetMonthlySalaryP1]]*12)</f>
        <v>389010.01485795487</v>
      </c>
      <c r="D19" s="37">
        <f>(TableIncomeCalculations[[#This Row],[NetMonthlySalaryP2]]*12)</f>
        <v>599153.19632239104</v>
      </c>
      <c r="E19" s="36">
        <f>TableIncome[[#This Row],[SalaryP1]]*$I$7</f>
        <v>77802.002971590977</v>
      </c>
      <c r="F19" s="36">
        <f>TableIncome[[#This Row],[SalaryP2]]*$I$7</f>
        <v>119830.63926447822</v>
      </c>
      <c r="G19" s="16"/>
      <c r="K19" s="57">
        <f>(TableIncome[[#This Row],[SalaryP1]]-TableIncome[[#This Row],[InvestmentP1]])/12</f>
        <v>25934.000990530327</v>
      </c>
      <c r="L19" s="57">
        <f>(TableIncome[[#This Row],[SalaryP2]]-TableIncome[[#This Row],[InvestmentP2]])/12</f>
        <v>39943.546421492734</v>
      </c>
      <c r="M19" s="34">
        <f>'Net Salary P1'!BI18</f>
        <v>32417.501238162906</v>
      </c>
      <c r="N19" s="35">
        <f>'Net Salary P2'!BI18</f>
        <v>49929.433026865918</v>
      </c>
      <c r="O19" s="35">
        <f>IF(_xlfn.XLOOKUP(TableIncome[[#This Row],[Year]],Loop!C:C,Loop!D:D)&lt;75,(O18*(1+$I$4))+IF(TableIncomeCalculations[[#This Row],[SwitchP1]]="Y",O18*$I$6,0),0)</f>
        <v>59472.910166439258</v>
      </c>
      <c r="P19" s="35">
        <f>IF(_xlfn.XLOOKUP(TableIncome[[#This Row],[Year]],Loop!C:C,Loop!E:E)&lt;75,(P18*(1+$I$4))+IF(TableIncomeCalculations[[#This Row],[SwitchP2]]="Y",P18*$I$6,0),0)</f>
        <v>99813.523441428406</v>
      </c>
      <c r="Q19" s="35">
        <f>IF(_xlfn.XLOOKUP(TableIncome[[#This Row],[Year]],Loop!C:C,Loop!D:D)&lt;75,(Q18*(1+$I$3))+IF(TableIncomeCalculations[[#This Row],[SwitchP1]]="Y",Q18*$I$5,0),0)</f>
        <v>89137.072893649252</v>
      </c>
      <c r="R19" s="35">
        <f>IF(_xlfn.XLOOKUP(TableIncome[[#This Row],[Year]],Loop!C:C,Loop!E:E)&lt;75,(R18*(1+$I$3))+IF(TableIncomeCalculations[[#This Row],[SwitchP2]]="Y",R18*$I$5,0),0)</f>
        <v>149598.95673292989</v>
      </c>
      <c r="S19" t="str">
        <f>JobHopping[[#This Row],[SwitchP1Static]]</f>
        <v>N</v>
      </c>
      <c r="T19" t="str">
        <f>JobHopping[[#This Row],[SwitchP2Static]]</f>
        <v>N</v>
      </c>
    </row>
    <row r="20" spans="2:20" x14ac:dyDescent="0.2">
      <c r="B20" s="3">
        <v>2042</v>
      </c>
      <c r="C20" s="38">
        <f>(TableIncomeCalculations[[#This Row],[NetMonthlySalaryP1]]*12)</f>
        <v>392939.02796157449</v>
      </c>
      <c r="D20" s="37">
        <f>(TableIncomeCalculations[[#This Row],[NetMonthlySalaryP2]]*12)</f>
        <v>604177.00180065515</v>
      </c>
      <c r="E20" s="36">
        <f>TableIncome[[#This Row],[SalaryP1]]*$I$7</f>
        <v>78587.805592314908</v>
      </c>
      <c r="F20" s="36">
        <f>TableIncome[[#This Row],[SalaryP2]]*$I$7</f>
        <v>120835.40036013104</v>
      </c>
      <c r="G20" s="16"/>
      <c r="K20" s="57">
        <f>(TableIncome[[#This Row],[SalaryP1]]-TableIncome[[#This Row],[InvestmentP1]])/12</f>
        <v>26195.935197438299</v>
      </c>
      <c r="L20" s="57">
        <f>(TableIncome[[#This Row],[SalaryP2]]-TableIncome[[#This Row],[InvestmentP2]])/12</f>
        <v>40278.466786710342</v>
      </c>
      <c r="M20" s="34">
        <f>'Net Salary P1'!BI19</f>
        <v>32744.918996797875</v>
      </c>
      <c r="N20" s="35">
        <f>'Net Salary P2'!BI19</f>
        <v>50348.083483387927</v>
      </c>
      <c r="O20" s="35">
        <f>IF(_xlfn.XLOOKUP(TableIncome[[#This Row],[Year]],Loop!C:C,Loop!D:D)&lt;75,(O19*(1+$I$4))+IF(TableIncomeCalculations[[#This Row],[SwitchP1]]="Y",O19*$I$6,0),0)</f>
        <v>60067.639268103652</v>
      </c>
      <c r="P20" s="35">
        <f>IF(_xlfn.XLOOKUP(TableIncome[[#This Row],[Year]],Loop!C:C,Loop!E:E)&lt;75,(P19*(1+$I$4))+IF(TableIncomeCalculations[[#This Row],[SwitchP2]]="Y",P19*$I$6,0),0)</f>
        <v>100811.65867584269</v>
      </c>
      <c r="Q20" s="35">
        <f>IF(_xlfn.XLOOKUP(TableIncome[[#This Row],[Year]],Loop!C:C,Loop!D:D)&lt;75,(Q19*(1+$I$3))+IF(TableIncomeCalculations[[#This Row],[SwitchP1]]="Y",Q19*$I$5,0),0)</f>
        <v>91811.18508045873</v>
      </c>
      <c r="R20" s="35">
        <f>IF(_xlfn.XLOOKUP(TableIncome[[#This Row],[Year]],Loop!C:C,Loop!E:E)&lt;75,(R19*(1+$I$3))+IF(TableIncomeCalculations[[#This Row],[SwitchP2]]="Y",R19*$I$5,0),0)</f>
        <v>154086.92543491779</v>
      </c>
      <c r="S20" t="str">
        <f>JobHopping[[#This Row],[SwitchP1Static]]</f>
        <v>N</v>
      </c>
      <c r="T20" t="str">
        <f>JobHopping[[#This Row],[SwitchP2Static]]</f>
        <v>N</v>
      </c>
    </row>
    <row r="21" spans="2:20" x14ac:dyDescent="0.2">
      <c r="B21" s="3">
        <v>2043</v>
      </c>
      <c r="C21" s="38">
        <f>(TableIncomeCalculations[[#This Row],[NetMonthlySalaryP1]]*12)</f>
        <v>412780.54413485306</v>
      </c>
      <c r="D21" s="37">
        <f>(TableIncomeCalculations[[#This Row],[NetMonthlySalaryP2]]*12)</f>
        <v>629547.21946588787</v>
      </c>
      <c r="E21" s="36">
        <f>TableIncome[[#This Row],[SalaryP1]]*$I$7</f>
        <v>82556.108826970623</v>
      </c>
      <c r="F21" s="36">
        <f>TableIncome[[#This Row],[SalaryP2]]*$I$7</f>
        <v>125909.44389317758</v>
      </c>
      <c r="G21" s="16"/>
      <c r="K21" s="57">
        <f>(TableIncome[[#This Row],[SalaryP1]]-TableIncome[[#This Row],[InvestmentP1]])/12</f>
        <v>27518.702942323536</v>
      </c>
      <c r="L21" s="57">
        <f>(TableIncome[[#This Row],[SalaryP2]]-TableIncome[[#This Row],[InvestmentP2]])/12</f>
        <v>41969.814631059191</v>
      </c>
      <c r="M21" s="34">
        <f>'Net Salary P1'!BI20</f>
        <v>34398.378677904424</v>
      </c>
      <c r="N21" s="35">
        <f>'Net Salary P2'!BI20</f>
        <v>52462.268288823987</v>
      </c>
      <c r="O21" s="35">
        <f>IF(_xlfn.XLOOKUP(TableIncome[[#This Row],[Year]],Loop!C:C,Loop!D:D)&lt;75,(O20*(1+$I$4))+IF(TableIncomeCalculations[[#This Row],[SwitchP1]]="Y",O20*$I$6,0),0)</f>
        <v>63071.021231508836</v>
      </c>
      <c r="P21" s="35">
        <f>IF(_xlfn.XLOOKUP(TableIncome[[#This Row],[Year]],Loop!C:C,Loop!E:E)&lt;75,(P20*(1+$I$4))+IF(TableIncomeCalculations[[#This Row],[SwitchP2]]="Y",P20*$I$6,0),0)</f>
        <v>105852.24160963483</v>
      </c>
      <c r="Q21" s="35">
        <f>IF(_xlfn.XLOOKUP(TableIncome[[#This Row],[Year]],Loop!C:C,Loop!D:D)&lt;75,(Q20*(1+$I$3))+IF(TableIncomeCalculations[[#This Row],[SwitchP1]]="Y",Q20*$I$5,0),0)</f>
        <v>100074.19173770001</v>
      </c>
      <c r="R21" s="35">
        <f>IF(_xlfn.XLOOKUP(TableIncome[[#This Row],[Year]],Loop!C:C,Loop!E:E)&lt;75,(R20*(1+$I$3))+IF(TableIncomeCalculations[[#This Row],[SwitchP2]]="Y",R20*$I$5,0),0)</f>
        <v>167954.7487240604</v>
      </c>
      <c r="S21" t="str">
        <f>JobHopping[[#This Row],[SwitchP1Static]]</f>
        <v>Y</v>
      </c>
      <c r="T21" t="str">
        <f>JobHopping[[#This Row],[SwitchP2Static]]</f>
        <v>Y</v>
      </c>
    </row>
    <row r="22" spans="2:20" x14ac:dyDescent="0.2">
      <c r="B22" s="3">
        <v>2044</v>
      </c>
      <c r="C22" s="38">
        <f>(TableIncomeCalculations[[#This Row],[NetMonthlySalaryP1]]*12)</f>
        <v>416947.26253124175</v>
      </c>
      <c r="D22" s="37">
        <f>(TableIncomeCalculations[[#This Row],[NetMonthlySalaryP2]]*12)</f>
        <v>634874.96517558675</v>
      </c>
      <c r="E22" s="36">
        <f>TableIncome[[#This Row],[SalaryP1]]*$I$7</f>
        <v>83389.452506248359</v>
      </c>
      <c r="F22" s="36">
        <f>TableIncome[[#This Row],[SalaryP2]]*$I$7</f>
        <v>126974.99303511735</v>
      </c>
      <c r="G22" s="16"/>
      <c r="K22" s="57">
        <f>(TableIncome[[#This Row],[SalaryP1]]-TableIncome[[#This Row],[InvestmentP1]])/12</f>
        <v>27796.484168749448</v>
      </c>
      <c r="L22" s="57">
        <f>(TableIncome[[#This Row],[SalaryP2]]-TableIncome[[#This Row],[InvestmentP2]])/12</f>
        <v>42324.997678372449</v>
      </c>
      <c r="M22" s="34">
        <f>'Net Salary P1'!BI21</f>
        <v>34745.60521093681</v>
      </c>
      <c r="N22" s="35">
        <f>'Net Salary P2'!BI21</f>
        <v>52906.247097965563</v>
      </c>
      <c r="O22" s="35">
        <f>IF(_xlfn.XLOOKUP(TableIncome[[#This Row],[Year]],Loop!C:C,Loop!D:D)&lt;75,(O21*(1+$I$4))+IF(TableIncomeCalculations[[#This Row],[SwitchP1]]="Y",O21*$I$6,0),0)</f>
        <v>63701.731443823926</v>
      </c>
      <c r="P22" s="35">
        <f>IF(_xlfn.XLOOKUP(TableIncome[[#This Row],[Year]],Loop!C:C,Loop!E:E)&lt;75,(P21*(1+$I$4))+IF(TableIncomeCalculations[[#This Row],[SwitchP2]]="Y",P21*$I$6,0),0)</f>
        <v>106910.76402573119</v>
      </c>
      <c r="Q22" s="35">
        <f>IF(_xlfn.XLOOKUP(TableIncome[[#This Row],[Year]],Loop!C:C,Loop!D:D)&lt;75,(Q21*(1+$I$3))+IF(TableIncomeCalculations[[#This Row],[SwitchP1]]="Y",Q21*$I$5,0),0)</f>
        <v>103076.41748983102</v>
      </c>
      <c r="R22" s="35">
        <f>IF(_xlfn.XLOOKUP(TableIncome[[#This Row],[Year]],Loop!C:C,Loop!E:E)&lt;75,(R21*(1+$I$3))+IF(TableIncomeCalculations[[#This Row],[SwitchP2]]="Y",R21*$I$5,0),0)</f>
        <v>172993.39118578221</v>
      </c>
      <c r="S22" t="str">
        <f>JobHopping[[#This Row],[SwitchP1Static]]</f>
        <v>N</v>
      </c>
      <c r="T22" t="str">
        <f>JobHopping[[#This Row],[SwitchP2Static]]</f>
        <v>N</v>
      </c>
    </row>
    <row r="23" spans="2:20" x14ac:dyDescent="0.2">
      <c r="B23" s="3">
        <v>2045</v>
      </c>
      <c r="C23" s="38">
        <f>(TableIncomeCalculations[[#This Row],[NetMonthlySalaryP1]]*12)</f>
        <v>420601.87256509613</v>
      </c>
      <c r="D23" s="37">
        <f>(TableIncomeCalculations[[#This Row],[NetMonthlySalaryP2]]*12)</f>
        <v>640255.98834238271</v>
      </c>
      <c r="E23" s="36">
        <f>TableIncome[[#This Row],[SalaryP1]]*$I$7</f>
        <v>84120.374513019226</v>
      </c>
      <c r="F23" s="36">
        <f>TableIncome[[#This Row],[SalaryP2]]*$I$7</f>
        <v>128051.19766847655</v>
      </c>
      <c r="G23" s="16"/>
      <c r="K23" s="57">
        <f>(TableIncome[[#This Row],[SalaryP1]]-TableIncome[[#This Row],[InvestmentP1]])/12</f>
        <v>28040.124837673076</v>
      </c>
      <c r="L23" s="57">
        <f>(TableIncome[[#This Row],[SalaryP2]]-TableIncome[[#This Row],[InvestmentP2]])/12</f>
        <v>42683.732556158844</v>
      </c>
      <c r="M23" s="34">
        <f>'Net Salary P1'!BI22</f>
        <v>35050.156047091346</v>
      </c>
      <c r="N23" s="35">
        <f>'Net Salary P2'!BI22</f>
        <v>53354.665695198557</v>
      </c>
      <c r="O23" s="35">
        <f>IF(_xlfn.XLOOKUP(TableIncome[[#This Row],[Year]],Loop!C:C,Loop!D:D)&lt;75,(O22*(1+$I$4))+IF(TableIncomeCalculations[[#This Row],[SwitchP1]]="Y",O22*$I$6,0),0)</f>
        <v>64338.748758262169</v>
      </c>
      <c r="P23" s="35">
        <f>IF(_xlfn.XLOOKUP(TableIncome[[#This Row],[Year]],Loop!C:C,Loop!E:E)&lt;75,(P22*(1+$I$4))+IF(TableIncomeCalculations[[#This Row],[SwitchP2]]="Y",P22*$I$6,0),0)</f>
        <v>107979.8716659885</v>
      </c>
      <c r="Q23" s="35">
        <f>IF(_xlfn.XLOOKUP(TableIncome[[#This Row],[Year]],Loop!C:C,Loop!D:D)&lt;75,(Q22*(1+$I$3))+IF(TableIncomeCalculations[[#This Row],[SwitchP1]]="Y",Q22*$I$5,0),0)</f>
        <v>106168.71001452595</v>
      </c>
      <c r="R23" s="35">
        <f>IF(_xlfn.XLOOKUP(TableIncome[[#This Row],[Year]],Loop!C:C,Loop!E:E)&lt;75,(R22*(1+$I$3))+IF(TableIncomeCalculations[[#This Row],[SwitchP2]]="Y",R22*$I$5,0),0)</f>
        <v>178183.19292135569</v>
      </c>
      <c r="S23" t="str">
        <f>JobHopping[[#This Row],[SwitchP1Static]]</f>
        <v>N</v>
      </c>
      <c r="T23" t="str">
        <f>JobHopping[[#This Row],[SwitchP2Static]]</f>
        <v>N</v>
      </c>
    </row>
    <row r="24" spans="2:20" x14ac:dyDescent="0.2">
      <c r="B24" s="3">
        <v>2046</v>
      </c>
      <c r="C24" s="38">
        <f>(TableIncomeCalculations[[#This Row],[NetMonthlySalaryP1]]*12)</f>
        <v>423840.16480578703</v>
      </c>
      <c r="D24" s="37">
        <f>(TableIncomeCalculations[[#This Row],[NetMonthlySalaryP2]]*12)</f>
        <v>645690.82174084662</v>
      </c>
      <c r="E24" s="36">
        <f>TableIncome[[#This Row],[SalaryP1]]*$I$7</f>
        <v>84768.032961157413</v>
      </c>
      <c r="F24" s="36">
        <f>TableIncome[[#This Row],[SalaryP2]]*$I$7</f>
        <v>129138.16434816933</v>
      </c>
      <c r="G24" s="16"/>
      <c r="K24" s="57">
        <f>(TableIncome[[#This Row],[SalaryP1]]-TableIncome[[#This Row],[InvestmentP1]])/12</f>
        <v>28256.010987052472</v>
      </c>
      <c r="L24" s="57">
        <f>(TableIncome[[#This Row],[SalaryP2]]-TableIncome[[#This Row],[InvestmentP2]])/12</f>
        <v>43046.054782723106</v>
      </c>
      <c r="M24" s="34">
        <f>'Net Salary P1'!BI23</f>
        <v>35320.013733815584</v>
      </c>
      <c r="N24" s="35">
        <f>'Net Salary P2'!BI23</f>
        <v>53807.568478403882</v>
      </c>
      <c r="O24" s="35">
        <f>IF(_xlfn.XLOOKUP(TableIncome[[#This Row],[Year]],Loop!C:C,Loop!D:D)&lt;75,(O23*(1+$I$4))+IF(TableIncomeCalculations[[#This Row],[SwitchP1]]="Y",O23*$I$6,0),0)</f>
        <v>64982.136245844791</v>
      </c>
      <c r="P24" s="35">
        <f>IF(_xlfn.XLOOKUP(TableIncome[[#This Row],[Year]],Loop!C:C,Loop!E:E)&lt;75,(P23*(1+$I$4))+IF(TableIncomeCalculations[[#This Row],[SwitchP2]]="Y",P23*$I$6,0),0)</f>
        <v>109059.67038264839</v>
      </c>
      <c r="Q24" s="35">
        <f>IF(_xlfn.XLOOKUP(TableIncome[[#This Row],[Year]],Loop!C:C,Loop!D:D)&lt;75,(Q23*(1+$I$3))+IF(TableIncomeCalculations[[#This Row],[SwitchP1]]="Y",Q23*$I$5,0),0)</f>
        <v>109353.77131496173</v>
      </c>
      <c r="R24" s="35">
        <f>IF(_xlfn.XLOOKUP(TableIncome[[#This Row],[Year]],Loop!C:C,Loop!E:E)&lt;75,(R23*(1+$I$3))+IF(TableIncomeCalculations[[#This Row],[SwitchP2]]="Y",R23*$I$5,0),0)</f>
        <v>183528.68870899637</v>
      </c>
      <c r="S24" t="str">
        <f>JobHopping[[#This Row],[SwitchP1Static]]</f>
        <v>N</v>
      </c>
      <c r="T24" t="str">
        <f>JobHopping[[#This Row],[SwitchP2Static]]</f>
        <v>N</v>
      </c>
    </row>
    <row r="25" spans="2:20" x14ac:dyDescent="0.2">
      <c r="B25" s="3">
        <v>2047</v>
      </c>
      <c r="C25" s="38">
        <f>(TableIncomeCalculations[[#This Row],[NetMonthlySalaryP1]]*12)</f>
        <v>440193.54062127648</v>
      </c>
      <c r="D25" s="37">
        <f>(TableIncomeCalculations[[#This Row],[NetMonthlySalaryP2]]*12)</f>
        <v>673136.73040308885</v>
      </c>
      <c r="E25" s="36">
        <f>TableIncome[[#This Row],[SalaryP1]]*$I$7</f>
        <v>88038.708124255296</v>
      </c>
      <c r="F25" s="36">
        <f>TableIncome[[#This Row],[SalaryP2]]*$I$7</f>
        <v>134627.34608061778</v>
      </c>
      <c r="G25" s="16"/>
      <c r="K25" s="57">
        <f>(TableIncome[[#This Row],[SalaryP1]]-TableIncome[[#This Row],[InvestmentP1]])/12</f>
        <v>29346.236041418433</v>
      </c>
      <c r="L25" s="57">
        <f>(TableIncome[[#This Row],[SalaryP2]]-TableIncome[[#This Row],[InvestmentP2]])/12</f>
        <v>44875.782026872592</v>
      </c>
      <c r="M25" s="34">
        <f>'Net Salary P1'!BI24</f>
        <v>36682.795051773042</v>
      </c>
      <c r="N25" s="35">
        <f>'Net Salary P2'!BI24</f>
        <v>56094.72753359074</v>
      </c>
      <c r="O25" s="35">
        <f>IF(_xlfn.XLOOKUP(TableIncome[[#This Row],[Year]],Loop!C:C,Loop!D:D)&lt;75,(O24*(1+$I$4))+IF(TableIncomeCalculations[[#This Row],[SwitchP1]]="Y",O24*$I$6,0),0)</f>
        <v>68231.243058137043</v>
      </c>
      <c r="P25" s="35">
        <f>IF(_xlfn.XLOOKUP(TableIncome[[#This Row],[Year]],Loop!C:C,Loop!E:E)&lt;75,(P24*(1+$I$4))+IF(TableIncomeCalculations[[#This Row],[SwitchP2]]="Y",P24*$I$6,0),0)</f>
        <v>114512.6539017808</v>
      </c>
      <c r="Q25" s="35">
        <f>IF(_xlfn.XLOOKUP(TableIncome[[#This Row],[Year]],Loop!C:C,Loop!D:D)&lt;75,(Q24*(1+$I$3))+IF(TableIncomeCalculations[[#This Row],[SwitchP1]]="Y",Q24*$I$5,0),0)</f>
        <v>119195.61073330831</v>
      </c>
      <c r="R25" s="35">
        <f>IF(_xlfn.XLOOKUP(TableIncome[[#This Row],[Year]],Loop!C:C,Loop!E:E)&lt;75,(R24*(1+$I$3))+IF(TableIncomeCalculations[[#This Row],[SwitchP2]]="Y",R24*$I$5,0),0)</f>
        <v>200046.27069280605</v>
      </c>
      <c r="S25" t="str">
        <f>JobHopping[[#This Row],[SwitchP1Static]]</f>
        <v>Y</v>
      </c>
      <c r="T25" t="str">
        <f>JobHopping[[#This Row],[SwitchP2Static]]</f>
        <v>Y</v>
      </c>
    </row>
    <row r="26" spans="2:20" x14ac:dyDescent="0.2">
      <c r="B26" s="3">
        <v>2048</v>
      </c>
      <c r="C26" s="38">
        <f>(TableIncomeCalculations[[#This Row],[NetMonthlySalaryP1]]*12)</f>
        <v>443627.74954252923</v>
      </c>
      <c r="D26" s="37">
        <f>(TableIncomeCalculations[[#This Row],[NetMonthlySalaryP2]]*12)</f>
        <v>678900.37122215971</v>
      </c>
      <c r="E26" s="36">
        <f>TableIncome[[#This Row],[SalaryP1]]*$I$7</f>
        <v>88725.549908505855</v>
      </c>
      <c r="F26" s="36">
        <f>TableIncome[[#This Row],[SalaryP2]]*$I$7</f>
        <v>135780.07424443195</v>
      </c>
      <c r="G26" s="16"/>
      <c r="K26" s="57">
        <f>(TableIncome[[#This Row],[SalaryP1]]-TableIncome[[#This Row],[InvestmentP1]])/12</f>
        <v>29575.183302835281</v>
      </c>
      <c r="L26" s="57">
        <f>(TableIncome[[#This Row],[SalaryP2]]-TableIncome[[#This Row],[InvestmentP2]])/12</f>
        <v>45260.02474814398</v>
      </c>
      <c r="M26" s="34">
        <f>'Net Salary P1'!BI25</f>
        <v>36968.979128544102</v>
      </c>
      <c r="N26" s="35">
        <f>'Net Salary P2'!BI25</f>
        <v>56575.030935179973</v>
      </c>
      <c r="O26" s="35">
        <f>IF(_xlfn.XLOOKUP(TableIncome[[#This Row],[Year]],Loop!C:C,Loop!D:D)&lt;75,(O25*(1+$I$4))+IF(TableIncomeCalculations[[#This Row],[SwitchP1]]="Y",O25*$I$6,0),0)</f>
        <v>68913.555488718412</v>
      </c>
      <c r="P26" s="35">
        <f>IF(_xlfn.XLOOKUP(TableIncome[[#This Row],[Year]],Loop!C:C,Loop!E:E)&lt;75,(P25*(1+$I$4))+IF(TableIncomeCalculations[[#This Row],[SwitchP2]]="Y",P25*$I$6,0),0)</f>
        <v>115657.78044079861</v>
      </c>
      <c r="Q26" s="35">
        <f>IF(_xlfn.XLOOKUP(TableIncome[[#This Row],[Year]],Loop!C:C,Loop!D:D)&lt;75,(Q25*(1+$I$3))+IF(TableIncomeCalculations[[#This Row],[SwitchP1]]="Y",Q25*$I$5,0),0)</f>
        <v>122771.47905530756</v>
      </c>
      <c r="R26" s="35">
        <f>IF(_xlfn.XLOOKUP(TableIncome[[#This Row],[Year]],Loop!C:C,Loop!E:E)&lt;75,(R25*(1+$I$3))+IF(TableIncomeCalculations[[#This Row],[SwitchP2]]="Y",R25*$I$5,0),0)</f>
        <v>206047.65881359024</v>
      </c>
      <c r="S26" t="str">
        <f>JobHopping[[#This Row],[SwitchP1Static]]</f>
        <v>N</v>
      </c>
      <c r="T26" t="str">
        <f>JobHopping[[#This Row],[SwitchP2Static]]</f>
        <v>N</v>
      </c>
    </row>
    <row r="27" spans="2:20" x14ac:dyDescent="0.2">
      <c r="B27" s="3">
        <v>2049</v>
      </c>
      <c r="C27" s="38">
        <f>(TableIncomeCalculations[[#This Row],[NetMonthlySalaryP1]]*12)</f>
        <v>447096.30055299448</v>
      </c>
      <c r="D27" s="37">
        <f>(TableIncomeCalculations[[#This Row],[NetMonthlySalaryP2]]*12)</f>
        <v>684721.64844942139</v>
      </c>
      <c r="E27" s="36">
        <f>TableIncome[[#This Row],[SalaryP1]]*$I$7</f>
        <v>89419.260110598902</v>
      </c>
      <c r="F27" s="36">
        <f>TableIncome[[#This Row],[SalaryP2]]*$I$7</f>
        <v>136944.3296898843</v>
      </c>
      <c r="G27" s="16"/>
      <c r="K27" s="57">
        <f>(TableIncome[[#This Row],[SalaryP1]]-TableIncome[[#This Row],[InvestmentP1]])/12</f>
        <v>29806.420036866301</v>
      </c>
      <c r="L27" s="57">
        <f>(TableIncome[[#This Row],[SalaryP2]]-TableIncome[[#This Row],[InvestmentP2]])/12</f>
        <v>45648.109896628092</v>
      </c>
      <c r="M27" s="34">
        <f>'Net Salary P1'!BI26</f>
        <v>37258.025046082876</v>
      </c>
      <c r="N27" s="35">
        <f>'Net Salary P2'!BI26</f>
        <v>57060.137370785116</v>
      </c>
      <c r="O27" s="35">
        <f>IF(_xlfn.XLOOKUP(TableIncome[[#This Row],[Year]],Loop!C:C,Loop!D:D)&lt;75,(O26*(1+$I$4))+IF(TableIncomeCalculations[[#This Row],[SwitchP1]]="Y",O26*$I$6,0),0)</f>
        <v>69602.691043605591</v>
      </c>
      <c r="P27" s="35">
        <f>IF(_xlfn.XLOOKUP(TableIncome[[#This Row],[Year]],Loop!C:C,Loop!E:E)&lt;75,(P26*(1+$I$4))+IF(TableIncomeCalculations[[#This Row],[SwitchP2]]="Y",P26*$I$6,0),0)</f>
        <v>116814.3582452066</v>
      </c>
      <c r="Q27" s="35">
        <f>IF(_xlfn.XLOOKUP(TableIncome[[#This Row],[Year]],Loop!C:C,Loop!D:D)&lt;75,(Q26*(1+$I$3))+IF(TableIncomeCalculations[[#This Row],[SwitchP1]]="Y",Q26*$I$5,0),0)</f>
        <v>126454.62342696679</v>
      </c>
      <c r="R27" s="35">
        <f>IF(_xlfn.XLOOKUP(TableIncome[[#This Row],[Year]],Loop!C:C,Loop!E:E)&lt;75,(R26*(1+$I$3))+IF(TableIncomeCalculations[[#This Row],[SwitchP2]]="Y",R26*$I$5,0),0)</f>
        <v>212229.08857799796</v>
      </c>
      <c r="S27" t="str">
        <f>JobHopping[[#This Row],[SwitchP1Static]]</f>
        <v>N</v>
      </c>
      <c r="T27" t="str">
        <f>JobHopping[[#This Row],[SwitchP2Static]]</f>
        <v>N</v>
      </c>
    </row>
    <row r="28" spans="2:20" x14ac:dyDescent="0.2">
      <c r="B28" s="3">
        <v>2050</v>
      </c>
      <c r="C28" s="38">
        <f>(TableIncomeCalculations[[#This Row],[NetMonthlySalaryP1]]*12)</f>
        <v>450599.53707356448</v>
      </c>
      <c r="D28" s="37">
        <f>(TableIncomeCalculations[[#This Row],[NetMonthlySalaryP2]]*12)</f>
        <v>690601.13844895561</v>
      </c>
      <c r="E28" s="36">
        <f>TableIncome[[#This Row],[SalaryP1]]*$I$7</f>
        <v>90119.907414712899</v>
      </c>
      <c r="F28" s="36">
        <f>TableIncome[[#This Row],[SalaryP2]]*$I$7</f>
        <v>138120.22768979112</v>
      </c>
      <c r="G28" s="16"/>
      <c r="K28" s="57">
        <f>(TableIncome[[#This Row],[SalaryP1]]-TableIncome[[#This Row],[InvestmentP1]])/12</f>
        <v>30039.969138237633</v>
      </c>
      <c r="L28" s="57">
        <f>(TableIncome[[#This Row],[SalaryP2]]-TableIncome[[#This Row],[InvestmentP2]])/12</f>
        <v>46040.075896597038</v>
      </c>
      <c r="M28" s="34">
        <f>'Net Salary P1'!BI27</f>
        <v>37549.961422797038</v>
      </c>
      <c r="N28" s="35">
        <f>'Net Salary P2'!BI27</f>
        <v>57550.094870746303</v>
      </c>
      <c r="O28" s="35">
        <f>IF(_xlfn.XLOOKUP(TableIncome[[#This Row],[Year]],Loop!C:C,Loop!D:D)&lt;75,(O27*(1+$I$4))+IF(TableIncomeCalculations[[#This Row],[SwitchP1]]="Y",O27*$I$6,0),0)</f>
        <v>70298.717954041655</v>
      </c>
      <c r="P28" s="35">
        <f>IF(_xlfn.XLOOKUP(TableIncome[[#This Row],[Year]],Loop!C:C,Loop!E:E)&lt;75,(P27*(1+$I$4))+IF(TableIncomeCalculations[[#This Row],[SwitchP2]]="Y",P27*$I$6,0),0)</f>
        <v>117982.50182765868</v>
      </c>
      <c r="Q28" s="35">
        <f>IF(_xlfn.XLOOKUP(TableIncome[[#This Row],[Year]],Loop!C:C,Loop!D:D)&lt;75,(Q27*(1+$I$3))+IF(TableIncomeCalculations[[#This Row],[SwitchP1]]="Y",Q27*$I$5,0),0)</f>
        <v>130248.2621297758</v>
      </c>
      <c r="R28" s="35">
        <f>IF(_xlfn.XLOOKUP(TableIncome[[#This Row],[Year]],Loop!C:C,Loop!E:E)&lt;75,(R27*(1+$I$3))+IF(TableIncomeCalculations[[#This Row],[SwitchP2]]="Y",R27*$I$5,0),0)</f>
        <v>218595.96123533789</v>
      </c>
      <c r="S28" t="str">
        <f>JobHopping[[#This Row],[SwitchP1Static]]</f>
        <v>N</v>
      </c>
      <c r="T28" t="str">
        <f>JobHopping[[#This Row],[SwitchP2Static]]</f>
        <v>N</v>
      </c>
    </row>
    <row r="29" spans="2:20" x14ac:dyDescent="0.2">
      <c r="B29" s="3">
        <v>2051</v>
      </c>
      <c r="C29" s="38">
        <f>(TableIncomeCalculations[[#This Row],[NetMonthlySalaryP1]]*12)</f>
        <v>454137.80595934018</v>
      </c>
      <c r="D29" s="37">
        <f>(TableIncomeCalculations[[#This Row],[NetMonthlySalaryP2]]*12)</f>
        <v>696539.42334848526</v>
      </c>
      <c r="E29" s="36">
        <f>TableIncome[[#This Row],[SalaryP1]]*$I$7</f>
        <v>90827.561191868037</v>
      </c>
      <c r="F29" s="36">
        <f>TableIncome[[#This Row],[SalaryP2]]*$I$7</f>
        <v>139307.88466969706</v>
      </c>
      <c r="G29" s="16"/>
      <c r="K29" s="57">
        <f>(TableIncome[[#This Row],[SalaryP1]]-TableIncome[[#This Row],[InvestmentP1]])/12</f>
        <v>30275.853730622679</v>
      </c>
      <c r="L29" s="57">
        <f>(TableIncome[[#This Row],[SalaryP2]]-TableIncome[[#This Row],[InvestmentP2]])/12</f>
        <v>46435.961556565686</v>
      </c>
      <c r="M29" s="34">
        <f>'Net Salary P1'!BI28</f>
        <v>37844.817163278349</v>
      </c>
      <c r="N29" s="35">
        <f>'Net Salary P2'!BI28</f>
        <v>58044.951945707107</v>
      </c>
      <c r="O29" s="35">
        <f>IF(_xlfn.XLOOKUP(TableIncome[[#This Row],[Year]],Loop!C:C,Loop!D:D)&lt;75,(O28*(1+$I$4))+IF(TableIncomeCalculations[[#This Row],[SwitchP1]]="Y",O28*$I$6,0),0)</f>
        <v>71001.705133582072</v>
      </c>
      <c r="P29" s="35">
        <f>IF(_xlfn.XLOOKUP(TableIncome[[#This Row],[Year]],Loop!C:C,Loop!E:E)&lt;75,(P28*(1+$I$4))+IF(TableIncomeCalculations[[#This Row],[SwitchP2]]="Y",P28*$I$6,0),0)</f>
        <v>119162.32684593527</v>
      </c>
      <c r="Q29" s="35">
        <f>IF(_xlfn.XLOOKUP(TableIncome[[#This Row],[Year]],Loop!C:C,Loop!D:D)&lt;75,(Q28*(1+$I$3))+IF(TableIncomeCalculations[[#This Row],[SwitchP1]]="Y",Q28*$I$5,0),0)</f>
        <v>134155.70999366906</v>
      </c>
      <c r="R29" s="35">
        <f>IF(_xlfn.XLOOKUP(TableIncome[[#This Row],[Year]],Loop!C:C,Loop!E:E)&lt;75,(R28*(1+$I$3))+IF(TableIncomeCalculations[[#This Row],[SwitchP2]]="Y",R28*$I$5,0),0)</f>
        <v>225153.84007239804</v>
      </c>
      <c r="S29" t="str">
        <f>JobHopping[[#This Row],[SwitchP1Static]]</f>
        <v>N</v>
      </c>
      <c r="T29" t="str">
        <f>JobHopping[[#This Row],[SwitchP2Static]]</f>
        <v>N</v>
      </c>
    </row>
    <row r="30" spans="2:20" x14ac:dyDescent="0.2">
      <c r="B30" s="3">
        <v>2052</v>
      </c>
      <c r="C30" s="38">
        <f>(TableIncomeCalculations[[#This Row],[NetMonthlySalaryP1]]*12)</f>
        <v>457711.4575339735</v>
      </c>
      <c r="D30" s="37">
        <f>(TableIncomeCalculations[[#This Row],[NetMonthlySalaryP2]]*12)</f>
        <v>702537.09109701007</v>
      </c>
      <c r="E30" s="36">
        <f>TableIncome[[#This Row],[SalaryP1]]*$I$7</f>
        <v>91542.291506794703</v>
      </c>
      <c r="F30" s="36">
        <f>TableIncome[[#This Row],[SalaryP2]]*$I$7</f>
        <v>140507.41821940202</v>
      </c>
      <c r="G30" s="16"/>
      <c r="K30" s="57">
        <f>(TableIncome[[#This Row],[SalaryP1]]-TableIncome[[#This Row],[InvestmentP1]])/12</f>
        <v>30514.097168931567</v>
      </c>
      <c r="L30" s="57">
        <f>(TableIncome[[#This Row],[SalaryP2]]-TableIncome[[#This Row],[InvestmentP2]])/12</f>
        <v>46835.806073134008</v>
      </c>
      <c r="M30" s="34">
        <f>'Net Salary P1'!BI29</f>
        <v>38142.621461164461</v>
      </c>
      <c r="N30" s="35">
        <f>'Net Salary P2'!BI29</f>
        <v>58544.757591417503</v>
      </c>
      <c r="O30" s="35">
        <f>IF(_xlfn.XLOOKUP(TableIncome[[#This Row],[Year]],Loop!C:C,Loop!D:D)&lt;75,(O29*(1+$I$4))+IF(TableIncomeCalculations[[#This Row],[SwitchP1]]="Y",O29*$I$6,0),0)</f>
        <v>71711.72218491789</v>
      </c>
      <c r="P30" s="35">
        <f>IF(_xlfn.XLOOKUP(TableIncome[[#This Row],[Year]],Loop!C:C,Loop!E:E)&lt;75,(P29*(1+$I$4))+IF(TableIncomeCalculations[[#This Row],[SwitchP2]]="Y",P29*$I$6,0),0)</f>
        <v>120353.95011439463</v>
      </c>
      <c r="Q30" s="35">
        <f>IF(_xlfn.XLOOKUP(TableIncome[[#This Row],[Year]],Loop!C:C,Loop!D:D)&lt;75,(Q29*(1+$I$3))+IF(TableIncomeCalculations[[#This Row],[SwitchP1]]="Y",Q29*$I$5,0),0)</f>
        <v>138180.38129347915</v>
      </c>
      <c r="R30" s="35">
        <f>IF(_xlfn.XLOOKUP(TableIncome[[#This Row],[Year]],Loop!C:C,Loop!E:E)&lt;75,(R29*(1+$I$3))+IF(TableIncomeCalculations[[#This Row],[SwitchP2]]="Y",R29*$I$5,0),0)</f>
        <v>231908.45527457001</v>
      </c>
      <c r="S30" t="str">
        <f>JobHopping[[#This Row],[SwitchP1Static]]</f>
        <v>N</v>
      </c>
      <c r="T30" t="str">
        <f>JobHopping[[#This Row],[SwitchP2Static]]</f>
        <v>N</v>
      </c>
    </row>
    <row r="31" spans="2:20" x14ac:dyDescent="0.2">
      <c r="B31" s="3">
        <v>2053</v>
      </c>
      <c r="C31" s="38">
        <f>(TableIncomeCalculations[[#This Row],[NetMonthlySalaryP1]]*12)</f>
        <v>461320.84562435327</v>
      </c>
      <c r="D31" s="37">
        <f>(TableIncomeCalculations[[#This Row],[NetMonthlySalaryP2]]*12)</f>
        <v>708594.73552302015</v>
      </c>
      <c r="E31" s="36">
        <f>TableIncome[[#This Row],[SalaryP1]]*$I$7</f>
        <v>92264.169124870663</v>
      </c>
      <c r="F31" s="36">
        <f>TableIncome[[#This Row],[SalaryP2]]*$I$7</f>
        <v>141718.94710460404</v>
      </c>
      <c r="G31" s="16"/>
      <c r="K31" s="57">
        <f>(TableIncome[[#This Row],[SalaryP1]]-TableIncome[[#This Row],[InvestmentP1]])/12</f>
        <v>30754.723041623551</v>
      </c>
      <c r="L31" s="57">
        <f>(TableIncome[[#This Row],[SalaryP2]]-TableIncome[[#This Row],[InvestmentP2]])/12</f>
        <v>47239.649034868016</v>
      </c>
      <c r="M31" s="34">
        <f>'Net Salary P1'!BI30</f>
        <v>38443.403802029439</v>
      </c>
      <c r="N31" s="35">
        <f>'Net Salary P2'!BI30</f>
        <v>59049.561293585015</v>
      </c>
      <c r="O31" s="35">
        <f>IF(_xlfn.XLOOKUP(TableIncome[[#This Row],[Year]],Loop!C:C,Loop!D:D)&lt;75,(O30*(1+$I$4))+IF(TableIncomeCalculations[[#This Row],[SwitchP1]]="Y",O30*$I$6,0),0)</f>
        <v>72428.839406767074</v>
      </c>
      <c r="P31" s="35">
        <f>IF(_xlfn.XLOOKUP(TableIncome[[#This Row],[Year]],Loop!C:C,Loop!E:E)&lt;75,(P30*(1+$I$4))+IF(TableIncomeCalculations[[#This Row],[SwitchP2]]="Y",P30*$I$6,0),0)</f>
        <v>121557.48961553858</v>
      </c>
      <c r="Q31" s="35">
        <f>IF(_xlfn.XLOOKUP(TableIncome[[#This Row],[Year]],Loop!C:C,Loop!D:D)&lt;75,(Q30*(1+$I$3))+IF(TableIncomeCalculations[[#This Row],[SwitchP1]]="Y",Q30*$I$5,0),0)</f>
        <v>142325.79273228353</v>
      </c>
      <c r="R31" s="35">
        <f>IF(_xlfn.XLOOKUP(TableIncome[[#This Row],[Year]],Loop!C:C,Loop!E:E)&lt;75,(R30*(1+$I$3))+IF(TableIncomeCalculations[[#This Row],[SwitchP2]]="Y",R30*$I$5,0),0)</f>
        <v>238865.70893280712</v>
      </c>
      <c r="S31" t="str">
        <f>JobHopping[[#This Row],[SwitchP1Static]]</f>
        <v>N</v>
      </c>
      <c r="T31" t="str">
        <f>JobHopping[[#This Row],[SwitchP2Static]]</f>
        <v>N</v>
      </c>
    </row>
    <row r="32" spans="2:20" x14ac:dyDescent="0.2">
      <c r="B32" s="3">
        <v>2054</v>
      </c>
      <c r="C32" s="38">
        <f>(TableIncomeCalculations[[#This Row],[NetMonthlySalaryP1]]*12)</f>
        <v>464966.32759563683</v>
      </c>
      <c r="D32" s="37">
        <f>(TableIncomeCalculations[[#This Row],[NetMonthlySalaryP2]]*12)</f>
        <v>714712.95639329054</v>
      </c>
      <c r="E32" s="36">
        <f>TableIncome[[#This Row],[SalaryP1]]*$I$7</f>
        <v>92993.265519127366</v>
      </c>
      <c r="F32" s="36">
        <f>TableIncome[[#This Row],[SalaryP2]]*$I$7</f>
        <v>142942.5912786581</v>
      </c>
      <c r="G32" s="16"/>
      <c r="K32" s="57">
        <f>(TableIncome[[#This Row],[SalaryP1]]-TableIncome[[#This Row],[InvestmentP1]])/12</f>
        <v>30997.755173042457</v>
      </c>
      <c r="L32" s="57">
        <f>(TableIncome[[#This Row],[SalaryP2]]-TableIncome[[#This Row],[InvestmentP2]])/12</f>
        <v>47647.530426219368</v>
      </c>
      <c r="M32" s="34">
        <f>'Net Salary P1'!BI31</f>
        <v>38747.193966303072</v>
      </c>
      <c r="N32" s="35">
        <f>'Net Salary P2'!BI31</f>
        <v>59559.41303277421</v>
      </c>
      <c r="O32" s="35">
        <f>IF(_xlfn.XLOOKUP(TableIncome[[#This Row],[Year]],Loop!C:C,Loop!D:D)&lt;75,(O31*(1+$I$4))+IF(TableIncomeCalculations[[#This Row],[SwitchP1]]="Y",O31*$I$6,0),0)</f>
        <v>73153.127800834744</v>
      </c>
      <c r="P32" s="35">
        <f>IF(_xlfn.XLOOKUP(TableIncome[[#This Row],[Year]],Loop!C:C,Loop!E:E)&lt;75,(P31*(1+$I$4))+IF(TableIncomeCalculations[[#This Row],[SwitchP2]]="Y",P31*$I$6,0),0)</f>
        <v>122773.06451169397</v>
      </c>
      <c r="Q32" s="35">
        <f>IF(_xlfn.XLOOKUP(TableIncome[[#This Row],[Year]],Loop!C:C,Loop!D:D)&lt;75,(Q31*(1+$I$3))+IF(TableIncomeCalculations[[#This Row],[SwitchP1]]="Y",Q31*$I$5,0),0)</f>
        <v>146595.56651425204</v>
      </c>
      <c r="R32" s="35">
        <f>IF(_xlfn.XLOOKUP(TableIncome[[#This Row],[Year]],Loop!C:C,Loop!E:E)&lt;75,(R31*(1+$I$3))+IF(TableIncomeCalculations[[#This Row],[SwitchP2]]="Y",R31*$I$5,0),0)</f>
        <v>246031.68020079134</v>
      </c>
      <c r="S32" t="str">
        <f>JobHopping[[#This Row],[SwitchP1Static]]</f>
        <v>N</v>
      </c>
      <c r="T32" t="str">
        <f>JobHopping[[#This Row],[SwitchP2Static]]</f>
        <v>N</v>
      </c>
    </row>
    <row r="33" spans="2:20" x14ac:dyDescent="0.2">
      <c r="B33" s="3">
        <v>2055</v>
      </c>
      <c r="C33" s="38">
        <f>(TableIncomeCalculations[[#This Row],[NetMonthlySalaryP1]]*12)</f>
        <v>468648.26438663318</v>
      </c>
      <c r="D33" s="37">
        <f>(TableIncomeCalculations[[#This Row],[NetMonthlySalaryP2]]*12)</f>
        <v>720892.35947226337</v>
      </c>
      <c r="E33" s="36">
        <f>TableIncome[[#This Row],[SalaryP1]]*$I$7</f>
        <v>93729.652877326647</v>
      </c>
      <c r="F33" s="36">
        <f>TableIncome[[#This Row],[SalaryP2]]*$I$7</f>
        <v>144178.47189445267</v>
      </c>
      <c r="G33" s="16"/>
      <c r="K33" s="57">
        <f>(TableIncome[[#This Row],[SalaryP1]]-TableIncome[[#This Row],[InvestmentP1]])/12</f>
        <v>31243.217625775545</v>
      </c>
      <c r="L33" s="57">
        <f>(TableIncome[[#This Row],[SalaryP2]]-TableIncome[[#This Row],[InvestmentP2]])/12</f>
        <v>48059.490631484223</v>
      </c>
      <c r="M33" s="34">
        <f>'Net Salary P1'!BI32</f>
        <v>39054.022032219429</v>
      </c>
      <c r="N33" s="35">
        <f>'Net Salary P2'!BI32</f>
        <v>60074.363289355279</v>
      </c>
      <c r="O33" s="35">
        <f>IF(_xlfn.XLOOKUP(TableIncome[[#This Row],[Year]],Loop!C:C,Loop!D:D)&lt;75,(O32*(1+$I$4))+IF(TableIncomeCalculations[[#This Row],[SwitchP1]]="Y",O32*$I$6,0),0)</f>
        <v>73884.659078843091</v>
      </c>
      <c r="P33" s="35">
        <f>IF(_xlfn.XLOOKUP(TableIncome[[#This Row],[Year]],Loop!C:C,Loop!E:E)&lt;75,(P32*(1+$I$4))+IF(TableIncomeCalculations[[#This Row],[SwitchP2]]="Y",P32*$I$6,0),0)</f>
        <v>124000.79515681091</v>
      </c>
      <c r="Q33" s="35">
        <f>IF(_xlfn.XLOOKUP(TableIncome[[#This Row],[Year]],Loop!C:C,Loop!D:D)&lt;75,(Q32*(1+$I$3))+IF(TableIncomeCalculations[[#This Row],[SwitchP1]]="Y",Q32*$I$5,0),0)</f>
        <v>150993.4335096796</v>
      </c>
      <c r="R33" s="35">
        <f>IF(_xlfn.XLOOKUP(TableIncome[[#This Row],[Year]],Loop!C:C,Loop!E:E)&lt;75,(R32*(1+$I$3))+IF(TableIncomeCalculations[[#This Row],[SwitchP2]]="Y",R32*$I$5,0),0)</f>
        <v>253412.63060681507</v>
      </c>
      <c r="S33" t="str">
        <f>JobHopping[[#This Row],[SwitchP1Static]]</f>
        <v>N</v>
      </c>
      <c r="T33" t="str">
        <f>JobHopping[[#This Row],[SwitchP2Static]]</f>
        <v>N</v>
      </c>
    </row>
    <row r="34" spans="2:20" x14ac:dyDescent="0.2">
      <c r="B34" s="3">
        <v>2056</v>
      </c>
      <c r="C34" s="38">
        <f>(TableIncomeCalculations[[#This Row],[NetMonthlySalaryP1]]*12)</f>
        <v>472367.0205455395</v>
      </c>
      <c r="D34" s="37">
        <f>(TableIncomeCalculations[[#This Row],[NetMonthlySalaryP2]]*12)</f>
        <v>727133.55658202595</v>
      </c>
      <c r="E34" s="36">
        <f>TableIncome[[#This Row],[SalaryP1]]*$I$7</f>
        <v>94473.404109107913</v>
      </c>
      <c r="F34" s="36">
        <f>TableIncome[[#This Row],[SalaryP2]]*$I$7</f>
        <v>145426.71131640518</v>
      </c>
      <c r="G34" s="16"/>
      <c r="K34" s="57">
        <f>(TableIncome[[#This Row],[SalaryP1]]-TableIncome[[#This Row],[InvestmentP1]])/12</f>
        <v>31491.134703035965</v>
      </c>
      <c r="L34" s="57">
        <f>(TableIncome[[#This Row],[SalaryP2]]-TableIncome[[#This Row],[InvestmentP2]])/12</f>
        <v>48475.570438801726</v>
      </c>
      <c r="M34" s="34">
        <f>'Net Salary P1'!BI33</f>
        <v>39363.918378794959</v>
      </c>
      <c r="N34" s="35">
        <f>'Net Salary P2'!BI33</f>
        <v>60594.463048502163</v>
      </c>
      <c r="O34" s="35">
        <f>IF(_xlfn.XLOOKUP(TableIncome[[#This Row],[Year]],Loop!C:C,Loop!D:D)&lt;75,(O33*(1+$I$4))+IF(TableIncomeCalculations[[#This Row],[SwitchP1]]="Y",O33*$I$6,0),0)</f>
        <v>74623.50566963153</v>
      </c>
      <c r="P34" s="35">
        <f>IF(_xlfn.XLOOKUP(TableIncome[[#This Row],[Year]],Loop!C:C,Loop!E:E)&lt;75,(P33*(1+$I$4))+IF(TableIncomeCalculations[[#This Row],[SwitchP2]]="Y",P33*$I$6,0),0)</f>
        <v>125240.80310837903</v>
      </c>
      <c r="Q34" s="35">
        <f>IF(_xlfn.XLOOKUP(TableIncome[[#This Row],[Year]],Loop!C:C,Loop!D:D)&lt;75,(Q33*(1+$I$3))+IF(TableIncomeCalculations[[#This Row],[SwitchP1]]="Y",Q33*$I$5,0),0)</f>
        <v>155523.23651496999</v>
      </c>
      <c r="R34" s="35">
        <f>IF(_xlfn.XLOOKUP(TableIncome[[#This Row],[Year]],Loop!C:C,Loop!E:E)&lt;75,(R33*(1+$I$3))+IF(TableIncomeCalculations[[#This Row],[SwitchP2]]="Y",R33*$I$5,0),0)</f>
        <v>261015.00952501953</v>
      </c>
      <c r="S34" t="str">
        <f>JobHopping[[#This Row],[SwitchP1Static]]</f>
        <v>N</v>
      </c>
      <c r="T34" t="str">
        <f>JobHopping[[#This Row],[SwitchP2Static]]</f>
        <v>N</v>
      </c>
    </row>
    <row r="35" spans="2:20" x14ac:dyDescent="0.2">
      <c r="B35" s="3">
        <v>2057</v>
      </c>
      <c r="C35" s="38">
        <f>(TableIncomeCalculations[[#This Row],[NetMonthlySalaryP1]]*12)</f>
        <v>476122.96426603489</v>
      </c>
      <c r="D35" s="37">
        <f>(TableIncomeCalculations[[#This Row],[NetMonthlySalaryP2]]*12)</f>
        <v>733437.16566288634</v>
      </c>
      <c r="E35" s="36">
        <f>TableIncome[[#This Row],[SalaryP1]]*$I$7</f>
        <v>95224.592853206981</v>
      </c>
      <c r="F35" s="36">
        <f>TableIncome[[#This Row],[SalaryP2]]*$I$7</f>
        <v>146687.43313257728</v>
      </c>
      <c r="G35" s="16"/>
      <c r="K35" s="57">
        <f>(TableIncome[[#This Row],[SalaryP1]]-TableIncome[[#This Row],[InvestmentP1]])/12</f>
        <v>31741.530951068995</v>
      </c>
      <c r="L35" s="57">
        <f>(TableIncome[[#This Row],[SalaryP2]]-TableIncome[[#This Row],[InvestmentP2]])/12</f>
        <v>48895.811044192429</v>
      </c>
      <c r="M35" s="34">
        <f>'Net Salary P1'!BI34</f>
        <v>39676.913688836241</v>
      </c>
      <c r="N35" s="35">
        <f>'Net Salary P2'!BI34</f>
        <v>61119.763805240531</v>
      </c>
      <c r="O35" s="35">
        <f>IF(_xlfn.XLOOKUP(TableIncome[[#This Row],[Year]],Loop!C:C,Loop!D:D)&lt;75,(O34*(1+$I$4))+IF(TableIncomeCalculations[[#This Row],[SwitchP1]]="Y",O34*$I$6,0),0)</f>
        <v>75369.740726327844</v>
      </c>
      <c r="P35" s="35">
        <f>IF(_xlfn.XLOOKUP(TableIncome[[#This Row],[Year]],Loop!C:C,Loop!E:E)&lt;75,(P34*(1+$I$4))+IF(TableIncomeCalculations[[#This Row],[SwitchP2]]="Y",P34*$I$6,0),0)</f>
        <v>126493.21113946282</v>
      </c>
      <c r="Q35" s="35">
        <f>IF(_xlfn.XLOOKUP(TableIncome[[#This Row],[Year]],Loop!C:C,Loop!D:D)&lt;75,(Q34*(1+$I$3))+IF(TableIncomeCalculations[[#This Row],[SwitchP1]]="Y",Q34*$I$5,0),0)</f>
        <v>160188.9336104191</v>
      </c>
      <c r="R35" s="35">
        <f>IF(_xlfn.XLOOKUP(TableIncome[[#This Row],[Year]],Loop!C:C,Loop!E:E)&lt;75,(R34*(1+$I$3))+IF(TableIncomeCalculations[[#This Row],[SwitchP2]]="Y",R34*$I$5,0),0)</f>
        <v>268845.45981077012</v>
      </c>
      <c r="S35" t="str">
        <f>JobHopping[[#This Row],[SwitchP1Static]]</f>
        <v>N</v>
      </c>
      <c r="T35" t="str">
        <f>JobHopping[[#This Row],[SwitchP2Static]]</f>
        <v>N</v>
      </c>
    </row>
    <row r="36" spans="2:20" x14ac:dyDescent="0.2">
      <c r="B36" s="3">
        <v>2058</v>
      </c>
      <c r="C36" s="38">
        <f>(TableIncomeCalculations[[#This Row],[NetMonthlySalaryP1]]*12)</f>
        <v>479916.46742373519</v>
      </c>
      <c r="D36" s="37">
        <f>(TableIncomeCalculations[[#This Row],[NetMonthlySalaryP2]]*12)</f>
        <v>739803.81083455496</v>
      </c>
      <c r="E36" s="36">
        <f>TableIncome[[#This Row],[SalaryP1]]*$I$7</f>
        <v>95983.293484747046</v>
      </c>
      <c r="F36" s="36">
        <f>TableIncome[[#This Row],[SalaryP2]]*$I$7</f>
        <v>147960.76216691101</v>
      </c>
      <c r="G36" s="16"/>
      <c r="K36" s="57">
        <f>(TableIncome[[#This Row],[SalaryP1]]-TableIncome[[#This Row],[InvestmentP1]])/12</f>
        <v>31994.431161582343</v>
      </c>
      <c r="L36" s="57">
        <f>(TableIncome[[#This Row],[SalaryP2]]-TableIncome[[#This Row],[InvestmentP2]])/12</f>
        <v>49320.254055636993</v>
      </c>
      <c r="M36" s="34">
        <f>'Net Salary P1'!BI35</f>
        <v>39993.038951977935</v>
      </c>
      <c r="N36" s="35">
        <f>'Net Salary P2'!BI35</f>
        <v>61650.317569546249</v>
      </c>
      <c r="O36" s="35">
        <f>IF(_xlfn.XLOOKUP(TableIncome[[#This Row],[Year]],Loop!C:C,Loop!D:D)&lt;75,(O35*(1+$I$4))+IF(TableIncomeCalculations[[#This Row],[SwitchP1]]="Y",O35*$I$6,0),0)</f>
        <v>76123.438133591117</v>
      </c>
      <c r="P36" s="35">
        <f>IF(_xlfn.XLOOKUP(TableIncome[[#This Row],[Year]],Loop!C:C,Loop!E:E)&lt;75,(P35*(1+$I$4))+IF(TableIncomeCalculations[[#This Row],[SwitchP2]]="Y",P35*$I$6,0),0)</f>
        <v>127758.14325085745</v>
      </c>
      <c r="Q36" s="35">
        <f>IF(_xlfn.XLOOKUP(TableIncome[[#This Row],[Year]],Loop!C:C,Loop!D:D)&lt;75,(Q35*(1+$I$3))+IF(TableIncomeCalculations[[#This Row],[SwitchP1]]="Y",Q35*$I$5,0),0)</f>
        <v>164994.60161873169</v>
      </c>
      <c r="R36" s="35">
        <f>IF(_xlfn.XLOOKUP(TableIncome[[#This Row],[Year]],Loop!C:C,Loop!E:E)&lt;75,(R35*(1+$I$3))+IF(TableIncomeCalculations[[#This Row],[SwitchP2]]="Y",R35*$I$5,0),0)</f>
        <v>276910.82360509323</v>
      </c>
      <c r="S36" t="str">
        <f>JobHopping[[#This Row],[SwitchP1Static]]</f>
        <v>N</v>
      </c>
      <c r="T36" t="str">
        <f>JobHopping[[#This Row],[SwitchP2Static]]</f>
        <v>N</v>
      </c>
    </row>
    <row r="37" spans="2:20" x14ac:dyDescent="0.2">
      <c r="B37" s="3">
        <v>2059</v>
      </c>
      <c r="C37" s="38">
        <f>(TableIncomeCalculations[[#This Row],[NetMonthlySalaryP1]]*12)</f>
        <v>483747.90561301261</v>
      </c>
      <c r="D37" s="37">
        <f>(TableIncomeCalculations[[#This Row],[NetMonthlySalaryP2]]*12)</f>
        <v>746234.12245794083</v>
      </c>
      <c r="E37" s="36">
        <f>TableIncome[[#This Row],[SalaryP1]]*$I$7</f>
        <v>96749.581122602525</v>
      </c>
      <c r="F37" s="36">
        <f>TableIncome[[#This Row],[SalaryP2]]*$I$7</f>
        <v>149246.82449158817</v>
      </c>
      <c r="G37" s="16"/>
      <c r="K37" s="57">
        <f>(TableIncome[[#This Row],[SalaryP1]]-TableIncome[[#This Row],[InvestmentP1]])/12</f>
        <v>32249.860374200842</v>
      </c>
      <c r="L37" s="57">
        <f>(TableIncome[[#This Row],[SalaryP2]]-TableIncome[[#This Row],[InvestmentP2]])/12</f>
        <v>49748.941497196058</v>
      </c>
      <c r="M37" s="34">
        <f>'Net Salary P1'!BI36</f>
        <v>40312.325467751049</v>
      </c>
      <c r="N37" s="35">
        <f>'Net Salary P2'!BI36</f>
        <v>62186.176871495067</v>
      </c>
      <c r="O37" s="35">
        <f>IF(_xlfn.XLOOKUP(TableIncome[[#This Row],[Year]],Loop!C:C,Loop!D:D)&lt;75,(O36*(1+$I$4))+IF(TableIncomeCalculations[[#This Row],[SwitchP1]]="Y",O36*$I$6,0),0)</f>
        <v>76884.672514927035</v>
      </c>
      <c r="P37" s="35">
        <f>IF(_xlfn.XLOOKUP(TableIncome[[#This Row],[Year]],Loop!C:C,Loop!E:E)&lt;75,(P36*(1+$I$4))+IF(TableIncomeCalculations[[#This Row],[SwitchP2]]="Y",P36*$I$6,0),0)</f>
        <v>129035.72468336603</v>
      </c>
      <c r="Q37" s="35">
        <f>IF(_xlfn.XLOOKUP(TableIncome[[#This Row],[Year]],Loop!C:C,Loop!D:D)&lt;75,(Q36*(1+$I$3))+IF(TableIncomeCalculations[[#This Row],[SwitchP1]]="Y",Q36*$I$5,0),0)</f>
        <v>169944.43966729363</v>
      </c>
      <c r="R37" s="35">
        <f>IF(_xlfn.XLOOKUP(TableIncome[[#This Row],[Year]],Loop!C:C,Loop!E:E)&lt;75,(R36*(1+$I$3))+IF(TableIncomeCalculations[[#This Row],[SwitchP2]]="Y",R36*$I$5,0),0)</f>
        <v>285218.14831324603</v>
      </c>
      <c r="S37" t="str">
        <f>JobHopping[[#This Row],[SwitchP1Static]]</f>
        <v>N</v>
      </c>
      <c r="T37" t="str">
        <f>JobHopping[[#This Row],[SwitchP2Static]]</f>
        <v>N</v>
      </c>
    </row>
    <row r="38" spans="2:20" x14ac:dyDescent="0.2">
      <c r="B38" s="3">
        <v>2060</v>
      </c>
      <c r="C38" s="38">
        <f>(TableIncomeCalculations[[#This Row],[NetMonthlySalaryP1]]*12)</f>
        <v>503096.6684688633</v>
      </c>
      <c r="D38" s="37">
        <f>(TableIncomeCalculations[[#This Row],[NetMonthlySalaryP2]]*12)</f>
        <v>0</v>
      </c>
      <c r="E38" s="36">
        <f>TableIncome[[#This Row],[SalaryP1]]*$I$7</f>
        <v>100619.33369377267</v>
      </c>
      <c r="F38" s="36">
        <f>TableIncome[[#This Row],[SalaryP2]]*$I$7</f>
        <v>0</v>
      </c>
      <c r="G38" s="16"/>
      <c r="K38" s="57">
        <f>(TableIncome[[#This Row],[SalaryP1]]-TableIncome[[#This Row],[InvestmentP1]])/12</f>
        <v>33539.777897924221</v>
      </c>
      <c r="L38" s="57">
        <f>(TableIncome[[#This Row],[SalaryP2]]-TableIncome[[#This Row],[InvestmentP2]])/12</f>
        <v>0</v>
      </c>
      <c r="M38" s="34">
        <f>'Net Salary P1'!BI37</f>
        <v>41924.722372405275</v>
      </c>
      <c r="N38" s="35">
        <f>'Net Salary P2'!BI37</f>
        <v>0</v>
      </c>
      <c r="O38" s="35">
        <f>IF(_xlfn.XLOOKUP(TableIncome[[#This Row],[Year]],Loop!C:C,Loop!D:D)&lt;75,(O37*(1+$I$4))+IF(TableIncomeCalculations[[#This Row],[SwitchP1]]="Y",O37*$I$6,0),0)</f>
        <v>80728.906140673382</v>
      </c>
      <c r="P38" s="35">
        <f>IF(_xlfn.XLOOKUP(TableIncome[[#This Row],[Year]],Loop!C:C,Loop!E:E)&lt;75,(P37*(1+$I$4))+IF(TableIncomeCalculations[[#This Row],[SwitchP2]]="Y",P37*$I$6,0),0)</f>
        <v>0</v>
      </c>
      <c r="Q38" s="35">
        <f>IF(_xlfn.XLOOKUP(TableIncome[[#This Row],[Year]],Loop!C:C,Loop!D:D)&lt;75,(Q37*(1+$I$3))+IF(TableIncomeCalculations[[#This Row],[SwitchP1]]="Y",Q37*$I$5,0),0)</f>
        <v>185239.43923735005</v>
      </c>
      <c r="R38" s="35">
        <f>IF(_xlfn.XLOOKUP(TableIncome[[#This Row],[Year]],Loop!C:C,Loop!E:E)&lt;75,(R37*(1+$I$3))+IF(TableIncomeCalculations[[#This Row],[SwitchP2]]="Y",R37*$I$5,0),0)</f>
        <v>0</v>
      </c>
      <c r="S38" t="str">
        <f>JobHopping[[#This Row],[SwitchP1Static]]</f>
        <v>Y</v>
      </c>
      <c r="T38" t="str">
        <f>JobHopping[[#This Row],[SwitchP2Static]]</f>
        <v>Y</v>
      </c>
    </row>
    <row r="39" spans="2:20" x14ac:dyDescent="0.2">
      <c r="B39" s="3">
        <v>2061</v>
      </c>
      <c r="C39" s="38">
        <f>(TableIncomeCalculations[[#This Row],[NetMonthlySalaryP1]]*12)</f>
        <v>507159.90866859187</v>
      </c>
      <c r="D39" s="37">
        <f>(TableIncomeCalculations[[#This Row],[NetMonthlySalaryP2]]*12)</f>
        <v>0</v>
      </c>
      <c r="E39" s="36">
        <f>TableIncome[[#This Row],[SalaryP1]]*$I$7</f>
        <v>101431.98173371838</v>
      </c>
      <c r="F39" s="36">
        <f>TableIncome[[#This Row],[SalaryP2]]*$I$7</f>
        <v>0</v>
      </c>
      <c r="G39" s="16"/>
      <c r="K39" s="57">
        <f>(TableIncome[[#This Row],[SalaryP1]]-TableIncome[[#This Row],[InvestmentP1]])/12</f>
        <v>33810.660577906128</v>
      </c>
      <c r="L39" s="57">
        <f>(TableIncome[[#This Row],[SalaryP2]]-TableIncome[[#This Row],[InvestmentP2]])/12</f>
        <v>0</v>
      </c>
      <c r="M39" s="34">
        <f>'Net Salary P1'!BI38</f>
        <v>42263.325722382659</v>
      </c>
      <c r="N39" s="35">
        <f>'Net Salary P2'!BI38</f>
        <v>0</v>
      </c>
      <c r="O39" s="35">
        <f>IF(_xlfn.XLOOKUP(TableIncome[[#This Row],[Year]],Loop!C:C,Loop!D:D)&lt;75,(O38*(1+$I$4))+IF(TableIncomeCalculations[[#This Row],[SwitchP1]]="Y",O38*$I$6,0),0)</f>
        <v>81536.195202080111</v>
      </c>
      <c r="P39" s="35">
        <f>IF(_xlfn.XLOOKUP(TableIncome[[#This Row],[Year]],Loop!C:C,Loop!E:E)&lt;75,(P38*(1+$I$4))+IF(TableIncomeCalculations[[#This Row],[SwitchP2]]="Y",P38*$I$6,0),0)</f>
        <v>0</v>
      </c>
      <c r="Q39" s="35">
        <f>IF(_xlfn.XLOOKUP(TableIncome[[#This Row],[Year]],Loop!C:C,Loop!D:D)&lt;75,(Q38*(1+$I$3))+IF(TableIncomeCalculations[[#This Row],[SwitchP1]]="Y",Q38*$I$5,0),0)</f>
        <v>190796.62241447056</v>
      </c>
      <c r="R39" s="35">
        <f>IF(_xlfn.XLOOKUP(TableIncome[[#This Row],[Year]],Loop!C:C,Loop!E:E)&lt;75,(R38*(1+$I$3))+IF(TableIncomeCalculations[[#This Row],[SwitchP2]]="Y",R38*$I$5,0),0)</f>
        <v>0</v>
      </c>
      <c r="S39" t="str">
        <f>JobHopping[[#This Row],[SwitchP1Static]]</f>
        <v>N</v>
      </c>
      <c r="T39" t="str">
        <f>JobHopping[[#This Row],[SwitchP2Static]]</f>
        <v>N</v>
      </c>
    </row>
    <row r="40" spans="2:20" x14ac:dyDescent="0.2">
      <c r="B40" s="3">
        <v>2062</v>
      </c>
      <c r="C40" s="38">
        <f>(TableIncomeCalculations[[#This Row],[NetMonthlySalaryP1]]*12)</f>
        <v>511263.78127031773</v>
      </c>
      <c r="D40" s="37">
        <f>(TableIncomeCalculations[[#This Row],[NetMonthlySalaryP2]]*12)</f>
        <v>0</v>
      </c>
      <c r="E40" s="36">
        <f>TableIncome[[#This Row],[SalaryP1]]*$I$7</f>
        <v>102252.75625406356</v>
      </c>
      <c r="F40" s="36">
        <f>TableIncome[[#This Row],[SalaryP2]]*$I$7</f>
        <v>0</v>
      </c>
      <c r="G40" s="16"/>
      <c r="K40" s="57">
        <f>(TableIncome[[#This Row],[SalaryP1]]-TableIncome[[#This Row],[InvestmentP1]])/12</f>
        <v>34084.252084687847</v>
      </c>
      <c r="L40" s="57">
        <f>(TableIncome[[#This Row],[SalaryP2]]-TableIncome[[#This Row],[InvestmentP2]])/12</f>
        <v>0</v>
      </c>
      <c r="M40" s="34">
        <f>'Net Salary P1'!BI39</f>
        <v>42605.315105859809</v>
      </c>
      <c r="N40" s="35">
        <f>'Net Salary P2'!BI39</f>
        <v>0</v>
      </c>
      <c r="O40" s="35">
        <f>IF(_xlfn.XLOOKUP(TableIncome[[#This Row],[Year]],Loop!C:C,Loop!D:D)&lt;75,(O39*(1+$I$4))+IF(TableIncomeCalculations[[#This Row],[SwitchP1]]="Y",O39*$I$6,0),0)</f>
        <v>82351.557154100912</v>
      </c>
      <c r="P40" s="35">
        <f>IF(_xlfn.XLOOKUP(TableIncome[[#This Row],[Year]],Loop!C:C,Loop!E:E)&lt;75,(P39*(1+$I$4))+IF(TableIncomeCalculations[[#This Row],[SwitchP2]]="Y",P39*$I$6,0),0)</f>
        <v>0</v>
      </c>
      <c r="Q40" s="35">
        <f>IF(_xlfn.XLOOKUP(TableIncome[[#This Row],[Year]],Loop!C:C,Loop!D:D)&lt;75,(Q39*(1+$I$3))+IF(TableIncomeCalculations[[#This Row],[SwitchP1]]="Y",Q39*$I$5,0),0)</f>
        <v>196520.52108690469</v>
      </c>
      <c r="R40" s="35">
        <f>IF(_xlfn.XLOOKUP(TableIncome[[#This Row],[Year]],Loop!C:C,Loop!E:E)&lt;75,(R39*(1+$I$3))+IF(TableIncomeCalculations[[#This Row],[SwitchP2]]="Y",R39*$I$5,0),0)</f>
        <v>0</v>
      </c>
      <c r="S40" t="str">
        <f>JobHopping[[#This Row],[SwitchP1Static]]</f>
        <v>N</v>
      </c>
      <c r="T40" t="str">
        <f>JobHopping[[#This Row],[SwitchP2Static]]</f>
        <v>N</v>
      </c>
    </row>
    <row r="41" spans="2:20" x14ac:dyDescent="0.2">
      <c r="B41" s="3">
        <v>2063</v>
      </c>
      <c r="C41" s="38">
        <f>(TableIncomeCalculations[[#This Row],[NetMonthlySalaryP1]]*12)</f>
        <v>515408.69259806094</v>
      </c>
      <c r="D41" s="37">
        <f>(TableIncomeCalculations[[#This Row],[NetMonthlySalaryP2]]*12)</f>
        <v>0</v>
      </c>
      <c r="E41" s="36">
        <f>TableIncome[[#This Row],[SalaryP1]]*$I$7</f>
        <v>103081.73851961219</v>
      </c>
      <c r="F41" s="36">
        <f>TableIncome[[#This Row],[SalaryP2]]*$I$7</f>
        <v>0</v>
      </c>
      <c r="G41" s="16"/>
      <c r="K41" s="57">
        <f>(TableIncome[[#This Row],[SalaryP1]]-TableIncome[[#This Row],[InvestmentP1]])/12</f>
        <v>34360.579506537397</v>
      </c>
      <c r="L41" s="57">
        <f>(TableIncome[[#This Row],[SalaryP2]]-TableIncome[[#This Row],[InvestmentP2]])/12</f>
        <v>0</v>
      </c>
      <c r="M41" s="34">
        <f>'Net Salary P1'!BI40</f>
        <v>42950.724383171742</v>
      </c>
      <c r="N41" s="35">
        <f>'Net Salary P2'!BI40</f>
        <v>0</v>
      </c>
      <c r="O41" s="35">
        <f>IF(_xlfn.XLOOKUP(TableIncome[[#This Row],[Year]],Loop!C:C,Loop!D:D)&lt;75,(O40*(1+$I$4))+IF(TableIncomeCalculations[[#This Row],[SwitchP1]]="Y",O40*$I$6,0),0)</f>
        <v>83175.07272564192</v>
      </c>
      <c r="P41" s="35">
        <f>IF(_xlfn.XLOOKUP(TableIncome[[#This Row],[Year]],Loop!C:C,Loop!E:E)&lt;75,(P40*(1+$I$4))+IF(TableIncomeCalculations[[#This Row],[SwitchP2]]="Y",P40*$I$6,0),0)</f>
        <v>0</v>
      </c>
      <c r="Q41" s="35">
        <f>IF(_xlfn.XLOOKUP(TableIncome[[#This Row],[Year]],Loop!C:C,Loop!D:D)&lt;75,(Q40*(1+$I$3))+IF(TableIncomeCalculations[[#This Row],[SwitchP1]]="Y",Q40*$I$5,0),0)</f>
        <v>202416.13671951182</v>
      </c>
      <c r="R41" s="35">
        <f>IF(_xlfn.XLOOKUP(TableIncome[[#This Row],[Year]],Loop!C:C,Loop!E:E)&lt;75,(R40*(1+$I$3))+IF(TableIncomeCalculations[[#This Row],[SwitchP2]]="Y",R40*$I$5,0),0)</f>
        <v>0</v>
      </c>
      <c r="S41" t="str">
        <f>JobHopping[[#This Row],[SwitchP1Static]]</f>
        <v>N</v>
      </c>
      <c r="T41" t="str">
        <f>JobHopping[[#This Row],[SwitchP2Static]]</f>
        <v>N</v>
      </c>
    </row>
    <row r="42" spans="2:20" x14ac:dyDescent="0.2">
      <c r="B42" s="3">
        <v>2064</v>
      </c>
      <c r="C42" s="38">
        <f>(TableIncomeCalculations[[#This Row],[NetMonthlySalaryP1]]*12)</f>
        <v>519595.05303908151</v>
      </c>
      <c r="D42" s="37">
        <f>(TableIncomeCalculations[[#This Row],[NetMonthlySalaryP2]]*12)</f>
        <v>0</v>
      </c>
      <c r="E42" s="36">
        <f>TableIncome[[#This Row],[SalaryP1]]*$I$7</f>
        <v>103919.01060781631</v>
      </c>
      <c r="F42" s="36">
        <f>TableIncome[[#This Row],[SalaryP2]]*$I$7</f>
        <v>0</v>
      </c>
      <c r="G42" s="16"/>
      <c r="K42" s="57">
        <f>(TableIncome[[#This Row],[SalaryP1]]-TableIncome[[#This Row],[InvestmentP1]])/12</f>
        <v>34639.670202605434</v>
      </c>
      <c r="L42" s="57">
        <f>(TableIncome[[#This Row],[SalaryP2]]-TableIncome[[#This Row],[InvestmentP2]])/12</f>
        <v>0</v>
      </c>
      <c r="M42" s="34">
        <f>'Net Salary P1'!BI41</f>
        <v>43299.58775325679</v>
      </c>
      <c r="N42" s="35">
        <f>'Net Salary P2'!BI41</f>
        <v>0</v>
      </c>
      <c r="O42" s="35">
        <f>IF(_xlfn.XLOOKUP(TableIncome[[#This Row],[Year]],Loop!C:C,Loop!D:D)&lt;75,(O41*(1+$I$4))+IF(TableIncomeCalculations[[#This Row],[SwitchP1]]="Y",O41*$I$6,0),0)</f>
        <v>84006.823452898345</v>
      </c>
      <c r="P42" s="35">
        <f>IF(_xlfn.XLOOKUP(TableIncome[[#This Row],[Year]],Loop!C:C,Loop!E:E)&lt;75,(P41*(1+$I$4))+IF(TableIncomeCalculations[[#This Row],[SwitchP2]]="Y",P41*$I$6,0),0)</f>
        <v>0</v>
      </c>
      <c r="Q42" s="35">
        <f>IF(_xlfn.XLOOKUP(TableIncome[[#This Row],[Year]],Loop!C:C,Loop!D:D)&lt;75,(Q41*(1+$I$3))+IF(TableIncomeCalculations[[#This Row],[SwitchP1]]="Y",Q41*$I$5,0),0)</f>
        <v>208488.6208210972</v>
      </c>
      <c r="R42" s="35">
        <f>IF(_xlfn.XLOOKUP(TableIncome[[#This Row],[Year]],Loop!C:C,Loop!E:E)&lt;75,(R41*(1+$I$3))+IF(TableIncomeCalculations[[#This Row],[SwitchP2]]="Y",R41*$I$5,0),0)</f>
        <v>0</v>
      </c>
      <c r="S42" t="str">
        <f>JobHopping[[#This Row],[SwitchP1Static]]</f>
        <v>N</v>
      </c>
      <c r="T42" t="str">
        <f>JobHopping[[#This Row],[SwitchP2Static]]</f>
        <v>N</v>
      </c>
    </row>
    <row r="43" spans="2:20" x14ac:dyDescent="0.2">
      <c r="B43" s="3">
        <v>2065</v>
      </c>
      <c r="C43" s="38">
        <f>(TableIncomeCalculations[[#This Row],[NetMonthlySalaryP1]]*12)</f>
        <v>523823.2770845124</v>
      </c>
      <c r="D43" s="37">
        <f>(TableIncomeCalculations[[#This Row],[NetMonthlySalaryP2]]*12)</f>
        <v>0</v>
      </c>
      <c r="E43" s="36">
        <f>TableIncome[[#This Row],[SalaryP1]]*$I$7</f>
        <v>104764.65541690249</v>
      </c>
      <c r="F43" s="36">
        <f>TableIncome[[#This Row],[SalaryP2]]*$I$7</f>
        <v>0</v>
      </c>
      <c r="G43" s="16"/>
      <c r="K43" s="57">
        <f>(TableIncome[[#This Row],[SalaryP1]]-TableIncome[[#This Row],[InvestmentP1]])/12</f>
        <v>34921.551805634161</v>
      </c>
      <c r="L43" s="57">
        <f>(TableIncome[[#This Row],[SalaryP2]]-TableIncome[[#This Row],[InvestmentP2]])/12</f>
        <v>0</v>
      </c>
      <c r="M43" s="34">
        <f>'Net Salary P1'!BI42</f>
        <v>43651.939757042703</v>
      </c>
      <c r="N43" s="35">
        <f>'Net Salary P2'!BI42</f>
        <v>0</v>
      </c>
      <c r="O43" s="35">
        <f>IF(_xlfn.XLOOKUP(TableIncome[[#This Row],[Year]],Loop!C:C,Loop!D:D)&lt;75,(O42*(1+$I$4))+IF(TableIncomeCalculations[[#This Row],[SwitchP1]]="Y",O42*$I$6,0),0)</f>
        <v>84846.891687427327</v>
      </c>
      <c r="P43" s="35">
        <f>IF(_xlfn.XLOOKUP(TableIncome[[#This Row],[Year]],Loop!C:C,Loop!E:E)&lt;75,(P42*(1+$I$4))+IF(TableIncomeCalculations[[#This Row],[SwitchP2]]="Y",P42*$I$6,0),0)</f>
        <v>0</v>
      </c>
      <c r="Q43" s="35">
        <f>IF(_xlfn.XLOOKUP(TableIncome[[#This Row],[Year]],Loop!C:C,Loop!D:D)&lt;75,(Q42*(1+$I$3))+IF(TableIncomeCalculations[[#This Row],[SwitchP1]]="Y",Q42*$I$5,0),0)</f>
        <v>214743.27944573012</v>
      </c>
      <c r="R43" s="35">
        <f>IF(_xlfn.XLOOKUP(TableIncome[[#This Row],[Year]],Loop!C:C,Loop!E:E)&lt;75,(R42*(1+$I$3))+IF(TableIncomeCalculations[[#This Row],[SwitchP2]]="Y",R42*$I$5,0),0)</f>
        <v>0</v>
      </c>
      <c r="S43" t="str">
        <f>JobHopping[[#This Row],[SwitchP1Static]]</f>
        <v>N</v>
      </c>
      <c r="T43" t="str">
        <f>JobHopping[[#This Row],[SwitchP2Static]]</f>
        <v>N</v>
      </c>
    </row>
    <row r="44" spans="2:20" x14ac:dyDescent="0.2">
      <c r="B44" s="3">
        <v>2066</v>
      </c>
      <c r="C44" s="38">
        <f>(TableIncomeCalculations[[#This Row],[NetMonthlySalaryP1]]*12)</f>
        <v>528093.78337039752</v>
      </c>
      <c r="D44" s="37">
        <f>(TableIncomeCalculations[[#This Row],[NetMonthlySalaryP2]]*12)</f>
        <v>0</v>
      </c>
      <c r="E44" s="36">
        <f>TableIncome[[#This Row],[SalaryP1]]*$I$7</f>
        <v>105618.75667407952</v>
      </c>
      <c r="F44" s="36">
        <f>TableIncome[[#This Row],[SalaryP2]]*$I$7</f>
        <v>0</v>
      </c>
      <c r="G44" s="16"/>
      <c r="K44" s="57">
        <f>(TableIncome[[#This Row],[SalaryP1]]-TableIncome[[#This Row],[InvestmentP1]])/12</f>
        <v>35206.252224693169</v>
      </c>
      <c r="L44" s="57">
        <f>(TableIncome[[#This Row],[SalaryP2]]-TableIncome[[#This Row],[InvestmentP2]])/12</f>
        <v>0</v>
      </c>
      <c r="M44" s="34">
        <f>'Net Salary P1'!BI43</f>
        <v>44007.81528086646</v>
      </c>
      <c r="N44" s="35">
        <f>'Net Salary P2'!BI43</f>
        <v>0</v>
      </c>
      <c r="O44" s="35">
        <f>IF(_xlfn.XLOOKUP(TableIncome[[#This Row],[Year]],Loop!C:C,Loop!D:D)&lt;75,(O43*(1+$I$4))+IF(TableIncomeCalculations[[#This Row],[SwitchP1]]="Y",O43*$I$6,0),0)</f>
        <v>85695.360604301604</v>
      </c>
      <c r="P44" s="35">
        <f>IF(_xlfn.XLOOKUP(TableIncome[[#This Row],[Year]],Loop!C:C,Loop!E:E)&lt;75,(P43*(1+$I$4))+IF(TableIncomeCalculations[[#This Row],[SwitchP2]]="Y",P43*$I$6,0),0)</f>
        <v>0</v>
      </c>
      <c r="Q44" s="35">
        <f>IF(_xlfn.XLOOKUP(TableIncome[[#This Row],[Year]],Loop!C:C,Loop!D:D)&lt;75,(Q43*(1+$I$3))+IF(TableIncomeCalculations[[#This Row],[SwitchP1]]="Y",Q43*$I$5,0),0)</f>
        <v>221185.57782910203</v>
      </c>
      <c r="R44" s="35">
        <f>IF(_xlfn.XLOOKUP(TableIncome[[#This Row],[Year]],Loop!C:C,Loop!E:E)&lt;75,(R43*(1+$I$3))+IF(TableIncomeCalculations[[#This Row],[SwitchP2]]="Y",R43*$I$5,0),0)</f>
        <v>0</v>
      </c>
      <c r="S44" t="str">
        <f>JobHopping[[#This Row],[SwitchP1Static]]</f>
        <v>N</v>
      </c>
      <c r="T44" t="str">
        <f>JobHopping[[#This Row],[SwitchP2Static]]</f>
        <v>N</v>
      </c>
    </row>
    <row r="45" spans="2:20" x14ac:dyDescent="0.2">
      <c r="B45" s="3">
        <v>2067</v>
      </c>
      <c r="C45" s="38">
        <f>(TableIncomeCalculations[[#This Row],[NetMonthlySalaryP1]]*12)</f>
        <v>532406.99471914151</v>
      </c>
      <c r="D45" s="37">
        <f>(TableIncomeCalculations[[#This Row],[NetMonthlySalaryP2]]*12)</f>
        <v>0</v>
      </c>
      <c r="E45" s="36">
        <f>TableIncome[[#This Row],[SalaryP1]]*$I$7</f>
        <v>106481.3989438283</v>
      </c>
      <c r="F45" s="36">
        <f>TableIncome[[#This Row],[SalaryP2]]*$I$7</f>
        <v>0</v>
      </c>
      <c r="G45" s="16"/>
      <c r="K45" s="57">
        <f>(TableIncome[[#This Row],[SalaryP1]]-TableIncome[[#This Row],[InvestmentP1]])/12</f>
        <v>35493.799647942767</v>
      </c>
      <c r="L45" s="57">
        <f>(TableIncome[[#This Row],[SalaryP2]]-TableIncome[[#This Row],[InvestmentP2]])/12</f>
        <v>0</v>
      </c>
      <c r="M45" s="34">
        <f>'Net Salary P1'!BI44</f>
        <v>44367.249559928459</v>
      </c>
      <c r="N45" s="35">
        <f>'Net Salary P2'!BI44</f>
        <v>0</v>
      </c>
      <c r="O45" s="35">
        <f>IF(_xlfn.XLOOKUP(TableIncome[[#This Row],[Year]],Loop!C:C,Loop!D:D)&lt;75,(O44*(1+$I$4))+IF(TableIncomeCalculations[[#This Row],[SwitchP1]]="Y",O44*$I$6,0),0)</f>
        <v>86552.314210344615</v>
      </c>
      <c r="P45" s="35">
        <f>IF(_xlfn.XLOOKUP(TableIncome[[#This Row],[Year]],Loop!C:C,Loop!E:E)&lt;75,(P44*(1+$I$4))+IF(TableIncomeCalculations[[#This Row],[SwitchP2]]="Y",P44*$I$6,0),0)</f>
        <v>0</v>
      </c>
      <c r="Q45" s="35">
        <f>IF(_xlfn.XLOOKUP(TableIncome[[#This Row],[Year]],Loop!C:C,Loop!D:D)&lt;75,(Q44*(1+$I$3))+IF(TableIncomeCalculations[[#This Row],[SwitchP1]]="Y",Q44*$I$5,0),0)</f>
        <v>227821.1451639751</v>
      </c>
      <c r="R45" s="35">
        <f>IF(_xlfn.XLOOKUP(TableIncome[[#This Row],[Year]],Loop!C:C,Loop!E:E)&lt;75,(R44*(1+$I$3))+IF(TableIncomeCalculations[[#This Row],[SwitchP2]]="Y",R44*$I$5,0),0)</f>
        <v>0</v>
      </c>
      <c r="S45" t="str">
        <f>JobHopping[[#This Row],[SwitchP1Static]]</f>
        <v>N</v>
      </c>
      <c r="T45" t="str">
        <f>JobHopping[[#This Row],[SwitchP2Static]]</f>
        <v>N</v>
      </c>
    </row>
    <row r="46" spans="2:20" x14ac:dyDescent="0.2">
      <c r="B46" s="3">
        <v>2068</v>
      </c>
      <c r="C46" s="38">
        <f>(TableIncomeCalculations[[#This Row],[NetMonthlySalaryP1]]*12)</f>
        <v>536763.33818137296</v>
      </c>
      <c r="D46" s="37">
        <f>(TableIncomeCalculations[[#This Row],[NetMonthlySalaryP2]]*12)</f>
        <v>0</v>
      </c>
      <c r="E46" s="36">
        <f>TableIncome[[#This Row],[SalaryP1]]*$I$7</f>
        <v>107352.66763627459</v>
      </c>
      <c r="F46" s="36">
        <f>TableIncome[[#This Row],[SalaryP2]]*$I$7</f>
        <v>0</v>
      </c>
      <c r="G46" s="16"/>
      <c r="K46" s="57">
        <f>(TableIncome[[#This Row],[SalaryP1]]-TableIncome[[#This Row],[InvestmentP1]])/12</f>
        <v>35784.222545424862</v>
      </c>
      <c r="L46" s="57">
        <f>(TableIncome[[#This Row],[SalaryP2]]-TableIncome[[#This Row],[InvestmentP2]])/12</f>
        <v>0</v>
      </c>
      <c r="M46" s="34">
        <f>'Net Salary P1'!BI45</f>
        <v>44730.278181781083</v>
      </c>
      <c r="N46" s="35">
        <f>'Net Salary P2'!BI45</f>
        <v>0</v>
      </c>
      <c r="O46" s="35">
        <f>IF(_xlfn.XLOOKUP(TableIncome[[#This Row],[Year]],Loop!C:C,Loop!D:D)&lt;75,(O45*(1+$I$4))+IF(TableIncomeCalculations[[#This Row],[SwitchP1]]="Y",O45*$I$6,0),0)</f>
        <v>87417.837352448056</v>
      </c>
      <c r="P46" s="35">
        <f>IF(_xlfn.XLOOKUP(TableIncome[[#This Row],[Year]],Loop!C:C,Loop!E:E)&lt;75,(P45*(1+$I$4))+IF(TableIncomeCalculations[[#This Row],[SwitchP2]]="Y",P45*$I$6,0),0)</f>
        <v>0</v>
      </c>
      <c r="Q46" s="35">
        <f>IF(_xlfn.XLOOKUP(TableIncome[[#This Row],[Year]],Loop!C:C,Loop!D:D)&lt;75,(Q45*(1+$I$3))+IF(TableIncomeCalculations[[#This Row],[SwitchP1]]="Y",Q45*$I$5,0),0)</f>
        <v>234655.77951889436</v>
      </c>
      <c r="R46" s="35">
        <f>IF(_xlfn.XLOOKUP(TableIncome[[#This Row],[Year]],Loop!C:C,Loop!E:E)&lt;75,(R45*(1+$I$3))+IF(TableIncomeCalculations[[#This Row],[SwitchP2]]="Y",R45*$I$5,0),0)</f>
        <v>0</v>
      </c>
      <c r="S46" t="str">
        <f>JobHopping[[#This Row],[SwitchP1Static]]</f>
        <v>N</v>
      </c>
      <c r="T46" t="str">
        <f>JobHopping[[#This Row],[SwitchP2Static]]</f>
        <v>N</v>
      </c>
    </row>
    <row r="47" spans="2:20" x14ac:dyDescent="0.2">
      <c r="B47" s="3">
        <v>2069</v>
      </c>
      <c r="C47" s="38">
        <f>(TableIncomeCalculations[[#This Row],[NetMonthlySalaryP1]]*12)</f>
        <v>541163.24507822655</v>
      </c>
      <c r="D47" s="37">
        <f>(TableIncomeCalculations[[#This Row],[NetMonthlySalaryP2]]*12)</f>
        <v>0</v>
      </c>
      <c r="E47" s="36">
        <f>TableIncome[[#This Row],[SalaryP1]]*$I$7</f>
        <v>108232.64901564532</v>
      </c>
      <c r="F47" s="36">
        <f>TableIncome[[#This Row],[SalaryP2]]*$I$7</f>
        <v>0</v>
      </c>
      <c r="G47" s="16"/>
      <c r="K47" s="57">
        <f>(TableIncome[[#This Row],[SalaryP1]]-TableIncome[[#This Row],[InvestmentP1]])/12</f>
        <v>36077.549671881767</v>
      </c>
      <c r="L47" s="57">
        <f>(TableIncome[[#This Row],[SalaryP2]]-TableIncome[[#This Row],[InvestmentP2]])/12</f>
        <v>0</v>
      </c>
      <c r="M47" s="34">
        <f>'Net Salary P1'!BI46</f>
        <v>45096.93708985221</v>
      </c>
      <c r="N47" s="35">
        <f>'Net Salary P2'!BI46</f>
        <v>0</v>
      </c>
      <c r="O47" s="35">
        <f>IF(_xlfn.XLOOKUP(TableIncome[[#This Row],[Year]],Loop!C:C,Loop!D:D)&lt;75,(O46*(1+$I$4))+IF(TableIncomeCalculations[[#This Row],[SwitchP1]]="Y",O46*$I$6,0),0)</f>
        <v>88292.015725972538</v>
      </c>
      <c r="P47" s="35">
        <f>IF(_xlfn.XLOOKUP(TableIncome[[#This Row],[Year]],Loop!C:C,Loop!E:E)&lt;75,(P46*(1+$I$4))+IF(TableIncomeCalculations[[#This Row],[SwitchP2]]="Y",P46*$I$6,0),0)</f>
        <v>0</v>
      </c>
      <c r="Q47" s="35">
        <f>IF(_xlfn.XLOOKUP(TableIncome[[#This Row],[Year]],Loop!C:C,Loop!D:D)&lt;75,(Q46*(1+$I$3))+IF(TableIncomeCalculations[[#This Row],[SwitchP1]]="Y",Q46*$I$5,0),0)</f>
        <v>241695.45290446118</v>
      </c>
      <c r="R47" s="35">
        <f>IF(_xlfn.XLOOKUP(TableIncome[[#This Row],[Year]],Loop!C:C,Loop!E:E)&lt;75,(R46*(1+$I$3))+IF(TableIncomeCalculations[[#This Row],[SwitchP2]]="Y",R46*$I$5,0),0)</f>
        <v>0</v>
      </c>
      <c r="S47" t="str">
        <f>JobHopping[[#This Row],[SwitchP1Static]]</f>
        <v>N</v>
      </c>
      <c r="T47" t="str">
        <f>JobHopping[[#This Row],[SwitchP2Static]]</f>
        <v>N</v>
      </c>
    </row>
    <row r="48" spans="2:20" x14ac:dyDescent="0.2">
      <c r="B48" s="3">
        <v>2070</v>
      </c>
      <c r="C48" s="38">
        <f>(TableIncomeCalculations[[#This Row],[NetMonthlySalaryP1]]*12)</f>
        <v>545607.15104404883</v>
      </c>
      <c r="D48" s="37">
        <f>(TableIncomeCalculations[[#This Row],[NetMonthlySalaryP2]]*12)</f>
        <v>0</v>
      </c>
      <c r="E48" s="36">
        <f>TableIncome[[#This Row],[SalaryP1]]*$I$7</f>
        <v>109121.43020880978</v>
      </c>
      <c r="F48" s="36">
        <f>TableIncome[[#This Row],[SalaryP2]]*$I$7</f>
        <v>0</v>
      </c>
      <c r="G48" s="16"/>
      <c r="K48" s="57">
        <f>(TableIncome[[#This Row],[SalaryP1]]-TableIncome[[#This Row],[InvestmentP1]])/12</f>
        <v>36373.810069603256</v>
      </c>
      <c r="L48" s="57">
        <f>(TableIncome[[#This Row],[SalaryP2]]-TableIncome[[#This Row],[InvestmentP2]])/12</f>
        <v>0</v>
      </c>
      <c r="M48" s="34">
        <f>'Net Salary P1'!BI47</f>
        <v>45467.262587004072</v>
      </c>
      <c r="N48" s="35">
        <f>'Net Salary P2'!BI47</f>
        <v>0</v>
      </c>
      <c r="O48" s="35">
        <f>IF(_xlfn.XLOOKUP(TableIncome[[#This Row],[Year]],Loop!C:C,Loop!D:D)&lt;75,(O47*(1+$I$4))+IF(TableIncomeCalculations[[#This Row],[SwitchP1]]="Y",O47*$I$6,0),0)</f>
        <v>89174.935883232261</v>
      </c>
      <c r="P48" s="35">
        <f>IF(_xlfn.XLOOKUP(TableIncome[[#This Row],[Year]],Loop!C:C,Loop!E:E)&lt;75,(P47*(1+$I$4))+IF(TableIncomeCalculations[[#This Row],[SwitchP2]]="Y",P47*$I$6,0),0)</f>
        <v>0</v>
      </c>
      <c r="Q48" s="35">
        <f>IF(_xlfn.XLOOKUP(TableIncome[[#This Row],[Year]],Loop!C:C,Loop!D:D)&lt;75,(Q47*(1+$I$3))+IF(TableIncomeCalculations[[#This Row],[SwitchP1]]="Y",Q47*$I$5,0),0)</f>
        <v>248946.31649159503</v>
      </c>
      <c r="R48" s="35">
        <f>IF(_xlfn.XLOOKUP(TableIncome[[#This Row],[Year]],Loop!C:C,Loop!E:E)&lt;75,(R47*(1+$I$3))+IF(TableIncomeCalculations[[#This Row],[SwitchP2]]="Y",R47*$I$5,0),0)</f>
        <v>0</v>
      </c>
      <c r="S48" t="str">
        <f>JobHopping[[#This Row],[SwitchP1Static]]</f>
        <v>N</v>
      </c>
      <c r="T48" t="str">
        <f>JobHopping[[#This Row],[SwitchP2Static]]</f>
        <v>N</v>
      </c>
    </row>
    <row r="49" spans="2:20" x14ac:dyDescent="0.2">
      <c r="B49" s="3">
        <v>2071</v>
      </c>
      <c r="C49" s="38">
        <f>(TableIncomeCalculations[[#This Row],[NetMonthlySalaryP1]]*12)</f>
        <v>550095.49606952933</v>
      </c>
      <c r="D49" s="37">
        <f>(TableIncomeCalculations[[#This Row],[NetMonthlySalaryP2]]*12)</f>
        <v>0</v>
      </c>
      <c r="E49" s="36">
        <f>TableIncome[[#This Row],[SalaryP1]]*$I$7</f>
        <v>110019.09921390587</v>
      </c>
      <c r="F49" s="36">
        <f>TableIncome[[#This Row],[SalaryP2]]*$I$7</f>
        <v>0</v>
      </c>
      <c r="K49" s="57">
        <f>(TableIncome[[#This Row],[SalaryP1]]-TableIncome[[#This Row],[InvestmentP1]])/12</f>
        <v>36673.033071301958</v>
      </c>
      <c r="L49" s="57">
        <f>(TableIncome[[#This Row],[SalaryP2]]-TableIncome[[#This Row],[InvestmentP2]])/12</f>
        <v>0</v>
      </c>
      <c r="M49" s="34">
        <f>'Net Salary P1'!BI48</f>
        <v>45841.291339127441</v>
      </c>
      <c r="N49" s="34">
        <f>'Net Salary P2'!BI48</f>
        <v>0</v>
      </c>
      <c r="O49" s="35">
        <f>IF(_xlfn.XLOOKUP(TableIncome[[#This Row],[Year]],Loop!C:C,Loop!D:D)&lt;75,(O48*(1+$I$4))+IF(TableIncomeCalculations[[#This Row],[SwitchP1]]="Y",O48*$I$6,0),0)</f>
        <v>90066.685242064588</v>
      </c>
      <c r="P49" s="35">
        <f>IF(_xlfn.XLOOKUP(TableIncome[[#This Row],[Year]],Loop!C:C,Loop!E:E)&lt;75,(P48*(1+$I$4))+IF(TableIncomeCalculations[[#This Row],[SwitchP2]]="Y",P48*$I$6,0),0)</f>
        <v>0</v>
      </c>
      <c r="Q49" s="35">
        <f>IF(_xlfn.XLOOKUP(TableIncome[[#This Row],[Year]],Loop!C:C,Loop!D:D)&lt;75,(Q48*(1+$I$3))+IF(TableIncomeCalculations[[#This Row],[SwitchP1]]="Y",Q48*$I$5,0),0)</f>
        <v>256414.70598634289</v>
      </c>
      <c r="R49" s="34"/>
      <c r="S49" t="str">
        <f>JobHopping[[#This Row],[SwitchP1Static]]</f>
        <v>N</v>
      </c>
      <c r="T49" t="str">
        <f>JobHopping[[#This Row],[SwitchP2Static]]</f>
        <v>N</v>
      </c>
    </row>
    <row r="50" spans="2:20" x14ac:dyDescent="0.2">
      <c r="B50" s="3">
        <v>2072</v>
      </c>
      <c r="C50" s="38">
        <f>(TableIncomeCalculations[[#This Row],[NetMonthlySalaryP1]]*12)</f>
        <v>554628.72454526462</v>
      </c>
      <c r="D50" s="37">
        <f>(TableIncomeCalculations[[#This Row],[NetMonthlySalaryP2]]*12)</f>
        <v>0</v>
      </c>
      <c r="E50" s="36">
        <f>TableIncome[[#This Row],[SalaryP1]]*$I$7</f>
        <v>110925.74490905293</v>
      </c>
      <c r="F50" s="36">
        <f>TableIncome[[#This Row],[SalaryP2]]*$I$7</f>
        <v>0</v>
      </c>
      <c r="K50" s="57">
        <f>(TableIncome[[#This Row],[SalaryP1]]-TableIncome[[#This Row],[InvestmentP1]])/12</f>
        <v>36975.248303017645</v>
      </c>
      <c r="L50" s="57">
        <f>(TableIncome[[#This Row],[SalaryP2]]-TableIncome[[#This Row],[InvestmentP2]])/12</f>
        <v>0</v>
      </c>
      <c r="M50" s="34">
        <f>'Net Salary P1'!BI49</f>
        <v>46219.060378772054</v>
      </c>
      <c r="N50" s="34">
        <f>'Net Salary P2'!BI49</f>
        <v>0</v>
      </c>
      <c r="O50" s="35">
        <f>IF(_xlfn.XLOOKUP(TableIncome[[#This Row],[Year]],Loop!C:C,Loop!D:D)&lt;75,(O49*(1+$I$4))+IF(TableIncomeCalculations[[#This Row],[SwitchP1]]="Y",O49*$I$6,0),0)</f>
        <v>90967.352094485235</v>
      </c>
      <c r="P50" s="35">
        <f>IF(_xlfn.XLOOKUP(TableIncome[[#This Row],[Year]],Loop!C:C,Loop!E:E)&lt;75,(P49*(1+$I$4))+IF(TableIncomeCalculations[[#This Row],[SwitchP2]]="Y",P49*$I$6,0),0)</f>
        <v>0</v>
      </c>
      <c r="Q50" s="35">
        <f>IF(_xlfn.XLOOKUP(TableIncome[[#This Row],[Year]],Loop!C:C,Loop!D:D)&lt;75,(Q49*(1+$I$3))+IF(TableIncomeCalculations[[#This Row],[SwitchP1]]="Y",Q49*$I$5,0),0)</f>
        <v>264107.14716593316</v>
      </c>
      <c r="R50" s="34"/>
      <c r="S50" t="str">
        <f>JobHopping[[#This Row],[SwitchP1Static]]</f>
        <v>N</v>
      </c>
      <c r="T50" t="str">
        <f>JobHopping[[#This Row],[SwitchP2Static]]</f>
        <v>N</v>
      </c>
    </row>
    <row r="51" spans="2:20" x14ac:dyDescent="0.2">
      <c r="B51" s="3">
        <v>2073</v>
      </c>
      <c r="C51" s="38">
        <f>(TableIncomeCalculations[[#This Row],[NetMonthlySalaryP1]]*12)</f>
        <v>559207.28530575731</v>
      </c>
      <c r="D51" s="37">
        <f>(TableIncomeCalculations[[#This Row],[NetMonthlySalaryP2]]*12)</f>
        <v>0</v>
      </c>
      <c r="E51" s="36">
        <f>TableIncome[[#This Row],[SalaryP1]]*$I$7</f>
        <v>111841.45706115146</v>
      </c>
      <c r="F51" s="36">
        <f>TableIncome[[#This Row],[SalaryP2]]*$I$7</f>
        <v>0</v>
      </c>
      <c r="K51" s="57">
        <f>(TableIncome[[#This Row],[SalaryP1]]-TableIncome[[#This Row],[InvestmentP1]])/12</f>
        <v>37280.485687050488</v>
      </c>
      <c r="L51" s="57">
        <f>(TableIncome[[#This Row],[SalaryP2]]-TableIncome[[#This Row],[InvestmentP2]])/12</f>
        <v>0</v>
      </c>
      <c r="M51" s="34">
        <f>'Net Salary P1'!BI50</f>
        <v>46600.607108813107</v>
      </c>
      <c r="N51" s="34">
        <f>'Net Salary P2'!BI50</f>
        <v>0</v>
      </c>
      <c r="O51" s="35">
        <f>IF(_xlfn.XLOOKUP(TableIncome[[#This Row],[Year]],Loop!C:C,Loop!D:D)&lt;75,(O50*(1+$I$4))+IF(TableIncomeCalculations[[#This Row],[SwitchP1]]="Y",O50*$I$6,0),0)</f>
        <v>91877.025615430088</v>
      </c>
      <c r="P51" s="35">
        <f>IF(_xlfn.XLOOKUP(TableIncome[[#This Row],[Year]],Loop!C:C,Loop!E:E)&lt;75,(P50*(1+$I$4))+IF(TableIncomeCalculations[[#This Row],[SwitchP2]]="Y",P50*$I$6,0),0)</f>
        <v>0</v>
      </c>
      <c r="Q51" s="35">
        <f>IF(_xlfn.XLOOKUP(TableIncome[[#This Row],[Year]],Loop!C:C,Loop!D:D)&lt;75,(Q50*(1+$I$3))+IF(TableIncomeCalculations[[#This Row],[SwitchP1]]="Y",Q50*$I$5,0),0)</f>
        <v>272030.36158091115</v>
      </c>
      <c r="R51" s="34"/>
      <c r="S51" t="str">
        <f>JobHopping[[#This Row],[SwitchP1Static]]</f>
        <v>N</v>
      </c>
      <c r="T51" t="str">
        <f>JobHopping[[#This Row],[SwitchP2Static]]</f>
        <v>N</v>
      </c>
    </row>
    <row r="52" spans="2:20" x14ac:dyDescent="0.2">
      <c r="B52" s="3">
        <v>2074</v>
      </c>
      <c r="C52" s="38">
        <f>(TableIncomeCalculations[[#This Row],[NetMonthlySalaryP1]]*12)</f>
        <v>563831.63167385489</v>
      </c>
      <c r="D52" s="37">
        <f>(TableIncomeCalculations[[#This Row],[NetMonthlySalaryP2]]*12)</f>
        <v>0</v>
      </c>
      <c r="E52" s="36">
        <f>TableIncome[[#This Row],[SalaryP1]]*$I$7</f>
        <v>112766.32633477099</v>
      </c>
      <c r="F52" s="36">
        <f>TableIncome[[#This Row],[SalaryP2]]*$I$7</f>
        <v>0</v>
      </c>
      <c r="K52" s="57">
        <f>(TableIncome[[#This Row],[SalaryP1]]-TableIncome[[#This Row],[InvestmentP1]])/12</f>
        <v>37588.77544492366</v>
      </c>
      <c r="L52" s="57">
        <f>(TableIncome[[#This Row],[SalaryP2]]-TableIncome[[#This Row],[InvestmentP2]])/12</f>
        <v>0</v>
      </c>
      <c r="M52" s="34">
        <f>'Net Salary P1'!BI51</f>
        <v>46985.969306154577</v>
      </c>
      <c r="N52" s="34">
        <f>'Net Salary P2'!BI51</f>
        <v>0</v>
      </c>
      <c r="O52" s="35">
        <f>IF(_xlfn.XLOOKUP(TableIncome[[#This Row],[Year]],Loop!C:C,Loop!D:D)&lt;75,(O51*(1+$I$4))+IF(TableIncomeCalculations[[#This Row],[SwitchP1]]="Y",O51*$I$6,0),0)</f>
        <v>92795.795871584385</v>
      </c>
      <c r="P52" s="35">
        <f>IF(_xlfn.XLOOKUP(TableIncome[[#This Row],[Year]],Loop!C:C,Loop!E:E)&lt;75,(P51*(1+$I$4))+IF(TableIncomeCalculations[[#This Row],[SwitchP2]]="Y",P51*$I$6,0),0)</f>
        <v>0</v>
      </c>
      <c r="Q52" s="35">
        <f>IF(_xlfn.XLOOKUP(TableIncome[[#This Row],[Year]],Loop!C:C,Loop!D:D)&lt;75,(Q51*(1+$I$3))+IF(TableIncomeCalculations[[#This Row],[SwitchP1]]="Y",Q51*$I$5,0),0)</f>
        <v>280191.27242833847</v>
      </c>
      <c r="R52" s="34"/>
      <c r="S52" t="str">
        <f>JobHopping[[#This Row],[SwitchP1Static]]</f>
        <v>N</v>
      </c>
      <c r="T52" t="str">
        <f>JobHopping[[#This Row],[SwitchP2Static]]</f>
        <v>N</v>
      </c>
    </row>
    <row r="53" spans="2:20" x14ac:dyDescent="0.2">
      <c r="B53" s="3">
        <v>2075</v>
      </c>
      <c r="C53" s="38">
        <f>(TableIncomeCalculations[[#This Row],[NetMonthlySalaryP1]]*12)</f>
        <v>0</v>
      </c>
      <c r="D53" s="37">
        <f>(TableIncomeCalculations[[#This Row],[NetMonthlySalaryP2]]*12)</f>
        <v>0</v>
      </c>
      <c r="E53" s="36">
        <f>TableIncome[[#This Row],[SalaryP1]]*$I$7</f>
        <v>0</v>
      </c>
      <c r="F53" s="36">
        <f>TableIncome[[#This Row],[SalaryP2]]*$I$7</f>
        <v>0</v>
      </c>
      <c r="K53" s="57">
        <f>(TableIncome[[#This Row],[SalaryP1]]-TableIncome[[#This Row],[InvestmentP1]])/12</f>
        <v>0</v>
      </c>
      <c r="L53" s="57">
        <f>(TableIncome[[#This Row],[SalaryP2]]-TableIncome[[#This Row],[InvestmentP2]])/12</f>
        <v>0</v>
      </c>
      <c r="M53" s="34">
        <f>'Net Salary P1'!BI52</f>
        <v>0</v>
      </c>
      <c r="N53" s="34">
        <f>'Net Salary P2'!BI52</f>
        <v>0</v>
      </c>
      <c r="O53" s="35">
        <f>IF(_xlfn.XLOOKUP(TableIncome[[#This Row],[Year]],Loop!C:C,Loop!D:D)&lt;75,(O52*(1+$I$4))+IF(TableIncomeCalculations[[#This Row],[SwitchP1]]="Y",O52*$I$6,0),0)</f>
        <v>0</v>
      </c>
      <c r="P53" s="35">
        <f>IF(_xlfn.XLOOKUP(TableIncome[[#This Row],[Year]],Loop!C:C,Loop!E:E)&lt;75,(P52*(1+$I$4))+IF(TableIncomeCalculations[[#This Row],[SwitchP2]]="Y",P52*$I$6,0),0)</f>
        <v>0</v>
      </c>
      <c r="Q53" s="35">
        <f>IF(_xlfn.XLOOKUP(TableIncome[[#This Row],[Year]],Loop!C:C,Loop!D:D)&lt;75,(Q52*(1+$I$3))+IF(TableIncomeCalculations[[#This Row],[SwitchP1]]="Y",Q52*$I$5,0),0)</f>
        <v>0</v>
      </c>
      <c r="R53" s="34"/>
      <c r="S53" t="str">
        <f>JobHopping[[#This Row],[SwitchP1Static]]</f>
        <v>N</v>
      </c>
      <c r="T53"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Y54"/>
  <sheetViews>
    <sheetView topLeftCell="A7" zoomScale="69" zoomScaleNormal="115" workbookViewId="0">
      <selection activeCell="D25" sqref="D25"/>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13" style="2" bestFit="1" customWidth="1"/>
    <col min="48" max="48" width="11.6640625" style="2" bestFit="1" customWidth="1"/>
    <col min="49" max="49" width="13.33203125" style="2" bestFit="1" customWidth="1"/>
    <col min="50" max="51" width="14.1640625" style="2" bestFit="1" customWidth="1"/>
    <col min="52" max="16384" width="9.1640625" style="2"/>
  </cols>
  <sheetData>
    <row r="1" spans="1:51" x14ac:dyDescent="0.2">
      <c r="A1" s="2" t="s">
        <v>1</v>
      </c>
      <c r="B1" s="2">
        <v>2025</v>
      </c>
      <c r="C1" s="2">
        <v>2026</v>
      </c>
      <c r="D1" s="2">
        <v>2027</v>
      </c>
      <c r="E1" s="2">
        <v>2028</v>
      </c>
      <c r="F1" s="2">
        <v>2029</v>
      </c>
      <c r="G1" s="2">
        <v>2030</v>
      </c>
      <c r="H1" s="2">
        <v>2031</v>
      </c>
      <c r="I1" s="2">
        <v>2032</v>
      </c>
      <c r="J1" s="2">
        <v>2033</v>
      </c>
      <c r="K1" s="2">
        <v>2034</v>
      </c>
      <c r="L1" s="2">
        <v>2035</v>
      </c>
      <c r="M1" s="2">
        <v>2036</v>
      </c>
      <c r="N1" s="2">
        <v>2037</v>
      </c>
      <c r="O1" s="2">
        <v>2038</v>
      </c>
      <c r="P1" s="2">
        <v>2039</v>
      </c>
      <c r="Q1" s="2">
        <v>2040</v>
      </c>
      <c r="R1" s="2">
        <v>2041</v>
      </c>
      <c r="S1" s="2">
        <v>2042</v>
      </c>
      <c r="T1" s="2">
        <v>2043</v>
      </c>
      <c r="U1" s="2">
        <v>2044</v>
      </c>
      <c r="V1" s="2">
        <v>2045</v>
      </c>
      <c r="W1" s="2">
        <v>2046</v>
      </c>
      <c r="X1" s="2">
        <v>2047</v>
      </c>
      <c r="Y1" s="2">
        <v>2048</v>
      </c>
      <c r="Z1" s="2">
        <v>2049</v>
      </c>
      <c r="AA1" s="2">
        <v>2050</v>
      </c>
      <c r="AB1" s="2">
        <v>2051</v>
      </c>
      <c r="AC1" s="2">
        <v>2052</v>
      </c>
      <c r="AD1" s="2">
        <v>2053</v>
      </c>
      <c r="AE1" s="2">
        <v>2054</v>
      </c>
      <c r="AF1" s="2">
        <v>2055</v>
      </c>
      <c r="AG1" s="2">
        <v>2056</v>
      </c>
      <c r="AH1" s="2">
        <v>2057</v>
      </c>
      <c r="AI1" s="2">
        <v>2058</v>
      </c>
      <c r="AJ1" s="2">
        <v>2059</v>
      </c>
      <c r="AK1" s="2">
        <v>2060</v>
      </c>
      <c r="AL1" s="2">
        <v>2061</v>
      </c>
      <c r="AM1" s="2">
        <v>2062</v>
      </c>
      <c r="AN1" s="2">
        <v>2063</v>
      </c>
      <c r="AO1" s="2">
        <v>2064</v>
      </c>
      <c r="AP1" s="2">
        <v>2065</v>
      </c>
      <c r="AQ1" s="2">
        <v>2066</v>
      </c>
      <c r="AR1" s="2">
        <v>2067</v>
      </c>
      <c r="AS1" s="2">
        <v>2068</v>
      </c>
      <c r="AT1" s="2">
        <v>2069</v>
      </c>
      <c r="AU1" s="2">
        <v>2070</v>
      </c>
      <c r="AV1" s="2">
        <v>2071</v>
      </c>
      <c r="AW1" s="2">
        <v>2072</v>
      </c>
      <c r="AX1" s="2">
        <v>2073</v>
      </c>
      <c r="AY1" s="2">
        <v>2074</v>
      </c>
    </row>
    <row r="2" spans="1:51" x14ac:dyDescent="0.2">
      <c r="A2" s="2" t="s">
        <v>176</v>
      </c>
      <c r="B2" s="28" cm="1">
        <f t="array" ref="B2:AY2">TRANSPOSE(Income!O3:O52)</f>
        <v>43421.568627450979</v>
      </c>
      <c r="C2" s="28">
        <v>43855.784313725489</v>
      </c>
      <c r="D2" s="28">
        <v>46048.573529411762</v>
      </c>
      <c r="E2" s="28">
        <v>46509.05926470588</v>
      </c>
      <c r="F2" s="28">
        <v>46974.149857352939</v>
      </c>
      <c r="G2" s="28">
        <v>47443.891355926469</v>
      </c>
      <c r="H2" s="28">
        <v>49816.085923722792</v>
      </c>
      <c r="I2" s="28">
        <v>50314.246782960021</v>
      </c>
      <c r="J2" s="28">
        <v>50817.389250789623</v>
      </c>
      <c r="K2" s="28">
        <v>51325.563143297521</v>
      </c>
      <c r="L2" s="28">
        <v>53891.841300462402</v>
      </c>
      <c r="M2" s="28">
        <v>54430.759713467029</v>
      </c>
      <c r="N2" s="28">
        <v>54975.067310601698</v>
      </c>
      <c r="O2" s="28">
        <v>57723.820676131785</v>
      </c>
      <c r="P2" s="28">
        <v>58301.058882893107</v>
      </c>
      <c r="Q2" s="28">
        <v>58884.069471722039</v>
      </c>
      <c r="R2" s="28">
        <v>59472.910166439258</v>
      </c>
      <c r="S2" s="28">
        <v>60067.639268103652</v>
      </c>
      <c r="T2" s="28">
        <v>63071.021231508836</v>
      </c>
      <c r="U2" s="28">
        <v>63701.731443823926</v>
      </c>
      <c r="V2" s="28">
        <v>64338.748758262169</v>
      </c>
      <c r="W2" s="28">
        <v>64982.136245844791</v>
      </c>
      <c r="X2" s="28">
        <v>68231.243058137043</v>
      </c>
      <c r="Y2" s="28">
        <v>68913.555488718412</v>
      </c>
      <c r="Z2" s="28">
        <v>69602.691043605591</v>
      </c>
      <c r="AA2" s="28">
        <v>70298.717954041655</v>
      </c>
      <c r="AB2" s="28">
        <v>71001.705133582072</v>
      </c>
      <c r="AC2" s="28">
        <v>71711.72218491789</v>
      </c>
      <c r="AD2" s="28">
        <v>72428.839406767074</v>
      </c>
      <c r="AE2" s="28">
        <v>73153.127800834744</v>
      </c>
      <c r="AF2" s="28">
        <v>73884.659078843091</v>
      </c>
      <c r="AG2" s="28">
        <v>74623.50566963153</v>
      </c>
      <c r="AH2" s="28">
        <v>75369.740726327844</v>
      </c>
      <c r="AI2" s="28">
        <v>76123.438133591117</v>
      </c>
      <c r="AJ2" s="28">
        <v>76884.672514927035</v>
      </c>
      <c r="AK2" s="28">
        <v>80728.906140673382</v>
      </c>
      <c r="AL2" s="28">
        <v>81536.195202080111</v>
      </c>
      <c r="AM2" s="28">
        <v>82351.557154100912</v>
      </c>
      <c r="AN2" s="28">
        <v>83175.07272564192</v>
      </c>
      <c r="AO2" s="28">
        <v>84006.823452898345</v>
      </c>
      <c r="AP2" s="28">
        <v>84846.891687427327</v>
      </c>
      <c r="AQ2" s="28">
        <v>85695.360604301604</v>
      </c>
      <c r="AR2" s="28">
        <v>86552.314210344615</v>
      </c>
      <c r="AS2" s="28">
        <v>87417.837352448056</v>
      </c>
      <c r="AT2" s="28">
        <v>88292.015725972538</v>
      </c>
      <c r="AU2" s="2">
        <v>89174.935883232261</v>
      </c>
      <c r="AV2" s="2">
        <v>90066.685242064588</v>
      </c>
      <c r="AW2" s="2">
        <v>90967.352094485235</v>
      </c>
      <c r="AX2" s="2">
        <v>91877.025615430088</v>
      </c>
      <c r="AY2" s="2">
        <v>92795.795871584385</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2171.0784313725489</v>
      </c>
      <c r="C4" s="28">
        <f t="shared" ref="C4:AT4" si="0">C3*C2</f>
        <v>2192.7892156862745</v>
      </c>
      <c r="D4" s="28">
        <f t="shared" si="0"/>
        <v>2302.428676470588</v>
      </c>
      <c r="E4" s="28">
        <f t="shared" si="0"/>
        <v>2325.4529632352942</v>
      </c>
      <c r="F4" s="28">
        <f t="shared" si="0"/>
        <v>2348.707492867647</v>
      </c>
      <c r="G4" s="28">
        <f t="shared" si="0"/>
        <v>2372.1945677963236</v>
      </c>
      <c r="H4" s="28">
        <f t="shared" si="0"/>
        <v>2490.8042961861397</v>
      </c>
      <c r="I4" s="28">
        <f t="shared" si="0"/>
        <v>2515.7123391480013</v>
      </c>
      <c r="J4" s="28">
        <f t="shared" si="0"/>
        <v>2540.8694625394814</v>
      </c>
      <c r="K4" s="28">
        <f t="shared" si="0"/>
        <v>2566.2781571648761</v>
      </c>
      <c r="L4" s="28">
        <f t="shared" si="0"/>
        <v>2694.5920650231201</v>
      </c>
      <c r="M4" s="28">
        <f t="shared" si="0"/>
        <v>2721.5379856733516</v>
      </c>
      <c r="N4" s="28">
        <f t="shared" si="0"/>
        <v>2748.7533655300849</v>
      </c>
      <c r="O4" s="28">
        <f t="shared" si="0"/>
        <v>2886.1910338065895</v>
      </c>
      <c r="P4" s="28">
        <f t="shared" si="0"/>
        <v>2915.0529441446556</v>
      </c>
      <c r="Q4" s="28">
        <f t="shared" si="0"/>
        <v>2944.2034735861021</v>
      </c>
      <c r="R4" s="28">
        <f t="shared" si="0"/>
        <v>2973.645508321963</v>
      </c>
      <c r="S4" s="28">
        <f t="shared" si="0"/>
        <v>3003.3819634051829</v>
      </c>
      <c r="T4" s="28">
        <f t="shared" si="0"/>
        <v>3153.551061575442</v>
      </c>
      <c r="U4" s="28">
        <f t="shared" si="0"/>
        <v>3185.0865721911964</v>
      </c>
      <c r="V4" s="28">
        <f t="shared" si="0"/>
        <v>3216.9374379131086</v>
      </c>
      <c r="W4" s="28">
        <f t="shared" si="0"/>
        <v>3249.1068122922397</v>
      </c>
      <c r="X4" s="28">
        <f t="shared" si="0"/>
        <v>3411.5621529068521</v>
      </c>
      <c r="Y4" s="28">
        <f t="shared" si="0"/>
        <v>3445.6777744359206</v>
      </c>
      <c r="Z4" s="28">
        <f t="shared" si="0"/>
        <v>3480.1345521802796</v>
      </c>
      <c r="AA4" s="28">
        <f t="shared" si="0"/>
        <v>3514.9358977020829</v>
      </c>
      <c r="AB4" s="28">
        <f t="shared" si="0"/>
        <v>3550.0852566791036</v>
      </c>
      <c r="AC4" s="28">
        <f t="shared" si="0"/>
        <v>3585.5861092458945</v>
      </c>
      <c r="AD4" s="28">
        <f t="shared" si="0"/>
        <v>3621.4419703383537</v>
      </c>
      <c r="AE4" s="28">
        <f t="shared" si="0"/>
        <v>3657.6563900417373</v>
      </c>
      <c r="AF4" s="28">
        <f t="shared" si="0"/>
        <v>3694.2329539421548</v>
      </c>
      <c r="AG4" s="28">
        <f t="shared" si="0"/>
        <v>3731.1752834815766</v>
      </c>
      <c r="AH4" s="28">
        <f t="shared" si="0"/>
        <v>3768.4870363163923</v>
      </c>
      <c r="AI4" s="28">
        <f t="shared" si="0"/>
        <v>3806.1719066795558</v>
      </c>
      <c r="AJ4" s="28">
        <f t="shared" si="0"/>
        <v>3844.2336257463521</v>
      </c>
      <c r="AK4" s="28">
        <f t="shared" si="0"/>
        <v>4036.4453070336695</v>
      </c>
      <c r="AL4" s="28">
        <f t="shared" si="0"/>
        <v>4076.8097601040058</v>
      </c>
      <c r="AM4" s="28">
        <f t="shared" si="0"/>
        <v>4117.577857705046</v>
      </c>
      <c r="AN4" s="28">
        <f t="shared" si="0"/>
        <v>4158.7536362820965</v>
      </c>
      <c r="AO4" s="28">
        <f t="shared" si="0"/>
        <v>4200.3411726449176</v>
      </c>
      <c r="AP4" s="28">
        <f t="shared" si="0"/>
        <v>4242.3445843713662</v>
      </c>
      <c r="AQ4" s="28">
        <f t="shared" si="0"/>
        <v>4284.7680302150802</v>
      </c>
      <c r="AR4" s="28">
        <f t="shared" si="0"/>
        <v>4327.6157105172306</v>
      </c>
      <c r="AS4" s="28">
        <f t="shared" si="0"/>
        <v>4370.891867622403</v>
      </c>
      <c r="AT4" s="28">
        <f t="shared" si="0"/>
        <v>4414.6007862986271</v>
      </c>
      <c r="AU4" s="28">
        <f t="shared" ref="AU4:AY4" si="1">AU3*AU2</f>
        <v>4458.7467941616133</v>
      </c>
      <c r="AV4" s="28">
        <f t="shared" si="1"/>
        <v>4503.3342621032298</v>
      </c>
      <c r="AW4" s="28">
        <f t="shared" si="1"/>
        <v>4548.3676047242616</v>
      </c>
      <c r="AX4" s="28">
        <f t="shared" si="1"/>
        <v>4593.8512807715042</v>
      </c>
      <c r="AY4" s="28">
        <f t="shared" si="1"/>
        <v>4639.7897935792198</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4342.1568627450979</v>
      </c>
      <c r="C6" s="28">
        <f t="shared" ref="C6:AT6" si="2">C4*2</f>
        <v>4385.5784313725489</v>
      </c>
      <c r="D6" s="28">
        <f t="shared" si="2"/>
        <v>4604.857352941176</v>
      </c>
      <c r="E6" s="28">
        <f t="shared" si="2"/>
        <v>4650.9059264705884</v>
      </c>
      <c r="F6" s="28">
        <f t="shared" si="2"/>
        <v>4697.4149857352941</v>
      </c>
      <c r="G6" s="28">
        <f t="shared" si="2"/>
        <v>4744.3891355926471</v>
      </c>
      <c r="H6" s="28">
        <f t="shared" si="2"/>
        <v>4981.6085923722794</v>
      </c>
      <c r="I6" s="28">
        <f t="shared" si="2"/>
        <v>5031.4246782960026</v>
      </c>
      <c r="J6" s="28">
        <f t="shared" si="2"/>
        <v>5081.7389250789629</v>
      </c>
      <c r="K6" s="28">
        <f t="shared" si="2"/>
        <v>5132.5563143297522</v>
      </c>
      <c r="L6" s="28">
        <f t="shared" si="2"/>
        <v>5389.1841300462402</v>
      </c>
      <c r="M6" s="28">
        <f t="shared" si="2"/>
        <v>5443.0759713467032</v>
      </c>
      <c r="N6" s="28">
        <f t="shared" si="2"/>
        <v>5497.5067310601698</v>
      </c>
      <c r="O6" s="28">
        <f t="shared" si="2"/>
        <v>5772.3820676131791</v>
      </c>
      <c r="P6" s="28">
        <f t="shared" si="2"/>
        <v>5830.1058882893112</v>
      </c>
      <c r="Q6" s="28">
        <f t="shared" si="2"/>
        <v>5888.4069471722041</v>
      </c>
      <c r="R6" s="28">
        <f t="shared" si="2"/>
        <v>5947.291016643926</v>
      </c>
      <c r="S6" s="28">
        <f t="shared" si="2"/>
        <v>6006.7639268103658</v>
      </c>
      <c r="T6" s="28">
        <f t="shared" si="2"/>
        <v>6307.1021231508839</v>
      </c>
      <c r="U6" s="28">
        <f t="shared" si="2"/>
        <v>6370.1731443823928</v>
      </c>
      <c r="V6" s="28">
        <f t="shared" si="2"/>
        <v>6433.8748758262172</v>
      </c>
      <c r="W6" s="28">
        <f t="shared" si="2"/>
        <v>6498.2136245844795</v>
      </c>
      <c r="X6" s="28">
        <f t="shared" si="2"/>
        <v>6823.1243058137043</v>
      </c>
      <c r="Y6" s="28">
        <f t="shared" si="2"/>
        <v>6891.3555488718412</v>
      </c>
      <c r="Z6" s="28">
        <f t="shared" si="2"/>
        <v>6960.2691043605591</v>
      </c>
      <c r="AA6" s="28">
        <f t="shared" si="2"/>
        <v>7029.8717954041658</v>
      </c>
      <c r="AB6" s="28">
        <f t="shared" si="2"/>
        <v>7100.1705133582072</v>
      </c>
      <c r="AC6" s="28">
        <f t="shared" si="2"/>
        <v>7171.172218491789</v>
      </c>
      <c r="AD6" s="28">
        <f t="shared" si="2"/>
        <v>7242.8839406767074</v>
      </c>
      <c r="AE6" s="28">
        <f t="shared" si="2"/>
        <v>7315.3127800834745</v>
      </c>
      <c r="AF6" s="28">
        <f t="shared" si="2"/>
        <v>7388.4659078843097</v>
      </c>
      <c r="AG6" s="28">
        <f t="shared" si="2"/>
        <v>7462.3505669631531</v>
      </c>
      <c r="AH6" s="28">
        <f t="shared" si="2"/>
        <v>7536.9740726327846</v>
      </c>
      <c r="AI6" s="28">
        <f t="shared" si="2"/>
        <v>7612.3438133591117</v>
      </c>
      <c r="AJ6" s="28">
        <f t="shared" si="2"/>
        <v>7688.4672514927042</v>
      </c>
      <c r="AK6" s="28">
        <f t="shared" si="2"/>
        <v>8072.8906140673389</v>
      </c>
      <c r="AL6" s="28">
        <f t="shared" si="2"/>
        <v>8153.6195202080116</v>
      </c>
      <c r="AM6" s="28">
        <f t="shared" si="2"/>
        <v>8235.1557154100919</v>
      </c>
      <c r="AN6" s="28">
        <f t="shared" si="2"/>
        <v>8317.507272564193</v>
      </c>
      <c r="AO6" s="28">
        <f t="shared" si="2"/>
        <v>8400.6823452898352</v>
      </c>
      <c r="AP6" s="28">
        <f t="shared" si="2"/>
        <v>8484.6891687427324</v>
      </c>
      <c r="AQ6" s="28">
        <f t="shared" si="2"/>
        <v>8569.5360604301604</v>
      </c>
      <c r="AR6" s="28">
        <f t="shared" si="2"/>
        <v>8655.2314210344612</v>
      </c>
      <c r="AS6" s="28">
        <f t="shared" si="2"/>
        <v>8741.7837352448059</v>
      </c>
      <c r="AT6" s="28">
        <f t="shared" si="2"/>
        <v>8829.2015725972542</v>
      </c>
      <c r="AU6" s="28">
        <f t="shared" ref="AU6:AY6" si="3">AU4*2</f>
        <v>8917.4935883232265</v>
      </c>
      <c r="AV6" s="28">
        <f t="shared" si="3"/>
        <v>9006.6685242064596</v>
      </c>
      <c r="AW6" s="28">
        <f t="shared" si="3"/>
        <v>9096.7352094485232</v>
      </c>
      <c r="AX6" s="28">
        <f t="shared" si="3"/>
        <v>9187.7025615430084</v>
      </c>
      <c r="AY6" s="28">
        <f t="shared" si="3"/>
        <v>9279.5795871584396</v>
      </c>
    </row>
    <row r="7" spans="1:51" x14ac:dyDescent="0.2">
      <c r="A7" s="2" t="s">
        <v>180</v>
      </c>
      <c r="B7" s="29">
        <f>SUM(B6,B4)</f>
        <v>6513.2352941176468</v>
      </c>
      <c r="C7" s="29">
        <f t="shared" ref="C7:AT7" si="4">SUM(C6,C4)</f>
        <v>6578.3676470588234</v>
      </c>
      <c r="D7" s="29">
        <f t="shared" si="4"/>
        <v>6907.2860294117636</v>
      </c>
      <c r="E7" s="29">
        <f t="shared" si="4"/>
        <v>6976.3588897058826</v>
      </c>
      <c r="F7" s="29">
        <f t="shared" si="4"/>
        <v>7046.1224786029416</v>
      </c>
      <c r="G7" s="29">
        <f t="shared" si="4"/>
        <v>7116.5837033889711</v>
      </c>
      <c r="H7" s="29">
        <f t="shared" si="4"/>
        <v>7472.4128885584196</v>
      </c>
      <c r="I7" s="29">
        <f t="shared" si="4"/>
        <v>7547.1370174440035</v>
      </c>
      <c r="J7" s="29">
        <f t="shared" si="4"/>
        <v>7622.6083876184439</v>
      </c>
      <c r="K7" s="29">
        <f t="shared" si="4"/>
        <v>7698.8344714946288</v>
      </c>
      <c r="L7" s="29">
        <f t="shared" si="4"/>
        <v>8083.7761950693603</v>
      </c>
      <c r="M7" s="29">
        <f t="shared" si="4"/>
        <v>8164.6139570200548</v>
      </c>
      <c r="N7" s="29">
        <f t="shared" si="4"/>
        <v>8246.2600965902548</v>
      </c>
      <c r="O7" s="29">
        <f t="shared" si="4"/>
        <v>8658.5731014197681</v>
      </c>
      <c r="P7" s="29">
        <f t="shared" si="4"/>
        <v>8745.1588324339664</v>
      </c>
      <c r="Q7" s="29">
        <f t="shared" si="4"/>
        <v>8832.6104207583066</v>
      </c>
      <c r="R7" s="29">
        <f t="shared" si="4"/>
        <v>8920.9365249658895</v>
      </c>
      <c r="S7" s="29">
        <f t="shared" si="4"/>
        <v>9010.1458902155482</v>
      </c>
      <c r="T7" s="29">
        <f t="shared" si="4"/>
        <v>9460.653184726325</v>
      </c>
      <c r="U7" s="29">
        <f t="shared" si="4"/>
        <v>9555.2597165735897</v>
      </c>
      <c r="V7" s="29">
        <f t="shared" si="4"/>
        <v>9650.8123137393268</v>
      </c>
      <c r="W7" s="29">
        <f t="shared" si="4"/>
        <v>9747.3204368767183</v>
      </c>
      <c r="X7" s="29">
        <f t="shared" si="4"/>
        <v>10234.686458720556</v>
      </c>
      <c r="Y7" s="29">
        <f t="shared" si="4"/>
        <v>10337.033323307762</v>
      </c>
      <c r="Z7" s="29">
        <f t="shared" si="4"/>
        <v>10440.403656540839</v>
      </c>
      <c r="AA7" s="29">
        <f t="shared" si="4"/>
        <v>10544.80769310625</v>
      </c>
      <c r="AB7" s="29">
        <f t="shared" si="4"/>
        <v>10650.255770037311</v>
      </c>
      <c r="AC7" s="29">
        <f t="shared" si="4"/>
        <v>10756.758327737683</v>
      </c>
      <c r="AD7" s="29">
        <f t="shared" si="4"/>
        <v>10864.325911015061</v>
      </c>
      <c r="AE7" s="29">
        <f t="shared" si="4"/>
        <v>10972.969170125212</v>
      </c>
      <c r="AF7" s="29">
        <f t="shared" si="4"/>
        <v>11082.698861826464</v>
      </c>
      <c r="AG7" s="29">
        <f t="shared" si="4"/>
        <v>11193.52585044473</v>
      </c>
      <c r="AH7" s="29">
        <f t="shared" si="4"/>
        <v>11305.461108949177</v>
      </c>
      <c r="AI7" s="29">
        <f t="shared" si="4"/>
        <v>11418.515720038667</v>
      </c>
      <c r="AJ7" s="29">
        <f t="shared" si="4"/>
        <v>11532.700877239056</v>
      </c>
      <c r="AK7" s="29">
        <f t="shared" si="4"/>
        <v>12109.335921101008</v>
      </c>
      <c r="AL7" s="29">
        <f t="shared" si="4"/>
        <v>12230.429280312017</v>
      </c>
      <c r="AM7" s="29">
        <f t="shared" si="4"/>
        <v>12352.733573115138</v>
      </c>
      <c r="AN7" s="29">
        <f t="shared" si="4"/>
        <v>12476.260908846289</v>
      </c>
      <c r="AO7" s="29">
        <f t="shared" si="4"/>
        <v>12601.023517934753</v>
      </c>
      <c r="AP7" s="29">
        <f t="shared" si="4"/>
        <v>12727.033753114098</v>
      </c>
      <c r="AQ7" s="29">
        <f t="shared" si="4"/>
        <v>12854.304090645241</v>
      </c>
      <c r="AR7" s="29">
        <f t="shared" si="4"/>
        <v>12982.847131551691</v>
      </c>
      <c r="AS7" s="29">
        <f t="shared" si="4"/>
        <v>13112.67560286721</v>
      </c>
      <c r="AT7" s="29">
        <f t="shared" si="4"/>
        <v>13243.802358895882</v>
      </c>
      <c r="AU7" s="29">
        <f t="shared" ref="AU7:AY7" si="5">SUM(AU6,AU4)</f>
        <v>13376.240382484841</v>
      </c>
      <c r="AV7" s="29">
        <f t="shared" si="5"/>
        <v>13510.002786309689</v>
      </c>
      <c r="AW7" s="29">
        <f t="shared" si="5"/>
        <v>13645.102814172784</v>
      </c>
      <c r="AX7" s="29">
        <f t="shared" si="5"/>
        <v>13781.553842314512</v>
      </c>
      <c r="AY7" s="29">
        <f t="shared" si="5"/>
        <v>13919.369380737659</v>
      </c>
    </row>
    <row r="8" spans="1:51" x14ac:dyDescent="0.2">
      <c r="A8" s="2" t="s">
        <v>181</v>
      </c>
      <c r="B8" s="28">
        <f>B7*12</f>
        <v>78158.823529411762</v>
      </c>
      <c r="C8" s="28">
        <f t="shared" ref="C8:AT8" si="6">C7*12</f>
        <v>78940.411764705874</v>
      </c>
      <c r="D8" s="28">
        <f t="shared" si="6"/>
        <v>82887.432352941163</v>
      </c>
      <c r="E8" s="28">
        <f t="shared" si="6"/>
        <v>83716.306676470587</v>
      </c>
      <c r="F8" s="28">
        <f t="shared" si="6"/>
        <v>84553.469743235299</v>
      </c>
      <c r="G8" s="28">
        <f t="shared" si="6"/>
        <v>85399.004440667661</v>
      </c>
      <c r="H8" s="28">
        <f t="shared" si="6"/>
        <v>89668.954662701028</v>
      </c>
      <c r="I8" s="28">
        <f t="shared" si="6"/>
        <v>90565.644209328049</v>
      </c>
      <c r="J8" s="28">
        <f t="shared" si="6"/>
        <v>91471.300651421334</v>
      </c>
      <c r="K8" s="28">
        <f t="shared" si="6"/>
        <v>92386.013657935546</v>
      </c>
      <c r="L8" s="28">
        <f t="shared" si="6"/>
        <v>97005.314340832323</v>
      </c>
      <c r="M8" s="28">
        <f t="shared" si="6"/>
        <v>97975.367484240662</v>
      </c>
      <c r="N8" s="28">
        <f t="shared" si="6"/>
        <v>98955.121159083064</v>
      </c>
      <c r="O8" s="28">
        <f t="shared" si="6"/>
        <v>103902.87721703722</v>
      </c>
      <c r="P8" s="28">
        <f t="shared" si="6"/>
        <v>104941.90598920759</v>
      </c>
      <c r="Q8" s="28">
        <f t="shared" si="6"/>
        <v>105991.32504909969</v>
      </c>
      <c r="R8" s="28">
        <f t="shared" si="6"/>
        <v>107051.23829959068</v>
      </c>
      <c r="S8" s="28">
        <f t="shared" si="6"/>
        <v>108121.75068258657</v>
      </c>
      <c r="T8" s="28">
        <f t="shared" si="6"/>
        <v>113527.8382167159</v>
      </c>
      <c r="U8" s="28">
        <f t="shared" si="6"/>
        <v>114663.11659888308</v>
      </c>
      <c r="V8" s="28">
        <f t="shared" si="6"/>
        <v>115809.74776487192</v>
      </c>
      <c r="W8" s="28">
        <f t="shared" si="6"/>
        <v>116967.84524252062</v>
      </c>
      <c r="X8" s="28">
        <f t="shared" si="6"/>
        <v>122816.23750464668</v>
      </c>
      <c r="Y8" s="28">
        <f t="shared" si="6"/>
        <v>124044.39987969314</v>
      </c>
      <c r="Z8" s="28">
        <f t="shared" si="6"/>
        <v>125284.84387849006</v>
      </c>
      <c r="AA8" s="28">
        <f t="shared" si="6"/>
        <v>126537.692317275</v>
      </c>
      <c r="AB8" s="28">
        <f t="shared" si="6"/>
        <v>127803.06924044773</v>
      </c>
      <c r="AC8" s="28">
        <f t="shared" si="6"/>
        <v>129081.0999328522</v>
      </c>
      <c r="AD8" s="28">
        <f t="shared" si="6"/>
        <v>130371.91093218073</v>
      </c>
      <c r="AE8" s="28">
        <f t="shared" si="6"/>
        <v>131675.63004150253</v>
      </c>
      <c r="AF8" s="28">
        <f t="shared" si="6"/>
        <v>132992.38634191756</v>
      </c>
      <c r="AG8" s="28">
        <f t="shared" si="6"/>
        <v>134322.31020533678</v>
      </c>
      <c r="AH8" s="28">
        <f t="shared" si="6"/>
        <v>135665.53330739011</v>
      </c>
      <c r="AI8" s="28">
        <f t="shared" si="6"/>
        <v>137022.18864046401</v>
      </c>
      <c r="AJ8" s="28">
        <f t="shared" si="6"/>
        <v>138392.41052686868</v>
      </c>
      <c r="AK8" s="28">
        <f t="shared" si="6"/>
        <v>145312.03105321209</v>
      </c>
      <c r="AL8" s="28">
        <f t="shared" si="6"/>
        <v>146765.1513637442</v>
      </c>
      <c r="AM8" s="28">
        <f t="shared" si="6"/>
        <v>148232.80287738165</v>
      </c>
      <c r="AN8" s="28">
        <f t="shared" si="6"/>
        <v>149715.13090615545</v>
      </c>
      <c r="AO8" s="28">
        <f t="shared" si="6"/>
        <v>151212.28221521704</v>
      </c>
      <c r="AP8" s="28">
        <f t="shared" si="6"/>
        <v>152724.40503736917</v>
      </c>
      <c r="AQ8" s="28">
        <f t="shared" si="6"/>
        <v>154251.6490877429</v>
      </c>
      <c r="AR8" s="28">
        <f t="shared" si="6"/>
        <v>155794.16557862028</v>
      </c>
      <c r="AS8" s="28">
        <f t="shared" si="6"/>
        <v>157352.10723440652</v>
      </c>
      <c r="AT8" s="28">
        <f t="shared" si="6"/>
        <v>158925.62830675059</v>
      </c>
      <c r="AU8" s="28">
        <f t="shared" ref="AU8:AY8" si="7">AU7*12</f>
        <v>160514.88458981807</v>
      </c>
      <c r="AV8" s="28">
        <f t="shared" si="7"/>
        <v>162120.03343571626</v>
      </c>
      <c r="AW8" s="28">
        <f t="shared" si="7"/>
        <v>163741.23377007339</v>
      </c>
      <c r="AX8" s="28">
        <f t="shared" si="7"/>
        <v>165378.64610777414</v>
      </c>
      <c r="AY8" s="28">
        <f t="shared" si="7"/>
        <v>167032.43256885192</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11542485.609751757</v>
      </c>
    </row>
    <row r="17" spans="1:4" x14ac:dyDescent="0.2">
      <c r="A17" s="2" t="s">
        <v>184</v>
      </c>
      <c r="B17" s="28">
        <f>B16/25</f>
        <v>461699.42439007031</v>
      </c>
      <c r="C17" s="2" t="s">
        <v>182</v>
      </c>
    </row>
    <row r="18" spans="1:4" x14ac:dyDescent="0.2">
      <c r="A18" s="2" t="s">
        <v>183</v>
      </c>
      <c r="B18" s="30">
        <f>B17/12</f>
        <v>38474.952032505862</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0.02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2025</v>
      </c>
      <c r="C33" s="2">
        <v>2026</v>
      </c>
      <c r="D33" s="2">
        <v>2027</v>
      </c>
      <c r="E33" s="2">
        <v>2028</v>
      </c>
      <c r="F33" s="2">
        <v>2029</v>
      </c>
      <c r="G33" s="2">
        <v>2030</v>
      </c>
      <c r="H33" s="2">
        <v>2031</v>
      </c>
      <c r="I33" s="2">
        <v>2032</v>
      </c>
      <c r="J33" s="2">
        <v>2033</v>
      </c>
      <c r="K33" s="2">
        <v>2034</v>
      </c>
      <c r="L33" s="2">
        <v>2035</v>
      </c>
      <c r="M33" s="2">
        <v>2036</v>
      </c>
      <c r="N33" s="2">
        <v>2037</v>
      </c>
      <c r="O33" s="2">
        <v>2038</v>
      </c>
      <c r="P33" s="2">
        <v>2039</v>
      </c>
      <c r="Q33" s="2">
        <v>2040</v>
      </c>
      <c r="R33" s="2">
        <v>2041</v>
      </c>
      <c r="S33" s="2">
        <v>2042</v>
      </c>
      <c r="T33" s="2">
        <v>2043</v>
      </c>
      <c r="U33" s="2">
        <v>2044</v>
      </c>
      <c r="V33" s="2">
        <v>2045</v>
      </c>
      <c r="W33" s="2">
        <v>2046</v>
      </c>
      <c r="X33" s="2">
        <v>2047</v>
      </c>
      <c r="Y33" s="2">
        <v>2048</v>
      </c>
      <c r="Z33" s="2">
        <v>2049</v>
      </c>
      <c r="AA33" s="2">
        <v>2050</v>
      </c>
      <c r="AB33" s="2">
        <v>2051</v>
      </c>
      <c r="AC33" s="2">
        <v>2052</v>
      </c>
      <c r="AD33" s="2">
        <v>2053</v>
      </c>
      <c r="AE33" s="2">
        <v>2054</v>
      </c>
      <c r="AF33" s="2">
        <v>2055</v>
      </c>
      <c r="AG33" s="2">
        <v>2056</v>
      </c>
      <c r="AH33" s="2">
        <v>2057</v>
      </c>
      <c r="AI33" s="2">
        <v>2058</v>
      </c>
      <c r="AJ33" s="2">
        <v>2059</v>
      </c>
      <c r="AK33" s="2">
        <v>2060</v>
      </c>
      <c r="AL33" s="2">
        <v>2061</v>
      </c>
      <c r="AM33" s="2">
        <v>2062</v>
      </c>
      <c r="AN33" s="2">
        <v>2063</v>
      </c>
      <c r="AO33" s="2">
        <v>2064</v>
      </c>
      <c r="AP33" s="2">
        <v>2065</v>
      </c>
      <c r="AQ33" s="2">
        <v>2066</v>
      </c>
      <c r="AR33" s="2">
        <v>2067</v>
      </c>
      <c r="AS33" s="2">
        <v>2068</v>
      </c>
      <c r="AT33" s="2">
        <v>2069</v>
      </c>
      <c r="AU33" s="2">
        <v>2070</v>
      </c>
      <c r="AV33" s="2">
        <v>2071</v>
      </c>
      <c r="AW33" s="2">
        <v>2072</v>
      </c>
      <c r="AX33" s="2">
        <v>2073</v>
      </c>
      <c r="AY33" s="2">
        <v>2074</v>
      </c>
    </row>
    <row r="34" spans="1:51" x14ac:dyDescent="0.2">
      <c r="A34" s="2" t="s">
        <v>249</v>
      </c>
      <c r="B34" s="26">
        <f>B8</f>
        <v>78158.823529411762</v>
      </c>
      <c r="C34" s="26">
        <f t="shared" ref="C34:AT34" si="8">B38+C8</f>
        <v>159085.25099999999</v>
      </c>
      <c r="D34" s="26">
        <f t="shared" si="8"/>
        <v>246015.03958085115</v>
      </c>
      <c r="E34" s="26">
        <f t="shared" si="8"/>
        <v>335982.58841307118</v>
      </c>
      <c r="F34" s="26">
        <f t="shared" si="8"/>
        <v>429073.37572788261</v>
      </c>
      <c r="G34" s="26">
        <f t="shared" si="8"/>
        <v>525375.1346457958</v>
      </c>
      <c r="H34" s="26">
        <f t="shared" si="8"/>
        <v>628393.87147984642</v>
      </c>
      <c r="I34" s="26">
        <f t="shared" si="8"/>
        <v>734927.00396347744</v>
      </c>
      <c r="J34" s="26">
        <f t="shared" si="8"/>
        <v>845072.79978561075</v>
      </c>
      <c r="K34" s="26">
        <f t="shared" si="8"/>
        <v>958932.1132860987</v>
      </c>
      <c r="L34" s="26">
        <f t="shared" si="8"/>
        <v>1080303.8926255307</v>
      </c>
      <c r="M34" s="26">
        <f t="shared" si="8"/>
        <v>1205729.7820213861</v>
      </c>
      <c r="N34" s="26">
        <f t="shared" si="8"/>
        <v>1335322.4969416326</v>
      </c>
      <c r="O34" s="26">
        <f t="shared" si="8"/>
        <v>1473155.9188059566</v>
      </c>
      <c r="P34" s="26">
        <f t="shared" si="8"/>
        <v>1615530.7166920234</v>
      </c>
      <c r="Q34" s="26">
        <f t="shared" si="8"/>
        <v>1762572.6772522675</v>
      </c>
      <c r="R34" s="26">
        <f t="shared" si="8"/>
        <v>1914410.8872808383</v>
      </c>
      <c r="S34" s="26">
        <f t="shared" si="8"/>
        <v>2071177.8186092309</v>
      </c>
      <c r="T34" s="26">
        <f t="shared" si="8"/>
        <v>2237334.2851968072</v>
      </c>
      <c r="U34" s="26">
        <f t="shared" si="8"/>
        <v>2408848.0659825411</v>
      </c>
      <c r="V34" s="26">
        <f t="shared" si="8"/>
        <v>2585866.6431040294</v>
      </c>
      <c r="W34" s="26">
        <f t="shared" si="8"/>
        <v>2768541.3597478233</v>
      </c>
      <c r="X34" s="26">
        <f t="shared" si="8"/>
        <v>2961706.2332036621</v>
      </c>
      <c r="Y34" s="26">
        <f t="shared" si="8"/>
        <v>3161007.5884690601</v>
      </c>
      <c r="Z34" s="26">
        <f t="shared" si="8"/>
        <v>3366613.6351705487</v>
      </c>
      <c r="AA34" s="26">
        <f t="shared" si="8"/>
        <v>3578696.979957507</v>
      </c>
      <c r="AB34" s="26">
        <f t="shared" si="8"/>
        <v>3797434.739458675</v>
      </c>
      <c r="AC34" s="26">
        <f t="shared" si="8"/>
        <v>4023008.656121172</v>
      </c>
      <c r="AD34" s="26">
        <f t="shared" si="8"/>
        <v>4255605.2170053916</v>
      </c>
      <c r="AE34" s="26">
        <f t="shared" si="8"/>
        <v>4495415.7756110011</v>
      </c>
      <c r="AF34" s="26">
        <f t="shared" si="8"/>
        <v>4742636.676811194</v>
      </c>
      <c r="AG34" s="26">
        <f t="shared" si="8"/>
        <v>4997469.3849743027</v>
      </c>
      <c r="AH34" s="26">
        <f t="shared" si="8"/>
        <v>5260120.6153538898</v>
      </c>
      <c r="AI34" s="26">
        <f t="shared" si="8"/>
        <v>5530802.4688304961</v>
      </c>
      <c r="AJ34" s="26">
        <f t="shared" si="8"/>
        <v>5809732.5700903479</v>
      </c>
      <c r="AK34" s="26">
        <f t="shared" si="8"/>
        <v>6102669.9057495557</v>
      </c>
      <c r="AL34" s="26">
        <f t="shared" si="8"/>
        <v>6404503.8994183959</v>
      </c>
      <c r="AM34" s="26">
        <f t="shared" si="8"/>
        <v>6715475.1463799989</v>
      </c>
      <c r="AN34" s="26">
        <f t="shared" si="8"/>
        <v>7035830.5007556695</v>
      </c>
      <c r="AO34" s="26">
        <f t="shared" si="8"/>
        <v>7365823.2359950878</v>
      </c>
      <c r="AP34" s="26">
        <f t="shared" si="8"/>
        <v>7705713.2094590925</v>
      </c>
      <c r="AQ34" s="26">
        <f t="shared" si="8"/>
        <v>8055767.0311991908</v>
      </c>
      <c r="AR34" s="26">
        <f t="shared" si="8"/>
        <v>8416258.237040583</v>
      </c>
      <c r="AS34" s="26">
        <f t="shared" si="8"/>
        <v>8787467.466078192</v>
      </c>
      <c r="AT34" s="26">
        <f t="shared" si="8"/>
        <v>9169682.6426979899</v>
      </c>
      <c r="AU34" s="26">
        <f t="shared" ref="AU34" si="9">AT38+AU8</f>
        <v>9563199.1632387638</v>
      </c>
      <c r="AV34" s="26">
        <f t="shared" ref="AV34" si="10">AU38+AV8</f>
        <v>9968320.087412376</v>
      </c>
      <c r="AW34" s="26">
        <f t="shared" ref="AW34" si="11">AV38+AW8</f>
        <v>10385356.334603596</v>
      </c>
      <c r="AX34" s="26">
        <f t="shared" ref="AX34" si="12">AW38+AX8</f>
        <v>10814626.885173649</v>
      </c>
      <c r="AY34" s="26">
        <f t="shared" ref="AY34" si="13">AX38+AY8</f>
        <v>11256458.986894762</v>
      </c>
    </row>
    <row r="35" spans="1:51" x14ac:dyDescent="0.2">
      <c r="A35" s="2" t="s">
        <v>245</v>
      </c>
      <c r="B35" s="17">
        <f>$B$26</f>
        <v>0.03</v>
      </c>
      <c r="C35" s="17">
        <f>$B$26</f>
        <v>0.03</v>
      </c>
      <c r="D35" s="17">
        <f t="shared" ref="D35:AY35" si="14">$B$26</f>
        <v>0.03</v>
      </c>
      <c r="E35" s="17">
        <f t="shared" si="14"/>
        <v>0.03</v>
      </c>
      <c r="F35" s="17">
        <f t="shared" si="14"/>
        <v>0.03</v>
      </c>
      <c r="G35" s="17">
        <f t="shared" si="14"/>
        <v>0.03</v>
      </c>
      <c r="H35" s="17">
        <f t="shared" si="14"/>
        <v>0.03</v>
      </c>
      <c r="I35" s="17">
        <f t="shared" si="14"/>
        <v>0.03</v>
      </c>
      <c r="J35" s="17">
        <f t="shared" si="14"/>
        <v>0.03</v>
      </c>
      <c r="K35" s="17">
        <f t="shared" si="14"/>
        <v>0.03</v>
      </c>
      <c r="L35" s="17">
        <f t="shared" si="14"/>
        <v>0.03</v>
      </c>
      <c r="M35" s="17">
        <f t="shared" si="14"/>
        <v>0.03</v>
      </c>
      <c r="N35" s="17">
        <f t="shared" si="14"/>
        <v>0.03</v>
      </c>
      <c r="O35" s="17">
        <f t="shared" si="14"/>
        <v>0.03</v>
      </c>
      <c r="P35" s="17">
        <f t="shared" si="14"/>
        <v>0.03</v>
      </c>
      <c r="Q35" s="17">
        <f t="shared" si="14"/>
        <v>0.03</v>
      </c>
      <c r="R35" s="17">
        <f t="shared" si="14"/>
        <v>0.03</v>
      </c>
      <c r="S35" s="17">
        <f t="shared" si="14"/>
        <v>0.03</v>
      </c>
      <c r="T35" s="17">
        <f t="shared" si="14"/>
        <v>0.03</v>
      </c>
      <c r="U35" s="17">
        <f t="shared" si="14"/>
        <v>0.03</v>
      </c>
      <c r="V35" s="17">
        <f t="shared" si="14"/>
        <v>0.03</v>
      </c>
      <c r="W35" s="17">
        <f t="shared" si="14"/>
        <v>0.03</v>
      </c>
      <c r="X35" s="17">
        <f t="shared" si="14"/>
        <v>0.03</v>
      </c>
      <c r="Y35" s="17">
        <f t="shared" si="14"/>
        <v>0.03</v>
      </c>
      <c r="Z35" s="17">
        <f t="shared" si="14"/>
        <v>0.03</v>
      </c>
      <c r="AA35" s="17">
        <f t="shared" si="14"/>
        <v>0.03</v>
      </c>
      <c r="AB35" s="17">
        <f t="shared" si="14"/>
        <v>0.03</v>
      </c>
      <c r="AC35" s="17">
        <f t="shared" si="14"/>
        <v>0.03</v>
      </c>
      <c r="AD35" s="17">
        <f t="shared" si="14"/>
        <v>0.03</v>
      </c>
      <c r="AE35" s="17">
        <f t="shared" si="14"/>
        <v>0.03</v>
      </c>
      <c r="AF35" s="17">
        <f t="shared" si="14"/>
        <v>0.03</v>
      </c>
      <c r="AG35" s="17">
        <f t="shared" si="14"/>
        <v>0.03</v>
      </c>
      <c r="AH35" s="17">
        <f t="shared" si="14"/>
        <v>0.03</v>
      </c>
      <c r="AI35" s="17">
        <f t="shared" si="14"/>
        <v>0.03</v>
      </c>
      <c r="AJ35" s="17">
        <f t="shared" si="14"/>
        <v>0.03</v>
      </c>
      <c r="AK35" s="17">
        <f t="shared" si="14"/>
        <v>0.03</v>
      </c>
      <c r="AL35" s="17">
        <f t="shared" si="14"/>
        <v>0.03</v>
      </c>
      <c r="AM35" s="17">
        <f t="shared" si="14"/>
        <v>0.03</v>
      </c>
      <c r="AN35" s="17">
        <f t="shared" si="14"/>
        <v>0.03</v>
      </c>
      <c r="AO35" s="17">
        <f t="shared" si="14"/>
        <v>0.03</v>
      </c>
      <c r="AP35" s="17">
        <f t="shared" si="14"/>
        <v>0.03</v>
      </c>
      <c r="AQ35" s="17">
        <f t="shared" si="14"/>
        <v>0.03</v>
      </c>
      <c r="AR35" s="17">
        <f t="shared" si="14"/>
        <v>0.03</v>
      </c>
      <c r="AS35" s="17">
        <f t="shared" si="14"/>
        <v>0.03</v>
      </c>
      <c r="AT35" s="17">
        <f t="shared" si="14"/>
        <v>0.03</v>
      </c>
      <c r="AU35" s="17">
        <f t="shared" si="14"/>
        <v>0.03</v>
      </c>
      <c r="AV35" s="17">
        <f t="shared" si="14"/>
        <v>0.03</v>
      </c>
      <c r="AW35" s="17">
        <f t="shared" si="14"/>
        <v>0.03</v>
      </c>
      <c r="AX35" s="17">
        <f t="shared" si="14"/>
        <v>0.03</v>
      </c>
      <c r="AY35" s="17">
        <f t="shared" si="14"/>
        <v>0.03</v>
      </c>
    </row>
    <row r="36" spans="1:51" x14ac:dyDescent="0.2">
      <c r="A36" s="2" t="s">
        <v>247</v>
      </c>
      <c r="B36" s="26">
        <f>B35*B34</f>
        <v>2344.7647058823527</v>
      </c>
      <c r="C36" s="26">
        <f>C35*C34</f>
        <v>4772.5575299999991</v>
      </c>
      <c r="D36" s="26">
        <f>D35*D34</f>
        <v>7380.451187425534</v>
      </c>
      <c r="E36" s="26">
        <f t="shared" ref="E36:AT36" si="15">E35*E34</f>
        <v>10079.477652392135</v>
      </c>
      <c r="F36" s="26">
        <f t="shared" si="15"/>
        <v>12872.201271836479</v>
      </c>
      <c r="G36" s="26">
        <f t="shared" si="15"/>
        <v>15761.254039373873</v>
      </c>
      <c r="H36" s="26">
        <f t="shared" si="15"/>
        <v>18851.81614439539</v>
      </c>
      <c r="I36" s="26">
        <f t="shared" si="15"/>
        <v>22047.810118904323</v>
      </c>
      <c r="J36" s="26">
        <f t="shared" si="15"/>
        <v>25352.18399356832</v>
      </c>
      <c r="K36" s="26">
        <f t="shared" si="15"/>
        <v>28767.963398582961</v>
      </c>
      <c r="L36" s="26">
        <f t="shared" si="15"/>
        <v>32409.116778765921</v>
      </c>
      <c r="M36" s="26">
        <f t="shared" si="15"/>
        <v>36171.893460641579</v>
      </c>
      <c r="N36" s="26">
        <f t="shared" si="15"/>
        <v>40059.674908248977</v>
      </c>
      <c r="O36" s="26">
        <f t="shared" si="15"/>
        <v>44194.677564178695</v>
      </c>
      <c r="P36" s="26">
        <f t="shared" si="15"/>
        <v>48465.921500760698</v>
      </c>
      <c r="Q36" s="26">
        <f t="shared" si="15"/>
        <v>52877.180317568025</v>
      </c>
      <c r="R36" s="26">
        <f t="shared" si="15"/>
        <v>57432.326618425148</v>
      </c>
      <c r="S36" s="26">
        <f t="shared" si="15"/>
        <v>62135.334558276925</v>
      </c>
      <c r="T36" s="26">
        <f t="shared" si="15"/>
        <v>67120.028555904209</v>
      </c>
      <c r="U36" s="26">
        <f t="shared" si="15"/>
        <v>72265.441979476236</v>
      </c>
      <c r="V36" s="26">
        <f t="shared" si="15"/>
        <v>77575.999293120884</v>
      </c>
      <c r="W36" s="26">
        <f t="shared" si="15"/>
        <v>83056.240792434692</v>
      </c>
      <c r="X36" s="26">
        <f t="shared" si="15"/>
        <v>88851.186996109856</v>
      </c>
      <c r="Y36" s="26">
        <f t="shared" si="15"/>
        <v>94830.227654071801</v>
      </c>
      <c r="Z36" s="26">
        <f t="shared" si="15"/>
        <v>100998.40905511646</v>
      </c>
      <c r="AA36" s="26">
        <f t="shared" si="15"/>
        <v>107360.90939872521</v>
      </c>
      <c r="AB36" s="26">
        <f t="shared" si="15"/>
        <v>113923.04218376025</v>
      </c>
      <c r="AC36" s="26">
        <f t="shared" si="15"/>
        <v>120690.25968363516</v>
      </c>
      <c r="AD36" s="26">
        <f t="shared" si="15"/>
        <v>127668.15651016175</v>
      </c>
      <c r="AE36" s="26">
        <f t="shared" si="15"/>
        <v>134862.47326833004</v>
      </c>
      <c r="AF36" s="26">
        <f t="shared" si="15"/>
        <v>142279.10030433582</v>
      </c>
      <c r="AG36" s="26">
        <f t="shared" si="15"/>
        <v>149924.08154922907</v>
      </c>
      <c r="AH36" s="26">
        <f t="shared" si="15"/>
        <v>157803.61846061668</v>
      </c>
      <c r="AI36" s="26">
        <f t="shared" si="15"/>
        <v>165924.07406491486</v>
      </c>
      <c r="AJ36" s="26">
        <f t="shared" si="15"/>
        <v>174291.97710271043</v>
      </c>
      <c r="AK36" s="26">
        <f t="shared" si="15"/>
        <v>183080.09717248665</v>
      </c>
      <c r="AL36" s="26">
        <f t="shared" si="15"/>
        <v>192135.11698255187</v>
      </c>
      <c r="AM36" s="26">
        <f t="shared" si="15"/>
        <v>201464.25439139997</v>
      </c>
      <c r="AN36" s="26">
        <f t="shared" si="15"/>
        <v>211074.91502267009</v>
      </c>
      <c r="AO36" s="26">
        <f t="shared" si="15"/>
        <v>220974.69707985263</v>
      </c>
      <c r="AP36" s="26">
        <f t="shared" si="15"/>
        <v>231171.39628377277</v>
      </c>
      <c r="AQ36" s="26">
        <f t="shared" si="15"/>
        <v>241673.0109359757</v>
      </c>
      <c r="AR36" s="26">
        <f t="shared" si="15"/>
        <v>252487.74711121747</v>
      </c>
      <c r="AS36" s="26">
        <f t="shared" si="15"/>
        <v>263624.02398234577</v>
      </c>
      <c r="AT36" s="26">
        <f t="shared" si="15"/>
        <v>275090.47928093967</v>
      </c>
      <c r="AU36" s="26">
        <f t="shared" ref="AU36:AY36" si="16">AU35*AU34</f>
        <v>286895.97489716293</v>
      </c>
      <c r="AV36" s="26">
        <f t="shared" si="16"/>
        <v>299049.60262237128</v>
      </c>
      <c r="AW36" s="26">
        <f t="shared" si="16"/>
        <v>311560.69003810786</v>
      </c>
      <c r="AX36" s="26">
        <f t="shared" si="16"/>
        <v>324438.80655520945</v>
      </c>
      <c r="AY36" s="26">
        <f t="shared" si="16"/>
        <v>337693.76960684283</v>
      </c>
    </row>
    <row r="37" spans="1:51" x14ac:dyDescent="0.2">
      <c r="A37" s="2" t="s">
        <v>215</v>
      </c>
      <c r="B37" s="26">
        <f>B36*$B$27</f>
        <v>358.74899999999997</v>
      </c>
      <c r="C37" s="26">
        <f>C36*$B$27</f>
        <v>730.2013020899999</v>
      </c>
      <c r="D37" s="26">
        <f t="shared" ref="D37:AT37" si="17">D36*$B$27</f>
        <v>1129.2090316761066</v>
      </c>
      <c r="E37" s="26">
        <f t="shared" si="17"/>
        <v>1542.1600808159967</v>
      </c>
      <c r="F37" s="26">
        <f t="shared" si="17"/>
        <v>1969.4467945909812</v>
      </c>
      <c r="G37" s="26">
        <f t="shared" si="17"/>
        <v>2411.4718680242026</v>
      </c>
      <c r="H37" s="26">
        <f t="shared" si="17"/>
        <v>2884.3278700924948</v>
      </c>
      <c r="I37" s="26">
        <f t="shared" si="17"/>
        <v>3373.3149481923615</v>
      </c>
      <c r="J37" s="26">
        <f t="shared" si="17"/>
        <v>3878.8841510159527</v>
      </c>
      <c r="K37" s="26">
        <f t="shared" si="17"/>
        <v>4401.4983999831929</v>
      </c>
      <c r="L37" s="26">
        <f t="shared" si="17"/>
        <v>4958.594867151186</v>
      </c>
      <c r="M37" s="26">
        <f t="shared" si="17"/>
        <v>5534.2996994781615</v>
      </c>
      <c r="N37" s="26">
        <f t="shared" si="17"/>
        <v>6129.1302609620934</v>
      </c>
      <c r="O37" s="26">
        <f t="shared" si="17"/>
        <v>6761.7856673193401</v>
      </c>
      <c r="P37" s="26">
        <f t="shared" si="17"/>
        <v>7415.2859896163864</v>
      </c>
      <c r="Q37" s="26">
        <f t="shared" si="17"/>
        <v>8090.2085885879078</v>
      </c>
      <c r="R37" s="26">
        <f t="shared" si="17"/>
        <v>8787.1459726190478</v>
      </c>
      <c r="S37" s="26">
        <f t="shared" si="17"/>
        <v>9506.7061874163701</v>
      </c>
      <c r="T37" s="26">
        <f t="shared" si="17"/>
        <v>10269.364369053344</v>
      </c>
      <c r="U37" s="26">
        <f t="shared" si="17"/>
        <v>11056.612622859864</v>
      </c>
      <c r="V37" s="26">
        <f t="shared" si="17"/>
        <v>11869.127891847495</v>
      </c>
      <c r="W37" s="26">
        <f t="shared" si="17"/>
        <v>12707.604841242508</v>
      </c>
      <c r="X37" s="26">
        <f t="shared" si="17"/>
        <v>13594.231610404808</v>
      </c>
      <c r="Y37" s="26">
        <f t="shared" si="17"/>
        <v>14509.024831072986</v>
      </c>
      <c r="Z37" s="26">
        <f t="shared" si="17"/>
        <v>15452.756585432817</v>
      </c>
      <c r="AA37" s="26">
        <f t="shared" si="17"/>
        <v>16426.219138004959</v>
      </c>
      <c r="AB37" s="26">
        <f t="shared" si="17"/>
        <v>17430.225454115316</v>
      </c>
      <c r="AC37" s="26">
        <f t="shared" si="17"/>
        <v>18465.609731596178</v>
      </c>
      <c r="AD37" s="26">
        <f t="shared" si="17"/>
        <v>19533.227946054747</v>
      </c>
      <c r="AE37" s="26">
        <f t="shared" si="17"/>
        <v>20633.958410054496</v>
      </c>
      <c r="AF37" s="26">
        <f t="shared" si="17"/>
        <v>21768.702346563379</v>
      </c>
      <c r="AG37" s="26">
        <f t="shared" si="17"/>
        <v>22938.384477032047</v>
      </c>
      <c r="AH37" s="26">
        <f t="shared" si="17"/>
        <v>24143.95362447435</v>
      </c>
      <c r="AI37" s="26">
        <f t="shared" si="17"/>
        <v>25386.383331931975</v>
      </c>
      <c r="AJ37" s="26">
        <f t="shared" si="17"/>
        <v>26666.672496714695</v>
      </c>
      <c r="AK37" s="26">
        <f t="shared" si="17"/>
        <v>28011.254867390457</v>
      </c>
      <c r="AL37" s="26">
        <f t="shared" si="17"/>
        <v>29396.672898330435</v>
      </c>
      <c r="AM37" s="26">
        <f t="shared" si="17"/>
        <v>30824.030921884194</v>
      </c>
      <c r="AN37" s="26">
        <f t="shared" si="17"/>
        <v>32294.461998468523</v>
      </c>
      <c r="AO37" s="26">
        <f t="shared" si="17"/>
        <v>33809.128653217449</v>
      </c>
      <c r="AP37" s="26">
        <f t="shared" si="17"/>
        <v>35369.223631417233</v>
      </c>
      <c r="AQ37" s="26">
        <f t="shared" si="17"/>
        <v>36975.970673204283</v>
      </c>
      <c r="AR37" s="26">
        <f t="shared" si="17"/>
        <v>38630.625308016271</v>
      </c>
      <c r="AS37" s="26">
        <f t="shared" si="17"/>
        <v>40334.475669298903</v>
      </c>
      <c r="AT37" s="26">
        <f t="shared" si="17"/>
        <v>42088.843329983771</v>
      </c>
      <c r="AU37" s="26">
        <f t="shared" ref="AU37:AY37" si="18">AU36*$B$27</f>
        <v>43895.084159265927</v>
      </c>
      <c r="AV37" s="26">
        <f t="shared" si="18"/>
        <v>45754.589201222807</v>
      </c>
      <c r="AW37" s="26">
        <f t="shared" si="18"/>
        <v>47668.785575830501</v>
      </c>
      <c r="AX37" s="26">
        <f t="shared" si="18"/>
        <v>49639.137402947046</v>
      </c>
      <c r="AY37" s="26">
        <f t="shared" si="18"/>
        <v>51667.14674984695</v>
      </c>
    </row>
    <row r="38" spans="1:51" s="18" customFormat="1" x14ac:dyDescent="0.2">
      <c r="A38" s="18" t="s">
        <v>248</v>
      </c>
      <c r="B38" s="27">
        <f>B34+(B36-B37)</f>
        <v>80144.839235294115</v>
      </c>
      <c r="C38" s="27">
        <f>C34+(C36-C37)</f>
        <v>163127.60722790999</v>
      </c>
      <c r="D38" s="27">
        <f t="shared" ref="D38:AS38" si="19">D34+(D36-D37)</f>
        <v>252266.28173660059</v>
      </c>
      <c r="E38" s="27">
        <f t="shared" si="19"/>
        <v>344519.90598464734</v>
      </c>
      <c r="F38" s="27">
        <f t="shared" si="19"/>
        <v>439976.13020512811</v>
      </c>
      <c r="G38" s="27">
        <f t="shared" si="19"/>
        <v>538724.91681714542</v>
      </c>
      <c r="H38" s="27">
        <f t="shared" si="19"/>
        <v>644361.35975414934</v>
      </c>
      <c r="I38" s="27">
        <f t="shared" si="19"/>
        <v>753601.49913418945</v>
      </c>
      <c r="J38" s="27">
        <f t="shared" si="19"/>
        <v>866546.09962816315</v>
      </c>
      <c r="K38" s="27">
        <f t="shared" si="19"/>
        <v>983298.57828469842</v>
      </c>
      <c r="L38" s="27">
        <f t="shared" si="19"/>
        <v>1107754.4145371455</v>
      </c>
      <c r="M38" s="27">
        <f t="shared" si="19"/>
        <v>1236367.3757825496</v>
      </c>
      <c r="N38" s="27">
        <f t="shared" si="19"/>
        <v>1369253.0415889195</v>
      </c>
      <c r="O38" s="27">
        <f t="shared" si="19"/>
        <v>1510588.8107028159</v>
      </c>
      <c r="P38" s="27">
        <f t="shared" si="19"/>
        <v>1656581.3522031677</v>
      </c>
      <c r="Q38" s="27">
        <f t="shared" si="19"/>
        <v>1807359.6489812476</v>
      </c>
      <c r="R38" s="27">
        <f t="shared" si="19"/>
        <v>1963056.0679266443</v>
      </c>
      <c r="S38" s="27">
        <f t="shared" si="19"/>
        <v>2123806.4469800913</v>
      </c>
      <c r="T38" s="27">
        <f t="shared" si="19"/>
        <v>2294184.9493836579</v>
      </c>
      <c r="U38" s="27">
        <f t="shared" si="19"/>
        <v>2470056.8953391574</v>
      </c>
      <c r="V38" s="27">
        <f t="shared" si="19"/>
        <v>2651573.5145053025</v>
      </c>
      <c r="W38" s="27">
        <f t="shared" si="19"/>
        <v>2838889.9956990154</v>
      </c>
      <c r="X38" s="27">
        <f t="shared" si="19"/>
        <v>3036963.1885893671</v>
      </c>
      <c r="Y38" s="27">
        <f t="shared" si="19"/>
        <v>3241328.7912920588</v>
      </c>
      <c r="Z38" s="27">
        <f t="shared" si="19"/>
        <v>3452159.2876402321</v>
      </c>
      <c r="AA38" s="27">
        <f t="shared" si="19"/>
        <v>3669631.6702182274</v>
      </c>
      <c r="AB38" s="27">
        <f t="shared" si="19"/>
        <v>3893927.5561883198</v>
      </c>
      <c r="AC38" s="27">
        <f t="shared" si="19"/>
        <v>4125233.3060732111</v>
      </c>
      <c r="AD38" s="27">
        <f t="shared" si="19"/>
        <v>4363740.1455694987</v>
      </c>
      <c r="AE38" s="27">
        <f t="shared" si="19"/>
        <v>4609644.2904692767</v>
      </c>
      <c r="AF38" s="27">
        <f t="shared" si="19"/>
        <v>4863147.0747689661</v>
      </c>
      <c r="AG38" s="27">
        <f t="shared" si="19"/>
        <v>5124455.0820464995</v>
      </c>
      <c r="AH38" s="27">
        <f t="shared" si="19"/>
        <v>5393780.280190032</v>
      </c>
      <c r="AI38" s="27">
        <f t="shared" si="19"/>
        <v>5671340.159563479</v>
      </c>
      <c r="AJ38" s="27">
        <f t="shared" si="19"/>
        <v>5957357.8746963432</v>
      </c>
      <c r="AK38" s="27">
        <f t="shared" si="19"/>
        <v>6257738.7480546515</v>
      </c>
      <c r="AL38" s="27">
        <f t="shared" si="19"/>
        <v>6567242.3435026174</v>
      </c>
      <c r="AM38" s="27">
        <f t="shared" si="19"/>
        <v>6886115.3698495142</v>
      </c>
      <c r="AN38" s="27">
        <f t="shared" si="19"/>
        <v>7214610.9537798706</v>
      </c>
      <c r="AO38" s="27">
        <f t="shared" si="19"/>
        <v>7552988.8044217229</v>
      </c>
      <c r="AP38" s="27">
        <f t="shared" si="19"/>
        <v>7901515.3821114479</v>
      </c>
      <c r="AQ38" s="27">
        <f t="shared" si="19"/>
        <v>8260464.0714619625</v>
      </c>
      <c r="AR38" s="27">
        <f t="shared" si="19"/>
        <v>8630115.3588437848</v>
      </c>
      <c r="AS38" s="27">
        <f t="shared" si="19"/>
        <v>9010757.0143912397</v>
      </c>
      <c r="AT38" s="27">
        <f>AT34+(AT36-AT37)</f>
        <v>9402684.2786489464</v>
      </c>
      <c r="AU38" s="27">
        <f t="shared" ref="AU38:AY38" si="20">AU34+(AU36-AU37)</f>
        <v>9806200.0539766606</v>
      </c>
      <c r="AV38" s="27">
        <f t="shared" si="20"/>
        <v>10221615.100833524</v>
      </c>
      <c r="AW38" s="27">
        <f t="shared" si="20"/>
        <v>10649248.239065874</v>
      </c>
      <c r="AX38" s="27">
        <f t="shared" si="20"/>
        <v>11089426.55432591</v>
      </c>
      <c r="AY38" s="27">
        <f t="shared" si="20"/>
        <v>11542485.609751757</v>
      </c>
    </row>
    <row r="40" spans="1:51" x14ac:dyDescent="0.2">
      <c r="A40" s="2" t="s">
        <v>250</v>
      </c>
      <c r="B40" s="26">
        <f>AT38</f>
        <v>9402684.2786489464</v>
      </c>
    </row>
    <row r="42" spans="1:51" x14ac:dyDescent="0.2">
      <c r="A42" s="2" t="s">
        <v>251</v>
      </c>
      <c r="B42" s="54" t="s">
        <v>252</v>
      </c>
    </row>
    <row r="43" spans="1:51" x14ac:dyDescent="0.2">
      <c r="A43" s="2" t="s">
        <v>253</v>
      </c>
      <c r="B43" s="2">
        <f>'Net Salary P1'!B14*3</f>
        <v>3564</v>
      </c>
      <c r="C43" s="26">
        <f t="shared" ref="C43:AT43" si="21">B47+$B$43</f>
        <v>7218.56124</v>
      </c>
      <c r="D43" s="26">
        <f t="shared" si="21"/>
        <v>10965.984881108401</v>
      </c>
      <c r="E43" s="26">
        <f t="shared" si="21"/>
        <v>14808.630556937365</v>
      </c>
      <c r="F43" s="26">
        <f t="shared" si="21"/>
        <v>18748.917859389141</v>
      </c>
      <c r="G43" s="26">
        <f t="shared" si="21"/>
        <v>22789.32786219622</v>
      </c>
      <c r="H43" s="26">
        <f t="shared" si="21"/>
        <v>26932.404683174627</v>
      </c>
      <c r="I43" s="26">
        <f t="shared" si="21"/>
        <v>31180.757086174093</v>
      </c>
      <c r="J43" s="26">
        <f t="shared" si="21"/>
        <v>35537.060123733776</v>
      </c>
      <c r="K43" s="26">
        <f t="shared" si="21"/>
        <v>40004.056821477854</v>
      </c>
      <c r="L43" s="26">
        <f t="shared" si="21"/>
        <v>44584.559905311609</v>
      </c>
      <c r="M43" s="26">
        <f t="shared" si="21"/>
        <v>49281.453572505576</v>
      </c>
      <c r="N43" s="26">
        <f t="shared" si="21"/>
        <v>54097.695307782946</v>
      </c>
      <c r="O43" s="26">
        <f t="shared" si="21"/>
        <v>59036.317745553708</v>
      </c>
      <c r="P43" s="26">
        <f t="shared" si="21"/>
        <v>64100.43057946823</v>
      </c>
      <c r="Q43" s="26">
        <f t="shared" si="21"/>
        <v>69293.22252049252</v>
      </c>
      <c r="R43" s="26">
        <f t="shared" si="21"/>
        <v>74617.963304738238</v>
      </c>
      <c r="S43" s="26">
        <f t="shared" si="21"/>
        <v>80078.005752311641</v>
      </c>
      <c r="T43" s="26">
        <f t="shared" si="21"/>
        <v>85676.787878477873</v>
      </c>
      <c r="U43" s="26">
        <f t="shared" si="21"/>
        <v>91417.835058469995</v>
      </c>
      <c r="V43" s="26">
        <f t="shared" si="21"/>
        <v>97304.762247305713</v>
      </c>
      <c r="W43" s="26">
        <f t="shared" si="21"/>
        <v>103341.27625600975</v>
      </c>
      <c r="X43" s="26">
        <f t="shared" si="21"/>
        <v>109531.17808567495</v>
      </c>
      <c r="Y43" s="26">
        <f t="shared" si="21"/>
        <v>115878.36532083196</v>
      </c>
      <c r="Z43" s="26">
        <f t="shared" si="21"/>
        <v>122386.83458363429</v>
      </c>
      <c r="AA43" s="26">
        <f t="shared" si="21"/>
        <v>129060.68405040444</v>
      </c>
      <c r="AB43" s="26">
        <f t="shared" si="21"/>
        <v>135904.11603212522</v>
      </c>
      <c r="AC43" s="26">
        <f t="shared" si="21"/>
        <v>142921.43962050154</v>
      </c>
      <c r="AD43" s="26">
        <f t="shared" si="21"/>
        <v>150117.07340125847</v>
      </c>
      <c r="AE43" s="26">
        <f t="shared" si="21"/>
        <v>157495.54823638446</v>
      </c>
      <c r="AF43" s="26">
        <f t="shared" si="21"/>
        <v>165061.51011707098</v>
      </c>
      <c r="AG43" s="26">
        <f t="shared" si="21"/>
        <v>172819.72308914576</v>
      </c>
      <c r="AH43" s="26">
        <f t="shared" si="21"/>
        <v>180775.07225284094</v>
      </c>
      <c r="AI43" s="26">
        <f t="shared" si="21"/>
        <v>188932.56683878563</v>
      </c>
      <c r="AJ43" s="26">
        <f t="shared" si="21"/>
        <v>197297.34336215918</v>
      </c>
      <c r="AK43" s="26">
        <f t="shared" si="21"/>
        <v>205874.66885699166</v>
      </c>
      <c r="AL43" s="26">
        <f t="shared" si="21"/>
        <v>214669.94419264782</v>
      </c>
      <c r="AM43" s="26">
        <f t="shared" si="21"/>
        <v>223688.707474583</v>
      </c>
      <c r="AN43" s="26">
        <f t="shared" si="21"/>
        <v>232936.63753151215</v>
      </c>
      <c r="AO43" s="26">
        <f t="shared" si="21"/>
        <v>242419.55749118788</v>
      </c>
      <c r="AP43" s="26">
        <f t="shared" si="21"/>
        <v>252143.43844703896</v>
      </c>
      <c r="AQ43" s="26">
        <f t="shared" si="21"/>
        <v>262114.40321797822</v>
      </c>
      <c r="AR43" s="26">
        <f t="shared" si="21"/>
        <v>272338.73020374705</v>
      </c>
      <c r="AS43" s="26">
        <f t="shared" si="21"/>
        <v>282822.85733822425</v>
      </c>
      <c r="AT43" s="26">
        <f t="shared" si="21"/>
        <v>293573.38614318852</v>
      </c>
      <c r="AU43" s="26">
        <f t="shared" ref="AU43" si="22">AT47+$B$43</f>
        <v>304597.08588508691</v>
      </c>
      <c r="AV43" s="26">
        <f t="shared" ref="AV43" si="23">AU47+$B$43</f>
        <v>315900.89783742698</v>
      </c>
      <c r="AW43" s="26">
        <f t="shared" ref="AW43" si="24">AV47+$B$43</f>
        <v>327491.93965147599</v>
      </c>
      <c r="AX43" s="26">
        <f t="shared" ref="AX43" si="25">AW47+$B$43</f>
        <v>339377.50983801996</v>
      </c>
      <c r="AY43" s="26">
        <f t="shared" ref="AY43" si="26">AX47+$B$43</f>
        <v>351565.09236300405</v>
      </c>
    </row>
    <row r="44" spans="1:51" x14ac:dyDescent="0.2">
      <c r="A44" s="2" t="s">
        <v>257</v>
      </c>
      <c r="B44" s="17">
        <f>$B$26</f>
        <v>0.03</v>
      </c>
      <c r="C44" s="17">
        <f>$B$26</f>
        <v>0.03</v>
      </c>
      <c r="D44" s="17">
        <f t="shared" ref="D44:AS44" si="27">$B$26</f>
        <v>0.03</v>
      </c>
      <c r="E44" s="17">
        <f t="shared" si="27"/>
        <v>0.03</v>
      </c>
      <c r="F44" s="17">
        <f t="shared" si="27"/>
        <v>0.03</v>
      </c>
      <c r="G44" s="17">
        <f t="shared" si="27"/>
        <v>0.03</v>
      </c>
      <c r="H44" s="17">
        <f t="shared" si="27"/>
        <v>0.03</v>
      </c>
      <c r="I44" s="17">
        <f t="shared" si="27"/>
        <v>0.03</v>
      </c>
      <c r="J44" s="17">
        <f t="shared" si="27"/>
        <v>0.03</v>
      </c>
      <c r="K44" s="17">
        <f t="shared" si="27"/>
        <v>0.03</v>
      </c>
      <c r="L44" s="17">
        <f t="shared" si="27"/>
        <v>0.03</v>
      </c>
      <c r="M44" s="17">
        <f t="shared" si="27"/>
        <v>0.03</v>
      </c>
      <c r="N44" s="17">
        <f t="shared" si="27"/>
        <v>0.03</v>
      </c>
      <c r="O44" s="17">
        <f t="shared" si="27"/>
        <v>0.03</v>
      </c>
      <c r="P44" s="17">
        <f t="shared" si="27"/>
        <v>0.03</v>
      </c>
      <c r="Q44" s="17">
        <f t="shared" si="27"/>
        <v>0.03</v>
      </c>
      <c r="R44" s="17">
        <f t="shared" si="27"/>
        <v>0.03</v>
      </c>
      <c r="S44" s="17">
        <f t="shared" si="27"/>
        <v>0.03</v>
      </c>
      <c r="T44" s="17">
        <f t="shared" si="27"/>
        <v>0.03</v>
      </c>
      <c r="U44" s="17">
        <f t="shared" si="27"/>
        <v>0.03</v>
      </c>
      <c r="V44" s="17">
        <f t="shared" si="27"/>
        <v>0.03</v>
      </c>
      <c r="W44" s="17">
        <f t="shared" si="27"/>
        <v>0.03</v>
      </c>
      <c r="X44" s="17">
        <f t="shared" si="27"/>
        <v>0.03</v>
      </c>
      <c r="Y44" s="17">
        <f t="shared" si="27"/>
        <v>0.03</v>
      </c>
      <c r="Z44" s="17">
        <f t="shared" si="27"/>
        <v>0.03</v>
      </c>
      <c r="AA44" s="17">
        <f t="shared" si="27"/>
        <v>0.03</v>
      </c>
      <c r="AB44" s="17">
        <f t="shared" si="27"/>
        <v>0.03</v>
      </c>
      <c r="AC44" s="17">
        <f t="shared" si="27"/>
        <v>0.03</v>
      </c>
      <c r="AD44" s="17">
        <f t="shared" si="27"/>
        <v>0.03</v>
      </c>
      <c r="AE44" s="17">
        <f t="shared" si="27"/>
        <v>0.03</v>
      </c>
      <c r="AF44" s="17">
        <f t="shared" si="27"/>
        <v>0.03</v>
      </c>
      <c r="AG44" s="17">
        <f t="shared" si="27"/>
        <v>0.03</v>
      </c>
      <c r="AH44" s="17">
        <f t="shared" si="27"/>
        <v>0.03</v>
      </c>
      <c r="AI44" s="17">
        <f t="shared" si="27"/>
        <v>0.03</v>
      </c>
      <c r="AJ44" s="17">
        <f t="shared" si="27"/>
        <v>0.03</v>
      </c>
      <c r="AK44" s="17">
        <f t="shared" si="27"/>
        <v>0.03</v>
      </c>
      <c r="AL44" s="17">
        <f t="shared" si="27"/>
        <v>0.03</v>
      </c>
      <c r="AM44" s="17">
        <f t="shared" si="27"/>
        <v>0.03</v>
      </c>
      <c r="AN44" s="17">
        <f t="shared" si="27"/>
        <v>0.03</v>
      </c>
      <c r="AO44" s="17">
        <f t="shared" si="27"/>
        <v>0.03</v>
      </c>
      <c r="AP44" s="17">
        <f t="shared" si="27"/>
        <v>0.03</v>
      </c>
      <c r="AQ44" s="17">
        <f t="shared" si="27"/>
        <v>0.03</v>
      </c>
      <c r="AR44" s="17">
        <f t="shared" si="27"/>
        <v>0.03</v>
      </c>
      <c r="AS44" s="17">
        <f t="shared" si="27"/>
        <v>0.03</v>
      </c>
      <c r="AT44" s="17">
        <f>$B$26</f>
        <v>0.03</v>
      </c>
      <c r="AU44" s="17">
        <f t="shared" ref="AU44:AY44" si="28">$B$26</f>
        <v>0.03</v>
      </c>
      <c r="AV44" s="17">
        <f t="shared" si="28"/>
        <v>0.03</v>
      </c>
      <c r="AW44" s="17">
        <f t="shared" si="28"/>
        <v>0.03</v>
      </c>
      <c r="AX44" s="17">
        <f t="shared" si="28"/>
        <v>0.03</v>
      </c>
      <c r="AY44" s="17">
        <f t="shared" si="28"/>
        <v>0.03</v>
      </c>
    </row>
    <row r="45" spans="1:51" x14ac:dyDescent="0.2">
      <c r="A45" s="2" t="s">
        <v>244</v>
      </c>
      <c r="B45" s="26">
        <f>B44*B43</f>
        <v>106.92</v>
      </c>
      <c r="C45" s="26">
        <f>C44*C43</f>
        <v>216.55683719999999</v>
      </c>
      <c r="D45" s="26">
        <f t="shared" ref="D45:AS45" si="29">D44*D43</f>
        <v>328.97954643325204</v>
      </c>
      <c r="E45" s="26">
        <f t="shared" si="29"/>
        <v>444.25891670812092</v>
      </c>
      <c r="F45" s="26">
        <f t="shared" si="29"/>
        <v>562.4675357816742</v>
      </c>
      <c r="G45" s="26">
        <f t="shared" si="29"/>
        <v>683.67983586588662</v>
      </c>
      <c r="H45" s="26">
        <f t="shared" si="29"/>
        <v>807.97214049523882</v>
      </c>
      <c r="I45" s="26">
        <f t="shared" si="29"/>
        <v>935.42271258522271</v>
      </c>
      <c r="J45" s="26">
        <f t="shared" si="29"/>
        <v>1066.1118037120132</v>
      </c>
      <c r="K45" s="26">
        <f t="shared" si="29"/>
        <v>1200.1217046443355</v>
      </c>
      <c r="L45" s="26">
        <f t="shared" si="29"/>
        <v>1337.5367971593482</v>
      </c>
      <c r="M45" s="26">
        <f t="shared" si="29"/>
        <v>1478.4436071751672</v>
      </c>
      <c r="N45" s="26">
        <f t="shared" si="29"/>
        <v>1622.9308592334883</v>
      </c>
      <c r="O45" s="26">
        <f t="shared" si="29"/>
        <v>1771.0895323666111</v>
      </c>
      <c r="P45" s="26">
        <f t="shared" si="29"/>
        <v>1923.0129173840469</v>
      </c>
      <c r="Q45" s="26">
        <f t="shared" si="29"/>
        <v>2078.7966756147757</v>
      </c>
      <c r="R45" s="26">
        <f t="shared" si="29"/>
        <v>2238.5388991421469</v>
      </c>
      <c r="S45" s="26">
        <f t="shared" si="29"/>
        <v>2402.3401725693493</v>
      </c>
      <c r="T45" s="26">
        <f t="shared" si="29"/>
        <v>2570.303636354336</v>
      </c>
      <c r="U45" s="26">
        <f t="shared" si="29"/>
        <v>2742.5350517540996</v>
      </c>
      <c r="V45" s="26">
        <f t="shared" si="29"/>
        <v>2919.1428674191711</v>
      </c>
      <c r="W45" s="26">
        <f t="shared" si="29"/>
        <v>3100.2382876802922</v>
      </c>
      <c r="X45" s="26">
        <f t="shared" si="29"/>
        <v>3285.9353425702484</v>
      </c>
      <c r="Y45" s="26">
        <f t="shared" si="29"/>
        <v>3476.3509596249587</v>
      </c>
      <c r="Z45" s="26">
        <f t="shared" si="29"/>
        <v>3671.6050375090285</v>
      </c>
      <c r="AA45" s="26">
        <f t="shared" si="29"/>
        <v>3871.8205215121329</v>
      </c>
      <c r="AB45" s="26">
        <f t="shared" si="29"/>
        <v>4077.1234809637567</v>
      </c>
      <c r="AC45" s="26">
        <f t="shared" si="29"/>
        <v>4287.6431886150458</v>
      </c>
      <c r="AD45" s="26">
        <f t="shared" si="29"/>
        <v>4503.5122020377539</v>
      </c>
      <c r="AE45" s="26">
        <f t="shared" si="29"/>
        <v>4724.8664470915337</v>
      </c>
      <c r="AF45" s="26">
        <f t="shared" si="29"/>
        <v>4951.8453035121292</v>
      </c>
      <c r="AG45" s="26">
        <f t="shared" si="29"/>
        <v>5184.591692674373</v>
      </c>
      <c r="AH45" s="26">
        <f t="shared" si="29"/>
        <v>5423.2521675852277</v>
      </c>
      <c r="AI45" s="26">
        <f t="shared" si="29"/>
        <v>5667.9770051635687</v>
      </c>
      <c r="AJ45" s="26">
        <f t="shared" si="29"/>
        <v>5918.9203008647755</v>
      </c>
      <c r="AK45" s="26">
        <f t="shared" si="29"/>
        <v>6176.2400657097496</v>
      </c>
      <c r="AL45" s="26">
        <f t="shared" si="29"/>
        <v>6440.0983257794342</v>
      </c>
      <c r="AM45" s="26">
        <f t="shared" si="29"/>
        <v>6710.6612242374895</v>
      </c>
      <c r="AN45" s="26">
        <f t="shared" si="29"/>
        <v>6988.099125945364</v>
      </c>
      <c r="AO45" s="26">
        <f t="shared" si="29"/>
        <v>7272.5867247356364</v>
      </c>
      <c r="AP45" s="26">
        <f t="shared" si="29"/>
        <v>7564.3031534111688</v>
      </c>
      <c r="AQ45" s="26">
        <f t="shared" si="29"/>
        <v>7863.4320965393463</v>
      </c>
      <c r="AR45" s="26">
        <f t="shared" si="29"/>
        <v>8170.1619061124111</v>
      </c>
      <c r="AS45" s="26">
        <f t="shared" si="29"/>
        <v>8484.6857201467265</v>
      </c>
      <c r="AT45" s="26">
        <f>AT44*AT43</f>
        <v>8807.2015842956553</v>
      </c>
      <c r="AU45" s="26">
        <f t="shared" ref="AU45:AY45" si="30">AU44*AU43</f>
        <v>9137.9125765526078</v>
      </c>
      <c r="AV45" s="26">
        <f t="shared" si="30"/>
        <v>9477.0269351228089</v>
      </c>
      <c r="AW45" s="26">
        <f t="shared" si="30"/>
        <v>9824.75818954428</v>
      </c>
      <c r="AX45" s="26">
        <f t="shared" si="30"/>
        <v>10181.325295140599</v>
      </c>
      <c r="AY45" s="26">
        <f t="shared" si="30"/>
        <v>10546.952770890121</v>
      </c>
    </row>
    <row r="46" spans="1:51" x14ac:dyDescent="0.2">
      <c r="A46" s="2" t="s">
        <v>215</v>
      </c>
      <c r="B46" s="26">
        <f>B45*$B$27</f>
        <v>16.35876</v>
      </c>
      <c r="C46" s="26">
        <f>C45*$B$27</f>
        <v>33.133196091599999</v>
      </c>
      <c r="D46" s="26">
        <f t="shared" ref="D46:AS46" si="31">D45*$B$27</f>
        <v>50.333870604287561</v>
      </c>
      <c r="E46" s="26">
        <f t="shared" si="31"/>
        <v>67.971614256342505</v>
      </c>
      <c r="F46" s="26">
        <f t="shared" si="31"/>
        <v>86.057532974596157</v>
      </c>
      <c r="G46" s="26">
        <f t="shared" si="31"/>
        <v>104.60301488748065</v>
      </c>
      <c r="H46" s="26">
        <f t="shared" si="31"/>
        <v>123.61973749577153</v>
      </c>
      <c r="I46" s="26">
        <f t="shared" si="31"/>
        <v>143.11967502553907</v>
      </c>
      <c r="J46" s="26">
        <f t="shared" si="31"/>
        <v>163.11510596793801</v>
      </c>
      <c r="K46" s="26">
        <f t="shared" si="31"/>
        <v>183.61862081058334</v>
      </c>
      <c r="L46" s="26">
        <f t="shared" si="31"/>
        <v>204.64312996538027</v>
      </c>
      <c r="M46" s="26">
        <f t="shared" si="31"/>
        <v>226.20187189780057</v>
      </c>
      <c r="N46" s="26">
        <f t="shared" si="31"/>
        <v>248.30842146272369</v>
      </c>
      <c r="O46" s="26">
        <f t="shared" si="31"/>
        <v>270.97669845209151</v>
      </c>
      <c r="P46" s="26">
        <f t="shared" si="31"/>
        <v>294.22097635975916</v>
      </c>
      <c r="Q46" s="26">
        <f t="shared" si="31"/>
        <v>318.0558913690607</v>
      </c>
      <c r="R46" s="26">
        <f t="shared" si="31"/>
        <v>342.49645156874845</v>
      </c>
      <c r="S46" s="26">
        <f t="shared" si="31"/>
        <v>367.55804640311044</v>
      </c>
      <c r="T46" s="26">
        <f t="shared" si="31"/>
        <v>393.25645636221338</v>
      </c>
      <c r="U46" s="26">
        <f t="shared" si="31"/>
        <v>419.60786291837724</v>
      </c>
      <c r="V46" s="26">
        <f t="shared" si="31"/>
        <v>446.62885871513316</v>
      </c>
      <c r="W46" s="26">
        <f t="shared" si="31"/>
        <v>474.3364580150847</v>
      </c>
      <c r="X46" s="26">
        <f t="shared" si="31"/>
        <v>502.74810741324802</v>
      </c>
      <c r="Y46" s="26">
        <f t="shared" si="31"/>
        <v>531.88169682261866</v>
      </c>
      <c r="Z46" s="26">
        <f t="shared" si="31"/>
        <v>561.75557073888137</v>
      </c>
      <c r="AA46" s="26">
        <f t="shared" si="31"/>
        <v>592.38853979135638</v>
      </c>
      <c r="AB46" s="26">
        <f t="shared" si="31"/>
        <v>623.79989258745479</v>
      </c>
      <c r="AC46" s="26">
        <f t="shared" si="31"/>
        <v>656.00940785810201</v>
      </c>
      <c r="AD46" s="26">
        <f t="shared" si="31"/>
        <v>689.0373669117763</v>
      </c>
      <c r="AE46" s="26">
        <f t="shared" si="31"/>
        <v>722.90456640500463</v>
      </c>
      <c r="AF46" s="26">
        <f t="shared" si="31"/>
        <v>757.63233143735579</v>
      </c>
      <c r="AG46" s="26">
        <f t="shared" si="31"/>
        <v>793.24252897917904</v>
      </c>
      <c r="AH46" s="26">
        <f t="shared" si="31"/>
        <v>829.7575816405398</v>
      </c>
      <c r="AI46" s="26">
        <f t="shared" si="31"/>
        <v>867.20048179002595</v>
      </c>
      <c r="AJ46" s="26">
        <f t="shared" si="31"/>
        <v>905.59480603231066</v>
      </c>
      <c r="AK46" s="26">
        <f t="shared" si="31"/>
        <v>944.96473005359167</v>
      </c>
      <c r="AL46" s="26">
        <f t="shared" si="31"/>
        <v>985.33504384425339</v>
      </c>
      <c r="AM46" s="26">
        <f t="shared" si="31"/>
        <v>1026.7311673083359</v>
      </c>
      <c r="AN46" s="26">
        <f t="shared" si="31"/>
        <v>1069.1791662696407</v>
      </c>
      <c r="AO46" s="26">
        <f t="shared" si="31"/>
        <v>1112.7057688845523</v>
      </c>
      <c r="AP46" s="26">
        <f t="shared" si="31"/>
        <v>1157.3383824719087</v>
      </c>
      <c r="AQ46" s="26">
        <f t="shared" si="31"/>
        <v>1203.10511077052</v>
      </c>
      <c r="AR46" s="26">
        <f t="shared" si="31"/>
        <v>1250.0347716351989</v>
      </c>
      <c r="AS46" s="26">
        <f t="shared" si="31"/>
        <v>1298.1569151824492</v>
      </c>
      <c r="AT46" s="26">
        <f>AT45*$B$27</f>
        <v>1347.5018423972351</v>
      </c>
      <c r="AU46" s="26">
        <f t="shared" ref="AU46:AY46" si="32">AU45*$B$27</f>
        <v>1398.1006242125491</v>
      </c>
      <c r="AV46" s="26">
        <f t="shared" si="32"/>
        <v>1449.9851210737897</v>
      </c>
      <c r="AW46" s="26">
        <f t="shared" si="32"/>
        <v>1503.1880030002749</v>
      </c>
      <c r="AX46" s="26">
        <f t="shared" si="32"/>
        <v>1557.7427701565116</v>
      </c>
      <c r="AY46" s="26">
        <f t="shared" si="32"/>
        <v>1613.6837739461885</v>
      </c>
    </row>
    <row r="47" spans="1:51" x14ac:dyDescent="0.2">
      <c r="A47" s="2" t="s">
        <v>258</v>
      </c>
      <c r="B47" s="27">
        <f>B43+(B45-B46)</f>
        <v>3654.56124</v>
      </c>
      <c r="C47" s="27">
        <f>C43+(C45-C46)</f>
        <v>7401.9848811084003</v>
      </c>
      <c r="D47" s="27">
        <f t="shared" ref="D47:AS47" si="33">D43+(D45-D46)</f>
        <v>11244.630556937365</v>
      </c>
      <c r="E47" s="27">
        <f t="shared" si="33"/>
        <v>15184.917859389143</v>
      </c>
      <c r="F47" s="27">
        <f t="shared" si="33"/>
        <v>19225.32786219622</v>
      </c>
      <c r="G47" s="27">
        <f t="shared" si="33"/>
        <v>23368.404683174627</v>
      </c>
      <c r="H47" s="27">
        <f t="shared" si="33"/>
        <v>27616.757086174093</v>
      </c>
      <c r="I47" s="27">
        <f t="shared" si="33"/>
        <v>31973.060123733776</v>
      </c>
      <c r="J47" s="27">
        <f t="shared" si="33"/>
        <v>36440.056821477854</v>
      </c>
      <c r="K47" s="27">
        <f t="shared" si="33"/>
        <v>41020.559905311609</v>
      </c>
      <c r="L47" s="27">
        <f t="shared" si="33"/>
        <v>45717.453572505576</v>
      </c>
      <c r="M47" s="27">
        <f t="shared" si="33"/>
        <v>50533.695307782946</v>
      </c>
      <c r="N47" s="27">
        <f t="shared" si="33"/>
        <v>55472.317745553708</v>
      </c>
      <c r="O47" s="27">
        <f t="shared" si="33"/>
        <v>60536.43057946823</v>
      </c>
      <c r="P47" s="27">
        <f t="shared" si="33"/>
        <v>65729.22252049252</v>
      </c>
      <c r="Q47" s="27">
        <f t="shared" si="33"/>
        <v>71053.963304738238</v>
      </c>
      <c r="R47" s="27">
        <f t="shared" si="33"/>
        <v>76514.005752311641</v>
      </c>
      <c r="S47" s="27">
        <f t="shared" si="33"/>
        <v>82112.787878477873</v>
      </c>
      <c r="T47" s="27">
        <f t="shared" si="33"/>
        <v>87853.835058469995</v>
      </c>
      <c r="U47" s="27">
        <f t="shared" si="33"/>
        <v>93740.762247305713</v>
      </c>
      <c r="V47" s="27">
        <f t="shared" si="33"/>
        <v>99777.276256009747</v>
      </c>
      <c r="W47" s="27">
        <f t="shared" si="33"/>
        <v>105967.17808567495</v>
      </c>
      <c r="X47" s="27">
        <f t="shared" si="33"/>
        <v>112314.36532083196</v>
      </c>
      <c r="Y47" s="27">
        <f t="shared" si="33"/>
        <v>118822.83458363429</v>
      </c>
      <c r="Z47" s="27">
        <f t="shared" si="33"/>
        <v>125496.68405040444</v>
      </c>
      <c r="AA47" s="27">
        <f t="shared" si="33"/>
        <v>132340.11603212522</v>
      </c>
      <c r="AB47" s="27">
        <f t="shared" si="33"/>
        <v>139357.43962050154</v>
      </c>
      <c r="AC47" s="27">
        <f t="shared" si="33"/>
        <v>146553.07340125847</v>
      </c>
      <c r="AD47" s="27">
        <f t="shared" si="33"/>
        <v>153931.54823638446</v>
      </c>
      <c r="AE47" s="27">
        <f t="shared" si="33"/>
        <v>161497.51011707098</v>
      </c>
      <c r="AF47" s="27">
        <f t="shared" si="33"/>
        <v>169255.72308914576</v>
      </c>
      <c r="AG47" s="27">
        <f t="shared" si="33"/>
        <v>177211.07225284094</v>
      </c>
      <c r="AH47" s="27">
        <f t="shared" si="33"/>
        <v>185368.56683878563</v>
      </c>
      <c r="AI47" s="27">
        <f t="shared" si="33"/>
        <v>193733.34336215918</v>
      </c>
      <c r="AJ47" s="27">
        <f t="shared" si="33"/>
        <v>202310.66885699166</v>
      </c>
      <c r="AK47" s="27">
        <f t="shared" si="33"/>
        <v>211105.94419264782</v>
      </c>
      <c r="AL47" s="27">
        <f t="shared" si="33"/>
        <v>220124.707474583</v>
      </c>
      <c r="AM47" s="27">
        <f t="shared" si="33"/>
        <v>229372.63753151215</v>
      </c>
      <c r="AN47" s="27">
        <f t="shared" si="33"/>
        <v>238855.55749118788</v>
      </c>
      <c r="AO47" s="27">
        <f t="shared" si="33"/>
        <v>248579.43844703896</v>
      </c>
      <c r="AP47" s="27">
        <f t="shared" si="33"/>
        <v>258550.40321797822</v>
      </c>
      <c r="AQ47" s="27">
        <f t="shared" si="33"/>
        <v>268774.73020374705</v>
      </c>
      <c r="AR47" s="27">
        <f t="shared" si="33"/>
        <v>279258.85733822425</v>
      </c>
      <c r="AS47" s="27">
        <f t="shared" si="33"/>
        <v>290009.38614318852</v>
      </c>
      <c r="AT47" s="27">
        <f>AT43+(AT45-AT46)</f>
        <v>301033.08588508691</v>
      </c>
      <c r="AU47" s="27">
        <f t="shared" ref="AU47:AY47" si="34">AU43+(AU45-AU46)</f>
        <v>312336.89783742698</v>
      </c>
      <c r="AV47" s="27">
        <f t="shared" si="34"/>
        <v>323927.93965147599</v>
      </c>
      <c r="AW47" s="27">
        <f t="shared" si="34"/>
        <v>335813.50983801996</v>
      </c>
      <c r="AX47" s="27">
        <f t="shared" si="34"/>
        <v>348001.09236300405</v>
      </c>
      <c r="AY47" s="27">
        <f t="shared" si="34"/>
        <v>360498.361359948</v>
      </c>
    </row>
    <row r="49" spans="1:51" x14ac:dyDescent="0.2">
      <c r="A49" s="2" t="s">
        <v>268</v>
      </c>
    </row>
    <row r="50" spans="1:51" x14ac:dyDescent="0.2">
      <c r="A50" s="2" t="s">
        <v>269</v>
      </c>
      <c r="B50" s="28">
        <f>'Net Salary P1'!$B$2</f>
        <v>9400</v>
      </c>
      <c r="C50" s="26">
        <f>B54+$B$50</f>
        <v>19038.853999999999</v>
      </c>
      <c r="D50" s="26">
        <f>C54+$B$50</f>
        <v>28922.631280139998</v>
      </c>
      <c r="E50" s="26">
        <f t="shared" ref="E50:AS50" si="35">D54+$B$50</f>
        <v>39057.555340968356</v>
      </c>
      <c r="F50" s="26">
        <f t="shared" si="35"/>
        <v>49450.007822182364</v>
      </c>
      <c r="G50" s="26">
        <f t="shared" si="35"/>
        <v>60106.53252094402</v>
      </c>
      <c r="H50" s="26">
        <f t="shared" si="35"/>
        <v>71033.839512301201</v>
      </c>
      <c r="I50" s="26">
        <f t="shared" si="35"/>
        <v>82238.809374308781</v>
      </c>
      <c r="J50" s="26">
        <f t="shared" si="35"/>
        <v>93728.497520509962</v>
      </c>
      <c r="K50" s="26">
        <f t="shared" si="35"/>
        <v>105510.13864250612</v>
      </c>
      <c r="L50" s="26">
        <f t="shared" si="35"/>
        <v>117591.15126541221</v>
      </c>
      <c r="M50" s="26">
        <f t="shared" si="35"/>
        <v>129979.14241906632</v>
      </c>
      <c r="N50" s="26">
        <f t="shared" si="35"/>
        <v>142681.91242793479</v>
      </c>
      <c r="O50" s="26">
        <f t="shared" si="35"/>
        <v>155707.45982272862</v>
      </c>
      <c r="P50" s="26">
        <f t="shared" si="35"/>
        <v>169063.98637682415</v>
      </c>
      <c r="Q50" s="26">
        <f t="shared" si="35"/>
        <v>182759.90227065925</v>
      </c>
      <c r="R50" s="26">
        <f t="shared" si="35"/>
        <v>196803.83138735671</v>
      </c>
      <c r="S50" s="26">
        <f t="shared" si="35"/>
        <v>211204.61674290945</v>
      </c>
      <c r="T50" s="26">
        <f t="shared" si="35"/>
        <v>225971.32605434678</v>
      </c>
      <c r="U50" s="26">
        <f t="shared" si="35"/>
        <v>241113.25744938772</v>
      </c>
      <c r="V50" s="26">
        <f t="shared" si="35"/>
        <v>256639.94532117667</v>
      </c>
      <c r="W50" s="26">
        <f t="shared" si="35"/>
        <v>272561.16633178777</v>
      </c>
      <c r="X50" s="26">
        <f t="shared" si="35"/>
        <v>288886.94556827849</v>
      </c>
      <c r="Y50" s="26">
        <f t="shared" si="35"/>
        <v>305627.56285516842</v>
      </c>
      <c r="Z50" s="26">
        <f t="shared" si="35"/>
        <v>322793.55922731827</v>
      </c>
      <c r="AA50" s="26">
        <f t="shared" si="35"/>
        <v>340395.74356728443</v>
      </c>
      <c r="AB50" s="26">
        <f t="shared" si="35"/>
        <v>358445.19941132911</v>
      </c>
      <c r="AC50" s="26">
        <f t="shared" si="35"/>
        <v>376953.29192837101</v>
      </c>
      <c r="AD50" s="26">
        <f t="shared" si="35"/>
        <v>395931.67507627094</v>
      </c>
      <c r="AE50" s="26">
        <f t="shared" si="35"/>
        <v>415392.29893995897</v>
      </c>
      <c r="AF50" s="26">
        <f t="shared" si="35"/>
        <v>435347.41725602333</v>
      </c>
      <c r="AG50" s="26">
        <f t="shared" si="35"/>
        <v>455809.59512849886</v>
      </c>
      <c r="AH50" s="26">
        <f t="shared" si="35"/>
        <v>476791.71694071399</v>
      </c>
      <c r="AI50" s="26">
        <f t="shared" si="35"/>
        <v>498306.99446817755</v>
      </c>
      <c r="AJ50" s="26">
        <f t="shared" si="35"/>
        <v>520368.97519761394</v>
      </c>
      <c r="AK50" s="26">
        <f t="shared" si="35"/>
        <v>542991.55085738527</v>
      </c>
      <c r="AL50" s="26">
        <f t="shared" si="35"/>
        <v>566188.96616467147</v>
      </c>
      <c r="AM50" s="26">
        <f t="shared" si="35"/>
        <v>589975.82779491576</v>
      </c>
      <c r="AN50" s="26">
        <f t="shared" si="35"/>
        <v>614367.11357918452</v>
      </c>
      <c r="AO50" s="26">
        <f t="shared" si="35"/>
        <v>639378.18193523155</v>
      </c>
      <c r="AP50" s="26">
        <f t="shared" si="35"/>
        <v>665024.7815382058</v>
      </c>
      <c r="AQ50" s="26">
        <f t="shared" si="35"/>
        <v>691323.06123709166</v>
      </c>
      <c r="AR50" s="26">
        <f t="shared" si="35"/>
        <v>718289.5802231261</v>
      </c>
      <c r="AS50" s="26">
        <f t="shared" si="35"/>
        <v>745941.31845659576</v>
      </c>
      <c r="AT50" s="26">
        <f>AS54+$B$50</f>
        <v>774295.68735857785</v>
      </c>
      <c r="AU50" s="26">
        <f t="shared" ref="AU50:AY50" si="36">AT54+$B$50</f>
        <v>803370.54077435937</v>
      </c>
      <c r="AV50" s="26">
        <f t="shared" si="36"/>
        <v>833184.18621543585</v>
      </c>
      <c r="AW50" s="26">
        <f t="shared" si="36"/>
        <v>863755.39638717007</v>
      </c>
      <c r="AX50" s="26">
        <f t="shared" si="36"/>
        <v>895103.42100936803</v>
      </c>
      <c r="AY50" s="26">
        <f t="shared" si="36"/>
        <v>927247.99893721612</v>
      </c>
    </row>
    <row r="51" spans="1:51" x14ac:dyDescent="0.2">
      <c r="A51" s="2" t="s">
        <v>257</v>
      </c>
      <c r="B51" s="17">
        <f>$B$26</f>
        <v>0.03</v>
      </c>
      <c r="C51" s="17">
        <f>$B$26</f>
        <v>0.03</v>
      </c>
      <c r="D51" s="17">
        <f t="shared" ref="D51:AS51" si="37">$B$26</f>
        <v>0.03</v>
      </c>
      <c r="E51" s="17">
        <f t="shared" si="37"/>
        <v>0.03</v>
      </c>
      <c r="F51" s="17">
        <f t="shared" si="37"/>
        <v>0.03</v>
      </c>
      <c r="G51" s="17">
        <f t="shared" si="37"/>
        <v>0.03</v>
      </c>
      <c r="H51" s="17">
        <f t="shared" si="37"/>
        <v>0.03</v>
      </c>
      <c r="I51" s="17">
        <f t="shared" si="37"/>
        <v>0.03</v>
      </c>
      <c r="J51" s="17">
        <f t="shared" si="37"/>
        <v>0.03</v>
      </c>
      <c r="K51" s="17">
        <f t="shared" si="37"/>
        <v>0.03</v>
      </c>
      <c r="L51" s="17">
        <f t="shared" si="37"/>
        <v>0.03</v>
      </c>
      <c r="M51" s="17">
        <f t="shared" si="37"/>
        <v>0.03</v>
      </c>
      <c r="N51" s="17">
        <f t="shared" si="37"/>
        <v>0.03</v>
      </c>
      <c r="O51" s="17">
        <f t="shared" si="37"/>
        <v>0.03</v>
      </c>
      <c r="P51" s="17">
        <f t="shared" si="37"/>
        <v>0.03</v>
      </c>
      <c r="Q51" s="17">
        <f t="shared" si="37"/>
        <v>0.03</v>
      </c>
      <c r="R51" s="17">
        <f t="shared" si="37"/>
        <v>0.03</v>
      </c>
      <c r="S51" s="17">
        <f t="shared" si="37"/>
        <v>0.03</v>
      </c>
      <c r="T51" s="17">
        <f t="shared" si="37"/>
        <v>0.03</v>
      </c>
      <c r="U51" s="17">
        <f t="shared" si="37"/>
        <v>0.03</v>
      </c>
      <c r="V51" s="17">
        <f t="shared" si="37"/>
        <v>0.03</v>
      </c>
      <c r="W51" s="17">
        <f t="shared" si="37"/>
        <v>0.03</v>
      </c>
      <c r="X51" s="17">
        <f t="shared" si="37"/>
        <v>0.03</v>
      </c>
      <c r="Y51" s="17">
        <f t="shared" si="37"/>
        <v>0.03</v>
      </c>
      <c r="Z51" s="17">
        <f t="shared" si="37"/>
        <v>0.03</v>
      </c>
      <c r="AA51" s="17">
        <f t="shared" si="37"/>
        <v>0.03</v>
      </c>
      <c r="AB51" s="17">
        <f t="shared" si="37"/>
        <v>0.03</v>
      </c>
      <c r="AC51" s="17">
        <f t="shared" si="37"/>
        <v>0.03</v>
      </c>
      <c r="AD51" s="17">
        <f t="shared" si="37"/>
        <v>0.03</v>
      </c>
      <c r="AE51" s="17">
        <f t="shared" si="37"/>
        <v>0.03</v>
      </c>
      <c r="AF51" s="17">
        <f t="shared" si="37"/>
        <v>0.03</v>
      </c>
      <c r="AG51" s="17">
        <f t="shared" si="37"/>
        <v>0.03</v>
      </c>
      <c r="AH51" s="17">
        <f t="shared" si="37"/>
        <v>0.03</v>
      </c>
      <c r="AI51" s="17">
        <f t="shared" si="37"/>
        <v>0.03</v>
      </c>
      <c r="AJ51" s="17">
        <f t="shared" si="37"/>
        <v>0.03</v>
      </c>
      <c r="AK51" s="17">
        <f t="shared" si="37"/>
        <v>0.03</v>
      </c>
      <c r="AL51" s="17">
        <f t="shared" si="37"/>
        <v>0.03</v>
      </c>
      <c r="AM51" s="17">
        <f t="shared" si="37"/>
        <v>0.03</v>
      </c>
      <c r="AN51" s="17">
        <f t="shared" si="37"/>
        <v>0.03</v>
      </c>
      <c r="AO51" s="17">
        <f t="shared" si="37"/>
        <v>0.03</v>
      </c>
      <c r="AP51" s="17">
        <f t="shared" si="37"/>
        <v>0.03</v>
      </c>
      <c r="AQ51" s="17">
        <f t="shared" si="37"/>
        <v>0.03</v>
      </c>
      <c r="AR51" s="17">
        <f t="shared" si="37"/>
        <v>0.03</v>
      </c>
      <c r="AS51" s="17">
        <f t="shared" si="37"/>
        <v>0.03</v>
      </c>
      <c r="AT51" s="17">
        <f>$B$26</f>
        <v>0.03</v>
      </c>
      <c r="AU51" s="17">
        <f t="shared" ref="AU51:AY51" si="38">$B$26</f>
        <v>0.03</v>
      </c>
      <c r="AV51" s="17">
        <f t="shared" si="38"/>
        <v>0.03</v>
      </c>
      <c r="AW51" s="17">
        <f t="shared" si="38"/>
        <v>0.03</v>
      </c>
      <c r="AX51" s="17">
        <f t="shared" si="38"/>
        <v>0.03</v>
      </c>
      <c r="AY51" s="17">
        <f t="shared" si="38"/>
        <v>0.03</v>
      </c>
    </row>
    <row r="52" spans="1:51" x14ac:dyDescent="0.2">
      <c r="A52" s="2" t="s">
        <v>244</v>
      </c>
      <c r="B52" s="26">
        <f>B51*B50</f>
        <v>282</v>
      </c>
      <c r="C52" s="26">
        <f>C51*C50</f>
        <v>571.16561999999999</v>
      </c>
      <c r="D52" s="26">
        <f t="shared" ref="D52:AS52" si="39">D51*D50</f>
        <v>867.67893840419993</v>
      </c>
      <c r="E52" s="26">
        <f t="shared" si="39"/>
        <v>1171.7266602290506</v>
      </c>
      <c r="F52" s="26">
        <f t="shared" si="39"/>
        <v>1483.5002346654708</v>
      </c>
      <c r="G52" s="26">
        <f t="shared" si="39"/>
        <v>1803.1959756283206</v>
      </c>
      <c r="H52" s="26">
        <f t="shared" si="39"/>
        <v>2131.0151853690359</v>
      </c>
      <c r="I52" s="26">
        <f t="shared" si="39"/>
        <v>2467.1642812292635</v>
      </c>
      <c r="J52" s="26">
        <f t="shared" si="39"/>
        <v>2811.8549256152987</v>
      </c>
      <c r="K52" s="26">
        <f t="shared" si="39"/>
        <v>3165.3041592751833</v>
      </c>
      <c r="L52" s="26">
        <f t="shared" si="39"/>
        <v>3527.7345379623662</v>
      </c>
      <c r="M52" s="26">
        <f t="shared" si="39"/>
        <v>3899.3742725719894</v>
      </c>
      <c r="N52" s="26">
        <f t="shared" si="39"/>
        <v>4280.4573728380437</v>
      </c>
      <c r="O52" s="26">
        <f t="shared" si="39"/>
        <v>4671.2237946818586</v>
      </c>
      <c r="P52" s="26">
        <f t="shared" si="39"/>
        <v>5071.9195913047242</v>
      </c>
      <c r="Q52" s="26">
        <f t="shared" si="39"/>
        <v>5482.7970681197776</v>
      </c>
      <c r="R52" s="26">
        <f t="shared" si="39"/>
        <v>5904.1149416207008</v>
      </c>
      <c r="S52" s="26">
        <f t="shared" si="39"/>
        <v>6336.1385022872837</v>
      </c>
      <c r="T52" s="26">
        <f t="shared" si="39"/>
        <v>6779.1397816304034</v>
      </c>
      <c r="U52" s="26">
        <f t="shared" si="39"/>
        <v>7233.3977234816311</v>
      </c>
      <c r="V52" s="26">
        <f t="shared" si="39"/>
        <v>7699.1983596352993</v>
      </c>
      <c r="W52" s="26">
        <f t="shared" si="39"/>
        <v>8176.8349899536324</v>
      </c>
      <c r="X52" s="26">
        <f t="shared" si="39"/>
        <v>8666.6083670483549</v>
      </c>
      <c r="Y52" s="26">
        <f t="shared" si="39"/>
        <v>9168.826885655053</v>
      </c>
      <c r="Z52" s="26">
        <f t="shared" si="39"/>
        <v>9683.8067768195469</v>
      </c>
      <c r="AA52" s="26">
        <f t="shared" si="39"/>
        <v>10211.872307018533</v>
      </c>
      <c r="AB52" s="26">
        <f t="shared" si="39"/>
        <v>10753.355982339874</v>
      </c>
      <c r="AC52" s="26">
        <f t="shared" si="39"/>
        <v>11308.59875785113</v>
      </c>
      <c r="AD52" s="26">
        <f t="shared" si="39"/>
        <v>11877.950252288128</v>
      </c>
      <c r="AE52" s="26">
        <f t="shared" si="39"/>
        <v>12461.768968198769</v>
      </c>
      <c r="AF52" s="26">
        <f t="shared" si="39"/>
        <v>13060.422517680699</v>
      </c>
      <c r="AG52" s="26">
        <f t="shared" si="39"/>
        <v>13674.287853854965</v>
      </c>
      <c r="AH52" s="26">
        <f t="shared" si="39"/>
        <v>14303.751508221419</v>
      </c>
      <c r="AI52" s="26">
        <f t="shared" si="39"/>
        <v>14949.209834045327</v>
      </c>
      <c r="AJ52" s="26">
        <f t="shared" si="39"/>
        <v>15611.069255928418</v>
      </c>
      <c r="AK52" s="26">
        <f t="shared" si="39"/>
        <v>16289.746525721557</v>
      </c>
      <c r="AL52" s="26">
        <f t="shared" si="39"/>
        <v>16985.668984940145</v>
      </c>
      <c r="AM52" s="26">
        <f t="shared" si="39"/>
        <v>17699.274833847474</v>
      </c>
      <c r="AN52" s="26">
        <f t="shared" si="39"/>
        <v>18431.013407375536</v>
      </c>
      <c r="AO52" s="26">
        <f t="shared" si="39"/>
        <v>19181.345458056945</v>
      </c>
      <c r="AP52" s="26">
        <f t="shared" si="39"/>
        <v>19950.743446146174</v>
      </c>
      <c r="AQ52" s="26">
        <f t="shared" si="39"/>
        <v>20739.69183711275</v>
      </c>
      <c r="AR52" s="26">
        <f t="shared" si="39"/>
        <v>21548.687406693782</v>
      </c>
      <c r="AS52" s="26">
        <f t="shared" si="39"/>
        <v>22378.239553697873</v>
      </c>
      <c r="AT52" s="26">
        <f>AT51*AT50</f>
        <v>23228.870620757334</v>
      </c>
      <c r="AU52" s="26">
        <f t="shared" ref="AU52:AY52" si="40">AU51*AU50</f>
        <v>24101.11622323078</v>
      </c>
      <c r="AV52" s="26">
        <f t="shared" si="40"/>
        <v>24995.525586463074</v>
      </c>
      <c r="AW52" s="26">
        <f t="shared" si="40"/>
        <v>25912.661891615102</v>
      </c>
      <c r="AX52" s="26">
        <f t="shared" si="40"/>
        <v>26853.102630281039</v>
      </c>
      <c r="AY52" s="26">
        <f t="shared" si="40"/>
        <v>27817.439968116483</v>
      </c>
    </row>
    <row r="53" spans="1:51" x14ac:dyDescent="0.2">
      <c r="A53" s="2" t="s">
        <v>215</v>
      </c>
      <c r="B53" s="26">
        <f>B52*$B$27</f>
        <v>43.146000000000001</v>
      </c>
      <c r="C53" s="26">
        <f>C52*$B$27</f>
        <v>87.388339860000002</v>
      </c>
      <c r="D53" s="26">
        <f t="shared" ref="D53:AS53" si="41">D52*$B$27</f>
        <v>132.75487757584258</v>
      </c>
      <c r="E53" s="26">
        <f t="shared" si="41"/>
        <v>179.27417901504475</v>
      </c>
      <c r="F53" s="26">
        <f t="shared" si="41"/>
        <v>226.97553590381702</v>
      </c>
      <c r="G53" s="26">
        <f t="shared" si="41"/>
        <v>275.88898427113304</v>
      </c>
      <c r="H53" s="26">
        <f t="shared" si="41"/>
        <v>326.04532336146247</v>
      </c>
      <c r="I53" s="26">
        <f t="shared" si="41"/>
        <v>377.47613502807729</v>
      </c>
      <c r="J53" s="26">
        <f t="shared" si="41"/>
        <v>430.21380361914072</v>
      </c>
      <c r="K53" s="26">
        <f t="shared" si="41"/>
        <v>484.29153636910303</v>
      </c>
      <c r="L53" s="26">
        <f t="shared" si="41"/>
        <v>539.74338430824207</v>
      </c>
      <c r="M53" s="26">
        <f t="shared" si="41"/>
        <v>596.60426370351433</v>
      </c>
      <c r="N53" s="26">
        <f t="shared" si="41"/>
        <v>654.90997804422068</v>
      </c>
      <c r="O53" s="26">
        <f t="shared" si="41"/>
        <v>714.69724058632437</v>
      </c>
      <c r="P53" s="26">
        <f t="shared" si="41"/>
        <v>776.00369746962281</v>
      </c>
      <c r="Q53" s="26">
        <f t="shared" si="41"/>
        <v>838.86795142232597</v>
      </c>
      <c r="R53" s="26">
        <f t="shared" si="41"/>
        <v>903.32958606796717</v>
      </c>
      <c r="S53" s="26">
        <f t="shared" si="41"/>
        <v>969.42919084995435</v>
      </c>
      <c r="T53" s="26">
        <f t="shared" si="41"/>
        <v>1037.2083865894517</v>
      </c>
      <c r="U53" s="26">
        <f t="shared" si="41"/>
        <v>1106.7098516926897</v>
      </c>
      <c r="V53" s="26">
        <f t="shared" si="41"/>
        <v>1177.9773490242007</v>
      </c>
      <c r="W53" s="26">
        <f t="shared" si="41"/>
        <v>1251.0557534629058</v>
      </c>
      <c r="X53" s="26">
        <f t="shared" si="41"/>
        <v>1325.9910801583983</v>
      </c>
      <c r="Y53" s="26">
        <f t="shared" si="41"/>
        <v>1402.8305135052231</v>
      </c>
      <c r="Z53" s="26">
        <f t="shared" si="41"/>
        <v>1481.6224368533906</v>
      </c>
      <c r="AA53" s="26">
        <f t="shared" si="41"/>
        <v>1562.4164629738357</v>
      </c>
      <c r="AB53" s="26">
        <f t="shared" si="41"/>
        <v>1645.2634652980007</v>
      </c>
      <c r="AC53" s="26">
        <f t="shared" si="41"/>
        <v>1730.2156099512229</v>
      </c>
      <c r="AD53" s="26">
        <f t="shared" si="41"/>
        <v>1817.3263886000836</v>
      </c>
      <c r="AE53" s="26">
        <f t="shared" si="41"/>
        <v>1906.6506521344115</v>
      </c>
      <c r="AF53" s="26">
        <f t="shared" si="41"/>
        <v>1998.244645205147</v>
      </c>
      <c r="AG53" s="26">
        <f t="shared" si="41"/>
        <v>2092.1660416398095</v>
      </c>
      <c r="AH53" s="26">
        <f t="shared" si="41"/>
        <v>2188.4739807578771</v>
      </c>
      <c r="AI53" s="26">
        <f t="shared" si="41"/>
        <v>2287.2291046089349</v>
      </c>
      <c r="AJ53" s="26">
        <f t="shared" si="41"/>
        <v>2388.4935961570477</v>
      </c>
      <c r="AK53" s="26">
        <f t="shared" si="41"/>
        <v>2492.3312184353981</v>
      </c>
      <c r="AL53" s="26">
        <f t="shared" si="41"/>
        <v>2598.8073546958422</v>
      </c>
      <c r="AM53" s="26">
        <f t="shared" si="41"/>
        <v>2707.9890495786635</v>
      </c>
      <c r="AN53" s="26">
        <f t="shared" si="41"/>
        <v>2819.9450513284569</v>
      </c>
      <c r="AO53" s="26">
        <f t="shared" si="41"/>
        <v>2934.7458550827128</v>
      </c>
      <c r="AP53" s="26">
        <f t="shared" si="41"/>
        <v>3052.4637472603645</v>
      </c>
      <c r="AQ53" s="26">
        <f t="shared" si="41"/>
        <v>3173.1728510782509</v>
      </c>
      <c r="AR53" s="26">
        <f t="shared" si="41"/>
        <v>3296.9491732241486</v>
      </c>
      <c r="AS53" s="26">
        <f t="shared" si="41"/>
        <v>3423.8706517157743</v>
      </c>
      <c r="AT53" s="26">
        <f>AT52*$B$27</f>
        <v>3554.0172049758721</v>
      </c>
      <c r="AU53" s="26">
        <f t="shared" ref="AU53:AY53" si="42">AU52*$B$27</f>
        <v>3687.4707821543093</v>
      </c>
      <c r="AV53" s="26">
        <f t="shared" si="42"/>
        <v>3824.3154147288501</v>
      </c>
      <c r="AW53" s="26">
        <f t="shared" si="42"/>
        <v>3964.6372694171105</v>
      </c>
      <c r="AX53" s="26">
        <f t="shared" si="42"/>
        <v>4108.5247024329992</v>
      </c>
      <c r="AY53" s="26">
        <f t="shared" si="42"/>
        <v>4256.0683151218218</v>
      </c>
    </row>
    <row r="54" spans="1:51" x14ac:dyDescent="0.2">
      <c r="A54" s="2" t="s">
        <v>258</v>
      </c>
      <c r="B54" s="27">
        <f>B50+(B52-B53)</f>
        <v>9638.8539999999994</v>
      </c>
      <c r="C54" s="27">
        <f>C50+(C52-C53)</f>
        <v>19522.631280139998</v>
      </c>
      <c r="D54" s="27">
        <f t="shared" ref="D54:AS54" si="43">D50+(D52-D53)</f>
        <v>29657.555340968356</v>
      </c>
      <c r="E54" s="27">
        <f t="shared" si="43"/>
        <v>40050.007822182364</v>
      </c>
      <c r="F54" s="27">
        <f t="shared" si="43"/>
        <v>50706.53252094402</v>
      </c>
      <c r="G54" s="27">
        <f t="shared" si="43"/>
        <v>61633.839512301209</v>
      </c>
      <c r="H54" s="27">
        <f t="shared" si="43"/>
        <v>72838.809374308781</v>
      </c>
      <c r="I54" s="27">
        <f t="shared" si="43"/>
        <v>84328.497520509962</v>
      </c>
      <c r="J54" s="27">
        <f t="shared" si="43"/>
        <v>96110.138642506121</v>
      </c>
      <c r="K54" s="27">
        <f t="shared" si="43"/>
        <v>108191.15126541221</v>
      </c>
      <c r="L54" s="27">
        <f t="shared" si="43"/>
        <v>120579.14241906632</v>
      </c>
      <c r="M54" s="27">
        <f t="shared" si="43"/>
        <v>133281.91242793479</v>
      </c>
      <c r="N54" s="27">
        <f t="shared" si="43"/>
        <v>146307.45982272862</v>
      </c>
      <c r="O54" s="27">
        <f t="shared" si="43"/>
        <v>159663.98637682415</v>
      </c>
      <c r="P54" s="27">
        <f t="shared" si="43"/>
        <v>173359.90227065925</v>
      </c>
      <c r="Q54" s="27">
        <f t="shared" si="43"/>
        <v>187403.83138735671</v>
      </c>
      <c r="R54" s="27">
        <f t="shared" si="43"/>
        <v>201804.61674290945</v>
      </c>
      <c r="S54" s="27">
        <f t="shared" si="43"/>
        <v>216571.32605434678</v>
      </c>
      <c r="T54" s="27">
        <f t="shared" si="43"/>
        <v>231713.25744938772</v>
      </c>
      <c r="U54" s="27">
        <f t="shared" si="43"/>
        <v>247239.94532117667</v>
      </c>
      <c r="V54" s="27">
        <f t="shared" si="43"/>
        <v>263161.16633178777</v>
      </c>
      <c r="W54" s="27">
        <f t="shared" si="43"/>
        <v>279486.94556827849</v>
      </c>
      <c r="X54" s="27">
        <f t="shared" si="43"/>
        <v>296227.56285516842</v>
      </c>
      <c r="Y54" s="27">
        <f t="shared" si="43"/>
        <v>313393.55922731827</v>
      </c>
      <c r="Z54" s="27">
        <f t="shared" si="43"/>
        <v>330995.74356728443</v>
      </c>
      <c r="AA54" s="27">
        <f t="shared" si="43"/>
        <v>349045.19941132911</v>
      </c>
      <c r="AB54" s="27">
        <f t="shared" si="43"/>
        <v>367553.29192837101</v>
      </c>
      <c r="AC54" s="27">
        <f t="shared" si="43"/>
        <v>386531.67507627094</v>
      </c>
      <c r="AD54" s="27">
        <f t="shared" si="43"/>
        <v>405992.29893995897</v>
      </c>
      <c r="AE54" s="27">
        <f t="shared" si="43"/>
        <v>425947.41725602333</v>
      </c>
      <c r="AF54" s="27">
        <f t="shared" si="43"/>
        <v>446409.59512849886</v>
      </c>
      <c r="AG54" s="27">
        <f t="shared" si="43"/>
        <v>467391.71694071399</v>
      </c>
      <c r="AH54" s="27">
        <f t="shared" si="43"/>
        <v>488906.99446817755</v>
      </c>
      <c r="AI54" s="27">
        <f t="shared" si="43"/>
        <v>510968.97519761394</v>
      </c>
      <c r="AJ54" s="27">
        <f t="shared" si="43"/>
        <v>533591.55085738527</v>
      </c>
      <c r="AK54" s="27">
        <f t="shared" si="43"/>
        <v>556788.96616467147</v>
      </c>
      <c r="AL54" s="27">
        <f t="shared" si="43"/>
        <v>580575.82779491576</v>
      </c>
      <c r="AM54" s="27">
        <f t="shared" si="43"/>
        <v>604967.11357918452</v>
      </c>
      <c r="AN54" s="27">
        <f t="shared" si="43"/>
        <v>629978.18193523155</v>
      </c>
      <c r="AO54" s="27">
        <f t="shared" si="43"/>
        <v>655624.7815382058</v>
      </c>
      <c r="AP54" s="27">
        <f t="shared" si="43"/>
        <v>681923.06123709166</v>
      </c>
      <c r="AQ54" s="27">
        <f t="shared" si="43"/>
        <v>708889.5802231261</v>
      </c>
      <c r="AR54" s="27">
        <f t="shared" si="43"/>
        <v>736541.31845659576</v>
      </c>
      <c r="AS54" s="27">
        <f t="shared" si="43"/>
        <v>764895.68735857785</v>
      </c>
      <c r="AT54" s="27">
        <f>AT50+(AT52-AT53)</f>
        <v>793970.54077435937</v>
      </c>
      <c r="AU54" s="27">
        <f t="shared" ref="AU54:AY54" si="44">AU50+(AU52-AU53)</f>
        <v>823784.18621543585</v>
      </c>
      <c r="AV54" s="27">
        <f t="shared" si="44"/>
        <v>854355.39638717007</v>
      </c>
      <c r="AW54" s="27">
        <f t="shared" si="44"/>
        <v>885703.42100936803</v>
      </c>
      <c r="AX54" s="27">
        <f t="shared" si="44"/>
        <v>917847.99893721612</v>
      </c>
      <c r="AY54" s="27">
        <f t="shared" si="44"/>
        <v>950809.37059021078</v>
      </c>
    </row>
  </sheetData>
  <hyperlinks>
    <hyperlink ref="B42" r:id="rId1" xr:uid="{D9EEB048-4E4E-4B28-B93E-AFB36DB52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9BC-CFF1-4339-BFD8-7CA59687F904}">
  <sheetPr>
    <tabColor theme="8" tint="0.79998168889431442"/>
  </sheetPr>
  <dimension ref="A1:AY54"/>
  <sheetViews>
    <sheetView topLeftCell="A17" zoomScale="90" zoomScaleNormal="115" workbookViewId="0">
      <selection activeCell="B31" sqref="B31"/>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9.1640625" style="2"/>
    <col min="48" max="48" width="11.6640625" style="2" bestFit="1" customWidth="1"/>
    <col min="49" max="49" width="13.33203125" style="2" bestFit="1" customWidth="1"/>
    <col min="50" max="51" width="13.83203125" style="2" bestFit="1" customWidth="1"/>
    <col min="52" max="16384" width="9.1640625" style="2"/>
  </cols>
  <sheetData>
    <row r="1" spans="1:51" x14ac:dyDescent="0.2">
      <c r="A1" s="2" t="s">
        <v>1</v>
      </c>
      <c r="B1" s="2">
        <v>2010</v>
      </c>
      <c r="C1" s="2">
        <v>2011</v>
      </c>
      <c r="D1" s="2">
        <v>2012</v>
      </c>
      <c r="E1" s="2">
        <v>2013</v>
      </c>
      <c r="F1" s="2">
        <v>2014</v>
      </c>
      <c r="G1" s="2">
        <v>2015</v>
      </c>
      <c r="H1" s="2">
        <v>2016</v>
      </c>
      <c r="I1" s="2">
        <v>2017</v>
      </c>
      <c r="J1" s="2">
        <v>2018</v>
      </c>
      <c r="K1" s="2">
        <v>2019</v>
      </c>
      <c r="L1" s="2">
        <v>2020</v>
      </c>
      <c r="M1" s="2">
        <v>2021</v>
      </c>
      <c r="N1" s="2">
        <v>2022</v>
      </c>
      <c r="O1" s="2">
        <v>2023</v>
      </c>
      <c r="P1" s="2">
        <v>2024</v>
      </c>
      <c r="Q1" s="2">
        <v>2025</v>
      </c>
      <c r="R1" s="2">
        <v>2026</v>
      </c>
      <c r="S1" s="2">
        <v>2027</v>
      </c>
      <c r="T1" s="2">
        <v>2028</v>
      </c>
      <c r="U1" s="2">
        <v>2029</v>
      </c>
      <c r="V1" s="2">
        <v>2030</v>
      </c>
      <c r="W1" s="2">
        <v>2031</v>
      </c>
      <c r="X1" s="2">
        <v>2032</v>
      </c>
      <c r="Y1" s="2">
        <v>2033</v>
      </c>
      <c r="Z1" s="2">
        <v>2034</v>
      </c>
      <c r="AA1" s="2">
        <v>2035</v>
      </c>
      <c r="AB1" s="2">
        <v>2036</v>
      </c>
      <c r="AC1" s="2">
        <v>2037</v>
      </c>
      <c r="AD1" s="2">
        <v>2038</v>
      </c>
      <c r="AE1" s="2">
        <v>2039</v>
      </c>
      <c r="AF1" s="2">
        <v>2040</v>
      </c>
      <c r="AG1" s="2">
        <v>2041</v>
      </c>
      <c r="AH1" s="2">
        <v>2042</v>
      </c>
      <c r="AI1" s="2">
        <v>2043</v>
      </c>
      <c r="AJ1" s="2">
        <v>2044</v>
      </c>
      <c r="AK1" s="2">
        <v>2045</v>
      </c>
      <c r="AL1" s="2">
        <v>2046</v>
      </c>
      <c r="AM1" s="2">
        <v>2047</v>
      </c>
      <c r="AN1" s="2">
        <v>2048</v>
      </c>
      <c r="AO1" s="2">
        <v>2049</v>
      </c>
      <c r="AP1" s="2">
        <v>2050</v>
      </c>
      <c r="AQ1" s="2">
        <v>2051</v>
      </c>
      <c r="AR1" s="2">
        <v>2052</v>
      </c>
      <c r="AS1" s="2">
        <v>2053</v>
      </c>
      <c r="AT1" s="2">
        <v>2054</v>
      </c>
      <c r="AU1" s="2">
        <v>2055</v>
      </c>
      <c r="AV1" s="2">
        <v>2056</v>
      </c>
      <c r="AW1" s="2">
        <v>2057</v>
      </c>
      <c r="AX1" s="2">
        <v>2058</v>
      </c>
      <c r="AY1" s="2">
        <v>2059</v>
      </c>
    </row>
    <row r="2" spans="1:51" x14ac:dyDescent="0.2">
      <c r="A2" s="2" t="s">
        <v>176</v>
      </c>
      <c r="B2" s="28" cm="1">
        <f t="array" ref="B2:P2">TRANSPOSE('Income - P2 Helper'!N3:N17)</f>
        <v>53225.047210772755</v>
      </c>
      <c r="C2" s="28">
        <v>53757.297682880482</v>
      </c>
      <c r="D2" s="28">
        <v>54294.87065970929</v>
      </c>
      <c r="E2" s="28">
        <v>57146.539564721112</v>
      </c>
      <c r="F2" s="28">
        <v>57718.004960368322</v>
      </c>
      <c r="G2" s="28">
        <v>58295.185009972003</v>
      </c>
      <c r="H2" s="28">
        <v>58878.136860071725</v>
      </c>
      <c r="I2" s="28">
        <v>61970.527541342686</v>
      </c>
      <c r="J2" s="28">
        <v>62590.232816756114</v>
      </c>
      <c r="K2" s="28">
        <v>63216.135144923675</v>
      </c>
      <c r="L2" s="28">
        <v>63848.29649637291</v>
      </c>
      <c r="M2" s="28">
        <v>67201.729326111541</v>
      </c>
      <c r="N2" s="28">
        <v>67873.746619372658</v>
      </c>
      <c r="O2" s="28">
        <v>68552.484085566379</v>
      </c>
      <c r="P2" s="28">
        <v>72152.989710735768</v>
      </c>
      <c r="Q2" s="28" cm="1">
        <f t="array" ref="Q2:AY2">TRANSPOSE(Income!P3:P37)</f>
        <v>72874.519607843133</v>
      </c>
      <c r="R2" s="28">
        <v>73603.264803921571</v>
      </c>
      <c r="S2" s="28">
        <v>77283.428044117638</v>
      </c>
      <c r="T2" s="28">
        <v>78056.262324558818</v>
      </c>
      <c r="U2" s="28">
        <v>78836.824947804402</v>
      </c>
      <c r="V2" s="28">
        <v>79625.193197282453</v>
      </c>
      <c r="W2" s="28">
        <v>83606.452857146578</v>
      </c>
      <c r="X2" s="28">
        <v>84442.517385718049</v>
      </c>
      <c r="Y2" s="28">
        <v>85286.942559575225</v>
      </c>
      <c r="Z2" s="28">
        <v>86139.811985170978</v>
      </c>
      <c r="AA2" s="28">
        <v>90446.802584429533</v>
      </c>
      <c r="AB2" s="28">
        <v>91351.27061027383</v>
      </c>
      <c r="AC2" s="28">
        <v>92264.783316376575</v>
      </c>
      <c r="AD2" s="28">
        <v>96878.022482195403</v>
      </c>
      <c r="AE2" s="28">
        <v>97846.802707017356</v>
      </c>
      <c r="AF2" s="28">
        <v>98825.270734087535</v>
      </c>
      <c r="AG2" s="28">
        <v>99813.523441428406</v>
      </c>
      <c r="AH2" s="28">
        <v>100811.65867584269</v>
      </c>
      <c r="AI2" s="28">
        <v>105852.24160963483</v>
      </c>
      <c r="AJ2" s="28">
        <v>106910.76402573119</v>
      </c>
      <c r="AK2" s="28">
        <v>107979.8716659885</v>
      </c>
      <c r="AL2" s="28">
        <v>109059.67038264839</v>
      </c>
      <c r="AM2" s="28">
        <v>114512.6539017808</v>
      </c>
      <c r="AN2" s="28">
        <v>115657.78044079861</v>
      </c>
      <c r="AO2" s="28">
        <v>116814.3582452066</v>
      </c>
      <c r="AP2" s="28">
        <v>117982.50182765868</v>
      </c>
      <c r="AQ2" s="28">
        <v>119162.32684593527</v>
      </c>
      <c r="AR2" s="28">
        <v>120353.95011439463</v>
      </c>
      <c r="AS2" s="28">
        <v>121557.48961553858</v>
      </c>
      <c r="AT2" s="28">
        <v>122773.06451169397</v>
      </c>
      <c r="AU2" s="2">
        <v>124000.79515681091</v>
      </c>
      <c r="AV2" s="2">
        <v>125240.80310837903</v>
      </c>
      <c r="AW2" s="2">
        <v>126493.21113946282</v>
      </c>
      <c r="AX2" s="2">
        <v>127758.14325085745</v>
      </c>
      <c r="AY2" s="2">
        <v>129035.72468336603</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2661.2523605386377</v>
      </c>
      <c r="C4" s="28">
        <f t="shared" ref="C4:AY4" si="0">C3*C2</f>
        <v>2687.8648841440245</v>
      </c>
      <c r="D4" s="28">
        <f t="shared" si="0"/>
        <v>2714.7435329854648</v>
      </c>
      <c r="E4" s="28">
        <f t="shared" si="0"/>
        <v>2857.3269782360558</v>
      </c>
      <c r="F4" s="28">
        <f t="shared" si="0"/>
        <v>2885.9002480184163</v>
      </c>
      <c r="G4" s="28">
        <f t="shared" si="0"/>
        <v>2914.7592504986005</v>
      </c>
      <c r="H4" s="28">
        <f t="shared" si="0"/>
        <v>2943.9068430035863</v>
      </c>
      <c r="I4" s="28">
        <f t="shared" si="0"/>
        <v>3098.5263770671345</v>
      </c>
      <c r="J4" s="28">
        <f t="shared" si="0"/>
        <v>3129.5116408378058</v>
      </c>
      <c r="K4" s="28">
        <f t="shared" si="0"/>
        <v>3160.8067572461841</v>
      </c>
      <c r="L4" s="28">
        <f t="shared" si="0"/>
        <v>3192.4148248186457</v>
      </c>
      <c r="M4" s="28">
        <f t="shared" si="0"/>
        <v>3360.0864663055772</v>
      </c>
      <c r="N4" s="28">
        <f t="shared" si="0"/>
        <v>3393.687330968633</v>
      </c>
      <c r="O4" s="28">
        <f t="shared" si="0"/>
        <v>3427.6242042783192</v>
      </c>
      <c r="P4" s="28">
        <f t="shared" si="0"/>
        <v>3607.6494855367887</v>
      </c>
      <c r="Q4" s="28">
        <f t="shared" si="0"/>
        <v>3643.725980392157</v>
      </c>
      <c r="R4" s="28">
        <f t="shared" si="0"/>
        <v>3680.1632401960787</v>
      </c>
      <c r="S4" s="28">
        <f t="shared" si="0"/>
        <v>3864.1714022058823</v>
      </c>
      <c r="T4" s="28">
        <f t="shared" si="0"/>
        <v>3902.813116227941</v>
      </c>
      <c r="U4" s="28">
        <f t="shared" si="0"/>
        <v>3941.8412473902204</v>
      </c>
      <c r="V4" s="28">
        <f t="shared" si="0"/>
        <v>3981.259659864123</v>
      </c>
      <c r="W4" s="28">
        <f t="shared" si="0"/>
        <v>4180.3226428573289</v>
      </c>
      <c r="X4" s="28">
        <f t="shared" si="0"/>
        <v>4222.1258692859028</v>
      </c>
      <c r="Y4" s="28">
        <f t="shared" si="0"/>
        <v>4264.3471279787618</v>
      </c>
      <c r="Z4" s="28">
        <f t="shared" si="0"/>
        <v>4306.9905992585491</v>
      </c>
      <c r="AA4" s="28">
        <f t="shared" si="0"/>
        <v>4522.3401292214767</v>
      </c>
      <c r="AB4" s="28">
        <f t="shared" si="0"/>
        <v>4567.5635305136921</v>
      </c>
      <c r="AC4" s="28">
        <f t="shared" si="0"/>
        <v>4613.239165818829</v>
      </c>
      <c r="AD4" s="28">
        <f t="shared" si="0"/>
        <v>4843.9011241097705</v>
      </c>
      <c r="AE4" s="28">
        <f t="shared" si="0"/>
        <v>4892.340135350868</v>
      </c>
      <c r="AF4" s="28">
        <f t="shared" si="0"/>
        <v>4941.2635367043767</v>
      </c>
      <c r="AG4" s="28">
        <f t="shared" si="0"/>
        <v>4990.6761720714203</v>
      </c>
      <c r="AH4" s="28">
        <f t="shared" si="0"/>
        <v>5040.582933792135</v>
      </c>
      <c r="AI4" s="28">
        <f t="shared" si="0"/>
        <v>5292.6120804817419</v>
      </c>
      <c r="AJ4" s="28">
        <f t="shared" si="0"/>
        <v>5345.5382012865593</v>
      </c>
      <c r="AK4" s="28">
        <f t="shared" si="0"/>
        <v>5398.9935832994252</v>
      </c>
      <c r="AL4" s="28">
        <f t="shared" si="0"/>
        <v>5452.98351913242</v>
      </c>
      <c r="AM4" s="28">
        <f t="shared" si="0"/>
        <v>5725.6326950890398</v>
      </c>
      <c r="AN4" s="28">
        <f t="shared" si="0"/>
        <v>5782.8890220399308</v>
      </c>
      <c r="AO4" s="28">
        <f t="shared" si="0"/>
        <v>5840.7179122603302</v>
      </c>
      <c r="AP4" s="28">
        <f t="shared" si="0"/>
        <v>5899.1250913829344</v>
      </c>
      <c r="AQ4" s="28">
        <f t="shared" si="0"/>
        <v>5958.1163422967638</v>
      </c>
      <c r="AR4" s="28">
        <f t="shared" si="0"/>
        <v>6017.6975057197315</v>
      </c>
      <c r="AS4" s="28">
        <f t="shared" si="0"/>
        <v>6077.874480776929</v>
      </c>
      <c r="AT4" s="28">
        <f t="shared" si="0"/>
        <v>6138.6532255846987</v>
      </c>
      <c r="AU4" s="28">
        <f t="shared" si="0"/>
        <v>6200.0397578405464</v>
      </c>
      <c r="AV4" s="28">
        <f t="shared" si="0"/>
        <v>6262.0401554189521</v>
      </c>
      <c r="AW4" s="28">
        <f t="shared" si="0"/>
        <v>6324.660556973141</v>
      </c>
      <c r="AX4" s="28">
        <f t="shared" si="0"/>
        <v>6387.9071625428733</v>
      </c>
      <c r="AY4" s="28">
        <f t="shared" si="0"/>
        <v>6451.7862341683021</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5322.5047210772755</v>
      </c>
      <c r="C6" s="28">
        <f t="shared" ref="C6:AY6" si="1">C4*2</f>
        <v>5375.7297682880489</v>
      </c>
      <c r="D6" s="28">
        <f t="shared" si="1"/>
        <v>5429.4870659709295</v>
      </c>
      <c r="E6" s="28">
        <f t="shared" si="1"/>
        <v>5714.6539564721115</v>
      </c>
      <c r="F6" s="28">
        <f t="shared" si="1"/>
        <v>5771.8004960368326</v>
      </c>
      <c r="G6" s="28">
        <f t="shared" si="1"/>
        <v>5829.518500997201</v>
      </c>
      <c r="H6" s="28">
        <f t="shared" si="1"/>
        <v>5887.8136860071727</v>
      </c>
      <c r="I6" s="28">
        <f t="shared" si="1"/>
        <v>6197.052754134269</v>
      </c>
      <c r="J6" s="28">
        <f t="shared" si="1"/>
        <v>6259.0232816756115</v>
      </c>
      <c r="K6" s="28">
        <f t="shared" si="1"/>
        <v>6321.6135144923683</v>
      </c>
      <c r="L6" s="28">
        <f t="shared" si="1"/>
        <v>6384.8296496372914</v>
      </c>
      <c r="M6" s="28">
        <f t="shared" si="1"/>
        <v>6720.1729326111545</v>
      </c>
      <c r="N6" s="28">
        <f t="shared" si="1"/>
        <v>6787.374661937266</v>
      </c>
      <c r="O6" s="28">
        <f t="shared" si="1"/>
        <v>6855.2484085566384</v>
      </c>
      <c r="P6" s="28">
        <f t="shared" si="1"/>
        <v>7215.2989710735774</v>
      </c>
      <c r="Q6" s="28">
        <f t="shared" si="1"/>
        <v>7287.451960784314</v>
      </c>
      <c r="R6" s="28">
        <f t="shared" si="1"/>
        <v>7360.3264803921575</v>
      </c>
      <c r="S6" s="28">
        <f t="shared" si="1"/>
        <v>7728.3428044117645</v>
      </c>
      <c r="T6" s="28">
        <f t="shared" si="1"/>
        <v>7805.626232455882</v>
      </c>
      <c r="U6" s="28">
        <f t="shared" si="1"/>
        <v>7883.6824947804407</v>
      </c>
      <c r="V6" s="28">
        <f t="shared" si="1"/>
        <v>7962.519319728246</v>
      </c>
      <c r="W6" s="28">
        <f t="shared" si="1"/>
        <v>8360.6452857146578</v>
      </c>
      <c r="X6" s="28">
        <f t="shared" si="1"/>
        <v>8444.2517385718056</v>
      </c>
      <c r="Y6" s="28">
        <f t="shared" si="1"/>
        <v>8528.6942559575236</v>
      </c>
      <c r="Z6" s="28">
        <f t="shared" si="1"/>
        <v>8613.9811985170982</v>
      </c>
      <c r="AA6" s="28">
        <f t="shared" si="1"/>
        <v>9044.6802584429533</v>
      </c>
      <c r="AB6" s="28">
        <f t="shared" si="1"/>
        <v>9135.1270610273841</v>
      </c>
      <c r="AC6" s="28">
        <f t="shared" si="1"/>
        <v>9226.4783316376579</v>
      </c>
      <c r="AD6" s="28">
        <f t="shared" si="1"/>
        <v>9687.8022482195411</v>
      </c>
      <c r="AE6" s="28">
        <f t="shared" si="1"/>
        <v>9784.6802707017359</v>
      </c>
      <c r="AF6" s="28">
        <f t="shared" si="1"/>
        <v>9882.5270734087535</v>
      </c>
      <c r="AG6" s="28">
        <f t="shared" si="1"/>
        <v>9981.3523441428406</v>
      </c>
      <c r="AH6" s="28">
        <f t="shared" si="1"/>
        <v>10081.16586758427</v>
      </c>
      <c r="AI6" s="28">
        <f t="shared" si="1"/>
        <v>10585.224160963484</v>
      </c>
      <c r="AJ6" s="28">
        <f t="shared" si="1"/>
        <v>10691.076402573119</v>
      </c>
      <c r="AK6" s="28">
        <f t="shared" si="1"/>
        <v>10797.98716659885</v>
      </c>
      <c r="AL6" s="28">
        <f t="shared" si="1"/>
        <v>10905.96703826484</v>
      </c>
      <c r="AM6" s="28">
        <f t="shared" si="1"/>
        <v>11451.26539017808</v>
      </c>
      <c r="AN6" s="28">
        <f t="shared" si="1"/>
        <v>11565.778044079862</v>
      </c>
      <c r="AO6" s="28">
        <f t="shared" si="1"/>
        <v>11681.43582452066</v>
      </c>
      <c r="AP6" s="28">
        <f t="shared" si="1"/>
        <v>11798.250182765869</v>
      </c>
      <c r="AQ6" s="28">
        <f t="shared" si="1"/>
        <v>11916.232684593528</v>
      </c>
      <c r="AR6" s="28">
        <f t="shared" si="1"/>
        <v>12035.395011439463</v>
      </c>
      <c r="AS6" s="28">
        <f t="shared" si="1"/>
        <v>12155.748961553858</v>
      </c>
      <c r="AT6" s="28">
        <f t="shared" si="1"/>
        <v>12277.306451169397</v>
      </c>
      <c r="AU6" s="28">
        <f t="shared" si="1"/>
        <v>12400.079515681093</v>
      </c>
      <c r="AV6" s="28">
        <f t="shared" si="1"/>
        <v>12524.080310837904</v>
      </c>
      <c r="AW6" s="28">
        <f t="shared" si="1"/>
        <v>12649.321113946282</v>
      </c>
      <c r="AX6" s="28">
        <f t="shared" si="1"/>
        <v>12775.814325085747</v>
      </c>
      <c r="AY6" s="28">
        <f t="shared" si="1"/>
        <v>12903.572468336604</v>
      </c>
    </row>
    <row r="7" spans="1:51" x14ac:dyDescent="0.2">
      <c r="A7" s="2" t="s">
        <v>180</v>
      </c>
      <c r="B7" s="29">
        <f>SUM(B6,B4)</f>
        <v>7983.7570816159132</v>
      </c>
      <c r="C7" s="29">
        <f t="shared" ref="C7:AY7" si="2">SUM(C6,C4)</f>
        <v>8063.5946524320734</v>
      </c>
      <c r="D7" s="29">
        <f t="shared" si="2"/>
        <v>8144.2305989563938</v>
      </c>
      <c r="E7" s="29">
        <f t="shared" si="2"/>
        <v>8571.9809347081682</v>
      </c>
      <c r="F7" s="29">
        <f t="shared" si="2"/>
        <v>8657.7007440552479</v>
      </c>
      <c r="G7" s="29">
        <f t="shared" si="2"/>
        <v>8744.2777514958016</v>
      </c>
      <c r="H7" s="29">
        <f t="shared" si="2"/>
        <v>8831.7205290107595</v>
      </c>
      <c r="I7" s="29">
        <f t="shared" si="2"/>
        <v>9295.5791312014044</v>
      </c>
      <c r="J7" s="29">
        <f t="shared" si="2"/>
        <v>9388.5349225134178</v>
      </c>
      <c r="K7" s="29">
        <f t="shared" si="2"/>
        <v>9482.4202717385524</v>
      </c>
      <c r="L7" s="29">
        <f t="shared" si="2"/>
        <v>9577.2444744559361</v>
      </c>
      <c r="M7" s="29">
        <f t="shared" si="2"/>
        <v>10080.259398916733</v>
      </c>
      <c r="N7" s="29">
        <f t="shared" si="2"/>
        <v>10181.061992905899</v>
      </c>
      <c r="O7" s="29">
        <f t="shared" si="2"/>
        <v>10282.872612834957</v>
      </c>
      <c r="P7" s="29">
        <f t="shared" si="2"/>
        <v>10822.948456610366</v>
      </c>
      <c r="Q7" s="29">
        <f t="shared" si="2"/>
        <v>10931.177941176471</v>
      </c>
      <c r="R7" s="29">
        <f t="shared" si="2"/>
        <v>11040.489720588237</v>
      </c>
      <c r="S7" s="29">
        <f t="shared" si="2"/>
        <v>11592.514206617647</v>
      </c>
      <c r="T7" s="29">
        <f t="shared" si="2"/>
        <v>11708.439348683823</v>
      </c>
      <c r="U7" s="29">
        <f t="shared" si="2"/>
        <v>11825.523742170661</v>
      </c>
      <c r="V7" s="29">
        <f t="shared" si="2"/>
        <v>11943.778979592369</v>
      </c>
      <c r="W7" s="29">
        <f t="shared" si="2"/>
        <v>12540.967928571987</v>
      </c>
      <c r="X7" s="29">
        <f t="shared" si="2"/>
        <v>12666.377607857708</v>
      </c>
      <c r="Y7" s="29">
        <f t="shared" si="2"/>
        <v>12793.041383936285</v>
      </c>
      <c r="Z7" s="29">
        <f t="shared" si="2"/>
        <v>12920.971797775648</v>
      </c>
      <c r="AA7" s="29">
        <f t="shared" si="2"/>
        <v>13567.02038766443</v>
      </c>
      <c r="AB7" s="29">
        <f t="shared" si="2"/>
        <v>13702.690591541075</v>
      </c>
      <c r="AC7" s="29">
        <f t="shared" si="2"/>
        <v>13839.717497456488</v>
      </c>
      <c r="AD7" s="29">
        <f t="shared" si="2"/>
        <v>14531.703372329312</v>
      </c>
      <c r="AE7" s="29">
        <f t="shared" si="2"/>
        <v>14677.020406052605</v>
      </c>
      <c r="AF7" s="29">
        <f t="shared" si="2"/>
        <v>14823.79061011313</v>
      </c>
      <c r="AG7" s="29">
        <f t="shared" si="2"/>
        <v>14972.028516214261</v>
      </c>
      <c r="AH7" s="29">
        <f t="shared" si="2"/>
        <v>15121.748801376405</v>
      </c>
      <c r="AI7" s="29">
        <f t="shared" si="2"/>
        <v>15877.836241445226</v>
      </c>
      <c r="AJ7" s="29">
        <f t="shared" si="2"/>
        <v>16036.614603859678</v>
      </c>
      <c r="AK7" s="29">
        <f t="shared" si="2"/>
        <v>16196.980749898275</v>
      </c>
      <c r="AL7" s="29">
        <f t="shared" si="2"/>
        <v>16358.95055739726</v>
      </c>
      <c r="AM7" s="29">
        <f t="shared" si="2"/>
        <v>17176.898085267119</v>
      </c>
      <c r="AN7" s="29">
        <f t="shared" si="2"/>
        <v>17348.667066119793</v>
      </c>
      <c r="AO7" s="29">
        <f t="shared" si="2"/>
        <v>17522.153736780991</v>
      </c>
      <c r="AP7" s="29">
        <f t="shared" si="2"/>
        <v>17697.375274148802</v>
      </c>
      <c r="AQ7" s="29">
        <f t="shared" si="2"/>
        <v>17874.34902689029</v>
      </c>
      <c r="AR7" s="29">
        <f t="shared" si="2"/>
        <v>18053.092517159195</v>
      </c>
      <c r="AS7" s="29">
        <f t="shared" si="2"/>
        <v>18233.623442330787</v>
      </c>
      <c r="AT7" s="29">
        <f t="shared" si="2"/>
        <v>18415.959676754097</v>
      </c>
      <c r="AU7" s="29">
        <f t="shared" si="2"/>
        <v>18600.119273521639</v>
      </c>
      <c r="AV7" s="29">
        <f t="shared" si="2"/>
        <v>18786.120466256856</v>
      </c>
      <c r="AW7" s="29">
        <f t="shared" si="2"/>
        <v>18973.981670919424</v>
      </c>
      <c r="AX7" s="29">
        <f t="shared" si="2"/>
        <v>19163.72148762862</v>
      </c>
      <c r="AY7" s="29">
        <f t="shared" si="2"/>
        <v>19355.358702504906</v>
      </c>
    </row>
    <row r="8" spans="1:51" x14ac:dyDescent="0.2">
      <c r="A8" s="2" t="s">
        <v>181</v>
      </c>
      <c r="B8" s="28">
        <f>B7*12</f>
        <v>95805.084979390958</v>
      </c>
      <c r="C8" s="28">
        <f t="shared" ref="C8:AY8" si="3">C7*12</f>
        <v>96763.135829184874</v>
      </c>
      <c r="D8" s="28">
        <f t="shared" si="3"/>
        <v>97730.767187476726</v>
      </c>
      <c r="E8" s="28">
        <f t="shared" si="3"/>
        <v>102863.77121649802</v>
      </c>
      <c r="F8" s="28">
        <f t="shared" si="3"/>
        <v>103892.40892866298</v>
      </c>
      <c r="G8" s="28">
        <f t="shared" si="3"/>
        <v>104931.33301794963</v>
      </c>
      <c r="H8" s="28">
        <f t="shared" si="3"/>
        <v>105980.64634812911</v>
      </c>
      <c r="I8" s="28">
        <f t="shared" si="3"/>
        <v>111546.94957441685</v>
      </c>
      <c r="J8" s="28">
        <f t="shared" si="3"/>
        <v>112662.41907016101</v>
      </c>
      <c r="K8" s="28">
        <f t="shared" si="3"/>
        <v>113789.04326086263</v>
      </c>
      <c r="L8" s="28">
        <f t="shared" si="3"/>
        <v>114926.93369347123</v>
      </c>
      <c r="M8" s="28">
        <f t="shared" si="3"/>
        <v>120963.11278700079</v>
      </c>
      <c r="N8" s="28">
        <f t="shared" si="3"/>
        <v>122172.74391487079</v>
      </c>
      <c r="O8" s="28">
        <f t="shared" si="3"/>
        <v>123394.47135401948</v>
      </c>
      <c r="P8" s="28">
        <f t="shared" si="3"/>
        <v>129875.38147932439</v>
      </c>
      <c r="Q8" s="28">
        <f t="shared" si="3"/>
        <v>131174.13529411764</v>
      </c>
      <c r="R8" s="28">
        <f t="shared" si="3"/>
        <v>132485.87664705885</v>
      </c>
      <c r="S8" s="28">
        <f t="shared" si="3"/>
        <v>139110.17047941175</v>
      </c>
      <c r="T8" s="28">
        <f t="shared" si="3"/>
        <v>140501.27218420588</v>
      </c>
      <c r="U8" s="28">
        <f t="shared" si="3"/>
        <v>141906.28490604792</v>
      </c>
      <c r="V8" s="28">
        <f t="shared" si="3"/>
        <v>143325.34775510844</v>
      </c>
      <c r="W8" s="28">
        <f t="shared" si="3"/>
        <v>150491.61514286383</v>
      </c>
      <c r="X8" s="28">
        <f t="shared" si="3"/>
        <v>151996.53129429251</v>
      </c>
      <c r="Y8" s="28">
        <f t="shared" si="3"/>
        <v>153516.4966072354</v>
      </c>
      <c r="Z8" s="28">
        <f t="shared" si="3"/>
        <v>155051.66157330776</v>
      </c>
      <c r="AA8" s="28">
        <f t="shared" si="3"/>
        <v>162804.24465197316</v>
      </c>
      <c r="AB8" s="28">
        <f t="shared" si="3"/>
        <v>164432.2870984929</v>
      </c>
      <c r="AC8" s="28">
        <f t="shared" si="3"/>
        <v>166076.60996947787</v>
      </c>
      <c r="AD8" s="28">
        <f t="shared" si="3"/>
        <v>174380.44046795173</v>
      </c>
      <c r="AE8" s="28">
        <f t="shared" si="3"/>
        <v>176124.24487263127</v>
      </c>
      <c r="AF8" s="28">
        <f t="shared" si="3"/>
        <v>177885.48732135756</v>
      </c>
      <c r="AG8" s="28">
        <f t="shared" si="3"/>
        <v>179664.34219457113</v>
      </c>
      <c r="AH8" s="28">
        <f t="shared" si="3"/>
        <v>181460.98561651685</v>
      </c>
      <c r="AI8" s="28">
        <f t="shared" si="3"/>
        <v>190534.0348973427</v>
      </c>
      <c r="AJ8" s="28">
        <f t="shared" si="3"/>
        <v>192439.37524631614</v>
      </c>
      <c r="AK8" s="28">
        <f t="shared" si="3"/>
        <v>194363.7689987793</v>
      </c>
      <c r="AL8" s="28">
        <f t="shared" si="3"/>
        <v>196307.40668876714</v>
      </c>
      <c r="AM8" s="28">
        <f t="shared" si="3"/>
        <v>206122.77702320542</v>
      </c>
      <c r="AN8" s="28">
        <f t="shared" si="3"/>
        <v>208184.00479343752</v>
      </c>
      <c r="AO8" s="28">
        <f t="shared" si="3"/>
        <v>210265.84484137187</v>
      </c>
      <c r="AP8" s="28">
        <f t="shared" si="3"/>
        <v>212368.50328978564</v>
      </c>
      <c r="AQ8" s="28">
        <f t="shared" si="3"/>
        <v>214492.18832268348</v>
      </c>
      <c r="AR8" s="28">
        <f t="shared" si="3"/>
        <v>216637.11020591034</v>
      </c>
      <c r="AS8" s="28">
        <f t="shared" si="3"/>
        <v>218803.48130796943</v>
      </c>
      <c r="AT8" s="28">
        <f t="shared" si="3"/>
        <v>220991.51612104918</v>
      </c>
      <c r="AU8" s="28">
        <f t="shared" si="3"/>
        <v>223201.43128225967</v>
      </c>
      <c r="AV8" s="28">
        <f t="shared" si="3"/>
        <v>225433.44559508227</v>
      </c>
      <c r="AW8" s="28">
        <f t="shared" si="3"/>
        <v>227687.78005103307</v>
      </c>
      <c r="AX8" s="28">
        <f t="shared" si="3"/>
        <v>229964.65785154345</v>
      </c>
      <c r="AY8" s="28">
        <f t="shared" si="3"/>
        <v>232264.30443005887</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14854176.445099022</v>
      </c>
    </row>
    <row r="17" spans="1:4" x14ac:dyDescent="0.2">
      <c r="A17" s="2" t="s">
        <v>184</v>
      </c>
      <c r="B17" s="28">
        <f>B16/25</f>
        <v>594167.05780396087</v>
      </c>
      <c r="C17" s="2" t="s">
        <v>182</v>
      </c>
    </row>
    <row r="18" spans="1:4" x14ac:dyDescent="0.2">
      <c r="A18" s="2" t="s">
        <v>183</v>
      </c>
      <c r="B18" s="30">
        <f>B17/12</f>
        <v>49513.921483663406</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0.02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2010</v>
      </c>
      <c r="C33" s="2">
        <v>2011</v>
      </c>
      <c r="D33" s="2">
        <v>2012</v>
      </c>
      <c r="E33" s="2">
        <v>2013</v>
      </c>
      <c r="F33" s="2">
        <v>2014</v>
      </c>
      <c r="G33" s="2">
        <v>2015</v>
      </c>
      <c r="H33" s="2">
        <v>2016</v>
      </c>
      <c r="I33" s="2">
        <v>2017</v>
      </c>
      <c r="J33" s="2">
        <v>2018</v>
      </c>
      <c r="K33" s="2">
        <v>2019</v>
      </c>
      <c r="L33" s="2">
        <v>2020</v>
      </c>
      <c r="M33" s="2">
        <v>2021</v>
      </c>
      <c r="N33" s="2">
        <v>2022</v>
      </c>
      <c r="O33" s="2">
        <v>2023</v>
      </c>
      <c r="P33" s="2">
        <v>2024</v>
      </c>
      <c r="Q33" s="2">
        <v>2025</v>
      </c>
      <c r="R33" s="2">
        <v>2026</v>
      </c>
      <c r="S33" s="2">
        <v>2027</v>
      </c>
      <c r="T33" s="2">
        <v>2028</v>
      </c>
      <c r="U33" s="2">
        <v>2029</v>
      </c>
      <c r="V33" s="2">
        <v>2030</v>
      </c>
      <c r="W33" s="2">
        <v>2031</v>
      </c>
      <c r="X33" s="2">
        <v>2032</v>
      </c>
      <c r="Y33" s="2">
        <v>2033</v>
      </c>
      <c r="Z33" s="2">
        <v>2034</v>
      </c>
      <c r="AA33" s="2">
        <v>2035</v>
      </c>
      <c r="AB33" s="2">
        <v>2036</v>
      </c>
      <c r="AC33" s="2">
        <v>2037</v>
      </c>
      <c r="AD33" s="2">
        <v>2038</v>
      </c>
      <c r="AE33" s="2">
        <v>2039</v>
      </c>
      <c r="AF33" s="2">
        <v>2040</v>
      </c>
      <c r="AG33" s="2">
        <v>2041</v>
      </c>
      <c r="AH33" s="2">
        <v>2042</v>
      </c>
      <c r="AI33" s="2">
        <v>2043</v>
      </c>
      <c r="AJ33" s="2">
        <v>2044</v>
      </c>
      <c r="AK33" s="2">
        <v>2045</v>
      </c>
      <c r="AL33" s="2">
        <v>2046</v>
      </c>
      <c r="AM33" s="2">
        <v>2047</v>
      </c>
      <c r="AN33" s="2">
        <v>2048</v>
      </c>
      <c r="AO33" s="2">
        <v>2049</v>
      </c>
      <c r="AP33" s="2">
        <v>2050</v>
      </c>
      <c r="AQ33" s="2">
        <v>2051</v>
      </c>
      <c r="AR33" s="2">
        <v>2052</v>
      </c>
      <c r="AS33" s="2">
        <v>2053</v>
      </c>
      <c r="AT33" s="2">
        <v>2054</v>
      </c>
      <c r="AU33" s="2">
        <v>2055</v>
      </c>
      <c r="AV33" s="2">
        <v>2056</v>
      </c>
      <c r="AW33" s="2">
        <v>2057</v>
      </c>
      <c r="AX33" s="2">
        <v>2058</v>
      </c>
      <c r="AY33" s="2">
        <v>2059</v>
      </c>
    </row>
    <row r="34" spans="1:51" x14ac:dyDescent="0.2">
      <c r="A34" s="2" t="s">
        <v>249</v>
      </c>
      <c r="B34" s="26">
        <f>B8</f>
        <v>95805.084979390958</v>
      </c>
      <c r="C34" s="26">
        <f t="shared" ref="C34:AY34" si="4">B38+C8</f>
        <v>195002.62801790214</v>
      </c>
      <c r="D34" s="26">
        <f t="shared" si="4"/>
        <v>297688.41198331374</v>
      </c>
      <c r="E34" s="26">
        <f t="shared" si="4"/>
        <v>408116.44574830774</v>
      </c>
      <c r="F34" s="26">
        <f t="shared" si="4"/>
        <v>522379.09356343525</v>
      </c>
      <c r="G34" s="26">
        <f t="shared" si="4"/>
        <v>640584.07934883179</v>
      </c>
      <c r="H34" s="26">
        <f t="shared" si="4"/>
        <v>762841.96715321473</v>
      </c>
      <c r="I34" s="26">
        <f t="shared" si="4"/>
        <v>893772.73111299472</v>
      </c>
      <c r="J34" s="26">
        <f t="shared" si="4"/>
        <v>1029145.915280737</v>
      </c>
      <c r="K34" s="26">
        <f t="shared" si="4"/>
        <v>1169085.556248883</v>
      </c>
      <c r="L34" s="26">
        <f t="shared" si="4"/>
        <v>1313718.9539266382</v>
      </c>
      <c r="M34" s="26">
        <f t="shared" si="4"/>
        <v>1468063.665332915</v>
      </c>
      <c r="N34" s="26">
        <f t="shared" si="4"/>
        <v>1627539.9069838952</v>
      </c>
      <c r="O34" s="26">
        <f t="shared" si="4"/>
        <v>1792290.1673743753</v>
      </c>
      <c r="P34" s="26">
        <f t="shared" si="4"/>
        <v>1967707.6420066825</v>
      </c>
      <c r="Q34" s="26">
        <f t="shared" si="4"/>
        <v>2148881.2284841901</v>
      </c>
      <c r="R34" s="26">
        <f t="shared" si="4"/>
        <v>2335970.1771470322</v>
      </c>
      <c r="S34" s="26">
        <f t="shared" si="4"/>
        <v>2534437.3498277501</v>
      </c>
      <c r="T34" s="26">
        <f t="shared" si="4"/>
        <v>2739338.6750710788</v>
      </c>
      <c r="U34" s="26">
        <f t="shared" si="4"/>
        <v>2950851.5557106826</v>
      </c>
      <c r="V34" s="26">
        <f t="shared" si="4"/>
        <v>3169158.0414963998</v>
      </c>
      <c r="W34" s="26">
        <f t="shared" si="4"/>
        <v>3400177.9624736873</v>
      </c>
      <c r="X34" s="26">
        <f t="shared" si="4"/>
        <v>3638573.015794436</v>
      </c>
      <c r="Y34" s="26">
        <f t="shared" si="4"/>
        <v>3884545.6527330084</v>
      </c>
      <c r="Z34" s="26">
        <f t="shared" si="4"/>
        <v>4138303.6193422619</v>
      </c>
      <c r="AA34" s="26">
        <f t="shared" si="4"/>
        <v>4406262.1589617217</v>
      </c>
      <c r="AB34" s="26">
        <f t="shared" si="4"/>
        <v>4682657.5675194319</v>
      </c>
      <c r="AC34" s="26">
        <f t="shared" si="4"/>
        <v>4967720.5062795784</v>
      </c>
      <c r="AD34" s="26">
        <f t="shared" si="4"/>
        <v>5268330.7248120941</v>
      </c>
      <c r="AE34" s="26">
        <f t="shared" si="4"/>
        <v>5578323.2534022005</v>
      </c>
      <c r="AF34" s="26">
        <f t="shared" si="4"/>
        <v>5897953.9345925078</v>
      </c>
      <c r="AG34" s="26">
        <f t="shared" si="4"/>
        <v>6227485.2862650743</v>
      </c>
      <c r="AH34" s="26">
        <f t="shared" si="4"/>
        <v>6567186.6730055874</v>
      </c>
      <c r="AI34" s="26">
        <f t="shared" si="4"/>
        <v>6924592.9212640021</v>
      </c>
      <c r="AJ34" s="26">
        <f t="shared" si="4"/>
        <v>7292986.2026396366</v>
      </c>
      <c r="AK34" s="26">
        <f t="shared" si="4"/>
        <v>7672664.7510474892</v>
      </c>
      <c r="AL34" s="26">
        <f t="shared" si="4"/>
        <v>8063934.5690603731</v>
      </c>
      <c r="AM34" s="26">
        <f t="shared" si="4"/>
        <v>8474961.9234834015</v>
      </c>
      <c r="AN34" s="26">
        <f t="shared" si="4"/>
        <v>8898494.7107525524</v>
      </c>
      <c r="AO34" s="26">
        <f t="shared" si="4"/>
        <v>9334871.3061941471</v>
      </c>
      <c r="AP34" s="26">
        <f t="shared" si="4"/>
        <v>9784438.8893743251</v>
      </c>
      <c r="AQ34" s="26">
        <f t="shared" si="4"/>
        <v>10247553.669876011</v>
      </c>
      <c r="AR34" s="26">
        <f t="shared" si="4"/>
        <v>10724581.118833471</v>
      </c>
      <c r="AS34" s="26">
        <f t="shared" si="4"/>
        <v>11215896.206370998</v>
      </c>
      <c r="AT34" s="26">
        <f t="shared" si="4"/>
        <v>11721883.645095933</v>
      </c>
      <c r="AU34" s="26">
        <f t="shared" si="4"/>
        <v>12242938.139800081</v>
      </c>
      <c r="AV34" s="26">
        <f t="shared" si="4"/>
        <v>12779464.643527484</v>
      </c>
      <c r="AW34" s="26">
        <f t="shared" si="4"/>
        <v>13331878.62017055</v>
      </c>
      <c r="AX34" s="26">
        <f t="shared" si="4"/>
        <v>13900606.313760627</v>
      </c>
      <c r="AY34" s="26">
        <f t="shared" si="4"/>
        <v>14486085.024623344</v>
      </c>
    </row>
    <row r="35" spans="1:51" x14ac:dyDescent="0.2">
      <c r="A35" s="2" t="s">
        <v>245</v>
      </c>
      <c r="B35" s="17">
        <f>$B$26</f>
        <v>0.03</v>
      </c>
      <c r="C35" s="17">
        <f>$B$26</f>
        <v>0.03</v>
      </c>
      <c r="D35" s="17">
        <f t="shared" ref="D35:AY35" si="5">$B$26</f>
        <v>0.03</v>
      </c>
      <c r="E35" s="17">
        <f t="shared" si="5"/>
        <v>0.03</v>
      </c>
      <c r="F35" s="17">
        <f t="shared" si="5"/>
        <v>0.03</v>
      </c>
      <c r="G35" s="17">
        <f t="shared" si="5"/>
        <v>0.03</v>
      </c>
      <c r="H35" s="17">
        <f t="shared" si="5"/>
        <v>0.03</v>
      </c>
      <c r="I35" s="17">
        <f t="shared" si="5"/>
        <v>0.03</v>
      </c>
      <c r="J35" s="17">
        <f t="shared" si="5"/>
        <v>0.03</v>
      </c>
      <c r="K35" s="17">
        <f t="shared" si="5"/>
        <v>0.03</v>
      </c>
      <c r="L35" s="17">
        <f t="shared" si="5"/>
        <v>0.03</v>
      </c>
      <c r="M35" s="17">
        <f t="shared" si="5"/>
        <v>0.03</v>
      </c>
      <c r="N35" s="17">
        <f t="shared" si="5"/>
        <v>0.03</v>
      </c>
      <c r="O35" s="17">
        <f t="shared" si="5"/>
        <v>0.03</v>
      </c>
      <c r="P35" s="17">
        <f t="shared" si="5"/>
        <v>0.03</v>
      </c>
      <c r="Q35" s="17">
        <f t="shared" si="5"/>
        <v>0.03</v>
      </c>
      <c r="R35" s="17">
        <f t="shared" si="5"/>
        <v>0.03</v>
      </c>
      <c r="S35" s="17">
        <f t="shared" si="5"/>
        <v>0.03</v>
      </c>
      <c r="T35" s="17">
        <f t="shared" si="5"/>
        <v>0.03</v>
      </c>
      <c r="U35" s="17">
        <f t="shared" si="5"/>
        <v>0.03</v>
      </c>
      <c r="V35" s="17">
        <f t="shared" si="5"/>
        <v>0.03</v>
      </c>
      <c r="W35" s="17">
        <f t="shared" si="5"/>
        <v>0.03</v>
      </c>
      <c r="X35" s="17">
        <f t="shared" si="5"/>
        <v>0.03</v>
      </c>
      <c r="Y35" s="17">
        <f t="shared" si="5"/>
        <v>0.03</v>
      </c>
      <c r="Z35" s="17">
        <f t="shared" si="5"/>
        <v>0.03</v>
      </c>
      <c r="AA35" s="17">
        <f t="shared" si="5"/>
        <v>0.03</v>
      </c>
      <c r="AB35" s="17">
        <f t="shared" si="5"/>
        <v>0.03</v>
      </c>
      <c r="AC35" s="17">
        <f t="shared" si="5"/>
        <v>0.03</v>
      </c>
      <c r="AD35" s="17">
        <f t="shared" si="5"/>
        <v>0.03</v>
      </c>
      <c r="AE35" s="17">
        <f t="shared" si="5"/>
        <v>0.03</v>
      </c>
      <c r="AF35" s="17">
        <f t="shared" si="5"/>
        <v>0.03</v>
      </c>
      <c r="AG35" s="17">
        <f t="shared" si="5"/>
        <v>0.03</v>
      </c>
      <c r="AH35" s="17">
        <f t="shared" si="5"/>
        <v>0.03</v>
      </c>
      <c r="AI35" s="17">
        <f t="shared" si="5"/>
        <v>0.03</v>
      </c>
      <c r="AJ35" s="17">
        <f t="shared" si="5"/>
        <v>0.03</v>
      </c>
      <c r="AK35" s="17">
        <f t="shared" si="5"/>
        <v>0.03</v>
      </c>
      <c r="AL35" s="17">
        <f t="shared" si="5"/>
        <v>0.03</v>
      </c>
      <c r="AM35" s="17">
        <f t="shared" si="5"/>
        <v>0.03</v>
      </c>
      <c r="AN35" s="17">
        <f t="shared" si="5"/>
        <v>0.03</v>
      </c>
      <c r="AO35" s="17">
        <f t="shared" si="5"/>
        <v>0.03</v>
      </c>
      <c r="AP35" s="17">
        <f t="shared" si="5"/>
        <v>0.03</v>
      </c>
      <c r="AQ35" s="17">
        <f t="shared" si="5"/>
        <v>0.03</v>
      </c>
      <c r="AR35" s="17">
        <f t="shared" si="5"/>
        <v>0.03</v>
      </c>
      <c r="AS35" s="17">
        <f t="shared" si="5"/>
        <v>0.03</v>
      </c>
      <c r="AT35" s="17">
        <f t="shared" si="5"/>
        <v>0.03</v>
      </c>
      <c r="AU35" s="17">
        <f t="shared" si="5"/>
        <v>0.03</v>
      </c>
      <c r="AV35" s="17">
        <f t="shared" si="5"/>
        <v>0.03</v>
      </c>
      <c r="AW35" s="17">
        <f t="shared" si="5"/>
        <v>0.03</v>
      </c>
      <c r="AX35" s="17">
        <f t="shared" si="5"/>
        <v>0.03</v>
      </c>
      <c r="AY35" s="17">
        <f t="shared" si="5"/>
        <v>0.03</v>
      </c>
    </row>
    <row r="36" spans="1:51" x14ac:dyDescent="0.2">
      <c r="A36" s="2" t="s">
        <v>247</v>
      </c>
      <c r="B36" s="26">
        <f>B35*B34</f>
        <v>2874.1525493817285</v>
      </c>
      <c r="C36" s="26">
        <f>C35*C34</f>
        <v>5850.078840537064</v>
      </c>
      <c r="D36" s="26">
        <f>D35*D34</f>
        <v>8930.6523594994123</v>
      </c>
      <c r="E36" s="26">
        <f t="shared" ref="E36:AY36" si="6">E35*E34</f>
        <v>12243.493372449231</v>
      </c>
      <c r="F36" s="26">
        <f t="shared" si="6"/>
        <v>15671.372806903057</v>
      </c>
      <c r="G36" s="26">
        <f t="shared" si="6"/>
        <v>19217.522380464954</v>
      </c>
      <c r="H36" s="26">
        <f t="shared" si="6"/>
        <v>22885.259014596442</v>
      </c>
      <c r="I36" s="26">
        <f t="shared" si="6"/>
        <v>26813.181933389842</v>
      </c>
      <c r="J36" s="26">
        <f t="shared" si="6"/>
        <v>30874.37745842211</v>
      </c>
      <c r="K36" s="26">
        <f t="shared" si="6"/>
        <v>35072.566687466489</v>
      </c>
      <c r="L36" s="26">
        <f t="shared" si="6"/>
        <v>39411.568617799145</v>
      </c>
      <c r="M36" s="26">
        <f t="shared" si="6"/>
        <v>44041.909959987446</v>
      </c>
      <c r="N36" s="26">
        <f t="shared" si="6"/>
        <v>48826.197209516853</v>
      </c>
      <c r="O36" s="26">
        <f t="shared" si="6"/>
        <v>53768.705021231253</v>
      </c>
      <c r="P36" s="26">
        <f t="shared" si="6"/>
        <v>59031.229260200475</v>
      </c>
      <c r="Q36" s="26">
        <f t="shared" si="6"/>
        <v>64466.436854525702</v>
      </c>
      <c r="R36" s="26">
        <f t="shared" si="6"/>
        <v>70079.105314410961</v>
      </c>
      <c r="S36" s="26">
        <f t="shared" si="6"/>
        <v>76033.120494832503</v>
      </c>
      <c r="T36" s="26">
        <f t="shared" si="6"/>
        <v>82180.160252132366</v>
      </c>
      <c r="U36" s="26">
        <f t="shared" si="6"/>
        <v>88525.546671320481</v>
      </c>
      <c r="V36" s="26">
        <f t="shared" si="6"/>
        <v>95074.741244891993</v>
      </c>
      <c r="W36" s="26">
        <f t="shared" si="6"/>
        <v>102005.33887421062</v>
      </c>
      <c r="X36" s="26">
        <f t="shared" si="6"/>
        <v>109157.19047383308</v>
      </c>
      <c r="Y36" s="26">
        <f t="shared" si="6"/>
        <v>116536.36958199025</v>
      </c>
      <c r="Z36" s="26">
        <f t="shared" si="6"/>
        <v>124149.10858026786</v>
      </c>
      <c r="AA36" s="26">
        <f t="shared" si="6"/>
        <v>132187.86476885164</v>
      </c>
      <c r="AB36" s="26">
        <f t="shared" si="6"/>
        <v>140479.72702558295</v>
      </c>
      <c r="AC36" s="26">
        <f t="shared" si="6"/>
        <v>149031.61518838734</v>
      </c>
      <c r="AD36" s="26">
        <f t="shared" si="6"/>
        <v>158049.92174436283</v>
      </c>
      <c r="AE36" s="26">
        <f t="shared" si="6"/>
        <v>167349.69760206601</v>
      </c>
      <c r="AF36" s="26">
        <f t="shared" si="6"/>
        <v>176938.61803777522</v>
      </c>
      <c r="AG36" s="26">
        <f t="shared" si="6"/>
        <v>186824.55858795223</v>
      </c>
      <c r="AH36" s="26">
        <f t="shared" si="6"/>
        <v>197015.60019016761</v>
      </c>
      <c r="AI36" s="26">
        <f t="shared" si="6"/>
        <v>207737.78763792006</v>
      </c>
      <c r="AJ36" s="26">
        <f t="shared" si="6"/>
        <v>218789.58607918909</v>
      </c>
      <c r="AK36" s="26">
        <f t="shared" si="6"/>
        <v>230179.94253142466</v>
      </c>
      <c r="AL36" s="26">
        <f t="shared" si="6"/>
        <v>241918.03707181118</v>
      </c>
      <c r="AM36" s="26">
        <f t="shared" si="6"/>
        <v>254248.85770450204</v>
      </c>
      <c r="AN36" s="26">
        <f t="shared" si="6"/>
        <v>266954.84132257657</v>
      </c>
      <c r="AO36" s="26">
        <f t="shared" si="6"/>
        <v>280046.13918582443</v>
      </c>
      <c r="AP36" s="26">
        <f t="shared" si="6"/>
        <v>293533.16668122972</v>
      </c>
      <c r="AQ36" s="26">
        <f t="shared" si="6"/>
        <v>307426.61009628035</v>
      </c>
      <c r="AR36" s="26">
        <f t="shared" si="6"/>
        <v>321737.43356500415</v>
      </c>
      <c r="AS36" s="26">
        <f t="shared" si="6"/>
        <v>336476.88619112992</v>
      </c>
      <c r="AT36" s="26">
        <f t="shared" si="6"/>
        <v>351656.50935287797</v>
      </c>
      <c r="AU36" s="26">
        <f t="shared" si="6"/>
        <v>367288.14419400244</v>
      </c>
      <c r="AV36" s="26">
        <f t="shared" si="6"/>
        <v>383383.93930582452</v>
      </c>
      <c r="AW36" s="26">
        <f t="shared" si="6"/>
        <v>399956.35860511649</v>
      </c>
      <c r="AX36" s="26">
        <f t="shared" si="6"/>
        <v>417018.18941281881</v>
      </c>
      <c r="AY36" s="26">
        <f t="shared" si="6"/>
        <v>434582.55073870032</v>
      </c>
    </row>
    <row r="37" spans="1:51" x14ac:dyDescent="0.2">
      <c r="A37" s="2" t="s">
        <v>215</v>
      </c>
      <c r="B37" s="26">
        <f>B36*$B$27</f>
        <v>439.74534005540443</v>
      </c>
      <c r="C37" s="26">
        <f>C36*$B$27</f>
        <v>895.06206260217073</v>
      </c>
      <c r="D37" s="26">
        <f t="shared" ref="D37:AY37" si="7">D36*$B$27</f>
        <v>1366.3898110034102</v>
      </c>
      <c r="E37" s="26">
        <f t="shared" si="7"/>
        <v>1873.2544859847324</v>
      </c>
      <c r="F37" s="26">
        <f t="shared" si="7"/>
        <v>2397.7200394561678</v>
      </c>
      <c r="G37" s="26">
        <f t="shared" si="7"/>
        <v>2940.280924211138</v>
      </c>
      <c r="H37" s="26">
        <f t="shared" si="7"/>
        <v>3501.4446292332555</v>
      </c>
      <c r="I37" s="26">
        <f t="shared" si="7"/>
        <v>4102.4168358086454</v>
      </c>
      <c r="J37" s="26">
        <f t="shared" si="7"/>
        <v>4723.7797511385825</v>
      </c>
      <c r="K37" s="26">
        <f t="shared" si="7"/>
        <v>5366.1027031823724</v>
      </c>
      <c r="L37" s="26">
        <f t="shared" si="7"/>
        <v>6029.9699985232692</v>
      </c>
      <c r="M37" s="26">
        <f t="shared" si="7"/>
        <v>6738.4122238780792</v>
      </c>
      <c r="N37" s="26">
        <f t="shared" si="7"/>
        <v>7470.4081730560783</v>
      </c>
      <c r="O37" s="26">
        <f t="shared" si="7"/>
        <v>8226.6118682483811</v>
      </c>
      <c r="P37" s="26">
        <f t="shared" si="7"/>
        <v>9031.7780768106732</v>
      </c>
      <c r="Q37" s="26">
        <f t="shared" si="7"/>
        <v>9863.3648387424328</v>
      </c>
      <c r="R37" s="26">
        <f t="shared" si="7"/>
        <v>10722.103113104877</v>
      </c>
      <c r="S37" s="26">
        <f t="shared" si="7"/>
        <v>11633.067435709372</v>
      </c>
      <c r="T37" s="26">
        <f t="shared" si="7"/>
        <v>12573.564518576251</v>
      </c>
      <c r="U37" s="26">
        <f t="shared" si="7"/>
        <v>13544.408640712034</v>
      </c>
      <c r="V37" s="26">
        <f t="shared" si="7"/>
        <v>14546.435410468475</v>
      </c>
      <c r="W37" s="26">
        <f t="shared" si="7"/>
        <v>15606.816847754224</v>
      </c>
      <c r="X37" s="26">
        <f t="shared" si="7"/>
        <v>16701.05014249646</v>
      </c>
      <c r="Y37" s="26">
        <f t="shared" si="7"/>
        <v>17830.064546044508</v>
      </c>
      <c r="Z37" s="26">
        <f t="shared" si="7"/>
        <v>18994.813612780981</v>
      </c>
      <c r="AA37" s="26">
        <f t="shared" si="7"/>
        <v>20224.743309634301</v>
      </c>
      <c r="AB37" s="26">
        <f t="shared" si="7"/>
        <v>21493.398234914192</v>
      </c>
      <c r="AC37" s="26">
        <f t="shared" si="7"/>
        <v>22801.837123823261</v>
      </c>
      <c r="AD37" s="26">
        <f t="shared" si="7"/>
        <v>24181.638026887511</v>
      </c>
      <c r="AE37" s="26">
        <f t="shared" si="7"/>
        <v>25604.5037331161</v>
      </c>
      <c r="AF37" s="26">
        <f t="shared" si="7"/>
        <v>27071.608559779608</v>
      </c>
      <c r="AG37" s="26">
        <f t="shared" si="7"/>
        <v>28584.15746395669</v>
      </c>
      <c r="AH37" s="26">
        <f t="shared" si="7"/>
        <v>30143.386829095642</v>
      </c>
      <c r="AI37" s="26">
        <f t="shared" si="7"/>
        <v>31783.881508601768</v>
      </c>
      <c r="AJ37" s="26">
        <f t="shared" si="7"/>
        <v>33474.806670115933</v>
      </c>
      <c r="AK37" s="26">
        <f t="shared" si="7"/>
        <v>35217.531207307969</v>
      </c>
      <c r="AL37" s="26">
        <f t="shared" si="7"/>
        <v>37013.459671987112</v>
      </c>
      <c r="AM37" s="26">
        <f t="shared" si="7"/>
        <v>38900.07522878881</v>
      </c>
      <c r="AN37" s="26">
        <f t="shared" si="7"/>
        <v>40844.090722354216</v>
      </c>
      <c r="AO37" s="26">
        <f t="shared" si="7"/>
        <v>42847.059295431136</v>
      </c>
      <c r="AP37" s="26">
        <f t="shared" si="7"/>
        <v>44910.574502228148</v>
      </c>
      <c r="AQ37" s="26">
        <f t="shared" si="7"/>
        <v>47036.271344730892</v>
      </c>
      <c r="AR37" s="26">
        <f t="shared" si="7"/>
        <v>49225.827335445632</v>
      </c>
      <c r="AS37" s="26">
        <f t="shared" si="7"/>
        <v>51480.963587242877</v>
      </c>
      <c r="AT37" s="26">
        <f t="shared" si="7"/>
        <v>53803.445930990325</v>
      </c>
      <c r="AU37" s="26">
        <f t="shared" si="7"/>
        <v>56195.08606168237</v>
      </c>
      <c r="AV37" s="26">
        <f t="shared" si="7"/>
        <v>58657.742713791151</v>
      </c>
      <c r="AW37" s="26">
        <f t="shared" si="7"/>
        <v>61193.322866582821</v>
      </c>
      <c r="AX37" s="26">
        <f t="shared" si="7"/>
        <v>63803.782980161275</v>
      </c>
      <c r="AY37" s="26">
        <f t="shared" si="7"/>
        <v>66491.130263021143</v>
      </c>
    </row>
    <row r="38" spans="1:51" s="18" customFormat="1" x14ac:dyDescent="0.2">
      <c r="A38" s="18" t="s">
        <v>248</v>
      </c>
      <c r="B38" s="27">
        <f>B34+(B36-B37)</f>
        <v>98239.492188717282</v>
      </c>
      <c r="C38" s="27">
        <f>C34+(C36-C37)</f>
        <v>199957.64479583703</v>
      </c>
      <c r="D38" s="27">
        <f t="shared" ref="D38:AS38" si="8">D34+(D36-D37)</f>
        <v>305252.67453180975</v>
      </c>
      <c r="E38" s="27">
        <f t="shared" si="8"/>
        <v>418486.68463477225</v>
      </c>
      <c r="F38" s="27">
        <f t="shared" si="8"/>
        <v>535652.74633088219</v>
      </c>
      <c r="G38" s="27">
        <f t="shared" si="8"/>
        <v>656861.32080508559</v>
      </c>
      <c r="H38" s="27">
        <f t="shared" si="8"/>
        <v>782225.78153857787</v>
      </c>
      <c r="I38" s="27">
        <f t="shared" si="8"/>
        <v>916483.49621057592</v>
      </c>
      <c r="J38" s="27">
        <f t="shared" si="8"/>
        <v>1055296.5129880204</v>
      </c>
      <c r="K38" s="27">
        <f t="shared" si="8"/>
        <v>1198792.0202331671</v>
      </c>
      <c r="L38" s="27">
        <f t="shared" si="8"/>
        <v>1347100.5525459142</v>
      </c>
      <c r="M38" s="27">
        <f t="shared" si="8"/>
        <v>1505367.1630690244</v>
      </c>
      <c r="N38" s="27">
        <f t="shared" si="8"/>
        <v>1668895.6960203559</v>
      </c>
      <c r="O38" s="27">
        <f t="shared" si="8"/>
        <v>1837832.2605273582</v>
      </c>
      <c r="P38" s="27">
        <f t="shared" si="8"/>
        <v>2017707.0931900723</v>
      </c>
      <c r="Q38" s="27">
        <f t="shared" si="8"/>
        <v>2203484.3004999734</v>
      </c>
      <c r="R38" s="27">
        <f t="shared" si="8"/>
        <v>2395327.1793483384</v>
      </c>
      <c r="S38" s="27">
        <f t="shared" si="8"/>
        <v>2598837.4028868731</v>
      </c>
      <c r="T38" s="27">
        <f t="shared" si="8"/>
        <v>2808945.2708046348</v>
      </c>
      <c r="U38" s="27">
        <f t="shared" si="8"/>
        <v>3025832.6937412913</v>
      </c>
      <c r="V38" s="27">
        <f t="shared" si="8"/>
        <v>3249686.3473308235</v>
      </c>
      <c r="W38" s="27">
        <f t="shared" si="8"/>
        <v>3486576.4845001437</v>
      </c>
      <c r="X38" s="27">
        <f t="shared" si="8"/>
        <v>3731029.1561257727</v>
      </c>
      <c r="Y38" s="27">
        <f t="shared" si="8"/>
        <v>3983251.9577689543</v>
      </c>
      <c r="Z38" s="27">
        <f t="shared" si="8"/>
        <v>4243457.9143097484</v>
      </c>
      <c r="AA38" s="27">
        <f t="shared" si="8"/>
        <v>4518225.2804209394</v>
      </c>
      <c r="AB38" s="27">
        <f t="shared" si="8"/>
        <v>4801643.8963101003</v>
      </c>
      <c r="AC38" s="27">
        <f t="shared" si="8"/>
        <v>5093950.2843441423</v>
      </c>
      <c r="AD38" s="27">
        <f t="shared" si="8"/>
        <v>5402199.008529569</v>
      </c>
      <c r="AE38" s="27">
        <f t="shared" si="8"/>
        <v>5720068.4472711505</v>
      </c>
      <c r="AF38" s="27">
        <f t="shared" si="8"/>
        <v>6047820.9440705031</v>
      </c>
      <c r="AG38" s="27">
        <f t="shared" si="8"/>
        <v>6385725.6873890702</v>
      </c>
      <c r="AH38" s="27">
        <f t="shared" si="8"/>
        <v>6734058.8863666598</v>
      </c>
      <c r="AI38" s="27">
        <f t="shared" si="8"/>
        <v>7100546.8273933204</v>
      </c>
      <c r="AJ38" s="27">
        <f t="shared" si="8"/>
        <v>7478300.9820487099</v>
      </c>
      <c r="AK38" s="27">
        <f t="shared" si="8"/>
        <v>7867627.1623716056</v>
      </c>
      <c r="AL38" s="27">
        <f t="shared" si="8"/>
        <v>8268839.1464601969</v>
      </c>
      <c r="AM38" s="27">
        <f t="shared" si="8"/>
        <v>8690310.7059591152</v>
      </c>
      <c r="AN38" s="27">
        <f t="shared" si="8"/>
        <v>9124605.4613527749</v>
      </c>
      <c r="AO38" s="27">
        <f t="shared" si="8"/>
        <v>9572070.3860845398</v>
      </c>
      <c r="AP38" s="27">
        <f t="shared" si="8"/>
        <v>10033061.481553327</v>
      </c>
      <c r="AQ38" s="27">
        <f t="shared" si="8"/>
        <v>10507944.00862756</v>
      </c>
      <c r="AR38" s="27">
        <f t="shared" si="8"/>
        <v>10997092.72506303</v>
      </c>
      <c r="AS38" s="27">
        <f t="shared" si="8"/>
        <v>11500892.128974885</v>
      </c>
      <c r="AT38" s="27">
        <f>AT34+(AT36-AT37)</f>
        <v>12019736.708517822</v>
      </c>
      <c r="AU38" s="27">
        <f t="shared" ref="AU38:AY38" si="9">AU34+(AU36-AU37)</f>
        <v>12554031.197932402</v>
      </c>
      <c r="AV38" s="27">
        <f t="shared" si="9"/>
        <v>13104190.840119516</v>
      </c>
      <c r="AW38" s="27">
        <f t="shared" si="9"/>
        <v>13670641.655909084</v>
      </c>
      <c r="AX38" s="27">
        <f t="shared" si="9"/>
        <v>14253820.720193285</v>
      </c>
      <c r="AY38" s="27">
        <f t="shared" si="9"/>
        <v>14854176.445099022</v>
      </c>
    </row>
    <row r="40" spans="1:51" x14ac:dyDescent="0.2">
      <c r="B40" s="26"/>
    </row>
    <row r="42" spans="1:51" x14ac:dyDescent="0.2">
      <c r="A42" s="2" t="s">
        <v>251</v>
      </c>
      <c r="B42" s="54" t="s">
        <v>252</v>
      </c>
    </row>
    <row r="43" spans="1:51" x14ac:dyDescent="0.2">
      <c r="A43" s="2" t="s">
        <v>253</v>
      </c>
      <c r="B43" s="2">
        <f>'Net Salary P2'!B14*3</f>
        <v>3564</v>
      </c>
      <c r="C43" s="26">
        <f>B47+$B$43</f>
        <v>7218.56124</v>
      </c>
      <c r="D43" s="26">
        <f t="shared" ref="D43:AT43" si="10">C47+$B$43</f>
        <v>10965.984881108401</v>
      </c>
      <c r="E43" s="26">
        <f t="shared" si="10"/>
        <v>14808.630556937365</v>
      </c>
      <c r="F43" s="26">
        <f t="shared" si="10"/>
        <v>18748.917859389141</v>
      </c>
      <c r="G43" s="26">
        <f t="shared" si="10"/>
        <v>22789.32786219622</v>
      </c>
      <c r="H43" s="26">
        <f t="shared" si="10"/>
        <v>26932.404683174627</v>
      </c>
      <c r="I43" s="26">
        <f t="shared" si="10"/>
        <v>31180.757086174093</v>
      </c>
      <c r="J43" s="26">
        <f t="shared" si="10"/>
        <v>35537.060123733776</v>
      </c>
      <c r="K43" s="26">
        <f t="shared" si="10"/>
        <v>40004.056821477854</v>
      </c>
      <c r="L43" s="26">
        <f t="shared" si="10"/>
        <v>44584.559905311609</v>
      </c>
      <c r="M43" s="26">
        <f t="shared" si="10"/>
        <v>49281.453572505576</v>
      </c>
      <c r="N43" s="26">
        <f t="shared" si="10"/>
        <v>54097.695307782946</v>
      </c>
      <c r="O43" s="26">
        <f t="shared" si="10"/>
        <v>59036.317745553708</v>
      </c>
      <c r="P43" s="26">
        <f t="shared" si="10"/>
        <v>64100.43057946823</v>
      </c>
      <c r="Q43" s="26">
        <f t="shared" si="10"/>
        <v>69293.22252049252</v>
      </c>
      <c r="R43" s="26">
        <f t="shared" si="10"/>
        <v>74617.963304738238</v>
      </c>
      <c r="S43" s="26">
        <f t="shared" si="10"/>
        <v>80078.005752311641</v>
      </c>
      <c r="T43" s="26">
        <f t="shared" si="10"/>
        <v>85676.787878477873</v>
      </c>
      <c r="U43" s="26">
        <f t="shared" si="10"/>
        <v>91417.835058469995</v>
      </c>
      <c r="V43" s="26">
        <f t="shared" si="10"/>
        <v>97304.762247305713</v>
      </c>
      <c r="W43" s="26">
        <f t="shared" si="10"/>
        <v>103341.27625600975</v>
      </c>
      <c r="X43" s="26">
        <f t="shared" si="10"/>
        <v>109531.17808567495</v>
      </c>
      <c r="Y43" s="26">
        <f t="shared" si="10"/>
        <v>115878.36532083196</v>
      </c>
      <c r="Z43" s="26">
        <f t="shared" si="10"/>
        <v>122386.83458363429</v>
      </c>
      <c r="AA43" s="26">
        <f t="shared" si="10"/>
        <v>129060.68405040444</v>
      </c>
      <c r="AB43" s="26">
        <f t="shared" si="10"/>
        <v>135904.11603212522</v>
      </c>
      <c r="AC43" s="26">
        <f t="shared" si="10"/>
        <v>142921.43962050154</v>
      </c>
      <c r="AD43" s="26">
        <f t="shared" si="10"/>
        <v>150117.07340125847</v>
      </c>
      <c r="AE43" s="26">
        <f t="shared" si="10"/>
        <v>157495.54823638446</v>
      </c>
      <c r="AF43" s="26">
        <f t="shared" si="10"/>
        <v>165061.51011707098</v>
      </c>
      <c r="AG43" s="26">
        <f t="shared" si="10"/>
        <v>172819.72308914576</v>
      </c>
      <c r="AH43" s="26">
        <f t="shared" si="10"/>
        <v>180775.07225284094</v>
      </c>
      <c r="AI43" s="26">
        <f t="shared" si="10"/>
        <v>188932.56683878563</v>
      </c>
      <c r="AJ43" s="26">
        <f t="shared" si="10"/>
        <v>197297.34336215918</v>
      </c>
      <c r="AK43" s="26">
        <f t="shared" si="10"/>
        <v>205874.66885699166</v>
      </c>
      <c r="AL43" s="26">
        <f t="shared" si="10"/>
        <v>214669.94419264782</v>
      </c>
      <c r="AM43" s="26">
        <f t="shared" si="10"/>
        <v>223688.707474583</v>
      </c>
      <c r="AN43" s="26">
        <f t="shared" si="10"/>
        <v>232936.63753151215</v>
      </c>
      <c r="AO43" s="26">
        <f t="shared" si="10"/>
        <v>242419.55749118788</v>
      </c>
      <c r="AP43" s="26">
        <f t="shared" si="10"/>
        <v>252143.43844703896</v>
      </c>
      <c r="AQ43" s="26">
        <f t="shared" si="10"/>
        <v>262114.40321797822</v>
      </c>
      <c r="AR43" s="26">
        <f t="shared" si="10"/>
        <v>272338.73020374705</v>
      </c>
      <c r="AS43" s="26">
        <f t="shared" si="10"/>
        <v>282822.85733822425</v>
      </c>
      <c r="AT43" s="26">
        <f t="shared" si="10"/>
        <v>293573.38614318852</v>
      </c>
      <c r="AU43" s="26">
        <f t="shared" ref="AU43" si="11">AT47+$B$43</f>
        <v>304597.08588508691</v>
      </c>
      <c r="AV43" s="26">
        <f t="shared" ref="AV43" si="12">AU47+$B$43</f>
        <v>315900.89783742698</v>
      </c>
      <c r="AW43" s="26">
        <f t="shared" ref="AW43" si="13">AV47+$B$43</f>
        <v>327491.93965147599</v>
      </c>
      <c r="AX43" s="26">
        <f t="shared" ref="AX43" si="14">AW47+$B$43</f>
        <v>339377.50983801996</v>
      </c>
      <c r="AY43" s="26">
        <f t="shared" ref="AY43" si="15">AX47+$B$43</f>
        <v>351565.09236300405</v>
      </c>
    </row>
    <row r="44" spans="1:51" x14ac:dyDescent="0.2">
      <c r="A44" s="2" t="s">
        <v>257</v>
      </c>
      <c r="B44" s="17">
        <f>$B$26</f>
        <v>0.03</v>
      </c>
      <c r="C44" s="17">
        <f>$B$26</f>
        <v>0.03</v>
      </c>
      <c r="D44" s="17">
        <f t="shared" ref="D44:AS44" si="16">$B$26</f>
        <v>0.03</v>
      </c>
      <c r="E44" s="17">
        <f t="shared" si="16"/>
        <v>0.03</v>
      </c>
      <c r="F44" s="17">
        <f t="shared" si="16"/>
        <v>0.03</v>
      </c>
      <c r="G44" s="17">
        <f t="shared" si="16"/>
        <v>0.03</v>
      </c>
      <c r="H44" s="17">
        <f t="shared" si="16"/>
        <v>0.03</v>
      </c>
      <c r="I44" s="17">
        <f t="shared" si="16"/>
        <v>0.03</v>
      </c>
      <c r="J44" s="17">
        <f t="shared" si="16"/>
        <v>0.03</v>
      </c>
      <c r="K44" s="17">
        <f t="shared" si="16"/>
        <v>0.03</v>
      </c>
      <c r="L44" s="17">
        <f t="shared" si="16"/>
        <v>0.03</v>
      </c>
      <c r="M44" s="17">
        <f t="shared" si="16"/>
        <v>0.03</v>
      </c>
      <c r="N44" s="17">
        <f t="shared" si="16"/>
        <v>0.03</v>
      </c>
      <c r="O44" s="17">
        <f t="shared" si="16"/>
        <v>0.03</v>
      </c>
      <c r="P44" s="17">
        <f t="shared" si="16"/>
        <v>0.03</v>
      </c>
      <c r="Q44" s="17">
        <f t="shared" si="16"/>
        <v>0.03</v>
      </c>
      <c r="R44" s="17">
        <f t="shared" si="16"/>
        <v>0.03</v>
      </c>
      <c r="S44" s="17">
        <f t="shared" si="16"/>
        <v>0.03</v>
      </c>
      <c r="T44" s="17">
        <f t="shared" si="16"/>
        <v>0.03</v>
      </c>
      <c r="U44" s="17">
        <f t="shared" si="16"/>
        <v>0.03</v>
      </c>
      <c r="V44" s="17">
        <f t="shared" si="16"/>
        <v>0.03</v>
      </c>
      <c r="W44" s="17">
        <f t="shared" si="16"/>
        <v>0.03</v>
      </c>
      <c r="X44" s="17">
        <f t="shared" si="16"/>
        <v>0.03</v>
      </c>
      <c r="Y44" s="17">
        <f t="shared" si="16"/>
        <v>0.03</v>
      </c>
      <c r="Z44" s="17">
        <f t="shared" si="16"/>
        <v>0.03</v>
      </c>
      <c r="AA44" s="17">
        <f t="shared" si="16"/>
        <v>0.03</v>
      </c>
      <c r="AB44" s="17">
        <f t="shared" si="16"/>
        <v>0.03</v>
      </c>
      <c r="AC44" s="17">
        <f t="shared" si="16"/>
        <v>0.03</v>
      </c>
      <c r="AD44" s="17">
        <f t="shared" si="16"/>
        <v>0.03</v>
      </c>
      <c r="AE44" s="17">
        <f t="shared" si="16"/>
        <v>0.03</v>
      </c>
      <c r="AF44" s="17">
        <f t="shared" si="16"/>
        <v>0.03</v>
      </c>
      <c r="AG44" s="17">
        <f t="shared" si="16"/>
        <v>0.03</v>
      </c>
      <c r="AH44" s="17">
        <f t="shared" si="16"/>
        <v>0.03</v>
      </c>
      <c r="AI44" s="17">
        <f t="shared" si="16"/>
        <v>0.03</v>
      </c>
      <c r="AJ44" s="17">
        <f t="shared" si="16"/>
        <v>0.03</v>
      </c>
      <c r="AK44" s="17">
        <f t="shared" si="16"/>
        <v>0.03</v>
      </c>
      <c r="AL44" s="17">
        <f t="shared" si="16"/>
        <v>0.03</v>
      </c>
      <c r="AM44" s="17">
        <f t="shared" si="16"/>
        <v>0.03</v>
      </c>
      <c r="AN44" s="17">
        <f t="shared" si="16"/>
        <v>0.03</v>
      </c>
      <c r="AO44" s="17">
        <f t="shared" si="16"/>
        <v>0.03</v>
      </c>
      <c r="AP44" s="17">
        <f t="shared" si="16"/>
        <v>0.03</v>
      </c>
      <c r="AQ44" s="17">
        <f t="shared" si="16"/>
        <v>0.03</v>
      </c>
      <c r="AR44" s="17">
        <f t="shared" si="16"/>
        <v>0.03</v>
      </c>
      <c r="AS44" s="17">
        <f t="shared" si="16"/>
        <v>0.03</v>
      </c>
      <c r="AT44" s="17">
        <f>$B$26</f>
        <v>0.03</v>
      </c>
      <c r="AU44" s="17">
        <f t="shared" ref="AU44:AY44" si="17">$B$26</f>
        <v>0.03</v>
      </c>
      <c r="AV44" s="17">
        <f t="shared" si="17"/>
        <v>0.03</v>
      </c>
      <c r="AW44" s="17">
        <f t="shared" si="17"/>
        <v>0.03</v>
      </c>
      <c r="AX44" s="17">
        <f t="shared" si="17"/>
        <v>0.03</v>
      </c>
      <c r="AY44" s="17">
        <f t="shared" si="17"/>
        <v>0.03</v>
      </c>
    </row>
    <row r="45" spans="1:51" x14ac:dyDescent="0.2">
      <c r="A45" s="2" t="s">
        <v>244</v>
      </c>
      <c r="B45" s="26">
        <f>B44*B43</f>
        <v>106.92</v>
      </c>
      <c r="C45" s="26">
        <f>C44*C43</f>
        <v>216.55683719999999</v>
      </c>
      <c r="D45" s="26">
        <f t="shared" ref="D45:AS45" si="18">D44*D43</f>
        <v>328.97954643325204</v>
      </c>
      <c r="E45" s="26">
        <f t="shared" si="18"/>
        <v>444.25891670812092</v>
      </c>
      <c r="F45" s="26">
        <f t="shared" si="18"/>
        <v>562.4675357816742</v>
      </c>
      <c r="G45" s="26">
        <f t="shared" si="18"/>
        <v>683.67983586588662</v>
      </c>
      <c r="H45" s="26">
        <f t="shared" si="18"/>
        <v>807.97214049523882</v>
      </c>
      <c r="I45" s="26">
        <f t="shared" si="18"/>
        <v>935.42271258522271</v>
      </c>
      <c r="J45" s="26">
        <f t="shared" si="18"/>
        <v>1066.1118037120132</v>
      </c>
      <c r="K45" s="26">
        <f t="shared" si="18"/>
        <v>1200.1217046443355</v>
      </c>
      <c r="L45" s="26">
        <f t="shared" si="18"/>
        <v>1337.5367971593482</v>
      </c>
      <c r="M45" s="26">
        <f t="shared" si="18"/>
        <v>1478.4436071751672</v>
      </c>
      <c r="N45" s="26">
        <f t="shared" si="18"/>
        <v>1622.9308592334883</v>
      </c>
      <c r="O45" s="26">
        <f t="shared" si="18"/>
        <v>1771.0895323666111</v>
      </c>
      <c r="P45" s="26">
        <f t="shared" si="18"/>
        <v>1923.0129173840469</v>
      </c>
      <c r="Q45" s="26">
        <f t="shared" si="18"/>
        <v>2078.7966756147757</v>
      </c>
      <c r="R45" s="26">
        <f t="shared" si="18"/>
        <v>2238.5388991421469</v>
      </c>
      <c r="S45" s="26">
        <f t="shared" si="18"/>
        <v>2402.3401725693493</v>
      </c>
      <c r="T45" s="26">
        <f t="shared" si="18"/>
        <v>2570.303636354336</v>
      </c>
      <c r="U45" s="26">
        <f t="shared" si="18"/>
        <v>2742.5350517540996</v>
      </c>
      <c r="V45" s="26">
        <f t="shared" si="18"/>
        <v>2919.1428674191711</v>
      </c>
      <c r="W45" s="26">
        <f t="shared" si="18"/>
        <v>3100.2382876802922</v>
      </c>
      <c r="X45" s="26">
        <f t="shared" si="18"/>
        <v>3285.9353425702484</v>
      </c>
      <c r="Y45" s="26">
        <f t="shared" si="18"/>
        <v>3476.3509596249587</v>
      </c>
      <c r="Z45" s="26">
        <f t="shared" si="18"/>
        <v>3671.6050375090285</v>
      </c>
      <c r="AA45" s="26">
        <f t="shared" si="18"/>
        <v>3871.8205215121329</v>
      </c>
      <c r="AB45" s="26">
        <f t="shared" si="18"/>
        <v>4077.1234809637567</v>
      </c>
      <c r="AC45" s="26">
        <f t="shared" si="18"/>
        <v>4287.6431886150458</v>
      </c>
      <c r="AD45" s="26">
        <f t="shared" si="18"/>
        <v>4503.5122020377539</v>
      </c>
      <c r="AE45" s="26">
        <f t="shared" si="18"/>
        <v>4724.8664470915337</v>
      </c>
      <c r="AF45" s="26">
        <f t="shared" si="18"/>
        <v>4951.8453035121292</v>
      </c>
      <c r="AG45" s="26">
        <f t="shared" si="18"/>
        <v>5184.591692674373</v>
      </c>
      <c r="AH45" s="26">
        <f t="shared" si="18"/>
        <v>5423.2521675852277</v>
      </c>
      <c r="AI45" s="26">
        <f t="shared" si="18"/>
        <v>5667.9770051635687</v>
      </c>
      <c r="AJ45" s="26">
        <f t="shared" si="18"/>
        <v>5918.9203008647755</v>
      </c>
      <c r="AK45" s="26">
        <f t="shared" si="18"/>
        <v>6176.2400657097496</v>
      </c>
      <c r="AL45" s="26">
        <f t="shared" si="18"/>
        <v>6440.0983257794342</v>
      </c>
      <c r="AM45" s="26">
        <f t="shared" si="18"/>
        <v>6710.6612242374895</v>
      </c>
      <c r="AN45" s="26">
        <f t="shared" si="18"/>
        <v>6988.099125945364</v>
      </c>
      <c r="AO45" s="26">
        <f t="shared" si="18"/>
        <v>7272.5867247356364</v>
      </c>
      <c r="AP45" s="26">
        <f t="shared" si="18"/>
        <v>7564.3031534111688</v>
      </c>
      <c r="AQ45" s="26">
        <f t="shared" si="18"/>
        <v>7863.4320965393463</v>
      </c>
      <c r="AR45" s="26">
        <f t="shared" si="18"/>
        <v>8170.1619061124111</v>
      </c>
      <c r="AS45" s="26">
        <f t="shared" si="18"/>
        <v>8484.6857201467265</v>
      </c>
      <c r="AT45" s="26">
        <f>AT44*AT43</f>
        <v>8807.2015842956553</v>
      </c>
      <c r="AU45" s="26">
        <f t="shared" ref="AU45:AY45" si="19">AU44*AU43</f>
        <v>9137.9125765526078</v>
      </c>
      <c r="AV45" s="26">
        <f t="shared" si="19"/>
        <v>9477.0269351228089</v>
      </c>
      <c r="AW45" s="26">
        <f t="shared" si="19"/>
        <v>9824.75818954428</v>
      </c>
      <c r="AX45" s="26">
        <f t="shared" si="19"/>
        <v>10181.325295140599</v>
      </c>
      <c r="AY45" s="26">
        <f t="shared" si="19"/>
        <v>10546.952770890121</v>
      </c>
    </row>
    <row r="46" spans="1:51" x14ac:dyDescent="0.2">
      <c r="A46" s="2" t="s">
        <v>215</v>
      </c>
      <c r="B46" s="26">
        <f>B45*$B$27</f>
        <v>16.35876</v>
      </c>
      <c r="C46" s="26">
        <f>C45*$B$27</f>
        <v>33.133196091599999</v>
      </c>
      <c r="D46" s="26">
        <f t="shared" ref="D46:AS46" si="20">D45*$B$27</f>
        <v>50.333870604287561</v>
      </c>
      <c r="E46" s="26">
        <f t="shared" si="20"/>
        <v>67.971614256342505</v>
      </c>
      <c r="F46" s="26">
        <f t="shared" si="20"/>
        <v>86.057532974596157</v>
      </c>
      <c r="G46" s="26">
        <f t="shared" si="20"/>
        <v>104.60301488748065</v>
      </c>
      <c r="H46" s="26">
        <f t="shared" si="20"/>
        <v>123.61973749577153</v>
      </c>
      <c r="I46" s="26">
        <f t="shared" si="20"/>
        <v>143.11967502553907</v>
      </c>
      <c r="J46" s="26">
        <f t="shared" si="20"/>
        <v>163.11510596793801</v>
      </c>
      <c r="K46" s="26">
        <f t="shared" si="20"/>
        <v>183.61862081058334</v>
      </c>
      <c r="L46" s="26">
        <f t="shared" si="20"/>
        <v>204.64312996538027</v>
      </c>
      <c r="M46" s="26">
        <f t="shared" si="20"/>
        <v>226.20187189780057</v>
      </c>
      <c r="N46" s="26">
        <f t="shared" si="20"/>
        <v>248.30842146272369</v>
      </c>
      <c r="O46" s="26">
        <f t="shared" si="20"/>
        <v>270.97669845209151</v>
      </c>
      <c r="P46" s="26">
        <f t="shared" si="20"/>
        <v>294.22097635975916</v>
      </c>
      <c r="Q46" s="26">
        <f t="shared" si="20"/>
        <v>318.0558913690607</v>
      </c>
      <c r="R46" s="26">
        <f t="shared" si="20"/>
        <v>342.49645156874845</v>
      </c>
      <c r="S46" s="26">
        <f t="shared" si="20"/>
        <v>367.55804640311044</v>
      </c>
      <c r="T46" s="26">
        <f t="shared" si="20"/>
        <v>393.25645636221338</v>
      </c>
      <c r="U46" s="26">
        <f t="shared" si="20"/>
        <v>419.60786291837724</v>
      </c>
      <c r="V46" s="26">
        <f t="shared" si="20"/>
        <v>446.62885871513316</v>
      </c>
      <c r="W46" s="26">
        <f t="shared" si="20"/>
        <v>474.3364580150847</v>
      </c>
      <c r="X46" s="26">
        <f t="shared" si="20"/>
        <v>502.74810741324802</v>
      </c>
      <c r="Y46" s="26">
        <f t="shared" si="20"/>
        <v>531.88169682261866</v>
      </c>
      <c r="Z46" s="26">
        <f t="shared" si="20"/>
        <v>561.75557073888137</v>
      </c>
      <c r="AA46" s="26">
        <f t="shared" si="20"/>
        <v>592.38853979135638</v>
      </c>
      <c r="AB46" s="26">
        <f t="shared" si="20"/>
        <v>623.79989258745479</v>
      </c>
      <c r="AC46" s="26">
        <f t="shared" si="20"/>
        <v>656.00940785810201</v>
      </c>
      <c r="AD46" s="26">
        <f t="shared" si="20"/>
        <v>689.0373669117763</v>
      </c>
      <c r="AE46" s="26">
        <f t="shared" si="20"/>
        <v>722.90456640500463</v>
      </c>
      <c r="AF46" s="26">
        <f t="shared" si="20"/>
        <v>757.63233143735579</v>
      </c>
      <c r="AG46" s="26">
        <f t="shared" si="20"/>
        <v>793.24252897917904</v>
      </c>
      <c r="AH46" s="26">
        <f t="shared" si="20"/>
        <v>829.7575816405398</v>
      </c>
      <c r="AI46" s="26">
        <f t="shared" si="20"/>
        <v>867.20048179002595</v>
      </c>
      <c r="AJ46" s="26">
        <f t="shared" si="20"/>
        <v>905.59480603231066</v>
      </c>
      <c r="AK46" s="26">
        <f t="shared" si="20"/>
        <v>944.96473005359167</v>
      </c>
      <c r="AL46" s="26">
        <f t="shared" si="20"/>
        <v>985.33504384425339</v>
      </c>
      <c r="AM46" s="26">
        <f t="shared" si="20"/>
        <v>1026.7311673083359</v>
      </c>
      <c r="AN46" s="26">
        <f t="shared" si="20"/>
        <v>1069.1791662696407</v>
      </c>
      <c r="AO46" s="26">
        <f t="shared" si="20"/>
        <v>1112.7057688845523</v>
      </c>
      <c r="AP46" s="26">
        <f t="shared" si="20"/>
        <v>1157.3383824719087</v>
      </c>
      <c r="AQ46" s="26">
        <f t="shared" si="20"/>
        <v>1203.10511077052</v>
      </c>
      <c r="AR46" s="26">
        <f t="shared" si="20"/>
        <v>1250.0347716351989</v>
      </c>
      <c r="AS46" s="26">
        <f t="shared" si="20"/>
        <v>1298.1569151824492</v>
      </c>
      <c r="AT46" s="26">
        <f>AT45*$B$27</f>
        <v>1347.5018423972351</v>
      </c>
      <c r="AU46" s="26">
        <f t="shared" ref="AU46:AY46" si="21">AU45*$B$27</f>
        <v>1398.1006242125491</v>
      </c>
      <c r="AV46" s="26">
        <f t="shared" si="21"/>
        <v>1449.9851210737897</v>
      </c>
      <c r="AW46" s="26">
        <f t="shared" si="21"/>
        <v>1503.1880030002749</v>
      </c>
      <c r="AX46" s="26">
        <f t="shared" si="21"/>
        <v>1557.7427701565116</v>
      </c>
      <c r="AY46" s="26">
        <f t="shared" si="21"/>
        <v>1613.6837739461885</v>
      </c>
    </row>
    <row r="47" spans="1:51" x14ac:dyDescent="0.2">
      <c r="A47" s="2" t="s">
        <v>258</v>
      </c>
      <c r="B47" s="27">
        <f>B43+(B45-B46)</f>
        <v>3654.56124</v>
      </c>
      <c r="C47" s="27">
        <f>C43+(C45-C46)</f>
        <v>7401.9848811084003</v>
      </c>
      <c r="D47" s="27">
        <f t="shared" ref="D47:AS47" si="22">D43+(D45-D46)</f>
        <v>11244.630556937365</v>
      </c>
      <c r="E47" s="27">
        <f t="shared" si="22"/>
        <v>15184.917859389143</v>
      </c>
      <c r="F47" s="27">
        <f t="shared" si="22"/>
        <v>19225.32786219622</v>
      </c>
      <c r="G47" s="27">
        <f t="shared" si="22"/>
        <v>23368.404683174627</v>
      </c>
      <c r="H47" s="27">
        <f t="shared" si="22"/>
        <v>27616.757086174093</v>
      </c>
      <c r="I47" s="27">
        <f t="shared" si="22"/>
        <v>31973.060123733776</v>
      </c>
      <c r="J47" s="27">
        <f t="shared" si="22"/>
        <v>36440.056821477854</v>
      </c>
      <c r="K47" s="27">
        <f t="shared" si="22"/>
        <v>41020.559905311609</v>
      </c>
      <c r="L47" s="27">
        <f t="shared" si="22"/>
        <v>45717.453572505576</v>
      </c>
      <c r="M47" s="27">
        <f t="shared" si="22"/>
        <v>50533.695307782946</v>
      </c>
      <c r="N47" s="27">
        <f t="shared" si="22"/>
        <v>55472.317745553708</v>
      </c>
      <c r="O47" s="27">
        <f t="shared" si="22"/>
        <v>60536.43057946823</v>
      </c>
      <c r="P47" s="27">
        <f t="shared" si="22"/>
        <v>65729.22252049252</v>
      </c>
      <c r="Q47" s="27">
        <f t="shared" si="22"/>
        <v>71053.963304738238</v>
      </c>
      <c r="R47" s="27">
        <f t="shared" si="22"/>
        <v>76514.005752311641</v>
      </c>
      <c r="S47" s="27">
        <f t="shared" si="22"/>
        <v>82112.787878477873</v>
      </c>
      <c r="T47" s="27">
        <f t="shared" si="22"/>
        <v>87853.835058469995</v>
      </c>
      <c r="U47" s="27">
        <f t="shared" si="22"/>
        <v>93740.762247305713</v>
      </c>
      <c r="V47" s="27">
        <f t="shared" si="22"/>
        <v>99777.276256009747</v>
      </c>
      <c r="W47" s="27">
        <f t="shared" si="22"/>
        <v>105967.17808567495</v>
      </c>
      <c r="X47" s="27">
        <f t="shared" si="22"/>
        <v>112314.36532083196</v>
      </c>
      <c r="Y47" s="27">
        <f t="shared" si="22"/>
        <v>118822.83458363429</v>
      </c>
      <c r="Z47" s="27">
        <f t="shared" si="22"/>
        <v>125496.68405040444</v>
      </c>
      <c r="AA47" s="27">
        <f t="shared" si="22"/>
        <v>132340.11603212522</v>
      </c>
      <c r="AB47" s="27">
        <f t="shared" si="22"/>
        <v>139357.43962050154</v>
      </c>
      <c r="AC47" s="27">
        <f t="shared" si="22"/>
        <v>146553.07340125847</v>
      </c>
      <c r="AD47" s="27">
        <f t="shared" si="22"/>
        <v>153931.54823638446</v>
      </c>
      <c r="AE47" s="27">
        <f t="shared" si="22"/>
        <v>161497.51011707098</v>
      </c>
      <c r="AF47" s="27">
        <f t="shared" si="22"/>
        <v>169255.72308914576</v>
      </c>
      <c r="AG47" s="27">
        <f t="shared" si="22"/>
        <v>177211.07225284094</v>
      </c>
      <c r="AH47" s="27">
        <f t="shared" si="22"/>
        <v>185368.56683878563</v>
      </c>
      <c r="AI47" s="27">
        <f t="shared" si="22"/>
        <v>193733.34336215918</v>
      </c>
      <c r="AJ47" s="27">
        <f t="shared" si="22"/>
        <v>202310.66885699166</v>
      </c>
      <c r="AK47" s="27">
        <f t="shared" si="22"/>
        <v>211105.94419264782</v>
      </c>
      <c r="AL47" s="27">
        <f t="shared" si="22"/>
        <v>220124.707474583</v>
      </c>
      <c r="AM47" s="27">
        <f t="shared" si="22"/>
        <v>229372.63753151215</v>
      </c>
      <c r="AN47" s="27">
        <f t="shared" si="22"/>
        <v>238855.55749118788</v>
      </c>
      <c r="AO47" s="27">
        <f t="shared" si="22"/>
        <v>248579.43844703896</v>
      </c>
      <c r="AP47" s="27">
        <f t="shared" si="22"/>
        <v>258550.40321797822</v>
      </c>
      <c r="AQ47" s="27">
        <f t="shared" si="22"/>
        <v>268774.73020374705</v>
      </c>
      <c r="AR47" s="27">
        <f t="shared" si="22"/>
        <v>279258.85733822425</v>
      </c>
      <c r="AS47" s="27">
        <f t="shared" si="22"/>
        <v>290009.38614318852</v>
      </c>
      <c r="AT47" s="27">
        <f>AT43+(AT45-AT46)</f>
        <v>301033.08588508691</v>
      </c>
      <c r="AU47" s="27">
        <f t="shared" ref="AU47:AY47" si="23">AU43+(AU45-AU46)</f>
        <v>312336.89783742698</v>
      </c>
      <c r="AV47" s="27">
        <f t="shared" si="23"/>
        <v>323927.93965147599</v>
      </c>
      <c r="AW47" s="27">
        <f t="shared" si="23"/>
        <v>335813.50983801996</v>
      </c>
      <c r="AX47" s="27">
        <f t="shared" si="23"/>
        <v>348001.09236300405</v>
      </c>
      <c r="AY47" s="27">
        <f t="shared" si="23"/>
        <v>360498.361359948</v>
      </c>
    </row>
    <row r="49" spans="1:51" x14ac:dyDescent="0.2">
      <c r="A49" s="2" t="s">
        <v>268</v>
      </c>
    </row>
    <row r="50" spans="1:51" x14ac:dyDescent="0.2">
      <c r="A50" s="2" t="s">
        <v>269</v>
      </c>
      <c r="B50" s="28">
        <f>'Net Salary P2'!$B$2</f>
        <v>9400</v>
      </c>
      <c r="C50" s="26">
        <f>B54+$B$50</f>
        <v>19038.853999999999</v>
      </c>
      <c r="D50" s="26">
        <f t="shared" ref="D50:AS50" si="24">C54+$B$50</f>
        <v>28922.631280139998</v>
      </c>
      <c r="E50" s="26">
        <f t="shared" si="24"/>
        <v>39057.555340968356</v>
      </c>
      <c r="F50" s="26">
        <f t="shared" si="24"/>
        <v>49450.007822182364</v>
      </c>
      <c r="G50" s="26">
        <f t="shared" si="24"/>
        <v>60106.53252094402</v>
      </c>
      <c r="H50" s="26">
        <f t="shared" si="24"/>
        <v>71033.839512301201</v>
      </c>
      <c r="I50" s="26">
        <f t="shared" si="24"/>
        <v>82238.809374308781</v>
      </c>
      <c r="J50" s="26">
        <f t="shared" si="24"/>
        <v>93728.497520509962</v>
      </c>
      <c r="K50" s="26">
        <f t="shared" si="24"/>
        <v>105510.13864250612</v>
      </c>
      <c r="L50" s="26">
        <f t="shared" si="24"/>
        <v>117591.15126541221</v>
      </c>
      <c r="M50" s="26">
        <f t="shared" si="24"/>
        <v>129979.14241906632</v>
      </c>
      <c r="N50" s="26">
        <f t="shared" si="24"/>
        <v>142681.91242793479</v>
      </c>
      <c r="O50" s="26">
        <f t="shared" si="24"/>
        <v>155707.45982272862</v>
      </c>
      <c r="P50" s="26">
        <f t="shared" si="24"/>
        <v>169063.98637682415</v>
      </c>
      <c r="Q50" s="26">
        <f t="shared" si="24"/>
        <v>182759.90227065925</v>
      </c>
      <c r="R50" s="26">
        <f t="shared" si="24"/>
        <v>196803.83138735671</v>
      </c>
      <c r="S50" s="26">
        <f t="shared" si="24"/>
        <v>211204.61674290945</v>
      </c>
      <c r="T50" s="26">
        <f t="shared" si="24"/>
        <v>225971.32605434678</v>
      </c>
      <c r="U50" s="26">
        <f t="shared" si="24"/>
        <v>241113.25744938772</v>
      </c>
      <c r="V50" s="26">
        <f t="shared" si="24"/>
        <v>256639.94532117667</v>
      </c>
      <c r="W50" s="26">
        <f t="shared" si="24"/>
        <v>272561.16633178777</v>
      </c>
      <c r="X50" s="26">
        <f t="shared" si="24"/>
        <v>288886.94556827849</v>
      </c>
      <c r="Y50" s="26">
        <f t="shared" si="24"/>
        <v>305627.56285516842</v>
      </c>
      <c r="Z50" s="26">
        <f t="shared" si="24"/>
        <v>322793.55922731827</v>
      </c>
      <c r="AA50" s="26">
        <f t="shared" si="24"/>
        <v>340395.74356728443</v>
      </c>
      <c r="AB50" s="26">
        <f t="shared" si="24"/>
        <v>358445.19941132911</v>
      </c>
      <c r="AC50" s="26">
        <f t="shared" si="24"/>
        <v>376953.29192837101</v>
      </c>
      <c r="AD50" s="26">
        <f t="shared" si="24"/>
        <v>395931.67507627094</v>
      </c>
      <c r="AE50" s="26">
        <f t="shared" si="24"/>
        <v>415392.29893995897</v>
      </c>
      <c r="AF50" s="26">
        <f t="shared" si="24"/>
        <v>435347.41725602333</v>
      </c>
      <c r="AG50" s="26">
        <f t="shared" si="24"/>
        <v>455809.59512849886</v>
      </c>
      <c r="AH50" s="26">
        <f t="shared" si="24"/>
        <v>476791.71694071399</v>
      </c>
      <c r="AI50" s="26">
        <f t="shared" si="24"/>
        <v>498306.99446817755</v>
      </c>
      <c r="AJ50" s="26">
        <f t="shared" si="24"/>
        <v>520368.97519761394</v>
      </c>
      <c r="AK50" s="26">
        <f t="shared" si="24"/>
        <v>542991.55085738527</v>
      </c>
      <c r="AL50" s="26">
        <f t="shared" si="24"/>
        <v>566188.96616467147</v>
      </c>
      <c r="AM50" s="26">
        <f t="shared" si="24"/>
        <v>589975.82779491576</v>
      </c>
      <c r="AN50" s="26">
        <f t="shared" si="24"/>
        <v>614367.11357918452</v>
      </c>
      <c r="AO50" s="26">
        <f t="shared" si="24"/>
        <v>639378.18193523155</v>
      </c>
      <c r="AP50" s="26">
        <f t="shared" si="24"/>
        <v>665024.7815382058</v>
      </c>
      <c r="AQ50" s="26">
        <f t="shared" si="24"/>
        <v>691323.06123709166</v>
      </c>
      <c r="AR50" s="26">
        <f t="shared" si="24"/>
        <v>718289.5802231261</v>
      </c>
      <c r="AS50" s="26">
        <f t="shared" si="24"/>
        <v>745941.31845659576</v>
      </c>
      <c r="AT50" s="26">
        <f>AS54+$B$50</f>
        <v>774295.68735857785</v>
      </c>
      <c r="AU50" s="26">
        <f t="shared" ref="AU50:AY50" si="25">AT54+$B$50</f>
        <v>803370.54077435937</v>
      </c>
      <c r="AV50" s="26">
        <f t="shared" si="25"/>
        <v>833184.18621543585</v>
      </c>
      <c r="AW50" s="26">
        <f t="shared" si="25"/>
        <v>863755.39638717007</v>
      </c>
      <c r="AX50" s="26">
        <f t="shared" si="25"/>
        <v>895103.42100936803</v>
      </c>
      <c r="AY50" s="26">
        <f t="shared" si="25"/>
        <v>927247.99893721612</v>
      </c>
    </row>
    <row r="51" spans="1:51" x14ac:dyDescent="0.2">
      <c r="A51" s="2" t="s">
        <v>257</v>
      </c>
      <c r="B51" s="17">
        <f>$B$26</f>
        <v>0.03</v>
      </c>
      <c r="C51" s="17">
        <f>$B$26</f>
        <v>0.03</v>
      </c>
      <c r="D51" s="17">
        <f t="shared" ref="D51:AS51" si="26">$B$26</f>
        <v>0.03</v>
      </c>
      <c r="E51" s="17">
        <f t="shared" si="26"/>
        <v>0.03</v>
      </c>
      <c r="F51" s="17">
        <f t="shared" si="26"/>
        <v>0.03</v>
      </c>
      <c r="G51" s="17">
        <f t="shared" si="26"/>
        <v>0.03</v>
      </c>
      <c r="H51" s="17">
        <f t="shared" si="26"/>
        <v>0.03</v>
      </c>
      <c r="I51" s="17">
        <f t="shared" si="26"/>
        <v>0.03</v>
      </c>
      <c r="J51" s="17">
        <f t="shared" si="26"/>
        <v>0.03</v>
      </c>
      <c r="K51" s="17">
        <f t="shared" si="26"/>
        <v>0.03</v>
      </c>
      <c r="L51" s="17">
        <f t="shared" si="26"/>
        <v>0.03</v>
      </c>
      <c r="M51" s="17">
        <f t="shared" si="26"/>
        <v>0.03</v>
      </c>
      <c r="N51" s="17">
        <f t="shared" si="26"/>
        <v>0.03</v>
      </c>
      <c r="O51" s="17">
        <f t="shared" si="26"/>
        <v>0.03</v>
      </c>
      <c r="P51" s="17">
        <f t="shared" si="26"/>
        <v>0.03</v>
      </c>
      <c r="Q51" s="17">
        <f t="shared" si="26"/>
        <v>0.03</v>
      </c>
      <c r="R51" s="17">
        <f t="shared" si="26"/>
        <v>0.03</v>
      </c>
      <c r="S51" s="17">
        <f t="shared" si="26"/>
        <v>0.03</v>
      </c>
      <c r="T51" s="17">
        <f t="shared" si="26"/>
        <v>0.03</v>
      </c>
      <c r="U51" s="17">
        <f t="shared" si="26"/>
        <v>0.03</v>
      </c>
      <c r="V51" s="17">
        <f t="shared" si="26"/>
        <v>0.03</v>
      </c>
      <c r="W51" s="17">
        <f t="shared" si="26"/>
        <v>0.03</v>
      </c>
      <c r="X51" s="17">
        <f t="shared" si="26"/>
        <v>0.03</v>
      </c>
      <c r="Y51" s="17">
        <f t="shared" si="26"/>
        <v>0.03</v>
      </c>
      <c r="Z51" s="17">
        <f t="shared" si="26"/>
        <v>0.03</v>
      </c>
      <c r="AA51" s="17">
        <f t="shared" si="26"/>
        <v>0.03</v>
      </c>
      <c r="AB51" s="17">
        <f t="shared" si="26"/>
        <v>0.03</v>
      </c>
      <c r="AC51" s="17">
        <f t="shared" si="26"/>
        <v>0.03</v>
      </c>
      <c r="AD51" s="17">
        <f t="shared" si="26"/>
        <v>0.03</v>
      </c>
      <c r="AE51" s="17">
        <f t="shared" si="26"/>
        <v>0.03</v>
      </c>
      <c r="AF51" s="17">
        <f t="shared" si="26"/>
        <v>0.03</v>
      </c>
      <c r="AG51" s="17">
        <f t="shared" si="26"/>
        <v>0.03</v>
      </c>
      <c r="AH51" s="17">
        <f t="shared" si="26"/>
        <v>0.03</v>
      </c>
      <c r="AI51" s="17">
        <f t="shared" si="26"/>
        <v>0.03</v>
      </c>
      <c r="AJ51" s="17">
        <f t="shared" si="26"/>
        <v>0.03</v>
      </c>
      <c r="AK51" s="17">
        <f t="shared" si="26"/>
        <v>0.03</v>
      </c>
      <c r="AL51" s="17">
        <f t="shared" si="26"/>
        <v>0.03</v>
      </c>
      <c r="AM51" s="17">
        <f t="shared" si="26"/>
        <v>0.03</v>
      </c>
      <c r="AN51" s="17">
        <f t="shared" si="26"/>
        <v>0.03</v>
      </c>
      <c r="AO51" s="17">
        <f t="shared" si="26"/>
        <v>0.03</v>
      </c>
      <c r="AP51" s="17">
        <f t="shared" si="26"/>
        <v>0.03</v>
      </c>
      <c r="AQ51" s="17">
        <f t="shared" si="26"/>
        <v>0.03</v>
      </c>
      <c r="AR51" s="17">
        <f t="shared" si="26"/>
        <v>0.03</v>
      </c>
      <c r="AS51" s="17">
        <f t="shared" si="26"/>
        <v>0.03</v>
      </c>
      <c r="AT51" s="17">
        <f>$B$26</f>
        <v>0.03</v>
      </c>
      <c r="AU51" s="17">
        <f t="shared" ref="AU51:AY51" si="27">$B$26</f>
        <v>0.03</v>
      </c>
      <c r="AV51" s="17">
        <f t="shared" si="27"/>
        <v>0.03</v>
      </c>
      <c r="AW51" s="17">
        <f t="shared" si="27"/>
        <v>0.03</v>
      </c>
      <c r="AX51" s="17">
        <f t="shared" si="27"/>
        <v>0.03</v>
      </c>
      <c r="AY51" s="17">
        <f t="shared" si="27"/>
        <v>0.03</v>
      </c>
    </row>
    <row r="52" spans="1:51" x14ac:dyDescent="0.2">
      <c r="A52" s="2" t="s">
        <v>244</v>
      </c>
      <c r="B52" s="26">
        <f>B51*B50</f>
        <v>282</v>
      </c>
      <c r="C52" s="26">
        <f>C51*C50</f>
        <v>571.16561999999999</v>
      </c>
      <c r="D52" s="26">
        <f t="shared" ref="D52:AS52" si="28">D51*D50</f>
        <v>867.67893840419993</v>
      </c>
      <c r="E52" s="26">
        <f t="shared" si="28"/>
        <v>1171.7266602290506</v>
      </c>
      <c r="F52" s="26">
        <f t="shared" si="28"/>
        <v>1483.5002346654708</v>
      </c>
      <c r="G52" s="26">
        <f t="shared" si="28"/>
        <v>1803.1959756283206</v>
      </c>
      <c r="H52" s="26">
        <f t="shared" si="28"/>
        <v>2131.0151853690359</v>
      </c>
      <c r="I52" s="26">
        <f t="shared" si="28"/>
        <v>2467.1642812292635</v>
      </c>
      <c r="J52" s="26">
        <f t="shared" si="28"/>
        <v>2811.8549256152987</v>
      </c>
      <c r="K52" s="26">
        <f t="shared" si="28"/>
        <v>3165.3041592751833</v>
      </c>
      <c r="L52" s="26">
        <f t="shared" si="28"/>
        <v>3527.7345379623662</v>
      </c>
      <c r="M52" s="26">
        <f t="shared" si="28"/>
        <v>3899.3742725719894</v>
      </c>
      <c r="N52" s="26">
        <f t="shared" si="28"/>
        <v>4280.4573728380437</v>
      </c>
      <c r="O52" s="26">
        <f t="shared" si="28"/>
        <v>4671.2237946818586</v>
      </c>
      <c r="P52" s="26">
        <f t="shared" si="28"/>
        <v>5071.9195913047242</v>
      </c>
      <c r="Q52" s="26">
        <f t="shared" si="28"/>
        <v>5482.7970681197776</v>
      </c>
      <c r="R52" s="26">
        <f t="shared" si="28"/>
        <v>5904.1149416207008</v>
      </c>
      <c r="S52" s="26">
        <f t="shared" si="28"/>
        <v>6336.1385022872837</v>
      </c>
      <c r="T52" s="26">
        <f t="shared" si="28"/>
        <v>6779.1397816304034</v>
      </c>
      <c r="U52" s="26">
        <f t="shared" si="28"/>
        <v>7233.3977234816311</v>
      </c>
      <c r="V52" s="26">
        <f t="shared" si="28"/>
        <v>7699.1983596352993</v>
      </c>
      <c r="W52" s="26">
        <f t="shared" si="28"/>
        <v>8176.8349899536324</v>
      </c>
      <c r="X52" s="26">
        <f t="shared" si="28"/>
        <v>8666.6083670483549</v>
      </c>
      <c r="Y52" s="26">
        <f t="shared" si="28"/>
        <v>9168.826885655053</v>
      </c>
      <c r="Z52" s="26">
        <f t="shared" si="28"/>
        <v>9683.8067768195469</v>
      </c>
      <c r="AA52" s="26">
        <f t="shared" si="28"/>
        <v>10211.872307018533</v>
      </c>
      <c r="AB52" s="26">
        <f t="shared" si="28"/>
        <v>10753.355982339874</v>
      </c>
      <c r="AC52" s="26">
        <f t="shared" si="28"/>
        <v>11308.59875785113</v>
      </c>
      <c r="AD52" s="26">
        <f t="shared" si="28"/>
        <v>11877.950252288128</v>
      </c>
      <c r="AE52" s="26">
        <f t="shared" si="28"/>
        <v>12461.768968198769</v>
      </c>
      <c r="AF52" s="26">
        <f t="shared" si="28"/>
        <v>13060.422517680699</v>
      </c>
      <c r="AG52" s="26">
        <f t="shared" si="28"/>
        <v>13674.287853854965</v>
      </c>
      <c r="AH52" s="26">
        <f t="shared" si="28"/>
        <v>14303.751508221419</v>
      </c>
      <c r="AI52" s="26">
        <f t="shared" si="28"/>
        <v>14949.209834045327</v>
      </c>
      <c r="AJ52" s="26">
        <f t="shared" si="28"/>
        <v>15611.069255928418</v>
      </c>
      <c r="AK52" s="26">
        <f t="shared" si="28"/>
        <v>16289.746525721557</v>
      </c>
      <c r="AL52" s="26">
        <f t="shared" si="28"/>
        <v>16985.668984940145</v>
      </c>
      <c r="AM52" s="26">
        <f t="shared" si="28"/>
        <v>17699.274833847474</v>
      </c>
      <c r="AN52" s="26">
        <f t="shared" si="28"/>
        <v>18431.013407375536</v>
      </c>
      <c r="AO52" s="26">
        <f t="shared" si="28"/>
        <v>19181.345458056945</v>
      </c>
      <c r="AP52" s="26">
        <f t="shared" si="28"/>
        <v>19950.743446146174</v>
      </c>
      <c r="AQ52" s="26">
        <f t="shared" si="28"/>
        <v>20739.69183711275</v>
      </c>
      <c r="AR52" s="26">
        <f t="shared" si="28"/>
        <v>21548.687406693782</v>
      </c>
      <c r="AS52" s="26">
        <f t="shared" si="28"/>
        <v>22378.239553697873</v>
      </c>
      <c r="AT52" s="26">
        <f>AT51*AT50</f>
        <v>23228.870620757334</v>
      </c>
      <c r="AU52" s="26">
        <f t="shared" ref="AU52:AY52" si="29">AU51*AU50</f>
        <v>24101.11622323078</v>
      </c>
      <c r="AV52" s="26">
        <f t="shared" si="29"/>
        <v>24995.525586463074</v>
      </c>
      <c r="AW52" s="26">
        <f t="shared" si="29"/>
        <v>25912.661891615102</v>
      </c>
      <c r="AX52" s="26">
        <f t="shared" si="29"/>
        <v>26853.102630281039</v>
      </c>
      <c r="AY52" s="26">
        <f t="shared" si="29"/>
        <v>27817.439968116483</v>
      </c>
    </row>
    <row r="53" spans="1:51" x14ac:dyDescent="0.2">
      <c r="A53" s="2" t="s">
        <v>215</v>
      </c>
      <c r="B53" s="26">
        <f>B52*$B$27</f>
        <v>43.146000000000001</v>
      </c>
      <c r="C53" s="26">
        <f>C52*$B$27</f>
        <v>87.388339860000002</v>
      </c>
      <c r="D53" s="26">
        <f t="shared" ref="D53:AS53" si="30">D52*$B$27</f>
        <v>132.75487757584258</v>
      </c>
      <c r="E53" s="26">
        <f t="shared" si="30"/>
        <v>179.27417901504475</v>
      </c>
      <c r="F53" s="26">
        <f t="shared" si="30"/>
        <v>226.97553590381702</v>
      </c>
      <c r="G53" s="26">
        <f t="shared" si="30"/>
        <v>275.88898427113304</v>
      </c>
      <c r="H53" s="26">
        <f t="shared" si="30"/>
        <v>326.04532336146247</v>
      </c>
      <c r="I53" s="26">
        <f t="shared" si="30"/>
        <v>377.47613502807729</v>
      </c>
      <c r="J53" s="26">
        <f t="shared" si="30"/>
        <v>430.21380361914072</v>
      </c>
      <c r="K53" s="26">
        <f t="shared" si="30"/>
        <v>484.29153636910303</v>
      </c>
      <c r="L53" s="26">
        <f t="shared" si="30"/>
        <v>539.74338430824207</v>
      </c>
      <c r="M53" s="26">
        <f t="shared" si="30"/>
        <v>596.60426370351433</v>
      </c>
      <c r="N53" s="26">
        <f t="shared" si="30"/>
        <v>654.90997804422068</v>
      </c>
      <c r="O53" s="26">
        <f t="shared" si="30"/>
        <v>714.69724058632437</v>
      </c>
      <c r="P53" s="26">
        <f t="shared" si="30"/>
        <v>776.00369746962281</v>
      </c>
      <c r="Q53" s="26">
        <f t="shared" si="30"/>
        <v>838.86795142232597</v>
      </c>
      <c r="R53" s="26">
        <f t="shared" si="30"/>
        <v>903.32958606796717</v>
      </c>
      <c r="S53" s="26">
        <f t="shared" si="30"/>
        <v>969.42919084995435</v>
      </c>
      <c r="T53" s="26">
        <f t="shared" si="30"/>
        <v>1037.2083865894517</v>
      </c>
      <c r="U53" s="26">
        <f t="shared" si="30"/>
        <v>1106.7098516926897</v>
      </c>
      <c r="V53" s="26">
        <f t="shared" si="30"/>
        <v>1177.9773490242007</v>
      </c>
      <c r="W53" s="26">
        <f t="shared" si="30"/>
        <v>1251.0557534629058</v>
      </c>
      <c r="X53" s="26">
        <f t="shared" si="30"/>
        <v>1325.9910801583983</v>
      </c>
      <c r="Y53" s="26">
        <f t="shared" si="30"/>
        <v>1402.8305135052231</v>
      </c>
      <c r="Z53" s="26">
        <f t="shared" si="30"/>
        <v>1481.6224368533906</v>
      </c>
      <c r="AA53" s="26">
        <f t="shared" si="30"/>
        <v>1562.4164629738357</v>
      </c>
      <c r="AB53" s="26">
        <f t="shared" si="30"/>
        <v>1645.2634652980007</v>
      </c>
      <c r="AC53" s="26">
        <f t="shared" si="30"/>
        <v>1730.2156099512229</v>
      </c>
      <c r="AD53" s="26">
        <f t="shared" si="30"/>
        <v>1817.3263886000836</v>
      </c>
      <c r="AE53" s="26">
        <f t="shared" si="30"/>
        <v>1906.6506521344115</v>
      </c>
      <c r="AF53" s="26">
        <f t="shared" si="30"/>
        <v>1998.244645205147</v>
      </c>
      <c r="AG53" s="26">
        <f t="shared" si="30"/>
        <v>2092.1660416398095</v>
      </c>
      <c r="AH53" s="26">
        <f t="shared" si="30"/>
        <v>2188.4739807578771</v>
      </c>
      <c r="AI53" s="26">
        <f t="shared" si="30"/>
        <v>2287.2291046089349</v>
      </c>
      <c r="AJ53" s="26">
        <f t="shared" si="30"/>
        <v>2388.4935961570477</v>
      </c>
      <c r="AK53" s="26">
        <f t="shared" si="30"/>
        <v>2492.3312184353981</v>
      </c>
      <c r="AL53" s="26">
        <f t="shared" si="30"/>
        <v>2598.8073546958422</v>
      </c>
      <c r="AM53" s="26">
        <f t="shared" si="30"/>
        <v>2707.9890495786635</v>
      </c>
      <c r="AN53" s="26">
        <f t="shared" si="30"/>
        <v>2819.9450513284569</v>
      </c>
      <c r="AO53" s="26">
        <f t="shared" si="30"/>
        <v>2934.7458550827128</v>
      </c>
      <c r="AP53" s="26">
        <f t="shared" si="30"/>
        <v>3052.4637472603645</v>
      </c>
      <c r="AQ53" s="26">
        <f t="shared" si="30"/>
        <v>3173.1728510782509</v>
      </c>
      <c r="AR53" s="26">
        <f t="shared" si="30"/>
        <v>3296.9491732241486</v>
      </c>
      <c r="AS53" s="26">
        <f t="shared" si="30"/>
        <v>3423.8706517157743</v>
      </c>
      <c r="AT53" s="26">
        <f>AT52*$B$27</f>
        <v>3554.0172049758721</v>
      </c>
      <c r="AU53" s="26">
        <f t="shared" ref="AU53:AY53" si="31">AU52*$B$27</f>
        <v>3687.4707821543093</v>
      </c>
      <c r="AV53" s="26">
        <f t="shared" si="31"/>
        <v>3824.3154147288501</v>
      </c>
      <c r="AW53" s="26">
        <f t="shared" si="31"/>
        <v>3964.6372694171105</v>
      </c>
      <c r="AX53" s="26">
        <f t="shared" si="31"/>
        <v>4108.5247024329992</v>
      </c>
      <c r="AY53" s="26">
        <f t="shared" si="31"/>
        <v>4256.0683151218218</v>
      </c>
    </row>
    <row r="54" spans="1:51" x14ac:dyDescent="0.2">
      <c r="A54" s="2" t="s">
        <v>258</v>
      </c>
      <c r="B54" s="27">
        <f>B50+(B52-B53)</f>
        <v>9638.8539999999994</v>
      </c>
      <c r="C54" s="27">
        <f>C50+(C52-C53)</f>
        <v>19522.631280139998</v>
      </c>
      <c r="D54" s="27">
        <f t="shared" ref="D54:AS54" si="32">D50+(D52-D53)</f>
        <v>29657.555340968356</v>
      </c>
      <c r="E54" s="27">
        <f t="shared" si="32"/>
        <v>40050.007822182364</v>
      </c>
      <c r="F54" s="27">
        <f t="shared" si="32"/>
        <v>50706.53252094402</v>
      </c>
      <c r="G54" s="27">
        <f t="shared" si="32"/>
        <v>61633.839512301209</v>
      </c>
      <c r="H54" s="27">
        <f t="shared" si="32"/>
        <v>72838.809374308781</v>
      </c>
      <c r="I54" s="27">
        <f t="shared" si="32"/>
        <v>84328.497520509962</v>
      </c>
      <c r="J54" s="27">
        <f t="shared" si="32"/>
        <v>96110.138642506121</v>
      </c>
      <c r="K54" s="27">
        <f t="shared" si="32"/>
        <v>108191.15126541221</v>
      </c>
      <c r="L54" s="27">
        <f t="shared" si="32"/>
        <v>120579.14241906632</v>
      </c>
      <c r="M54" s="27">
        <f t="shared" si="32"/>
        <v>133281.91242793479</v>
      </c>
      <c r="N54" s="27">
        <f t="shared" si="32"/>
        <v>146307.45982272862</v>
      </c>
      <c r="O54" s="27">
        <f t="shared" si="32"/>
        <v>159663.98637682415</v>
      </c>
      <c r="P54" s="27">
        <f t="shared" si="32"/>
        <v>173359.90227065925</v>
      </c>
      <c r="Q54" s="27">
        <f t="shared" si="32"/>
        <v>187403.83138735671</v>
      </c>
      <c r="R54" s="27">
        <f t="shared" si="32"/>
        <v>201804.61674290945</v>
      </c>
      <c r="S54" s="27">
        <f t="shared" si="32"/>
        <v>216571.32605434678</v>
      </c>
      <c r="T54" s="27">
        <f t="shared" si="32"/>
        <v>231713.25744938772</v>
      </c>
      <c r="U54" s="27">
        <f t="shared" si="32"/>
        <v>247239.94532117667</v>
      </c>
      <c r="V54" s="27">
        <f t="shared" si="32"/>
        <v>263161.16633178777</v>
      </c>
      <c r="W54" s="27">
        <f t="shared" si="32"/>
        <v>279486.94556827849</v>
      </c>
      <c r="X54" s="27">
        <f t="shared" si="32"/>
        <v>296227.56285516842</v>
      </c>
      <c r="Y54" s="27">
        <f t="shared" si="32"/>
        <v>313393.55922731827</v>
      </c>
      <c r="Z54" s="27">
        <f t="shared" si="32"/>
        <v>330995.74356728443</v>
      </c>
      <c r="AA54" s="27">
        <f t="shared" si="32"/>
        <v>349045.19941132911</v>
      </c>
      <c r="AB54" s="27">
        <f t="shared" si="32"/>
        <v>367553.29192837101</v>
      </c>
      <c r="AC54" s="27">
        <f t="shared" si="32"/>
        <v>386531.67507627094</v>
      </c>
      <c r="AD54" s="27">
        <f t="shared" si="32"/>
        <v>405992.29893995897</v>
      </c>
      <c r="AE54" s="27">
        <f t="shared" si="32"/>
        <v>425947.41725602333</v>
      </c>
      <c r="AF54" s="27">
        <f t="shared" si="32"/>
        <v>446409.59512849886</v>
      </c>
      <c r="AG54" s="27">
        <f t="shared" si="32"/>
        <v>467391.71694071399</v>
      </c>
      <c r="AH54" s="27">
        <f t="shared" si="32"/>
        <v>488906.99446817755</v>
      </c>
      <c r="AI54" s="27">
        <f t="shared" si="32"/>
        <v>510968.97519761394</v>
      </c>
      <c r="AJ54" s="27">
        <f t="shared" si="32"/>
        <v>533591.55085738527</v>
      </c>
      <c r="AK54" s="27">
        <f t="shared" si="32"/>
        <v>556788.96616467147</v>
      </c>
      <c r="AL54" s="27">
        <f t="shared" si="32"/>
        <v>580575.82779491576</v>
      </c>
      <c r="AM54" s="27">
        <f t="shared" si="32"/>
        <v>604967.11357918452</v>
      </c>
      <c r="AN54" s="27">
        <f t="shared" si="32"/>
        <v>629978.18193523155</v>
      </c>
      <c r="AO54" s="27">
        <f t="shared" si="32"/>
        <v>655624.7815382058</v>
      </c>
      <c r="AP54" s="27">
        <f t="shared" si="32"/>
        <v>681923.06123709166</v>
      </c>
      <c r="AQ54" s="27">
        <f t="shared" si="32"/>
        <v>708889.5802231261</v>
      </c>
      <c r="AR54" s="27">
        <f t="shared" si="32"/>
        <v>736541.31845659576</v>
      </c>
      <c r="AS54" s="27">
        <f t="shared" si="32"/>
        <v>764895.68735857785</v>
      </c>
      <c r="AT54" s="27">
        <f>AT50+(AT52-AT53)</f>
        <v>793970.54077435937</v>
      </c>
      <c r="AU54" s="27">
        <f t="shared" ref="AU54:AY54" si="33">AU50+(AU52-AU53)</f>
        <v>823784.18621543585</v>
      </c>
      <c r="AV54" s="27">
        <f t="shared" si="33"/>
        <v>854355.39638717007</v>
      </c>
      <c r="AW54" s="27">
        <f t="shared" si="33"/>
        <v>885703.42100936803</v>
      </c>
      <c r="AX54" s="27">
        <f t="shared" si="33"/>
        <v>917847.99893721612</v>
      </c>
      <c r="AY54" s="27">
        <f t="shared" si="33"/>
        <v>950809.37059021078</v>
      </c>
    </row>
  </sheetData>
  <hyperlinks>
    <hyperlink ref="B42" r:id="rId1" xr:uid="{DC3AC62C-788D-42E6-B041-DA3AF4FF2A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FE6-B451-4D0C-BFEC-B4190171C9BE}">
  <sheetPr>
    <tabColor theme="8" tint="0.79998168889431442"/>
  </sheetPr>
  <dimension ref="A1:BI58"/>
  <sheetViews>
    <sheetView topLeftCell="A22" zoomScale="90" zoomScaleNormal="66" workbookViewId="0">
      <selection activeCell="E32" sqref="E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0.02</v>
      </c>
      <c r="D1" s="2" t="s">
        <v>1</v>
      </c>
      <c r="E1" s="2">
        <v>2010</v>
      </c>
      <c r="F1" s="2">
        <v>2011</v>
      </c>
      <c r="G1" s="2">
        <v>2012</v>
      </c>
      <c r="H1" s="2">
        <v>2013</v>
      </c>
      <c r="I1" s="2">
        <v>2014</v>
      </c>
      <c r="J1" s="2">
        <v>2015</v>
      </c>
      <c r="K1" s="2">
        <v>2016</v>
      </c>
      <c r="L1" s="2">
        <v>2017</v>
      </c>
      <c r="M1" s="2">
        <v>2018</v>
      </c>
      <c r="N1" s="2">
        <v>2019</v>
      </c>
      <c r="O1" s="2">
        <v>2020</v>
      </c>
      <c r="P1" s="2">
        <v>2021</v>
      </c>
      <c r="Q1" s="2">
        <v>2022</v>
      </c>
      <c r="R1" s="2">
        <v>2023</v>
      </c>
      <c r="S1" s="2">
        <v>2024</v>
      </c>
      <c r="T1" s="2">
        <v>2025</v>
      </c>
      <c r="U1" s="2">
        <v>2026</v>
      </c>
      <c r="V1" s="2">
        <v>2027</v>
      </c>
      <c r="W1" s="2">
        <v>2028</v>
      </c>
      <c r="X1" s="2">
        <v>2029</v>
      </c>
      <c r="Y1" s="2">
        <v>2030</v>
      </c>
      <c r="Z1" s="2">
        <v>2031</v>
      </c>
      <c r="AA1" s="2">
        <v>2032</v>
      </c>
      <c r="AB1" s="2">
        <v>2033</v>
      </c>
      <c r="AC1" s="2">
        <v>2034</v>
      </c>
      <c r="AD1" s="2">
        <v>2035</v>
      </c>
      <c r="AE1" s="2">
        <v>2036</v>
      </c>
      <c r="AF1" s="2">
        <v>2037</v>
      </c>
      <c r="AG1" s="2">
        <v>2038</v>
      </c>
      <c r="AH1" s="2">
        <v>2039</v>
      </c>
      <c r="AI1" s="2">
        <v>2040</v>
      </c>
      <c r="AJ1" s="2">
        <v>2041</v>
      </c>
      <c r="AK1" s="2">
        <v>2042</v>
      </c>
      <c r="AL1" s="2">
        <v>2043</v>
      </c>
      <c r="AM1" s="2">
        <v>2044</v>
      </c>
      <c r="AN1" s="2">
        <v>2045</v>
      </c>
      <c r="AO1" s="2">
        <v>2046</v>
      </c>
      <c r="AP1" s="2">
        <v>2047</v>
      </c>
      <c r="AQ1" s="2">
        <v>2048</v>
      </c>
      <c r="AR1" s="2">
        <v>2049</v>
      </c>
      <c r="AS1" s="2">
        <v>2050</v>
      </c>
      <c r="AT1" s="2">
        <v>2051</v>
      </c>
      <c r="AU1" s="2">
        <v>2052</v>
      </c>
      <c r="AV1" s="2">
        <v>2053</v>
      </c>
      <c r="AW1" s="2">
        <v>2054</v>
      </c>
      <c r="AX1" s="2">
        <v>2055</v>
      </c>
      <c r="AY1" s="2">
        <v>2056</v>
      </c>
      <c r="AZ1" s="2">
        <v>2057</v>
      </c>
      <c r="BA1" s="2">
        <v>2058</v>
      </c>
      <c r="BB1" s="2">
        <v>2059</v>
      </c>
    </row>
    <row r="2" spans="1:61" x14ac:dyDescent="0.2">
      <c r="A2" s="2" t="s">
        <v>194</v>
      </c>
      <c r="B2" s="28">
        <f>'Salary Variables'!$C$14</f>
        <v>9400</v>
      </c>
      <c r="D2" s="2" t="s">
        <v>195</v>
      </c>
      <c r="E2" s="29" cm="1">
        <f t="array" ref="E2:S2">TRANSPOSE('Income - P2 Helper'!N3:N17)</f>
        <v>53225.047210772755</v>
      </c>
      <c r="F2" s="29">
        <v>53757.297682880482</v>
      </c>
      <c r="G2" s="29">
        <v>54294.87065970929</v>
      </c>
      <c r="H2" s="29">
        <v>57146.539564721112</v>
      </c>
      <c r="I2" s="29">
        <v>57718.004960368322</v>
      </c>
      <c r="J2" s="29">
        <v>58295.185009972003</v>
      </c>
      <c r="K2" s="29">
        <v>58878.136860071725</v>
      </c>
      <c r="L2" s="29">
        <v>61970.527541342686</v>
      </c>
      <c r="M2" s="29">
        <v>62590.232816756114</v>
      </c>
      <c r="N2" s="29">
        <v>63216.135144923675</v>
      </c>
      <c r="O2" s="29">
        <v>63848.29649637291</v>
      </c>
      <c r="P2" s="29">
        <v>67201.729326111541</v>
      </c>
      <c r="Q2" s="29">
        <v>67873.746619372658</v>
      </c>
      <c r="R2" s="29">
        <v>68552.484085566379</v>
      </c>
      <c r="S2" s="29">
        <v>72152.989710735768</v>
      </c>
      <c r="T2" s="29" cm="1">
        <f t="array" ref="T2:BB2">TRANSPOSE(Income!P3:P37)</f>
        <v>72874.519607843133</v>
      </c>
      <c r="U2" s="29">
        <v>73603.264803921571</v>
      </c>
      <c r="V2" s="29">
        <v>77283.428044117638</v>
      </c>
      <c r="W2" s="29">
        <v>78056.262324558818</v>
      </c>
      <c r="X2" s="29">
        <v>78836.824947804402</v>
      </c>
      <c r="Y2" s="29">
        <v>79625.193197282453</v>
      </c>
      <c r="Z2" s="29">
        <v>83606.452857146578</v>
      </c>
      <c r="AA2" s="29">
        <v>84442.517385718049</v>
      </c>
      <c r="AB2" s="29">
        <v>85286.942559575225</v>
      </c>
      <c r="AC2" s="29">
        <v>86139.811985170978</v>
      </c>
      <c r="AD2" s="29">
        <v>90446.802584429533</v>
      </c>
      <c r="AE2" s="29">
        <v>91351.27061027383</v>
      </c>
      <c r="AF2" s="29">
        <v>92264.783316376575</v>
      </c>
      <c r="AG2" s="29">
        <v>96878.022482195403</v>
      </c>
      <c r="AH2" s="29">
        <v>97846.802707017356</v>
      </c>
      <c r="AI2" s="29">
        <v>98825.270734087535</v>
      </c>
      <c r="AJ2" s="29">
        <v>99813.523441428406</v>
      </c>
      <c r="AK2" s="29">
        <v>100811.65867584269</v>
      </c>
      <c r="AL2" s="29">
        <v>105852.24160963483</v>
      </c>
      <c r="AM2" s="29">
        <v>106910.76402573119</v>
      </c>
      <c r="AN2" s="29">
        <v>107979.8716659885</v>
      </c>
      <c r="AO2" s="29">
        <v>109059.67038264839</v>
      </c>
      <c r="AP2" s="29">
        <v>114512.6539017808</v>
      </c>
      <c r="AQ2" s="29">
        <v>115657.78044079861</v>
      </c>
      <c r="AR2" s="29">
        <v>116814.3582452066</v>
      </c>
      <c r="AS2" s="29">
        <v>117982.50182765868</v>
      </c>
      <c r="AT2" s="29">
        <v>119162.32684593527</v>
      </c>
      <c r="AU2" s="29">
        <v>120353.95011439463</v>
      </c>
      <c r="AV2" s="29">
        <v>121557.48961553858</v>
      </c>
      <c r="AW2" s="29">
        <v>122773.06451169397</v>
      </c>
      <c r="AX2" s="2">
        <v>124000.79515681091</v>
      </c>
      <c r="AY2" s="2">
        <v>125240.80310837903</v>
      </c>
      <c r="AZ2" s="2">
        <v>126493.21113946282</v>
      </c>
      <c r="BA2" s="2">
        <v>127758.14325085745</v>
      </c>
      <c r="BB2" s="2">
        <v>129035.72468336603</v>
      </c>
      <c r="BH2" s="2" t="s">
        <v>206</v>
      </c>
      <c r="BI2" s="2" cm="1">
        <f t="array" ref="BI2:BI37">TRANSPOSE(T17:BC17)</f>
        <v>38630.336607535297</v>
      </c>
    </row>
    <row r="3" spans="1:61" x14ac:dyDescent="0.2">
      <c r="D3" s="2" t="s">
        <v>186</v>
      </c>
      <c r="E3" s="29">
        <f>E2*12</f>
        <v>638700.56652927306</v>
      </c>
      <c r="F3" s="29">
        <f t="shared" ref="F3:AW3" si="0">F2*12</f>
        <v>645087.57219456579</v>
      </c>
      <c r="G3" s="29">
        <f t="shared" si="0"/>
        <v>651538.44791651145</v>
      </c>
      <c r="H3" s="29">
        <f t="shared" si="0"/>
        <v>685758.47477665334</v>
      </c>
      <c r="I3" s="29">
        <f t="shared" si="0"/>
        <v>692616.05952441983</v>
      </c>
      <c r="J3" s="29">
        <f t="shared" si="0"/>
        <v>699542.22011966398</v>
      </c>
      <c r="K3" s="29">
        <f t="shared" si="0"/>
        <v>706537.64232086064</v>
      </c>
      <c r="L3" s="29">
        <f t="shared" si="0"/>
        <v>743646.33049611223</v>
      </c>
      <c r="M3" s="29">
        <f t="shared" si="0"/>
        <v>751082.79380107333</v>
      </c>
      <c r="N3" s="29">
        <f t="shared" si="0"/>
        <v>758593.62173908413</v>
      </c>
      <c r="O3" s="29">
        <f t="shared" si="0"/>
        <v>766179.55795647495</v>
      </c>
      <c r="P3" s="29">
        <f t="shared" si="0"/>
        <v>806420.75191333843</v>
      </c>
      <c r="Q3" s="29">
        <f t="shared" si="0"/>
        <v>814484.95943247189</v>
      </c>
      <c r="R3" s="29">
        <f t="shared" si="0"/>
        <v>822629.8090267966</v>
      </c>
      <c r="S3" s="29">
        <f t="shared" si="0"/>
        <v>865835.87652882922</v>
      </c>
      <c r="T3" s="29">
        <f t="shared" si="0"/>
        <v>874494.23529411759</v>
      </c>
      <c r="U3" s="29">
        <f t="shared" si="0"/>
        <v>883239.17764705885</v>
      </c>
      <c r="V3" s="29">
        <f t="shared" si="0"/>
        <v>927401.13652941165</v>
      </c>
      <c r="W3" s="29">
        <f t="shared" si="0"/>
        <v>936675.14789470588</v>
      </c>
      <c r="X3" s="29">
        <f t="shared" si="0"/>
        <v>946041.89937365288</v>
      </c>
      <c r="Y3" s="29">
        <f t="shared" si="0"/>
        <v>955502.3183673895</v>
      </c>
      <c r="Z3" s="29">
        <f t="shared" si="0"/>
        <v>1003277.434285759</v>
      </c>
      <c r="AA3" s="29">
        <f t="shared" si="0"/>
        <v>1013310.2086286165</v>
      </c>
      <c r="AB3" s="29">
        <f t="shared" si="0"/>
        <v>1023443.3107149027</v>
      </c>
      <c r="AC3" s="29">
        <f t="shared" si="0"/>
        <v>1033677.7438220517</v>
      </c>
      <c r="AD3" s="29">
        <f t="shared" si="0"/>
        <v>1085361.6310131545</v>
      </c>
      <c r="AE3" s="29">
        <f t="shared" si="0"/>
        <v>1096215.247323286</v>
      </c>
      <c r="AF3" s="29">
        <f t="shared" si="0"/>
        <v>1107177.399796519</v>
      </c>
      <c r="AG3" s="29">
        <f t="shared" si="0"/>
        <v>1162536.2697863448</v>
      </c>
      <c r="AH3" s="29">
        <f t="shared" si="0"/>
        <v>1174161.6324842083</v>
      </c>
      <c r="AI3" s="29">
        <f t="shared" si="0"/>
        <v>1185903.2488090503</v>
      </c>
      <c r="AJ3" s="29">
        <f t="shared" si="0"/>
        <v>1197762.2812971408</v>
      </c>
      <c r="AK3" s="29">
        <f t="shared" si="0"/>
        <v>1209739.9041101122</v>
      </c>
      <c r="AL3" s="29">
        <f t="shared" si="0"/>
        <v>1270226.899315618</v>
      </c>
      <c r="AM3" s="29">
        <f t="shared" si="0"/>
        <v>1282929.1683087742</v>
      </c>
      <c r="AN3" s="29">
        <f t="shared" si="0"/>
        <v>1295758.4599918621</v>
      </c>
      <c r="AO3" s="29">
        <f t="shared" si="0"/>
        <v>1308716.0445917808</v>
      </c>
      <c r="AP3" s="29">
        <f t="shared" si="0"/>
        <v>1374151.8468213696</v>
      </c>
      <c r="AQ3" s="29">
        <f t="shared" si="0"/>
        <v>1387893.3652895833</v>
      </c>
      <c r="AR3" s="29">
        <f t="shared" si="0"/>
        <v>1401772.2989424793</v>
      </c>
      <c r="AS3" s="29">
        <f t="shared" si="0"/>
        <v>1415790.0219319041</v>
      </c>
      <c r="AT3" s="29">
        <f t="shared" si="0"/>
        <v>1429947.9221512233</v>
      </c>
      <c r="AU3" s="29">
        <f t="shared" si="0"/>
        <v>1444247.4013727354</v>
      </c>
      <c r="AV3" s="29">
        <f t="shared" si="0"/>
        <v>1458689.875386463</v>
      </c>
      <c r="AW3" s="29">
        <f t="shared" si="0"/>
        <v>1473276.7741403277</v>
      </c>
      <c r="AX3" s="29">
        <f t="shared" ref="AX3:BB3" si="1">AX2*12</f>
        <v>1488009.541881731</v>
      </c>
      <c r="AY3" s="29">
        <f t="shared" si="1"/>
        <v>1502889.6373005484</v>
      </c>
      <c r="AZ3" s="29">
        <f t="shared" si="1"/>
        <v>1517918.5336735537</v>
      </c>
      <c r="BA3" s="29">
        <f t="shared" si="1"/>
        <v>1533097.7190102893</v>
      </c>
      <c r="BB3" s="29">
        <f t="shared" si="1"/>
        <v>1548428.6962003924</v>
      </c>
      <c r="BI3" s="2">
        <v>38935.996099863987</v>
      </c>
    </row>
    <row r="4" spans="1:61" x14ac:dyDescent="0.2">
      <c r="A4" s="2" t="str" cm="1">
        <f t="array" ref="A4:B12">'Salary Variables'!$B$16:$C$24</f>
        <v>AM (%)</v>
      </c>
      <c r="B4" s="25">
        <v>0.08</v>
      </c>
      <c r="D4" s="2" t="s">
        <v>277</v>
      </c>
      <c r="E4" s="29">
        <f>'Pensions P2'!B4*12</f>
        <v>31935.028326463653</v>
      </c>
      <c r="F4" s="29">
        <f>'Pensions P2'!C4*12</f>
        <v>32254.378609728294</v>
      </c>
      <c r="G4" s="29">
        <f>'Pensions P2'!D4*12</f>
        <v>32576.922395825575</v>
      </c>
      <c r="H4" s="29">
        <f>'Pensions P2'!E4*12</f>
        <v>34287.923738832673</v>
      </c>
      <c r="I4" s="29">
        <f>'Pensions P2'!F4*12</f>
        <v>34630.802976220992</v>
      </c>
      <c r="J4" s="29">
        <f>'Pensions P2'!G4*12</f>
        <v>34977.111005983206</v>
      </c>
      <c r="K4" s="29">
        <f>'Pensions P2'!H4*12</f>
        <v>35326.882116043038</v>
      </c>
      <c r="L4" s="29">
        <f>'Pensions P2'!I4*12</f>
        <v>37182.316524805618</v>
      </c>
      <c r="M4" s="29">
        <f>'Pensions P2'!J4*12</f>
        <v>37554.139690053671</v>
      </c>
      <c r="N4" s="29">
        <f>'Pensions P2'!K4*12</f>
        <v>37929.68108695421</v>
      </c>
      <c r="O4" s="29">
        <f>'Pensions P2'!L4*12</f>
        <v>38308.977897823745</v>
      </c>
      <c r="P4" s="29">
        <f>'Pensions P2'!M4*12</f>
        <v>40321.03759566693</v>
      </c>
      <c r="Q4" s="29">
        <f>'Pensions P2'!N4*12</f>
        <v>40724.247971623598</v>
      </c>
      <c r="R4" s="29">
        <f>'Pensions P2'!O4*12</f>
        <v>41131.490451339829</v>
      </c>
      <c r="S4" s="29">
        <f>'Pensions P2'!P4*12</f>
        <v>43291.793826441462</v>
      </c>
      <c r="T4" s="29">
        <f>'Pensions P2'!Q4*12</f>
        <v>43724.711764705884</v>
      </c>
      <c r="U4" s="29">
        <f>'Pensions P2'!R4*12</f>
        <v>44161.958882352948</v>
      </c>
      <c r="V4" s="29">
        <f>'Pensions P2'!S4*12</f>
        <v>46370.056826470587</v>
      </c>
      <c r="W4" s="29">
        <f>'Pensions P2'!T4*12</f>
        <v>46833.757394735294</v>
      </c>
      <c r="X4" s="29">
        <f>'Pensions P2'!U4*12</f>
        <v>47302.094968682643</v>
      </c>
      <c r="Y4" s="29">
        <f>'Pensions P2'!V4*12</f>
        <v>47775.115918369476</v>
      </c>
      <c r="Z4" s="29">
        <f>'Pensions P2'!W4*12</f>
        <v>50163.871714287947</v>
      </c>
      <c r="AA4" s="29">
        <f>'Pensions P2'!X4*12</f>
        <v>50665.510431430834</v>
      </c>
      <c r="AB4" s="29">
        <f>'Pensions P2'!Y4*12</f>
        <v>51172.165535745138</v>
      </c>
      <c r="AC4" s="29">
        <f>'Pensions P2'!Z4*12</f>
        <v>51683.887191102593</v>
      </c>
      <c r="AD4" s="29">
        <f>'Pensions P2'!AA4*12</f>
        <v>54268.08155065772</v>
      </c>
      <c r="AE4" s="29">
        <f>'Pensions P2'!AB4*12</f>
        <v>54810.762366164301</v>
      </c>
      <c r="AF4" s="29">
        <f>'Pensions P2'!AC4*12</f>
        <v>55358.869989825951</v>
      </c>
      <c r="AG4" s="29">
        <f>'Pensions P2'!AD4*12</f>
        <v>58126.813489317246</v>
      </c>
      <c r="AH4" s="29">
        <f>'Pensions P2'!AE4*12</f>
        <v>58708.081624210419</v>
      </c>
      <c r="AI4" s="29">
        <f>'Pensions P2'!AF4*12</f>
        <v>59295.162440452521</v>
      </c>
      <c r="AJ4" s="29">
        <f>'Pensions P2'!AG4*12</f>
        <v>59888.114064857044</v>
      </c>
      <c r="AK4" s="29">
        <f>'Pensions P2'!AH4*12</f>
        <v>60486.99520550562</v>
      </c>
      <c r="AL4" s="29">
        <f>'Pensions P2'!AI4*12</f>
        <v>63511.344965780903</v>
      </c>
      <c r="AM4" s="29">
        <f>'Pensions P2'!AJ4*12</f>
        <v>64146.458415438712</v>
      </c>
      <c r="AN4" s="29">
        <f>'Pensions P2'!AK4*12</f>
        <v>64787.922999593102</v>
      </c>
      <c r="AO4" s="29">
        <f>'Pensions P2'!AL4*12</f>
        <v>65435.802229589041</v>
      </c>
      <c r="AP4" s="29">
        <f>'Pensions P2'!AM4*12</f>
        <v>68707.592341068477</v>
      </c>
      <c r="AQ4" s="29">
        <f>'Pensions P2'!AN4*12</f>
        <v>69394.668264479173</v>
      </c>
      <c r="AR4" s="29">
        <f>'Pensions P2'!AO4*12</f>
        <v>70088.614947123962</v>
      </c>
      <c r="AS4" s="29">
        <f>'Pensions P2'!AP4*12</f>
        <v>70789.50109659521</v>
      </c>
      <c r="AT4" s="29">
        <f>'Pensions P2'!AQ4*12</f>
        <v>71497.396107561159</v>
      </c>
      <c r="AU4" s="29">
        <f>'Pensions P2'!AR4*12</f>
        <v>72212.370068636781</v>
      </c>
      <c r="AV4" s="29">
        <f>'Pensions P2'!AS4*12</f>
        <v>72934.493769323148</v>
      </c>
      <c r="AW4" s="29">
        <f>'Pensions P2'!AT4*12</f>
        <v>73663.838707016388</v>
      </c>
      <c r="AX4" s="29">
        <f>'Pensions P2'!AU4*12</f>
        <v>74400.477094086556</v>
      </c>
      <c r="AY4" s="29">
        <f>'Pensions P2'!AV4*12</f>
        <v>75144.481865027425</v>
      </c>
      <c r="AZ4" s="29">
        <f>'Pensions P2'!AW4*12</f>
        <v>75895.926683677695</v>
      </c>
      <c r="BA4" s="29">
        <f>'Pensions P2'!AX4*12</f>
        <v>76654.885950514479</v>
      </c>
      <c r="BB4" s="29">
        <f>'Pensions P2'!AY4*12</f>
        <v>77421.434810019622</v>
      </c>
      <c r="BI4" s="2">
        <v>40479.576536123852</v>
      </c>
    </row>
    <row r="5" spans="1:61" x14ac:dyDescent="0.2">
      <c r="A5" s="2" t="str">
        <v>Personal Allowance</v>
      </c>
      <c r="B5" s="28">
        <v>51600</v>
      </c>
      <c r="D5" s="2" t="s">
        <v>187</v>
      </c>
      <c r="E5" s="29">
        <f t="shared" ref="E5:AW5" si="2">E3-E4</f>
        <v>606765.5382028094</v>
      </c>
      <c r="F5" s="29">
        <f t="shared" si="2"/>
        <v>612833.19358483749</v>
      </c>
      <c r="G5" s="29">
        <f t="shared" si="2"/>
        <v>618961.52552068583</v>
      </c>
      <c r="H5" s="29">
        <f t="shared" si="2"/>
        <v>651470.55103782064</v>
      </c>
      <c r="I5" s="29">
        <f t="shared" si="2"/>
        <v>657985.25654819887</v>
      </c>
      <c r="J5" s="29">
        <f t="shared" si="2"/>
        <v>664565.10911368078</v>
      </c>
      <c r="K5" s="29">
        <f t="shared" si="2"/>
        <v>671210.76020481763</v>
      </c>
      <c r="L5" s="29">
        <f t="shared" si="2"/>
        <v>706464.01397130662</v>
      </c>
      <c r="M5" s="29">
        <f t="shared" si="2"/>
        <v>713528.65411101968</v>
      </c>
      <c r="N5" s="29">
        <f t="shared" si="2"/>
        <v>720663.94065212994</v>
      </c>
      <c r="O5" s="29">
        <f t="shared" si="2"/>
        <v>727870.58005865116</v>
      </c>
      <c r="P5" s="29">
        <f t="shared" si="2"/>
        <v>766099.71431767149</v>
      </c>
      <c r="Q5" s="29">
        <f t="shared" si="2"/>
        <v>773760.71146084834</v>
      </c>
      <c r="R5" s="29">
        <f t="shared" si="2"/>
        <v>781498.31857545674</v>
      </c>
      <c r="S5" s="29">
        <f t="shared" si="2"/>
        <v>822544.08270238771</v>
      </c>
      <c r="T5" s="29">
        <f t="shared" si="2"/>
        <v>830769.52352941176</v>
      </c>
      <c r="U5" s="29">
        <f t="shared" si="2"/>
        <v>839077.21876470593</v>
      </c>
      <c r="V5" s="29">
        <f t="shared" si="2"/>
        <v>881031.07970294112</v>
      </c>
      <c r="W5" s="29">
        <f t="shared" si="2"/>
        <v>889841.39049997064</v>
      </c>
      <c r="X5" s="29">
        <f t="shared" si="2"/>
        <v>898739.80440497026</v>
      </c>
      <c r="Y5" s="29">
        <f t="shared" si="2"/>
        <v>907727.20244902</v>
      </c>
      <c r="Z5" s="29">
        <f t="shared" si="2"/>
        <v>953113.56257147109</v>
      </c>
      <c r="AA5" s="29">
        <f t="shared" si="2"/>
        <v>962644.69819718564</v>
      </c>
      <c r="AB5" s="29">
        <f t="shared" si="2"/>
        <v>972271.14517915761</v>
      </c>
      <c r="AC5" s="29">
        <f t="shared" si="2"/>
        <v>981993.85663094907</v>
      </c>
      <c r="AD5" s="29">
        <f t="shared" si="2"/>
        <v>1031093.5494624968</v>
      </c>
      <c r="AE5" s="29">
        <f t="shared" si="2"/>
        <v>1041404.4849571218</v>
      </c>
      <c r="AF5" s="29">
        <f t="shared" si="2"/>
        <v>1051818.5298066931</v>
      </c>
      <c r="AG5" s="29">
        <f t="shared" si="2"/>
        <v>1104409.4562970276</v>
      </c>
      <c r="AH5" s="29">
        <f t="shared" si="2"/>
        <v>1115453.550859998</v>
      </c>
      <c r="AI5" s="29">
        <f t="shared" si="2"/>
        <v>1126608.0863685978</v>
      </c>
      <c r="AJ5" s="29">
        <f t="shared" si="2"/>
        <v>1137874.1672322836</v>
      </c>
      <c r="AK5" s="29">
        <f t="shared" si="2"/>
        <v>1149252.9089046067</v>
      </c>
      <c r="AL5" s="29">
        <f t="shared" si="2"/>
        <v>1206715.5543498371</v>
      </c>
      <c r="AM5" s="29">
        <f t="shared" si="2"/>
        <v>1218782.7098933356</v>
      </c>
      <c r="AN5" s="29">
        <f t="shared" si="2"/>
        <v>1230970.5369922689</v>
      </c>
      <c r="AO5" s="29">
        <f t="shared" si="2"/>
        <v>1243280.2423621917</v>
      </c>
      <c r="AP5" s="29">
        <f t="shared" si="2"/>
        <v>1305444.2544803012</v>
      </c>
      <c r="AQ5" s="29">
        <f t="shared" si="2"/>
        <v>1318498.6970251042</v>
      </c>
      <c r="AR5" s="29">
        <f t="shared" si="2"/>
        <v>1331683.6839953554</v>
      </c>
      <c r="AS5" s="29">
        <f t="shared" si="2"/>
        <v>1345000.5208353088</v>
      </c>
      <c r="AT5" s="29">
        <f t="shared" si="2"/>
        <v>1358450.5260436621</v>
      </c>
      <c r="AU5" s="29">
        <f t="shared" si="2"/>
        <v>1372035.0313040987</v>
      </c>
      <c r="AV5" s="29">
        <f t="shared" si="2"/>
        <v>1385755.3816171398</v>
      </c>
      <c r="AW5" s="29">
        <f t="shared" si="2"/>
        <v>1399612.9354333114</v>
      </c>
      <c r="AX5" s="29">
        <f t="shared" ref="AX5:BB5" si="3">AX3-AX4</f>
        <v>1413609.0647876444</v>
      </c>
      <c r="AY5" s="29">
        <f t="shared" si="3"/>
        <v>1427745.1554355209</v>
      </c>
      <c r="AZ5" s="29">
        <f t="shared" si="3"/>
        <v>1442022.6069898761</v>
      </c>
      <c r="BA5" s="29">
        <f t="shared" si="3"/>
        <v>1456442.8330597747</v>
      </c>
      <c r="BB5" s="29">
        <f t="shared" si="3"/>
        <v>1471007.2613903729</v>
      </c>
      <c r="BI5" s="2">
        <v>40803.728427738424</v>
      </c>
    </row>
    <row r="6" spans="1:61" x14ac:dyDescent="0.2">
      <c r="A6" s="2" t="str">
        <v>Bottom-Bracket State Tax rate (%)</v>
      </c>
      <c r="B6" s="25">
        <v>0.1201</v>
      </c>
      <c r="D6" s="2" t="s">
        <v>256</v>
      </c>
      <c r="E6" s="28">
        <f>E5-$B$14</f>
        <v>605577.5382028094</v>
      </c>
      <c r="F6" s="28">
        <f t="shared" ref="F6:AW6" si="4">F5-$B$14</f>
        <v>611645.19358483749</v>
      </c>
      <c r="G6" s="28">
        <f t="shared" si="4"/>
        <v>617773.52552068583</v>
      </c>
      <c r="H6" s="28">
        <f t="shared" si="4"/>
        <v>650282.55103782064</v>
      </c>
      <c r="I6" s="28">
        <f t="shared" si="4"/>
        <v>656797.25654819887</v>
      </c>
      <c r="J6" s="28">
        <f t="shared" si="4"/>
        <v>663377.10911368078</v>
      </c>
      <c r="K6" s="28">
        <f t="shared" si="4"/>
        <v>670022.76020481763</v>
      </c>
      <c r="L6" s="28">
        <f t="shared" si="4"/>
        <v>705276.01397130662</v>
      </c>
      <c r="M6" s="28">
        <f t="shared" si="4"/>
        <v>712340.65411101968</v>
      </c>
      <c r="N6" s="28">
        <f t="shared" si="4"/>
        <v>719475.94065212994</v>
      </c>
      <c r="O6" s="28">
        <f t="shared" si="4"/>
        <v>726682.58005865116</v>
      </c>
      <c r="P6" s="28">
        <f t="shared" si="4"/>
        <v>764911.71431767149</v>
      </c>
      <c r="Q6" s="28">
        <f t="shared" si="4"/>
        <v>772572.71146084834</v>
      </c>
      <c r="R6" s="28">
        <f t="shared" si="4"/>
        <v>780310.31857545674</v>
      </c>
      <c r="S6" s="28">
        <f t="shared" si="4"/>
        <v>821356.08270238771</v>
      </c>
      <c r="T6" s="28">
        <f t="shared" si="4"/>
        <v>829581.52352941176</v>
      </c>
      <c r="U6" s="28">
        <f t="shared" si="4"/>
        <v>837889.21876470593</v>
      </c>
      <c r="V6" s="28">
        <f t="shared" si="4"/>
        <v>879843.07970294112</v>
      </c>
      <c r="W6" s="28">
        <f t="shared" si="4"/>
        <v>888653.39049997064</v>
      </c>
      <c r="X6" s="28">
        <f t="shared" si="4"/>
        <v>897551.80440497026</v>
      </c>
      <c r="Y6" s="28">
        <f t="shared" si="4"/>
        <v>906539.20244902</v>
      </c>
      <c r="Z6" s="28">
        <f t="shared" si="4"/>
        <v>951925.56257147109</v>
      </c>
      <c r="AA6" s="28">
        <f t="shared" si="4"/>
        <v>961456.69819718564</v>
      </c>
      <c r="AB6" s="28">
        <f t="shared" si="4"/>
        <v>971083.14517915761</v>
      </c>
      <c r="AC6" s="28">
        <f t="shared" si="4"/>
        <v>980805.85663094907</v>
      </c>
      <c r="AD6" s="28">
        <f t="shared" si="4"/>
        <v>1029905.5494624968</v>
      </c>
      <c r="AE6" s="28">
        <f t="shared" si="4"/>
        <v>1040216.4849571218</v>
      </c>
      <c r="AF6" s="28">
        <f t="shared" si="4"/>
        <v>1050630.5298066931</v>
      </c>
      <c r="AG6" s="28">
        <f t="shared" si="4"/>
        <v>1103221.4562970276</v>
      </c>
      <c r="AH6" s="28">
        <f t="shared" si="4"/>
        <v>1114265.550859998</v>
      </c>
      <c r="AI6" s="28">
        <f t="shared" si="4"/>
        <v>1125420.0863685978</v>
      </c>
      <c r="AJ6" s="28">
        <f t="shared" si="4"/>
        <v>1136686.1672322836</v>
      </c>
      <c r="AK6" s="28">
        <f t="shared" si="4"/>
        <v>1148064.9089046067</v>
      </c>
      <c r="AL6" s="28">
        <f t="shared" si="4"/>
        <v>1205527.5543498371</v>
      </c>
      <c r="AM6" s="28">
        <f t="shared" si="4"/>
        <v>1217594.7098933356</v>
      </c>
      <c r="AN6" s="28">
        <f t="shared" si="4"/>
        <v>1229782.5369922689</v>
      </c>
      <c r="AO6" s="28">
        <f t="shared" si="4"/>
        <v>1242092.2423621917</v>
      </c>
      <c r="AP6" s="28">
        <f t="shared" si="4"/>
        <v>1304256.2544803012</v>
      </c>
      <c r="AQ6" s="28">
        <f t="shared" si="4"/>
        <v>1317310.6970251042</v>
      </c>
      <c r="AR6" s="28">
        <f t="shared" si="4"/>
        <v>1330495.6839953554</v>
      </c>
      <c r="AS6" s="28">
        <f t="shared" si="4"/>
        <v>1343812.5208353088</v>
      </c>
      <c r="AT6" s="28">
        <f t="shared" si="4"/>
        <v>1357262.5260436621</v>
      </c>
      <c r="AU6" s="28">
        <f t="shared" si="4"/>
        <v>1370847.0313040987</v>
      </c>
      <c r="AV6" s="28">
        <f t="shared" si="4"/>
        <v>1384567.3816171398</v>
      </c>
      <c r="AW6" s="28">
        <f t="shared" si="4"/>
        <v>1398424.9354333114</v>
      </c>
      <c r="AX6" s="28">
        <f t="shared" ref="AX6:BB6" si="5">AX5-$B$14</f>
        <v>1412421.0647876444</v>
      </c>
      <c r="AY6" s="28">
        <f t="shared" si="5"/>
        <v>1426557.1554355209</v>
      </c>
      <c r="AZ6" s="28">
        <f t="shared" si="5"/>
        <v>1440834.6069898761</v>
      </c>
      <c r="BA6" s="28">
        <f t="shared" si="5"/>
        <v>1455254.8330597747</v>
      </c>
      <c r="BB6" s="28">
        <f t="shared" si="5"/>
        <v>1469819.2613903729</v>
      </c>
      <c r="BI6" s="2">
        <v>41131.121838269137</v>
      </c>
    </row>
    <row r="7" spans="1:61" x14ac:dyDescent="0.2">
      <c r="A7" s="2" t="str">
        <v>Top-bracket State Tax rate (%)</v>
      </c>
      <c r="B7" s="25">
        <v>0.15</v>
      </c>
      <c r="D7" s="2" t="s">
        <v>234</v>
      </c>
      <c r="E7" s="28">
        <f>E6*(1-$B$4)</f>
        <v>557131.33514658466</v>
      </c>
      <c r="F7" s="28">
        <f t="shared" ref="F7:AW7" si="6">F6*(1-$B$4)</f>
        <v>562713.57809805055</v>
      </c>
      <c r="G7" s="28">
        <f t="shared" si="6"/>
        <v>568351.64347903093</v>
      </c>
      <c r="H7" s="28">
        <f t="shared" si="6"/>
        <v>598259.94695479504</v>
      </c>
      <c r="I7" s="28">
        <f t="shared" si="6"/>
        <v>604253.47602434293</v>
      </c>
      <c r="J7" s="28">
        <f t="shared" si="6"/>
        <v>610306.94038458634</v>
      </c>
      <c r="K7" s="28">
        <f t="shared" si="6"/>
        <v>616420.93938843231</v>
      </c>
      <c r="L7" s="28">
        <f t="shared" si="6"/>
        <v>648853.93285360211</v>
      </c>
      <c r="M7" s="28">
        <f t="shared" si="6"/>
        <v>655353.40178213816</v>
      </c>
      <c r="N7" s="28">
        <f t="shared" si="6"/>
        <v>661917.86539995961</v>
      </c>
      <c r="O7" s="28">
        <f t="shared" si="6"/>
        <v>668547.97365395911</v>
      </c>
      <c r="P7" s="28">
        <f t="shared" si="6"/>
        <v>703718.77717225777</v>
      </c>
      <c r="Q7" s="28">
        <f t="shared" si="6"/>
        <v>710766.89454398048</v>
      </c>
      <c r="R7" s="28">
        <f t="shared" si="6"/>
        <v>717885.49308942026</v>
      </c>
      <c r="S7" s="28">
        <f t="shared" si="6"/>
        <v>755647.59608619672</v>
      </c>
      <c r="T7" s="28">
        <f t="shared" si="6"/>
        <v>763215.00164705887</v>
      </c>
      <c r="U7" s="28">
        <f t="shared" si="6"/>
        <v>770858.08126352949</v>
      </c>
      <c r="V7" s="28">
        <f t="shared" si="6"/>
        <v>809455.63332670589</v>
      </c>
      <c r="W7" s="28">
        <f t="shared" si="6"/>
        <v>817561.11925997306</v>
      </c>
      <c r="X7" s="28">
        <f t="shared" si="6"/>
        <v>825747.66005257273</v>
      </c>
      <c r="Y7" s="28">
        <f t="shared" si="6"/>
        <v>834016.06625309843</v>
      </c>
      <c r="Z7" s="28">
        <f t="shared" si="6"/>
        <v>875771.51756575343</v>
      </c>
      <c r="AA7" s="28">
        <f t="shared" si="6"/>
        <v>884540.16234141088</v>
      </c>
      <c r="AB7" s="28">
        <f t="shared" si="6"/>
        <v>893396.49356482504</v>
      </c>
      <c r="AC7" s="28">
        <f t="shared" si="6"/>
        <v>902341.38810047321</v>
      </c>
      <c r="AD7" s="28">
        <f t="shared" si="6"/>
        <v>947513.10550549708</v>
      </c>
      <c r="AE7" s="28">
        <f t="shared" si="6"/>
        <v>956999.16616055206</v>
      </c>
      <c r="AF7" s="28">
        <f t="shared" si="6"/>
        <v>966580.08742215764</v>
      </c>
      <c r="AG7" s="28">
        <f t="shared" si="6"/>
        <v>1014963.7397932655</v>
      </c>
      <c r="AH7" s="28">
        <f t="shared" si="6"/>
        <v>1025124.3067911982</v>
      </c>
      <c r="AI7" s="28">
        <f t="shared" si="6"/>
        <v>1035386.4794591101</v>
      </c>
      <c r="AJ7" s="28">
        <f t="shared" si="6"/>
        <v>1045751.273853701</v>
      </c>
      <c r="AK7" s="28">
        <f t="shared" si="6"/>
        <v>1056219.7161922383</v>
      </c>
      <c r="AL7" s="28">
        <f t="shared" si="6"/>
        <v>1109085.3500018502</v>
      </c>
      <c r="AM7" s="28">
        <f t="shared" si="6"/>
        <v>1120187.1331018687</v>
      </c>
      <c r="AN7" s="28">
        <f t="shared" si="6"/>
        <v>1131399.9340328875</v>
      </c>
      <c r="AO7" s="28">
        <f t="shared" si="6"/>
        <v>1142724.8629732165</v>
      </c>
      <c r="AP7" s="28">
        <f t="shared" si="6"/>
        <v>1199915.754121877</v>
      </c>
      <c r="AQ7" s="28">
        <f t="shared" si="6"/>
        <v>1211925.8412630958</v>
      </c>
      <c r="AR7" s="28">
        <f t="shared" si="6"/>
        <v>1224056.029275727</v>
      </c>
      <c r="AS7" s="28">
        <f t="shared" si="6"/>
        <v>1236307.5191684843</v>
      </c>
      <c r="AT7" s="28">
        <f t="shared" si="6"/>
        <v>1248681.5239601692</v>
      </c>
      <c r="AU7" s="28">
        <f t="shared" si="6"/>
        <v>1261179.2687997709</v>
      </c>
      <c r="AV7" s="28">
        <f t="shared" si="6"/>
        <v>1273801.9910877687</v>
      </c>
      <c r="AW7" s="28">
        <f t="shared" si="6"/>
        <v>1286550.9405986466</v>
      </c>
      <c r="AX7" s="28">
        <f t="shared" ref="AX7:BB7" si="7">AX6*(1-$B$4)</f>
        <v>1299427.379604633</v>
      </c>
      <c r="AY7" s="28">
        <f t="shared" si="7"/>
        <v>1312432.5830006793</v>
      </c>
      <c r="AZ7" s="28">
        <f t="shared" si="7"/>
        <v>1325567.8384306862</v>
      </c>
      <c r="BA7" s="28">
        <f t="shared" si="7"/>
        <v>1338834.4464149927</v>
      </c>
      <c r="BB7" s="28">
        <f t="shared" si="7"/>
        <v>1352233.7204791431</v>
      </c>
      <c r="BI7" s="2">
        <v>41461.789182905159</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43131.659273317084</v>
      </c>
    </row>
    <row r="9" spans="1:61" x14ac:dyDescent="0.2">
      <c r="A9" s="2" t="str">
        <v>Municipal Tax (%)</v>
      </c>
      <c r="B9" s="25">
        <v>0.25</v>
      </c>
      <c r="D9" s="2" t="s">
        <v>235</v>
      </c>
      <c r="E9" s="28">
        <f t="shared" ref="E9:AW9" si="9">E7-E8</f>
        <v>505531.33514658466</v>
      </c>
      <c r="F9" s="28">
        <f t="shared" si="9"/>
        <v>511113.57809805055</v>
      </c>
      <c r="G9" s="28">
        <f t="shared" si="9"/>
        <v>516751.64347903093</v>
      </c>
      <c r="H9" s="28">
        <f t="shared" si="9"/>
        <v>546659.94695479504</v>
      </c>
      <c r="I9" s="28">
        <f t="shared" si="9"/>
        <v>552653.47602434293</v>
      </c>
      <c r="J9" s="28">
        <f t="shared" si="9"/>
        <v>558706.94038458634</v>
      </c>
      <c r="K9" s="28">
        <f t="shared" si="9"/>
        <v>564820.93938843231</v>
      </c>
      <c r="L9" s="28">
        <f t="shared" si="9"/>
        <v>597253.93285360211</v>
      </c>
      <c r="M9" s="28">
        <f t="shared" si="9"/>
        <v>603753.40178213816</v>
      </c>
      <c r="N9" s="28">
        <f t="shared" si="9"/>
        <v>610317.86539995961</v>
      </c>
      <c r="O9" s="28">
        <f t="shared" si="9"/>
        <v>616947.97365395911</v>
      </c>
      <c r="P9" s="28">
        <f t="shared" si="9"/>
        <v>652118.77717225777</v>
      </c>
      <c r="Q9" s="28">
        <f t="shared" si="9"/>
        <v>659166.89454398048</v>
      </c>
      <c r="R9" s="28">
        <f t="shared" si="9"/>
        <v>666285.49308942026</v>
      </c>
      <c r="S9" s="28">
        <f t="shared" si="9"/>
        <v>704047.59608619672</v>
      </c>
      <c r="T9" s="28">
        <f t="shared" si="9"/>
        <v>711615.00164705887</v>
      </c>
      <c r="U9" s="28">
        <f t="shared" si="9"/>
        <v>719258.08126352949</v>
      </c>
      <c r="V9" s="28">
        <f t="shared" si="9"/>
        <v>757855.63332670589</v>
      </c>
      <c r="W9" s="28">
        <f t="shared" si="9"/>
        <v>765961.11925997306</v>
      </c>
      <c r="X9" s="28">
        <f t="shared" si="9"/>
        <v>774147.66005257273</v>
      </c>
      <c r="Y9" s="28">
        <f t="shared" si="9"/>
        <v>782416.06625309843</v>
      </c>
      <c r="Z9" s="28">
        <f t="shared" si="9"/>
        <v>824171.51756575343</v>
      </c>
      <c r="AA9" s="28">
        <f t="shared" si="9"/>
        <v>832940.16234141088</v>
      </c>
      <c r="AB9" s="28">
        <f t="shared" si="9"/>
        <v>841796.49356482504</v>
      </c>
      <c r="AC9" s="28">
        <f t="shared" si="9"/>
        <v>850741.38810047321</v>
      </c>
      <c r="AD9" s="28">
        <f t="shared" si="9"/>
        <v>895913.10550549708</v>
      </c>
      <c r="AE9" s="28">
        <f t="shared" si="9"/>
        <v>905399.16616055206</v>
      </c>
      <c r="AF9" s="28">
        <f t="shared" si="9"/>
        <v>914980.08742215764</v>
      </c>
      <c r="AG9" s="28">
        <f t="shared" si="9"/>
        <v>963363.73979326547</v>
      </c>
      <c r="AH9" s="28">
        <f t="shared" si="9"/>
        <v>973524.30679119821</v>
      </c>
      <c r="AI9" s="28">
        <f t="shared" si="9"/>
        <v>983786.47945911007</v>
      </c>
      <c r="AJ9" s="28">
        <f t="shared" si="9"/>
        <v>994151.27385370096</v>
      </c>
      <c r="AK9" s="28">
        <f t="shared" si="9"/>
        <v>1004619.7161922383</v>
      </c>
      <c r="AL9" s="28">
        <f t="shared" si="9"/>
        <v>1057485.3500018502</v>
      </c>
      <c r="AM9" s="28">
        <f t="shared" si="9"/>
        <v>1068587.1331018687</v>
      </c>
      <c r="AN9" s="28">
        <f t="shared" si="9"/>
        <v>1079799.9340328875</v>
      </c>
      <c r="AO9" s="28">
        <f t="shared" si="9"/>
        <v>1091124.8629732165</v>
      </c>
      <c r="AP9" s="28">
        <f t="shared" si="9"/>
        <v>1148315.754121877</v>
      </c>
      <c r="AQ9" s="28">
        <f t="shared" si="9"/>
        <v>1160325.8412630958</v>
      </c>
      <c r="AR9" s="28">
        <f t="shared" si="9"/>
        <v>1172456.029275727</v>
      </c>
      <c r="AS9" s="28">
        <f t="shared" si="9"/>
        <v>1184707.5191684843</v>
      </c>
      <c r="AT9" s="28">
        <f t="shared" si="9"/>
        <v>1197081.5239601692</v>
      </c>
      <c r="AU9" s="28">
        <f t="shared" si="9"/>
        <v>1209579.2687997709</v>
      </c>
      <c r="AV9" s="28">
        <f t="shared" si="9"/>
        <v>1222201.9910877687</v>
      </c>
      <c r="AW9" s="28">
        <f t="shared" si="9"/>
        <v>1234950.9405986466</v>
      </c>
      <c r="AX9" s="28">
        <f t="shared" ref="AX9:BB9" si="10">AX7-AX8</f>
        <v>1247827.379604633</v>
      </c>
      <c r="AY9" s="28">
        <f t="shared" si="10"/>
        <v>1260832.5830006793</v>
      </c>
      <c r="AZ9" s="28">
        <f t="shared" si="10"/>
        <v>1273967.8384306862</v>
      </c>
      <c r="BA9" s="28">
        <f t="shared" si="10"/>
        <v>1287234.4464149927</v>
      </c>
      <c r="BB9" s="28">
        <f t="shared" si="10"/>
        <v>1300633.7204791431</v>
      </c>
      <c r="BI9" s="2">
        <v>43482.331992303582</v>
      </c>
    </row>
    <row r="10" spans="1:61" x14ac:dyDescent="0.2">
      <c r="A10" s="2" t="str">
        <v>Capital Gains &lt; 67,500DKK</v>
      </c>
      <c r="B10" s="28">
        <v>0.27</v>
      </c>
      <c r="D10" s="2" t="s">
        <v>189</v>
      </c>
      <c r="E10" s="28">
        <f t="shared" ref="E10:AW10" si="11">E7*$B$9</f>
        <v>139282.83378664617</v>
      </c>
      <c r="F10" s="28">
        <f t="shared" si="11"/>
        <v>140678.39452451264</v>
      </c>
      <c r="G10" s="28">
        <f t="shared" si="11"/>
        <v>142087.91086975773</v>
      </c>
      <c r="H10" s="28">
        <f t="shared" si="11"/>
        <v>149564.98673869876</v>
      </c>
      <c r="I10" s="28">
        <f t="shared" si="11"/>
        <v>151063.36900608573</v>
      </c>
      <c r="J10" s="28">
        <f t="shared" si="11"/>
        <v>152576.73509614659</v>
      </c>
      <c r="K10" s="28">
        <f t="shared" si="11"/>
        <v>154105.23484710808</v>
      </c>
      <c r="L10" s="28">
        <f t="shared" si="11"/>
        <v>162213.48321340053</v>
      </c>
      <c r="M10" s="28">
        <f t="shared" si="11"/>
        <v>163838.35044553454</v>
      </c>
      <c r="N10" s="28">
        <f t="shared" si="11"/>
        <v>165479.4663499899</v>
      </c>
      <c r="O10" s="28">
        <f t="shared" si="11"/>
        <v>167136.99341348978</v>
      </c>
      <c r="P10" s="28">
        <f t="shared" si="11"/>
        <v>175929.69429306444</v>
      </c>
      <c r="Q10" s="28">
        <f t="shared" si="11"/>
        <v>177691.72363599512</v>
      </c>
      <c r="R10" s="28">
        <f t="shared" si="11"/>
        <v>179471.37327235506</v>
      </c>
      <c r="S10" s="28">
        <f t="shared" si="11"/>
        <v>188911.89902154918</v>
      </c>
      <c r="T10" s="28">
        <f t="shared" si="11"/>
        <v>190803.75041176472</v>
      </c>
      <c r="U10" s="28">
        <f t="shared" si="11"/>
        <v>192714.52031588237</v>
      </c>
      <c r="V10" s="28">
        <f t="shared" si="11"/>
        <v>202363.90833167647</v>
      </c>
      <c r="W10" s="28">
        <f t="shared" si="11"/>
        <v>204390.27981499326</v>
      </c>
      <c r="X10" s="28">
        <f t="shared" si="11"/>
        <v>206436.91501314318</v>
      </c>
      <c r="Y10" s="28">
        <f t="shared" si="11"/>
        <v>208504.01656327461</v>
      </c>
      <c r="Z10" s="28">
        <f t="shared" si="11"/>
        <v>218942.87939143836</v>
      </c>
      <c r="AA10" s="28">
        <f t="shared" si="11"/>
        <v>221135.04058535272</v>
      </c>
      <c r="AB10" s="28">
        <f t="shared" si="11"/>
        <v>223349.12339120626</v>
      </c>
      <c r="AC10" s="28">
        <f t="shared" si="11"/>
        <v>225585.3470251183</v>
      </c>
      <c r="AD10" s="28">
        <f t="shared" si="11"/>
        <v>236878.27637637427</v>
      </c>
      <c r="AE10" s="28">
        <f t="shared" si="11"/>
        <v>239249.79154013802</v>
      </c>
      <c r="AF10" s="28">
        <f t="shared" si="11"/>
        <v>241645.02185553941</v>
      </c>
      <c r="AG10" s="28">
        <f t="shared" si="11"/>
        <v>253740.93494831637</v>
      </c>
      <c r="AH10" s="28">
        <f t="shared" si="11"/>
        <v>256281.07669779955</v>
      </c>
      <c r="AI10" s="28">
        <f t="shared" si="11"/>
        <v>258846.61986477752</v>
      </c>
      <c r="AJ10" s="28">
        <f t="shared" si="11"/>
        <v>261437.81846342524</v>
      </c>
      <c r="AK10" s="28">
        <f t="shared" si="11"/>
        <v>264054.92904805957</v>
      </c>
      <c r="AL10" s="28">
        <f t="shared" si="11"/>
        <v>277271.33750046254</v>
      </c>
      <c r="AM10" s="28">
        <f t="shared" si="11"/>
        <v>280046.78327546717</v>
      </c>
      <c r="AN10" s="28">
        <f t="shared" si="11"/>
        <v>282849.98350822186</v>
      </c>
      <c r="AO10" s="28">
        <f t="shared" si="11"/>
        <v>285681.21574330411</v>
      </c>
      <c r="AP10" s="28">
        <f t="shared" si="11"/>
        <v>299978.93853046926</v>
      </c>
      <c r="AQ10" s="28">
        <f t="shared" si="11"/>
        <v>302981.46031577396</v>
      </c>
      <c r="AR10" s="28">
        <f t="shared" si="11"/>
        <v>306014.00731893175</v>
      </c>
      <c r="AS10" s="28">
        <f t="shared" si="11"/>
        <v>309076.87979212106</v>
      </c>
      <c r="AT10" s="28">
        <f t="shared" si="11"/>
        <v>312170.38099004229</v>
      </c>
      <c r="AU10" s="28">
        <f t="shared" si="11"/>
        <v>315294.81719994271</v>
      </c>
      <c r="AV10" s="28">
        <f t="shared" si="11"/>
        <v>318450.49777194217</v>
      </c>
      <c r="AW10" s="28">
        <f t="shared" si="11"/>
        <v>321637.73514966166</v>
      </c>
      <c r="AX10" s="28">
        <f t="shared" ref="AX10:BB10" si="12">AX7*$B$9</f>
        <v>324856.84490115824</v>
      </c>
      <c r="AY10" s="28">
        <f t="shared" si="12"/>
        <v>328108.14575016982</v>
      </c>
      <c r="AZ10" s="28">
        <f t="shared" si="12"/>
        <v>331391.95960767154</v>
      </c>
      <c r="BA10" s="28">
        <f t="shared" si="12"/>
        <v>334708.61160374817</v>
      </c>
      <c r="BB10" s="28">
        <f t="shared" si="12"/>
        <v>338058.43011978577</v>
      </c>
      <c r="BI10" s="2">
        <v>43836.51143847996</v>
      </c>
    </row>
    <row r="11" spans="1:61" x14ac:dyDescent="0.2">
      <c r="A11" s="2" t="str">
        <v>Capital Gains &gt; 67,500DKK</v>
      </c>
      <c r="B11" s="25">
        <v>0.42</v>
      </c>
      <c r="D11" s="2" t="s">
        <v>190</v>
      </c>
      <c r="E11" s="28">
        <f t="shared" ref="E11:AW11" si="13">MAX(E9-$B$8,0)*$B$7</f>
        <v>0</v>
      </c>
      <c r="F11" s="28">
        <f t="shared" si="13"/>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5057.8165758386658</v>
      </c>
      <c r="Q11" s="28">
        <f t="shared" si="13"/>
        <v>6115.0341815970723</v>
      </c>
      <c r="R11" s="28">
        <f t="shared" si="13"/>
        <v>7182.8239634130377</v>
      </c>
      <c r="S11" s="28">
        <f t="shared" si="13"/>
        <v>12847.139412929508</v>
      </c>
      <c r="T11" s="28">
        <f t="shared" si="13"/>
        <v>13982.250247058832</v>
      </c>
      <c r="U11" s="28">
        <f t="shared" si="13"/>
        <v>15128.712189529422</v>
      </c>
      <c r="V11" s="28">
        <f t="shared" si="13"/>
        <v>20918.344999005883</v>
      </c>
      <c r="W11" s="28">
        <f t="shared" si="13"/>
        <v>22134.167888995958</v>
      </c>
      <c r="X11" s="28">
        <f t="shared" si="13"/>
        <v>23362.14900788591</v>
      </c>
      <c r="Y11" s="28">
        <f t="shared" si="13"/>
        <v>24602.409937964763</v>
      </c>
      <c r="Z11" s="28">
        <f t="shared" si="13"/>
        <v>30865.727634863011</v>
      </c>
      <c r="AA11" s="28">
        <f t="shared" si="13"/>
        <v>32181.024351211629</v>
      </c>
      <c r="AB11" s="28">
        <f t="shared" si="13"/>
        <v>33509.474034723753</v>
      </c>
      <c r="AC11" s="28">
        <f t="shared" si="13"/>
        <v>34851.208215070983</v>
      </c>
      <c r="AD11" s="28">
        <f t="shared" si="13"/>
        <v>41626.965825824562</v>
      </c>
      <c r="AE11" s="28">
        <f t="shared" si="13"/>
        <v>43049.874924082811</v>
      </c>
      <c r="AF11" s="28">
        <f t="shared" si="13"/>
        <v>44487.013113323643</v>
      </c>
      <c r="AG11" s="28">
        <f t="shared" si="13"/>
        <v>51744.560968989819</v>
      </c>
      <c r="AH11" s="28">
        <f t="shared" si="13"/>
        <v>53268.646018679727</v>
      </c>
      <c r="AI11" s="28">
        <f t="shared" si="13"/>
        <v>54807.971918866511</v>
      </c>
      <c r="AJ11" s="28">
        <f t="shared" si="13"/>
        <v>56362.691078055141</v>
      </c>
      <c r="AK11" s="28">
        <f t="shared" si="13"/>
        <v>57932.95742883574</v>
      </c>
      <c r="AL11" s="28">
        <f t="shared" si="13"/>
        <v>65862.802500277525</v>
      </c>
      <c r="AM11" s="28">
        <f t="shared" si="13"/>
        <v>67528.069965280301</v>
      </c>
      <c r="AN11" s="28">
        <f t="shared" si="13"/>
        <v>69209.990104933109</v>
      </c>
      <c r="AO11" s="28">
        <f t="shared" si="13"/>
        <v>70908.729445982462</v>
      </c>
      <c r="AP11" s="28">
        <f t="shared" si="13"/>
        <v>79487.363118281544</v>
      </c>
      <c r="AQ11" s="28">
        <f t="shared" si="13"/>
        <v>81288.876189464369</v>
      </c>
      <c r="AR11" s="28">
        <f t="shared" si="13"/>
        <v>83108.404391359043</v>
      </c>
      <c r="AS11" s="28">
        <f t="shared" si="13"/>
        <v>84946.127875272636</v>
      </c>
      <c r="AT11" s="28">
        <f t="shared" si="13"/>
        <v>86802.228594025379</v>
      </c>
      <c r="AU11" s="28">
        <f t="shared" si="13"/>
        <v>88676.89031996562</v>
      </c>
      <c r="AV11" s="28">
        <f t="shared" si="13"/>
        <v>90570.298663165304</v>
      </c>
      <c r="AW11" s="28">
        <f t="shared" si="13"/>
        <v>92482.641089796991</v>
      </c>
      <c r="AX11" s="28">
        <f t="shared" ref="AX11:BB11" si="14">MAX(AX9-$B$8,0)*$B$7</f>
        <v>94414.106940694939</v>
      </c>
      <c r="AY11" s="28">
        <f t="shared" si="14"/>
        <v>96364.887450101887</v>
      </c>
      <c r="AZ11" s="28">
        <f t="shared" si="14"/>
        <v>98335.175764602915</v>
      </c>
      <c r="BA11" s="28">
        <f t="shared" si="14"/>
        <v>100325.1669622489</v>
      </c>
      <c r="BB11" s="28">
        <f t="shared" si="14"/>
        <v>102335.05807187146</v>
      </c>
      <c r="BI11" s="2">
        <v>44194.232679118089</v>
      </c>
    </row>
    <row r="12" spans="1:61" x14ac:dyDescent="0.2">
      <c r="A12" s="2" t="str">
        <v>Capital Gains Threshold</v>
      </c>
      <c r="B12" s="53">
        <v>67500</v>
      </c>
      <c r="D12" s="2" t="s">
        <v>191</v>
      </c>
      <c r="E12" s="28">
        <f t="shared" ref="E12:AW12" si="15">E9*$B$6</f>
        <v>60714.313351104815</v>
      </c>
      <c r="F12" s="28">
        <f t="shared" si="15"/>
        <v>61384.740729575868</v>
      </c>
      <c r="G12" s="28">
        <f t="shared" si="15"/>
        <v>62061.872381831614</v>
      </c>
      <c r="H12" s="28">
        <f t="shared" si="15"/>
        <v>65653.859629270883</v>
      </c>
      <c r="I12" s="28">
        <f t="shared" si="15"/>
        <v>66373.682470523592</v>
      </c>
      <c r="J12" s="28">
        <f t="shared" si="15"/>
        <v>67100.703540188813</v>
      </c>
      <c r="K12" s="28">
        <f t="shared" si="15"/>
        <v>67834.994820550724</v>
      </c>
      <c r="L12" s="28">
        <f t="shared" si="15"/>
        <v>71730.197335717618</v>
      </c>
      <c r="M12" s="28">
        <f t="shared" si="15"/>
        <v>72510.783554034788</v>
      </c>
      <c r="N12" s="28">
        <f t="shared" si="15"/>
        <v>73299.175634535146</v>
      </c>
      <c r="O12" s="28">
        <f t="shared" si="15"/>
        <v>74095.451635840494</v>
      </c>
      <c r="P12" s="28">
        <f t="shared" si="15"/>
        <v>78319.465138388157</v>
      </c>
      <c r="Q12" s="28">
        <f t="shared" si="15"/>
        <v>79165.944034732049</v>
      </c>
      <c r="R12" s="28">
        <f t="shared" si="15"/>
        <v>80020.887720039376</v>
      </c>
      <c r="S12" s="28">
        <f t="shared" si="15"/>
        <v>84556.116289952231</v>
      </c>
      <c r="T12" s="28">
        <f t="shared" si="15"/>
        <v>85464.96169781177</v>
      </c>
      <c r="U12" s="28">
        <f t="shared" si="15"/>
        <v>86382.895559749886</v>
      </c>
      <c r="V12" s="28">
        <f t="shared" si="15"/>
        <v>91018.46156253737</v>
      </c>
      <c r="W12" s="28">
        <f t="shared" si="15"/>
        <v>91991.930423122758</v>
      </c>
      <c r="X12" s="28">
        <f t="shared" si="15"/>
        <v>92975.133972313983</v>
      </c>
      <c r="Y12" s="28">
        <f t="shared" si="15"/>
        <v>93968.16955699712</v>
      </c>
      <c r="Z12" s="28">
        <f t="shared" si="15"/>
        <v>98982.999259646982</v>
      </c>
      <c r="AA12" s="28">
        <f t="shared" si="15"/>
        <v>100036.11349720345</v>
      </c>
      <c r="AB12" s="28">
        <f t="shared" si="15"/>
        <v>101099.75887713549</v>
      </c>
      <c r="AC12" s="28">
        <f t="shared" si="15"/>
        <v>102174.04071086683</v>
      </c>
      <c r="AD12" s="28">
        <f t="shared" si="15"/>
        <v>107599.1639712102</v>
      </c>
      <c r="AE12" s="28">
        <f t="shared" si="15"/>
        <v>108738.4398558823</v>
      </c>
      <c r="AF12" s="28">
        <f t="shared" si="15"/>
        <v>109889.10849940113</v>
      </c>
      <c r="AG12" s="28">
        <f t="shared" si="15"/>
        <v>115699.98514917119</v>
      </c>
      <c r="AH12" s="28">
        <f t="shared" si="15"/>
        <v>116920.2692456229</v>
      </c>
      <c r="AI12" s="28">
        <f t="shared" si="15"/>
        <v>118152.75618303912</v>
      </c>
      <c r="AJ12" s="28">
        <f t="shared" si="15"/>
        <v>119397.56798982948</v>
      </c>
      <c r="AK12" s="28">
        <f t="shared" si="15"/>
        <v>120654.82791468782</v>
      </c>
      <c r="AL12" s="28">
        <f t="shared" si="15"/>
        <v>127003.9905352222</v>
      </c>
      <c r="AM12" s="28">
        <f t="shared" si="15"/>
        <v>128337.31468553442</v>
      </c>
      <c r="AN12" s="28">
        <f t="shared" si="15"/>
        <v>129683.97207734978</v>
      </c>
      <c r="AO12" s="28">
        <f t="shared" si="15"/>
        <v>131044.09604308329</v>
      </c>
      <c r="AP12" s="28">
        <f t="shared" si="15"/>
        <v>137912.72207003742</v>
      </c>
      <c r="AQ12" s="28">
        <f t="shared" si="15"/>
        <v>139355.13353569782</v>
      </c>
      <c r="AR12" s="28">
        <f t="shared" si="15"/>
        <v>140811.96911601481</v>
      </c>
      <c r="AS12" s="28">
        <f t="shared" si="15"/>
        <v>142283.37305213496</v>
      </c>
      <c r="AT12" s="28">
        <f t="shared" si="15"/>
        <v>143769.49102761631</v>
      </c>
      <c r="AU12" s="28">
        <f t="shared" si="15"/>
        <v>145270.47018285247</v>
      </c>
      <c r="AV12" s="28">
        <f t="shared" si="15"/>
        <v>146786.45912964101</v>
      </c>
      <c r="AW12" s="28">
        <f t="shared" si="15"/>
        <v>148317.60796589745</v>
      </c>
      <c r="AX12" s="28">
        <f t="shared" ref="AX12:BB12" si="16">AX9*$B$6</f>
        <v>149864.06829051641</v>
      </c>
      <c r="AY12" s="28">
        <f t="shared" si="16"/>
        <v>151425.99321838157</v>
      </c>
      <c r="AZ12" s="28">
        <f t="shared" si="16"/>
        <v>153003.5373955254</v>
      </c>
      <c r="BA12" s="28">
        <f t="shared" si="16"/>
        <v>154596.85701444061</v>
      </c>
      <c r="BB12" s="28">
        <f t="shared" si="16"/>
        <v>156206.10982954508</v>
      </c>
      <c r="BI12" s="2">
        <v>46000.724944340669</v>
      </c>
    </row>
    <row r="13" spans="1:61" x14ac:dyDescent="0.2">
      <c r="A13" s="2" t="s">
        <v>254</v>
      </c>
      <c r="B13" s="58">
        <v>99</v>
      </c>
      <c r="D13" s="2" t="s">
        <v>192</v>
      </c>
      <c r="E13" s="28">
        <f t="shared" ref="E13:AW13" si="17">SUM(E10:E12)</f>
        <v>199997.14713775099</v>
      </c>
      <c r="F13" s="28">
        <f t="shared" si="17"/>
        <v>202063.1352540885</v>
      </c>
      <c r="G13" s="28">
        <f t="shared" si="17"/>
        <v>204149.78325158934</v>
      </c>
      <c r="H13" s="28">
        <f t="shared" si="17"/>
        <v>215218.84636796964</v>
      </c>
      <c r="I13" s="28">
        <f t="shared" si="17"/>
        <v>217437.05147660931</v>
      </c>
      <c r="J13" s="28">
        <f t="shared" si="17"/>
        <v>219677.4386363354</v>
      </c>
      <c r="K13" s="28">
        <f t="shared" si="17"/>
        <v>221940.2296676588</v>
      </c>
      <c r="L13" s="28">
        <f t="shared" si="17"/>
        <v>233943.68054911814</v>
      </c>
      <c r="M13" s="28">
        <f t="shared" si="17"/>
        <v>236349.13399956934</v>
      </c>
      <c r="N13" s="28">
        <f t="shared" si="17"/>
        <v>238778.64198452505</v>
      </c>
      <c r="O13" s="28">
        <f t="shared" si="17"/>
        <v>241232.44504933027</v>
      </c>
      <c r="P13" s="28">
        <f t="shared" si="17"/>
        <v>259306.97600729126</v>
      </c>
      <c r="Q13" s="28">
        <f t="shared" si="17"/>
        <v>262972.70185232424</v>
      </c>
      <c r="R13" s="28">
        <f t="shared" si="17"/>
        <v>266675.08495580748</v>
      </c>
      <c r="S13" s="28">
        <f t="shared" si="17"/>
        <v>286315.15472443093</v>
      </c>
      <c r="T13" s="28">
        <f t="shared" si="17"/>
        <v>290250.96235663531</v>
      </c>
      <c r="U13" s="28">
        <f t="shared" si="17"/>
        <v>294226.12806516164</v>
      </c>
      <c r="V13" s="28">
        <f t="shared" si="17"/>
        <v>314300.7148932197</v>
      </c>
      <c r="W13" s="28">
        <f t="shared" si="17"/>
        <v>318516.378127112</v>
      </c>
      <c r="X13" s="28">
        <f t="shared" si="17"/>
        <v>322774.19799334311</v>
      </c>
      <c r="Y13" s="28">
        <f t="shared" si="17"/>
        <v>327074.59605823649</v>
      </c>
      <c r="Z13" s="28">
        <f t="shared" si="17"/>
        <v>348791.60628594836</v>
      </c>
      <c r="AA13" s="28">
        <f t="shared" si="17"/>
        <v>353352.17843376781</v>
      </c>
      <c r="AB13" s="28">
        <f t="shared" si="17"/>
        <v>357958.35630306555</v>
      </c>
      <c r="AC13" s="28">
        <f t="shared" si="17"/>
        <v>362610.59595105611</v>
      </c>
      <c r="AD13" s="28">
        <f t="shared" si="17"/>
        <v>386104.40617340902</v>
      </c>
      <c r="AE13" s="28">
        <f t="shared" si="17"/>
        <v>391038.10632010316</v>
      </c>
      <c r="AF13" s="28">
        <f t="shared" si="17"/>
        <v>396021.1434682642</v>
      </c>
      <c r="AG13" s="28">
        <f t="shared" si="17"/>
        <v>421185.48106647737</v>
      </c>
      <c r="AH13" s="28">
        <f t="shared" si="17"/>
        <v>426469.99196210218</v>
      </c>
      <c r="AI13" s="28">
        <f t="shared" si="17"/>
        <v>431807.34796668316</v>
      </c>
      <c r="AJ13" s="28">
        <f t="shared" si="17"/>
        <v>437198.07753130986</v>
      </c>
      <c r="AK13" s="28">
        <f t="shared" si="17"/>
        <v>442642.71439158311</v>
      </c>
      <c r="AL13" s="28">
        <f t="shared" si="17"/>
        <v>470138.13053596229</v>
      </c>
      <c r="AM13" s="28">
        <f t="shared" si="17"/>
        <v>475912.16792628192</v>
      </c>
      <c r="AN13" s="28">
        <f t="shared" si="17"/>
        <v>481743.94569050474</v>
      </c>
      <c r="AO13" s="28">
        <f t="shared" si="17"/>
        <v>487634.0412323699</v>
      </c>
      <c r="AP13" s="28">
        <f t="shared" si="17"/>
        <v>517379.02371878817</v>
      </c>
      <c r="AQ13" s="28">
        <f t="shared" si="17"/>
        <v>523625.47004093614</v>
      </c>
      <c r="AR13" s="28">
        <f t="shared" si="17"/>
        <v>529934.3808263056</v>
      </c>
      <c r="AS13" s="28">
        <f t="shared" si="17"/>
        <v>536306.38071952865</v>
      </c>
      <c r="AT13" s="28">
        <f t="shared" si="17"/>
        <v>542742.10061168391</v>
      </c>
      <c r="AU13" s="28">
        <f t="shared" si="17"/>
        <v>549242.17770276079</v>
      </c>
      <c r="AV13" s="28">
        <f t="shared" si="17"/>
        <v>555807.25556474854</v>
      </c>
      <c r="AW13" s="28">
        <f t="shared" si="17"/>
        <v>562437.9842053561</v>
      </c>
      <c r="AX13" s="28">
        <f t="shared" ref="AX13:BB13" si="18">SUM(AX10:AX12)</f>
        <v>569135.02013236959</v>
      </c>
      <c r="AY13" s="28">
        <f t="shared" si="18"/>
        <v>575899.02641865332</v>
      </c>
      <c r="AZ13" s="28">
        <f t="shared" si="18"/>
        <v>582730.67276779981</v>
      </c>
      <c r="BA13" s="28">
        <f t="shared" si="18"/>
        <v>589630.63558043772</v>
      </c>
      <c r="BB13" s="28">
        <f t="shared" si="18"/>
        <v>596599.59802120226</v>
      </c>
      <c r="BI13" s="2">
        <v>46380.088320037408</v>
      </c>
    </row>
    <row r="14" spans="1:61" x14ac:dyDescent="0.2">
      <c r="A14" s="2" t="s">
        <v>255</v>
      </c>
      <c r="B14" s="28">
        <f>B13*12</f>
        <v>1188</v>
      </c>
      <c r="D14" s="2" t="s">
        <v>193</v>
      </c>
      <c r="E14" s="28">
        <f>E7-E13</f>
        <v>357134.18800883368</v>
      </c>
      <c r="F14" s="28">
        <f t="shared" ref="F14:AW14" si="19">F7-F13</f>
        <v>360650.44284396205</v>
      </c>
      <c r="G14" s="28">
        <f t="shared" si="19"/>
        <v>364201.86022744159</v>
      </c>
      <c r="H14" s="28">
        <f t="shared" si="19"/>
        <v>383041.1005868254</v>
      </c>
      <c r="I14" s="28">
        <f t="shared" si="19"/>
        <v>386816.42454773362</v>
      </c>
      <c r="J14" s="28">
        <f t="shared" si="19"/>
        <v>390629.50174825091</v>
      </c>
      <c r="K14" s="28">
        <f t="shared" si="19"/>
        <v>394480.70972077351</v>
      </c>
      <c r="L14" s="28">
        <f t="shared" si="19"/>
        <v>414910.25230448396</v>
      </c>
      <c r="M14" s="28">
        <f t="shared" si="19"/>
        <v>419004.26778256882</v>
      </c>
      <c r="N14" s="28">
        <f t="shared" si="19"/>
        <v>423139.22341543459</v>
      </c>
      <c r="O14" s="28">
        <f t="shared" si="19"/>
        <v>427315.52860462887</v>
      </c>
      <c r="P14" s="28">
        <f t="shared" si="19"/>
        <v>444411.80116496654</v>
      </c>
      <c r="Q14" s="28">
        <f t="shared" si="19"/>
        <v>447794.19269165624</v>
      </c>
      <c r="R14" s="28">
        <f t="shared" si="19"/>
        <v>451210.40813361277</v>
      </c>
      <c r="S14" s="28">
        <f t="shared" si="19"/>
        <v>469332.44136176578</v>
      </c>
      <c r="T14" s="28">
        <f t="shared" si="19"/>
        <v>472964.03929042356</v>
      </c>
      <c r="U14" s="28">
        <f t="shared" si="19"/>
        <v>476631.95319836785</v>
      </c>
      <c r="V14" s="28">
        <f t="shared" si="19"/>
        <v>495154.91843348619</v>
      </c>
      <c r="W14" s="28">
        <f t="shared" si="19"/>
        <v>499044.74113286106</v>
      </c>
      <c r="X14" s="28">
        <f t="shared" si="19"/>
        <v>502973.46205922961</v>
      </c>
      <c r="Y14" s="28">
        <f t="shared" si="19"/>
        <v>506941.47019486193</v>
      </c>
      <c r="Z14" s="28">
        <f t="shared" si="19"/>
        <v>526979.911279805</v>
      </c>
      <c r="AA14" s="28">
        <f t="shared" si="19"/>
        <v>531187.98390764301</v>
      </c>
      <c r="AB14" s="28">
        <f t="shared" si="19"/>
        <v>535438.13726175949</v>
      </c>
      <c r="AC14" s="28">
        <f t="shared" si="19"/>
        <v>539730.7921494171</v>
      </c>
      <c r="AD14" s="28">
        <f t="shared" si="19"/>
        <v>561408.699332088</v>
      </c>
      <c r="AE14" s="28">
        <f t="shared" si="19"/>
        <v>565961.0598404489</v>
      </c>
      <c r="AF14" s="28">
        <f t="shared" si="19"/>
        <v>570558.94395389338</v>
      </c>
      <c r="AG14" s="28">
        <f t="shared" si="19"/>
        <v>593778.2587267881</v>
      </c>
      <c r="AH14" s="28">
        <f t="shared" si="19"/>
        <v>598654.31482909597</v>
      </c>
      <c r="AI14" s="28">
        <f t="shared" si="19"/>
        <v>603579.13149242685</v>
      </c>
      <c r="AJ14" s="28">
        <f t="shared" si="19"/>
        <v>608553.19632239104</v>
      </c>
      <c r="AK14" s="28">
        <f t="shared" si="19"/>
        <v>613577.00180065515</v>
      </c>
      <c r="AL14" s="28">
        <f t="shared" si="19"/>
        <v>638947.21946588787</v>
      </c>
      <c r="AM14" s="28">
        <f t="shared" si="19"/>
        <v>644274.96517558675</v>
      </c>
      <c r="AN14" s="28">
        <f t="shared" si="19"/>
        <v>649655.98834238271</v>
      </c>
      <c r="AO14" s="28">
        <f t="shared" si="19"/>
        <v>655090.82174084662</v>
      </c>
      <c r="AP14" s="28">
        <f t="shared" si="19"/>
        <v>682536.73040308885</v>
      </c>
      <c r="AQ14" s="28">
        <f t="shared" si="19"/>
        <v>688300.37122215971</v>
      </c>
      <c r="AR14" s="28">
        <f t="shared" si="19"/>
        <v>694121.64844942139</v>
      </c>
      <c r="AS14" s="28">
        <f t="shared" si="19"/>
        <v>700001.13844895561</v>
      </c>
      <c r="AT14" s="28">
        <f t="shared" si="19"/>
        <v>705939.42334848526</v>
      </c>
      <c r="AU14" s="28">
        <f t="shared" si="19"/>
        <v>711937.09109701007</v>
      </c>
      <c r="AV14" s="28">
        <f t="shared" si="19"/>
        <v>717994.73552302015</v>
      </c>
      <c r="AW14" s="28">
        <f t="shared" si="19"/>
        <v>724112.95639329054</v>
      </c>
      <c r="AX14" s="28">
        <f t="shared" ref="AX14:BB14" si="20">AX7-AX13</f>
        <v>730292.35947226337</v>
      </c>
      <c r="AY14" s="28">
        <f t="shared" si="20"/>
        <v>736533.55658202595</v>
      </c>
      <c r="AZ14" s="28">
        <f t="shared" si="20"/>
        <v>742837.16566288634</v>
      </c>
      <c r="BA14" s="28">
        <f t="shared" si="20"/>
        <v>749203.81083455496</v>
      </c>
      <c r="BB14" s="28">
        <f t="shared" si="20"/>
        <v>755634.12245794083</v>
      </c>
      <c r="BI14" s="2">
        <v>46763.245329491117</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48698.188227232342</v>
      </c>
    </row>
    <row r="16" spans="1:61" x14ac:dyDescent="0.2">
      <c r="D16" s="2" t="s">
        <v>267</v>
      </c>
      <c r="E16" s="28">
        <f>E14-E15</f>
        <v>347734.18800883368</v>
      </c>
      <c r="F16" s="28">
        <f t="shared" ref="F16:AW16" si="22">F14-F15</f>
        <v>351250.44284396205</v>
      </c>
      <c r="G16" s="28">
        <f t="shared" si="22"/>
        <v>354801.86022744159</v>
      </c>
      <c r="H16" s="28">
        <f t="shared" si="22"/>
        <v>373641.1005868254</v>
      </c>
      <c r="I16" s="28">
        <f t="shared" si="22"/>
        <v>377416.42454773362</v>
      </c>
      <c r="J16" s="28">
        <f t="shared" si="22"/>
        <v>381229.50174825091</v>
      </c>
      <c r="K16" s="28">
        <f t="shared" si="22"/>
        <v>385080.70972077351</v>
      </c>
      <c r="L16" s="28">
        <f t="shared" si="22"/>
        <v>405510.25230448396</v>
      </c>
      <c r="M16" s="28">
        <f t="shared" si="22"/>
        <v>409604.26778256882</v>
      </c>
      <c r="N16" s="28">
        <f t="shared" si="22"/>
        <v>413739.22341543459</v>
      </c>
      <c r="O16" s="28">
        <f t="shared" si="22"/>
        <v>417915.52860462887</v>
      </c>
      <c r="P16" s="28">
        <f t="shared" si="22"/>
        <v>435011.80116496654</v>
      </c>
      <c r="Q16" s="28">
        <f t="shared" si="22"/>
        <v>438394.19269165624</v>
      </c>
      <c r="R16" s="28">
        <f t="shared" si="22"/>
        <v>441810.40813361277</v>
      </c>
      <c r="S16" s="28">
        <f t="shared" si="22"/>
        <v>459932.44136176578</v>
      </c>
      <c r="T16" s="28">
        <f t="shared" si="22"/>
        <v>463564.03929042356</v>
      </c>
      <c r="U16" s="28">
        <f t="shared" si="22"/>
        <v>467231.95319836785</v>
      </c>
      <c r="V16" s="28">
        <f t="shared" si="22"/>
        <v>485754.91843348619</v>
      </c>
      <c r="W16" s="28">
        <f t="shared" si="22"/>
        <v>489644.74113286106</v>
      </c>
      <c r="X16" s="28">
        <f t="shared" si="22"/>
        <v>493573.46205922961</v>
      </c>
      <c r="Y16" s="28">
        <f t="shared" si="22"/>
        <v>497541.47019486193</v>
      </c>
      <c r="Z16" s="28">
        <f t="shared" si="22"/>
        <v>517579.911279805</v>
      </c>
      <c r="AA16" s="28">
        <f t="shared" si="22"/>
        <v>521787.98390764301</v>
      </c>
      <c r="AB16" s="28">
        <f t="shared" si="22"/>
        <v>526038.13726175949</v>
      </c>
      <c r="AC16" s="28">
        <f t="shared" si="22"/>
        <v>530330.7921494171</v>
      </c>
      <c r="AD16" s="28">
        <f t="shared" si="22"/>
        <v>552008.699332088</v>
      </c>
      <c r="AE16" s="28">
        <f t="shared" si="22"/>
        <v>556561.0598404489</v>
      </c>
      <c r="AF16" s="28">
        <f t="shared" si="22"/>
        <v>561158.94395389338</v>
      </c>
      <c r="AG16" s="28">
        <f t="shared" si="22"/>
        <v>584378.2587267881</v>
      </c>
      <c r="AH16" s="28">
        <f t="shared" si="22"/>
        <v>589254.31482909597</v>
      </c>
      <c r="AI16" s="28">
        <f t="shared" si="22"/>
        <v>594179.13149242685</v>
      </c>
      <c r="AJ16" s="28">
        <f t="shared" si="22"/>
        <v>599153.19632239104</v>
      </c>
      <c r="AK16" s="28">
        <f t="shared" si="22"/>
        <v>604177.00180065515</v>
      </c>
      <c r="AL16" s="28">
        <f t="shared" si="22"/>
        <v>629547.21946588787</v>
      </c>
      <c r="AM16" s="28">
        <f t="shared" si="22"/>
        <v>634874.96517558675</v>
      </c>
      <c r="AN16" s="28">
        <f t="shared" si="22"/>
        <v>640255.98834238271</v>
      </c>
      <c r="AO16" s="28">
        <f t="shared" si="22"/>
        <v>645690.82174084662</v>
      </c>
      <c r="AP16" s="28">
        <f t="shared" si="22"/>
        <v>673136.73040308885</v>
      </c>
      <c r="AQ16" s="28">
        <f t="shared" si="22"/>
        <v>678900.37122215971</v>
      </c>
      <c r="AR16" s="28">
        <f t="shared" si="22"/>
        <v>684721.64844942139</v>
      </c>
      <c r="AS16" s="28">
        <f t="shared" si="22"/>
        <v>690601.13844895561</v>
      </c>
      <c r="AT16" s="28">
        <f t="shared" si="22"/>
        <v>696539.42334848526</v>
      </c>
      <c r="AU16" s="28">
        <f t="shared" si="22"/>
        <v>702537.09109701007</v>
      </c>
      <c r="AV16" s="28">
        <f t="shared" si="22"/>
        <v>708594.73552302015</v>
      </c>
      <c r="AW16" s="28">
        <f t="shared" si="22"/>
        <v>714712.95639329054</v>
      </c>
      <c r="AX16" s="28">
        <f t="shared" ref="AX16:BB16" si="23">AX14-AX15</f>
        <v>720892.35947226337</v>
      </c>
      <c r="AY16" s="28">
        <f t="shared" si="23"/>
        <v>727133.55658202595</v>
      </c>
      <c r="AZ16" s="28">
        <f t="shared" si="23"/>
        <v>733437.16566288634</v>
      </c>
      <c r="BA16" s="28">
        <f t="shared" si="23"/>
        <v>739803.81083455496</v>
      </c>
      <c r="BB16" s="28">
        <f t="shared" si="23"/>
        <v>746234.12245794083</v>
      </c>
      <c r="BI16" s="2">
        <v>49104.526235758</v>
      </c>
    </row>
    <row r="17" spans="4:61" x14ac:dyDescent="0.2">
      <c r="D17" s="2" t="s">
        <v>196</v>
      </c>
      <c r="E17" s="28">
        <f>E16/12</f>
        <v>28977.84900073614</v>
      </c>
      <c r="F17" s="28">
        <f t="shared" ref="F17:AW17" si="24">F16/12</f>
        <v>29270.870236996838</v>
      </c>
      <c r="G17" s="28">
        <f t="shared" si="24"/>
        <v>29566.821685620132</v>
      </c>
      <c r="H17" s="28">
        <f t="shared" si="24"/>
        <v>31136.75838223545</v>
      </c>
      <c r="I17" s="28">
        <f t="shared" si="24"/>
        <v>31451.368712311134</v>
      </c>
      <c r="J17" s="28">
        <f t="shared" si="24"/>
        <v>31769.125145687576</v>
      </c>
      <c r="K17" s="28">
        <f t="shared" si="24"/>
        <v>32090.059143397793</v>
      </c>
      <c r="L17" s="28">
        <f t="shared" si="24"/>
        <v>33792.521025373666</v>
      </c>
      <c r="M17" s="28">
        <f t="shared" si="24"/>
        <v>34133.688981880732</v>
      </c>
      <c r="N17" s="28">
        <f t="shared" si="24"/>
        <v>34478.268617952883</v>
      </c>
      <c r="O17" s="28">
        <f t="shared" si="24"/>
        <v>34826.294050385739</v>
      </c>
      <c r="P17" s="28">
        <f t="shared" si="24"/>
        <v>36250.983430413879</v>
      </c>
      <c r="Q17" s="28">
        <f t="shared" si="24"/>
        <v>36532.849390971351</v>
      </c>
      <c r="R17" s="28">
        <f t="shared" si="24"/>
        <v>36817.534011134398</v>
      </c>
      <c r="S17" s="28">
        <f t="shared" si="24"/>
        <v>38327.703446813815</v>
      </c>
      <c r="T17" s="28">
        <f t="shared" si="24"/>
        <v>38630.336607535297</v>
      </c>
      <c r="U17" s="28">
        <f t="shared" si="24"/>
        <v>38935.996099863987</v>
      </c>
      <c r="V17" s="28">
        <f t="shared" si="24"/>
        <v>40479.576536123852</v>
      </c>
      <c r="W17" s="28">
        <f t="shared" si="24"/>
        <v>40803.728427738424</v>
      </c>
      <c r="X17" s="28">
        <f t="shared" si="24"/>
        <v>41131.121838269137</v>
      </c>
      <c r="Y17" s="28">
        <f t="shared" si="24"/>
        <v>41461.789182905159</v>
      </c>
      <c r="Z17" s="28">
        <f t="shared" si="24"/>
        <v>43131.659273317084</v>
      </c>
      <c r="AA17" s="28">
        <f t="shared" si="24"/>
        <v>43482.331992303582</v>
      </c>
      <c r="AB17" s="28">
        <f t="shared" si="24"/>
        <v>43836.51143847996</v>
      </c>
      <c r="AC17" s="28">
        <f t="shared" si="24"/>
        <v>44194.232679118089</v>
      </c>
      <c r="AD17" s="28">
        <f t="shared" si="24"/>
        <v>46000.724944340669</v>
      </c>
      <c r="AE17" s="28">
        <f t="shared" si="24"/>
        <v>46380.088320037408</v>
      </c>
      <c r="AF17" s="28">
        <f t="shared" si="24"/>
        <v>46763.245329491117</v>
      </c>
      <c r="AG17" s="28">
        <f t="shared" si="24"/>
        <v>48698.188227232342</v>
      </c>
      <c r="AH17" s="28">
        <f t="shared" si="24"/>
        <v>49104.526235758</v>
      </c>
      <c r="AI17" s="28">
        <f t="shared" si="24"/>
        <v>49514.927624368902</v>
      </c>
      <c r="AJ17" s="28">
        <f t="shared" si="24"/>
        <v>49929.433026865918</v>
      </c>
      <c r="AK17" s="28">
        <f t="shared" si="24"/>
        <v>50348.083483387927</v>
      </c>
      <c r="AL17" s="28">
        <f t="shared" si="24"/>
        <v>52462.268288823987</v>
      </c>
      <c r="AM17" s="28">
        <f t="shared" si="24"/>
        <v>52906.247097965563</v>
      </c>
      <c r="AN17" s="28">
        <f t="shared" si="24"/>
        <v>53354.665695198557</v>
      </c>
      <c r="AO17" s="28">
        <f t="shared" si="24"/>
        <v>53807.568478403882</v>
      </c>
      <c r="AP17" s="28">
        <f t="shared" si="24"/>
        <v>56094.72753359074</v>
      </c>
      <c r="AQ17" s="28">
        <f t="shared" si="24"/>
        <v>56575.030935179973</v>
      </c>
      <c r="AR17" s="28">
        <f t="shared" si="24"/>
        <v>57060.137370785116</v>
      </c>
      <c r="AS17" s="28">
        <f t="shared" si="24"/>
        <v>57550.094870746303</v>
      </c>
      <c r="AT17" s="28">
        <f t="shared" si="24"/>
        <v>58044.951945707107</v>
      </c>
      <c r="AU17" s="28">
        <f t="shared" si="24"/>
        <v>58544.757591417503</v>
      </c>
      <c r="AV17" s="28">
        <f t="shared" si="24"/>
        <v>59049.561293585015</v>
      </c>
      <c r="AW17" s="28">
        <f t="shared" si="24"/>
        <v>59559.41303277421</v>
      </c>
      <c r="AX17" s="28">
        <f t="shared" ref="AX17:BB17" si="25">AX16/12</f>
        <v>60074.363289355279</v>
      </c>
      <c r="AY17" s="28">
        <f t="shared" si="25"/>
        <v>60594.463048502163</v>
      </c>
      <c r="AZ17" s="28">
        <f t="shared" si="25"/>
        <v>61119.763805240531</v>
      </c>
      <c r="BA17" s="28">
        <f t="shared" si="25"/>
        <v>61650.317569546249</v>
      </c>
      <c r="BB17" s="28">
        <f t="shared" si="25"/>
        <v>62186.176871495067</v>
      </c>
      <c r="BI17" s="2">
        <v>49514.927624368902</v>
      </c>
    </row>
    <row r="18" spans="4:61" x14ac:dyDescent="0.2">
      <c r="BI18" s="2">
        <v>49929.433026865918</v>
      </c>
    </row>
    <row r="19" spans="4:61" x14ac:dyDescent="0.2">
      <c r="BI19" s="2">
        <v>50348.083483387927</v>
      </c>
    </row>
    <row r="20" spans="4:61" x14ac:dyDescent="0.2">
      <c r="D20" s="26"/>
      <c r="BI20" s="2">
        <v>52462.268288823987</v>
      </c>
    </row>
    <row r="21" spans="4:61" x14ac:dyDescent="0.2">
      <c r="D21" s="2" t="s">
        <v>1</v>
      </c>
      <c r="E21" s="2">
        <v>2060</v>
      </c>
      <c r="F21" s="2">
        <v>2061</v>
      </c>
      <c r="G21" s="2">
        <v>2061</v>
      </c>
      <c r="H21" s="2">
        <v>2061</v>
      </c>
      <c r="I21" s="2">
        <v>2061</v>
      </c>
      <c r="J21" s="2">
        <v>2061</v>
      </c>
      <c r="K21" s="2">
        <v>2061</v>
      </c>
      <c r="L21" s="2">
        <v>2061</v>
      </c>
      <c r="M21" s="2">
        <v>2061</v>
      </c>
      <c r="N21" s="2">
        <v>2061</v>
      </c>
      <c r="O21" s="2">
        <v>2061</v>
      </c>
      <c r="P21" s="2">
        <v>2061</v>
      </c>
      <c r="Q21" s="2">
        <v>2061</v>
      </c>
      <c r="R21" s="2">
        <v>2061</v>
      </c>
      <c r="S21" s="2">
        <v>2061</v>
      </c>
      <c r="T21" s="2">
        <v>2061</v>
      </c>
      <c r="U21" s="2">
        <v>2061</v>
      </c>
      <c r="V21" s="2">
        <v>2061</v>
      </c>
      <c r="W21" s="2">
        <v>2061</v>
      </c>
      <c r="X21" s="2">
        <v>2061</v>
      </c>
      <c r="Y21" s="2">
        <v>2061</v>
      </c>
      <c r="Z21" s="2">
        <v>2061</v>
      </c>
      <c r="AA21" s="2">
        <v>2061</v>
      </c>
      <c r="AB21" s="2">
        <v>2061</v>
      </c>
      <c r="AC21" s="2">
        <v>2061</v>
      </c>
      <c r="BI21" s="2">
        <v>52906.247097965563</v>
      </c>
    </row>
    <row r="22" spans="4:61" x14ac:dyDescent="0.2">
      <c r="D22" s="2" t="s">
        <v>202</v>
      </c>
      <c r="E22" s="26">
        <f>'Pensions P2'!$B$18+'Pensions P2'!$B$22+'Pensions P2'!$B$31</f>
        <v>57913.582688196562</v>
      </c>
      <c r="F22" s="26">
        <f>'Pensions P2'!$B$18+'Pensions P2'!$B$22+'Pensions P2'!$B$31</f>
        <v>57913.582688196562</v>
      </c>
      <c r="G22" s="26">
        <f>'Pensions P2'!$B$18+'Pensions P2'!$B$22+'Pensions P2'!$B$31</f>
        <v>57913.582688196562</v>
      </c>
      <c r="H22" s="26">
        <f>'Pensions P2'!$B$18+'Pensions P2'!$B$22+'Pensions P2'!$B$31</f>
        <v>57913.582688196562</v>
      </c>
      <c r="I22" s="26">
        <f>'Pensions P2'!$B$18+'Pensions P2'!$B$22+'Pensions P2'!$B$31</f>
        <v>57913.582688196562</v>
      </c>
      <c r="J22" s="26">
        <f>'Pensions P2'!$B$18+'Pensions P2'!$B$22+'Pensions P2'!$B$31</f>
        <v>57913.582688196562</v>
      </c>
      <c r="K22" s="26">
        <f>'Pensions P2'!$B$18+'Pensions P2'!$B$22+'Pensions P2'!$B$31</f>
        <v>57913.582688196562</v>
      </c>
      <c r="L22" s="26">
        <f>'Pensions P2'!$B$18+'Pensions P2'!$B$22+'Pensions P2'!$B$31</f>
        <v>57913.582688196562</v>
      </c>
      <c r="M22" s="26">
        <f>'Pensions P2'!$B$18+'Pensions P2'!$B$22+'Pensions P2'!$B$31</f>
        <v>57913.582688196562</v>
      </c>
      <c r="N22" s="26">
        <f>'Pensions P2'!$B$18+'Pensions P2'!$B$22+'Pensions P2'!$B$31</f>
        <v>57913.582688196562</v>
      </c>
      <c r="O22" s="26">
        <f>'Pensions P2'!$B$18+'Pensions P2'!$B$22+'Pensions P2'!$B$31</f>
        <v>57913.582688196562</v>
      </c>
      <c r="P22" s="26">
        <f>'Pensions P2'!$B$18+'Pensions P2'!$B$22+'Pensions P2'!$B$31</f>
        <v>57913.582688196562</v>
      </c>
      <c r="Q22" s="26">
        <f>'Pensions P2'!$B$18+'Pensions P2'!$B$22+'Pensions P2'!$B$31</f>
        <v>57913.582688196562</v>
      </c>
      <c r="R22" s="26">
        <f>'Pensions P2'!$B$18+'Pensions P2'!$B$22+'Pensions P2'!$B$31</f>
        <v>57913.582688196562</v>
      </c>
      <c r="S22" s="26">
        <f>'Pensions P2'!$B$18+'Pensions P2'!$B$22+'Pensions P2'!$B$31</f>
        <v>57913.582688196562</v>
      </c>
      <c r="T22" s="26">
        <f>'Pensions P2'!$B$18+'Pensions P2'!$B$22+'Pensions P2'!$B$31</f>
        <v>57913.582688196562</v>
      </c>
      <c r="U22" s="26">
        <f>'Pensions P2'!$B$18+'Pensions P2'!$B$22+'Pensions P2'!$B$31</f>
        <v>57913.582688196562</v>
      </c>
      <c r="V22" s="26">
        <f>'Pensions P2'!$B$18+'Pensions P2'!$B$22+'Pensions P2'!$B$31</f>
        <v>57913.582688196562</v>
      </c>
      <c r="W22" s="26">
        <f>'Pensions P2'!$B$18+'Pensions P2'!$B$22+'Pensions P2'!$B$31</f>
        <v>57913.582688196562</v>
      </c>
      <c r="X22" s="26">
        <f>'Pensions P2'!$B$18+'Pensions P2'!$B$22+'Pensions P2'!$B$31</f>
        <v>57913.582688196562</v>
      </c>
      <c r="Y22" s="26">
        <f>'Pensions P2'!$B$18+'Pensions P2'!$B$22+'Pensions P2'!$B$31</f>
        <v>57913.582688196562</v>
      </c>
      <c r="Z22" s="26">
        <f>'Pensions P2'!$B$18+'Pensions P2'!$B$22+'Pensions P2'!$B$31</f>
        <v>57913.582688196562</v>
      </c>
      <c r="AA22" s="26">
        <f>'Pensions P2'!$B$18+'Pensions P2'!$B$22+'Pensions P2'!$B$31</f>
        <v>57913.582688196562</v>
      </c>
      <c r="AB22" s="26">
        <f>'Pensions P2'!$B$18+'Pensions P2'!$B$22+'Pensions P2'!$B$31</f>
        <v>57913.582688196562</v>
      </c>
      <c r="AC22" s="26">
        <f>'Pensions P2'!$B$18+'Pensions P2'!$B$22+'Pensions P2'!$B$31</f>
        <v>57913.582688196562</v>
      </c>
      <c r="BI22" s="2">
        <v>53354.665695198557</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53807.568478403882</v>
      </c>
    </row>
    <row r="24" spans="4:61" x14ac:dyDescent="0.2">
      <c r="D24" s="2" t="s">
        <v>203</v>
      </c>
      <c r="E24" s="26">
        <f>E22*12</f>
        <v>694962.99225835875</v>
      </c>
      <c r="F24" s="26">
        <f t="shared" ref="F24:AC24" si="26">F22*12</f>
        <v>694962.99225835875</v>
      </c>
      <c r="G24" s="26">
        <f t="shared" si="26"/>
        <v>694962.99225835875</v>
      </c>
      <c r="H24" s="26">
        <f t="shared" si="26"/>
        <v>694962.99225835875</v>
      </c>
      <c r="I24" s="26">
        <f t="shared" si="26"/>
        <v>694962.99225835875</v>
      </c>
      <c r="J24" s="26">
        <f t="shared" si="26"/>
        <v>694962.99225835875</v>
      </c>
      <c r="K24" s="26">
        <f t="shared" si="26"/>
        <v>694962.99225835875</v>
      </c>
      <c r="L24" s="26">
        <f t="shared" si="26"/>
        <v>694962.99225835875</v>
      </c>
      <c r="M24" s="26">
        <f t="shared" si="26"/>
        <v>694962.99225835875</v>
      </c>
      <c r="N24" s="26">
        <f t="shared" si="26"/>
        <v>694962.99225835875</v>
      </c>
      <c r="O24" s="26">
        <f t="shared" si="26"/>
        <v>694962.99225835875</v>
      </c>
      <c r="P24" s="26">
        <f t="shared" si="26"/>
        <v>694962.99225835875</v>
      </c>
      <c r="Q24" s="26">
        <f t="shared" si="26"/>
        <v>694962.99225835875</v>
      </c>
      <c r="R24" s="26">
        <f t="shared" si="26"/>
        <v>694962.99225835875</v>
      </c>
      <c r="S24" s="26">
        <f t="shared" si="26"/>
        <v>694962.99225835875</v>
      </c>
      <c r="T24" s="26">
        <f t="shared" si="26"/>
        <v>694962.99225835875</v>
      </c>
      <c r="U24" s="26">
        <f t="shared" si="26"/>
        <v>694962.99225835875</v>
      </c>
      <c r="V24" s="26">
        <f t="shared" si="26"/>
        <v>694962.99225835875</v>
      </c>
      <c r="W24" s="26">
        <f t="shared" si="26"/>
        <v>694962.99225835875</v>
      </c>
      <c r="X24" s="26">
        <f t="shared" si="26"/>
        <v>694962.99225835875</v>
      </c>
      <c r="Y24" s="26">
        <f t="shared" si="26"/>
        <v>694962.99225835875</v>
      </c>
      <c r="Z24" s="26">
        <f t="shared" si="26"/>
        <v>694962.99225835875</v>
      </c>
      <c r="AA24" s="26">
        <f t="shared" si="26"/>
        <v>694962.99225835875</v>
      </c>
      <c r="AB24" s="26">
        <f t="shared" si="26"/>
        <v>694962.99225835875</v>
      </c>
      <c r="AC24" s="26">
        <f t="shared" si="26"/>
        <v>694962.99225835875</v>
      </c>
      <c r="BI24" s="2">
        <v>56094.72753359074</v>
      </c>
    </row>
    <row r="25" spans="4:61" x14ac:dyDescent="0.2">
      <c r="D25" s="2" t="s">
        <v>189</v>
      </c>
      <c r="E25" s="26">
        <f>E24*$B$9</f>
        <v>173740.74806458969</v>
      </c>
      <c r="F25" s="26">
        <f t="shared" ref="F25:AC25" si="27">F24*$B$9</f>
        <v>173740.74806458969</v>
      </c>
      <c r="G25" s="26">
        <f t="shared" si="27"/>
        <v>173740.74806458969</v>
      </c>
      <c r="H25" s="26">
        <f t="shared" si="27"/>
        <v>173740.74806458969</v>
      </c>
      <c r="I25" s="26">
        <f t="shared" si="27"/>
        <v>173740.74806458969</v>
      </c>
      <c r="J25" s="26">
        <f t="shared" si="27"/>
        <v>173740.74806458969</v>
      </c>
      <c r="K25" s="26">
        <f t="shared" si="27"/>
        <v>173740.74806458969</v>
      </c>
      <c r="L25" s="26">
        <f t="shared" si="27"/>
        <v>173740.74806458969</v>
      </c>
      <c r="M25" s="26">
        <f t="shared" si="27"/>
        <v>173740.74806458969</v>
      </c>
      <c r="N25" s="26">
        <f t="shared" si="27"/>
        <v>173740.74806458969</v>
      </c>
      <c r="O25" s="26">
        <f t="shared" si="27"/>
        <v>173740.74806458969</v>
      </c>
      <c r="P25" s="26">
        <f t="shared" si="27"/>
        <v>173740.74806458969</v>
      </c>
      <c r="Q25" s="26">
        <f t="shared" si="27"/>
        <v>173740.74806458969</v>
      </c>
      <c r="R25" s="26">
        <f t="shared" si="27"/>
        <v>173740.74806458969</v>
      </c>
      <c r="S25" s="26">
        <f t="shared" si="27"/>
        <v>173740.74806458969</v>
      </c>
      <c r="T25" s="26">
        <f t="shared" si="27"/>
        <v>173740.74806458969</v>
      </c>
      <c r="U25" s="26">
        <f t="shared" si="27"/>
        <v>173740.74806458969</v>
      </c>
      <c r="V25" s="26">
        <f t="shared" si="27"/>
        <v>173740.74806458969</v>
      </c>
      <c r="W25" s="26">
        <f t="shared" si="27"/>
        <v>173740.74806458969</v>
      </c>
      <c r="X25" s="26">
        <f t="shared" si="27"/>
        <v>173740.74806458969</v>
      </c>
      <c r="Y25" s="26">
        <f t="shared" si="27"/>
        <v>173740.74806458969</v>
      </c>
      <c r="Z25" s="26">
        <f t="shared" si="27"/>
        <v>173740.74806458969</v>
      </c>
      <c r="AA25" s="26">
        <f t="shared" si="27"/>
        <v>173740.74806458969</v>
      </c>
      <c r="AB25" s="26">
        <f t="shared" si="27"/>
        <v>173740.74806458969</v>
      </c>
      <c r="AC25" s="26">
        <f t="shared" si="27"/>
        <v>173740.74806458969</v>
      </c>
      <c r="BI25" s="2">
        <v>56575.030935179973</v>
      </c>
    </row>
    <row r="26" spans="4:61" x14ac:dyDescent="0.2">
      <c r="D26" s="2" t="s">
        <v>190</v>
      </c>
      <c r="E26" s="26">
        <f>MAX(E24-$B$8,0)*$B$7</f>
        <v>11484.448838753811</v>
      </c>
      <c r="F26" s="26">
        <f t="shared" ref="F26:AC26" si="28">MAX(F24-$B$8,0)*$B$7</f>
        <v>11484.448838753811</v>
      </c>
      <c r="G26" s="26">
        <f t="shared" si="28"/>
        <v>11484.448838753811</v>
      </c>
      <c r="H26" s="26">
        <f t="shared" si="28"/>
        <v>11484.448838753811</v>
      </c>
      <c r="I26" s="26">
        <f t="shared" si="28"/>
        <v>11484.448838753811</v>
      </c>
      <c r="J26" s="26">
        <f t="shared" si="28"/>
        <v>11484.448838753811</v>
      </c>
      <c r="K26" s="26">
        <f t="shared" si="28"/>
        <v>11484.448838753811</v>
      </c>
      <c r="L26" s="26">
        <f t="shared" si="28"/>
        <v>11484.448838753811</v>
      </c>
      <c r="M26" s="26">
        <f t="shared" si="28"/>
        <v>11484.448838753811</v>
      </c>
      <c r="N26" s="26">
        <f t="shared" si="28"/>
        <v>11484.448838753811</v>
      </c>
      <c r="O26" s="26">
        <f t="shared" si="28"/>
        <v>11484.448838753811</v>
      </c>
      <c r="P26" s="26">
        <f t="shared" si="28"/>
        <v>11484.448838753811</v>
      </c>
      <c r="Q26" s="26">
        <f t="shared" si="28"/>
        <v>11484.448838753811</v>
      </c>
      <c r="R26" s="26">
        <f t="shared" si="28"/>
        <v>11484.448838753811</v>
      </c>
      <c r="S26" s="26">
        <f t="shared" si="28"/>
        <v>11484.448838753811</v>
      </c>
      <c r="T26" s="26">
        <f t="shared" si="28"/>
        <v>11484.448838753811</v>
      </c>
      <c r="U26" s="26">
        <f t="shared" si="28"/>
        <v>11484.448838753811</v>
      </c>
      <c r="V26" s="26">
        <f t="shared" si="28"/>
        <v>11484.448838753811</v>
      </c>
      <c r="W26" s="26">
        <f t="shared" si="28"/>
        <v>11484.448838753811</v>
      </c>
      <c r="X26" s="26">
        <f t="shared" si="28"/>
        <v>11484.448838753811</v>
      </c>
      <c r="Y26" s="26">
        <f t="shared" si="28"/>
        <v>11484.448838753811</v>
      </c>
      <c r="Z26" s="26">
        <f t="shared" si="28"/>
        <v>11484.448838753811</v>
      </c>
      <c r="AA26" s="26">
        <f t="shared" si="28"/>
        <v>11484.448838753811</v>
      </c>
      <c r="AB26" s="26">
        <f t="shared" si="28"/>
        <v>11484.448838753811</v>
      </c>
      <c r="AC26" s="26">
        <f t="shared" si="28"/>
        <v>11484.448838753811</v>
      </c>
      <c r="BI26" s="2">
        <v>57060.137370785116</v>
      </c>
    </row>
    <row r="27" spans="4:61" x14ac:dyDescent="0.2">
      <c r="D27" s="2" t="s">
        <v>191</v>
      </c>
      <c r="E27" s="26">
        <f>E24*$B$6</f>
        <v>83465.055370228889</v>
      </c>
      <c r="F27" s="26">
        <f t="shared" ref="F27:AC27" si="29">F24*$B$6</f>
        <v>83465.055370228889</v>
      </c>
      <c r="G27" s="26">
        <f t="shared" si="29"/>
        <v>83465.055370228889</v>
      </c>
      <c r="H27" s="26">
        <f t="shared" si="29"/>
        <v>83465.055370228889</v>
      </c>
      <c r="I27" s="26">
        <f t="shared" si="29"/>
        <v>83465.055370228889</v>
      </c>
      <c r="J27" s="26">
        <f t="shared" si="29"/>
        <v>83465.055370228889</v>
      </c>
      <c r="K27" s="26">
        <f t="shared" si="29"/>
        <v>83465.055370228889</v>
      </c>
      <c r="L27" s="26">
        <f t="shared" si="29"/>
        <v>83465.055370228889</v>
      </c>
      <c r="M27" s="26">
        <f t="shared" si="29"/>
        <v>83465.055370228889</v>
      </c>
      <c r="N27" s="26">
        <f t="shared" si="29"/>
        <v>83465.055370228889</v>
      </c>
      <c r="O27" s="26">
        <f t="shared" si="29"/>
        <v>83465.055370228889</v>
      </c>
      <c r="P27" s="26">
        <f t="shared" si="29"/>
        <v>83465.055370228889</v>
      </c>
      <c r="Q27" s="26">
        <f t="shared" si="29"/>
        <v>83465.055370228889</v>
      </c>
      <c r="R27" s="26">
        <f t="shared" si="29"/>
        <v>83465.055370228889</v>
      </c>
      <c r="S27" s="26">
        <f t="shared" si="29"/>
        <v>83465.055370228889</v>
      </c>
      <c r="T27" s="26">
        <f t="shared" si="29"/>
        <v>83465.055370228889</v>
      </c>
      <c r="U27" s="26">
        <f t="shared" si="29"/>
        <v>83465.055370228889</v>
      </c>
      <c r="V27" s="26">
        <f t="shared" si="29"/>
        <v>83465.055370228889</v>
      </c>
      <c r="W27" s="26">
        <f t="shared" si="29"/>
        <v>83465.055370228889</v>
      </c>
      <c r="X27" s="26">
        <f t="shared" si="29"/>
        <v>83465.055370228889</v>
      </c>
      <c r="Y27" s="26">
        <f t="shared" si="29"/>
        <v>83465.055370228889</v>
      </c>
      <c r="Z27" s="26">
        <f t="shared" si="29"/>
        <v>83465.055370228889</v>
      </c>
      <c r="AA27" s="26">
        <f t="shared" si="29"/>
        <v>83465.055370228889</v>
      </c>
      <c r="AB27" s="26">
        <f t="shared" si="29"/>
        <v>83465.055370228889</v>
      </c>
      <c r="AC27" s="26">
        <f t="shared" si="29"/>
        <v>83465.055370228889</v>
      </c>
      <c r="BI27" s="2">
        <v>57550.094870746303</v>
      </c>
    </row>
    <row r="28" spans="4:61" x14ac:dyDescent="0.2">
      <c r="D28" s="2" t="s">
        <v>192</v>
      </c>
      <c r="E28" s="26">
        <f>SUM(E25:E27)</f>
        <v>268690.25227357238</v>
      </c>
      <c r="F28" s="26">
        <f>SUM(F25:F27)</f>
        <v>268690.25227357238</v>
      </c>
      <c r="G28" s="26">
        <f t="shared" ref="G28:AC28" si="30">SUM(G25:G27)</f>
        <v>268690.25227357238</v>
      </c>
      <c r="H28" s="26">
        <f t="shared" si="30"/>
        <v>268690.25227357238</v>
      </c>
      <c r="I28" s="26">
        <f t="shared" si="30"/>
        <v>268690.25227357238</v>
      </c>
      <c r="J28" s="26">
        <f t="shared" si="30"/>
        <v>268690.25227357238</v>
      </c>
      <c r="K28" s="26">
        <f t="shared" si="30"/>
        <v>268690.25227357238</v>
      </c>
      <c r="L28" s="26">
        <f t="shared" si="30"/>
        <v>268690.25227357238</v>
      </c>
      <c r="M28" s="26">
        <f t="shared" si="30"/>
        <v>268690.25227357238</v>
      </c>
      <c r="N28" s="26">
        <f t="shared" si="30"/>
        <v>268690.25227357238</v>
      </c>
      <c r="O28" s="26">
        <f t="shared" si="30"/>
        <v>268690.25227357238</v>
      </c>
      <c r="P28" s="26">
        <f t="shared" si="30"/>
        <v>268690.25227357238</v>
      </c>
      <c r="Q28" s="26">
        <f t="shared" si="30"/>
        <v>268690.25227357238</v>
      </c>
      <c r="R28" s="26">
        <f t="shared" si="30"/>
        <v>268690.25227357238</v>
      </c>
      <c r="S28" s="26">
        <f t="shared" si="30"/>
        <v>268690.25227357238</v>
      </c>
      <c r="T28" s="26">
        <f t="shared" si="30"/>
        <v>268690.25227357238</v>
      </c>
      <c r="U28" s="26">
        <f t="shared" si="30"/>
        <v>268690.25227357238</v>
      </c>
      <c r="V28" s="26">
        <f t="shared" si="30"/>
        <v>268690.25227357238</v>
      </c>
      <c r="W28" s="26">
        <f t="shared" si="30"/>
        <v>268690.25227357238</v>
      </c>
      <c r="X28" s="26">
        <f t="shared" si="30"/>
        <v>268690.25227357238</v>
      </c>
      <c r="Y28" s="26">
        <f t="shared" si="30"/>
        <v>268690.25227357238</v>
      </c>
      <c r="Z28" s="26">
        <f t="shared" si="30"/>
        <v>268690.25227357238</v>
      </c>
      <c r="AA28" s="26">
        <f t="shared" si="30"/>
        <v>268690.25227357238</v>
      </c>
      <c r="AB28" s="26">
        <f t="shared" si="30"/>
        <v>268690.25227357238</v>
      </c>
      <c r="AC28" s="26">
        <f t="shared" si="30"/>
        <v>268690.25227357238</v>
      </c>
      <c r="BI28" s="2">
        <v>58044.951945707107</v>
      </c>
    </row>
    <row r="29" spans="4:61" x14ac:dyDescent="0.2">
      <c r="D29" s="2" t="s">
        <v>193</v>
      </c>
      <c r="E29" s="26">
        <f>E24-E28</f>
        <v>426272.73998478637</v>
      </c>
      <c r="F29" s="26">
        <f t="shared" ref="F29:AC29" si="31">F24-F28</f>
        <v>426272.73998478637</v>
      </c>
      <c r="G29" s="26">
        <f t="shared" si="31"/>
        <v>426272.73998478637</v>
      </c>
      <c r="H29" s="26">
        <f t="shared" si="31"/>
        <v>426272.73998478637</v>
      </c>
      <c r="I29" s="26">
        <f t="shared" si="31"/>
        <v>426272.73998478637</v>
      </c>
      <c r="J29" s="26">
        <f t="shared" si="31"/>
        <v>426272.73998478637</v>
      </c>
      <c r="K29" s="26">
        <f t="shared" si="31"/>
        <v>426272.73998478637</v>
      </c>
      <c r="L29" s="26">
        <f t="shared" si="31"/>
        <v>426272.73998478637</v>
      </c>
      <c r="M29" s="26">
        <f t="shared" si="31"/>
        <v>426272.73998478637</v>
      </c>
      <c r="N29" s="26">
        <f t="shared" si="31"/>
        <v>426272.73998478637</v>
      </c>
      <c r="O29" s="26">
        <f t="shared" si="31"/>
        <v>426272.73998478637</v>
      </c>
      <c r="P29" s="26">
        <f t="shared" si="31"/>
        <v>426272.73998478637</v>
      </c>
      <c r="Q29" s="26">
        <f t="shared" si="31"/>
        <v>426272.73998478637</v>
      </c>
      <c r="R29" s="26">
        <f t="shared" si="31"/>
        <v>426272.73998478637</v>
      </c>
      <c r="S29" s="26">
        <f t="shared" si="31"/>
        <v>426272.73998478637</v>
      </c>
      <c r="T29" s="26">
        <f t="shared" si="31"/>
        <v>426272.73998478637</v>
      </c>
      <c r="U29" s="26">
        <f t="shared" si="31"/>
        <v>426272.73998478637</v>
      </c>
      <c r="V29" s="26">
        <f t="shared" si="31"/>
        <v>426272.73998478637</v>
      </c>
      <c r="W29" s="26">
        <f t="shared" si="31"/>
        <v>426272.73998478637</v>
      </c>
      <c r="X29" s="26">
        <f t="shared" si="31"/>
        <v>426272.73998478637</v>
      </c>
      <c r="Y29" s="26">
        <f t="shared" si="31"/>
        <v>426272.73998478637</v>
      </c>
      <c r="Z29" s="26">
        <f t="shared" si="31"/>
        <v>426272.73998478637</v>
      </c>
      <c r="AA29" s="26">
        <f t="shared" si="31"/>
        <v>426272.73998478637</v>
      </c>
      <c r="AB29" s="26">
        <f t="shared" si="31"/>
        <v>426272.73998478637</v>
      </c>
      <c r="AC29" s="26">
        <f t="shared" si="31"/>
        <v>426272.73998478637</v>
      </c>
      <c r="BI29" s="2">
        <v>58544.757591417503</v>
      </c>
    </row>
    <row r="30" spans="4:61" x14ac:dyDescent="0.2">
      <c r="D30" s="2" t="s">
        <v>268</v>
      </c>
      <c r="E30" s="26">
        <f>'Pensions P2'!$B$13</f>
        <v>3169.3645686340355</v>
      </c>
      <c r="F30" s="26">
        <f>'Pensions P2'!$B$13</f>
        <v>3169.3645686340355</v>
      </c>
      <c r="G30" s="26">
        <f>'Pensions P2'!$B$13</f>
        <v>3169.3645686340355</v>
      </c>
      <c r="H30" s="26">
        <f>'Pensions P2'!$B$13</f>
        <v>3169.3645686340355</v>
      </c>
      <c r="I30" s="26">
        <f>'Pensions P2'!$B$13</f>
        <v>3169.3645686340355</v>
      </c>
      <c r="J30" s="26">
        <f>'Pensions P2'!$B$13</f>
        <v>3169.3645686340355</v>
      </c>
      <c r="K30" s="26">
        <f>'Pensions P2'!$B$13</f>
        <v>3169.3645686340355</v>
      </c>
      <c r="L30" s="26">
        <f>'Pensions P2'!$B$13</f>
        <v>3169.3645686340355</v>
      </c>
      <c r="M30" s="26">
        <f>'Pensions P2'!$B$13</f>
        <v>3169.3645686340355</v>
      </c>
      <c r="N30" s="26">
        <f>'Pensions P2'!$B$13</f>
        <v>3169.3645686340355</v>
      </c>
      <c r="O30" s="26">
        <f>'Pensions P2'!$B$13</f>
        <v>3169.3645686340355</v>
      </c>
      <c r="P30" s="26">
        <f>'Pensions P2'!$B$13</f>
        <v>3169.3645686340355</v>
      </c>
      <c r="Q30" s="26">
        <f>'Pensions P2'!$B$13</f>
        <v>3169.3645686340355</v>
      </c>
      <c r="R30" s="26">
        <f>'Pensions P2'!$B$13</f>
        <v>3169.3645686340355</v>
      </c>
      <c r="S30" s="26">
        <f>'Pensions P2'!$B$13</f>
        <v>3169.3645686340355</v>
      </c>
      <c r="T30" s="26">
        <f>'Pensions P2'!$B$13</f>
        <v>3169.3645686340355</v>
      </c>
      <c r="U30" s="26">
        <f>'Pensions P2'!$B$13</f>
        <v>3169.3645686340355</v>
      </c>
      <c r="V30" s="26">
        <f>'Pensions P2'!$B$13</f>
        <v>3169.3645686340355</v>
      </c>
      <c r="W30" s="26">
        <f>'Pensions P2'!$B$13</f>
        <v>3169.3645686340355</v>
      </c>
      <c r="X30" s="26">
        <f>'Pensions P2'!$B$13</f>
        <v>3169.3645686340355</v>
      </c>
      <c r="Y30" s="26">
        <f>'Pensions P2'!$B$13</f>
        <v>3169.3645686340355</v>
      </c>
      <c r="Z30" s="26">
        <f>'Pensions P2'!$B$13</f>
        <v>3169.3645686340355</v>
      </c>
      <c r="AA30" s="26">
        <f>'Pensions P2'!$B$13</f>
        <v>3169.3645686340355</v>
      </c>
      <c r="AB30" s="26">
        <f>'Pensions P2'!$B$13</f>
        <v>3169.3645686340355</v>
      </c>
      <c r="AC30" s="26">
        <f>'Pensions P2'!$B$13</f>
        <v>3169.3645686340355</v>
      </c>
      <c r="BI30" s="2">
        <v>59049.561293585015</v>
      </c>
    </row>
    <row r="31" spans="4:61" x14ac:dyDescent="0.2">
      <c r="D31" s="2" t="s">
        <v>196</v>
      </c>
      <c r="E31" s="26">
        <f>(E29/12)+E30</f>
        <v>38692.092900699572</v>
      </c>
      <c r="F31" s="26">
        <f t="shared" ref="F31:AC31" si="32">(F29/12)+F30</f>
        <v>38692.092900699572</v>
      </c>
      <c r="G31" s="26">
        <f t="shared" si="32"/>
        <v>38692.092900699572</v>
      </c>
      <c r="H31" s="26">
        <f t="shared" si="32"/>
        <v>38692.092900699572</v>
      </c>
      <c r="I31" s="26">
        <f t="shared" si="32"/>
        <v>38692.092900699572</v>
      </c>
      <c r="J31" s="26">
        <f t="shared" si="32"/>
        <v>38692.092900699572</v>
      </c>
      <c r="K31" s="26">
        <f t="shared" si="32"/>
        <v>38692.092900699572</v>
      </c>
      <c r="L31" s="26">
        <f t="shared" si="32"/>
        <v>38692.092900699572</v>
      </c>
      <c r="M31" s="26">
        <f t="shared" si="32"/>
        <v>38692.092900699572</v>
      </c>
      <c r="N31" s="26">
        <f t="shared" si="32"/>
        <v>38692.092900699572</v>
      </c>
      <c r="O31" s="26">
        <f t="shared" si="32"/>
        <v>38692.092900699572</v>
      </c>
      <c r="P31" s="26">
        <f t="shared" si="32"/>
        <v>38692.092900699572</v>
      </c>
      <c r="Q31" s="26">
        <f t="shared" si="32"/>
        <v>38692.092900699572</v>
      </c>
      <c r="R31" s="26">
        <f t="shared" si="32"/>
        <v>38692.092900699572</v>
      </c>
      <c r="S31" s="26">
        <f t="shared" si="32"/>
        <v>38692.092900699572</v>
      </c>
      <c r="T31" s="26">
        <f t="shared" si="32"/>
        <v>38692.092900699572</v>
      </c>
      <c r="U31" s="26">
        <f t="shared" si="32"/>
        <v>38692.092900699572</v>
      </c>
      <c r="V31" s="26">
        <f t="shared" si="32"/>
        <v>38692.092900699572</v>
      </c>
      <c r="W31" s="26">
        <f t="shared" si="32"/>
        <v>38692.092900699572</v>
      </c>
      <c r="X31" s="26">
        <f t="shared" si="32"/>
        <v>38692.092900699572</v>
      </c>
      <c r="Y31" s="26">
        <f t="shared" si="32"/>
        <v>38692.092900699572</v>
      </c>
      <c r="Z31" s="26">
        <f t="shared" si="32"/>
        <v>38692.092900699572</v>
      </c>
      <c r="AA31" s="26">
        <f t="shared" si="32"/>
        <v>38692.092900699572</v>
      </c>
      <c r="AB31" s="26">
        <f t="shared" si="32"/>
        <v>38692.092900699572</v>
      </c>
      <c r="AC31" s="26">
        <f t="shared" si="32"/>
        <v>38692.092900699572</v>
      </c>
      <c r="BI31" s="2">
        <v>59559.41303277421</v>
      </c>
    </row>
    <row r="32" spans="4:61" x14ac:dyDescent="0.2">
      <c r="D32" s="2" t="s">
        <v>274</v>
      </c>
      <c r="E32" s="26">
        <f>Income!$L$37</f>
        <v>49748.941497196058</v>
      </c>
      <c r="F32" s="26">
        <f>Income!$L$37</f>
        <v>49748.941497196058</v>
      </c>
      <c r="G32" s="26">
        <f>Income!$L$37</f>
        <v>49748.941497196058</v>
      </c>
      <c r="H32" s="26">
        <f>Income!$L$37</f>
        <v>49748.941497196058</v>
      </c>
      <c r="I32" s="26">
        <f>Income!$L$37</f>
        <v>49748.941497196058</v>
      </c>
      <c r="J32" s="26">
        <f>Income!$L$37</f>
        <v>49748.941497196058</v>
      </c>
      <c r="K32" s="26">
        <f>Income!$L$37</f>
        <v>49748.941497196058</v>
      </c>
      <c r="L32" s="26">
        <f>Income!$L$37</f>
        <v>49748.941497196058</v>
      </c>
      <c r="M32" s="26">
        <f>Income!$L$37</f>
        <v>49748.941497196058</v>
      </c>
      <c r="N32" s="26">
        <f>Income!$L$37</f>
        <v>49748.941497196058</v>
      </c>
      <c r="O32" s="26">
        <f>Income!$L$37</f>
        <v>49748.941497196058</v>
      </c>
      <c r="P32" s="26">
        <f>Income!$L$37</f>
        <v>49748.941497196058</v>
      </c>
      <c r="Q32" s="26">
        <f>Income!$L$37</f>
        <v>49748.941497196058</v>
      </c>
      <c r="R32" s="26">
        <f>Income!$L$37</f>
        <v>49748.941497196058</v>
      </c>
      <c r="S32" s="26">
        <f>Income!$L$37</f>
        <v>49748.941497196058</v>
      </c>
      <c r="T32" s="26">
        <f>Income!$L$37</f>
        <v>49748.941497196058</v>
      </c>
      <c r="U32" s="26">
        <f>Income!$L$37</f>
        <v>49748.941497196058</v>
      </c>
      <c r="V32" s="26">
        <f>Income!$L$37</f>
        <v>49748.941497196058</v>
      </c>
      <c r="W32" s="26">
        <f>Income!$L$37</f>
        <v>49748.941497196058</v>
      </c>
      <c r="X32" s="26">
        <f>Income!$L$37</f>
        <v>49748.941497196058</v>
      </c>
      <c r="Y32" s="26">
        <f>Income!$L$37</f>
        <v>49748.941497196058</v>
      </c>
      <c r="Z32" s="26">
        <f>Income!$L$37</f>
        <v>49748.941497196058</v>
      </c>
      <c r="AA32" s="26">
        <f>Income!$L$37</f>
        <v>49748.941497196058</v>
      </c>
      <c r="AB32" s="26">
        <f>Income!$L$37</f>
        <v>49748.941497196058</v>
      </c>
      <c r="AC32" s="26">
        <f>Income!$L$37</f>
        <v>49748.941497196058</v>
      </c>
      <c r="BI32" s="2">
        <v>60074.363289355279</v>
      </c>
    </row>
    <row r="33" spans="4:61" x14ac:dyDescent="0.2">
      <c r="D33" s="2" t="s">
        <v>204</v>
      </c>
      <c r="E33" s="26">
        <f>E32-E31</f>
        <v>11056.848596496486</v>
      </c>
      <c r="F33" s="26">
        <f t="shared" ref="F33:AC33" si="33">F32-F31</f>
        <v>11056.848596496486</v>
      </c>
      <c r="G33" s="26">
        <f t="shared" si="33"/>
        <v>11056.848596496486</v>
      </c>
      <c r="H33" s="26">
        <f t="shared" si="33"/>
        <v>11056.848596496486</v>
      </c>
      <c r="I33" s="26">
        <f t="shared" si="33"/>
        <v>11056.848596496486</v>
      </c>
      <c r="J33" s="26">
        <f t="shared" si="33"/>
        <v>11056.848596496486</v>
      </c>
      <c r="K33" s="26">
        <f t="shared" si="33"/>
        <v>11056.848596496486</v>
      </c>
      <c r="L33" s="26">
        <f t="shared" si="33"/>
        <v>11056.848596496486</v>
      </c>
      <c r="M33" s="26">
        <f t="shared" si="33"/>
        <v>11056.848596496486</v>
      </c>
      <c r="N33" s="26">
        <f t="shared" si="33"/>
        <v>11056.848596496486</v>
      </c>
      <c r="O33" s="26">
        <f t="shared" si="33"/>
        <v>11056.848596496486</v>
      </c>
      <c r="P33" s="26">
        <f t="shared" si="33"/>
        <v>11056.848596496486</v>
      </c>
      <c r="Q33" s="26">
        <f t="shared" si="33"/>
        <v>11056.848596496486</v>
      </c>
      <c r="R33" s="26">
        <f t="shared" si="33"/>
        <v>11056.848596496486</v>
      </c>
      <c r="S33" s="26">
        <f t="shared" si="33"/>
        <v>11056.848596496486</v>
      </c>
      <c r="T33" s="26">
        <f t="shared" si="33"/>
        <v>11056.848596496486</v>
      </c>
      <c r="U33" s="26">
        <f t="shared" si="33"/>
        <v>11056.848596496486</v>
      </c>
      <c r="V33" s="26">
        <f t="shared" si="33"/>
        <v>11056.848596496486</v>
      </c>
      <c r="W33" s="26">
        <f t="shared" si="33"/>
        <v>11056.848596496486</v>
      </c>
      <c r="X33" s="26">
        <f t="shared" si="33"/>
        <v>11056.848596496486</v>
      </c>
      <c r="Y33" s="26">
        <f t="shared" si="33"/>
        <v>11056.848596496486</v>
      </c>
      <c r="Z33" s="26">
        <f t="shared" si="33"/>
        <v>11056.848596496486</v>
      </c>
      <c r="AA33" s="26">
        <f t="shared" si="33"/>
        <v>11056.848596496486</v>
      </c>
      <c r="AB33" s="26">
        <f t="shared" si="33"/>
        <v>11056.848596496486</v>
      </c>
      <c r="AC33" s="26">
        <f t="shared" si="33"/>
        <v>11056.848596496486</v>
      </c>
      <c r="BI33" s="2">
        <v>60594.463048502163</v>
      </c>
    </row>
    <row r="34" spans="4:61" x14ac:dyDescent="0.2">
      <c r="D34" s="2" t="s">
        <v>264</v>
      </c>
      <c r="E34" s="26">
        <f>E33*(1+$B$10)</f>
        <v>14042.197717550536</v>
      </c>
      <c r="F34" s="26">
        <f t="shared" ref="F34:AC34" si="34">F33*(1+$B$10)</f>
        <v>14042.197717550536</v>
      </c>
      <c r="G34" s="26">
        <f t="shared" si="34"/>
        <v>14042.197717550536</v>
      </c>
      <c r="H34" s="26">
        <f t="shared" si="34"/>
        <v>14042.197717550536</v>
      </c>
      <c r="I34" s="26">
        <f t="shared" si="34"/>
        <v>14042.197717550536</v>
      </c>
      <c r="J34" s="26">
        <f t="shared" si="34"/>
        <v>14042.197717550536</v>
      </c>
      <c r="K34" s="26">
        <f t="shared" si="34"/>
        <v>14042.197717550536</v>
      </c>
      <c r="L34" s="26">
        <f t="shared" si="34"/>
        <v>14042.197717550536</v>
      </c>
      <c r="M34" s="26">
        <f t="shared" si="34"/>
        <v>14042.197717550536</v>
      </c>
      <c r="N34" s="26">
        <f t="shared" si="34"/>
        <v>14042.197717550536</v>
      </c>
      <c r="O34" s="26">
        <f t="shared" si="34"/>
        <v>14042.197717550536</v>
      </c>
      <c r="P34" s="26">
        <f t="shared" si="34"/>
        <v>14042.197717550536</v>
      </c>
      <c r="Q34" s="26">
        <f t="shared" si="34"/>
        <v>14042.197717550536</v>
      </c>
      <c r="R34" s="26">
        <f t="shared" si="34"/>
        <v>14042.197717550536</v>
      </c>
      <c r="S34" s="26">
        <f t="shared" si="34"/>
        <v>14042.197717550536</v>
      </c>
      <c r="T34" s="26">
        <f t="shared" si="34"/>
        <v>14042.197717550536</v>
      </c>
      <c r="U34" s="26">
        <f t="shared" si="34"/>
        <v>14042.197717550536</v>
      </c>
      <c r="V34" s="26">
        <f t="shared" si="34"/>
        <v>14042.197717550536</v>
      </c>
      <c r="W34" s="26">
        <f t="shared" si="34"/>
        <v>14042.197717550536</v>
      </c>
      <c r="X34" s="26">
        <f t="shared" si="34"/>
        <v>14042.197717550536</v>
      </c>
      <c r="Y34" s="26">
        <f t="shared" si="34"/>
        <v>14042.197717550536</v>
      </c>
      <c r="Z34" s="26">
        <f t="shared" si="34"/>
        <v>14042.197717550536</v>
      </c>
      <c r="AA34" s="26">
        <f t="shared" si="34"/>
        <v>14042.197717550536</v>
      </c>
      <c r="AB34" s="26">
        <f t="shared" si="34"/>
        <v>14042.197717550536</v>
      </c>
      <c r="AC34" s="26">
        <f t="shared" si="34"/>
        <v>14042.197717550536</v>
      </c>
      <c r="BI34" s="2">
        <v>61119.763805240531</v>
      </c>
    </row>
    <row r="35" spans="4:61" x14ac:dyDescent="0.2">
      <c r="D35" s="2" t="s">
        <v>265</v>
      </c>
      <c r="E35" s="26">
        <f>E34*12</f>
        <v>168506.37261060643</v>
      </c>
      <c r="F35" s="26">
        <f t="shared" ref="F35:AC35" si="35">F34*12</f>
        <v>168506.37261060643</v>
      </c>
      <c r="G35" s="26">
        <f t="shared" si="35"/>
        <v>168506.37261060643</v>
      </c>
      <c r="H35" s="26">
        <f t="shared" si="35"/>
        <v>168506.37261060643</v>
      </c>
      <c r="I35" s="26">
        <f t="shared" si="35"/>
        <v>168506.37261060643</v>
      </c>
      <c r="J35" s="26">
        <f t="shared" si="35"/>
        <v>168506.37261060643</v>
      </c>
      <c r="K35" s="26">
        <f t="shared" si="35"/>
        <v>168506.37261060643</v>
      </c>
      <c r="L35" s="26">
        <f t="shared" si="35"/>
        <v>168506.37261060643</v>
      </c>
      <c r="M35" s="26">
        <f t="shared" si="35"/>
        <v>168506.37261060643</v>
      </c>
      <c r="N35" s="26">
        <f t="shared" si="35"/>
        <v>168506.37261060643</v>
      </c>
      <c r="O35" s="26">
        <f t="shared" si="35"/>
        <v>168506.37261060643</v>
      </c>
      <c r="P35" s="26">
        <f t="shared" si="35"/>
        <v>168506.37261060643</v>
      </c>
      <c r="Q35" s="26">
        <f t="shared" si="35"/>
        <v>168506.37261060643</v>
      </c>
      <c r="R35" s="26">
        <f t="shared" si="35"/>
        <v>168506.37261060643</v>
      </c>
      <c r="S35" s="26">
        <f t="shared" si="35"/>
        <v>168506.37261060643</v>
      </c>
      <c r="T35" s="26">
        <f t="shared" si="35"/>
        <v>168506.37261060643</v>
      </c>
      <c r="U35" s="26">
        <f t="shared" si="35"/>
        <v>168506.37261060643</v>
      </c>
      <c r="V35" s="26">
        <f t="shared" si="35"/>
        <v>168506.37261060643</v>
      </c>
      <c r="W35" s="26">
        <f t="shared" si="35"/>
        <v>168506.37261060643</v>
      </c>
      <c r="X35" s="26">
        <f t="shared" si="35"/>
        <v>168506.37261060643</v>
      </c>
      <c r="Y35" s="26">
        <f t="shared" si="35"/>
        <v>168506.37261060643</v>
      </c>
      <c r="Z35" s="26">
        <f t="shared" si="35"/>
        <v>168506.37261060643</v>
      </c>
      <c r="AA35" s="26">
        <f t="shared" si="35"/>
        <v>168506.37261060643</v>
      </c>
      <c r="AB35" s="26">
        <f t="shared" si="35"/>
        <v>168506.37261060643</v>
      </c>
      <c r="AC35" s="26">
        <f t="shared" si="35"/>
        <v>168506.37261060643</v>
      </c>
      <c r="BI35" s="2">
        <v>61650.317569546249</v>
      </c>
    </row>
    <row r="36" spans="4:61" x14ac:dyDescent="0.2">
      <c r="BI36" s="2">
        <v>62186.176871495067</v>
      </c>
    </row>
    <row r="37" spans="4:61" x14ac:dyDescent="0.2">
      <c r="D37" s="2" t="s">
        <v>205</v>
      </c>
      <c r="E37" s="27">
        <f>SUM(E35:AC35)</f>
        <v>4212659.3152651591</v>
      </c>
      <c r="BI37" s="2">
        <v>0</v>
      </c>
    </row>
    <row r="38" spans="4:61" x14ac:dyDescent="0.2">
      <c r="E38" s="26"/>
    </row>
    <row r="39" spans="4:61" x14ac:dyDescent="0.2">
      <c r="E39" s="57">
        <f>1500000</f>
        <v>1500000</v>
      </c>
      <c r="F39" s="57">
        <f>E39/25</f>
        <v>60000</v>
      </c>
    </row>
    <row r="43" spans="4:61" x14ac:dyDescent="0.2">
      <c r="E43" s="28"/>
    </row>
    <row r="44" spans="4:61" x14ac:dyDescent="0.2">
      <c r="E44" s="28"/>
    </row>
    <row r="45" spans="4:61" x14ac:dyDescent="0.2">
      <c r="E45" s="26"/>
    </row>
    <row r="46" spans="4:61" x14ac:dyDescent="0.2">
      <c r="E46" s="26"/>
    </row>
    <row r="47" spans="4:61" x14ac:dyDescent="0.2">
      <c r="E47" s="26"/>
    </row>
    <row r="48" spans="4:61" x14ac:dyDescent="0.2">
      <c r="E48" s="26"/>
    </row>
    <row r="49" spans="5:5" x14ac:dyDescent="0.2">
      <c r="E49" s="26"/>
    </row>
    <row r="50" spans="5:5" x14ac:dyDescent="0.2">
      <c r="E50" s="26"/>
    </row>
    <row r="51" spans="5:5" x14ac:dyDescent="0.2">
      <c r="E51" s="26"/>
    </row>
    <row r="52" spans="5:5" x14ac:dyDescent="0.2">
      <c r="E52" s="26"/>
    </row>
    <row r="53" spans="5:5" x14ac:dyDescent="0.2">
      <c r="E53" s="26"/>
    </row>
    <row r="54" spans="5:5" x14ac:dyDescent="0.2">
      <c r="E54" s="26"/>
    </row>
    <row r="55" spans="5:5" x14ac:dyDescent="0.2">
      <c r="E55" s="26"/>
    </row>
    <row r="56" spans="5:5" x14ac:dyDescent="0.2">
      <c r="E56" s="26"/>
    </row>
    <row r="57" spans="5:5" x14ac:dyDescent="0.2">
      <c r="E57" s="26"/>
    </row>
    <row r="58" spans="5:5" x14ac:dyDescent="0.2">
      <c r="E5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opLeftCell="A19" zoomScale="90" workbookViewId="0">
      <selection activeCell="D32" sqref="D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0.02</v>
      </c>
      <c r="D1" s="2" t="s">
        <v>1</v>
      </c>
      <c r="E1" s="2">
        <v>2025</v>
      </c>
      <c r="F1" s="2">
        <v>2026</v>
      </c>
      <c r="G1" s="2">
        <v>2027</v>
      </c>
      <c r="H1" s="2">
        <v>2028</v>
      </c>
      <c r="I1" s="2">
        <v>2029</v>
      </c>
      <c r="J1" s="2">
        <v>2030</v>
      </c>
      <c r="K1" s="2">
        <v>2031</v>
      </c>
      <c r="L1" s="2">
        <v>2032</v>
      </c>
      <c r="M1" s="2">
        <v>2033</v>
      </c>
      <c r="N1" s="2">
        <v>2034</v>
      </c>
      <c r="O1" s="2">
        <v>2035</v>
      </c>
      <c r="P1" s="2">
        <v>2036</v>
      </c>
      <c r="Q1" s="2">
        <v>2037</v>
      </c>
      <c r="R1" s="2">
        <v>2038</v>
      </c>
      <c r="S1" s="2">
        <v>2039</v>
      </c>
      <c r="T1" s="2">
        <v>2040</v>
      </c>
      <c r="U1" s="2">
        <v>2041</v>
      </c>
      <c r="V1" s="2">
        <v>2042</v>
      </c>
      <c r="W1" s="2">
        <v>2043</v>
      </c>
      <c r="X1" s="2">
        <v>2044</v>
      </c>
      <c r="Y1" s="2">
        <v>2045</v>
      </c>
      <c r="Z1" s="2">
        <v>2046</v>
      </c>
      <c r="AA1" s="2">
        <v>2047</v>
      </c>
      <c r="AB1" s="2">
        <v>2048</v>
      </c>
      <c r="AC1" s="2">
        <v>2049</v>
      </c>
      <c r="AD1" s="2">
        <v>2050</v>
      </c>
      <c r="AE1" s="2">
        <v>2051</v>
      </c>
      <c r="AF1" s="2">
        <v>2052</v>
      </c>
      <c r="AG1" s="2">
        <v>2053</v>
      </c>
      <c r="AH1" s="2">
        <v>2054</v>
      </c>
      <c r="AI1" s="2">
        <v>2055</v>
      </c>
      <c r="AJ1" s="2">
        <v>2056</v>
      </c>
      <c r="AK1" s="2">
        <v>2057</v>
      </c>
      <c r="AL1" s="2">
        <v>2058</v>
      </c>
      <c r="AM1" s="2">
        <v>2059</v>
      </c>
      <c r="AN1" s="2">
        <v>2060</v>
      </c>
      <c r="AO1" s="2">
        <v>2061</v>
      </c>
      <c r="AP1" s="2">
        <v>2062</v>
      </c>
      <c r="AQ1" s="2">
        <v>2063</v>
      </c>
      <c r="AR1" s="2">
        <v>2064</v>
      </c>
      <c r="AS1" s="2">
        <v>2065</v>
      </c>
      <c r="AT1" s="2">
        <v>2066</v>
      </c>
      <c r="AU1" s="2">
        <v>2067</v>
      </c>
      <c r="AV1" s="2">
        <v>2068</v>
      </c>
      <c r="AW1" s="2">
        <v>2069</v>
      </c>
      <c r="AX1" s="2">
        <v>2070</v>
      </c>
      <c r="AY1" s="2">
        <v>2071</v>
      </c>
      <c r="AZ1" s="2">
        <v>2072</v>
      </c>
      <c r="BA1" s="2">
        <v>2073</v>
      </c>
      <c r="BB1" s="2">
        <v>2074</v>
      </c>
    </row>
    <row r="2" spans="1:61" x14ac:dyDescent="0.2">
      <c r="A2" s="2" t="s">
        <v>194</v>
      </c>
      <c r="B2" s="28">
        <f>'Salary Variables'!$C$14</f>
        <v>9400</v>
      </c>
      <c r="D2" s="2" t="s">
        <v>195</v>
      </c>
      <c r="E2" s="29" cm="1">
        <f t="array" ref="E2:BB2">TRANSPOSE(Income!O3:O52)</f>
        <v>43421.568627450979</v>
      </c>
      <c r="F2" s="29">
        <v>43855.784313725489</v>
      </c>
      <c r="G2" s="29">
        <v>46048.573529411762</v>
      </c>
      <c r="H2" s="29">
        <v>46509.05926470588</v>
      </c>
      <c r="I2" s="29">
        <v>46974.149857352939</v>
      </c>
      <c r="J2" s="29">
        <v>47443.891355926469</v>
      </c>
      <c r="K2" s="29">
        <v>49816.085923722792</v>
      </c>
      <c r="L2" s="29">
        <v>50314.246782960021</v>
      </c>
      <c r="M2" s="29">
        <v>50817.389250789623</v>
      </c>
      <c r="N2" s="29">
        <v>51325.563143297521</v>
      </c>
      <c r="O2" s="29">
        <v>53891.841300462402</v>
      </c>
      <c r="P2" s="29">
        <v>54430.759713467029</v>
      </c>
      <c r="Q2" s="29">
        <v>54975.067310601698</v>
      </c>
      <c r="R2" s="29">
        <v>57723.820676131785</v>
      </c>
      <c r="S2" s="29">
        <v>58301.058882893107</v>
      </c>
      <c r="T2" s="29">
        <v>58884.069471722039</v>
      </c>
      <c r="U2" s="29">
        <v>59472.910166439258</v>
      </c>
      <c r="V2" s="29">
        <v>60067.639268103652</v>
      </c>
      <c r="W2" s="29">
        <v>63071.021231508836</v>
      </c>
      <c r="X2" s="29">
        <v>63701.731443823926</v>
      </c>
      <c r="Y2" s="29">
        <v>64338.748758262169</v>
      </c>
      <c r="Z2" s="29">
        <v>64982.136245844791</v>
      </c>
      <c r="AA2" s="29">
        <v>68231.243058137043</v>
      </c>
      <c r="AB2" s="29">
        <v>68913.555488718412</v>
      </c>
      <c r="AC2" s="29">
        <v>69602.691043605591</v>
      </c>
      <c r="AD2" s="29">
        <v>70298.717954041655</v>
      </c>
      <c r="AE2" s="29">
        <v>71001.705133582072</v>
      </c>
      <c r="AF2" s="29">
        <v>71711.72218491789</v>
      </c>
      <c r="AG2" s="29">
        <v>72428.839406767074</v>
      </c>
      <c r="AH2" s="29">
        <v>73153.127800834744</v>
      </c>
      <c r="AI2" s="29">
        <v>73884.659078843091</v>
      </c>
      <c r="AJ2" s="29">
        <v>74623.50566963153</v>
      </c>
      <c r="AK2" s="29">
        <v>75369.740726327844</v>
      </c>
      <c r="AL2" s="29">
        <v>76123.438133591117</v>
      </c>
      <c r="AM2" s="29">
        <v>76884.672514927035</v>
      </c>
      <c r="AN2" s="29">
        <v>80728.906140673382</v>
      </c>
      <c r="AO2" s="29">
        <v>81536.195202080111</v>
      </c>
      <c r="AP2" s="29">
        <v>82351.557154100912</v>
      </c>
      <c r="AQ2" s="29">
        <v>83175.07272564192</v>
      </c>
      <c r="AR2" s="29">
        <v>84006.823452898345</v>
      </c>
      <c r="AS2" s="29">
        <v>84846.891687427327</v>
      </c>
      <c r="AT2" s="29">
        <v>85695.360604301604</v>
      </c>
      <c r="AU2" s="29">
        <v>86552.314210344615</v>
      </c>
      <c r="AV2" s="29">
        <v>87417.837352448056</v>
      </c>
      <c r="AW2" s="29">
        <v>88292.015725972538</v>
      </c>
      <c r="AX2" s="2">
        <v>89174.935883232261</v>
      </c>
      <c r="AY2" s="2">
        <v>90066.685242064588</v>
      </c>
      <c r="AZ2" s="2">
        <v>90967.352094485235</v>
      </c>
      <c r="BA2" s="2">
        <v>91877.025615430088</v>
      </c>
      <c r="BB2" s="2">
        <v>92795.795871584385</v>
      </c>
      <c r="BH2" s="2" t="s">
        <v>206</v>
      </c>
      <c r="BI2" s="2" cm="1">
        <f t="array" ref="BI2:BI52">TRANSPOSE(E17:BC17)</f>
        <v>23580.714447215683</v>
      </c>
    </row>
    <row r="3" spans="1:61" x14ac:dyDescent="0.2">
      <c r="D3" s="2" t="s">
        <v>186</v>
      </c>
      <c r="E3" s="29">
        <f>E2*12</f>
        <v>521058.82352941175</v>
      </c>
      <c r="F3" s="29">
        <f t="shared" ref="F3:AV3" si="0">F2*12</f>
        <v>526269.4117647059</v>
      </c>
      <c r="G3" s="29">
        <f t="shared" si="0"/>
        <v>552582.8823529412</v>
      </c>
      <c r="H3" s="29">
        <f t="shared" si="0"/>
        <v>558108.71117647062</v>
      </c>
      <c r="I3" s="29">
        <f t="shared" si="0"/>
        <v>563689.79828823521</v>
      </c>
      <c r="J3" s="29">
        <f t="shared" si="0"/>
        <v>569326.69627111766</v>
      </c>
      <c r="K3" s="29">
        <f t="shared" si="0"/>
        <v>597793.03108467348</v>
      </c>
      <c r="L3" s="29">
        <f t="shared" si="0"/>
        <v>603770.96139552025</v>
      </c>
      <c r="M3" s="29">
        <f t="shared" si="0"/>
        <v>609808.67100947548</v>
      </c>
      <c r="N3" s="29">
        <f t="shared" si="0"/>
        <v>615906.75771957031</v>
      </c>
      <c r="O3" s="29">
        <f t="shared" si="0"/>
        <v>646702.09560554882</v>
      </c>
      <c r="P3" s="29">
        <f t="shared" si="0"/>
        <v>653169.11656160431</v>
      </c>
      <c r="Q3" s="29">
        <f t="shared" si="0"/>
        <v>659700.80772722035</v>
      </c>
      <c r="R3" s="29">
        <f t="shared" si="0"/>
        <v>692685.84811358142</v>
      </c>
      <c r="S3" s="29">
        <f t="shared" si="0"/>
        <v>699612.70659471722</v>
      </c>
      <c r="T3" s="29">
        <f t="shared" si="0"/>
        <v>706608.8336606645</v>
      </c>
      <c r="U3" s="29">
        <f t="shared" si="0"/>
        <v>713674.92199727113</v>
      </c>
      <c r="V3" s="29">
        <f t="shared" si="0"/>
        <v>720811.67121724389</v>
      </c>
      <c r="W3" s="29">
        <f t="shared" si="0"/>
        <v>756852.254778106</v>
      </c>
      <c r="X3" s="29">
        <f t="shared" si="0"/>
        <v>764420.77732588712</v>
      </c>
      <c r="Y3" s="29">
        <f t="shared" si="0"/>
        <v>772064.98509914603</v>
      </c>
      <c r="Z3" s="29">
        <f t="shared" si="0"/>
        <v>779785.63495013746</v>
      </c>
      <c r="AA3" s="29">
        <f t="shared" si="0"/>
        <v>818774.91669764451</v>
      </c>
      <c r="AB3" s="29">
        <f t="shared" si="0"/>
        <v>826962.66586462094</v>
      </c>
      <c r="AC3" s="29">
        <f t="shared" si="0"/>
        <v>835232.2925232671</v>
      </c>
      <c r="AD3" s="29">
        <f t="shared" si="0"/>
        <v>843584.6154484998</v>
      </c>
      <c r="AE3" s="29">
        <f t="shared" si="0"/>
        <v>852020.46160298493</v>
      </c>
      <c r="AF3" s="29">
        <f t="shared" si="0"/>
        <v>860540.66621901467</v>
      </c>
      <c r="AG3" s="29">
        <f t="shared" si="0"/>
        <v>869146.07288120489</v>
      </c>
      <c r="AH3" s="29">
        <f t="shared" si="0"/>
        <v>877837.53361001692</v>
      </c>
      <c r="AI3" s="29">
        <f t="shared" si="0"/>
        <v>886615.90894611715</v>
      </c>
      <c r="AJ3" s="29">
        <f t="shared" si="0"/>
        <v>895482.06803557836</v>
      </c>
      <c r="AK3" s="29">
        <f t="shared" si="0"/>
        <v>904436.88871593412</v>
      </c>
      <c r="AL3" s="29">
        <f t="shared" si="0"/>
        <v>913481.2576030934</v>
      </c>
      <c r="AM3" s="29">
        <f t="shared" si="0"/>
        <v>922616.07017912436</v>
      </c>
      <c r="AN3" s="29">
        <f t="shared" si="0"/>
        <v>968746.87368808058</v>
      </c>
      <c r="AO3" s="29">
        <f t="shared" si="0"/>
        <v>978434.34242496127</v>
      </c>
      <c r="AP3" s="29">
        <f t="shared" si="0"/>
        <v>988218.68584921095</v>
      </c>
      <c r="AQ3" s="29">
        <f t="shared" si="0"/>
        <v>998100.87270770303</v>
      </c>
      <c r="AR3" s="29">
        <f t="shared" si="0"/>
        <v>1008081.8814347801</v>
      </c>
      <c r="AS3" s="29">
        <f t="shared" si="0"/>
        <v>1018162.7002491279</v>
      </c>
      <c r="AT3" s="29">
        <f t="shared" si="0"/>
        <v>1028344.3272516192</v>
      </c>
      <c r="AU3" s="29">
        <f t="shared" si="0"/>
        <v>1038627.7705241353</v>
      </c>
      <c r="AV3" s="29">
        <f t="shared" si="0"/>
        <v>1049014.0482293768</v>
      </c>
      <c r="AW3" s="29">
        <f t="shared" ref="AW3:BB3" si="1">AW2*12</f>
        <v>1059504.1887116705</v>
      </c>
      <c r="AX3" s="29">
        <f t="shared" si="1"/>
        <v>1070099.2305987871</v>
      </c>
      <c r="AY3" s="29">
        <f t="shared" si="1"/>
        <v>1080800.2229047751</v>
      </c>
      <c r="AZ3" s="29">
        <f t="shared" si="1"/>
        <v>1091608.2251338228</v>
      </c>
      <c r="BA3" s="29">
        <f t="shared" si="1"/>
        <v>1102524.3073851611</v>
      </c>
      <c r="BB3" s="29">
        <f t="shared" si="1"/>
        <v>1113549.5504590126</v>
      </c>
      <c r="BI3" s="2">
        <v>23819.764337941178</v>
      </c>
    </row>
    <row r="4" spans="1:61" x14ac:dyDescent="0.2">
      <c r="A4" s="2" t="str" cm="1">
        <f t="array" ref="A4:B12">'Salary Variables'!$B$16:$C$24</f>
        <v>AM (%)</v>
      </c>
      <c r="B4" s="25">
        <v>0.08</v>
      </c>
      <c r="D4" s="2" t="s">
        <v>277</v>
      </c>
      <c r="E4" s="29">
        <f>'Pensions P1'!B4*12</f>
        <v>26052.941176470587</v>
      </c>
      <c r="F4" s="29">
        <f>'Pensions P1'!C4*12</f>
        <v>26313.470588235294</v>
      </c>
      <c r="G4" s="29">
        <f>'Pensions P1'!D4*12</f>
        <v>27629.144117647054</v>
      </c>
      <c r="H4" s="29">
        <f>'Pensions P1'!E4*12</f>
        <v>27905.43555882353</v>
      </c>
      <c r="I4" s="29">
        <f>'Pensions P1'!F4*12</f>
        <v>28184.489914411766</v>
      </c>
      <c r="J4" s="29">
        <f>'Pensions P1'!G4*12</f>
        <v>28466.334813555884</v>
      </c>
      <c r="K4" s="29">
        <f>'Pensions P1'!H4*12</f>
        <v>29889.651554233678</v>
      </c>
      <c r="L4" s="29">
        <f>'Pensions P1'!I4*12</f>
        <v>30188.548069776014</v>
      </c>
      <c r="M4" s="29">
        <f>'Pensions P1'!J4*12</f>
        <v>30490.433550473776</v>
      </c>
      <c r="N4" s="29">
        <f>'Pensions P1'!K4*12</f>
        <v>30795.337885978515</v>
      </c>
      <c r="O4" s="29">
        <f>'Pensions P1'!L4*12</f>
        <v>32335.104780277441</v>
      </c>
      <c r="P4" s="29">
        <f>'Pensions P1'!M4*12</f>
        <v>32658.455828080219</v>
      </c>
      <c r="Q4" s="29">
        <f>'Pensions P1'!N4*12</f>
        <v>32985.040386361019</v>
      </c>
      <c r="R4" s="29">
        <f>'Pensions P1'!O4*12</f>
        <v>34634.292405679073</v>
      </c>
      <c r="S4" s="29">
        <f>'Pensions P1'!P4*12</f>
        <v>34980.635329735866</v>
      </c>
      <c r="T4" s="29">
        <f>'Pensions P1'!Q4*12</f>
        <v>35330.441683033227</v>
      </c>
      <c r="U4" s="29">
        <f>'Pensions P1'!R4*12</f>
        <v>35683.746099863558</v>
      </c>
      <c r="V4" s="29">
        <f>'Pensions P1'!S4*12</f>
        <v>36040.583560862193</v>
      </c>
      <c r="W4" s="29">
        <f>'Pensions P1'!T4*12</f>
        <v>37842.6127389053</v>
      </c>
      <c r="X4" s="29">
        <f>'Pensions P1'!U4*12</f>
        <v>38221.038866294359</v>
      </c>
      <c r="Y4" s="29">
        <f>'Pensions P1'!V4*12</f>
        <v>38603.249254957307</v>
      </c>
      <c r="Z4" s="29">
        <f>'Pensions P1'!W4*12</f>
        <v>38989.281747506873</v>
      </c>
      <c r="AA4" s="29">
        <f>'Pensions P1'!X4*12</f>
        <v>40938.745834882226</v>
      </c>
      <c r="AB4" s="29">
        <f>'Pensions P1'!Y4*12</f>
        <v>41348.133293231047</v>
      </c>
      <c r="AC4" s="29">
        <f>'Pensions P1'!Z4*12</f>
        <v>41761.614626163355</v>
      </c>
      <c r="AD4" s="29">
        <f>'Pensions P1'!AA4*12</f>
        <v>42179.230772424999</v>
      </c>
      <c r="AE4" s="29">
        <f>'Pensions P1'!AB4*12</f>
        <v>42601.023080149243</v>
      </c>
      <c r="AF4" s="29">
        <f>'Pensions P1'!AC4*12</f>
        <v>43027.033310950734</v>
      </c>
      <c r="AG4" s="29">
        <f>'Pensions P1'!AD4*12</f>
        <v>43457.303644060245</v>
      </c>
      <c r="AH4" s="29">
        <f>'Pensions P1'!AE4*12</f>
        <v>43891.876680500849</v>
      </c>
      <c r="AI4" s="29">
        <f>'Pensions P1'!AF4*12</f>
        <v>44330.795447305856</v>
      </c>
      <c r="AJ4" s="29">
        <f>'Pensions P1'!AG4*12</f>
        <v>44774.103401778921</v>
      </c>
      <c r="AK4" s="29">
        <f>'Pensions P1'!AH4*12</f>
        <v>45221.844435796709</v>
      </c>
      <c r="AL4" s="29">
        <f>'Pensions P1'!AI4*12</f>
        <v>45674.06288015467</v>
      </c>
      <c r="AM4" s="29">
        <f>'Pensions P1'!AJ4*12</f>
        <v>46130.803508956225</v>
      </c>
      <c r="AN4" s="29">
        <f>'Pensions P1'!AK4*12</f>
        <v>48437.343684404033</v>
      </c>
      <c r="AO4" s="29">
        <f>'Pensions P1'!AL4*12</f>
        <v>48921.717121248068</v>
      </c>
      <c r="AP4" s="29">
        <f>'Pensions P1'!AM4*12</f>
        <v>49410.934292460552</v>
      </c>
      <c r="AQ4" s="29">
        <f>'Pensions P1'!AN4*12</f>
        <v>49905.043635385155</v>
      </c>
      <c r="AR4" s="29">
        <f>'Pensions P1'!AO4*12</f>
        <v>50404.094071739011</v>
      </c>
      <c r="AS4" s="29">
        <f>'Pensions P1'!AP4*12</f>
        <v>50908.135012456391</v>
      </c>
      <c r="AT4" s="29">
        <f>'Pensions P1'!AQ4*12</f>
        <v>51417.216362580963</v>
      </c>
      <c r="AU4" s="29">
        <f>'Pensions P1'!AR4*12</f>
        <v>51931.388526206763</v>
      </c>
      <c r="AV4" s="29">
        <f>'Pensions P1'!AS4*12</f>
        <v>52450.702411468839</v>
      </c>
      <c r="AW4" s="29">
        <f>'Pensions P1'!AT4*12</f>
        <v>52975.209435583529</v>
      </c>
      <c r="AX4" s="29">
        <f>'Pensions P1'!AU4*12</f>
        <v>53504.961529939363</v>
      </c>
      <c r="AY4" s="29">
        <f>'Pensions P1'!AV4*12</f>
        <v>54040.011145238757</v>
      </c>
      <c r="AZ4" s="29">
        <f>'Pensions P1'!AW4*12</f>
        <v>54580.411256691135</v>
      </c>
      <c r="BA4" s="29">
        <f>'Pensions P1'!AX4*12</f>
        <v>55126.215369258047</v>
      </c>
      <c r="BB4" s="29">
        <f>'Pensions P1'!AY4*12</f>
        <v>55677.477522950634</v>
      </c>
      <c r="BI4" s="2">
        <v>25026.9662861049</v>
      </c>
    </row>
    <row r="5" spans="1:61" x14ac:dyDescent="0.2">
      <c r="A5" s="2" t="str">
        <v>Personal Allowance</v>
      </c>
      <c r="B5" s="28">
        <v>51600</v>
      </c>
      <c r="D5" s="2" t="s">
        <v>187</v>
      </c>
      <c r="E5" s="29">
        <f>E3-E4</f>
        <v>495005.88235294115</v>
      </c>
      <c r="F5" s="29">
        <f t="shared" ref="F5:AW5" si="2">F3-F4</f>
        <v>499955.9411764706</v>
      </c>
      <c r="G5" s="29">
        <f t="shared" si="2"/>
        <v>524953.73823529412</v>
      </c>
      <c r="H5" s="29">
        <f t="shared" si="2"/>
        <v>530203.2756176471</v>
      </c>
      <c r="I5" s="29">
        <f t="shared" si="2"/>
        <v>535505.30837382341</v>
      </c>
      <c r="J5" s="29">
        <f t="shared" si="2"/>
        <v>540860.36145756172</v>
      </c>
      <c r="K5" s="29">
        <f t="shared" si="2"/>
        <v>567903.37953043985</v>
      </c>
      <c r="L5" s="29">
        <f t="shared" si="2"/>
        <v>573582.41332574422</v>
      </c>
      <c r="M5" s="29">
        <f t="shared" si="2"/>
        <v>579318.23745900171</v>
      </c>
      <c r="N5" s="29">
        <f t="shared" si="2"/>
        <v>585111.41983359179</v>
      </c>
      <c r="O5" s="29">
        <f t="shared" si="2"/>
        <v>614366.99082527135</v>
      </c>
      <c r="P5" s="29">
        <f t="shared" si="2"/>
        <v>620510.66073352413</v>
      </c>
      <c r="Q5" s="29">
        <f t="shared" si="2"/>
        <v>626715.76734085928</v>
      </c>
      <c r="R5" s="29">
        <f t="shared" si="2"/>
        <v>658051.5557079023</v>
      </c>
      <c r="S5" s="29">
        <f t="shared" si="2"/>
        <v>664632.07126498141</v>
      </c>
      <c r="T5" s="29">
        <f t="shared" si="2"/>
        <v>671278.39197763125</v>
      </c>
      <c r="U5" s="29">
        <f t="shared" si="2"/>
        <v>677991.17589740758</v>
      </c>
      <c r="V5" s="29">
        <f t="shared" si="2"/>
        <v>684771.08765638166</v>
      </c>
      <c r="W5" s="29">
        <f t="shared" si="2"/>
        <v>719009.64203920076</v>
      </c>
      <c r="X5" s="29">
        <f t="shared" si="2"/>
        <v>726199.7384595928</v>
      </c>
      <c r="Y5" s="29">
        <f t="shared" si="2"/>
        <v>733461.73584418872</v>
      </c>
      <c r="Z5" s="29">
        <f t="shared" si="2"/>
        <v>740796.35320263053</v>
      </c>
      <c r="AA5" s="29">
        <f t="shared" si="2"/>
        <v>777836.17086276226</v>
      </c>
      <c r="AB5" s="29">
        <f t="shared" si="2"/>
        <v>785614.53257138992</v>
      </c>
      <c r="AC5" s="29">
        <f t="shared" si="2"/>
        <v>793470.67789710371</v>
      </c>
      <c r="AD5" s="29">
        <f t="shared" si="2"/>
        <v>801405.38467607484</v>
      </c>
      <c r="AE5" s="29">
        <f t="shared" si="2"/>
        <v>809419.43852283573</v>
      </c>
      <c r="AF5" s="29">
        <f t="shared" si="2"/>
        <v>817513.63290806394</v>
      </c>
      <c r="AG5" s="29">
        <f t="shared" si="2"/>
        <v>825688.76923714462</v>
      </c>
      <c r="AH5" s="29">
        <f t="shared" si="2"/>
        <v>833945.65692951612</v>
      </c>
      <c r="AI5" s="29">
        <f t="shared" si="2"/>
        <v>842285.11349881126</v>
      </c>
      <c r="AJ5" s="29">
        <f t="shared" si="2"/>
        <v>850707.96463379939</v>
      </c>
      <c r="AK5" s="29">
        <f t="shared" si="2"/>
        <v>859215.0442801374</v>
      </c>
      <c r="AL5" s="29">
        <f t="shared" si="2"/>
        <v>867807.1947229387</v>
      </c>
      <c r="AM5" s="29">
        <f t="shared" si="2"/>
        <v>876485.26667016814</v>
      </c>
      <c r="AN5" s="29">
        <f t="shared" si="2"/>
        <v>920309.53000367654</v>
      </c>
      <c r="AO5" s="29">
        <f t="shared" si="2"/>
        <v>929512.62530371326</v>
      </c>
      <c r="AP5" s="29">
        <f t="shared" si="2"/>
        <v>938807.75155675039</v>
      </c>
      <c r="AQ5" s="29">
        <f t="shared" si="2"/>
        <v>948195.82907231792</v>
      </c>
      <c r="AR5" s="29">
        <f t="shared" si="2"/>
        <v>957677.78736304108</v>
      </c>
      <c r="AS5" s="29">
        <f t="shared" si="2"/>
        <v>967254.56523667159</v>
      </c>
      <c r="AT5" s="29">
        <f t="shared" si="2"/>
        <v>976927.11088903819</v>
      </c>
      <c r="AU5" s="29">
        <f t="shared" si="2"/>
        <v>986696.38199792861</v>
      </c>
      <c r="AV5" s="29">
        <f t="shared" si="2"/>
        <v>996563.34581790795</v>
      </c>
      <c r="AW5" s="29">
        <f t="shared" si="2"/>
        <v>1006528.9792760869</v>
      </c>
      <c r="AX5" s="29">
        <f t="shared" ref="AX5:BB5" si="3">AX3-AX4</f>
        <v>1016594.2690688478</v>
      </c>
      <c r="AY5" s="29">
        <f t="shared" si="3"/>
        <v>1026760.2117595363</v>
      </c>
      <c r="AZ5" s="29">
        <f t="shared" si="3"/>
        <v>1037027.8138771317</v>
      </c>
      <c r="BA5" s="29">
        <f t="shared" si="3"/>
        <v>1047398.092015903</v>
      </c>
      <c r="BB5" s="29">
        <f t="shared" si="3"/>
        <v>1057872.072936062</v>
      </c>
      <c r="BI5" s="2">
        <v>25280.478695219284</v>
      </c>
    </row>
    <row r="6" spans="1:61" x14ac:dyDescent="0.2">
      <c r="A6" s="2" t="str">
        <v>Bottom-Bracket State Tax rate (%)</v>
      </c>
      <c r="B6" s="25">
        <v>0.1201</v>
      </c>
      <c r="D6" s="2" t="s">
        <v>256</v>
      </c>
      <c r="E6" s="28">
        <f>E5-$B$14</f>
        <v>493817.88235294115</v>
      </c>
      <c r="F6" s="28">
        <f t="shared" ref="F6:AW6" si="4">F5-$B$14</f>
        <v>498767.9411764706</v>
      </c>
      <c r="G6" s="28">
        <f t="shared" si="4"/>
        <v>523765.73823529412</v>
      </c>
      <c r="H6" s="28">
        <f t="shared" si="4"/>
        <v>529015.2756176471</v>
      </c>
      <c r="I6" s="28">
        <f t="shared" si="4"/>
        <v>534317.30837382341</v>
      </c>
      <c r="J6" s="28">
        <f t="shared" si="4"/>
        <v>539672.36145756172</v>
      </c>
      <c r="K6" s="28">
        <f t="shared" si="4"/>
        <v>566715.37953043985</v>
      </c>
      <c r="L6" s="28">
        <f t="shared" si="4"/>
        <v>572394.41332574422</v>
      </c>
      <c r="M6" s="28">
        <f t="shared" si="4"/>
        <v>578130.23745900171</v>
      </c>
      <c r="N6" s="28">
        <f t="shared" si="4"/>
        <v>583923.41983359179</v>
      </c>
      <c r="O6" s="28">
        <f t="shared" si="4"/>
        <v>613178.99082527135</v>
      </c>
      <c r="P6" s="28">
        <f t="shared" si="4"/>
        <v>619322.66073352413</v>
      </c>
      <c r="Q6" s="28">
        <f t="shared" si="4"/>
        <v>625527.76734085928</v>
      </c>
      <c r="R6" s="28">
        <f t="shared" si="4"/>
        <v>656863.5557079023</v>
      </c>
      <c r="S6" s="28">
        <f t="shared" si="4"/>
        <v>663444.07126498141</v>
      </c>
      <c r="T6" s="28">
        <f t="shared" si="4"/>
        <v>670090.39197763125</v>
      </c>
      <c r="U6" s="28">
        <f t="shared" si="4"/>
        <v>676803.17589740758</v>
      </c>
      <c r="V6" s="28">
        <f t="shared" si="4"/>
        <v>683583.08765638166</v>
      </c>
      <c r="W6" s="28">
        <f t="shared" si="4"/>
        <v>717821.64203920076</v>
      </c>
      <c r="X6" s="28">
        <f t="shared" si="4"/>
        <v>725011.7384595928</v>
      </c>
      <c r="Y6" s="28">
        <f t="shared" si="4"/>
        <v>732273.73584418872</v>
      </c>
      <c r="Z6" s="28">
        <f t="shared" si="4"/>
        <v>739608.35320263053</v>
      </c>
      <c r="AA6" s="28">
        <f t="shared" si="4"/>
        <v>776648.17086276226</v>
      </c>
      <c r="AB6" s="28">
        <f t="shared" si="4"/>
        <v>784426.53257138992</v>
      </c>
      <c r="AC6" s="28">
        <f t="shared" si="4"/>
        <v>792282.67789710371</v>
      </c>
      <c r="AD6" s="28">
        <f t="shared" si="4"/>
        <v>800217.38467607484</v>
      </c>
      <c r="AE6" s="28">
        <f t="shared" si="4"/>
        <v>808231.43852283573</v>
      </c>
      <c r="AF6" s="28">
        <f t="shared" si="4"/>
        <v>816325.63290806394</v>
      </c>
      <c r="AG6" s="28">
        <f t="shared" si="4"/>
        <v>824500.76923714462</v>
      </c>
      <c r="AH6" s="28">
        <f t="shared" si="4"/>
        <v>832757.65692951612</v>
      </c>
      <c r="AI6" s="28">
        <f t="shared" si="4"/>
        <v>841097.11349881126</v>
      </c>
      <c r="AJ6" s="28">
        <f t="shared" si="4"/>
        <v>849519.96463379939</v>
      </c>
      <c r="AK6" s="28">
        <f t="shared" si="4"/>
        <v>858027.0442801374</v>
      </c>
      <c r="AL6" s="28">
        <f t="shared" si="4"/>
        <v>866619.1947229387</v>
      </c>
      <c r="AM6" s="28">
        <f t="shared" si="4"/>
        <v>875297.26667016814</v>
      </c>
      <c r="AN6" s="28">
        <f t="shared" si="4"/>
        <v>919121.53000367654</v>
      </c>
      <c r="AO6" s="28">
        <f t="shared" si="4"/>
        <v>928324.62530371326</v>
      </c>
      <c r="AP6" s="28">
        <f t="shared" si="4"/>
        <v>937619.75155675039</v>
      </c>
      <c r="AQ6" s="28">
        <f t="shared" si="4"/>
        <v>947007.82907231792</v>
      </c>
      <c r="AR6" s="28">
        <f t="shared" si="4"/>
        <v>956489.78736304108</v>
      </c>
      <c r="AS6" s="28">
        <f t="shared" si="4"/>
        <v>966066.56523667159</v>
      </c>
      <c r="AT6" s="28">
        <f t="shared" si="4"/>
        <v>975739.11088903819</v>
      </c>
      <c r="AU6" s="28">
        <f t="shared" si="4"/>
        <v>985508.38199792861</v>
      </c>
      <c r="AV6" s="28">
        <f t="shared" si="4"/>
        <v>995375.34581790795</v>
      </c>
      <c r="AW6" s="28">
        <f t="shared" si="4"/>
        <v>1005340.9792760869</v>
      </c>
      <c r="AX6" s="28">
        <f t="shared" ref="AX6:BB6" si="5">AX5-$B$14</f>
        <v>1015406.2690688478</v>
      </c>
      <c r="AY6" s="28">
        <f t="shared" si="5"/>
        <v>1025572.2117595363</v>
      </c>
      <c r="AZ6" s="28">
        <f t="shared" si="5"/>
        <v>1035839.8138771317</v>
      </c>
      <c r="BA6" s="28">
        <f t="shared" si="5"/>
        <v>1046210.092015903</v>
      </c>
      <c r="BB6" s="28">
        <f t="shared" si="5"/>
        <v>1056684.072936062</v>
      </c>
      <c r="BI6" s="2">
        <v>25536.526228424802</v>
      </c>
    </row>
    <row r="7" spans="1:61" x14ac:dyDescent="0.2">
      <c r="A7" s="2" t="str">
        <v>Top-bracket State Tax rate (%)</v>
      </c>
      <c r="B7" s="25">
        <v>0.15</v>
      </c>
      <c r="D7" s="2" t="s">
        <v>234</v>
      </c>
      <c r="E7" s="28">
        <f>E6*(1-$B$4)</f>
        <v>454312.45176470588</v>
      </c>
      <c r="F7" s="28">
        <f t="shared" ref="F7:AW7" si="6">F6*(1-$B$4)</f>
        <v>458866.505882353</v>
      </c>
      <c r="G7" s="28">
        <f t="shared" si="6"/>
        <v>481864.4791764706</v>
      </c>
      <c r="H7" s="28">
        <f t="shared" si="6"/>
        <v>486694.05356823537</v>
      </c>
      <c r="I7" s="28">
        <f t="shared" si="6"/>
        <v>491571.92370391754</v>
      </c>
      <c r="J7" s="28">
        <f t="shared" si="6"/>
        <v>496498.57254095678</v>
      </c>
      <c r="K7" s="28">
        <f t="shared" si="6"/>
        <v>521378.14916800469</v>
      </c>
      <c r="L7" s="28">
        <f t="shared" si="6"/>
        <v>526602.86025968473</v>
      </c>
      <c r="M7" s="28">
        <f t="shared" si="6"/>
        <v>531879.8184622816</v>
      </c>
      <c r="N7" s="28">
        <f t="shared" si="6"/>
        <v>537209.54624690441</v>
      </c>
      <c r="O7" s="28">
        <f t="shared" si="6"/>
        <v>564124.67155924963</v>
      </c>
      <c r="P7" s="28">
        <f t="shared" si="6"/>
        <v>569776.84787484223</v>
      </c>
      <c r="Q7" s="28">
        <f t="shared" si="6"/>
        <v>575485.54595359054</v>
      </c>
      <c r="R7" s="28">
        <f t="shared" si="6"/>
        <v>604314.47125127015</v>
      </c>
      <c r="S7" s="28">
        <f t="shared" si="6"/>
        <v>610368.54556378291</v>
      </c>
      <c r="T7" s="28">
        <f t="shared" si="6"/>
        <v>616483.16061942081</v>
      </c>
      <c r="U7" s="28">
        <f t="shared" si="6"/>
        <v>622658.92182561499</v>
      </c>
      <c r="V7" s="28">
        <f t="shared" si="6"/>
        <v>628896.4406438712</v>
      </c>
      <c r="W7" s="28">
        <f t="shared" si="6"/>
        <v>660395.91067606467</v>
      </c>
      <c r="X7" s="28">
        <f t="shared" si="6"/>
        <v>667010.79938282538</v>
      </c>
      <c r="Y7" s="28">
        <f t="shared" si="6"/>
        <v>673691.83697665366</v>
      </c>
      <c r="Z7" s="28">
        <f t="shared" si="6"/>
        <v>680439.68494642014</v>
      </c>
      <c r="AA7" s="28">
        <f t="shared" si="6"/>
        <v>714516.31719374133</v>
      </c>
      <c r="AB7" s="28">
        <f t="shared" si="6"/>
        <v>721672.40996567882</v>
      </c>
      <c r="AC7" s="28">
        <f t="shared" si="6"/>
        <v>728900.06366533542</v>
      </c>
      <c r="AD7" s="28">
        <f t="shared" si="6"/>
        <v>736199.99390198884</v>
      </c>
      <c r="AE7" s="28">
        <f t="shared" si="6"/>
        <v>743572.9234410089</v>
      </c>
      <c r="AF7" s="28">
        <f t="shared" si="6"/>
        <v>751019.58227541891</v>
      </c>
      <c r="AG7" s="28">
        <f t="shared" si="6"/>
        <v>758540.70769817312</v>
      </c>
      <c r="AH7" s="28">
        <f t="shared" si="6"/>
        <v>766137.04437515489</v>
      </c>
      <c r="AI7" s="28">
        <f t="shared" si="6"/>
        <v>773809.34441890637</v>
      </c>
      <c r="AJ7" s="28">
        <f t="shared" si="6"/>
        <v>781558.36746309546</v>
      </c>
      <c r="AK7" s="28">
        <f t="shared" si="6"/>
        <v>789384.88073772646</v>
      </c>
      <c r="AL7" s="28">
        <f t="shared" si="6"/>
        <v>797289.65914510365</v>
      </c>
      <c r="AM7" s="28">
        <f t="shared" si="6"/>
        <v>805273.4853365547</v>
      </c>
      <c r="AN7" s="28">
        <f t="shared" si="6"/>
        <v>845591.80760338251</v>
      </c>
      <c r="AO7" s="28">
        <f t="shared" si="6"/>
        <v>854058.65527941624</v>
      </c>
      <c r="AP7" s="28">
        <f t="shared" si="6"/>
        <v>862610.17143221037</v>
      </c>
      <c r="AQ7" s="28">
        <f t="shared" si="6"/>
        <v>871247.20274653251</v>
      </c>
      <c r="AR7" s="28">
        <f t="shared" si="6"/>
        <v>879970.60437399778</v>
      </c>
      <c r="AS7" s="28">
        <f t="shared" si="6"/>
        <v>888781.24001773796</v>
      </c>
      <c r="AT7" s="28">
        <f t="shared" si="6"/>
        <v>897679.98201791511</v>
      </c>
      <c r="AU7" s="28">
        <f t="shared" si="6"/>
        <v>906667.71143809438</v>
      </c>
      <c r="AV7" s="28">
        <f t="shared" si="6"/>
        <v>915745.3181524754</v>
      </c>
      <c r="AW7" s="28">
        <f t="shared" si="6"/>
        <v>924913.70093399996</v>
      </c>
      <c r="AX7" s="28">
        <f t="shared" ref="AX7:BB7" si="7">AX6*(1-$B$4)</f>
        <v>934173.76754333999</v>
      </c>
      <c r="AY7" s="28">
        <f t="shared" si="7"/>
        <v>943526.43481877341</v>
      </c>
      <c r="AZ7" s="28">
        <f t="shared" si="7"/>
        <v>952972.62876696116</v>
      </c>
      <c r="BA7" s="28">
        <f t="shared" si="7"/>
        <v>962513.28465463081</v>
      </c>
      <c r="BB7" s="28">
        <f t="shared" si="7"/>
        <v>972149.34710117709</v>
      </c>
      <c r="BI7" s="2">
        <v>25795.134236962389</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27101.104680077184</v>
      </c>
    </row>
    <row r="9" spans="1:61" x14ac:dyDescent="0.2">
      <c r="A9" s="2" t="str">
        <v>Municipal Tax (%)</v>
      </c>
      <c r="B9" s="25">
        <v>0.25</v>
      </c>
      <c r="D9" s="2" t="s">
        <v>235</v>
      </c>
      <c r="E9" s="28">
        <f>E7-E8</f>
        <v>402712.45176470588</v>
      </c>
      <c r="F9" s="28">
        <f t="shared" ref="F9:AW9" si="9">F7-F8</f>
        <v>407266.505882353</v>
      </c>
      <c r="G9" s="28">
        <f t="shared" si="9"/>
        <v>430264.4791764706</v>
      </c>
      <c r="H9" s="28">
        <f t="shared" si="9"/>
        <v>435094.05356823537</v>
      </c>
      <c r="I9" s="28">
        <f t="shared" si="9"/>
        <v>439971.92370391754</v>
      </c>
      <c r="J9" s="28">
        <f t="shared" si="9"/>
        <v>444898.57254095678</v>
      </c>
      <c r="K9" s="28">
        <f t="shared" si="9"/>
        <v>469778.14916800469</v>
      </c>
      <c r="L9" s="28">
        <f t="shared" si="9"/>
        <v>475002.86025968473</v>
      </c>
      <c r="M9" s="28">
        <f t="shared" si="9"/>
        <v>480279.8184622816</v>
      </c>
      <c r="N9" s="28">
        <f t="shared" si="9"/>
        <v>485609.54624690441</v>
      </c>
      <c r="O9" s="28">
        <f t="shared" si="9"/>
        <v>512524.67155924963</v>
      </c>
      <c r="P9" s="28">
        <f t="shared" si="9"/>
        <v>518176.84787484223</v>
      </c>
      <c r="Q9" s="28">
        <f t="shared" si="9"/>
        <v>523885.54595359054</v>
      </c>
      <c r="R9" s="28">
        <f t="shared" si="9"/>
        <v>552714.47125127015</v>
      </c>
      <c r="S9" s="28">
        <f t="shared" si="9"/>
        <v>558768.54556378291</v>
      </c>
      <c r="T9" s="28">
        <f t="shared" si="9"/>
        <v>564883.16061942081</v>
      </c>
      <c r="U9" s="28">
        <f t="shared" si="9"/>
        <v>571058.92182561499</v>
      </c>
      <c r="V9" s="28">
        <f t="shared" si="9"/>
        <v>577296.4406438712</v>
      </c>
      <c r="W9" s="28">
        <f t="shared" si="9"/>
        <v>608795.91067606467</v>
      </c>
      <c r="X9" s="28">
        <f t="shared" si="9"/>
        <v>615410.79938282538</v>
      </c>
      <c r="Y9" s="28">
        <f t="shared" si="9"/>
        <v>622091.83697665366</v>
      </c>
      <c r="Z9" s="28">
        <f t="shared" si="9"/>
        <v>628839.68494642014</v>
      </c>
      <c r="AA9" s="28">
        <f t="shared" si="9"/>
        <v>662916.31719374133</v>
      </c>
      <c r="AB9" s="28">
        <f t="shared" si="9"/>
        <v>670072.40996567882</v>
      </c>
      <c r="AC9" s="28">
        <f t="shared" si="9"/>
        <v>677300.06366533542</v>
      </c>
      <c r="AD9" s="28">
        <f t="shared" si="9"/>
        <v>684599.99390198884</v>
      </c>
      <c r="AE9" s="28">
        <f t="shared" si="9"/>
        <v>691972.9234410089</v>
      </c>
      <c r="AF9" s="28">
        <f t="shared" si="9"/>
        <v>699419.58227541891</v>
      </c>
      <c r="AG9" s="28">
        <f t="shared" si="9"/>
        <v>706940.70769817312</v>
      </c>
      <c r="AH9" s="28">
        <f t="shared" si="9"/>
        <v>714537.04437515489</v>
      </c>
      <c r="AI9" s="28">
        <f t="shared" si="9"/>
        <v>722209.34441890637</v>
      </c>
      <c r="AJ9" s="28">
        <f t="shared" si="9"/>
        <v>729958.36746309546</v>
      </c>
      <c r="AK9" s="28">
        <f t="shared" si="9"/>
        <v>737784.88073772646</v>
      </c>
      <c r="AL9" s="28">
        <f t="shared" si="9"/>
        <v>745689.65914510365</v>
      </c>
      <c r="AM9" s="28">
        <f t="shared" si="9"/>
        <v>753673.4853365547</v>
      </c>
      <c r="AN9" s="28">
        <f t="shared" si="9"/>
        <v>793991.80760338251</v>
      </c>
      <c r="AO9" s="28">
        <f t="shared" si="9"/>
        <v>802458.65527941624</v>
      </c>
      <c r="AP9" s="28">
        <f t="shared" si="9"/>
        <v>811010.17143221037</v>
      </c>
      <c r="AQ9" s="28">
        <f t="shared" si="9"/>
        <v>819647.20274653251</v>
      </c>
      <c r="AR9" s="28">
        <f t="shared" si="9"/>
        <v>828370.60437399778</v>
      </c>
      <c r="AS9" s="28">
        <f t="shared" si="9"/>
        <v>837181.24001773796</v>
      </c>
      <c r="AT9" s="28">
        <f t="shared" si="9"/>
        <v>846079.98201791511</v>
      </c>
      <c r="AU9" s="28">
        <f t="shared" si="9"/>
        <v>855067.71143809438</v>
      </c>
      <c r="AV9" s="28">
        <f t="shared" si="9"/>
        <v>864145.3181524754</v>
      </c>
      <c r="AW9" s="28">
        <f t="shared" si="9"/>
        <v>873313.70093399996</v>
      </c>
      <c r="AX9" s="28">
        <f t="shared" ref="AX9:BB9" si="10">AX7-AX8</f>
        <v>882573.76754333999</v>
      </c>
      <c r="AY9" s="28">
        <f t="shared" si="10"/>
        <v>891926.43481877341</v>
      </c>
      <c r="AZ9" s="28">
        <f t="shared" si="10"/>
        <v>901372.62876696116</v>
      </c>
      <c r="BA9" s="28">
        <f t="shared" si="10"/>
        <v>910913.28465463081</v>
      </c>
      <c r="BB9" s="28">
        <f t="shared" si="10"/>
        <v>920549.34710117709</v>
      </c>
      <c r="BI9" s="2">
        <v>27375.358473131288</v>
      </c>
    </row>
    <row r="10" spans="1:61" x14ac:dyDescent="0.2">
      <c r="A10" s="2" t="str">
        <v>Capital Gains &lt; 67,500DKK</v>
      </c>
      <c r="B10" s="28">
        <v>0.27</v>
      </c>
      <c r="D10" s="2" t="s">
        <v>189</v>
      </c>
      <c r="E10" s="28">
        <f>E7*$B$9</f>
        <v>113578.11294117647</v>
      </c>
      <c r="F10" s="28">
        <f t="shared" ref="F10:AW10" si="11">F7*$B$9</f>
        <v>114716.62647058825</v>
      </c>
      <c r="G10" s="28">
        <f t="shared" si="11"/>
        <v>120466.11979411765</v>
      </c>
      <c r="H10" s="28">
        <f t="shared" si="11"/>
        <v>121673.51339205884</v>
      </c>
      <c r="I10" s="28">
        <f t="shared" si="11"/>
        <v>122892.98092597938</v>
      </c>
      <c r="J10" s="28">
        <f t="shared" si="11"/>
        <v>124124.6431352392</v>
      </c>
      <c r="K10" s="28">
        <f t="shared" si="11"/>
        <v>130344.53729200117</v>
      </c>
      <c r="L10" s="28">
        <f t="shared" si="11"/>
        <v>131650.71506492118</v>
      </c>
      <c r="M10" s="28">
        <f t="shared" si="11"/>
        <v>132969.9546155704</v>
      </c>
      <c r="N10" s="28">
        <f t="shared" si="11"/>
        <v>134302.3865617261</v>
      </c>
      <c r="O10" s="28">
        <f t="shared" si="11"/>
        <v>141031.16788981241</v>
      </c>
      <c r="P10" s="28">
        <f t="shared" si="11"/>
        <v>142444.21196871056</v>
      </c>
      <c r="Q10" s="28">
        <f t="shared" si="11"/>
        <v>143871.38648839763</v>
      </c>
      <c r="R10" s="28">
        <f t="shared" si="11"/>
        <v>151078.61781281754</v>
      </c>
      <c r="S10" s="28">
        <f t="shared" si="11"/>
        <v>152592.13639094573</v>
      </c>
      <c r="T10" s="28">
        <f t="shared" si="11"/>
        <v>154120.7901548552</v>
      </c>
      <c r="U10" s="28">
        <f t="shared" si="11"/>
        <v>155664.73045640375</v>
      </c>
      <c r="V10" s="28">
        <f t="shared" si="11"/>
        <v>157224.1101609678</v>
      </c>
      <c r="W10" s="28">
        <f t="shared" si="11"/>
        <v>165098.97766901617</v>
      </c>
      <c r="X10" s="28">
        <f t="shared" si="11"/>
        <v>166752.69984570635</v>
      </c>
      <c r="Y10" s="28">
        <f t="shared" si="11"/>
        <v>168422.95924416342</v>
      </c>
      <c r="Z10" s="28">
        <f t="shared" si="11"/>
        <v>170109.92123660503</v>
      </c>
      <c r="AA10" s="28">
        <f t="shared" si="11"/>
        <v>178629.07929843533</v>
      </c>
      <c r="AB10" s="28">
        <f t="shared" si="11"/>
        <v>180418.1024914197</v>
      </c>
      <c r="AC10" s="28">
        <f t="shared" si="11"/>
        <v>182225.01591633385</v>
      </c>
      <c r="AD10" s="28">
        <f t="shared" si="11"/>
        <v>184049.99847549721</v>
      </c>
      <c r="AE10" s="28">
        <f t="shared" si="11"/>
        <v>185893.23086025222</v>
      </c>
      <c r="AF10" s="28">
        <f t="shared" si="11"/>
        <v>187754.89556885473</v>
      </c>
      <c r="AG10" s="28">
        <f t="shared" si="11"/>
        <v>189635.17692454328</v>
      </c>
      <c r="AH10" s="28">
        <f t="shared" si="11"/>
        <v>191534.26109378872</v>
      </c>
      <c r="AI10" s="28">
        <f t="shared" si="11"/>
        <v>193452.33610472659</v>
      </c>
      <c r="AJ10" s="28">
        <f t="shared" si="11"/>
        <v>195389.59186577387</v>
      </c>
      <c r="AK10" s="28">
        <f t="shared" si="11"/>
        <v>197346.22018443162</v>
      </c>
      <c r="AL10" s="28">
        <f t="shared" si="11"/>
        <v>199322.41478627591</v>
      </c>
      <c r="AM10" s="28">
        <f t="shared" si="11"/>
        <v>201318.37133413868</v>
      </c>
      <c r="AN10" s="28">
        <f t="shared" si="11"/>
        <v>211397.95190084563</v>
      </c>
      <c r="AO10" s="28">
        <f t="shared" si="11"/>
        <v>213514.66381985406</v>
      </c>
      <c r="AP10" s="28">
        <f t="shared" si="11"/>
        <v>215652.54285805259</v>
      </c>
      <c r="AQ10" s="28">
        <f t="shared" si="11"/>
        <v>217811.80068663313</v>
      </c>
      <c r="AR10" s="28">
        <f t="shared" si="11"/>
        <v>219992.65109349944</v>
      </c>
      <c r="AS10" s="28">
        <f t="shared" si="11"/>
        <v>222195.31000443449</v>
      </c>
      <c r="AT10" s="28">
        <f t="shared" si="11"/>
        <v>224419.99550447878</v>
      </c>
      <c r="AU10" s="28">
        <f t="shared" si="11"/>
        <v>226666.9278595236</v>
      </c>
      <c r="AV10" s="28">
        <f t="shared" si="11"/>
        <v>228936.32953811885</v>
      </c>
      <c r="AW10" s="28">
        <f t="shared" si="11"/>
        <v>231228.42523349999</v>
      </c>
      <c r="AX10" s="28">
        <f t="shared" ref="AX10:BB10" si="12">AX7*$B$9</f>
        <v>233543.441885835</v>
      </c>
      <c r="AY10" s="28">
        <f t="shared" si="12"/>
        <v>235881.60870469335</v>
      </c>
      <c r="AZ10" s="28">
        <f t="shared" si="12"/>
        <v>238243.15719174029</v>
      </c>
      <c r="BA10" s="28">
        <f t="shared" si="12"/>
        <v>240628.3211636577</v>
      </c>
      <c r="BB10" s="28">
        <f t="shared" si="12"/>
        <v>243037.33677529427</v>
      </c>
      <c r="BI10" s="2">
        <v>27652.354804115934</v>
      </c>
    </row>
    <row r="11" spans="1:61" x14ac:dyDescent="0.2">
      <c r="A11" s="2" t="str">
        <v>Capital Gains &gt; 67,500DKK</v>
      </c>
      <c r="B11" s="25">
        <v>0.42</v>
      </c>
      <c r="D11" s="2" t="s">
        <v>190</v>
      </c>
      <c r="E11" s="28">
        <f>MAX(E9-$B$8,0)*$B$7</f>
        <v>0</v>
      </c>
      <c r="F11" s="28">
        <f t="shared" ref="F11:AW11" si="13">MAX(F9-$B$8,0)*$B$7</f>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0</v>
      </c>
      <c r="Q11" s="28">
        <f t="shared" si="13"/>
        <v>0</v>
      </c>
      <c r="R11" s="28">
        <f t="shared" si="13"/>
        <v>0</v>
      </c>
      <c r="S11" s="28">
        <f t="shared" si="13"/>
        <v>0</v>
      </c>
      <c r="T11" s="28">
        <f t="shared" si="13"/>
        <v>0</v>
      </c>
      <c r="U11" s="28">
        <f t="shared" si="13"/>
        <v>0</v>
      </c>
      <c r="V11" s="28">
        <f t="shared" si="13"/>
        <v>0</v>
      </c>
      <c r="W11" s="28">
        <f t="shared" si="13"/>
        <v>0</v>
      </c>
      <c r="X11" s="28">
        <f t="shared" si="13"/>
        <v>0</v>
      </c>
      <c r="Y11" s="28">
        <f t="shared" si="13"/>
        <v>553.77554649804949</v>
      </c>
      <c r="Z11" s="28">
        <f t="shared" si="13"/>
        <v>1565.9527419630206</v>
      </c>
      <c r="AA11" s="28">
        <f t="shared" si="13"/>
        <v>6677.4475790611987</v>
      </c>
      <c r="AB11" s="28">
        <f t="shared" si="13"/>
        <v>7750.8614948518225</v>
      </c>
      <c r="AC11" s="28">
        <f t="shared" si="13"/>
        <v>8835.009549800312</v>
      </c>
      <c r="AD11" s="28">
        <f t="shared" si="13"/>
        <v>9929.9990852983265</v>
      </c>
      <c r="AE11" s="28">
        <f t="shared" si="13"/>
        <v>11035.938516151335</v>
      </c>
      <c r="AF11" s="28">
        <f t="shared" si="13"/>
        <v>12152.937341312836</v>
      </c>
      <c r="AG11" s="28">
        <f t="shared" si="13"/>
        <v>13281.106154725969</v>
      </c>
      <c r="AH11" s="28">
        <f t="shared" si="13"/>
        <v>14420.556656273233</v>
      </c>
      <c r="AI11" s="28">
        <f t="shared" si="13"/>
        <v>15571.401662835955</v>
      </c>
      <c r="AJ11" s="28">
        <f t="shared" si="13"/>
        <v>16733.75511946432</v>
      </c>
      <c r="AK11" s="28">
        <f t="shared" si="13"/>
        <v>17907.73211065897</v>
      </c>
      <c r="AL11" s="28">
        <f t="shared" si="13"/>
        <v>19093.448871765548</v>
      </c>
      <c r="AM11" s="28">
        <f t="shared" si="13"/>
        <v>20291.022800483206</v>
      </c>
      <c r="AN11" s="28">
        <f t="shared" si="13"/>
        <v>26338.771140507375</v>
      </c>
      <c r="AO11" s="28">
        <f t="shared" si="13"/>
        <v>27608.798291912437</v>
      </c>
      <c r="AP11" s="28">
        <f t="shared" si="13"/>
        <v>28891.525714831554</v>
      </c>
      <c r="AQ11" s="28">
        <f t="shared" si="13"/>
        <v>30187.080411979874</v>
      </c>
      <c r="AR11" s="28">
        <f t="shared" si="13"/>
        <v>31495.590656099666</v>
      </c>
      <c r="AS11" s="28">
        <f t="shared" si="13"/>
        <v>32817.186002660696</v>
      </c>
      <c r="AT11" s="28">
        <f t="shared" si="13"/>
        <v>34151.997302687269</v>
      </c>
      <c r="AU11" s="28">
        <f t="shared" si="13"/>
        <v>35500.156715714154</v>
      </c>
      <c r="AV11" s="28">
        <f t="shared" si="13"/>
        <v>36861.797722871306</v>
      </c>
      <c r="AW11" s="28">
        <f t="shared" si="13"/>
        <v>38237.05514009999</v>
      </c>
      <c r="AX11" s="28">
        <f t="shared" ref="AX11:BB11" si="14">MAX(AX9-$B$8,0)*$B$7</f>
        <v>39626.065131500996</v>
      </c>
      <c r="AY11" s="28">
        <f t="shared" si="14"/>
        <v>41028.965222816012</v>
      </c>
      <c r="AZ11" s="28">
        <f t="shared" si="14"/>
        <v>42445.89431504417</v>
      </c>
      <c r="BA11" s="28">
        <f t="shared" si="14"/>
        <v>43876.992698194619</v>
      </c>
      <c r="BB11" s="28">
        <f t="shared" si="14"/>
        <v>45322.40206517656</v>
      </c>
      <c r="BI11" s="2">
        <v>27932.121098410425</v>
      </c>
    </row>
    <row r="12" spans="1:61" x14ac:dyDescent="0.2">
      <c r="A12" s="2" t="str">
        <v>Capital Gains Threshold</v>
      </c>
      <c r="B12" s="53">
        <v>67500</v>
      </c>
      <c r="D12" s="2" t="s">
        <v>191</v>
      </c>
      <c r="E12" s="28">
        <f>E9*$B$6</f>
        <v>48365.765456941175</v>
      </c>
      <c r="F12" s="28">
        <f t="shared" ref="F12:AW12" si="15">F9*$B$6</f>
        <v>48912.707356470593</v>
      </c>
      <c r="G12" s="28">
        <f t="shared" si="15"/>
        <v>51674.763949094122</v>
      </c>
      <c r="H12" s="28">
        <f t="shared" si="15"/>
        <v>52254.795833545068</v>
      </c>
      <c r="I12" s="28">
        <f t="shared" si="15"/>
        <v>52840.628036840499</v>
      </c>
      <c r="J12" s="28">
        <f t="shared" si="15"/>
        <v>53432.318562168912</v>
      </c>
      <c r="K12" s="28">
        <f t="shared" si="15"/>
        <v>56420.355715077363</v>
      </c>
      <c r="L12" s="28">
        <f t="shared" si="15"/>
        <v>57047.843517188136</v>
      </c>
      <c r="M12" s="28">
        <f t="shared" si="15"/>
        <v>57681.606197320019</v>
      </c>
      <c r="N12" s="28">
        <f t="shared" si="15"/>
        <v>58321.706504253219</v>
      </c>
      <c r="O12" s="28">
        <f t="shared" si="15"/>
        <v>61554.213054265878</v>
      </c>
      <c r="P12" s="28">
        <f t="shared" si="15"/>
        <v>62233.039429768549</v>
      </c>
      <c r="Q12" s="28">
        <f t="shared" si="15"/>
        <v>62918.654069026226</v>
      </c>
      <c r="R12" s="28">
        <f t="shared" si="15"/>
        <v>66381.007997277542</v>
      </c>
      <c r="S12" s="28">
        <f t="shared" si="15"/>
        <v>67108.102322210325</v>
      </c>
      <c r="T12" s="28">
        <f t="shared" si="15"/>
        <v>67842.467590392436</v>
      </c>
      <c r="U12" s="28">
        <f t="shared" si="15"/>
        <v>68584.176511256359</v>
      </c>
      <c r="V12" s="28">
        <f t="shared" si="15"/>
        <v>69333.302521328937</v>
      </c>
      <c r="W12" s="28">
        <f t="shared" si="15"/>
        <v>73116.38887219537</v>
      </c>
      <c r="X12" s="28">
        <f t="shared" si="15"/>
        <v>73910.837005877329</v>
      </c>
      <c r="Y12" s="28">
        <f t="shared" si="15"/>
        <v>74713.229620896105</v>
      </c>
      <c r="Z12" s="28">
        <f t="shared" si="15"/>
        <v>75523.646162065052</v>
      </c>
      <c r="AA12" s="28">
        <f t="shared" si="15"/>
        <v>79616.249694968326</v>
      </c>
      <c r="AB12" s="28">
        <f t="shared" si="15"/>
        <v>80475.696436878032</v>
      </c>
      <c r="AC12" s="28">
        <f t="shared" si="15"/>
        <v>81343.737646206777</v>
      </c>
      <c r="AD12" s="28">
        <f t="shared" si="15"/>
        <v>82220.459267628859</v>
      </c>
      <c r="AE12" s="28">
        <f t="shared" si="15"/>
        <v>83105.948105265168</v>
      </c>
      <c r="AF12" s="28">
        <f t="shared" si="15"/>
        <v>84000.291831277806</v>
      </c>
      <c r="AG12" s="28">
        <f t="shared" si="15"/>
        <v>84903.578994550597</v>
      </c>
      <c r="AH12" s="28">
        <f t="shared" si="15"/>
        <v>85815.899029456108</v>
      </c>
      <c r="AI12" s="28">
        <f t="shared" si="15"/>
        <v>86737.342264710649</v>
      </c>
      <c r="AJ12" s="28">
        <f t="shared" si="15"/>
        <v>87667.999932317762</v>
      </c>
      <c r="AK12" s="28">
        <f t="shared" si="15"/>
        <v>88607.964176600944</v>
      </c>
      <c r="AL12" s="28">
        <f t="shared" si="15"/>
        <v>89557.328063326946</v>
      </c>
      <c r="AM12" s="28">
        <f t="shared" si="15"/>
        <v>90516.185588920212</v>
      </c>
      <c r="AN12" s="28">
        <f t="shared" si="15"/>
        <v>95358.416093166234</v>
      </c>
      <c r="AO12" s="28">
        <f t="shared" si="15"/>
        <v>96375.284499057889</v>
      </c>
      <c r="AP12" s="28">
        <f t="shared" si="15"/>
        <v>97402.321589008468</v>
      </c>
      <c r="AQ12" s="28">
        <f t="shared" si="15"/>
        <v>98439.629049858559</v>
      </c>
      <c r="AR12" s="28">
        <f t="shared" si="15"/>
        <v>99487.309585317125</v>
      </c>
      <c r="AS12" s="28">
        <f t="shared" si="15"/>
        <v>100545.46692613032</v>
      </c>
      <c r="AT12" s="28">
        <f t="shared" si="15"/>
        <v>101614.2058403516</v>
      </c>
      <c r="AU12" s="28">
        <f t="shared" si="15"/>
        <v>102693.63214371513</v>
      </c>
      <c r="AV12" s="28">
        <f t="shared" si="15"/>
        <v>103783.85271011229</v>
      </c>
      <c r="AW12" s="28">
        <f t="shared" si="15"/>
        <v>104884.97548217339</v>
      </c>
      <c r="AX12" s="28">
        <f t="shared" ref="AX12:BB12" si="16">AX9*$B$6</f>
        <v>105997.10948195514</v>
      </c>
      <c r="AY12" s="28">
        <f t="shared" si="16"/>
        <v>107120.36482173469</v>
      </c>
      <c r="AZ12" s="28">
        <f t="shared" si="16"/>
        <v>108254.85271491203</v>
      </c>
      <c r="BA12" s="28">
        <f t="shared" si="16"/>
        <v>109400.68548702115</v>
      </c>
      <c r="BB12" s="28">
        <f t="shared" si="16"/>
        <v>110557.97658685136</v>
      </c>
      <c r="BI12" s="2">
        <v>29344.94088459761</v>
      </c>
    </row>
    <row r="13" spans="1:61" x14ac:dyDescent="0.2">
      <c r="A13" s="2" t="s">
        <v>254</v>
      </c>
      <c r="B13" s="58">
        <v>99</v>
      </c>
      <c r="D13" s="2" t="s">
        <v>192</v>
      </c>
      <c r="E13" s="28">
        <f>SUM(E10:E12)</f>
        <v>161943.87839811764</v>
      </c>
      <c r="F13" s="28">
        <f t="shared" ref="F13:AW13" si="17">SUM(F10:F12)</f>
        <v>163629.33382705884</v>
      </c>
      <c r="G13" s="28">
        <f t="shared" si="17"/>
        <v>172140.88374321177</v>
      </c>
      <c r="H13" s="28">
        <f t="shared" si="17"/>
        <v>173928.30922560391</v>
      </c>
      <c r="I13" s="28">
        <f t="shared" si="17"/>
        <v>175733.60896281988</v>
      </c>
      <c r="J13" s="28">
        <f t="shared" si="17"/>
        <v>177556.96169740811</v>
      </c>
      <c r="K13" s="28">
        <f t="shared" si="17"/>
        <v>186764.89300707853</v>
      </c>
      <c r="L13" s="28">
        <f t="shared" si="17"/>
        <v>188698.55858210931</v>
      </c>
      <c r="M13" s="28">
        <f t="shared" si="17"/>
        <v>190651.56081289041</v>
      </c>
      <c r="N13" s="28">
        <f t="shared" si="17"/>
        <v>192624.09306597931</v>
      </c>
      <c r="O13" s="28">
        <f t="shared" si="17"/>
        <v>202585.38094407829</v>
      </c>
      <c r="P13" s="28">
        <f t="shared" si="17"/>
        <v>204677.2513984791</v>
      </c>
      <c r="Q13" s="28">
        <f t="shared" si="17"/>
        <v>206790.04055742387</v>
      </c>
      <c r="R13" s="28">
        <f t="shared" si="17"/>
        <v>217459.62581009508</v>
      </c>
      <c r="S13" s="28">
        <f t="shared" si="17"/>
        <v>219700.23871315605</v>
      </c>
      <c r="T13" s="28">
        <f t="shared" si="17"/>
        <v>221963.25774524763</v>
      </c>
      <c r="U13" s="28">
        <f t="shared" si="17"/>
        <v>224248.90696766012</v>
      </c>
      <c r="V13" s="28">
        <f t="shared" si="17"/>
        <v>226557.41268229674</v>
      </c>
      <c r="W13" s="28">
        <f t="shared" si="17"/>
        <v>238215.36654121155</v>
      </c>
      <c r="X13" s="28">
        <f t="shared" si="17"/>
        <v>240663.53685158369</v>
      </c>
      <c r="Y13" s="28">
        <f t="shared" si="17"/>
        <v>243689.96441155756</v>
      </c>
      <c r="Z13" s="28">
        <f t="shared" si="17"/>
        <v>247199.5201406331</v>
      </c>
      <c r="AA13" s="28">
        <f t="shared" si="17"/>
        <v>264922.77657246485</v>
      </c>
      <c r="AB13" s="28">
        <f t="shared" si="17"/>
        <v>268644.66042314959</v>
      </c>
      <c r="AC13" s="28">
        <f t="shared" si="17"/>
        <v>272403.76311234094</v>
      </c>
      <c r="AD13" s="28">
        <f t="shared" si="17"/>
        <v>276200.45682842442</v>
      </c>
      <c r="AE13" s="28">
        <f t="shared" si="17"/>
        <v>280035.11748166871</v>
      </c>
      <c r="AF13" s="28">
        <f t="shared" si="17"/>
        <v>283908.12474144541</v>
      </c>
      <c r="AG13" s="28">
        <f t="shared" si="17"/>
        <v>287819.86207381985</v>
      </c>
      <c r="AH13" s="28">
        <f t="shared" si="17"/>
        <v>291770.71677951806</v>
      </c>
      <c r="AI13" s="28">
        <f t="shared" si="17"/>
        <v>295761.0800322732</v>
      </c>
      <c r="AJ13" s="28">
        <f t="shared" si="17"/>
        <v>299791.34691755596</v>
      </c>
      <c r="AK13" s="28">
        <f t="shared" si="17"/>
        <v>303861.91647169157</v>
      </c>
      <c r="AL13" s="28">
        <f t="shared" si="17"/>
        <v>307973.19172136841</v>
      </c>
      <c r="AM13" s="28">
        <f t="shared" si="17"/>
        <v>312125.57972354209</v>
      </c>
      <c r="AN13" s="28">
        <f t="shared" si="17"/>
        <v>333095.13913451921</v>
      </c>
      <c r="AO13" s="28">
        <f t="shared" si="17"/>
        <v>337498.74661082437</v>
      </c>
      <c r="AP13" s="28">
        <f t="shared" si="17"/>
        <v>341946.39016189263</v>
      </c>
      <c r="AQ13" s="28">
        <f t="shared" si="17"/>
        <v>346438.51014847157</v>
      </c>
      <c r="AR13" s="28">
        <f t="shared" si="17"/>
        <v>350975.55133491626</v>
      </c>
      <c r="AS13" s="28">
        <f t="shared" si="17"/>
        <v>355557.9629332255</v>
      </c>
      <c r="AT13" s="28">
        <f t="shared" si="17"/>
        <v>360186.19864751765</v>
      </c>
      <c r="AU13" s="28">
        <f t="shared" si="17"/>
        <v>364860.71671895287</v>
      </c>
      <c r="AV13" s="28">
        <f t="shared" si="17"/>
        <v>369581.97997110244</v>
      </c>
      <c r="AW13" s="28">
        <f t="shared" si="17"/>
        <v>374350.45585577335</v>
      </c>
      <c r="AX13" s="28">
        <f t="shared" ref="AX13:BB13" si="18">SUM(AX10:AX12)</f>
        <v>379166.61649929109</v>
      </c>
      <c r="AY13" s="28">
        <f t="shared" si="18"/>
        <v>384030.93874924409</v>
      </c>
      <c r="AZ13" s="28">
        <f t="shared" si="18"/>
        <v>388943.90422169649</v>
      </c>
      <c r="BA13" s="28">
        <f t="shared" si="18"/>
        <v>393905.99934887351</v>
      </c>
      <c r="BB13" s="28">
        <f t="shared" si="18"/>
        <v>398917.7154273222</v>
      </c>
      <c r="BI13" s="2">
        <v>29641.633039696928</v>
      </c>
    </row>
    <row r="14" spans="1:61" x14ac:dyDescent="0.2">
      <c r="A14" s="2" t="s">
        <v>255</v>
      </c>
      <c r="B14" s="28">
        <f>B13*12</f>
        <v>1188</v>
      </c>
      <c r="D14" s="2" t="s">
        <v>193</v>
      </c>
      <c r="E14" s="28">
        <f>E7-E13</f>
        <v>292368.57336658821</v>
      </c>
      <c r="F14" s="28">
        <f t="shared" ref="F14:AW14" si="19">F7-F13</f>
        <v>295237.17205529416</v>
      </c>
      <c r="G14" s="28">
        <f t="shared" si="19"/>
        <v>309723.5954332588</v>
      </c>
      <c r="H14" s="28">
        <f t="shared" si="19"/>
        <v>312765.74434263143</v>
      </c>
      <c r="I14" s="28">
        <f t="shared" si="19"/>
        <v>315838.31474109762</v>
      </c>
      <c r="J14" s="28">
        <f t="shared" si="19"/>
        <v>318941.61084354867</v>
      </c>
      <c r="K14" s="28">
        <f t="shared" si="19"/>
        <v>334613.25616092619</v>
      </c>
      <c r="L14" s="28">
        <f t="shared" si="19"/>
        <v>337904.30167757545</v>
      </c>
      <c r="M14" s="28">
        <f t="shared" si="19"/>
        <v>341228.25764939119</v>
      </c>
      <c r="N14" s="28">
        <f t="shared" si="19"/>
        <v>344585.45318092511</v>
      </c>
      <c r="O14" s="28">
        <f t="shared" si="19"/>
        <v>361539.29061517131</v>
      </c>
      <c r="P14" s="28">
        <f t="shared" si="19"/>
        <v>365099.59647636313</v>
      </c>
      <c r="Q14" s="28">
        <f t="shared" si="19"/>
        <v>368695.5053961667</v>
      </c>
      <c r="R14" s="28">
        <f t="shared" si="19"/>
        <v>386854.84544117504</v>
      </c>
      <c r="S14" s="28">
        <f t="shared" si="19"/>
        <v>390668.30685062683</v>
      </c>
      <c r="T14" s="28">
        <f t="shared" si="19"/>
        <v>394519.90287417319</v>
      </c>
      <c r="U14" s="28">
        <f t="shared" si="19"/>
        <v>398410.01485795487</v>
      </c>
      <c r="V14" s="28">
        <f t="shared" si="19"/>
        <v>402339.02796157449</v>
      </c>
      <c r="W14" s="28">
        <f t="shared" si="19"/>
        <v>422180.54413485312</v>
      </c>
      <c r="X14" s="28">
        <f t="shared" si="19"/>
        <v>426347.26253124169</v>
      </c>
      <c r="Y14" s="28">
        <f t="shared" si="19"/>
        <v>430001.87256509613</v>
      </c>
      <c r="Z14" s="28">
        <f t="shared" si="19"/>
        <v>433240.16480578703</v>
      </c>
      <c r="AA14" s="28">
        <f t="shared" si="19"/>
        <v>449593.54062127648</v>
      </c>
      <c r="AB14" s="28">
        <f t="shared" si="19"/>
        <v>453027.74954252923</v>
      </c>
      <c r="AC14" s="28">
        <f t="shared" si="19"/>
        <v>456496.30055299448</v>
      </c>
      <c r="AD14" s="28">
        <f t="shared" si="19"/>
        <v>459999.53707356442</v>
      </c>
      <c r="AE14" s="28">
        <f t="shared" si="19"/>
        <v>463537.80595934018</v>
      </c>
      <c r="AF14" s="28">
        <f t="shared" si="19"/>
        <v>467111.4575339735</v>
      </c>
      <c r="AG14" s="28">
        <f t="shared" si="19"/>
        <v>470720.84562435327</v>
      </c>
      <c r="AH14" s="28">
        <f t="shared" si="19"/>
        <v>474366.32759563683</v>
      </c>
      <c r="AI14" s="28">
        <f t="shared" si="19"/>
        <v>478048.26438663318</v>
      </c>
      <c r="AJ14" s="28">
        <f t="shared" si="19"/>
        <v>481767.0205455395</v>
      </c>
      <c r="AK14" s="28">
        <f t="shared" si="19"/>
        <v>485522.96426603489</v>
      </c>
      <c r="AL14" s="28">
        <f t="shared" si="19"/>
        <v>489316.46742373524</v>
      </c>
      <c r="AM14" s="28">
        <f t="shared" si="19"/>
        <v>493147.90561301261</v>
      </c>
      <c r="AN14" s="28">
        <f t="shared" si="19"/>
        <v>512496.6684688633</v>
      </c>
      <c r="AO14" s="28">
        <f t="shared" si="19"/>
        <v>516559.90866859187</v>
      </c>
      <c r="AP14" s="28">
        <f t="shared" si="19"/>
        <v>520663.78127031773</v>
      </c>
      <c r="AQ14" s="28">
        <f t="shared" si="19"/>
        <v>524808.69259806094</v>
      </c>
      <c r="AR14" s="28">
        <f t="shared" si="19"/>
        <v>528995.05303908151</v>
      </c>
      <c r="AS14" s="28">
        <f t="shared" si="19"/>
        <v>533223.2770845124</v>
      </c>
      <c r="AT14" s="28">
        <f t="shared" si="19"/>
        <v>537493.78337039752</v>
      </c>
      <c r="AU14" s="28">
        <f t="shared" si="19"/>
        <v>541806.99471914151</v>
      </c>
      <c r="AV14" s="28">
        <f t="shared" si="19"/>
        <v>546163.33818137296</v>
      </c>
      <c r="AW14" s="28">
        <f t="shared" si="19"/>
        <v>550563.24507822655</v>
      </c>
      <c r="AX14" s="28">
        <f t="shared" ref="AX14:BB14" si="20">AX7-AX13</f>
        <v>555007.15104404883</v>
      </c>
      <c r="AY14" s="28">
        <f t="shared" si="20"/>
        <v>559495.49606952933</v>
      </c>
      <c r="AZ14" s="28">
        <f t="shared" si="20"/>
        <v>564028.72454526462</v>
      </c>
      <c r="BA14" s="28">
        <f t="shared" si="20"/>
        <v>568607.28530575731</v>
      </c>
      <c r="BB14" s="28">
        <f t="shared" si="20"/>
        <v>573231.63167385489</v>
      </c>
      <c r="BI14" s="2">
        <v>29941.292116347224</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31454.570453431254</v>
      </c>
    </row>
    <row r="16" spans="1:61" x14ac:dyDescent="0.2">
      <c r="D16" s="2" t="s">
        <v>267</v>
      </c>
      <c r="E16" s="28">
        <f>E14-E15</f>
        <v>282968.57336658821</v>
      </c>
      <c r="F16" s="28">
        <f t="shared" ref="F16:AW16" si="22">F14-F15</f>
        <v>285837.17205529416</v>
      </c>
      <c r="G16" s="28">
        <f t="shared" si="22"/>
        <v>300323.5954332588</v>
      </c>
      <c r="H16" s="28">
        <f t="shared" si="22"/>
        <v>303365.74434263143</v>
      </c>
      <c r="I16" s="28">
        <f t="shared" si="22"/>
        <v>306438.31474109762</v>
      </c>
      <c r="J16" s="28">
        <f t="shared" si="22"/>
        <v>309541.61084354867</v>
      </c>
      <c r="K16" s="28">
        <f t="shared" si="22"/>
        <v>325213.25616092619</v>
      </c>
      <c r="L16" s="28">
        <f t="shared" si="22"/>
        <v>328504.30167757545</v>
      </c>
      <c r="M16" s="28">
        <f t="shared" si="22"/>
        <v>331828.25764939119</v>
      </c>
      <c r="N16" s="28">
        <f t="shared" si="22"/>
        <v>335185.45318092511</v>
      </c>
      <c r="O16" s="28">
        <f t="shared" si="22"/>
        <v>352139.29061517131</v>
      </c>
      <c r="P16" s="28">
        <f t="shared" si="22"/>
        <v>355699.59647636313</v>
      </c>
      <c r="Q16" s="28">
        <f t="shared" si="22"/>
        <v>359295.5053961667</v>
      </c>
      <c r="R16" s="28">
        <f t="shared" si="22"/>
        <v>377454.84544117504</v>
      </c>
      <c r="S16" s="28">
        <f t="shared" si="22"/>
        <v>381268.30685062683</v>
      </c>
      <c r="T16" s="28">
        <f t="shared" si="22"/>
        <v>385119.90287417319</v>
      </c>
      <c r="U16" s="28">
        <f t="shared" si="22"/>
        <v>389010.01485795487</v>
      </c>
      <c r="V16" s="28">
        <f t="shared" si="22"/>
        <v>392939.02796157449</v>
      </c>
      <c r="W16" s="28">
        <f t="shared" si="22"/>
        <v>412780.54413485312</v>
      </c>
      <c r="X16" s="28">
        <f t="shared" si="22"/>
        <v>416947.26253124169</v>
      </c>
      <c r="Y16" s="28">
        <f t="shared" si="22"/>
        <v>420601.87256509613</v>
      </c>
      <c r="Z16" s="28">
        <f t="shared" si="22"/>
        <v>423840.16480578703</v>
      </c>
      <c r="AA16" s="28">
        <f t="shared" si="22"/>
        <v>440193.54062127648</v>
      </c>
      <c r="AB16" s="28">
        <f t="shared" si="22"/>
        <v>443627.74954252923</v>
      </c>
      <c r="AC16" s="28">
        <f t="shared" si="22"/>
        <v>447096.30055299448</v>
      </c>
      <c r="AD16" s="28">
        <f t="shared" si="22"/>
        <v>450599.53707356442</v>
      </c>
      <c r="AE16" s="28">
        <f t="shared" si="22"/>
        <v>454137.80595934018</v>
      </c>
      <c r="AF16" s="28">
        <f t="shared" si="22"/>
        <v>457711.4575339735</v>
      </c>
      <c r="AG16" s="28">
        <f t="shared" si="22"/>
        <v>461320.84562435327</v>
      </c>
      <c r="AH16" s="28">
        <f t="shared" si="22"/>
        <v>464966.32759563683</v>
      </c>
      <c r="AI16" s="28">
        <f t="shared" si="22"/>
        <v>468648.26438663318</v>
      </c>
      <c r="AJ16" s="28">
        <f t="shared" si="22"/>
        <v>472367.0205455395</v>
      </c>
      <c r="AK16" s="28">
        <f t="shared" si="22"/>
        <v>476122.96426603489</v>
      </c>
      <c r="AL16" s="28">
        <f t="shared" si="22"/>
        <v>479916.46742373524</v>
      </c>
      <c r="AM16" s="28">
        <f t="shared" si="22"/>
        <v>483747.90561301261</v>
      </c>
      <c r="AN16" s="28">
        <f t="shared" si="22"/>
        <v>503096.6684688633</v>
      </c>
      <c r="AO16" s="28">
        <f t="shared" si="22"/>
        <v>507159.90866859187</v>
      </c>
      <c r="AP16" s="28">
        <f t="shared" si="22"/>
        <v>511263.78127031773</v>
      </c>
      <c r="AQ16" s="28">
        <f t="shared" si="22"/>
        <v>515408.69259806094</v>
      </c>
      <c r="AR16" s="28">
        <f t="shared" si="22"/>
        <v>519595.05303908151</v>
      </c>
      <c r="AS16" s="28">
        <f t="shared" si="22"/>
        <v>523823.2770845124</v>
      </c>
      <c r="AT16" s="28">
        <f t="shared" si="22"/>
        <v>528093.78337039752</v>
      </c>
      <c r="AU16" s="28">
        <f t="shared" si="22"/>
        <v>532406.99471914151</v>
      </c>
      <c r="AV16" s="28">
        <f t="shared" si="22"/>
        <v>536763.33818137296</v>
      </c>
      <c r="AW16" s="28">
        <f t="shared" si="22"/>
        <v>541163.24507822655</v>
      </c>
      <c r="AX16" s="28">
        <f t="shared" ref="AX16:BB16" si="23">AX14-AX15</f>
        <v>545607.15104404883</v>
      </c>
      <c r="AY16" s="28">
        <f t="shared" si="23"/>
        <v>550095.49606952933</v>
      </c>
      <c r="AZ16" s="28">
        <f t="shared" si="23"/>
        <v>554628.72454526462</v>
      </c>
      <c r="BA16" s="28">
        <f t="shared" si="23"/>
        <v>559207.28530575731</v>
      </c>
      <c r="BB16" s="28">
        <f t="shared" si="23"/>
        <v>563831.63167385489</v>
      </c>
      <c r="BI16" s="2">
        <v>31772.358904218901</v>
      </c>
    </row>
    <row r="17" spans="4:61" x14ac:dyDescent="0.2">
      <c r="D17" s="2" t="s">
        <v>196</v>
      </c>
      <c r="E17" s="28">
        <f>E16/12</f>
        <v>23580.714447215683</v>
      </c>
      <c r="F17" s="28">
        <f t="shared" ref="F17:AW17" si="24">F16/12</f>
        <v>23819.764337941178</v>
      </c>
      <c r="G17" s="28">
        <f t="shared" si="24"/>
        <v>25026.9662861049</v>
      </c>
      <c r="H17" s="28">
        <f t="shared" si="24"/>
        <v>25280.478695219284</v>
      </c>
      <c r="I17" s="28">
        <f t="shared" si="24"/>
        <v>25536.526228424802</v>
      </c>
      <c r="J17" s="28">
        <f t="shared" si="24"/>
        <v>25795.134236962389</v>
      </c>
      <c r="K17" s="28">
        <f t="shared" si="24"/>
        <v>27101.104680077184</v>
      </c>
      <c r="L17" s="28">
        <f t="shared" si="24"/>
        <v>27375.358473131288</v>
      </c>
      <c r="M17" s="28">
        <f t="shared" si="24"/>
        <v>27652.354804115934</v>
      </c>
      <c r="N17" s="28">
        <f t="shared" si="24"/>
        <v>27932.121098410425</v>
      </c>
      <c r="O17" s="28">
        <f t="shared" si="24"/>
        <v>29344.94088459761</v>
      </c>
      <c r="P17" s="28">
        <f t="shared" si="24"/>
        <v>29641.633039696928</v>
      </c>
      <c r="Q17" s="28">
        <f t="shared" si="24"/>
        <v>29941.292116347224</v>
      </c>
      <c r="R17" s="28">
        <f t="shared" si="24"/>
        <v>31454.570453431254</v>
      </c>
      <c r="S17" s="28">
        <f t="shared" si="24"/>
        <v>31772.358904218901</v>
      </c>
      <c r="T17" s="28">
        <f t="shared" si="24"/>
        <v>32093.325239514434</v>
      </c>
      <c r="U17" s="28">
        <f t="shared" si="24"/>
        <v>32417.501238162906</v>
      </c>
      <c r="V17" s="28">
        <f t="shared" si="24"/>
        <v>32744.918996797875</v>
      </c>
      <c r="W17" s="28">
        <f t="shared" si="24"/>
        <v>34398.378677904424</v>
      </c>
      <c r="X17" s="28">
        <f t="shared" si="24"/>
        <v>34745.60521093681</v>
      </c>
      <c r="Y17" s="28">
        <f t="shared" si="24"/>
        <v>35050.156047091346</v>
      </c>
      <c r="Z17" s="28">
        <f t="shared" si="24"/>
        <v>35320.013733815584</v>
      </c>
      <c r="AA17" s="28">
        <f t="shared" si="24"/>
        <v>36682.795051773042</v>
      </c>
      <c r="AB17" s="28">
        <f t="shared" si="24"/>
        <v>36968.979128544102</v>
      </c>
      <c r="AC17" s="28">
        <f t="shared" si="24"/>
        <v>37258.025046082876</v>
      </c>
      <c r="AD17" s="28">
        <f t="shared" si="24"/>
        <v>37549.961422797038</v>
      </c>
      <c r="AE17" s="28">
        <f t="shared" si="24"/>
        <v>37844.817163278349</v>
      </c>
      <c r="AF17" s="28">
        <f t="shared" si="24"/>
        <v>38142.621461164461</v>
      </c>
      <c r="AG17" s="28">
        <f t="shared" si="24"/>
        <v>38443.403802029439</v>
      </c>
      <c r="AH17" s="28">
        <f t="shared" si="24"/>
        <v>38747.193966303072</v>
      </c>
      <c r="AI17" s="28">
        <f t="shared" si="24"/>
        <v>39054.022032219429</v>
      </c>
      <c r="AJ17" s="28">
        <f t="shared" si="24"/>
        <v>39363.918378794959</v>
      </c>
      <c r="AK17" s="28">
        <f t="shared" si="24"/>
        <v>39676.913688836241</v>
      </c>
      <c r="AL17" s="28">
        <f t="shared" si="24"/>
        <v>39993.038951977935</v>
      </c>
      <c r="AM17" s="28">
        <f t="shared" si="24"/>
        <v>40312.325467751049</v>
      </c>
      <c r="AN17" s="28">
        <f t="shared" si="24"/>
        <v>41924.722372405275</v>
      </c>
      <c r="AO17" s="28">
        <f t="shared" si="24"/>
        <v>42263.325722382659</v>
      </c>
      <c r="AP17" s="28">
        <f t="shared" si="24"/>
        <v>42605.315105859809</v>
      </c>
      <c r="AQ17" s="28">
        <f t="shared" si="24"/>
        <v>42950.724383171742</v>
      </c>
      <c r="AR17" s="28">
        <f t="shared" si="24"/>
        <v>43299.58775325679</v>
      </c>
      <c r="AS17" s="28">
        <f t="shared" si="24"/>
        <v>43651.939757042703</v>
      </c>
      <c r="AT17" s="28">
        <f t="shared" si="24"/>
        <v>44007.81528086646</v>
      </c>
      <c r="AU17" s="28">
        <f t="shared" si="24"/>
        <v>44367.249559928459</v>
      </c>
      <c r="AV17" s="28">
        <f t="shared" si="24"/>
        <v>44730.278181781083</v>
      </c>
      <c r="AW17" s="28">
        <f t="shared" si="24"/>
        <v>45096.93708985221</v>
      </c>
      <c r="AX17" s="28">
        <f t="shared" ref="AX17:BB17" si="25">AX16/12</f>
        <v>45467.262587004072</v>
      </c>
      <c r="AY17" s="28">
        <f t="shared" si="25"/>
        <v>45841.291339127441</v>
      </c>
      <c r="AZ17" s="28">
        <f t="shared" si="25"/>
        <v>46219.060378772054</v>
      </c>
      <c r="BA17" s="28">
        <f t="shared" si="25"/>
        <v>46600.607108813107</v>
      </c>
      <c r="BB17" s="28">
        <f t="shared" si="25"/>
        <v>46985.969306154577</v>
      </c>
      <c r="BI17" s="2">
        <v>32093.325239514434</v>
      </c>
    </row>
    <row r="18" spans="4:61" x14ac:dyDescent="0.2">
      <c r="BI18" s="2">
        <v>32417.501238162906</v>
      </c>
    </row>
    <row r="19" spans="4:61" x14ac:dyDescent="0.2">
      <c r="BI19" s="2">
        <v>32744.918996797875</v>
      </c>
    </row>
    <row r="20" spans="4:61" x14ac:dyDescent="0.2">
      <c r="D20" s="26"/>
      <c r="BI20" s="2">
        <v>34398.378677904424</v>
      </c>
    </row>
    <row r="21" spans="4:61" x14ac:dyDescent="0.2">
      <c r="D21" s="2" t="s">
        <v>1</v>
      </c>
      <c r="E21" s="2">
        <v>2075</v>
      </c>
      <c r="F21" s="2">
        <v>2076</v>
      </c>
      <c r="G21" s="2">
        <v>2077</v>
      </c>
      <c r="H21" s="2">
        <v>2078</v>
      </c>
      <c r="I21" s="2">
        <v>2079</v>
      </c>
      <c r="J21" s="2">
        <v>2080</v>
      </c>
      <c r="K21" s="2">
        <v>2081</v>
      </c>
      <c r="L21" s="2">
        <v>2082</v>
      </c>
      <c r="M21" s="2">
        <v>2083</v>
      </c>
      <c r="N21" s="2">
        <v>2084</v>
      </c>
      <c r="O21" s="2">
        <v>2085</v>
      </c>
      <c r="P21" s="2">
        <v>2086</v>
      </c>
      <c r="Q21" s="2">
        <v>2087</v>
      </c>
      <c r="R21" s="2">
        <v>2088</v>
      </c>
      <c r="S21" s="2">
        <v>2089</v>
      </c>
      <c r="T21" s="2">
        <v>2090</v>
      </c>
      <c r="U21" s="2">
        <v>2091</v>
      </c>
      <c r="V21" s="2">
        <v>2092</v>
      </c>
      <c r="W21" s="2">
        <v>2093</v>
      </c>
      <c r="X21" s="2">
        <v>2094</v>
      </c>
      <c r="Y21" s="2">
        <v>2095</v>
      </c>
      <c r="Z21" s="2">
        <v>2096</v>
      </c>
      <c r="AA21" s="2">
        <v>2097</v>
      </c>
      <c r="AB21" s="2">
        <v>2098</v>
      </c>
      <c r="AC21" s="2">
        <v>2099</v>
      </c>
      <c r="BI21" s="2">
        <v>34745.60521093681</v>
      </c>
    </row>
    <row r="22" spans="4:61" x14ac:dyDescent="0.2">
      <c r="D22" s="2" t="s">
        <v>202</v>
      </c>
      <c r="E22" s="26">
        <f>'Pensions P1'!$B$18+'Pensions P1'!$B$22+'Pensions P1'!$B$31</f>
        <v>46874.613237039019</v>
      </c>
      <c r="F22" s="26">
        <f>'Pensions P1'!$B$18+'Pensions P1'!$B$22+'Pensions P1'!$B$31</f>
        <v>46874.613237039019</v>
      </c>
      <c r="G22" s="26">
        <f>'Pensions P1'!$B$18+'Pensions P1'!$B$22+'Pensions P1'!$B$31</f>
        <v>46874.613237039019</v>
      </c>
      <c r="H22" s="26">
        <f>'Pensions P1'!$B$18+'Pensions P1'!$B$22+'Pensions P1'!$B$31</f>
        <v>46874.613237039019</v>
      </c>
      <c r="I22" s="26">
        <f>'Pensions P1'!$B$18+'Pensions P1'!$B$22+'Pensions P1'!$B$31</f>
        <v>46874.613237039019</v>
      </c>
      <c r="J22" s="26">
        <f>'Pensions P1'!$B$18+'Pensions P1'!$B$22+'Pensions P1'!$B$31</f>
        <v>46874.613237039019</v>
      </c>
      <c r="K22" s="26">
        <f>'Pensions P1'!$B$18+'Pensions P1'!$B$22+'Pensions P1'!$B$31</f>
        <v>46874.613237039019</v>
      </c>
      <c r="L22" s="26">
        <f>'Pensions P1'!$B$18+'Pensions P1'!$B$22+'Pensions P1'!$B$31</f>
        <v>46874.613237039019</v>
      </c>
      <c r="M22" s="26">
        <f>'Pensions P1'!$B$18+'Pensions P1'!$B$22+'Pensions P1'!$B$31</f>
        <v>46874.613237039019</v>
      </c>
      <c r="N22" s="26">
        <f>'Pensions P1'!$B$18+'Pensions P1'!$B$22+'Pensions P1'!$B$31</f>
        <v>46874.613237039019</v>
      </c>
      <c r="O22" s="26">
        <f>'Pensions P1'!$B$18+'Pensions P1'!$B$22+'Pensions P1'!$B$31</f>
        <v>46874.613237039019</v>
      </c>
      <c r="P22" s="26">
        <f>'Pensions P1'!$B$18+'Pensions P1'!$B$22+'Pensions P1'!$B$31</f>
        <v>46874.613237039019</v>
      </c>
      <c r="Q22" s="26">
        <f>'Pensions P1'!$B$18+'Pensions P1'!$B$22+'Pensions P1'!$B$31</f>
        <v>46874.613237039019</v>
      </c>
      <c r="R22" s="26">
        <f>'Pensions P1'!$B$18+'Pensions P1'!$B$22+'Pensions P1'!$B$31</f>
        <v>46874.613237039019</v>
      </c>
      <c r="S22" s="26">
        <f>'Pensions P1'!$B$18+'Pensions P1'!$B$22+'Pensions P1'!$B$31</f>
        <v>46874.613237039019</v>
      </c>
      <c r="T22" s="26">
        <f>'Pensions P1'!$B$18+'Pensions P1'!$B$22+'Pensions P1'!$B$31</f>
        <v>46874.613237039019</v>
      </c>
      <c r="U22" s="26">
        <f>'Pensions P1'!$B$18+'Pensions P1'!$B$22+'Pensions P1'!$B$31</f>
        <v>46874.613237039019</v>
      </c>
      <c r="V22" s="26">
        <f>'Pensions P1'!$B$18+'Pensions P1'!$B$22+'Pensions P1'!$B$31</f>
        <v>46874.613237039019</v>
      </c>
      <c r="W22" s="26">
        <f>'Pensions P1'!$B$18+'Pensions P1'!$B$22+'Pensions P1'!$B$31</f>
        <v>46874.613237039019</v>
      </c>
      <c r="X22" s="26">
        <f>'Pensions P1'!$B$18+'Pensions P1'!$B$22+'Pensions P1'!$B$31</f>
        <v>46874.613237039019</v>
      </c>
      <c r="Y22" s="26">
        <f>'Pensions P1'!$B$18+'Pensions P1'!$B$22+'Pensions P1'!$B$31</f>
        <v>46874.613237039019</v>
      </c>
      <c r="Z22" s="26">
        <f>'Pensions P1'!$B$18+'Pensions P1'!$B$22+'Pensions P1'!$B$31</f>
        <v>46874.613237039019</v>
      </c>
      <c r="AA22" s="26">
        <f>'Pensions P1'!$B$18+'Pensions P1'!$B$22+'Pensions P1'!$B$31</f>
        <v>46874.613237039019</v>
      </c>
      <c r="AB22" s="26">
        <f>'Pensions P1'!$B$18+'Pensions P1'!$B$22+'Pensions P1'!$B$31</f>
        <v>46874.613237039019</v>
      </c>
      <c r="AC22" s="26">
        <f>'Pensions P1'!$B$18+'Pensions P1'!$B$22+'Pensions P1'!$B$31</f>
        <v>46874.613237039019</v>
      </c>
      <c r="BI22" s="2">
        <v>35050.156047091346</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35320.013733815584</v>
      </c>
    </row>
    <row r="24" spans="4:61" x14ac:dyDescent="0.2">
      <c r="D24" s="2" t="s">
        <v>203</v>
      </c>
      <c r="E24" s="26">
        <f>E22*12</f>
        <v>562495.35884446825</v>
      </c>
      <c r="F24" s="26">
        <f t="shared" ref="F24:AC24" si="26">F22*12</f>
        <v>562495.35884446825</v>
      </c>
      <c r="G24" s="26">
        <f t="shared" si="26"/>
        <v>562495.35884446825</v>
      </c>
      <c r="H24" s="26">
        <f t="shared" si="26"/>
        <v>562495.35884446825</v>
      </c>
      <c r="I24" s="26">
        <f t="shared" si="26"/>
        <v>562495.35884446825</v>
      </c>
      <c r="J24" s="26">
        <f t="shared" si="26"/>
        <v>562495.35884446825</v>
      </c>
      <c r="K24" s="26">
        <f t="shared" si="26"/>
        <v>562495.35884446825</v>
      </c>
      <c r="L24" s="26">
        <f t="shared" si="26"/>
        <v>562495.35884446825</v>
      </c>
      <c r="M24" s="26">
        <f t="shared" si="26"/>
        <v>562495.35884446825</v>
      </c>
      <c r="N24" s="26">
        <f t="shared" si="26"/>
        <v>562495.35884446825</v>
      </c>
      <c r="O24" s="26">
        <f t="shared" si="26"/>
        <v>562495.35884446825</v>
      </c>
      <c r="P24" s="26">
        <f t="shared" si="26"/>
        <v>562495.35884446825</v>
      </c>
      <c r="Q24" s="26">
        <f t="shared" si="26"/>
        <v>562495.35884446825</v>
      </c>
      <c r="R24" s="26">
        <f t="shared" si="26"/>
        <v>562495.35884446825</v>
      </c>
      <c r="S24" s="26">
        <f t="shared" si="26"/>
        <v>562495.35884446825</v>
      </c>
      <c r="T24" s="26">
        <f t="shared" si="26"/>
        <v>562495.35884446825</v>
      </c>
      <c r="U24" s="26">
        <f t="shared" si="26"/>
        <v>562495.35884446825</v>
      </c>
      <c r="V24" s="26">
        <f t="shared" si="26"/>
        <v>562495.35884446825</v>
      </c>
      <c r="W24" s="26">
        <f t="shared" si="26"/>
        <v>562495.35884446825</v>
      </c>
      <c r="X24" s="26">
        <f t="shared" si="26"/>
        <v>562495.35884446825</v>
      </c>
      <c r="Y24" s="26">
        <f t="shared" si="26"/>
        <v>562495.35884446825</v>
      </c>
      <c r="Z24" s="26">
        <f t="shared" si="26"/>
        <v>562495.35884446825</v>
      </c>
      <c r="AA24" s="26">
        <f t="shared" si="26"/>
        <v>562495.35884446825</v>
      </c>
      <c r="AB24" s="26">
        <f t="shared" si="26"/>
        <v>562495.35884446825</v>
      </c>
      <c r="AC24" s="26">
        <f t="shared" si="26"/>
        <v>562495.35884446825</v>
      </c>
      <c r="BI24" s="2">
        <v>36682.795051773042</v>
      </c>
    </row>
    <row r="25" spans="4:61" x14ac:dyDescent="0.2">
      <c r="D25" s="2" t="s">
        <v>189</v>
      </c>
      <c r="E25" s="26">
        <f>E24*$B$9</f>
        <v>140623.83971111706</v>
      </c>
      <c r="F25" s="26">
        <f t="shared" ref="F25:AC25" si="27">F24*$B$9</f>
        <v>140623.83971111706</v>
      </c>
      <c r="G25" s="26">
        <f t="shared" si="27"/>
        <v>140623.83971111706</v>
      </c>
      <c r="H25" s="26">
        <f t="shared" si="27"/>
        <v>140623.83971111706</v>
      </c>
      <c r="I25" s="26">
        <f t="shared" si="27"/>
        <v>140623.83971111706</v>
      </c>
      <c r="J25" s="26">
        <f t="shared" si="27"/>
        <v>140623.83971111706</v>
      </c>
      <c r="K25" s="26">
        <f t="shared" si="27"/>
        <v>140623.83971111706</v>
      </c>
      <c r="L25" s="26">
        <f t="shared" si="27"/>
        <v>140623.83971111706</v>
      </c>
      <c r="M25" s="26">
        <f t="shared" si="27"/>
        <v>140623.83971111706</v>
      </c>
      <c r="N25" s="26">
        <f t="shared" si="27"/>
        <v>140623.83971111706</v>
      </c>
      <c r="O25" s="26">
        <f t="shared" si="27"/>
        <v>140623.83971111706</v>
      </c>
      <c r="P25" s="26">
        <f t="shared" si="27"/>
        <v>140623.83971111706</v>
      </c>
      <c r="Q25" s="26">
        <f t="shared" si="27"/>
        <v>140623.83971111706</v>
      </c>
      <c r="R25" s="26">
        <f t="shared" si="27"/>
        <v>140623.83971111706</v>
      </c>
      <c r="S25" s="26">
        <f t="shared" si="27"/>
        <v>140623.83971111706</v>
      </c>
      <c r="T25" s="26">
        <f t="shared" si="27"/>
        <v>140623.83971111706</v>
      </c>
      <c r="U25" s="26">
        <f t="shared" si="27"/>
        <v>140623.83971111706</v>
      </c>
      <c r="V25" s="26">
        <f t="shared" si="27"/>
        <v>140623.83971111706</v>
      </c>
      <c r="W25" s="26">
        <f t="shared" si="27"/>
        <v>140623.83971111706</v>
      </c>
      <c r="X25" s="26">
        <f t="shared" si="27"/>
        <v>140623.83971111706</v>
      </c>
      <c r="Y25" s="26">
        <f t="shared" si="27"/>
        <v>140623.83971111706</v>
      </c>
      <c r="Z25" s="26">
        <f t="shared" si="27"/>
        <v>140623.83971111706</v>
      </c>
      <c r="AA25" s="26">
        <f t="shared" si="27"/>
        <v>140623.83971111706</v>
      </c>
      <c r="AB25" s="26">
        <f t="shared" si="27"/>
        <v>140623.83971111706</v>
      </c>
      <c r="AC25" s="26">
        <f t="shared" si="27"/>
        <v>140623.83971111706</v>
      </c>
      <c r="BI25" s="2">
        <v>36968.979128544102</v>
      </c>
    </row>
    <row r="26" spans="4:61" x14ac:dyDescent="0.2">
      <c r="D26" s="2" t="s">
        <v>190</v>
      </c>
      <c r="E26" s="26">
        <f>MAX(E24-$B$8,0)*$B$7</f>
        <v>0</v>
      </c>
      <c r="F26" s="26">
        <f t="shared" ref="F26:AC26" si="28">MAX(F24-$B$8,0)*$B$7</f>
        <v>0</v>
      </c>
      <c r="G26" s="26">
        <f t="shared" si="28"/>
        <v>0</v>
      </c>
      <c r="H26" s="26">
        <f t="shared" si="28"/>
        <v>0</v>
      </c>
      <c r="I26" s="26">
        <f t="shared" si="28"/>
        <v>0</v>
      </c>
      <c r="J26" s="26">
        <f t="shared" si="28"/>
        <v>0</v>
      </c>
      <c r="K26" s="26">
        <f t="shared" si="28"/>
        <v>0</v>
      </c>
      <c r="L26" s="26">
        <f t="shared" si="28"/>
        <v>0</v>
      </c>
      <c r="M26" s="26">
        <f t="shared" si="28"/>
        <v>0</v>
      </c>
      <c r="N26" s="26">
        <f t="shared" si="28"/>
        <v>0</v>
      </c>
      <c r="O26" s="26">
        <f t="shared" si="28"/>
        <v>0</v>
      </c>
      <c r="P26" s="26">
        <f t="shared" si="28"/>
        <v>0</v>
      </c>
      <c r="Q26" s="26">
        <f t="shared" si="28"/>
        <v>0</v>
      </c>
      <c r="R26" s="26">
        <f t="shared" si="28"/>
        <v>0</v>
      </c>
      <c r="S26" s="26">
        <f t="shared" si="28"/>
        <v>0</v>
      </c>
      <c r="T26" s="26">
        <f t="shared" si="28"/>
        <v>0</v>
      </c>
      <c r="U26" s="26">
        <f t="shared" si="28"/>
        <v>0</v>
      </c>
      <c r="V26" s="26">
        <f t="shared" si="28"/>
        <v>0</v>
      </c>
      <c r="W26" s="26">
        <f t="shared" si="28"/>
        <v>0</v>
      </c>
      <c r="X26" s="26">
        <f t="shared" si="28"/>
        <v>0</v>
      </c>
      <c r="Y26" s="26">
        <f t="shared" si="28"/>
        <v>0</v>
      </c>
      <c r="Z26" s="26">
        <f t="shared" si="28"/>
        <v>0</v>
      </c>
      <c r="AA26" s="26">
        <f t="shared" si="28"/>
        <v>0</v>
      </c>
      <c r="AB26" s="26">
        <f t="shared" si="28"/>
        <v>0</v>
      </c>
      <c r="AC26" s="26">
        <f t="shared" si="28"/>
        <v>0</v>
      </c>
      <c r="BI26" s="2">
        <v>37258.025046082876</v>
      </c>
    </row>
    <row r="27" spans="4:61" x14ac:dyDescent="0.2">
      <c r="D27" s="2" t="s">
        <v>191</v>
      </c>
      <c r="E27" s="26">
        <f>E24*$B$6</f>
        <v>67555.692597220637</v>
      </c>
      <c r="F27" s="26">
        <f t="shared" ref="F27:AC27" si="29">F24*$B$6</f>
        <v>67555.692597220637</v>
      </c>
      <c r="G27" s="26">
        <f t="shared" si="29"/>
        <v>67555.692597220637</v>
      </c>
      <c r="H27" s="26">
        <f t="shared" si="29"/>
        <v>67555.692597220637</v>
      </c>
      <c r="I27" s="26">
        <f t="shared" si="29"/>
        <v>67555.692597220637</v>
      </c>
      <c r="J27" s="26">
        <f t="shared" si="29"/>
        <v>67555.692597220637</v>
      </c>
      <c r="K27" s="26">
        <f t="shared" si="29"/>
        <v>67555.692597220637</v>
      </c>
      <c r="L27" s="26">
        <f t="shared" si="29"/>
        <v>67555.692597220637</v>
      </c>
      <c r="M27" s="26">
        <f t="shared" si="29"/>
        <v>67555.692597220637</v>
      </c>
      <c r="N27" s="26">
        <f t="shared" si="29"/>
        <v>67555.692597220637</v>
      </c>
      <c r="O27" s="26">
        <f t="shared" si="29"/>
        <v>67555.692597220637</v>
      </c>
      <c r="P27" s="26">
        <f t="shared" si="29"/>
        <v>67555.692597220637</v>
      </c>
      <c r="Q27" s="26">
        <f t="shared" si="29"/>
        <v>67555.692597220637</v>
      </c>
      <c r="R27" s="26">
        <f t="shared" si="29"/>
        <v>67555.692597220637</v>
      </c>
      <c r="S27" s="26">
        <f t="shared" si="29"/>
        <v>67555.692597220637</v>
      </c>
      <c r="T27" s="26">
        <f t="shared" si="29"/>
        <v>67555.692597220637</v>
      </c>
      <c r="U27" s="26">
        <f t="shared" si="29"/>
        <v>67555.692597220637</v>
      </c>
      <c r="V27" s="26">
        <f t="shared" si="29"/>
        <v>67555.692597220637</v>
      </c>
      <c r="W27" s="26">
        <f t="shared" si="29"/>
        <v>67555.692597220637</v>
      </c>
      <c r="X27" s="26">
        <f t="shared" si="29"/>
        <v>67555.692597220637</v>
      </c>
      <c r="Y27" s="26">
        <f t="shared" si="29"/>
        <v>67555.692597220637</v>
      </c>
      <c r="Z27" s="26">
        <f t="shared" si="29"/>
        <v>67555.692597220637</v>
      </c>
      <c r="AA27" s="26">
        <f t="shared" si="29"/>
        <v>67555.692597220637</v>
      </c>
      <c r="AB27" s="26">
        <f t="shared" si="29"/>
        <v>67555.692597220637</v>
      </c>
      <c r="AC27" s="26">
        <f t="shared" si="29"/>
        <v>67555.692597220637</v>
      </c>
      <c r="BI27" s="2">
        <v>37549.961422797038</v>
      </c>
    </row>
    <row r="28" spans="4:61" x14ac:dyDescent="0.2">
      <c r="D28" s="2" t="s">
        <v>192</v>
      </c>
      <c r="E28" s="26">
        <f>SUM(E25:E27)</f>
        <v>208179.53230833769</v>
      </c>
      <c r="F28" s="26">
        <f>SUM(F25:F27)</f>
        <v>208179.53230833769</v>
      </c>
      <c r="G28" s="26">
        <f t="shared" ref="G28:AC28" si="30">SUM(G25:G27)</f>
        <v>208179.53230833769</v>
      </c>
      <c r="H28" s="26">
        <f t="shared" si="30"/>
        <v>208179.53230833769</v>
      </c>
      <c r="I28" s="26">
        <f t="shared" si="30"/>
        <v>208179.53230833769</v>
      </c>
      <c r="J28" s="26">
        <f t="shared" si="30"/>
        <v>208179.53230833769</v>
      </c>
      <c r="K28" s="26">
        <f t="shared" si="30"/>
        <v>208179.53230833769</v>
      </c>
      <c r="L28" s="26">
        <f t="shared" si="30"/>
        <v>208179.53230833769</v>
      </c>
      <c r="M28" s="26">
        <f t="shared" si="30"/>
        <v>208179.53230833769</v>
      </c>
      <c r="N28" s="26">
        <f t="shared" si="30"/>
        <v>208179.53230833769</v>
      </c>
      <c r="O28" s="26">
        <f t="shared" si="30"/>
        <v>208179.53230833769</v>
      </c>
      <c r="P28" s="26">
        <f t="shared" si="30"/>
        <v>208179.53230833769</v>
      </c>
      <c r="Q28" s="26">
        <f t="shared" si="30"/>
        <v>208179.53230833769</v>
      </c>
      <c r="R28" s="26">
        <f t="shared" si="30"/>
        <v>208179.53230833769</v>
      </c>
      <c r="S28" s="26">
        <f t="shared" si="30"/>
        <v>208179.53230833769</v>
      </c>
      <c r="T28" s="26">
        <f t="shared" si="30"/>
        <v>208179.53230833769</v>
      </c>
      <c r="U28" s="26">
        <f t="shared" si="30"/>
        <v>208179.53230833769</v>
      </c>
      <c r="V28" s="26">
        <f t="shared" si="30"/>
        <v>208179.53230833769</v>
      </c>
      <c r="W28" s="26">
        <f t="shared" si="30"/>
        <v>208179.53230833769</v>
      </c>
      <c r="X28" s="26">
        <f t="shared" si="30"/>
        <v>208179.53230833769</v>
      </c>
      <c r="Y28" s="26">
        <f t="shared" si="30"/>
        <v>208179.53230833769</v>
      </c>
      <c r="Z28" s="26">
        <f t="shared" si="30"/>
        <v>208179.53230833769</v>
      </c>
      <c r="AA28" s="26">
        <f t="shared" si="30"/>
        <v>208179.53230833769</v>
      </c>
      <c r="AB28" s="26">
        <f t="shared" si="30"/>
        <v>208179.53230833769</v>
      </c>
      <c r="AC28" s="26">
        <f t="shared" si="30"/>
        <v>208179.53230833769</v>
      </c>
      <c r="BI28" s="2">
        <v>37844.817163278349</v>
      </c>
    </row>
    <row r="29" spans="4:61" x14ac:dyDescent="0.2">
      <c r="D29" s="2" t="s">
        <v>193</v>
      </c>
      <c r="E29" s="26">
        <f>E24-E28</f>
        <v>354315.82653613057</v>
      </c>
      <c r="F29" s="26">
        <f t="shared" ref="F29:AC29" si="31">F24-F28</f>
        <v>354315.82653613057</v>
      </c>
      <c r="G29" s="26">
        <f t="shared" si="31"/>
        <v>354315.82653613057</v>
      </c>
      <c r="H29" s="26">
        <f t="shared" si="31"/>
        <v>354315.82653613057</v>
      </c>
      <c r="I29" s="26">
        <f t="shared" si="31"/>
        <v>354315.82653613057</v>
      </c>
      <c r="J29" s="26">
        <f t="shared" si="31"/>
        <v>354315.82653613057</v>
      </c>
      <c r="K29" s="26">
        <f t="shared" si="31"/>
        <v>354315.82653613057</v>
      </c>
      <c r="L29" s="26">
        <f t="shared" si="31"/>
        <v>354315.82653613057</v>
      </c>
      <c r="M29" s="26">
        <f t="shared" si="31"/>
        <v>354315.82653613057</v>
      </c>
      <c r="N29" s="26">
        <f t="shared" si="31"/>
        <v>354315.82653613057</v>
      </c>
      <c r="O29" s="26">
        <f t="shared" si="31"/>
        <v>354315.82653613057</v>
      </c>
      <c r="P29" s="26">
        <f t="shared" si="31"/>
        <v>354315.82653613057</v>
      </c>
      <c r="Q29" s="26">
        <f t="shared" si="31"/>
        <v>354315.82653613057</v>
      </c>
      <c r="R29" s="26">
        <f t="shared" si="31"/>
        <v>354315.82653613057</v>
      </c>
      <c r="S29" s="26">
        <f t="shared" si="31"/>
        <v>354315.82653613057</v>
      </c>
      <c r="T29" s="26">
        <f t="shared" si="31"/>
        <v>354315.82653613057</v>
      </c>
      <c r="U29" s="26">
        <f t="shared" si="31"/>
        <v>354315.82653613057</v>
      </c>
      <c r="V29" s="26">
        <f t="shared" si="31"/>
        <v>354315.82653613057</v>
      </c>
      <c r="W29" s="26">
        <f t="shared" si="31"/>
        <v>354315.82653613057</v>
      </c>
      <c r="X29" s="26">
        <f t="shared" si="31"/>
        <v>354315.82653613057</v>
      </c>
      <c r="Y29" s="26">
        <f t="shared" si="31"/>
        <v>354315.82653613057</v>
      </c>
      <c r="Z29" s="26">
        <f t="shared" si="31"/>
        <v>354315.82653613057</v>
      </c>
      <c r="AA29" s="26">
        <f t="shared" si="31"/>
        <v>354315.82653613057</v>
      </c>
      <c r="AB29" s="26">
        <f t="shared" si="31"/>
        <v>354315.82653613057</v>
      </c>
      <c r="AC29" s="26">
        <f t="shared" si="31"/>
        <v>354315.82653613057</v>
      </c>
      <c r="BI29" s="2">
        <v>38142.621461164461</v>
      </c>
    </row>
    <row r="30" spans="4:61" x14ac:dyDescent="0.2">
      <c r="D30" s="2" t="s">
        <v>268</v>
      </c>
      <c r="E30" s="26">
        <f>'Pensions P1'!$B$13</f>
        <v>3169.3645686340355</v>
      </c>
      <c r="F30" s="26">
        <f>'Pensions P1'!$B$13</f>
        <v>3169.3645686340355</v>
      </c>
      <c r="G30" s="26">
        <f>'Pensions P1'!$B$13</f>
        <v>3169.3645686340355</v>
      </c>
      <c r="H30" s="26">
        <f>'Pensions P1'!$B$13</f>
        <v>3169.3645686340355</v>
      </c>
      <c r="I30" s="26">
        <f>'Pensions P1'!$B$13</f>
        <v>3169.3645686340355</v>
      </c>
      <c r="J30" s="26">
        <f>'Pensions P1'!$B$13</f>
        <v>3169.3645686340355</v>
      </c>
      <c r="K30" s="26">
        <f>'Pensions P1'!$B$13</f>
        <v>3169.3645686340355</v>
      </c>
      <c r="L30" s="26">
        <f>'Pensions P1'!$B$13</f>
        <v>3169.3645686340355</v>
      </c>
      <c r="M30" s="26">
        <f>'Pensions P1'!$B$13</f>
        <v>3169.3645686340355</v>
      </c>
      <c r="N30" s="26">
        <f>'Pensions P1'!$B$13</f>
        <v>3169.3645686340355</v>
      </c>
      <c r="O30" s="26">
        <f>'Pensions P1'!$B$13</f>
        <v>3169.3645686340355</v>
      </c>
      <c r="P30" s="26">
        <f>'Pensions P1'!$B$13</f>
        <v>3169.3645686340355</v>
      </c>
      <c r="Q30" s="26">
        <f>'Pensions P1'!$B$13</f>
        <v>3169.3645686340355</v>
      </c>
      <c r="R30" s="26">
        <f>'Pensions P1'!$B$13</f>
        <v>3169.3645686340355</v>
      </c>
      <c r="S30" s="26">
        <f>'Pensions P1'!$B$13</f>
        <v>3169.3645686340355</v>
      </c>
      <c r="T30" s="26">
        <f>'Pensions P1'!$B$13</f>
        <v>3169.3645686340355</v>
      </c>
      <c r="U30" s="26">
        <f>'Pensions P1'!$B$13</f>
        <v>3169.3645686340355</v>
      </c>
      <c r="V30" s="26">
        <f>'Pensions P1'!$B$13</f>
        <v>3169.3645686340355</v>
      </c>
      <c r="W30" s="26">
        <f>'Pensions P1'!$B$13</f>
        <v>3169.3645686340355</v>
      </c>
      <c r="X30" s="26">
        <f>'Pensions P1'!$B$13</f>
        <v>3169.3645686340355</v>
      </c>
      <c r="Y30" s="26">
        <f>'Pensions P1'!$B$13</f>
        <v>3169.3645686340355</v>
      </c>
      <c r="Z30" s="26">
        <f>'Pensions P1'!$B$13</f>
        <v>3169.3645686340355</v>
      </c>
      <c r="AA30" s="26">
        <f>'Pensions P1'!$B$13</f>
        <v>3169.3645686340355</v>
      </c>
      <c r="AB30" s="26">
        <f>'Pensions P1'!$B$13</f>
        <v>3169.3645686340355</v>
      </c>
      <c r="AC30" s="26">
        <f>'Pensions P1'!$B$13</f>
        <v>3169.3645686340355</v>
      </c>
      <c r="BI30" s="2">
        <v>38443.403802029439</v>
      </c>
    </row>
    <row r="31" spans="4:61" x14ac:dyDescent="0.2">
      <c r="D31" s="2" t="s">
        <v>196</v>
      </c>
      <c r="E31" s="26">
        <f>(E29/12)+E30</f>
        <v>32695.683446644915</v>
      </c>
      <c r="F31" s="26">
        <f t="shared" ref="F31:AC31" si="32">(F29/12)+F30</f>
        <v>32695.683446644915</v>
      </c>
      <c r="G31" s="26">
        <f t="shared" si="32"/>
        <v>32695.683446644915</v>
      </c>
      <c r="H31" s="26">
        <f t="shared" si="32"/>
        <v>32695.683446644915</v>
      </c>
      <c r="I31" s="26">
        <f t="shared" si="32"/>
        <v>32695.683446644915</v>
      </c>
      <c r="J31" s="26">
        <f t="shared" si="32"/>
        <v>32695.683446644915</v>
      </c>
      <c r="K31" s="26">
        <f t="shared" si="32"/>
        <v>32695.683446644915</v>
      </c>
      <c r="L31" s="26">
        <f t="shared" si="32"/>
        <v>32695.683446644915</v>
      </c>
      <c r="M31" s="26">
        <f t="shared" si="32"/>
        <v>32695.683446644915</v>
      </c>
      <c r="N31" s="26">
        <f t="shared" si="32"/>
        <v>32695.683446644915</v>
      </c>
      <c r="O31" s="26">
        <f t="shared" si="32"/>
        <v>32695.683446644915</v>
      </c>
      <c r="P31" s="26">
        <f t="shared" si="32"/>
        <v>32695.683446644915</v>
      </c>
      <c r="Q31" s="26">
        <f t="shared" si="32"/>
        <v>32695.683446644915</v>
      </c>
      <c r="R31" s="26">
        <f t="shared" si="32"/>
        <v>32695.683446644915</v>
      </c>
      <c r="S31" s="26">
        <f t="shared" si="32"/>
        <v>32695.683446644915</v>
      </c>
      <c r="T31" s="26">
        <f t="shared" si="32"/>
        <v>32695.683446644915</v>
      </c>
      <c r="U31" s="26">
        <f t="shared" si="32"/>
        <v>32695.683446644915</v>
      </c>
      <c r="V31" s="26">
        <f t="shared" si="32"/>
        <v>32695.683446644915</v>
      </c>
      <c r="W31" s="26">
        <f t="shared" si="32"/>
        <v>32695.683446644915</v>
      </c>
      <c r="X31" s="26">
        <f t="shared" si="32"/>
        <v>32695.683446644915</v>
      </c>
      <c r="Y31" s="26">
        <f t="shared" si="32"/>
        <v>32695.683446644915</v>
      </c>
      <c r="Z31" s="26">
        <f t="shared" si="32"/>
        <v>32695.683446644915</v>
      </c>
      <c r="AA31" s="26">
        <f t="shared" si="32"/>
        <v>32695.683446644915</v>
      </c>
      <c r="AB31" s="26">
        <f t="shared" si="32"/>
        <v>32695.683446644915</v>
      </c>
      <c r="AC31" s="26">
        <f t="shared" si="32"/>
        <v>32695.683446644915</v>
      </c>
      <c r="BI31" s="2">
        <v>38747.193966303072</v>
      </c>
    </row>
    <row r="32" spans="4:61" x14ac:dyDescent="0.2">
      <c r="D32" s="2" t="s">
        <v>274</v>
      </c>
      <c r="E32" s="26">
        <f>Income!$K$52</f>
        <v>37588.77544492366</v>
      </c>
      <c r="F32" s="26">
        <f>Income!$K$52</f>
        <v>37588.77544492366</v>
      </c>
      <c r="G32" s="26">
        <f>Income!$K$52</f>
        <v>37588.77544492366</v>
      </c>
      <c r="H32" s="26">
        <f>Income!$K$52</f>
        <v>37588.77544492366</v>
      </c>
      <c r="I32" s="26">
        <f>Income!$K$52</f>
        <v>37588.77544492366</v>
      </c>
      <c r="J32" s="26">
        <f>Income!$K$52</f>
        <v>37588.77544492366</v>
      </c>
      <c r="K32" s="26">
        <f>Income!$K$52</f>
        <v>37588.77544492366</v>
      </c>
      <c r="L32" s="26">
        <f>Income!$K$52</f>
        <v>37588.77544492366</v>
      </c>
      <c r="M32" s="26">
        <f>Income!$K$52</f>
        <v>37588.77544492366</v>
      </c>
      <c r="N32" s="26">
        <f>Income!$K$52</f>
        <v>37588.77544492366</v>
      </c>
      <c r="O32" s="26">
        <f>Income!$K$52</f>
        <v>37588.77544492366</v>
      </c>
      <c r="P32" s="26">
        <f>Income!$K$52</f>
        <v>37588.77544492366</v>
      </c>
      <c r="Q32" s="26">
        <f>Income!$K$52</f>
        <v>37588.77544492366</v>
      </c>
      <c r="R32" s="26">
        <f>Income!$K$52</f>
        <v>37588.77544492366</v>
      </c>
      <c r="S32" s="26">
        <f>Income!$K$52</f>
        <v>37588.77544492366</v>
      </c>
      <c r="T32" s="26">
        <f>Income!$K$52</f>
        <v>37588.77544492366</v>
      </c>
      <c r="U32" s="26">
        <f>Income!$K$52</f>
        <v>37588.77544492366</v>
      </c>
      <c r="V32" s="26">
        <f>Income!$K$52</f>
        <v>37588.77544492366</v>
      </c>
      <c r="W32" s="26">
        <f>Income!$K$52</f>
        <v>37588.77544492366</v>
      </c>
      <c r="X32" s="26">
        <f>Income!$K$52</f>
        <v>37588.77544492366</v>
      </c>
      <c r="Y32" s="26">
        <f>Income!$K$52</f>
        <v>37588.77544492366</v>
      </c>
      <c r="Z32" s="26">
        <f>Income!$K$52</f>
        <v>37588.77544492366</v>
      </c>
      <c r="AA32" s="26">
        <f>Income!$K$52</f>
        <v>37588.77544492366</v>
      </c>
      <c r="AB32" s="26">
        <f>Income!$K$52</f>
        <v>37588.77544492366</v>
      </c>
      <c r="AC32" s="26">
        <f>Income!$K$52</f>
        <v>37588.77544492366</v>
      </c>
      <c r="BI32" s="2">
        <v>39054.022032219429</v>
      </c>
    </row>
    <row r="33" spans="4:61" x14ac:dyDescent="0.2">
      <c r="D33" s="2" t="s">
        <v>204</v>
      </c>
      <c r="E33" s="26">
        <f>E32-E31</f>
        <v>4893.0919982787455</v>
      </c>
      <c r="F33" s="26">
        <f t="shared" ref="F33:AC33" si="33">F32-F31</f>
        <v>4893.0919982787455</v>
      </c>
      <c r="G33" s="26">
        <f t="shared" si="33"/>
        <v>4893.0919982787455</v>
      </c>
      <c r="H33" s="26">
        <f t="shared" si="33"/>
        <v>4893.0919982787455</v>
      </c>
      <c r="I33" s="26">
        <f t="shared" si="33"/>
        <v>4893.0919982787455</v>
      </c>
      <c r="J33" s="26">
        <f t="shared" si="33"/>
        <v>4893.0919982787455</v>
      </c>
      <c r="K33" s="26">
        <f t="shared" si="33"/>
        <v>4893.0919982787455</v>
      </c>
      <c r="L33" s="26">
        <f t="shared" si="33"/>
        <v>4893.0919982787455</v>
      </c>
      <c r="M33" s="26">
        <f t="shared" si="33"/>
        <v>4893.0919982787455</v>
      </c>
      <c r="N33" s="26">
        <f t="shared" si="33"/>
        <v>4893.0919982787455</v>
      </c>
      <c r="O33" s="26">
        <f t="shared" si="33"/>
        <v>4893.0919982787455</v>
      </c>
      <c r="P33" s="26">
        <f t="shared" si="33"/>
        <v>4893.0919982787455</v>
      </c>
      <c r="Q33" s="26">
        <f t="shared" si="33"/>
        <v>4893.0919982787455</v>
      </c>
      <c r="R33" s="26">
        <f t="shared" si="33"/>
        <v>4893.0919982787455</v>
      </c>
      <c r="S33" s="26">
        <f t="shared" si="33"/>
        <v>4893.0919982787455</v>
      </c>
      <c r="T33" s="26">
        <f t="shared" si="33"/>
        <v>4893.0919982787455</v>
      </c>
      <c r="U33" s="26">
        <f t="shared" si="33"/>
        <v>4893.0919982787455</v>
      </c>
      <c r="V33" s="26">
        <f t="shared" si="33"/>
        <v>4893.0919982787455</v>
      </c>
      <c r="W33" s="26">
        <f t="shared" si="33"/>
        <v>4893.0919982787455</v>
      </c>
      <c r="X33" s="26">
        <f t="shared" si="33"/>
        <v>4893.0919982787455</v>
      </c>
      <c r="Y33" s="26">
        <f t="shared" si="33"/>
        <v>4893.0919982787455</v>
      </c>
      <c r="Z33" s="26">
        <f t="shared" si="33"/>
        <v>4893.0919982787455</v>
      </c>
      <c r="AA33" s="26">
        <f t="shared" si="33"/>
        <v>4893.0919982787455</v>
      </c>
      <c r="AB33" s="26">
        <f t="shared" si="33"/>
        <v>4893.0919982787455</v>
      </c>
      <c r="AC33" s="26">
        <f t="shared" si="33"/>
        <v>4893.0919982787455</v>
      </c>
      <c r="BI33" s="2">
        <v>39363.918378794959</v>
      </c>
    </row>
    <row r="34" spans="4:61" x14ac:dyDescent="0.2">
      <c r="D34" s="2" t="s">
        <v>264</v>
      </c>
      <c r="E34" s="26">
        <f>E33*(1+$B$10)</f>
        <v>6214.226837814007</v>
      </c>
      <c r="F34" s="26">
        <f t="shared" ref="F34:AC34" si="34">F33*(1+$B$10)</f>
        <v>6214.226837814007</v>
      </c>
      <c r="G34" s="26">
        <f t="shared" si="34"/>
        <v>6214.226837814007</v>
      </c>
      <c r="H34" s="26">
        <f t="shared" si="34"/>
        <v>6214.226837814007</v>
      </c>
      <c r="I34" s="26">
        <f t="shared" si="34"/>
        <v>6214.226837814007</v>
      </c>
      <c r="J34" s="26">
        <f t="shared" si="34"/>
        <v>6214.226837814007</v>
      </c>
      <c r="K34" s="26">
        <f t="shared" si="34"/>
        <v>6214.226837814007</v>
      </c>
      <c r="L34" s="26">
        <f t="shared" si="34"/>
        <v>6214.226837814007</v>
      </c>
      <c r="M34" s="26">
        <f t="shared" si="34"/>
        <v>6214.226837814007</v>
      </c>
      <c r="N34" s="26">
        <f t="shared" si="34"/>
        <v>6214.226837814007</v>
      </c>
      <c r="O34" s="26">
        <f t="shared" si="34"/>
        <v>6214.226837814007</v>
      </c>
      <c r="P34" s="26">
        <f t="shared" si="34"/>
        <v>6214.226837814007</v>
      </c>
      <c r="Q34" s="26">
        <f t="shared" si="34"/>
        <v>6214.226837814007</v>
      </c>
      <c r="R34" s="26">
        <f t="shared" si="34"/>
        <v>6214.226837814007</v>
      </c>
      <c r="S34" s="26">
        <f t="shared" si="34"/>
        <v>6214.226837814007</v>
      </c>
      <c r="T34" s="26">
        <f t="shared" si="34"/>
        <v>6214.226837814007</v>
      </c>
      <c r="U34" s="26">
        <f t="shared" si="34"/>
        <v>6214.226837814007</v>
      </c>
      <c r="V34" s="26">
        <f t="shared" si="34"/>
        <v>6214.226837814007</v>
      </c>
      <c r="W34" s="26">
        <f t="shared" si="34"/>
        <v>6214.226837814007</v>
      </c>
      <c r="X34" s="26">
        <f t="shared" si="34"/>
        <v>6214.226837814007</v>
      </c>
      <c r="Y34" s="26">
        <f t="shared" si="34"/>
        <v>6214.226837814007</v>
      </c>
      <c r="Z34" s="26">
        <f t="shared" si="34"/>
        <v>6214.226837814007</v>
      </c>
      <c r="AA34" s="26">
        <f t="shared" si="34"/>
        <v>6214.226837814007</v>
      </c>
      <c r="AB34" s="26">
        <f t="shared" si="34"/>
        <v>6214.226837814007</v>
      </c>
      <c r="AC34" s="26">
        <f t="shared" si="34"/>
        <v>6214.226837814007</v>
      </c>
      <c r="BI34" s="2">
        <v>39676.913688836241</v>
      </c>
    </row>
    <row r="35" spans="4:61" x14ac:dyDescent="0.2">
      <c r="D35" s="2" t="s">
        <v>265</v>
      </c>
      <c r="E35" s="26">
        <f>E34*12</f>
        <v>74570.722053768084</v>
      </c>
      <c r="F35" s="26">
        <f t="shared" ref="F35:AC35" si="35">F34*12</f>
        <v>74570.722053768084</v>
      </c>
      <c r="G35" s="26">
        <f t="shared" si="35"/>
        <v>74570.722053768084</v>
      </c>
      <c r="H35" s="26">
        <f t="shared" si="35"/>
        <v>74570.722053768084</v>
      </c>
      <c r="I35" s="26">
        <f t="shared" si="35"/>
        <v>74570.722053768084</v>
      </c>
      <c r="J35" s="26">
        <f t="shared" si="35"/>
        <v>74570.722053768084</v>
      </c>
      <c r="K35" s="26">
        <f t="shared" si="35"/>
        <v>74570.722053768084</v>
      </c>
      <c r="L35" s="26">
        <f t="shared" si="35"/>
        <v>74570.722053768084</v>
      </c>
      <c r="M35" s="26">
        <f t="shared" si="35"/>
        <v>74570.722053768084</v>
      </c>
      <c r="N35" s="26">
        <f t="shared" si="35"/>
        <v>74570.722053768084</v>
      </c>
      <c r="O35" s="26">
        <f t="shared" si="35"/>
        <v>74570.722053768084</v>
      </c>
      <c r="P35" s="26">
        <f t="shared" si="35"/>
        <v>74570.722053768084</v>
      </c>
      <c r="Q35" s="26">
        <f t="shared" si="35"/>
        <v>74570.722053768084</v>
      </c>
      <c r="R35" s="26">
        <f t="shared" si="35"/>
        <v>74570.722053768084</v>
      </c>
      <c r="S35" s="26">
        <f t="shared" si="35"/>
        <v>74570.722053768084</v>
      </c>
      <c r="T35" s="26">
        <f t="shared" si="35"/>
        <v>74570.722053768084</v>
      </c>
      <c r="U35" s="26">
        <f t="shared" si="35"/>
        <v>74570.722053768084</v>
      </c>
      <c r="V35" s="26">
        <f t="shared" si="35"/>
        <v>74570.722053768084</v>
      </c>
      <c r="W35" s="26">
        <f t="shared" si="35"/>
        <v>74570.722053768084</v>
      </c>
      <c r="X35" s="26">
        <f t="shared" si="35"/>
        <v>74570.722053768084</v>
      </c>
      <c r="Y35" s="26">
        <f t="shared" si="35"/>
        <v>74570.722053768084</v>
      </c>
      <c r="Z35" s="26">
        <f t="shared" si="35"/>
        <v>74570.722053768084</v>
      </c>
      <c r="AA35" s="26">
        <f t="shared" si="35"/>
        <v>74570.722053768084</v>
      </c>
      <c r="AB35" s="26">
        <f t="shared" si="35"/>
        <v>74570.722053768084</v>
      </c>
      <c r="AC35" s="26">
        <f t="shared" si="35"/>
        <v>74570.722053768084</v>
      </c>
      <c r="BI35" s="2">
        <v>39993.038951977935</v>
      </c>
    </row>
    <row r="36" spans="4:61" x14ac:dyDescent="0.2">
      <c r="BI36" s="2">
        <v>40312.325467751049</v>
      </c>
    </row>
    <row r="37" spans="4:61" x14ac:dyDescent="0.2">
      <c r="D37" s="2" t="s">
        <v>205</v>
      </c>
      <c r="E37" s="27">
        <f>SUM(E35:AC35)</f>
        <v>1864268.0513442026</v>
      </c>
      <c r="BI37" s="2">
        <v>41924.722372405275</v>
      </c>
    </row>
    <row r="38" spans="4:61" x14ac:dyDescent="0.2">
      <c r="E38" s="26"/>
      <c r="BI38" s="2">
        <v>42263.325722382659</v>
      </c>
    </row>
    <row r="39" spans="4:61" x14ac:dyDescent="0.2">
      <c r="E39" s="57">
        <f>1500000</f>
        <v>1500000</v>
      </c>
      <c r="F39" s="57">
        <f>E39/25</f>
        <v>60000</v>
      </c>
      <c r="BI39" s="2">
        <v>42605.315105859809</v>
      </c>
    </row>
    <row r="40" spans="4:61" x14ac:dyDescent="0.2">
      <c r="BI40" s="2">
        <v>42950.724383171742</v>
      </c>
    </row>
    <row r="41" spans="4:61" x14ac:dyDescent="0.2">
      <c r="BI41" s="2">
        <v>43299.58775325679</v>
      </c>
    </row>
    <row r="42" spans="4:61" x14ac:dyDescent="0.2">
      <c r="BI42" s="2">
        <v>43651.939757042703</v>
      </c>
    </row>
    <row r="43" spans="4:61" x14ac:dyDescent="0.2">
      <c r="E43" s="28"/>
      <c r="BI43" s="2">
        <v>44007.81528086646</v>
      </c>
    </row>
    <row r="44" spans="4:61" x14ac:dyDescent="0.2">
      <c r="E44" s="28"/>
      <c r="BI44" s="2">
        <v>44367.249559928459</v>
      </c>
    </row>
    <row r="45" spans="4:61" x14ac:dyDescent="0.2">
      <c r="E45" s="26"/>
      <c r="BI45" s="2">
        <v>44730.278181781083</v>
      </c>
    </row>
    <row r="46" spans="4:61" x14ac:dyDescent="0.2">
      <c r="E46" s="26"/>
      <c r="BI46" s="2">
        <v>45096.93708985221</v>
      </c>
    </row>
    <row r="47" spans="4:61" x14ac:dyDescent="0.2">
      <c r="E47" s="26"/>
      <c r="BI47" s="2">
        <v>45467.262587004072</v>
      </c>
    </row>
    <row r="48" spans="4:61" x14ac:dyDescent="0.2">
      <c r="E48" s="26"/>
      <c r="BI48" s="2">
        <v>45841.291339127441</v>
      </c>
    </row>
    <row r="49" spans="5:61" x14ac:dyDescent="0.2">
      <c r="E49" s="26"/>
      <c r="BI49" s="2">
        <v>46219.060378772054</v>
      </c>
    </row>
    <row r="50" spans="5:61" x14ac:dyDescent="0.2">
      <c r="E50" s="26"/>
      <c r="BI50" s="2">
        <v>46600.607108813107</v>
      </c>
    </row>
    <row r="51" spans="5:61" x14ac:dyDescent="0.2">
      <c r="E51" s="26"/>
      <c r="BI51" s="2">
        <v>46985.969306154577</v>
      </c>
    </row>
    <row r="52" spans="5:61" x14ac:dyDescent="0.2">
      <c r="E52" s="26"/>
      <c r="BI52" s="2">
        <v>0</v>
      </c>
    </row>
    <row r="53" spans="5:61" x14ac:dyDescent="0.2">
      <c r="E53" s="26"/>
    </row>
    <row r="54" spans="5:61" x14ac:dyDescent="0.2">
      <c r="E54" s="26"/>
    </row>
    <row r="55" spans="5:61" x14ac:dyDescent="0.2">
      <c r="E55" s="26"/>
    </row>
    <row r="56" spans="5:61" x14ac:dyDescent="0.2">
      <c r="E56" s="26"/>
    </row>
    <row r="57" spans="5:61" x14ac:dyDescent="0.2">
      <c r="E57" s="26"/>
    </row>
    <row r="58" spans="5:61" x14ac:dyDescent="0.2">
      <c r="E5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J14" sqref="J14"/>
    </sheetView>
  </sheetViews>
  <sheetFormatPr baseColWidth="10" defaultColWidth="8.6640625" defaultRowHeight="15" x14ac:dyDescent="0.2"/>
  <cols>
    <col min="1" max="2" width="8.6640625" style="2"/>
    <col min="3" max="3" width="11.33203125" style="2" customWidth="1"/>
    <col min="4" max="4" width="15.1640625" style="2" customWidth="1"/>
    <col min="5" max="5" width="12.5" style="2" customWidth="1"/>
    <col min="6" max="7" width="20.6640625" style="2" bestFit="1" customWidth="1"/>
    <col min="8" max="13" width="8.6640625" style="2"/>
    <col min="14" max="14" width="11.33203125" style="2" customWidth="1"/>
    <col min="15" max="15" width="16.6640625" style="2" customWidth="1"/>
    <col min="16" max="16" width="16.83203125" style="2" customWidth="1"/>
    <col min="17" max="18" width="8.6640625" style="2"/>
    <col min="19" max="19" width="11.33203125" style="2" customWidth="1"/>
    <col min="20" max="16384" width="8.6640625" style="2"/>
  </cols>
  <sheetData>
    <row r="2" spans="2:20" x14ac:dyDescent="0.2">
      <c r="B2" s="4" t="s">
        <v>49</v>
      </c>
      <c r="C2" s="4" t="s">
        <v>50</v>
      </c>
      <c r="D2" s="4" t="s">
        <v>53</v>
      </c>
      <c r="E2" s="4" t="s">
        <v>61</v>
      </c>
      <c r="F2" s="4" t="s">
        <v>59</v>
      </c>
      <c r="G2" s="4" t="s">
        <v>60</v>
      </c>
      <c r="M2" s="4" t="s">
        <v>1</v>
      </c>
      <c r="N2" s="4" t="s">
        <v>50</v>
      </c>
      <c r="O2" s="4" t="s">
        <v>51</v>
      </c>
      <c r="P2" s="4" t="s">
        <v>52</v>
      </c>
      <c r="Q2" s="4" t="s">
        <v>53</v>
      </c>
      <c r="S2" s="4" t="s">
        <v>50</v>
      </c>
      <c r="T2" s="4" t="s">
        <v>54</v>
      </c>
    </row>
    <row r="3" spans="2:20" x14ac:dyDescent="0.2">
      <c r="B3" s="4">
        <v>25</v>
      </c>
      <c r="C3" s="4" t="str">
        <f>IF(B3&lt;30, "25-29 år", IF(B3&lt;35, "30-34 år", IF(B3&lt;40, "35-39 år", IF(B3&lt;45, "40-44 år", IF(B3&lt;50, "45-49 år", IF(B3&lt;55, "50-54 år", IF(B3&lt;60, "55-59 år", IF(B3&lt;65, "60-64 år", "65+ år"))))))))</f>
        <v>25-29 år</v>
      </c>
      <c r="D3" s="13">
        <f>_xlfn.XLOOKUP(C3,S:S,T:T)</f>
        <v>0.51651947969596046</v>
      </c>
      <c r="E3" s="4" t="str">
        <f ca="1">IF(OR(JobHopping[[#This Row],[Age]]=25,JobHopping[[#This Row],[Age]]&gt;69),"N",IF(AND(E1="N",E2="N", RAND()&lt;=D3), "Y", "N"))</f>
        <v>N</v>
      </c>
      <c r="F3" s="4" t="s">
        <v>0</v>
      </c>
      <c r="G3" s="4" t="s">
        <v>0</v>
      </c>
      <c r="M3" s="4">
        <v>2013</v>
      </c>
      <c r="N3" s="4" t="s">
        <v>13</v>
      </c>
      <c r="O3" s="4">
        <f>_xlfn.XLOOKUP(M3&amp;"-"&amp;N3,'Djøf Finance Workers'!D:D,'Djøf Finance Workers'!C:C,0,1)</f>
        <v>6202</v>
      </c>
      <c r="P3" s="4">
        <f>_xlfn.XLOOKUP(M3&amp;"-"&amp;N3,'Djøf Finance Hoppers'!D:D,'Djøf Finance Hoppers'!C:C,0,1)</f>
        <v>2524</v>
      </c>
      <c r="Q3" s="13">
        <f>IF(O3&gt;0, P3/O3, 0)</f>
        <v>0.40696549500161239</v>
      </c>
      <c r="S3" s="4" t="s">
        <v>13</v>
      </c>
      <c r="T3" s="4">
        <f>SUMIFS(Q:Q,N:N,S3)/(MAX($M$3:$M$101)-MIN($M$3:$M$101))</f>
        <v>0.51651947969596046</v>
      </c>
    </row>
    <row r="4" spans="2:20" x14ac:dyDescent="0.2">
      <c r="B4" s="4">
        <v>26</v>
      </c>
      <c r="C4" s="4" t="str">
        <f>IF(B4&lt;30, "25-29 år", IF(B4&lt;35, "30-34 år", IF(B4&lt;40, "35-39 år", IF(B4&lt;45, "40-44 år", IF(B4&lt;50, "45-49 år", IF(B4&lt;55, "50-54 år", IF(B4&lt;60, "55-59 år", IF(B4&lt;65, "60-64 år", "65+ år"))))))))</f>
        <v>25-29 år</v>
      </c>
      <c r="D4" s="13">
        <f t="shared" ref="D4:D34" si="0">_xlfn.XLOOKUP(C4,S:S,T:T)</f>
        <v>0.51651947969596046</v>
      </c>
      <c r="E4" s="4" t="str">
        <f ca="1">IF(OR(JobHopping[[#This Row],[Age]]=25,JobHopping[[#This Row],[Age]]&gt;69),"N",IF(AND(E2="N",E3="N", RAND()&lt;=D4), "Y", "N"))</f>
        <v>N</v>
      </c>
      <c r="F4" s="4" t="s">
        <v>0</v>
      </c>
      <c r="G4" s="4" t="s">
        <v>0</v>
      </c>
      <c r="M4" s="4">
        <v>2013</v>
      </c>
      <c r="N4" s="4" t="s">
        <v>14</v>
      </c>
      <c r="O4" s="4">
        <f>_xlfn.XLOOKUP(M4&amp;"-"&amp;N4,'Djøf Finance Workers'!D:D,'Djøf Finance Workers'!C:C,0,1)</f>
        <v>8560</v>
      </c>
      <c r="P4" s="4">
        <f>_xlfn.XLOOKUP(M4&amp;"-"&amp;N4,'Djøf Finance Hoppers'!D:D,'Djøf Finance Hoppers'!C:C,0,1)</f>
        <v>2176</v>
      </c>
      <c r="Q4" s="13">
        <f t="shared" ref="Q4:Q66" si="1">IF(O4&gt;0, P4/O4, 0)</f>
        <v>0.25420560747663551</v>
      </c>
      <c r="S4" s="4" t="s">
        <v>14</v>
      </c>
      <c r="T4" s="4">
        <f t="shared" ref="T4:T11" si="2">SUMIFS(Q:Q,N:N,S4)/(MAX($M$3:$M$101)-MIN($M$3:$M$101))</f>
        <v>0.33908020385851029</v>
      </c>
    </row>
    <row r="5" spans="2:20" x14ac:dyDescent="0.2">
      <c r="B5" s="4">
        <v>27</v>
      </c>
      <c r="C5" s="4" t="str">
        <f>IF(B5&lt;30, "25-29 år", IF(B5&lt;35, "30-34 år", IF(B5&lt;40, "35-39 år", IF(B5&lt;45, "40-44 år", IF(B5&lt;50, "45-49 år", IF(B5&lt;55, "50-54 år", IF(B5&lt;60, "55-59 år", IF(B5&lt;65, "60-64 år", "65+ år"))))))))</f>
        <v>25-29 år</v>
      </c>
      <c r="D5" s="13">
        <f t="shared" si="0"/>
        <v>0.51651947969596046</v>
      </c>
      <c r="E5" s="4" t="str">
        <f ca="1">IF(OR(JobHopping[[#This Row],[Age]]=25,JobHopping[[#This Row],[Age]]&gt;69),"N",IF(AND(E3="N",E4="N", RAND()&lt;=D5), "Y", "N"))</f>
        <v>Y</v>
      </c>
      <c r="F5" s="4" t="s">
        <v>58</v>
      </c>
      <c r="G5" s="4" t="s">
        <v>58</v>
      </c>
      <c r="M5" s="4">
        <v>2013</v>
      </c>
      <c r="N5" s="4" t="s">
        <v>15</v>
      </c>
      <c r="O5" s="4">
        <f>_xlfn.XLOOKUP(M5&amp;"-"&amp;N5,'Djøf Finance Workers'!D:D,'Djøf Finance Workers'!C:C,0,1)</f>
        <v>9790</v>
      </c>
      <c r="P5" s="4">
        <f>_xlfn.XLOOKUP(M5&amp;"-"&amp;N5,'Djøf Finance Hoppers'!D:D,'Djøf Finance Hoppers'!C:C,0,1)</f>
        <v>1896</v>
      </c>
      <c r="Q5" s="13">
        <f t="shared" si="1"/>
        <v>0.19366700715015323</v>
      </c>
      <c r="S5" s="4" t="s">
        <v>15</v>
      </c>
      <c r="T5" s="4">
        <f t="shared" si="2"/>
        <v>0.2624026948424838</v>
      </c>
    </row>
    <row r="6" spans="2:20" x14ac:dyDescent="0.2">
      <c r="B6" s="4">
        <v>28</v>
      </c>
      <c r="C6" s="4" t="str">
        <f t="shared" ref="C6:C48" si="3">IF(B6&lt;30, "25-29 år", IF(B6&lt;35, "30-34 år", IF(B6&lt;40, "35-39 år", IF(B6&lt;45, "40-44 år", IF(B6&lt;50, "45-49 år", IF(B6&lt;55, "50-54 år", IF(B6&lt;60, "55-59 år", IF(B6&lt;65, "60-64 år", "65+ år"))))))))</f>
        <v>25-29 år</v>
      </c>
      <c r="D6" s="13">
        <f t="shared" si="0"/>
        <v>0.51651947969596046</v>
      </c>
      <c r="E6" s="4" t="str">
        <f ca="1">IF(OR(JobHopping[[#This Row],[Age]]=25,JobHopping[[#This Row],[Age]]&gt;69),"N",IF(AND(E4="N",E5="N", RAND()&lt;=D6), "Y", "N"))</f>
        <v>N</v>
      </c>
      <c r="F6" s="4" t="s">
        <v>0</v>
      </c>
      <c r="G6" s="4" t="s">
        <v>0</v>
      </c>
      <c r="M6" s="4">
        <v>2013</v>
      </c>
      <c r="N6" s="4" t="s">
        <v>16</v>
      </c>
      <c r="O6" s="4">
        <f>_xlfn.XLOOKUP(M6&amp;"-"&amp;N6,'Djøf Finance Workers'!D:D,'Djøf Finance Workers'!C:C,0,1)</f>
        <v>9383</v>
      </c>
      <c r="P6" s="4">
        <f>_xlfn.XLOOKUP(M6&amp;"-"&amp;N6,'Djøf Finance Hoppers'!D:D,'Djøf Finance Hoppers'!C:C,0,1)</f>
        <v>1579</v>
      </c>
      <c r="Q6" s="13">
        <f t="shared" si="1"/>
        <v>0.16828306511776617</v>
      </c>
      <c r="S6" s="4" t="s">
        <v>16</v>
      </c>
      <c r="T6" s="4">
        <f t="shared" si="2"/>
        <v>0.2213187304833609</v>
      </c>
    </row>
    <row r="7" spans="2:20" x14ac:dyDescent="0.2">
      <c r="B7" s="4">
        <v>29</v>
      </c>
      <c r="C7" s="4" t="str">
        <f t="shared" si="3"/>
        <v>25-29 år</v>
      </c>
      <c r="D7" s="13">
        <f t="shared" si="0"/>
        <v>0.51651947969596046</v>
      </c>
      <c r="E7" s="4" t="str">
        <f ca="1">IF(OR(JobHopping[[#This Row],[Age]]=25,JobHopping[[#This Row],[Age]]&gt;69),"N",IF(AND(E5="N",E6="N", RAND()&lt;=D7), "Y", "N"))</f>
        <v>N</v>
      </c>
      <c r="F7" s="4" t="s">
        <v>0</v>
      </c>
      <c r="G7" s="4" t="s">
        <v>0</v>
      </c>
      <c r="M7" s="4">
        <v>2013</v>
      </c>
      <c r="N7" s="4" t="s">
        <v>17</v>
      </c>
      <c r="O7" s="4">
        <f>_xlfn.XLOOKUP(M7&amp;"-"&amp;N7,'Djøf Finance Workers'!D:D,'Djøf Finance Workers'!C:C,0,1)</f>
        <v>12762</v>
      </c>
      <c r="P7" s="4">
        <f>_xlfn.XLOOKUP(M7&amp;"-"&amp;N7,'Djøf Finance Hoppers'!D:D,'Djøf Finance Hoppers'!C:C,0,1)</f>
        <v>1915</v>
      </c>
      <c r="Q7" s="13">
        <f t="shared" si="1"/>
        <v>0.15005485033693777</v>
      </c>
      <c r="S7" s="4" t="s">
        <v>17</v>
      </c>
      <c r="T7" s="4">
        <f t="shared" si="2"/>
        <v>0.19929479981866399</v>
      </c>
    </row>
    <row r="8" spans="2:20" x14ac:dyDescent="0.2">
      <c r="B8" s="4">
        <v>30</v>
      </c>
      <c r="C8" s="4" t="str">
        <f t="shared" si="3"/>
        <v>30-34 år</v>
      </c>
      <c r="D8" s="13">
        <f t="shared" si="0"/>
        <v>0.33908020385851029</v>
      </c>
      <c r="E8" s="4" t="str">
        <f ca="1">IF(OR(JobHopping[[#This Row],[Age]]=25,JobHopping[[#This Row],[Age]]&gt;69),"N",IF(AND(E6="N",E7="N", RAND()&lt;=D8), "Y", "N"))</f>
        <v>N</v>
      </c>
      <c r="F8" s="4" t="s">
        <v>0</v>
      </c>
      <c r="G8" s="4" t="s">
        <v>0</v>
      </c>
      <c r="M8" s="4">
        <v>2013</v>
      </c>
      <c r="N8" s="4" t="s">
        <v>18</v>
      </c>
      <c r="O8" s="4">
        <f>_xlfn.XLOOKUP(M8&amp;"-"&amp;N8,'Djøf Finance Workers'!D:D,'Djøf Finance Workers'!C:C,0,1)</f>
        <v>10587</v>
      </c>
      <c r="P8" s="4">
        <f>_xlfn.XLOOKUP(M8&amp;"-"&amp;N8,'Djøf Finance Hoppers'!D:D,'Djøf Finance Hoppers'!C:C,0,1)</f>
        <v>1462</v>
      </c>
      <c r="Q8" s="13">
        <f t="shared" si="1"/>
        <v>0.13809388873146311</v>
      </c>
      <c r="S8" s="4" t="s">
        <v>18</v>
      </c>
      <c r="T8" s="4">
        <f t="shared" si="2"/>
        <v>0.17668929185764676</v>
      </c>
    </row>
    <row r="9" spans="2:20" x14ac:dyDescent="0.2">
      <c r="B9" s="4">
        <v>31</v>
      </c>
      <c r="C9" s="4" t="str">
        <f t="shared" si="3"/>
        <v>30-34 år</v>
      </c>
      <c r="D9" s="13">
        <f t="shared" si="0"/>
        <v>0.33908020385851029</v>
      </c>
      <c r="E9" s="4" t="str">
        <f ca="1">IF(OR(JobHopping[[#This Row],[Age]]=25,JobHopping[[#This Row],[Age]]&gt;69),"N",IF(AND(E7="N",E8="N", RAND()&lt;=D9), "Y", "N"))</f>
        <v>N</v>
      </c>
      <c r="F9" s="4" t="s">
        <v>58</v>
      </c>
      <c r="G9" s="4" t="s">
        <v>58</v>
      </c>
      <c r="M9" s="4">
        <v>2013</v>
      </c>
      <c r="N9" s="4" t="s">
        <v>19</v>
      </c>
      <c r="O9" s="4">
        <f>_xlfn.XLOOKUP(M9&amp;"-"&amp;N9,'Djøf Finance Workers'!D:D,'Djøf Finance Workers'!C:C,0,1)</f>
        <v>8811</v>
      </c>
      <c r="P9" s="4">
        <f>_xlfn.XLOOKUP(M9&amp;"-"&amp;N9,'Djøf Finance Hoppers'!D:D,'Djøf Finance Hoppers'!C:C,0,1)</f>
        <v>1227</v>
      </c>
      <c r="Q9" s="13">
        <f t="shared" si="1"/>
        <v>0.13925774599931903</v>
      </c>
      <c r="S9" s="4" t="s">
        <v>19</v>
      </c>
      <c r="T9" s="4">
        <f t="shared" si="2"/>
        <v>0.15515674597479437</v>
      </c>
    </row>
    <row r="10" spans="2:20" x14ac:dyDescent="0.2">
      <c r="B10" s="4">
        <v>32</v>
      </c>
      <c r="C10" s="4" t="str">
        <f t="shared" si="3"/>
        <v>30-34 år</v>
      </c>
      <c r="D10" s="13">
        <f t="shared" si="0"/>
        <v>0.33908020385851029</v>
      </c>
      <c r="E10" s="4" t="str">
        <f ca="1">IF(OR(JobHopping[[#This Row],[Age]]=25,JobHopping[[#This Row],[Age]]&gt;69),"N",IF(AND(E8="N",E9="N", RAND()&lt;=D10), "Y", "N"))</f>
        <v>Y</v>
      </c>
      <c r="F10" s="4" t="s">
        <v>0</v>
      </c>
      <c r="G10" s="4" t="s">
        <v>0</v>
      </c>
      <c r="M10" s="4">
        <v>2013</v>
      </c>
      <c r="N10" s="4" t="s">
        <v>20</v>
      </c>
      <c r="O10" s="4">
        <f>_xlfn.XLOOKUP(M10&amp;"-"&amp;N10,'Djøf Finance Workers'!D:D,'Djøf Finance Workers'!C:C,0,1)</f>
        <v>5072</v>
      </c>
      <c r="P10" s="4">
        <f>_xlfn.XLOOKUP(M10&amp;"-"&amp;N10,'Djøf Finance Hoppers'!D:D,'Djøf Finance Hoppers'!C:C,0,1)</f>
        <v>667</v>
      </c>
      <c r="Q10" s="13">
        <f t="shared" si="1"/>
        <v>0.13150630914826497</v>
      </c>
      <c r="S10" s="4" t="s">
        <v>20</v>
      </c>
      <c r="T10" s="4">
        <f t="shared" si="2"/>
        <v>0.13997311637990331</v>
      </c>
    </row>
    <row r="11" spans="2:20" x14ac:dyDescent="0.2">
      <c r="B11" s="4">
        <v>33</v>
      </c>
      <c r="C11" s="4" t="str">
        <f t="shared" si="3"/>
        <v>30-34 år</v>
      </c>
      <c r="D11" s="13">
        <f t="shared" si="0"/>
        <v>0.33908020385851029</v>
      </c>
      <c r="E11" s="4" t="str">
        <f ca="1">IF(OR(JobHopping[[#This Row],[Age]]=25,JobHopping[[#This Row],[Age]]&gt;69),"N",IF(AND(E9="N",E10="N", RAND()&lt;=D11), "Y", "N"))</f>
        <v>N</v>
      </c>
      <c r="F11" s="4" t="s">
        <v>0</v>
      </c>
      <c r="G11" s="4" t="s">
        <v>0</v>
      </c>
      <c r="M11" s="4">
        <v>2013</v>
      </c>
      <c r="N11" s="4" t="s">
        <v>21</v>
      </c>
      <c r="O11" s="4">
        <f>_xlfn.XLOOKUP(M11&amp;"-"&amp;N11,'Djøf Finance Workers'!D:D,'Djøf Finance Workers'!C:C,0,1)</f>
        <v>1539</v>
      </c>
      <c r="P11" s="4">
        <f>_xlfn.XLOOKUP(M11&amp;"-"&amp;N11,'Djøf Finance Hoppers'!D:D,'Djøf Finance Hoppers'!C:C,0,1)</f>
        <v>2521</v>
      </c>
      <c r="Q11" s="13">
        <f t="shared" si="1"/>
        <v>1.6380766731643925</v>
      </c>
      <c r="S11" s="4" t="s">
        <v>21</v>
      </c>
      <c r="T11" s="4">
        <f t="shared" si="2"/>
        <v>1.6692163718551367</v>
      </c>
    </row>
    <row r="12" spans="2:20" x14ac:dyDescent="0.2">
      <c r="B12" s="4">
        <v>34</v>
      </c>
      <c r="C12" s="4" t="str">
        <f t="shared" si="3"/>
        <v>30-34 år</v>
      </c>
      <c r="D12" s="13">
        <f t="shared" si="0"/>
        <v>0.33908020385851029</v>
      </c>
      <c r="E12" s="4" t="str">
        <f ca="1">IF(OR(JobHopping[[#This Row],[Age]]=25,JobHopping[[#This Row],[Age]]&gt;69),"N",IF(AND(E10="N",E11="N", RAND()&lt;=D12), "Y", "N"))</f>
        <v>N</v>
      </c>
      <c r="F12" s="4" t="s">
        <v>0</v>
      </c>
      <c r="G12" s="4" t="s">
        <v>0</v>
      </c>
      <c r="M12" s="4">
        <v>2014</v>
      </c>
      <c r="N12" s="4" t="s">
        <v>13</v>
      </c>
      <c r="O12" s="4">
        <f>_xlfn.XLOOKUP(M12&amp;"-"&amp;N12,'Djøf Finance Workers'!D:D,'Djøf Finance Workers'!C:C,0,1)</f>
        <v>6041</v>
      </c>
      <c r="P12" s="4">
        <f>_xlfn.XLOOKUP(M12&amp;"-"&amp;N12,'Djøf Finance Hoppers'!D:D,'Djøf Finance Hoppers'!C:C,0,1)</f>
        <v>2521</v>
      </c>
      <c r="Q12" s="13">
        <f t="shared" si="1"/>
        <v>0.41731501407051813</v>
      </c>
    </row>
    <row r="13" spans="2:20" x14ac:dyDescent="0.2">
      <c r="B13" s="4">
        <v>35</v>
      </c>
      <c r="C13" s="4" t="str">
        <f t="shared" si="3"/>
        <v>35-39 år</v>
      </c>
      <c r="D13" s="13">
        <f t="shared" si="0"/>
        <v>0.2624026948424838</v>
      </c>
      <c r="E13" s="4" t="str">
        <f ca="1">IF(OR(JobHopping[[#This Row],[Age]]=25,JobHopping[[#This Row],[Age]]&gt;69),"N",IF(AND(E11="N",E12="N", RAND()&lt;=D13), "Y", "N"))</f>
        <v>Y</v>
      </c>
      <c r="F13" s="4" t="s">
        <v>58</v>
      </c>
      <c r="G13" s="4" t="s">
        <v>58</v>
      </c>
      <c r="M13" s="4">
        <v>2014</v>
      </c>
      <c r="N13" s="4" t="s">
        <v>14</v>
      </c>
      <c r="O13" s="4">
        <f>_xlfn.XLOOKUP(M13&amp;"-"&amp;N13,'Djøf Finance Workers'!D:D,'Djøf Finance Workers'!C:C,0,1)</f>
        <v>8203</v>
      </c>
      <c r="P13" s="4">
        <f>_xlfn.XLOOKUP(M13&amp;"-"&amp;N13,'Djøf Finance Hoppers'!D:D,'Djøf Finance Hoppers'!C:C,0,1)</f>
        <v>2178</v>
      </c>
      <c r="Q13" s="13">
        <f t="shared" si="1"/>
        <v>0.26551261733512127</v>
      </c>
    </row>
    <row r="14" spans="2:20" x14ac:dyDescent="0.2">
      <c r="B14" s="4">
        <v>36</v>
      </c>
      <c r="C14" s="4" t="str">
        <f t="shared" si="3"/>
        <v>35-39 år</v>
      </c>
      <c r="D14" s="13">
        <f t="shared" si="0"/>
        <v>0.2624026948424838</v>
      </c>
      <c r="E14" s="4" t="str">
        <f ca="1">IF(OR(JobHopping[[#This Row],[Age]]=25,JobHopping[[#This Row],[Age]]&gt;69),"N",IF(AND(E12="N",E13="N", RAND()&lt;=D14), "Y", "N"))</f>
        <v>N</v>
      </c>
      <c r="F14" s="4" t="s">
        <v>0</v>
      </c>
      <c r="G14" s="4" t="s">
        <v>0</v>
      </c>
      <c r="M14" s="4">
        <v>2014</v>
      </c>
      <c r="N14" s="4" t="s">
        <v>15</v>
      </c>
      <c r="O14" s="4">
        <f>_xlfn.XLOOKUP(M14&amp;"-"&amp;N14,'Djøf Finance Workers'!D:D,'Djøf Finance Workers'!C:C,0,1)</f>
        <v>9972</v>
      </c>
      <c r="P14" s="4">
        <f>_xlfn.XLOOKUP(M14&amp;"-"&amp;N14,'Djøf Finance Hoppers'!D:D,'Djøf Finance Hoppers'!C:C,0,1)</f>
        <v>2066</v>
      </c>
      <c r="Q14" s="13">
        <f t="shared" si="1"/>
        <v>0.20718010429201764</v>
      </c>
    </row>
    <row r="15" spans="2:20" x14ac:dyDescent="0.2">
      <c r="B15" s="4">
        <v>37</v>
      </c>
      <c r="C15" s="4" t="str">
        <f t="shared" si="3"/>
        <v>35-39 år</v>
      </c>
      <c r="D15" s="13">
        <f t="shared" si="0"/>
        <v>0.2624026948424838</v>
      </c>
      <c r="E15" s="4" t="str">
        <f ca="1">IF(OR(JobHopping[[#This Row],[Age]]=25,JobHopping[[#This Row],[Age]]&gt;69),"N",IF(AND(E13="N",E14="N", RAND()&lt;=D15), "Y", "N"))</f>
        <v>N</v>
      </c>
      <c r="F15" s="4" t="s">
        <v>0</v>
      </c>
      <c r="G15" s="4" t="s">
        <v>0</v>
      </c>
      <c r="M15" s="4">
        <v>2014</v>
      </c>
      <c r="N15" s="4" t="s">
        <v>16</v>
      </c>
      <c r="O15" s="4">
        <f>_xlfn.XLOOKUP(M15&amp;"-"&amp;N15,'Djøf Finance Workers'!D:D,'Djøf Finance Workers'!C:C,0,1)</f>
        <v>9409</v>
      </c>
      <c r="P15" s="4">
        <f>_xlfn.XLOOKUP(M15&amp;"-"&amp;N15,'Djøf Finance Hoppers'!D:D,'Djøf Finance Hoppers'!C:C,0,1)</f>
        <v>1647</v>
      </c>
      <c r="Q15" s="13">
        <f t="shared" si="1"/>
        <v>0.17504516951854607</v>
      </c>
    </row>
    <row r="16" spans="2:20" x14ac:dyDescent="0.2">
      <c r="B16" s="4">
        <v>38</v>
      </c>
      <c r="C16" s="4" t="str">
        <f t="shared" si="3"/>
        <v>35-39 år</v>
      </c>
      <c r="D16" s="13">
        <f t="shared" si="0"/>
        <v>0.2624026948424838</v>
      </c>
      <c r="E16" s="4" t="str">
        <f ca="1">IF(OR(JobHopping[[#This Row],[Age]]=25,JobHopping[[#This Row],[Age]]&gt;69),"N",IF(AND(E14="N",E15="N", RAND()&lt;=D16), "Y", "N"))</f>
        <v>N</v>
      </c>
      <c r="F16" s="4" t="s">
        <v>58</v>
      </c>
      <c r="G16" s="4" t="s">
        <v>58</v>
      </c>
      <c r="M16" s="4">
        <v>2014</v>
      </c>
      <c r="N16" s="4" t="s">
        <v>17</v>
      </c>
      <c r="O16" s="4">
        <f>_xlfn.XLOOKUP(M16&amp;"-"&amp;N16,'Djøf Finance Workers'!D:D,'Djøf Finance Workers'!C:C,0,1)</f>
        <v>12377</v>
      </c>
      <c r="P16" s="4">
        <f>_xlfn.XLOOKUP(M16&amp;"-"&amp;N16,'Djøf Finance Hoppers'!D:D,'Djøf Finance Hoppers'!C:C,0,1)</f>
        <v>1953</v>
      </c>
      <c r="Q16" s="13">
        <f t="shared" si="1"/>
        <v>0.15779267997091379</v>
      </c>
    </row>
    <row r="17" spans="2:17" x14ac:dyDescent="0.2">
      <c r="B17" s="4">
        <v>39</v>
      </c>
      <c r="C17" s="4" t="str">
        <f t="shared" si="3"/>
        <v>35-39 år</v>
      </c>
      <c r="D17" s="13">
        <f t="shared" si="0"/>
        <v>0.2624026948424838</v>
      </c>
      <c r="E17" s="4" t="str">
        <f ca="1">IF(OR(JobHopping[[#This Row],[Age]]=25,JobHopping[[#This Row],[Age]]&gt;69),"N",IF(AND(E15="N",E16="N", RAND()&lt;=D17), "Y", "N"))</f>
        <v>N</v>
      </c>
      <c r="F17" s="4" t="s">
        <v>0</v>
      </c>
      <c r="G17" s="4" t="s">
        <v>0</v>
      </c>
      <c r="M17" s="4">
        <v>2014</v>
      </c>
      <c r="N17" s="4" t="s">
        <v>18</v>
      </c>
      <c r="O17" s="4">
        <f>_xlfn.XLOOKUP(M17&amp;"-"&amp;N17,'Djøf Finance Workers'!D:D,'Djøf Finance Workers'!C:C,0,1)</f>
        <v>10828</v>
      </c>
      <c r="P17" s="4">
        <f>_xlfn.XLOOKUP(M17&amp;"-"&amp;N17,'Djøf Finance Hoppers'!D:D,'Djøf Finance Hoppers'!C:C,0,1)</f>
        <v>1636</v>
      </c>
      <c r="Q17" s="13">
        <f t="shared" si="1"/>
        <v>0.15108976727004064</v>
      </c>
    </row>
    <row r="18" spans="2:17" x14ac:dyDescent="0.2">
      <c r="B18" s="4">
        <v>40</v>
      </c>
      <c r="C18" s="4" t="str">
        <f t="shared" si="3"/>
        <v>40-44 år</v>
      </c>
      <c r="D18" s="13">
        <f t="shared" si="0"/>
        <v>0.2213187304833609</v>
      </c>
      <c r="E18" s="4" t="str">
        <f ca="1">IF(OR(JobHopping[[#This Row],[Age]]=25,JobHopping[[#This Row],[Age]]&gt;69),"N",IF(AND(E16="N",E17="N", RAND()&lt;=D18), "Y", "N"))</f>
        <v>N</v>
      </c>
      <c r="F18" s="4" t="s">
        <v>0</v>
      </c>
      <c r="G18" s="4" t="s">
        <v>0</v>
      </c>
      <c r="M18" s="4">
        <v>2014</v>
      </c>
      <c r="N18" s="4" t="s">
        <v>19</v>
      </c>
      <c r="O18" s="4">
        <f>_xlfn.XLOOKUP(M18&amp;"-"&amp;N18,'Djøf Finance Workers'!D:D,'Djøf Finance Workers'!C:C,0,1)</f>
        <v>8888</v>
      </c>
      <c r="P18" s="4">
        <f>_xlfn.XLOOKUP(M18&amp;"-"&amp;N18,'Djøf Finance Hoppers'!D:D,'Djøf Finance Hoppers'!C:C,0,1)</f>
        <v>1231</v>
      </c>
      <c r="Q18" s="13">
        <f t="shared" si="1"/>
        <v>0.1385013501350135</v>
      </c>
    </row>
    <row r="19" spans="2:17" x14ac:dyDescent="0.2">
      <c r="B19" s="4">
        <v>41</v>
      </c>
      <c r="C19" s="4" t="str">
        <f t="shared" si="3"/>
        <v>40-44 år</v>
      </c>
      <c r="D19" s="13">
        <f t="shared" si="0"/>
        <v>0.2213187304833609</v>
      </c>
      <c r="E19" s="4" t="str">
        <f ca="1">IF(OR(JobHopping[[#This Row],[Age]]=25,JobHopping[[#This Row],[Age]]&gt;69),"N",IF(AND(E17="N",E18="N", RAND()&lt;=D19), "Y", "N"))</f>
        <v>N</v>
      </c>
      <c r="F19" s="4" t="s">
        <v>0</v>
      </c>
      <c r="G19" s="4" t="s">
        <v>0</v>
      </c>
      <c r="M19" s="4">
        <v>2014</v>
      </c>
      <c r="N19" s="4" t="s">
        <v>20</v>
      </c>
      <c r="O19" s="4">
        <f>_xlfn.XLOOKUP(M19&amp;"-"&amp;N19,'Djøf Finance Workers'!D:D,'Djøf Finance Workers'!C:C,0,1)</f>
        <v>5141</v>
      </c>
      <c r="P19" s="4">
        <f>_xlfn.XLOOKUP(M19&amp;"-"&amp;N19,'Djøf Finance Hoppers'!D:D,'Djøf Finance Hoppers'!C:C,0,1)</f>
        <v>706</v>
      </c>
      <c r="Q19" s="13">
        <f t="shared" si="1"/>
        <v>0.13732736821630034</v>
      </c>
    </row>
    <row r="20" spans="2:17" x14ac:dyDescent="0.2">
      <c r="B20" s="4">
        <v>42</v>
      </c>
      <c r="C20" s="4" t="str">
        <f t="shared" si="3"/>
        <v>40-44 år</v>
      </c>
      <c r="D20" s="13">
        <f t="shared" si="0"/>
        <v>0.2213187304833609</v>
      </c>
      <c r="E20" s="4" t="str">
        <f ca="1">IF(OR(JobHopping[[#This Row],[Age]]=25,JobHopping[[#This Row],[Age]]&gt;69),"N",IF(AND(E18="N",E19="N", RAND()&lt;=D20), "Y", "N"))</f>
        <v>N</v>
      </c>
      <c r="F20" s="4" t="s">
        <v>0</v>
      </c>
      <c r="G20" s="4" t="s">
        <v>0</v>
      </c>
      <c r="M20" s="4">
        <v>2014</v>
      </c>
      <c r="N20" s="4" t="s">
        <v>21</v>
      </c>
      <c r="O20" s="4">
        <f>_xlfn.XLOOKUP(M20&amp;"-"&amp;N20,'Djøf Finance Workers'!D:D,'Djøf Finance Workers'!C:C,0,1)</f>
        <v>1600</v>
      </c>
      <c r="P20" s="4">
        <f>_xlfn.XLOOKUP(M20&amp;"-"&amp;N20,'Djøf Finance Hoppers'!D:D,'Djøf Finance Hoppers'!C:C,0,1)</f>
        <v>2715</v>
      </c>
      <c r="Q20" s="13">
        <f t="shared" si="1"/>
        <v>1.6968749999999999</v>
      </c>
    </row>
    <row r="21" spans="2:17" x14ac:dyDescent="0.2">
      <c r="B21" s="4">
        <v>43</v>
      </c>
      <c r="C21" s="4" t="str">
        <f t="shared" si="3"/>
        <v>40-44 år</v>
      </c>
      <c r="D21" s="13">
        <f t="shared" si="0"/>
        <v>0.2213187304833609</v>
      </c>
      <c r="E21" s="4" t="str">
        <f ca="1">IF(OR(JobHopping[[#This Row],[Age]]=25,JobHopping[[#This Row],[Age]]&gt;69),"N",IF(AND(E19="N",E20="N", RAND()&lt;=D21), "Y", "N"))</f>
        <v>Y</v>
      </c>
      <c r="F21" s="4" t="s">
        <v>58</v>
      </c>
      <c r="G21" s="4" t="s">
        <v>58</v>
      </c>
      <c r="M21" s="4">
        <v>2015</v>
      </c>
      <c r="N21" s="4" t="s">
        <v>13</v>
      </c>
      <c r="O21" s="4">
        <f>_xlfn.XLOOKUP(M21&amp;"-"&amp;N21,'Djøf Finance Workers'!D:D,'Djøf Finance Workers'!C:C,0,1)</f>
        <v>5834</v>
      </c>
      <c r="P21" s="4">
        <f>_xlfn.XLOOKUP(M21&amp;"-"&amp;N21,'Djøf Finance Hoppers'!D:D,'Djøf Finance Hoppers'!C:C,0,1)</f>
        <v>2715</v>
      </c>
      <c r="Q21" s="13">
        <f t="shared" si="1"/>
        <v>0.46537538567020914</v>
      </c>
    </row>
    <row r="22" spans="2:17" x14ac:dyDescent="0.2">
      <c r="B22" s="4">
        <v>44</v>
      </c>
      <c r="C22" s="4" t="str">
        <f t="shared" si="3"/>
        <v>40-44 år</v>
      </c>
      <c r="D22" s="13">
        <f t="shared" si="0"/>
        <v>0.2213187304833609</v>
      </c>
      <c r="E22" s="4" t="str">
        <f ca="1">IF(OR(JobHopping[[#This Row],[Age]]=25,JobHopping[[#This Row],[Age]]&gt;69),"N",IF(AND(E20="N",E21="N", RAND()&lt;=D22), "Y", "N"))</f>
        <v>N</v>
      </c>
      <c r="F22" s="4" t="s">
        <v>0</v>
      </c>
      <c r="G22" s="4" t="s">
        <v>0</v>
      </c>
      <c r="M22" s="4">
        <v>2015</v>
      </c>
      <c r="N22" s="4" t="s">
        <v>14</v>
      </c>
      <c r="O22" s="4">
        <f>_xlfn.XLOOKUP(M22&amp;"-"&amp;N22,'Djøf Finance Workers'!D:D,'Djøf Finance Workers'!C:C,0,1)</f>
        <v>7834</v>
      </c>
      <c r="P22" s="4">
        <f>_xlfn.XLOOKUP(M22&amp;"-"&amp;N22,'Djøf Finance Hoppers'!D:D,'Djøf Finance Hoppers'!C:C,0,1)</f>
        <v>2473</v>
      </c>
      <c r="Q22" s="13">
        <f t="shared" si="1"/>
        <v>0.31567526167985704</v>
      </c>
    </row>
    <row r="23" spans="2:17" x14ac:dyDescent="0.2">
      <c r="B23" s="4">
        <v>45</v>
      </c>
      <c r="C23" s="4" t="str">
        <f t="shared" si="3"/>
        <v>45-49 år</v>
      </c>
      <c r="D23" s="13">
        <f t="shared" si="0"/>
        <v>0.19929479981866399</v>
      </c>
      <c r="E23" s="4" t="str">
        <f ca="1">IF(OR(JobHopping[[#This Row],[Age]]=25,JobHopping[[#This Row],[Age]]&gt;69),"N",IF(AND(E21="N",E22="N", RAND()&lt;=D23), "Y", "N"))</f>
        <v>N</v>
      </c>
      <c r="F23" s="4" t="s">
        <v>0</v>
      </c>
      <c r="G23" s="4" t="s">
        <v>0</v>
      </c>
      <c r="M23" s="4">
        <v>2015</v>
      </c>
      <c r="N23" s="4" t="s">
        <v>15</v>
      </c>
      <c r="O23" s="4">
        <f>_xlfn.XLOOKUP(M23&amp;"-"&amp;N23,'Djøf Finance Workers'!D:D,'Djøf Finance Workers'!C:C,0,1)</f>
        <v>9897</v>
      </c>
      <c r="P23" s="4">
        <f>_xlfn.XLOOKUP(M23&amp;"-"&amp;N23,'Djøf Finance Hoppers'!D:D,'Djøf Finance Hoppers'!C:C,0,1)</f>
        <v>2378</v>
      </c>
      <c r="Q23" s="13">
        <f t="shared" si="1"/>
        <v>0.24027483075679498</v>
      </c>
    </row>
    <row r="24" spans="2:17" x14ac:dyDescent="0.2">
      <c r="B24" s="4">
        <v>46</v>
      </c>
      <c r="C24" s="4" t="str">
        <f t="shared" si="3"/>
        <v>45-49 år</v>
      </c>
      <c r="D24" s="13">
        <f t="shared" si="0"/>
        <v>0.19929479981866399</v>
      </c>
      <c r="E24" s="4" t="str">
        <f ca="1">IF(OR(JobHopping[[#This Row],[Age]]=25,JobHopping[[#This Row],[Age]]&gt;69),"N",IF(AND(E22="N",E23="N", RAND()&lt;=D24), "Y", "N"))</f>
        <v>N</v>
      </c>
      <c r="F24" s="4" t="s">
        <v>0</v>
      </c>
      <c r="G24" s="4" t="s">
        <v>0</v>
      </c>
      <c r="M24" s="4">
        <v>2015</v>
      </c>
      <c r="N24" s="4" t="s">
        <v>16</v>
      </c>
      <c r="O24" s="4">
        <f>_xlfn.XLOOKUP(M24&amp;"-"&amp;N24,'Djøf Finance Workers'!D:D,'Djøf Finance Workers'!C:C,0,1)</f>
        <v>9571</v>
      </c>
      <c r="P24" s="4">
        <f>_xlfn.XLOOKUP(M24&amp;"-"&amp;N24,'Djøf Finance Hoppers'!D:D,'Djøf Finance Hoppers'!C:C,0,1)</f>
        <v>1902</v>
      </c>
      <c r="Q24" s="13">
        <f t="shared" si="1"/>
        <v>0.19872531605892801</v>
      </c>
    </row>
    <row r="25" spans="2:17" x14ac:dyDescent="0.2">
      <c r="B25" s="4">
        <v>47</v>
      </c>
      <c r="C25" s="4" t="str">
        <f t="shared" si="3"/>
        <v>45-49 år</v>
      </c>
      <c r="D25" s="13">
        <f t="shared" si="0"/>
        <v>0.19929479981866399</v>
      </c>
      <c r="E25" s="4" t="str">
        <f ca="1">IF(OR(JobHopping[[#This Row],[Age]]=25,JobHopping[[#This Row],[Age]]&gt;69),"N",IF(AND(E23="N",E24="N", RAND()&lt;=D25), "Y", "N"))</f>
        <v>N</v>
      </c>
      <c r="F25" s="4" t="s">
        <v>58</v>
      </c>
      <c r="G25" s="4" t="s">
        <v>58</v>
      </c>
      <c r="M25" s="4">
        <v>2015</v>
      </c>
      <c r="N25" s="4" t="s">
        <v>17</v>
      </c>
      <c r="O25" s="4">
        <f>_xlfn.XLOOKUP(M25&amp;"-"&amp;N25,'Djøf Finance Workers'!D:D,'Djøf Finance Workers'!C:C,0,1)</f>
        <v>11603</v>
      </c>
      <c r="P25" s="4">
        <f>_xlfn.XLOOKUP(M25&amp;"-"&amp;N25,'Djøf Finance Hoppers'!D:D,'Djøf Finance Hoppers'!C:C,0,1)</f>
        <v>2085</v>
      </c>
      <c r="Q25" s="13">
        <f t="shared" si="1"/>
        <v>0.17969490648970093</v>
      </c>
    </row>
    <row r="26" spans="2:17" x14ac:dyDescent="0.2">
      <c r="B26" s="4">
        <v>48</v>
      </c>
      <c r="C26" s="4" t="str">
        <f t="shared" si="3"/>
        <v>45-49 år</v>
      </c>
      <c r="D26" s="13">
        <f t="shared" si="0"/>
        <v>0.19929479981866399</v>
      </c>
      <c r="E26" s="4" t="str">
        <f ca="1">IF(OR(JobHopping[[#This Row],[Age]]=25,JobHopping[[#This Row],[Age]]&gt;69),"N",IF(AND(E24="N",E25="N", RAND()&lt;=D26), "Y", "N"))</f>
        <v>N</v>
      </c>
      <c r="F26" s="4" t="s">
        <v>0</v>
      </c>
      <c r="G26" s="4" t="s">
        <v>0</v>
      </c>
      <c r="M26" s="4">
        <v>2015</v>
      </c>
      <c r="N26" s="4" t="s">
        <v>18</v>
      </c>
      <c r="O26" s="4">
        <f>_xlfn.XLOOKUP(M26&amp;"-"&amp;N26,'Djøf Finance Workers'!D:D,'Djøf Finance Workers'!C:C,0,1)</f>
        <v>11160</v>
      </c>
      <c r="P26" s="4">
        <f>_xlfn.XLOOKUP(M26&amp;"-"&amp;N26,'Djøf Finance Hoppers'!D:D,'Djøf Finance Hoppers'!C:C,0,1)</f>
        <v>1717</v>
      </c>
      <c r="Q26" s="13">
        <f t="shared" si="1"/>
        <v>0.15385304659498208</v>
      </c>
    </row>
    <row r="27" spans="2:17" x14ac:dyDescent="0.2">
      <c r="B27" s="4">
        <v>49</v>
      </c>
      <c r="C27" s="4" t="str">
        <f t="shared" si="3"/>
        <v>45-49 år</v>
      </c>
      <c r="D27" s="13">
        <f t="shared" si="0"/>
        <v>0.19929479981866399</v>
      </c>
      <c r="E27" s="4" t="str">
        <f ca="1">IF(OR(JobHopping[[#This Row],[Age]]=25,JobHopping[[#This Row],[Age]]&gt;69),"N",IF(AND(E25="N",E26="N", RAND()&lt;=D27), "Y", "N"))</f>
        <v>N</v>
      </c>
      <c r="F27" s="4" t="s">
        <v>0</v>
      </c>
      <c r="G27" s="4" t="s">
        <v>0</v>
      </c>
      <c r="M27" s="4">
        <v>2015</v>
      </c>
      <c r="N27" s="4" t="s">
        <v>19</v>
      </c>
      <c r="O27" s="4">
        <f>_xlfn.XLOOKUP(M27&amp;"-"&amp;N27,'Djøf Finance Workers'!D:D,'Djøf Finance Workers'!C:C,0,1)</f>
        <v>8969</v>
      </c>
      <c r="P27" s="4">
        <f>_xlfn.XLOOKUP(M27&amp;"-"&amp;N27,'Djøf Finance Hoppers'!D:D,'Djøf Finance Hoppers'!C:C,0,1)</f>
        <v>1226</v>
      </c>
      <c r="Q27" s="13">
        <f t="shared" si="1"/>
        <v>0.13669305385215744</v>
      </c>
    </row>
    <row r="28" spans="2:17" x14ac:dyDescent="0.2">
      <c r="B28" s="4">
        <v>50</v>
      </c>
      <c r="C28" s="4" t="str">
        <f t="shared" si="3"/>
        <v>50-54 år</v>
      </c>
      <c r="D28" s="13">
        <f t="shared" si="0"/>
        <v>0.17668929185764676</v>
      </c>
      <c r="E28" s="4" t="str">
        <f ca="1">IF(OR(JobHopping[[#This Row],[Age]]=25,JobHopping[[#This Row],[Age]]&gt;69),"N",IF(AND(E26="N",E27="N", RAND()&lt;=D28), "Y", "N"))</f>
        <v>N</v>
      </c>
      <c r="F28" s="4" t="s">
        <v>0</v>
      </c>
      <c r="G28" s="4" t="s">
        <v>0</v>
      </c>
      <c r="M28" s="4">
        <v>2015</v>
      </c>
      <c r="N28" s="4" t="s">
        <v>20</v>
      </c>
      <c r="O28" s="4">
        <f>_xlfn.XLOOKUP(M28&amp;"-"&amp;N28,'Djøf Finance Workers'!D:D,'Djøf Finance Workers'!C:C,0,1)</f>
        <v>5167</v>
      </c>
      <c r="P28" s="4">
        <f>_xlfn.XLOOKUP(M28&amp;"-"&amp;N28,'Djøf Finance Hoppers'!D:D,'Djøf Finance Hoppers'!C:C,0,1)</f>
        <v>583</v>
      </c>
      <c r="Q28" s="13">
        <f t="shared" si="1"/>
        <v>0.11283143023030773</v>
      </c>
    </row>
    <row r="29" spans="2:17" x14ac:dyDescent="0.2">
      <c r="B29" s="4">
        <v>51</v>
      </c>
      <c r="C29" s="4" t="str">
        <f t="shared" si="3"/>
        <v>50-54 år</v>
      </c>
      <c r="D29" s="13">
        <f t="shared" si="0"/>
        <v>0.17668929185764676</v>
      </c>
      <c r="E29" s="4" t="str">
        <f ca="1">IF(OR(JobHopping[[#This Row],[Age]]=25,JobHopping[[#This Row],[Age]]&gt;69),"N",IF(AND(E27="N",E28="N", RAND()&lt;=D29), "Y", "N"))</f>
        <v>N</v>
      </c>
      <c r="F29" s="4" t="s">
        <v>0</v>
      </c>
      <c r="G29" s="4" t="s">
        <v>0</v>
      </c>
      <c r="M29" s="4">
        <v>2015</v>
      </c>
      <c r="N29" s="4" t="s">
        <v>21</v>
      </c>
      <c r="O29" s="4">
        <f>_xlfn.XLOOKUP(M29&amp;"-"&amp;N29,'Djøf Finance Workers'!D:D,'Djøf Finance Workers'!C:C,0,1)</f>
        <v>1642</v>
      </c>
      <c r="P29" s="4">
        <f>_xlfn.XLOOKUP(M29&amp;"-"&amp;N29,'Djøf Finance Hoppers'!D:D,'Djøf Finance Hoppers'!C:C,0,1)</f>
        <v>3005</v>
      </c>
      <c r="Q29" s="13">
        <f t="shared" si="1"/>
        <v>1.8300852618757613</v>
      </c>
    </row>
    <row r="30" spans="2:17" x14ac:dyDescent="0.2">
      <c r="B30" s="4">
        <v>52</v>
      </c>
      <c r="C30" s="4" t="str">
        <f t="shared" si="3"/>
        <v>50-54 år</v>
      </c>
      <c r="D30" s="13">
        <f t="shared" si="0"/>
        <v>0.17668929185764676</v>
      </c>
      <c r="E30" s="4" t="str">
        <f ca="1">IF(OR(JobHopping[[#This Row],[Age]]=25,JobHopping[[#This Row],[Age]]&gt;69),"N",IF(AND(E28="N",E29="N", RAND()&lt;=D30), "Y", "N"))</f>
        <v>N</v>
      </c>
      <c r="F30" s="4" t="s">
        <v>0</v>
      </c>
      <c r="G30" s="4" t="s">
        <v>0</v>
      </c>
      <c r="M30" s="4">
        <v>2016</v>
      </c>
      <c r="N30" s="4" t="s">
        <v>13</v>
      </c>
      <c r="O30" s="4">
        <f>_xlfn.XLOOKUP(M30&amp;"-"&amp;N30,'Djøf Finance Workers'!D:D,'Djøf Finance Workers'!C:C,0,1)</f>
        <v>5701</v>
      </c>
      <c r="P30" s="4">
        <f>_xlfn.XLOOKUP(M30&amp;"-"&amp;N30,'Djøf Finance Hoppers'!D:D,'Djøf Finance Hoppers'!C:C,0,1)</f>
        <v>3005</v>
      </c>
      <c r="Q30" s="13">
        <f t="shared" si="1"/>
        <v>0.52710050868268721</v>
      </c>
    </row>
    <row r="31" spans="2:17" x14ac:dyDescent="0.2">
      <c r="B31" s="4">
        <v>53</v>
      </c>
      <c r="C31" s="4" t="str">
        <f t="shared" si="3"/>
        <v>50-54 år</v>
      </c>
      <c r="D31" s="13">
        <f t="shared" si="0"/>
        <v>0.17668929185764676</v>
      </c>
      <c r="E31" s="4" t="str">
        <f ca="1">IF(OR(JobHopping[[#This Row],[Age]]=25,JobHopping[[#This Row],[Age]]&gt;69),"N",IF(AND(E29="N",E30="N", RAND()&lt;=D31), "Y", "N"))</f>
        <v>Y</v>
      </c>
      <c r="F31" s="4" t="s">
        <v>0</v>
      </c>
      <c r="G31" s="4" t="s">
        <v>0</v>
      </c>
      <c r="M31" s="4">
        <v>2016</v>
      </c>
      <c r="N31" s="4" t="s">
        <v>14</v>
      </c>
      <c r="O31" s="4">
        <f>_xlfn.XLOOKUP(M31&amp;"-"&amp;N31,'Djøf Finance Workers'!D:D,'Djøf Finance Workers'!C:C,0,1)</f>
        <v>7831</v>
      </c>
      <c r="P31" s="4">
        <f>_xlfn.XLOOKUP(M31&amp;"-"&amp;N31,'Djøf Finance Hoppers'!D:D,'Djøf Finance Hoppers'!C:C,0,1)</f>
        <v>2584</v>
      </c>
      <c r="Q31" s="13">
        <f t="shared" si="1"/>
        <v>0.32997062954922746</v>
      </c>
    </row>
    <row r="32" spans="2:17" x14ac:dyDescent="0.2">
      <c r="B32" s="4">
        <v>54</v>
      </c>
      <c r="C32" s="4" t="str">
        <f t="shared" si="3"/>
        <v>50-54 år</v>
      </c>
      <c r="D32" s="13">
        <f t="shared" si="0"/>
        <v>0.17668929185764676</v>
      </c>
      <c r="E32" s="4" t="str">
        <f ca="1">IF(OR(JobHopping[[#This Row],[Age]]=25,JobHopping[[#This Row],[Age]]&gt;69),"N",IF(AND(E30="N",E31="N", RAND()&lt;=D32), "Y", "N"))</f>
        <v>N</v>
      </c>
      <c r="F32" s="4" t="s">
        <v>0</v>
      </c>
      <c r="G32" s="4" t="s">
        <v>0</v>
      </c>
      <c r="M32" s="4">
        <v>2016</v>
      </c>
      <c r="N32" s="4" t="s">
        <v>15</v>
      </c>
      <c r="O32" s="4">
        <f>_xlfn.XLOOKUP(M32&amp;"-"&amp;N32,'Djøf Finance Workers'!D:D,'Djøf Finance Workers'!C:C,0,1)</f>
        <v>9564</v>
      </c>
      <c r="P32" s="4">
        <f>_xlfn.XLOOKUP(M32&amp;"-"&amp;N32,'Djøf Finance Hoppers'!D:D,'Djøf Finance Hoppers'!C:C,0,1)</f>
        <v>2311</v>
      </c>
      <c r="Q32" s="13">
        <f t="shared" si="1"/>
        <v>0.24163529903805939</v>
      </c>
    </row>
    <row r="33" spans="2:17" x14ac:dyDescent="0.2">
      <c r="B33" s="4">
        <v>55</v>
      </c>
      <c r="C33" s="4" t="str">
        <f t="shared" si="3"/>
        <v>55-59 år</v>
      </c>
      <c r="D33" s="13">
        <f t="shared" si="0"/>
        <v>0.15515674597479437</v>
      </c>
      <c r="E33" s="4" t="str">
        <f ca="1">IF(OR(JobHopping[[#This Row],[Age]]=25,JobHopping[[#This Row],[Age]]&gt;69),"N",IF(AND(E31="N",E32="N", RAND()&lt;=D33), "Y", "N"))</f>
        <v>N</v>
      </c>
      <c r="F33" s="4" t="s">
        <v>0</v>
      </c>
      <c r="G33" s="4" t="s">
        <v>0</v>
      </c>
      <c r="M33" s="4">
        <v>2016</v>
      </c>
      <c r="N33" s="4" t="s">
        <v>16</v>
      </c>
      <c r="O33" s="4">
        <f>_xlfn.XLOOKUP(M33&amp;"-"&amp;N33,'Djøf Finance Workers'!D:D,'Djøf Finance Workers'!C:C,0,1)</f>
        <v>9711</v>
      </c>
      <c r="P33" s="4">
        <f>_xlfn.XLOOKUP(M33&amp;"-"&amp;N33,'Djøf Finance Hoppers'!D:D,'Djøf Finance Hoppers'!C:C,0,1)</f>
        <v>2111</v>
      </c>
      <c r="Q33" s="13">
        <f t="shared" si="1"/>
        <v>0.21738234991247041</v>
      </c>
    </row>
    <row r="34" spans="2:17" x14ac:dyDescent="0.2">
      <c r="B34" s="4">
        <v>56</v>
      </c>
      <c r="C34" s="4" t="str">
        <f t="shared" si="3"/>
        <v>55-59 år</v>
      </c>
      <c r="D34" s="13">
        <f t="shared" si="0"/>
        <v>0.15515674597479437</v>
      </c>
      <c r="E34" s="4" t="str">
        <f ca="1">IF(OR(JobHopping[[#This Row],[Age]]=25,JobHopping[[#This Row],[Age]]&gt;69),"N",IF(AND(E32="N",E33="N", RAND()&lt;=D34), "Y", "N"))</f>
        <v>N</v>
      </c>
      <c r="F34" s="4" t="s">
        <v>0</v>
      </c>
      <c r="G34" s="4" t="s">
        <v>0</v>
      </c>
      <c r="M34" s="4">
        <v>2016</v>
      </c>
      <c r="N34" s="4" t="s">
        <v>17</v>
      </c>
      <c r="O34" s="4">
        <f>_xlfn.XLOOKUP(M34&amp;"-"&amp;N34,'Djøf Finance Workers'!D:D,'Djøf Finance Workers'!C:C,0,1)</f>
        <v>10533</v>
      </c>
      <c r="P34" s="4">
        <f>_xlfn.XLOOKUP(M34&amp;"-"&amp;N34,'Djøf Finance Hoppers'!D:D,'Djøf Finance Hoppers'!C:C,0,1)</f>
        <v>2000</v>
      </c>
      <c r="Q34" s="13">
        <f t="shared" si="1"/>
        <v>0.18987942656413179</v>
      </c>
    </row>
    <row r="35" spans="2:17" x14ac:dyDescent="0.2">
      <c r="B35" s="4">
        <v>57</v>
      </c>
      <c r="C35" s="4" t="str">
        <f t="shared" si="3"/>
        <v>55-59 år</v>
      </c>
      <c r="D35" s="13">
        <f t="shared" ref="D35:D66" si="4">_xlfn.XLOOKUP(C35,S:S,T:T)</f>
        <v>0.15515674597479437</v>
      </c>
      <c r="E35" s="4" t="str">
        <f ca="1">IF(OR(JobHopping[[#This Row],[Age]]=25,JobHopping[[#This Row],[Age]]&gt;69),"N",IF(AND(E33="N",E34="N", RAND()&lt;=D35), "Y", "N"))</f>
        <v>N</v>
      </c>
      <c r="F35" s="4" t="s">
        <v>0</v>
      </c>
      <c r="G35" s="4" t="s">
        <v>0</v>
      </c>
      <c r="M35" s="4">
        <v>2016</v>
      </c>
      <c r="N35" s="4" t="s">
        <v>18</v>
      </c>
      <c r="O35" s="4">
        <f>_xlfn.XLOOKUP(M35&amp;"-"&amp;N35,'Djøf Finance Workers'!D:D,'Djøf Finance Workers'!C:C,0,1)</f>
        <v>11490</v>
      </c>
      <c r="P35" s="4">
        <f>_xlfn.XLOOKUP(M35&amp;"-"&amp;N35,'Djøf Finance Hoppers'!D:D,'Djøf Finance Hoppers'!C:C,0,1)</f>
        <v>1808</v>
      </c>
      <c r="Q35" s="13">
        <f t="shared" si="1"/>
        <v>0.15735422106179286</v>
      </c>
    </row>
    <row r="36" spans="2:17" x14ac:dyDescent="0.2">
      <c r="B36" s="4">
        <v>58</v>
      </c>
      <c r="C36" s="4" t="str">
        <f t="shared" si="3"/>
        <v>55-59 år</v>
      </c>
      <c r="D36" s="13">
        <f t="shared" si="4"/>
        <v>0.15515674597479437</v>
      </c>
      <c r="E36" s="4" t="str">
        <f ca="1">IF(OR(JobHopping[[#This Row],[Age]]=25,JobHopping[[#This Row],[Age]]&gt;69),"N",IF(AND(E34="N",E35="N", RAND()&lt;=D36), "Y", "N"))</f>
        <v>Y</v>
      </c>
      <c r="F36" s="4" t="s">
        <v>0</v>
      </c>
      <c r="G36" s="4" t="s">
        <v>0</v>
      </c>
      <c r="M36" s="4">
        <v>2016</v>
      </c>
      <c r="N36" s="4" t="s">
        <v>19</v>
      </c>
      <c r="O36" s="4">
        <f>_xlfn.XLOOKUP(M36&amp;"-"&amp;N36,'Djøf Finance Workers'!D:D,'Djøf Finance Workers'!C:C,0,1)</f>
        <v>9121</v>
      </c>
      <c r="P36" s="4">
        <f>_xlfn.XLOOKUP(M36&amp;"-"&amp;N36,'Djøf Finance Hoppers'!D:D,'Djøf Finance Hoppers'!C:C,0,1)</f>
        <v>1301</v>
      </c>
      <c r="Q36" s="13">
        <f t="shared" si="1"/>
        <v>0.14263786865475278</v>
      </c>
    </row>
    <row r="37" spans="2:17" x14ac:dyDescent="0.2">
      <c r="B37" s="4">
        <v>59</v>
      </c>
      <c r="C37" s="4" t="str">
        <f t="shared" si="3"/>
        <v>55-59 år</v>
      </c>
      <c r="D37" s="13">
        <f t="shared" si="4"/>
        <v>0.15515674597479437</v>
      </c>
      <c r="E37" s="4" t="str">
        <f ca="1">IF(OR(JobHopping[[#This Row],[Age]]=25,JobHopping[[#This Row],[Age]]&gt;69),"N",IF(AND(E35="N",E36="N", RAND()&lt;=D37), "Y", "N"))</f>
        <v>N</v>
      </c>
      <c r="F37" s="4" t="s">
        <v>0</v>
      </c>
      <c r="G37" s="4" t="s">
        <v>0</v>
      </c>
      <c r="M37" s="4">
        <v>2016</v>
      </c>
      <c r="N37" s="4" t="s">
        <v>20</v>
      </c>
      <c r="O37" s="4">
        <f>_xlfn.XLOOKUP(M37&amp;"-"&amp;N37,'Djøf Finance Workers'!D:D,'Djøf Finance Workers'!C:C,0,1)</f>
        <v>5304</v>
      </c>
      <c r="P37" s="4">
        <f>_xlfn.XLOOKUP(M37&amp;"-"&amp;N37,'Djøf Finance Hoppers'!D:D,'Djøf Finance Hoppers'!C:C,0,1)</f>
        <v>708</v>
      </c>
      <c r="Q37" s="13">
        <f t="shared" si="1"/>
        <v>0.1334841628959276</v>
      </c>
    </row>
    <row r="38" spans="2:17" x14ac:dyDescent="0.2">
      <c r="B38" s="4">
        <v>60</v>
      </c>
      <c r="C38" s="4" t="str">
        <f t="shared" si="3"/>
        <v>60-64 år</v>
      </c>
      <c r="D38" s="13">
        <f t="shared" si="4"/>
        <v>0.13997311637990331</v>
      </c>
      <c r="E38" s="4" t="str">
        <f ca="1">IF(OR(JobHopping[[#This Row],[Age]]=25,JobHopping[[#This Row],[Age]]&gt;69),"N",IF(AND(E36="N",E37="N", RAND()&lt;=D38), "Y", "N"))</f>
        <v>N</v>
      </c>
      <c r="F38" s="4" t="s">
        <v>58</v>
      </c>
      <c r="G38" s="4" t="s">
        <v>58</v>
      </c>
      <c r="M38" s="4">
        <v>2016</v>
      </c>
      <c r="N38" s="4" t="s">
        <v>21</v>
      </c>
      <c r="O38" s="4">
        <f>_xlfn.XLOOKUP(M38&amp;"-"&amp;N38,'Djøf Finance Workers'!D:D,'Djøf Finance Workers'!C:C,0,1)</f>
        <v>1680</v>
      </c>
      <c r="P38" s="4">
        <f>_xlfn.XLOOKUP(M38&amp;"-"&amp;N38,'Djøf Finance Hoppers'!D:D,'Djøf Finance Hoppers'!C:C,0,1)</f>
        <v>3106</v>
      </c>
      <c r="Q38" s="13">
        <f t="shared" si="1"/>
        <v>1.8488095238095239</v>
      </c>
    </row>
    <row r="39" spans="2:17" x14ac:dyDescent="0.2">
      <c r="B39" s="4">
        <v>61</v>
      </c>
      <c r="C39" s="4" t="str">
        <f t="shared" si="3"/>
        <v>60-64 år</v>
      </c>
      <c r="D39" s="13">
        <f t="shared" si="4"/>
        <v>0.13997311637990331</v>
      </c>
      <c r="E39" s="4" t="str">
        <f ca="1">IF(OR(JobHopping[[#This Row],[Age]]=25,JobHopping[[#This Row],[Age]]&gt;69),"N",IF(AND(E37="N",E38="N", RAND()&lt;=D39), "Y", "N"))</f>
        <v>N</v>
      </c>
      <c r="F39" s="4" t="s">
        <v>0</v>
      </c>
      <c r="G39" s="4" t="s">
        <v>0</v>
      </c>
      <c r="M39" s="4">
        <v>2017</v>
      </c>
      <c r="N39" s="4" t="s">
        <v>13</v>
      </c>
      <c r="O39" s="4">
        <f>_xlfn.XLOOKUP(M39&amp;"-"&amp;N39,'Djøf Finance Workers'!D:D,'Djøf Finance Workers'!C:C,0,1)</f>
        <v>5951</v>
      </c>
      <c r="P39" s="4">
        <f>_xlfn.XLOOKUP(M39&amp;"-"&amp;N39,'Djøf Finance Hoppers'!D:D,'Djøf Finance Hoppers'!C:C,0,1)</f>
        <v>3106</v>
      </c>
      <c r="Q39" s="13">
        <f t="shared" si="1"/>
        <v>0.52192908754831124</v>
      </c>
    </row>
    <row r="40" spans="2:17" x14ac:dyDescent="0.2">
      <c r="B40" s="4">
        <v>62</v>
      </c>
      <c r="C40" s="4" t="str">
        <f t="shared" si="3"/>
        <v>60-64 år</v>
      </c>
      <c r="D40" s="13">
        <f t="shared" si="4"/>
        <v>0.13997311637990331</v>
      </c>
      <c r="E40" s="4" t="str">
        <f ca="1">IF(OR(JobHopping[[#This Row],[Age]]=25,JobHopping[[#This Row],[Age]]&gt;69),"N",IF(AND(E38="N",E39="N", RAND()&lt;=D40), "Y", "N"))</f>
        <v>N</v>
      </c>
      <c r="F40" s="4" t="s">
        <v>0</v>
      </c>
      <c r="G40" s="4" t="s">
        <v>0</v>
      </c>
      <c r="M40" s="4">
        <v>2017</v>
      </c>
      <c r="N40" s="4" t="s">
        <v>14</v>
      </c>
      <c r="O40" s="4">
        <f>_xlfn.XLOOKUP(M40&amp;"-"&amp;N40,'Djøf Finance Workers'!D:D,'Djøf Finance Workers'!C:C,0,1)</f>
        <v>8016</v>
      </c>
      <c r="P40" s="4">
        <f>_xlfn.XLOOKUP(M40&amp;"-"&amp;N40,'Djøf Finance Hoppers'!D:D,'Djøf Finance Hoppers'!C:C,0,1)</f>
        <v>2692</v>
      </c>
      <c r="Q40" s="13">
        <f t="shared" si="1"/>
        <v>0.33582834331337325</v>
      </c>
    </row>
    <row r="41" spans="2:17" x14ac:dyDescent="0.2">
      <c r="B41" s="4">
        <v>63</v>
      </c>
      <c r="C41" s="4" t="str">
        <f t="shared" si="3"/>
        <v>60-64 år</v>
      </c>
      <c r="D41" s="13">
        <f t="shared" si="4"/>
        <v>0.13997311637990331</v>
      </c>
      <c r="E41" s="4" t="str">
        <f ca="1">IF(OR(JobHopping[[#This Row],[Age]]=25,JobHopping[[#This Row],[Age]]&gt;69),"N",IF(AND(E39="N",E40="N", RAND()&lt;=D41), "Y", "N"))</f>
        <v>N</v>
      </c>
      <c r="F41" s="4" t="s">
        <v>0</v>
      </c>
      <c r="G41" s="4" t="s">
        <v>0</v>
      </c>
      <c r="M41" s="4">
        <v>2017</v>
      </c>
      <c r="N41" s="4" t="s">
        <v>15</v>
      </c>
      <c r="O41" s="4">
        <f>_xlfn.XLOOKUP(M41&amp;"-"&amp;N41,'Djøf Finance Workers'!D:D,'Djøf Finance Workers'!C:C,0,1)</f>
        <v>9344</v>
      </c>
      <c r="P41" s="4">
        <f>_xlfn.XLOOKUP(M41&amp;"-"&amp;N41,'Djøf Finance Hoppers'!D:D,'Djøf Finance Hoppers'!C:C,0,1)</f>
        <v>2452</v>
      </c>
      <c r="Q41" s="13">
        <f t="shared" si="1"/>
        <v>0.26241438356164382</v>
      </c>
    </row>
    <row r="42" spans="2:17" x14ac:dyDescent="0.2">
      <c r="B42" s="4">
        <v>64</v>
      </c>
      <c r="C42" s="4" t="str">
        <f t="shared" si="3"/>
        <v>60-64 år</v>
      </c>
      <c r="D42" s="13">
        <f t="shared" si="4"/>
        <v>0.13997311637990331</v>
      </c>
      <c r="E42" s="4" t="str">
        <f ca="1">IF(OR(JobHopping[[#This Row],[Age]]=25,JobHopping[[#This Row],[Age]]&gt;69),"N",IF(AND(E40="N",E41="N", RAND()&lt;=D42), "Y", "N"))</f>
        <v>N</v>
      </c>
      <c r="F42" s="4" t="s">
        <v>0</v>
      </c>
      <c r="G42" s="4" t="s">
        <v>0</v>
      </c>
      <c r="M42" s="4">
        <v>2017</v>
      </c>
      <c r="N42" s="4" t="s">
        <v>16</v>
      </c>
      <c r="O42" s="4">
        <f>_xlfn.XLOOKUP(M42&amp;"-"&amp;N42,'Djøf Finance Workers'!D:D,'Djøf Finance Workers'!C:C,0,1)</f>
        <v>9699</v>
      </c>
      <c r="P42" s="4">
        <f>_xlfn.XLOOKUP(M42&amp;"-"&amp;N42,'Djøf Finance Hoppers'!D:D,'Djøf Finance Hoppers'!C:C,0,1)</f>
        <v>2105</v>
      </c>
      <c r="Q42" s="13">
        <f t="shared" si="1"/>
        <v>0.21703268378183319</v>
      </c>
    </row>
    <row r="43" spans="2:17" x14ac:dyDescent="0.2">
      <c r="B43" s="4">
        <v>65</v>
      </c>
      <c r="C43" s="4" t="str">
        <f t="shared" si="3"/>
        <v>65+ år</v>
      </c>
      <c r="D43" s="13">
        <f t="shared" si="4"/>
        <v>1.6692163718551367</v>
      </c>
      <c r="E43" s="4" t="str">
        <f ca="1">IF(OR(JobHopping[[#This Row],[Age]]=25,JobHopping[[#This Row],[Age]]&gt;69),"N",IF(AND(E41="N",E42="N", RAND()&lt;=D43), "Y", "N"))</f>
        <v>Y</v>
      </c>
      <c r="F43" s="4" t="s">
        <v>0</v>
      </c>
      <c r="G43" s="4" t="s">
        <v>0</v>
      </c>
      <c r="M43" s="4">
        <v>2017</v>
      </c>
      <c r="N43" s="4" t="s">
        <v>17</v>
      </c>
      <c r="O43" s="4">
        <f>_xlfn.XLOOKUP(M43&amp;"-"&amp;N43,'Djøf Finance Workers'!D:D,'Djøf Finance Workers'!C:C,0,1)</f>
        <v>9778</v>
      </c>
      <c r="P43" s="4">
        <f>_xlfn.XLOOKUP(M43&amp;"-"&amp;N43,'Djøf Finance Hoppers'!D:D,'Djøf Finance Hoppers'!C:C,0,1)</f>
        <v>1892</v>
      </c>
      <c r="Q43" s="13">
        <f t="shared" si="1"/>
        <v>0.19349560237267335</v>
      </c>
    </row>
    <row r="44" spans="2:17" x14ac:dyDescent="0.2">
      <c r="B44" s="4">
        <v>66</v>
      </c>
      <c r="C44" s="4" t="str">
        <f t="shared" si="3"/>
        <v>65+ år</v>
      </c>
      <c r="D44" s="13">
        <f t="shared" si="4"/>
        <v>1.6692163718551367</v>
      </c>
      <c r="E44" s="4" t="str">
        <f ca="1">IF(OR(JobHopping[[#This Row],[Age]]=25,JobHopping[[#This Row],[Age]]&gt;69),"N",IF(AND(E42="N",E43="N", RAND()&lt;=D44), "Y", "N"))</f>
        <v>N</v>
      </c>
      <c r="F44" s="4" t="s">
        <v>0</v>
      </c>
      <c r="G44" s="4" t="s">
        <v>0</v>
      </c>
      <c r="M44" s="4">
        <v>2017</v>
      </c>
      <c r="N44" s="4" t="s">
        <v>18</v>
      </c>
      <c r="O44" s="4">
        <f>_xlfn.XLOOKUP(M44&amp;"-"&amp;N44,'Djøf Finance Workers'!D:D,'Djøf Finance Workers'!C:C,0,1)</f>
        <v>11940</v>
      </c>
      <c r="P44" s="4">
        <f>_xlfn.XLOOKUP(M44&amp;"-"&amp;N44,'Djøf Finance Hoppers'!D:D,'Djøf Finance Hoppers'!C:C,0,1)</f>
        <v>2042</v>
      </c>
      <c r="Q44" s="13">
        <f t="shared" si="1"/>
        <v>0.1710217755443886</v>
      </c>
    </row>
    <row r="45" spans="2:17" x14ac:dyDescent="0.2">
      <c r="B45" s="4">
        <v>67</v>
      </c>
      <c r="C45" s="4" t="str">
        <f t="shared" si="3"/>
        <v>65+ år</v>
      </c>
      <c r="D45" s="13">
        <f t="shared" si="4"/>
        <v>1.6692163718551367</v>
      </c>
      <c r="E45" s="4" t="str">
        <f ca="1">IF(OR(JobHopping[[#This Row],[Age]]=25,JobHopping[[#This Row],[Age]]&gt;69),"N",IF(AND(E43="N",E44="N", RAND()&lt;=D45), "Y", "N"))</f>
        <v>N</v>
      </c>
      <c r="F45" s="4" t="s">
        <v>0</v>
      </c>
      <c r="G45" s="4" t="s">
        <v>0</v>
      </c>
      <c r="M45" s="4">
        <v>2017</v>
      </c>
      <c r="N45" s="4" t="s">
        <v>19</v>
      </c>
      <c r="O45" s="4">
        <f>_xlfn.XLOOKUP(M45&amp;"-"&amp;N45,'Djøf Finance Workers'!D:D,'Djøf Finance Workers'!C:C,0,1)</f>
        <v>9231</v>
      </c>
      <c r="P45" s="4">
        <f>_xlfn.XLOOKUP(M45&amp;"-"&amp;N45,'Djøf Finance Hoppers'!D:D,'Djøf Finance Hoppers'!C:C,0,1)</f>
        <v>1410</v>
      </c>
      <c r="Q45" s="13">
        <f t="shared" si="1"/>
        <v>0.15274618134546636</v>
      </c>
    </row>
    <row r="46" spans="2:17" x14ac:dyDescent="0.2">
      <c r="B46" s="4">
        <v>68</v>
      </c>
      <c r="C46" s="4" t="str">
        <f t="shared" si="3"/>
        <v>65+ år</v>
      </c>
      <c r="D46" s="13">
        <f t="shared" si="4"/>
        <v>1.6692163718551367</v>
      </c>
      <c r="E46" s="4" t="str">
        <f ca="1">IF(OR(JobHopping[[#This Row],[Age]]=25,JobHopping[[#This Row],[Age]]&gt;69),"N",IF(AND(E44="N",E45="N", RAND()&lt;=D46), "Y", "N"))</f>
        <v>Y</v>
      </c>
      <c r="F46" s="4" t="s">
        <v>0</v>
      </c>
      <c r="G46" s="4" t="s">
        <v>0</v>
      </c>
      <c r="M46" s="4">
        <v>2017</v>
      </c>
      <c r="N46" s="4" t="s">
        <v>20</v>
      </c>
      <c r="O46" s="4">
        <f>_xlfn.XLOOKUP(M46&amp;"-"&amp;N46,'Djøf Finance Workers'!D:D,'Djøf Finance Workers'!C:C,0,1)</f>
        <v>5403</v>
      </c>
      <c r="P46" s="4">
        <f>_xlfn.XLOOKUP(M46&amp;"-"&amp;N46,'Djøf Finance Hoppers'!D:D,'Djøf Finance Hoppers'!C:C,0,1)</f>
        <v>757</v>
      </c>
      <c r="Q46" s="13">
        <f t="shared" si="1"/>
        <v>0.14010734776975753</v>
      </c>
    </row>
    <row r="47" spans="2:17" x14ac:dyDescent="0.2">
      <c r="B47" s="4">
        <v>69</v>
      </c>
      <c r="C47" s="4" t="str">
        <f t="shared" si="3"/>
        <v>65+ år</v>
      </c>
      <c r="D47" s="13">
        <f t="shared" si="4"/>
        <v>1.6692163718551367</v>
      </c>
      <c r="E47" s="4" t="str">
        <f ca="1">IF(OR(JobHopping[[#This Row],[Age]]=25,JobHopping[[#This Row],[Age]]&gt;69),"N",IF(AND(E45="N",E46="N", RAND()&lt;=D47), "Y", "N"))</f>
        <v>N</v>
      </c>
      <c r="F47" s="4" t="s">
        <v>0</v>
      </c>
      <c r="G47" s="4" t="s">
        <v>0</v>
      </c>
      <c r="M47" s="4">
        <v>2017</v>
      </c>
      <c r="N47" s="4" t="s">
        <v>21</v>
      </c>
      <c r="O47" s="4">
        <f>_xlfn.XLOOKUP(M47&amp;"-"&amp;N47,'Djøf Finance Workers'!D:D,'Djøf Finance Workers'!C:C,0,1)</f>
        <v>1775</v>
      </c>
      <c r="P47" s="4">
        <f>_xlfn.XLOOKUP(M47&amp;"-"&amp;N47,'Djøf Finance Hoppers'!D:D,'Djøf Finance Hoppers'!C:C,0,1)</f>
        <v>3149</v>
      </c>
      <c r="Q47" s="13">
        <f t="shared" si="1"/>
        <v>1.7740845070422535</v>
      </c>
    </row>
    <row r="48" spans="2:17" x14ac:dyDescent="0.2">
      <c r="B48" s="4">
        <v>70</v>
      </c>
      <c r="C48" s="4" t="str">
        <f t="shared" si="3"/>
        <v>65+ år</v>
      </c>
      <c r="D48" s="13">
        <f t="shared" si="4"/>
        <v>1.6692163718551367</v>
      </c>
      <c r="E48" s="4" t="str">
        <f ca="1">IF(OR(JobHopping[[#This Row],[Age]]=25,JobHopping[[#This Row],[Age]]&gt;69),"N",IF(AND(E46="N",E47="N", RAND()&lt;=D48), "Y", "N"))</f>
        <v>N</v>
      </c>
      <c r="F48" s="4" t="s">
        <v>0</v>
      </c>
      <c r="G48" s="4" t="s">
        <v>0</v>
      </c>
      <c r="M48" s="4">
        <v>2018</v>
      </c>
      <c r="N48" s="4" t="s">
        <v>13</v>
      </c>
      <c r="O48" s="4">
        <f>_xlfn.XLOOKUP(M48&amp;"-"&amp;N48,'Djøf Finance Workers'!D:D,'Djøf Finance Workers'!C:C,0,1)</f>
        <v>6353</v>
      </c>
      <c r="P48" s="4">
        <f>_xlfn.XLOOKUP(M48&amp;"-"&amp;N48,'Djøf Finance Hoppers'!D:D,'Djøf Finance Hoppers'!C:C,0,1)</f>
        <v>3149</v>
      </c>
      <c r="Q48" s="13">
        <f t="shared" si="1"/>
        <v>0.49567133637651506</v>
      </c>
    </row>
    <row r="49" spans="2:17" x14ac:dyDescent="0.2">
      <c r="B49" s="4">
        <v>71</v>
      </c>
      <c r="C49" s="4" t="str">
        <f t="shared" ref="C49:C54" si="5">IF(B49&lt;30, "25-29 år", IF(B49&lt;35, "30-34 år", IF(B49&lt;40, "35-39 år", IF(B49&lt;45, "40-44 år", IF(B49&lt;50, "45-49 år", IF(B49&lt;55, "50-54 år", IF(B49&lt;60, "55-59 år", IF(B49&lt;65, "60-64 år", "65+ år"))))))))</f>
        <v>65+ år</v>
      </c>
      <c r="D49" s="13">
        <f t="shared" si="4"/>
        <v>1.6692163718551367</v>
      </c>
      <c r="E49" s="4" t="str">
        <f ca="1">IF(OR(JobHopping[[#This Row],[Age]]=25,JobHopping[[#This Row],[Age]]&gt;69),"N",IF(AND(E47="N",E48="N", RAND()&lt;=D49), "Y", "N"))</f>
        <v>N</v>
      </c>
      <c r="F49" s="4" t="s">
        <v>0</v>
      </c>
      <c r="G49" s="4" t="s">
        <v>0</v>
      </c>
      <c r="M49" s="4">
        <v>2018</v>
      </c>
      <c r="N49" s="4" t="s">
        <v>14</v>
      </c>
      <c r="O49" s="4">
        <f>_xlfn.XLOOKUP(M49&amp;"-"&amp;N49,'Djøf Finance Workers'!D:D,'Djøf Finance Workers'!C:C,0,1)</f>
        <v>8276</v>
      </c>
      <c r="P49" s="4">
        <f>_xlfn.XLOOKUP(M49&amp;"-"&amp;N49,'Djøf Finance Hoppers'!D:D,'Djøf Finance Hoppers'!C:C,0,1)</f>
        <v>2658</v>
      </c>
      <c r="Q49" s="13">
        <f t="shared" si="1"/>
        <v>0.32116964717254715</v>
      </c>
    </row>
    <row r="50" spans="2:17" x14ac:dyDescent="0.2">
      <c r="B50" s="4">
        <v>72</v>
      </c>
      <c r="C50" s="4" t="str">
        <f t="shared" si="5"/>
        <v>65+ år</v>
      </c>
      <c r="D50" s="13">
        <f t="shared" si="4"/>
        <v>1.6692163718551367</v>
      </c>
      <c r="E50" s="4" t="str">
        <f ca="1">IF(OR(JobHopping[[#This Row],[Age]]=25,JobHopping[[#This Row],[Age]]&gt;69),"N",IF(AND(E48="N",E49="N", RAND()&lt;=D50), "Y", "N"))</f>
        <v>N</v>
      </c>
      <c r="F50" s="4" t="s">
        <v>0</v>
      </c>
      <c r="G50" s="4" t="s">
        <v>0</v>
      </c>
      <c r="M50" s="4">
        <v>2018</v>
      </c>
      <c r="N50" s="4" t="s">
        <v>15</v>
      </c>
      <c r="O50" s="4">
        <f>_xlfn.XLOOKUP(M50&amp;"-"&amp;N50,'Djøf Finance Workers'!D:D,'Djøf Finance Workers'!C:C,0,1)</f>
        <v>9245</v>
      </c>
      <c r="P50" s="4">
        <f>_xlfn.XLOOKUP(M50&amp;"-"&amp;N50,'Djøf Finance Hoppers'!D:D,'Djøf Finance Hoppers'!C:C,0,1)</f>
        <v>2333</v>
      </c>
      <c r="Q50" s="13">
        <f t="shared" si="1"/>
        <v>0.25235262303948081</v>
      </c>
    </row>
    <row r="51" spans="2:17" x14ac:dyDescent="0.2">
      <c r="B51" s="4">
        <v>73</v>
      </c>
      <c r="C51" s="4" t="str">
        <f t="shared" si="5"/>
        <v>65+ år</v>
      </c>
      <c r="D51" s="13">
        <f t="shared" si="4"/>
        <v>1.6692163718551367</v>
      </c>
      <c r="E51" s="4" t="str">
        <f ca="1">IF(OR(JobHopping[[#This Row],[Age]]=25,JobHopping[[#This Row],[Age]]&gt;69),"N",IF(AND(E49="N",E50="N", RAND()&lt;=D51), "Y", "N"))</f>
        <v>N</v>
      </c>
      <c r="F51" s="4" t="s">
        <v>0</v>
      </c>
      <c r="G51" s="4" t="s">
        <v>0</v>
      </c>
      <c r="M51" s="4">
        <v>2018</v>
      </c>
      <c r="N51" s="4" t="s">
        <v>16</v>
      </c>
      <c r="O51" s="4">
        <f>_xlfn.XLOOKUP(M51&amp;"-"&amp;N51,'Djøf Finance Workers'!D:D,'Djøf Finance Workers'!C:C,0,1)</f>
        <v>9937</v>
      </c>
      <c r="P51" s="4">
        <f>_xlfn.XLOOKUP(M51&amp;"-"&amp;N51,'Djøf Finance Hoppers'!D:D,'Djøf Finance Hoppers'!C:C,0,1)</f>
        <v>2068</v>
      </c>
      <c r="Q51" s="13">
        <f t="shared" si="1"/>
        <v>0.2081110999295562</v>
      </c>
    </row>
    <row r="52" spans="2:17" x14ac:dyDescent="0.2">
      <c r="B52" s="4">
        <v>74</v>
      </c>
      <c r="C52" s="4" t="str">
        <f t="shared" si="5"/>
        <v>65+ år</v>
      </c>
      <c r="D52" s="13">
        <f t="shared" si="4"/>
        <v>1.6692163718551367</v>
      </c>
      <c r="E52" s="4" t="str">
        <f ca="1">IF(OR(JobHopping[[#This Row],[Age]]=25,JobHopping[[#This Row],[Age]]&gt;69),"N",IF(AND(E50="N",E51="N", RAND()&lt;=D52), "Y", "N"))</f>
        <v>N</v>
      </c>
      <c r="F52" s="4" t="s">
        <v>0</v>
      </c>
      <c r="G52" s="4" t="s">
        <v>0</v>
      </c>
      <c r="M52" s="4">
        <v>2018</v>
      </c>
      <c r="N52" s="4" t="s">
        <v>17</v>
      </c>
      <c r="O52" s="4">
        <f>_xlfn.XLOOKUP(M52&amp;"-"&amp;N52,'Djøf Finance Workers'!D:D,'Djøf Finance Workers'!C:C,0,1)</f>
        <v>9488</v>
      </c>
      <c r="P52" s="4">
        <f>_xlfn.XLOOKUP(M52&amp;"-"&amp;N52,'Djøf Finance Hoppers'!D:D,'Djøf Finance Hoppers'!C:C,0,1)</f>
        <v>1770</v>
      </c>
      <c r="Q52" s="13">
        <f t="shared" si="1"/>
        <v>0.18655143338954469</v>
      </c>
    </row>
    <row r="53" spans="2:17" x14ac:dyDescent="0.2">
      <c r="B53" s="4">
        <v>75</v>
      </c>
      <c r="C53" s="4" t="str">
        <f t="shared" si="5"/>
        <v>65+ år</v>
      </c>
      <c r="D53" s="13">
        <f t="shared" si="4"/>
        <v>1.6692163718551367</v>
      </c>
      <c r="E53" s="4" t="str">
        <f ca="1">IF(OR(JobHopping[[#This Row],[Age]]=25,JobHopping[[#This Row],[Age]]&gt;69),"N",IF(AND(E51="N",E52="N", RAND()&lt;=D53), "Y", "N"))</f>
        <v>N</v>
      </c>
      <c r="F53" s="4" t="s">
        <v>0</v>
      </c>
      <c r="G53" s="4" t="s">
        <v>0</v>
      </c>
      <c r="M53" s="4">
        <v>2018</v>
      </c>
      <c r="N53" s="4" t="s">
        <v>18</v>
      </c>
      <c r="O53" s="4">
        <f>_xlfn.XLOOKUP(M53&amp;"-"&amp;N53,'Djøf Finance Workers'!D:D,'Djøf Finance Workers'!C:C,0,1)</f>
        <v>12171</v>
      </c>
      <c r="P53" s="4">
        <f>_xlfn.XLOOKUP(M53&amp;"-"&amp;N53,'Djøf Finance Hoppers'!D:D,'Djøf Finance Hoppers'!C:C,0,1)</f>
        <v>2055</v>
      </c>
      <c r="Q53" s="13">
        <f t="shared" si="1"/>
        <v>0.16884397337934434</v>
      </c>
    </row>
    <row r="54" spans="2:17" x14ac:dyDescent="0.2">
      <c r="B54" s="4">
        <v>76</v>
      </c>
      <c r="C54" s="4" t="str">
        <f t="shared" si="5"/>
        <v>65+ år</v>
      </c>
      <c r="D54" s="13">
        <f t="shared" si="4"/>
        <v>1.6692163718551367</v>
      </c>
      <c r="E54" s="4" t="str">
        <f ca="1">IF(OR(JobHopping[[#This Row],[Age]]=25,JobHopping[[#This Row],[Age]]&gt;69),"N",IF(AND(E52="N",E53="N", RAND()&lt;=D54), "Y", "N"))</f>
        <v>N</v>
      </c>
      <c r="F54" s="4" t="s">
        <v>0</v>
      </c>
      <c r="G54" s="4" t="s">
        <v>0</v>
      </c>
      <c r="M54" s="4">
        <v>2018</v>
      </c>
      <c r="N54" s="4" t="s">
        <v>19</v>
      </c>
      <c r="O54" s="4">
        <f>_xlfn.XLOOKUP(M54&amp;"-"&amp;N54,'Djøf Finance Workers'!D:D,'Djøf Finance Workers'!C:C,0,1)</f>
        <v>9537</v>
      </c>
      <c r="P54" s="4">
        <f>_xlfn.XLOOKUP(M54&amp;"-"&amp;N54,'Djøf Finance Hoppers'!D:D,'Djøf Finance Hoppers'!C:C,0,1)</f>
        <v>1415</v>
      </c>
      <c r="Q54" s="13">
        <f t="shared" si="1"/>
        <v>0.14836950823109993</v>
      </c>
    </row>
    <row r="55" spans="2:17" x14ac:dyDescent="0.2">
      <c r="B55" s="4">
        <v>77</v>
      </c>
      <c r="C55" s="4" t="str">
        <f t="shared" ref="C55:C69" si="6">IF(B55&lt;30, "25-29 år", IF(B55&lt;35, "30-34 år", IF(B55&lt;40, "35-39 år", IF(B55&lt;45, "40-44 år", IF(B55&lt;50, "45-49 år", IF(B55&lt;55, "50-54 år", IF(B55&lt;60, "55-59 år", IF(B55&lt;65, "60-64 år", "65+ år"))))))))</f>
        <v>65+ år</v>
      </c>
      <c r="D55" s="13">
        <f t="shared" si="4"/>
        <v>1.6692163718551367</v>
      </c>
      <c r="E55" s="4" t="str">
        <f ca="1">IF(OR(JobHopping[[#This Row],[Age]]=25,JobHopping[[#This Row],[Age]]&gt;69),"N",IF(AND(E53="N",E54="N", RAND()&lt;=D55), "Y", "N"))</f>
        <v>N</v>
      </c>
      <c r="F55" s="4" t="s">
        <v>0</v>
      </c>
      <c r="G55" s="4" t="s">
        <v>0</v>
      </c>
      <c r="M55" s="4">
        <v>2018</v>
      </c>
      <c r="N55" s="4" t="s">
        <v>20</v>
      </c>
      <c r="O55" s="4">
        <f>_xlfn.XLOOKUP(M55&amp;"-"&amp;N55,'Djøf Finance Workers'!D:D,'Djøf Finance Workers'!C:C,0,1)</f>
        <v>5638</v>
      </c>
      <c r="P55" s="4">
        <f>_xlfn.XLOOKUP(M55&amp;"-"&amp;N55,'Djøf Finance Hoppers'!D:D,'Djøf Finance Hoppers'!C:C,0,1)</f>
        <v>681</v>
      </c>
      <c r="Q55" s="13">
        <f t="shared" si="1"/>
        <v>0.12078751330258958</v>
      </c>
    </row>
    <row r="56" spans="2:17" x14ac:dyDescent="0.2">
      <c r="B56" s="4">
        <v>78</v>
      </c>
      <c r="C56" s="4" t="str">
        <f t="shared" si="6"/>
        <v>65+ år</v>
      </c>
      <c r="D56" s="13">
        <f t="shared" si="4"/>
        <v>1.6692163718551367</v>
      </c>
      <c r="E56" s="4" t="str">
        <f ca="1">IF(OR(JobHopping[[#This Row],[Age]]=25,JobHopping[[#This Row],[Age]]&gt;69),"N",IF(AND(E54="N",E55="N", RAND()&lt;=D56), "Y", "N"))</f>
        <v>N</v>
      </c>
      <c r="F56" s="4" t="s">
        <v>0</v>
      </c>
      <c r="G56" s="4" t="s">
        <v>0</v>
      </c>
      <c r="M56" s="4">
        <v>2018</v>
      </c>
      <c r="N56" s="4" t="s">
        <v>21</v>
      </c>
      <c r="O56" s="4">
        <f>_xlfn.XLOOKUP(M56&amp;"-"&amp;N56,'Djøf Finance Workers'!D:D,'Djøf Finance Workers'!C:C,0,1)</f>
        <v>1897</v>
      </c>
      <c r="P56" s="4">
        <f>_xlfn.XLOOKUP(M56&amp;"-"&amp;N56,'Djøf Finance Hoppers'!D:D,'Djøf Finance Hoppers'!C:C,0,1)</f>
        <v>3477</v>
      </c>
      <c r="Q56" s="13">
        <f t="shared" si="1"/>
        <v>1.8328940432261465</v>
      </c>
    </row>
    <row r="57" spans="2:17" x14ac:dyDescent="0.2">
      <c r="B57" s="4">
        <v>79</v>
      </c>
      <c r="C57" s="4" t="str">
        <f t="shared" si="6"/>
        <v>65+ år</v>
      </c>
      <c r="D57" s="13">
        <f t="shared" si="4"/>
        <v>1.6692163718551367</v>
      </c>
      <c r="E57" s="4" t="str">
        <f ca="1">IF(OR(JobHopping[[#This Row],[Age]]=25,JobHopping[[#This Row],[Age]]&gt;69),"N",IF(AND(E55="N",E56="N", RAND()&lt;=D57), "Y", "N"))</f>
        <v>N</v>
      </c>
      <c r="F57" s="4" t="s">
        <v>0</v>
      </c>
      <c r="G57" s="4" t="s">
        <v>0</v>
      </c>
      <c r="M57" s="4">
        <v>2019</v>
      </c>
      <c r="N57" s="4" t="s">
        <v>13</v>
      </c>
      <c r="O57" s="4">
        <f>_xlfn.XLOOKUP(M57&amp;"-"&amp;N57,'Djøf Finance Workers'!D:D,'Djøf Finance Workers'!C:C,0,1)</f>
        <v>6883</v>
      </c>
      <c r="P57" s="4">
        <f>_xlfn.XLOOKUP(M57&amp;"-"&amp;N57,'Djøf Finance Hoppers'!D:D,'Djøf Finance Hoppers'!C:C,0,1)</f>
        <v>3477</v>
      </c>
      <c r="Q57" s="13">
        <f t="shared" si="1"/>
        <v>0.50515763475228825</v>
      </c>
    </row>
    <row r="58" spans="2:17" x14ac:dyDescent="0.2">
      <c r="B58" s="4">
        <v>80</v>
      </c>
      <c r="C58" s="4" t="str">
        <f t="shared" si="6"/>
        <v>65+ år</v>
      </c>
      <c r="D58" s="13">
        <f t="shared" si="4"/>
        <v>1.6692163718551367</v>
      </c>
      <c r="E58" s="4" t="str">
        <f ca="1">IF(OR(JobHopping[[#This Row],[Age]]=25,JobHopping[[#This Row],[Age]]&gt;69),"N",IF(AND(E56="N",E57="N", RAND()&lt;=D58), "Y", "N"))</f>
        <v>N</v>
      </c>
      <c r="F58" s="4" t="s">
        <v>0</v>
      </c>
      <c r="G58" s="4" t="s">
        <v>0</v>
      </c>
      <c r="M58" s="4">
        <v>2019</v>
      </c>
      <c r="N58" s="4" t="s">
        <v>14</v>
      </c>
      <c r="O58" s="4">
        <f>_xlfn.XLOOKUP(M58&amp;"-"&amp;N58,'Djøf Finance Workers'!D:D,'Djøf Finance Workers'!C:C,0,1)</f>
        <v>8461</v>
      </c>
      <c r="P58" s="4">
        <f>_xlfn.XLOOKUP(M58&amp;"-"&amp;N58,'Djøf Finance Hoppers'!D:D,'Djøf Finance Hoppers'!C:C,0,1)</f>
        <v>2839</v>
      </c>
      <c r="Q58" s="13">
        <f t="shared" si="1"/>
        <v>0.33553953433400308</v>
      </c>
    </row>
    <row r="59" spans="2:17" x14ac:dyDescent="0.2">
      <c r="B59" s="4">
        <v>81</v>
      </c>
      <c r="C59" s="4" t="str">
        <f t="shared" si="6"/>
        <v>65+ år</v>
      </c>
      <c r="D59" s="13">
        <f t="shared" si="4"/>
        <v>1.6692163718551367</v>
      </c>
      <c r="E59" s="4" t="str">
        <f ca="1">IF(OR(JobHopping[[#This Row],[Age]]=25,JobHopping[[#This Row],[Age]]&gt;69),"N",IF(AND(E57="N",E58="N", RAND()&lt;=D59), "Y", "N"))</f>
        <v>N</v>
      </c>
      <c r="F59" s="4" t="s">
        <v>0</v>
      </c>
      <c r="G59" s="4" t="s">
        <v>0</v>
      </c>
      <c r="M59" s="4">
        <v>2019</v>
      </c>
      <c r="N59" s="4" t="s">
        <v>15</v>
      </c>
      <c r="O59" s="4">
        <f>_xlfn.XLOOKUP(M59&amp;"-"&amp;N59,'Djøf Finance Workers'!D:D,'Djøf Finance Workers'!C:C,0,1)</f>
        <v>9057</v>
      </c>
      <c r="P59" s="4">
        <f>_xlfn.XLOOKUP(M59&amp;"-"&amp;N59,'Djøf Finance Hoppers'!D:D,'Djøf Finance Hoppers'!C:C,0,1)</f>
        <v>2298</v>
      </c>
      <c r="Q59" s="13">
        <f t="shared" si="1"/>
        <v>0.25372639947002318</v>
      </c>
    </row>
    <row r="60" spans="2:17" x14ac:dyDescent="0.2">
      <c r="B60" s="4">
        <v>82</v>
      </c>
      <c r="C60" s="4" t="str">
        <f t="shared" si="6"/>
        <v>65+ år</v>
      </c>
      <c r="D60" s="13">
        <f t="shared" si="4"/>
        <v>1.6692163718551367</v>
      </c>
      <c r="E60" s="4" t="str">
        <f ca="1">IF(OR(JobHopping[[#This Row],[Age]]=25,JobHopping[[#This Row],[Age]]&gt;69),"N",IF(AND(E58="N",E59="N", RAND()&lt;=D60), "Y", "N"))</f>
        <v>N</v>
      </c>
      <c r="F60" s="4" t="s">
        <v>0</v>
      </c>
      <c r="G60" s="4" t="s">
        <v>0</v>
      </c>
      <c r="M60" s="4">
        <v>2019</v>
      </c>
      <c r="N60" s="4" t="s">
        <v>16</v>
      </c>
      <c r="O60" s="4">
        <f>_xlfn.XLOOKUP(M60&amp;"-"&amp;N60,'Djøf Finance Workers'!D:D,'Djøf Finance Workers'!C:C,0,1)</f>
        <v>10158</v>
      </c>
      <c r="P60" s="4">
        <f>_xlfn.XLOOKUP(M60&amp;"-"&amp;N60,'Djøf Finance Hoppers'!D:D,'Djøf Finance Hoppers'!C:C,0,1)</f>
        <v>2100</v>
      </c>
      <c r="Q60" s="13">
        <f t="shared" si="1"/>
        <v>0.2067336089781453</v>
      </c>
    </row>
    <row r="61" spans="2:17" x14ac:dyDescent="0.2">
      <c r="B61" s="4">
        <v>83</v>
      </c>
      <c r="C61" s="4" t="str">
        <f t="shared" si="6"/>
        <v>65+ år</v>
      </c>
      <c r="D61" s="13">
        <f t="shared" si="4"/>
        <v>1.6692163718551367</v>
      </c>
      <c r="E61" s="4" t="str">
        <f ca="1">IF(OR(JobHopping[[#This Row],[Age]]=25,JobHopping[[#This Row],[Age]]&gt;69),"N",IF(AND(E59="N",E60="N", RAND()&lt;=D61), "Y", "N"))</f>
        <v>N</v>
      </c>
      <c r="F61" s="4" t="s">
        <v>0</v>
      </c>
      <c r="G61" s="4" t="s">
        <v>0</v>
      </c>
      <c r="M61" s="4">
        <v>2019</v>
      </c>
      <c r="N61" s="4" t="s">
        <v>17</v>
      </c>
      <c r="O61" s="4">
        <f>_xlfn.XLOOKUP(M61&amp;"-"&amp;N61,'Djøf Finance Workers'!D:D,'Djøf Finance Workers'!C:C,0,1)</f>
        <v>9482</v>
      </c>
      <c r="P61" s="4">
        <f>_xlfn.XLOOKUP(M61&amp;"-"&amp;N61,'Djøf Finance Hoppers'!D:D,'Djøf Finance Hoppers'!C:C,0,1)</f>
        <v>1802</v>
      </c>
      <c r="Q61" s="13">
        <f t="shared" si="1"/>
        <v>0.19004429445264712</v>
      </c>
    </row>
    <row r="62" spans="2:17" x14ac:dyDescent="0.2">
      <c r="B62" s="4">
        <v>84</v>
      </c>
      <c r="C62" s="4" t="str">
        <f t="shared" si="6"/>
        <v>65+ år</v>
      </c>
      <c r="D62" s="13">
        <f t="shared" si="4"/>
        <v>1.6692163718551367</v>
      </c>
      <c r="E62" s="4" t="str">
        <f ca="1">IF(OR(JobHopping[[#This Row],[Age]]=25,JobHopping[[#This Row],[Age]]&gt;69),"N",IF(AND(E60="N",E61="N", RAND()&lt;=D62), "Y", "N"))</f>
        <v>N</v>
      </c>
      <c r="F62" s="4" t="s">
        <v>0</v>
      </c>
      <c r="G62" s="4" t="s">
        <v>0</v>
      </c>
      <c r="M62" s="4">
        <v>2019</v>
      </c>
      <c r="N62" s="4" t="s">
        <v>18</v>
      </c>
      <c r="O62" s="4">
        <f>_xlfn.XLOOKUP(M62&amp;"-"&amp;N62,'Djøf Finance Workers'!D:D,'Djøf Finance Workers'!C:C,0,1)</f>
        <v>11866</v>
      </c>
      <c r="P62" s="4">
        <f>_xlfn.XLOOKUP(M62&amp;"-"&amp;N62,'Djøf Finance Hoppers'!D:D,'Djøf Finance Hoppers'!C:C,0,1)</f>
        <v>2054</v>
      </c>
      <c r="Q62" s="13">
        <f t="shared" si="1"/>
        <v>0.1730996123377718</v>
      </c>
    </row>
    <row r="63" spans="2:17" x14ac:dyDescent="0.2">
      <c r="B63" s="4">
        <v>85</v>
      </c>
      <c r="C63" s="4" t="str">
        <f t="shared" si="6"/>
        <v>65+ år</v>
      </c>
      <c r="D63" s="13">
        <f t="shared" si="4"/>
        <v>1.6692163718551367</v>
      </c>
      <c r="E63" s="4" t="str">
        <f ca="1">IF(OR(JobHopping[[#This Row],[Age]]=25,JobHopping[[#This Row],[Age]]&gt;69),"N",IF(AND(E61="N",E62="N", RAND()&lt;=D63), "Y", "N"))</f>
        <v>N</v>
      </c>
      <c r="F63" s="4" t="s">
        <v>0</v>
      </c>
      <c r="G63" s="4" t="s">
        <v>0</v>
      </c>
      <c r="M63" s="4">
        <v>2019</v>
      </c>
      <c r="N63" s="4" t="s">
        <v>19</v>
      </c>
      <c r="O63" s="4">
        <f>_xlfn.XLOOKUP(M63&amp;"-"&amp;N63,'Djøf Finance Workers'!D:D,'Djøf Finance Workers'!C:C,0,1)</f>
        <v>9811</v>
      </c>
      <c r="P63" s="4">
        <f>_xlfn.XLOOKUP(M63&amp;"-"&amp;N63,'Djøf Finance Hoppers'!D:D,'Djøf Finance Hoppers'!C:C,0,1)</f>
        <v>1383</v>
      </c>
      <c r="Q63" s="13">
        <f t="shared" si="1"/>
        <v>0.14096422383039445</v>
      </c>
    </row>
    <row r="64" spans="2:17" x14ac:dyDescent="0.2">
      <c r="B64" s="4">
        <v>86</v>
      </c>
      <c r="C64" s="4" t="str">
        <f t="shared" si="6"/>
        <v>65+ år</v>
      </c>
      <c r="D64" s="13">
        <f t="shared" si="4"/>
        <v>1.6692163718551367</v>
      </c>
      <c r="E64" s="4" t="str">
        <f ca="1">IF(OR(JobHopping[[#This Row],[Age]]=25,JobHopping[[#This Row],[Age]]&gt;69),"N",IF(AND(E62="N",E63="N", RAND()&lt;=D64), "Y", "N"))</f>
        <v>N</v>
      </c>
      <c r="F64" s="4" t="s">
        <v>0</v>
      </c>
      <c r="G64" s="4" t="s">
        <v>0</v>
      </c>
      <c r="M64" s="4">
        <v>2019</v>
      </c>
      <c r="N64" s="4" t="s">
        <v>20</v>
      </c>
      <c r="O64" s="4">
        <f>_xlfn.XLOOKUP(M64&amp;"-"&amp;N64,'Djøf Finance Workers'!D:D,'Djøf Finance Workers'!C:C,0,1)</f>
        <v>5907</v>
      </c>
      <c r="P64" s="4">
        <f>_xlfn.XLOOKUP(M64&amp;"-"&amp;N64,'Djøf Finance Hoppers'!D:D,'Djøf Finance Hoppers'!C:C,0,1)</f>
        <v>791</v>
      </c>
      <c r="Q64" s="13">
        <f t="shared" si="1"/>
        <v>0.13390892161841883</v>
      </c>
    </row>
    <row r="65" spans="2:17" x14ac:dyDescent="0.2">
      <c r="B65" s="4">
        <v>87</v>
      </c>
      <c r="C65" s="4" t="str">
        <f t="shared" si="6"/>
        <v>65+ år</v>
      </c>
      <c r="D65" s="13">
        <f t="shared" si="4"/>
        <v>1.6692163718551367</v>
      </c>
      <c r="E65" s="4" t="str">
        <f ca="1">IF(OR(JobHopping[[#This Row],[Age]]=25,JobHopping[[#This Row],[Age]]&gt;69),"N",IF(AND(E63="N",E64="N", RAND()&lt;=D65), "Y", "N"))</f>
        <v>N</v>
      </c>
      <c r="F65" s="4" t="s">
        <v>0</v>
      </c>
      <c r="G65" s="4" t="s">
        <v>0</v>
      </c>
      <c r="M65" s="4">
        <v>2019</v>
      </c>
      <c r="N65" s="4" t="s">
        <v>21</v>
      </c>
      <c r="O65" s="4">
        <f>_xlfn.XLOOKUP(M65&amp;"-"&amp;N65,'Djøf Finance Workers'!D:D,'Djøf Finance Workers'!C:C,0,1)</f>
        <v>2030</v>
      </c>
      <c r="P65" s="4">
        <f>_xlfn.XLOOKUP(M65&amp;"-"&amp;N65,'Djøf Finance Hoppers'!D:D,'Djøf Finance Hoppers'!C:C,0,1)</f>
        <v>3028</v>
      </c>
      <c r="Q65" s="13">
        <f t="shared" si="1"/>
        <v>1.4916256157635468</v>
      </c>
    </row>
    <row r="66" spans="2:17" x14ac:dyDescent="0.2">
      <c r="B66" s="4">
        <v>88</v>
      </c>
      <c r="C66" s="4" t="str">
        <f t="shared" si="6"/>
        <v>65+ år</v>
      </c>
      <c r="D66" s="13">
        <f t="shared" si="4"/>
        <v>1.6692163718551367</v>
      </c>
      <c r="E66" s="4" t="str">
        <f ca="1">IF(OR(JobHopping[[#This Row],[Age]]=25,JobHopping[[#This Row],[Age]]&gt;69),"N",IF(AND(E64="N",E65="N", RAND()&lt;=D66), "Y", "N"))</f>
        <v>N</v>
      </c>
      <c r="F66" s="4" t="s">
        <v>0</v>
      </c>
      <c r="G66" s="4" t="s">
        <v>0</v>
      </c>
      <c r="M66" s="4">
        <v>2020</v>
      </c>
      <c r="N66" s="4" t="s">
        <v>13</v>
      </c>
      <c r="O66" s="4">
        <f>_xlfn.XLOOKUP(M66&amp;"-"&amp;N66,'Djøf Finance Workers'!D:D,'Djøf Finance Workers'!C:C,0,1)</f>
        <v>7337</v>
      </c>
      <c r="P66" s="4">
        <f>_xlfn.XLOOKUP(M66&amp;"-"&amp;N66,'Djøf Finance Hoppers'!D:D,'Djøf Finance Hoppers'!C:C,0,1)</f>
        <v>3028</v>
      </c>
      <c r="Q66" s="13">
        <f t="shared" si="1"/>
        <v>0.41270273953932124</v>
      </c>
    </row>
    <row r="67" spans="2:17" x14ac:dyDescent="0.2">
      <c r="B67" s="4">
        <v>89</v>
      </c>
      <c r="C67" s="4" t="str">
        <f t="shared" si="6"/>
        <v>65+ år</v>
      </c>
      <c r="D67" s="13">
        <f t="shared" ref="D67:D78" si="7">_xlfn.XLOOKUP(C67,S:S,T:T)</f>
        <v>1.6692163718551367</v>
      </c>
      <c r="E67" s="4" t="str">
        <f ca="1">IF(OR(JobHopping[[#This Row],[Age]]=25,JobHopping[[#This Row],[Age]]&gt;69),"N",IF(AND(E65="N",E66="N", RAND()&lt;=D67), "Y", "N"))</f>
        <v>N</v>
      </c>
      <c r="F67" s="4" t="s">
        <v>0</v>
      </c>
      <c r="G67" s="4" t="s">
        <v>0</v>
      </c>
      <c r="M67" s="4">
        <v>2020</v>
      </c>
      <c r="N67" s="4" t="s">
        <v>14</v>
      </c>
      <c r="O67" s="4">
        <f>_xlfn.XLOOKUP(M67&amp;"-"&amp;N67,'Djøf Finance Workers'!D:D,'Djøf Finance Workers'!C:C,0,1)</f>
        <v>8658</v>
      </c>
      <c r="P67" s="4">
        <f>_xlfn.XLOOKUP(M67&amp;"-"&amp;N67,'Djøf Finance Hoppers'!D:D,'Djøf Finance Hoppers'!C:C,0,1)</f>
        <v>2339</v>
      </c>
      <c r="Q67" s="13">
        <f t="shared" ref="Q67:Q100" si="8">IF(O67&gt;0, P67/O67, 0)</f>
        <v>0.27015477015477013</v>
      </c>
    </row>
    <row r="68" spans="2:17" x14ac:dyDescent="0.2">
      <c r="B68" s="4">
        <v>90</v>
      </c>
      <c r="C68" s="4" t="str">
        <f t="shared" si="6"/>
        <v>65+ år</v>
      </c>
      <c r="D68" s="13">
        <f t="shared" si="7"/>
        <v>1.6692163718551367</v>
      </c>
      <c r="E68" s="4" t="str">
        <f ca="1">IF(OR(JobHopping[[#This Row],[Age]]=25,JobHopping[[#This Row],[Age]]&gt;69),"N",IF(AND(E66="N",E67="N", RAND()&lt;=D68), "Y", "N"))</f>
        <v>N</v>
      </c>
      <c r="F68" s="4" t="s">
        <v>0</v>
      </c>
      <c r="G68" s="4" t="s">
        <v>0</v>
      </c>
      <c r="M68" s="4">
        <v>2020</v>
      </c>
      <c r="N68" s="4" t="s">
        <v>15</v>
      </c>
      <c r="O68" s="4">
        <f>_xlfn.XLOOKUP(M68&amp;"-"&amp;N68,'Djøf Finance Workers'!D:D,'Djøf Finance Workers'!C:C,0,1)</f>
        <v>8798</v>
      </c>
      <c r="P68" s="4">
        <f>_xlfn.XLOOKUP(M68&amp;"-"&amp;N68,'Djøf Finance Hoppers'!D:D,'Djøf Finance Hoppers'!C:C,0,1)</f>
        <v>1929</v>
      </c>
      <c r="Q68" s="13">
        <f t="shared" si="8"/>
        <v>0.21925437599454423</v>
      </c>
    </row>
    <row r="69" spans="2:17" x14ac:dyDescent="0.2">
      <c r="B69" s="4">
        <v>91</v>
      </c>
      <c r="C69" s="4" t="str">
        <f t="shared" si="6"/>
        <v>65+ år</v>
      </c>
      <c r="D69" s="13">
        <f t="shared" si="7"/>
        <v>1.6692163718551367</v>
      </c>
      <c r="E69" s="4" t="str">
        <f ca="1">IF(OR(JobHopping[[#This Row],[Age]]=25,JobHopping[[#This Row],[Age]]&gt;69),"N",IF(AND(E67="N",E68="N", RAND()&lt;=D69), "Y", "N"))</f>
        <v>N</v>
      </c>
      <c r="F69" s="4" t="s">
        <v>0</v>
      </c>
      <c r="G69" s="4" t="s">
        <v>0</v>
      </c>
      <c r="M69" s="4">
        <v>2020</v>
      </c>
      <c r="N69" s="4" t="s">
        <v>16</v>
      </c>
      <c r="O69" s="4">
        <f>_xlfn.XLOOKUP(M69&amp;"-"&amp;N69,'Djøf Finance Workers'!D:D,'Djøf Finance Workers'!C:C,0,1)</f>
        <v>10129</v>
      </c>
      <c r="P69" s="4">
        <f>_xlfn.XLOOKUP(M69&amp;"-"&amp;N69,'Djøf Finance Hoppers'!D:D,'Djøf Finance Hoppers'!C:C,0,1)</f>
        <v>1758</v>
      </c>
      <c r="Q69" s="13">
        <f t="shared" si="8"/>
        <v>0.17356106229637674</v>
      </c>
    </row>
    <row r="70" spans="2:17" x14ac:dyDescent="0.2">
      <c r="B70" s="4">
        <v>92</v>
      </c>
      <c r="C70" s="4" t="str">
        <f t="shared" ref="C70:C78" si="9">IF(B70&lt;30, "25-29 år", IF(B70&lt;35, "30-34 år", IF(B70&lt;40, "35-39 år", IF(B70&lt;45, "40-44 år", IF(B70&lt;50, "45-49 år", IF(B70&lt;55, "50-54 år", IF(B70&lt;60, "55-59 år", IF(B70&lt;65, "60-64 år", "65+ år"))))))))</f>
        <v>65+ år</v>
      </c>
      <c r="D70" s="13">
        <f t="shared" si="7"/>
        <v>1.6692163718551367</v>
      </c>
      <c r="E70" s="4" t="str">
        <f ca="1">IF(OR(JobHopping[[#This Row],[Age]]=25,JobHopping[[#This Row],[Age]]&gt;69),"N",IF(AND(E68="N",E69="N", RAND()&lt;=D70), "Y", "N"))</f>
        <v>N</v>
      </c>
      <c r="F70" s="4" t="s">
        <v>0</v>
      </c>
      <c r="G70" s="4" t="s">
        <v>0</v>
      </c>
      <c r="M70" s="4">
        <v>2020</v>
      </c>
      <c r="N70" s="4" t="s">
        <v>17</v>
      </c>
      <c r="O70" s="4">
        <f>_xlfn.XLOOKUP(M70&amp;"-"&amp;N70,'Djøf Finance Workers'!D:D,'Djøf Finance Workers'!C:C,0,1)</f>
        <v>9740</v>
      </c>
      <c r="P70" s="4">
        <f>_xlfn.XLOOKUP(M70&amp;"-"&amp;N70,'Djøf Finance Hoppers'!D:D,'Djøf Finance Hoppers'!C:C,0,1)</f>
        <v>1654</v>
      </c>
      <c r="Q70" s="13">
        <f t="shared" si="8"/>
        <v>0.1698151950718686</v>
      </c>
    </row>
    <row r="71" spans="2:17" x14ac:dyDescent="0.2">
      <c r="B71" s="4">
        <v>93</v>
      </c>
      <c r="C71" s="4" t="str">
        <f t="shared" si="9"/>
        <v>65+ år</v>
      </c>
      <c r="D71" s="13">
        <f t="shared" si="7"/>
        <v>1.6692163718551367</v>
      </c>
      <c r="E71" s="4" t="str">
        <f ca="1">IF(OR(JobHopping[[#This Row],[Age]]=25,JobHopping[[#This Row],[Age]]&gt;69),"N",IF(AND(E69="N",E70="N", RAND()&lt;=D71), "Y", "N"))</f>
        <v>N</v>
      </c>
      <c r="F71" s="4" t="s">
        <v>0</v>
      </c>
      <c r="G71" s="4" t="s">
        <v>0</v>
      </c>
      <c r="M71" s="4">
        <v>2020</v>
      </c>
      <c r="N71" s="4" t="s">
        <v>18</v>
      </c>
      <c r="O71" s="4">
        <f>_xlfn.XLOOKUP(M71&amp;"-"&amp;N71,'Djøf Finance Workers'!D:D,'Djøf Finance Workers'!C:C,0,1)</f>
        <v>11187</v>
      </c>
      <c r="P71" s="4">
        <f>_xlfn.XLOOKUP(M71&amp;"-"&amp;N71,'Djøf Finance Hoppers'!D:D,'Djøf Finance Hoppers'!C:C,0,1)</f>
        <v>1616</v>
      </c>
      <c r="Q71" s="13">
        <f t="shared" si="8"/>
        <v>0.14445338339143649</v>
      </c>
    </row>
    <row r="72" spans="2:17" x14ac:dyDescent="0.2">
      <c r="B72" s="4">
        <v>94</v>
      </c>
      <c r="C72" s="4" t="str">
        <f t="shared" si="9"/>
        <v>65+ år</v>
      </c>
      <c r="D72" s="13">
        <f t="shared" si="7"/>
        <v>1.6692163718551367</v>
      </c>
      <c r="E72" s="4" t="str">
        <f ca="1">IF(OR(JobHopping[[#This Row],[Age]]=25,JobHopping[[#This Row],[Age]]&gt;69),"N",IF(AND(E70="N",E71="N", RAND()&lt;=D72), "Y", "N"))</f>
        <v>N</v>
      </c>
      <c r="F72" s="4" t="s">
        <v>0</v>
      </c>
      <c r="G72" s="4" t="s">
        <v>0</v>
      </c>
      <c r="M72" s="4">
        <v>2020</v>
      </c>
      <c r="N72" s="4" t="s">
        <v>19</v>
      </c>
      <c r="O72" s="4">
        <f>_xlfn.XLOOKUP(M72&amp;"-"&amp;N72,'Djøf Finance Workers'!D:D,'Djøf Finance Workers'!C:C,0,1)</f>
        <v>10215</v>
      </c>
      <c r="P72" s="4">
        <f>_xlfn.XLOOKUP(M72&amp;"-"&amp;N72,'Djøf Finance Hoppers'!D:D,'Djøf Finance Hoppers'!C:C,0,1)</f>
        <v>1279</v>
      </c>
      <c r="Q72" s="13">
        <f t="shared" si="8"/>
        <v>0.12520802741067058</v>
      </c>
    </row>
    <row r="73" spans="2:17" x14ac:dyDescent="0.2">
      <c r="B73" s="4">
        <v>95</v>
      </c>
      <c r="C73" s="4" t="str">
        <f t="shared" si="9"/>
        <v>65+ år</v>
      </c>
      <c r="D73" s="13">
        <f t="shared" si="7"/>
        <v>1.6692163718551367</v>
      </c>
      <c r="E73" s="4" t="str">
        <f ca="1">IF(OR(JobHopping[[#This Row],[Age]]=25,JobHopping[[#This Row],[Age]]&gt;69),"N",IF(AND(E71="N",E72="N", RAND()&lt;=D73), "Y", "N"))</f>
        <v>N</v>
      </c>
      <c r="F73" s="4" t="s">
        <v>0</v>
      </c>
      <c r="G73" s="4" t="s">
        <v>0</v>
      </c>
      <c r="M73" s="4">
        <v>2020</v>
      </c>
      <c r="N73" s="4" t="s">
        <v>20</v>
      </c>
      <c r="O73" s="4">
        <f>_xlfn.XLOOKUP(M73&amp;"-"&amp;N73,'Djøf Finance Workers'!D:D,'Djøf Finance Workers'!C:C,0,1)</f>
        <v>6305</v>
      </c>
      <c r="P73" s="4">
        <f>_xlfn.XLOOKUP(M73&amp;"-"&amp;N73,'Djøf Finance Hoppers'!D:D,'Djøf Finance Hoppers'!C:C,0,1)</f>
        <v>623</v>
      </c>
      <c r="Q73" s="13">
        <f t="shared" si="8"/>
        <v>9.8810467882632827E-2</v>
      </c>
    </row>
    <row r="74" spans="2:17" x14ac:dyDescent="0.2">
      <c r="B74" s="4">
        <v>96</v>
      </c>
      <c r="C74" s="4" t="str">
        <f t="shared" si="9"/>
        <v>65+ år</v>
      </c>
      <c r="D74" s="13">
        <f t="shared" si="7"/>
        <v>1.6692163718551367</v>
      </c>
      <c r="E74" s="4" t="str">
        <f ca="1">IF(OR(JobHopping[[#This Row],[Age]]=25,JobHopping[[#This Row],[Age]]&gt;69),"N",IF(AND(E72="N",E73="N", RAND()&lt;=D74), "Y", "N"))</f>
        <v>N</v>
      </c>
      <c r="F74" s="4" t="s">
        <v>0</v>
      </c>
      <c r="G74" s="4" t="s">
        <v>0</v>
      </c>
      <c r="M74" s="4">
        <v>2020</v>
      </c>
      <c r="N74" s="4" t="s">
        <v>21</v>
      </c>
      <c r="O74" s="4">
        <f>_xlfn.XLOOKUP(M74&amp;"-"&amp;N74,'Djøf Finance Workers'!D:D,'Djøf Finance Workers'!C:C,0,1)</f>
        <v>2231</v>
      </c>
      <c r="P74" s="4">
        <f>_xlfn.XLOOKUP(M74&amp;"-"&amp;N74,'Djøf Finance Hoppers'!D:D,'Djøf Finance Hoppers'!C:C,0,1)</f>
        <v>3854</v>
      </c>
      <c r="Q74" s="13">
        <f t="shared" si="8"/>
        <v>1.7274764679515913</v>
      </c>
    </row>
    <row r="75" spans="2:17" x14ac:dyDescent="0.2">
      <c r="B75" s="4">
        <v>97</v>
      </c>
      <c r="C75" s="4" t="str">
        <f t="shared" si="9"/>
        <v>65+ år</v>
      </c>
      <c r="D75" s="13">
        <f t="shared" si="7"/>
        <v>1.6692163718551367</v>
      </c>
      <c r="E75" s="4" t="str">
        <f ca="1">IF(OR(JobHopping[[#This Row],[Age]]=25,JobHopping[[#This Row],[Age]]&gt;69),"N",IF(AND(E73="N",E74="N", RAND()&lt;=D75), "Y", "N"))</f>
        <v>N</v>
      </c>
      <c r="F75" s="4" t="s">
        <v>0</v>
      </c>
      <c r="G75" s="4" t="s">
        <v>0</v>
      </c>
      <c r="M75" s="4">
        <v>2021</v>
      </c>
      <c r="N75" s="4" t="s">
        <v>13</v>
      </c>
      <c r="O75" s="4">
        <f>_xlfn.XLOOKUP(M75&amp;"-"&amp;N75,'Djøf Finance Workers'!D:D,'Djøf Finance Workers'!C:C,0,1)</f>
        <v>7687</v>
      </c>
      <c r="P75" s="4">
        <f>_xlfn.XLOOKUP(M75&amp;"-"&amp;N75,'Djøf Finance Hoppers'!D:D,'Djøf Finance Hoppers'!C:C,0,1)</f>
        <v>3854</v>
      </c>
      <c r="Q75" s="13">
        <f t="shared" si="8"/>
        <v>0.50136594250032518</v>
      </c>
    </row>
    <row r="76" spans="2:17" x14ac:dyDescent="0.2">
      <c r="B76" s="4">
        <v>98</v>
      </c>
      <c r="C76" s="4" t="str">
        <f t="shared" si="9"/>
        <v>65+ år</v>
      </c>
      <c r="D76" s="13">
        <f t="shared" si="7"/>
        <v>1.6692163718551367</v>
      </c>
      <c r="E76" s="4" t="str">
        <f ca="1">IF(OR(JobHopping[[#This Row],[Age]]=25,JobHopping[[#This Row],[Age]]&gt;69),"N",IF(AND(E74="N",E75="N", RAND()&lt;=D76), "Y", "N"))</f>
        <v>N</v>
      </c>
      <c r="F76" s="4" t="s">
        <v>0</v>
      </c>
      <c r="G76" s="4" t="s">
        <v>0</v>
      </c>
      <c r="M76" s="4">
        <v>2021</v>
      </c>
      <c r="N76" s="4" t="s">
        <v>14</v>
      </c>
      <c r="O76" s="4">
        <f>_xlfn.XLOOKUP(M76&amp;"-"&amp;N76,'Djøf Finance Workers'!D:D,'Djøf Finance Workers'!C:C,0,1)</f>
        <v>8844</v>
      </c>
      <c r="P76" s="4">
        <f>_xlfn.XLOOKUP(M76&amp;"-"&amp;N76,'Djøf Finance Hoppers'!D:D,'Djøf Finance Hoppers'!C:C,0,1)</f>
        <v>3059</v>
      </c>
      <c r="Q76" s="13">
        <f t="shared" si="8"/>
        <v>0.34588421528720037</v>
      </c>
    </row>
    <row r="77" spans="2:17" x14ac:dyDescent="0.2">
      <c r="B77" s="4">
        <v>99</v>
      </c>
      <c r="C77" s="4" t="str">
        <f t="shared" si="9"/>
        <v>65+ år</v>
      </c>
      <c r="D77" s="13">
        <f t="shared" si="7"/>
        <v>1.6692163718551367</v>
      </c>
      <c r="E77" s="4" t="str">
        <f ca="1">IF(OR(JobHopping[[#This Row],[Age]]=25,JobHopping[[#This Row],[Age]]&gt;69),"N",IF(AND(E75="N",E76="N", RAND()&lt;=D77), "Y", "N"))</f>
        <v>N</v>
      </c>
      <c r="F77" s="4" t="s">
        <v>0</v>
      </c>
      <c r="G77" s="4" t="s">
        <v>0</v>
      </c>
      <c r="M77" s="4">
        <v>2021</v>
      </c>
      <c r="N77" s="4" t="s">
        <v>15</v>
      </c>
      <c r="O77" s="4">
        <f>_xlfn.XLOOKUP(M77&amp;"-"&amp;N77,'Djøf Finance Workers'!D:D,'Djøf Finance Workers'!C:C,0,1)</f>
        <v>8987</v>
      </c>
      <c r="P77" s="4">
        <f>_xlfn.XLOOKUP(M77&amp;"-"&amp;N77,'Djøf Finance Hoppers'!D:D,'Djøf Finance Hoppers'!C:C,0,1)</f>
        <v>2330</v>
      </c>
      <c r="Q77" s="13">
        <f t="shared" si="8"/>
        <v>0.25926338043841102</v>
      </c>
    </row>
    <row r="78" spans="2:17" x14ac:dyDescent="0.2">
      <c r="B78" s="4">
        <v>100</v>
      </c>
      <c r="C78" s="4" t="str">
        <f t="shared" si="9"/>
        <v>65+ år</v>
      </c>
      <c r="D78" s="13">
        <f t="shared" si="7"/>
        <v>1.6692163718551367</v>
      </c>
      <c r="E78" s="4" t="str">
        <f ca="1">IF(OR(JobHopping[[#This Row],[Age]]=25,JobHopping[[#This Row],[Age]]&gt;69),"N",IF(AND(E76="N",E77="N", RAND()&lt;=D78), "Y", "N"))</f>
        <v>N</v>
      </c>
      <c r="F78" s="4" t="s">
        <v>0</v>
      </c>
      <c r="G78" s="4" t="s">
        <v>0</v>
      </c>
      <c r="M78" s="4">
        <v>2021</v>
      </c>
      <c r="N78" s="4" t="s">
        <v>16</v>
      </c>
      <c r="O78" s="4">
        <f>_xlfn.XLOOKUP(M78&amp;"-"&amp;N78,'Djøf Finance Workers'!D:D,'Djøf Finance Workers'!C:C,0,1)</f>
        <v>10002</v>
      </c>
      <c r="P78" s="4">
        <f>_xlfn.XLOOKUP(M78&amp;"-"&amp;N78,'Djøf Finance Hoppers'!D:D,'Djøf Finance Hoppers'!C:C,0,1)</f>
        <v>2220</v>
      </c>
      <c r="Q78" s="13">
        <f t="shared" si="8"/>
        <v>0.22195560887822435</v>
      </c>
    </row>
    <row r="79" spans="2:17" x14ac:dyDescent="0.2">
      <c r="M79" s="4">
        <v>2021</v>
      </c>
      <c r="N79" s="4" t="s">
        <v>17</v>
      </c>
      <c r="O79" s="4">
        <f>_xlfn.XLOOKUP(M79&amp;"-"&amp;N79,'Djøf Finance Workers'!D:D,'Djøf Finance Workers'!C:C,0,1)</f>
        <v>10036</v>
      </c>
      <c r="P79" s="4">
        <f>_xlfn.XLOOKUP(M79&amp;"-"&amp;N79,'Djøf Finance Hoppers'!D:D,'Djøf Finance Hoppers'!C:C,0,1)</f>
        <v>1980</v>
      </c>
      <c r="Q79" s="13">
        <f t="shared" si="8"/>
        <v>0.19728975687524911</v>
      </c>
    </row>
    <row r="80" spans="2:17" x14ac:dyDescent="0.2">
      <c r="M80" s="4">
        <v>2021</v>
      </c>
      <c r="N80" s="4" t="s">
        <v>18</v>
      </c>
      <c r="O80" s="4">
        <f>_xlfn.XLOOKUP(M80&amp;"-"&amp;N80,'Djøf Finance Workers'!D:D,'Djøf Finance Workers'!C:C,0,1)</f>
        <v>10467</v>
      </c>
      <c r="P80" s="4">
        <f>_xlfn.XLOOKUP(M80&amp;"-"&amp;N80,'Djøf Finance Hoppers'!D:D,'Djøf Finance Hoppers'!C:C,0,1)</f>
        <v>1810</v>
      </c>
      <c r="Q80" s="13">
        <f t="shared" si="8"/>
        <v>0.17292442915830705</v>
      </c>
    </row>
    <row r="81" spans="13:17" x14ac:dyDescent="0.2">
      <c r="M81" s="4">
        <v>2021</v>
      </c>
      <c r="N81" s="4" t="s">
        <v>19</v>
      </c>
      <c r="O81" s="4">
        <f>_xlfn.XLOOKUP(M81&amp;"-"&amp;N81,'Djøf Finance Workers'!D:D,'Djøf Finance Workers'!C:C,0,1)</f>
        <v>10749</v>
      </c>
      <c r="P81" s="4">
        <f>_xlfn.XLOOKUP(M81&amp;"-"&amp;N81,'Djøf Finance Hoppers'!D:D,'Djøf Finance Hoppers'!C:C,0,1)</f>
        <v>1631</v>
      </c>
      <c r="Q81" s="13">
        <f t="shared" si="8"/>
        <v>0.15173504512047634</v>
      </c>
    </row>
    <row r="82" spans="13:17" x14ac:dyDescent="0.2">
      <c r="M82" s="4">
        <v>2021</v>
      </c>
      <c r="N82" s="4" t="s">
        <v>20</v>
      </c>
      <c r="O82" s="4">
        <f>_xlfn.XLOOKUP(M82&amp;"-"&amp;N82,'Djøf Finance Workers'!D:D,'Djøf Finance Workers'!C:C,0,1)</f>
        <v>6688</v>
      </c>
      <c r="P82" s="4">
        <f>_xlfn.XLOOKUP(M82&amp;"-"&amp;N82,'Djøf Finance Hoppers'!D:D,'Djøf Finance Hoppers'!C:C,0,1)</f>
        <v>962</v>
      </c>
      <c r="Q82" s="13">
        <f t="shared" si="8"/>
        <v>0.1438397129186603</v>
      </c>
    </row>
    <row r="83" spans="13:17" x14ac:dyDescent="0.2">
      <c r="M83" s="4">
        <v>2021</v>
      </c>
      <c r="N83" s="4" t="s">
        <v>21</v>
      </c>
      <c r="O83" s="4">
        <f>_xlfn.XLOOKUP(M83&amp;"-"&amp;N83,'Djøf Finance Workers'!D:D,'Djøf Finance Workers'!C:C,0,1)</f>
        <v>2522</v>
      </c>
      <c r="P83" s="4">
        <f>_xlfn.XLOOKUP(M83&amp;"-"&amp;N83,'Djøf Finance Hoppers'!D:D,'Djøf Finance Hoppers'!C:C,0,1)</f>
        <v>3870</v>
      </c>
      <c r="Q83" s="13">
        <f t="shared" si="8"/>
        <v>1.534496431403648</v>
      </c>
    </row>
    <row r="84" spans="13:17" x14ac:dyDescent="0.2">
      <c r="M84" s="4">
        <v>2022</v>
      </c>
      <c r="N84" s="4" t="s">
        <v>13</v>
      </c>
      <c r="O84" s="4">
        <f>_xlfn.XLOOKUP(M84&amp;"-"&amp;N84,'Djøf Finance Workers'!D:D,'Djøf Finance Workers'!C:C,0,1)</f>
        <v>8107</v>
      </c>
      <c r="P84" s="4">
        <f>_xlfn.XLOOKUP(M84&amp;"-"&amp;N84,'Djøf Finance Hoppers'!D:D,'Djøf Finance Hoppers'!C:C,0,1)</f>
        <v>3870</v>
      </c>
      <c r="Q84" s="13">
        <f t="shared" si="8"/>
        <v>0.4773652399161219</v>
      </c>
    </row>
    <row r="85" spans="13:17" x14ac:dyDescent="0.2">
      <c r="M85" s="4">
        <v>2022</v>
      </c>
      <c r="N85" s="4" t="s">
        <v>14</v>
      </c>
      <c r="O85" s="4">
        <f>_xlfn.XLOOKUP(M85&amp;"-"&amp;N85,'Djøf Finance Workers'!D:D,'Djøf Finance Workers'!C:C,0,1)</f>
        <v>9307</v>
      </c>
      <c r="P85" s="4">
        <f>_xlfn.XLOOKUP(M85&amp;"-"&amp;N85,'Djøf Finance Hoppers'!D:D,'Djøf Finance Hoppers'!C:C,0,1)</f>
        <v>3004</v>
      </c>
      <c r="Q85" s="13">
        <f t="shared" si="8"/>
        <v>0.3227678091758891</v>
      </c>
    </row>
    <row r="86" spans="13:17" x14ac:dyDescent="0.2">
      <c r="M86" s="4">
        <v>2022</v>
      </c>
      <c r="N86" s="4" t="s">
        <v>15</v>
      </c>
      <c r="O86" s="4">
        <f>_xlfn.XLOOKUP(M86&amp;"-"&amp;N86,'Djøf Finance Workers'!D:D,'Djøf Finance Workers'!C:C,0,1)</f>
        <v>9287</v>
      </c>
      <c r="P86" s="4">
        <f>_xlfn.XLOOKUP(M86&amp;"-"&amp;N86,'Djøf Finance Hoppers'!D:D,'Djøf Finance Hoppers'!C:C,0,1)</f>
        <v>2511</v>
      </c>
      <c r="Q86" s="13">
        <f t="shared" si="8"/>
        <v>0.27037794766878431</v>
      </c>
    </row>
    <row r="87" spans="13:17" x14ac:dyDescent="0.2">
      <c r="M87" s="4">
        <v>2022</v>
      </c>
      <c r="N87" s="4" t="s">
        <v>16</v>
      </c>
      <c r="O87" s="4">
        <f>_xlfn.XLOOKUP(M87&amp;"-"&amp;N87,'Djøf Finance Workers'!D:D,'Djøf Finance Workers'!C:C,0,1)</f>
        <v>9808</v>
      </c>
      <c r="P87" s="4">
        <f>_xlfn.XLOOKUP(M87&amp;"-"&amp;N87,'Djøf Finance Hoppers'!D:D,'Djøf Finance Hoppers'!C:C,0,1)</f>
        <v>2191</v>
      </c>
      <c r="Q87" s="13">
        <f t="shared" si="8"/>
        <v>0.22338907014681891</v>
      </c>
    </row>
    <row r="88" spans="13:17" x14ac:dyDescent="0.2">
      <c r="M88" s="4">
        <v>2022</v>
      </c>
      <c r="N88" s="4" t="s">
        <v>17</v>
      </c>
      <c r="O88" s="4">
        <f>_xlfn.XLOOKUP(M88&amp;"-"&amp;N88,'Djøf Finance Workers'!D:D,'Djøf Finance Workers'!C:C,0,1)</f>
        <v>10063</v>
      </c>
      <c r="P88" s="4">
        <f>_xlfn.XLOOKUP(M88&amp;"-"&amp;N88,'Djøf Finance Hoppers'!D:D,'Djøf Finance Hoppers'!C:C,0,1)</f>
        <v>2044</v>
      </c>
      <c r="Q88" s="13">
        <f t="shared" si="8"/>
        <v>0.20312034184636787</v>
      </c>
    </row>
    <row r="89" spans="13:17" x14ac:dyDescent="0.2">
      <c r="M89" s="4">
        <v>2022</v>
      </c>
      <c r="N89" s="4" t="s">
        <v>18</v>
      </c>
      <c r="O89" s="4">
        <f>_xlfn.XLOOKUP(M89&amp;"-"&amp;N89,'Djøf Finance Workers'!D:D,'Djøf Finance Workers'!C:C,0,1)</f>
        <v>9799</v>
      </c>
      <c r="P89" s="4">
        <f>_xlfn.XLOOKUP(M89&amp;"-"&amp;N89,'Djøf Finance Hoppers'!D:D,'Djøf Finance Hoppers'!C:C,0,1)</f>
        <v>1683</v>
      </c>
      <c r="Q89" s="13">
        <f t="shared" si="8"/>
        <v>0.17175221961424636</v>
      </c>
    </row>
    <row r="90" spans="13:17" x14ac:dyDescent="0.2">
      <c r="M90" s="4">
        <v>2022</v>
      </c>
      <c r="N90" s="4" t="s">
        <v>19</v>
      </c>
      <c r="O90" s="4">
        <f>_xlfn.XLOOKUP(M90&amp;"-"&amp;N90,'Djøf Finance Workers'!D:D,'Djøf Finance Workers'!C:C,0,1)</f>
        <v>11340</v>
      </c>
      <c r="P90" s="4">
        <f>_xlfn.XLOOKUP(M90&amp;"-"&amp;N90,'Djøf Finance Hoppers'!D:D,'Djøf Finance Hoppers'!C:C,0,1)</f>
        <v>1578</v>
      </c>
      <c r="Q90" s="13">
        <f t="shared" si="8"/>
        <v>0.13915343915343914</v>
      </c>
    </row>
    <row r="91" spans="13:17" x14ac:dyDescent="0.2">
      <c r="M91" s="4">
        <v>2022</v>
      </c>
      <c r="N91" s="4" t="s">
        <v>20</v>
      </c>
      <c r="O91" s="4">
        <f>_xlfn.XLOOKUP(M91&amp;"-"&amp;N91,'Djøf Finance Workers'!D:D,'Djøf Finance Workers'!C:C,0,1)</f>
        <v>6943</v>
      </c>
      <c r="P91" s="4">
        <f>_xlfn.XLOOKUP(M91&amp;"-"&amp;N91,'Djøf Finance Hoppers'!D:D,'Djøf Finance Hoppers'!C:C,0,1)</f>
        <v>880</v>
      </c>
      <c r="Q91" s="13">
        <f t="shared" si="8"/>
        <v>0.12674636324355465</v>
      </c>
    </row>
    <row r="92" spans="13:17" x14ac:dyDescent="0.2">
      <c r="M92" s="4">
        <v>2022</v>
      </c>
      <c r="N92" s="4" t="s">
        <v>21</v>
      </c>
      <c r="O92" s="4">
        <f>_xlfn.XLOOKUP(M92&amp;"-"&amp;N92,'Djøf Finance Workers'!D:D,'Djøf Finance Workers'!C:C,0,1)</f>
        <v>2779</v>
      </c>
      <c r="P92" s="4">
        <f>_xlfn.XLOOKUP(M92&amp;"-"&amp;N92,'Djøf Finance Hoppers'!D:D,'Djøf Finance Hoppers'!C:C,0,1)</f>
        <v>3662</v>
      </c>
      <c r="Q92" s="13">
        <f t="shared" si="8"/>
        <v>1.3177401943145015</v>
      </c>
    </row>
    <row r="93" spans="13:17" x14ac:dyDescent="0.2">
      <c r="M93" s="4">
        <v>2023</v>
      </c>
      <c r="N93" s="4" t="s">
        <v>13</v>
      </c>
      <c r="O93" s="4">
        <f>_xlfn.XLOOKUP(M93&amp;"-"&amp;N93,'Djøf Finance Workers'!D:D,'Djøf Finance Workers'!C:C,0,1)</f>
        <v>8433</v>
      </c>
      <c r="P93" s="4">
        <f>_xlfn.XLOOKUP(M93&amp;"-"&amp;N93,'Djøf Finance Hoppers'!D:D,'Djøf Finance Hoppers'!C:C,0,1)</f>
        <v>3662</v>
      </c>
      <c r="Q93" s="13">
        <f t="shared" si="8"/>
        <v>0.43424641290169574</v>
      </c>
    </row>
    <row r="94" spans="13:17" x14ac:dyDescent="0.2">
      <c r="M94" s="4">
        <v>2023</v>
      </c>
      <c r="N94" s="4" t="s">
        <v>14</v>
      </c>
      <c r="O94" s="4">
        <f>_xlfn.XLOOKUP(M94&amp;"-"&amp;N94,'Djøf Finance Workers'!D:D,'Djøf Finance Workers'!C:C,0,1)</f>
        <v>9786</v>
      </c>
      <c r="P94" s="4">
        <f>_xlfn.XLOOKUP(M94&amp;"-"&amp;N94,'Djøf Finance Hoppers'!D:D,'Djøf Finance Hoppers'!C:C,0,1)</f>
        <v>2878</v>
      </c>
      <c r="Q94" s="13">
        <f t="shared" si="8"/>
        <v>0.29409360310647864</v>
      </c>
    </row>
    <row r="95" spans="13:17" x14ac:dyDescent="0.2">
      <c r="M95" s="4">
        <v>2023</v>
      </c>
      <c r="N95" s="4" t="s">
        <v>15</v>
      </c>
      <c r="O95" s="4">
        <f>_xlfn.XLOOKUP(M95&amp;"-"&amp;N95,'Djøf Finance Workers'!D:D,'Djøf Finance Workers'!C:C,0,1)</f>
        <v>9648</v>
      </c>
      <c r="P95" s="4">
        <f>_xlfn.XLOOKUP(M95&amp;"-"&amp;N95,'Djøf Finance Hoppers'!D:D,'Djøf Finance Hoppers'!C:C,0,1)</f>
        <v>2160</v>
      </c>
      <c r="Q95" s="13">
        <f t="shared" si="8"/>
        <v>0.22388059701492538</v>
      </c>
    </row>
    <row r="96" spans="13:17" x14ac:dyDescent="0.2">
      <c r="M96" s="4">
        <v>2023</v>
      </c>
      <c r="N96" s="4" t="s">
        <v>16</v>
      </c>
      <c r="O96" s="4">
        <f>_xlfn.XLOOKUP(M96&amp;"-"&amp;N96,'Djøf Finance Workers'!D:D,'Djøf Finance Workers'!C:C,0,1)</f>
        <v>9770</v>
      </c>
      <c r="P96" s="4">
        <f>_xlfn.XLOOKUP(M96&amp;"-"&amp;N96,'Djøf Finance Hoppers'!D:D,'Djøf Finance Hoppers'!C:C,0,1)</f>
        <v>1983</v>
      </c>
      <c r="Q96" s="13">
        <f t="shared" si="8"/>
        <v>0.20296827021494371</v>
      </c>
    </row>
    <row r="97" spans="13:17" x14ac:dyDescent="0.2">
      <c r="M97" s="4">
        <v>2023</v>
      </c>
      <c r="N97" s="4" t="s">
        <v>17</v>
      </c>
      <c r="O97" s="4">
        <f>_xlfn.XLOOKUP(M97&amp;"-"&amp;N97,'Djøf Finance Workers'!D:D,'Djøf Finance Workers'!C:C,0,1)</f>
        <v>10262</v>
      </c>
      <c r="P97" s="4">
        <f>_xlfn.XLOOKUP(M97&amp;"-"&amp;N97,'Djøf Finance Hoppers'!D:D,'Djøf Finance Hoppers'!C:C,0,1)</f>
        <v>1798</v>
      </c>
      <c r="Q97" s="13">
        <f t="shared" si="8"/>
        <v>0.17520951081660496</v>
      </c>
    </row>
    <row r="98" spans="13:17" x14ac:dyDescent="0.2">
      <c r="M98" s="4">
        <v>2023</v>
      </c>
      <c r="N98" s="4" t="s">
        <v>18</v>
      </c>
      <c r="O98" s="4">
        <f>_xlfn.XLOOKUP(M98&amp;"-"&amp;N98,'Djøf Finance Workers'!D:D,'Djøf Finance Workers'!C:C,0,1)</f>
        <v>9513</v>
      </c>
      <c r="P98" s="4">
        <f>_xlfn.XLOOKUP(M98&amp;"-"&amp;N98,'Djøf Finance Hoppers'!D:D,'Djøf Finance Hoppers'!C:C,0,1)</f>
        <v>1564</v>
      </c>
      <c r="Q98" s="13">
        <f t="shared" si="8"/>
        <v>0.1644066014926942</v>
      </c>
    </row>
    <row r="99" spans="13:17" x14ac:dyDescent="0.2">
      <c r="M99" s="4">
        <v>2023</v>
      </c>
      <c r="N99" s="4" t="s">
        <v>19</v>
      </c>
      <c r="O99" s="4">
        <f>_xlfn.XLOOKUP(M99&amp;"-"&amp;N99,'Djøf Finance Workers'!D:D,'Djøf Finance Workers'!C:C,0,1)</f>
        <v>11614</v>
      </c>
      <c r="P99" s="4">
        <f>_xlfn.XLOOKUP(M99&amp;"-"&amp;N99,'Djøf Finance Hoppers'!D:D,'Djøf Finance Hoppers'!C:C,0,1)</f>
        <v>1583</v>
      </c>
      <c r="Q99" s="13">
        <f t="shared" si="8"/>
        <v>0.13630101601515413</v>
      </c>
    </row>
    <row r="100" spans="13:17" x14ac:dyDescent="0.2">
      <c r="M100" s="4">
        <v>2023</v>
      </c>
      <c r="N100" s="4" t="s">
        <v>20</v>
      </c>
      <c r="O100" s="4">
        <f>_xlfn.XLOOKUP(M100&amp;"-"&amp;N100,'Djøf Finance Workers'!D:D,'Djøf Finance Workers'!C:C,0,1)</f>
        <v>7443</v>
      </c>
      <c r="P100" s="4">
        <f>_xlfn.XLOOKUP(M100&amp;"-"&amp;N100,'Djøf Finance Hoppers'!D:D,'Djøf Finance Hoppers'!C:C,0,1)</f>
        <v>896</v>
      </c>
      <c r="Q100" s="13">
        <f t="shared" si="8"/>
        <v>0.12038156657261857</v>
      </c>
    </row>
    <row r="101" spans="13:17" x14ac:dyDescent="0.2">
      <c r="M101" s="4">
        <v>2023</v>
      </c>
      <c r="N101" s="4" t="s">
        <v>21</v>
      </c>
      <c r="O101" s="4">
        <f>_xlfn.XLOOKUP(M101&amp;"-"&amp;N101,'Djøf Finance Workers'!D:D,'Djøf Finance Workers'!C:C,0,1)</f>
        <v>3139</v>
      </c>
      <c r="P101" s="4">
        <f>_xlfn.XLOOKUP(M101&amp;"-"&amp;N101,'Djøf Finance Hoppers'!D:D,'Djøf Finance Hoppers'!C:C,0,1)</f>
        <v>0</v>
      </c>
      <c r="Q101" s="13">
        <f>IF(O101&gt;0, P101/O101, 0)</f>
        <v>0</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baseColWidth="10" defaultColWidth="8.83203125" defaultRowHeight="15" x14ac:dyDescent="0.2"/>
  <cols>
    <col min="2" max="2" width="13" customWidth="1"/>
    <col min="3" max="3" width="31" customWidth="1"/>
  </cols>
  <sheetData>
    <row r="1" spans="1:4" ht="25" thickBot="1" x14ac:dyDescent="0.35">
      <c r="A1" s="5" t="s">
        <v>40</v>
      </c>
      <c r="B1" s="6"/>
      <c r="C1" s="6"/>
    </row>
    <row r="2" spans="1:4" ht="16" thickTop="1" x14ac:dyDescent="0.2">
      <c r="C2" s="7" t="s">
        <v>7</v>
      </c>
    </row>
    <row r="3" spans="1:4" x14ac:dyDescent="0.2">
      <c r="C3" s="7" t="s">
        <v>41</v>
      </c>
    </row>
    <row r="4" spans="1:4" x14ac:dyDescent="0.2">
      <c r="C4" s="7" t="s">
        <v>8</v>
      </c>
    </row>
    <row r="5" spans="1:4" x14ac:dyDescent="0.2">
      <c r="C5" s="7" t="s">
        <v>9</v>
      </c>
    </row>
    <row r="6" spans="1:4" x14ac:dyDescent="0.2">
      <c r="C6" s="7" t="s">
        <v>10</v>
      </c>
    </row>
    <row r="7" spans="1:4" x14ac:dyDescent="0.2">
      <c r="C7" s="7" t="s">
        <v>42</v>
      </c>
    </row>
    <row r="8" spans="1:4" x14ac:dyDescent="0.2">
      <c r="A8" s="7" t="s">
        <v>22</v>
      </c>
      <c r="B8" s="7" t="s">
        <v>13</v>
      </c>
      <c r="C8" s="8">
        <v>3410</v>
      </c>
      <c r="D8" t="str">
        <f t="shared" ref="D8:D71" si="0">A8&amp;"-"&amp;B8</f>
        <v>2009-25-29 år</v>
      </c>
    </row>
    <row r="9" spans="1:4" x14ac:dyDescent="0.2">
      <c r="A9" s="7" t="s">
        <v>22</v>
      </c>
      <c r="B9" s="7" t="s">
        <v>14</v>
      </c>
      <c r="C9" s="8">
        <v>3525</v>
      </c>
      <c r="D9" t="str">
        <f t="shared" si="0"/>
        <v>2009-30-34 år</v>
      </c>
    </row>
    <row r="10" spans="1:4" x14ac:dyDescent="0.2">
      <c r="A10" s="7" t="s">
        <v>22</v>
      </c>
      <c r="B10" s="7" t="s">
        <v>15</v>
      </c>
      <c r="C10" s="8">
        <v>3090</v>
      </c>
      <c r="D10" t="str">
        <f t="shared" si="0"/>
        <v>2009-35-39 år</v>
      </c>
    </row>
    <row r="11" spans="1:4" x14ac:dyDescent="0.2">
      <c r="A11" s="7" t="s">
        <v>22</v>
      </c>
      <c r="B11" s="7" t="s">
        <v>16</v>
      </c>
      <c r="C11" s="8">
        <v>4180</v>
      </c>
      <c r="D11" t="str">
        <f t="shared" si="0"/>
        <v>2009-40-44 år</v>
      </c>
    </row>
    <row r="12" spans="1:4" x14ac:dyDescent="0.2">
      <c r="A12" s="7" t="s">
        <v>22</v>
      </c>
      <c r="B12" s="7" t="s">
        <v>17</v>
      </c>
      <c r="C12" s="8">
        <v>3533</v>
      </c>
      <c r="D12" t="str">
        <f t="shared" si="0"/>
        <v>2009-45-49 år</v>
      </c>
    </row>
    <row r="13" spans="1:4" x14ac:dyDescent="0.2">
      <c r="A13" s="7" t="s">
        <v>22</v>
      </c>
      <c r="B13" s="7" t="s">
        <v>18</v>
      </c>
      <c r="C13" s="8">
        <v>2940</v>
      </c>
      <c r="D13" t="str">
        <f t="shared" si="0"/>
        <v>2009-50-54 år</v>
      </c>
    </row>
    <row r="14" spans="1:4" x14ac:dyDescent="0.2">
      <c r="A14" s="7" t="s">
        <v>22</v>
      </c>
      <c r="B14" s="7" t="s">
        <v>19</v>
      </c>
      <c r="C14" s="8">
        <v>2419</v>
      </c>
      <c r="D14" t="str">
        <f t="shared" si="0"/>
        <v>2009-55-59 år</v>
      </c>
    </row>
    <row r="15" spans="1:4" x14ac:dyDescent="0.2">
      <c r="A15" s="7" t="s">
        <v>22</v>
      </c>
      <c r="B15" s="7" t="s">
        <v>20</v>
      </c>
      <c r="C15" s="8">
        <v>1263</v>
      </c>
      <c r="D15" t="str">
        <f t="shared" si="0"/>
        <v>2009-60-64 år</v>
      </c>
    </row>
    <row r="16" spans="1:4" x14ac:dyDescent="0.2">
      <c r="A16" s="7" t="s">
        <v>22</v>
      </c>
      <c r="B16" s="7" t="s">
        <v>43</v>
      </c>
      <c r="C16" s="8">
        <v>196</v>
      </c>
      <c r="D16" t="str">
        <f t="shared" si="0"/>
        <v>2009-65-69 år</v>
      </c>
    </row>
    <row r="17" spans="1:4" x14ac:dyDescent="0.2">
      <c r="A17" s="7" t="s">
        <v>23</v>
      </c>
      <c r="B17" s="7" t="s">
        <v>13</v>
      </c>
      <c r="C17" s="8">
        <v>2457</v>
      </c>
      <c r="D17" t="str">
        <f t="shared" si="0"/>
        <v>2010-25-29 år</v>
      </c>
    </row>
    <row r="18" spans="1:4" x14ac:dyDescent="0.2">
      <c r="A18" s="7" t="s">
        <v>23</v>
      </c>
      <c r="B18" s="7" t="s">
        <v>14</v>
      </c>
      <c r="C18" s="8">
        <v>2382</v>
      </c>
      <c r="D18" t="str">
        <f t="shared" si="0"/>
        <v>2010-30-34 år</v>
      </c>
    </row>
    <row r="19" spans="1:4" x14ac:dyDescent="0.2">
      <c r="A19" s="7" t="s">
        <v>23</v>
      </c>
      <c r="B19" s="7" t="s">
        <v>15</v>
      </c>
      <c r="C19" s="8">
        <v>1880</v>
      </c>
      <c r="D19" t="str">
        <f t="shared" si="0"/>
        <v>2010-35-39 år</v>
      </c>
    </row>
    <row r="20" spans="1:4" x14ac:dyDescent="0.2">
      <c r="A20" s="7" t="s">
        <v>23</v>
      </c>
      <c r="B20" s="7" t="s">
        <v>16</v>
      </c>
      <c r="C20" s="8">
        <v>2045</v>
      </c>
      <c r="D20" t="str">
        <f t="shared" si="0"/>
        <v>2010-40-44 år</v>
      </c>
    </row>
    <row r="21" spans="1:4" x14ac:dyDescent="0.2">
      <c r="A21" s="7" t="s">
        <v>23</v>
      </c>
      <c r="B21" s="7" t="s">
        <v>17</v>
      </c>
      <c r="C21" s="8">
        <v>1826</v>
      </c>
      <c r="D21" t="str">
        <f t="shared" si="0"/>
        <v>2010-45-49 år</v>
      </c>
    </row>
    <row r="22" spans="1:4" x14ac:dyDescent="0.2">
      <c r="A22" s="7" t="s">
        <v>23</v>
      </c>
      <c r="B22" s="7" t="s">
        <v>18</v>
      </c>
      <c r="C22" s="8">
        <v>1417</v>
      </c>
      <c r="D22" t="str">
        <f t="shared" si="0"/>
        <v>2010-50-54 år</v>
      </c>
    </row>
    <row r="23" spans="1:4" x14ac:dyDescent="0.2">
      <c r="A23" s="7" t="s">
        <v>23</v>
      </c>
      <c r="B23" s="7" t="s">
        <v>19</v>
      </c>
      <c r="C23" s="8">
        <v>1229</v>
      </c>
      <c r="D23" t="str">
        <f t="shared" si="0"/>
        <v>2010-55-59 år</v>
      </c>
    </row>
    <row r="24" spans="1:4" x14ac:dyDescent="0.2">
      <c r="A24" s="7" t="s">
        <v>23</v>
      </c>
      <c r="B24" s="7" t="s">
        <v>20</v>
      </c>
      <c r="C24" s="8">
        <v>712</v>
      </c>
      <c r="D24" t="str">
        <f t="shared" si="0"/>
        <v>2010-60-64 år</v>
      </c>
    </row>
    <row r="25" spans="1:4" x14ac:dyDescent="0.2">
      <c r="A25" s="7" t="s">
        <v>23</v>
      </c>
      <c r="B25" s="7" t="s">
        <v>43</v>
      </c>
      <c r="C25" s="8">
        <v>220</v>
      </c>
      <c r="D25" t="str">
        <f t="shared" si="0"/>
        <v>2010-65-69 år</v>
      </c>
    </row>
    <row r="26" spans="1:4" x14ac:dyDescent="0.2">
      <c r="A26" s="7" t="s">
        <v>24</v>
      </c>
      <c r="B26" s="7" t="s">
        <v>13</v>
      </c>
      <c r="C26" s="8">
        <v>2791</v>
      </c>
      <c r="D26" t="str">
        <f t="shared" si="0"/>
        <v>2011-25-29 år</v>
      </c>
    </row>
    <row r="27" spans="1:4" x14ac:dyDescent="0.2">
      <c r="A27" s="7" t="s">
        <v>24</v>
      </c>
      <c r="B27" s="7" t="s">
        <v>14</v>
      </c>
      <c r="C27" s="8">
        <v>2600</v>
      </c>
      <c r="D27" t="str">
        <f t="shared" si="0"/>
        <v>2011-30-34 år</v>
      </c>
    </row>
    <row r="28" spans="1:4" x14ac:dyDescent="0.2">
      <c r="A28" s="7" t="s">
        <v>24</v>
      </c>
      <c r="B28" s="7" t="s">
        <v>15</v>
      </c>
      <c r="C28" s="8">
        <v>2164</v>
      </c>
      <c r="D28" t="str">
        <f t="shared" si="0"/>
        <v>2011-35-39 år</v>
      </c>
    </row>
    <row r="29" spans="1:4" x14ac:dyDescent="0.2">
      <c r="A29" s="7" t="s">
        <v>24</v>
      </c>
      <c r="B29" s="7" t="s">
        <v>16</v>
      </c>
      <c r="C29" s="8">
        <v>2134</v>
      </c>
      <c r="D29" t="str">
        <f t="shared" si="0"/>
        <v>2011-40-44 år</v>
      </c>
    </row>
    <row r="30" spans="1:4" x14ac:dyDescent="0.2">
      <c r="A30" s="7" t="s">
        <v>24</v>
      </c>
      <c r="B30" s="7" t="s">
        <v>17</v>
      </c>
      <c r="C30" s="8">
        <v>2030</v>
      </c>
      <c r="D30" t="str">
        <f t="shared" si="0"/>
        <v>2011-45-49 år</v>
      </c>
    </row>
    <row r="31" spans="1:4" x14ac:dyDescent="0.2">
      <c r="A31" s="7" t="s">
        <v>24</v>
      </c>
      <c r="B31" s="7" t="s">
        <v>18</v>
      </c>
      <c r="C31" s="8">
        <v>1660</v>
      </c>
      <c r="D31" t="str">
        <f t="shared" si="0"/>
        <v>2011-50-54 år</v>
      </c>
    </row>
    <row r="32" spans="1:4" x14ac:dyDescent="0.2">
      <c r="A32" s="7" t="s">
        <v>24</v>
      </c>
      <c r="B32" s="7" t="s">
        <v>19</v>
      </c>
      <c r="C32" s="8">
        <v>1415</v>
      </c>
      <c r="D32" t="str">
        <f t="shared" si="0"/>
        <v>2011-55-59 år</v>
      </c>
    </row>
    <row r="33" spans="1:4" x14ac:dyDescent="0.2">
      <c r="A33" s="7" t="s">
        <v>24</v>
      </c>
      <c r="B33" s="7" t="s">
        <v>20</v>
      </c>
      <c r="C33" s="8">
        <v>726</v>
      </c>
      <c r="D33" t="str">
        <f t="shared" si="0"/>
        <v>2011-60-64 år</v>
      </c>
    </row>
    <row r="34" spans="1:4" x14ac:dyDescent="0.2">
      <c r="A34" s="7" t="s">
        <v>24</v>
      </c>
      <c r="B34" s="7" t="s">
        <v>43</v>
      </c>
      <c r="C34" s="8">
        <v>197</v>
      </c>
      <c r="D34" t="str">
        <f t="shared" si="0"/>
        <v>2011-65-69 år</v>
      </c>
    </row>
    <row r="35" spans="1:4" x14ac:dyDescent="0.2">
      <c r="A35" s="7" t="s">
        <v>25</v>
      </c>
      <c r="B35" s="7" t="s">
        <v>13</v>
      </c>
      <c r="C35" s="8">
        <v>2457</v>
      </c>
      <c r="D35" t="str">
        <f t="shared" si="0"/>
        <v>2012-25-29 år</v>
      </c>
    </row>
    <row r="36" spans="1:4" x14ac:dyDescent="0.2">
      <c r="A36" s="7" t="s">
        <v>25</v>
      </c>
      <c r="B36" s="7" t="s">
        <v>14</v>
      </c>
      <c r="C36" s="8">
        <v>2116</v>
      </c>
      <c r="D36" t="str">
        <f t="shared" si="0"/>
        <v>2012-30-34 år</v>
      </c>
    </row>
    <row r="37" spans="1:4" x14ac:dyDescent="0.2">
      <c r="A37" s="7" t="s">
        <v>25</v>
      </c>
      <c r="B37" s="7" t="s">
        <v>15</v>
      </c>
      <c r="C37" s="8">
        <v>1935</v>
      </c>
      <c r="D37" t="str">
        <f t="shared" si="0"/>
        <v>2012-35-39 år</v>
      </c>
    </row>
    <row r="38" spans="1:4" x14ac:dyDescent="0.2">
      <c r="A38" s="7" t="s">
        <v>25</v>
      </c>
      <c r="B38" s="7" t="s">
        <v>16</v>
      </c>
      <c r="C38" s="8">
        <v>1734</v>
      </c>
      <c r="D38" t="str">
        <f t="shared" si="0"/>
        <v>2012-40-44 år</v>
      </c>
    </row>
    <row r="39" spans="1:4" x14ac:dyDescent="0.2">
      <c r="A39" s="7" t="s">
        <v>25</v>
      </c>
      <c r="B39" s="7" t="s">
        <v>17</v>
      </c>
      <c r="C39" s="8">
        <v>1913</v>
      </c>
      <c r="D39" t="str">
        <f t="shared" si="0"/>
        <v>2012-45-49 år</v>
      </c>
    </row>
    <row r="40" spans="1:4" x14ac:dyDescent="0.2">
      <c r="A40" s="7" t="s">
        <v>25</v>
      </c>
      <c r="B40" s="7" t="s">
        <v>18</v>
      </c>
      <c r="C40" s="8">
        <v>1465</v>
      </c>
      <c r="D40" t="str">
        <f t="shared" si="0"/>
        <v>2012-50-54 år</v>
      </c>
    </row>
    <row r="41" spans="1:4" x14ac:dyDescent="0.2">
      <c r="A41" s="7" t="s">
        <v>25</v>
      </c>
      <c r="B41" s="7" t="s">
        <v>19</v>
      </c>
      <c r="C41" s="8">
        <v>1254</v>
      </c>
      <c r="D41" t="str">
        <f t="shared" si="0"/>
        <v>2012-55-59 år</v>
      </c>
    </row>
    <row r="42" spans="1:4" x14ac:dyDescent="0.2">
      <c r="A42" s="7" t="s">
        <v>25</v>
      </c>
      <c r="B42" s="7" t="s">
        <v>20</v>
      </c>
      <c r="C42" s="8">
        <v>718</v>
      </c>
      <c r="D42" t="str">
        <f t="shared" si="0"/>
        <v>2012-60-64 år</v>
      </c>
    </row>
    <row r="43" spans="1:4" x14ac:dyDescent="0.2">
      <c r="A43" s="7" t="s">
        <v>25</v>
      </c>
      <c r="B43" s="7" t="s">
        <v>43</v>
      </c>
      <c r="C43" s="8">
        <v>208</v>
      </c>
      <c r="D43" t="str">
        <f t="shared" si="0"/>
        <v>2012-65-69 år</v>
      </c>
    </row>
    <row r="44" spans="1:4" x14ac:dyDescent="0.2">
      <c r="A44" s="7" t="s">
        <v>26</v>
      </c>
      <c r="B44" s="7" t="s">
        <v>13</v>
      </c>
      <c r="C44" s="8">
        <v>2524</v>
      </c>
      <c r="D44" t="str">
        <f t="shared" si="0"/>
        <v>2013-25-29 år</v>
      </c>
    </row>
    <row r="45" spans="1:4" x14ac:dyDescent="0.2">
      <c r="A45" s="7" t="s">
        <v>26</v>
      </c>
      <c r="B45" s="7" t="s">
        <v>14</v>
      </c>
      <c r="C45" s="8">
        <v>2176</v>
      </c>
      <c r="D45" t="str">
        <f t="shared" si="0"/>
        <v>2013-30-34 år</v>
      </c>
    </row>
    <row r="46" spans="1:4" x14ac:dyDescent="0.2">
      <c r="A46" s="7" t="s">
        <v>26</v>
      </c>
      <c r="B46" s="7" t="s">
        <v>15</v>
      </c>
      <c r="C46" s="8">
        <v>1896</v>
      </c>
      <c r="D46" t="str">
        <f t="shared" si="0"/>
        <v>2013-35-39 år</v>
      </c>
    </row>
    <row r="47" spans="1:4" x14ac:dyDescent="0.2">
      <c r="A47" s="7" t="s">
        <v>26</v>
      </c>
      <c r="B47" s="7" t="s">
        <v>16</v>
      </c>
      <c r="C47" s="8">
        <v>1579</v>
      </c>
      <c r="D47" t="str">
        <f t="shared" si="0"/>
        <v>2013-40-44 år</v>
      </c>
    </row>
    <row r="48" spans="1:4" x14ac:dyDescent="0.2">
      <c r="A48" s="7" t="s">
        <v>26</v>
      </c>
      <c r="B48" s="7" t="s">
        <v>17</v>
      </c>
      <c r="C48" s="8">
        <v>1915</v>
      </c>
      <c r="D48" t="str">
        <f t="shared" si="0"/>
        <v>2013-45-49 år</v>
      </c>
    </row>
    <row r="49" spans="1:4" x14ac:dyDescent="0.2">
      <c r="A49" s="7" t="s">
        <v>26</v>
      </c>
      <c r="B49" s="7" t="s">
        <v>18</v>
      </c>
      <c r="C49" s="8">
        <v>1462</v>
      </c>
      <c r="D49" t="str">
        <f t="shared" si="0"/>
        <v>2013-50-54 år</v>
      </c>
    </row>
    <row r="50" spans="1:4" x14ac:dyDescent="0.2">
      <c r="A50" s="7" t="s">
        <v>26</v>
      </c>
      <c r="B50" s="7" t="s">
        <v>19</v>
      </c>
      <c r="C50" s="8">
        <v>1227</v>
      </c>
      <c r="D50" t="str">
        <f t="shared" si="0"/>
        <v>2013-55-59 år</v>
      </c>
    </row>
    <row r="51" spans="1:4" x14ac:dyDescent="0.2">
      <c r="A51" s="7" t="s">
        <v>26</v>
      </c>
      <c r="B51" s="7" t="s">
        <v>20</v>
      </c>
      <c r="C51" s="8">
        <v>667</v>
      </c>
      <c r="D51" t="str">
        <f t="shared" si="0"/>
        <v>2013-60-64 år</v>
      </c>
    </row>
    <row r="52" spans="1:4" x14ac:dyDescent="0.2">
      <c r="A52" s="7" t="s">
        <v>26</v>
      </c>
      <c r="B52" s="7" t="s">
        <v>43</v>
      </c>
      <c r="C52" s="8">
        <v>224</v>
      </c>
      <c r="D52" t="str">
        <f t="shared" si="0"/>
        <v>2013-65-69 år</v>
      </c>
    </row>
    <row r="53" spans="1:4" x14ac:dyDescent="0.2">
      <c r="A53" s="7" t="s">
        <v>27</v>
      </c>
      <c r="B53" s="7" t="s">
        <v>13</v>
      </c>
      <c r="C53" s="8">
        <v>2521</v>
      </c>
      <c r="D53" t="str">
        <f t="shared" si="0"/>
        <v>2014-25-29 år</v>
      </c>
    </row>
    <row r="54" spans="1:4" x14ac:dyDescent="0.2">
      <c r="A54" s="7" t="s">
        <v>27</v>
      </c>
      <c r="B54" s="7" t="s">
        <v>14</v>
      </c>
      <c r="C54" s="8">
        <v>2178</v>
      </c>
      <c r="D54" t="str">
        <f t="shared" si="0"/>
        <v>2014-30-34 år</v>
      </c>
    </row>
    <row r="55" spans="1:4" x14ac:dyDescent="0.2">
      <c r="A55" s="7" t="s">
        <v>27</v>
      </c>
      <c r="B55" s="7" t="s">
        <v>15</v>
      </c>
      <c r="C55" s="8">
        <v>2066</v>
      </c>
      <c r="D55" t="str">
        <f t="shared" si="0"/>
        <v>2014-35-39 år</v>
      </c>
    </row>
    <row r="56" spans="1:4" x14ac:dyDescent="0.2">
      <c r="A56" s="7" t="s">
        <v>27</v>
      </c>
      <c r="B56" s="7" t="s">
        <v>16</v>
      </c>
      <c r="C56" s="8">
        <v>1647</v>
      </c>
      <c r="D56" t="str">
        <f t="shared" si="0"/>
        <v>2014-40-44 år</v>
      </c>
    </row>
    <row r="57" spans="1:4" x14ac:dyDescent="0.2">
      <c r="A57" s="7" t="s">
        <v>27</v>
      </c>
      <c r="B57" s="7" t="s">
        <v>17</v>
      </c>
      <c r="C57" s="8">
        <v>1953</v>
      </c>
      <c r="D57" t="str">
        <f t="shared" si="0"/>
        <v>2014-45-49 år</v>
      </c>
    </row>
    <row r="58" spans="1:4" x14ac:dyDescent="0.2">
      <c r="A58" s="7" t="s">
        <v>27</v>
      </c>
      <c r="B58" s="7" t="s">
        <v>18</v>
      </c>
      <c r="C58" s="8">
        <v>1636</v>
      </c>
      <c r="D58" t="str">
        <f t="shared" si="0"/>
        <v>2014-50-54 år</v>
      </c>
    </row>
    <row r="59" spans="1:4" x14ac:dyDescent="0.2">
      <c r="A59" s="7" t="s">
        <v>27</v>
      </c>
      <c r="B59" s="7" t="s">
        <v>19</v>
      </c>
      <c r="C59" s="8">
        <v>1231</v>
      </c>
      <c r="D59" t="str">
        <f t="shared" si="0"/>
        <v>2014-55-59 år</v>
      </c>
    </row>
    <row r="60" spans="1:4" x14ac:dyDescent="0.2">
      <c r="A60" s="7" t="s">
        <v>27</v>
      </c>
      <c r="B60" s="7" t="s">
        <v>20</v>
      </c>
      <c r="C60" s="8">
        <v>706</v>
      </c>
      <c r="D60" t="str">
        <f t="shared" si="0"/>
        <v>2014-60-64 år</v>
      </c>
    </row>
    <row r="61" spans="1:4" x14ac:dyDescent="0.2">
      <c r="A61" s="7" t="s">
        <v>27</v>
      </c>
      <c r="B61" s="7" t="s">
        <v>43</v>
      </c>
      <c r="C61" s="8">
        <v>204</v>
      </c>
      <c r="D61" t="str">
        <f t="shared" si="0"/>
        <v>2014-65-69 år</v>
      </c>
    </row>
    <row r="62" spans="1:4" x14ac:dyDescent="0.2">
      <c r="A62" s="7" t="s">
        <v>28</v>
      </c>
      <c r="B62" s="7" t="s">
        <v>13</v>
      </c>
      <c r="C62" s="8">
        <v>2715</v>
      </c>
      <c r="D62" t="str">
        <f t="shared" si="0"/>
        <v>2015-25-29 år</v>
      </c>
    </row>
    <row r="63" spans="1:4" x14ac:dyDescent="0.2">
      <c r="A63" s="7" t="s">
        <v>28</v>
      </c>
      <c r="B63" s="7" t="s">
        <v>14</v>
      </c>
      <c r="C63" s="8">
        <v>2473</v>
      </c>
      <c r="D63" t="str">
        <f t="shared" si="0"/>
        <v>2015-30-34 år</v>
      </c>
    </row>
    <row r="64" spans="1:4" x14ac:dyDescent="0.2">
      <c r="A64" s="7" t="s">
        <v>28</v>
      </c>
      <c r="B64" s="7" t="s">
        <v>15</v>
      </c>
      <c r="C64" s="8">
        <v>2378</v>
      </c>
      <c r="D64" t="str">
        <f t="shared" si="0"/>
        <v>2015-35-39 år</v>
      </c>
    </row>
    <row r="65" spans="1:4" x14ac:dyDescent="0.2">
      <c r="A65" s="7" t="s">
        <v>28</v>
      </c>
      <c r="B65" s="7" t="s">
        <v>16</v>
      </c>
      <c r="C65" s="8">
        <v>1902</v>
      </c>
      <c r="D65" t="str">
        <f t="shared" si="0"/>
        <v>2015-40-44 år</v>
      </c>
    </row>
    <row r="66" spans="1:4" x14ac:dyDescent="0.2">
      <c r="A66" s="7" t="s">
        <v>28</v>
      </c>
      <c r="B66" s="7" t="s">
        <v>17</v>
      </c>
      <c r="C66" s="8">
        <v>2085</v>
      </c>
      <c r="D66" t="str">
        <f t="shared" si="0"/>
        <v>2015-45-49 år</v>
      </c>
    </row>
    <row r="67" spans="1:4" x14ac:dyDescent="0.2">
      <c r="A67" s="7" t="s">
        <v>28</v>
      </c>
      <c r="B67" s="7" t="s">
        <v>18</v>
      </c>
      <c r="C67" s="8">
        <v>1717</v>
      </c>
      <c r="D67" t="str">
        <f t="shared" si="0"/>
        <v>2015-50-54 år</v>
      </c>
    </row>
    <row r="68" spans="1:4" x14ac:dyDescent="0.2">
      <c r="A68" s="7" t="s">
        <v>28</v>
      </c>
      <c r="B68" s="7" t="s">
        <v>19</v>
      </c>
      <c r="C68" s="8">
        <v>1226</v>
      </c>
      <c r="D68" t="str">
        <f t="shared" si="0"/>
        <v>2015-55-59 år</v>
      </c>
    </row>
    <row r="69" spans="1:4" x14ac:dyDescent="0.2">
      <c r="A69" s="7" t="s">
        <v>28</v>
      </c>
      <c r="B69" s="7" t="s">
        <v>20</v>
      </c>
      <c r="C69" s="8">
        <v>583</v>
      </c>
      <c r="D69" t="str">
        <f t="shared" si="0"/>
        <v>2015-60-64 år</v>
      </c>
    </row>
    <row r="70" spans="1:4" x14ac:dyDescent="0.2">
      <c r="A70" s="7" t="s">
        <v>28</v>
      </c>
      <c r="B70" s="7" t="s">
        <v>43</v>
      </c>
      <c r="C70" s="8">
        <v>211</v>
      </c>
      <c r="D70" t="str">
        <f t="shared" si="0"/>
        <v>2015-65-69 år</v>
      </c>
    </row>
    <row r="71" spans="1:4" x14ac:dyDescent="0.2">
      <c r="A71" s="7" t="s">
        <v>29</v>
      </c>
      <c r="B71" s="7" t="s">
        <v>13</v>
      </c>
      <c r="C71" s="8">
        <v>3005</v>
      </c>
      <c r="D71" t="str">
        <f t="shared" si="0"/>
        <v>2016-25-29 år</v>
      </c>
    </row>
    <row r="72" spans="1:4" x14ac:dyDescent="0.2">
      <c r="A72" s="7" t="s">
        <v>29</v>
      </c>
      <c r="B72" s="7" t="s">
        <v>14</v>
      </c>
      <c r="C72" s="8">
        <v>2584</v>
      </c>
      <c r="D72" t="str">
        <f t="shared" ref="D72:D135" si="1">A72&amp;"-"&amp;B72</f>
        <v>2016-30-34 år</v>
      </c>
    </row>
    <row r="73" spans="1:4" x14ac:dyDescent="0.2">
      <c r="A73" s="7" t="s">
        <v>29</v>
      </c>
      <c r="B73" s="7" t="s">
        <v>15</v>
      </c>
      <c r="C73" s="8">
        <v>2311</v>
      </c>
      <c r="D73" t="str">
        <f t="shared" si="1"/>
        <v>2016-35-39 år</v>
      </c>
    </row>
    <row r="74" spans="1:4" x14ac:dyDescent="0.2">
      <c r="A74" s="7" t="s">
        <v>29</v>
      </c>
      <c r="B74" s="7" t="s">
        <v>16</v>
      </c>
      <c r="C74" s="8">
        <v>2111</v>
      </c>
      <c r="D74" t="str">
        <f t="shared" si="1"/>
        <v>2016-40-44 år</v>
      </c>
    </row>
    <row r="75" spans="1:4" x14ac:dyDescent="0.2">
      <c r="A75" s="7" t="s">
        <v>29</v>
      </c>
      <c r="B75" s="7" t="s">
        <v>17</v>
      </c>
      <c r="C75" s="8">
        <v>2000</v>
      </c>
      <c r="D75" t="str">
        <f t="shared" si="1"/>
        <v>2016-45-49 år</v>
      </c>
    </row>
    <row r="76" spans="1:4" x14ac:dyDescent="0.2">
      <c r="A76" s="7" t="s">
        <v>29</v>
      </c>
      <c r="B76" s="7" t="s">
        <v>18</v>
      </c>
      <c r="C76" s="8">
        <v>1808</v>
      </c>
      <c r="D76" t="str">
        <f t="shared" si="1"/>
        <v>2016-50-54 år</v>
      </c>
    </row>
    <row r="77" spans="1:4" x14ac:dyDescent="0.2">
      <c r="A77" s="7" t="s">
        <v>29</v>
      </c>
      <c r="B77" s="7" t="s">
        <v>19</v>
      </c>
      <c r="C77" s="8">
        <v>1301</v>
      </c>
      <c r="D77" t="str">
        <f t="shared" si="1"/>
        <v>2016-55-59 år</v>
      </c>
    </row>
    <row r="78" spans="1:4" x14ac:dyDescent="0.2">
      <c r="A78" s="7" t="s">
        <v>29</v>
      </c>
      <c r="B78" s="7" t="s">
        <v>20</v>
      </c>
      <c r="C78" s="8">
        <v>708</v>
      </c>
      <c r="D78" t="str">
        <f t="shared" si="1"/>
        <v>2016-60-64 år</v>
      </c>
    </row>
    <row r="79" spans="1:4" x14ac:dyDescent="0.2">
      <c r="A79" s="7" t="s">
        <v>29</v>
      </c>
      <c r="B79" s="7" t="s">
        <v>43</v>
      </c>
      <c r="C79" s="8">
        <v>183</v>
      </c>
      <c r="D79" t="str">
        <f t="shared" si="1"/>
        <v>2016-65-69 år</v>
      </c>
    </row>
    <row r="80" spans="1:4" x14ac:dyDescent="0.2">
      <c r="A80" s="7" t="s">
        <v>30</v>
      </c>
      <c r="B80" s="7" t="s">
        <v>13</v>
      </c>
      <c r="C80" s="8">
        <v>3106</v>
      </c>
      <c r="D80" t="str">
        <f t="shared" si="1"/>
        <v>2017-25-29 år</v>
      </c>
    </row>
    <row r="81" spans="1:4" x14ac:dyDescent="0.2">
      <c r="A81" s="7" t="s">
        <v>30</v>
      </c>
      <c r="B81" s="7" t="s">
        <v>14</v>
      </c>
      <c r="C81" s="8">
        <v>2692</v>
      </c>
      <c r="D81" t="str">
        <f t="shared" si="1"/>
        <v>2017-30-34 år</v>
      </c>
    </row>
    <row r="82" spans="1:4" x14ac:dyDescent="0.2">
      <c r="A82" s="7" t="s">
        <v>30</v>
      </c>
      <c r="B82" s="7" t="s">
        <v>15</v>
      </c>
      <c r="C82" s="8">
        <v>2452</v>
      </c>
      <c r="D82" t="str">
        <f t="shared" si="1"/>
        <v>2017-35-39 år</v>
      </c>
    </row>
    <row r="83" spans="1:4" x14ac:dyDescent="0.2">
      <c r="A83" s="7" t="s">
        <v>30</v>
      </c>
      <c r="B83" s="7" t="s">
        <v>16</v>
      </c>
      <c r="C83" s="8">
        <v>2105</v>
      </c>
      <c r="D83" t="str">
        <f t="shared" si="1"/>
        <v>2017-40-44 år</v>
      </c>
    </row>
    <row r="84" spans="1:4" x14ac:dyDescent="0.2">
      <c r="A84" s="7" t="s">
        <v>30</v>
      </c>
      <c r="B84" s="7" t="s">
        <v>17</v>
      </c>
      <c r="C84" s="8">
        <v>1892</v>
      </c>
      <c r="D84" t="str">
        <f t="shared" si="1"/>
        <v>2017-45-49 år</v>
      </c>
    </row>
    <row r="85" spans="1:4" x14ac:dyDescent="0.2">
      <c r="A85" s="7" t="s">
        <v>30</v>
      </c>
      <c r="B85" s="7" t="s">
        <v>18</v>
      </c>
      <c r="C85" s="8">
        <v>2042</v>
      </c>
      <c r="D85" t="str">
        <f t="shared" si="1"/>
        <v>2017-50-54 år</v>
      </c>
    </row>
    <row r="86" spans="1:4" x14ac:dyDescent="0.2">
      <c r="A86" s="7" t="s">
        <v>30</v>
      </c>
      <c r="B86" s="7" t="s">
        <v>19</v>
      </c>
      <c r="C86" s="8">
        <v>1410</v>
      </c>
      <c r="D86" t="str">
        <f t="shared" si="1"/>
        <v>2017-55-59 år</v>
      </c>
    </row>
    <row r="87" spans="1:4" x14ac:dyDescent="0.2">
      <c r="A87" s="7" t="s">
        <v>30</v>
      </c>
      <c r="B87" s="7" t="s">
        <v>20</v>
      </c>
      <c r="C87" s="8">
        <v>757</v>
      </c>
      <c r="D87" t="str">
        <f t="shared" si="1"/>
        <v>2017-60-64 år</v>
      </c>
    </row>
    <row r="88" spans="1:4" x14ac:dyDescent="0.2">
      <c r="A88" s="7" t="s">
        <v>30</v>
      </c>
      <c r="B88" s="7" t="s">
        <v>43</v>
      </c>
      <c r="C88" s="8">
        <v>194</v>
      </c>
      <c r="D88" t="str">
        <f t="shared" si="1"/>
        <v>2017-65-69 år</v>
      </c>
    </row>
    <row r="89" spans="1:4" x14ac:dyDescent="0.2">
      <c r="A89" s="7" t="s">
        <v>31</v>
      </c>
      <c r="B89" s="7" t="s">
        <v>13</v>
      </c>
      <c r="C89" s="8">
        <v>3149</v>
      </c>
      <c r="D89" t="str">
        <f t="shared" si="1"/>
        <v>2018-25-29 år</v>
      </c>
    </row>
    <row r="90" spans="1:4" x14ac:dyDescent="0.2">
      <c r="A90" s="7" t="s">
        <v>31</v>
      </c>
      <c r="B90" s="7" t="s">
        <v>14</v>
      </c>
      <c r="C90" s="8">
        <v>2658</v>
      </c>
      <c r="D90" t="str">
        <f t="shared" si="1"/>
        <v>2018-30-34 år</v>
      </c>
    </row>
    <row r="91" spans="1:4" x14ac:dyDescent="0.2">
      <c r="A91" s="7" t="s">
        <v>31</v>
      </c>
      <c r="B91" s="7" t="s">
        <v>15</v>
      </c>
      <c r="C91" s="8">
        <v>2333</v>
      </c>
      <c r="D91" t="str">
        <f t="shared" si="1"/>
        <v>2018-35-39 år</v>
      </c>
    </row>
    <row r="92" spans="1:4" x14ac:dyDescent="0.2">
      <c r="A92" s="7" t="s">
        <v>31</v>
      </c>
      <c r="B92" s="7" t="s">
        <v>16</v>
      </c>
      <c r="C92" s="8">
        <v>2068</v>
      </c>
      <c r="D92" t="str">
        <f t="shared" si="1"/>
        <v>2018-40-44 år</v>
      </c>
    </row>
    <row r="93" spans="1:4" x14ac:dyDescent="0.2">
      <c r="A93" s="7" t="s">
        <v>31</v>
      </c>
      <c r="B93" s="7" t="s">
        <v>17</v>
      </c>
      <c r="C93" s="8">
        <v>1770</v>
      </c>
      <c r="D93" t="str">
        <f t="shared" si="1"/>
        <v>2018-45-49 år</v>
      </c>
    </row>
    <row r="94" spans="1:4" x14ac:dyDescent="0.2">
      <c r="A94" s="7" t="s">
        <v>31</v>
      </c>
      <c r="B94" s="7" t="s">
        <v>18</v>
      </c>
      <c r="C94" s="8">
        <v>2055</v>
      </c>
      <c r="D94" t="str">
        <f t="shared" si="1"/>
        <v>2018-50-54 år</v>
      </c>
    </row>
    <row r="95" spans="1:4" x14ac:dyDescent="0.2">
      <c r="A95" s="7" t="s">
        <v>31</v>
      </c>
      <c r="B95" s="7" t="s">
        <v>19</v>
      </c>
      <c r="C95" s="8">
        <v>1415</v>
      </c>
      <c r="D95" t="str">
        <f t="shared" si="1"/>
        <v>2018-55-59 år</v>
      </c>
    </row>
    <row r="96" spans="1:4" x14ac:dyDescent="0.2">
      <c r="A96" s="7" t="s">
        <v>31</v>
      </c>
      <c r="B96" s="7" t="s">
        <v>20</v>
      </c>
      <c r="C96" s="8">
        <v>681</v>
      </c>
      <c r="D96" t="str">
        <f t="shared" si="1"/>
        <v>2018-60-64 år</v>
      </c>
    </row>
    <row r="97" spans="1:4" x14ac:dyDescent="0.2">
      <c r="A97" s="7" t="s">
        <v>31</v>
      </c>
      <c r="B97" s="7" t="s">
        <v>43</v>
      </c>
      <c r="C97" s="8">
        <v>174</v>
      </c>
      <c r="D97" t="str">
        <f t="shared" si="1"/>
        <v>2018-65-69 år</v>
      </c>
    </row>
    <row r="98" spans="1:4" x14ac:dyDescent="0.2">
      <c r="A98" s="7" t="s">
        <v>32</v>
      </c>
      <c r="B98" s="7" t="s">
        <v>13</v>
      </c>
      <c r="C98" s="8">
        <v>3477</v>
      </c>
      <c r="D98" t="str">
        <f t="shared" si="1"/>
        <v>2019-25-29 år</v>
      </c>
    </row>
    <row r="99" spans="1:4" x14ac:dyDescent="0.2">
      <c r="A99" s="7" t="s">
        <v>32</v>
      </c>
      <c r="B99" s="7" t="s">
        <v>14</v>
      </c>
      <c r="C99" s="8">
        <v>2839</v>
      </c>
      <c r="D99" t="str">
        <f t="shared" si="1"/>
        <v>2019-30-34 år</v>
      </c>
    </row>
    <row r="100" spans="1:4" x14ac:dyDescent="0.2">
      <c r="A100" s="7" t="s">
        <v>32</v>
      </c>
      <c r="B100" s="7" t="s">
        <v>15</v>
      </c>
      <c r="C100" s="8">
        <v>2298</v>
      </c>
      <c r="D100" t="str">
        <f t="shared" si="1"/>
        <v>2019-35-39 år</v>
      </c>
    </row>
    <row r="101" spans="1:4" x14ac:dyDescent="0.2">
      <c r="A101" s="7" t="s">
        <v>32</v>
      </c>
      <c r="B101" s="7" t="s">
        <v>16</v>
      </c>
      <c r="C101" s="8">
        <v>2100</v>
      </c>
      <c r="D101" t="str">
        <f t="shared" si="1"/>
        <v>2019-40-44 år</v>
      </c>
    </row>
    <row r="102" spans="1:4" x14ac:dyDescent="0.2">
      <c r="A102" s="7" t="s">
        <v>32</v>
      </c>
      <c r="B102" s="7" t="s">
        <v>17</v>
      </c>
      <c r="C102" s="8">
        <v>1802</v>
      </c>
      <c r="D102" t="str">
        <f t="shared" si="1"/>
        <v>2019-45-49 år</v>
      </c>
    </row>
    <row r="103" spans="1:4" x14ac:dyDescent="0.2">
      <c r="A103" s="7" t="s">
        <v>32</v>
      </c>
      <c r="B103" s="7" t="s">
        <v>18</v>
      </c>
      <c r="C103" s="8">
        <v>2054</v>
      </c>
      <c r="D103" t="str">
        <f t="shared" si="1"/>
        <v>2019-50-54 år</v>
      </c>
    </row>
    <row r="104" spans="1:4" x14ac:dyDescent="0.2">
      <c r="A104" s="7" t="s">
        <v>32</v>
      </c>
      <c r="B104" s="7" t="s">
        <v>19</v>
      </c>
      <c r="C104" s="8">
        <v>1383</v>
      </c>
      <c r="D104" t="str">
        <f t="shared" si="1"/>
        <v>2019-55-59 år</v>
      </c>
    </row>
    <row r="105" spans="1:4" x14ac:dyDescent="0.2">
      <c r="A105" s="7" t="s">
        <v>32</v>
      </c>
      <c r="B105" s="7" t="s">
        <v>20</v>
      </c>
      <c r="C105" s="8">
        <v>791</v>
      </c>
      <c r="D105" t="str">
        <f t="shared" si="1"/>
        <v>2019-60-64 år</v>
      </c>
    </row>
    <row r="106" spans="1:4" x14ac:dyDescent="0.2">
      <c r="A106" s="7" t="s">
        <v>32</v>
      </c>
      <c r="B106" s="7" t="s">
        <v>43</v>
      </c>
      <c r="C106" s="8">
        <v>188</v>
      </c>
      <c r="D106" t="str">
        <f t="shared" si="1"/>
        <v>2019-65-69 år</v>
      </c>
    </row>
    <row r="107" spans="1:4" x14ac:dyDescent="0.2">
      <c r="A107" s="7" t="s">
        <v>33</v>
      </c>
      <c r="B107" s="7" t="s">
        <v>13</v>
      </c>
      <c r="C107" s="8">
        <v>3028</v>
      </c>
      <c r="D107" t="str">
        <f t="shared" si="1"/>
        <v>2020-25-29 år</v>
      </c>
    </row>
    <row r="108" spans="1:4" x14ac:dyDescent="0.2">
      <c r="A108" s="7" t="s">
        <v>33</v>
      </c>
      <c r="B108" s="7" t="s">
        <v>14</v>
      </c>
      <c r="C108" s="8">
        <v>2339</v>
      </c>
      <c r="D108" t="str">
        <f t="shared" si="1"/>
        <v>2020-30-34 år</v>
      </c>
    </row>
    <row r="109" spans="1:4" x14ac:dyDescent="0.2">
      <c r="A109" s="7" t="s">
        <v>33</v>
      </c>
      <c r="B109" s="7" t="s">
        <v>15</v>
      </c>
      <c r="C109" s="8">
        <v>1929</v>
      </c>
      <c r="D109" t="str">
        <f t="shared" si="1"/>
        <v>2020-35-39 år</v>
      </c>
    </row>
    <row r="110" spans="1:4" x14ac:dyDescent="0.2">
      <c r="A110" s="7" t="s">
        <v>33</v>
      </c>
      <c r="B110" s="7" t="s">
        <v>16</v>
      </c>
      <c r="C110" s="8">
        <v>1758</v>
      </c>
      <c r="D110" t="str">
        <f t="shared" si="1"/>
        <v>2020-40-44 år</v>
      </c>
    </row>
    <row r="111" spans="1:4" x14ac:dyDescent="0.2">
      <c r="A111" s="7" t="s">
        <v>33</v>
      </c>
      <c r="B111" s="7" t="s">
        <v>17</v>
      </c>
      <c r="C111" s="8">
        <v>1654</v>
      </c>
      <c r="D111" t="str">
        <f t="shared" si="1"/>
        <v>2020-45-49 år</v>
      </c>
    </row>
    <row r="112" spans="1:4" x14ac:dyDescent="0.2">
      <c r="A112" s="7" t="s">
        <v>33</v>
      </c>
      <c r="B112" s="7" t="s">
        <v>18</v>
      </c>
      <c r="C112" s="8">
        <v>1616</v>
      </c>
      <c r="D112" t="str">
        <f t="shared" si="1"/>
        <v>2020-50-54 år</v>
      </c>
    </row>
    <row r="113" spans="1:4" x14ac:dyDescent="0.2">
      <c r="A113" s="7" t="s">
        <v>33</v>
      </c>
      <c r="B113" s="7" t="s">
        <v>19</v>
      </c>
      <c r="C113" s="8">
        <v>1279</v>
      </c>
      <c r="D113" t="str">
        <f t="shared" si="1"/>
        <v>2020-55-59 år</v>
      </c>
    </row>
    <row r="114" spans="1:4" x14ac:dyDescent="0.2">
      <c r="A114" s="7" t="s">
        <v>33</v>
      </c>
      <c r="B114" s="7" t="s">
        <v>20</v>
      </c>
      <c r="C114" s="8">
        <v>623</v>
      </c>
      <c r="D114" t="str">
        <f t="shared" si="1"/>
        <v>2020-60-64 år</v>
      </c>
    </row>
    <row r="115" spans="1:4" x14ac:dyDescent="0.2">
      <c r="A115" s="7" t="s">
        <v>33</v>
      </c>
      <c r="B115" s="7" t="s">
        <v>43</v>
      </c>
      <c r="C115" s="8">
        <v>201</v>
      </c>
      <c r="D115" t="str">
        <f t="shared" si="1"/>
        <v>2020-65-69 år</v>
      </c>
    </row>
    <row r="116" spans="1:4" x14ac:dyDescent="0.2">
      <c r="A116" s="7" t="s">
        <v>34</v>
      </c>
      <c r="B116" s="7" t="s">
        <v>13</v>
      </c>
      <c r="C116" s="8">
        <v>3854</v>
      </c>
      <c r="D116" t="str">
        <f t="shared" si="1"/>
        <v>2021-25-29 år</v>
      </c>
    </row>
    <row r="117" spans="1:4" x14ac:dyDescent="0.2">
      <c r="A117" s="7" t="s">
        <v>34</v>
      </c>
      <c r="B117" s="7" t="s">
        <v>14</v>
      </c>
      <c r="C117" s="8">
        <v>3059</v>
      </c>
      <c r="D117" t="str">
        <f t="shared" si="1"/>
        <v>2021-30-34 år</v>
      </c>
    </row>
    <row r="118" spans="1:4" x14ac:dyDescent="0.2">
      <c r="A118" s="7" t="s">
        <v>34</v>
      </c>
      <c r="B118" s="7" t="s">
        <v>15</v>
      </c>
      <c r="C118" s="8">
        <v>2330</v>
      </c>
      <c r="D118" t="str">
        <f t="shared" si="1"/>
        <v>2021-35-39 år</v>
      </c>
    </row>
    <row r="119" spans="1:4" x14ac:dyDescent="0.2">
      <c r="A119" s="7" t="s">
        <v>34</v>
      </c>
      <c r="B119" s="7" t="s">
        <v>16</v>
      </c>
      <c r="C119" s="8">
        <v>2220</v>
      </c>
      <c r="D119" t="str">
        <f t="shared" si="1"/>
        <v>2021-40-44 år</v>
      </c>
    </row>
    <row r="120" spans="1:4" x14ac:dyDescent="0.2">
      <c r="A120" s="7" t="s">
        <v>34</v>
      </c>
      <c r="B120" s="7" t="s">
        <v>17</v>
      </c>
      <c r="C120" s="8">
        <v>1980</v>
      </c>
      <c r="D120" t="str">
        <f t="shared" si="1"/>
        <v>2021-45-49 år</v>
      </c>
    </row>
    <row r="121" spans="1:4" x14ac:dyDescent="0.2">
      <c r="A121" s="7" t="s">
        <v>34</v>
      </c>
      <c r="B121" s="7" t="s">
        <v>18</v>
      </c>
      <c r="C121" s="8">
        <v>1810</v>
      </c>
      <c r="D121" t="str">
        <f t="shared" si="1"/>
        <v>2021-50-54 år</v>
      </c>
    </row>
    <row r="122" spans="1:4" x14ac:dyDescent="0.2">
      <c r="A122" s="7" t="s">
        <v>34</v>
      </c>
      <c r="B122" s="7" t="s">
        <v>19</v>
      </c>
      <c r="C122" s="8">
        <v>1631</v>
      </c>
      <c r="D122" t="str">
        <f t="shared" si="1"/>
        <v>2021-55-59 år</v>
      </c>
    </row>
    <row r="123" spans="1:4" x14ac:dyDescent="0.2">
      <c r="A123" s="7" t="s">
        <v>34</v>
      </c>
      <c r="B123" s="7" t="s">
        <v>20</v>
      </c>
      <c r="C123" s="8">
        <v>962</v>
      </c>
      <c r="D123" t="str">
        <f t="shared" si="1"/>
        <v>2021-60-64 år</v>
      </c>
    </row>
    <row r="124" spans="1:4" x14ac:dyDescent="0.2">
      <c r="A124" s="7" t="s">
        <v>34</v>
      </c>
      <c r="B124" s="7" t="s">
        <v>43</v>
      </c>
      <c r="C124" s="8">
        <v>216</v>
      </c>
      <c r="D124" t="str">
        <f t="shared" si="1"/>
        <v>2021-65-69 år</v>
      </c>
    </row>
    <row r="125" spans="1:4" x14ac:dyDescent="0.2">
      <c r="A125" s="7" t="s">
        <v>35</v>
      </c>
      <c r="B125" s="7" t="s">
        <v>13</v>
      </c>
      <c r="C125" s="8">
        <v>3870</v>
      </c>
      <c r="D125" t="str">
        <f t="shared" si="1"/>
        <v>2022-25-29 år</v>
      </c>
    </row>
    <row r="126" spans="1:4" x14ac:dyDescent="0.2">
      <c r="A126" s="7" t="s">
        <v>35</v>
      </c>
      <c r="B126" s="7" t="s">
        <v>14</v>
      </c>
      <c r="C126" s="8">
        <v>3004</v>
      </c>
      <c r="D126" t="str">
        <f t="shared" si="1"/>
        <v>2022-30-34 år</v>
      </c>
    </row>
    <row r="127" spans="1:4" x14ac:dyDescent="0.2">
      <c r="A127" s="7" t="s">
        <v>35</v>
      </c>
      <c r="B127" s="7" t="s">
        <v>15</v>
      </c>
      <c r="C127" s="8">
        <v>2511</v>
      </c>
      <c r="D127" t="str">
        <f t="shared" si="1"/>
        <v>2022-35-39 år</v>
      </c>
    </row>
    <row r="128" spans="1:4" x14ac:dyDescent="0.2">
      <c r="A128" s="7" t="s">
        <v>35</v>
      </c>
      <c r="B128" s="7" t="s">
        <v>16</v>
      </c>
      <c r="C128" s="8">
        <v>2191</v>
      </c>
      <c r="D128" t="str">
        <f t="shared" si="1"/>
        <v>2022-40-44 år</v>
      </c>
    </row>
    <row r="129" spans="1:4" x14ac:dyDescent="0.2">
      <c r="A129" s="7" t="s">
        <v>35</v>
      </c>
      <c r="B129" s="7" t="s">
        <v>17</v>
      </c>
      <c r="C129" s="8">
        <v>2044</v>
      </c>
      <c r="D129" t="str">
        <f t="shared" si="1"/>
        <v>2022-45-49 år</v>
      </c>
    </row>
    <row r="130" spans="1:4" x14ac:dyDescent="0.2">
      <c r="A130" s="7" t="s">
        <v>35</v>
      </c>
      <c r="B130" s="7" t="s">
        <v>18</v>
      </c>
      <c r="C130" s="8">
        <v>1683</v>
      </c>
      <c r="D130" t="str">
        <f t="shared" si="1"/>
        <v>2022-50-54 år</v>
      </c>
    </row>
    <row r="131" spans="1:4" x14ac:dyDescent="0.2">
      <c r="A131" s="7" t="s">
        <v>35</v>
      </c>
      <c r="B131" s="7" t="s">
        <v>19</v>
      </c>
      <c r="C131" s="8">
        <v>1578</v>
      </c>
      <c r="D131" t="str">
        <f t="shared" si="1"/>
        <v>2022-55-59 år</v>
      </c>
    </row>
    <row r="132" spans="1:4" x14ac:dyDescent="0.2">
      <c r="A132" s="7" t="s">
        <v>35</v>
      </c>
      <c r="B132" s="7" t="s">
        <v>20</v>
      </c>
      <c r="C132" s="8">
        <v>880</v>
      </c>
      <c r="D132" t="str">
        <f t="shared" si="1"/>
        <v>2022-60-64 år</v>
      </c>
    </row>
    <row r="133" spans="1:4" x14ac:dyDescent="0.2">
      <c r="A133" s="7" t="s">
        <v>35</v>
      </c>
      <c r="B133" s="7" t="s">
        <v>43</v>
      </c>
      <c r="C133" s="8">
        <v>265</v>
      </c>
      <c r="D133" t="str">
        <f t="shared" si="1"/>
        <v>2022-65-69 år</v>
      </c>
    </row>
    <row r="134" spans="1:4" x14ac:dyDescent="0.2">
      <c r="A134" s="7" t="s">
        <v>36</v>
      </c>
      <c r="B134" s="7" t="s">
        <v>13</v>
      </c>
      <c r="C134" s="8">
        <v>3662</v>
      </c>
      <c r="D134" t="str">
        <f t="shared" si="1"/>
        <v>2023-25-29 år</v>
      </c>
    </row>
    <row r="135" spans="1:4" x14ac:dyDescent="0.2">
      <c r="A135" s="7" t="s">
        <v>36</v>
      </c>
      <c r="B135" s="7" t="s">
        <v>14</v>
      </c>
      <c r="C135" s="8">
        <v>2878</v>
      </c>
      <c r="D135" t="str">
        <f t="shared" si="1"/>
        <v>2023-30-34 år</v>
      </c>
    </row>
    <row r="136" spans="1:4" x14ac:dyDescent="0.2">
      <c r="A136" s="7" t="s">
        <v>36</v>
      </c>
      <c r="B136" s="7" t="s">
        <v>15</v>
      </c>
      <c r="C136" s="8">
        <v>2160</v>
      </c>
      <c r="D136" t="str">
        <f t="shared" ref="D136:D141" si="2">A136&amp;"-"&amp;B136</f>
        <v>2023-35-39 år</v>
      </c>
    </row>
    <row r="137" spans="1:4" x14ac:dyDescent="0.2">
      <c r="A137" s="7" t="s">
        <v>36</v>
      </c>
      <c r="B137" s="7" t="s">
        <v>16</v>
      </c>
      <c r="C137" s="8">
        <v>1983</v>
      </c>
      <c r="D137" t="str">
        <f t="shared" si="2"/>
        <v>2023-40-44 år</v>
      </c>
    </row>
    <row r="138" spans="1:4" x14ac:dyDescent="0.2">
      <c r="A138" s="7" t="s">
        <v>36</v>
      </c>
      <c r="B138" s="7" t="s">
        <v>17</v>
      </c>
      <c r="C138" s="8">
        <v>1798</v>
      </c>
      <c r="D138" t="str">
        <f t="shared" si="2"/>
        <v>2023-45-49 år</v>
      </c>
    </row>
    <row r="139" spans="1:4" x14ac:dyDescent="0.2">
      <c r="A139" s="7" t="s">
        <v>36</v>
      </c>
      <c r="B139" s="7" t="s">
        <v>18</v>
      </c>
      <c r="C139" s="8">
        <v>1564</v>
      </c>
      <c r="D139" t="str">
        <f t="shared" si="2"/>
        <v>2023-50-54 år</v>
      </c>
    </row>
    <row r="140" spans="1:4" x14ac:dyDescent="0.2">
      <c r="A140" s="7" t="s">
        <v>36</v>
      </c>
      <c r="B140" s="7" t="s">
        <v>19</v>
      </c>
      <c r="C140" s="8">
        <v>1583</v>
      </c>
      <c r="D140" t="str">
        <f t="shared" si="2"/>
        <v>2023-55-59 år</v>
      </c>
    </row>
    <row r="141" spans="1:4" x14ac:dyDescent="0.2">
      <c r="A141" s="7" t="s">
        <v>36</v>
      </c>
      <c r="B141" s="7" t="s">
        <v>20</v>
      </c>
      <c r="C141" s="8">
        <v>896</v>
      </c>
      <c r="D141" t="str">
        <f t="shared" si="2"/>
        <v>2023-60-64 år</v>
      </c>
    </row>
    <row r="142" spans="1:4" ht="16" thickBot="1" x14ac:dyDescent="0.25">
      <c r="A142" s="7" t="s">
        <v>36</v>
      </c>
      <c r="B142" s="7" t="s">
        <v>43</v>
      </c>
      <c r="C142" s="8">
        <v>295</v>
      </c>
      <c r="D142" t="str">
        <f t="shared" ref="D142" si="3">A142&amp;"-"&amp;B142</f>
        <v>2023-65-69 år</v>
      </c>
    </row>
    <row r="143" spans="1:4" ht="16" thickTop="1" x14ac:dyDescent="0.2">
      <c r="A143" s="9"/>
      <c r="B143" s="9"/>
      <c r="C143" s="9"/>
    </row>
    <row r="145" spans="1:1" x14ac:dyDescent="0.2">
      <c r="A145" t="s">
        <v>38</v>
      </c>
    </row>
    <row r="146" spans="1:1" x14ac:dyDescent="0.2">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baseColWidth="10" defaultColWidth="8.83203125" defaultRowHeight="15" x14ac:dyDescent="0.2"/>
  <cols>
    <col min="2" max="2" width="13" customWidth="1"/>
    <col min="3" max="3" width="56" customWidth="1"/>
  </cols>
  <sheetData>
    <row r="1" spans="1:4" ht="25" thickBot="1" x14ac:dyDescent="0.35">
      <c r="A1" s="5" t="s">
        <v>6</v>
      </c>
      <c r="B1" s="6"/>
      <c r="C1" s="6"/>
    </row>
    <row r="2" spans="1:4" ht="16" thickTop="1" x14ac:dyDescent="0.2">
      <c r="C2" s="7" t="s">
        <v>7</v>
      </c>
    </row>
    <row r="3" spans="1:4" x14ac:dyDescent="0.2">
      <c r="C3" s="7" t="s">
        <v>8</v>
      </c>
    </row>
    <row r="4" spans="1:4" x14ac:dyDescent="0.2">
      <c r="C4" s="7" t="s">
        <v>9</v>
      </c>
    </row>
    <row r="5" spans="1:4" x14ac:dyDescent="0.2">
      <c r="C5" s="7" t="s">
        <v>10</v>
      </c>
    </row>
    <row r="6" spans="1:4" x14ac:dyDescent="0.2">
      <c r="C6" s="7" t="s">
        <v>11</v>
      </c>
    </row>
    <row r="7" spans="1:4" x14ac:dyDescent="0.2">
      <c r="A7" s="7" t="s">
        <v>12</v>
      </c>
      <c r="B7" s="7" t="s">
        <v>13</v>
      </c>
      <c r="C7" s="8">
        <v>6876</v>
      </c>
      <c r="D7" t="str">
        <f t="shared" ref="D7:D70" si="0">A7&amp;"-"&amp;B7</f>
        <v>2008-25-29 år</v>
      </c>
    </row>
    <row r="8" spans="1:4" x14ac:dyDescent="0.2">
      <c r="A8" s="7" t="s">
        <v>12</v>
      </c>
      <c r="B8" s="7" t="s">
        <v>14</v>
      </c>
      <c r="C8" s="8">
        <v>8541</v>
      </c>
      <c r="D8" t="str">
        <f t="shared" si="0"/>
        <v>2008-30-34 år</v>
      </c>
    </row>
    <row r="9" spans="1:4" x14ac:dyDescent="0.2">
      <c r="A9" s="7" t="s">
        <v>12</v>
      </c>
      <c r="B9" s="7" t="s">
        <v>15</v>
      </c>
      <c r="C9" s="8">
        <v>8222</v>
      </c>
      <c r="D9" t="str">
        <f t="shared" si="0"/>
        <v>2008-35-39 år</v>
      </c>
    </row>
    <row r="10" spans="1:4" x14ac:dyDescent="0.2">
      <c r="A10" s="7" t="s">
        <v>12</v>
      </c>
      <c r="B10" s="7" t="s">
        <v>16</v>
      </c>
      <c r="C10" s="8">
        <v>11172</v>
      </c>
      <c r="D10" t="str">
        <f t="shared" si="0"/>
        <v>2008-40-44 år</v>
      </c>
    </row>
    <row r="11" spans="1:4" x14ac:dyDescent="0.2">
      <c r="A11" s="7" t="s">
        <v>12</v>
      </c>
      <c r="B11" s="7" t="s">
        <v>17</v>
      </c>
      <c r="C11" s="8">
        <v>9399</v>
      </c>
      <c r="D11" t="str">
        <f t="shared" si="0"/>
        <v>2008-45-49 år</v>
      </c>
    </row>
    <row r="12" spans="1:4" x14ac:dyDescent="0.2">
      <c r="A12" s="7" t="s">
        <v>12</v>
      </c>
      <c r="B12" s="7" t="s">
        <v>18</v>
      </c>
      <c r="C12" s="8">
        <v>8459</v>
      </c>
      <c r="D12" t="str">
        <f t="shared" si="0"/>
        <v>2008-50-54 år</v>
      </c>
    </row>
    <row r="13" spans="1:4" x14ac:dyDescent="0.2">
      <c r="A13" s="7" t="s">
        <v>12</v>
      </c>
      <c r="B13" s="7" t="s">
        <v>19</v>
      </c>
      <c r="C13" s="8">
        <v>7916</v>
      </c>
      <c r="D13" t="str">
        <f t="shared" si="0"/>
        <v>2008-55-59 år</v>
      </c>
    </row>
    <row r="14" spans="1:4" x14ac:dyDescent="0.2">
      <c r="A14" s="7" t="s">
        <v>12</v>
      </c>
      <c r="B14" s="7" t="s">
        <v>20</v>
      </c>
      <c r="C14" s="8">
        <v>4371</v>
      </c>
      <c r="D14" t="str">
        <f t="shared" si="0"/>
        <v>2008-60-64 år</v>
      </c>
    </row>
    <row r="15" spans="1:4" x14ac:dyDescent="0.2">
      <c r="A15" s="7" t="s">
        <v>12</v>
      </c>
      <c r="B15" s="7" t="s">
        <v>21</v>
      </c>
      <c r="C15" s="8">
        <v>857</v>
      </c>
      <c r="D15" t="str">
        <f t="shared" si="0"/>
        <v>2008-65+ år</v>
      </c>
    </row>
    <row r="16" spans="1:4" x14ac:dyDescent="0.2">
      <c r="A16" s="7" t="s">
        <v>22</v>
      </c>
      <c r="B16" s="7" t="s">
        <v>13</v>
      </c>
      <c r="C16" s="8">
        <v>7284</v>
      </c>
      <c r="D16" t="str">
        <f t="shared" si="0"/>
        <v>2009-25-29 år</v>
      </c>
    </row>
    <row r="17" spans="1:4" x14ac:dyDescent="0.2">
      <c r="A17" s="7" t="s">
        <v>22</v>
      </c>
      <c r="B17" s="7" t="s">
        <v>14</v>
      </c>
      <c r="C17" s="8">
        <v>9750</v>
      </c>
      <c r="D17" t="str">
        <f t="shared" si="0"/>
        <v>2009-30-34 år</v>
      </c>
    </row>
    <row r="18" spans="1:4" x14ac:dyDescent="0.2">
      <c r="A18" s="7" t="s">
        <v>22</v>
      </c>
      <c r="B18" s="7" t="s">
        <v>15</v>
      </c>
      <c r="C18" s="8">
        <v>9328</v>
      </c>
      <c r="D18" t="str">
        <f t="shared" si="0"/>
        <v>2009-35-39 år</v>
      </c>
    </row>
    <row r="19" spans="1:4" x14ac:dyDescent="0.2">
      <c r="A19" s="7" t="s">
        <v>22</v>
      </c>
      <c r="B19" s="7" t="s">
        <v>16</v>
      </c>
      <c r="C19" s="8">
        <v>12571</v>
      </c>
      <c r="D19" t="str">
        <f t="shared" si="0"/>
        <v>2009-40-44 år</v>
      </c>
    </row>
    <row r="20" spans="1:4" x14ac:dyDescent="0.2">
      <c r="A20" s="7" t="s">
        <v>22</v>
      </c>
      <c r="B20" s="7" t="s">
        <v>17</v>
      </c>
      <c r="C20" s="8">
        <v>11248</v>
      </c>
      <c r="D20" t="str">
        <f t="shared" si="0"/>
        <v>2009-45-49 år</v>
      </c>
    </row>
    <row r="21" spans="1:4" x14ac:dyDescent="0.2">
      <c r="A21" s="7" t="s">
        <v>22</v>
      </c>
      <c r="B21" s="7" t="s">
        <v>18</v>
      </c>
      <c r="C21" s="8">
        <v>9862</v>
      </c>
      <c r="D21" t="str">
        <f t="shared" si="0"/>
        <v>2009-50-54 år</v>
      </c>
    </row>
    <row r="22" spans="1:4" x14ac:dyDescent="0.2">
      <c r="A22" s="7" t="s">
        <v>22</v>
      </c>
      <c r="B22" s="7" t="s">
        <v>19</v>
      </c>
      <c r="C22" s="8">
        <v>9081</v>
      </c>
      <c r="D22" t="str">
        <f t="shared" si="0"/>
        <v>2009-55-59 år</v>
      </c>
    </row>
    <row r="23" spans="1:4" x14ac:dyDescent="0.2">
      <c r="A23" s="7" t="s">
        <v>22</v>
      </c>
      <c r="B23" s="7" t="s">
        <v>20</v>
      </c>
      <c r="C23" s="8">
        <v>5056</v>
      </c>
      <c r="D23" t="str">
        <f t="shared" si="0"/>
        <v>2009-60-64 år</v>
      </c>
    </row>
    <row r="24" spans="1:4" x14ac:dyDescent="0.2">
      <c r="A24" s="7" t="s">
        <v>22</v>
      </c>
      <c r="B24" s="7" t="s">
        <v>21</v>
      </c>
      <c r="C24" s="8">
        <v>984</v>
      </c>
      <c r="D24" t="str">
        <f t="shared" si="0"/>
        <v>2009-65+ år</v>
      </c>
    </row>
    <row r="25" spans="1:4" x14ac:dyDescent="0.2">
      <c r="A25" s="7" t="s">
        <v>23</v>
      </c>
      <c r="B25" s="7" t="s">
        <v>13</v>
      </c>
      <c r="C25" s="8">
        <v>6802</v>
      </c>
      <c r="D25" t="str">
        <f t="shared" si="0"/>
        <v>2010-25-29 år</v>
      </c>
    </row>
    <row r="26" spans="1:4" x14ac:dyDescent="0.2">
      <c r="A26" s="7" t="s">
        <v>23</v>
      </c>
      <c r="B26" s="7" t="s">
        <v>14</v>
      </c>
      <c r="C26" s="8">
        <v>9673</v>
      </c>
      <c r="D26" t="str">
        <f t="shared" si="0"/>
        <v>2010-30-34 år</v>
      </c>
    </row>
    <row r="27" spans="1:4" x14ac:dyDescent="0.2">
      <c r="A27" s="7" t="s">
        <v>23</v>
      </c>
      <c r="B27" s="7" t="s">
        <v>15</v>
      </c>
      <c r="C27" s="8">
        <v>9565</v>
      </c>
      <c r="D27" t="str">
        <f t="shared" si="0"/>
        <v>2010-35-39 år</v>
      </c>
    </row>
    <row r="28" spans="1:4" x14ac:dyDescent="0.2">
      <c r="A28" s="7" t="s">
        <v>23</v>
      </c>
      <c r="B28" s="7" t="s">
        <v>16</v>
      </c>
      <c r="C28" s="8">
        <v>11893</v>
      </c>
      <c r="D28" t="str">
        <f t="shared" si="0"/>
        <v>2010-40-44 år</v>
      </c>
    </row>
    <row r="29" spans="1:4" x14ac:dyDescent="0.2">
      <c r="A29" s="7" t="s">
        <v>23</v>
      </c>
      <c r="B29" s="7" t="s">
        <v>17</v>
      </c>
      <c r="C29" s="8">
        <v>11808</v>
      </c>
      <c r="D29" t="str">
        <f t="shared" si="0"/>
        <v>2010-45-49 år</v>
      </c>
    </row>
    <row r="30" spans="1:4" x14ac:dyDescent="0.2">
      <c r="A30" s="7" t="s">
        <v>23</v>
      </c>
      <c r="B30" s="7" t="s">
        <v>18</v>
      </c>
      <c r="C30" s="8">
        <v>10091</v>
      </c>
      <c r="D30" t="str">
        <f t="shared" si="0"/>
        <v>2010-50-54 år</v>
      </c>
    </row>
    <row r="31" spans="1:4" x14ac:dyDescent="0.2">
      <c r="A31" s="7" t="s">
        <v>23</v>
      </c>
      <c r="B31" s="7" t="s">
        <v>19</v>
      </c>
      <c r="C31" s="8">
        <v>9186</v>
      </c>
      <c r="D31" t="str">
        <f t="shared" si="0"/>
        <v>2010-55-59 år</v>
      </c>
    </row>
    <row r="32" spans="1:4" x14ac:dyDescent="0.2">
      <c r="A32" s="7" t="s">
        <v>23</v>
      </c>
      <c r="B32" s="7" t="s">
        <v>20</v>
      </c>
      <c r="C32" s="8">
        <v>5175</v>
      </c>
      <c r="D32" t="str">
        <f t="shared" si="0"/>
        <v>2010-60-64 år</v>
      </c>
    </row>
    <row r="33" spans="1:4" x14ac:dyDescent="0.2">
      <c r="A33" s="7" t="s">
        <v>23</v>
      </c>
      <c r="B33" s="7" t="s">
        <v>21</v>
      </c>
      <c r="C33" s="8">
        <v>1161</v>
      </c>
      <c r="D33" t="str">
        <f t="shared" si="0"/>
        <v>2010-65+ år</v>
      </c>
    </row>
    <row r="34" spans="1:4" x14ac:dyDescent="0.2">
      <c r="A34" s="7" t="s">
        <v>24</v>
      </c>
      <c r="B34" s="7" t="s">
        <v>13</v>
      </c>
      <c r="C34" s="8">
        <v>6619</v>
      </c>
      <c r="D34" t="str">
        <f t="shared" si="0"/>
        <v>2011-25-29 år</v>
      </c>
    </row>
    <row r="35" spans="1:4" x14ac:dyDescent="0.2">
      <c r="A35" s="7" t="s">
        <v>24</v>
      </c>
      <c r="B35" s="7" t="s">
        <v>14</v>
      </c>
      <c r="C35" s="8">
        <v>9409</v>
      </c>
      <c r="D35" t="str">
        <f t="shared" si="0"/>
        <v>2011-30-34 år</v>
      </c>
    </row>
    <row r="36" spans="1:4" x14ac:dyDescent="0.2">
      <c r="A36" s="7" t="s">
        <v>24</v>
      </c>
      <c r="B36" s="7" t="s">
        <v>15</v>
      </c>
      <c r="C36" s="8">
        <v>9809</v>
      </c>
      <c r="D36" t="str">
        <f t="shared" si="0"/>
        <v>2011-35-39 år</v>
      </c>
    </row>
    <row r="37" spans="1:4" x14ac:dyDescent="0.2">
      <c r="A37" s="7" t="s">
        <v>24</v>
      </c>
      <c r="B37" s="7" t="s">
        <v>16</v>
      </c>
      <c r="C37" s="8">
        <v>10924</v>
      </c>
      <c r="D37" t="str">
        <f t="shared" si="0"/>
        <v>2011-40-44 år</v>
      </c>
    </row>
    <row r="38" spans="1:4" x14ac:dyDescent="0.2">
      <c r="A38" s="7" t="s">
        <v>24</v>
      </c>
      <c r="B38" s="7" t="s">
        <v>17</v>
      </c>
      <c r="C38" s="8">
        <v>12323</v>
      </c>
      <c r="D38" t="str">
        <f t="shared" si="0"/>
        <v>2011-45-49 år</v>
      </c>
    </row>
    <row r="39" spans="1:4" x14ac:dyDescent="0.2">
      <c r="A39" s="7" t="s">
        <v>24</v>
      </c>
      <c r="B39" s="7" t="s">
        <v>18</v>
      </c>
      <c r="C39" s="8">
        <v>10305</v>
      </c>
      <c r="D39" t="str">
        <f t="shared" si="0"/>
        <v>2011-50-54 år</v>
      </c>
    </row>
    <row r="40" spans="1:4" x14ac:dyDescent="0.2">
      <c r="A40" s="7" t="s">
        <v>24</v>
      </c>
      <c r="B40" s="7" t="s">
        <v>19</v>
      </c>
      <c r="C40" s="8">
        <v>9210</v>
      </c>
      <c r="D40" t="str">
        <f t="shared" si="0"/>
        <v>2011-55-59 år</v>
      </c>
    </row>
    <row r="41" spans="1:4" x14ac:dyDescent="0.2">
      <c r="A41" s="7" t="s">
        <v>24</v>
      </c>
      <c r="B41" s="7" t="s">
        <v>20</v>
      </c>
      <c r="C41" s="8">
        <v>5200</v>
      </c>
      <c r="D41" t="str">
        <f t="shared" si="0"/>
        <v>2011-60-64 år</v>
      </c>
    </row>
    <row r="42" spans="1:4" x14ac:dyDescent="0.2">
      <c r="A42" s="7" t="s">
        <v>24</v>
      </c>
      <c r="B42" s="7" t="s">
        <v>21</v>
      </c>
      <c r="C42" s="8">
        <v>1320</v>
      </c>
      <c r="D42" t="str">
        <f t="shared" si="0"/>
        <v>2011-65+ år</v>
      </c>
    </row>
    <row r="43" spans="1:4" x14ac:dyDescent="0.2">
      <c r="A43" s="7" t="s">
        <v>25</v>
      </c>
      <c r="B43" s="7" t="s">
        <v>13</v>
      </c>
      <c r="C43" s="8">
        <v>6332</v>
      </c>
      <c r="D43" t="str">
        <f t="shared" si="0"/>
        <v>2012-25-29 år</v>
      </c>
    </row>
    <row r="44" spans="1:4" x14ac:dyDescent="0.2">
      <c r="A44" s="7" t="s">
        <v>25</v>
      </c>
      <c r="B44" s="7" t="s">
        <v>14</v>
      </c>
      <c r="C44" s="8">
        <v>8887</v>
      </c>
      <c r="D44" t="str">
        <f t="shared" si="0"/>
        <v>2012-30-34 år</v>
      </c>
    </row>
    <row r="45" spans="1:4" x14ac:dyDescent="0.2">
      <c r="A45" s="7" t="s">
        <v>25</v>
      </c>
      <c r="B45" s="7" t="s">
        <v>15</v>
      </c>
      <c r="C45" s="8">
        <v>9638</v>
      </c>
      <c r="D45" t="str">
        <f t="shared" si="0"/>
        <v>2012-35-39 år</v>
      </c>
    </row>
    <row r="46" spans="1:4" x14ac:dyDescent="0.2">
      <c r="A46" s="7" t="s">
        <v>25</v>
      </c>
      <c r="B46" s="7" t="s">
        <v>16</v>
      </c>
      <c r="C46" s="8">
        <v>9823</v>
      </c>
      <c r="D46" t="str">
        <f t="shared" si="0"/>
        <v>2012-40-44 år</v>
      </c>
    </row>
    <row r="47" spans="1:4" x14ac:dyDescent="0.2">
      <c r="A47" s="7" t="s">
        <v>25</v>
      </c>
      <c r="B47" s="7" t="s">
        <v>17</v>
      </c>
      <c r="C47" s="8">
        <v>12680</v>
      </c>
      <c r="D47" t="str">
        <f t="shared" si="0"/>
        <v>2012-45-49 år</v>
      </c>
    </row>
    <row r="48" spans="1:4" x14ac:dyDescent="0.2">
      <c r="A48" s="7" t="s">
        <v>25</v>
      </c>
      <c r="B48" s="7" t="s">
        <v>18</v>
      </c>
      <c r="C48" s="8">
        <v>10381</v>
      </c>
      <c r="D48" t="str">
        <f t="shared" si="0"/>
        <v>2012-50-54 år</v>
      </c>
    </row>
    <row r="49" spans="1:4" x14ac:dyDescent="0.2">
      <c r="A49" s="7" t="s">
        <v>25</v>
      </c>
      <c r="B49" s="7" t="s">
        <v>19</v>
      </c>
      <c r="C49" s="8">
        <v>9032</v>
      </c>
      <c r="D49" t="str">
        <f t="shared" si="0"/>
        <v>2012-55-59 år</v>
      </c>
    </row>
    <row r="50" spans="1:4" x14ac:dyDescent="0.2">
      <c r="A50" s="7" t="s">
        <v>25</v>
      </c>
      <c r="B50" s="7" t="s">
        <v>20</v>
      </c>
      <c r="C50" s="8">
        <v>5237</v>
      </c>
      <c r="D50" t="str">
        <f t="shared" si="0"/>
        <v>2012-60-64 år</v>
      </c>
    </row>
    <row r="51" spans="1:4" x14ac:dyDescent="0.2">
      <c r="A51" s="7" t="s">
        <v>25</v>
      </c>
      <c r="B51" s="7" t="s">
        <v>21</v>
      </c>
      <c r="C51" s="8">
        <v>1446</v>
      </c>
      <c r="D51" t="str">
        <f t="shared" si="0"/>
        <v>2012-65+ år</v>
      </c>
    </row>
    <row r="52" spans="1:4" x14ac:dyDescent="0.2">
      <c r="A52" s="7" t="s">
        <v>26</v>
      </c>
      <c r="B52" s="7" t="s">
        <v>13</v>
      </c>
      <c r="C52" s="8">
        <v>6202</v>
      </c>
      <c r="D52" t="str">
        <f t="shared" si="0"/>
        <v>2013-25-29 år</v>
      </c>
    </row>
    <row r="53" spans="1:4" x14ac:dyDescent="0.2">
      <c r="A53" s="7" t="s">
        <v>26</v>
      </c>
      <c r="B53" s="7" t="s">
        <v>14</v>
      </c>
      <c r="C53" s="8">
        <v>8560</v>
      </c>
      <c r="D53" t="str">
        <f t="shared" si="0"/>
        <v>2013-30-34 år</v>
      </c>
    </row>
    <row r="54" spans="1:4" x14ac:dyDescent="0.2">
      <c r="A54" s="7" t="s">
        <v>26</v>
      </c>
      <c r="B54" s="7" t="s">
        <v>15</v>
      </c>
      <c r="C54" s="8">
        <v>9790</v>
      </c>
      <c r="D54" t="str">
        <f t="shared" si="0"/>
        <v>2013-35-39 år</v>
      </c>
    </row>
    <row r="55" spans="1:4" x14ac:dyDescent="0.2">
      <c r="A55" s="7" t="s">
        <v>26</v>
      </c>
      <c r="B55" s="7" t="s">
        <v>16</v>
      </c>
      <c r="C55" s="8">
        <v>9383</v>
      </c>
      <c r="D55" t="str">
        <f t="shared" si="0"/>
        <v>2013-40-44 år</v>
      </c>
    </row>
    <row r="56" spans="1:4" x14ac:dyDescent="0.2">
      <c r="A56" s="7" t="s">
        <v>26</v>
      </c>
      <c r="B56" s="7" t="s">
        <v>17</v>
      </c>
      <c r="C56" s="8">
        <v>12762</v>
      </c>
      <c r="D56" t="str">
        <f t="shared" si="0"/>
        <v>2013-45-49 år</v>
      </c>
    </row>
    <row r="57" spans="1:4" x14ac:dyDescent="0.2">
      <c r="A57" s="7" t="s">
        <v>26</v>
      </c>
      <c r="B57" s="7" t="s">
        <v>18</v>
      </c>
      <c r="C57" s="8">
        <v>10587</v>
      </c>
      <c r="D57" t="str">
        <f t="shared" si="0"/>
        <v>2013-50-54 år</v>
      </c>
    </row>
    <row r="58" spans="1:4" x14ac:dyDescent="0.2">
      <c r="A58" s="7" t="s">
        <v>26</v>
      </c>
      <c r="B58" s="7" t="s">
        <v>19</v>
      </c>
      <c r="C58" s="8">
        <v>8811</v>
      </c>
      <c r="D58" t="str">
        <f t="shared" si="0"/>
        <v>2013-55-59 år</v>
      </c>
    </row>
    <row r="59" spans="1:4" x14ac:dyDescent="0.2">
      <c r="A59" s="7" t="s">
        <v>26</v>
      </c>
      <c r="B59" s="7" t="s">
        <v>20</v>
      </c>
      <c r="C59" s="8">
        <v>5072</v>
      </c>
      <c r="D59" t="str">
        <f t="shared" si="0"/>
        <v>2013-60-64 år</v>
      </c>
    </row>
    <row r="60" spans="1:4" x14ac:dyDescent="0.2">
      <c r="A60" s="7" t="s">
        <v>26</v>
      </c>
      <c r="B60" s="7" t="s">
        <v>21</v>
      </c>
      <c r="C60" s="8">
        <v>1539</v>
      </c>
      <c r="D60" t="str">
        <f t="shared" si="0"/>
        <v>2013-65+ år</v>
      </c>
    </row>
    <row r="61" spans="1:4" x14ac:dyDescent="0.2">
      <c r="A61" s="7" t="s">
        <v>27</v>
      </c>
      <c r="B61" s="7" t="s">
        <v>13</v>
      </c>
      <c r="C61" s="8">
        <v>6041</v>
      </c>
      <c r="D61" t="str">
        <f t="shared" si="0"/>
        <v>2014-25-29 år</v>
      </c>
    </row>
    <row r="62" spans="1:4" x14ac:dyDescent="0.2">
      <c r="A62" s="7" t="s">
        <v>27</v>
      </c>
      <c r="B62" s="7" t="s">
        <v>14</v>
      </c>
      <c r="C62" s="8">
        <v>8203</v>
      </c>
      <c r="D62" t="str">
        <f t="shared" si="0"/>
        <v>2014-30-34 år</v>
      </c>
    </row>
    <row r="63" spans="1:4" x14ac:dyDescent="0.2">
      <c r="A63" s="7" t="s">
        <v>27</v>
      </c>
      <c r="B63" s="7" t="s">
        <v>15</v>
      </c>
      <c r="C63" s="8">
        <v>9972</v>
      </c>
      <c r="D63" t="str">
        <f t="shared" si="0"/>
        <v>2014-35-39 år</v>
      </c>
    </row>
    <row r="64" spans="1:4" x14ac:dyDescent="0.2">
      <c r="A64" s="7" t="s">
        <v>27</v>
      </c>
      <c r="B64" s="7" t="s">
        <v>16</v>
      </c>
      <c r="C64" s="8">
        <v>9409</v>
      </c>
      <c r="D64" t="str">
        <f t="shared" si="0"/>
        <v>2014-40-44 år</v>
      </c>
    </row>
    <row r="65" spans="1:4" x14ac:dyDescent="0.2">
      <c r="A65" s="7" t="s">
        <v>27</v>
      </c>
      <c r="B65" s="7" t="s">
        <v>17</v>
      </c>
      <c r="C65" s="8">
        <v>12377</v>
      </c>
      <c r="D65" t="str">
        <f t="shared" si="0"/>
        <v>2014-45-49 år</v>
      </c>
    </row>
    <row r="66" spans="1:4" x14ac:dyDescent="0.2">
      <c r="A66" s="7" t="s">
        <v>27</v>
      </c>
      <c r="B66" s="7" t="s">
        <v>18</v>
      </c>
      <c r="C66" s="8">
        <v>10828</v>
      </c>
      <c r="D66" t="str">
        <f t="shared" si="0"/>
        <v>2014-50-54 år</v>
      </c>
    </row>
    <row r="67" spans="1:4" x14ac:dyDescent="0.2">
      <c r="A67" s="7" t="s">
        <v>27</v>
      </c>
      <c r="B67" s="7" t="s">
        <v>19</v>
      </c>
      <c r="C67" s="8">
        <v>8888</v>
      </c>
      <c r="D67" t="str">
        <f t="shared" si="0"/>
        <v>2014-55-59 år</v>
      </c>
    </row>
    <row r="68" spans="1:4" x14ac:dyDescent="0.2">
      <c r="A68" s="7" t="s">
        <v>27</v>
      </c>
      <c r="B68" s="7" t="s">
        <v>20</v>
      </c>
      <c r="C68" s="8">
        <v>5141</v>
      </c>
      <c r="D68" t="str">
        <f t="shared" si="0"/>
        <v>2014-60-64 år</v>
      </c>
    </row>
    <row r="69" spans="1:4" x14ac:dyDescent="0.2">
      <c r="A69" s="7" t="s">
        <v>27</v>
      </c>
      <c r="B69" s="7" t="s">
        <v>21</v>
      </c>
      <c r="C69" s="8">
        <v>1600</v>
      </c>
      <c r="D69" t="str">
        <f t="shared" si="0"/>
        <v>2014-65+ år</v>
      </c>
    </row>
    <row r="70" spans="1:4" x14ac:dyDescent="0.2">
      <c r="A70" s="7" t="s">
        <v>28</v>
      </c>
      <c r="B70" s="7" t="s">
        <v>13</v>
      </c>
      <c r="C70" s="8">
        <v>5834</v>
      </c>
      <c r="D70" t="str">
        <f t="shared" si="0"/>
        <v>2015-25-29 år</v>
      </c>
    </row>
    <row r="71" spans="1:4" x14ac:dyDescent="0.2">
      <c r="A71" s="7" t="s">
        <v>28</v>
      </c>
      <c r="B71" s="7" t="s">
        <v>14</v>
      </c>
      <c r="C71" s="8">
        <v>7834</v>
      </c>
      <c r="D71" t="str">
        <f t="shared" ref="D71:D134" si="1">A71&amp;"-"&amp;B71</f>
        <v>2015-30-34 år</v>
      </c>
    </row>
    <row r="72" spans="1:4" x14ac:dyDescent="0.2">
      <c r="A72" s="7" t="s">
        <v>28</v>
      </c>
      <c r="B72" s="7" t="s">
        <v>15</v>
      </c>
      <c r="C72" s="8">
        <v>9897</v>
      </c>
      <c r="D72" t="str">
        <f t="shared" si="1"/>
        <v>2015-35-39 år</v>
      </c>
    </row>
    <row r="73" spans="1:4" x14ac:dyDescent="0.2">
      <c r="A73" s="7" t="s">
        <v>28</v>
      </c>
      <c r="B73" s="7" t="s">
        <v>16</v>
      </c>
      <c r="C73" s="8">
        <v>9571</v>
      </c>
      <c r="D73" t="str">
        <f t="shared" si="1"/>
        <v>2015-40-44 år</v>
      </c>
    </row>
    <row r="74" spans="1:4" x14ac:dyDescent="0.2">
      <c r="A74" s="7" t="s">
        <v>28</v>
      </c>
      <c r="B74" s="7" t="s">
        <v>17</v>
      </c>
      <c r="C74" s="8">
        <v>11603</v>
      </c>
      <c r="D74" t="str">
        <f t="shared" si="1"/>
        <v>2015-45-49 år</v>
      </c>
    </row>
    <row r="75" spans="1:4" x14ac:dyDescent="0.2">
      <c r="A75" s="7" t="s">
        <v>28</v>
      </c>
      <c r="B75" s="7" t="s">
        <v>18</v>
      </c>
      <c r="C75" s="8">
        <v>11160</v>
      </c>
      <c r="D75" t="str">
        <f t="shared" si="1"/>
        <v>2015-50-54 år</v>
      </c>
    </row>
    <row r="76" spans="1:4" x14ac:dyDescent="0.2">
      <c r="A76" s="7" t="s">
        <v>28</v>
      </c>
      <c r="B76" s="7" t="s">
        <v>19</v>
      </c>
      <c r="C76" s="8">
        <v>8969</v>
      </c>
      <c r="D76" t="str">
        <f t="shared" si="1"/>
        <v>2015-55-59 år</v>
      </c>
    </row>
    <row r="77" spans="1:4" x14ac:dyDescent="0.2">
      <c r="A77" s="7" t="s">
        <v>28</v>
      </c>
      <c r="B77" s="7" t="s">
        <v>20</v>
      </c>
      <c r="C77" s="8">
        <v>5167</v>
      </c>
      <c r="D77" t="str">
        <f t="shared" si="1"/>
        <v>2015-60-64 år</v>
      </c>
    </row>
    <row r="78" spans="1:4" x14ac:dyDescent="0.2">
      <c r="A78" s="7" t="s">
        <v>28</v>
      </c>
      <c r="B78" s="7" t="s">
        <v>21</v>
      </c>
      <c r="C78" s="8">
        <v>1642</v>
      </c>
      <c r="D78" t="str">
        <f t="shared" si="1"/>
        <v>2015-65+ år</v>
      </c>
    </row>
    <row r="79" spans="1:4" x14ac:dyDescent="0.2">
      <c r="A79" s="7" t="s">
        <v>29</v>
      </c>
      <c r="B79" s="7" t="s">
        <v>13</v>
      </c>
      <c r="C79" s="8">
        <v>5701</v>
      </c>
      <c r="D79" t="str">
        <f t="shared" si="1"/>
        <v>2016-25-29 år</v>
      </c>
    </row>
    <row r="80" spans="1:4" x14ac:dyDescent="0.2">
      <c r="A80" s="7" t="s">
        <v>29</v>
      </c>
      <c r="B80" s="7" t="s">
        <v>14</v>
      </c>
      <c r="C80" s="8">
        <v>7831</v>
      </c>
      <c r="D80" t="str">
        <f t="shared" si="1"/>
        <v>2016-30-34 år</v>
      </c>
    </row>
    <row r="81" spans="1:4" x14ac:dyDescent="0.2">
      <c r="A81" s="7" t="s">
        <v>29</v>
      </c>
      <c r="B81" s="7" t="s">
        <v>15</v>
      </c>
      <c r="C81" s="8">
        <v>9564</v>
      </c>
      <c r="D81" t="str">
        <f t="shared" si="1"/>
        <v>2016-35-39 år</v>
      </c>
    </row>
    <row r="82" spans="1:4" x14ac:dyDescent="0.2">
      <c r="A82" s="7" t="s">
        <v>29</v>
      </c>
      <c r="B82" s="7" t="s">
        <v>16</v>
      </c>
      <c r="C82" s="8">
        <v>9711</v>
      </c>
      <c r="D82" t="str">
        <f t="shared" si="1"/>
        <v>2016-40-44 år</v>
      </c>
    </row>
    <row r="83" spans="1:4" x14ac:dyDescent="0.2">
      <c r="A83" s="7" t="s">
        <v>29</v>
      </c>
      <c r="B83" s="7" t="s">
        <v>17</v>
      </c>
      <c r="C83" s="8">
        <v>10533</v>
      </c>
      <c r="D83" t="str">
        <f t="shared" si="1"/>
        <v>2016-45-49 år</v>
      </c>
    </row>
    <row r="84" spans="1:4" x14ac:dyDescent="0.2">
      <c r="A84" s="7" t="s">
        <v>29</v>
      </c>
      <c r="B84" s="7" t="s">
        <v>18</v>
      </c>
      <c r="C84" s="8">
        <v>11490</v>
      </c>
      <c r="D84" t="str">
        <f t="shared" si="1"/>
        <v>2016-50-54 år</v>
      </c>
    </row>
    <row r="85" spans="1:4" x14ac:dyDescent="0.2">
      <c r="A85" s="7" t="s">
        <v>29</v>
      </c>
      <c r="B85" s="7" t="s">
        <v>19</v>
      </c>
      <c r="C85" s="8">
        <v>9121</v>
      </c>
      <c r="D85" t="str">
        <f t="shared" si="1"/>
        <v>2016-55-59 år</v>
      </c>
    </row>
    <row r="86" spans="1:4" x14ac:dyDescent="0.2">
      <c r="A86" s="7" t="s">
        <v>29</v>
      </c>
      <c r="B86" s="7" t="s">
        <v>20</v>
      </c>
      <c r="C86" s="8">
        <v>5304</v>
      </c>
      <c r="D86" t="str">
        <f t="shared" si="1"/>
        <v>2016-60-64 år</v>
      </c>
    </row>
    <row r="87" spans="1:4" x14ac:dyDescent="0.2">
      <c r="A87" s="7" t="s">
        <v>29</v>
      </c>
      <c r="B87" s="7" t="s">
        <v>21</v>
      </c>
      <c r="C87" s="8">
        <v>1680</v>
      </c>
      <c r="D87" t="str">
        <f t="shared" si="1"/>
        <v>2016-65+ år</v>
      </c>
    </row>
    <row r="88" spans="1:4" x14ac:dyDescent="0.2">
      <c r="A88" s="7" t="s">
        <v>30</v>
      </c>
      <c r="B88" s="7" t="s">
        <v>13</v>
      </c>
      <c r="C88" s="8">
        <v>5951</v>
      </c>
      <c r="D88" t="str">
        <f t="shared" si="1"/>
        <v>2017-25-29 år</v>
      </c>
    </row>
    <row r="89" spans="1:4" x14ac:dyDescent="0.2">
      <c r="A89" s="7" t="s">
        <v>30</v>
      </c>
      <c r="B89" s="7" t="s">
        <v>14</v>
      </c>
      <c r="C89" s="8">
        <v>8016</v>
      </c>
      <c r="D89" t="str">
        <f t="shared" si="1"/>
        <v>2017-30-34 år</v>
      </c>
    </row>
    <row r="90" spans="1:4" x14ac:dyDescent="0.2">
      <c r="A90" s="7" t="s">
        <v>30</v>
      </c>
      <c r="B90" s="7" t="s">
        <v>15</v>
      </c>
      <c r="C90" s="8">
        <v>9344</v>
      </c>
      <c r="D90" t="str">
        <f t="shared" si="1"/>
        <v>2017-35-39 år</v>
      </c>
    </row>
    <row r="91" spans="1:4" x14ac:dyDescent="0.2">
      <c r="A91" s="7" t="s">
        <v>30</v>
      </c>
      <c r="B91" s="7" t="s">
        <v>16</v>
      </c>
      <c r="C91" s="8">
        <v>9699</v>
      </c>
      <c r="D91" t="str">
        <f t="shared" si="1"/>
        <v>2017-40-44 år</v>
      </c>
    </row>
    <row r="92" spans="1:4" x14ac:dyDescent="0.2">
      <c r="A92" s="7" t="s">
        <v>30</v>
      </c>
      <c r="B92" s="7" t="s">
        <v>17</v>
      </c>
      <c r="C92" s="8">
        <v>9778</v>
      </c>
      <c r="D92" t="str">
        <f t="shared" si="1"/>
        <v>2017-45-49 år</v>
      </c>
    </row>
    <row r="93" spans="1:4" x14ac:dyDescent="0.2">
      <c r="A93" s="7" t="s">
        <v>30</v>
      </c>
      <c r="B93" s="7" t="s">
        <v>18</v>
      </c>
      <c r="C93" s="8">
        <v>11940</v>
      </c>
      <c r="D93" t="str">
        <f t="shared" si="1"/>
        <v>2017-50-54 år</v>
      </c>
    </row>
    <row r="94" spans="1:4" x14ac:dyDescent="0.2">
      <c r="A94" s="7" t="s">
        <v>30</v>
      </c>
      <c r="B94" s="7" t="s">
        <v>19</v>
      </c>
      <c r="C94" s="8">
        <v>9231</v>
      </c>
      <c r="D94" t="str">
        <f t="shared" si="1"/>
        <v>2017-55-59 år</v>
      </c>
    </row>
    <row r="95" spans="1:4" x14ac:dyDescent="0.2">
      <c r="A95" s="7" t="s">
        <v>30</v>
      </c>
      <c r="B95" s="7" t="s">
        <v>20</v>
      </c>
      <c r="C95" s="8">
        <v>5403</v>
      </c>
      <c r="D95" t="str">
        <f t="shared" si="1"/>
        <v>2017-60-64 år</v>
      </c>
    </row>
    <row r="96" spans="1:4" x14ac:dyDescent="0.2">
      <c r="A96" s="7" t="s">
        <v>30</v>
      </c>
      <c r="B96" s="7" t="s">
        <v>21</v>
      </c>
      <c r="C96" s="8">
        <v>1775</v>
      </c>
      <c r="D96" t="str">
        <f t="shared" si="1"/>
        <v>2017-65+ år</v>
      </c>
    </row>
    <row r="97" spans="1:4" x14ac:dyDescent="0.2">
      <c r="A97" s="7" t="s">
        <v>31</v>
      </c>
      <c r="B97" s="7" t="s">
        <v>13</v>
      </c>
      <c r="C97" s="8">
        <v>6353</v>
      </c>
      <c r="D97" t="str">
        <f t="shared" si="1"/>
        <v>2018-25-29 år</v>
      </c>
    </row>
    <row r="98" spans="1:4" x14ac:dyDescent="0.2">
      <c r="A98" s="7" t="s">
        <v>31</v>
      </c>
      <c r="B98" s="7" t="s">
        <v>14</v>
      </c>
      <c r="C98" s="8">
        <v>8276</v>
      </c>
      <c r="D98" t="str">
        <f t="shared" si="1"/>
        <v>2018-30-34 år</v>
      </c>
    </row>
    <row r="99" spans="1:4" x14ac:dyDescent="0.2">
      <c r="A99" s="7" t="s">
        <v>31</v>
      </c>
      <c r="B99" s="7" t="s">
        <v>15</v>
      </c>
      <c r="C99" s="8">
        <v>9245</v>
      </c>
      <c r="D99" t="str">
        <f t="shared" si="1"/>
        <v>2018-35-39 år</v>
      </c>
    </row>
    <row r="100" spans="1:4" x14ac:dyDescent="0.2">
      <c r="A100" s="7" t="s">
        <v>31</v>
      </c>
      <c r="B100" s="7" t="s">
        <v>16</v>
      </c>
      <c r="C100" s="8">
        <v>9937</v>
      </c>
      <c r="D100" t="str">
        <f t="shared" si="1"/>
        <v>2018-40-44 år</v>
      </c>
    </row>
    <row r="101" spans="1:4" x14ac:dyDescent="0.2">
      <c r="A101" s="7" t="s">
        <v>31</v>
      </c>
      <c r="B101" s="7" t="s">
        <v>17</v>
      </c>
      <c r="C101" s="8">
        <v>9488</v>
      </c>
      <c r="D101" t="str">
        <f t="shared" si="1"/>
        <v>2018-45-49 år</v>
      </c>
    </row>
    <row r="102" spans="1:4" x14ac:dyDescent="0.2">
      <c r="A102" s="7" t="s">
        <v>31</v>
      </c>
      <c r="B102" s="7" t="s">
        <v>18</v>
      </c>
      <c r="C102" s="8">
        <v>12171</v>
      </c>
      <c r="D102" t="str">
        <f t="shared" si="1"/>
        <v>2018-50-54 år</v>
      </c>
    </row>
    <row r="103" spans="1:4" x14ac:dyDescent="0.2">
      <c r="A103" s="7" t="s">
        <v>31</v>
      </c>
      <c r="B103" s="7" t="s">
        <v>19</v>
      </c>
      <c r="C103" s="8">
        <v>9537</v>
      </c>
      <c r="D103" t="str">
        <f t="shared" si="1"/>
        <v>2018-55-59 år</v>
      </c>
    </row>
    <row r="104" spans="1:4" x14ac:dyDescent="0.2">
      <c r="A104" s="7" t="s">
        <v>31</v>
      </c>
      <c r="B104" s="7" t="s">
        <v>20</v>
      </c>
      <c r="C104" s="8">
        <v>5638</v>
      </c>
      <c r="D104" t="str">
        <f t="shared" si="1"/>
        <v>2018-60-64 år</v>
      </c>
    </row>
    <row r="105" spans="1:4" x14ac:dyDescent="0.2">
      <c r="A105" s="7" t="s">
        <v>31</v>
      </c>
      <c r="B105" s="7" t="s">
        <v>21</v>
      </c>
      <c r="C105" s="8">
        <v>1897</v>
      </c>
      <c r="D105" t="str">
        <f t="shared" si="1"/>
        <v>2018-65+ år</v>
      </c>
    </row>
    <row r="106" spans="1:4" x14ac:dyDescent="0.2">
      <c r="A106" s="7" t="s">
        <v>32</v>
      </c>
      <c r="B106" s="7" t="s">
        <v>13</v>
      </c>
      <c r="C106" s="8">
        <v>6883</v>
      </c>
      <c r="D106" t="str">
        <f t="shared" si="1"/>
        <v>2019-25-29 år</v>
      </c>
    </row>
    <row r="107" spans="1:4" x14ac:dyDescent="0.2">
      <c r="A107" s="7" t="s">
        <v>32</v>
      </c>
      <c r="B107" s="7" t="s">
        <v>14</v>
      </c>
      <c r="C107" s="8">
        <v>8461</v>
      </c>
      <c r="D107" t="str">
        <f t="shared" si="1"/>
        <v>2019-30-34 år</v>
      </c>
    </row>
    <row r="108" spans="1:4" x14ac:dyDescent="0.2">
      <c r="A108" s="7" t="s">
        <v>32</v>
      </c>
      <c r="B108" s="7" t="s">
        <v>15</v>
      </c>
      <c r="C108" s="8">
        <v>9057</v>
      </c>
      <c r="D108" t="str">
        <f t="shared" si="1"/>
        <v>2019-35-39 år</v>
      </c>
    </row>
    <row r="109" spans="1:4" x14ac:dyDescent="0.2">
      <c r="A109" s="7" t="s">
        <v>32</v>
      </c>
      <c r="B109" s="7" t="s">
        <v>16</v>
      </c>
      <c r="C109" s="8">
        <v>10158</v>
      </c>
      <c r="D109" t="str">
        <f t="shared" si="1"/>
        <v>2019-40-44 år</v>
      </c>
    </row>
    <row r="110" spans="1:4" x14ac:dyDescent="0.2">
      <c r="A110" s="7" t="s">
        <v>32</v>
      </c>
      <c r="B110" s="7" t="s">
        <v>17</v>
      </c>
      <c r="C110" s="8">
        <v>9482</v>
      </c>
      <c r="D110" t="str">
        <f t="shared" si="1"/>
        <v>2019-45-49 år</v>
      </c>
    </row>
    <row r="111" spans="1:4" x14ac:dyDescent="0.2">
      <c r="A111" s="7" t="s">
        <v>32</v>
      </c>
      <c r="B111" s="7" t="s">
        <v>18</v>
      </c>
      <c r="C111" s="8">
        <v>11866</v>
      </c>
      <c r="D111" t="str">
        <f t="shared" si="1"/>
        <v>2019-50-54 år</v>
      </c>
    </row>
    <row r="112" spans="1:4" x14ac:dyDescent="0.2">
      <c r="A112" s="7" t="s">
        <v>32</v>
      </c>
      <c r="B112" s="7" t="s">
        <v>19</v>
      </c>
      <c r="C112" s="8">
        <v>9811</v>
      </c>
      <c r="D112" t="str">
        <f t="shared" si="1"/>
        <v>2019-55-59 år</v>
      </c>
    </row>
    <row r="113" spans="1:4" x14ac:dyDescent="0.2">
      <c r="A113" s="7" t="s">
        <v>32</v>
      </c>
      <c r="B113" s="7" t="s">
        <v>20</v>
      </c>
      <c r="C113" s="8">
        <v>5907</v>
      </c>
      <c r="D113" t="str">
        <f t="shared" si="1"/>
        <v>2019-60-64 år</v>
      </c>
    </row>
    <row r="114" spans="1:4" x14ac:dyDescent="0.2">
      <c r="A114" s="7" t="s">
        <v>32</v>
      </c>
      <c r="B114" s="7" t="s">
        <v>21</v>
      </c>
      <c r="C114" s="8">
        <v>2030</v>
      </c>
      <c r="D114" t="str">
        <f t="shared" si="1"/>
        <v>2019-65+ år</v>
      </c>
    </row>
    <row r="115" spans="1:4" x14ac:dyDescent="0.2">
      <c r="A115" s="7" t="s">
        <v>33</v>
      </c>
      <c r="B115" s="7" t="s">
        <v>13</v>
      </c>
      <c r="C115" s="8">
        <v>7337</v>
      </c>
      <c r="D115" t="str">
        <f t="shared" si="1"/>
        <v>2020-25-29 år</v>
      </c>
    </row>
    <row r="116" spans="1:4" x14ac:dyDescent="0.2">
      <c r="A116" s="7" t="s">
        <v>33</v>
      </c>
      <c r="B116" s="7" t="s">
        <v>14</v>
      </c>
      <c r="C116" s="8">
        <v>8658</v>
      </c>
      <c r="D116" t="str">
        <f t="shared" si="1"/>
        <v>2020-30-34 år</v>
      </c>
    </row>
    <row r="117" spans="1:4" x14ac:dyDescent="0.2">
      <c r="A117" s="7" t="s">
        <v>33</v>
      </c>
      <c r="B117" s="7" t="s">
        <v>15</v>
      </c>
      <c r="C117" s="8">
        <v>8798</v>
      </c>
      <c r="D117" t="str">
        <f t="shared" si="1"/>
        <v>2020-35-39 år</v>
      </c>
    </row>
    <row r="118" spans="1:4" x14ac:dyDescent="0.2">
      <c r="A118" s="7" t="s">
        <v>33</v>
      </c>
      <c r="B118" s="7" t="s">
        <v>16</v>
      </c>
      <c r="C118" s="8">
        <v>10129</v>
      </c>
      <c r="D118" t="str">
        <f t="shared" si="1"/>
        <v>2020-40-44 år</v>
      </c>
    </row>
    <row r="119" spans="1:4" x14ac:dyDescent="0.2">
      <c r="A119" s="7" t="s">
        <v>33</v>
      </c>
      <c r="B119" s="7" t="s">
        <v>17</v>
      </c>
      <c r="C119" s="8">
        <v>9740</v>
      </c>
      <c r="D119" t="str">
        <f t="shared" si="1"/>
        <v>2020-45-49 år</v>
      </c>
    </row>
    <row r="120" spans="1:4" x14ac:dyDescent="0.2">
      <c r="A120" s="7" t="s">
        <v>33</v>
      </c>
      <c r="B120" s="7" t="s">
        <v>18</v>
      </c>
      <c r="C120" s="8">
        <v>11187</v>
      </c>
      <c r="D120" t="str">
        <f t="shared" si="1"/>
        <v>2020-50-54 år</v>
      </c>
    </row>
    <row r="121" spans="1:4" x14ac:dyDescent="0.2">
      <c r="A121" s="7" t="s">
        <v>33</v>
      </c>
      <c r="B121" s="7" t="s">
        <v>19</v>
      </c>
      <c r="C121" s="8">
        <v>10215</v>
      </c>
      <c r="D121" t="str">
        <f t="shared" si="1"/>
        <v>2020-55-59 år</v>
      </c>
    </row>
    <row r="122" spans="1:4" x14ac:dyDescent="0.2">
      <c r="A122" s="7" t="s">
        <v>33</v>
      </c>
      <c r="B122" s="7" t="s">
        <v>20</v>
      </c>
      <c r="C122" s="8">
        <v>6305</v>
      </c>
      <c r="D122" t="str">
        <f t="shared" si="1"/>
        <v>2020-60-64 år</v>
      </c>
    </row>
    <row r="123" spans="1:4" x14ac:dyDescent="0.2">
      <c r="A123" s="7" t="s">
        <v>33</v>
      </c>
      <c r="B123" s="7" t="s">
        <v>21</v>
      </c>
      <c r="C123" s="8">
        <v>2231</v>
      </c>
      <c r="D123" t="str">
        <f t="shared" si="1"/>
        <v>2020-65+ år</v>
      </c>
    </row>
    <row r="124" spans="1:4" x14ac:dyDescent="0.2">
      <c r="A124" s="7" t="s">
        <v>34</v>
      </c>
      <c r="B124" s="7" t="s">
        <v>13</v>
      </c>
      <c r="C124" s="8">
        <v>7687</v>
      </c>
      <c r="D124" t="str">
        <f t="shared" si="1"/>
        <v>2021-25-29 år</v>
      </c>
    </row>
    <row r="125" spans="1:4" x14ac:dyDescent="0.2">
      <c r="A125" s="7" t="s">
        <v>34</v>
      </c>
      <c r="B125" s="7" t="s">
        <v>14</v>
      </c>
      <c r="C125" s="8">
        <v>8844</v>
      </c>
      <c r="D125" t="str">
        <f t="shared" si="1"/>
        <v>2021-30-34 år</v>
      </c>
    </row>
    <row r="126" spans="1:4" x14ac:dyDescent="0.2">
      <c r="A126" s="7" t="s">
        <v>34</v>
      </c>
      <c r="B126" s="7" t="s">
        <v>15</v>
      </c>
      <c r="C126" s="8">
        <v>8987</v>
      </c>
      <c r="D126" t="str">
        <f t="shared" si="1"/>
        <v>2021-35-39 år</v>
      </c>
    </row>
    <row r="127" spans="1:4" x14ac:dyDescent="0.2">
      <c r="A127" s="7" t="s">
        <v>34</v>
      </c>
      <c r="B127" s="7" t="s">
        <v>16</v>
      </c>
      <c r="C127" s="8">
        <v>10002</v>
      </c>
      <c r="D127" t="str">
        <f t="shared" si="1"/>
        <v>2021-40-44 år</v>
      </c>
    </row>
    <row r="128" spans="1:4" x14ac:dyDescent="0.2">
      <c r="A128" s="7" t="s">
        <v>34</v>
      </c>
      <c r="B128" s="7" t="s">
        <v>17</v>
      </c>
      <c r="C128" s="8">
        <v>10036</v>
      </c>
      <c r="D128" t="str">
        <f t="shared" si="1"/>
        <v>2021-45-49 år</v>
      </c>
    </row>
    <row r="129" spans="1:4" x14ac:dyDescent="0.2">
      <c r="A129" s="7" t="s">
        <v>34</v>
      </c>
      <c r="B129" s="7" t="s">
        <v>18</v>
      </c>
      <c r="C129" s="8">
        <v>10467</v>
      </c>
      <c r="D129" t="str">
        <f t="shared" si="1"/>
        <v>2021-50-54 år</v>
      </c>
    </row>
    <row r="130" spans="1:4" x14ac:dyDescent="0.2">
      <c r="A130" s="7" t="s">
        <v>34</v>
      </c>
      <c r="B130" s="7" t="s">
        <v>19</v>
      </c>
      <c r="C130" s="8">
        <v>10749</v>
      </c>
      <c r="D130" t="str">
        <f t="shared" si="1"/>
        <v>2021-55-59 år</v>
      </c>
    </row>
    <row r="131" spans="1:4" x14ac:dyDescent="0.2">
      <c r="A131" s="7" t="s">
        <v>34</v>
      </c>
      <c r="B131" s="7" t="s">
        <v>20</v>
      </c>
      <c r="C131" s="8">
        <v>6688</v>
      </c>
      <c r="D131" t="str">
        <f t="shared" si="1"/>
        <v>2021-60-64 år</v>
      </c>
    </row>
    <row r="132" spans="1:4" x14ac:dyDescent="0.2">
      <c r="A132" s="7" t="s">
        <v>34</v>
      </c>
      <c r="B132" s="7" t="s">
        <v>21</v>
      </c>
      <c r="C132" s="8">
        <v>2522</v>
      </c>
      <c r="D132" t="str">
        <f t="shared" si="1"/>
        <v>2021-65+ år</v>
      </c>
    </row>
    <row r="133" spans="1:4" x14ac:dyDescent="0.2">
      <c r="A133" s="7" t="s">
        <v>35</v>
      </c>
      <c r="B133" s="7" t="s">
        <v>13</v>
      </c>
      <c r="C133" s="8">
        <v>8107</v>
      </c>
      <c r="D133" t="str">
        <f t="shared" si="1"/>
        <v>2022-25-29 år</v>
      </c>
    </row>
    <row r="134" spans="1:4" x14ac:dyDescent="0.2">
      <c r="A134" s="7" t="s">
        <v>35</v>
      </c>
      <c r="B134" s="7" t="s">
        <v>14</v>
      </c>
      <c r="C134" s="8">
        <v>9307</v>
      </c>
      <c r="D134" t="str">
        <f t="shared" si="1"/>
        <v>2022-30-34 år</v>
      </c>
    </row>
    <row r="135" spans="1:4" x14ac:dyDescent="0.2">
      <c r="A135" s="7" t="s">
        <v>35</v>
      </c>
      <c r="B135" s="7" t="s">
        <v>15</v>
      </c>
      <c r="C135" s="8">
        <v>9287</v>
      </c>
      <c r="D135" t="str">
        <f t="shared" ref="D135:D158" si="2">A135&amp;"-"&amp;B135</f>
        <v>2022-35-39 år</v>
      </c>
    </row>
    <row r="136" spans="1:4" x14ac:dyDescent="0.2">
      <c r="A136" s="7" t="s">
        <v>35</v>
      </c>
      <c r="B136" s="7" t="s">
        <v>16</v>
      </c>
      <c r="C136" s="8">
        <v>9808</v>
      </c>
      <c r="D136" t="str">
        <f t="shared" si="2"/>
        <v>2022-40-44 år</v>
      </c>
    </row>
    <row r="137" spans="1:4" x14ac:dyDescent="0.2">
      <c r="A137" s="7" t="s">
        <v>35</v>
      </c>
      <c r="B137" s="7" t="s">
        <v>17</v>
      </c>
      <c r="C137" s="8">
        <v>10063</v>
      </c>
      <c r="D137" t="str">
        <f t="shared" si="2"/>
        <v>2022-45-49 år</v>
      </c>
    </row>
    <row r="138" spans="1:4" x14ac:dyDescent="0.2">
      <c r="A138" s="7" t="s">
        <v>35</v>
      </c>
      <c r="B138" s="7" t="s">
        <v>18</v>
      </c>
      <c r="C138" s="8">
        <v>9799</v>
      </c>
      <c r="D138" t="str">
        <f t="shared" si="2"/>
        <v>2022-50-54 år</v>
      </c>
    </row>
    <row r="139" spans="1:4" x14ac:dyDescent="0.2">
      <c r="A139" s="7" t="s">
        <v>35</v>
      </c>
      <c r="B139" s="7" t="s">
        <v>19</v>
      </c>
      <c r="C139" s="8">
        <v>11340</v>
      </c>
      <c r="D139" t="str">
        <f t="shared" si="2"/>
        <v>2022-55-59 år</v>
      </c>
    </row>
    <row r="140" spans="1:4" x14ac:dyDescent="0.2">
      <c r="A140" s="7" t="s">
        <v>35</v>
      </c>
      <c r="B140" s="7" t="s">
        <v>20</v>
      </c>
      <c r="C140" s="8">
        <v>6943</v>
      </c>
      <c r="D140" t="str">
        <f t="shared" si="2"/>
        <v>2022-60-64 år</v>
      </c>
    </row>
    <row r="141" spans="1:4" x14ac:dyDescent="0.2">
      <c r="A141" s="7" t="s">
        <v>35</v>
      </c>
      <c r="B141" s="7" t="s">
        <v>21</v>
      </c>
      <c r="C141" s="8">
        <v>2779</v>
      </c>
      <c r="D141" t="str">
        <f t="shared" si="2"/>
        <v>2022-65+ år</v>
      </c>
    </row>
    <row r="142" spans="1:4" x14ac:dyDescent="0.2">
      <c r="A142" s="7" t="s">
        <v>36</v>
      </c>
      <c r="B142" s="7" t="s">
        <v>13</v>
      </c>
      <c r="C142" s="8">
        <v>8433</v>
      </c>
      <c r="D142" t="str">
        <f t="shared" si="2"/>
        <v>2023-25-29 år</v>
      </c>
    </row>
    <row r="143" spans="1:4" x14ac:dyDescent="0.2">
      <c r="A143" s="7" t="s">
        <v>36</v>
      </c>
      <c r="B143" s="7" t="s">
        <v>14</v>
      </c>
      <c r="C143" s="8">
        <v>9786</v>
      </c>
      <c r="D143" t="str">
        <f t="shared" si="2"/>
        <v>2023-30-34 år</v>
      </c>
    </row>
    <row r="144" spans="1:4" x14ac:dyDescent="0.2">
      <c r="A144" s="7" t="s">
        <v>36</v>
      </c>
      <c r="B144" s="7" t="s">
        <v>15</v>
      </c>
      <c r="C144" s="8">
        <v>9648</v>
      </c>
      <c r="D144" t="str">
        <f t="shared" si="2"/>
        <v>2023-35-39 år</v>
      </c>
    </row>
    <row r="145" spans="1:4" x14ac:dyDescent="0.2">
      <c r="A145" s="7" t="s">
        <v>36</v>
      </c>
      <c r="B145" s="7" t="s">
        <v>16</v>
      </c>
      <c r="C145" s="8">
        <v>9770</v>
      </c>
      <c r="D145" t="str">
        <f t="shared" si="2"/>
        <v>2023-40-44 år</v>
      </c>
    </row>
    <row r="146" spans="1:4" x14ac:dyDescent="0.2">
      <c r="A146" s="7" t="s">
        <v>36</v>
      </c>
      <c r="B146" s="7" t="s">
        <v>17</v>
      </c>
      <c r="C146" s="8">
        <v>10262</v>
      </c>
      <c r="D146" t="str">
        <f t="shared" si="2"/>
        <v>2023-45-49 år</v>
      </c>
    </row>
    <row r="147" spans="1:4" x14ac:dyDescent="0.2">
      <c r="A147" s="7" t="s">
        <v>36</v>
      </c>
      <c r="B147" s="7" t="s">
        <v>18</v>
      </c>
      <c r="C147" s="8">
        <v>9513</v>
      </c>
      <c r="D147" t="str">
        <f t="shared" si="2"/>
        <v>2023-50-54 år</v>
      </c>
    </row>
    <row r="148" spans="1:4" x14ac:dyDescent="0.2">
      <c r="A148" s="7" t="s">
        <v>36</v>
      </c>
      <c r="B148" s="7" t="s">
        <v>19</v>
      </c>
      <c r="C148" s="8">
        <v>11614</v>
      </c>
      <c r="D148" t="str">
        <f t="shared" si="2"/>
        <v>2023-55-59 år</v>
      </c>
    </row>
    <row r="149" spans="1:4" x14ac:dyDescent="0.2">
      <c r="A149" s="7" t="s">
        <v>36</v>
      </c>
      <c r="B149" s="7" t="s">
        <v>20</v>
      </c>
      <c r="C149" s="8">
        <v>7443</v>
      </c>
      <c r="D149" t="str">
        <f t="shared" si="2"/>
        <v>2023-60-64 år</v>
      </c>
    </row>
    <row r="150" spans="1:4" x14ac:dyDescent="0.2">
      <c r="A150" s="7" t="s">
        <v>36</v>
      </c>
      <c r="B150" s="7" t="s">
        <v>21</v>
      </c>
      <c r="C150" s="8">
        <v>3139</v>
      </c>
      <c r="D150" t="str">
        <f t="shared" si="2"/>
        <v>2023-65+ år</v>
      </c>
    </row>
    <row r="151" spans="1:4" x14ac:dyDescent="0.2">
      <c r="A151" s="7" t="s">
        <v>37</v>
      </c>
      <c r="B151" s="7" t="s">
        <v>13</v>
      </c>
      <c r="C151" s="8">
        <v>8560</v>
      </c>
      <c r="D151" t="str">
        <f t="shared" si="2"/>
        <v>2024-25-29 år</v>
      </c>
    </row>
    <row r="152" spans="1:4" x14ac:dyDescent="0.2">
      <c r="A152" s="7" t="s">
        <v>37</v>
      </c>
      <c r="B152" s="7" t="s">
        <v>14</v>
      </c>
      <c r="C152" s="8">
        <v>10150</v>
      </c>
      <c r="D152" t="str">
        <f t="shared" si="2"/>
        <v>2024-30-34 år</v>
      </c>
    </row>
    <row r="153" spans="1:4" x14ac:dyDescent="0.2">
      <c r="A153" s="7" t="s">
        <v>37</v>
      </c>
      <c r="B153" s="7" t="s">
        <v>15</v>
      </c>
      <c r="C153" s="8">
        <v>9885</v>
      </c>
      <c r="D153" t="str">
        <f t="shared" si="2"/>
        <v>2024-35-39 år</v>
      </c>
    </row>
    <row r="154" spans="1:4" x14ac:dyDescent="0.2">
      <c r="A154" s="7" t="s">
        <v>37</v>
      </c>
      <c r="B154" s="7" t="s">
        <v>16</v>
      </c>
      <c r="C154" s="8">
        <v>9594</v>
      </c>
      <c r="D154" t="str">
        <f t="shared" si="2"/>
        <v>2024-40-44 år</v>
      </c>
    </row>
    <row r="155" spans="1:4" x14ac:dyDescent="0.2">
      <c r="A155" s="7" t="s">
        <v>37</v>
      </c>
      <c r="B155" s="7" t="s">
        <v>17</v>
      </c>
      <c r="C155" s="8">
        <v>10483</v>
      </c>
      <c r="D155" t="str">
        <f t="shared" si="2"/>
        <v>2024-45-49 år</v>
      </c>
    </row>
    <row r="156" spans="1:4" x14ac:dyDescent="0.2">
      <c r="A156" s="7" t="s">
        <v>37</v>
      </c>
      <c r="B156" s="7" t="s">
        <v>18</v>
      </c>
      <c r="C156" s="8">
        <v>9604</v>
      </c>
      <c r="D156" t="str">
        <f t="shared" si="2"/>
        <v>2024-50-54 år</v>
      </c>
    </row>
    <row r="157" spans="1:4" x14ac:dyDescent="0.2">
      <c r="A157" s="7" t="s">
        <v>37</v>
      </c>
      <c r="B157" s="7" t="s">
        <v>19</v>
      </c>
      <c r="C157" s="8">
        <v>11402</v>
      </c>
      <c r="D157" t="str">
        <f t="shared" si="2"/>
        <v>2024-55-59 år</v>
      </c>
    </row>
    <row r="158" spans="1:4" x14ac:dyDescent="0.2">
      <c r="A158" s="7" t="s">
        <v>37</v>
      </c>
      <c r="B158" s="7" t="s">
        <v>20</v>
      </c>
      <c r="C158" s="8">
        <v>7871</v>
      </c>
      <c r="D158" t="str">
        <f t="shared" si="2"/>
        <v>2024-60-64 år</v>
      </c>
    </row>
    <row r="159" spans="1:4" ht="16" thickBot="1" x14ac:dyDescent="0.25">
      <c r="A159" s="7" t="s">
        <v>37</v>
      </c>
      <c r="B159" s="7" t="s">
        <v>21</v>
      </c>
      <c r="C159" s="8">
        <v>3573</v>
      </c>
      <c r="D159" t="str">
        <f>A159&amp;"-"&amp;B159</f>
        <v>2024-65+ år</v>
      </c>
    </row>
    <row r="160" spans="1:4" ht="16" thickTop="1" x14ac:dyDescent="0.2">
      <c r="A160" s="9"/>
      <c r="B160" s="9"/>
      <c r="C160" s="9"/>
    </row>
    <row r="162" spans="1:1" x14ac:dyDescent="0.2">
      <c r="A162" t="s">
        <v>38</v>
      </c>
    </row>
    <row r="163" spans="1:1" x14ac:dyDescent="0.2">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9" tint="0.39997558519241921"/>
  </sheetPr>
  <dimension ref="B2:G10"/>
  <sheetViews>
    <sheetView workbookViewId="0">
      <selection activeCell="C10" sqref="C10"/>
    </sheetView>
  </sheetViews>
  <sheetFormatPr baseColWidth="10" defaultColWidth="8.6640625" defaultRowHeight="15" x14ac:dyDescent="0.2"/>
  <cols>
    <col min="1" max="1" width="3.1640625" style="2" customWidth="1"/>
    <col min="2" max="2" width="20" style="2" bestFit="1" customWidth="1"/>
    <col min="3" max="6" width="13.83203125" style="2" bestFit="1" customWidth="1"/>
    <col min="7" max="16384" width="8.6640625" style="2"/>
  </cols>
  <sheetData>
    <row r="2" spans="2:7" x14ac:dyDescent="0.2">
      <c r="B2" t="s">
        <v>73</v>
      </c>
      <c r="C2" t="s">
        <v>69</v>
      </c>
      <c r="D2" t="s">
        <v>70</v>
      </c>
      <c r="E2" t="s">
        <v>71</v>
      </c>
      <c r="F2" t="s">
        <v>72</v>
      </c>
      <c r="G2" s="84" t="s">
        <v>75</v>
      </c>
    </row>
    <row r="3" spans="2:7" x14ac:dyDescent="0.2">
      <c r="B3" t="s">
        <v>66</v>
      </c>
      <c r="C3">
        <v>1</v>
      </c>
      <c r="D3">
        <v>0.75</v>
      </c>
      <c r="E3">
        <v>0.5</v>
      </c>
      <c r="F3">
        <v>0.25</v>
      </c>
      <c r="G3" s="84"/>
    </row>
    <row r="4" spans="2:7" x14ac:dyDescent="0.2">
      <c r="B4" t="s">
        <v>67</v>
      </c>
      <c r="C4" s="34">
        <f>'Net Salary P1'!E37</f>
        <v>1864268.0513442026</v>
      </c>
      <c r="D4" s="34">
        <f>3500000*0.2</f>
        <v>700000</v>
      </c>
      <c r="E4" s="34">
        <v>72530</v>
      </c>
      <c r="F4" s="34">
        <f>2500000*0.3</f>
        <v>750000</v>
      </c>
      <c r="G4" s="84"/>
    </row>
    <row r="5" spans="2:7" x14ac:dyDescent="0.2">
      <c r="B5" t="s">
        <v>68</v>
      </c>
      <c r="C5">
        <v>50</v>
      </c>
      <c r="D5">
        <v>10</v>
      </c>
      <c r="E5">
        <v>20</v>
      </c>
      <c r="F5">
        <v>30</v>
      </c>
      <c r="G5" s="84"/>
    </row>
    <row r="7" spans="2:7" x14ac:dyDescent="0.2">
      <c r="B7" t="s">
        <v>73</v>
      </c>
      <c r="C7" t="s">
        <v>69</v>
      </c>
      <c r="D7" t="s">
        <v>70</v>
      </c>
      <c r="E7" t="s">
        <v>71</v>
      </c>
      <c r="F7" t="s">
        <v>72</v>
      </c>
      <c r="G7" s="84" t="s">
        <v>74</v>
      </c>
    </row>
    <row r="8" spans="2:7" x14ac:dyDescent="0.2">
      <c r="B8" t="s">
        <v>66</v>
      </c>
      <c r="C8">
        <v>1</v>
      </c>
      <c r="D8">
        <v>0.75</v>
      </c>
      <c r="E8">
        <v>0.5</v>
      </c>
      <c r="F8">
        <v>0.25</v>
      </c>
      <c r="G8" s="84"/>
    </row>
    <row r="9" spans="2:7" x14ac:dyDescent="0.2">
      <c r="B9" t="s">
        <v>67</v>
      </c>
      <c r="C9" s="34">
        <f>'Net Salary P2'!E37</f>
        <v>4212659.3152651591</v>
      </c>
      <c r="D9" s="34">
        <f>3500000*0.2</f>
        <v>700000</v>
      </c>
      <c r="E9" s="34">
        <v>75176</v>
      </c>
      <c r="F9" s="34">
        <f>2500000*0.3</f>
        <v>750000</v>
      </c>
      <c r="G9" s="84"/>
    </row>
    <row r="10" spans="2:7" x14ac:dyDescent="0.2">
      <c r="B10" t="s">
        <v>68</v>
      </c>
      <c r="C10">
        <v>35</v>
      </c>
      <c r="D10">
        <v>10</v>
      </c>
      <c r="E10">
        <v>5</v>
      </c>
      <c r="F10">
        <v>15</v>
      </c>
      <c r="G10" s="84"/>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election activeCell="E17" sqref="C17:E17"/>
    </sheetView>
  </sheetViews>
  <sheetFormatPr baseColWidth="10" defaultColWidth="8.6640625" defaultRowHeight="15" x14ac:dyDescent="0.2"/>
  <cols>
    <col min="1" max="1" width="3.5" style="2" customWidth="1"/>
    <col min="2" max="2" width="8.6640625" style="2"/>
    <col min="3" max="3" width="13.1640625" style="2" customWidth="1"/>
    <col min="4" max="4" width="11.5" style="2" customWidth="1"/>
    <col min="5" max="5" width="11.33203125" style="2" customWidth="1"/>
    <col min="6" max="6" width="16.33203125" style="2" customWidth="1"/>
    <col min="7" max="16384" width="8.6640625" style="2"/>
  </cols>
  <sheetData>
    <row r="2" spans="2:6" x14ac:dyDescent="0.2">
      <c r="B2" s="3" t="s">
        <v>0</v>
      </c>
      <c r="C2" s="3" t="s">
        <v>1</v>
      </c>
      <c r="D2" s="3" t="s">
        <v>168</v>
      </c>
      <c r="E2" s="3" t="s">
        <v>169</v>
      </c>
      <c r="F2" s="3" t="s">
        <v>170</v>
      </c>
    </row>
    <row r="3" spans="2:6" x14ac:dyDescent="0.2">
      <c r="B3" s="3">
        <v>1</v>
      </c>
      <c r="C3" s="3">
        <v>2025</v>
      </c>
      <c r="D3" s="3">
        <v>25</v>
      </c>
      <c r="E3" s="3">
        <v>40</v>
      </c>
      <c r="F3" s="3" t="s">
        <v>0</v>
      </c>
    </row>
    <row r="4" spans="2:6" x14ac:dyDescent="0.2">
      <c r="B4" s="3">
        <v>2</v>
      </c>
      <c r="C4" s="3">
        <v>2026</v>
      </c>
      <c r="D4" s="3">
        <f>D3+1</f>
        <v>26</v>
      </c>
      <c r="E4" s="3">
        <f>E3+1</f>
        <v>41</v>
      </c>
      <c r="F4" s="3" t="s">
        <v>0</v>
      </c>
    </row>
    <row r="5" spans="2:6" x14ac:dyDescent="0.2">
      <c r="B5" s="3">
        <v>3</v>
      </c>
      <c r="C5" s="3">
        <v>2027</v>
      </c>
      <c r="D5" s="3">
        <f t="shared" ref="D5:E16" si="0">D4+1</f>
        <v>27</v>
      </c>
      <c r="E5" s="3">
        <f t="shared" si="0"/>
        <v>42</v>
      </c>
      <c r="F5" s="3" t="s">
        <v>0</v>
      </c>
    </row>
    <row r="6" spans="2:6" x14ac:dyDescent="0.2">
      <c r="B6" s="3">
        <v>4</v>
      </c>
      <c r="C6" s="3">
        <v>2028</v>
      </c>
      <c r="D6" s="3">
        <f t="shared" si="0"/>
        <v>28</v>
      </c>
      <c r="E6" s="3">
        <f t="shared" si="0"/>
        <v>43</v>
      </c>
      <c r="F6" s="3" t="s">
        <v>0</v>
      </c>
    </row>
    <row r="7" spans="2:6" x14ac:dyDescent="0.2">
      <c r="B7" s="3">
        <v>5</v>
      </c>
      <c r="C7" s="3">
        <v>2029</v>
      </c>
      <c r="D7" s="3">
        <f t="shared" si="0"/>
        <v>29</v>
      </c>
      <c r="E7" s="3">
        <f t="shared" si="0"/>
        <v>44</v>
      </c>
      <c r="F7" s="3" t="s">
        <v>0</v>
      </c>
    </row>
    <row r="8" spans="2:6" x14ac:dyDescent="0.2">
      <c r="B8" s="3">
        <v>6</v>
      </c>
      <c r="C8" s="3">
        <v>2030</v>
      </c>
      <c r="D8" s="3">
        <f t="shared" si="0"/>
        <v>30</v>
      </c>
      <c r="E8" s="3">
        <f t="shared" si="0"/>
        <v>45</v>
      </c>
      <c r="F8" s="3" t="s">
        <v>0</v>
      </c>
    </row>
    <row r="9" spans="2:6" x14ac:dyDescent="0.2">
      <c r="B9" s="3">
        <v>7</v>
      </c>
      <c r="C9" s="3">
        <v>2031</v>
      </c>
      <c r="D9" s="3">
        <f t="shared" si="0"/>
        <v>31</v>
      </c>
      <c r="E9" s="3">
        <f t="shared" si="0"/>
        <v>46</v>
      </c>
      <c r="F9" s="3" t="s">
        <v>0</v>
      </c>
    </row>
    <row r="10" spans="2:6" x14ac:dyDescent="0.2">
      <c r="B10" s="3">
        <v>8</v>
      </c>
      <c r="C10" s="3">
        <v>2032</v>
      </c>
      <c r="D10" s="3">
        <f t="shared" si="0"/>
        <v>32</v>
      </c>
      <c r="E10" s="3">
        <f t="shared" si="0"/>
        <v>47</v>
      </c>
      <c r="F10" s="3" t="s">
        <v>0</v>
      </c>
    </row>
    <row r="11" spans="2:6" x14ac:dyDescent="0.2">
      <c r="B11" s="3">
        <v>9</v>
      </c>
      <c r="C11" s="3">
        <v>2033</v>
      </c>
      <c r="D11" s="3">
        <f t="shared" si="0"/>
        <v>33</v>
      </c>
      <c r="E11" s="3">
        <f t="shared" si="0"/>
        <v>48</v>
      </c>
      <c r="F11" s="3" t="s">
        <v>0</v>
      </c>
    </row>
    <row r="12" spans="2:6" x14ac:dyDescent="0.2">
      <c r="B12" s="3">
        <v>10</v>
      </c>
      <c r="C12" s="3">
        <v>2034</v>
      </c>
      <c r="D12" s="3">
        <f t="shared" si="0"/>
        <v>34</v>
      </c>
      <c r="E12" s="3">
        <f t="shared" si="0"/>
        <v>49</v>
      </c>
      <c r="F12" s="3" t="s">
        <v>0</v>
      </c>
    </row>
    <row r="13" spans="2:6" x14ac:dyDescent="0.2">
      <c r="B13" s="3">
        <v>11</v>
      </c>
      <c r="C13" s="3">
        <v>2035</v>
      </c>
      <c r="D13" s="3">
        <f t="shared" si="0"/>
        <v>35</v>
      </c>
      <c r="E13" s="3">
        <f t="shared" si="0"/>
        <v>50</v>
      </c>
      <c r="F13" s="3" t="s">
        <v>0</v>
      </c>
    </row>
    <row r="14" spans="2:6" x14ac:dyDescent="0.2">
      <c r="B14" s="3">
        <v>12</v>
      </c>
      <c r="C14" s="3">
        <v>2036</v>
      </c>
      <c r="D14" s="3">
        <f t="shared" si="0"/>
        <v>36</v>
      </c>
      <c r="E14" s="3">
        <f t="shared" si="0"/>
        <v>51</v>
      </c>
      <c r="F14" s="3" t="s">
        <v>0</v>
      </c>
    </row>
    <row r="15" spans="2:6" x14ac:dyDescent="0.2">
      <c r="B15" s="3">
        <v>13</v>
      </c>
      <c r="C15" s="3">
        <v>2037</v>
      </c>
      <c r="D15" s="3">
        <f t="shared" si="0"/>
        <v>37</v>
      </c>
      <c r="E15" s="3">
        <f t="shared" si="0"/>
        <v>52</v>
      </c>
      <c r="F15" s="3" t="s">
        <v>0</v>
      </c>
    </row>
    <row r="16" spans="2:6" x14ac:dyDescent="0.2">
      <c r="B16" s="3">
        <v>14</v>
      </c>
      <c r="C16" s="3">
        <v>2038</v>
      </c>
      <c r="D16" s="3">
        <f t="shared" si="0"/>
        <v>38</v>
      </c>
      <c r="E16" s="3">
        <f t="shared" si="0"/>
        <v>53</v>
      </c>
      <c r="F16" s="3" t="s">
        <v>0</v>
      </c>
    </row>
    <row r="17" spans="2:6" x14ac:dyDescent="0.2">
      <c r="B17" s="3">
        <v>15</v>
      </c>
      <c r="C17" s="3">
        <v>2039</v>
      </c>
      <c r="D17" s="3">
        <f>D16+1</f>
        <v>39</v>
      </c>
      <c r="E17" s="3">
        <f>E16+1</f>
        <v>54</v>
      </c>
      <c r="F17" s="3" t="s">
        <v>0</v>
      </c>
    </row>
    <row r="18" spans="2:6" x14ac:dyDescent="0.2">
      <c r="B18" s="3">
        <v>16</v>
      </c>
      <c r="C18" s="3">
        <v>2040</v>
      </c>
      <c r="D18" s="3">
        <f t="shared" ref="D18:E33" si="1">D17+1</f>
        <v>40</v>
      </c>
      <c r="E18" s="3">
        <f t="shared" si="1"/>
        <v>55</v>
      </c>
      <c r="F18" s="3" t="s">
        <v>0</v>
      </c>
    </row>
    <row r="19" spans="2:6" x14ac:dyDescent="0.2">
      <c r="B19" s="3">
        <v>17</v>
      </c>
      <c r="C19" s="3">
        <v>2041</v>
      </c>
      <c r="D19" s="3">
        <f t="shared" si="1"/>
        <v>41</v>
      </c>
      <c r="E19" s="3">
        <f t="shared" si="1"/>
        <v>56</v>
      </c>
      <c r="F19" s="3" t="s">
        <v>0</v>
      </c>
    </row>
    <row r="20" spans="2:6" x14ac:dyDescent="0.2">
      <c r="B20" s="3">
        <v>18</v>
      </c>
      <c r="C20" s="3">
        <v>2042</v>
      </c>
      <c r="D20" s="3">
        <f t="shared" si="1"/>
        <v>42</v>
      </c>
      <c r="E20" s="3">
        <f t="shared" si="1"/>
        <v>57</v>
      </c>
      <c r="F20" s="3" t="s">
        <v>0</v>
      </c>
    </row>
    <row r="21" spans="2:6" x14ac:dyDescent="0.2">
      <c r="B21" s="3">
        <v>19</v>
      </c>
      <c r="C21" s="3">
        <v>2043</v>
      </c>
      <c r="D21" s="3">
        <f t="shared" si="1"/>
        <v>43</v>
      </c>
      <c r="E21" s="3">
        <f t="shared" si="1"/>
        <v>58</v>
      </c>
      <c r="F21" s="3" t="s">
        <v>0</v>
      </c>
    </row>
    <row r="22" spans="2:6" x14ac:dyDescent="0.2">
      <c r="B22" s="3">
        <v>20</v>
      </c>
      <c r="C22" s="3">
        <v>2044</v>
      </c>
      <c r="D22" s="3">
        <f t="shared" si="1"/>
        <v>44</v>
      </c>
      <c r="E22" s="3">
        <f t="shared" si="1"/>
        <v>59</v>
      </c>
      <c r="F22" s="3" t="s">
        <v>0</v>
      </c>
    </row>
    <row r="23" spans="2:6" x14ac:dyDescent="0.2">
      <c r="B23" s="3">
        <v>21</v>
      </c>
      <c r="C23" s="3">
        <v>2045</v>
      </c>
      <c r="D23" s="3">
        <f t="shared" si="1"/>
        <v>45</v>
      </c>
      <c r="E23" s="3">
        <f t="shared" si="1"/>
        <v>60</v>
      </c>
      <c r="F23" s="3" t="s">
        <v>0</v>
      </c>
    </row>
    <row r="24" spans="2:6" x14ac:dyDescent="0.2">
      <c r="B24" s="3">
        <v>22</v>
      </c>
      <c r="C24" s="3">
        <v>2046</v>
      </c>
      <c r="D24" s="3">
        <f t="shared" si="1"/>
        <v>46</v>
      </c>
      <c r="E24" s="3">
        <f t="shared" si="1"/>
        <v>61</v>
      </c>
      <c r="F24" s="3" t="s">
        <v>0</v>
      </c>
    </row>
    <row r="25" spans="2:6" x14ac:dyDescent="0.2">
      <c r="B25" s="3">
        <v>23</v>
      </c>
      <c r="C25" s="3">
        <v>2047</v>
      </c>
      <c r="D25" s="3">
        <f t="shared" si="1"/>
        <v>47</v>
      </c>
      <c r="E25" s="3">
        <f t="shared" si="1"/>
        <v>62</v>
      </c>
      <c r="F25" s="3" t="s">
        <v>0</v>
      </c>
    </row>
    <row r="26" spans="2:6" x14ac:dyDescent="0.2">
      <c r="B26" s="3">
        <v>24</v>
      </c>
      <c r="C26" s="3">
        <v>2048</v>
      </c>
      <c r="D26" s="3">
        <f t="shared" si="1"/>
        <v>48</v>
      </c>
      <c r="E26" s="3">
        <f t="shared" si="1"/>
        <v>63</v>
      </c>
      <c r="F26" s="3" t="s">
        <v>0</v>
      </c>
    </row>
    <row r="27" spans="2:6" x14ac:dyDescent="0.2">
      <c r="B27" s="3">
        <v>25</v>
      </c>
      <c r="C27" s="3">
        <v>2049</v>
      </c>
      <c r="D27" s="3">
        <f t="shared" si="1"/>
        <v>49</v>
      </c>
      <c r="E27" s="3">
        <f t="shared" si="1"/>
        <v>64</v>
      </c>
      <c r="F27" s="3" t="s">
        <v>0</v>
      </c>
    </row>
    <row r="28" spans="2:6" x14ac:dyDescent="0.2">
      <c r="B28" s="3">
        <v>26</v>
      </c>
      <c r="C28" s="3">
        <v>2050</v>
      </c>
      <c r="D28" s="3">
        <f t="shared" si="1"/>
        <v>50</v>
      </c>
      <c r="E28" s="3">
        <f t="shared" si="1"/>
        <v>65</v>
      </c>
      <c r="F28" s="3" t="s">
        <v>0</v>
      </c>
    </row>
    <row r="29" spans="2:6" x14ac:dyDescent="0.2">
      <c r="B29" s="3">
        <v>27</v>
      </c>
      <c r="C29" s="3">
        <v>2051</v>
      </c>
      <c r="D29" s="3">
        <f t="shared" si="1"/>
        <v>51</v>
      </c>
      <c r="E29" s="3">
        <f t="shared" si="1"/>
        <v>66</v>
      </c>
      <c r="F29" s="3" t="s">
        <v>0</v>
      </c>
    </row>
    <row r="30" spans="2:6" x14ac:dyDescent="0.2">
      <c r="B30" s="3">
        <v>28</v>
      </c>
      <c r="C30" s="3">
        <v>2052</v>
      </c>
      <c r="D30" s="3">
        <f t="shared" si="1"/>
        <v>52</v>
      </c>
      <c r="E30" s="3">
        <f t="shared" si="1"/>
        <v>67</v>
      </c>
      <c r="F30" s="3" t="s">
        <v>0</v>
      </c>
    </row>
    <row r="31" spans="2:6" x14ac:dyDescent="0.2">
      <c r="B31" s="3">
        <v>29</v>
      </c>
      <c r="C31" s="3">
        <v>2053</v>
      </c>
      <c r="D31" s="3">
        <f t="shared" si="1"/>
        <v>53</v>
      </c>
      <c r="E31" s="3">
        <f t="shared" si="1"/>
        <v>68</v>
      </c>
      <c r="F31" s="3" t="s">
        <v>0</v>
      </c>
    </row>
    <row r="32" spans="2:6" x14ac:dyDescent="0.2">
      <c r="B32" s="3">
        <v>30</v>
      </c>
      <c r="C32" s="3">
        <v>2054</v>
      </c>
      <c r="D32" s="3">
        <f t="shared" si="1"/>
        <v>54</v>
      </c>
      <c r="E32" s="3">
        <f t="shared" si="1"/>
        <v>69</v>
      </c>
      <c r="F32" s="3" t="s">
        <v>0</v>
      </c>
    </row>
    <row r="33" spans="2:6" x14ac:dyDescent="0.2">
      <c r="B33" s="3">
        <v>31</v>
      </c>
      <c r="C33" s="3">
        <v>2055</v>
      </c>
      <c r="D33" s="3">
        <f t="shared" si="1"/>
        <v>55</v>
      </c>
      <c r="E33" s="3">
        <f t="shared" si="1"/>
        <v>70</v>
      </c>
      <c r="F33" s="3" t="s">
        <v>0</v>
      </c>
    </row>
    <row r="34" spans="2:6" x14ac:dyDescent="0.2">
      <c r="B34" s="3">
        <v>32</v>
      </c>
      <c r="C34" s="3">
        <v>2056</v>
      </c>
      <c r="D34" s="3">
        <f t="shared" ref="D34:E49" si="2">D33+1</f>
        <v>56</v>
      </c>
      <c r="E34" s="3">
        <f t="shared" si="2"/>
        <v>71</v>
      </c>
      <c r="F34" s="3" t="s">
        <v>0</v>
      </c>
    </row>
    <row r="35" spans="2:6" x14ac:dyDescent="0.2">
      <c r="B35" s="3">
        <v>33</v>
      </c>
      <c r="C35" s="3">
        <v>2057</v>
      </c>
      <c r="D35" s="3">
        <f t="shared" si="2"/>
        <v>57</v>
      </c>
      <c r="E35" s="3">
        <f t="shared" si="2"/>
        <v>72</v>
      </c>
      <c r="F35" s="3" t="s">
        <v>0</v>
      </c>
    </row>
    <row r="36" spans="2:6" x14ac:dyDescent="0.2">
      <c r="B36" s="3">
        <v>34</v>
      </c>
      <c r="C36" s="3">
        <v>2058</v>
      </c>
      <c r="D36" s="3">
        <f t="shared" si="2"/>
        <v>58</v>
      </c>
      <c r="E36" s="3">
        <f t="shared" si="2"/>
        <v>73</v>
      </c>
      <c r="F36" s="3" t="s">
        <v>0</v>
      </c>
    </row>
    <row r="37" spans="2:6" x14ac:dyDescent="0.2">
      <c r="B37" s="3">
        <v>35</v>
      </c>
      <c r="C37" s="3">
        <v>2059</v>
      </c>
      <c r="D37" s="3">
        <f t="shared" si="2"/>
        <v>59</v>
      </c>
      <c r="E37" s="3">
        <f t="shared" si="2"/>
        <v>74</v>
      </c>
      <c r="F37" s="3" t="s">
        <v>0</v>
      </c>
    </row>
    <row r="38" spans="2:6" x14ac:dyDescent="0.2">
      <c r="B38" s="3">
        <v>36</v>
      </c>
      <c r="C38" s="3">
        <v>2060</v>
      </c>
      <c r="D38" s="3">
        <f t="shared" si="2"/>
        <v>60</v>
      </c>
      <c r="E38" s="3">
        <f t="shared" si="2"/>
        <v>75</v>
      </c>
      <c r="F38" s="3" t="s">
        <v>0</v>
      </c>
    </row>
    <row r="39" spans="2:6" x14ac:dyDescent="0.2">
      <c r="B39" s="3">
        <v>37</v>
      </c>
      <c r="C39" s="3">
        <v>2061</v>
      </c>
      <c r="D39" s="3">
        <f t="shared" si="2"/>
        <v>61</v>
      </c>
      <c r="E39" s="3">
        <f t="shared" si="2"/>
        <v>76</v>
      </c>
      <c r="F39" s="3" t="s">
        <v>0</v>
      </c>
    </row>
    <row r="40" spans="2:6" x14ac:dyDescent="0.2">
      <c r="B40" s="3">
        <v>38</v>
      </c>
      <c r="C40" s="3">
        <v>2062</v>
      </c>
      <c r="D40" s="3">
        <f t="shared" si="2"/>
        <v>62</v>
      </c>
      <c r="E40" s="3">
        <f t="shared" si="2"/>
        <v>77</v>
      </c>
      <c r="F40" s="3" t="s">
        <v>0</v>
      </c>
    </row>
    <row r="41" spans="2:6" x14ac:dyDescent="0.2">
      <c r="B41" s="3">
        <v>39</v>
      </c>
      <c r="C41" s="3">
        <v>2063</v>
      </c>
      <c r="D41" s="3">
        <f t="shared" si="2"/>
        <v>63</v>
      </c>
      <c r="E41" s="3">
        <f t="shared" si="2"/>
        <v>78</v>
      </c>
      <c r="F41" s="3" t="s">
        <v>0</v>
      </c>
    </row>
    <row r="42" spans="2:6" x14ac:dyDescent="0.2">
      <c r="B42" s="3">
        <v>40</v>
      </c>
      <c r="C42" s="3">
        <v>2064</v>
      </c>
      <c r="D42" s="3">
        <f t="shared" si="2"/>
        <v>64</v>
      </c>
      <c r="E42" s="3">
        <f t="shared" si="2"/>
        <v>79</v>
      </c>
      <c r="F42" s="3" t="s">
        <v>0</v>
      </c>
    </row>
    <row r="43" spans="2:6" x14ac:dyDescent="0.2">
      <c r="B43" s="3">
        <v>41</v>
      </c>
      <c r="C43" s="3">
        <v>2065</v>
      </c>
      <c r="D43" s="3">
        <f t="shared" si="2"/>
        <v>65</v>
      </c>
      <c r="E43" s="3">
        <f t="shared" si="2"/>
        <v>80</v>
      </c>
      <c r="F43" s="3" t="s">
        <v>0</v>
      </c>
    </row>
    <row r="44" spans="2:6" x14ac:dyDescent="0.2">
      <c r="B44" s="3">
        <v>42</v>
      </c>
      <c r="C44" s="3">
        <v>2066</v>
      </c>
      <c r="D44" s="3">
        <f t="shared" si="2"/>
        <v>66</v>
      </c>
      <c r="E44" s="3">
        <f t="shared" si="2"/>
        <v>81</v>
      </c>
      <c r="F44" s="3" t="s">
        <v>0</v>
      </c>
    </row>
    <row r="45" spans="2:6" x14ac:dyDescent="0.2">
      <c r="B45" s="3">
        <v>43</v>
      </c>
      <c r="C45" s="3">
        <v>2067</v>
      </c>
      <c r="D45" s="3">
        <f t="shared" si="2"/>
        <v>67</v>
      </c>
      <c r="E45" s="3">
        <f t="shared" si="2"/>
        <v>82</v>
      </c>
      <c r="F45" s="3" t="s">
        <v>0</v>
      </c>
    </row>
    <row r="46" spans="2:6" x14ac:dyDescent="0.2">
      <c r="B46" s="3">
        <v>44</v>
      </c>
      <c r="C46" s="3">
        <v>2068</v>
      </c>
      <c r="D46" s="3">
        <f t="shared" si="2"/>
        <v>68</v>
      </c>
      <c r="E46" s="3">
        <f t="shared" si="2"/>
        <v>83</v>
      </c>
      <c r="F46" s="3" t="s">
        <v>0</v>
      </c>
    </row>
    <row r="47" spans="2:6" x14ac:dyDescent="0.2">
      <c r="B47" s="3">
        <v>45</v>
      </c>
      <c r="C47" s="3">
        <v>2069</v>
      </c>
      <c r="D47" s="3">
        <f t="shared" si="2"/>
        <v>69</v>
      </c>
      <c r="E47" s="3">
        <f t="shared" si="2"/>
        <v>84</v>
      </c>
      <c r="F47" s="3" t="s">
        <v>0</v>
      </c>
    </row>
    <row r="48" spans="2:6" x14ac:dyDescent="0.2">
      <c r="B48" s="3">
        <v>46</v>
      </c>
      <c r="C48" s="3">
        <v>2070</v>
      </c>
      <c r="D48" s="3">
        <f t="shared" si="2"/>
        <v>70</v>
      </c>
      <c r="E48" s="3">
        <f t="shared" si="2"/>
        <v>85</v>
      </c>
      <c r="F48" s="3" t="s">
        <v>0</v>
      </c>
    </row>
    <row r="49" spans="2:6" x14ac:dyDescent="0.2">
      <c r="B49" s="3">
        <v>47</v>
      </c>
      <c r="C49" s="3">
        <v>2071</v>
      </c>
      <c r="D49" s="3">
        <f t="shared" si="2"/>
        <v>71</v>
      </c>
      <c r="E49" s="3">
        <f t="shared" si="2"/>
        <v>86</v>
      </c>
      <c r="F49" s="3" t="s">
        <v>0</v>
      </c>
    </row>
    <row r="50" spans="2:6" x14ac:dyDescent="0.2">
      <c r="B50" s="3">
        <v>48</v>
      </c>
      <c r="C50" s="3">
        <v>2072</v>
      </c>
      <c r="D50" s="3">
        <f t="shared" ref="D50:E53" si="3">D49+1</f>
        <v>72</v>
      </c>
      <c r="E50" s="3">
        <f t="shared" si="3"/>
        <v>87</v>
      </c>
      <c r="F50" s="3" t="s">
        <v>0</v>
      </c>
    </row>
    <row r="51" spans="2:6" x14ac:dyDescent="0.2">
      <c r="B51" s="3">
        <v>49</v>
      </c>
      <c r="C51" s="3">
        <v>2073</v>
      </c>
      <c r="D51" s="3">
        <f t="shared" si="3"/>
        <v>73</v>
      </c>
      <c r="E51" s="3">
        <f t="shared" si="3"/>
        <v>88</v>
      </c>
      <c r="F51" s="3" t="s">
        <v>0</v>
      </c>
    </row>
    <row r="52" spans="2:6" x14ac:dyDescent="0.2">
      <c r="B52" s="3">
        <v>50</v>
      </c>
      <c r="C52" s="3">
        <v>2074</v>
      </c>
      <c r="D52" s="3">
        <f t="shared" si="3"/>
        <v>74</v>
      </c>
      <c r="E52" s="3">
        <f t="shared" si="3"/>
        <v>89</v>
      </c>
      <c r="F52" s="3" t="s">
        <v>0</v>
      </c>
    </row>
    <row r="53" spans="2:6" x14ac:dyDescent="0.2">
      <c r="B53" s="3">
        <v>51</v>
      </c>
      <c r="C53" s="3">
        <v>2075</v>
      </c>
      <c r="D53" s="3">
        <f t="shared" si="3"/>
        <v>75</v>
      </c>
      <c r="E53" s="3">
        <f t="shared" si="3"/>
        <v>90</v>
      </c>
      <c r="F53" s="3" t="s">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baseColWidth="10" defaultColWidth="8.6640625" defaultRowHeight="15" x14ac:dyDescent="0.2"/>
  <cols>
    <col min="1" max="2" width="8.6640625" style="2"/>
    <col min="3" max="3" width="10.1640625" style="2" bestFit="1" customWidth="1"/>
    <col min="4" max="16384" width="8.6640625" style="2"/>
  </cols>
  <sheetData>
    <row r="1" spans="1:6" x14ac:dyDescent="0.2">
      <c r="A1" s="2" t="s">
        <v>163</v>
      </c>
    </row>
    <row r="2" spans="1:6" x14ac:dyDescent="0.2">
      <c r="A2" s="2" t="s">
        <v>1</v>
      </c>
      <c r="B2" s="2" t="s">
        <v>165</v>
      </c>
      <c r="C2" s="2" t="s">
        <v>166</v>
      </c>
    </row>
    <row r="3" spans="1:6" x14ac:dyDescent="0.2">
      <c r="A3" s="2">
        <v>2019</v>
      </c>
      <c r="B3" s="2">
        <v>50000</v>
      </c>
    </row>
    <row r="4" spans="1:6" x14ac:dyDescent="0.2">
      <c r="A4" s="2">
        <v>2020</v>
      </c>
      <c r="B4" s="2">
        <f>100000</f>
        <v>100000</v>
      </c>
      <c r="C4" s="23">
        <f t="shared" ref="C4:C9" si="0">(B4-B3)/B3</f>
        <v>1</v>
      </c>
    </row>
    <row r="5" spans="1:6" x14ac:dyDescent="0.2">
      <c r="A5" s="2">
        <v>2021</v>
      </c>
      <c r="B5" s="2">
        <v>102300</v>
      </c>
      <c r="C5" s="23">
        <f t="shared" si="0"/>
        <v>2.3E-2</v>
      </c>
    </row>
    <row r="6" spans="1:6" x14ac:dyDescent="0.2">
      <c r="A6" s="2">
        <v>2022</v>
      </c>
      <c r="B6" s="2">
        <v>103500</v>
      </c>
      <c r="C6" s="23">
        <f t="shared" si="0"/>
        <v>1.1730205278592375E-2</v>
      </c>
      <c r="E6" s="2" t="s">
        <v>164</v>
      </c>
      <c r="F6" s="2" t="s">
        <v>167</v>
      </c>
    </row>
    <row r="7" spans="1:6" x14ac:dyDescent="0.2">
      <c r="A7" s="2">
        <v>2023</v>
      </c>
      <c r="B7" s="2">
        <v>106600</v>
      </c>
      <c r="C7" s="23">
        <f t="shared" si="0"/>
        <v>2.9951690821256038E-2</v>
      </c>
      <c r="E7" s="24">
        <f>MEDIAN(C4:C9)</f>
        <v>0.12645487410819978</v>
      </c>
      <c r="F7" s="25">
        <f>MEDIAN(C5:C9)</f>
        <v>2.9951690821256038E-2</v>
      </c>
    </row>
    <row r="8" spans="1:6" x14ac:dyDescent="0.2">
      <c r="A8" s="2">
        <v>2024</v>
      </c>
      <c r="B8" s="2">
        <v>135900</v>
      </c>
      <c r="C8" s="23">
        <f t="shared" si="0"/>
        <v>0.27485928705440899</v>
      </c>
    </row>
    <row r="9" spans="1:6" x14ac:dyDescent="0.2">
      <c r="A9" s="2">
        <v>2025</v>
      </c>
      <c r="B9" s="2">
        <v>166200</v>
      </c>
      <c r="C9" s="23">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BA3"/>
  <sheetViews>
    <sheetView showGridLines="0" tabSelected="1" zoomScaleNormal="100" workbookViewId="0">
      <selection activeCell="B4" sqref="B4"/>
    </sheetView>
  </sheetViews>
  <sheetFormatPr baseColWidth="10" defaultColWidth="8.83203125" defaultRowHeight="15" x14ac:dyDescent="0.2"/>
  <cols>
    <col min="1" max="1" width="3.1640625" bestFit="1" customWidth="1"/>
    <col min="2" max="2" width="10.33203125" bestFit="1" customWidth="1"/>
    <col min="3" max="13" width="12.1640625" bestFit="1" customWidth="1"/>
    <col min="14" max="14" width="11.1640625" bestFit="1" customWidth="1"/>
    <col min="15" max="46" width="12.1640625" bestFit="1" customWidth="1"/>
    <col min="47" max="47" width="11.1640625" bestFit="1" customWidth="1"/>
    <col min="48" max="52" width="12.1640625" bestFit="1" customWidth="1"/>
    <col min="53" max="53" width="4.6640625" bestFit="1" customWidth="1"/>
  </cols>
  <sheetData>
    <row r="1" spans="1:53" x14ac:dyDescent="0.2">
      <c r="A1" s="1"/>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3" x14ac:dyDescent="0.2">
      <c r="A2" s="67" t="s">
        <v>75</v>
      </c>
      <c r="B2" s="69">
        <v>0</v>
      </c>
      <c r="C2" s="69" cm="1">
        <f t="array" ref="C2:BA2">TRANSPOSE(TableIncome[InvestmentP1])</f>
        <v>56593.714673317649</v>
      </c>
      <c r="D2" s="69">
        <v>57167.434411058835</v>
      </c>
      <c r="E2" s="69">
        <v>60064.719086651763</v>
      </c>
      <c r="F2" s="69">
        <v>60673.148868526288</v>
      </c>
      <c r="G2" s="69">
        <v>61287.662948219528</v>
      </c>
      <c r="H2" s="69">
        <v>61908.322168709739</v>
      </c>
      <c r="I2" s="69">
        <v>65042.651232185242</v>
      </c>
      <c r="J2" s="69">
        <v>65700.860335515099</v>
      </c>
      <c r="K2" s="69">
        <v>66365.651529878247</v>
      </c>
      <c r="L2" s="69">
        <v>67037.090636185021</v>
      </c>
      <c r="M2" s="69">
        <v>70427.858123034268</v>
      </c>
      <c r="N2" s="69">
        <v>71139.91929527263</v>
      </c>
      <c r="O2" s="69">
        <v>71859.10107923334</v>
      </c>
      <c r="P2" s="69">
        <v>75490.969088235011</v>
      </c>
      <c r="Q2" s="69">
        <v>76253.661370125366</v>
      </c>
      <c r="R2" s="69">
        <v>77023.980574834641</v>
      </c>
      <c r="S2" s="69">
        <v>77802.002971590977</v>
      </c>
      <c r="T2" s="69">
        <v>78587.805592314908</v>
      </c>
      <c r="U2" s="69">
        <v>82556.108826970623</v>
      </c>
      <c r="V2" s="69">
        <v>83389.452506248359</v>
      </c>
      <c r="W2" s="69">
        <v>84120.374513019226</v>
      </c>
      <c r="X2" s="69">
        <v>84768.032961157413</v>
      </c>
      <c r="Y2" s="69">
        <v>88038.708124255296</v>
      </c>
      <c r="Z2" s="69">
        <v>88725.549908505855</v>
      </c>
      <c r="AA2" s="69">
        <v>89419.260110598902</v>
      </c>
      <c r="AB2" s="69">
        <v>90119.907414712899</v>
      </c>
      <c r="AC2" s="69">
        <v>90827.561191868037</v>
      </c>
      <c r="AD2" s="69">
        <v>91542.291506794703</v>
      </c>
      <c r="AE2" s="69">
        <v>92264.169124870663</v>
      </c>
      <c r="AF2" s="69">
        <v>92993.265519127366</v>
      </c>
      <c r="AG2" s="69">
        <v>93729.652877326647</v>
      </c>
      <c r="AH2" s="69">
        <v>94473.404109107913</v>
      </c>
      <c r="AI2" s="69">
        <v>95224.592853206981</v>
      </c>
      <c r="AJ2" s="69">
        <v>95983.293484747046</v>
      </c>
      <c r="AK2" s="69">
        <v>96749.581122602525</v>
      </c>
      <c r="AL2" s="69">
        <v>100619.33369377267</v>
      </c>
      <c r="AM2" s="69">
        <v>101431.98173371838</v>
      </c>
      <c r="AN2" s="69">
        <v>102252.75625406356</v>
      </c>
      <c r="AO2" s="69">
        <v>103081.73851961219</v>
      </c>
      <c r="AP2" s="69">
        <v>103919.01060781631</v>
      </c>
      <c r="AQ2" s="69">
        <v>104764.65541690249</v>
      </c>
      <c r="AR2" s="69">
        <v>105618.75667407952</v>
      </c>
      <c r="AS2" s="69">
        <v>106481.3989438283</v>
      </c>
      <c r="AT2" s="69">
        <v>107352.66763627459</v>
      </c>
      <c r="AU2" s="69">
        <v>108232.64901564532</v>
      </c>
      <c r="AV2" s="69">
        <v>109121.43020880978</v>
      </c>
      <c r="AW2" s="69">
        <v>110019.09921390587</v>
      </c>
      <c r="AX2" s="69">
        <v>110925.74490905293</v>
      </c>
      <c r="AY2" s="69">
        <v>111841.45706115146</v>
      </c>
      <c r="AZ2" s="69">
        <v>112766.32633477099</v>
      </c>
      <c r="BA2" s="31">
        <v>0</v>
      </c>
    </row>
    <row r="3" spans="1:53" x14ac:dyDescent="0.2">
      <c r="A3" s="67" t="s">
        <v>74</v>
      </c>
      <c r="B3" s="69">
        <f>200000*(1-25%)</f>
        <v>150000</v>
      </c>
      <c r="C3" s="69" cm="1">
        <f t="array" ref="C3:BA3">TRANSPOSE(TableIncome[InvestmentP2])</f>
        <v>92712.807858084721</v>
      </c>
      <c r="D3" s="69">
        <v>93446.390639673569</v>
      </c>
      <c r="E3" s="69">
        <v>97150.983686697262</v>
      </c>
      <c r="F3" s="69">
        <v>97928.948226572233</v>
      </c>
      <c r="G3" s="69">
        <v>98714.692411845928</v>
      </c>
      <c r="H3" s="69">
        <v>99508.294038972381</v>
      </c>
      <c r="I3" s="69">
        <v>103515.982255961</v>
      </c>
      <c r="J3" s="69">
        <v>104357.59678152861</v>
      </c>
      <c r="K3" s="69">
        <v>105207.62745235191</v>
      </c>
      <c r="L3" s="69">
        <v>106066.15842988342</v>
      </c>
      <c r="M3" s="69">
        <v>110401.7398664176</v>
      </c>
      <c r="N3" s="69">
        <v>111312.21196808979</v>
      </c>
      <c r="O3" s="69">
        <v>112231.78879077868</v>
      </c>
      <c r="P3" s="69">
        <v>116875.65174535762</v>
      </c>
      <c r="Q3" s="69">
        <v>117850.86296581919</v>
      </c>
      <c r="R3" s="69">
        <v>118835.82629848538</v>
      </c>
      <c r="S3" s="69">
        <v>119830.63926447822</v>
      </c>
      <c r="T3" s="69">
        <v>120835.40036013104</v>
      </c>
      <c r="U3" s="69">
        <v>125909.44389317758</v>
      </c>
      <c r="V3" s="69">
        <v>126974.99303511735</v>
      </c>
      <c r="W3" s="69">
        <v>128051.19766847655</v>
      </c>
      <c r="X3" s="69">
        <v>129138.16434816933</v>
      </c>
      <c r="Y3" s="69">
        <v>134627.34608061778</v>
      </c>
      <c r="Z3" s="69">
        <v>135780.07424443195</v>
      </c>
      <c r="AA3" s="69">
        <v>136944.3296898843</v>
      </c>
      <c r="AB3" s="69">
        <v>138120.22768979112</v>
      </c>
      <c r="AC3" s="69">
        <v>139307.88466969706</v>
      </c>
      <c r="AD3" s="69">
        <v>140507.41821940202</v>
      </c>
      <c r="AE3" s="69">
        <v>141718.94710460404</v>
      </c>
      <c r="AF3" s="69">
        <v>142942.5912786581</v>
      </c>
      <c r="AG3" s="69">
        <v>144178.47189445267</v>
      </c>
      <c r="AH3" s="69">
        <v>145426.71131640518</v>
      </c>
      <c r="AI3" s="69">
        <v>146687.43313257728</v>
      </c>
      <c r="AJ3" s="69">
        <v>147960.76216691101</v>
      </c>
      <c r="AK3" s="69">
        <v>149246.82449158817</v>
      </c>
      <c r="AL3" s="69">
        <v>0</v>
      </c>
      <c r="AM3" s="69">
        <v>0</v>
      </c>
      <c r="AN3" s="69">
        <v>0</v>
      </c>
      <c r="AO3" s="69">
        <v>0</v>
      </c>
      <c r="AP3" s="69">
        <v>0</v>
      </c>
      <c r="AQ3" s="69">
        <v>0</v>
      </c>
      <c r="AR3" s="69">
        <v>0</v>
      </c>
      <c r="AS3" s="69">
        <v>0</v>
      </c>
      <c r="AT3" s="69">
        <v>0</v>
      </c>
      <c r="AU3" s="69">
        <v>0</v>
      </c>
      <c r="AV3" s="69">
        <v>0</v>
      </c>
      <c r="AW3" s="69">
        <v>0</v>
      </c>
      <c r="AX3" s="69">
        <v>0</v>
      </c>
      <c r="AY3" s="69">
        <v>0</v>
      </c>
      <c r="AZ3" s="69">
        <v>0</v>
      </c>
      <c r="BA3" s="31">
        <v>0</v>
      </c>
    </row>
  </sheetData>
  <phoneticPr fontId="8" type="noConversion"/>
  <pageMargins left="0.7" right="0.7" top="0.75" bottom="0.75" header="0.3" footer="0.3"/>
  <pageSetup paperSize="9" orientation="portrait" r:id="rId1"/>
  <ignoredErrors>
    <ignoredError sqref="B1:AZ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showGridLines="0" workbookViewId="0"/>
  </sheetViews>
  <sheetFormatPr baseColWidth="10" defaultColWidth="8.83203125" defaultRowHeight="15" x14ac:dyDescent="0.2"/>
  <cols>
    <col min="1" max="1" width="3.1640625" bestFit="1" customWidth="1"/>
    <col min="2" max="2" width="10.5" bestFit="1" customWidth="1"/>
    <col min="3" max="10" width="11.5" bestFit="1" customWidth="1"/>
    <col min="11" max="52" width="13.3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70" t="s">
        <v>157</v>
      </c>
    </row>
    <row r="2" spans="1:52" x14ac:dyDescent="0.2">
      <c r="A2" s="67" t="s">
        <v>75</v>
      </c>
      <c r="B2" s="71">
        <f>SUMIF(TableIncome[Year], "&lt;=" &amp; B1, TableIncome[InvestmentP1])</f>
        <v>56593.714673317649</v>
      </c>
      <c r="C2" s="71">
        <f>SUMIF(TableIncome[Year], "&lt;=" &amp; C1, TableIncome[InvestmentP1])</f>
        <v>113761.14908437649</v>
      </c>
      <c r="D2" s="71">
        <f>SUMIF(TableIncome[Year], "&lt;=" &amp; D1, TableIncome[InvestmentP1])</f>
        <v>173825.86817102827</v>
      </c>
      <c r="E2" s="71">
        <f>SUMIF(TableIncome[Year], "&lt;=" &amp; E1, TableIncome[InvestmentP1])</f>
        <v>234499.01703955454</v>
      </c>
      <c r="F2" s="71">
        <f>SUMIF(TableIncome[Year], "&lt;=" &amp; F1, TableIncome[InvestmentP1])</f>
        <v>295786.67998777406</v>
      </c>
      <c r="G2" s="71">
        <f>SUMIF(TableIncome[Year], "&lt;=" &amp; G1, TableIncome[InvestmentP1])</f>
        <v>357695.00215648382</v>
      </c>
      <c r="H2" s="71">
        <f>SUMIF(TableIncome[Year], "&lt;=" &amp; H1, TableIncome[InvestmentP1])</f>
        <v>422737.65338866907</v>
      </c>
      <c r="I2" s="71">
        <f>SUMIF(TableIncome[Year], "&lt;=" &amp; I1, TableIncome[InvestmentP1])</f>
        <v>488438.51372418419</v>
      </c>
      <c r="J2" s="71">
        <f>SUMIF(TableIncome[Year], "&lt;=" &amp; J1, TableIncome[InvestmentP1])</f>
        <v>554804.16525406239</v>
      </c>
      <c r="K2" s="71">
        <f>SUMIF(TableIncome[Year], "&lt;=" &amp; K1, TableIncome[InvestmentP1])</f>
        <v>621841.25589024741</v>
      </c>
      <c r="L2" s="71">
        <f>SUMIF(TableIncome[Year], "&lt;=" &amp; L1, TableIncome[InvestmentP1])</f>
        <v>692269.11401328165</v>
      </c>
      <c r="M2" s="71">
        <f>SUMIF(TableIncome[Year], "&lt;=" &amp; M1, TableIncome[InvestmentP1])</f>
        <v>763409.03330855432</v>
      </c>
      <c r="N2" s="71">
        <f>SUMIF(TableIncome[Year], "&lt;=" &amp; N1, TableIncome[InvestmentP1])</f>
        <v>835268.13438778766</v>
      </c>
      <c r="O2" s="71">
        <f>SUMIF(TableIncome[Year], "&lt;=" &amp; O1, TableIncome[InvestmentP1])</f>
        <v>910759.10347602272</v>
      </c>
      <c r="P2" s="71">
        <f>SUMIF(TableIncome[Year], "&lt;=" &amp; P1, TableIncome[InvestmentP1])</f>
        <v>987012.76484614809</v>
      </c>
      <c r="Q2" s="71">
        <f>SUMIF(TableIncome[Year], "&lt;=" &amp; Q1, TableIncome[InvestmentP1])</f>
        <v>1064036.7454209828</v>
      </c>
      <c r="R2" s="71">
        <f>SUMIF(TableIncome[Year], "&lt;=" &amp; R1, TableIncome[InvestmentP1])</f>
        <v>1141838.7483925738</v>
      </c>
      <c r="S2" s="71">
        <f>SUMIF(TableIncome[Year], "&lt;=" &amp; S1, TableIncome[InvestmentP1])</f>
        <v>1220426.5539848886</v>
      </c>
      <c r="T2" s="71">
        <f>SUMIF(TableIncome[Year], "&lt;=" &amp; T1, TableIncome[InvestmentP1])</f>
        <v>1302982.6628118593</v>
      </c>
      <c r="U2" s="71">
        <f>SUMIF(TableIncome[Year], "&lt;=" &amp; U1, TableIncome[InvestmentP1])</f>
        <v>1386372.1153181077</v>
      </c>
      <c r="V2" s="71">
        <f>SUMIF(TableIncome[Year], "&lt;=" &amp; V1, TableIncome[InvestmentP1])</f>
        <v>1470492.4898311268</v>
      </c>
      <c r="W2" s="71">
        <f>SUMIF(TableIncome[Year], "&lt;=" &amp; W1, TableIncome[InvestmentP1])</f>
        <v>1555260.5227922841</v>
      </c>
      <c r="X2" s="71">
        <f>SUMIF(TableIncome[Year], "&lt;=" &amp; X1, TableIncome[InvestmentP1])</f>
        <v>1643299.2309165394</v>
      </c>
      <c r="Y2" s="71">
        <f>SUMIF(TableIncome[Year], "&lt;=" &amp; Y1, TableIncome[InvestmentP1])</f>
        <v>1732024.7808250452</v>
      </c>
      <c r="Z2" s="71">
        <f>SUMIF(TableIncome[Year], "&lt;=" &amp; Z1, TableIncome[InvestmentP1])</f>
        <v>1821444.0409356442</v>
      </c>
      <c r="AA2" s="71">
        <f>SUMIF(TableIncome[Year], "&lt;=" &amp; AA1, TableIncome[InvestmentP1])</f>
        <v>1911563.9483503571</v>
      </c>
      <c r="AB2" s="71">
        <f>SUMIF(TableIncome[Year], "&lt;=" &amp; AB1, TableIncome[InvestmentP1])</f>
        <v>2002391.5095422252</v>
      </c>
      <c r="AC2" s="71">
        <f>SUMIF(TableIncome[Year], "&lt;=" &amp; AC1, TableIncome[InvestmentP1])</f>
        <v>2093933.8010490199</v>
      </c>
      <c r="AD2" s="71">
        <f>SUMIF(TableIncome[Year], "&lt;=" &amp; AD1, TableIncome[InvestmentP1])</f>
        <v>2186197.9701738907</v>
      </c>
      <c r="AE2" s="71">
        <f>SUMIF(TableIncome[Year], "&lt;=" &amp; AE1, TableIncome[InvestmentP1])</f>
        <v>2279191.235693018</v>
      </c>
      <c r="AF2" s="71">
        <f>SUMIF(TableIncome[Year], "&lt;=" &amp; AF1, TableIncome[InvestmentP1])</f>
        <v>2372920.8885703445</v>
      </c>
      <c r="AG2" s="71">
        <f>SUMIF(TableIncome[Year], "&lt;=" &amp; AG1, TableIncome[InvestmentP1])</f>
        <v>2467394.2926794523</v>
      </c>
      <c r="AH2" s="71">
        <f>SUMIF(TableIncome[Year], "&lt;=" &amp; AH1, TableIncome[InvestmentP1])</f>
        <v>2562618.8855326595</v>
      </c>
      <c r="AI2" s="71">
        <f>SUMIF(TableIncome[Year], "&lt;=" &amp; AI1, TableIncome[InvestmentP1])</f>
        <v>2658602.1790174064</v>
      </c>
      <c r="AJ2" s="71">
        <f>SUMIF(TableIncome[Year], "&lt;=" &amp; AJ1, TableIncome[InvestmentP1])</f>
        <v>2755351.7601400088</v>
      </c>
      <c r="AK2" s="71">
        <f>SUMIF(TableIncome[Year], "&lt;=" &amp; AK1, TableIncome[InvestmentP1])</f>
        <v>2855971.0938337813</v>
      </c>
      <c r="AL2" s="71">
        <f>SUMIF(TableIncome[Year], "&lt;=" &amp; AL1, TableIncome[InvestmentP1])</f>
        <v>2957403.0755674997</v>
      </c>
      <c r="AM2" s="71">
        <f>SUMIF(TableIncome[Year], "&lt;=" &amp; AM1, TableIncome[InvestmentP1])</f>
        <v>3059655.8318215632</v>
      </c>
      <c r="AN2" s="71">
        <f>SUMIF(TableIncome[Year], "&lt;=" &amp; AN1, TableIncome[InvestmentP1])</f>
        <v>3162737.5703411754</v>
      </c>
      <c r="AO2" s="71">
        <f>SUMIF(TableIncome[Year], "&lt;=" &amp; AO1, TableIncome[InvestmentP1])</f>
        <v>3266656.5809489917</v>
      </c>
      <c r="AP2" s="71">
        <f>SUMIF(TableIncome[Year], "&lt;=" &amp; AP1, TableIncome[InvestmentP1])</f>
        <v>3371421.2363658943</v>
      </c>
      <c r="AQ2" s="71">
        <f>SUMIF(TableIncome[Year], "&lt;=" &amp; AQ1, TableIncome[InvestmentP1])</f>
        <v>3477039.993039974</v>
      </c>
      <c r="AR2" s="71">
        <f>SUMIF(TableIncome[Year], "&lt;=" &amp; AR1, TableIncome[InvestmentP1])</f>
        <v>3583521.3919838024</v>
      </c>
      <c r="AS2" s="71">
        <f>SUMIF(TableIncome[Year], "&lt;=" &amp; AS1, TableIncome[InvestmentP1])</f>
        <v>3690874.0596200768</v>
      </c>
      <c r="AT2" s="71">
        <f>SUMIF(TableIncome[Year], "&lt;=" &amp; AT1, TableIncome[InvestmentP1])</f>
        <v>3799106.7086357223</v>
      </c>
      <c r="AU2" s="71">
        <f>SUMIF(TableIncome[Year], "&lt;=" &amp; AU1, TableIncome[InvestmentP1])</f>
        <v>3908228.138844532</v>
      </c>
      <c r="AV2" s="71">
        <f>SUMIF(TableIncome[Year], "&lt;=" &amp; AV1, TableIncome[InvestmentP1])</f>
        <v>4018247.2380584376</v>
      </c>
      <c r="AW2" s="71">
        <f>SUMIF(TableIncome[Year], "&lt;=" &amp; AW1, TableIncome[InvestmentP1])</f>
        <v>4129172.9829674903</v>
      </c>
      <c r="AX2" s="71">
        <f>SUMIF(TableIncome[Year], "&lt;=" &amp; AX1, TableIncome[InvestmentP1])</f>
        <v>4241014.4400286414</v>
      </c>
      <c r="AY2" s="71">
        <f>SUMIF(TableIncome[Year], "&lt;=" &amp; AY1, TableIncome[InvestmentP1])</f>
        <v>4353780.7663634121</v>
      </c>
      <c r="AZ2" s="71">
        <f>SUMIF(TableIncome[Year], "&lt;=" &amp; AZ1, TableIncome[InvestmentP1])</f>
        <v>4353780.7663634121</v>
      </c>
    </row>
    <row r="3" spans="1:52" x14ac:dyDescent="0.2">
      <c r="A3" s="67" t="s">
        <v>74</v>
      </c>
      <c r="B3" s="71">
        <f>SUMIF(TableIncome[Year], "&lt;=" &amp; B1, TableIncome[InvestmentP2])</f>
        <v>92712.807858084721</v>
      </c>
      <c r="C3" s="71">
        <f>SUMIF(TableIncome[Year], "&lt;=" &amp; C1, TableIncome[InvestmentP2])</f>
        <v>186159.19849775831</v>
      </c>
      <c r="D3" s="71">
        <f>SUMIF(TableIncome[Year], "&lt;=" &amp; D1, TableIncome[InvestmentP2])</f>
        <v>283310.18218445557</v>
      </c>
      <c r="E3" s="71">
        <f>SUMIF(TableIncome[Year], "&lt;=" &amp; E1, TableIncome[InvestmentP2])</f>
        <v>381239.13041102781</v>
      </c>
      <c r="F3" s="71">
        <f>SUMIF(TableIncome[Year], "&lt;=" &amp; F1, TableIncome[InvestmentP2])</f>
        <v>479953.82282287371</v>
      </c>
      <c r="G3" s="71">
        <f>SUMIF(TableIncome[Year], "&lt;=" &amp; G1, TableIncome[InvestmentP2])</f>
        <v>579462.11686184607</v>
      </c>
      <c r="H3" s="71">
        <f>SUMIF(TableIncome[Year], "&lt;=" &amp; H1, TableIncome[InvestmentP2])</f>
        <v>682978.09911780711</v>
      </c>
      <c r="I3" s="71">
        <f>SUMIF(TableIncome[Year], "&lt;=" &amp; I1, TableIncome[InvestmentP2])</f>
        <v>787335.69589933567</v>
      </c>
      <c r="J3" s="71">
        <f>SUMIF(TableIncome[Year], "&lt;=" &amp; J1, TableIncome[InvestmentP2])</f>
        <v>892543.32335168752</v>
      </c>
      <c r="K3" s="71">
        <f>SUMIF(TableIncome[Year], "&lt;=" &amp; K1, TableIncome[InvestmentP2])</f>
        <v>998609.48178157094</v>
      </c>
      <c r="L3" s="71">
        <f>SUMIF(TableIncome[Year], "&lt;=" &amp; L1, TableIncome[InvestmentP2])</f>
        <v>1109011.2216479885</v>
      </c>
      <c r="M3" s="71">
        <f>SUMIF(TableIncome[Year], "&lt;=" &amp; M1, TableIncome[InvestmentP2])</f>
        <v>1220323.4336160782</v>
      </c>
      <c r="N3" s="71">
        <f>SUMIF(TableIncome[Year], "&lt;=" &amp; N1, TableIncome[InvestmentP2])</f>
        <v>1332555.2224068569</v>
      </c>
      <c r="O3" s="71">
        <f>SUMIF(TableIncome[Year], "&lt;=" &amp; O1, TableIncome[InvestmentP2])</f>
        <v>1449430.8741522145</v>
      </c>
      <c r="P3" s="71">
        <f>SUMIF(TableIncome[Year], "&lt;=" &amp; P1, TableIncome[InvestmentP2])</f>
        <v>1567281.7371180337</v>
      </c>
      <c r="Q3" s="71">
        <f>SUMIF(TableIncome[Year], "&lt;=" &amp; Q1, TableIncome[InvestmentP2])</f>
        <v>1686117.563416519</v>
      </c>
      <c r="R3" s="71">
        <f>SUMIF(TableIncome[Year], "&lt;=" &amp; R1, TableIncome[InvestmentP2])</f>
        <v>1805948.2026809971</v>
      </c>
      <c r="S3" s="71">
        <f>SUMIF(TableIncome[Year], "&lt;=" &amp; S1, TableIncome[InvestmentP2])</f>
        <v>1926783.603041128</v>
      </c>
      <c r="T3" s="71">
        <f>SUMIF(TableIncome[Year], "&lt;=" &amp; T1, TableIncome[InvestmentP2])</f>
        <v>2052693.0469343057</v>
      </c>
      <c r="U3" s="71">
        <f>SUMIF(TableIncome[Year], "&lt;=" &amp; U1, TableIncome[InvestmentP2])</f>
        <v>2179668.0399694229</v>
      </c>
      <c r="V3" s="71">
        <f>SUMIF(TableIncome[Year], "&lt;=" &amp; V1, TableIncome[InvestmentP2])</f>
        <v>2307719.2376378994</v>
      </c>
      <c r="W3" s="71">
        <f>SUMIF(TableIncome[Year], "&lt;=" &amp; W1, TableIncome[InvestmentP2])</f>
        <v>2436857.4019860686</v>
      </c>
      <c r="X3" s="71">
        <f>SUMIF(TableIncome[Year], "&lt;=" &amp; X1, TableIncome[InvestmentP2])</f>
        <v>2571484.7480666866</v>
      </c>
      <c r="Y3" s="71">
        <f>SUMIF(TableIncome[Year], "&lt;=" &amp; Y1, TableIncome[InvestmentP2])</f>
        <v>2707264.8223111187</v>
      </c>
      <c r="Z3" s="71">
        <f>SUMIF(TableIncome[Year], "&lt;=" &amp; Z1, TableIncome[InvestmentP2])</f>
        <v>2844209.1520010028</v>
      </c>
      <c r="AA3" s="71">
        <f>SUMIF(TableIncome[Year], "&lt;=" &amp; AA1, TableIncome[InvestmentP2])</f>
        <v>2982329.3796907938</v>
      </c>
      <c r="AB3" s="71">
        <f>SUMIF(TableIncome[Year], "&lt;=" &amp; AB1, TableIncome[InvestmentP2])</f>
        <v>3121637.2643604907</v>
      </c>
      <c r="AC3" s="71">
        <f>SUMIF(TableIncome[Year], "&lt;=" &amp; AC1, TableIncome[InvestmentP2])</f>
        <v>3262144.6825798927</v>
      </c>
      <c r="AD3" s="71">
        <f>SUMIF(TableIncome[Year], "&lt;=" &amp; AD1, TableIncome[InvestmentP2])</f>
        <v>3403863.6296844967</v>
      </c>
      <c r="AE3" s="71">
        <f>SUMIF(TableIncome[Year], "&lt;=" &amp; AE1, TableIncome[InvestmentP2])</f>
        <v>3546806.2209631549</v>
      </c>
      <c r="AF3" s="71">
        <f>SUMIF(TableIncome[Year], "&lt;=" &amp; AF1, TableIncome[InvestmentP2])</f>
        <v>3690984.6928576077</v>
      </c>
      <c r="AG3" s="71">
        <f>SUMIF(TableIncome[Year], "&lt;=" &amp; AG1, TableIncome[InvestmentP2])</f>
        <v>3836411.4041740131</v>
      </c>
      <c r="AH3" s="71">
        <f>SUMIF(TableIncome[Year], "&lt;=" &amp; AH1, TableIncome[InvestmentP2])</f>
        <v>3983098.8373065903</v>
      </c>
      <c r="AI3" s="71">
        <f>SUMIF(TableIncome[Year], "&lt;=" &amp; AI1, TableIncome[InvestmentP2])</f>
        <v>4131059.5994735011</v>
      </c>
      <c r="AJ3" s="71">
        <f>SUMIF(TableIncome[Year], "&lt;=" &amp; AJ1, TableIncome[InvestmentP2])</f>
        <v>4280306.423965089</v>
      </c>
      <c r="AK3" s="71">
        <f>SUMIF(TableIncome[Year], "&lt;=" &amp; AK1, TableIncome[InvestmentP2])</f>
        <v>4280306.423965089</v>
      </c>
      <c r="AL3" s="71">
        <f>SUMIF(TableIncome[Year], "&lt;=" &amp; AL1, TableIncome[InvestmentP2])</f>
        <v>4280306.423965089</v>
      </c>
      <c r="AM3" s="71">
        <f>SUMIF(TableIncome[Year], "&lt;=" &amp; AM1, TableIncome[InvestmentP2])</f>
        <v>4280306.423965089</v>
      </c>
      <c r="AN3" s="71">
        <f>SUMIF(TableIncome[Year], "&lt;=" &amp; AN1, TableIncome[InvestmentP2])</f>
        <v>4280306.423965089</v>
      </c>
      <c r="AO3" s="71">
        <f>SUMIF(TableIncome[Year], "&lt;=" &amp; AO1, TableIncome[InvestmentP2])</f>
        <v>4280306.423965089</v>
      </c>
      <c r="AP3" s="71">
        <f>SUMIF(TableIncome[Year], "&lt;=" &amp; AP1, TableIncome[InvestmentP2])</f>
        <v>4280306.423965089</v>
      </c>
      <c r="AQ3" s="71">
        <f>SUMIF(TableIncome[Year], "&lt;=" &amp; AQ1, TableIncome[InvestmentP2])</f>
        <v>4280306.423965089</v>
      </c>
      <c r="AR3" s="71">
        <f>SUMIF(TableIncome[Year], "&lt;=" &amp; AR1, TableIncome[InvestmentP2])</f>
        <v>4280306.423965089</v>
      </c>
      <c r="AS3" s="71">
        <f>SUMIF(TableIncome[Year], "&lt;=" &amp; AS1, TableIncome[InvestmentP2])</f>
        <v>4280306.423965089</v>
      </c>
      <c r="AT3" s="71">
        <f>SUMIF(TableIncome[Year], "&lt;=" &amp; AT1, TableIncome[InvestmentP2])</f>
        <v>4280306.423965089</v>
      </c>
      <c r="AU3" s="71">
        <f>SUMIF(TableIncome[Year], "&lt;=" &amp; AU1, TableIncome[InvestmentP2])</f>
        <v>4280306.423965089</v>
      </c>
      <c r="AV3" s="71">
        <f>SUMIF(TableIncome[Year], "&lt;=" &amp; AV1, TableIncome[InvestmentP2])</f>
        <v>4280306.423965089</v>
      </c>
      <c r="AW3" s="71">
        <f>SUMIF(TableIncome[Year], "&lt;=" &amp; AW1, TableIncome[InvestmentP2])</f>
        <v>4280306.423965089</v>
      </c>
      <c r="AX3" s="71">
        <f>SUMIF(TableIncome[Year], "&lt;=" &amp; AX1, TableIncome[InvestmentP2])</f>
        <v>4280306.423965089</v>
      </c>
      <c r="AY3" s="71">
        <f>SUMIF(TableIncome[Year], "&lt;=" &amp; AY1, TableIncome[InvestmentP2])</f>
        <v>4280306.423965089</v>
      </c>
      <c r="AZ3" s="71">
        <f>SUMIF(TableIncome[Year], "&lt;=" &amp; AZ1, TableIncome[InvestmentP2])</f>
        <v>4280306.423965089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baseColWidth="10" defaultColWidth="9.1640625" defaultRowHeight="15" x14ac:dyDescent="0.2"/>
  <cols>
    <col min="1" max="1" width="9.1640625" style="2"/>
    <col min="2" max="2" width="134.6640625" style="2" customWidth="1"/>
    <col min="3" max="12" width="9.1640625" style="2"/>
    <col min="13" max="13" width="18.6640625" style="2" customWidth="1"/>
    <col min="14" max="14" width="15.5" style="2" customWidth="1"/>
    <col min="15" max="16384" width="9.1640625" style="2"/>
  </cols>
  <sheetData>
    <row r="3" spans="2:2" x14ac:dyDescent="0.2">
      <c r="B3" s="2" t="s">
        <v>79</v>
      </c>
    </row>
    <row r="4" spans="2:2" x14ac:dyDescent="0.2">
      <c r="B4" s="2" t="s">
        <v>80</v>
      </c>
    </row>
    <row r="5" spans="2:2" x14ac:dyDescent="0.2">
      <c r="B5" s="2" t="s">
        <v>81</v>
      </c>
    </row>
    <row r="6" spans="2:2" x14ac:dyDescent="0.2">
      <c r="B6" s="2" t="s">
        <v>86</v>
      </c>
    </row>
    <row r="7" spans="2:2" x14ac:dyDescent="0.2">
      <c r="B7" s="2" t="s">
        <v>82</v>
      </c>
    </row>
    <row r="9" spans="2:2" x14ac:dyDescent="0.2">
      <c r="B9" s="2" t="s">
        <v>83</v>
      </c>
    </row>
    <row r="13" spans="2:2" x14ac:dyDescent="0.2">
      <c r="B13" s="2" t="s">
        <v>84</v>
      </c>
    </row>
    <row r="14" spans="2:2" x14ac:dyDescent="0.2">
      <c r="B14" s="2" t="s">
        <v>85</v>
      </c>
    </row>
    <row r="18" spans="2:2" x14ac:dyDescent="0.2">
      <c r="B18" s="2" t="s">
        <v>87</v>
      </c>
    </row>
    <row r="37" spans="2:14" x14ac:dyDescent="0.2">
      <c r="B37" s="2" t="s">
        <v>88</v>
      </c>
    </row>
    <row r="41" spans="2:14" x14ac:dyDescent="0.2">
      <c r="C41" s="2" t="s">
        <v>89</v>
      </c>
    </row>
    <row r="42" spans="2:14" x14ac:dyDescent="0.2">
      <c r="D42" s="2" t="s">
        <v>92</v>
      </c>
      <c r="E42" s="2" t="s">
        <v>93</v>
      </c>
    </row>
    <row r="43" spans="2:14" x14ac:dyDescent="0.2">
      <c r="C43" s="2" t="s">
        <v>90</v>
      </c>
      <c r="D43" s="17">
        <v>0.03</v>
      </c>
      <c r="E43" s="17">
        <v>0.01</v>
      </c>
      <c r="H43" s="2">
        <v>2025</v>
      </c>
      <c r="I43" s="2">
        <v>2026</v>
      </c>
      <c r="J43" s="2">
        <v>2027</v>
      </c>
      <c r="M43" s="85" t="s">
        <v>94</v>
      </c>
      <c r="N43" s="86" t="s">
        <v>95</v>
      </c>
    </row>
    <row r="44" spans="2:14" x14ac:dyDescent="0.2">
      <c r="C44" s="2" t="s">
        <v>91</v>
      </c>
      <c r="D44" s="17">
        <v>0.1</v>
      </c>
      <c r="E44" s="17">
        <v>0.03</v>
      </c>
      <c r="H44" s="17">
        <v>0.03</v>
      </c>
      <c r="I44" s="17">
        <v>0.04</v>
      </c>
      <c r="J44" s="17">
        <v>0.06</v>
      </c>
      <c r="K44" s="17">
        <v>7.0000000000000007E-2</v>
      </c>
      <c r="L44" s="17">
        <v>0.1</v>
      </c>
      <c r="M44" s="85"/>
      <c r="N44" s="86"/>
    </row>
    <row r="45" spans="2:14" x14ac:dyDescent="0.2">
      <c r="M45" s="85"/>
      <c r="N45" s="86"/>
    </row>
    <row r="46" spans="2:14" x14ac:dyDescent="0.2">
      <c r="H46" s="17">
        <f>AVERAGE(H44:L44)</f>
        <v>6.0000000000000012E-2</v>
      </c>
      <c r="I46" s="17">
        <f>AVERAGE(I44:L44)</f>
        <v>6.7500000000000004E-2</v>
      </c>
      <c r="M46" s="85"/>
      <c r="N46" s="86"/>
    </row>
    <row r="51" spans="2:21" x14ac:dyDescent="0.2">
      <c r="J51" s="2" t="s">
        <v>96</v>
      </c>
      <c r="L51" s="2" t="s">
        <v>97</v>
      </c>
    </row>
    <row r="53" spans="2:21" x14ac:dyDescent="0.2">
      <c r="J53" s="2">
        <v>2025</v>
      </c>
      <c r="K53" s="2">
        <v>2026</v>
      </c>
      <c r="L53" s="2">
        <v>2027</v>
      </c>
      <c r="M53" s="2">
        <v>2028</v>
      </c>
      <c r="N53" s="2">
        <v>2029</v>
      </c>
      <c r="O53" s="2">
        <v>2030</v>
      </c>
      <c r="P53" s="2">
        <v>2031</v>
      </c>
      <c r="Q53" s="2">
        <v>2032</v>
      </c>
      <c r="R53" s="2">
        <v>2033</v>
      </c>
      <c r="S53" s="2">
        <v>2034</v>
      </c>
      <c r="U53" s="2" t="s">
        <v>98</v>
      </c>
    </row>
    <row r="54" spans="2:21" x14ac:dyDescent="0.2">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2">
        <v>2000000</v>
      </c>
    </row>
    <row r="57" spans="2:21" x14ac:dyDescent="0.2">
      <c r="B57" s="18" t="s">
        <v>99</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showGridLines="0"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v>1E-3</v>
      </c>
      <c r="C2" s="72">
        <f>B2</f>
        <v>1E-3</v>
      </c>
      <c r="D2" s="72">
        <f t="shared" ref="D2:K3" si="0">C2</f>
        <v>1E-3</v>
      </c>
      <c r="E2" s="72">
        <f t="shared" si="0"/>
        <v>1E-3</v>
      </c>
      <c r="F2" s="72">
        <f t="shared" si="0"/>
        <v>1E-3</v>
      </c>
      <c r="G2" s="72">
        <f t="shared" si="0"/>
        <v>1E-3</v>
      </c>
      <c r="H2" s="72">
        <f t="shared" si="0"/>
        <v>1E-3</v>
      </c>
      <c r="I2" s="72">
        <f t="shared" si="0"/>
        <v>1E-3</v>
      </c>
      <c r="J2" s="72">
        <f t="shared" si="0"/>
        <v>1E-3</v>
      </c>
      <c r="K2" s="72">
        <f t="shared" si="0"/>
        <v>1E-3</v>
      </c>
      <c r="L2" s="72">
        <v>0.04</v>
      </c>
      <c r="M2" s="72">
        <f t="shared" ref="M2:AB7" si="1">L2</f>
        <v>0.04</v>
      </c>
      <c r="N2" s="72">
        <f t="shared" si="1"/>
        <v>0.04</v>
      </c>
      <c r="O2" s="72">
        <f t="shared" si="1"/>
        <v>0.04</v>
      </c>
      <c r="P2" s="72">
        <f t="shared" si="1"/>
        <v>0.04</v>
      </c>
      <c r="Q2" s="72">
        <f t="shared" si="1"/>
        <v>0.04</v>
      </c>
      <c r="R2" s="72">
        <f t="shared" si="1"/>
        <v>0.04</v>
      </c>
      <c r="S2" s="72">
        <f t="shared" si="1"/>
        <v>0.04</v>
      </c>
      <c r="T2" s="72">
        <f t="shared" si="1"/>
        <v>0.04</v>
      </c>
      <c r="U2" s="72">
        <f t="shared" si="1"/>
        <v>0.04</v>
      </c>
      <c r="V2" s="72">
        <f t="shared" si="1"/>
        <v>0.04</v>
      </c>
      <c r="W2" s="72">
        <f t="shared" si="1"/>
        <v>0.04</v>
      </c>
      <c r="X2" s="72">
        <f t="shared" si="1"/>
        <v>0.04</v>
      </c>
      <c r="Y2" s="72">
        <f t="shared" si="1"/>
        <v>0.04</v>
      </c>
      <c r="Z2" s="72">
        <f t="shared" si="1"/>
        <v>0.04</v>
      </c>
      <c r="AA2" s="72">
        <f t="shared" si="1"/>
        <v>0.04</v>
      </c>
      <c r="AB2" s="72">
        <f t="shared" si="1"/>
        <v>0.04</v>
      </c>
      <c r="AC2" s="72">
        <f t="shared" ref="AC2:AR7" si="2">AB2</f>
        <v>0.04</v>
      </c>
      <c r="AD2" s="72">
        <f t="shared" si="2"/>
        <v>0.04</v>
      </c>
      <c r="AE2" s="72">
        <f t="shared" si="2"/>
        <v>0.04</v>
      </c>
      <c r="AF2" s="72">
        <f t="shared" si="2"/>
        <v>0.04</v>
      </c>
      <c r="AG2" s="72">
        <f t="shared" si="2"/>
        <v>0.04</v>
      </c>
      <c r="AH2" s="72">
        <f t="shared" si="2"/>
        <v>0.04</v>
      </c>
      <c r="AI2" s="72">
        <f t="shared" si="2"/>
        <v>0.04</v>
      </c>
      <c r="AJ2" s="72">
        <f t="shared" si="2"/>
        <v>0.04</v>
      </c>
      <c r="AK2" s="72">
        <f t="shared" si="2"/>
        <v>0.04</v>
      </c>
      <c r="AL2" s="72">
        <f t="shared" si="2"/>
        <v>0.04</v>
      </c>
      <c r="AM2" s="72">
        <f t="shared" si="2"/>
        <v>0.04</v>
      </c>
      <c r="AN2" s="72">
        <f t="shared" si="2"/>
        <v>0.04</v>
      </c>
      <c r="AO2" s="72">
        <f t="shared" si="2"/>
        <v>0.04</v>
      </c>
      <c r="AP2" s="72">
        <f t="shared" si="2"/>
        <v>0.04</v>
      </c>
      <c r="AQ2" s="72">
        <f t="shared" si="2"/>
        <v>0.04</v>
      </c>
      <c r="AR2" s="72">
        <f t="shared" si="2"/>
        <v>0.04</v>
      </c>
      <c r="AS2" s="72">
        <f t="shared" ref="AS2:AZ7" si="3">AR2</f>
        <v>0.04</v>
      </c>
      <c r="AT2" s="72">
        <f t="shared" si="3"/>
        <v>0.04</v>
      </c>
      <c r="AU2" s="72">
        <f t="shared" si="3"/>
        <v>0.04</v>
      </c>
      <c r="AV2" s="72">
        <f t="shared" si="3"/>
        <v>0.04</v>
      </c>
      <c r="AW2" s="72">
        <f t="shared" si="3"/>
        <v>0.04</v>
      </c>
      <c r="AX2" s="72">
        <f t="shared" si="3"/>
        <v>0.04</v>
      </c>
      <c r="AY2" s="72">
        <f t="shared" si="3"/>
        <v>0.04</v>
      </c>
      <c r="AZ2" s="72">
        <f t="shared" si="3"/>
        <v>0.04</v>
      </c>
    </row>
    <row r="3" spans="1:52" x14ac:dyDescent="0.2">
      <c r="A3" s="67" t="s">
        <v>101</v>
      </c>
      <c r="B3" s="72">
        <v>1E-3</v>
      </c>
      <c r="C3" s="72">
        <f>B3</f>
        <v>1E-3</v>
      </c>
      <c r="D3" s="72">
        <f t="shared" si="0"/>
        <v>1E-3</v>
      </c>
      <c r="E3" s="72">
        <f t="shared" si="0"/>
        <v>1E-3</v>
      </c>
      <c r="F3" s="72">
        <f t="shared" si="0"/>
        <v>1E-3</v>
      </c>
      <c r="G3" s="72">
        <f t="shared" si="0"/>
        <v>1E-3</v>
      </c>
      <c r="H3" s="72">
        <f t="shared" si="0"/>
        <v>1E-3</v>
      </c>
      <c r="I3" s="72">
        <f t="shared" si="0"/>
        <v>1E-3</v>
      </c>
      <c r="J3" s="72">
        <f t="shared" si="0"/>
        <v>1E-3</v>
      </c>
      <c r="K3" s="72">
        <f t="shared" si="0"/>
        <v>1E-3</v>
      </c>
      <c r="L3" s="72">
        <v>0.04</v>
      </c>
      <c r="M3" s="72">
        <f t="shared" si="1"/>
        <v>0.04</v>
      </c>
      <c r="N3" s="72">
        <f t="shared" si="1"/>
        <v>0.04</v>
      </c>
      <c r="O3" s="72">
        <f t="shared" si="1"/>
        <v>0.04</v>
      </c>
      <c r="P3" s="72">
        <f t="shared" si="1"/>
        <v>0.04</v>
      </c>
      <c r="Q3" s="72">
        <f t="shared" si="1"/>
        <v>0.04</v>
      </c>
      <c r="R3" s="72">
        <f t="shared" si="1"/>
        <v>0.04</v>
      </c>
      <c r="S3" s="72">
        <f t="shared" si="1"/>
        <v>0.04</v>
      </c>
      <c r="T3" s="72">
        <f t="shared" si="1"/>
        <v>0.04</v>
      </c>
      <c r="U3" s="72">
        <f t="shared" si="1"/>
        <v>0.04</v>
      </c>
      <c r="V3" s="72">
        <f t="shared" si="1"/>
        <v>0.04</v>
      </c>
      <c r="W3" s="72">
        <f t="shared" si="1"/>
        <v>0.04</v>
      </c>
      <c r="X3" s="72">
        <f t="shared" si="1"/>
        <v>0.04</v>
      </c>
      <c r="Y3" s="72">
        <f t="shared" si="1"/>
        <v>0.04</v>
      </c>
      <c r="Z3" s="72">
        <f t="shared" si="1"/>
        <v>0.04</v>
      </c>
      <c r="AA3" s="72">
        <f t="shared" si="1"/>
        <v>0.04</v>
      </c>
      <c r="AB3" s="72">
        <f t="shared" si="1"/>
        <v>0.04</v>
      </c>
      <c r="AC3" s="72">
        <f t="shared" si="2"/>
        <v>0.04</v>
      </c>
      <c r="AD3" s="72">
        <f t="shared" si="2"/>
        <v>0.04</v>
      </c>
      <c r="AE3" s="72">
        <f t="shared" si="2"/>
        <v>0.04</v>
      </c>
      <c r="AF3" s="72">
        <f t="shared" si="2"/>
        <v>0.04</v>
      </c>
      <c r="AG3" s="72">
        <f t="shared" si="2"/>
        <v>0.04</v>
      </c>
      <c r="AH3" s="72">
        <f t="shared" si="2"/>
        <v>0.04</v>
      </c>
      <c r="AI3" s="72">
        <f t="shared" si="2"/>
        <v>0.04</v>
      </c>
      <c r="AJ3" s="72">
        <f t="shared" si="2"/>
        <v>0.04</v>
      </c>
      <c r="AK3" s="72">
        <f t="shared" si="2"/>
        <v>0.04</v>
      </c>
      <c r="AL3" s="72">
        <f t="shared" si="2"/>
        <v>0.04</v>
      </c>
      <c r="AM3" s="72">
        <f t="shared" si="2"/>
        <v>0.04</v>
      </c>
      <c r="AN3" s="72">
        <f t="shared" si="2"/>
        <v>0.04</v>
      </c>
      <c r="AO3" s="72">
        <f t="shared" si="2"/>
        <v>0.04</v>
      </c>
      <c r="AP3" s="72">
        <f t="shared" si="2"/>
        <v>0.04</v>
      </c>
      <c r="AQ3" s="72">
        <f t="shared" si="2"/>
        <v>0.04</v>
      </c>
      <c r="AR3" s="72">
        <f t="shared" si="2"/>
        <v>0.04</v>
      </c>
      <c r="AS3" s="72">
        <f t="shared" si="3"/>
        <v>0.04</v>
      </c>
      <c r="AT3" s="72">
        <f t="shared" si="3"/>
        <v>0.04</v>
      </c>
      <c r="AU3" s="72">
        <f t="shared" si="3"/>
        <v>0.04</v>
      </c>
      <c r="AV3" s="72">
        <f t="shared" si="3"/>
        <v>0.04</v>
      </c>
      <c r="AW3" s="72">
        <f t="shared" si="3"/>
        <v>0.04</v>
      </c>
      <c r="AX3" s="72">
        <f t="shared" si="3"/>
        <v>0.04</v>
      </c>
      <c r="AY3" s="72">
        <f t="shared" si="3"/>
        <v>0.04</v>
      </c>
      <c r="AZ3" s="72">
        <f t="shared" si="3"/>
        <v>0.04</v>
      </c>
    </row>
    <row r="4" spans="1:52" x14ac:dyDescent="0.2">
      <c r="A4" s="67" t="s">
        <v>155</v>
      </c>
      <c r="B4" s="72">
        <v>1E-3</v>
      </c>
      <c r="C4" s="72">
        <f t="shared" ref="C4:M7" si="4">B4</f>
        <v>1E-3</v>
      </c>
      <c r="D4" s="72">
        <f t="shared" si="4"/>
        <v>1E-3</v>
      </c>
      <c r="E4" s="72">
        <f t="shared" si="4"/>
        <v>1E-3</v>
      </c>
      <c r="F4" s="72">
        <f t="shared" si="4"/>
        <v>1E-3</v>
      </c>
      <c r="G4" s="72">
        <f t="shared" si="4"/>
        <v>1E-3</v>
      </c>
      <c r="H4" s="72">
        <f t="shared" si="4"/>
        <v>1E-3</v>
      </c>
      <c r="I4" s="72">
        <f t="shared" si="4"/>
        <v>1E-3</v>
      </c>
      <c r="J4" s="72">
        <f t="shared" si="4"/>
        <v>1E-3</v>
      </c>
      <c r="K4" s="72">
        <f t="shared" si="4"/>
        <v>1E-3</v>
      </c>
      <c r="L4" s="72">
        <v>0.04</v>
      </c>
      <c r="M4" s="72">
        <f t="shared" si="4"/>
        <v>0.04</v>
      </c>
      <c r="N4" s="72">
        <f t="shared" si="1"/>
        <v>0.04</v>
      </c>
      <c r="O4" s="72">
        <f t="shared" si="1"/>
        <v>0.04</v>
      </c>
      <c r="P4" s="72">
        <f t="shared" si="1"/>
        <v>0.04</v>
      </c>
      <c r="Q4" s="72">
        <f t="shared" si="1"/>
        <v>0.04</v>
      </c>
      <c r="R4" s="72">
        <f t="shared" si="1"/>
        <v>0.04</v>
      </c>
      <c r="S4" s="72">
        <f t="shared" si="1"/>
        <v>0.04</v>
      </c>
      <c r="T4" s="72">
        <f t="shared" si="1"/>
        <v>0.04</v>
      </c>
      <c r="U4" s="72">
        <f t="shared" si="1"/>
        <v>0.04</v>
      </c>
      <c r="V4" s="72">
        <f t="shared" si="1"/>
        <v>0.04</v>
      </c>
      <c r="W4" s="72">
        <f t="shared" si="1"/>
        <v>0.04</v>
      </c>
      <c r="X4" s="72">
        <f t="shared" si="1"/>
        <v>0.04</v>
      </c>
      <c r="Y4" s="72">
        <f t="shared" si="1"/>
        <v>0.04</v>
      </c>
      <c r="Z4" s="72">
        <f t="shared" si="1"/>
        <v>0.04</v>
      </c>
      <c r="AA4" s="72">
        <f t="shared" si="1"/>
        <v>0.04</v>
      </c>
      <c r="AB4" s="72">
        <f t="shared" si="1"/>
        <v>0.04</v>
      </c>
      <c r="AC4" s="72">
        <f t="shared" si="2"/>
        <v>0.04</v>
      </c>
      <c r="AD4" s="72">
        <f t="shared" si="2"/>
        <v>0.04</v>
      </c>
      <c r="AE4" s="72">
        <f t="shared" si="2"/>
        <v>0.04</v>
      </c>
      <c r="AF4" s="72">
        <f t="shared" si="2"/>
        <v>0.04</v>
      </c>
      <c r="AG4" s="72">
        <f t="shared" si="2"/>
        <v>0.04</v>
      </c>
      <c r="AH4" s="72">
        <f t="shared" si="2"/>
        <v>0.04</v>
      </c>
      <c r="AI4" s="72">
        <f t="shared" si="2"/>
        <v>0.04</v>
      </c>
      <c r="AJ4" s="72">
        <f t="shared" si="2"/>
        <v>0.04</v>
      </c>
      <c r="AK4" s="72">
        <f t="shared" si="2"/>
        <v>0.04</v>
      </c>
      <c r="AL4" s="72">
        <f t="shared" si="2"/>
        <v>0.04</v>
      </c>
      <c r="AM4" s="72">
        <f t="shared" si="2"/>
        <v>0.04</v>
      </c>
      <c r="AN4" s="72">
        <f t="shared" si="2"/>
        <v>0.04</v>
      </c>
      <c r="AO4" s="72">
        <f t="shared" si="2"/>
        <v>0.04</v>
      </c>
      <c r="AP4" s="72">
        <f t="shared" si="2"/>
        <v>0.04</v>
      </c>
      <c r="AQ4" s="72">
        <f t="shared" si="2"/>
        <v>0.04</v>
      </c>
      <c r="AR4" s="72">
        <f t="shared" si="2"/>
        <v>0.04</v>
      </c>
      <c r="AS4" s="72">
        <f t="shared" si="3"/>
        <v>0.04</v>
      </c>
      <c r="AT4" s="72">
        <f t="shared" si="3"/>
        <v>0.04</v>
      </c>
      <c r="AU4" s="72">
        <f t="shared" si="3"/>
        <v>0.04</v>
      </c>
      <c r="AV4" s="72">
        <f t="shared" si="3"/>
        <v>0.04</v>
      </c>
      <c r="AW4" s="72">
        <f t="shared" si="3"/>
        <v>0.04</v>
      </c>
      <c r="AX4" s="72">
        <f t="shared" si="3"/>
        <v>0.04</v>
      </c>
      <c r="AY4" s="72">
        <f t="shared" si="3"/>
        <v>0.04</v>
      </c>
      <c r="AZ4" s="72">
        <f t="shared" si="3"/>
        <v>0.04</v>
      </c>
    </row>
    <row r="5" spans="1:52" x14ac:dyDescent="0.2">
      <c r="A5" s="67" t="s">
        <v>154</v>
      </c>
      <c r="B5" s="72">
        <v>1E-3</v>
      </c>
      <c r="C5" s="72">
        <f t="shared" si="4"/>
        <v>1E-3</v>
      </c>
      <c r="D5" s="72">
        <f t="shared" si="4"/>
        <v>1E-3</v>
      </c>
      <c r="E5" s="72">
        <f t="shared" si="4"/>
        <v>1E-3</v>
      </c>
      <c r="F5" s="72">
        <f t="shared" si="4"/>
        <v>1E-3</v>
      </c>
      <c r="G5" s="72">
        <f t="shared" si="4"/>
        <v>1E-3</v>
      </c>
      <c r="H5" s="72">
        <f t="shared" si="4"/>
        <v>1E-3</v>
      </c>
      <c r="I5" s="72">
        <f t="shared" si="4"/>
        <v>1E-3</v>
      </c>
      <c r="J5" s="72">
        <f t="shared" si="4"/>
        <v>1E-3</v>
      </c>
      <c r="K5" s="72">
        <f t="shared" si="4"/>
        <v>1E-3</v>
      </c>
      <c r="L5" s="72">
        <v>0.04</v>
      </c>
      <c r="M5" s="72">
        <f t="shared" si="4"/>
        <v>0.04</v>
      </c>
      <c r="N5" s="72">
        <f t="shared" si="1"/>
        <v>0.04</v>
      </c>
      <c r="O5" s="72">
        <f t="shared" si="1"/>
        <v>0.04</v>
      </c>
      <c r="P5" s="72">
        <f t="shared" si="1"/>
        <v>0.04</v>
      </c>
      <c r="Q5" s="72">
        <f t="shared" si="1"/>
        <v>0.04</v>
      </c>
      <c r="R5" s="72">
        <f t="shared" si="1"/>
        <v>0.04</v>
      </c>
      <c r="S5" s="72">
        <f t="shared" si="1"/>
        <v>0.04</v>
      </c>
      <c r="T5" s="72">
        <f t="shared" si="1"/>
        <v>0.04</v>
      </c>
      <c r="U5" s="72">
        <f t="shared" si="1"/>
        <v>0.04</v>
      </c>
      <c r="V5" s="72">
        <f t="shared" si="1"/>
        <v>0.04</v>
      </c>
      <c r="W5" s="72">
        <f t="shared" si="1"/>
        <v>0.04</v>
      </c>
      <c r="X5" s="72">
        <f t="shared" si="1"/>
        <v>0.04</v>
      </c>
      <c r="Y5" s="72">
        <f t="shared" si="1"/>
        <v>0.04</v>
      </c>
      <c r="Z5" s="72">
        <f t="shared" si="1"/>
        <v>0.04</v>
      </c>
      <c r="AA5" s="72">
        <f t="shared" si="1"/>
        <v>0.04</v>
      </c>
      <c r="AB5" s="72">
        <f t="shared" si="1"/>
        <v>0.04</v>
      </c>
      <c r="AC5" s="72">
        <f t="shared" si="2"/>
        <v>0.04</v>
      </c>
      <c r="AD5" s="72">
        <f t="shared" si="2"/>
        <v>0.04</v>
      </c>
      <c r="AE5" s="72">
        <f t="shared" si="2"/>
        <v>0.04</v>
      </c>
      <c r="AF5" s="72">
        <f t="shared" si="2"/>
        <v>0.04</v>
      </c>
      <c r="AG5" s="72">
        <f t="shared" si="2"/>
        <v>0.04</v>
      </c>
      <c r="AH5" s="72">
        <f t="shared" si="2"/>
        <v>0.04</v>
      </c>
      <c r="AI5" s="72">
        <f t="shared" si="2"/>
        <v>0.04</v>
      </c>
      <c r="AJ5" s="72">
        <f t="shared" si="2"/>
        <v>0.04</v>
      </c>
      <c r="AK5" s="72">
        <f t="shared" si="2"/>
        <v>0.04</v>
      </c>
      <c r="AL5" s="72">
        <f t="shared" si="2"/>
        <v>0.04</v>
      </c>
      <c r="AM5" s="72">
        <f t="shared" si="2"/>
        <v>0.04</v>
      </c>
      <c r="AN5" s="72">
        <f t="shared" si="2"/>
        <v>0.04</v>
      </c>
      <c r="AO5" s="72">
        <f t="shared" si="2"/>
        <v>0.04</v>
      </c>
      <c r="AP5" s="72">
        <f t="shared" si="2"/>
        <v>0.04</v>
      </c>
      <c r="AQ5" s="72">
        <f t="shared" si="2"/>
        <v>0.04</v>
      </c>
      <c r="AR5" s="72">
        <f t="shared" si="2"/>
        <v>0.04</v>
      </c>
      <c r="AS5" s="72">
        <f t="shared" si="3"/>
        <v>0.04</v>
      </c>
      <c r="AT5" s="72">
        <f t="shared" si="3"/>
        <v>0.04</v>
      </c>
      <c r="AU5" s="72">
        <f t="shared" si="3"/>
        <v>0.04</v>
      </c>
      <c r="AV5" s="72">
        <f t="shared" si="3"/>
        <v>0.04</v>
      </c>
      <c r="AW5" s="72">
        <f t="shared" si="3"/>
        <v>0.04</v>
      </c>
      <c r="AX5" s="72">
        <f t="shared" si="3"/>
        <v>0.04</v>
      </c>
      <c r="AY5" s="72">
        <f t="shared" si="3"/>
        <v>0.04</v>
      </c>
      <c r="AZ5" s="72">
        <f t="shared" si="3"/>
        <v>0.04</v>
      </c>
    </row>
    <row r="6" spans="1:52" x14ac:dyDescent="0.2">
      <c r="A6" s="67" t="s">
        <v>153</v>
      </c>
      <c r="B6" s="72">
        <v>1E-3</v>
      </c>
      <c r="C6" s="72">
        <f t="shared" si="4"/>
        <v>1E-3</v>
      </c>
      <c r="D6" s="72">
        <f t="shared" si="4"/>
        <v>1E-3</v>
      </c>
      <c r="E6" s="72">
        <f t="shared" si="4"/>
        <v>1E-3</v>
      </c>
      <c r="F6" s="72">
        <f t="shared" si="4"/>
        <v>1E-3</v>
      </c>
      <c r="G6" s="72">
        <f t="shared" si="4"/>
        <v>1E-3</v>
      </c>
      <c r="H6" s="72">
        <f t="shared" si="4"/>
        <v>1E-3</v>
      </c>
      <c r="I6" s="72">
        <f t="shared" si="4"/>
        <v>1E-3</v>
      </c>
      <c r="J6" s="72">
        <f t="shared" si="4"/>
        <v>1E-3</v>
      </c>
      <c r="K6" s="72">
        <f t="shared" si="4"/>
        <v>1E-3</v>
      </c>
      <c r="L6" s="72">
        <v>0.04</v>
      </c>
      <c r="M6" s="72">
        <f t="shared" si="4"/>
        <v>0.04</v>
      </c>
      <c r="N6" s="72">
        <f t="shared" si="1"/>
        <v>0.04</v>
      </c>
      <c r="O6" s="72">
        <f t="shared" si="1"/>
        <v>0.04</v>
      </c>
      <c r="P6" s="72">
        <f t="shared" si="1"/>
        <v>0.04</v>
      </c>
      <c r="Q6" s="72">
        <f t="shared" si="1"/>
        <v>0.04</v>
      </c>
      <c r="R6" s="72">
        <f t="shared" si="1"/>
        <v>0.04</v>
      </c>
      <c r="S6" s="72">
        <f t="shared" si="1"/>
        <v>0.04</v>
      </c>
      <c r="T6" s="72">
        <f t="shared" si="1"/>
        <v>0.04</v>
      </c>
      <c r="U6" s="72">
        <f t="shared" si="1"/>
        <v>0.04</v>
      </c>
      <c r="V6" s="72">
        <f t="shared" si="1"/>
        <v>0.04</v>
      </c>
      <c r="W6" s="72">
        <f t="shared" si="1"/>
        <v>0.04</v>
      </c>
      <c r="X6" s="72">
        <f t="shared" si="1"/>
        <v>0.04</v>
      </c>
      <c r="Y6" s="72">
        <f t="shared" si="1"/>
        <v>0.04</v>
      </c>
      <c r="Z6" s="72">
        <f t="shared" si="1"/>
        <v>0.04</v>
      </c>
      <c r="AA6" s="72">
        <f t="shared" si="1"/>
        <v>0.04</v>
      </c>
      <c r="AB6" s="72">
        <f t="shared" si="1"/>
        <v>0.04</v>
      </c>
      <c r="AC6" s="72">
        <f t="shared" si="2"/>
        <v>0.04</v>
      </c>
      <c r="AD6" s="72">
        <f t="shared" si="2"/>
        <v>0.04</v>
      </c>
      <c r="AE6" s="72">
        <f t="shared" si="2"/>
        <v>0.04</v>
      </c>
      <c r="AF6" s="72">
        <f t="shared" si="2"/>
        <v>0.04</v>
      </c>
      <c r="AG6" s="72">
        <f t="shared" si="2"/>
        <v>0.04</v>
      </c>
      <c r="AH6" s="72">
        <f t="shared" si="2"/>
        <v>0.04</v>
      </c>
      <c r="AI6" s="72">
        <f t="shared" si="2"/>
        <v>0.04</v>
      </c>
      <c r="AJ6" s="72">
        <f t="shared" si="2"/>
        <v>0.04</v>
      </c>
      <c r="AK6" s="72">
        <f t="shared" si="2"/>
        <v>0.04</v>
      </c>
      <c r="AL6" s="72">
        <f t="shared" si="2"/>
        <v>0.04</v>
      </c>
      <c r="AM6" s="72">
        <f t="shared" si="2"/>
        <v>0.04</v>
      </c>
      <c r="AN6" s="72">
        <f t="shared" si="2"/>
        <v>0.04</v>
      </c>
      <c r="AO6" s="72">
        <f t="shared" si="2"/>
        <v>0.04</v>
      </c>
      <c r="AP6" s="72">
        <f t="shared" si="2"/>
        <v>0.04</v>
      </c>
      <c r="AQ6" s="72">
        <f t="shared" si="2"/>
        <v>0.04</v>
      </c>
      <c r="AR6" s="72">
        <f t="shared" si="2"/>
        <v>0.04</v>
      </c>
      <c r="AS6" s="72">
        <f t="shared" si="3"/>
        <v>0.04</v>
      </c>
      <c r="AT6" s="72">
        <f t="shared" si="3"/>
        <v>0.04</v>
      </c>
      <c r="AU6" s="72">
        <f t="shared" si="3"/>
        <v>0.04</v>
      </c>
      <c r="AV6" s="72">
        <f t="shared" si="3"/>
        <v>0.04</v>
      </c>
      <c r="AW6" s="72">
        <f t="shared" si="3"/>
        <v>0.04</v>
      </c>
      <c r="AX6" s="72">
        <f t="shared" si="3"/>
        <v>0.04</v>
      </c>
      <c r="AY6" s="72">
        <f t="shared" si="3"/>
        <v>0.04</v>
      </c>
      <c r="AZ6" s="72">
        <f t="shared" si="3"/>
        <v>0.04</v>
      </c>
    </row>
    <row r="7" spans="1:52" x14ac:dyDescent="0.2">
      <c r="A7" s="67" t="s">
        <v>152</v>
      </c>
      <c r="B7" s="72">
        <v>1E-3</v>
      </c>
      <c r="C7" s="72">
        <f t="shared" si="4"/>
        <v>1E-3</v>
      </c>
      <c r="D7" s="72">
        <f t="shared" si="4"/>
        <v>1E-3</v>
      </c>
      <c r="E7" s="72">
        <f t="shared" si="4"/>
        <v>1E-3</v>
      </c>
      <c r="F7" s="72">
        <f t="shared" si="4"/>
        <v>1E-3</v>
      </c>
      <c r="G7" s="72">
        <f t="shared" si="4"/>
        <v>1E-3</v>
      </c>
      <c r="H7" s="72">
        <f t="shared" si="4"/>
        <v>1E-3</v>
      </c>
      <c r="I7" s="72">
        <f t="shared" si="4"/>
        <v>1E-3</v>
      </c>
      <c r="J7" s="72">
        <f t="shared" si="4"/>
        <v>1E-3</v>
      </c>
      <c r="K7" s="72">
        <f t="shared" si="4"/>
        <v>1E-3</v>
      </c>
      <c r="L7" s="72">
        <v>0.04</v>
      </c>
      <c r="M7" s="72">
        <f t="shared" si="4"/>
        <v>0.04</v>
      </c>
      <c r="N7" s="72">
        <f t="shared" si="1"/>
        <v>0.04</v>
      </c>
      <c r="O7" s="72">
        <f t="shared" si="1"/>
        <v>0.04</v>
      </c>
      <c r="P7" s="72">
        <f t="shared" si="1"/>
        <v>0.04</v>
      </c>
      <c r="Q7" s="72">
        <f t="shared" si="1"/>
        <v>0.04</v>
      </c>
      <c r="R7" s="72">
        <f t="shared" si="1"/>
        <v>0.04</v>
      </c>
      <c r="S7" s="72">
        <f t="shared" si="1"/>
        <v>0.04</v>
      </c>
      <c r="T7" s="72">
        <f t="shared" si="1"/>
        <v>0.04</v>
      </c>
      <c r="U7" s="72">
        <f t="shared" si="1"/>
        <v>0.04</v>
      </c>
      <c r="V7" s="72">
        <f t="shared" si="1"/>
        <v>0.04</v>
      </c>
      <c r="W7" s="72">
        <f t="shared" si="1"/>
        <v>0.04</v>
      </c>
      <c r="X7" s="72">
        <f t="shared" si="1"/>
        <v>0.04</v>
      </c>
      <c r="Y7" s="72">
        <f t="shared" si="1"/>
        <v>0.04</v>
      </c>
      <c r="Z7" s="72">
        <f t="shared" si="1"/>
        <v>0.04</v>
      </c>
      <c r="AA7" s="72">
        <f t="shared" si="1"/>
        <v>0.04</v>
      </c>
      <c r="AB7" s="72">
        <f t="shared" si="1"/>
        <v>0.04</v>
      </c>
      <c r="AC7" s="72">
        <f t="shared" si="2"/>
        <v>0.04</v>
      </c>
      <c r="AD7" s="72">
        <f t="shared" si="2"/>
        <v>0.04</v>
      </c>
      <c r="AE7" s="72">
        <f t="shared" si="2"/>
        <v>0.04</v>
      </c>
      <c r="AF7" s="72">
        <f t="shared" si="2"/>
        <v>0.04</v>
      </c>
      <c r="AG7" s="72">
        <f t="shared" si="2"/>
        <v>0.04</v>
      </c>
      <c r="AH7" s="72">
        <f t="shared" si="2"/>
        <v>0.04</v>
      </c>
      <c r="AI7" s="72">
        <f t="shared" si="2"/>
        <v>0.04</v>
      </c>
      <c r="AJ7" s="72">
        <f t="shared" si="2"/>
        <v>0.04</v>
      </c>
      <c r="AK7" s="72">
        <f t="shared" si="2"/>
        <v>0.04</v>
      </c>
      <c r="AL7" s="72">
        <f t="shared" si="2"/>
        <v>0.04</v>
      </c>
      <c r="AM7" s="72">
        <f t="shared" si="2"/>
        <v>0.04</v>
      </c>
      <c r="AN7" s="72">
        <f t="shared" si="2"/>
        <v>0.04</v>
      </c>
      <c r="AO7" s="72">
        <f t="shared" si="2"/>
        <v>0.04</v>
      </c>
      <c r="AP7" s="72">
        <f t="shared" si="2"/>
        <v>0.04</v>
      </c>
      <c r="AQ7" s="72">
        <f t="shared" si="2"/>
        <v>0.04</v>
      </c>
      <c r="AR7" s="72">
        <f t="shared" si="2"/>
        <v>0.04</v>
      </c>
      <c r="AS7" s="72">
        <f t="shared" si="3"/>
        <v>0.04</v>
      </c>
      <c r="AT7" s="72">
        <f t="shared" si="3"/>
        <v>0.04</v>
      </c>
      <c r="AU7" s="72">
        <f t="shared" si="3"/>
        <v>0.04</v>
      </c>
      <c r="AV7" s="72">
        <f t="shared" si="3"/>
        <v>0.04</v>
      </c>
      <c r="AW7" s="72">
        <f t="shared" si="3"/>
        <v>0.04</v>
      </c>
      <c r="AX7" s="72">
        <f t="shared" si="3"/>
        <v>0.04</v>
      </c>
      <c r="AY7" s="72">
        <f t="shared" si="3"/>
        <v>0.04</v>
      </c>
      <c r="AZ7" s="72">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f>8.6%-_xlfn.XLOOKUP(A2,BasisPointCost!$A:$A,BasisPointCost!$B:$B)</f>
        <v>8.3999999999999991E-2</v>
      </c>
      <c r="C2" s="72">
        <f>B2</f>
        <v>8.3999999999999991E-2</v>
      </c>
      <c r="D2" s="72">
        <f t="shared" ref="D2:K2" si="0">C2</f>
        <v>8.3999999999999991E-2</v>
      </c>
      <c r="E2" s="72">
        <f t="shared" si="0"/>
        <v>8.3999999999999991E-2</v>
      </c>
      <c r="F2" s="72">
        <f t="shared" si="0"/>
        <v>8.3999999999999991E-2</v>
      </c>
      <c r="G2" s="72">
        <f t="shared" si="0"/>
        <v>8.3999999999999991E-2</v>
      </c>
      <c r="H2" s="72">
        <f t="shared" si="0"/>
        <v>8.3999999999999991E-2</v>
      </c>
      <c r="I2" s="72">
        <f t="shared" si="0"/>
        <v>8.3999999999999991E-2</v>
      </c>
      <c r="J2" s="72">
        <f t="shared" si="0"/>
        <v>8.3999999999999991E-2</v>
      </c>
      <c r="K2" s="72">
        <f t="shared" si="0"/>
        <v>8.3999999999999991E-2</v>
      </c>
      <c r="L2" s="73">
        <f>6.5%-0.2%</f>
        <v>6.3E-2</v>
      </c>
      <c r="M2" s="72">
        <f t="shared" ref="C2:M7" si="1">L2</f>
        <v>6.3E-2</v>
      </c>
      <c r="N2" s="72">
        <f t="shared" ref="N2:N7" si="2">M2</f>
        <v>6.3E-2</v>
      </c>
      <c r="O2" s="72">
        <f t="shared" ref="O2:O7" si="3">N2</f>
        <v>6.3E-2</v>
      </c>
      <c r="P2" s="72">
        <f t="shared" ref="P2:P7" si="4">O2</f>
        <v>6.3E-2</v>
      </c>
      <c r="Q2" s="72">
        <f t="shared" ref="Q2:Q7" si="5">P2</f>
        <v>6.3E-2</v>
      </c>
      <c r="R2" s="72">
        <f t="shared" ref="R2:R7" si="6">Q2</f>
        <v>6.3E-2</v>
      </c>
      <c r="S2" s="72">
        <f t="shared" ref="S2:S7" si="7">R2</f>
        <v>6.3E-2</v>
      </c>
      <c r="T2" s="72">
        <f t="shared" ref="T2:T7" si="8">S2</f>
        <v>6.3E-2</v>
      </c>
      <c r="U2" s="72">
        <f t="shared" ref="U2:U7" si="9">T2</f>
        <v>6.3E-2</v>
      </c>
      <c r="V2" s="72">
        <f t="shared" ref="V2:V7" si="10">U2</f>
        <v>6.3E-2</v>
      </c>
      <c r="W2" s="72">
        <f t="shared" ref="W2:W7" si="11">V2</f>
        <v>6.3E-2</v>
      </c>
      <c r="X2" s="72">
        <f t="shared" ref="X2:X7" si="12">W2</f>
        <v>6.3E-2</v>
      </c>
      <c r="Y2" s="72">
        <f t="shared" ref="Y2:Y7" si="13">X2</f>
        <v>6.3E-2</v>
      </c>
      <c r="Z2" s="72">
        <f t="shared" ref="Z2:Z7" si="14">Y2</f>
        <v>6.3E-2</v>
      </c>
      <c r="AA2" s="72">
        <f t="shared" ref="AA2:AA7" si="15">Z2</f>
        <v>6.3E-2</v>
      </c>
      <c r="AB2" s="72">
        <f t="shared" ref="AB2:AB7" si="16">AA2</f>
        <v>6.3E-2</v>
      </c>
      <c r="AC2" s="72">
        <f t="shared" ref="AC2:AC7" si="17">AB2</f>
        <v>6.3E-2</v>
      </c>
      <c r="AD2" s="72">
        <f t="shared" ref="AD2:AD7" si="18">AC2</f>
        <v>6.3E-2</v>
      </c>
      <c r="AE2" s="72">
        <f t="shared" ref="AE2:AE7" si="19">AD2</f>
        <v>6.3E-2</v>
      </c>
      <c r="AF2" s="72">
        <f t="shared" ref="AF2:AF7" si="20">AE2</f>
        <v>6.3E-2</v>
      </c>
      <c r="AG2" s="72">
        <f t="shared" ref="AG2:AG7" si="21">AF2</f>
        <v>6.3E-2</v>
      </c>
      <c r="AH2" s="72">
        <f t="shared" ref="AH2:AH7" si="22">AG2</f>
        <v>6.3E-2</v>
      </c>
      <c r="AI2" s="72">
        <f t="shared" ref="AI2:AI7" si="23">AH2</f>
        <v>6.3E-2</v>
      </c>
      <c r="AJ2" s="72">
        <f t="shared" ref="AJ2:AJ7" si="24">AI2</f>
        <v>6.3E-2</v>
      </c>
      <c r="AK2" s="72">
        <f t="shared" ref="AK2:AK7" si="25">AJ2</f>
        <v>6.3E-2</v>
      </c>
      <c r="AL2" s="72">
        <f t="shared" ref="AL2:AL7" si="26">AK2</f>
        <v>6.3E-2</v>
      </c>
      <c r="AM2" s="72">
        <f t="shared" ref="AM2:AM7" si="27">AL2</f>
        <v>6.3E-2</v>
      </c>
      <c r="AN2" s="72">
        <f t="shared" ref="AN2:AN7" si="28">AM2</f>
        <v>6.3E-2</v>
      </c>
      <c r="AO2" s="72">
        <f t="shared" ref="AO2:AO7" si="29">AN2</f>
        <v>6.3E-2</v>
      </c>
      <c r="AP2" s="72">
        <f t="shared" ref="AP2:AP7" si="30">AO2</f>
        <v>6.3E-2</v>
      </c>
      <c r="AQ2" s="72">
        <f t="shared" ref="AQ2:AQ7" si="31">AP2</f>
        <v>6.3E-2</v>
      </c>
      <c r="AR2" s="72">
        <f t="shared" ref="AR2:AR7" si="32">AQ2</f>
        <v>6.3E-2</v>
      </c>
      <c r="AS2" s="72">
        <f t="shared" ref="AS2:AS7" si="33">AR2</f>
        <v>6.3E-2</v>
      </c>
      <c r="AT2" s="72">
        <f t="shared" ref="AT2:AT7" si="34">AS2</f>
        <v>6.3E-2</v>
      </c>
      <c r="AU2" s="72">
        <f t="shared" ref="AU2:AU7" si="35">AT2</f>
        <v>6.3E-2</v>
      </c>
      <c r="AV2" s="72">
        <f t="shared" ref="AV2:AV7" si="36">AU2</f>
        <v>6.3E-2</v>
      </c>
      <c r="AW2" s="72">
        <f t="shared" ref="AW2:AW7" si="37">AV2</f>
        <v>6.3E-2</v>
      </c>
      <c r="AX2" s="72">
        <f t="shared" ref="AX2:AX7" si="38">AW2</f>
        <v>6.3E-2</v>
      </c>
      <c r="AY2" s="72">
        <f t="shared" ref="AY2:AY7" si="39">AX2</f>
        <v>6.3E-2</v>
      </c>
      <c r="AZ2" s="72">
        <f t="shared" ref="AZ2:AZ7" si="40">AY2</f>
        <v>6.3E-2</v>
      </c>
    </row>
    <row r="3" spans="1:52" x14ac:dyDescent="0.2">
      <c r="A3" s="67" t="s">
        <v>101</v>
      </c>
      <c r="B3" s="72">
        <f>7%-_xlfn.XLOOKUP(A3,BasisPointCost!$A:$A,BasisPointCost!$B:$B)</f>
        <v>6.8000000000000005E-2</v>
      </c>
      <c r="C3" s="72">
        <f>B3</f>
        <v>6.8000000000000005E-2</v>
      </c>
      <c r="D3" s="72">
        <f t="shared" ref="D3:K3" si="41">C3</f>
        <v>6.8000000000000005E-2</v>
      </c>
      <c r="E3" s="72">
        <f t="shared" si="41"/>
        <v>6.8000000000000005E-2</v>
      </c>
      <c r="F3" s="72">
        <f t="shared" si="41"/>
        <v>6.8000000000000005E-2</v>
      </c>
      <c r="G3" s="72">
        <f t="shared" si="41"/>
        <v>6.8000000000000005E-2</v>
      </c>
      <c r="H3" s="72">
        <f t="shared" si="41"/>
        <v>6.8000000000000005E-2</v>
      </c>
      <c r="I3" s="72">
        <f t="shared" si="41"/>
        <v>6.8000000000000005E-2</v>
      </c>
      <c r="J3" s="72">
        <f t="shared" si="41"/>
        <v>6.8000000000000005E-2</v>
      </c>
      <c r="K3" s="72">
        <f t="shared" si="41"/>
        <v>6.8000000000000005E-2</v>
      </c>
      <c r="L3" s="73">
        <f>6.5%-0.2%</f>
        <v>6.3E-2</v>
      </c>
      <c r="M3" s="72">
        <f t="shared" si="1"/>
        <v>6.3E-2</v>
      </c>
      <c r="N3" s="72">
        <f t="shared" si="2"/>
        <v>6.3E-2</v>
      </c>
      <c r="O3" s="72">
        <f t="shared" si="3"/>
        <v>6.3E-2</v>
      </c>
      <c r="P3" s="72">
        <f t="shared" si="4"/>
        <v>6.3E-2</v>
      </c>
      <c r="Q3" s="72">
        <f t="shared" si="5"/>
        <v>6.3E-2</v>
      </c>
      <c r="R3" s="72">
        <f t="shared" si="6"/>
        <v>6.3E-2</v>
      </c>
      <c r="S3" s="72">
        <f t="shared" si="7"/>
        <v>6.3E-2</v>
      </c>
      <c r="T3" s="72">
        <f t="shared" si="8"/>
        <v>6.3E-2</v>
      </c>
      <c r="U3" s="72">
        <f t="shared" si="9"/>
        <v>6.3E-2</v>
      </c>
      <c r="V3" s="72">
        <f t="shared" si="10"/>
        <v>6.3E-2</v>
      </c>
      <c r="W3" s="72">
        <f t="shared" si="11"/>
        <v>6.3E-2</v>
      </c>
      <c r="X3" s="72">
        <f t="shared" si="12"/>
        <v>6.3E-2</v>
      </c>
      <c r="Y3" s="72">
        <f t="shared" si="13"/>
        <v>6.3E-2</v>
      </c>
      <c r="Z3" s="72">
        <f t="shared" si="14"/>
        <v>6.3E-2</v>
      </c>
      <c r="AA3" s="72">
        <f t="shared" si="15"/>
        <v>6.3E-2</v>
      </c>
      <c r="AB3" s="72">
        <f t="shared" si="16"/>
        <v>6.3E-2</v>
      </c>
      <c r="AC3" s="72">
        <f t="shared" si="17"/>
        <v>6.3E-2</v>
      </c>
      <c r="AD3" s="72">
        <f t="shared" si="18"/>
        <v>6.3E-2</v>
      </c>
      <c r="AE3" s="72">
        <f t="shared" si="19"/>
        <v>6.3E-2</v>
      </c>
      <c r="AF3" s="72">
        <f t="shared" si="20"/>
        <v>6.3E-2</v>
      </c>
      <c r="AG3" s="72">
        <f t="shared" si="21"/>
        <v>6.3E-2</v>
      </c>
      <c r="AH3" s="72">
        <f t="shared" si="22"/>
        <v>6.3E-2</v>
      </c>
      <c r="AI3" s="72">
        <f t="shared" si="23"/>
        <v>6.3E-2</v>
      </c>
      <c r="AJ3" s="72">
        <f t="shared" si="24"/>
        <v>6.3E-2</v>
      </c>
      <c r="AK3" s="72">
        <f t="shared" si="25"/>
        <v>6.3E-2</v>
      </c>
      <c r="AL3" s="72">
        <f t="shared" si="26"/>
        <v>6.3E-2</v>
      </c>
      <c r="AM3" s="72">
        <f t="shared" si="27"/>
        <v>6.3E-2</v>
      </c>
      <c r="AN3" s="72">
        <f t="shared" si="28"/>
        <v>6.3E-2</v>
      </c>
      <c r="AO3" s="72">
        <f t="shared" si="29"/>
        <v>6.3E-2</v>
      </c>
      <c r="AP3" s="72">
        <f t="shared" si="30"/>
        <v>6.3E-2</v>
      </c>
      <c r="AQ3" s="72">
        <f t="shared" si="31"/>
        <v>6.3E-2</v>
      </c>
      <c r="AR3" s="72">
        <f t="shared" si="32"/>
        <v>6.3E-2</v>
      </c>
      <c r="AS3" s="72">
        <f t="shared" si="33"/>
        <v>6.3E-2</v>
      </c>
      <c r="AT3" s="72">
        <f t="shared" si="34"/>
        <v>6.3E-2</v>
      </c>
      <c r="AU3" s="72">
        <f t="shared" si="35"/>
        <v>6.3E-2</v>
      </c>
      <c r="AV3" s="72">
        <f t="shared" si="36"/>
        <v>6.3E-2</v>
      </c>
      <c r="AW3" s="72">
        <f t="shared" si="37"/>
        <v>6.3E-2</v>
      </c>
      <c r="AX3" s="72">
        <f t="shared" si="38"/>
        <v>6.3E-2</v>
      </c>
      <c r="AY3" s="72">
        <f t="shared" si="39"/>
        <v>6.3E-2</v>
      </c>
      <c r="AZ3" s="72">
        <f t="shared" si="40"/>
        <v>6.3E-2</v>
      </c>
    </row>
    <row r="4" spans="1:52" x14ac:dyDescent="0.2">
      <c r="A4" s="67" t="s">
        <v>155</v>
      </c>
      <c r="B4" s="72">
        <f>4.9%-_xlfn.XLOOKUP(A4,BasisPointCost!$A:$A,BasisPointCost!$B:$B)</f>
        <v>4.8300000000000003E-2</v>
      </c>
      <c r="C4" s="72">
        <f t="shared" si="1"/>
        <v>4.8300000000000003E-2</v>
      </c>
      <c r="D4" s="72">
        <f t="shared" si="1"/>
        <v>4.8300000000000003E-2</v>
      </c>
      <c r="E4" s="72">
        <f t="shared" si="1"/>
        <v>4.8300000000000003E-2</v>
      </c>
      <c r="F4" s="72">
        <f t="shared" si="1"/>
        <v>4.8300000000000003E-2</v>
      </c>
      <c r="G4" s="72">
        <f t="shared" si="1"/>
        <v>4.8300000000000003E-2</v>
      </c>
      <c r="H4" s="72">
        <f t="shared" si="1"/>
        <v>4.8300000000000003E-2</v>
      </c>
      <c r="I4" s="72">
        <f t="shared" si="1"/>
        <v>4.8300000000000003E-2</v>
      </c>
      <c r="J4" s="72">
        <f t="shared" si="1"/>
        <v>4.8300000000000003E-2</v>
      </c>
      <c r="K4" s="72">
        <f t="shared" si="1"/>
        <v>4.8300000000000003E-2</v>
      </c>
      <c r="L4" s="73">
        <f>3.5%-0.07%</f>
        <v>3.4300000000000004E-2</v>
      </c>
      <c r="M4" s="72">
        <f t="shared" si="1"/>
        <v>3.4300000000000004E-2</v>
      </c>
      <c r="N4" s="72">
        <f t="shared" si="2"/>
        <v>3.4300000000000004E-2</v>
      </c>
      <c r="O4" s="72">
        <f t="shared" si="3"/>
        <v>3.4300000000000004E-2</v>
      </c>
      <c r="P4" s="72">
        <f t="shared" si="4"/>
        <v>3.4300000000000004E-2</v>
      </c>
      <c r="Q4" s="72">
        <f t="shared" si="5"/>
        <v>3.4300000000000004E-2</v>
      </c>
      <c r="R4" s="72">
        <f t="shared" si="6"/>
        <v>3.4300000000000004E-2</v>
      </c>
      <c r="S4" s="72">
        <f t="shared" si="7"/>
        <v>3.4300000000000004E-2</v>
      </c>
      <c r="T4" s="72">
        <f t="shared" si="8"/>
        <v>3.4300000000000004E-2</v>
      </c>
      <c r="U4" s="72">
        <f t="shared" si="9"/>
        <v>3.4300000000000004E-2</v>
      </c>
      <c r="V4" s="72">
        <f t="shared" si="10"/>
        <v>3.4300000000000004E-2</v>
      </c>
      <c r="W4" s="72">
        <f t="shared" si="11"/>
        <v>3.4300000000000004E-2</v>
      </c>
      <c r="X4" s="72">
        <f t="shared" si="12"/>
        <v>3.4300000000000004E-2</v>
      </c>
      <c r="Y4" s="72">
        <f t="shared" si="13"/>
        <v>3.4300000000000004E-2</v>
      </c>
      <c r="Z4" s="72">
        <f t="shared" si="14"/>
        <v>3.4300000000000004E-2</v>
      </c>
      <c r="AA4" s="72">
        <f t="shared" si="15"/>
        <v>3.4300000000000004E-2</v>
      </c>
      <c r="AB4" s="72">
        <f t="shared" si="16"/>
        <v>3.4300000000000004E-2</v>
      </c>
      <c r="AC4" s="72">
        <f t="shared" si="17"/>
        <v>3.4300000000000004E-2</v>
      </c>
      <c r="AD4" s="72">
        <f t="shared" si="18"/>
        <v>3.4300000000000004E-2</v>
      </c>
      <c r="AE4" s="72">
        <f t="shared" si="19"/>
        <v>3.4300000000000004E-2</v>
      </c>
      <c r="AF4" s="72">
        <f t="shared" si="20"/>
        <v>3.4300000000000004E-2</v>
      </c>
      <c r="AG4" s="72">
        <f t="shared" si="21"/>
        <v>3.4300000000000004E-2</v>
      </c>
      <c r="AH4" s="72">
        <f t="shared" si="22"/>
        <v>3.4300000000000004E-2</v>
      </c>
      <c r="AI4" s="72">
        <f t="shared" si="23"/>
        <v>3.4300000000000004E-2</v>
      </c>
      <c r="AJ4" s="72">
        <f t="shared" si="24"/>
        <v>3.4300000000000004E-2</v>
      </c>
      <c r="AK4" s="72">
        <f t="shared" si="25"/>
        <v>3.4300000000000004E-2</v>
      </c>
      <c r="AL4" s="72">
        <f t="shared" si="26"/>
        <v>3.4300000000000004E-2</v>
      </c>
      <c r="AM4" s="72">
        <f t="shared" si="27"/>
        <v>3.4300000000000004E-2</v>
      </c>
      <c r="AN4" s="72">
        <f t="shared" si="28"/>
        <v>3.4300000000000004E-2</v>
      </c>
      <c r="AO4" s="72">
        <f t="shared" si="29"/>
        <v>3.4300000000000004E-2</v>
      </c>
      <c r="AP4" s="72">
        <f t="shared" si="30"/>
        <v>3.4300000000000004E-2</v>
      </c>
      <c r="AQ4" s="72">
        <f t="shared" si="31"/>
        <v>3.4300000000000004E-2</v>
      </c>
      <c r="AR4" s="72">
        <f t="shared" si="32"/>
        <v>3.4300000000000004E-2</v>
      </c>
      <c r="AS4" s="72">
        <f t="shared" si="33"/>
        <v>3.4300000000000004E-2</v>
      </c>
      <c r="AT4" s="72">
        <f t="shared" si="34"/>
        <v>3.4300000000000004E-2</v>
      </c>
      <c r="AU4" s="72">
        <f t="shared" si="35"/>
        <v>3.4300000000000004E-2</v>
      </c>
      <c r="AV4" s="72">
        <f t="shared" si="36"/>
        <v>3.4300000000000004E-2</v>
      </c>
      <c r="AW4" s="72">
        <f t="shared" si="37"/>
        <v>3.4300000000000004E-2</v>
      </c>
      <c r="AX4" s="72">
        <f t="shared" si="38"/>
        <v>3.4300000000000004E-2</v>
      </c>
      <c r="AY4" s="72">
        <f t="shared" si="39"/>
        <v>3.4300000000000004E-2</v>
      </c>
      <c r="AZ4" s="72">
        <f t="shared" si="40"/>
        <v>3.4300000000000004E-2</v>
      </c>
    </row>
    <row r="5" spans="1:52" x14ac:dyDescent="0.2">
      <c r="A5" s="67" t="s">
        <v>154</v>
      </c>
      <c r="B5" s="72">
        <f>5%-_xlfn.XLOOKUP(A5,BasisPointCost!$A:$A,BasisPointCost!$B:$B)</f>
        <v>4.9300000000000004E-2</v>
      </c>
      <c r="C5" s="72">
        <f t="shared" si="1"/>
        <v>4.9300000000000004E-2</v>
      </c>
      <c r="D5" s="72">
        <f t="shared" si="1"/>
        <v>4.9300000000000004E-2</v>
      </c>
      <c r="E5" s="72">
        <f t="shared" si="1"/>
        <v>4.9300000000000004E-2</v>
      </c>
      <c r="F5" s="72">
        <f t="shared" si="1"/>
        <v>4.9300000000000004E-2</v>
      </c>
      <c r="G5" s="72">
        <f t="shared" si="1"/>
        <v>4.9300000000000004E-2</v>
      </c>
      <c r="H5" s="72">
        <f t="shared" si="1"/>
        <v>4.9300000000000004E-2</v>
      </c>
      <c r="I5" s="72">
        <f t="shared" si="1"/>
        <v>4.9300000000000004E-2</v>
      </c>
      <c r="J5" s="72">
        <f t="shared" si="1"/>
        <v>4.9300000000000004E-2</v>
      </c>
      <c r="K5" s="72">
        <f t="shared" si="1"/>
        <v>4.9300000000000004E-2</v>
      </c>
      <c r="L5" s="73">
        <f>3.5%-0.07%</f>
        <v>3.4300000000000004E-2</v>
      </c>
      <c r="M5" s="72">
        <f t="shared" si="1"/>
        <v>3.4300000000000004E-2</v>
      </c>
      <c r="N5" s="72">
        <f t="shared" si="2"/>
        <v>3.4300000000000004E-2</v>
      </c>
      <c r="O5" s="72">
        <f t="shared" si="3"/>
        <v>3.4300000000000004E-2</v>
      </c>
      <c r="P5" s="72">
        <f t="shared" si="4"/>
        <v>3.4300000000000004E-2</v>
      </c>
      <c r="Q5" s="72">
        <f t="shared" si="5"/>
        <v>3.4300000000000004E-2</v>
      </c>
      <c r="R5" s="72">
        <f t="shared" si="6"/>
        <v>3.4300000000000004E-2</v>
      </c>
      <c r="S5" s="72">
        <f t="shared" si="7"/>
        <v>3.4300000000000004E-2</v>
      </c>
      <c r="T5" s="72">
        <f t="shared" si="8"/>
        <v>3.4300000000000004E-2</v>
      </c>
      <c r="U5" s="72">
        <f t="shared" si="9"/>
        <v>3.4300000000000004E-2</v>
      </c>
      <c r="V5" s="72">
        <f t="shared" si="10"/>
        <v>3.4300000000000004E-2</v>
      </c>
      <c r="W5" s="72">
        <f t="shared" si="11"/>
        <v>3.4300000000000004E-2</v>
      </c>
      <c r="X5" s="72">
        <f t="shared" si="12"/>
        <v>3.4300000000000004E-2</v>
      </c>
      <c r="Y5" s="72">
        <f t="shared" si="13"/>
        <v>3.4300000000000004E-2</v>
      </c>
      <c r="Z5" s="72">
        <f t="shared" si="14"/>
        <v>3.4300000000000004E-2</v>
      </c>
      <c r="AA5" s="72">
        <f t="shared" si="15"/>
        <v>3.4300000000000004E-2</v>
      </c>
      <c r="AB5" s="72">
        <f t="shared" si="16"/>
        <v>3.4300000000000004E-2</v>
      </c>
      <c r="AC5" s="72">
        <f t="shared" si="17"/>
        <v>3.4300000000000004E-2</v>
      </c>
      <c r="AD5" s="72">
        <f t="shared" si="18"/>
        <v>3.4300000000000004E-2</v>
      </c>
      <c r="AE5" s="72">
        <f t="shared" si="19"/>
        <v>3.4300000000000004E-2</v>
      </c>
      <c r="AF5" s="72">
        <f t="shared" si="20"/>
        <v>3.4300000000000004E-2</v>
      </c>
      <c r="AG5" s="72">
        <f t="shared" si="21"/>
        <v>3.4300000000000004E-2</v>
      </c>
      <c r="AH5" s="72">
        <f t="shared" si="22"/>
        <v>3.4300000000000004E-2</v>
      </c>
      <c r="AI5" s="72">
        <f t="shared" si="23"/>
        <v>3.4300000000000004E-2</v>
      </c>
      <c r="AJ5" s="72">
        <f t="shared" si="24"/>
        <v>3.4300000000000004E-2</v>
      </c>
      <c r="AK5" s="72">
        <f t="shared" si="25"/>
        <v>3.4300000000000004E-2</v>
      </c>
      <c r="AL5" s="72">
        <f t="shared" si="26"/>
        <v>3.4300000000000004E-2</v>
      </c>
      <c r="AM5" s="72">
        <f t="shared" si="27"/>
        <v>3.4300000000000004E-2</v>
      </c>
      <c r="AN5" s="72">
        <f t="shared" si="28"/>
        <v>3.4300000000000004E-2</v>
      </c>
      <c r="AO5" s="72">
        <f t="shared" si="29"/>
        <v>3.4300000000000004E-2</v>
      </c>
      <c r="AP5" s="72">
        <f t="shared" si="30"/>
        <v>3.4300000000000004E-2</v>
      </c>
      <c r="AQ5" s="72">
        <f t="shared" si="31"/>
        <v>3.4300000000000004E-2</v>
      </c>
      <c r="AR5" s="72">
        <f t="shared" si="32"/>
        <v>3.4300000000000004E-2</v>
      </c>
      <c r="AS5" s="72">
        <f t="shared" si="33"/>
        <v>3.4300000000000004E-2</v>
      </c>
      <c r="AT5" s="72">
        <f t="shared" si="34"/>
        <v>3.4300000000000004E-2</v>
      </c>
      <c r="AU5" s="72">
        <f t="shared" si="35"/>
        <v>3.4300000000000004E-2</v>
      </c>
      <c r="AV5" s="72">
        <f t="shared" si="36"/>
        <v>3.4300000000000004E-2</v>
      </c>
      <c r="AW5" s="72">
        <f t="shared" si="37"/>
        <v>3.4300000000000004E-2</v>
      </c>
      <c r="AX5" s="72">
        <f t="shared" si="38"/>
        <v>3.4300000000000004E-2</v>
      </c>
      <c r="AY5" s="72">
        <f t="shared" si="39"/>
        <v>3.4300000000000004E-2</v>
      </c>
      <c r="AZ5" s="72">
        <f t="shared" si="40"/>
        <v>3.4300000000000004E-2</v>
      </c>
    </row>
    <row r="6" spans="1:52" x14ac:dyDescent="0.2">
      <c r="A6" s="67" t="s">
        <v>153</v>
      </c>
      <c r="B6" s="72">
        <f>3.7%-_xlfn.XLOOKUP(A6,BasisPointCost!$A:$A,BasisPointCost!$B:$B)</f>
        <v>3.6300000000000006E-2</v>
      </c>
      <c r="C6" s="72">
        <f t="shared" si="1"/>
        <v>3.6300000000000006E-2</v>
      </c>
      <c r="D6" s="72">
        <f t="shared" si="1"/>
        <v>3.6300000000000006E-2</v>
      </c>
      <c r="E6" s="72">
        <f t="shared" si="1"/>
        <v>3.6300000000000006E-2</v>
      </c>
      <c r="F6" s="72">
        <f t="shared" si="1"/>
        <v>3.6300000000000006E-2</v>
      </c>
      <c r="G6" s="72">
        <f t="shared" si="1"/>
        <v>3.6300000000000006E-2</v>
      </c>
      <c r="H6" s="72">
        <f t="shared" si="1"/>
        <v>3.6300000000000006E-2</v>
      </c>
      <c r="I6" s="72">
        <f t="shared" si="1"/>
        <v>3.6300000000000006E-2</v>
      </c>
      <c r="J6" s="72">
        <f t="shared" si="1"/>
        <v>3.6300000000000006E-2</v>
      </c>
      <c r="K6" s="72">
        <f t="shared" si="1"/>
        <v>3.6300000000000006E-2</v>
      </c>
      <c r="L6" s="73">
        <f>3.5%-0.07%</f>
        <v>3.4300000000000004E-2</v>
      </c>
      <c r="M6" s="72">
        <f t="shared" si="1"/>
        <v>3.4300000000000004E-2</v>
      </c>
      <c r="N6" s="72">
        <f t="shared" si="2"/>
        <v>3.4300000000000004E-2</v>
      </c>
      <c r="O6" s="72">
        <f t="shared" si="3"/>
        <v>3.4300000000000004E-2</v>
      </c>
      <c r="P6" s="72">
        <f t="shared" si="4"/>
        <v>3.4300000000000004E-2</v>
      </c>
      <c r="Q6" s="72">
        <f t="shared" si="5"/>
        <v>3.4300000000000004E-2</v>
      </c>
      <c r="R6" s="72">
        <f t="shared" si="6"/>
        <v>3.4300000000000004E-2</v>
      </c>
      <c r="S6" s="72">
        <f t="shared" si="7"/>
        <v>3.4300000000000004E-2</v>
      </c>
      <c r="T6" s="72">
        <f t="shared" si="8"/>
        <v>3.4300000000000004E-2</v>
      </c>
      <c r="U6" s="72">
        <f t="shared" si="9"/>
        <v>3.4300000000000004E-2</v>
      </c>
      <c r="V6" s="72">
        <f t="shared" si="10"/>
        <v>3.4300000000000004E-2</v>
      </c>
      <c r="W6" s="72">
        <f t="shared" si="11"/>
        <v>3.4300000000000004E-2</v>
      </c>
      <c r="X6" s="72">
        <f t="shared" si="12"/>
        <v>3.4300000000000004E-2</v>
      </c>
      <c r="Y6" s="72">
        <f t="shared" si="13"/>
        <v>3.4300000000000004E-2</v>
      </c>
      <c r="Z6" s="72">
        <f t="shared" si="14"/>
        <v>3.4300000000000004E-2</v>
      </c>
      <c r="AA6" s="72">
        <f t="shared" si="15"/>
        <v>3.4300000000000004E-2</v>
      </c>
      <c r="AB6" s="72">
        <f t="shared" si="16"/>
        <v>3.4300000000000004E-2</v>
      </c>
      <c r="AC6" s="72">
        <f t="shared" si="17"/>
        <v>3.4300000000000004E-2</v>
      </c>
      <c r="AD6" s="72">
        <f t="shared" si="18"/>
        <v>3.4300000000000004E-2</v>
      </c>
      <c r="AE6" s="72">
        <f t="shared" si="19"/>
        <v>3.4300000000000004E-2</v>
      </c>
      <c r="AF6" s="72">
        <f t="shared" si="20"/>
        <v>3.4300000000000004E-2</v>
      </c>
      <c r="AG6" s="72">
        <f t="shared" si="21"/>
        <v>3.4300000000000004E-2</v>
      </c>
      <c r="AH6" s="72">
        <f t="shared" si="22"/>
        <v>3.4300000000000004E-2</v>
      </c>
      <c r="AI6" s="72">
        <f t="shared" si="23"/>
        <v>3.4300000000000004E-2</v>
      </c>
      <c r="AJ6" s="72">
        <f t="shared" si="24"/>
        <v>3.4300000000000004E-2</v>
      </c>
      <c r="AK6" s="72">
        <f t="shared" si="25"/>
        <v>3.4300000000000004E-2</v>
      </c>
      <c r="AL6" s="72">
        <f t="shared" si="26"/>
        <v>3.4300000000000004E-2</v>
      </c>
      <c r="AM6" s="72">
        <f t="shared" si="27"/>
        <v>3.4300000000000004E-2</v>
      </c>
      <c r="AN6" s="72">
        <f t="shared" si="28"/>
        <v>3.4300000000000004E-2</v>
      </c>
      <c r="AO6" s="72">
        <f t="shared" si="29"/>
        <v>3.4300000000000004E-2</v>
      </c>
      <c r="AP6" s="72">
        <f t="shared" si="30"/>
        <v>3.4300000000000004E-2</v>
      </c>
      <c r="AQ6" s="72">
        <f t="shared" si="31"/>
        <v>3.4300000000000004E-2</v>
      </c>
      <c r="AR6" s="72">
        <f t="shared" si="32"/>
        <v>3.4300000000000004E-2</v>
      </c>
      <c r="AS6" s="72">
        <f t="shared" si="33"/>
        <v>3.4300000000000004E-2</v>
      </c>
      <c r="AT6" s="72">
        <f t="shared" si="34"/>
        <v>3.4300000000000004E-2</v>
      </c>
      <c r="AU6" s="72">
        <f t="shared" si="35"/>
        <v>3.4300000000000004E-2</v>
      </c>
      <c r="AV6" s="72">
        <f t="shared" si="36"/>
        <v>3.4300000000000004E-2</v>
      </c>
      <c r="AW6" s="72">
        <f t="shared" si="37"/>
        <v>3.4300000000000004E-2</v>
      </c>
      <c r="AX6" s="72">
        <f t="shared" si="38"/>
        <v>3.4300000000000004E-2</v>
      </c>
      <c r="AY6" s="72">
        <f t="shared" si="39"/>
        <v>3.4300000000000004E-2</v>
      </c>
      <c r="AZ6" s="72">
        <f t="shared" si="40"/>
        <v>3.4300000000000004E-2</v>
      </c>
    </row>
    <row r="7" spans="1:52" x14ac:dyDescent="0.2">
      <c r="A7" s="67" t="s">
        <v>152</v>
      </c>
      <c r="B7" s="72">
        <f>2.9%-_xlfn.XLOOKUP($A7,BasisPointCost!$A:$A,BasisPointCost!$B:$B)</f>
        <v>2.8299999999999999E-2</v>
      </c>
      <c r="C7" s="72">
        <f t="shared" si="1"/>
        <v>2.8299999999999999E-2</v>
      </c>
      <c r="D7" s="72">
        <f t="shared" si="1"/>
        <v>2.8299999999999999E-2</v>
      </c>
      <c r="E7" s="72">
        <f t="shared" si="1"/>
        <v>2.8299999999999999E-2</v>
      </c>
      <c r="F7" s="72">
        <f t="shared" si="1"/>
        <v>2.8299999999999999E-2</v>
      </c>
      <c r="G7" s="72">
        <f t="shared" si="1"/>
        <v>2.8299999999999999E-2</v>
      </c>
      <c r="H7" s="72">
        <f t="shared" si="1"/>
        <v>2.8299999999999999E-2</v>
      </c>
      <c r="I7" s="72">
        <f t="shared" si="1"/>
        <v>2.8299999999999999E-2</v>
      </c>
      <c r="J7" s="72">
        <f t="shared" si="1"/>
        <v>2.8299999999999999E-2</v>
      </c>
      <c r="K7" s="72">
        <f t="shared" si="1"/>
        <v>2.8299999999999999E-2</v>
      </c>
      <c r="L7" s="73">
        <f>3.5%-0.07%</f>
        <v>3.4300000000000004E-2</v>
      </c>
      <c r="M7" s="72">
        <f t="shared" si="1"/>
        <v>3.4300000000000004E-2</v>
      </c>
      <c r="N7" s="72">
        <f t="shared" si="2"/>
        <v>3.4300000000000004E-2</v>
      </c>
      <c r="O7" s="72">
        <f t="shared" si="3"/>
        <v>3.4300000000000004E-2</v>
      </c>
      <c r="P7" s="72">
        <f t="shared" si="4"/>
        <v>3.4300000000000004E-2</v>
      </c>
      <c r="Q7" s="72">
        <f t="shared" si="5"/>
        <v>3.4300000000000004E-2</v>
      </c>
      <c r="R7" s="72">
        <f t="shared" si="6"/>
        <v>3.4300000000000004E-2</v>
      </c>
      <c r="S7" s="72">
        <f t="shared" si="7"/>
        <v>3.4300000000000004E-2</v>
      </c>
      <c r="T7" s="72">
        <f t="shared" si="8"/>
        <v>3.4300000000000004E-2</v>
      </c>
      <c r="U7" s="72">
        <f t="shared" si="9"/>
        <v>3.4300000000000004E-2</v>
      </c>
      <c r="V7" s="72">
        <f t="shared" si="10"/>
        <v>3.4300000000000004E-2</v>
      </c>
      <c r="W7" s="72">
        <f t="shared" si="11"/>
        <v>3.4300000000000004E-2</v>
      </c>
      <c r="X7" s="72">
        <f t="shared" si="12"/>
        <v>3.4300000000000004E-2</v>
      </c>
      <c r="Y7" s="72">
        <f t="shared" si="13"/>
        <v>3.4300000000000004E-2</v>
      </c>
      <c r="Z7" s="72">
        <f t="shared" si="14"/>
        <v>3.4300000000000004E-2</v>
      </c>
      <c r="AA7" s="72">
        <f t="shared" si="15"/>
        <v>3.4300000000000004E-2</v>
      </c>
      <c r="AB7" s="72">
        <f t="shared" si="16"/>
        <v>3.4300000000000004E-2</v>
      </c>
      <c r="AC7" s="72">
        <f t="shared" si="17"/>
        <v>3.4300000000000004E-2</v>
      </c>
      <c r="AD7" s="72">
        <f t="shared" si="18"/>
        <v>3.4300000000000004E-2</v>
      </c>
      <c r="AE7" s="72">
        <f t="shared" si="19"/>
        <v>3.4300000000000004E-2</v>
      </c>
      <c r="AF7" s="72">
        <f t="shared" si="20"/>
        <v>3.4300000000000004E-2</v>
      </c>
      <c r="AG7" s="72">
        <f t="shared" si="21"/>
        <v>3.4300000000000004E-2</v>
      </c>
      <c r="AH7" s="72">
        <f t="shared" si="22"/>
        <v>3.4300000000000004E-2</v>
      </c>
      <c r="AI7" s="72">
        <f t="shared" si="23"/>
        <v>3.4300000000000004E-2</v>
      </c>
      <c r="AJ7" s="72">
        <f t="shared" si="24"/>
        <v>3.4300000000000004E-2</v>
      </c>
      <c r="AK7" s="72">
        <f t="shared" si="25"/>
        <v>3.4300000000000004E-2</v>
      </c>
      <c r="AL7" s="72">
        <f t="shared" si="26"/>
        <v>3.4300000000000004E-2</v>
      </c>
      <c r="AM7" s="72">
        <f t="shared" si="27"/>
        <v>3.4300000000000004E-2</v>
      </c>
      <c r="AN7" s="72">
        <f t="shared" si="28"/>
        <v>3.4300000000000004E-2</v>
      </c>
      <c r="AO7" s="72">
        <f t="shared" si="29"/>
        <v>3.4300000000000004E-2</v>
      </c>
      <c r="AP7" s="72">
        <f t="shared" si="30"/>
        <v>3.4300000000000004E-2</v>
      </c>
      <c r="AQ7" s="72">
        <f t="shared" si="31"/>
        <v>3.4300000000000004E-2</v>
      </c>
      <c r="AR7" s="72">
        <f t="shared" si="32"/>
        <v>3.4300000000000004E-2</v>
      </c>
      <c r="AS7" s="72">
        <f t="shared" si="33"/>
        <v>3.4300000000000004E-2</v>
      </c>
      <c r="AT7" s="72">
        <f t="shared" si="34"/>
        <v>3.4300000000000004E-2</v>
      </c>
      <c r="AU7" s="72">
        <f t="shared" si="35"/>
        <v>3.4300000000000004E-2</v>
      </c>
      <c r="AV7" s="72">
        <f t="shared" si="36"/>
        <v>3.4300000000000004E-2</v>
      </c>
      <c r="AW7" s="72">
        <f t="shared" si="37"/>
        <v>3.4300000000000004E-2</v>
      </c>
      <c r="AX7" s="72">
        <f t="shared" si="38"/>
        <v>3.4300000000000004E-2</v>
      </c>
      <c r="AY7" s="72">
        <f t="shared" si="39"/>
        <v>3.4300000000000004E-2</v>
      </c>
      <c r="AZ7" s="72">
        <f t="shared" si="40"/>
        <v>3.4300000000000004E-2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baseColWidth="10" defaultColWidth="8.83203125" defaultRowHeight="15" x14ac:dyDescent="0.2"/>
  <cols>
    <col min="1" max="1" width="35" bestFit="1" customWidth="1"/>
    <col min="2" max="2" width="15.33203125" bestFit="1" customWidth="1"/>
  </cols>
  <sheetData>
    <row r="1" spans="1:3" x14ac:dyDescent="0.2">
      <c r="A1" t="s">
        <v>158</v>
      </c>
      <c r="B1" t="s">
        <v>159</v>
      </c>
      <c r="C1" t="s">
        <v>160</v>
      </c>
    </row>
    <row r="2" spans="1:3" x14ac:dyDescent="0.2">
      <c r="A2" t="s">
        <v>100</v>
      </c>
      <c r="B2" s="21">
        <f>0.2%</f>
        <v>2E-3</v>
      </c>
    </row>
    <row r="3" spans="1:3" x14ac:dyDescent="0.2">
      <c r="A3" t="s">
        <v>101</v>
      </c>
      <c r="B3" s="21">
        <f>0.2%</f>
        <v>2E-3</v>
      </c>
    </row>
    <row r="4" spans="1:3" x14ac:dyDescent="0.2">
      <c r="A4" t="s">
        <v>155</v>
      </c>
      <c r="B4" s="21">
        <f>0.07%</f>
        <v>7.000000000000001E-4</v>
      </c>
    </row>
    <row r="5" spans="1:3" x14ac:dyDescent="0.2">
      <c r="A5" t="s">
        <v>154</v>
      </c>
      <c r="B5" s="21">
        <f>0.07%</f>
        <v>7.000000000000001E-4</v>
      </c>
    </row>
    <row r="6" spans="1:3" x14ac:dyDescent="0.2">
      <c r="A6" t="s">
        <v>153</v>
      </c>
      <c r="B6" s="21">
        <f>0.07%</f>
        <v>7.000000000000001E-4</v>
      </c>
    </row>
    <row r="7" spans="1:3" x14ac:dyDescent="0.2">
      <c r="A7" t="s">
        <v>152</v>
      </c>
      <c r="B7" s="21">
        <f>0.07%</f>
        <v>7.000000000000001E-4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42" x14ac:dyDescent="0.2">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s="19" t="s">
        <v>157</v>
      </c>
    </row>
    <row r="2" spans="1:42" x14ac:dyDescent="0.2">
      <c r="A2" t="s">
        <v>161</v>
      </c>
      <c r="B2" s="22">
        <f>6.5%-0.2%</f>
        <v>6.3E-2</v>
      </c>
      <c r="C2" s="22">
        <f>B2</f>
        <v>6.3E-2</v>
      </c>
      <c r="D2" s="22">
        <f t="shared" ref="D2:S3" si="0">C2</f>
        <v>6.3E-2</v>
      </c>
      <c r="E2" s="22">
        <f t="shared" si="0"/>
        <v>6.3E-2</v>
      </c>
      <c r="F2" s="22">
        <f t="shared" si="0"/>
        <v>6.3E-2</v>
      </c>
      <c r="G2" s="22">
        <f t="shared" si="0"/>
        <v>6.3E-2</v>
      </c>
      <c r="H2" s="22">
        <f t="shared" si="0"/>
        <v>6.3E-2</v>
      </c>
      <c r="I2" s="22">
        <f t="shared" si="0"/>
        <v>6.3E-2</v>
      </c>
      <c r="J2" s="22">
        <f t="shared" si="0"/>
        <v>6.3E-2</v>
      </c>
      <c r="K2" s="22">
        <f t="shared" si="0"/>
        <v>6.3E-2</v>
      </c>
      <c r="L2" s="22">
        <f t="shared" si="0"/>
        <v>6.3E-2</v>
      </c>
      <c r="M2" s="22">
        <f t="shared" si="0"/>
        <v>6.3E-2</v>
      </c>
      <c r="N2" s="22">
        <f t="shared" si="0"/>
        <v>6.3E-2</v>
      </c>
      <c r="O2" s="22">
        <f t="shared" si="0"/>
        <v>6.3E-2</v>
      </c>
      <c r="P2" s="22">
        <f t="shared" si="0"/>
        <v>6.3E-2</v>
      </c>
      <c r="Q2" s="22">
        <f t="shared" si="0"/>
        <v>6.3E-2</v>
      </c>
      <c r="R2" s="22">
        <f t="shared" si="0"/>
        <v>6.3E-2</v>
      </c>
      <c r="S2" s="22">
        <f t="shared" si="0"/>
        <v>6.3E-2</v>
      </c>
      <c r="T2" s="22">
        <f t="shared" ref="T2:AO3" si="1">S2</f>
        <v>6.3E-2</v>
      </c>
      <c r="U2" s="22">
        <f t="shared" si="1"/>
        <v>6.3E-2</v>
      </c>
      <c r="V2" s="22">
        <f t="shared" si="1"/>
        <v>6.3E-2</v>
      </c>
      <c r="W2" s="22">
        <f t="shared" si="1"/>
        <v>6.3E-2</v>
      </c>
      <c r="X2" s="22">
        <f t="shared" si="1"/>
        <v>6.3E-2</v>
      </c>
      <c r="Y2" s="22">
        <f t="shared" si="1"/>
        <v>6.3E-2</v>
      </c>
      <c r="Z2" s="22">
        <f t="shared" si="1"/>
        <v>6.3E-2</v>
      </c>
      <c r="AA2" s="22">
        <f t="shared" si="1"/>
        <v>6.3E-2</v>
      </c>
      <c r="AB2" s="22">
        <f t="shared" si="1"/>
        <v>6.3E-2</v>
      </c>
      <c r="AC2" s="22">
        <f t="shared" si="1"/>
        <v>6.3E-2</v>
      </c>
      <c r="AD2" s="22">
        <f t="shared" si="1"/>
        <v>6.3E-2</v>
      </c>
      <c r="AE2" s="22">
        <f t="shared" si="1"/>
        <v>6.3E-2</v>
      </c>
      <c r="AF2" s="22">
        <f t="shared" si="1"/>
        <v>6.3E-2</v>
      </c>
      <c r="AG2" s="22">
        <f t="shared" si="1"/>
        <v>6.3E-2</v>
      </c>
      <c r="AH2" s="22">
        <f t="shared" si="1"/>
        <v>6.3E-2</v>
      </c>
      <c r="AI2" s="22">
        <f t="shared" si="1"/>
        <v>6.3E-2</v>
      </c>
      <c r="AJ2" s="22">
        <f t="shared" si="1"/>
        <v>6.3E-2</v>
      </c>
      <c r="AK2" s="22">
        <f t="shared" si="1"/>
        <v>6.3E-2</v>
      </c>
      <c r="AL2" s="22">
        <f t="shared" si="1"/>
        <v>6.3E-2</v>
      </c>
      <c r="AM2" s="22">
        <f t="shared" si="1"/>
        <v>6.3E-2</v>
      </c>
      <c r="AN2" s="22">
        <f t="shared" si="1"/>
        <v>6.3E-2</v>
      </c>
      <c r="AO2" s="22">
        <f t="shared" si="1"/>
        <v>6.3E-2</v>
      </c>
      <c r="AP2" s="22">
        <f t="shared" ref="AP2" si="2">AO2</f>
        <v>6.3E-2</v>
      </c>
    </row>
    <row r="3" spans="1:42" x14ac:dyDescent="0.2">
      <c r="A3" t="s">
        <v>162</v>
      </c>
      <c r="B3" s="22">
        <f>3.5%-0.07%</f>
        <v>3.4300000000000004E-2</v>
      </c>
      <c r="C3" s="22">
        <f>B3</f>
        <v>3.4300000000000004E-2</v>
      </c>
      <c r="D3" s="22">
        <f t="shared" si="0"/>
        <v>3.4300000000000004E-2</v>
      </c>
      <c r="E3" s="22">
        <f t="shared" si="0"/>
        <v>3.4300000000000004E-2</v>
      </c>
      <c r="F3" s="22">
        <f t="shared" si="0"/>
        <v>3.4300000000000004E-2</v>
      </c>
      <c r="G3" s="22">
        <f t="shared" si="0"/>
        <v>3.4300000000000004E-2</v>
      </c>
      <c r="H3" s="22">
        <f t="shared" si="0"/>
        <v>3.4300000000000004E-2</v>
      </c>
      <c r="I3" s="22">
        <f t="shared" si="0"/>
        <v>3.4300000000000004E-2</v>
      </c>
      <c r="J3" s="22">
        <f t="shared" si="0"/>
        <v>3.4300000000000004E-2</v>
      </c>
      <c r="K3" s="22">
        <f t="shared" si="0"/>
        <v>3.4300000000000004E-2</v>
      </c>
      <c r="L3" s="22">
        <f t="shared" si="0"/>
        <v>3.4300000000000004E-2</v>
      </c>
      <c r="M3" s="22">
        <f t="shared" si="0"/>
        <v>3.4300000000000004E-2</v>
      </c>
      <c r="N3" s="22">
        <f t="shared" si="0"/>
        <v>3.4300000000000004E-2</v>
      </c>
      <c r="O3" s="22">
        <f t="shared" si="0"/>
        <v>3.4300000000000004E-2</v>
      </c>
      <c r="P3" s="22">
        <f t="shared" si="0"/>
        <v>3.4300000000000004E-2</v>
      </c>
      <c r="Q3" s="22">
        <f t="shared" si="0"/>
        <v>3.4300000000000004E-2</v>
      </c>
      <c r="R3" s="22">
        <f t="shared" si="0"/>
        <v>3.4300000000000004E-2</v>
      </c>
      <c r="S3" s="22">
        <f t="shared" si="0"/>
        <v>3.4300000000000004E-2</v>
      </c>
      <c r="T3" s="22">
        <f t="shared" si="1"/>
        <v>3.4300000000000004E-2</v>
      </c>
      <c r="U3" s="22">
        <f t="shared" si="1"/>
        <v>3.4300000000000004E-2</v>
      </c>
      <c r="V3" s="22">
        <f t="shared" si="1"/>
        <v>3.4300000000000004E-2</v>
      </c>
      <c r="W3" s="22">
        <f t="shared" si="1"/>
        <v>3.4300000000000004E-2</v>
      </c>
      <c r="X3" s="22">
        <f t="shared" si="1"/>
        <v>3.4300000000000004E-2</v>
      </c>
      <c r="Y3" s="22">
        <f t="shared" si="1"/>
        <v>3.4300000000000004E-2</v>
      </c>
      <c r="Z3" s="22">
        <f t="shared" si="1"/>
        <v>3.4300000000000004E-2</v>
      </c>
      <c r="AA3" s="22">
        <f t="shared" si="1"/>
        <v>3.4300000000000004E-2</v>
      </c>
      <c r="AB3" s="22">
        <f t="shared" si="1"/>
        <v>3.4300000000000004E-2</v>
      </c>
      <c r="AC3" s="22">
        <f t="shared" si="1"/>
        <v>3.4300000000000004E-2</v>
      </c>
      <c r="AD3" s="22">
        <f t="shared" si="1"/>
        <v>3.4300000000000004E-2</v>
      </c>
      <c r="AE3" s="22">
        <f t="shared" si="1"/>
        <v>3.4300000000000004E-2</v>
      </c>
      <c r="AF3" s="22">
        <f t="shared" si="1"/>
        <v>3.4300000000000004E-2</v>
      </c>
      <c r="AG3" s="22">
        <f t="shared" si="1"/>
        <v>3.4300000000000004E-2</v>
      </c>
      <c r="AH3" s="22">
        <f t="shared" si="1"/>
        <v>3.4300000000000004E-2</v>
      </c>
      <c r="AI3" s="22">
        <f t="shared" si="1"/>
        <v>3.4300000000000004E-2</v>
      </c>
      <c r="AJ3" s="22">
        <f t="shared" si="1"/>
        <v>3.4300000000000004E-2</v>
      </c>
      <c r="AK3" s="22">
        <f t="shared" si="1"/>
        <v>3.4300000000000004E-2</v>
      </c>
      <c r="AL3" s="22">
        <f t="shared" si="1"/>
        <v>3.4300000000000004E-2</v>
      </c>
      <c r="AM3" s="22">
        <f t="shared" si="1"/>
        <v>3.4300000000000004E-2</v>
      </c>
      <c r="AN3" s="22">
        <f t="shared" si="1"/>
        <v>3.4300000000000004E-2</v>
      </c>
      <c r="AO3" s="22">
        <f t="shared" si="1"/>
        <v>3.4300000000000004E-2</v>
      </c>
      <c r="AP3" s="22">
        <f t="shared" ref="AP3" si="3">AO3</f>
        <v>3.4300000000000004E-2</v>
      </c>
    </row>
    <row r="4" spans="1:42" x14ac:dyDescent="0.2">
      <c r="B4" s="20"/>
      <c r="C4" s="20"/>
      <c r="D4" s="20"/>
      <c r="E4" s="20"/>
      <c r="F4" s="20"/>
      <c r="G4" s="20"/>
      <c r="H4" s="20"/>
      <c r="I4" s="20"/>
      <c r="J4" s="20"/>
      <c r="K4" s="20"/>
    </row>
    <row r="5" spans="1:42" x14ac:dyDescent="0.2">
      <c r="B5" s="20"/>
      <c r="C5" s="20"/>
      <c r="D5" s="20"/>
      <c r="E5" s="20"/>
      <c r="F5" s="20"/>
      <c r="G5" s="20"/>
      <c r="H5" s="20"/>
      <c r="I5" s="20"/>
      <c r="J5" s="20"/>
      <c r="K5" s="20"/>
    </row>
    <row r="6" spans="1:42" x14ac:dyDescent="0.2">
      <c r="B6" s="20"/>
      <c r="C6" s="20"/>
      <c r="D6" s="20"/>
      <c r="E6" s="20"/>
      <c r="F6" s="20"/>
      <c r="G6" s="20"/>
      <c r="H6" s="20"/>
      <c r="I6" s="20"/>
      <c r="J6" s="20"/>
      <c r="K6" s="20"/>
    </row>
    <row r="7" spans="1:42" x14ac:dyDescent="0.2">
      <c r="B7" s="20"/>
      <c r="C7" s="20"/>
      <c r="D7" s="20"/>
      <c r="E7" s="20"/>
      <c r="F7" s="20"/>
      <c r="G7" s="20"/>
      <c r="H7" s="20"/>
      <c r="I7" s="20"/>
      <c r="J7" s="20"/>
      <c r="K7" s="20"/>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100</v>
      </c>
      <c r="B2" s="2">
        <v>8.5999999999999993E-2</v>
      </c>
    </row>
    <row r="3" spans="1:2" x14ac:dyDescent="0.2">
      <c r="A3" s="2" t="s">
        <v>101</v>
      </c>
      <c r="B3" s="2">
        <v>7.0000000000000007E-2</v>
      </c>
    </row>
    <row r="4" spans="1:2" x14ac:dyDescent="0.2">
      <c r="A4" s="2" t="s">
        <v>155</v>
      </c>
      <c r="B4" s="2">
        <v>4.9000000000000002E-2</v>
      </c>
    </row>
    <row r="5" spans="1:2" x14ac:dyDescent="0.2">
      <c r="A5" s="2" t="s">
        <v>154</v>
      </c>
      <c r="B5" s="2">
        <v>0.05</v>
      </c>
    </row>
    <row r="6" spans="1:2" x14ac:dyDescent="0.2">
      <c r="A6" s="2" t="s">
        <v>153</v>
      </c>
      <c r="B6" s="2">
        <v>3.6999999999999998E-2</v>
      </c>
    </row>
    <row r="7" spans="1:2" x14ac:dyDescent="0.2">
      <c r="A7" s="2" t="s">
        <v>152</v>
      </c>
      <c r="B7" s="2">
        <v>2.9000000000000001E-2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161</v>
      </c>
      <c r="B2" s="2">
        <v>0.18</v>
      </c>
    </row>
    <row r="3" spans="1:2" x14ac:dyDescent="0.2">
      <c r="A3" s="2" t="s">
        <v>162</v>
      </c>
      <c r="B3" s="2">
        <v>0.08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7" x14ac:dyDescent="0.2">
      <c r="B1" t="s">
        <v>152</v>
      </c>
      <c r="C1" t="s">
        <v>153</v>
      </c>
      <c r="D1" t="s">
        <v>154</v>
      </c>
      <c r="E1" t="s">
        <v>155</v>
      </c>
      <c r="F1" t="s">
        <v>101</v>
      </c>
      <c r="G1" t="s">
        <v>100</v>
      </c>
    </row>
    <row r="2" spans="1:7" x14ac:dyDescent="0.2">
      <c r="A2" t="s">
        <v>152</v>
      </c>
      <c r="B2">
        <v>1</v>
      </c>
      <c r="C2">
        <v>0.6</v>
      </c>
      <c r="D2">
        <v>0.2</v>
      </c>
      <c r="E2">
        <v>0.4</v>
      </c>
      <c r="F2">
        <v>0</v>
      </c>
      <c r="G2">
        <v>0</v>
      </c>
    </row>
    <row r="3" spans="1:7" x14ac:dyDescent="0.2">
      <c r="A3" t="s">
        <v>153</v>
      </c>
      <c r="B3">
        <v>0.6</v>
      </c>
      <c r="C3">
        <v>1</v>
      </c>
      <c r="D3">
        <v>0.7</v>
      </c>
      <c r="E3">
        <v>0.6</v>
      </c>
      <c r="F3">
        <v>0.3</v>
      </c>
      <c r="G3">
        <v>0.3</v>
      </c>
    </row>
    <row r="4" spans="1:7" x14ac:dyDescent="0.2">
      <c r="A4" t="s">
        <v>154</v>
      </c>
      <c r="B4">
        <v>0.2</v>
      </c>
      <c r="C4">
        <v>0.7</v>
      </c>
      <c r="D4">
        <v>1</v>
      </c>
      <c r="E4">
        <v>0.7</v>
      </c>
      <c r="F4">
        <v>0.7</v>
      </c>
      <c r="G4">
        <v>0.6</v>
      </c>
    </row>
    <row r="5" spans="1:7" x14ac:dyDescent="0.2">
      <c r="A5" t="s">
        <v>155</v>
      </c>
      <c r="B5">
        <v>0.4</v>
      </c>
      <c r="C5">
        <v>0.6</v>
      </c>
      <c r="D5">
        <v>0.7</v>
      </c>
      <c r="E5">
        <v>1</v>
      </c>
      <c r="F5">
        <v>0.5</v>
      </c>
      <c r="G5">
        <v>0.7</v>
      </c>
    </row>
    <row r="6" spans="1:7" x14ac:dyDescent="0.2">
      <c r="A6" t="s">
        <v>101</v>
      </c>
      <c r="B6">
        <v>0</v>
      </c>
      <c r="C6">
        <v>0.3</v>
      </c>
      <c r="D6">
        <v>0.7</v>
      </c>
      <c r="E6">
        <v>0.5</v>
      </c>
      <c r="F6">
        <v>1</v>
      </c>
      <c r="G6">
        <v>0.7</v>
      </c>
    </row>
    <row r="7" spans="1:7" x14ac:dyDescent="0.2">
      <c r="A7" t="s">
        <v>100</v>
      </c>
      <c r="B7">
        <v>0</v>
      </c>
      <c r="C7">
        <v>0.3</v>
      </c>
      <c r="D7">
        <v>0.6</v>
      </c>
      <c r="E7">
        <v>0.7</v>
      </c>
      <c r="F7">
        <v>0.7</v>
      </c>
      <c r="G7">
        <v>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3" x14ac:dyDescent="0.2">
      <c r="B1" t="s">
        <v>162</v>
      </c>
      <c r="C1" t="s">
        <v>161</v>
      </c>
    </row>
    <row r="2" spans="1:3" x14ac:dyDescent="0.2">
      <c r="A2" t="str" cm="1">
        <f t="array" ref="A2:A3">TRANSPOSE(B1:C1)</f>
        <v>Obligations</v>
      </c>
      <c r="B2">
        <v>1</v>
      </c>
      <c r="C2">
        <v>0</v>
      </c>
    </row>
    <row r="3" spans="1:3" x14ac:dyDescent="0.2">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customXml/itemProps3.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4.xml><?xml version="1.0" encoding="utf-8"?>
<ds:datastoreItem xmlns:ds="http://schemas.openxmlformats.org/officeDocument/2006/customXml" ds:itemID="{35A6CD50-FD6A-4509-BEF9-9DFEA1769AD8}">
  <ds:schemaRefs>
    <ds:schemaRef ds:uri="http://www.w3.org/2001/XMLSchema"/>
    <ds:schemaRef ds:uri="http://www.boozallen.com/argo/gui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Front Page</vt:lpstr>
      <vt:lpstr>Salary Variables</vt:lpstr>
      <vt:lpstr>Income - P2 Helper</vt:lpstr>
      <vt:lpstr>Income</vt:lpstr>
      <vt:lpstr>Pensions P1</vt:lpstr>
      <vt:lpstr>Pensions P2</vt:lpstr>
      <vt:lpstr>Net Salary P2</vt:lpstr>
      <vt:lpstr>Net Salary P1</vt:lpstr>
      <vt:lpstr>Job Hopping</vt:lpstr>
      <vt:lpstr>Djøf Finance Hoppers</vt:lpstr>
      <vt:lpstr>Djøf Finance Workers</vt:lpstr>
      <vt:lpstr>Goals</vt:lpstr>
      <vt:lpstr>Loop</vt:lpstr>
      <vt:lpstr>Aktiesparekonto Increase</vt:lpstr>
      <vt:lpstr>Salary</vt:lpstr>
      <vt:lpstr>Wealth</vt:lpstr>
      <vt:lpstr>notes next time talk</vt:lpstr>
      <vt:lpstr>Real Returns</vt:lpstr>
      <vt:lpstr>Returns</vt:lpstr>
      <vt:lpstr>BasisPointCost</vt:lpstr>
      <vt:lpstr>Returns2</vt:lpstr>
      <vt:lpstr>Volatilities</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Thorbjørn Larsen</cp:lastModifiedBy>
  <dcterms:created xsi:type="dcterms:W3CDTF">2025-02-13T10:09:46Z</dcterms:created>
  <dcterms:modified xsi:type="dcterms:W3CDTF">2025-05-07T08:11:38Z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