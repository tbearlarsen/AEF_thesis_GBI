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3A3E11C3-8452-1443-A867-DCED855DF1A8}" xr6:coauthVersionLast="47" xr6:coauthVersionMax="47" xr10:uidLastSave="{00000000-0000-0000-0000-000000000000}"/>
  <bookViews>
    <workbookView xWindow="0" yWindow="760" windowWidth="25220" windowHeight="14680" tabRatio="972" firstSheet="6"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s="1"/>
  <c r="B22" i="55"/>
  <c r="B5" i="55"/>
  <c r="B3" i="55"/>
  <c r="N39" i="2"/>
  <c r="N40" i="2"/>
  <c r="N41" i="2"/>
  <c r="N42" i="2"/>
  <c r="N43" i="2"/>
  <c r="N44" i="2"/>
  <c r="N45" i="2"/>
  <c r="N46" i="2"/>
  <c r="N47" i="2"/>
  <c r="N48" i="2"/>
  <c r="N49" i="2"/>
  <c r="D49" i="2" s="1"/>
  <c r="N50" i="2"/>
  <c r="D50" i="2" s="1"/>
  <c r="N51" i="2"/>
  <c r="D51" i="2" s="1"/>
  <c r="N52" i="2"/>
  <c r="N53" i="2"/>
  <c r="E39" i="56"/>
  <c r="F39" i="56" s="1"/>
  <c r="B14" i="56"/>
  <c r="B43" i="55" s="1"/>
  <c r="B45" i="55" s="1"/>
  <c r="AE8" i="56"/>
  <c r="A4" i="56" a="1"/>
  <c r="AY8" i="56" s="1"/>
  <c r="B2" i="56"/>
  <c r="BB15" i="56" s="1"/>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X8" i="56" l="1"/>
  <c r="BA8" i="56"/>
  <c r="Q8" i="56"/>
  <c r="R8" i="56"/>
  <c r="Z8" i="56"/>
  <c r="B1" i="56"/>
  <c r="B25" i="55"/>
  <c r="AH8" i="56"/>
  <c r="I8" i="56"/>
  <c r="AO8" i="56"/>
  <c r="BB8" i="56"/>
  <c r="G8" i="56"/>
  <c r="AM8" i="56"/>
  <c r="O8" i="56"/>
  <c r="AW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H54" i="46"/>
  <c r="I50" i="46" s="1"/>
  <c r="P12" i="2"/>
  <c r="H47" i="55"/>
  <c r="I43" i="55" s="1"/>
  <c r="I54" i="55"/>
  <c r="J50" i="55" s="1"/>
  <c r="Q12" i="2"/>
  <c r="O12" i="2"/>
  <c r="R12" i="2"/>
  <c r="H9" i="53"/>
  <c r="O13" i="53" a="1"/>
  <c r="O13" i="53" s="1"/>
  <c r="G8" i="53"/>
  <c r="N14" i="53" a="1"/>
  <c r="N14" i="53" s="1"/>
  <c r="Q14" i="53" s="1"/>
  <c r="I45" i="46"/>
  <c r="I46" i="46" s="1"/>
  <c r="D13" i="45"/>
  <c r="E13" i="45"/>
  <c r="E12" i="8"/>
  <c r="I52" i="46" l="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K54" i="46" l="1"/>
  <c r="L50" i="46" s="1"/>
  <c r="L52" i="46" s="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4" i="46" s="1"/>
  <c r="N50" i="46" s="1"/>
  <c r="M52" i="46"/>
  <c r="M53" i="46" s="1"/>
  <c r="P18" i="2"/>
  <c r="Q18" i="2"/>
  <c r="K47" i="55"/>
  <c r="L43" i="55" s="1"/>
  <c r="L54" i="55"/>
  <c r="M50" i="55" s="1"/>
  <c r="R18" i="2"/>
  <c r="O18" i="2"/>
  <c r="H15" i="53"/>
  <c r="O7" i="53" a="1"/>
  <c r="O7" i="53" s="1"/>
  <c r="G14" i="53"/>
  <c r="N8" i="53" a="1"/>
  <c r="N8" i="53" s="1"/>
  <c r="Q8" i="53" s="1"/>
  <c r="M45" i="46"/>
  <c r="M46" i="46" s="1"/>
  <c r="E19" i="45"/>
  <c r="D19" i="45"/>
  <c r="E20" i="8"/>
  <c r="N52" i="46" l="1"/>
  <c r="N53" i="46" s="1"/>
  <c r="N54" i="46"/>
  <c r="O50" i="46" s="1"/>
  <c r="O52" i="46" s="1"/>
  <c r="O53" i="46" s="1"/>
  <c r="P19" i="2"/>
  <c r="Q19" i="2"/>
  <c r="M52" i="55"/>
  <c r="M53" i="55" s="1"/>
  <c r="L45" i="55"/>
  <c r="L46" i="55" s="1"/>
  <c r="O19" i="2"/>
  <c r="R19" i="2"/>
  <c r="G15" i="53"/>
  <c r="N7" i="53" a="1"/>
  <c r="N7" i="53" s="1"/>
  <c r="Q7" i="53" s="1"/>
  <c r="H16" i="53"/>
  <c r="O6" i="53" a="1"/>
  <c r="O6" i="53" s="1"/>
  <c r="M47" i="46"/>
  <c r="N43" i="46" s="1"/>
  <c r="D20" i="45"/>
  <c r="E20" i="45"/>
  <c r="E21" i="8"/>
  <c r="E22" i="8" s="1"/>
  <c r="O54" i="46" l="1"/>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E22" i="45"/>
  <c r="E25" i="8"/>
  <c r="E26" i="8" s="1"/>
  <c r="M47" i="55" l="1"/>
  <c r="N43" i="55" s="1"/>
  <c r="N45" i="55" s="1"/>
  <c r="N46" i="55" s="1"/>
  <c r="Q22" i="2"/>
  <c r="P22" i="2"/>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E24" i="45"/>
  <c r="E27" i="8"/>
  <c r="E28" i="8" s="1"/>
  <c r="P24" i="2" l="1"/>
  <c r="Q24" i="2"/>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E25" i="45"/>
  <c r="P25" i="2" s="1"/>
  <c r="E29" i="8"/>
  <c r="E30" i="8" s="1"/>
  <c r="Q25" i="2" l="1"/>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E26" i="45"/>
  <c r="P26" i="2" s="1"/>
  <c r="E31" i="8"/>
  <c r="Q26" i="2" l="1"/>
  <c r="B7" i="55"/>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E27" i="45"/>
  <c r="P27" i="2" s="1"/>
  <c r="Q27" i="2" l="1"/>
  <c r="P12" i="56"/>
  <c r="P11" i="56"/>
  <c r="G12" i="56"/>
  <c r="G11" i="56"/>
  <c r="M12" i="56"/>
  <c r="M11" i="56"/>
  <c r="Q12" i="56"/>
  <c r="Q11" i="56"/>
  <c r="J11" i="56"/>
  <c r="J12" i="56"/>
  <c r="E12" i="56"/>
  <c r="E11" i="56"/>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R13" i="56"/>
  <c r="R14" i="56" s="1"/>
  <c r="R16" i="56" s="1"/>
  <c r="R17" i="56" s="1"/>
  <c r="F13" i="56"/>
  <c r="F14" i="56" s="1"/>
  <c r="F16" i="56" s="1"/>
  <c r="F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L36" i="55" s="1"/>
  <c r="L37"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C5" i="56" s="1"/>
  <c r="AC6" i="56" s="1"/>
  <c r="AC7" i="56" s="1"/>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A13" i="56" l="1"/>
  <c r="AA14" i="56" s="1"/>
  <c r="AA16" i="56" s="1"/>
  <c r="AA17" i="56" s="1"/>
  <c r="AR13" i="56"/>
  <c r="AR14" i="56" s="1"/>
  <c r="AR16" i="56" s="1"/>
  <c r="AR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15" i="2" l="1"/>
  <c r="N34" i="2"/>
  <c r="D34" i="2" s="1"/>
  <c r="F34" i="2" s="1"/>
  <c r="L34" i="2" s="1"/>
  <c r="N18" i="2"/>
  <c r="N16" i="2"/>
  <c r="N31" i="2"/>
  <c r="N6" i="2"/>
  <c r="N26" i="2"/>
  <c r="N25" i="2"/>
  <c r="N13" i="2"/>
  <c r="BI2" i="56"/>
  <c r="N3" i="2" s="1"/>
  <c r="N23" i="2"/>
  <c r="N4" i="2"/>
  <c r="N19" i="2"/>
  <c r="N8" i="2"/>
  <c r="N37" i="2"/>
  <c r="D37" i="2" s="1"/>
  <c r="F37" i="2" s="1"/>
  <c r="L37" i="2" s="1"/>
  <c r="Y32" i="56" s="1"/>
  <c r="N35" i="2"/>
  <c r="D35" i="2" s="1"/>
  <c r="F35" i="2" s="1"/>
  <c r="L35" i="2" s="1"/>
  <c r="N30" i="2"/>
  <c r="N24" i="2"/>
  <c r="N12" i="2"/>
  <c r="N9" i="2"/>
  <c r="N32" i="2"/>
  <c r="N36" i="2"/>
  <c r="D36" i="2" s="1"/>
  <c r="F36" i="2" s="1"/>
  <c r="L36" i="2" s="1"/>
  <c r="N20" i="2"/>
  <c r="N29" i="2"/>
  <c r="N5" i="2"/>
  <c r="N10" i="2"/>
  <c r="N14" i="2"/>
  <c r="N7" i="2"/>
  <c r="N11" i="2"/>
  <c r="N28" i="2"/>
  <c r="N33" i="2"/>
  <c r="D33" i="2" s="1"/>
  <c r="F33" i="2" s="1"/>
  <c r="L33" i="2" s="1"/>
  <c r="N21" i="2"/>
  <c r="N38" i="2"/>
  <c r="D38" i="2" s="1"/>
  <c r="F38" i="2" s="1"/>
  <c r="L38" i="2" s="1"/>
  <c r="N22" i="2"/>
  <c r="N17" i="2"/>
  <c r="O36" i="55"/>
  <c r="O37" i="55" s="1"/>
  <c r="Z45" i="55"/>
  <c r="Z46" i="55" s="1"/>
  <c r="Z54" i="55"/>
  <c r="AA50" i="55" s="1"/>
  <c r="Q44" i="2"/>
  <c r="O44" i="2"/>
  <c r="P44" i="2"/>
  <c r="R44" i="2"/>
  <c r="AF52" i="46"/>
  <c r="AF53" i="46" s="1"/>
  <c r="AD45" i="46"/>
  <c r="AD46" i="46" s="1"/>
  <c r="D45" i="45"/>
  <c r="E45" i="45"/>
  <c r="K32" i="56" l="1"/>
  <c r="AB32" i="56"/>
  <c r="J32" i="56"/>
  <c r="V32" i="56"/>
  <c r="F32" i="56"/>
  <c r="U32" i="56"/>
  <c r="R32" i="56"/>
  <c r="O32" i="56"/>
  <c r="L32" i="56"/>
  <c r="AA32" i="56"/>
  <c r="G32" i="56"/>
  <c r="H32" i="56"/>
  <c r="N32" i="56"/>
  <c r="AC32" i="56"/>
  <c r="Q32" i="56"/>
  <c r="Z32" i="56"/>
  <c r="I32" i="56"/>
  <c r="W32" i="56"/>
  <c r="P32" i="56"/>
  <c r="E32" i="56"/>
  <c r="X32" i="56"/>
  <c r="M32" i="56"/>
  <c r="T32" i="56"/>
  <c r="S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AC52" i="55" s="1"/>
  <c r="AC53" i="55" s="1"/>
  <c r="Q48" i="2"/>
  <c r="Q36" i="55"/>
  <c r="Q37" i="55" s="1"/>
  <c r="AB47" i="55"/>
  <c r="AC4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M6" i="46"/>
  <c r="AP4" i="47"/>
  <c r="AS6" i="46"/>
  <c r="AM4" i="47"/>
  <c r="J6" i="46" l="1"/>
  <c r="I4" i="47"/>
  <c r="AB5" i="47"/>
  <c r="AB6" i="47" s="1"/>
  <c r="AB7" i="47" s="1"/>
  <c r="D6" i="46"/>
  <c r="D7" i="46" s="1"/>
  <c r="D8" i="46" s="1"/>
  <c r="S38" i="55"/>
  <c r="T34" i="55" s="1"/>
  <c r="T36" i="55" s="1"/>
  <c r="T37" i="55" s="1"/>
  <c r="E10" i="47"/>
  <c r="E9" i="47"/>
  <c r="K6" i="46"/>
  <c r="K7" i="46" s="1"/>
  <c r="K8" i="46" s="1"/>
  <c r="S4" i="47"/>
  <c r="S5" i="47" s="1"/>
  <c r="S6" i="47" s="1"/>
  <c r="S7" i="47" s="1"/>
  <c r="AN5" i="47"/>
  <c r="AN6" i="47" s="1"/>
  <c r="AN7" i="47" s="1"/>
  <c r="AN10" i="47" s="1"/>
  <c r="T4" i="47"/>
  <c r="T5" i="47" s="1"/>
  <c r="T6" i="47" s="1"/>
  <c r="T7" i="47" s="1"/>
  <c r="T10" i="47" s="1"/>
  <c r="AU6" i="46"/>
  <c r="AU7" i="46" s="1"/>
  <c r="AU8" i="46" s="1"/>
  <c r="F5" i="47"/>
  <c r="F6" i="47" s="1"/>
  <c r="F7" i="47" s="1"/>
  <c r="AK5" i="47"/>
  <c r="AK6" i="47" s="1"/>
  <c r="AK7" i="47" s="1"/>
  <c r="AK10" i="47" s="1"/>
  <c r="T6" i="46"/>
  <c r="T7" i="46" s="1"/>
  <c r="T8" i="46" s="1"/>
  <c r="AB6" i="46"/>
  <c r="AB7" i="46" s="1"/>
  <c r="AB8" i="46" s="1"/>
  <c r="AM5" i="47"/>
  <c r="AM6" i="47" s="1"/>
  <c r="AM7" i="47" s="1"/>
  <c r="AM10" i="47" s="1"/>
  <c r="G5" i="47"/>
  <c r="G6" i="47" s="1"/>
  <c r="G7" i="47" s="1"/>
  <c r="L6" i="46"/>
  <c r="L7" i="46" s="1"/>
  <c r="L8" i="46" s="1"/>
  <c r="AI5" i="47"/>
  <c r="AI6" i="47" s="1"/>
  <c r="AI7" i="47" s="1"/>
  <c r="AH5" i="47"/>
  <c r="AH6" i="47" s="1"/>
  <c r="AH7" i="47" s="1"/>
  <c r="AH10" i="47" s="1"/>
  <c r="AQ6" i="46"/>
  <c r="Y6" i="46"/>
  <c r="Y7" i="46" s="1"/>
  <c r="Y8" i="46" s="1"/>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J10" i="47"/>
  <c r="AJ9" i="47"/>
  <c r="T9" i="47"/>
  <c r="AB9" i="47"/>
  <c r="AB10" i="47"/>
  <c r="AV10" i="47"/>
  <c r="AV9" i="47"/>
  <c r="G10" i="47"/>
  <c r="G9" i="47"/>
  <c r="F10" i="47"/>
  <c r="F9" i="47"/>
  <c r="AI10" i="47"/>
  <c r="AI9" i="47"/>
  <c r="AJ7" i="46"/>
  <c r="AJ8" i="46" s="1"/>
  <c r="Z7" i="46"/>
  <c r="Z8" i="46" s="1"/>
  <c r="U7" i="46"/>
  <c r="U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AN7" i="46"/>
  <c r="AN8" i="46" s="1"/>
  <c r="AM7" i="46"/>
  <c r="AM8" i="46" s="1"/>
  <c r="X7" i="46"/>
  <c r="X8" i="46" s="1"/>
  <c r="P7" i="46"/>
  <c r="P8" i="46" s="1"/>
  <c r="N7" i="46"/>
  <c r="N8" i="46" s="1"/>
  <c r="AO7" i="46"/>
  <c r="AO8" i="46" s="1"/>
  <c r="R7" i="46"/>
  <c r="R8" i="46" s="1"/>
  <c r="V9" i="47" l="1"/>
  <c r="AM9" i="47"/>
  <c r="AM12" i="47" s="1"/>
  <c r="AO9" i="47"/>
  <c r="S9" i="47"/>
  <c r="S11" i="47" s="1"/>
  <c r="S10" i="47"/>
  <c r="AK9" i="47"/>
  <c r="AK12" i="47" s="1"/>
  <c r="E12" i="47"/>
  <c r="E11" i="47"/>
  <c r="E13" i="47" s="1"/>
  <c r="E14" i="47" s="1"/>
  <c r="E16" i="47" s="1"/>
  <c r="E17" i="47" s="1"/>
  <c r="AF10" i="47"/>
  <c r="Z10" i="47"/>
  <c r="X10" i="47"/>
  <c r="L9" i="47"/>
  <c r="L12" i="47" s="1"/>
  <c r="AH9" i="47"/>
  <c r="AH12" i="47" s="1"/>
  <c r="P10" i="47"/>
  <c r="H10" i="47"/>
  <c r="AA10" i="47"/>
  <c r="AY9" i="47"/>
  <c r="AY12" i="47" s="1"/>
  <c r="T38" i="55"/>
  <c r="U34" i="55" s="1"/>
  <c r="AS9" i="47"/>
  <c r="AS12"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AF11" i="47"/>
  <c r="AF12" i="47"/>
  <c r="AS11" i="47"/>
  <c r="H12" i="47"/>
  <c r="H11" i="47"/>
  <c r="AO11" i="47"/>
  <c r="AO12" i="47"/>
  <c r="T12" i="47"/>
  <c r="T11" i="47"/>
  <c r="R11" i="47"/>
  <c r="R12" i="47"/>
  <c r="AA12" i="47"/>
  <c r="AA11" i="47"/>
  <c r="Z12" i="47"/>
  <c r="Z11" i="47"/>
  <c r="AK11" i="47" l="1"/>
  <c r="AE12" i="47"/>
  <c r="AH11" i="47"/>
  <c r="AY11" i="47"/>
  <c r="AU11" i="47"/>
  <c r="S12" i="47"/>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J25" i="47" l="1"/>
  <c r="X26" i="47"/>
  <c r="X27" i="47"/>
  <c r="X28" i="47" s="1"/>
  <c r="X29" i="47" s="1"/>
  <c r="X31" i="47" s="1"/>
  <c r="X33" i="47" s="1"/>
  <c r="X34" i="47" s="1"/>
  <c r="X35" i="47" s="1"/>
  <c r="U27" i="47"/>
  <c r="U25" i="47"/>
  <c r="U28" i="47" s="1"/>
  <c r="U29" i="47" s="1"/>
  <c r="U31" i="47" s="1"/>
  <c r="U33" i="47" s="1"/>
  <c r="U34" i="47" s="1"/>
  <c r="U35" i="47" s="1"/>
  <c r="E27" i="47"/>
  <c r="E25" i="47"/>
  <c r="E26" i="47"/>
  <c r="W26" i="47"/>
  <c r="I27" i="47"/>
  <c r="W27" i="47"/>
  <c r="H27" i="47"/>
  <c r="AA25" i="47"/>
  <c r="AA28" i="47" s="1"/>
  <c r="AA29" i="47" s="1"/>
  <c r="AA31" i="47" s="1"/>
  <c r="AA33" i="47" s="1"/>
  <c r="AA34" i="47" s="1"/>
  <c r="AA35" i="47" s="1"/>
  <c r="I25" i="47"/>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Z28" i="47" l="1"/>
  <c r="Z29" i="47" s="1"/>
  <c r="Z31" i="47" s="1"/>
  <c r="Z33" i="47" s="1"/>
  <c r="Z34" i="47" s="1"/>
  <c r="Z35" i="47" s="1"/>
  <c r="G28" i="47"/>
  <c r="G29" i="47" s="1"/>
  <c r="G31" i="47" s="1"/>
  <c r="G33" i="47" s="1"/>
  <c r="G34" i="47" s="1"/>
  <c r="G35" i="47" s="1"/>
  <c r="AB28" i="47"/>
  <c r="AB29" i="47" s="1"/>
  <c r="AB31" i="47" s="1"/>
  <c r="AB33" i="47" s="1"/>
  <c r="AB34" i="47" s="1"/>
  <c r="AB35" i="47" s="1"/>
  <c r="H28" i="47"/>
  <c r="H29" i="47" s="1"/>
  <c r="H31" i="47" s="1"/>
  <c r="H33" i="47" s="1"/>
  <c r="H34" i="47" s="1"/>
  <c r="H35" i="47" s="1"/>
  <c r="I28" i="47"/>
  <c r="I29" i="47" s="1"/>
  <c r="I31" i="47" s="1"/>
  <c r="I33" i="47" s="1"/>
  <c r="I34" i="47" s="1"/>
  <c r="I35" i="47" s="1"/>
  <c r="W28" i="47"/>
  <c r="W29" i="47" s="1"/>
  <c r="W31" i="47" s="1"/>
  <c r="W33" i="47" s="1"/>
  <c r="W34" i="47" s="1"/>
  <c r="W35" i="47" s="1"/>
  <c r="N28" i="47"/>
  <c r="N29" i="47" s="1"/>
  <c r="N31" i="47" s="1"/>
  <c r="N33" i="47" s="1"/>
  <c r="N34" i="47" s="1"/>
  <c r="N35" i="47" s="1"/>
  <c r="L28" i="47"/>
  <c r="L29" i="47" s="1"/>
  <c r="L31" i="47" s="1"/>
  <c r="L33" i="47" s="1"/>
  <c r="L34" i="47" s="1"/>
  <c r="L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<sst xmlns="http://schemas.openxmlformats.org/spreadsheetml/2006/main" count="1524" uniqueCount="278">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</sst>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2%*(1+50%)</f>
        <v>0.03</v>
      </c>
    </row>
    <row r="3" spans="2:3" x14ac:dyDescent="0.2">
      <c r="B3" s="40" t="s">
        <v>217</v>
      </c>
      <c r="C3" s="43"/>
    </row>
    <row r="4" spans="2:3" x14ac:dyDescent="0.2">
      <c r="B4" s="45" t="s">
        <v>63</v>
      </c>
      <c r="C4" s="46">
        <v>0.03</v>
      </c>
    </row>
    <row r="5" spans="2:3" x14ac:dyDescent="0.2">
      <c r="B5" s="47" t="s">
        <v>65</v>
      </c>
      <c r="C5" s="48">
        <f>C4-C2</f>
        <v>0</v>
      </c>
    </row>
    <row r="6" spans="2:3" x14ac:dyDescent="0.2">
      <c r="B6" s="47" t="s">
        <v>64</v>
      </c>
      <c r="C6" s="48">
        <v>0.06</v>
      </c>
    </row>
    <row r="7" spans="2:3" x14ac:dyDescent="0.2">
      <c r="B7" s="47" t="s">
        <v>175</v>
      </c>
      <c r="C7" s="48">
        <f>C6-C2</f>
        <v>0.03</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0.03</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72167</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63888.926219270012</v>
      </c>
      <c r="O3" s="60" cm="1">
        <f t="array" ref="O3">INDEX($H$3:$H$18,ROWS($H$3:$H$18)+ROW($H$3)-ROW())</f>
        <v>36965.72433477857</v>
      </c>
      <c r="Q3" s="63">
        <f>Table11[[#This Row],[GrossMonthlyInflationAdjustedP2]]*0.2</f>
        <v>12777.785243854003</v>
      </c>
    </row>
    <row r="4" spans="1:17" x14ac:dyDescent="0.2">
      <c r="A4" s="16"/>
      <c r="B4" s="14" t="s">
        <v>65</v>
      </c>
      <c r="C4" s="15">
        <f>Income!I4</f>
        <v>0</v>
      </c>
      <c r="G4" s="35">
        <f>(G3/(1+$C$4))-IF(TableIncomeCalculations11[[#This Row],[Inverse]]="Y",G3*$C$6,0)</f>
        <v>72167</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63888.926219270012</v>
      </c>
      <c r="O4" s="60" cm="1">
        <f t="array" ref="O4">INDEX($H$3:$H$18,ROWS($H$3:$H$18)+ROW($H$3)-ROW())</f>
        <v>38074.696064821925</v>
      </c>
      <c r="Q4" s="63">
        <f>Table11[[#This Row],[GrossMonthlyInflationAdjustedP2]]*0.2</f>
        <v>12777.785243854003</v>
      </c>
    </row>
    <row r="5" spans="1:17" x14ac:dyDescent="0.2">
      <c r="A5" s="16"/>
      <c r="B5" s="14" t="s">
        <v>64</v>
      </c>
      <c r="C5" s="15">
        <f>Income!I5</f>
        <v>0.06</v>
      </c>
      <c r="G5" s="35">
        <f>(G4/(1+$C$4))-IF(TableIncomeCalculations11[[#This Row],[Inverse]]="Y",G4*$C$6,0)</f>
        <v>70001.990000000005</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63888.926219270012</v>
      </c>
      <c r="O5" s="60" cm="1">
        <f t="array" ref="O5">INDEX($H$3:$H$18,ROWS($H$3:$H$18)+ROW($H$3)-ROW())</f>
        <v>39216.936946766582</v>
      </c>
      <c r="Q5" s="63">
        <f>Table11[[#This Row],[GrossMonthlyInflationAdjustedP2]]*0.2</f>
        <v>12777.785243854003</v>
      </c>
    </row>
    <row r="6" spans="1:17" x14ac:dyDescent="0.2">
      <c r="A6" s="16"/>
      <c r="B6" s="14" t="s">
        <v>175</v>
      </c>
      <c r="C6" s="15">
        <f>Income!I6</f>
        <v>0.03</v>
      </c>
      <c r="G6" s="35">
        <f>(G5/(1+$C$4))-IF(TableIncomeCalculations11[[#This Row],[Inverse]]="Y",G5*$C$6,0)</f>
        <v>70001.990000000005</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65864.872391000012</v>
      </c>
      <c r="O6" s="60" cm="1">
        <f t="array" ref="O6">INDEX($H$3:$H$18,ROWS($H$3:$H$18)+ROW($H$3)-ROW())</f>
        <v>43054.194260466407</v>
      </c>
      <c r="Q6" s="63">
        <f>Table11[[#This Row],[GrossMonthlyInflationAdjustedP2]]*0.2</f>
        <v>13172.974478200003</v>
      </c>
    </row>
    <row r="7" spans="1:17" x14ac:dyDescent="0.2">
      <c r="A7" s="16"/>
      <c r="B7" s="14" t="s">
        <v>76</v>
      </c>
      <c r="C7" s="15">
        <f>Income!I7</f>
        <v>0.2</v>
      </c>
      <c r="G7" s="35">
        <f>(G6/(1+$C$4))-IF(TableIncomeCalculations11[[#This Row],[Inverse]]="Y",G6*$C$6,0)</f>
        <v>70001.990000000005</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65864.872391000012</v>
      </c>
      <c r="O7" s="60" cm="1">
        <f t="array" ref="O7">INDEX($H$3:$H$18,ROWS($H$3:$H$18)+ROW($H$3)-ROW())</f>
        <v>44345.820088280401</v>
      </c>
      <c r="Q7" s="63">
        <f>Table11[[#This Row],[GrossMonthlyInflationAdjustedP2]]*0.2</f>
        <v>13172.974478200003</v>
      </c>
    </row>
    <row r="8" spans="1:17" x14ac:dyDescent="0.2">
      <c r="A8" s="16"/>
      <c r="C8" s="17"/>
      <c r="G8" s="35">
        <f>(G7/(1+$C$4))-IF(TableIncomeCalculations11[[#This Row],[Inverse]]="Y",G7*$C$6,0)</f>
        <v>67901.930300000007</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65864.872391000012</v>
      </c>
      <c r="O8" s="60" cm="1">
        <f t="array" ref="O8">INDEX($H$3:$H$18,ROWS($H$3:$H$18)+ROW($H$3)-ROW())</f>
        <v>45676.194690928816</v>
      </c>
      <c r="Q8" s="63">
        <f>Table11[[#This Row],[GrossMonthlyInflationAdjustedP2]]*0.2</f>
        <v>13172.974478200003</v>
      </c>
    </row>
    <row r="9" spans="1:17" x14ac:dyDescent="0.2">
      <c r="A9" s="16"/>
      <c r="G9" s="35">
        <f>(G8/(1+$C$4))-IF(TableIncomeCalculations11[[#This Row],[Inverse]]="Y",G8*$C$6,0)</f>
        <v>67901.930300000007</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65864.872391000012</v>
      </c>
      <c r="O9" s="60" cm="1">
        <f t="array" ref="O9">INDEX($H$3:$H$18,ROWS($H$3:$H$18)+ROW($H$3)-ROW())</f>
        <v>47046.480531656685</v>
      </c>
      <c r="Q9" s="63">
        <f>Table11[[#This Row],[GrossMonthlyInflationAdjustedP2]]*0.2</f>
        <v>13172.974478200003</v>
      </c>
    </row>
    <row r="10" spans="1:17" x14ac:dyDescent="0.2">
      <c r="A10" s="16"/>
      <c r="G10" s="35">
        <f>(G9/(1+$C$4))-IF(TableIncomeCalculations11[[#This Row],[Inverse]]="Y",G9*$C$6,0)</f>
        <v>67901.930300000007</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67901.930300000007</v>
      </c>
      <c r="O10" s="60" cm="1">
        <f t="array" ref="O10">INDEX($H$3:$H$18,ROWS($H$3:$H$18)+ROW($H$3)-ROW())</f>
        <v>51649.834734178628</v>
      </c>
      <c r="Q10" s="63">
        <f>Table11[[#This Row],[GrossMonthlyInflationAdjustedP2]]*0.2</f>
        <v>13580.386060000003</v>
      </c>
    </row>
    <row r="11" spans="1:17" x14ac:dyDescent="0.2">
      <c r="A11" s="16"/>
      <c r="G11" s="35">
        <f>(G10/(1+$C$4))-IF(TableIncomeCalculations11[[#This Row],[Inverse]]="Y",G10*$C$6,0)</f>
        <v>67901.930300000007</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67901.930300000007</v>
      </c>
      <c r="O11" s="60" cm="1">
        <f t="array" ref="O11">INDEX($H$3:$H$18,ROWS($H$3:$H$18)+ROW($H$3)-ROW())</f>
        <v>53199.329776203987</v>
      </c>
      <c r="Q11" s="63">
        <f>Table11[[#This Row],[GrossMonthlyInflationAdjustedP2]]*0.2</f>
        <v>13580.386060000003</v>
      </c>
    </row>
    <row r="12" spans="1:17" x14ac:dyDescent="0.2">
      <c r="A12" s="16"/>
      <c r="G12" s="35">
        <f>(G11/(1+$C$4))-IF(TableIncomeCalculations11[[#This Row],[Inverse]]="Y",G11*$C$6,0)</f>
        <v>65864.872391000012</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67901.930300000007</v>
      </c>
      <c r="O12" s="60" cm="1">
        <f t="array" ref="O12">INDEX($H$3:$H$18,ROWS($H$3:$H$18)+ROW($H$3)-ROW())</f>
        <v>54795.309669490111</v>
      </c>
      <c r="Q12" s="63">
        <f>Table11[[#This Row],[GrossMonthlyInflationAdjustedP2]]*0.2</f>
        <v>13580.386060000003</v>
      </c>
    </row>
    <row r="13" spans="1:17" x14ac:dyDescent="0.2">
      <c r="A13" s="16"/>
      <c r="G13" s="35">
        <f>(G12/(1+$C$4))-IF(TableIncomeCalculations11[[#This Row],[Inverse]]="Y",G12*$C$6,0)</f>
        <v>65864.872391000012</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67901.930300000007</v>
      </c>
      <c r="O13" s="60" cm="1">
        <f t="array" ref="O13">INDEX($H$3:$H$18,ROWS($H$3:$H$18)+ROW($H$3)-ROW())</f>
        <v>56439.168959574818</v>
      </c>
      <c r="Q13" s="63">
        <f>Table11[[#This Row],[GrossMonthlyInflationAdjustedP2]]*0.2</f>
        <v>13580.386060000003</v>
      </c>
    </row>
    <row r="14" spans="1:17" x14ac:dyDescent="0.2">
      <c r="A14" s="16"/>
      <c r="G14" s="35">
        <f>(G13/(1+$C$4))-IF(TableIncomeCalculations11[[#This Row],[Inverse]]="Y",G13*$C$6,0)</f>
        <v>65864.872391000012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70001.990000000005</v>
      </c>
      <c r="O14" s="60" cm="1">
        <f t="array" ref="O14">INDEX($H$3:$H$18,ROWS($H$3:$H$18)+ROW($H$3)-ROW())</f>
        <v>61961.56899207212</v>
      </c>
      <c r="Q14" s="63">
        <f>Table11[[#This Row],[GrossMonthlyInflationAdjustedP2]]*0.2</f>
        <v>14000.398000000001</v>
      </c>
    </row>
    <row r="15" spans="1:17" x14ac:dyDescent="0.2">
      <c r="A15" s="16"/>
      <c r="G15" s="35">
        <f>(G14/(1+$C$4))-IF(TableIncomeCalculations11[[#This Row],[Inverse]]="Y",G14*$C$6,0)</f>
        <v>65864.872391000012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70001.990000000005</v>
      </c>
      <c r="O15" s="60" cm="1">
        <f t="array" ref="O15">INDEX($H$3:$H$18,ROWS($H$3:$H$18)+ROW($H$3)-ROW())</f>
        <v>63820.416061834287</v>
      </c>
      <c r="Q15" s="63">
        <f>Table11[[#This Row],[GrossMonthlyInflationAdjustedP2]]*0.2</f>
        <v>14000.398000000001</v>
      </c>
    </row>
    <row r="16" spans="1:17" x14ac:dyDescent="0.2">
      <c r="A16" s="16"/>
      <c r="G16" s="35">
        <f>(G15/(1+$C$4))-IF(TableIncomeCalculations11[[#This Row],[Inverse]]="Y",G15*$C$6,0)</f>
        <v>63888.926219270012</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70001.990000000005</v>
      </c>
      <c r="O16" s="60" cm="1">
        <f t="array" ref="O16">INDEX($H$3:$H$18,ROWS($H$3:$H$18)+ROW($H$3)-ROW())</f>
        <v>65735.028543689317</v>
      </c>
      <c r="Q16" s="63">
        <f>Table11[[#This Row],[GrossMonthlyInflationAdjustedP2]]*0.2</f>
        <v>14000.398000000001</v>
      </c>
    </row>
    <row r="17" spans="1:17" x14ac:dyDescent="0.2">
      <c r="A17" s="16"/>
      <c r="G17" s="35">
        <f>(G16/(1+$C$4))-IF(TableIncomeCalculations11[[#This Row],[Inverse]]="Y",G16*$C$6,0)</f>
        <v>63888.926219270012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72167</v>
      </c>
      <c r="O17" s="60" cm="1">
        <f t="array" ref="O17">INDEX($H$3:$H$18,ROWS($H$3:$H$18)+ROW($H$3)-ROW())</f>
        <v>72167</v>
      </c>
      <c r="Q17" s="63">
        <f>Table11[[#This Row],[GrossMonthlyInflationAdjustedP2]]*0.2</f>
        <v>14433.400000000001</v>
      </c>
    </row>
    <row r="18" spans="1:17" x14ac:dyDescent="0.2">
      <c r="A18" s="16"/>
      <c r="G18" s="35">
        <f>(G17/(1+$C$4))-IF(TableIncomeCalculations11[[#This Row],[Inverse]]="Y",G17*$C$6,0)</f>
        <v>63888.926219270012</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72167</v>
      </c>
      <c r="O18" s="60" cm="1">
        <f t="array" ref="O18">INDEX($H$3:$H$18,ROWS($H$3:$H$18)+ROW($H$3)-ROW())</f>
        <v>74332.009999999995</v>
      </c>
      <c r="Q18" s="63">
        <f>Table11[[#This Row],[GrossMonthlyInflationAdjustedP2]]*0.2</f>
        <v>14433.400000000001</v>
      </c>
    </row>
    <row r="19" spans="1:17" x14ac:dyDescent="0.2">
      <c r="A19" s="16"/>
      <c r="M19" s="62"/>
    </row>
    <row r="20" spans="1:17" x14ac:dyDescent="0.2">
      <c r="A20" s="16"/>
    </row>
    <row r="21" spans="1:17" x14ac:dyDescent="0.2">
      <c r="A21" s="16"/>
      <c r="Q21" s="63">
        <f>SUM(Q3:Q18)</f>
        <v>216214.791884362</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0.03</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280183.52609599999</v>
      </c>
      <c r="D3" s="37">
        <f>(TableIncomeCalculations[[#This Row],[NetMonthlySalaryP2]]*12)</f>
        <v>460002.95782640006</v>
      </c>
      <c r="E3" s="36">
        <f>TableIncome[[#This Row],[SalaryP1]]*$I$7</f>
        <v>56036.705219199997</v>
      </c>
      <c r="F3" s="36">
        <f>TableIncome[[#This Row],[SalaryP2]]*$I$7</f>
        <v>92000.591565280018</v>
      </c>
      <c r="G3" s="16"/>
      <c r="H3" s="14" t="s">
        <v>63</v>
      </c>
      <c r="I3" s="15" cm="1">
        <f t="array" ref="I3:I7">'Salary Variables'!$C$4:$C$8</f>
        <v>0.03</v>
      </c>
      <c r="K3" s="57">
        <f>(TableIncome[[#This Row],[SalaryP1]]-TableIncome[[#This Row],[InvestmentP1]])/12</f>
        <v>18678.901739733334</v>
      </c>
      <c r="L3" s="57">
        <f>(TableIncome[[#This Row],[SalaryP2]]-TableIncome[[#This Row],[InvestmentP2]])/12</f>
        <v>30666.863855093339</v>
      </c>
      <c r="M3" s="34">
        <f>'Net Salary P1'!BI2</f>
        <v>23348.627174666664</v>
      </c>
      <c r="N3" s="35">
        <f>'Net Salary P2'!BI2</f>
        <v>38333.579818866674</v>
      </c>
      <c r="O3" s="35">
        <f>TableIncomeCalculations[[#This Row],[GrossMonthlySalaryP1]]/(1+I2)</f>
        <v>43000</v>
      </c>
      <c r="P3" s="31">
        <f>TableIncomeCalculations[[#This Row],[GrossMonthlySalaryP2]]/(1+I2)</f>
        <v>72167</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280183.52609599999</v>
      </c>
      <c r="D4" s="37">
        <f>(TableIncomeCalculations[[#This Row],[NetMonthlySalaryP2]]*12)</f>
        <v>460002.95782640006</v>
      </c>
      <c r="E4" s="36">
        <f>TableIncome[[#This Row],[SalaryP1]]*$I$7</f>
        <v>56036.705219199997</v>
      </c>
      <c r="F4" s="36">
        <f>TableIncome[[#This Row],[SalaryP2]]*$I$7</f>
        <v>92000.591565280018</v>
      </c>
      <c r="G4" s="16"/>
      <c r="H4" s="14" t="s">
        <v>65</v>
      </c>
      <c r="I4" s="15">
        <v>0</v>
      </c>
      <c r="K4" s="57">
        <f>(TableIncome[[#This Row],[SalaryP1]]-TableIncome[[#This Row],[InvestmentP1]])/12</f>
        <v>18678.901739733334</v>
      </c>
      <c r="L4" s="57">
        <f>(TableIncome[[#This Row],[SalaryP2]]-TableIncome[[#This Row],[InvestmentP2]])/12</f>
        <v>30666.863855093339</v>
      </c>
      <c r="M4" s="34">
        <f>'Net Salary P1'!BI3</f>
        <v>23348.627174666664</v>
      </c>
      <c r="N4" s="35">
        <f>'Net Salary P2'!BI3</f>
        <v>38333.579818866674</v>
      </c>
      <c r="O4" s="35">
        <f>IF(_xlfn.XLOOKUP(TableIncome[[#This Row],[Year]],Loop!C:C,Loop!D:D)&lt;75,(O3*(1+$I$4))+IF(TableIncomeCalculations[[#This Row],[SwitchP1]]="Y",O3*$I$6,0),0)</f>
        <v>43000</v>
      </c>
      <c r="P4" s="35">
        <f>IF(_xlfn.XLOOKUP(TableIncome[[#This Row],[Year]],Loop!C:C,Loop!E:E)&lt;75,(P3*(1+$I$4))+IF(TableIncomeCalculations[[#This Row],[SwitchP2]]="Y",P3*$I$6,0),0)</f>
        <v>72167</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288705.77074399998</v>
      </c>
      <c r="D5" s="37">
        <f>(TableIncomeCalculations[[#This Row],[NetMonthlySalaryP2]]*12)</f>
        <v>470899.86710631195</v>
      </c>
      <c r="E5" s="36">
        <f>TableIncome[[#This Row],[SalaryP1]]*$I$7</f>
        <v>57741.1541488</v>
      </c>
      <c r="F5" s="36">
        <f>TableIncome[[#This Row],[SalaryP2]]*$I$7</f>
        <v>94179.973421262403</v>
      </c>
      <c r="G5" s="16"/>
      <c r="H5" s="14" t="s">
        <v>64</v>
      </c>
      <c r="I5" s="15">
        <v>0.06</v>
      </c>
      <c r="K5" s="57">
        <f>(TableIncome[[#This Row],[SalaryP1]]-TableIncome[[#This Row],[InvestmentP1]])/12</f>
        <v>19247.051382933332</v>
      </c>
      <c r="L5" s="57">
        <f>(TableIncome[[#This Row],[SalaryP2]]-TableIncome[[#This Row],[InvestmentP2]])/12</f>
        <v>31393.324473754128</v>
      </c>
      <c r="M5" s="34">
        <f>'Net Salary P1'!BI4</f>
        <v>24058.814228666666</v>
      </c>
      <c r="N5" s="35">
        <f>'Net Salary P2'!BI4</f>
        <v>39241.655592192663</v>
      </c>
      <c r="O5" s="35">
        <f>IF(_xlfn.XLOOKUP(TableIncome[[#This Row],[Year]],Loop!C:C,Loop!D:D)&lt;75,(O4*(1+$I$4))+IF(TableIncomeCalculations[[#This Row],[SwitchP1]]="Y",O4*$I$6,0),0)</f>
        <v>44290</v>
      </c>
      <c r="P5" s="35">
        <f>IF(_xlfn.XLOOKUP(TableIncome[[#This Row],[Year]],Loop!C:C,Loop!E:E)&lt;75,(P4*(1+$I$4))+IF(TableIncomeCalculations[[#This Row],[SwitchP2]]="Y",P4*$I$6,0),0)</f>
        <v>74332.009999999995</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288705.77074399998</v>
      </c>
      <c r="D6" s="37">
        <f>(TableIncomeCalculations[[#This Row],[NetMonthlySalaryP2]]*12)</f>
        <v>470899.86710631195</v>
      </c>
      <c r="E6" s="36">
        <f>TableIncome[[#This Row],[SalaryP1]]*$I$7</f>
        <v>57741.1541488</v>
      </c>
      <c r="F6" s="36">
        <f>TableIncome[[#This Row],[SalaryP2]]*$I$7</f>
        <v>94179.973421262403</v>
      </c>
      <c r="G6" s="16"/>
      <c r="H6" s="14" t="s">
        <v>175</v>
      </c>
      <c r="I6" s="15">
        <v>0.03</v>
      </c>
      <c r="K6" s="57">
        <f>(TableIncome[[#This Row],[SalaryP1]]-TableIncome[[#This Row],[InvestmentP1]])/12</f>
        <v>19247.051382933332</v>
      </c>
      <c r="L6" s="57">
        <f>(TableIncome[[#This Row],[SalaryP2]]-TableIncome[[#This Row],[InvestmentP2]])/12</f>
        <v>31393.324473754128</v>
      </c>
      <c r="M6" s="34">
        <f>'Net Salary P1'!BI5</f>
        <v>24058.814228666666</v>
      </c>
      <c r="N6" s="35">
        <f>'Net Salary P2'!BI5</f>
        <v>39241.655592192663</v>
      </c>
      <c r="O6" s="35">
        <f>IF(_xlfn.XLOOKUP(TableIncome[[#This Row],[Year]],Loop!C:C,Loop!D:D)&lt;75,(O5*(1+$I$4))+IF(TableIncomeCalculations[[#This Row],[SwitchP1]]="Y",O5*$I$6,0),0)</f>
        <v>44290</v>
      </c>
      <c r="P6" s="35">
        <f>IF(_xlfn.XLOOKUP(TableIncome[[#This Row],[Year]],Loop!C:C,Loop!E:E)&lt;75,(P5*(1+$I$4))+IF(TableIncomeCalculations[[#This Row],[SwitchP2]]="Y",P5*$I$6,0),0)</f>
        <v>74332.009999999995</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288705.77074399998</v>
      </c>
      <c r="D7" s="37">
        <f>(TableIncomeCalculations[[#This Row],[NetMonthlySalaryP2]]*12)</f>
        <v>470899.86710631195</v>
      </c>
      <c r="E7" s="36">
        <f>TableIncome[[#This Row],[SalaryP1]]*$I$7</f>
        <v>57741.1541488</v>
      </c>
      <c r="F7" s="36">
        <f>TableIncome[[#This Row],[SalaryP2]]*$I$7</f>
        <v>94179.973421262403</v>
      </c>
      <c r="G7" s="16"/>
      <c r="H7" s="14" t="s">
        <v>76</v>
      </c>
      <c r="I7" s="15">
        <v>0.2</v>
      </c>
      <c r="K7" s="57">
        <f>(TableIncome[[#This Row],[SalaryP1]]-TableIncome[[#This Row],[InvestmentP1]])/12</f>
        <v>19247.051382933332</v>
      </c>
      <c r="L7" s="57">
        <f>(TableIncome[[#This Row],[SalaryP2]]-TableIncome[[#This Row],[InvestmentP2]])/12</f>
        <v>31393.324473754128</v>
      </c>
      <c r="M7" s="34">
        <f>'Net Salary P1'!BI6</f>
        <v>24058.814228666666</v>
      </c>
      <c r="N7" s="35">
        <f>'Net Salary P2'!BI6</f>
        <v>39241.655592192663</v>
      </c>
      <c r="O7" s="35">
        <f>IF(_xlfn.XLOOKUP(TableIncome[[#This Row],[Year]],Loop!C:C,Loop!D:D)&lt;75,(O6*(1+$I$4))+IF(TableIncomeCalculations[[#This Row],[SwitchP1]]="Y",O6*$I$6,0),0)</f>
        <v>44290</v>
      </c>
      <c r="P7" s="35">
        <f>IF(_xlfn.XLOOKUP(TableIncome[[#This Row],[Year]],Loop!C:C,Loop!E:E)&lt;75,(P6*(1+$I$4))+IF(TableIncomeCalculations[[#This Row],[SwitchP2]]="Y",P6*$I$6,0),0)</f>
        <v>74332.009999999995</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288705.77074399998</v>
      </c>
      <c r="D8" s="37">
        <f>(TableIncomeCalculations[[#This Row],[NetMonthlySalaryP2]]*12)</f>
        <v>470899.86710631195</v>
      </c>
      <c r="E8" s="36">
        <f>TableIncome[[#This Row],[SalaryP1]]*$I$7</f>
        <v>57741.1541488</v>
      </c>
      <c r="F8" s="36">
        <f>TableIncome[[#This Row],[SalaryP2]]*$I$7</f>
        <v>94179.973421262403</v>
      </c>
      <c r="G8" s="16"/>
      <c r="I8" s="17"/>
      <c r="K8" s="57">
        <f>(TableIncome[[#This Row],[SalaryP1]]-TableIncome[[#This Row],[InvestmentP1]])/12</f>
        <v>19247.051382933332</v>
      </c>
      <c r="L8" s="57">
        <f>(TableIncome[[#This Row],[SalaryP2]]-TableIncome[[#This Row],[InvestmentP2]])/12</f>
        <v>31393.324473754128</v>
      </c>
      <c r="M8" s="34">
        <f>'Net Salary P1'!BI7</f>
        <v>24058.814228666666</v>
      </c>
      <c r="N8" s="35">
        <f>'Net Salary P2'!BI7</f>
        <v>39241.655592192663</v>
      </c>
      <c r="O8" s="35">
        <f>IF(_xlfn.XLOOKUP(TableIncome[[#This Row],[Year]],Loop!C:C,Loop!D:D)&lt;75,(O7*(1+$I$4))+IF(TableIncomeCalculations[[#This Row],[SwitchP1]]="Y",O7*$I$6,0),0)</f>
        <v>44290</v>
      </c>
      <c r="P8" s="35">
        <f>IF(_xlfn.XLOOKUP(TableIncome[[#This Row],[Year]],Loop!C:C,Loop!E:E)&lt;75,(P7*(1+$I$4))+IF(TableIncomeCalculations[[#This Row],[SwitchP2]]="Y",P7*$I$6,0),0)</f>
        <v>74332.009999999995</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297483.68273143994</v>
      </c>
      <c r="D9" s="37">
        <f>(TableIncomeCalculations[[#This Row],[NetMonthlySalaryP2]]*12)</f>
        <v>482123.68366462132</v>
      </c>
      <c r="E9" s="36">
        <f>TableIncome[[#This Row],[SalaryP1]]*$I$7</f>
        <v>59496.73654628799</v>
      </c>
      <c r="F9" s="36">
        <f>TableIncome[[#This Row],[SalaryP2]]*$I$7</f>
        <v>96424.73673292427</v>
      </c>
      <c r="G9" s="16"/>
      <c r="K9" s="57">
        <f>(TableIncome[[#This Row],[SalaryP1]]-TableIncome[[#This Row],[InvestmentP1]])/12</f>
        <v>19832.245515429331</v>
      </c>
      <c r="L9" s="57">
        <f>(TableIncome[[#This Row],[SalaryP2]]-TableIncome[[#This Row],[InvestmentP2]])/12</f>
        <v>32141.578910974757</v>
      </c>
      <c r="M9" s="34">
        <f>'Net Salary P1'!BI8</f>
        <v>24790.306894286663</v>
      </c>
      <c r="N9" s="35">
        <f>'Net Salary P2'!BI8</f>
        <v>40176.973638718446</v>
      </c>
      <c r="O9" s="35">
        <f>IF(_xlfn.XLOOKUP(TableIncome[[#This Row],[Year]],Loop!C:C,Loop!D:D)&lt;75,(O8*(1+$I$4))+IF(TableIncomeCalculations[[#This Row],[SwitchP1]]="Y",O8*$I$6,0),0)</f>
        <v>45618.7</v>
      </c>
      <c r="P9" s="35">
        <f>IF(_xlfn.XLOOKUP(TableIncome[[#This Row],[Year]],Loop!C:C,Loop!E:E)&lt;75,(P8*(1+$I$4))+IF(TableIncomeCalculations[[#This Row],[SwitchP2]]="Y",P8*$I$6,0),0)</f>
        <v>76561.970300000001</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297483.68273143994</v>
      </c>
      <c r="D10" s="37">
        <f>(TableIncomeCalculations[[#This Row],[NetMonthlySalaryP2]]*12)</f>
        <v>482123.68366462132</v>
      </c>
      <c r="E10" s="36">
        <f>TableIncome[[#This Row],[SalaryP1]]*$I$7</f>
        <v>59496.73654628799</v>
      </c>
      <c r="F10" s="36">
        <f>TableIncome[[#This Row],[SalaryP2]]*$I$7</f>
        <v>96424.73673292427</v>
      </c>
      <c r="G10" s="16"/>
      <c r="H10" s="28"/>
      <c r="K10" s="57">
        <f>(TableIncome[[#This Row],[SalaryP1]]-TableIncome[[#This Row],[InvestmentP1]])/12</f>
        <v>19832.245515429331</v>
      </c>
      <c r="L10" s="57">
        <f>(TableIncome[[#This Row],[SalaryP2]]-TableIncome[[#This Row],[InvestmentP2]])/12</f>
        <v>32141.578910974757</v>
      </c>
      <c r="M10" s="34">
        <f>'Net Salary P1'!BI9</f>
        <v>24790.306894286663</v>
      </c>
      <c r="N10" s="35">
        <f>'Net Salary P2'!BI9</f>
        <v>40176.973638718446</v>
      </c>
      <c r="O10" s="35">
        <f>IF(_xlfn.XLOOKUP(TableIncome[[#This Row],[Year]],Loop!C:C,Loop!D:D)&lt;75,(O9*(1+$I$4))+IF(TableIncomeCalculations[[#This Row],[SwitchP1]]="Y",O9*$I$6,0),0)</f>
        <v>45618.7</v>
      </c>
      <c r="P10" s="35">
        <f>IF(_xlfn.XLOOKUP(TableIncome[[#This Row],[Year]],Loop!C:C,Loop!E:E)&lt;75,(P9*(1+$I$4))+IF(TableIncomeCalculations[[#This Row],[SwitchP2]]="Y",P9*$I$6,0),0)</f>
        <v>76561.970300000001</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297483.68273143994</v>
      </c>
      <c r="D11" s="37">
        <f>(TableIncomeCalculations[[#This Row],[NetMonthlySalaryP2]]*12)</f>
        <v>482123.68366462132</v>
      </c>
      <c r="E11" s="36">
        <f>TableIncome[[#This Row],[SalaryP1]]*$I$7</f>
        <v>59496.73654628799</v>
      </c>
      <c r="F11" s="36">
        <f>TableIncome[[#This Row],[SalaryP2]]*$I$7</f>
        <v>96424.73673292427</v>
      </c>
      <c r="G11" s="16"/>
      <c r="K11" s="57">
        <f>(TableIncome[[#This Row],[SalaryP1]]-TableIncome[[#This Row],[InvestmentP1]])/12</f>
        <v>19832.245515429331</v>
      </c>
      <c r="L11" s="57">
        <f>(TableIncome[[#This Row],[SalaryP2]]-TableIncome[[#This Row],[InvestmentP2]])/12</f>
        <v>32141.578910974757</v>
      </c>
      <c r="M11" s="34">
        <f>'Net Salary P1'!BI10</f>
        <v>24790.306894286663</v>
      </c>
      <c r="N11" s="35">
        <f>'Net Salary P2'!BI10</f>
        <v>40176.973638718446</v>
      </c>
      <c r="O11" s="35">
        <f>IF(_xlfn.XLOOKUP(TableIncome[[#This Row],[Year]],Loop!C:C,Loop!D:D)&lt;75,(O10*(1+$I$4))+IF(TableIncomeCalculations[[#This Row],[SwitchP1]]="Y",O10*$I$6,0),0)</f>
        <v>45618.7</v>
      </c>
      <c r="P11" s="35">
        <f>IF(_xlfn.XLOOKUP(TableIncome[[#This Row],[Year]],Loop!C:C,Loop!E:E)&lt;75,(P10*(1+$I$4))+IF(TableIncomeCalculations[[#This Row],[SwitchP2]]="Y",P10*$I$6,0),0)</f>
        <v>76561.970300000001</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297483.68273143994</v>
      </c>
      <c r="D12" s="37">
        <f>(TableIncomeCalculations[[#This Row],[NetMonthlySalaryP2]]*12)</f>
        <v>482123.68366462132</v>
      </c>
      <c r="E12" s="36">
        <f>TableIncome[[#This Row],[SalaryP1]]*$I$7</f>
        <v>59496.73654628799</v>
      </c>
      <c r="F12" s="36">
        <f>TableIncome[[#This Row],[SalaryP2]]*$I$7</f>
        <v>96424.73673292427</v>
      </c>
      <c r="G12" s="16"/>
      <c r="K12" s="57">
        <f>(TableIncome[[#This Row],[SalaryP1]]-TableIncome[[#This Row],[InvestmentP1]])/12</f>
        <v>19832.245515429331</v>
      </c>
      <c r="L12" s="57">
        <f>(TableIncome[[#This Row],[SalaryP2]]-TableIncome[[#This Row],[InvestmentP2]])/12</f>
        <v>32141.578910974757</v>
      </c>
      <c r="M12" s="34">
        <f>'Net Salary P1'!BI11</f>
        <v>24790.306894286663</v>
      </c>
      <c r="N12" s="35">
        <f>'Net Salary P2'!BI11</f>
        <v>40176.973638718446</v>
      </c>
      <c r="O12" s="35">
        <f>IF(_xlfn.XLOOKUP(TableIncome[[#This Row],[Year]],Loop!C:C,Loop!D:D)&lt;75,(O11*(1+$I$4))+IF(TableIncomeCalculations[[#This Row],[SwitchP1]]="Y",O11*$I$6,0),0)</f>
        <v>45618.7</v>
      </c>
      <c r="P12" s="35">
        <f>IF(_xlfn.XLOOKUP(TableIncome[[#This Row],[Year]],Loop!C:C,Loop!E:E)&lt;75,(P11*(1+$I$4))+IF(TableIncomeCalculations[[#This Row],[SwitchP2]]="Y",P11*$I$6,0),0)</f>
        <v>76561.970300000001</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306524.93207850319</v>
      </c>
      <c r="D13" s="37">
        <f>(TableIncomeCalculations[[#This Row],[NetMonthlySalaryP2]]*12)</f>
        <v>493684.21471968002</v>
      </c>
      <c r="E13" s="36">
        <f>TableIncome[[#This Row],[SalaryP1]]*$I$7</f>
        <v>61304.986415700638</v>
      </c>
      <c r="F13" s="36">
        <f>TableIncome[[#This Row],[SalaryP2]]*$I$7</f>
        <v>98736.842943936004</v>
      </c>
      <c r="G13" s="16"/>
      <c r="K13" s="57">
        <f>(TableIncome[[#This Row],[SalaryP1]]-TableIncome[[#This Row],[InvestmentP1]])/12</f>
        <v>20434.995471900213</v>
      </c>
      <c r="L13" s="57">
        <f>(TableIncome[[#This Row],[SalaryP2]]-TableIncome[[#This Row],[InvestmentP2]])/12</f>
        <v>32912.280981312004</v>
      </c>
      <c r="M13" s="34">
        <f>'Net Salary P1'!BI12</f>
        <v>25543.744339875266</v>
      </c>
      <c r="N13" s="35">
        <f>'Net Salary P2'!BI12</f>
        <v>41140.351226639999</v>
      </c>
      <c r="O13" s="35">
        <f>IF(_xlfn.XLOOKUP(TableIncome[[#This Row],[Year]],Loop!C:C,Loop!D:D)&lt;75,(O12*(1+$I$4))+IF(TableIncomeCalculations[[#This Row],[SwitchP1]]="Y",O12*$I$6,0),0)</f>
        <v>46987.260999999999</v>
      </c>
      <c r="P13" s="35">
        <f>IF(_xlfn.XLOOKUP(TableIncome[[#This Row],[Year]],Loop!C:C,Loop!E:E)&lt;75,(P12*(1+$I$4))+IF(TableIncomeCalculations[[#This Row],[SwitchP2]]="Y",P12*$I$6,0),0)</f>
        <v>78858.829408999998</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306524.93207850319</v>
      </c>
      <c r="D14" s="37">
        <f>(TableIncomeCalculations[[#This Row],[NetMonthlySalaryP2]]*12)</f>
        <v>493684.21471968002</v>
      </c>
      <c r="E14" s="36">
        <f>TableIncome[[#This Row],[SalaryP1]]*$I$7</f>
        <v>61304.986415700638</v>
      </c>
      <c r="F14" s="36">
        <f>TableIncome[[#This Row],[SalaryP2]]*$I$7</f>
        <v>98736.842943936004</v>
      </c>
      <c r="G14" s="16"/>
      <c r="K14" s="57">
        <f>(TableIncome[[#This Row],[SalaryP1]]-TableIncome[[#This Row],[InvestmentP1]])/12</f>
        <v>20434.995471900213</v>
      </c>
      <c r="L14" s="57">
        <f>(TableIncome[[#This Row],[SalaryP2]]-TableIncome[[#This Row],[InvestmentP2]])/12</f>
        <v>32912.280981312004</v>
      </c>
      <c r="M14" s="34">
        <f>'Net Salary P1'!BI13</f>
        <v>25543.744339875266</v>
      </c>
      <c r="N14" s="35">
        <f>'Net Salary P2'!BI13</f>
        <v>41140.351226639999</v>
      </c>
      <c r="O14" s="35">
        <f>IF(_xlfn.XLOOKUP(TableIncome[[#This Row],[Year]],Loop!C:C,Loop!D:D)&lt;75,(O13*(1+$I$4))+IF(TableIncomeCalculations[[#This Row],[SwitchP1]]="Y",O13*$I$6,0),0)</f>
        <v>46987.260999999999</v>
      </c>
      <c r="P14" s="35">
        <f>IF(_xlfn.XLOOKUP(TableIncome[[#This Row],[Year]],Loop!C:C,Loop!E:E)&lt;75,(P13*(1+$I$4))+IF(TableIncomeCalculations[[#This Row],[SwitchP2]]="Y",P13*$I$6,0),0)</f>
        <v>78858.829408999998</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306524.93207850319</v>
      </c>
      <c r="D15" s="37">
        <f>(TableIncomeCalculations[[#This Row],[NetMonthlySalaryP2]]*12)</f>
        <v>493684.21471968002</v>
      </c>
      <c r="E15" s="36">
        <f>TableIncome[[#This Row],[SalaryP1]]*$I$7</f>
        <v>61304.986415700638</v>
      </c>
      <c r="F15" s="36">
        <f>TableIncome[[#This Row],[SalaryP2]]*$I$7</f>
        <v>98736.842943936004</v>
      </c>
      <c r="G15" s="16"/>
      <c r="K15" s="57">
        <f>(TableIncome[[#This Row],[SalaryP1]]-TableIncome[[#This Row],[InvestmentP1]])/12</f>
        <v>20434.995471900213</v>
      </c>
      <c r="L15" s="57">
        <f>(TableIncome[[#This Row],[SalaryP2]]-TableIncome[[#This Row],[InvestmentP2]])/12</f>
        <v>32912.280981312004</v>
      </c>
      <c r="M15" s="34">
        <f>'Net Salary P1'!BI14</f>
        <v>25543.744339875266</v>
      </c>
      <c r="N15" s="35">
        <f>'Net Salary P2'!BI14</f>
        <v>41140.351226639999</v>
      </c>
      <c r="O15" s="35">
        <f>IF(_xlfn.XLOOKUP(TableIncome[[#This Row],[Year]],Loop!C:C,Loop!D:D)&lt;75,(O14*(1+$I$4))+IF(TableIncomeCalculations[[#This Row],[SwitchP1]]="Y",O14*$I$6,0),0)</f>
        <v>46987.260999999999</v>
      </c>
      <c r="P15" s="35">
        <f>IF(_xlfn.XLOOKUP(TableIncome[[#This Row],[Year]],Loop!C:C,Loop!E:E)&lt;75,(P14*(1+$I$4))+IF(TableIncomeCalculations[[#This Row],[SwitchP2]]="Y",P14*$I$6,0),0)</f>
        <v>78858.829408999998</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315837.41890597832</v>
      </c>
      <c r="D16" s="37">
        <f>(TableIncomeCalculations[[#This Row],[NetMonthlySalaryP2]]*12)</f>
        <v>505591.56170639035</v>
      </c>
      <c r="E16" s="36">
        <f>TableIncome[[#This Row],[SalaryP1]]*$I$7</f>
        <v>63167.483781195668</v>
      </c>
      <c r="F16" s="36">
        <f>TableIncome[[#This Row],[SalaryP2]]*$I$7</f>
        <v>101118.31234127807</v>
      </c>
      <c r="G16" s="16"/>
      <c r="K16" s="57">
        <f>(TableIncome[[#This Row],[SalaryP1]]-TableIncome[[#This Row],[InvestmentP1]])/12</f>
        <v>21055.827927065224</v>
      </c>
      <c r="L16" s="57">
        <f>(TableIncome[[#This Row],[SalaryP2]]-TableIncome[[#This Row],[InvestmentP2]])/12</f>
        <v>33706.104113759357</v>
      </c>
      <c r="M16" s="34">
        <f>'Net Salary P1'!BI15</f>
        <v>26319.784908831527</v>
      </c>
      <c r="N16" s="35">
        <f>'Net Salary P2'!BI15</f>
        <v>42132.630142199196</v>
      </c>
      <c r="O16" s="35">
        <f>IF(_xlfn.XLOOKUP(TableIncome[[#This Row],[Year]],Loop!C:C,Loop!D:D)&lt;75,(O15*(1+$I$4))+IF(TableIncomeCalculations[[#This Row],[SwitchP1]]="Y",O15*$I$6,0),0)</f>
        <v>48396.878830000001</v>
      </c>
      <c r="P16" s="35">
        <f>IF(_xlfn.XLOOKUP(TableIncome[[#This Row],[Year]],Loop!C:C,Loop!E:E)&lt;75,(P15*(1+$I$4))+IF(TableIncomeCalculations[[#This Row],[SwitchP2]]="Y",P15*$I$6,0),0)</f>
        <v>81224.594291269997</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315837.41890597832</v>
      </c>
      <c r="D17" s="37">
        <f>(TableIncomeCalculations[[#This Row],[NetMonthlySalaryP2]]*12)</f>
        <v>505591.56170639035</v>
      </c>
      <c r="E17" s="36">
        <f>TableIncome[[#This Row],[SalaryP1]]*$I$7</f>
        <v>63167.483781195668</v>
      </c>
      <c r="F17" s="36">
        <f>TableIncome[[#This Row],[SalaryP2]]*$I$7</f>
        <v>101118.31234127807</v>
      </c>
      <c r="G17" s="16"/>
      <c r="K17" s="57">
        <f>(TableIncome[[#This Row],[SalaryP1]]-TableIncome[[#This Row],[InvestmentP1]])/12</f>
        <v>21055.827927065224</v>
      </c>
      <c r="L17" s="57">
        <f>(TableIncome[[#This Row],[SalaryP2]]-TableIncome[[#This Row],[InvestmentP2]])/12</f>
        <v>33706.104113759357</v>
      </c>
      <c r="M17" s="34">
        <f>'Net Salary P1'!BI16</f>
        <v>26319.784908831527</v>
      </c>
      <c r="N17" s="35">
        <f>'Net Salary P2'!BI16</f>
        <v>42132.630142199196</v>
      </c>
      <c r="O17" s="35">
        <f>IF(_xlfn.XLOOKUP(TableIncome[[#This Row],[Year]],Loop!C:C,Loop!D:D)&lt;75,(O16*(1+$I$4))+IF(TableIncomeCalculations[[#This Row],[SwitchP1]]="Y",O16*$I$6,0),0)</f>
        <v>48396.878830000001</v>
      </c>
      <c r="P17" s="35">
        <f>IF(_xlfn.XLOOKUP(TableIncome[[#This Row],[Year]],Loop!C:C,Loop!E:E)&lt;75,(P16*(1+$I$4))+IF(TableIncomeCalculations[[#This Row],[SwitchP2]]="Y",P16*$I$6,0),0)</f>
        <v>81224.594291269997</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315837.41890597832</v>
      </c>
      <c r="D18" s="37">
        <f>(TableIncomeCalculations[[#This Row],[NetMonthlySalaryP2]]*12)</f>
        <v>505591.56170639035</v>
      </c>
      <c r="E18" s="36">
        <f>TableIncome[[#This Row],[SalaryP1]]*$I$7</f>
        <v>63167.483781195668</v>
      </c>
      <c r="F18" s="36">
        <f>TableIncome[[#This Row],[SalaryP2]]*$I$7</f>
        <v>101118.31234127807</v>
      </c>
      <c r="G18" s="16"/>
      <c r="K18" s="57">
        <f>(TableIncome[[#This Row],[SalaryP1]]-TableIncome[[#This Row],[InvestmentP1]])/12</f>
        <v>21055.827927065224</v>
      </c>
      <c r="L18" s="57">
        <f>(TableIncome[[#This Row],[SalaryP2]]-TableIncome[[#This Row],[InvestmentP2]])/12</f>
        <v>33706.104113759357</v>
      </c>
      <c r="M18" s="34">
        <f>'Net Salary P1'!BI17</f>
        <v>26319.784908831527</v>
      </c>
      <c r="N18" s="35">
        <f>'Net Salary P2'!BI17</f>
        <v>42132.630142199196</v>
      </c>
      <c r="O18" s="35">
        <f>IF(_xlfn.XLOOKUP(TableIncome[[#This Row],[Year]],Loop!C:C,Loop!D:D)&lt;75,(O17*(1+$I$4))+IF(TableIncomeCalculations[[#This Row],[SwitchP1]]="Y",O17*$I$6,0),0)</f>
        <v>48396.878830000001</v>
      </c>
      <c r="P18" s="35">
        <f>IF(_xlfn.XLOOKUP(TableIncome[[#This Row],[Year]],Loop!C:C,Loop!E:E)&lt;75,(P17*(1+$I$4))+IF(TableIncomeCalculations[[#This Row],[SwitchP2]]="Y",P17*$I$6,0),0)</f>
        <v>81224.594291269997</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315837.41890597832</v>
      </c>
      <c r="D19" s="37">
        <f>(TableIncomeCalculations[[#This Row],[NetMonthlySalaryP2]]*12)</f>
        <v>505591.56170639035</v>
      </c>
      <c r="E19" s="36">
        <f>TableIncome[[#This Row],[SalaryP1]]*$I$7</f>
        <v>63167.483781195668</v>
      </c>
      <c r="F19" s="36">
        <f>TableIncome[[#This Row],[SalaryP2]]*$I$7</f>
        <v>101118.31234127807</v>
      </c>
      <c r="G19" s="16"/>
      <c r="K19" s="57">
        <f>(TableIncome[[#This Row],[SalaryP1]]-TableIncome[[#This Row],[InvestmentP1]])/12</f>
        <v>21055.827927065224</v>
      </c>
      <c r="L19" s="57">
        <f>(TableIncome[[#This Row],[SalaryP2]]-TableIncome[[#This Row],[InvestmentP2]])/12</f>
        <v>33706.104113759357</v>
      </c>
      <c r="M19" s="34">
        <f>'Net Salary P1'!BI18</f>
        <v>26319.784908831527</v>
      </c>
      <c r="N19" s="35">
        <f>'Net Salary P2'!BI18</f>
        <v>42132.630142199196</v>
      </c>
      <c r="O19" s="35">
        <f>IF(_xlfn.XLOOKUP(TableIncome[[#This Row],[Year]],Loop!C:C,Loop!D:D)&lt;75,(O18*(1+$I$4))+IF(TableIncomeCalculations[[#This Row],[SwitchP1]]="Y",O18*$I$6,0),0)</f>
        <v>48396.878830000001</v>
      </c>
      <c r="P19" s="35">
        <f>IF(_xlfn.XLOOKUP(TableIncome[[#This Row],[Year]],Loop!C:C,Loop!E:E)&lt;75,(P18*(1+$I$4))+IF(TableIncomeCalculations[[#This Row],[SwitchP2]]="Y",P18*$I$6,0),0)</f>
        <v>81224.594291269997</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315837.41890597832</v>
      </c>
      <c r="D20" s="37">
        <f>(TableIncomeCalculations[[#This Row],[NetMonthlySalaryP2]]*12)</f>
        <v>505591.56170639035</v>
      </c>
      <c r="E20" s="36">
        <f>TableIncome[[#This Row],[SalaryP1]]*$I$7</f>
        <v>63167.483781195668</v>
      </c>
      <c r="F20" s="36">
        <f>TableIncome[[#This Row],[SalaryP2]]*$I$7</f>
        <v>101118.31234127807</v>
      </c>
      <c r="G20" s="16"/>
      <c r="K20" s="57">
        <f>(TableIncome[[#This Row],[SalaryP1]]-TableIncome[[#This Row],[InvestmentP1]])/12</f>
        <v>21055.827927065224</v>
      </c>
      <c r="L20" s="57">
        <f>(TableIncome[[#This Row],[SalaryP2]]-TableIncome[[#This Row],[InvestmentP2]])/12</f>
        <v>33706.104113759357</v>
      </c>
      <c r="M20" s="34">
        <f>'Net Salary P1'!BI19</f>
        <v>26319.784908831527</v>
      </c>
      <c r="N20" s="35">
        <f>'Net Salary P2'!BI19</f>
        <v>42132.630142199196</v>
      </c>
      <c r="O20" s="35">
        <f>IF(_xlfn.XLOOKUP(TableIncome[[#This Row],[Year]],Loop!C:C,Loop!D:D)&lt;75,(O19*(1+$I$4))+IF(TableIncomeCalculations[[#This Row],[SwitchP1]]="Y",O19*$I$6,0),0)</f>
        <v>48396.878830000001</v>
      </c>
      <c r="P20" s="35">
        <f>IF(_xlfn.XLOOKUP(TableIncome[[#This Row],[Year]],Loop!C:C,Loop!E:E)&lt;75,(P19*(1+$I$4))+IF(TableIncomeCalculations[[#This Row],[SwitchP2]]="Y",P19*$I$6,0),0)</f>
        <v>81224.594291269997</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325429.28033827769</v>
      </c>
      <c r="D21" s="37">
        <f>(TableIncomeCalculations[[#This Row],[NetMonthlySalaryP2]]*12)</f>
        <v>517856.12910270214</v>
      </c>
      <c r="E21" s="36">
        <f>TableIncome[[#This Row],[SalaryP1]]*$I$7</f>
        <v>65085.856067655543</v>
      </c>
      <c r="F21" s="36">
        <f>TableIncome[[#This Row],[SalaryP2]]*$I$7</f>
        <v>103571.22582054044</v>
      </c>
      <c r="G21" s="16"/>
      <c r="K21" s="57">
        <f>(TableIncome[[#This Row],[SalaryP1]]-TableIncome[[#This Row],[InvestmentP1]])/12</f>
        <v>21695.285355885178</v>
      </c>
      <c r="L21" s="57">
        <f>(TableIncome[[#This Row],[SalaryP2]]-TableIncome[[#This Row],[InvestmentP2]])/12</f>
        <v>34523.741940180138</v>
      </c>
      <c r="M21" s="34">
        <f>'Net Salary P1'!BI20</f>
        <v>27119.106694856473</v>
      </c>
      <c r="N21" s="35">
        <f>'Net Salary P2'!BI20</f>
        <v>43154.677425225178</v>
      </c>
      <c r="O21" s="35">
        <f>IF(_xlfn.XLOOKUP(TableIncome[[#This Row],[Year]],Loop!C:C,Loop!D:D)&lt;75,(O20*(1+$I$4))+IF(TableIncomeCalculations[[#This Row],[SwitchP1]]="Y",O20*$I$6,0),0)</f>
        <v>49848.785194900003</v>
      </c>
      <c r="P21" s="35">
        <f>IF(_xlfn.XLOOKUP(TableIncome[[#This Row],[Year]],Loop!C:C,Loop!E:E)&lt;75,(P20*(1+$I$4))+IF(TableIncomeCalculations[[#This Row],[SwitchP2]]="Y",P20*$I$6,0),0)</f>
        <v>83661.332120008097</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325429.28033827769</v>
      </c>
      <c r="D22" s="37">
        <f>(TableIncomeCalculations[[#This Row],[NetMonthlySalaryP2]]*12)</f>
        <v>517856.12910270214</v>
      </c>
      <c r="E22" s="36">
        <f>TableIncome[[#This Row],[SalaryP1]]*$I$7</f>
        <v>65085.856067655543</v>
      </c>
      <c r="F22" s="36">
        <f>TableIncome[[#This Row],[SalaryP2]]*$I$7</f>
        <v>103571.22582054044</v>
      </c>
      <c r="G22" s="16"/>
      <c r="K22" s="57">
        <f>(TableIncome[[#This Row],[SalaryP1]]-TableIncome[[#This Row],[InvestmentP1]])/12</f>
        <v>21695.285355885178</v>
      </c>
      <c r="L22" s="57">
        <f>(TableIncome[[#This Row],[SalaryP2]]-TableIncome[[#This Row],[InvestmentP2]])/12</f>
        <v>34523.741940180138</v>
      </c>
      <c r="M22" s="34">
        <f>'Net Salary P1'!BI21</f>
        <v>27119.106694856473</v>
      </c>
      <c r="N22" s="35">
        <f>'Net Salary P2'!BI21</f>
        <v>43154.677425225178</v>
      </c>
      <c r="O22" s="35">
        <f>IF(_xlfn.XLOOKUP(TableIncome[[#This Row],[Year]],Loop!C:C,Loop!D:D)&lt;75,(O21*(1+$I$4))+IF(TableIncomeCalculations[[#This Row],[SwitchP1]]="Y",O21*$I$6,0),0)</f>
        <v>49848.785194900003</v>
      </c>
      <c r="P22" s="35">
        <f>IF(_xlfn.XLOOKUP(TableIncome[[#This Row],[Year]],Loop!C:C,Loop!E:E)&lt;75,(P21*(1+$I$4))+IF(TableIncomeCalculations[[#This Row],[SwitchP2]]="Y",P21*$I$6,0),0)</f>
        <v>83661.332120008097</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325429.28033827769</v>
      </c>
      <c r="D23" s="37">
        <f>(TableIncomeCalculations[[#This Row],[NetMonthlySalaryP2]]*12)</f>
        <v>517856.12910270214</v>
      </c>
      <c r="E23" s="36">
        <f>TableIncome[[#This Row],[SalaryP1]]*$I$7</f>
        <v>65085.856067655543</v>
      </c>
      <c r="F23" s="36">
        <f>TableIncome[[#This Row],[SalaryP2]]*$I$7</f>
        <v>103571.22582054044</v>
      </c>
      <c r="G23" s="16"/>
      <c r="K23" s="57">
        <f>(TableIncome[[#This Row],[SalaryP1]]-TableIncome[[#This Row],[InvestmentP1]])/12</f>
        <v>21695.285355885178</v>
      </c>
      <c r="L23" s="57">
        <f>(TableIncome[[#This Row],[SalaryP2]]-TableIncome[[#This Row],[InvestmentP2]])/12</f>
        <v>34523.741940180138</v>
      </c>
      <c r="M23" s="34">
        <f>'Net Salary P1'!BI22</f>
        <v>27119.106694856473</v>
      </c>
      <c r="N23" s="35">
        <f>'Net Salary P2'!BI22</f>
        <v>43154.677425225178</v>
      </c>
      <c r="O23" s="35">
        <f>IF(_xlfn.XLOOKUP(TableIncome[[#This Row],[Year]],Loop!C:C,Loop!D:D)&lt;75,(O22*(1+$I$4))+IF(TableIncomeCalculations[[#This Row],[SwitchP1]]="Y",O22*$I$6,0),0)</f>
        <v>49848.785194900003</v>
      </c>
      <c r="P23" s="35">
        <f>IF(_xlfn.XLOOKUP(TableIncome[[#This Row],[Year]],Loop!C:C,Loop!E:E)&lt;75,(P22*(1+$I$4))+IF(TableIncomeCalculations[[#This Row],[SwitchP2]]="Y",P22*$I$6,0),0)</f>
        <v>83661.332120008097</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325429.28033827769</v>
      </c>
      <c r="D24" s="37">
        <f>(TableIncomeCalculations[[#This Row],[NetMonthlySalaryP2]]*12)</f>
        <v>517856.12910270214</v>
      </c>
      <c r="E24" s="36">
        <f>TableIncome[[#This Row],[SalaryP1]]*$I$7</f>
        <v>65085.856067655543</v>
      </c>
      <c r="F24" s="36">
        <f>TableIncome[[#This Row],[SalaryP2]]*$I$7</f>
        <v>103571.22582054044</v>
      </c>
      <c r="G24" s="16"/>
      <c r="K24" s="57">
        <f>(TableIncome[[#This Row],[SalaryP1]]-TableIncome[[#This Row],[InvestmentP1]])/12</f>
        <v>21695.285355885178</v>
      </c>
      <c r="L24" s="57">
        <f>(TableIncome[[#This Row],[SalaryP2]]-TableIncome[[#This Row],[InvestmentP2]])/12</f>
        <v>34523.741940180138</v>
      </c>
      <c r="M24" s="34">
        <f>'Net Salary P1'!BI23</f>
        <v>27119.106694856473</v>
      </c>
      <c r="N24" s="35">
        <f>'Net Salary P2'!BI23</f>
        <v>43154.677425225178</v>
      </c>
      <c r="O24" s="35">
        <f>IF(_xlfn.XLOOKUP(TableIncome[[#This Row],[Year]],Loop!C:C,Loop!D:D)&lt;75,(O23*(1+$I$4))+IF(TableIncomeCalculations[[#This Row],[SwitchP1]]="Y",O23*$I$6,0),0)</f>
        <v>49848.785194900003</v>
      </c>
      <c r="P24" s="35">
        <f>IF(_xlfn.XLOOKUP(TableIncome[[#This Row],[Year]],Loop!C:C,Loop!E:E)&lt;75,(P23*(1+$I$4))+IF(TableIncomeCalculations[[#This Row],[SwitchP2]]="Y",P23*$I$6,0),0)</f>
        <v>83661.332120008097</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335308.897613546</v>
      </c>
      <c r="D25" s="37">
        <f>(TableIncomeCalculations[[#This Row],[NetMonthlySalaryP2]]*12)</f>
        <v>530488.63352090318</v>
      </c>
      <c r="E25" s="36">
        <f>TableIncome[[#This Row],[SalaryP1]]*$I$7</f>
        <v>67061.779522709199</v>
      </c>
      <c r="F25" s="36">
        <f>TableIncome[[#This Row],[SalaryP2]]*$I$7</f>
        <v>106097.72670418065</v>
      </c>
      <c r="G25" s="16"/>
      <c r="K25" s="57">
        <f>(TableIncome[[#This Row],[SalaryP1]]-TableIncome[[#This Row],[InvestmentP1]])/12</f>
        <v>22353.926507569733</v>
      </c>
      <c r="L25" s="57">
        <f>(TableIncome[[#This Row],[SalaryP2]]-TableIncome[[#This Row],[InvestmentP2]])/12</f>
        <v>35365.908901393545</v>
      </c>
      <c r="M25" s="34">
        <f>'Net Salary P1'!BI24</f>
        <v>27942.408134462166</v>
      </c>
      <c r="N25" s="35">
        <f>'Net Salary P2'!BI24</f>
        <v>44207.386126741934</v>
      </c>
      <c r="O25" s="35">
        <f>IF(_xlfn.XLOOKUP(TableIncome[[#This Row],[Year]],Loop!C:C,Loop!D:D)&lt;75,(O24*(1+$I$4))+IF(TableIncomeCalculations[[#This Row],[SwitchP1]]="Y",O24*$I$6,0),0)</f>
        <v>51344.248750747007</v>
      </c>
      <c r="P25" s="35">
        <f>IF(_xlfn.XLOOKUP(TableIncome[[#This Row],[Year]],Loop!C:C,Loop!E:E)&lt;75,(P24*(1+$I$4))+IF(TableIncomeCalculations[[#This Row],[SwitchP2]]="Y",P24*$I$6,0),0)</f>
        <v>86171.17208360834</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335308.897613546</v>
      </c>
      <c r="D26" s="37">
        <f>(TableIncomeCalculations[[#This Row],[NetMonthlySalaryP2]]*12)</f>
        <v>530488.63352090318</v>
      </c>
      <c r="E26" s="36">
        <f>TableIncome[[#This Row],[SalaryP1]]*$I$7</f>
        <v>67061.779522709199</v>
      </c>
      <c r="F26" s="36">
        <f>TableIncome[[#This Row],[SalaryP2]]*$I$7</f>
        <v>106097.72670418065</v>
      </c>
      <c r="G26" s="16"/>
      <c r="K26" s="57">
        <f>(TableIncome[[#This Row],[SalaryP1]]-TableIncome[[#This Row],[InvestmentP1]])/12</f>
        <v>22353.926507569733</v>
      </c>
      <c r="L26" s="57">
        <f>(TableIncome[[#This Row],[SalaryP2]]-TableIncome[[#This Row],[InvestmentP2]])/12</f>
        <v>35365.908901393545</v>
      </c>
      <c r="M26" s="34">
        <f>'Net Salary P1'!BI25</f>
        <v>27942.408134462166</v>
      </c>
      <c r="N26" s="35">
        <f>'Net Salary P2'!BI25</f>
        <v>44207.386126741934</v>
      </c>
      <c r="O26" s="35">
        <f>IF(_xlfn.XLOOKUP(TableIncome[[#This Row],[Year]],Loop!C:C,Loop!D:D)&lt;75,(O25*(1+$I$4))+IF(TableIncomeCalculations[[#This Row],[SwitchP1]]="Y",O25*$I$6,0),0)</f>
        <v>51344.248750747007</v>
      </c>
      <c r="P26" s="35">
        <f>IF(_xlfn.XLOOKUP(TableIncome[[#This Row],[Year]],Loop!C:C,Loop!E:E)&lt;75,(P25*(1+$I$4))+IF(TableIncomeCalculations[[#This Row],[SwitchP2]]="Y",P25*$I$6,0),0)</f>
        <v>86171.17208360834</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335308.897613546</v>
      </c>
      <c r="D27" s="37">
        <f>(TableIncomeCalculations[[#This Row],[NetMonthlySalaryP2]]*12)</f>
        <v>530488.63352090318</v>
      </c>
      <c r="E27" s="36">
        <f>TableIncome[[#This Row],[SalaryP1]]*$I$7</f>
        <v>67061.779522709199</v>
      </c>
      <c r="F27" s="36">
        <f>TableIncome[[#This Row],[SalaryP2]]*$I$7</f>
        <v>106097.72670418065</v>
      </c>
      <c r="G27" s="16"/>
      <c r="K27" s="57">
        <f>(TableIncome[[#This Row],[SalaryP1]]-TableIncome[[#This Row],[InvestmentP1]])/12</f>
        <v>22353.926507569733</v>
      </c>
      <c r="L27" s="57">
        <f>(TableIncome[[#This Row],[SalaryP2]]-TableIncome[[#This Row],[InvestmentP2]])/12</f>
        <v>35365.908901393545</v>
      </c>
      <c r="M27" s="34">
        <f>'Net Salary P1'!BI26</f>
        <v>27942.408134462166</v>
      </c>
      <c r="N27" s="35">
        <f>'Net Salary P2'!BI26</f>
        <v>44207.386126741934</v>
      </c>
      <c r="O27" s="35">
        <f>IF(_xlfn.XLOOKUP(TableIncome[[#This Row],[Year]],Loop!C:C,Loop!D:D)&lt;75,(O26*(1+$I$4))+IF(TableIncomeCalculations[[#This Row],[SwitchP1]]="Y",O26*$I$6,0),0)</f>
        <v>51344.248750747007</v>
      </c>
      <c r="P27" s="35">
        <f>IF(_xlfn.XLOOKUP(TableIncome[[#This Row],[Year]],Loop!C:C,Loop!E:E)&lt;75,(P26*(1+$I$4))+IF(TableIncomeCalculations[[#This Row],[SwitchP2]]="Y",P26*$I$6,0),0)</f>
        <v>86171.17208360834</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335308.897613546</v>
      </c>
      <c r="D28" s="37">
        <f>(TableIncomeCalculations[[#This Row],[NetMonthlySalaryP2]]*12)</f>
        <v>530488.63352090318</v>
      </c>
      <c r="E28" s="36">
        <f>TableIncome[[#This Row],[SalaryP1]]*$I$7</f>
        <v>67061.779522709199</v>
      </c>
      <c r="F28" s="36">
        <f>TableIncome[[#This Row],[SalaryP2]]*$I$7</f>
        <v>106097.72670418065</v>
      </c>
      <c r="G28" s="16"/>
      <c r="K28" s="57">
        <f>(TableIncome[[#This Row],[SalaryP1]]-TableIncome[[#This Row],[InvestmentP1]])/12</f>
        <v>22353.926507569733</v>
      </c>
      <c r="L28" s="57">
        <f>(TableIncome[[#This Row],[SalaryP2]]-TableIncome[[#This Row],[InvestmentP2]])/12</f>
        <v>35365.908901393545</v>
      </c>
      <c r="M28" s="34">
        <f>'Net Salary P1'!BI27</f>
        <v>27942.408134462166</v>
      </c>
      <c r="N28" s="35">
        <f>'Net Salary P2'!BI27</f>
        <v>44207.386126741934</v>
      </c>
      <c r="O28" s="35">
        <f>IF(_xlfn.XLOOKUP(TableIncome[[#This Row],[Year]],Loop!C:C,Loop!D:D)&lt;75,(O27*(1+$I$4))+IF(TableIncomeCalculations[[#This Row],[SwitchP1]]="Y",O27*$I$6,0),0)</f>
        <v>51344.248750747007</v>
      </c>
      <c r="P28" s="35">
        <f>IF(_xlfn.XLOOKUP(TableIncome[[#This Row],[Year]],Loop!C:C,Loop!E:E)&lt;75,(P27*(1+$I$4))+IF(TableIncomeCalculations[[#This Row],[SwitchP2]]="Y",P27*$I$6,0),0)</f>
        <v>86171.17208360834</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335308.897613546</v>
      </c>
      <c r="D29" s="37">
        <f>(TableIncomeCalculations[[#This Row],[NetMonthlySalaryP2]]*12)</f>
        <v>530488.63352090318</v>
      </c>
      <c r="E29" s="36">
        <f>TableIncome[[#This Row],[SalaryP1]]*$I$7</f>
        <v>67061.779522709199</v>
      </c>
      <c r="F29" s="36">
        <f>TableIncome[[#This Row],[SalaryP2]]*$I$7</f>
        <v>106097.72670418065</v>
      </c>
      <c r="G29" s="16"/>
      <c r="K29" s="57">
        <f>(TableIncome[[#This Row],[SalaryP1]]-TableIncome[[#This Row],[InvestmentP1]])/12</f>
        <v>22353.926507569733</v>
      </c>
      <c r="L29" s="57">
        <f>(TableIncome[[#This Row],[SalaryP2]]-TableIncome[[#This Row],[InvestmentP2]])/12</f>
        <v>35365.908901393545</v>
      </c>
      <c r="M29" s="34">
        <f>'Net Salary P1'!BI28</f>
        <v>27942.408134462166</v>
      </c>
      <c r="N29" s="35">
        <f>'Net Salary P2'!BI28</f>
        <v>44207.386126741934</v>
      </c>
      <c r="O29" s="35">
        <f>IF(_xlfn.XLOOKUP(TableIncome[[#This Row],[Year]],Loop!C:C,Loop!D:D)&lt;75,(O28*(1+$I$4))+IF(TableIncomeCalculations[[#This Row],[SwitchP1]]="Y",O28*$I$6,0),0)</f>
        <v>51344.248750747007</v>
      </c>
      <c r="P29" s="35">
        <f>IF(_xlfn.XLOOKUP(TableIncome[[#This Row],[Year]],Loop!C:C,Loop!E:E)&lt;75,(P28*(1+$I$4))+IF(TableIncomeCalculations[[#This Row],[SwitchP2]]="Y",P28*$I$6,0),0)</f>
        <v>86171.17208360834</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335308.897613546</v>
      </c>
      <c r="D30" s="37">
        <f>(TableIncomeCalculations[[#This Row],[NetMonthlySalaryP2]]*12)</f>
        <v>530488.63352090318</v>
      </c>
      <c r="E30" s="36">
        <f>TableIncome[[#This Row],[SalaryP1]]*$I$7</f>
        <v>67061.779522709199</v>
      </c>
      <c r="F30" s="36">
        <f>TableIncome[[#This Row],[SalaryP2]]*$I$7</f>
        <v>106097.72670418065</v>
      </c>
      <c r="G30" s="16"/>
      <c r="K30" s="57">
        <f>(TableIncome[[#This Row],[SalaryP1]]-TableIncome[[#This Row],[InvestmentP1]])/12</f>
        <v>22353.926507569733</v>
      </c>
      <c r="L30" s="57">
        <f>(TableIncome[[#This Row],[SalaryP2]]-TableIncome[[#This Row],[InvestmentP2]])/12</f>
        <v>35365.908901393545</v>
      </c>
      <c r="M30" s="34">
        <f>'Net Salary P1'!BI29</f>
        <v>27942.408134462166</v>
      </c>
      <c r="N30" s="35">
        <f>'Net Salary P2'!BI29</f>
        <v>44207.386126741934</v>
      </c>
      <c r="O30" s="35">
        <f>IF(_xlfn.XLOOKUP(TableIncome[[#This Row],[Year]],Loop!C:C,Loop!D:D)&lt;75,(O29*(1+$I$4))+IF(TableIncomeCalculations[[#This Row],[SwitchP1]]="Y",O29*$I$6,0),0)</f>
        <v>51344.248750747007</v>
      </c>
      <c r="P30" s="35">
        <f>IF(_xlfn.XLOOKUP(TableIncome[[#This Row],[Year]],Loop!C:C,Loop!E:E)&lt;75,(P29*(1+$I$4))+IF(TableIncomeCalculations[[#This Row],[SwitchP2]]="Y",P29*$I$6,0),0)</f>
        <v>86171.17208360834</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335308.897613546</v>
      </c>
      <c r="D31" s="37">
        <f>(TableIncomeCalculations[[#This Row],[NetMonthlySalaryP2]]*12)</f>
        <v>530488.63352090318</v>
      </c>
      <c r="E31" s="36">
        <f>TableIncome[[#This Row],[SalaryP1]]*$I$7</f>
        <v>67061.779522709199</v>
      </c>
      <c r="F31" s="36">
        <f>TableIncome[[#This Row],[SalaryP2]]*$I$7</f>
        <v>106097.72670418065</v>
      </c>
      <c r="G31" s="16"/>
      <c r="K31" s="57">
        <f>(TableIncome[[#This Row],[SalaryP1]]-TableIncome[[#This Row],[InvestmentP1]])/12</f>
        <v>22353.926507569733</v>
      </c>
      <c r="L31" s="57">
        <f>(TableIncome[[#This Row],[SalaryP2]]-TableIncome[[#This Row],[InvestmentP2]])/12</f>
        <v>35365.908901393545</v>
      </c>
      <c r="M31" s="34">
        <f>'Net Salary P1'!BI30</f>
        <v>27942.408134462166</v>
      </c>
      <c r="N31" s="35">
        <f>'Net Salary P2'!BI30</f>
        <v>44207.386126741934</v>
      </c>
      <c r="O31" s="35">
        <f>IF(_xlfn.XLOOKUP(TableIncome[[#This Row],[Year]],Loop!C:C,Loop!D:D)&lt;75,(O30*(1+$I$4))+IF(TableIncomeCalculations[[#This Row],[SwitchP1]]="Y",O30*$I$6,0),0)</f>
        <v>51344.248750747007</v>
      </c>
      <c r="P31" s="35">
        <f>IF(_xlfn.XLOOKUP(TableIncome[[#This Row],[Year]],Loop!C:C,Loop!E:E)&lt;75,(P30*(1+$I$4))+IF(TableIncomeCalculations[[#This Row],[SwitchP2]]="Y",P30*$I$6,0),0)</f>
        <v>86171.17208360834</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335308.897613546</v>
      </c>
      <c r="D32" s="37">
        <f>(TableIncomeCalculations[[#This Row],[NetMonthlySalaryP2]]*12)</f>
        <v>530488.63352090318</v>
      </c>
      <c r="E32" s="36">
        <f>TableIncome[[#This Row],[SalaryP1]]*$I$7</f>
        <v>67061.779522709199</v>
      </c>
      <c r="F32" s="36">
        <f>TableIncome[[#This Row],[SalaryP2]]*$I$7</f>
        <v>106097.72670418065</v>
      </c>
      <c r="G32" s="16"/>
      <c r="K32" s="57">
        <f>(TableIncome[[#This Row],[SalaryP1]]-TableIncome[[#This Row],[InvestmentP1]])/12</f>
        <v>22353.926507569733</v>
      </c>
      <c r="L32" s="57">
        <f>(TableIncome[[#This Row],[SalaryP2]]-TableIncome[[#This Row],[InvestmentP2]])/12</f>
        <v>35365.908901393545</v>
      </c>
      <c r="M32" s="34">
        <f>'Net Salary P1'!BI31</f>
        <v>27942.408134462166</v>
      </c>
      <c r="N32" s="35">
        <f>'Net Salary P2'!BI31</f>
        <v>44207.386126741934</v>
      </c>
      <c r="O32" s="35">
        <f>IF(_xlfn.XLOOKUP(TableIncome[[#This Row],[Year]],Loop!C:C,Loop!D:D)&lt;75,(O31*(1+$I$4))+IF(TableIncomeCalculations[[#This Row],[SwitchP1]]="Y",O31*$I$6,0),0)</f>
        <v>51344.248750747007</v>
      </c>
      <c r="P32" s="35">
        <f>IF(_xlfn.XLOOKUP(TableIncome[[#This Row],[Year]],Loop!C:C,Loop!E:E)&lt;75,(P31*(1+$I$4))+IF(TableIncomeCalculations[[#This Row],[SwitchP2]]="Y",P31*$I$6,0),0)</f>
        <v>86171.17208360834</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335308.897613546</v>
      </c>
      <c r="D33" s="37">
        <f>(TableIncomeCalculations[[#This Row],[NetMonthlySalaryP2]]*12)</f>
        <v>530488.63352090318</v>
      </c>
      <c r="E33" s="36">
        <f>TableIncome[[#This Row],[SalaryP1]]*$I$7</f>
        <v>67061.779522709199</v>
      </c>
      <c r="F33" s="36">
        <f>TableIncome[[#This Row],[SalaryP2]]*$I$7</f>
        <v>106097.72670418065</v>
      </c>
      <c r="G33" s="16"/>
      <c r="K33" s="57">
        <f>(TableIncome[[#This Row],[SalaryP1]]-TableIncome[[#This Row],[InvestmentP1]])/12</f>
        <v>22353.926507569733</v>
      </c>
      <c r="L33" s="57">
        <f>(TableIncome[[#This Row],[SalaryP2]]-TableIncome[[#This Row],[InvestmentP2]])/12</f>
        <v>35365.908901393545</v>
      </c>
      <c r="M33" s="34">
        <f>'Net Salary P1'!BI32</f>
        <v>27942.408134462166</v>
      </c>
      <c r="N33" s="35">
        <f>'Net Salary P2'!BI32</f>
        <v>44207.386126741934</v>
      </c>
      <c r="O33" s="35">
        <f>IF(_xlfn.XLOOKUP(TableIncome[[#This Row],[Year]],Loop!C:C,Loop!D:D)&lt;75,(O32*(1+$I$4))+IF(TableIncomeCalculations[[#This Row],[SwitchP1]]="Y",O32*$I$6,0),0)</f>
        <v>51344.248750747007</v>
      </c>
      <c r="P33" s="35">
        <f>IF(_xlfn.XLOOKUP(TableIncome[[#This Row],[Year]],Loop!C:C,Loop!E:E)&lt;75,(P32*(1+$I$4))+IF(TableIncomeCalculations[[#This Row],[SwitchP2]]="Y",P32*$I$6,0),0)</f>
        <v>86171.17208360834</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335308.897613546</v>
      </c>
      <c r="D34" s="37">
        <f>(TableIncomeCalculations[[#This Row],[NetMonthlySalaryP2]]*12)</f>
        <v>530488.63352090318</v>
      </c>
      <c r="E34" s="36">
        <f>TableIncome[[#This Row],[SalaryP1]]*$I$7</f>
        <v>67061.779522709199</v>
      </c>
      <c r="F34" s="36">
        <f>TableIncome[[#This Row],[SalaryP2]]*$I$7</f>
        <v>106097.72670418065</v>
      </c>
      <c r="G34" s="16"/>
      <c r="K34" s="57">
        <f>(TableIncome[[#This Row],[SalaryP1]]-TableIncome[[#This Row],[InvestmentP1]])/12</f>
        <v>22353.926507569733</v>
      </c>
      <c r="L34" s="57">
        <f>(TableIncome[[#This Row],[SalaryP2]]-TableIncome[[#This Row],[InvestmentP2]])/12</f>
        <v>35365.908901393545</v>
      </c>
      <c r="M34" s="34">
        <f>'Net Salary P1'!BI33</f>
        <v>27942.408134462166</v>
      </c>
      <c r="N34" s="35">
        <f>'Net Salary P2'!BI33</f>
        <v>44207.386126741934</v>
      </c>
      <c r="O34" s="35">
        <f>IF(_xlfn.XLOOKUP(TableIncome[[#This Row],[Year]],Loop!C:C,Loop!D:D)&lt;75,(O33*(1+$I$4))+IF(TableIncomeCalculations[[#This Row],[SwitchP1]]="Y",O33*$I$6,0),0)</f>
        <v>51344.248750747007</v>
      </c>
      <c r="P34" s="35">
        <f>IF(_xlfn.XLOOKUP(TableIncome[[#This Row],[Year]],Loop!C:C,Loop!E:E)&lt;75,(P33*(1+$I$4))+IF(TableIncomeCalculations[[#This Row],[SwitchP2]]="Y",P33*$I$6,0),0)</f>
        <v>86171.17208360834</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335308.897613546</v>
      </c>
      <c r="D35" s="37">
        <f>(TableIncomeCalculations[[#This Row],[NetMonthlySalaryP2]]*12)</f>
        <v>530488.63352090318</v>
      </c>
      <c r="E35" s="36">
        <f>TableIncome[[#This Row],[SalaryP1]]*$I$7</f>
        <v>67061.779522709199</v>
      </c>
      <c r="F35" s="36">
        <f>TableIncome[[#This Row],[SalaryP2]]*$I$7</f>
        <v>106097.72670418065</v>
      </c>
      <c r="G35" s="16"/>
      <c r="K35" s="57">
        <f>(TableIncome[[#This Row],[SalaryP1]]-TableIncome[[#This Row],[InvestmentP1]])/12</f>
        <v>22353.926507569733</v>
      </c>
      <c r="L35" s="57">
        <f>(TableIncome[[#This Row],[SalaryP2]]-TableIncome[[#This Row],[InvestmentP2]])/12</f>
        <v>35365.908901393545</v>
      </c>
      <c r="M35" s="34">
        <f>'Net Salary P1'!BI34</f>
        <v>27942.408134462166</v>
      </c>
      <c r="N35" s="35">
        <f>'Net Salary P2'!BI34</f>
        <v>44207.386126741934</v>
      </c>
      <c r="O35" s="35">
        <f>IF(_xlfn.XLOOKUP(TableIncome[[#This Row],[Year]],Loop!C:C,Loop!D:D)&lt;75,(O34*(1+$I$4))+IF(TableIncomeCalculations[[#This Row],[SwitchP1]]="Y",O34*$I$6,0),0)</f>
        <v>51344.248750747007</v>
      </c>
      <c r="P35" s="35">
        <f>IF(_xlfn.XLOOKUP(TableIncome[[#This Row],[Year]],Loop!C:C,Loop!E:E)&lt;75,(P34*(1+$I$4))+IF(TableIncomeCalculations[[#This Row],[SwitchP2]]="Y",P34*$I$6,0),0)</f>
        <v>86171.17208360834</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335308.897613546</v>
      </c>
      <c r="D36" s="37">
        <f>(TableIncomeCalculations[[#This Row],[NetMonthlySalaryP2]]*12)</f>
        <v>530488.63352090318</v>
      </c>
      <c r="E36" s="36">
        <f>TableIncome[[#This Row],[SalaryP1]]*$I$7</f>
        <v>67061.779522709199</v>
      </c>
      <c r="F36" s="36">
        <f>TableIncome[[#This Row],[SalaryP2]]*$I$7</f>
        <v>106097.72670418065</v>
      </c>
      <c r="G36" s="16"/>
      <c r="K36" s="57">
        <f>(TableIncome[[#This Row],[SalaryP1]]-TableIncome[[#This Row],[InvestmentP1]])/12</f>
        <v>22353.926507569733</v>
      </c>
      <c r="L36" s="57">
        <f>(TableIncome[[#This Row],[SalaryP2]]-TableIncome[[#This Row],[InvestmentP2]])/12</f>
        <v>35365.908901393545</v>
      </c>
      <c r="M36" s="34">
        <f>'Net Salary P1'!BI35</f>
        <v>27942.408134462166</v>
      </c>
      <c r="N36" s="35">
        <f>'Net Salary P2'!BI35</f>
        <v>44207.386126741934</v>
      </c>
      <c r="O36" s="35">
        <f>IF(_xlfn.XLOOKUP(TableIncome[[#This Row],[Year]],Loop!C:C,Loop!D:D)&lt;75,(O35*(1+$I$4))+IF(TableIncomeCalculations[[#This Row],[SwitchP1]]="Y",O35*$I$6,0),0)</f>
        <v>51344.248750747007</v>
      </c>
      <c r="P36" s="35">
        <f>IF(_xlfn.XLOOKUP(TableIncome[[#This Row],[Year]],Loop!C:C,Loop!E:E)&lt;75,(P35*(1+$I$4))+IF(TableIncomeCalculations[[#This Row],[SwitchP2]]="Y",P35*$I$6,0),0)</f>
        <v>86171.17208360834</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335308.897613546</v>
      </c>
      <c r="D37" s="37">
        <f>(TableIncomeCalculations[[#This Row],[NetMonthlySalaryP2]]*12)</f>
        <v>530488.63352090318</v>
      </c>
      <c r="E37" s="36">
        <f>TableIncome[[#This Row],[SalaryP1]]*$I$7</f>
        <v>67061.779522709199</v>
      </c>
      <c r="F37" s="36">
        <f>TableIncome[[#This Row],[SalaryP2]]*$I$7</f>
        <v>106097.72670418065</v>
      </c>
      <c r="G37" s="16"/>
      <c r="K37" s="57">
        <f>(TableIncome[[#This Row],[SalaryP1]]-TableIncome[[#This Row],[InvestmentP1]])/12</f>
        <v>22353.926507569733</v>
      </c>
      <c r="L37" s="57">
        <f>(TableIncome[[#This Row],[SalaryP2]]-TableIncome[[#This Row],[InvestmentP2]])/12</f>
        <v>35365.908901393545</v>
      </c>
      <c r="M37" s="34">
        <f>'Net Salary P1'!BI36</f>
        <v>27942.408134462166</v>
      </c>
      <c r="N37" s="35">
        <f>'Net Salary P2'!BI36</f>
        <v>44207.386126741934</v>
      </c>
      <c r="O37" s="35">
        <f>IF(_xlfn.XLOOKUP(TableIncome[[#This Row],[Year]],Loop!C:C,Loop!D:D)&lt;75,(O36*(1+$I$4))+IF(TableIncomeCalculations[[#This Row],[SwitchP1]]="Y",O36*$I$6,0),0)</f>
        <v>51344.248750747007</v>
      </c>
      <c r="P37" s="35">
        <f>IF(_xlfn.XLOOKUP(TableIncome[[#This Row],[Year]],Loop!C:C,Loop!E:E)&lt;75,(P36*(1+$I$4))+IF(TableIncomeCalculations[[#This Row],[SwitchP2]]="Y",P36*$I$6,0),0)</f>
        <v>86171.17208360834</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345484.90340707242</v>
      </c>
      <c r="D38" s="37">
        <f>(TableIncomeCalculations[[#This Row],[NetMonthlySalaryP2]]*12)</f>
        <v>0</v>
      </c>
      <c r="E38" s="36">
        <f>TableIncome[[#This Row],[SalaryP1]]*$I$7</f>
        <v>69096.980681414483</v>
      </c>
      <c r="F38" s="36">
        <f>TableIncome[[#This Row],[SalaryP2]]*$I$7</f>
        <v>0</v>
      </c>
      <c r="G38" s="16"/>
      <c r="K38" s="57">
        <f>(TableIncome[[#This Row],[SalaryP1]]-TableIncome[[#This Row],[InvestmentP1]])/12</f>
        <v>23032.326893804828</v>
      </c>
      <c r="L38" s="57">
        <f>(TableIncome[[#This Row],[SalaryP2]]-TableIncome[[#This Row],[InvestmentP2]])/12</f>
        <v>0</v>
      </c>
      <c r="M38" s="34">
        <f>'Net Salary P1'!BI37</f>
        <v>28790.408617256035</v>
      </c>
      <c r="N38" s="35">
        <f>'Net Salary P2'!BI37</f>
        <v>0</v>
      </c>
      <c r="O38" s="35">
        <f>IF(_xlfn.XLOOKUP(TableIncome[[#This Row],[Year]],Loop!C:C,Loop!D:D)&lt;75,(O37*(1+$I$4))+IF(TableIncomeCalculations[[#This Row],[SwitchP1]]="Y",O37*$I$6,0),0)</f>
        <v>52884.576213269414</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345484.90340707242</v>
      </c>
      <c r="D39" s="37">
        <f>(TableIncomeCalculations[[#This Row],[NetMonthlySalaryP2]]*12)</f>
        <v>0</v>
      </c>
      <c r="E39" s="36">
        <f>TableIncome[[#This Row],[SalaryP1]]*$I$7</f>
        <v>69096.980681414483</v>
      </c>
      <c r="F39" s="36">
        <f>TableIncome[[#This Row],[SalaryP2]]*$I$7</f>
        <v>0</v>
      </c>
      <c r="G39" s="16"/>
      <c r="K39" s="57">
        <f>(TableIncome[[#This Row],[SalaryP1]]-TableIncome[[#This Row],[InvestmentP1]])/12</f>
        <v>23032.326893804828</v>
      </c>
      <c r="L39" s="57">
        <f>(TableIncome[[#This Row],[SalaryP2]]-TableIncome[[#This Row],[InvestmentP2]])/12</f>
        <v>0</v>
      </c>
      <c r="M39" s="34">
        <f>'Net Salary P1'!BI38</f>
        <v>28790.408617256035</v>
      </c>
      <c r="N39" s="35">
        <f>'Net Salary P2'!BI38</f>
        <v>0</v>
      </c>
      <c r="O39" s="35">
        <f>IF(_xlfn.XLOOKUP(TableIncome[[#This Row],[Year]],Loop!C:C,Loop!D:D)&lt;75,(O38*(1+$I$4))+IF(TableIncomeCalculations[[#This Row],[SwitchP1]]="Y",O38*$I$6,0),0)</f>
        <v>52884.576213269414</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345484.90340707242</v>
      </c>
      <c r="D40" s="37">
        <f>(TableIncomeCalculations[[#This Row],[NetMonthlySalaryP2]]*12)</f>
        <v>0</v>
      </c>
      <c r="E40" s="36">
        <f>TableIncome[[#This Row],[SalaryP1]]*$I$7</f>
        <v>69096.980681414483</v>
      </c>
      <c r="F40" s="36">
        <f>TableIncome[[#This Row],[SalaryP2]]*$I$7</f>
        <v>0</v>
      </c>
      <c r="G40" s="16"/>
      <c r="K40" s="57">
        <f>(TableIncome[[#This Row],[SalaryP1]]-TableIncome[[#This Row],[InvestmentP1]])/12</f>
        <v>23032.326893804828</v>
      </c>
      <c r="L40" s="57">
        <f>(TableIncome[[#This Row],[SalaryP2]]-TableIncome[[#This Row],[InvestmentP2]])/12</f>
        <v>0</v>
      </c>
      <c r="M40" s="34">
        <f>'Net Salary P1'!BI39</f>
        <v>28790.408617256035</v>
      </c>
      <c r="N40" s="35">
        <f>'Net Salary P2'!BI39</f>
        <v>0</v>
      </c>
      <c r="O40" s="35">
        <f>IF(_xlfn.XLOOKUP(TableIncome[[#This Row],[Year]],Loop!C:C,Loop!D:D)&lt;75,(O39*(1+$I$4))+IF(TableIncomeCalculations[[#This Row],[SwitchP1]]="Y",O39*$I$6,0),0)</f>
        <v>52884.576213269414</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345484.90340707242</v>
      </c>
      <c r="D41" s="37">
        <f>(TableIncomeCalculations[[#This Row],[NetMonthlySalaryP2]]*12)</f>
        <v>0</v>
      </c>
      <c r="E41" s="36">
        <f>TableIncome[[#This Row],[SalaryP1]]*$I$7</f>
        <v>69096.980681414483</v>
      </c>
      <c r="F41" s="36">
        <f>TableIncome[[#This Row],[SalaryP2]]*$I$7</f>
        <v>0</v>
      </c>
      <c r="G41" s="16"/>
      <c r="K41" s="57">
        <f>(TableIncome[[#This Row],[SalaryP1]]-TableIncome[[#This Row],[InvestmentP1]])/12</f>
        <v>23032.326893804828</v>
      </c>
      <c r="L41" s="57">
        <f>(TableIncome[[#This Row],[SalaryP2]]-TableIncome[[#This Row],[InvestmentP2]])/12</f>
        <v>0</v>
      </c>
      <c r="M41" s="34">
        <f>'Net Salary P1'!BI40</f>
        <v>28790.408617256035</v>
      </c>
      <c r="N41" s="35">
        <f>'Net Salary P2'!BI40</f>
        <v>0</v>
      </c>
      <c r="O41" s="35">
        <f>IF(_xlfn.XLOOKUP(TableIncome[[#This Row],[Year]],Loop!C:C,Loop!D:D)&lt;75,(O40*(1+$I$4))+IF(TableIncomeCalculations[[#This Row],[SwitchP1]]="Y",O40*$I$6,0),0)</f>
        <v>52884.576213269414</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345484.90340707242</v>
      </c>
      <c r="D42" s="37">
        <f>(TableIncomeCalculations[[#This Row],[NetMonthlySalaryP2]]*12)</f>
        <v>0</v>
      </c>
      <c r="E42" s="36">
        <f>TableIncome[[#This Row],[SalaryP1]]*$I$7</f>
        <v>69096.980681414483</v>
      </c>
      <c r="F42" s="36">
        <f>TableIncome[[#This Row],[SalaryP2]]*$I$7</f>
        <v>0</v>
      </c>
      <c r="G42" s="16"/>
      <c r="K42" s="57">
        <f>(TableIncome[[#This Row],[SalaryP1]]-TableIncome[[#This Row],[InvestmentP1]])/12</f>
        <v>23032.326893804828</v>
      </c>
      <c r="L42" s="57">
        <f>(TableIncome[[#This Row],[SalaryP2]]-TableIncome[[#This Row],[InvestmentP2]])/12</f>
        <v>0</v>
      </c>
      <c r="M42" s="34">
        <f>'Net Salary P1'!BI41</f>
        <v>28790.408617256035</v>
      </c>
      <c r="N42" s="35">
        <f>'Net Salary P2'!BI41</f>
        <v>0</v>
      </c>
      <c r="O42" s="35">
        <f>IF(_xlfn.XLOOKUP(TableIncome[[#This Row],[Year]],Loop!C:C,Loop!D:D)&lt;75,(O41*(1+$I$4))+IF(TableIncomeCalculations[[#This Row],[SwitchP1]]="Y",O41*$I$6,0),0)</f>
        <v>52884.576213269414</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345484.90340707242</v>
      </c>
      <c r="D43" s="37">
        <f>(TableIncomeCalculations[[#This Row],[NetMonthlySalaryP2]]*12)</f>
        <v>0</v>
      </c>
      <c r="E43" s="36">
        <f>TableIncome[[#This Row],[SalaryP1]]*$I$7</f>
        <v>69096.980681414483</v>
      </c>
      <c r="F43" s="36">
        <f>TableIncome[[#This Row],[SalaryP2]]*$I$7</f>
        <v>0</v>
      </c>
      <c r="G43" s="16"/>
      <c r="K43" s="57">
        <f>(TableIncome[[#This Row],[SalaryP1]]-TableIncome[[#This Row],[InvestmentP1]])/12</f>
        <v>23032.326893804828</v>
      </c>
      <c r="L43" s="57">
        <f>(TableIncome[[#This Row],[SalaryP2]]-TableIncome[[#This Row],[InvestmentP2]])/12</f>
        <v>0</v>
      </c>
      <c r="M43" s="34">
        <f>'Net Salary P1'!BI42</f>
        <v>28790.408617256035</v>
      </c>
      <c r="N43" s="35">
        <f>'Net Salary P2'!BI42</f>
        <v>0</v>
      </c>
      <c r="O43" s="35">
        <f>IF(_xlfn.XLOOKUP(TableIncome[[#This Row],[Year]],Loop!C:C,Loop!D:D)&lt;75,(O42*(1+$I$4))+IF(TableIncomeCalculations[[#This Row],[SwitchP1]]="Y",O42*$I$6,0),0)</f>
        <v>52884.576213269414</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345484.90340707242</v>
      </c>
      <c r="D44" s="37">
        <f>(TableIncomeCalculations[[#This Row],[NetMonthlySalaryP2]]*12)</f>
        <v>0</v>
      </c>
      <c r="E44" s="36">
        <f>TableIncome[[#This Row],[SalaryP1]]*$I$7</f>
        <v>69096.980681414483</v>
      </c>
      <c r="F44" s="36">
        <f>TableIncome[[#This Row],[SalaryP2]]*$I$7</f>
        <v>0</v>
      </c>
      <c r="G44" s="16"/>
      <c r="K44" s="57">
        <f>(TableIncome[[#This Row],[SalaryP1]]-TableIncome[[#This Row],[InvestmentP1]])/12</f>
        <v>23032.326893804828</v>
      </c>
      <c r="L44" s="57">
        <f>(TableIncome[[#This Row],[SalaryP2]]-TableIncome[[#This Row],[InvestmentP2]])/12</f>
        <v>0</v>
      </c>
      <c r="M44" s="34">
        <f>'Net Salary P1'!BI43</f>
        <v>28790.408617256035</v>
      </c>
      <c r="N44" s="35">
        <f>'Net Salary P2'!BI43</f>
        <v>0</v>
      </c>
      <c r="O44" s="35">
        <f>IF(_xlfn.XLOOKUP(TableIncome[[#This Row],[Year]],Loop!C:C,Loop!D:D)&lt;75,(O43*(1+$I$4))+IF(TableIncomeCalculations[[#This Row],[SwitchP1]]="Y",O43*$I$6,0),0)</f>
        <v>52884.576213269414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345484.90340707242</v>
      </c>
      <c r="D45" s="37">
        <f>(TableIncomeCalculations[[#This Row],[NetMonthlySalaryP2]]*12)</f>
        <v>0</v>
      </c>
      <c r="E45" s="36">
        <f>TableIncome[[#This Row],[SalaryP1]]*$I$7</f>
        <v>69096.980681414483</v>
      </c>
      <c r="F45" s="36">
        <f>TableIncome[[#This Row],[SalaryP2]]*$I$7</f>
        <v>0</v>
      </c>
      <c r="G45" s="16"/>
      <c r="K45" s="57">
        <f>(TableIncome[[#This Row],[SalaryP1]]-TableIncome[[#This Row],[InvestmentP1]])/12</f>
        <v>23032.326893804828</v>
      </c>
      <c r="L45" s="57">
        <f>(TableIncome[[#This Row],[SalaryP2]]-TableIncome[[#This Row],[InvestmentP2]])/12</f>
        <v>0</v>
      </c>
      <c r="M45" s="34">
        <f>'Net Salary P1'!BI44</f>
        <v>28790.408617256035</v>
      </c>
      <c r="N45" s="35">
        <f>'Net Salary P2'!BI44</f>
        <v>0</v>
      </c>
      <c r="O45" s="35">
        <f>IF(_xlfn.XLOOKUP(TableIncome[[#This Row],[Year]],Loop!C:C,Loop!D:D)&lt;75,(O44*(1+$I$4))+IF(TableIncomeCalculations[[#This Row],[SwitchP1]]="Y",O44*$I$6,0),0)</f>
        <v>52884.576213269414</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345484.90340707242</v>
      </c>
      <c r="D46" s="37">
        <f>(TableIncomeCalculations[[#This Row],[NetMonthlySalaryP2]]*12)</f>
        <v>0</v>
      </c>
      <c r="E46" s="36">
        <f>TableIncome[[#This Row],[SalaryP1]]*$I$7</f>
        <v>69096.980681414483</v>
      </c>
      <c r="F46" s="36">
        <f>TableIncome[[#This Row],[SalaryP2]]*$I$7</f>
        <v>0</v>
      </c>
      <c r="G46" s="16"/>
      <c r="K46" s="57">
        <f>(TableIncome[[#This Row],[SalaryP1]]-TableIncome[[#This Row],[InvestmentP1]])/12</f>
        <v>23032.326893804828</v>
      </c>
      <c r="L46" s="57">
        <f>(TableIncome[[#This Row],[SalaryP2]]-TableIncome[[#This Row],[InvestmentP2]])/12</f>
        <v>0</v>
      </c>
      <c r="M46" s="34">
        <f>'Net Salary P1'!BI45</f>
        <v>28790.408617256035</v>
      </c>
      <c r="N46" s="35">
        <f>'Net Salary P2'!BI45</f>
        <v>0</v>
      </c>
      <c r="O46" s="35">
        <f>IF(_xlfn.XLOOKUP(TableIncome[[#This Row],[Year]],Loop!C:C,Loop!D:D)&lt;75,(O45*(1+$I$4))+IF(TableIncomeCalculations[[#This Row],[SwitchP1]]="Y",O45*$I$6,0),0)</f>
        <v>52884.576213269414</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345484.90340707242</v>
      </c>
      <c r="D47" s="37">
        <f>(TableIncomeCalculations[[#This Row],[NetMonthlySalaryP2]]*12)</f>
        <v>0</v>
      </c>
      <c r="E47" s="36">
        <f>TableIncome[[#This Row],[SalaryP1]]*$I$7</f>
        <v>69096.980681414483</v>
      </c>
      <c r="F47" s="36">
        <f>TableIncome[[#This Row],[SalaryP2]]*$I$7</f>
        <v>0</v>
      </c>
      <c r="G47" s="16"/>
      <c r="K47" s="57">
        <f>(TableIncome[[#This Row],[SalaryP1]]-TableIncome[[#This Row],[InvestmentP1]])/12</f>
        <v>23032.326893804828</v>
      </c>
      <c r="L47" s="57">
        <f>(TableIncome[[#This Row],[SalaryP2]]-TableIncome[[#This Row],[InvestmentP2]])/12</f>
        <v>0</v>
      </c>
      <c r="M47" s="34">
        <f>'Net Salary P1'!BI46</f>
        <v>28790.408617256035</v>
      </c>
      <c r="N47" s="35">
        <f>'Net Salary P2'!BI46</f>
        <v>0</v>
      </c>
      <c r="O47" s="35">
        <f>IF(_xlfn.XLOOKUP(TableIncome[[#This Row],[Year]],Loop!C:C,Loop!D:D)&lt;75,(O46*(1+$I$4))+IF(TableIncomeCalculations[[#This Row],[SwitchP1]]="Y",O46*$I$6,0),0)</f>
        <v>52884.576213269414</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345484.90340707242</v>
      </c>
      <c r="D48" s="37">
        <f>(TableIncomeCalculations[[#This Row],[NetMonthlySalaryP2]]*12)</f>
        <v>0</v>
      </c>
      <c r="E48" s="36">
        <f>TableIncome[[#This Row],[SalaryP1]]*$I$7</f>
        <v>69096.980681414483</v>
      </c>
      <c r="F48" s="36">
        <f>TableIncome[[#This Row],[SalaryP2]]*$I$7</f>
        <v>0</v>
      </c>
      <c r="G48" s="16"/>
      <c r="K48" s="57">
        <f>(TableIncome[[#This Row],[SalaryP1]]-TableIncome[[#This Row],[InvestmentP1]])/12</f>
        <v>23032.326893804828</v>
      </c>
      <c r="L48" s="57">
        <f>(TableIncome[[#This Row],[SalaryP2]]-TableIncome[[#This Row],[InvestmentP2]])/12</f>
        <v>0</v>
      </c>
      <c r="M48" s="34">
        <f>'Net Salary P1'!BI47</f>
        <v>28790.408617256035</v>
      </c>
      <c r="N48" s="35">
        <f>'Net Salary P2'!BI47</f>
        <v>0</v>
      </c>
      <c r="O48" s="35">
        <f>IF(_xlfn.XLOOKUP(TableIncome[[#This Row],[Year]],Loop!C:C,Loop!D:D)&lt;75,(O47*(1+$I$4))+IF(TableIncomeCalculations[[#This Row],[SwitchP1]]="Y",O47*$I$6,0),0)</f>
        <v>52884.576213269414</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345484.90340707242</v>
      </c>
      <c r="D49" s="37">
        <f>(TableIncomeCalculations[[#This Row],[NetMonthlySalaryP2]]*12)</f>
        <v>0</v>
      </c>
      <c r="E49" s="36">
        <f>TableIncome[[#This Row],[SalaryP1]]*$I$7</f>
        <v>69096.980681414483</v>
      </c>
      <c r="F49" s="36">
        <f>TableIncome[[#This Row],[SalaryP2]]*$I$7</f>
        <v>0</v>
      </c>
      <c r="K49" s="57">
        <f>(TableIncome[[#This Row],[SalaryP1]]-TableIncome[[#This Row],[InvestmentP1]])/12</f>
        <v>23032.326893804828</v>
      </c>
      <c r="L49" s="57">
        <f>(TableIncome[[#This Row],[SalaryP2]]-TableIncome[[#This Row],[InvestmentP2]])/12</f>
        <v>0</v>
      </c>
      <c r="M49" s="34">
        <f>'Net Salary P1'!BI48</f>
        <v>28790.408617256035</v>
      </c>
      <c r="N49" s="34">
        <f>'Net Salary P2'!BI48</f>
        <v>0</v>
      </c>
      <c r="O49" s="35">
        <f>IF(_xlfn.XLOOKUP(TableIncome[[#This Row],[Year]],Loop!C:C,Loop!D:D)&lt;75,(O48*(1+$I$4))+IF(TableIncomeCalculations[[#This Row],[SwitchP1]]="Y",O48*$I$6,0),0)</f>
        <v>52884.576213269414</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345484.90340707242</v>
      </c>
      <c r="D50" s="37">
        <f>(TableIncomeCalculations[[#This Row],[NetMonthlySalaryP2]]*12)</f>
        <v>0</v>
      </c>
      <c r="E50" s="36">
        <f>TableIncome[[#This Row],[SalaryP1]]*$I$7</f>
        <v>69096.980681414483</v>
      </c>
      <c r="F50" s="36">
        <f>TableIncome[[#This Row],[SalaryP2]]*$I$7</f>
        <v>0</v>
      </c>
      <c r="K50" s="57">
        <f>(TableIncome[[#This Row],[SalaryP1]]-TableIncome[[#This Row],[InvestmentP1]])/12</f>
        <v>23032.326893804828</v>
      </c>
      <c r="L50" s="57">
        <f>(TableIncome[[#This Row],[SalaryP2]]-TableIncome[[#This Row],[InvestmentP2]])/12</f>
        <v>0</v>
      </c>
      <c r="M50" s="34">
        <f>'Net Salary P1'!BI49</f>
        <v>28790.408617256035</v>
      </c>
      <c r="N50" s="34">
        <f>'Net Salary P2'!BI49</f>
        <v>0</v>
      </c>
      <c r="O50" s="35">
        <f>IF(_xlfn.XLOOKUP(TableIncome[[#This Row],[Year]],Loop!C:C,Loop!D:D)&lt;75,(O49*(1+$I$4))+IF(TableIncomeCalculations[[#This Row],[SwitchP1]]="Y",O49*$I$6,0),0)</f>
        <v>52884.576213269414</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345484.90340707242</v>
      </c>
      <c r="D51" s="37">
        <f>(TableIncomeCalculations[[#This Row],[NetMonthlySalaryP2]]*12)</f>
        <v>0</v>
      </c>
      <c r="E51" s="36">
        <f>TableIncome[[#This Row],[SalaryP1]]*$I$7</f>
        <v>69096.980681414483</v>
      </c>
      <c r="F51" s="36">
        <f>TableIncome[[#This Row],[SalaryP2]]*$I$7</f>
        <v>0</v>
      </c>
      <c r="K51" s="57">
        <f>(TableIncome[[#This Row],[SalaryP1]]-TableIncome[[#This Row],[InvestmentP1]])/12</f>
        <v>23032.326893804828</v>
      </c>
      <c r="L51" s="57">
        <f>(TableIncome[[#This Row],[SalaryP2]]-TableIncome[[#This Row],[InvestmentP2]])/12</f>
        <v>0</v>
      </c>
      <c r="M51" s="34">
        <f>'Net Salary P1'!BI50</f>
        <v>28790.408617256035</v>
      </c>
      <c r="N51" s="34">
        <f>'Net Salary P2'!BI50</f>
        <v>0</v>
      </c>
      <c r="O51" s="35">
        <f>IF(_xlfn.XLOOKUP(TableIncome[[#This Row],[Year]],Loop!C:C,Loop!D:D)&lt;75,(O50*(1+$I$4))+IF(TableIncomeCalculations[[#This Row],[SwitchP1]]="Y",O50*$I$6,0),0)</f>
        <v>52884.576213269414</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345484.90340707242</v>
      </c>
      <c r="D52" s="37">
        <f>(TableIncomeCalculations[[#This Row],[NetMonthlySalaryP2]]*12)</f>
        <v>0</v>
      </c>
      <c r="E52" s="36">
        <f>TableIncome[[#This Row],[SalaryP1]]*$I$7</f>
        <v>69096.980681414483</v>
      </c>
      <c r="F52" s="36">
        <f>TableIncome[[#This Row],[SalaryP2]]*$I$7</f>
        <v>0</v>
      </c>
      <c r="K52" s="57">
        <f>(TableIncome[[#This Row],[SalaryP1]]-TableIncome[[#This Row],[InvestmentP1]])/12</f>
        <v>23032.326893804828</v>
      </c>
      <c r="L52" s="57">
        <f>(TableIncome[[#This Row],[SalaryP2]]-TableIncome[[#This Row],[InvestmentP2]])/12</f>
        <v>0</v>
      </c>
      <c r="M52" s="34">
        <f>'Net Salary P1'!BI51</f>
        <v>28790.408617256035</v>
      </c>
      <c r="N52" s="34">
        <f>'Net Salary P2'!BI51</f>
        <v>0</v>
      </c>
      <c r="O52" s="35">
        <f>IF(_xlfn.XLOOKUP(TableIncome[[#This Row],[Year]],Loop!C:C,Loop!D:D)&lt;75,(O51*(1+$I$4))+IF(TableIncomeCalculations[[#This Row],[SwitchP1]]="Y",O51*$I$6,0),0)</f>
        <v>52884.576213269414</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43000</v>
      </c>
      <c r="C2" s="28">
        <v>43000</v>
      </c>
      <c r="D2" s="28">
        <v>44290</v>
      </c>
      <c r="E2" s="28">
        <v>44290</v>
      </c>
      <c r="F2" s="28">
        <v>44290</v>
      </c>
      <c r="G2" s="28">
        <v>44290</v>
      </c>
      <c r="H2" s="28">
        <v>45618.7</v>
      </c>
      <c r="I2" s="28">
        <v>45618.7</v>
      </c>
      <c r="J2" s="28">
        <v>45618.7</v>
      </c>
      <c r="K2" s="28">
        <v>45618.7</v>
      </c>
      <c r="L2" s="28">
        <v>46987.260999999999</v>
      </c>
      <c r="M2" s="28">
        <v>46987.260999999999</v>
      </c>
      <c r="N2" s="28">
        <v>46987.260999999999</v>
      </c>
      <c r="O2" s="28">
        <v>48396.878830000001</v>
      </c>
      <c r="P2" s="28">
        <v>48396.878830000001</v>
      </c>
      <c r="Q2" s="28">
        <v>48396.878830000001</v>
      </c>
      <c r="R2" s="28">
        <v>48396.878830000001</v>
      </c>
      <c r="S2" s="28">
        <v>48396.878830000001</v>
      </c>
      <c r="T2" s="28">
        <v>49848.785194900003</v>
      </c>
      <c r="U2" s="28">
        <v>49848.785194900003</v>
      </c>
      <c r="V2" s="28">
        <v>49848.785194900003</v>
      </c>
      <c r="W2" s="28">
        <v>49848.785194900003</v>
      </c>
      <c r="X2" s="28">
        <v>51344.248750747007</v>
      </c>
      <c r="Y2" s="28">
        <v>51344.248750747007</v>
      </c>
      <c r="Z2" s="28">
        <v>51344.248750747007</v>
      </c>
      <c r="AA2" s="28">
        <v>51344.248750747007</v>
      </c>
      <c r="AB2" s="28">
        <v>51344.248750747007</v>
      </c>
      <c r="AC2" s="28">
        <v>51344.248750747007</v>
      </c>
      <c r="AD2" s="28">
        <v>51344.248750747007</v>
      </c>
      <c r="AE2" s="28">
        <v>51344.248750747007</v>
      </c>
      <c r="AF2" s="28">
        <v>51344.248750747007</v>
      </c>
      <c r="AG2" s="28">
        <v>51344.248750747007</v>
      </c>
      <c r="AH2" s="28">
        <v>51344.248750747007</v>
      </c>
      <c r="AI2" s="28">
        <v>51344.248750747007</v>
      </c>
      <c r="AJ2" s="28">
        <v>51344.248750747007</v>
      </c>
      <c r="AK2" s="28">
        <v>52884.576213269414</v>
      </c>
      <c r="AL2" s="28">
        <v>52884.576213269414</v>
      </c>
      <c r="AM2" s="28">
        <v>52884.576213269414</v>
      </c>
      <c r="AN2" s="28">
        <v>52884.576213269414</v>
      </c>
      <c r="AO2" s="28">
        <v>52884.576213269414</v>
      </c>
      <c r="AP2" s="28">
        <v>52884.576213269414</v>
      </c>
      <c r="AQ2" s="28">
        <v>52884.576213269414</v>
      </c>
      <c r="AR2" s="28">
        <v>52884.576213269414</v>
      </c>
      <c r="AS2" s="28">
        <v>52884.576213269414</v>
      </c>
      <c r="AT2" s="28">
        <v>52884.576213269414</v>
      </c>
      <c r="AU2" s="2">
        <v>52884.576213269414</v>
      </c>
      <c r="AV2" s="2">
        <v>52884.576213269414</v>
      </c>
      <c r="AW2" s="2">
        <v>52884.576213269414</v>
      </c>
      <c r="AX2" s="2">
        <v>52884.576213269414</v>
      </c>
      <c r="AY2" s="2">
        <v>52884.576213269414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2150</v>
      </c>
      <c r="C4" s="28">
        <f t="shared" ref="C4:AT4" si="0">C3*C2</f>
        <v>2150</v>
      </c>
      <c r="D4" s="28">
        <f t="shared" si="0"/>
        <v>2214.5</v>
      </c>
      <c r="E4" s="28">
        <f t="shared" si="0"/>
        <v>2214.5</v>
      </c>
      <c r="F4" s="28">
        <f t="shared" si="0"/>
        <v>2214.5</v>
      </c>
      <c r="G4" s="28">
        <f t="shared" si="0"/>
        <v>2214.5</v>
      </c>
      <c r="H4" s="28">
        <f t="shared" si="0"/>
        <v>2280.9349999999999</v>
      </c>
      <c r="I4" s="28">
        <f t="shared" si="0"/>
        <v>2280.9349999999999</v>
      </c>
      <c r="J4" s="28">
        <f t="shared" si="0"/>
        <v>2280.9349999999999</v>
      </c>
      <c r="K4" s="28">
        <f t="shared" si="0"/>
        <v>2280.9349999999999</v>
      </c>
      <c r="L4" s="28">
        <f t="shared" si="0"/>
        <v>2349.3630499999999</v>
      </c>
      <c r="M4" s="28">
        <f t="shared" si="0"/>
        <v>2349.3630499999999</v>
      </c>
      <c r="N4" s="28">
        <f t="shared" si="0"/>
        <v>2349.3630499999999</v>
      </c>
      <c r="O4" s="28">
        <f t="shared" si="0"/>
        <v>2419.8439415000003</v>
      </c>
      <c r="P4" s="28">
        <f t="shared" si="0"/>
        <v>2419.8439415000003</v>
      </c>
      <c r="Q4" s="28">
        <f t="shared" si="0"/>
        <v>2419.8439415000003</v>
      </c>
      <c r="R4" s="28">
        <f t="shared" si="0"/>
        <v>2419.8439415000003</v>
      </c>
      <c r="S4" s="28">
        <f t="shared" si="0"/>
        <v>2419.8439415000003</v>
      </c>
      <c r="T4" s="28">
        <f t="shared" si="0"/>
        <v>2492.4392597450005</v>
      </c>
      <c r="U4" s="28">
        <f t="shared" si="0"/>
        <v>2492.4392597450005</v>
      </c>
      <c r="V4" s="28">
        <f t="shared" si="0"/>
        <v>2492.4392597450005</v>
      </c>
      <c r="W4" s="28">
        <f t="shared" si="0"/>
        <v>2492.4392597450005</v>
      </c>
      <c r="X4" s="28">
        <f t="shared" si="0"/>
        <v>2567.2124375373505</v>
      </c>
      <c r="Y4" s="28">
        <f t="shared" si="0"/>
        <v>2567.2124375373505</v>
      </c>
      <c r="Z4" s="28">
        <f t="shared" si="0"/>
        <v>2567.2124375373505</v>
      </c>
      <c r="AA4" s="28">
        <f t="shared" si="0"/>
        <v>2567.2124375373505</v>
      </c>
      <c r="AB4" s="28">
        <f t="shared" si="0"/>
        <v>2567.2124375373505</v>
      </c>
      <c r="AC4" s="28">
        <f t="shared" si="0"/>
        <v>2567.2124375373505</v>
      </c>
      <c r="AD4" s="28">
        <f t="shared" si="0"/>
        <v>2567.2124375373505</v>
      </c>
      <c r="AE4" s="28">
        <f t="shared" si="0"/>
        <v>2567.2124375373505</v>
      </c>
      <c r="AF4" s="28">
        <f t="shared" si="0"/>
        <v>2567.2124375373505</v>
      </c>
      <c r="AG4" s="28">
        <f t="shared" si="0"/>
        <v>2567.2124375373505</v>
      </c>
      <c r="AH4" s="28">
        <f t="shared" si="0"/>
        <v>2567.2124375373505</v>
      </c>
      <c r="AI4" s="28">
        <f t="shared" si="0"/>
        <v>2567.2124375373505</v>
      </c>
      <c r="AJ4" s="28">
        <f t="shared" si="0"/>
        <v>2567.2124375373505</v>
      </c>
      <c r="AK4" s="28">
        <f t="shared" si="0"/>
        <v>2644.228810663471</v>
      </c>
      <c r="AL4" s="28">
        <f t="shared" si="0"/>
        <v>2644.228810663471</v>
      </c>
      <c r="AM4" s="28">
        <f t="shared" si="0"/>
        <v>2644.228810663471</v>
      </c>
      <c r="AN4" s="28">
        <f t="shared" si="0"/>
        <v>2644.228810663471</v>
      </c>
      <c r="AO4" s="28">
        <f t="shared" si="0"/>
        <v>2644.228810663471</v>
      </c>
      <c r="AP4" s="28">
        <f t="shared" si="0"/>
        <v>2644.228810663471</v>
      </c>
      <c r="AQ4" s="28">
        <f t="shared" si="0"/>
        <v>2644.228810663471</v>
      </c>
      <c r="AR4" s="28">
        <f t="shared" si="0"/>
        <v>2644.228810663471</v>
      </c>
      <c r="AS4" s="28">
        <f t="shared" si="0"/>
        <v>2644.228810663471</v>
      </c>
      <c r="AT4" s="28">
        <f t="shared" si="0"/>
        <v>2644.228810663471</v>
      </c>
      <c r="AU4" s="28">
        <f t="shared" ref="AU4:AY4" si="1">AU3*AU2</f>
        <v>2644.228810663471</v>
      </c>
      <c r="AV4" s="28">
        <f t="shared" si="1"/>
        <v>2644.228810663471</v>
      </c>
      <c r="AW4" s="28">
        <f t="shared" si="1"/>
        <v>2644.228810663471</v>
      </c>
      <c r="AX4" s="28">
        <f t="shared" si="1"/>
        <v>2644.228810663471</v>
      </c>
      <c r="AY4" s="28">
        <f t="shared" si="1"/>
        <v>2644.228810663471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4300</v>
      </c>
      <c r="C6" s="28">
        <f t="shared" ref="C6:AT6" si="2">C4*2</f>
        <v>4300</v>
      </c>
      <c r="D6" s="28">
        <f t="shared" si="2"/>
        <v>4429</v>
      </c>
      <c r="E6" s="28">
        <f t="shared" si="2"/>
        <v>4429</v>
      </c>
      <c r="F6" s="28">
        <f t="shared" si="2"/>
        <v>4429</v>
      </c>
      <c r="G6" s="28">
        <f t="shared" si="2"/>
        <v>4429</v>
      </c>
      <c r="H6" s="28">
        <f t="shared" si="2"/>
        <v>4561.87</v>
      </c>
      <c r="I6" s="28">
        <f t="shared" si="2"/>
        <v>4561.87</v>
      </c>
      <c r="J6" s="28">
        <f t="shared" si="2"/>
        <v>4561.87</v>
      </c>
      <c r="K6" s="28">
        <f t="shared" si="2"/>
        <v>4561.87</v>
      </c>
      <c r="L6" s="28">
        <f t="shared" si="2"/>
        <v>4698.7260999999999</v>
      </c>
      <c r="M6" s="28">
        <f t="shared" si="2"/>
        <v>4698.7260999999999</v>
      </c>
      <c r="N6" s="28">
        <f t="shared" si="2"/>
        <v>4698.7260999999999</v>
      </c>
      <c r="O6" s="28">
        <f t="shared" si="2"/>
        <v>4839.6878830000005</v>
      </c>
      <c r="P6" s="28">
        <f t="shared" si="2"/>
        <v>4839.6878830000005</v>
      </c>
      <c r="Q6" s="28">
        <f t="shared" si="2"/>
        <v>4839.6878830000005</v>
      </c>
      <c r="R6" s="28">
        <f t="shared" si="2"/>
        <v>4839.6878830000005</v>
      </c>
      <c r="S6" s="28">
        <f t="shared" si="2"/>
        <v>4839.6878830000005</v>
      </c>
      <c r="T6" s="28">
        <f t="shared" si="2"/>
        <v>4984.8785194900011</v>
      </c>
      <c r="U6" s="28">
        <f t="shared" si="2"/>
        <v>4984.8785194900011</v>
      </c>
      <c r="V6" s="28">
        <f t="shared" si="2"/>
        <v>4984.8785194900011</v>
      </c>
      <c r="W6" s="28">
        <f t="shared" si="2"/>
        <v>4984.8785194900011</v>
      </c>
      <c r="X6" s="28">
        <f t="shared" si="2"/>
        <v>5134.424875074701</v>
      </c>
      <c r="Y6" s="28">
        <f t="shared" si="2"/>
        <v>5134.424875074701</v>
      </c>
      <c r="Z6" s="28">
        <f t="shared" si="2"/>
        <v>5134.424875074701</v>
      </c>
      <c r="AA6" s="28">
        <f t="shared" si="2"/>
        <v>5134.424875074701</v>
      </c>
      <c r="AB6" s="28">
        <f t="shared" si="2"/>
        <v>5134.424875074701</v>
      </c>
      <c r="AC6" s="28">
        <f t="shared" si="2"/>
        <v>5134.424875074701</v>
      </c>
      <c r="AD6" s="28">
        <f t="shared" si="2"/>
        <v>5134.424875074701</v>
      </c>
      <c r="AE6" s="28">
        <f t="shared" si="2"/>
        <v>5134.424875074701</v>
      </c>
      <c r="AF6" s="28">
        <f t="shared" si="2"/>
        <v>5134.424875074701</v>
      </c>
      <c r="AG6" s="28">
        <f t="shared" si="2"/>
        <v>5134.424875074701</v>
      </c>
      <c r="AH6" s="28">
        <f t="shared" si="2"/>
        <v>5134.424875074701</v>
      </c>
      <c r="AI6" s="28">
        <f t="shared" si="2"/>
        <v>5134.424875074701</v>
      </c>
      <c r="AJ6" s="28">
        <f t="shared" si="2"/>
        <v>5134.424875074701</v>
      </c>
      <c r="AK6" s="28">
        <f t="shared" si="2"/>
        <v>5288.457621326942</v>
      </c>
      <c r="AL6" s="28">
        <f t="shared" si="2"/>
        <v>5288.457621326942</v>
      </c>
      <c r="AM6" s="28">
        <f t="shared" si="2"/>
        <v>5288.457621326942</v>
      </c>
      <c r="AN6" s="28">
        <f t="shared" si="2"/>
        <v>5288.457621326942</v>
      </c>
      <c r="AO6" s="28">
        <f t="shared" si="2"/>
        <v>5288.457621326942</v>
      </c>
      <c r="AP6" s="28">
        <f t="shared" si="2"/>
        <v>5288.457621326942</v>
      </c>
      <c r="AQ6" s="28">
        <f t="shared" si="2"/>
        <v>5288.457621326942</v>
      </c>
      <c r="AR6" s="28">
        <f t="shared" si="2"/>
        <v>5288.457621326942</v>
      </c>
      <c r="AS6" s="28">
        <f t="shared" si="2"/>
        <v>5288.457621326942</v>
      </c>
      <c r="AT6" s="28">
        <f t="shared" si="2"/>
        <v>5288.457621326942</v>
      </c>
      <c r="AU6" s="28">
        <f t="shared" ref="AU6:AY6" si="3">AU4*2</f>
        <v>5288.457621326942</v>
      </c>
      <c r="AV6" s="28">
        <f t="shared" si="3"/>
        <v>5288.457621326942</v>
      </c>
      <c r="AW6" s="28">
        <f t="shared" si="3"/>
        <v>5288.457621326942</v>
      </c>
      <c r="AX6" s="28">
        <f t="shared" si="3"/>
        <v>5288.457621326942</v>
      </c>
      <c r="AY6" s="28">
        <f t="shared" si="3"/>
        <v>5288.457621326942</v>
      </c>
    </row>
    <row r="7" spans="1:51" x14ac:dyDescent="0.2">
      <c r="A7" s="2" t="s">
        <v>180</v>
      </c>
      <c r="B7" s="29">
        <f>SUM(B6,B4)</f>
        <v>6450</v>
      </c>
      <c r="C7" s="29">
        <f t="shared" ref="C7:AT7" si="4">SUM(C6,C4)</f>
        <v>6450</v>
      </c>
      <c r="D7" s="29">
        <f t="shared" si="4"/>
        <v>6643.5</v>
      </c>
      <c r="E7" s="29">
        <f t="shared" si="4"/>
        <v>6643.5</v>
      </c>
      <c r="F7" s="29">
        <f t="shared" si="4"/>
        <v>6643.5</v>
      </c>
      <c r="G7" s="29">
        <f t="shared" si="4"/>
        <v>6643.5</v>
      </c>
      <c r="H7" s="29">
        <f t="shared" si="4"/>
        <v>6842.8050000000003</v>
      </c>
      <c r="I7" s="29">
        <f t="shared" si="4"/>
        <v>6842.8050000000003</v>
      </c>
      <c r="J7" s="29">
        <f t="shared" si="4"/>
        <v>6842.8050000000003</v>
      </c>
      <c r="K7" s="29">
        <f t="shared" si="4"/>
        <v>6842.8050000000003</v>
      </c>
      <c r="L7" s="29">
        <f t="shared" si="4"/>
        <v>7048.0891499999998</v>
      </c>
      <c r="M7" s="29">
        <f t="shared" si="4"/>
        <v>7048.0891499999998</v>
      </c>
      <c r="N7" s="29">
        <f t="shared" si="4"/>
        <v>7048.0891499999998</v>
      </c>
      <c r="O7" s="29">
        <f t="shared" si="4"/>
        <v>7259.5318245000008</v>
      </c>
      <c r="P7" s="29">
        <f t="shared" si="4"/>
        <v>7259.5318245000008</v>
      </c>
      <c r="Q7" s="29">
        <f t="shared" si="4"/>
        <v>7259.5318245000008</v>
      </c>
      <c r="R7" s="29">
        <f t="shared" si="4"/>
        <v>7259.5318245000008</v>
      </c>
      <c r="S7" s="29">
        <f t="shared" si="4"/>
        <v>7259.5318245000008</v>
      </c>
      <c r="T7" s="29">
        <f t="shared" si="4"/>
        <v>7477.3177792350016</v>
      </c>
      <c r="U7" s="29">
        <f t="shared" si="4"/>
        <v>7477.3177792350016</v>
      </c>
      <c r="V7" s="29">
        <f t="shared" si="4"/>
        <v>7477.3177792350016</v>
      </c>
      <c r="W7" s="29">
        <f t="shared" si="4"/>
        <v>7477.3177792350016</v>
      </c>
      <c r="X7" s="29">
        <f t="shared" si="4"/>
        <v>7701.6373126120516</v>
      </c>
      <c r="Y7" s="29">
        <f t="shared" si="4"/>
        <v>7701.6373126120516</v>
      </c>
      <c r="Z7" s="29">
        <f t="shared" si="4"/>
        <v>7701.6373126120516</v>
      </c>
      <c r="AA7" s="29">
        <f t="shared" si="4"/>
        <v>7701.6373126120516</v>
      </c>
      <c r="AB7" s="29">
        <f t="shared" si="4"/>
        <v>7701.6373126120516</v>
      </c>
      <c r="AC7" s="29">
        <f t="shared" si="4"/>
        <v>7701.6373126120516</v>
      </c>
      <c r="AD7" s="29">
        <f t="shared" si="4"/>
        <v>7701.6373126120516</v>
      </c>
      <c r="AE7" s="29">
        <f t="shared" si="4"/>
        <v>7701.6373126120516</v>
      </c>
      <c r="AF7" s="29">
        <f t="shared" si="4"/>
        <v>7701.6373126120516</v>
      </c>
      <c r="AG7" s="29">
        <f t="shared" si="4"/>
        <v>7701.6373126120516</v>
      </c>
      <c r="AH7" s="29">
        <f t="shared" si="4"/>
        <v>7701.6373126120516</v>
      </c>
      <c r="AI7" s="29">
        <f t="shared" si="4"/>
        <v>7701.6373126120516</v>
      </c>
      <c r="AJ7" s="29">
        <f t="shared" si="4"/>
        <v>7701.6373126120516</v>
      </c>
      <c r="AK7" s="29">
        <f t="shared" si="4"/>
        <v>7932.6864319904125</v>
      </c>
      <c r="AL7" s="29">
        <f t="shared" si="4"/>
        <v>7932.6864319904125</v>
      </c>
      <c r="AM7" s="29">
        <f t="shared" si="4"/>
        <v>7932.6864319904125</v>
      </c>
      <c r="AN7" s="29">
        <f t="shared" si="4"/>
        <v>7932.6864319904125</v>
      </c>
      <c r="AO7" s="29">
        <f t="shared" si="4"/>
        <v>7932.6864319904125</v>
      </c>
      <c r="AP7" s="29">
        <f t="shared" si="4"/>
        <v>7932.6864319904125</v>
      </c>
      <c r="AQ7" s="29">
        <f t="shared" si="4"/>
        <v>7932.6864319904125</v>
      </c>
      <c r="AR7" s="29">
        <f t="shared" si="4"/>
        <v>7932.6864319904125</v>
      </c>
      <c r="AS7" s="29">
        <f t="shared" si="4"/>
        <v>7932.6864319904125</v>
      </c>
      <c r="AT7" s="29">
        <f t="shared" si="4"/>
        <v>7932.6864319904125</v>
      </c>
      <c r="AU7" s="29">
        <f t="shared" ref="AU7:AY7" si="5">SUM(AU6,AU4)</f>
        <v>7932.6864319904125</v>
      </c>
      <c r="AV7" s="29">
        <f t="shared" si="5"/>
        <v>7932.6864319904125</v>
      </c>
      <c r="AW7" s="29">
        <f t="shared" si="5"/>
        <v>7932.6864319904125</v>
      </c>
      <c r="AX7" s="29">
        <f t="shared" si="5"/>
        <v>7932.6864319904125</v>
      </c>
      <c r="AY7" s="29">
        <f t="shared" si="5"/>
        <v>7932.6864319904125</v>
      </c>
    </row>
    <row r="8" spans="1:51" x14ac:dyDescent="0.2">
      <c r="A8" s="2" t="s">
        <v>181</v>
      </c>
      <c r="B8" s="28">
        <f>B7*12</f>
        <v>77400</v>
      </c>
      <c r="C8" s="28">
        <f t="shared" ref="C8:AT8" si="6">C7*12</f>
        <v>77400</v>
      </c>
      <c r="D8" s="28">
        <f t="shared" si="6"/>
        <v>79722</v>
      </c>
      <c r="E8" s="28">
        <f t="shared" si="6"/>
        <v>79722</v>
      </c>
      <c r="F8" s="28">
        <f t="shared" si="6"/>
        <v>79722</v>
      </c>
      <c r="G8" s="28">
        <f t="shared" si="6"/>
        <v>79722</v>
      </c>
      <c r="H8" s="28">
        <f t="shared" si="6"/>
        <v>82113.66</v>
      </c>
      <c r="I8" s="28">
        <f t="shared" si="6"/>
        <v>82113.66</v>
      </c>
      <c r="J8" s="28">
        <f t="shared" si="6"/>
        <v>82113.66</v>
      </c>
      <c r="K8" s="28">
        <f t="shared" si="6"/>
        <v>82113.66</v>
      </c>
      <c r="L8" s="28">
        <f t="shared" si="6"/>
        <v>84577.069799999997</v>
      </c>
      <c r="M8" s="28">
        <f t="shared" si="6"/>
        <v>84577.069799999997</v>
      </c>
      <c r="N8" s="28">
        <f t="shared" si="6"/>
        <v>84577.069799999997</v>
      </c>
      <c r="O8" s="28">
        <f t="shared" si="6"/>
        <v>87114.381894000006</v>
      </c>
      <c r="P8" s="28">
        <f t="shared" si="6"/>
        <v>87114.381894000006</v>
      </c>
      <c r="Q8" s="28">
        <f t="shared" si="6"/>
        <v>87114.381894000006</v>
      </c>
      <c r="R8" s="28">
        <f t="shared" si="6"/>
        <v>87114.381894000006</v>
      </c>
      <c r="S8" s="28">
        <f t="shared" si="6"/>
        <v>87114.381894000006</v>
      </c>
      <c r="T8" s="28">
        <f t="shared" si="6"/>
        <v>89727.813350820012</v>
      </c>
      <c r="U8" s="28">
        <f t="shared" si="6"/>
        <v>89727.813350820012</v>
      </c>
      <c r="V8" s="28">
        <f t="shared" si="6"/>
        <v>89727.813350820012</v>
      </c>
      <c r="W8" s="28">
        <f t="shared" si="6"/>
        <v>89727.813350820012</v>
      </c>
      <c r="X8" s="28">
        <f t="shared" si="6"/>
        <v>92419.647751344615</v>
      </c>
      <c r="Y8" s="28">
        <f t="shared" si="6"/>
        <v>92419.647751344615</v>
      </c>
      <c r="Z8" s="28">
        <f t="shared" si="6"/>
        <v>92419.647751344615</v>
      </c>
      <c r="AA8" s="28">
        <f t="shared" si="6"/>
        <v>92419.647751344615</v>
      </c>
      <c r="AB8" s="28">
        <f t="shared" si="6"/>
        <v>92419.647751344615</v>
      </c>
      <c r="AC8" s="28">
        <f t="shared" si="6"/>
        <v>92419.647751344615</v>
      </c>
      <c r="AD8" s="28">
        <f t="shared" si="6"/>
        <v>92419.647751344615</v>
      </c>
      <c r="AE8" s="28">
        <f t="shared" si="6"/>
        <v>92419.647751344615</v>
      </c>
      <c r="AF8" s="28">
        <f t="shared" si="6"/>
        <v>92419.647751344615</v>
      </c>
      <c r="AG8" s="28">
        <f t="shared" si="6"/>
        <v>92419.647751344615</v>
      </c>
      <c r="AH8" s="28">
        <f t="shared" si="6"/>
        <v>92419.647751344615</v>
      </c>
      <c r="AI8" s="28">
        <f t="shared" si="6"/>
        <v>92419.647751344615</v>
      </c>
      <c r="AJ8" s="28">
        <f t="shared" si="6"/>
        <v>92419.647751344615</v>
      </c>
      <c r="AK8" s="28">
        <f t="shared" si="6"/>
        <v>95192.23718388495</v>
      </c>
      <c r="AL8" s="28">
        <f t="shared" si="6"/>
        <v>95192.23718388495</v>
      </c>
      <c r="AM8" s="28">
        <f t="shared" si="6"/>
        <v>95192.23718388495</v>
      </c>
      <c r="AN8" s="28">
        <f t="shared" si="6"/>
        <v>95192.23718388495</v>
      </c>
      <c r="AO8" s="28">
        <f t="shared" si="6"/>
        <v>95192.23718388495</v>
      </c>
      <c r="AP8" s="28">
        <f t="shared" si="6"/>
        <v>95192.23718388495</v>
      </c>
      <c r="AQ8" s="28">
        <f t="shared" si="6"/>
        <v>95192.23718388495</v>
      </c>
      <c r="AR8" s="28">
        <f t="shared" si="6"/>
        <v>95192.23718388495</v>
      </c>
      <c r="AS8" s="28">
        <f t="shared" si="6"/>
        <v>95192.23718388495</v>
      </c>
      <c r="AT8" s="28">
        <f t="shared" si="6"/>
        <v>95192.23718388495</v>
      </c>
      <c r="AU8" s="28">
        <f t="shared" ref="AU8:AY8" si="7">AU7*12</f>
        <v>95192.23718388495</v>
      </c>
      <c r="AV8" s="28">
        <f t="shared" si="7"/>
        <v>95192.23718388495</v>
      </c>
      <c r="AW8" s="28">
        <f t="shared" si="7"/>
        <v>95192.23718388495</v>
      </c>
      <c r="AX8" s="28">
        <f t="shared" si="7"/>
        <v>95192.23718388495</v>
      </c>
      <c r="AY8" s="28">
        <f t="shared" si="7"/>
        <v>95192.23718388495</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8862704.7805149779</v>
      </c>
    </row>
    <row r="17" spans="1:4" x14ac:dyDescent="0.2">
      <c r="A17" s="2" t="s">
        <v>184</v>
      </c>
      <c r="B17" s="28">
        <f>B16/25</f>
        <v>354508.19122059911</v>
      </c>
      <c r="C17" s="2" t="s">
        <v>182</v>
      </c>
    </row>
    <row r="18" spans="1:4" x14ac:dyDescent="0.2">
      <c r="A18" s="2" t="s">
        <v>183</v>
      </c>
      <c r="B18" s="30">
        <f>B17/12</f>
        <v>29542.349268383259</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0.03</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77400</v>
      </c>
      <c r="C34" s="26">
        <f t="shared" ref="C34:AT34" si="8">B38+C8</f>
        <v>156766.734</v>
      </c>
      <c r="D34" s="26">
        <f t="shared" si="8"/>
        <v>240472.17671094</v>
      </c>
      <c r="E34" s="26">
        <f t="shared" si="8"/>
        <v>326304.574721165</v>
      </c>
      <c r="F34" s="26">
        <f t="shared" si="8"/>
        <v>414317.97396482981</v>
      </c>
      <c r="G34" s="26">
        <f t="shared" si="8"/>
        <v>504567.79368327616</v>
      </c>
      <c r="H34" s="26">
        <f t="shared" si="8"/>
        <v>599502.52132076817</v>
      </c>
      <c r="I34" s="26">
        <f t="shared" si="8"/>
        <v>696849.54038752895</v>
      </c>
      <c r="J34" s="26">
        <f t="shared" si="8"/>
        <v>796670.14720877609</v>
      </c>
      <c r="K34" s="26">
        <f t="shared" si="8"/>
        <v>899027.19564935111</v>
      </c>
      <c r="L34" s="26">
        <f t="shared" si="8"/>
        <v>1006448.546490801</v>
      </c>
      <c r="M34" s="26">
        <f t="shared" si="8"/>
        <v>1116599.4738571323</v>
      </c>
      <c r="N34" s="26">
        <f t="shared" si="8"/>
        <v>1229549.3362878419</v>
      </c>
      <c r="O34" s="26">
        <f t="shared" si="8"/>
        <v>1347906.566816916</v>
      </c>
      <c r="P34" s="26">
        <f t="shared" si="8"/>
        <v>1469271.254573734</v>
      </c>
      <c r="Q34" s="26">
        <f t="shared" si="8"/>
        <v>1593719.8190464526</v>
      </c>
      <c r="R34" s="26">
        <f t="shared" si="8"/>
        <v>1721330.621542423</v>
      </c>
      <c r="S34" s="26">
        <f t="shared" si="8"/>
        <v>1852184.0145298161</v>
      </c>
      <c r="T34" s="26">
        <f t="shared" si="8"/>
        <v>1988975.8236898386</v>
      </c>
      <c r="U34" s="26">
        <f t="shared" si="8"/>
        <v>2129243.5127206175</v>
      </c>
      <c r="V34" s="26">
        <f t="shared" si="8"/>
        <v>2273075.4037296684</v>
      </c>
      <c r="W34" s="26">
        <f t="shared" si="8"/>
        <v>2420562.063089259</v>
      </c>
      <c r="X34" s="26">
        <f t="shared" si="8"/>
        <v>2574488.1928637018</v>
      </c>
      <c r="Y34" s="26">
        <f t="shared" si="8"/>
        <v>2732325.5855957135</v>
      </c>
      <c r="Z34" s="26">
        <f t="shared" si="8"/>
        <v>2894173.6264770455</v>
      </c>
      <c r="AA34" s="26">
        <f t="shared" si="8"/>
        <v>3060134.226077172</v>
      </c>
      <c r="AB34" s="26">
        <f t="shared" si="8"/>
        <v>3230311.8845131379</v>
      </c>
      <c r="AC34" s="26">
        <f t="shared" si="8"/>
        <v>3404813.7572499616</v>
      </c>
      <c r="AD34" s="26">
        <f t="shared" si="8"/>
        <v>3583749.7225730279</v>
      </c>
      <c r="AE34" s="26">
        <f t="shared" si="8"/>
        <v>3767232.4507749532</v>
      </c>
      <c r="AF34" s="26">
        <f t="shared" si="8"/>
        <v>3955377.4751004898</v>
      </c>
      <c r="AG34" s="26">
        <f t="shared" si="8"/>
        <v>4148303.2644941383</v>
      </c>
      <c r="AH34" s="26">
        <f t="shared" si="8"/>
        <v>4346131.2981962785</v>
      </c>
      <c r="AI34" s="26">
        <f t="shared" si="8"/>
        <v>4548986.1422347901</v>
      </c>
      <c r="AJ34" s="26">
        <f t="shared" si="8"/>
        <v>4756995.5278603202</v>
      </c>
      <c r="AK34" s="26">
        <f t="shared" si="8"/>
        <v>4973063.0214071358</v>
      </c>
      <c r="AL34" s="26">
        <f t="shared" si="8"/>
        <v>5194620.7899649758</v>
      </c>
      <c r="AM34" s="26">
        <f t="shared" si="8"/>
        <v>5421808.3414218705</v>
      </c>
      <c r="AN34" s="26">
        <f t="shared" si="8"/>
        <v>5654768.728561285</v>
      </c>
      <c r="AO34" s="26">
        <f t="shared" si="8"/>
        <v>5893648.6391379116</v>
      </c>
      <c r="AP34" s="26">
        <f t="shared" si="8"/>
        <v>6138598.4882422909</v>
      </c>
      <c r="AQ34" s="26">
        <f t="shared" si="8"/>
        <v>6389772.513012412</v>
      </c>
      <c r="AR34" s="26">
        <f t="shared" si="8"/>
        <v>6647328.8697519423</v>
      </c>
      <c r="AS34" s="26">
        <f t="shared" si="8"/>
        <v>6911429.7335162237</v>
      </c>
      <c r="AT34" s="26">
        <f t="shared" si="8"/>
        <v>7182241.4002287555</v>
      </c>
      <c r="AU34" s="26">
        <f t="shared" ref="AU34" si="9">AT38+AU8</f>
        <v>7459934.3913924526</v>
      </c>
      <c r="AV34" s="26">
        <f t="shared" ref="AV34" si="10">AU38+AV8</f>
        <v>7744683.5614616191</v>
      </c>
      <c r="AW34" s="26">
        <f t="shared" ref="AW34" si="11">AV38+AW8</f>
        <v>8036668.2079422437</v>
      </c>
      <c r="AX34" s="26">
        <f t="shared" ref="AX34" si="12">AW38+AX8</f>
        <v>8336072.1842899406</v>
      </c>
      <c r="AY34" s="26">
        <f t="shared" ref="AY34" si="13">AX38+AY8</f>
        <v>8643084.0156766344</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2322</v>
      </c>
      <c r="C36" s="26">
        <f>C35*C34</f>
        <v>4703.0020199999999</v>
      </c>
      <c r="D36" s="26">
        <f>D35*D34</f>
        <v>7214.1653013281993</v>
      </c>
      <c r="E36" s="26">
        <f t="shared" ref="E36:AT36" si="15">E35*E34</f>
        <v>9789.1372416349495</v>
      </c>
      <c r="F36" s="26">
        <f t="shared" si="15"/>
        <v>12429.539218944894</v>
      </c>
      <c r="G36" s="26">
        <f t="shared" si="15"/>
        <v>15137.033810498284</v>
      </c>
      <c r="H36" s="26">
        <f t="shared" si="15"/>
        <v>17985.075639623043</v>
      </c>
      <c r="I36" s="26">
        <f t="shared" si="15"/>
        <v>20905.486211625866</v>
      </c>
      <c r="J36" s="26">
        <f t="shared" si="15"/>
        <v>23900.104416263282</v>
      </c>
      <c r="K36" s="26">
        <f t="shared" si="15"/>
        <v>26970.815869480532</v>
      </c>
      <c r="L36" s="26">
        <f t="shared" si="15"/>
        <v>30193.456394724031</v>
      </c>
      <c r="M36" s="26">
        <f t="shared" si="15"/>
        <v>33497.984215713965</v>
      </c>
      <c r="N36" s="26">
        <f t="shared" si="15"/>
        <v>36886.480088635253</v>
      </c>
      <c r="O36" s="26">
        <f t="shared" si="15"/>
        <v>40437.197004507478</v>
      </c>
      <c r="P36" s="26">
        <f t="shared" si="15"/>
        <v>44078.137637212021</v>
      </c>
      <c r="Q36" s="26">
        <f t="shared" si="15"/>
        <v>47811.59457139358</v>
      </c>
      <c r="R36" s="26">
        <f t="shared" si="15"/>
        <v>51639.918646272687</v>
      </c>
      <c r="S36" s="26">
        <f t="shared" si="15"/>
        <v>55565.520435894483</v>
      </c>
      <c r="T36" s="26">
        <f t="shared" si="15"/>
        <v>59669.274710695157</v>
      </c>
      <c r="U36" s="26">
        <f t="shared" si="15"/>
        <v>63877.30538161852</v>
      </c>
      <c r="V36" s="26">
        <f t="shared" si="15"/>
        <v>68192.262111890042</v>
      </c>
      <c r="W36" s="26">
        <f t="shared" si="15"/>
        <v>72616.861892677771</v>
      </c>
      <c r="X36" s="26">
        <f t="shared" si="15"/>
        <v>77234.645785911052</v>
      </c>
      <c r="Y36" s="26">
        <f t="shared" si="15"/>
        <v>81969.7675678714</v>
      </c>
      <c r="Z36" s="26">
        <f t="shared" si="15"/>
        <v>86825.208794311358</v>
      </c>
      <c r="AA36" s="26">
        <f t="shared" si="15"/>
        <v>91804.026782315152</v>
      </c>
      <c r="AB36" s="26">
        <f t="shared" si="15"/>
        <v>96909.356535394138</v>
      </c>
      <c r="AC36" s="26">
        <f t="shared" si="15"/>
        <v>102144.41271749884</v>
      </c>
      <c r="AD36" s="26">
        <f t="shared" si="15"/>
        <v>107512.49167719083</v>
      </c>
      <c r="AE36" s="26">
        <f t="shared" si="15"/>
        <v>113016.9735232486</v>
      </c>
      <c r="AF36" s="26">
        <f t="shared" si="15"/>
        <v>118661.3242530147</v>
      </c>
      <c r="AG36" s="26">
        <f t="shared" si="15"/>
        <v>124449.09793482414</v>
      </c>
      <c r="AH36" s="26">
        <f t="shared" si="15"/>
        <v>130383.93894588835</v>
      </c>
      <c r="AI36" s="26">
        <f t="shared" si="15"/>
        <v>136469.58426704371</v>
      </c>
      <c r="AJ36" s="26">
        <f t="shared" si="15"/>
        <v>142709.86583580959</v>
      </c>
      <c r="AK36" s="26">
        <f t="shared" si="15"/>
        <v>149191.89064221407</v>
      </c>
      <c r="AL36" s="26">
        <f t="shared" si="15"/>
        <v>155838.62369894926</v>
      </c>
      <c r="AM36" s="26">
        <f t="shared" si="15"/>
        <v>162654.2502426561</v>
      </c>
      <c r="AN36" s="26">
        <f t="shared" si="15"/>
        <v>169643.06185683855</v>
      </c>
      <c r="AO36" s="26">
        <f t="shared" si="15"/>
        <v>176809.45917413733</v>
      </c>
      <c r="AP36" s="26">
        <f t="shared" si="15"/>
        <v>184157.95464726872</v>
      </c>
      <c r="AQ36" s="26">
        <f t="shared" si="15"/>
        <v>191693.17539037234</v>
      </c>
      <c r="AR36" s="26">
        <f t="shared" si="15"/>
        <v>199419.86609255825</v>
      </c>
      <c r="AS36" s="26">
        <f t="shared" si="15"/>
        <v>207342.8920054867</v>
      </c>
      <c r="AT36" s="26">
        <f t="shared" si="15"/>
        <v>215467.24200686265</v>
      </c>
      <c r="AU36" s="26">
        <f t="shared" ref="AU36:AY36" si="16">AU35*AU34</f>
        <v>223798.03174177356</v>
      </c>
      <c r="AV36" s="26">
        <f t="shared" si="16"/>
        <v>232340.50684384856</v>
      </c>
      <c r="AW36" s="26">
        <f t="shared" si="16"/>
        <v>241100.0462382673</v>
      </c>
      <c r="AX36" s="26">
        <f t="shared" si="16"/>
        <v>250082.16552869821</v>
      </c>
      <c r="AY36" s="26">
        <f t="shared" si="16"/>
        <v>259292.52047029903</v>
      </c>
    </row>
    <row r="37" spans="1:51" x14ac:dyDescent="0.2">
      <c r="A37" s="2" t="s">
        <v>215</v>
      </c>
      <c r="B37" s="26">
        <f>B36*$B$27</f>
        <v>355.26600000000002</v>
      </c>
      <c r="C37" s="26">
        <f>C36*$B$27</f>
        <v>719.55930905999992</v>
      </c>
      <c r="D37" s="26">
        <f t="shared" ref="D37:AT37" si="17">D36*$B$27</f>
        <v>1103.7672911032146</v>
      </c>
      <c r="E37" s="26">
        <f t="shared" si="17"/>
        <v>1497.7379979701473</v>
      </c>
      <c r="F37" s="26">
        <f t="shared" si="17"/>
        <v>1901.7195004985688</v>
      </c>
      <c r="G37" s="26">
        <f t="shared" si="17"/>
        <v>2315.9661730062376</v>
      </c>
      <c r="H37" s="26">
        <f t="shared" si="17"/>
        <v>2751.7165728623254</v>
      </c>
      <c r="I37" s="26">
        <f t="shared" si="17"/>
        <v>3198.5393903787576</v>
      </c>
      <c r="J37" s="26">
        <f t="shared" si="17"/>
        <v>3656.715975688282</v>
      </c>
      <c r="K37" s="26">
        <f t="shared" si="17"/>
        <v>4126.5348280305216</v>
      </c>
      <c r="L37" s="26">
        <f t="shared" si="17"/>
        <v>4619.5988283927763</v>
      </c>
      <c r="M37" s="26">
        <f t="shared" si="17"/>
        <v>5125.1915850042369</v>
      </c>
      <c r="N37" s="26">
        <f t="shared" si="17"/>
        <v>5643.6314535611937</v>
      </c>
      <c r="O37" s="26">
        <f t="shared" si="17"/>
        <v>6186.8911416896435</v>
      </c>
      <c r="P37" s="26">
        <f t="shared" si="17"/>
        <v>6743.9550584934395</v>
      </c>
      <c r="Q37" s="26">
        <f t="shared" si="17"/>
        <v>7315.1739694232174</v>
      </c>
      <c r="R37" s="26">
        <f t="shared" si="17"/>
        <v>7900.9075528797212</v>
      </c>
      <c r="S37" s="26">
        <f t="shared" si="17"/>
        <v>8501.5246266918566</v>
      </c>
      <c r="T37" s="26">
        <f t="shared" si="17"/>
        <v>9129.3990307363583</v>
      </c>
      <c r="U37" s="26">
        <f t="shared" si="17"/>
        <v>9773.2277233876339</v>
      </c>
      <c r="V37" s="26">
        <f t="shared" si="17"/>
        <v>10433.416103119176</v>
      </c>
      <c r="W37" s="26">
        <f t="shared" si="17"/>
        <v>11110.3798695797</v>
      </c>
      <c r="X37" s="26">
        <f t="shared" si="17"/>
        <v>11816.900805244391</v>
      </c>
      <c r="Y37" s="26">
        <f t="shared" si="17"/>
        <v>12541.374437884324</v>
      </c>
      <c r="Z37" s="26">
        <f t="shared" si="17"/>
        <v>13284.256945529638</v>
      </c>
      <c r="AA37" s="26">
        <f t="shared" si="17"/>
        <v>14046.016097694219</v>
      </c>
      <c r="AB37" s="26">
        <f t="shared" si="17"/>
        <v>14827.131549915302</v>
      </c>
      <c r="AC37" s="26">
        <f t="shared" si="17"/>
        <v>15628.095145777323</v>
      </c>
      <c r="AD37" s="26">
        <f t="shared" si="17"/>
        <v>16449.411226610198</v>
      </c>
      <c r="AE37" s="26">
        <f t="shared" si="17"/>
        <v>17291.596949057035</v>
      </c>
      <c r="AF37" s="26">
        <f t="shared" si="17"/>
        <v>18155.182610711247</v>
      </c>
      <c r="AG37" s="26">
        <f t="shared" si="17"/>
        <v>19040.711984028094</v>
      </c>
      <c r="AH37" s="26">
        <f t="shared" si="17"/>
        <v>19948.742658720919</v>
      </c>
      <c r="AI37" s="26">
        <f t="shared" si="17"/>
        <v>20879.846392857689</v>
      </c>
      <c r="AJ37" s="26">
        <f t="shared" si="17"/>
        <v>21834.609472878867</v>
      </c>
      <c r="AK37" s="26">
        <f t="shared" si="17"/>
        <v>22826.359268258751</v>
      </c>
      <c r="AL37" s="26">
        <f t="shared" si="17"/>
        <v>23843.309425939238</v>
      </c>
      <c r="AM37" s="26">
        <f t="shared" si="17"/>
        <v>24886.100287126381</v>
      </c>
      <c r="AN37" s="26">
        <f t="shared" si="17"/>
        <v>25955.388464096297</v>
      </c>
      <c r="AO37" s="26">
        <f t="shared" si="17"/>
        <v>27051.847253643013</v>
      </c>
      <c r="AP37" s="26">
        <f t="shared" si="17"/>
        <v>28176.167061032113</v>
      </c>
      <c r="AQ37" s="26">
        <f t="shared" si="17"/>
        <v>29329.055834726969</v>
      </c>
      <c r="AR37" s="26">
        <f t="shared" si="17"/>
        <v>30511.239512161414</v>
      </c>
      <c r="AS37" s="26">
        <f t="shared" si="17"/>
        <v>31723.462476839464</v>
      </c>
      <c r="AT37" s="26">
        <f t="shared" si="17"/>
        <v>32966.488027049985</v>
      </c>
      <c r="AU37" s="26">
        <f t="shared" ref="AU37:AY37" si="18">AU36*$B$27</f>
        <v>34241.098856491357</v>
      </c>
      <c r="AV37" s="26">
        <f t="shared" si="18"/>
        <v>35548.097547108831</v>
      </c>
      <c r="AW37" s="26">
        <f t="shared" si="18"/>
        <v>36888.307074454897</v>
      </c>
      <c r="AX37" s="26">
        <f t="shared" si="18"/>
        <v>38262.571325890829</v>
      </c>
      <c r="AY37" s="26">
        <f t="shared" si="18"/>
        <v>39671.755631955748</v>
      </c>
    </row>
    <row r="38" spans="1:51" s="18" customFormat="1" x14ac:dyDescent="0.2">
      <c r="A38" s="18" t="s">
        <v>248</v>
      </c>
      <c r="B38" s="27">
        <f>B34+(B36-B37)</f>
        <v>79366.733999999997</v>
      </c>
      <c r="C38" s="27">
        <f>C34+(C36-C37)</f>
        <v>160750.17671094</v>
      </c>
      <c r="D38" s="27">
        <f t="shared" ref="D38:AS38" si="19">D34+(D36-D37)</f>
        <v>246582.57472116497</v>
      </c>
      <c r="E38" s="27">
        <f t="shared" si="19"/>
        <v>334595.97396482981</v>
      </c>
      <c r="F38" s="27">
        <f t="shared" si="19"/>
        <v>424845.79368327616</v>
      </c>
      <c r="G38" s="27">
        <f t="shared" si="19"/>
        <v>517388.86132076819</v>
      </c>
      <c r="H38" s="27">
        <f t="shared" si="19"/>
        <v>614735.88038752892</v>
      </c>
      <c r="I38" s="27">
        <f t="shared" si="19"/>
        <v>714556.48720877606</v>
      </c>
      <c r="J38" s="27">
        <f t="shared" si="19"/>
        <v>816913.53564935108</v>
      </c>
      <c r="K38" s="27">
        <f t="shared" si="19"/>
        <v>921871.47669080109</v>
      </c>
      <c r="L38" s="27">
        <f t="shared" si="19"/>
        <v>1032022.4040571323</v>
      </c>
      <c r="M38" s="27">
        <f t="shared" si="19"/>
        <v>1144972.266487842</v>
      </c>
      <c r="N38" s="27">
        <f t="shared" si="19"/>
        <v>1260792.1849229159</v>
      </c>
      <c r="O38" s="27">
        <f t="shared" si="19"/>
        <v>1382156.8726797339</v>
      </c>
      <c r="P38" s="27">
        <f t="shared" si="19"/>
        <v>1506605.4371524525</v>
      </c>
      <c r="Q38" s="27">
        <f t="shared" si="19"/>
        <v>1634216.2396484229</v>
      </c>
      <c r="R38" s="27">
        <f t="shared" si="19"/>
        <v>1765069.632635816</v>
      </c>
      <c r="S38" s="27">
        <f t="shared" si="19"/>
        <v>1899248.0103390187</v>
      </c>
      <c r="T38" s="27">
        <f t="shared" si="19"/>
        <v>2039515.6993697975</v>
      </c>
      <c r="U38" s="27">
        <f t="shared" si="19"/>
        <v>2183347.5903788484</v>
      </c>
      <c r="V38" s="27">
        <f t="shared" si="19"/>
        <v>2330834.249738439</v>
      </c>
      <c r="W38" s="27">
        <f t="shared" si="19"/>
        <v>2482068.545112357</v>
      </c>
      <c r="X38" s="27">
        <f t="shared" si="19"/>
        <v>2639905.9378443686</v>
      </c>
      <c r="Y38" s="27">
        <f t="shared" si="19"/>
        <v>2801753.9787257006</v>
      </c>
      <c r="Z38" s="27">
        <f t="shared" si="19"/>
        <v>2967714.5783258271</v>
      </c>
      <c r="AA38" s="27">
        <f t="shared" si="19"/>
        <v>3137892.236761793</v>
      </c>
      <c r="AB38" s="27">
        <f t="shared" si="19"/>
        <v>3312394.1094986168</v>
      </c>
      <c r="AC38" s="27">
        <f t="shared" si="19"/>
        <v>3491330.0748216831</v>
      </c>
      <c r="AD38" s="27">
        <f t="shared" si="19"/>
        <v>3674812.8030236084</v>
      </c>
      <c r="AE38" s="27">
        <f t="shared" si="19"/>
        <v>3862957.827349145</v>
      </c>
      <c r="AF38" s="27">
        <f t="shared" si="19"/>
        <v>4055883.6167427935</v>
      </c>
      <c r="AG38" s="27">
        <f t="shared" si="19"/>
        <v>4253711.6504449341</v>
      </c>
      <c r="AH38" s="27">
        <f t="shared" si="19"/>
        <v>4456566.4944834458</v>
      </c>
      <c r="AI38" s="27">
        <f t="shared" si="19"/>
        <v>4664575.8801089758</v>
      </c>
      <c r="AJ38" s="27">
        <f t="shared" si="19"/>
        <v>4877870.784223251</v>
      </c>
      <c r="AK38" s="27">
        <f t="shared" si="19"/>
        <v>5099428.5527810911</v>
      </c>
      <c r="AL38" s="27">
        <f t="shared" si="19"/>
        <v>5326616.1042379858</v>
      </c>
      <c r="AM38" s="27">
        <f t="shared" si="19"/>
        <v>5559576.4913774002</v>
      </c>
      <c r="AN38" s="27">
        <f t="shared" si="19"/>
        <v>5798456.4019540269</v>
      </c>
      <c r="AO38" s="27">
        <f t="shared" si="19"/>
        <v>6043406.2510584062</v>
      </c>
      <c r="AP38" s="27">
        <f t="shared" si="19"/>
        <v>6294580.2758285273</v>
      </c>
      <c r="AQ38" s="27">
        <f t="shared" si="19"/>
        <v>6552136.6325680576</v>
      </c>
      <c r="AR38" s="27">
        <f t="shared" si="19"/>
        <v>6816237.496332339</v>
      </c>
      <c r="AS38" s="27">
        <f t="shared" si="19"/>
        <v>7087049.1630448708</v>
      </c>
      <c r="AT38" s="27">
        <f>AT34+(AT36-AT37)</f>
        <v>7364742.1542085679</v>
      </c>
      <c r="AU38" s="27">
        <f t="shared" ref="AU38:AY38" si="20">AU34+(AU36-AU37)</f>
        <v>7649491.3242777344</v>
      </c>
      <c r="AV38" s="27">
        <f t="shared" si="20"/>
        <v>7941475.9707583589</v>
      </c>
      <c r="AW38" s="27">
        <f t="shared" si="20"/>
        <v>8240879.9471060559</v>
      </c>
      <c r="AX38" s="27">
        <f t="shared" si="20"/>
        <v>8547891.7784927487</v>
      </c>
      <c r="AY38" s="27">
        <f t="shared" si="20"/>
        <v>8862704.7805149779</v>
      </c>
    </row>
    <row r="40" spans="1:51" x14ac:dyDescent="0.2">
      <c r="A40" s="2" t="s">
        <v>250</v>
      </c>
      <c r="B40" s="26">
        <f>AT38</f>
        <v>7364742.1542085679</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63888.926219270012</v>
      </c>
      <c r="C2" s="28">
        <v>63888.926219270012</v>
      </c>
      <c r="D2" s="28">
        <v>63888.926219270012</v>
      </c>
      <c r="E2" s="28">
        <v>65864.872391000012</v>
      </c>
      <c r="F2" s="28">
        <v>65864.872391000012</v>
      </c>
      <c r="G2" s="28">
        <v>65864.872391000012</v>
      </c>
      <c r="H2" s="28">
        <v>65864.872391000012</v>
      </c>
      <c r="I2" s="28">
        <v>67901.930300000007</v>
      </c>
      <c r="J2" s="28">
        <v>67901.930300000007</v>
      </c>
      <c r="K2" s="28">
        <v>67901.930300000007</v>
      </c>
      <c r="L2" s="28">
        <v>67901.930300000007</v>
      </c>
      <c r="M2" s="28">
        <v>70001.990000000005</v>
      </c>
      <c r="N2" s="28">
        <v>70001.990000000005</v>
      </c>
      <c r="O2" s="28">
        <v>70001.990000000005</v>
      </c>
      <c r="P2" s="28">
        <v>72167</v>
      </c>
      <c r="Q2" s="28" cm="1">
        <f t="array" ref="Q2:AY2">TRANSPOSE(Income!P3:P37)</f>
        <v>72167</v>
      </c>
      <c r="R2" s="28">
        <v>72167</v>
      </c>
      <c r="S2" s="28">
        <v>74332.009999999995</v>
      </c>
      <c r="T2" s="28">
        <v>74332.009999999995</v>
      </c>
      <c r="U2" s="28">
        <v>74332.009999999995</v>
      </c>
      <c r="V2" s="28">
        <v>74332.009999999995</v>
      </c>
      <c r="W2" s="28">
        <v>76561.970300000001</v>
      </c>
      <c r="X2" s="28">
        <v>76561.970300000001</v>
      </c>
      <c r="Y2" s="28">
        <v>76561.970300000001</v>
      </c>
      <c r="Z2" s="28">
        <v>76561.970300000001</v>
      </c>
      <c r="AA2" s="28">
        <v>78858.829408999998</v>
      </c>
      <c r="AB2" s="28">
        <v>78858.829408999998</v>
      </c>
      <c r="AC2" s="28">
        <v>78858.829408999998</v>
      </c>
      <c r="AD2" s="28">
        <v>81224.594291269997</v>
      </c>
      <c r="AE2" s="28">
        <v>81224.594291269997</v>
      </c>
      <c r="AF2" s="28">
        <v>81224.594291269997</v>
      </c>
      <c r="AG2" s="28">
        <v>81224.594291269997</v>
      </c>
      <c r="AH2" s="28">
        <v>81224.594291269997</v>
      </c>
      <c r="AI2" s="28">
        <v>83661.332120008097</v>
      </c>
      <c r="AJ2" s="28">
        <v>83661.332120008097</v>
      </c>
      <c r="AK2" s="28">
        <v>83661.332120008097</v>
      </c>
      <c r="AL2" s="28">
        <v>83661.332120008097</v>
      </c>
      <c r="AM2" s="28">
        <v>86171.17208360834</v>
      </c>
      <c r="AN2" s="28">
        <v>86171.17208360834</v>
      </c>
      <c r="AO2" s="28">
        <v>86171.17208360834</v>
      </c>
      <c r="AP2" s="28">
        <v>86171.17208360834</v>
      </c>
      <c r="AQ2" s="28">
        <v>86171.17208360834</v>
      </c>
      <c r="AR2" s="28">
        <v>86171.17208360834</v>
      </c>
      <c r="AS2" s="28">
        <v>86171.17208360834</v>
      </c>
      <c r="AT2" s="28">
        <v>86171.17208360834</v>
      </c>
      <c r="AU2" s="2">
        <v>86171.17208360834</v>
      </c>
      <c r="AV2" s="2">
        <v>86171.17208360834</v>
      </c>
      <c r="AW2" s="2">
        <v>86171.17208360834</v>
      </c>
      <c r="AX2" s="2">
        <v>86171.17208360834</v>
      </c>
      <c r="AY2" s="2">
        <v>86171.17208360834</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3194.4463109635008</v>
      </c>
      <c r="C4" s="28">
        <f t="shared" ref="C4:AY4" si="0">C3*C2</f>
        <v>3194.4463109635008</v>
      </c>
      <c r="D4" s="28">
        <f t="shared" si="0"/>
        <v>3194.4463109635008</v>
      </c>
      <c r="E4" s="28">
        <f t="shared" si="0"/>
        <v>3293.2436195500009</v>
      </c>
      <c r="F4" s="28">
        <f t="shared" si="0"/>
        <v>3293.2436195500009</v>
      </c>
      <c r="G4" s="28">
        <f t="shared" si="0"/>
        <v>3293.2436195500009</v>
      </c>
      <c r="H4" s="28">
        <f t="shared" si="0"/>
        <v>3293.2436195500009</v>
      </c>
      <c r="I4" s="28">
        <f t="shared" si="0"/>
        <v>3395.0965150000006</v>
      </c>
      <c r="J4" s="28">
        <f t="shared" si="0"/>
        <v>3395.0965150000006</v>
      </c>
      <c r="K4" s="28">
        <f t="shared" si="0"/>
        <v>3395.0965150000006</v>
      </c>
      <c r="L4" s="28">
        <f t="shared" si="0"/>
        <v>3395.0965150000006</v>
      </c>
      <c r="M4" s="28">
        <f t="shared" si="0"/>
        <v>3500.0995000000003</v>
      </c>
      <c r="N4" s="28">
        <f t="shared" si="0"/>
        <v>3500.0995000000003</v>
      </c>
      <c r="O4" s="28">
        <f t="shared" si="0"/>
        <v>3500.0995000000003</v>
      </c>
      <c r="P4" s="28">
        <f t="shared" si="0"/>
        <v>3608.3500000000004</v>
      </c>
      <c r="Q4" s="28">
        <f t="shared" si="0"/>
        <v>3608.3500000000004</v>
      </c>
      <c r="R4" s="28">
        <f t="shared" si="0"/>
        <v>3608.3500000000004</v>
      </c>
      <c r="S4" s="28">
        <f t="shared" si="0"/>
        <v>3716.6005</v>
      </c>
      <c r="T4" s="28">
        <f t="shared" si="0"/>
        <v>3716.6005</v>
      </c>
      <c r="U4" s="28">
        <f t="shared" si="0"/>
        <v>3716.6005</v>
      </c>
      <c r="V4" s="28">
        <f t="shared" si="0"/>
        <v>3716.6005</v>
      </c>
      <c r="W4" s="28">
        <f t="shared" si="0"/>
        <v>3828.0985150000001</v>
      </c>
      <c r="X4" s="28">
        <f t="shared" si="0"/>
        <v>3828.0985150000001</v>
      </c>
      <c r="Y4" s="28">
        <f t="shared" si="0"/>
        <v>3828.0985150000001</v>
      </c>
      <c r="Z4" s="28">
        <f t="shared" si="0"/>
        <v>3828.0985150000001</v>
      </c>
      <c r="AA4" s="28">
        <f t="shared" si="0"/>
        <v>3942.94147045</v>
      </c>
      <c r="AB4" s="28">
        <f t="shared" si="0"/>
        <v>3942.94147045</v>
      </c>
      <c r="AC4" s="28">
        <f t="shared" si="0"/>
        <v>3942.94147045</v>
      </c>
      <c r="AD4" s="28">
        <f t="shared" si="0"/>
        <v>4061.2297145635002</v>
      </c>
      <c r="AE4" s="28">
        <f t="shared" si="0"/>
        <v>4061.2297145635002</v>
      </c>
      <c r="AF4" s="28">
        <f t="shared" si="0"/>
        <v>4061.2297145635002</v>
      </c>
      <c r="AG4" s="28">
        <f t="shared" si="0"/>
        <v>4061.2297145635002</v>
      </c>
      <c r="AH4" s="28">
        <f t="shared" si="0"/>
        <v>4061.2297145635002</v>
      </c>
      <c r="AI4" s="28">
        <f t="shared" si="0"/>
        <v>4183.066606000405</v>
      </c>
      <c r="AJ4" s="28">
        <f t="shared" si="0"/>
        <v>4183.066606000405</v>
      </c>
      <c r="AK4" s="28">
        <f t="shared" si="0"/>
        <v>4183.066606000405</v>
      </c>
      <c r="AL4" s="28">
        <f t="shared" si="0"/>
        <v>4183.066606000405</v>
      </c>
      <c r="AM4" s="28">
        <f t="shared" si="0"/>
        <v>4308.5586041804172</v>
      </c>
      <c r="AN4" s="28">
        <f t="shared" si="0"/>
        <v>4308.5586041804172</v>
      </c>
      <c r="AO4" s="28">
        <f t="shared" si="0"/>
        <v>4308.5586041804172</v>
      </c>
      <c r="AP4" s="28">
        <f t="shared" si="0"/>
        <v>4308.5586041804172</v>
      </c>
      <c r="AQ4" s="28">
        <f t="shared" si="0"/>
        <v>4308.5586041804172</v>
      </c>
      <c r="AR4" s="28">
        <f t="shared" si="0"/>
        <v>4308.5586041804172</v>
      </c>
      <c r="AS4" s="28">
        <f t="shared" si="0"/>
        <v>4308.5586041804172</v>
      </c>
      <c r="AT4" s="28">
        <f t="shared" si="0"/>
        <v>4308.5586041804172</v>
      </c>
      <c r="AU4" s="28">
        <f t="shared" si="0"/>
        <v>4308.5586041804172</v>
      </c>
      <c r="AV4" s="28">
        <f t="shared" si="0"/>
        <v>4308.5586041804172</v>
      </c>
      <c r="AW4" s="28">
        <f t="shared" si="0"/>
        <v>4308.5586041804172</v>
      </c>
      <c r="AX4" s="28">
        <f t="shared" si="0"/>
        <v>4308.5586041804172</v>
      </c>
      <c r="AY4" s="28">
        <f t="shared" si="0"/>
        <v>4308.5586041804172</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6388.8926219270015</v>
      </c>
      <c r="C6" s="28">
        <f t="shared" ref="C6:AY6" si="1">C4*2</f>
        <v>6388.8926219270015</v>
      </c>
      <c r="D6" s="28">
        <f t="shared" si="1"/>
        <v>6388.8926219270015</v>
      </c>
      <c r="E6" s="28">
        <f t="shared" si="1"/>
        <v>6586.4872391000017</v>
      </c>
      <c r="F6" s="28">
        <f t="shared" si="1"/>
        <v>6586.4872391000017</v>
      </c>
      <c r="G6" s="28">
        <f t="shared" si="1"/>
        <v>6586.4872391000017</v>
      </c>
      <c r="H6" s="28">
        <f t="shared" si="1"/>
        <v>6586.4872391000017</v>
      </c>
      <c r="I6" s="28">
        <f t="shared" si="1"/>
        <v>6790.1930300000013</v>
      </c>
      <c r="J6" s="28">
        <f t="shared" si="1"/>
        <v>6790.1930300000013</v>
      </c>
      <c r="K6" s="28">
        <f t="shared" si="1"/>
        <v>6790.1930300000013</v>
      </c>
      <c r="L6" s="28">
        <f t="shared" si="1"/>
        <v>6790.1930300000013</v>
      </c>
      <c r="M6" s="28">
        <f t="shared" si="1"/>
        <v>7000.1990000000005</v>
      </c>
      <c r="N6" s="28">
        <f t="shared" si="1"/>
        <v>7000.1990000000005</v>
      </c>
      <c r="O6" s="28">
        <f t="shared" si="1"/>
        <v>7000.1990000000005</v>
      </c>
      <c r="P6" s="28">
        <f t="shared" si="1"/>
        <v>7216.7000000000007</v>
      </c>
      <c r="Q6" s="28">
        <f t="shared" si="1"/>
        <v>7216.7000000000007</v>
      </c>
      <c r="R6" s="28">
        <f t="shared" si="1"/>
        <v>7216.7000000000007</v>
      </c>
      <c r="S6" s="28">
        <f t="shared" si="1"/>
        <v>7433.201</v>
      </c>
      <c r="T6" s="28">
        <f t="shared" si="1"/>
        <v>7433.201</v>
      </c>
      <c r="U6" s="28">
        <f t="shared" si="1"/>
        <v>7433.201</v>
      </c>
      <c r="V6" s="28">
        <f t="shared" si="1"/>
        <v>7433.201</v>
      </c>
      <c r="W6" s="28">
        <f t="shared" si="1"/>
        <v>7656.1970300000003</v>
      </c>
      <c r="X6" s="28">
        <f t="shared" si="1"/>
        <v>7656.1970300000003</v>
      </c>
      <c r="Y6" s="28">
        <f t="shared" si="1"/>
        <v>7656.1970300000003</v>
      </c>
      <c r="Z6" s="28">
        <f t="shared" si="1"/>
        <v>7656.1970300000003</v>
      </c>
      <c r="AA6" s="28">
        <f t="shared" si="1"/>
        <v>7885.8829409</v>
      </c>
      <c r="AB6" s="28">
        <f t="shared" si="1"/>
        <v>7885.8829409</v>
      </c>
      <c r="AC6" s="28">
        <f t="shared" si="1"/>
        <v>7885.8829409</v>
      </c>
      <c r="AD6" s="28">
        <f t="shared" si="1"/>
        <v>8122.4594291270005</v>
      </c>
      <c r="AE6" s="28">
        <f t="shared" si="1"/>
        <v>8122.4594291270005</v>
      </c>
      <c r="AF6" s="28">
        <f t="shared" si="1"/>
        <v>8122.4594291270005</v>
      </c>
      <c r="AG6" s="28">
        <f t="shared" si="1"/>
        <v>8122.4594291270005</v>
      </c>
      <c r="AH6" s="28">
        <f t="shared" si="1"/>
        <v>8122.4594291270005</v>
      </c>
      <c r="AI6" s="28">
        <f t="shared" si="1"/>
        <v>8366.1332120008101</v>
      </c>
      <c r="AJ6" s="28">
        <f t="shared" si="1"/>
        <v>8366.1332120008101</v>
      </c>
      <c r="AK6" s="28">
        <f t="shared" si="1"/>
        <v>8366.1332120008101</v>
      </c>
      <c r="AL6" s="28">
        <f t="shared" si="1"/>
        <v>8366.1332120008101</v>
      </c>
      <c r="AM6" s="28">
        <f t="shared" si="1"/>
        <v>8617.1172083608344</v>
      </c>
      <c r="AN6" s="28">
        <f t="shared" si="1"/>
        <v>8617.1172083608344</v>
      </c>
      <c r="AO6" s="28">
        <f t="shared" si="1"/>
        <v>8617.1172083608344</v>
      </c>
      <c r="AP6" s="28">
        <f t="shared" si="1"/>
        <v>8617.1172083608344</v>
      </c>
      <c r="AQ6" s="28">
        <f t="shared" si="1"/>
        <v>8617.1172083608344</v>
      </c>
      <c r="AR6" s="28">
        <f t="shared" si="1"/>
        <v>8617.1172083608344</v>
      </c>
      <c r="AS6" s="28">
        <f t="shared" si="1"/>
        <v>8617.1172083608344</v>
      </c>
      <c r="AT6" s="28">
        <f t="shared" si="1"/>
        <v>8617.1172083608344</v>
      </c>
      <c r="AU6" s="28">
        <f t="shared" si="1"/>
        <v>8617.1172083608344</v>
      </c>
      <c r="AV6" s="28">
        <f t="shared" si="1"/>
        <v>8617.1172083608344</v>
      </c>
      <c r="AW6" s="28">
        <f t="shared" si="1"/>
        <v>8617.1172083608344</v>
      </c>
      <c r="AX6" s="28">
        <f t="shared" si="1"/>
        <v>8617.1172083608344</v>
      </c>
      <c r="AY6" s="28">
        <f t="shared" si="1"/>
        <v>8617.1172083608344</v>
      </c>
    </row>
    <row r="7" spans="1:51" x14ac:dyDescent="0.2">
      <c r="A7" s="2" t="s">
        <v>180</v>
      </c>
      <c r="B7" s="29">
        <f>SUM(B6,B4)</f>
        <v>9583.3389328905032</v>
      </c>
      <c r="C7" s="29">
        <f t="shared" ref="C7:AY7" si="2">SUM(C6,C4)</f>
        <v>9583.3389328905032</v>
      </c>
      <c r="D7" s="29">
        <f t="shared" si="2"/>
        <v>9583.3389328905032</v>
      </c>
      <c r="E7" s="29">
        <f t="shared" si="2"/>
        <v>9879.7308586500021</v>
      </c>
      <c r="F7" s="29">
        <f t="shared" si="2"/>
        <v>9879.7308586500021</v>
      </c>
      <c r="G7" s="29">
        <f t="shared" si="2"/>
        <v>9879.7308586500021</v>
      </c>
      <c r="H7" s="29">
        <f t="shared" si="2"/>
        <v>9879.7308586500021</v>
      </c>
      <c r="I7" s="29">
        <f t="shared" si="2"/>
        <v>10185.289545000001</v>
      </c>
      <c r="J7" s="29">
        <f t="shared" si="2"/>
        <v>10185.289545000001</v>
      </c>
      <c r="K7" s="29">
        <f t="shared" si="2"/>
        <v>10185.289545000001</v>
      </c>
      <c r="L7" s="29">
        <f t="shared" si="2"/>
        <v>10185.289545000001</v>
      </c>
      <c r="M7" s="29">
        <f t="shared" si="2"/>
        <v>10500.298500000001</v>
      </c>
      <c r="N7" s="29">
        <f t="shared" si="2"/>
        <v>10500.298500000001</v>
      </c>
      <c r="O7" s="29">
        <f t="shared" si="2"/>
        <v>10500.298500000001</v>
      </c>
      <c r="P7" s="29">
        <f t="shared" si="2"/>
        <v>10825.050000000001</v>
      </c>
      <c r="Q7" s="29">
        <f t="shared" si="2"/>
        <v>10825.050000000001</v>
      </c>
      <c r="R7" s="29">
        <f t="shared" si="2"/>
        <v>10825.050000000001</v>
      </c>
      <c r="S7" s="29">
        <f t="shared" si="2"/>
        <v>11149.8015</v>
      </c>
      <c r="T7" s="29">
        <f t="shared" si="2"/>
        <v>11149.8015</v>
      </c>
      <c r="U7" s="29">
        <f t="shared" si="2"/>
        <v>11149.8015</v>
      </c>
      <c r="V7" s="29">
        <f t="shared" si="2"/>
        <v>11149.8015</v>
      </c>
      <c r="W7" s="29">
        <f t="shared" si="2"/>
        <v>11484.295545000001</v>
      </c>
      <c r="X7" s="29">
        <f t="shared" si="2"/>
        <v>11484.295545000001</v>
      </c>
      <c r="Y7" s="29">
        <f t="shared" si="2"/>
        <v>11484.295545000001</v>
      </c>
      <c r="Z7" s="29">
        <f t="shared" si="2"/>
        <v>11484.295545000001</v>
      </c>
      <c r="AA7" s="29">
        <f t="shared" si="2"/>
        <v>11828.82441135</v>
      </c>
      <c r="AB7" s="29">
        <f t="shared" si="2"/>
        <v>11828.82441135</v>
      </c>
      <c r="AC7" s="29">
        <f t="shared" si="2"/>
        <v>11828.82441135</v>
      </c>
      <c r="AD7" s="29">
        <f t="shared" si="2"/>
        <v>12183.689143690501</v>
      </c>
      <c r="AE7" s="29">
        <f t="shared" si="2"/>
        <v>12183.689143690501</v>
      </c>
      <c r="AF7" s="29">
        <f t="shared" si="2"/>
        <v>12183.689143690501</v>
      </c>
      <c r="AG7" s="29">
        <f t="shared" si="2"/>
        <v>12183.689143690501</v>
      </c>
      <c r="AH7" s="29">
        <f t="shared" si="2"/>
        <v>12183.689143690501</v>
      </c>
      <c r="AI7" s="29">
        <f t="shared" si="2"/>
        <v>12549.199818001216</v>
      </c>
      <c r="AJ7" s="29">
        <f t="shared" si="2"/>
        <v>12549.199818001216</v>
      </c>
      <c r="AK7" s="29">
        <f t="shared" si="2"/>
        <v>12549.199818001216</v>
      </c>
      <c r="AL7" s="29">
        <f t="shared" si="2"/>
        <v>12549.199818001216</v>
      </c>
      <c r="AM7" s="29">
        <f t="shared" si="2"/>
        <v>12925.675812541253</v>
      </c>
      <c r="AN7" s="29">
        <f t="shared" si="2"/>
        <v>12925.675812541253</v>
      </c>
      <c r="AO7" s="29">
        <f t="shared" si="2"/>
        <v>12925.675812541253</v>
      </c>
      <c r="AP7" s="29">
        <f t="shared" si="2"/>
        <v>12925.675812541253</v>
      </c>
      <c r="AQ7" s="29">
        <f t="shared" si="2"/>
        <v>12925.675812541253</v>
      </c>
      <c r="AR7" s="29">
        <f t="shared" si="2"/>
        <v>12925.675812541253</v>
      </c>
      <c r="AS7" s="29">
        <f t="shared" si="2"/>
        <v>12925.675812541253</v>
      </c>
      <c r="AT7" s="29">
        <f t="shared" si="2"/>
        <v>12925.675812541253</v>
      </c>
      <c r="AU7" s="29">
        <f t="shared" si="2"/>
        <v>12925.675812541253</v>
      </c>
      <c r="AV7" s="29">
        <f t="shared" si="2"/>
        <v>12925.675812541253</v>
      </c>
      <c r="AW7" s="29">
        <f t="shared" si="2"/>
        <v>12925.675812541253</v>
      </c>
      <c r="AX7" s="29">
        <f t="shared" si="2"/>
        <v>12925.675812541253</v>
      </c>
      <c r="AY7" s="29">
        <f t="shared" si="2"/>
        <v>12925.675812541253</v>
      </c>
    </row>
    <row r="8" spans="1:51" x14ac:dyDescent="0.2">
      <c r="A8" s="2" t="s">
        <v>181</v>
      </c>
      <c r="B8" s="28">
        <f>B7*12</f>
        <v>115000.06719468604</v>
      </c>
      <c r="C8" s="28">
        <f t="shared" ref="C8:AY8" si="3">C7*12</f>
        <v>115000.06719468604</v>
      </c>
      <c r="D8" s="28">
        <f t="shared" si="3"/>
        <v>115000.06719468604</v>
      </c>
      <c r="E8" s="28">
        <f t="shared" si="3"/>
        <v>118556.77030380003</v>
      </c>
      <c r="F8" s="28">
        <f t="shared" si="3"/>
        <v>118556.77030380003</v>
      </c>
      <c r="G8" s="28">
        <f t="shared" si="3"/>
        <v>118556.77030380003</v>
      </c>
      <c r="H8" s="28">
        <f t="shared" si="3"/>
        <v>118556.77030380003</v>
      </c>
      <c r="I8" s="28">
        <f t="shared" si="3"/>
        <v>122223.47454000002</v>
      </c>
      <c r="J8" s="28">
        <f t="shared" si="3"/>
        <v>122223.47454000002</v>
      </c>
      <c r="K8" s="28">
        <f t="shared" si="3"/>
        <v>122223.47454000002</v>
      </c>
      <c r="L8" s="28">
        <f t="shared" si="3"/>
        <v>122223.47454000002</v>
      </c>
      <c r="M8" s="28">
        <f t="shared" si="3"/>
        <v>126003.58200000001</v>
      </c>
      <c r="N8" s="28">
        <f t="shared" si="3"/>
        <v>126003.58200000001</v>
      </c>
      <c r="O8" s="28">
        <f t="shared" si="3"/>
        <v>126003.58200000001</v>
      </c>
      <c r="P8" s="28">
        <f t="shared" si="3"/>
        <v>129900.6</v>
      </c>
      <c r="Q8" s="28">
        <f t="shared" si="3"/>
        <v>129900.6</v>
      </c>
      <c r="R8" s="28">
        <f t="shared" si="3"/>
        <v>129900.6</v>
      </c>
      <c r="S8" s="28">
        <f t="shared" si="3"/>
        <v>133797.61799999999</v>
      </c>
      <c r="T8" s="28">
        <f t="shared" si="3"/>
        <v>133797.61799999999</v>
      </c>
      <c r="U8" s="28">
        <f t="shared" si="3"/>
        <v>133797.61799999999</v>
      </c>
      <c r="V8" s="28">
        <f t="shared" si="3"/>
        <v>133797.61799999999</v>
      </c>
      <c r="W8" s="28">
        <f t="shared" si="3"/>
        <v>137811.54654000001</v>
      </c>
      <c r="X8" s="28">
        <f t="shared" si="3"/>
        <v>137811.54654000001</v>
      </c>
      <c r="Y8" s="28">
        <f t="shared" si="3"/>
        <v>137811.54654000001</v>
      </c>
      <c r="Z8" s="28">
        <f t="shared" si="3"/>
        <v>137811.54654000001</v>
      </c>
      <c r="AA8" s="28">
        <f t="shared" si="3"/>
        <v>141945.89293620002</v>
      </c>
      <c r="AB8" s="28">
        <f t="shared" si="3"/>
        <v>141945.89293620002</v>
      </c>
      <c r="AC8" s="28">
        <f t="shared" si="3"/>
        <v>141945.89293620002</v>
      </c>
      <c r="AD8" s="28">
        <f t="shared" si="3"/>
        <v>146204.26972428602</v>
      </c>
      <c r="AE8" s="28">
        <f t="shared" si="3"/>
        <v>146204.26972428602</v>
      </c>
      <c r="AF8" s="28">
        <f t="shared" si="3"/>
        <v>146204.26972428602</v>
      </c>
      <c r="AG8" s="28">
        <f t="shared" si="3"/>
        <v>146204.26972428602</v>
      </c>
      <c r="AH8" s="28">
        <f t="shared" si="3"/>
        <v>146204.26972428602</v>
      </c>
      <c r="AI8" s="28">
        <f t="shared" si="3"/>
        <v>150590.39781601459</v>
      </c>
      <c r="AJ8" s="28">
        <f t="shared" si="3"/>
        <v>150590.39781601459</v>
      </c>
      <c r="AK8" s="28">
        <f t="shared" si="3"/>
        <v>150590.39781601459</v>
      </c>
      <c r="AL8" s="28">
        <f t="shared" si="3"/>
        <v>150590.39781601459</v>
      </c>
      <c r="AM8" s="28">
        <f t="shared" si="3"/>
        <v>155108.10975049503</v>
      </c>
      <c r="AN8" s="28">
        <f t="shared" si="3"/>
        <v>155108.10975049503</v>
      </c>
      <c r="AO8" s="28">
        <f t="shared" si="3"/>
        <v>155108.10975049503</v>
      </c>
      <c r="AP8" s="28">
        <f t="shared" si="3"/>
        <v>155108.10975049503</v>
      </c>
      <c r="AQ8" s="28">
        <f t="shared" si="3"/>
        <v>155108.10975049503</v>
      </c>
      <c r="AR8" s="28">
        <f t="shared" si="3"/>
        <v>155108.10975049503</v>
      </c>
      <c r="AS8" s="28">
        <f t="shared" si="3"/>
        <v>155108.10975049503</v>
      </c>
      <c r="AT8" s="28">
        <f t="shared" si="3"/>
        <v>155108.10975049503</v>
      </c>
      <c r="AU8" s="28">
        <f t="shared" si="3"/>
        <v>155108.10975049503</v>
      </c>
      <c r="AV8" s="28">
        <f t="shared" si="3"/>
        <v>155108.10975049503</v>
      </c>
      <c r="AW8" s="28">
        <f t="shared" si="3"/>
        <v>155108.10975049503</v>
      </c>
      <c r="AX8" s="28">
        <f t="shared" si="3"/>
        <v>155108.10975049503</v>
      </c>
      <c r="AY8" s="28">
        <f t="shared" si="3"/>
        <v>155108.10975049503</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13539717.243979529</v>
      </c>
    </row>
    <row r="17" spans="1:4" x14ac:dyDescent="0.2">
      <c r="A17" s="2" t="s">
        <v>184</v>
      </c>
      <c r="B17" s="28">
        <f>B16/25</f>
        <v>541588.68975918111</v>
      </c>
      <c r="C17" s="2" t="s">
        <v>182</v>
      </c>
    </row>
    <row r="18" spans="1:4" x14ac:dyDescent="0.2">
      <c r="A18" s="2" t="s">
        <v>183</v>
      </c>
      <c r="B18" s="30">
        <f>B17/12</f>
        <v>45132.39081326509</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0.03</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115000.06719468604</v>
      </c>
      <c r="C34" s="26">
        <f t="shared" ref="C34:AY34" si="4">B38+C8</f>
        <v>232922.28609678906</v>
      </c>
      <c r="D34" s="26">
        <f t="shared" si="4"/>
        <v>353840.90858119447</v>
      </c>
      <c r="E34" s="26">
        <f t="shared" si="4"/>
        <v>481388.7763720426</v>
      </c>
      <c r="F34" s="26">
        <f t="shared" si="4"/>
        <v>612177.63548345619</v>
      </c>
      <c r="G34" s="26">
        <f t="shared" si="4"/>
        <v>746289.83950489084</v>
      </c>
      <c r="H34" s="26">
        <f t="shared" si="4"/>
        <v>883809.83463051007</v>
      </c>
      <c r="I34" s="26">
        <f t="shared" si="4"/>
        <v>1028490.9170684714</v>
      </c>
      <c r="J34" s="26">
        <f t="shared" si="4"/>
        <v>1176848.3458111815</v>
      </c>
      <c r="K34" s="26">
        <f t="shared" si="4"/>
        <v>1328975.5368182436</v>
      </c>
      <c r="L34" s="26">
        <f t="shared" si="4"/>
        <v>1484968.2797487953</v>
      </c>
      <c r="M34" s="26">
        <f t="shared" si="4"/>
        <v>1648704.9057372122</v>
      </c>
      <c r="N34" s="26">
        <f t="shared" si="4"/>
        <v>1816602.0793919947</v>
      </c>
      <c r="O34" s="26">
        <f t="shared" si="4"/>
        <v>1988765.5202293452</v>
      </c>
      <c r="P34" s="26">
        <f t="shared" si="4"/>
        <v>2169200.652098373</v>
      </c>
      <c r="Q34" s="26">
        <f t="shared" si="4"/>
        <v>2354220.6406681929</v>
      </c>
      <c r="R34" s="26">
        <f t="shared" si="4"/>
        <v>2543941.987147572</v>
      </c>
      <c r="S34" s="26">
        <f t="shared" si="4"/>
        <v>2742381.1710409918</v>
      </c>
      <c r="T34" s="26">
        <f t="shared" si="4"/>
        <v>2945862.6945971432</v>
      </c>
      <c r="U34" s="26">
        <f t="shared" si="4"/>
        <v>3154514.6836668565</v>
      </c>
      <c r="V34" s="26">
        <f t="shared" si="4"/>
        <v>3368468.5197788309</v>
      </c>
      <c r="W34" s="26">
        <f t="shared" si="4"/>
        <v>3591872.8514064108</v>
      </c>
      <c r="X34" s="26">
        <f t="shared" si="4"/>
        <v>3820953.8871006477</v>
      </c>
      <c r="Y34" s="26">
        <f t="shared" si="4"/>
        <v>4055855.871911875</v>
      </c>
      <c r="Z34" s="26">
        <f t="shared" si="4"/>
        <v>4296726.7161571551</v>
      </c>
      <c r="AA34" s="26">
        <f t="shared" si="4"/>
        <v>4547852.4349509086</v>
      </c>
      <c r="AB34" s="26">
        <f t="shared" si="4"/>
        <v>4805359.2582592107</v>
      </c>
      <c r="AC34" s="26">
        <f t="shared" si="4"/>
        <v>5069409.3299477771</v>
      </c>
      <c r="AD34" s="26">
        <f t="shared" si="4"/>
        <v>5344427.290746036</v>
      </c>
      <c r="AE34" s="26">
        <f t="shared" si="4"/>
        <v>5626433.4579281788</v>
      </c>
      <c r="AF34" s="26">
        <f t="shared" si="4"/>
        <v>5915605.4018184198</v>
      </c>
      <c r="AG34" s="26">
        <f t="shared" si="4"/>
        <v>6212125.2048029117</v>
      </c>
      <c r="AH34" s="26">
        <f t="shared" si="4"/>
        <v>6516179.5759812398</v>
      </c>
      <c r="AI34" s="26">
        <f t="shared" si="4"/>
        <v>6832346.096822938</v>
      </c>
      <c r="AJ34" s="26">
        <f t="shared" si="4"/>
        <v>7156546.408959223</v>
      </c>
      <c r="AK34" s="26">
        <f t="shared" si="4"/>
        <v>7488984.6510268915</v>
      </c>
      <c r="AL34" s="26">
        <f t="shared" si="4"/>
        <v>7829870.1488254992</v>
      </c>
      <c r="AM34" s="26">
        <f t="shared" si="4"/>
        <v>8183935.2590576503</v>
      </c>
      <c r="AN34" s="26">
        <f t="shared" si="4"/>
        <v>8546997.1637407988</v>
      </c>
      <c r="AO34" s="26">
        <f t="shared" si="4"/>
        <v>8919284.4714219477</v>
      </c>
      <c r="AP34" s="26">
        <f t="shared" si="4"/>
        <v>9301031.5995912738</v>
      </c>
      <c r="AQ34" s="26">
        <f t="shared" si="4"/>
        <v>9692478.9222873822</v>
      </c>
      <c r="AR34" s="26">
        <f t="shared" si="4"/>
        <v>10093872.921453198</v>
      </c>
      <c r="AS34" s="26">
        <f t="shared" si="4"/>
        <v>10505466.342137819</v>
      </c>
      <c r="AT34" s="26">
        <f t="shared" si="4"/>
        <v>10927518.351642035</v>
      </c>
      <c r="AU34" s="26">
        <f t="shared" si="4"/>
        <v>11360294.702707753</v>
      </c>
      <c r="AV34" s="26">
        <f t="shared" si="4"/>
        <v>11804067.900854051</v>
      </c>
      <c r="AW34" s="26">
        <f t="shared" si="4"/>
        <v>12259117.375965247</v>
      </c>
      <c r="AX34" s="26">
        <f t="shared" si="4"/>
        <v>12725729.658239018</v>
      </c>
      <c r="AY34" s="26">
        <f t="shared" si="4"/>
        <v>13204198.558605365</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3450.002015840581</v>
      </c>
      <c r="C36" s="26">
        <f>C35*C34</f>
        <v>6987.6685829036714</v>
      </c>
      <c r="D36" s="26">
        <f>D35*D34</f>
        <v>10615.227257435834</v>
      </c>
      <c r="E36" s="26">
        <f t="shared" ref="E36:AY36" si="6">E35*E34</f>
        <v>14441.663291161278</v>
      </c>
      <c r="F36" s="26">
        <f t="shared" si="6"/>
        <v>18365.329064503687</v>
      </c>
      <c r="G36" s="26">
        <f t="shared" si="6"/>
        <v>22388.695185146724</v>
      </c>
      <c r="H36" s="26">
        <f t="shared" si="6"/>
        <v>26514.295038915301</v>
      </c>
      <c r="I36" s="26">
        <f t="shared" si="6"/>
        <v>30854.727512054142</v>
      </c>
      <c r="J36" s="26">
        <f t="shared" si="6"/>
        <v>35305.450374335443</v>
      </c>
      <c r="K36" s="26">
        <f t="shared" si="6"/>
        <v>39869.266104547307</v>
      </c>
      <c r="L36" s="26">
        <f t="shared" si="6"/>
        <v>44549.048392463861</v>
      </c>
      <c r="M36" s="26">
        <f t="shared" si="6"/>
        <v>49461.147172116362</v>
      </c>
      <c r="N36" s="26">
        <f t="shared" si="6"/>
        <v>54498.062381759839</v>
      </c>
      <c r="O36" s="26">
        <f t="shared" si="6"/>
        <v>59662.965606880352</v>
      </c>
      <c r="P36" s="26">
        <f t="shared" si="6"/>
        <v>65076.019562951187</v>
      </c>
      <c r="Q36" s="26">
        <f t="shared" si="6"/>
        <v>70626.619220045788</v>
      </c>
      <c r="R36" s="26">
        <f t="shared" si="6"/>
        <v>76318.259614427152</v>
      </c>
      <c r="S36" s="26">
        <f t="shared" si="6"/>
        <v>82271.435131229751</v>
      </c>
      <c r="T36" s="26">
        <f t="shared" si="6"/>
        <v>88375.880837914287</v>
      </c>
      <c r="U36" s="26">
        <f t="shared" si="6"/>
        <v>94635.44051000569</v>
      </c>
      <c r="V36" s="26">
        <f t="shared" si="6"/>
        <v>101054.05559336493</v>
      </c>
      <c r="W36" s="26">
        <f t="shared" si="6"/>
        <v>107756.18554219232</v>
      </c>
      <c r="X36" s="26">
        <f t="shared" si="6"/>
        <v>114628.61661301943</v>
      </c>
      <c r="Y36" s="26">
        <f t="shared" si="6"/>
        <v>121675.67615735624</v>
      </c>
      <c r="Z36" s="26">
        <f t="shared" si="6"/>
        <v>128901.80148471466</v>
      </c>
      <c r="AA36" s="26">
        <f t="shared" si="6"/>
        <v>136435.57304852727</v>
      </c>
      <c r="AB36" s="26">
        <f t="shared" si="6"/>
        <v>144160.77774777633</v>
      </c>
      <c r="AC36" s="26">
        <f t="shared" si="6"/>
        <v>152082.27989843331</v>
      </c>
      <c r="AD36" s="26">
        <f t="shared" si="6"/>
        <v>160332.81872238108</v>
      </c>
      <c r="AE36" s="26">
        <f t="shared" si="6"/>
        <v>168793.00373784537</v>
      </c>
      <c r="AF36" s="26">
        <f t="shared" si="6"/>
        <v>177468.16205455258</v>
      </c>
      <c r="AG36" s="26">
        <f t="shared" si="6"/>
        <v>186363.75614408735</v>
      </c>
      <c r="AH36" s="26">
        <f t="shared" si="6"/>
        <v>195485.38727943719</v>
      </c>
      <c r="AI36" s="26">
        <f t="shared" si="6"/>
        <v>204970.38290468813</v>
      </c>
      <c r="AJ36" s="26">
        <f t="shared" si="6"/>
        <v>214696.39226877669</v>
      </c>
      <c r="AK36" s="26">
        <f t="shared" si="6"/>
        <v>224669.53953080674</v>
      </c>
      <c r="AL36" s="26">
        <f t="shared" si="6"/>
        <v>234896.10446476497</v>
      </c>
      <c r="AM36" s="26">
        <f t="shared" si="6"/>
        <v>245518.05777172951</v>
      </c>
      <c r="AN36" s="26">
        <f t="shared" si="6"/>
        <v>256409.91491222396</v>
      </c>
      <c r="AO36" s="26">
        <f t="shared" si="6"/>
        <v>267578.53414265841</v>
      </c>
      <c r="AP36" s="26">
        <f t="shared" si="6"/>
        <v>279030.94798773818</v>
      </c>
      <c r="AQ36" s="26">
        <f t="shared" si="6"/>
        <v>290774.36766862147</v>
      </c>
      <c r="AR36" s="26">
        <f t="shared" si="6"/>
        <v>302816.18764359591</v>
      </c>
      <c r="AS36" s="26">
        <f t="shared" si="6"/>
        <v>315163.99026413454</v>
      </c>
      <c r="AT36" s="26">
        <f t="shared" si="6"/>
        <v>327825.55054926104</v>
      </c>
      <c r="AU36" s="26">
        <f t="shared" si="6"/>
        <v>340808.84108123259</v>
      </c>
      <c r="AV36" s="26">
        <f t="shared" si="6"/>
        <v>354122.03702562151</v>
      </c>
      <c r="AW36" s="26">
        <f t="shared" si="6"/>
        <v>367773.52127895737</v>
      </c>
      <c r="AX36" s="26">
        <f t="shared" si="6"/>
        <v>381771.88974717056</v>
      </c>
      <c r="AY36" s="26">
        <f t="shared" si="6"/>
        <v>396125.95675816096</v>
      </c>
    </row>
    <row r="37" spans="1:51" x14ac:dyDescent="0.2">
      <c r="A37" s="2" t="s">
        <v>215</v>
      </c>
      <c r="B37" s="26">
        <f>B36*$B$27</f>
        <v>527.85030842360891</v>
      </c>
      <c r="C37" s="26">
        <f>C36*$B$27</f>
        <v>1069.1132931842617</v>
      </c>
      <c r="D37" s="26">
        <f t="shared" ref="D37:AY37" si="7">D36*$B$27</f>
        <v>1624.1297703876826</v>
      </c>
      <c r="E37" s="26">
        <f t="shared" si="7"/>
        <v>2209.5744835476753</v>
      </c>
      <c r="F37" s="26">
        <f t="shared" si="7"/>
        <v>2809.8953468690638</v>
      </c>
      <c r="G37" s="26">
        <f t="shared" si="7"/>
        <v>3425.4703633274485</v>
      </c>
      <c r="H37" s="26">
        <f t="shared" si="7"/>
        <v>4056.6871409540408</v>
      </c>
      <c r="I37" s="26">
        <f t="shared" si="7"/>
        <v>4720.7733093442839</v>
      </c>
      <c r="J37" s="26">
        <f t="shared" si="7"/>
        <v>5401.733907273323</v>
      </c>
      <c r="K37" s="26">
        <f t="shared" si="7"/>
        <v>6099.9977139957382</v>
      </c>
      <c r="L37" s="26">
        <f t="shared" si="7"/>
        <v>6816.0044040469702</v>
      </c>
      <c r="M37" s="26">
        <f t="shared" si="7"/>
        <v>7567.5555173338034</v>
      </c>
      <c r="N37" s="26">
        <f t="shared" si="7"/>
        <v>8338.2035444092544</v>
      </c>
      <c r="O37" s="26">
        <f t="shared" si="7"/>
        <v>9128.4337378526943</v>
      </c>
      <c r="P37" s="26">
        <f t="shared" si="7"/>
        <v>9956.6309931315318</v>
      </c>
      <c r="Q37" s="26">
        <f t="shared" si="7"/>
        <v>10805.872740667006</v>
      </c>
      <c r="R37" s="26">
        <f t="shared" si="7"/>
        <v>11676.693721007354</v>
      </c>
      <c r="S37" s="26">
        <f t="shared" si="7"/>
        <v>12587.529575078152</v>
      </c>
      <c r="T37" s="26">
        <f t="shared" si="7"/>
        <v>13521.509768200885</v>
      </c>
      <c r="U37" s="26">
        <f t="shared" si="7"/>
        <v>14479.22239803087</v>
      </c>
      <c r="V37" s="26">
        <f t="shared" si="7"/>
        <v>15461.270505784834</v>
      </c>
      <c r="W37" s="26">
        <f t="shared" si="7"/>
        <v>16486.696387955424</v>
      </c>
      <c r="X37" s="26">
        <f t="shared" si="7"/>
        <v>17538.178341791972</v>
      </c>
      <c r="Y37" s="26">
        <f t="shared" si="7"/>
        <v>18616.378452075503</v>
      </c>
      <c r="Z37" s="26">
        <f t="shared" si="7"/>
        <v>19721.975627161341</v>
      </c>
      <c r="AA37" s="26">
        <f t="shared" si="7"/>
        <v>20874.642676424672</v>
      </c>
      <c r="AB37" s="26">
        <f t="shared" si="7"/>
        <v>22056.598995409779</v>
      </c>
      <c r="AC37" s="26">
        <f t="shared" si="7"/>
        <v>23268.588824460294</v>
      </c>
      <c r="AD37" s="26">
        <f t="shared" si="7"/>
        <v>24530.921264524306</v>
      </c>
      <c r="AE37" s="26">
        <f t="shared" si="7"/>
        <v>25825.329571890343</v>
      </c>
      <c r="AF37" s="26">
        <f t="shared" si="7"/>
        <v>27152.628794346543</v>
      </c>
      <c r="AG37" s="26">
        <f t="shared" si="7"/>
        <v>28513.654690045365</v>
      </c>
      <c r="AH37" s="26">
        <f t="shared" si="7"/>
        <v>29909.264253753889</v>
      </c>
      <c r="AI37" s="26">
        <f t="shared" si="7"/>
        <v>31360.468584417282</v>
      </c>
      <c r="AJ37" s="26">
        <f t="shared" si="7"/>
        <v>32848.548017122834</v>
      </c>
      <c r="AK37" s="26">
        <f t="shared" si="7"/>
        <v>34374.439548213428</v>
      </c>
      <c r="AL37" s="26">
        <f t="shared" si="7"/>
        <v>35939.103983109038</v>
      </c>
      <c r="AM37" s="26">
        <f t="shared" si="7"/>
        <v>37564.262839074618</v>
      </c>
      <c r="AN37" s="26">
        <f t="shared" si="7"/>
        <v>39230.716981570265</v>
      </c>
      <c r="AO37" s="26">
        <f t="shared" si="7"/>
        <v>40939.515723826735</v>
      </c>
      <c r="AP37" s="26">
        <f t="shared" si="7"/>
        <v>42691.735042123939</v>
      </c>
      <c r="AQ37" s="26">
        <f t="shared" si="7"/>
        <v>44488.478253299087</v>
      </c>
      <c r="AR37" s="26">
        <f t="shared" si="7"/>
        <v>46330.876709470176</v>
      </c>
      <c r="AS37" s="26">
        <f t="shared" si="7"/>
        <v>48220.090510412585</v>
      </c>
      <c r="AT37" s="26">
        <f t="shared" si="7"/>
        <v>50157.30923403694</v>
      </c>
      <c r="AU37" s="26">
        <f t="shared" si="7"/>
        <v>52143.752685428582</v>
      </c>
      <c r="AV37" s="26">
        <f t="shared" si="7"/>
        <v>54180.67166492009</v>
      </c>
      <c r="AW37" s="26">
        <f t="shared" si="7"/>
        <v>56269.348755680476</v>
      </c>
      <c r="AX37" s="26">
        <f t="shared" si="7"/>
        <v>58411.099131317096</v>
      </c>
      <c r="AY37" s="26">
        <f t="shared" si="7"/>
        <v>60607.271383998625</v>
      </c>
    </row>
    <row r="38" spans="1:51" s="18" customFormat="1" x14ac:dyDescent="0.2">
      <c r="A38" s="18" t="s">
        <v>248</v>
      </c>
      <c r="B38" s="27">
        <f>B34+(B36-B37)</f>
        <v>117922.21890210301</v>
      </c>
      <c r="C38" s="27">
        <f>C34+(C36-C37)</f>
        <v>238840.84138650846</v>
      </c>
      <c r="D38" s="27">
        <f t="shared" ref="D38:AS38" si="8">D34+(D36-D37)</f>
        <v>362832.0060682426</v>
      </c>
      <c r="E38" s="27">
        <f t="shared" si="8"/>
        <v>493620.86517965619</v>
      </c>
      <c r="F38" s="27">
        <f t="shared" si="8"/>
        <v>627733.06920109084</v>
      </c>
      <c r="G38" s="27">
        <f t="shared" si="8"/>
        <v>765253.06432671007</v>
      </c>
      <c r="H38" s="27">
        <f t="shared" si="8"/>
        <v>906267.44252847135</v>
      </c>
      <c r="I38" s="27">
        <f t="shared" si="8"/>
        <v>1054624.8712711814</v>
      </c>
      <c r="J38" s="27">
        <f t="shared" si="8"/>
        <v>1206752.0622782435</v>
      </c>
      <c r="K38" s="27">
        <f t="shared" si="8"/>
        <v>1362744.8052087952</v>
      </c>
      <c r="L38" s="27">
        <f t="shared" si="8"/>
        <v>1522701.3237372122</v>
      </c>
      <c r="M38" s="27">
        <f t="shared" si="8"/>
        <v>1690598.4973919948</v>
      </c>
      <c r="N38" s="27">
        <f t="shared" si="8"/>
        <v>1862761.9382293453</v>
      </c>
      <c r="O38" s="27">
        <f t="shared" si="8"/>
        <v>2039300.052098373</v>
      </c>
      <c r="P38" s="27">
        <f t="shared" si="8"/>
        <v>2224320.0406681928</v>
      </c>
      <c r="Q38" s="27">
        <f t="shared" si="8"/>
        <v>2414041.3871475719</v>
      </c>
      <c r="R38" s="27">
        <f t="shared" si="8"/>
        <v>2608583.553040992</v>
      </c>
      <c r="S38" s="27">
        <f t="shared" si="8"/>
        <v>2812065.0765971434</v>
      </c>
      <c r="T38" s="27">
        <f t="shared" si="8"/>
        <v>3020717.0656668567</v>
      </c>
      <c r="U38" s="27">
        <f t="shared" si="8"/>
        <v>3234670.9017788311</v>
      </c>
      <c r="V38" s="27">
        <f t="shared" si="8"/>
        <v>3454061.3048664108</v>
      </c>
      <c r="W38" s="27">
        <f t="shared" si="8"/>
        <v>3683142.3405606477</v>
      </c>
      <c r="X38" s="27">
        <f t="shared" si="8"/>
        <v>3918044.325371875</v>
      </c>
      <c r="Y38" s="27">
        <f t="shared" si="8"/>
        <v>4158915.1696171556</v>
      </c>
      <c r="Z38" s="27">
        <f t="shared" si="8"/>
        <v>4405906.5420147087</v>
      </c>
      <c r="AA38" s="27">
        <f t="shared" si="8"/>
        <v>4663413.3653230108</v>
      </c>
      <c r="AB38" s="27">
        <f t="shared" si="8"/>
        <v>4927463.4370115772</v>
      </c>
      <c r="AC38" s="27">
        <f t="shared" si="8"/>
        <v>5198223.0210217498</v>
      </c>
      <c r="AD38" s="27">
        <f t="shared" si="8"/>
        <v>5480229.1882038927</v>
      </c>
      <c r="AE38" s="27">
        <f t="shared" si="8"/>
        <v>5769401.1320941336</v>
      </c>
      <c r="AF38" s="27">
        <f t="shared" si="8"/>
        <v>6065920.9350786256</v>
      </c>
      <c r="AG38" s="27">
        <f t="shared" si="8"/>
        <v>6369975.3062569536</v>
      </c>
      <c r="AH38" s="27">
        <f t="shared" si="8"/>
        <v>6681755.6990069235</v>
      </c>
      <c r="AI38" s="27">
        <f t="shared" si="8"/>
        <v>7005956.0111432085</v>
      </c>
      <c r="AJ38" s="27">
        <f t="shared" si="8"/>
        <v>7338394.2532108771</v>
      </c>
      <c r="AK38" s="27">
        <f t="shared" si="8"/>
        <v>7679279.7510094848</v>
      </c>
      <c r="AL38" s="27">
        <f t="shared" si="8"/>
        <v>8028827.1493071551</v>
      </c>
      <c r="AM38" s="27">
        <f t="shared" si="8"/>
        <v>8391889.0539903045</v>
      </c>
      <c r="AN38" s="27">
        <f t="shared" si="8"/>
        <v>8764176.3616714533</v>
      </c>
      <c r="AO38" s="27">
        <f t="shared" si="8"/>
        <v>9145923.4898407795</v>
      </c>
      <c r="AP38" s="27">
        <f t="shared" si="8"/>
        <v>9537370.8125368878</v>
      </c>
      <c r="AQ38" s="27">
        <f t="shared" si="8"/>
        <v>9938764.8117027041</v>
      </c>
      <c r="AR38" s="27">
        <f t="shared" si="8"/>
        <v>10350358.232387325</v>
      </c>
      <c r="AS38" s="27">
        <f t="shared" si="8"/>
        <v>10772410.241891541</v>
      </c>
      <c r="AT38" s="27">
        <f>AT34+(AT36-AT37)</f>
        <v>11205186.592957258</v>
      </c>
      <c r="AU38" s="27">
        <f t="shared" ref="AU38:AY38" si="9">AU34+(AU36-AU37)</f>
        <v>11648959.791103557</v>
      </c>
      <c r="AV38" s="27">
        <f t="shared" si="9"/>
        <v>12104009.266214753</v>
      </c>
      <c r="AW38" s="27">
        <f t="shared" si="9"/>
        <v>12570621.548488524</v>
      </c>
      <c r="AX38" s="27">
        <f t="shared" si="9"/>
        <v>13049090.448854871</v>
      </c>
      <c r="AY38" s="27">
        <f t="shared" si="9"/>
        <v>13539717.243979529</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zoomScale="90" zoomScaleNormal="66" workbookViewId="0">
      <selection activeCell="E35" sqref="E35"/>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0.03</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63888.926219270012</v>
      </c>
      <c r="F2" s="29">
        <v>63888.926219270012</v>
      </c>
      <c r="G2" s="29">
        <v>63888.926219270012</v>
      </c>
      <c r="H2" s="29">
        <v>65864.872391000012</v>
      </c>
      <c r="I2" s="29">
        <v>65864.872391000012</v>
      </c>
      <c r="J2" s="29">
        <v>65864.872391000012</v>
      </c>
      <c r="K2" s="29">
        <v>65864.872391000012</v>
      </c>
      <c r="L2" s="29">
        <v>67901.930300000007</v>
      </c>
      <c r="M2" s="29">
        <v>67901.930300000007</v>
      </c>
      <c r="N2" s="29">
        <v>67901.930300000007</v>
      </c>
      <c r="O2" s="29">
        <v>67901.930300000007</v>
      </c>
      <c r="P2" s="29">
        <v>70001.990000000005</v>
      </c>
      <c r="Q2" s="29">
        <v>70001.990000000005</v>
      </c>
      <c r="R2" s="29">
        <v>70001.990000000005</v>
      </c>
      <c r="S2" s="29">
        <v>72167</v>
      </c>
      <c r="T2" s="29" cm="1">
        <f t="array" ref="T2:BB2">TRANSPOSE(Income!P3:P37)</f>
        <v>72167</v>
      </c>
      <c r="U2" s="29">
        <v>72167</v>
      </c>
      <c r="V2" s="29">
        <v>74332.009999999995</v>
      </c>
      <c r="W2" s="29">
        <v>74332.009999999995</v>
      </c>
      <c r="X2" s="29">
        <v>74332.009999999995</v>
      </c>
      <c r="Y2" s="29">
        <v>74332.009999999995</v>
      </c>
      <c r="Z2" s="29">
        <v>76561.970300000001</v>
      </c>
      <c r="AA2" s="29">
        <v>76561.970300000001</v>
      </c>
      <c r="AB2" s="29">
        <v>76561.970300000001</v>
      </c>
      <c r="AC2" s="29">
        <v>76561.970300000001</v>
      </c>
      <c r="AD2" s="29">
        <v>78858.829408999998</v>
      </c>
      <c r="AE2" s="29">
        <v>78858.829408999998</v>
      </c>
      <c r="AF2" s="29">
        <v>78858.829408999998</v>
      </c>
      <c r="AG2" s="29">
        <v>81224.594291269997</v>
      </c>
      <c r="AH2" s="29">
        <v>81224.594291269997</v>
      </c>
      <c r="AI2" s="29">
        <v>81224.594291269997</v>
      </c>
      <c r="AJ2" s="29">
        <v>81224.594291269997</v>
      </c>
      <c r="AK2" s="29">
        <v>81224.594291269997</v>
      </c>
      <c r="AL2" s="29">
        <v>83661.332120008097</v>
      </c>
      <c r="AM2" s="29">
        <v>83661.332120008097</v>
      </c>
      <c r="AN2" s="29">
        <v>83661.332120008097</v>
      </c>
      <c r="AO2" s="29">
        <v>83661.332120008097</v>
      </c>
      <c r="AP2" s="29">
        <v>86171.17208360834</v>
      </c>
      <c r="AQ2" s="29">
        <v>86171.17208360834</v>
      </c>
      <c r="AR2" s="29">
        <v>86171.17208360834</v>
      </c>
      <c r="AS2" s="29">
        <v>86171.17208360834</v>
      </c>
      <c r="AT2" s="29">
        <v>86171.17208360834</v>
      </c>
      <c r="AU2" s="29">
        <v>86171.17208360834</v>
      </c>
      <c r="AV2" s="29">
        <v>86171.17208360834</v>
      </c>
      <c r="AW2" s="29">
        <v>86171.17208360834</v>
      </c>
      <c r="AX2" s="2">
        <v>86171.17208360834</v>
      </c>
      <c r="AY2" s="2">
        <v>86171.17208360834</v>
      </c>
      <c r="AZ2" s="2">
        <v>86171.17208360834</v>
      </c>
      <c r="BA2" s="2">
        <v>86171.17208360834</v>
      </c>
      <c r="BB2" s="2">
        <v>86171.17208360834</v>
      </c>
      <c r="BH2" s="2" t="s">
        <v>206</v>
      </c>
      <c r="BI2" s="2" cm="1">
        <f t="array" ref="BI2:BI37">TRANSPOSE(T17:BC17)</f>
        <v>38333.579818866674</v>
      </c>
    </row>
    <row r="3" spans="1:61" x14ac:dyDescent="0.2">
      <c r="D3" s="2" t="s">
        <v>186</v>
      </c>
      <c r="E3" s="29">
        <f>E2*12</f>
        <v>766667.11463124014</v>
      </c>
      <c r="F3" s="29">
        <f t="shared" ref="F3:AW3" si="0">F2*12</f>
        <v>766667.11463124014</v>
      </c>
      <c r="G3" s="29">
        <f t="shared" si="0"/>
        <v>766667.11463124014</v>
      </c>
      <c r="H3" s="29">
        <f t="shared" si="0"/>
        <v>790378.46869200014</v>
      </c>
      <c r="I3" s="29">
        <f t="shared" si="0"/>
        <v>790378.46869200014</v>
      </c>
      <c r="J3" s="29">
        <f t="shared" si="0"/>
        <v>790378.46869200014</v>
      </c>
      <c r="K3" s="29">
        <f t="shared" si="0"/>
        <v>790378.46869200014</v>
      </c>
      <c r="L3" s="29">
        <f t="shared" si="0"/>
        <v>814823.16360000009</v>
      </c>
      <c r="M3" s="29">
        <f t="shared" si="0"/>
        <v>814823.16360000009</v>
      </c>
      <c r="N3" s="29">
        <f t="shared" si="0"/>
        <v>814823.16360000009</v>
      </c>
      <c r="O3" s="29">
        <f t="shared" si="0"/>
        <v>814823.16360000009</v>
      </c>
      <c r="P3" s="29">
        <f t="shared" si="0"/>
        <v>840023.88000000012</v>
      </c>
      <c r="Q3" s="29">
        <f t="shared" si="0"/>
        <v>840023.88000000012</v>
      </c>
      <c r="R3" s="29">
        <f t="shared" si="0"/>
        <v>840023.88000000012</v>
      </c>
      <c r="S3" s="29">
        <f t="shared" si="0"/>
        <v>866004</v>
      </c>
      <c r="T3" s="29">
        <f t="shared" si="0"/>
        <v>866004</v>
      </c>
      <c r="U3" s="29">
        <f t="shared" si="0"/>
        <v>866004</v>
      </c>
      <c r="V3" s="29">
        <f t="shared" si="0"/>
        <v>891984.11999999988</v>
      </c>
      <c r="W3" s="29">
        <f t="shared" si="0"/>
        <v>891984.11999999988</v>
      </c>
      <c r="X3" s="29">
        <f t="shared" si="0"/>
        <v>891984.11999999988</v>
      </c>
      <c r="Y3" s="29">
        <f t="shared" si="0"/>
        <v>891984.11999999988</v>
      </c>
      <c r="Z3" s="29">
        <f t="shared" si="0"/>
        <v>918743.64360000007</v>
      </c>
      <c r="AA3" s="29">
        <f t="shared" si="0"/>
        <v>918743.64360000007</v>
      </c>
      <c r="AB3" s="29">
        <f t="shared" si="0"/>
        <v>918743.64360000007</v>
      </c>
      <c r="AC3" s="29">
        <f t="shared" si="0"/>
        <v>918743.64360000007</v>
      </c>
      <c r="AD3" s="29">
        <f t="shared" si="0"/>
        <v>946305.95290799998</v>
      </c>
      <c r="AE3" s="29">
        <f t="shared" si="0"/>
        <v>946305.95290799998</v>
      </c>
      <c r="AF3" s="29">
        <f t="shared" si="0"/>
        <v>946305.95290799998</v>
      </c>
      <c r="AG3" s="29">
        <f t="shared" si="0"/>
        <v>974695.13149523991</v>
      </c>
      <c r="AH3" s="29">
        <f t="shared" si="0"/>
        <v>974695.13149523991</v>
      </c>
      <c r="AI3" s="29">
        <f t="shared" si="0"/>
        <v>974695.13149523991</v>
      </c>
      <c r="AJ3" s="29">
        <f t="shared" si="0"/>
        <v>974695.13149523991</v>
      </c>
      <c r="AK3" s="29">
        <f t="shared" si="0"/>
        <v>974695.13149523991</v>
      </c>
      <c r="AL3" s="29">
        <f t="shared" si="0"/>
        <v>1003935.9854400972</v>
      </c>
      <c r="AM3" s="29">
        <f t="shared" si="0"/>
        <v>1003935.9854400972</v>
      </c>
      <c r="AN3" s="29">
        <f t="shared" si="0"/>
        <v>1003935.9854400972</v>
      </c>
      <c r="AO3" s="29">
        <f t="shared" si="0"/>
        <v>1003935.9854400972</v>
      </c>
      <c r="AP3" s="29">
        <f t="shared" si="0"/>
        <v>1034054.0650033001</v>
      </c>
      <c r="AQ3" s="29">
        <f t="shared" si="0"/>
        <v>1034054.0650033001</v>
      </c>
      <c r="AR3" s="29">
        <f t="shared" si="0"/>
        <v>1034054.0650033001</v>
      </c>
      <c r="AS3" s="29">
        <f t="shared" si="0"/>
        <v>1034054.0650033001</v>
      </c>
      <c r="AT3" s="29">
        <f t="shared" si="0"/>
        <v>1034054.0650033001</v>
      </c>
      <c r="AU3" s="29">
        <f t="shared" si="0"/>
        <v>1034054.0650033001</v>
      </c>
      <c r="AV3" s="29">
        <f t="shared" si="0"/>
        <v>1034054.0650033001</v>
      </c>
      <c r="AW3" s="29">
        <f t="shared" si="0"/>
        <v>1034054.0650033001</v>
      </c>
      <c r="AX3" s="29">
        <f t="shared" ref="AX3:BB3" si="1">AX2*12</f>
        <v>1034054.0650033001</v>
      </c>
      <c r="AY3" s="29">
        <f t="shared" si="1"/>
        <v>1034054.0650033001</v>
      </c>
      <c r="AZ3" s="29">
        <f t="shared" si="1"/>
        <v>1034054.0650033001</v>
      </c>
      <c r="BA3" s="29">
        <f t="shared" si="1"/>
        <v>1034054.0650033001</v>
      </c>
      <c r="BB3" s="29">
        <f t="shared" si="1"/>
        <v>1034054.0650033001</v>
      </c>
      <c r="BI3" s="2">
        <v>38333.579818866674</v>
      </c>
    </row>
    <row r="4" spans="1:61" x14ac:dyDescent="0.2">
      <c r="A4" s="2" t="str" cm="1">
        <f t="array" ref="A4:B12">'Salary Variables'!$B$16:$C$24</f>
        <v>AM (%)</v>
      </c>
      <c r="B4" s="25">
        <v>0.08</v>
      </c>
      <c r="D4" s="2" t="s">
        <v>277</v>
      </c>
      <c r="E4" s="29">
        <f>'Pensions P2'!B4*12</f>
        <v>38333.355731562013</v>
      </c>
      <c r="F4" s="29">
        <f>'Pensions P2'!C4*12</f>
        <v>38333.355731562013</v>
      </c>
      <c r="G4" s="29">
        <f>'Pensions P2'!D4*12</f>
        <v>38333.355731562013</v>
      </c>
      <c r="H4" s="29">
        <f>'Pensions P2'!E4*12</f>
        <v>39518.923434600008</v>
      </c>
      <c r="I4" s="29">
        <f>'Pensions P2'!F4*12</f>
        <v>39518.923434600008</v>
      </c>
      <c r="J4" s="29">
        <f>'Pensions P2'!G4*12</f>
        <v>39518.923434600008</v>
      </c>
      <c r="K4" s="29">
        <f>'Pensions P2'!H4*12</f>
        <v>39518.923434600008</v>
      </c>
      <c r="L4" s="29">
        <f>'Pensions P2'!I4*12</f>
        <v>40741.158180000006</v>
      </c>
      <c r="M4" s="29">
        <f>'Pensions P2'!J4*12</f>
        <v>40741.158180000006</v>
      </c>
      <c r="N4" s="29">
        <f>'Pensions P2'!K4*12</f>
        <v>40741.158180000006</v>
      </c>
      <c r="O4" s="29">
        <f>'Pensions P2'!L4*12</f>
        <v>40741.158180000006</v>
      </c>
      <c r="P4" s="29">
        <f>'Pensions P2'!M4*12</f>
        <v>42001.194000000003</v>
      </c>
      <c r="Q4" s="29">
        <f>'Pensions P2'!N4*12</f>
        <v>42001.194000000003</v>
      </c>
      <c r="R4" s="29">
        <f>'Pensions P2'!O4*12</f>
        <v>42001.194000000003</v>
      </c>
      <c r="S4" s="29">
        <f>'Pensions P2'!P4*12</f>
        <v>43300.200000000004</v>
      </c>
      <c r="T4" s="29">
        <f>'Pensions P2'!Q4*12</f>
        <v>43300.200000000004</v>
      </c>
      <c r="U4" s="29">
        <f>'Pensions P2'!R4*12</f>
        <v>43300.200000000004</v>
      </c>
      <c r="V4" s="29">
        <f>'Pensions P2'!S4*12</f>
        <v>44599.205999999998</v>
      </c>
      <c r="W4" s="29">
        <f>'Pensions P2'!T4*12</f>
        <v>44599.205999999998</v>
      </c>
      <c r="X4" s="29">
        <f>'Pensions P2'!U4*12</f>
        <v>44599.205999999998</v>
      </c>
      <c r="Y4" s="29">
        <f>'Pensions P2'!V4*12</f>
        <v>44599.205999999998</v>
      </c>
      <c r="Z4" s="29">
        <f>'Pensions P2'!W4*12</f>
        <v>45937.182180000003</v>
      </c>
      <c r="AA4" s="29">
        <f>'Pensions P2'!X4*12</f>
        <v>45937.182180000003</v>
      </c>
      <c r="AB4" s="29">
        <f>'Pensions P2'!Y4*12</f>
        <v>45937.182180000003</v>
      </c>
      <c r="AC4" s="29">
        <f>'Pensions P2'!Z4*12</f>
        <v>45937.182180000003</v>
      </c>
      <c r="AD4" s="29">
        <f>'Pensions P2'!AA4*12</f>
        <v>47315.297645400002</v>
      </c>
      <c r="AE4" s="29">
        <f>'Pensions P2'!AB4*12</f>
        <v>47315.297645400002</v>
      </c>
      <c r="AF4" s="29">
        <f>'Pensions P2'!AC4*12</f>
        <v>47315.297645400002</v>
      </c>
      <c r="AG4" s="29">
        <f>'Pensions P2'!AD4*12</f>
        <v>48734.756574762003</v>
      </c>
      <c r="AH4" s="29">
        <f>'Pensions P2'!AE4*12</f>
        <v>48734.756574762003</v>
      </c>
      <c r="AI4" s="29">
        <f>'Pensions P2'!AF4*12</f>
        <v>48734.756574762003</v>
      </c>
      <c r="AJ4" s="29">
        <f>'Pensions P2'!AG4*12</f>
        <v>48734.756574762003</v>
      </c>
      <c r="AK4" s="29">
        <f>'Pensions P2'!AH4*12</f>
        <v>48734.756574762003</v>
      </c>
      <c r="AL4" s="29">
        <f>'Pensions P2'!AI4*12</f>
        <v>50196.799272004864</v>
      </c>
      <c r="AM4" s="29">
        <f>'Pensions P2'!AJ4*12</f>
        <v>50196.799272004864</v>
      </c>
      <c r="AN4" s="29">
        <f>'Pensions P2'!AK4*12</f>
        <v>50196.799272004864</v>
      </c>
      <c r="AO4" s="29">
        <f>'Pensions P2'!AL4*12</f>
        <v>50196.799272004864</v>
      </c>
      <c r="AP4" s="29">
        <f>'Pensions P2'!AM4*12</f>
        <v>51702.70325016501</v>
      </c>
      <c r="AQ4" s="29">
        <f>'Pensions P2'!AN4*12</f>
        <v>51702.70325016501</v>
      </c>
      <c r="AR4" s="29">
        <f>'Pensions P2'!AO4*12</f>
        <v>51702.70325016501</v>
      </c>
      <c r="AS4" s="29">
        <f>'Pensions P2'!AP4*12</f>
        <v>51702.70325016501</v>
      </c>
      <c r="AT4" s="29">
        <f>'Pensions P2'!AQ4*12</f>
        <v>51702.70325016501</v>
      </c>
      <c r="AU4" s="29">
        <f>'Pensions P2'!AR4*12</f>
        <v>51702.70325016501</v>
      </c>
      <c r="AV4" s="29">
        <f>'Pensions P2'!AS4*12</f>
        <v>51702.70325016501</v>
      </c>
      <c r="AW4" s="29">
        <f>'Pensions P2'!AT4*12</f>
        <v>51702.70325016501</v>
      </c>
      <c r="AX4" s="29">
        <f>'Pensions P2'!AU4*12</f>
        <v>51702.70325016501</v>
      </c>
      <c r="AY4" s="29">
        <f>'Pensions P2'!AV4*12</f>
        <v>51702.70325016501</v>
      </c>
      <c r="AZ4" s="29">
        <f>'Pensions P2'!AW4*12</f>
        <v>51702.70325016501</v>
      </c>
      <c r="BA4" s="29">
        <f>'Pensions P2'!AX4*12</f>
        <v>51702.70325016501</v>
      </c>
      <c r="BB4" s="29">
        <f>'Pensions P2'!AY4*12</f>
        <v>51702.70325016501</v>
      </c>
      <c r="BI4" s="2">
        <v>39241.655592192663</v>
      </c>
    </row>
    <row r="5" spans="1:61" x14ac:dyDescent="0.2">
      <c r="A5" s="2" t="str">
        <v>Personal Allowance</v>
      </c>
      <c r="B5" s="28">
        <v>51600</v>
      </c>
      <c r="D5" s="2" t="s">
        <v>187</v>
      </c>
      <c r="E5" s="29">
        <f t="shared" ref="E5:AW5" si="2">E3-E4</f>
        <v>728333.75889967813</v>
      </c>
      <c r="F5" s="29">
        <f t="shared" si="2"/>
        <v>728333.75889967813</v>
      </c>
      <c r="G5" s="29">
        <f t="shared" si="2"/>
        <v>728333.75889967813</v>
      </c>
      <c r="H5" s="29">
        <f t="shared" si="2"/>
        <v>750859.54525740014</v>
      </c>
      <c r="I5" s="29">
        <f t="shared" si="2"/>
        <v>750859.54525740014</v>
      </c>
      <c r="J5" s="29">
        <f t="shared" si="2"/>
        <v>750859.54525740014</v>
      </c>
      <c r="K5" s="29">
        <f t="shared" si="2"/>
        <v>750859.54525740014</v>
      </c>
      <c r="L5" s="29">
        <f t="shared" si="2"/>
        <v>774082.00542000006</v>
      </c>
      <c r="M5" s="29">
        <f t="shared" si="2"/>
        <v>774082.00542000006</v>
      </c>
      <c r="N5" s="29">
        <f t="shared" si="2"/>
        <v>774082.00542000006</v>
      </c>
      <c r="O5" s="29">
        <f t="shared" si="2"/>
        <v>774082.00542000006</v>
      </c>
      <c r="P5" s="29">
        <f t="shared" si="2"/>
        <v>798022.6860000001</v>
      </c>
      <c r="Q5" s="29">
        <f t="shared" si="2"/>
        <v>798022.6860000001</v>
      </c>
      <c r="R5" s="29">
        <f t="shared" si="2"/>
        <v>798022.6860000001</v>
      </c>
      <c r="S5" s="29">
        <f t="shared" si="2"/>
        <v>822703.8</v>
      </c>
      <c r="T5" s="29">
        <f t="shared" si="2"/>
        <v>822703.8</v>
      </c>
      <c r="U5" s="29">
        <f t="shared" si="2"/>
        <v>822703.8</v>
      </c>
      <c r="V5" s="29">
        <f t="shared" si="2"/>
        <v>847384.91399999987</v>
      </c>
      <c r="W5" s="29">
        <f t="shared" si="2"/>
        <v>847384.91399999987</v>
      </c>
      <c r="X5" s="29">
        <f t="shared" si="2"/>
        <v>847384.91399999987</v>
      </c>
      <c r="Y5" s="29">
        <f t="shared" si="2"/>
        <v>847384.91399999987</v>
      </c>
      <c r="Z5" s="29">
        <f t="shared" si="2"/>
        <v>872806.46142000007</v>
      </c>
      <c r="AA5" s="29">
        <f t="shared" si="2"/>
        <v>872806.46142000007</v>
      </c>
      <c r="AB5" s="29">
        <f t="shared" si="2"/>
        <v>872806.46142000007</v>
      </c>
      <c r="AC5" s="29">
        <f t="shared" si="2"/>
        <v>872806.46142000007</v>
      </c>
      <c r="AD5" s="29">
        <f t="shared" si="2"/>
        <v>898990.65526259993</v>
      </c>
      <c r="AE5" s="29">
        <f t="shared" si="2"/>
        <v>898990.65526259993</v>
      </c>
      <c r="AF5" s="29">
        <f t="shared" si="2"/>
        <v>898990.65526259993</v>
      </c>
      <c r="AG5" s="29">
        <f t="shared" si="2"/>
        <v>925960.37492047786</v>
      </c>
      <c r="AH5" s="29">
        <f t="shared" si="2"/>
        <v>925960.37492047786</v>
      </c>
      <c r="AI5" s="29">
        <f t="shared" si="2"/>
        <v>925960.37492047786</v>
      </c>
      <c r="AJ5" s="29">
        <f t="shared" si="2"/>
        <v>925960.37492047786</v>
      </c>
      <c r="AK5" s="29">
        <f t="shared" si="2"/>
        <v>925960.37492047786</v>
      </c>
      <c r="AL5" s="29">
        <f t="shared" si="2"/>
        <v>953739.1861680923</v>
      </c>
      <c r="AM5" s="29">
        <f t="shared" si="2"/>
        <v>953739.1861680923</v>
      </c>
      <c r="AN5" s="29">
        <f t="shared" si="2"/>
        <v>953739.1861680923</v>
      </c>
      <c r="AO5" s="29">
        <f t="shared" si="2"/>
        <v>953739.1861680923</v>
      </c>
      <c r="AP5" s="29">
        <f t="shared" si="2"/>
        <v>982351.3617531351</v>
      </c>
      <c r="AQ5" s="29">
        <f t="shared" si="2"/>
        <v>982351.3617531351</v>
      </c>
      <c r="AR5" s="29">
        <f t="shared" si="2"/>
        <v>982351.3617531351</v>
      </c>
      <c r="AS5" s="29">
        <f t="shared" si="2"/>
        <v>982351.3617531351</v>
      </c>
      <c r="AT5" s="29">
        <f t="shared" si="2"/>
        <v>982351.3617531351</v>
      </c>
      <c r="AU5" s="29">
        <f t="shared" si="2"/>
        <v>982351.3617531351</v>
      </c>
      <c r="AV5" s="29">
        <f t="shared" si="2"/>
        <v>982351.3617531351</v>
      </c>
      <c r="AW5" s="29">
        <f t="shared" si="2"/>
        <v>982351.3617531351</v>
      </c>
      <c r="AX5" s="29">
        <f t="shared" ref="AX5:BB5" si="3">AX3-AX4</f>
        <v>982351.3617531351</v>
      </c>
      <c r="AY5" s="29">
        <f t="shared" si="3"/>
        <v>982351.3617531351</v>
      </c>
      <c r="AZ5" s="29">
        <f t="shared" si="3"/>
        <v>982351.3617531351</v>
      </c>
      <c r="BA5" s="29">
        <f t="shared" si="3"/>
        <v>982351.3617531351</v>
      </c>
      <c r="BB5" s="29">
        <f t="shared" si="3"/>
        <v>982351.3617531351</v>
      </c>
      <c r="BI5" s="2">
        <v>39241.655592192663</v>
      </c>
    </row>
    <row r="6" spans="1:61" x14ac:dyDescent="0.2">
      <c r="A6" s="2" t="str">
        <v>Bottom-Bracket State Tax rate (%)</v>
      </c>
      <c r="B6" s="25">
        <v>0.1201</v>
      </c>
      <c r="D6" s="2" t="s">
        <v>256</v>
      </c>
      <c r="E6" s="28">
        <f>E5-$B$14</f>
        <v>727145.75889967813</v>
      </c>
      <c r="F6" s="28">
        <f t="shared" ref="F6:AW6" si="4">F5-$B$14</f>
        <v>727145.75889967813</v>
      </c>
      <c r="G6" s="28">
        <f t="shared" si="4"/>
        <v>727145.75889967813</v>
      </c>
      <c r="H6" s="28">
        <f t="shared" si="4"/>
        <v>749671.54525740014</v>
      </c>
      <c r="I6" s="28">
        <f t="shared" si="4"/>
        <v>749671.54525740014</v>
      </c>
      <c r="J6" s="28">
        <f t="shared" si="4"/>
        <v>749671.54525740014</v>
      </c>
      <c r="K6" s="28">
        <f t="shared" si="4"/>
        <v>749671.54525740014</v>
      </c>
      <c r="L6" s="28">
        <f t="shared" si="4"/>
        <v>772894.00542000006</v>
      </c>
      <c r="M6" s="28">
        <f t="shared" si="4"/>
        <v>772894.00542000006</v>
      </c>
      <c r="N6" s="28">
        <f t="shared" si="4"/>
        <v>772894.00542000006</v>
      </c>
      <c r="O6" s="28">
        <f t="shared" si="4"/>
        <v>772894.00542000006</v>
      </c>
      <c r="P6" s="28">
        <f t="shared" si="4"/>
        <v>796834.6860000001</v>
      </c>
      <c r="Q6" s="28">
        <f t="shared" si="4"/>
        <v>796834.6860000001</v>
      </c>
      <c r="R6" s="28">
        <f t="shared" si="4"/>
        <v>796834.6860000001</v>
      </c>
      <c r="S6" s="28">
        <f t="shared" si="4"/>
        <v>821515.8</v>
      </c>
      <c r="T6" s="28">
        <f t="shared" si="4"/>
        <v>821515.8</v>
      </c>
      <c r="U6" s="28">
        <f t="shared" si="4"/>
        <v>821515.8</v>
      </c>
      <c r="V6" s="28">
        <f t="shared" si="4"/>
        <v>846196.91399999987</v>
      </c>
      <c r="W6" s="28">
        <f t="shared" si="4"/>
        <v>846196.91399999987</v>
      </c>
      <c r="X6" s="28">
        <f t="shared" si="4"/>
        <v>846196.91399999987</v>
      </c>
      <c r="Y6" s="28">
        <f t="shared" si="4"/>
        <v>846196.91399999987</v>
      </c>
      <c r="Z6" s="28">
        <f t="shared" si="4"/>
        <v>871618.46142000007</v>
      </c>
      <c r="AA6" s="28">
        <f t="shared" si="4"/>
        <v>871618.46142000007</v>
      </c>
      <c r="AB6" s="28">
        <f t="shared" si="4"/>
        <v>871618.46142000007</v>
      </c>
      <c r="AC6" s="28">
        <f t="shared" si="4"/>
        <v>871618.46142000007</v>
      </c>
      <c r="AD6" s="28">
        <f t="shared" si="4"/>
        <v>897802.65526259993</v>
      </c>
      <c r="AE6" s="28">
        <f t="shared" si="4"/>
        <v>897802.65526259993</v>
      </c>
      <c r="AF6" s="28">
        <f t="shared" si="4"/>
        <v>897802.65526259993</v>
      </c>
      <c r="AG6" s="28">
        <f t="shared" si="4"/>
        <v>924772.37492047786</v>
      </c>
      <c r="AH6" s="28">
        <f t="shared" si="4"/>
        <v>924772.37492047786</v>
      </c>
      <c r="AI6" s="28">
        <f t="shared" si="4"/>
        <v>924772.37492047786</v>
      </c>
      <c r="AJ6" s="28">
        <f t="shared" si="4"/>
        <v>924772.37492047786</v>
      </c>
      <c r="AK6" s="28">
        <f t="shared" si="4"/>
        <v>924772.37492047786</v>
      </c>
      <c r="AL6" s="28">
        <f t="shared" si="4"/>
        <v>952551.1861680923</v>
      </c>
      <c r="AM6" s="28">
        <f t="shared" si="4"/>
        <v>952551.1861680923</v>
      </c>
      <c r="AN6" s="28">
        <f t="shared" si="4"/>
        <v>952551.1861680923</v>
      </c>
      <c r="AO6" s="28">
        <f t="shared" si="4"/>
        <v>952551.1861680923</v>
      </c>
      <c r="AP6" s="28">
        <f t="shared" si="4"/>
        <v>981163.3617531351</v>
      </c>
      <c r="AQ6" s="28">
        <f t="shared" si="4"/>
        <v>981163.3617531351</v>
      </c>
      <c r="AR6" s="28">
        <f t="shared" si="4"/>
        <v>981163.3617531351</v>
      </c>
      <c r="AS6" s="28">
        <f t="shared" si="4"/>
        <v>981163.3617531351</v>
      </c>
      <c r="AT6" s="28">
        <f t="shared" si="4"/>
        <v>981163.3617531351</v>
      </c>
      <c r="AU6" s="28">
        <f t="shared" si="4"/>
        <v>981163.3617531351</v>
      </c>
      <c r="AV6" s="28">
        <f t="shared" si="4"/>
        <v>981163.3617531351</v>
      </c>
      <c r="AW6" s="28">
        <f t="shared" si="4"/>
        <v>981163.3617531351</v>
      </c>
      <c r="AX6" s="28">
        <f t="shared" ref="AX6:BB6" si="5">AX5-$B$14</f>
        <v>981163.3617531351</v>
      </c>
      <c r="AY6" s="28">
        <f t="shared" si="5"/>
        <v>981163.3617531351</v>
      </c>
      <c r="AZ6" s="28">
        <f t="shared" si="5"/>
        <v>981163.3617531351</v>
      </c>
      <c r="BA6" s="28">
        <f t="shared" si="5"/>
        <v>981163.3617531351</v>
      </c>
      <c r="BB6" s="28">
        <f t="shared" si="5"/>
        <v>981163.3617531351</v>
      </c>
      <c r="BI6" s="2">
        <v>39241.655592192663</v>
      </c>
    </row>
    <row r="7" spans="1:61" x14ac:dyDescent="0.2">
      <c r="A7" s="2" t="str">
        <v>Top-bracket State Tax rate (%)</v>
      </c>
      <c r="B7" s="25">
        <v>0.15</v>
      </c>
      <c r="D7" s="2" t="s">
        <v>234</v>
      </c>
      <c r="E7" s="28">
        <f>E6*(1-$B$4)</f>
        <v>668974.09818770387</v>
      </c>
      <c r="F7" s="28">
        <f t="shared" ref="F7:AW7" si="6">F6*(1-$B$4)</f>
        <v>668974.09818770387</v>
      </c>
      <c r="G7" s="28">
        <f t="shared" si="6"/>
        <v>668974.09818770387</v>
      </c>
      <c r="H7" s="28">
        <f t="shared" si="6"/>
        <v>689697.8216368081</v>
      </c>
      <c r="I7" s="28">
        <f t="shared" si="6"/>
        <v>689697.8216368081</v>
      </c>
      <c r="J7" s="28">
        <f t="shared" si="6"/>
        <v>689697.8216368081</v>
      </c>
      <c r="K7" s="28">
        <f t="shared" si="6"/>
        <v>689697.8216368081</v>
      </c>
      <c r="L7" s="28">
        <f t="shared" si="6"/>
        <v>711062.48498640012</v>
      </c>
      <c r="M7" s="28">
        <f t="shared" si="6"/>
        <v>711062.48498640012</v>
      </c>
      <c r="N7" s="28">
        <f t="shared" si="6"/>
        <v>711062.48498640012</v>
      </c>
      <c r="O7" s="28">
        <f t="shared" si="6"/>
        <v>711062.48498640012</v>
      </c>
      <c r="P7" s="28">
        <f t="shared" si="6"/>
        <v>733087.91112000018</v>
      </c>
      <c r="Q7" s="28">
        <f t="shared" si="6"/>
        <v>733087.91112000018</v>
      </c>
      <c r="R7" s="28">
        <f t="shared" si="6"/>
        <v>733087.91112000018</v>
      </c>
      <c r="S7" s="28">
        <f t="shared" si="6"/>
        <v>755794.53600000008</v>
      </c>
      <c r="T7" s="28">
        <f t="shared" si="6"/>
        <v>755794.53600000008</v>
      </c>
      <c r="U7" s="28">
        <f t="shared" si="6"/>
        <v>755794.53600000008</v>
      </c>
      <c r="V7" s="28">
        <f t="shared" si="6"/>
        <v>778501.16087999986</v>
      </c>
      <c r="W7" s="28">
        <f t="shared" si="6"/>
        <v>778501.16087999986</v>
      </c>
      <c r="X7" s="28">
        <f t="shared" si="6"/>
        <v>778501.16087999986</v>
      </c>
      <c r="Y7" s="28">
        <f t="shared" si="6"/>
        <v>778501.16087999986</v>
      </c>
      <c r="Z7" s="28">
        <f t="shared" si="6"/>
        <v>801888.98450640007</v>
      </c>
      <c r="AA7" s="28">
        <f t="shared" si="6"/>
        <v>801888.98450640007</v>
      </c>
      <c r="AB7" s="28">
        <f t="shared" si="6"/>
        <v>801888.98450640007</v>
      </c>
      <c r="AC7" s="28">
        <f t="shared" si="6"/>
        <v>801888.98450640007</v>
      </c>
      <c r="AD7" s="28">
        <f t="shared" si="6"/>
        <v>825978.44284159201</v>
      </c>
      <c r="AE7" s="28">
        <f t="shared" si="6"/>
        <v>825978.44284159201</v>
      </c>
      <c r="AF7" s="28">
        <f t="shared" si="6"/>
        <v>825978.44284159201</v>
      </c>
      <c r="AG7" s="28">
        <f t="shared" si="6"/>
        <v>850790.58492683969</v>
      </c>
      <c r="AH7" s="28">
        <f t="shared" si="6"/>
        <v>850790.58492683969</v>
      </c>
      <c r="AI7" s="28">
        <f t="shared" si="6"/>
        <v>850790.58492683969</v>
      </c>
      <c r="AJ7" s="28">
        <f t="shared" si="6"/>
        <v>850790.58492683969</v>
      </c>
      <c r="AK7" s="28">
        <f t="shared" si="6"/>
        <v>850790.58492683969</v>
      </c>
      <c r="AL7" s="28">
        <f t="shared" si="6"/>
        <v>876347.09127464495</v>
      </c>
      <c r="AM7" s="28">
        <f t="shared" si="6"/>
        <v>876347.09127464495</v>
      </c>
      <c r="AN7" s="28">
        <f t="shared" si="6"/>
        <v>876347.09127464495</v>
      </c>
      <c r="AO7" s="28">
        <f t="shared" si="6"/>
        <v>876347.09127464495</v>
      </c>
      <c r="AP7" s="28">
        <f t="shared" si="6"/>
        <v>902670.29281288432</v>
      </c>
      <c r="AQ7" s="28">
        <f t="shared" si="6"/>
        <v>902670.29281288432</v>
      </c>
      <c r="AR7" s="28">
        <f t="shared" si="6"/>
        <v>902670.29281288432</v>
      </c>
      <c r="AS7" s="28">
        <f t="shared" si="6"/>
        <v>902670.29281288432</v>
      </c>
      <c r="AT7" s="28">
        <f t="shared" si="6"/>
        <v>902670.29281288432</v>
      </c>
      <c r="AU7" s="28">
        <f t="shared" si="6"/>
        <v>902670.29281288432</v>
      </c>
      <c r="AV7" s="28">
        <f t="shared" si="6"/>
        <v>902670.29281288432</v>
      </c>
      <c r="AW7" s="28">
        <f t="shared" si="6"/>
        <v>902670.29281288432</v>
      </c>
      <c r="AX7" s="28">
        <f t="shared" ref="AX7:BB7" si="7">AX6*(1-$B$4)</f>
        <v>902670.29281288432</v>
      </c>
      <c r="AY7" s="28">
        <f t="shared" si="7"/>
        <v>902670.29281288432</v>
      </c>
      <c r="AZ7" s="28">
        <f t="shared" si="7"/>
        <v>902670.29281288432</v>
      </c>
      <c r="BA7" s="28">
        <f t="shared" si="7"/>
        <v>902670.29281288432</v>
      </c>
      <c r="BB7" s="28">
        <f t="shared" si="7"/>
        <v>902670.29281288432</v>
      </c>
      <c r="BI7" s="2">
        <v>39241.655592192663</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40176.973638718446</v>
      </c>
    </row>
    <row r="9" spans="1:61" x14ac:dyDescent="0.2">
      <c r="A9" s="2" t="str">
        <v>Municipal Tax (%)</v>
      </c>
      <c r="B9" s="25">
        <v>0.25</v>
      </c>
      <c r="D9" s="2" t="s">
        <v>235</v>
      </c>
      <c r="E9" s="28">
        <f t="shared" ref="E9:AW9" si="9">E7-E8</f>
        <v>617374.09818770387</v>
      </c>
      <c r="F9" s="28">
        <f t="shared" si="9"/>
        <v>617374.09818770387</v>
      </c>
      <c r="G9" s="28">
        <f t="shared" si="9"/>
        <v>617374.09818770387</v>
      </c>
      <c r="H9" s="28">
        <f t="shared" si="9"/>
        <v>638097.8216368081</v>
      </c>
      <c r="I9" s="28">
        <f t="shared" si="9"/>
        <v>638097.8216368081</v>
      </c>
      <c r="J9" s="28">
        <f t="shared" si="9"/>
        <v>638097.8216368081</v>
      </c>
      <c r="K9" s="28">
        <f t="shared" si="9"/>
        <v>638097.8216368081</v>
      </c>
      <c r="L9" s="28">
        <f t="shared" si="9"/>
        <v>659462.48498640012</v>
      </c>
      <c r="M9" s="28">
        <f t="shared" si="9"/>
        <v>659462.48498640012</v>
      </c>
      <c r="N9" s="28">
        <f t="shared" si="9"/>
        <v>659462.48498640012</v>
      </c>
      <c r="O9" s="28">
        <f t="shared" si="9"/>
        <v>659462.48498640012</v>
      </c>
      <c r="P9" s="28">
        <f t="shared" si="9"/>
        <v>681487.91112000018</v>
      </c>
      <c r="Q9" s="28">
        <f t="shared" si="9"/>
        <v>681487.91112000018</v>
      </c>
      <c r="R9" s="28">
        <f t="shared" si="9"/>
        <v>681487.91112000018</v>
      </c>
      <c r="S9" s="28">
        <f t="shared" si="9"/>
        <v>704194.53600000008</v>
      </c>
      <c r="T9" s="28">
        <f t="shared" si="9"/>
        <v>704194.53600000008</v>
      </c>
      <c r="U9" s="28">
        <f t="shared" si="9"/>
        <v>704194.53600000008</v>
      </c>
      <c r="V9" s="28">
        <f t="shared" si="9"/>
        <v>726901.16087999986</v>
      </c>
      <c r="W9" s="28">
        <f t="shared" si="9"/>
        <v>726901.16087999986</v>
      </c>
      <c r="X9" s="28">
        <f t="shared" si="9"/>
        <v>726901.16087999986</v>
      </c>
      <c r="Y9" s="28">
        <f t="shared" si="9"/>
        <v>726901.16087999986</v>
      </c>
      <c r="Z9" s="28">
        <f t="shared" si="9"/>
        <v>750288.98450640007</v>
      </c>
      <c r="AA9" s="28">
        <f t="shared" si="9"/>
        <v>750288.98450640007</v>
      </c>
      <c r="AB9" s="28">
        <f t="shared" si="9"/>
        <v>750288.98450640007</v>
      </c>
      <c r="AC9" s="28">
        <f t="shared" si="9"/>
        <v>750288.98450640007</v>
      </c>
      <c r="AD9" s="28">
        <f t="shared" si="9"/>
        <v>774378.44284159201</v>
      </c>
      <c r="AE9" s="28">
        <f t="shared" si="9"/>
        <v>774378.44284159201</v>
      </c>
      <c r="AF9" s="28">
        <f t="shared" si="9"/>
        <v>774378.44284159201</v>
      </c>
      <c r="AG9" s="28">
        <f t="shared" si="9"/>
        <v>799190.58492683969</v>
      </c>
      <c r="AH9" s="28">
        <f t="shared" si="9"/>
        <v>799190.58492683969</v>
      </c>
      <c r="AI9" s="28">
        <f t="shared" si="9"/>
        <v>799190.58492683969</v>
      </c>
      <c r="AJ9" s="28">
        <f t="shared" si="9"/>
        <v>799190.58492683969</v>
      </c>
      <c r="AK9" s="28">
        <f t="shared" si="9"/>
        <v>799190.58492683969</v>
      </c>
      <c r="AL9" s="28">
        <f t="shared" si="9"/>
        <v>824747.09127464495</v>
      </c>
      <c r="AM9" s="28">
        <f t="shared" si="9"/>
        <v>824747.09127464495</v>
      </c>
      <c r="AN9" s="28">
        <f t="shared" si="9"/>
        <v>824747.09127464495</v>
      </c>
      <c r="AO9" s="28">
        <f t="shared" si="9"/>
        <v>824747.09127464495</v>
      </c>
      <c r="AP9" s="28">
        <f t="shared" si="9"/>
        <v>851070.29281288432</v>
      </c>
      <c r="AQ9" s="28">
        <f t="shared" si="9"/>
        <v>851070.29281288432</v>
      </c>
      <c r="AR9" s="28">
        <f t="shared" si="9"/>
        <v>851070.29281288432</v>
      </c>
      <c r="AS9" s="28">
        <f t="shared" si="9"/>
        <v>851070.29281288432</v>
      </c>
      <c r="AT9" s="28">
        <f t="shared" si="9"/>
        <v>851070.29281288432</v>
      </c>
      <c r="AU9" s="28">
        <f t="shared" si="9"/>
        <v>851070.29281288432</v>
      </c>
      <c r="AV9" s="28">
        <f t="shared" si="9"/>
        <v>851070.29281288432</v>
      </c>
      <c r="AW9" s="28">
        <f t="shared" si="9"/>
        <v>851070.29281288432</v>
      </c>
      <c r="AX9" s="28">
        <f t="shared" ref="AX9:BB9" si="10">AX7-AX8</f>
        <v>851070.29281288432</v>
      </c>
      <c r="AY9" s="28">
        <f t="shared" si="10"/>
        <v>851070.29281288432</v>
      </c>
      <c r="AZ9" s="28">
        <f t="shared" si="10"/>
        <v>851070.29281288432</v>
      </c>
      <c r="BA9" s="28">
        <f t="shared" si="10"/>
        <v>851070.29281288432</v>
      </c>
      <c r="BB9" s="28">
        <f t="shared" si="10"/>
        <v>851070.29281288432</v>
      </c>
      <c r="BI9" s="2">
        <v>40176.973638718446</v>
      </c>
    </row>
    <row r="10" spans="1:61" x14ac:dyDescent="0.2">
      <c r="A10" s="2" t="str">
        <v>Capital Gains &lt; 67,500DKK</v>
      </c>
      <c r="B10" s="28">
        <v>0.27</v>
      </c>
      <c r="D10" s="2" t="s">
        <v>189</v>
      </c>
      <c r="E10" s="28">
        <f t="shared" ref="E10:AW10" si="11">E7*$B$9</f>
        <v>167243.52454692597</v>
      </c>
      <c r="F10" s="28">
        <f t="shared" si="11"/>
        <v>167243.52454692597</v>
      </c>
      <c r="G10" s="28">
        <f t="shared" si="11"/>
        <v>167243.52454692597</v>
      </c>
      <c r="H10" s="28">
        <f t="shared" si="11"/>
        <v>172424.45540920203</v>
      </c>
      <c r="I10" s="28">
        <f t="shared" si="11"/>
        <v>172424.45540920203</v>
      </c>
      <c r="J10" s="28">
        <f t="shared" si="11"/>
        <v>172424.45540920203</v>
      </c>
      <c r="K10" s="28">
        <f t="shared" si="11"/>
        <v>172424.45540920203</v>
      </c>
      <c r="L10" s="28">
        <f t="shared" si="11"/>
        <v>177765.62124660003</v>
      </c>
      <c r="M10" s="28">
        <f t="shared" si="11"/>
        <v>177765.62124660003</v>
      </c>
      <c r="N10" s="28">
        <f t="shared" si="11"/>
        <v>177765.62124660003</v>
      </c>
      <c r="O10" s="28">
        <f t="shared" si="11"/>
        <v>177765.62124660003</v>
      </c>
      <c r="P10" s="28">
        <f t="shared" si="11"/>
        <v>183271.97778000004</v>
      </c>
      <c r="Q10" s="28">
        <f t="shared" si="11"/>
        <v>183271.97778000004</v>
      </c>
      <c r="R10" s="28">
        <f t="shared" si="11"/>
        <v>183271.97778000004</v>
      </c>
      <c r="S10" s="28">
        <f t="shared" si="11"/>
        <v>188948.63400000002</v>
      </c>
      <c r="T10" s="28">
        <f t="shared" si="11"/>
        <v>188948.63400000002</v>
      </c>
      <c r="U10" s="28">
        <f t="shared" si="11"/>
        <v>188948.63400000002</v>
      </c>
      <c r="V10" s="28">
        <f t="shared" si="11"/>
        <v>194625.29021999997</v>
      </c>
      <c r="W10" s="28">
        <f t="shared" si="11"/>
        <v>194625.29021999997</v>
      </c>
      <c r="X10" s="28">
        <f t="shared" si="11"/>
        <v>194625.29021999997</v>
      </c>
      <c r="Y10" s="28">
        <f t="shared" si="11"/>
        <v>194625.29021999997</v>
      </c>
      <c r="Z10" s="28">
        <f t="shared" si="11"/>
        <v>200472.24612660002</v>
      </c>
      <c r="AA10" s="28">
        <f t="shared" si="11"/>
        <v>200472.24612660002</v>
      </c>
      <c r="AB10" s="28">
        <f t="shared" si="11"/>
        <v>200472.24612660002</v>
      </c>
      <c r="AC10" s="28">
        <f t="shared" si="11"/>
        <v>200472.24612660002</v>
      </c>
      <c r="AD10" s="28">
        <f t="shared" si="11"/>
        <v>206494.610710398</v>
      </c>
      <c r="AE10" s="28">
        <f t="shared" si="11"/>
        <v>206494.610710398</v>
      </c>
      <c r="AF10" s="28">
        <f t="shared" si="11"/>
        <v>206494.610710398</v>
      </c>
      <c r="AG10" s="28">
        <f t="shared" si="11"/>
        <v>212697.64623170992</v>
      </c>
      <c r="AH10" s="28">
        <f t="shared" si="11"/>
        <v>212697.64623170992</v>
      </c>
      <c r="AI10" s="28">
        <f t="shared" si="11"/>
        <v>212697.64623170992</v>
      </c>
      <c r="AJ10" s="28">
        <f t="shared" si="11"/>
        <v>212697.64623170992</v>
      </c>
      <c r="AK10" s="28">
        <f t="shared" si="11"/>
        <v>212697.64623170992</v>
      </c>
      <c r="AL10" s="28">
        <f t="shared" si="11"/>
        <v>219086.77281866124</v>
      </c>
      <c r="AM10" s="28">
        <f t="shared" si="11"/>
        <v>219086.77281866124</v>
      </c>
      <c r="AN10" s="28">
        <f t="shared" si="11"/>
        <v>219086.77281866124</v>
      </c>
      <c r="AO10" s="28">
        <f t="shared" si="11"/>
        <v>219086.77281866124</v>
      </c>
      <c r="AP10" s="28">
        <f t="shared" si="11"/>
        <v>225667.57320322108</v>
      </c>
      <c r="AQ10" s="28">
        <f t="shared" si="11"/>
        <v>225667.57320322108</v>
      </c>
      <c r="AR10" s="28">
        <f t="shared" si="11"/>
        <v>225667.57320322108</v>
      </c>
      <c r="AS10" s="28">
        <f t="shared" si="11"/>
        <v>225667.57320322108</v>
      </c>
      <c r="AT10" s="28">
        <f t="shared" si="11"/>
        <v>225667.57320322108</v>
      </c>
      <c r="AU10" s="28">
        <f t="shared" si="11"/>
        <v>225667.57320322108</v>
      </c>
      <c r="AV10" s="28">
        <f t="shared" si="11"/>
        <v>225667.57320322108</v>
      </c>
      <c r="AW10" s="28">
        <f t="shared" si="11"/>
        <v>225667.57320322108</v>
      </c>
      <c r="AX10" s="28">
        <f t="shared" ref="AX10:BB10" si="12">AX7*$B$9</f>
        <v>225667.57320322108</v>
      </c>
      <c r="AY10" s="28">
        <f t="shared" si="12"/>
        <v>225667.57320322108</v>
      </c>
      <c r="AZ10" s="28">
        <f t="shared" si="12"/>
        <v>225667.57320322108</v>
      </c>
      <c r="BA10" s="28">
        <f t="shared" si="12"/>
        <v>225667.57320322108</v>
      </c>
      <c r="BB10" s="28">
        <f t="shared" si="12"/>
        <v>225667.57320322108</v>
      </c>
      <c r="BI10" s="2">
        <v>40176.973638718446</v>
      </c>
    </row>
    <row r="11" spans="1:61" x14ac:dyDescent="0.2">
      <c r="A11" s="2" t="str">
        <v>Capital Gains &gt; 67,500DKK</v>
      </c>
      <c r="B11" s="25">
        <v>0.42</v>
      </c>
      <c r="D11" s="2" t="s">
        <v>190</v>
      </c>
      <c r="E11" s="28">
        <f t="shared" ref="E11:AW11" si="13">MAX(E9-$B$8,0)*$B$7</f>
        <v>0</v>
      </c>
      <c r="F11" s="28">
        <f t="shared" si="13"/>
        <v>0</v>
      </c>
      <c r="G11" s="28">
        <f t="shared" si="13"/>
        <v>0</v>
      </c>
      <c r="H11" s="28">
        <f t="shared" si="13"/>
        <v>2954.6732455212154</v>
      </c>
      <c r="I11" s="28">
        <f t="shared" si="13"/>
        <v>2954.6732455212154</v>
      </c>
      <c r="J11" s="28">
        <f t="shared" si="13"/>
        <v>2954.6732455212154</v>
      </c>
      <c r="K11" s="28">
        <f t="shared" si="13"/>
        <v>2954.6732455212154</v>
      </c>
      <c r="L11" s="28">
        <f t="shared" si="13"/>
        <v>6159.3727479600175</v>
      </c>
      <c r="M11" s="28">
        <f t="shared" si="13"/>
        <v>6159.3727479600175</v>
      </c>
      <c r="N11" s="28">
        <f t="shared" si="13"/>
        <v>6159.3727479600175</v>
      </c>
      <c r="O11" s="28">
        <f t="shared" si="13"/>
        <v>6159.3727479600175</v>
      </c>
      <c r="P11" s="28">
        <f t="shared" si="13"/>
        <v>9463.1866680000257</v>
      </c>
      <c r="Q11" s="28">
        <f t="shared" si="13"/>
        <v>9463.1866680000257</v>
      </c>
      <c r="R11" s="28">
        <f t="shared" si="13"/>
        <v>9463.1866680000257</v>
      </c>
      <c r="S11" s="28">
        <f t="shared" si="13"/>
        <v>12869.180400000012</v>
      </c>
      <c r="T11" s="28">
        <f t="shared" si="13"/>
        <v>12869.180400000012</v>
      </c>
      <c r="U11" s="28">
        <f t="shared" si="13"/>
        <v>12869.180400000012</v>
      </c>
      <c r="V11" s="28">
        <f t="shared" si="13"/>
        <v>16275.174131999978</v>
      </c>
      <c r="W11" s="28">
        <f t="shared" si="13"/>
        <v>16275.174131999978</v>
      </c>
      <c r="X11" s="28">
        <f t="shared" si="13"/>
        <v>16275.174131999978</v>
      </c>
      <c r="Y11" s="28">
        <f t="shared" si="13"/>
        <v>16275.174131999978</v>
      </c>
      <c r="Z11" s="28">
        <f t="shared" si="13"/>
        <v>19783.347675960009</v>
      </c>
      <c r="AA11" s="28">
        <f t="shared" si="13"/>
        <v>19783.347675960009</v>
      </c>
      <c r="AB11" s="28">
        <f t="shared" si="13"/>
        <v>19783.347675960009</v>
      </c>
      <c r="AC11" s="28">
        <f t="shared" si="13"/>
        <v>19783.347675960009</v>
      </c>
      <c r="AD11" s="28">
        <f t="shared" si="13"/>
        <v>23396.766426238803</v>
      </c>
      <c r="AE11" s="28">
        <f t="shared" si="13"/>
        <v>23396.766426238803</v>
      </c>
      <c r="AF11" s="28">
        <f t="shared" si="13"/>
        <v>23396.766426238803</v>
      </c>
      <c r="AG11" s="28">
        <f t="shared" si="13"/>
        <v>27118.587739025952</v>
      </c>
      <c r="AH11" s="28">
        <f t="shared" si="13"/>
        <v>27118.587739025952</v>
      </c>
      <c r="AI11" s="28">
        <f t="shared" si="13"/>
        <v>27118.587739025952</v>
      </c>
      <c r="AJ11" s="28">
        <f t="shared" si="13"/>
        <v>27118.587739025952</v>
      </c>
      <c r="AK11" s="28">
        <f t="shared" si="13"/>
        <v>27118.587739025952</v>
      </c>
      <c r="AL11" s="28">
        <f t="shared" si="13"/>
        <v>30952.063691196741</v>
      </c>
      <c r="AM11" s="28">
        <f t="shared" si="13"/>
        <v>30952.063691196741</v>
      </c>
      <c r="AN11" s="28">
        <f t="shared" si="13"/>
        <v>30952.063691196741</v>
      </c>
      <c r="AO11" s="28">
        <f t="shared" si="13"/>
        <v>30952.063691196741</v>
      </c>
      <c r="AP11" s="28">
        <f t="shared" si="13"/>
        <v>34900.543921932644</v>
      </c>
      <c r="AQ11" s="28">
        <f t="shared" si="13"/>
        <v>34900.543921932644</v>
      </c>
      <c r="AR11" s="28">
        <f t="shared" si="13"/>
        <v>34900.543921932644</v>
      </c>
      <c r="AS11" s="28">
        <f t="shared" si="13"/>
        <v>34900.543921932644</v>
      </c>
      <c r="AT11" s="28">
        <f t="shared" si="13"/>
        <v>34900.543921932644</v>
      </c>
      <c r="AU11" s="28">
        <f t="shared" si="13"/>
        <v>34900.543921932644</v>
      </c>
      <c r="AV11" s="28">
        <f t="shared" si="13"/>
        <v>34900.543921932644</v>
      </c>
      <c r="AW11" s="28">
        <f t="shared" si="13"/>
        <v>34900.543921932644</v>
      </c>
      <c r="AX11" s="28">
        <f t="shared" ref="AX11:BB11" si="14">MAX(AX9-$B$8,0)*$B$7</f>
        <v>34900.543921932644</v>
      </c>
      <c r="AY11" s="28">
        <f t="shared" si="14"/>
        <v>34900.543921932644</v>
      </c>
      <c r="AZ11" s="28">
        <f t="shared" si="14"/>
        <v>34900.543921932644</v>
      </c>
      <c r="BA11" s="28">
        <f t="shared" si="14"/>
        <v>34900.543921932644</v>
      </c>
      <c r="BB11" s="28">
        <f t="shared" si="14"/>
        <v>34900.543921932644</v>
      </c>
      <c r="BI11" s="2">
        <v>40176.973638718446</v>
      </c>
    </row>
    <row r="12" spans="1:61" x14ac:dyDescent="0.2">
      <c r="A12" s="2" t="str">
        <v>Capital Gains Threshold</v>
      </c>
      <c r="B12" s="53">
        <v>67500</v>
      </c>
      <c r="D12" s="2" t="s">
        <v>191</v>
      </c>
      <c r="E12" s="28">
        <f t="shared" ref="E12:AW12" si="15">E9*$B$6</f>
        <v>74146.629192343229</v>
      </c>
      <c r="F12" s="28">
        <f t="shared" si="15"/>
        <v>74146.629192343229</v>
      </c>
      <c r="G12" s="28">
        <f t="shared" si="15"/>
        <v>74146.629192343229</v>
      </c>
      <c r="H12" s="28">
        <f t="shared" si="15"/>
        <v>76635.548378580657</v>
      </c>
      <c r="I12" s="28">
        <f t="shared" si="15"/>
        <v>76635.548378580657</v>
      </c>
      <c r="J12" s="28">
        <f t="shared" si="15"/>
        <v>76635.548378580657</v>
      </c>
      <c r="K12" s="28">
        <f t="shared" si="15"/>
        <v>76635.548378580657</v>
      </c>
      <c r="L12" s="28">
        <f t="shared" si="15"/>
        <v>79201.444446866648</v>
      </c>
      <c r="M12" s="28">
        <f t="shared" si="15"/>
        <v>79201.444446866648</v>
      </c>
      <c r="N12" s="28">
        <f t="shared" si="15"/>
        <v>79201.444446866648</v>
      </c>
      <c r="O12" s="28">
        <f t="shared" si="15"/>
        <v>79201.444446866648</v>
      </c>
      <c r="P12" s="28">
        <f t="shared" si="15"/>
        <v>81846.698125512019</v>
      </c>
      <c r="Q12" s="28">
        <f t="shared" si="15"/>
        <v>81846.698125512019</v>
      </c>
      <c r="R12" s="28">
        <f t="shared" si="15"/>
        <v>81846.698125512019</v>
      </c>
      <c r="S12" s="28">
        <f t="shared" si="15"/>
        <v>84573.763773600003</v>
      </c>
      <c r="T12" s="28">
        <f t="shared" si="15"/>
        <v>84573.763773600003</v>
      </c>
      <c r="U12" s="28">
        <f t="shared" si="15"/>
        <v>84573.763773600003</v>
      </c>
      <c r="V12" s="28">
        <f t="shared" si="15"/>
        <v>87300.829421687988</v>
      </c>
      <c r="W12" s="28">
        <f t="shared" si="15"/>
        <v>87300.829421687988</v>
      </c>
      <c r="X12" s="28">
        <f t="shared" si="15"/>
        <v>87300.829421687988</v>
      </c>
      <c r="Y12" s="28">
        <f t="shared" si="15"/>
        <v>87300.829421687988</v>
      </c>
      <c r="Z12" s="28">
        <f t="shared" si="15"/>
        <v>90109.707039218643</v>
      </c>
      <c r="AA12" s="28">
        <f t="shared" si="15"/>
        <v>90109.707039218643</v>
      </c>
      <c r="AB12" s="28">
        <f t="shared" si="15"/>
        <v>90109.707039218643</v>
      </c>
      <c r="AC12" s="28">
        <f t="shared" si="15"/>
        <v>90109.707039218643</v>
      </c>
      <c r="AD12" s="28">
        <f t="shared" si="15"/>
        <v>93002.850985275203</v>
      </c>
      <c r="AE12" s="28">
        <f t="shared" si="15"/>
        <v>93002.850985275203</v>
      </c>
      <c r="AF12" s="28">
        <f t="shared" si="15"/>
        <v>93002.850985275203</v>
      </c>
      <c r="AG12" s="28">
        <f t="shared" si="15"/>
        <v>95982.789249713445</v>
      </c>
      <c r="AH12" s="28">
        <f t="shared" si="15"/>
        <v>95982.789249713445</v>
      </c>
      <c r="AI12" s="28">
        <f t="shared" si="15"/>
        <v>95982.789249713445</v>
      </c>
      <c r="AJ12" s="28">
        <f t="shared" si="15"/>
        <v>95982.789249713445</v>
      </c>
      <c r="AK12" s="28">
        <f t="shared" si="15"/>
        <v>95982.789249713445</v>
      </c>
      <c r="AL12" s="28">
        <f t="shared" si="15"/>
        <v>99052.125662084858</v>
      </c>
      <c r="AM12" s="28">
        <f t="shared" si="15"/>
        <v>99052.125662084858</v>
      </c>
      <c r="AN12" s="28">
        <f t="shared" si="15"/>
        <v>99052.125662084858</v>
      </c>
      <c r="AO12" s="28">
        <f t="shared" si="15"/>
        <v>99052.125662084858</v>
      </c>
      <c r="AP12" s="28">
        <f t="shared" si="15"/>
        <v>102213.54216682741</v>
      </c>
      <c r="AQ12" s="28">
        <f t="shared" si="15"/>
        <v>102213.54216682741</v>
      </c>
      <c r="AR12" s="28">
        <f t="shared" si="15"/>
        <v>102213.54216682741</v>
      </c>
      <c r="AS12" s="28">
        <f t="shared" si="15"/>
        <v>102213.54216682741</v>
      </c>
      <c r="AT12" s="28">
        <f t="shared" si="15"/>
        <v>102213.54216682741</v>
      </c>
      <c r="AU12" s="28">
        <f t="shared" si="15"/>
        <v>102213.54216682741</v>
      </c>
      <c r="AV12" s="28">
        <f t="shared" si="15"/>
        <v>102213.54216682741</v>
      </c>
      <c r="AW12" s="28">
        <f t="shared" si="15"/>
        <v>102213.54216682741</v>
      </c>
      <c r="AX12" s="28">
        <f t="shared" ref="AX12:BB12" si="16">AX9*$B$6</f>
        <v>102213.54216682741</v>
      </c>
      <c r="AY12" s="28">
        <f t="shared" si="16"/>
        <v>102213.54216682741</v>
      </c>
      <c r="AZ12" s="28">
        <f t="shared" si="16"/>
        <v>102213.54216682741</v>
      </c>
      <c r="BA12" s="28">
        <f t="shared" si="16"/>
        <v>102213.54216682741</v>
      </c>
      <c r="BB12" s="28">
        <f t="shared" si="16"/>
        <v>102213.54216682741</v>
      </c>
      <c r="BI12" s="2">
        <v>41140.351226639999</v>
      </c>
    </row>
    <row r="13" spans="1:61" x14ac:dyDescent="0.2">
      <c r="A13" s="2" t="s">
        <v>254</v>
      </c>
      <c r="B13" s="58">
        <v>99</v>
      </c>
      <c r="D13" s="2" t="s">
        <v>192</v>
      </c>
      <c r="E13" s="28">
        <f t="shared" ref="E13:AW13" si="17">SUM(E10:E12)</f>
        <v>241390.15373926918</v>
      </c>
      <c r="F13" s="28">
        <f t="shared" si="17"/>
        <v>241390.15373926918</v>
      </c>
      <c r="G13" s="28">
        <f t="shared" si="17"/>
        <v>241390.15373926918</v>
      </c>
      <c r="H13" s="28">
        <f t="shared" si="17"/>
        <v>252014.67703330389</v>
      </c>
      <c r="I13" s="28">
        <f t="shared" si="17"/>
        <v>252014.67703330389</v>
      </c>
      <c r="J13" s="28">
        <f t="shared" si="17"/>
        <v>252014.67703330389</v>
      </c>
      <c r="K13" s="28">
        <f t="shared" si="17"/>
        <v>252014.67703330389</v>
      </c>
      <c r="L13" s="28">
        <f t="shared" si="17"/>
        <v>263126.43844142667</v>
      </c>
      <c r="M13" s="28">
        <f t="shared" si="17"/>
        <v>263126.43844142667</v>
      </c>
      <c r="N13" s="28">
        <f t="shared" si="17"/>
        <v>263126.43844142667</v>
      </c>
      <c r="O13" s="28">
        <f t="shared" si="17"/>
        <v>263126.43844142667</v>
      </c>
      <c r="P13" s="28">
        <f t="shared" si="17"/>
        <v>274581.86257351213</v>
      </c>
      <c r="Q13" s="28">
        <f t="shared" si="17"/>
        <v>274581.86257351213</v>
      </c>
      <c r="R13" s="28">
        <f t="shared" si="17"/>
        <v>274581.86257351213</v>
      </c>
      <c r="S13" s="28">
        <f t="shared" si="17"/>
        <v>286391.57817360002</v>
      </c>
      <c r="T13" s="28">
        <f t="shared" si="17"/>
        <v>286391.57817360002</v>
      </c>
      <c r="U13" s="28">
        <f t="shared" si="17"/>
        <v>286391.57817360002</v>
      </c>
      <c r="V13" s="28">
        <f t="shared" si="17"/>
        <v>298201.29377368791</v>
      </c>
      <c r="W13" s="28">
        <f t="shared" si="17"/>
        <v>298201.29377368791</v>
      </c>
      <c r="X13" s="28">
        <f t="shared" si="17"/>
        <v>298201.29377368791</v>
      </c>
      <c r="Y13" s="28">
        <f t="shared" si="17"/>
        <v>298201.29377368791</v>
      </c>
      <c r="Z13" s="28">
        <f t="shared" si="17"/>
        <v>310365.30084177869</v>
      </c>
      <c r="AA13" s="28">
        <f t="shared" si="17"/>
        <v>310365.30084177869</v>
      </c>
      <c r="AB13" s="28">
        <f t="shared" si="17"/>
        <v>310365.30084177869</v>
      </c>
      <c r="AC13" s="28">
        <f t="shared" si="17"/>
        <v>310365.30084177869</v>
      </c>
      <c r="AD13" s="28">
        <f t="shared" si="17"/>
        <v>322894.22812191199</v>
      </c>
      <c r="AE13" s="28">
        <f t="shared" si="17"/>
        <v>322894.22812191199</v>
      </c>
      <c r="AF13" s="28">
        <f t="shared" si="17"/>
        <v>322894.22812191199</v>
      </c>
      <c r="AG13" s="28">
        <f t="shared" si="17"/>
        <v>335799.02322044934</v>
      </c>
      <c r="AH13" s="28">
        <f t="shared" si="17"/>
        <v>335799.02322044934</v>
      </c>
      <c r="AI13" s="28">
        <f t="shared" si="17"/>
        <v>335799.02322044934</v>
      </c>
      <c r="AJ13" s="28">
        <f t="shared" si="17"/>
        <v>335799.02322044934</v>
      </c>
      <c r="AK13" s="28">
        <f t="shared" si="17"/>
        <v>335799.02322044934</v>
      </c>
      <c r="AL13" s="28">
        <f t="shared" si="17"/>
        <v>349090.96217194281</v>
      </c>
      <c r="AM13" s="28">
        <f t="shared" si="17"/>
        <v>349090.96217194281</v>
      </c>
      <c r="AN13" s="28">
        <f t="shared" si="17"/>
        <v>349090.96217194281</v>
      </c>
      <c r="AO13" s="28">
        <f t="shared" si="17"/>
        <v>349090.96217194281</v>
      </c>
      <c r="AP13" s="28">
        <f t="shared" si="17"/>
        <v>362781.65929198114</v>
      </c>
      <c r="AQ13" s="28">
        <f t="shared" si="17"/>
        <v>362781.65929198114</v>
      </c>
      <c r="AR13" s="28">
        <f t="shared" si="17"/>
        <v>362781.65929198114</v>
      </c>
      <c r="AS13" s="28">
        <f t="shared" si="17"/>
        <v>362781.65929198114</v>
      </c>
      <c r="AT13" s="28">
        <f t="shared" si="17"/>
        <v>362781.65929198114</v>
      </c>
      <c r="AU13" s="28">
        <f t="shared" si="17"/>
        <v>362781.65929198114</v>
      </c>
      <c r="AV13" s="28">
        <f t="shared" si="17"/>
        <v>362781.65929198114</v>
      </c>
      <c r="AW13" s="28">
        <f t="shared" si="17"/>
        <v>362781.65929198114</v>
      </c>
      <c r="AX13" s="28">
        <f t="shared" ref="AX13:BB13" si="18">SUM(AX10:AX12)</f>
        <v>362781.65929198114</v>
      </c>
      <c r="AY13" s="28">
        <f t="shared" si="18"/>
        <v>362781.65929198114</v>
      </c>
      <c r="AZ13" s="28">
        <f t="shared" si="18"/>
        <v>362781.65929198114</v>
      </c>
      <c r="BA13" s="28">
        <f t="shared" si="18"/>
        <v>362781.65929198114</v>
      </c>
      <c r="BB13" s="28">
        <f t="shared" si="18"/>
        <v>362781.65929198114</v>
      </c>
      <c r="BI13" s="2">
        <v>41140.351226639999</v>
      </c>
    </row>
    <row r="14" spans="1:61" x14ac:dyDescent="0.2">
      <c r="A14" s="2" t="s">
        <v>255</v>
      </c>
      <c r="B14" s="28">
        <f>B13*12</f>
        <v>1188</v>
      </c>
      <c r="D14" s="2" t="s">
        <v>193</v>
      </c>
      <c r="E14" s="28">
        <f>E7-E13</f>
        <v>427583.94444843469</v>
      </c>
      <c r="F14" s="28">
        <f t="shared" ref="F14:AW14" si="19">F7-F13</f>
        <v>427583.94444843469</v>
      </c>
      <c r="G14" s="28">
        <f t="shared" si="19"/>
        <v>427583.94444843469</v>
      </c>
      <c r="H14" s="28">
        <f t="shared" si="19"/>
        <v>437683.14460350422</v>
      </c>
      <c r="I14" s="28">
        <f t="shared" si="19"/>
        <v>437683.14460350422</v>
      </c>
      <c r="J14" s="28">
        <f t="shared" si="19"/>
        <v>437683.14460350422</v>
      </c>
      <c r="K14" s="28">
        <f t="shared" si="19"/>
        <v>437683.14460350422</v>
      </c>
      <c r="L14" s="28">
        <f t="shared" si="19"/>
        <v>447936.04654497345</v>
      </c>
      <c r="M14" s="28">
        <f t="shared" si="19"/>
        <v>447936.04654497345</v>
      </c>
      <c r="N14" s="28">
        <f t="shared" si="19"/>
        <v>447936.04654497345</v>
      </c>
      <c r="O14" s="28">
        <f t="shared" si="19"/>
        <v>447936.04654497345</v>
      </c>
      <c r="P14" s="28">
        <f t="shared" si="19"/>
        <v>458506.04854648805</v>
      </c>
      <c r="Q14" s="28">
        <f t="shared" si="19"/>
        <v>458506.04854648805</v>
      </c>
      <c r="R14" s="28">
        <f t="shared" si="19"/>
        <v>458506.04854648805</v>
      </c>
      <c r="S14" s="28">
        <f t="shared" si="19"/>
        <v>469402.95782640006</v>
      </c>
      <c r="T14" s="28">
        <f t="shared" si="19"/>
        <v>469402.95782640006</v>
      </c>
      <c r="U14" s="28">
        <f t="shared" si="19"/>
        <v>469402.95782640006</v>
      </c>
      <c r="V14" s="28">
        <f t="shared" si="19"/>
        <v>480299.86710631195</v>
      </c>
      <c r="W14" s="28">
        <f t="shared" si="19"/>
        <v>480299.86710631195</v>
      </c>
      <c r="X14" s="28">
        <f t="shared" si="19"/>
        <v>480299.86710631195</v>
      </c>
      <c r="Y14" s="28">
        <f t="shared" si="19"/>
        <v>480299.86710631195</v>
      </c>
      <c r="Z14" s="28">
        <f t="shared" si="19"/>
        <v>491523.68366462138</v>
      </c>
      <c r="AA14" s="28">
        <f t="shared" si="19"/>
        <v>491523.68366462138</v>
      </c>
      <c r="AB14" s="28">
        <f t="shared" si="19"/>
        <v>491523.68366462138</v>
      </c>
      <c r="AC14" s="28">
        <f t="shared" si="19"/>
        <v>491523.68366462138</v>
      </c>
      <c r="AD14" s="28">
        <f t="shared" si="19"/>
        <v>503084.21471968002</v>
      </c>
      <c r="AE14" s="28">
        <f t="shared" si="19"/>
        <v>503084.21471968002</v>
      </c>
      <c r="AF14" s="28">
        <f t="shared" si="19"/>
        <v>503084.21471968002</v>
      </c>
      <c r="AG14" s="28">
        <f t="shared" si="19"/>
        <v>514991.56170639035</v>
      </c>
      <c r="AH14" s="28">
        <f t="shared" si="19"/>
        <v>514991.56170639035</v>
      </c>
      <c r="AI14" s="28">
        <f t="shared" si="19"/>
        <v>514991.56170639035</v>
      </c>
      <c r="AJ14" s="28">
        <f t="shared" si="19"/>
        <v>514991.56170639035</v>
      </c>
      <c r="AK14" s="28">
        <f t="shared" si="19"/>
        <v>514991.56170639035</v>
      </c>
      <c r="AL14" s="28">
        <f t="shared" si="19"/>
        <v>527256.12910270214</v>
      </c>
      <c r="AM14" s="28">
        <f t="shared" si="19"/>
        <v>527256.12910270214</v>
      </c>
      <c r="AN14" s="28">
        <f t="shared" si="19"/>
        <v>527256.12910270214</v>
      </c>
      <c r="AO14" s="28">
        <f t="shared" si="19"/>
        <v>527256.12910270214</v>
      </c>
      <c r="AP14" s="28">
        <f t="shared" si="19"/>
        <v>539888.63352090318</v>
      </c>
      <c r="AQ14" s="28">
        <f t="shared" si="19"/>
        <v>539888.63352090318</v>
      </c>
      <c r="AR14" s="28">
        <f t="shared" si="19"/>
        <v>539888.63352090318</v>
      </c>
      <c r="AS14" s="28">
        <f t="shared" si="19"/>
        <v>539888.63352090318</v>
      </c>
      <c r="AT14" s="28">
        <f t="shared" si="19"/>
        <v>539888.63352090318</v>
      </c>
      <c r="AU14" s="28">
        <f t="shared" si="19"/>
        <v>539888.63352090318</v>
      </c>
      <c r="AV14" s="28">
        <f t="shared" si="19"/>
        <v>539888.63352090318</v>
      </c>
      <c r="AW14" s="28">
        <f t="shared" si="19"/>
        <v>539888.63352090318</v>
      </c>
      <c r="AX14" s="28">
        <f t="shared" ref="AX14:BB14" si="20">AX7-AX13</f>
        <v>539888.63352090318</v>
      </c>
      <c r="AY14" s="28">
        <f t="shared" si="20"/>
        <v>539888.63352090318</v>
      </c>
      <c r="AZ14" s="28">
        <f t="shared" si="20"/>
        <v>539888.63352090318</v>
      </c>
      <c r="BA14" s="28">
        <f t="shared" si="20"/>
        <v>539888.63352090318</v>
      </c>
      <c r="BB14" s="28">
        <f t="shared" si="20"/>
        <v>539888.63352090318</v>
      </c>
      <c r="BI14" s="2">
        <v>41140.351226639999</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42132.630142199196</v>
      </c>
    </row>
    <row r="16" spans="1:61" x14ac:dyDescent="0.2">
      <c r="D16" s="2" t="s">
        <v>267</v>
      </c>
      <c r="E16" s="28">
        <f>E14-E15</f>
        <v>418183.94444843469</v>
      </c>
      <c r="F16" s="28">
        <f t="shared" ref="F16:AW16" si="22">F14-F15</f>
        <v>418183.94444843469</v>
      </c>
      <c r="G16" s="28">
        <f t="shared" si="22"/>
        <v>418183.94444843469</v>
      </c>
      <c r="H16" s="28">
        <f t="shared" si="22"/>
        <v>428283.14460350422</v>
      </c>
      <c r="I16" s="28">
        <f t="shared" si="22"/>
        <v>428283.14460350422</v>
      </c>
      <c r="J16" s="28">
        <f t="shared" si="22"/>
        <v>428283.14460350422</v>
      </c>
      <c r="K16" s="28">
        <f t="shared" si="22"/>
        <v>428283.14460350422</v>
      </c>
      <c r="L16" s="28">
        <f t="shared" si="22"/>
        <v>438536.04654497345</v>
      </c>
      <c r="M16" s="28">
        <f t="shared" si="22"/>
        <v>438536.04654497345</v>
      </c>
      <c r="N16" s="28">
        <f t="shared" si="22"/>
        <v>438536.04654497345</v>
      </c>
      <c r="O16" s="28">
        <f t="shared" si="22"/>
        <v>438536.04654497345</v>
      </c>
      <c r="P16" s="28">
        <f t="shared" si="22"/>
        <v>449106.04854648805</v>
      </c>
      <c r="Q16" s="28">
        <f t="shared" si="22"/>
        <v>449106.04854648805</v>
      </c>
      <c r="R16" s="28">
        <f t="shared" si="22"/>
        <v>449106.04854648805</v>
      </c>
      <c r="S16" s="28">
        <f t="shared" si="22"/>
        <v>460002.95782640006</v>
      </c>
      <c r="T16" s="28">
        <f t="shared" si="22"/>
        <v>460002.95782640006</v>
      </c>
      <c r="U16" s="28">
        <f t="shared" si="22"/>
        <v>460002.95782640006</v>
      </c>
      <c r="V16" s="28">
        <f t="shared" si="22"/>
        <v>470899.86710631195</v>
      </c>
      <c r="W16" s="28">
        <f t="shared" si="22"/>
        <v>470899.86710631195</v>
      </c>
      <c r="X16" s="28">
        <f t="shared" si="22"/>
        <v>470899.86710631195</v>
      </c>
      <c r="Y16" s="28">
        <f t="shared" si="22"/>
        <v>470899.86710631195</v>
      </c>
      <c r="Z16" s="28">
        <f t="shared" si="22"/>
        <v>482123.68366462138</v>
      </c>
      <c r="AA16" s="28">
        <f t="shared" si="22"/>
        <v>482123.68366462138</v>
      </c>
      <c r="AB16" s="28">
        <f t="shared" si="22"/>
        <v>482123.68366462138</v>
      </c>
      <c r="AC16" s="28">
        <f t="shared" si="22"/>
        <v>482123.68366462138</v>
      </c>
      <c r="AD16" s="28">
        <f t="shared" si="22"/>
        <v>493684.21471968002</v>
      </c>
      <c r="AE16" s="28">
        <f t="shared" si="22"/>
        <v>493684.21471968002</v>
      </c>
      <c r="AF16" s="28">
        <f t="shared" si="22"/>
        <v>493684.21471968002</v>
      </c>
      <c r="AG16" s="28">
        <f t="shared" si="22"/>
        <v>505591.56170639035</v>
      </c>
      <c r="AH16" s="28">
        <f t="shared" si="22"/>
        <v>505591.56170639035</v>
      </c>
      <c r="AI16" s="28">
        <f t="shared" si="22"/>
        <v>505591.56170639035</v>
      </c>
      <c r="AJ16" s="28">
        <f t="shared" si="22"/>
        <v>505591.56170639035</v>
      </c>
      <c r="AK16" s="28">
        <f t="shared" si="22"/>
        <v>505591.56170639035</v>
      </c>
      <c r="AL16" s="28">
        <f t="shared" si="22"/>
        <v>517856.12910270214</v>
      </c>
      <c r="AM16" s="28">
        <f t="shared" si="22"/>
        <v>517856.12910270214</v>
      </c>
      <c r="AN16" s="28">
        <f t="shared" si="22"/>
        <v>517856.12910270214</v>
      </c>
      <c r="AO16" s="28">
        <f t="shared" si="22"/>
        <v>517856.12910270214</v>
      </c>
      <c r="AP16" s="28">
        <f t="shared" si="22"/>
        <v>530488.63352090318</v>
      </c>
      <c r="AQ16" s="28">
        <f t="shared" si="22"/>
        <v>530488.63352090318</v>
      </c>
      <c r="AR16" s="28">
        <f t="shared" si="22"/>
        <v>530488.63352090318</v>
      </c>
      <c r="AS16" s="28">
        <f t="shared" si="22"/>
        <v>530488.63352090318</v>
      </c>
      <c r="AT16" s="28">
        <f t="shared" si="22"/>
        <v>530488.63352090318</v>
      </c>
      <c r="AU16" s="28">
        <f t="shared" si="22"/>
        <v>530488.63352090318</v>
      </c>
      <c r="AV16" s="28">
        <f t="shared" si="22"/>
        <v>530488.63352090318</v>
      </c>
      <c r="AW16" s="28">
        <f t="shared" si="22"/>
        <v>530488.63352090318</v>
      </c>
      <c r="AX16" s="28">
        <f t="shared" ref="AX16:BB16" si="23">AX14-AX15</f>
        <v>530488.63352090318</v>
      </c>
      <c r="AY16" s="28">
        <f t="shared" si="23"/>
        <v>530488.63352090318</v>
      </c>
      <c r="AZ16" s="28">
        <f t="shared" si="23"/>
        <v>530488.63352090318</v>
      </c>
      <c r="BA16" s="28">
        <f t="shared" si="23"/>
        <v>530488.63352090318</v>
      </c>
      <c r="BB16" s="28">
        <f t="shared" si="23"/>
        <v>530488.63352090318</v>
      </c>
      <c r="BI16" s="2">
        <v>42132.630142199196</v>
      </c>
    </row>
    <row r="17" spans="4:61" x14ac:dyDescent="0.2">
      <c r="D17" s="2" t="s">
        <v>196</v>
      </c>
      <c r="E17" s="28">
        <f>E16/12</f>
        <v>34848.662037369555</v>
      </c>
      <c r="F17" s="28">
        <f t="shared" ref="F17:AW17" si="24">F16/12</f>
        <v>34848.662037369555</v>
      </c>
      <c r="G17" s="28">
        <f t="shared" si="24"/>
        <v>34848.662037369555</v>
      </c>
      <c r="H17" s="28">
        <f t="shared" si="24"/>
        <v>35690.262050292018</v>
      </c>
      <c r="I17" s="28">
        <f t="shared" si="24"/>
        <v>35690.262050292018</v>
      </c>
      <c r="J17" s="28">
        <f t="shared" si="24"/>
        <v>35690.262050292018</v>
      </c>
      <c r="K17" s="28">
        <f t="shared" si="24"/>
        <v>35690.262050292018</v>
      </c>
      <c r="L17" s="28">
        <f t="shared" si="24"/>
        <v>36544.670545414454</v>
      </c>
      <c r="M17" s="28">
        <f t="shared" si="24"/>
        <v>36544.670545414454</v>
      </c>
      <c r="N17" s="28">
        <f t="shared" si="24"/>
        <v>36544.670545414454</v>
      </c>
      <c r="O17" s="28">
        <f t="shared" si="24"/>
        <v>36544.670545414454</v>
      </c>
      <c r="P17" s="28">
        <f t="shared" si="24"/>
        <v>37425.504045540671</v>
      </c>
      <c r="Q17" s="28">
        <f t="shared" si="24"/>
        <v>37425.504045540671</v>
      </c>
      <c r="R17" s="28">
        <f t="shared" si="24"/>
        <v>37425.504045540671</v>
      </c>
      <c r="S17" s="28">
        <f t="shared" si="24"/>
        <v>38333.579818866674</v>
      </c>
      <c r="T17" s="28">
        <f t="shared" si="24"/>
        <v>38333.579818866674</v>
      </c>
      <c r="U17" s="28">
        <f t="shared" si="24"/>
        <v>38333.579818866674</v>
      </c>
      <c r="V17" s="28">
        <f t="shared" si="24"/>
        <v>39241.655592192663</v>
      </c>
      <c r="W17" s="28">
        <f t="shared" si="24"/>
        <v>39241.655592192663</v>
      </c>
      <c r="X17" s="28">
        <f t="shared" si="24"/>
        <v>39241.655592192663</v>
      </c>
      <c r="Y17" s="28">
        <f t="shared" si="24"/>
        <v>39241.655592192663</v>
      </c>
      <c r="Z17" s="28">
        <f t="shared" si="24"/>
        <v>40176.973638718446</v>
      </c>
      <c r="AA17" s="28">
        <f t="shared" si="24"/>
        <v>40176.973638718446</v>
      </c>
      <c r="AB17" s="28">
        <f t="shared" si="24"/>
        <v>40176.973638718446</v>
      </c>
      <c r="AC17" s="28">
        <f t="shared" si="24"/>
        <v>40176.973638718446</v>
      </c>
      <c r="AD17" s="28">
        <f t="shared" si="24"/>
        <v>41140.351226639999</v>
      </c>
      <c r="AE17" s="28">
        <f t="shared" si="24"/>
        <v>41140.351226639999</v>
      </c>
      <c r="AF17" s="28">
        <f t="shared" si="24"/>
        <v>41140.351226639999</v>
      </c>
      <c r="AG17" s="28">
        <f t="shared" si="24"/>
        <v>42132.630142199196</v>
      </c>
      <c r="AH17" s="28">
        <f t="shared" si="24"/>
        <v>42132.630142199196</v>
      </c>
      <c r="AI17" s="28">
        <f t="shared" si="24"/>
        <v>42132.630142199196</v>
      </c>
      <c r="AJ17" s="28">
        <f t="shared" si="24"/>
        <v>42132.630142199196</v>
      </c>
      <c r="AK17" s="28">
        <f t="shared" si="24"/>
        <v>42132.630142199196</v>
      </c>
      <c r="AL17" s="28">
        <f t="shared" si="24"/>
        <v>43154.677425225178</v>
      </c>
      <c r="AM17" s="28">
        <f t="shared" si="24"/>
        <v>43154.677425225178</v>
      </c>
      <c r="AN17" s="28">
        <f t="shared" si="24"/>
        <v>43154.677425225178</v>
      </c>
      <c r="AO17" s="28">
        <f t="shared" si="24"/>
        <v>43154.677425225178</v>
      </c>
      <c r="AP17" s="28">
        <f t="shared" si="24"/>
        <v>44207.386126741934</v>
      </c>
      <c r="AQ17" s="28">
        <f t="shared" si="24"/>
        <v>44207.386126741934</v>
      </c>
      <c r="AR17" s="28">
        <f t="shared" si="24"/>
        <v>44207.386126741934</v>
      </c>
      <c r="AS17" s="28">
        <f t="shared" si="24"/>
        <v>44207.386126741934</v>
      </c>
      <c r="AT17" s="28">
        <f t="shared" si="24"/>
        <v>44207.386126741934</v>
      </c>
      <c r="AU17" s="28">
        <f t="shared" si="24"/>
        <v>44207.386126741934</v>
      </c>
      <c r="AV17" s="28">
        <f t="shared" si="24"/>
        <v>44207.386126741934</v>
      </c>
      <c r="AW17" s="28">
        <f t="shared" si="24"/>
        <v>44207.386126741934</v>
      </c>
      <c r="AX17" s="28">
        <f t="shared" ref="AX17:BB17" si="25">AX16/12</f>
        <v>44207.386126741934</v>
      </c>
      <c r="AY17" s="28">
        <f t="shared" si="25"/>
        <v>44207.386126741934</v>
      </c>
      <c r="AZ17" s="28">
        <f t="shared" si="25"/>
        <v>44207.386126741934</v>
      </c>
      <c r="BA17" s="28">
        <f t="shared" si="25"/>
        <v>44207.386126741934</v>
      </c>
      <c r="BB17" s="28">
        <f t="shared" si="25"/>
        <v>44207.386126741934</v>
      </c>
      <c r="BI17" s="2">
        <v>42132.630142199196</v>
      </c>
    </row>
    <row r="18" spans="4:61" x14ac:dyDescent="0.2">
      <c r="BI18" s="2">
        <v>42132.630142199196</v>
      </c>
    </row>
    <row r="19" spans="4:61" x14ac:dyDescent="0.2">
      <c r="BI19" s="2">
        <v>42132.630142199196</v>
      </c>
    </row>
    <row r="20" spans="4:61" x14ac:dyDescent="0.2">
      <c r="D20" s="26"/>
      <c r="BI20" s="2">
        <v>43154.677425225178</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43154.677425225178</v>
      </c>
    </row>
    <row r="22" spans="4:61" x14ac:dyDescent="0.2">
      <c r="D22" s="2" t="s">
        <v>202</v>
      </c>
      <c r="E22" s="26">
        <f>'Pensions P2'!$B$18+'Pensions P2'!$B$22+'Pensions P2'!$B$31</f>
        <v>53532.052017798247</v>
      </c>
      <c r="F22" s="26">
        <f>'Pensions P2'!$B$18+'Pensions P2'!$B$22+'Pensions P2'!$B$31</f>
        <v>53532.052017798247</v>
      </c>
      <c r="G22" s="26">
        <f>'Pensions P2'!$B$18+'Pensions P2'!$B$22+'Pensions P2'!$B$31</f>
        <v>53532.052017798247</v>
      </c>
      <c r="H22" s="26">
        <f>'Pensions P2'!$B$18+'Pensions P2'!$B$22+'Pensions P2'!$B$31</f>
        <v>53532.052017798247</v>
      </c>
      <c r="I22" s="26">
        <f>'Pensions P2'!$B$18+'Pensions P2'!$B$22+'Pensions P2'!$B$31</f>
        <v>53532.052017798247</v>
      </c>
      <c r="J22" s="26">
        <f>'Pensions P2'!$B$18+'Pensions P2'!$B$22+'Pensions P2'!$B$31</f>
        <v>53532.052017798247</v>
      </c>
      <c r="K22" s="26">
        <f>'Pensions P2'!$B$18+'Pensions P2'!$B$22+'Pensions P2'!$B$31</f>
        <v>53532.052017798247</v>
      </c>
      <c r="L22" s="26">
        <f>'Pensions P2'!$B$18+'Pensions P2'!$B$22+'Pensions P2'!$B$31</f>
        <v>53532.052017798247</v>
      </c>
      <c r="M22" s="26">
        <f>'Pensions P2'!$B$18+'Pensions P2'!$B$22+'Pensions P2'!$B$31</f>
        <v>53532.052017798247</v>
      </c>
      <c r="N22" s="26">
        <f>'Pensions P2'!$B$18+'Pensions P2'!$B$22+'Pensions P2'!$B$31</f>
        <v>53532.052017798247</v>
      </c>
      <c r="O22" s="26">
        <f>'Pensions P2'!$B$18+'Pensions P2'!$B$22+'Pensions P2'!$B$31</f>
        <v>53532.052017798247</v>
      </c>
      <c r="P22" s="26">
        <f>'Pensions P2'!$B$18+'Pensions P2'!$B$22+'Pensions P2'!$B$31</f>
        <v>53532.052017798247</v>
      </c>
      <c r="Q22" s="26">
        <f>'Pensions P2'!$B$18+'Pensions P2'!$B$22+'Pensions P2'!$B$31</f>
        <v>53532.052017798247</v>
      </c>
      <c r="R22" s="26">
        <f>'Pensions P2'!$B$18+'Pensions P2'!$B$22+'Pensions P2'!$B$31</f>
        <v>53532.052017798247</v>
      </c>
      <c r="S22" s="26">
        <f>'Pensions P2'!$B$18+'Pensions P2'!$B$22+'Pensions P2'!$B$31</f>
        <v>53532.052017798247</v>
      </c>
      <c r="T22" s="26">
        <f>'Pensions P2'!$B$18+'Pensions P2'!$B$22+'Pensions P2'!$B$31</f>
        <v>53532.052017798247</v>
      </c>
      <c r="U22" s="26">
        <f>'Pensions P2'!$B$18+'Pensions P2'!$B$22+'Pensions P2'!$B$31</f>
        <v>53532.052017798247</v>
      </c>
      <c r="V22" s="26">
        <f>'Pensions P2'!$B$18+'Pensions P2'!$B$22+'Pensions P2'!$B$31</f>
        <v>53532.052017798247</v>
      </c>
      <c r="W22" s="26">
        <f>'Pensions P2'!$B$18+'Pensions P2'!$B$22+'Pensions P2'!$B$31</f>
        <v>53532.052017798247</v>
      </c>
      <c r="X22" s="26">
        <f>'Pensions P2'!$B$18+'Pensions P2'!$B$22+'Pensions P2'!$B$31</f>
        <v>53532.052017798247</v>
      </c>
      <c r="Y22" s="26">
        <f>'Pensions P2'!$B$18+'Pensions P2'!$B$22+'Pensions P2'!$B$31</f>
        <v>53532.052017798247</v>
      </c>
      <c r="Z22" s="26">
        <f>'Pensions P2'!$B$18+'Pensions P2'!$B$22+'Pensions P2'!$B$31</f>
        <v>53532.052017798247</v>
      </c>
      <c r="AA22" s="26">
        <f>'Pensions P2'!$B$18+'Pensions P2'!$B$22+'Pensions P2'!$B$31</f>
        <v>53532.052017798247</v>
      </c>
      <c r="AB22" s="26">
        <f>'Pensions P2'!$B$18+'Pensions P2'!$B$22+'Pensions P2'!$B$31</f>
        <v>53532.052017798247</v>
      </c>
      <c r="AC22" s="26">
        <f>'Pensions P2'!$B$18+'Pensions P2'!$B$22+'Pensions P2'!$B$31</f>
        <v>53532.052017798247</v>
      </c>
      <c r="BI22" s="2">
        <v>43154.677425225178</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43154.677425225178</v>
      </c>
    </row>
    <row r="24" spans="4:61" x14ac:dyDescent="0.2">
      <c r="D24" s="2" t="s">
        <v>203</v>
      </c>
      <c r="E24" s="26">
        <f>E22*12</f>
        <v>642384.62421357899</v>
      </c>
      <c r="F24" s="26">
        <f t="shared" ref="F24:AC24" si="26">F22*12</f>
        <v>642384.62421357899</v>
      </c>
      <c r="G24" s="26">
        <f t="shared" si="26"/>
        <v>642384.62421357899</v>
      </c>
      <c r="H24" s="26">
        <f t="shared" si="26"/>
        <v>642384.62421357899</v>
      </c>
      <c r="I24" s="26">
        <f t="shared" si="26"/>
        <v>642384.62421357899</v>
      </c>
      <c r="J24" s="26">
        <f t="shared" si="26"/>
        <v>642384.62421357899</v>
      </c>
      <c r="K24" s="26">
        <f t="shared" si="26"/>
        <v>642384.62421357899</v>
      </c>
      <c r="L24" s="26">
        <f t="shared" si="26"/>
        <v>642384.62421357899</v>
      </c>
      <c r="M24" s="26">
        <f t="shared" si="26"/>
        <v>642384.62421357899</v>
      </c>
      <c r="N24" s="26">
        <f t="shared" si="26"/>
        <v>642384.62421357899</v>
      </c>
      <c r="O24" s="26">
        <f t="shared" si="26"/>
        <v>642384.62421357899</v>
      </c>
      <c r="P24" s="26">
        <f t="shared" si="26"/>
        <v>642384.62421357899</v>
      </c>
      <c r="Q24" s="26">
        <f t="shared" si="26"/>
        <v>642384.62421357899</v>
      </c>
      <c r="R24" s="26">
        <f t="shared" si="26"/>
        <v>642384.62421357899</v>
      </c>
      <c r="S24" s="26">
        <f t="shared" si="26"/>
        <v>642384.62421357899</v>
      </c>
      <c r="T24" s="26">
        <f t="shared" si="26"/>
        <v>642384.62421357899</v>
      </c>
      <c r="U24" s="26">
        <f t="shared" si="26"/>
        <v>642384.62421357899</v>
      </c>
      <c r="V24" s="26">
        <f t="shared" si="26"/>
        <v>642384.62421357899</v>
      </c>
      <c r="W24" s="26">
        <f t="shared" si="26"/>
        <v>642384.62421357899</v>
      </c>
      <c r="X24" s="26">
        <f t="shared" si="26"/>
        <v>642384.62421357899</v>
      </c>
      <c r="Y24" s="26">
        <f t="shared" si="26"/>
        <v>642384.62421357899</v>
      </c>
      <c r="Z24" s="26">
        <f t="shared" si="26"/>
        <v>642384.62421357899</v>
      </c>
      <c r="AA24" s="26">
        <f t="shared" si="26"/>
        <v>642384.62421357899</v>
      </c>
      <c r="AB24" s="26">
        <f t="shared" si="26"/>
        <v>642384.62421357899</v>
      </c>
      <c r="AC24" s="26">
        <f t="shared" si="26"/>
        <v>642384.62421357899</v>
      </c>
      <c r="BI24" s="2">
        <v>44207.386126741934</v>
      </c>
    </row>
    <row r="25" spans="4:61" x14ac:dyDescent="0.2">
      <c r="D25" s="2" t="s">
        <v>189</v>
      </c>
      <c r="E25" s="26">
        <f>E24*$B$9</f>
        <v>160596.15605339475</v>
      </c>
      <c r="F25" s="26">
        <f t="shared" ref="F25:AC25" si="27">F24*$B$9</f>
        <v>160596.15605339475</v>
      </c>
      <c r="G25" s="26">
        <f t="shared" si="27"/>
        <v>160596.15605339475</v>
      </c>
      <c r="H25" s="26">
        <f t="shared" si="27"/>
        <v>160596.15605339475</v>
      </c>
      <c r="I25" s="26">
        <f t="shared" si="27"/>
        <v>160596.15605339475</v>
      </c>
      <c r="J25" s="26">
        <f t="shared" si="27"/>
        <v>160596.15605339475</v>
      </c>
      <c r="K25" s="26">
        <f t="shared" si="27"/>
        <v>160596.15605339475</v>
      </c>
      <c r="L25" s="26">
        <f t="shared" si="27"/>
        <v>160596.15605339475</v>
      </c>
      <c r="M25" s="26">
        <f t="shared" si="27"/>
        <v>160596.15605339475</v>
      </c>
      <c r="N25" s="26">
        <f t="shared" si="27"/>
        <v>160596.15605339475</v>
      </c>
      <c r="O25" s="26">
        <f t="shared" si="27"/>
        <v>160596.15605339475</v>
      </c>
      <c r="P25" s="26">
        <f t="shared" si="27"/>
        <v>160596.15605339475</v>
      </c>
      <c r="Q25" s="26">
        <f t="shared" si="27"/>
        <v>160596.15605339475</v>
      </c>
      <c r="R25" s="26">
        <f t="shared" si="27"/>
        <v>160596.15605339475</v>
      </c>
      <c r="S25" s="26">
        <f t="shared" si="27"/>
        <v>160596.15605339475</v>
      </c>
      <c r="T25" s="26">
        <f t="shared" si="27"/>
        <v>160596.15605339475</v>
      </c>
      <c r="U25" s="26">
        <f t="shared" si="27"/>
        <v>160596.15605339475</v>
      </c>
      <c r="V25" s="26">
        <f t="shared" si="27"/>
        <v>160596.15605339475</v>
      </c>
      <c r="W25" s="26">
        <f t="shared" si="27"/>
        <v>160596.15605339475</v>
      </c>
      <c r="X25" s="26">
        <f t="shared" si="27"/>
        <v>160596.15605339475</v>
      </c>
      <c r="Y25" s="26">
        <f t="shared" si="27"/>
        <v>160596.15605339475</v>
      </c>
      <c r="Z25" s="26">
        <f t="shared" si="27"/>
        <v>160596.15605339475</v>
      </c>
      <c r="AA25" s="26">
        <f t="shared" si="27"/>
        <v>160596.15605339475</v>
      </c>
      <c r="AB25" s="26">
        <f t="shared" si="27"/>
        <v>160596.15605339475</v>
      </c>
      <c r="AC25" s="26">
        <f t="shared" si="27"/>
        <v>160596.15605339475</v>
      </c>
      <c r="BI25" s="2">
        <v>44207.386126741934</v>
      </c>
    </row>
    <row r="26" spans="4:61" x14ac:dyDescent="0.2">
      <c r="D26" s="2" t="s">
        <v>190</v>
      </c>
      <c r="E26" s="26">
        <f>MAX(E24-$B$8,0)*$B$7</f>
        <v>3597.6936320368491</v>
      </c>
      <c r="F26" s="26">
        <f t="shared" ref="F26:AC26" si="28">MAX(F24-$B$8,0)*$B$7</f>
        <v>3597.6936320368491</v>
      </c>
      <c r="G26" s="26">
        <f t="shared" si="28"/>
        <v>3597.6936320368491</v>
      </c>
      <c r="H26" s="26">
        <f t="shared" si="28"/>
        <v>3597.6936320368491</v>
      </c>
      <c r="I26" s="26">
        <f t="shared" si="28"/>
        <v>3597.6936320368491</v>
      </c>
      <c r="J26" s="26">
        <f t="shared" si="28"/>
        <v>3597.6936320368491</v>
      </c>
      <c r="K26" s="26">
        <f t="shared" si="28"/>
        <v>3597.6936320368491</v>
      </c>
      <c r="L26" s="26">
        <f t="shared" si="28"/>
        <v>3597.6936320368491</v>
      </c>
      <c r="M26" s="26">
        <f t="shared" si="28"/>
        <v>3597.6936320368491</v>
      </c>
      <c r="N26" s="26">
        <f t="shared" si="28"/>
        <v>3597.6936320368491</v>
      </c>
      <c r="O26" s="26">
        <f t="shared" si="28"/>
        <v>3597.6936320368491</v>
      </c>
      <c r="P26" s="26">
        <f t="shared" si="28"/>
        <v>3597.6936320368491</v>
      </c>
      <c r="Q26" s="26">
        <f t="shared" si="28"/>
        <v>3597.6936320368491</v>
      </c>
      <c r="R26" s="26">
        <f t="shared" si="28"/>
        <v>3597.6936320368491</v>
      </c>
      <c r="S26" s="26">
        <f t="shared" si="28"/>
        <v>3597.6936320368491</v>
      </c>
      <c r="T26" s="26">
        <f t="shared" si="28"/>
        <v>3597.6936320368491</v>
      </c>
      <c r="U26" s="26">
        <f t="shared" si="28"/>
        <v>3597.6936320368491</v>
      </c>
      <c r="V26" s="26">
        <f t="shared" si="28"/>
        <v>3597.6936320368491</v>
      </c>
      <c r="W26" s="26">
        <f t="shared" si="28"/>
        <v>3597.6936320368491</v>
      </c>
      <c r="X26" s="26">
        <f t="shared" si="28"/>
        <v>3597.6936320368491</v>
      </c>
      <c r="Y26" s="26">
        <f t="shared" si="28"/>
        <v>3597.6936320368491</v>
      </c>
      <c r="Z26" s="26">
        <f t="shared" si="28"/>
        <v>3597.6936320368491</v>
      </c>
      <c r="AA26" s="26">
        <f t="shared" si="28"/>
        <v>3597.6936320368491</v>
      </c>
      <c r="AB26" s="26">
        <f t="shared" si="28"/>
        <v>3597.6936320368491</v>
      </c>
      <c r="AC26" s="26">
        <f t="shared" si="28"/>
        <v>3597.6936320368491</v>
      </c>
      <c r="BI26" s="2">
        <v>44207.386126741934</v>
      </c>
    </row>
    <row r="27" spans="4:61" x14ac:dyDescent="0.2">
      <c r="D27" s="2" t="s">
        <v>191</v>
      </c>
      <c r="E27" s="26">
        <f>E24*$B$6</f>
        <v>77150.393368050834</v>
      </c>
      <c r="F27" s="26">
        <f t="shared" ref="F27:AC27" si="29">F24*$B$6</f>
        <v>77150.393368050834</v>
      </c>
      <c r="G27" s="26">
        <f t="shared" si="29"/>
        <v>77150.393368050834</v>
      </c>
      <c r="H27" s="26">
        <f t="shared" si="29"/>
        <v>77150.393368050834</v>
      </c>
      <c r="I27" s="26">
        <f t="shared" si="29"/>
        <v>77150.393368050834</v>
      </c>
      <c r="J27" s="26">
        <f t="shared" si="29"/>
        <v>77150.393368050834</v>
      </c>
      <c r="K27" s="26">
        <f t="shared" si="29"/>
        <v>77150.393368050834</v>
      </c>
      <c r="L27" s="26">
        <f t="shared" si="29"/>
        <v>77150.393368050834</v>
      </c>
      <c r="M27" s="26">
        <f t="shared" si="29"/>
        <v>77150.393368050834</v>
      </c>
      <c r="N27" s="26">
        <f t="shared" si="29"/>
        <v>77150.393368050834</v>
      </c>
      <c r="O27" s="26">
        <f t="shared" si="29"/>
        <v>77150.393368050834</v>
      </c>
      <c r="P27" s="26">
        <f t="shared" si="29"/>
        <v>77150.393368050834</v>
      </c>
      <c r="Q27" s="26">
        <f t="shared" si="29"/>
        <v>77150.393368050834</v>
      </c>
      <c r="R27" s="26">
        <f t="shared" si="29"/>
        <v>77150.393368050834</v>
      </c>
      <c r="S27" s="26">
        <f t="shared" si="29"/>
        <v>77150.393368050834</v>
      </c>
      <c r="T27" s="26">
        <f t="shared" si="29"/>
        <v>77150.393368050834</v>
      </c>
      <c r="U27" s="26">
        <f t="shared" si="29"/>
        <v>77150.393368050834</v>
      </c>
      <c r="V27" s="26">
        <f t="shared" si="29"/>
        <v>77150.393368050834</v>
      </c>
      <c r="W27" s="26">
        <f t="shared" si="29"/>
        <v>77150.393368050834</v>
      </c>
      <c r="X27" s="26">
        <f t="shared" si="29"/>
        <v>77150.393368050834</v>
      </c>
      <c r="Y27" s="26">
        <f t="shared" si="29"/>
        <v>77150.393368050834</v>
      </c>
      <c r="Z27" s="26">
        <f t="shared" si="29"/>
        <v>77150.393368050834</v>
      </c>
      <c r="AA27" s="26">
        <f t="shared" si="29"/>
        <v>77150.393368050834</v>
      </c>
      <c r="AB27" s="26">
        <f t="shared" si="29"/>
        <v>77150.393368050834</v>
      </c>
      <c r="AC27" s="26">
        <f t="shared" si="29"/>
        <v>77150.393368050834</v>
      </c>
      <c r="BI27" s="2">
        <v>44207.386126741934</v>
      </c>
    </row>
    <row r="28" spans="4:61" x14ac:dyDescent="0.2">
      <c r="D28" s="2" t="s">
        <v>192</v>
      </c>
      <c r="E28" s="26">
        <f>SUM(E25:E27)</f>
        <v>241344.24305348244</v>
      </c>
      <c r="F28" s="26">
        <f>SUM(F25:F27)</f>
        <v>241344.24305348244</v>
      </c>
      <c r="G28" s="26">
        <f t="shared" ref="G28:AC28" si="30">SUM(G25:G27)</f>
        <v>241344.24305348244</v>
      </c>
      <c r="H28" s="26">
        <f t="shared" si="30"/>
        <v>241344.24305348244</v>
      </c>
      <c r="I28" s="26">
        <f t="shared" si="30"/>
        <v>241344.24305348244</v>
      </c>
      <c r="J28" s="26">
        <f t="shared" si="30"/>
        <v>241344.24305348244</v>
      </c>
      <c r="K28" s="26">
        <f t="shared" si="30"/>
        <v>241344.24305348244</v>
      </c>
      <c r="L28" s="26">
        <f t="shared" si="30"/>
        <v>241344.24305348244</v>
      </c>
      <c r="M28" s="26">
        <f t="shared" si="30"/>
        <v>241344.24305348244</v>
      </c>
      <c r="N28" s="26">
        <f t="shared" si="30"/>
        <v>241344.24305348244</v>
      </c>
      <c r="O28" s="26">
        <f t="shared" si="30"/>
        <v>241344.24305348244</v>
      </c>
      <c r="P28" s="26">
        <f t="shared" si="30"/>
        <v>241344.24305348244</v>
      </c>
      <c r="Q28" s="26">
        <f t="shared" si="30"/>
        <v>241344.24305348244</v>
      </c>
      <c r="R28" s="26">
        <f t="shared" si="30"/>
        <v>241344.24305348244</v>
      </c>
      <c r="S28" s="26">
        <f t="shared" si="30"/>
        <v>241344.24305348244</v>
      </c>
      <c r="T28" s="26">
        <f t="shared" si="30"/>
        <v>241344.24305348244</v>
      </c>
      <c r="U28" s="26">
        <f t="shared" si="30"/>
        <v>241344.24305348244</v>
      </c>
      <c r="V28" s="26">
        <f t="shared" si="30"/>
        <v>241344.24305348244</v>
      </c>
      <c r="W28" s="26">
        <f t="shared" si="30"/>
        <v>241344.24305348244</v>
      </c>
      <c r="X28" s="26">
        <f t="shared" si="30"/>
        <v>241344.24305348244</v>
      </c>
      <c r="Y28" s="26">
        <f t="shared" si="30"/>
        <v>241344.24305348244</v>
      </c>
      <c r="Z28" s="26">
        <f t="shared" si="30"/>
        <v>241344.24305348244</v>
      </c>
      <c r="AA28" s="26">
        <f t="shared" si="30"/>
        <v>241344.24305348244</v>
      </c>
      <c r="AB28" s="26">
        <f t="shared" si="30"/>
        <v>241344.24305348244</v>
      </c>
      <c r="AC28" s="26">
        <f t="shared" si="30"/>
        <v>241344.24305348244</v>
      </c>
      <c r="BI28" s="2">
        <v>44207.386126741934</v>
      </c>
    </row>
    <row r="29" spans="4:61" x14ac:dyDescent="0.2">
      <c r="D29" s="2" t="s">
        <v>193</v>
      </c>
      <c r="E29" s="26">
        <f>E24-E28</f>
        <v>401040.38116009656</v>
      </c>
      <c r="F29" s="26">
        <f t="shared" ref="F29:AC29" si="31">F24-F28</f>
        <v>401040.38116009656</v>
      </c>
      <c r="G29" s="26">
        <f t="shared" si="31"/>
        <v>401040.38116009656</v>
      </c>
      <c r="H29" s="26">
        <f t="shared" si="31"/>
        <v>401040.38116009656</v>
      </c>
      <c r="I29" s="26">
        <f t="shared" si="31"/>
        <v>401040.38116009656</v>
      </c>
      <c r="J29" s="26">
        <f t="shared" si="31"/>
        <v>401040.38116009656</v>
      </c>
      <c r="K29" s="26">
        <f t="shared" si="31"/>
        <v>401040.38116009656</v>
      </c>
      <c r="L29" s="26">
        <f t="shared" si="31"/>
        <v>401040.38116009656</v>
      </c>
      <c r="M29" s="26">
        <f t="shared" si="31"/>
        <v>401040.38116009656</v>
      </c>
      <c r="N29" s="26">
        <f t="shared" si="31"/>
        <v>401040.38116009656</v>
      </c>
      <c r="O29" s="26">
        <f t="shared" si="31"/>
        <v>401040.38116009656</v>
      </c>
      <c r="P29" s="26">
        <f t="shared" si="31"/>
        <v>401040.38116009656</v>
      </c>
      <c r="Q29" s="26">
        <f t="shared" si="31"/>
        <v>401040.38116009656</v>
      </c>
      <c r="R29" s="26">
        <f t="shared" si="31"/>
        <v>401040.38116009656</v>
      </c>
      <c r="S29" s="26">
        <f t="shared" si="31"/>
        <v>401040.38116009656</v>
      </c>
      <c r="T29" s="26">
        <f t="shared" si="31"/>
        <v>401040.38116009656</v>
      </c>
      <c r="U29" s="26">
        <f t="shared" si="31"/>
        <v>401040.38116009656</v>
      </c>
      <c r="V29" s="26">
        <f t="shared" si="31"/>
        <v>401040.38116009656</v>
      </c>
      <c r="W29" s="26">
        <f t="shared" si="31"/>
        <v>401040.38116009656</v>
      </c>
      <c r="X29" s="26">
        <f t="shared" si="31"/>
        <v>401040.38116009656</v>
      </c>
      <c r="Y29" s="26">
        <f t="shared" si="31"/>
        <v>401040.38116009656</v>
      </c>
      <c r="Z29" s="26">
        <f t="shared" si="31"/>
        <v>401040.38116009656</v>
      </c>
      <c r="AA29" s="26">
        <f t="shared" si="31"/>
        <v>401040.38116009656</v>
      </c>
      <c r="AB29" s="26">
        <f t="shared" si="31"/>
        <v>401040.38116009656</v>
      </c>
      <c r="AC29" s="26">
        <f t="shared" si="31"/>
        <v>401040.38116009656</v>
      </c>
      <c r="BI29" s="2">
        <v>44207.386126741934</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44207.386126741934</v>
      </c>
    </row>
    <row r="31" spans="4:61" x14ac:dyDescent="0.2">
      <c r="D31" s="2" t="s">
        <v>196</v>
      </c>
      <c r="E31" s="26">
        <f>(E29/12)+E30</f>
        <v>36589.396331975418</v>
      </c>
      <c r="F31" s="26">
        <f t="shared" ref="F31:AC31" si="32">(F29/12)+F30</f>
        <v>36589.396331975418</v>
      </c>
      <c r="G31" s="26">
        <f t="shared" si="32"/>
        <v>36589.396331975418</v>
      </c>
      <c r="H31" s="26">
        <f t="shared" si="32"/>
        <v>36589.396331975418</v>
      </c>
      <c r="I31" s="26">
        <f t="shared" si="32"/>
        <v>36589.396331975418</v>
      </c>
      <c r="J31" s="26">
        <f t="shared" si="32"/>
        <v>36589.396331975418</v>
      </c>
      <c r="K31" s="26">
        <f t="shared" si="32"/>
        <v>36589.396331975418</v>
      </c>
      <c r="L31" s="26">
        <f t="shared" si="32"/>
        <v>36589.396331975418</v>
      </c>
      <c r="M31" s="26">
        <f t="shared" si="32"/>
        <v>36589.396331975418</v>
      </c>
      <c r="N31" s="26">
        <f t="shared" si="32"/>
        <v>36589.396331975418</v>
      </c>
      <c r="O31" s="26">
        <f t="shared" si="32"/>
        <v>36589.396331975418</v>
      </c>
      <c r="P31" s="26">
        <f t="shared" si="32"/>
        <v>36589.396331975418</v>
      </c>
      <c r="Q31" s="26">
        <f t="shared" si="32"/>
        <v>36589.396331975418</v>
      </c>
      <c r="R31" s="26">
        <f t="shared" si="32"/>
        <v>36589.396331975418</v>
      </c>
      <c r="S31" s="26">
        <f t="shared" si="32"/>
        <v>36589.396331975418</v>
      </c>
      <c r="T31" s="26">
        <f t="shared" si="32"/>
        <v>36589.396331975418</v>
      </c>
      <c r="U31" s="26">
        <f t="shared" si="32"/>
        <v>36589.396331975418</v>
      </c>
      <c r="V31" s="26">
        <f t="shared" si="32"/>
        <v>36589.396331975418</v>
      </c>
      <c r="W31" s="26">
        <f t="shared" si="32"/>
        <v>36589.396331975418</v>
      </c>
      <c r="X31" s="26">
        <f t="shared" si="32"/>
        <v>36589.396331975418</v>
      </c>
      <c r="Y31" s="26">
        <f t="shared" si="32"/>
        <v>36589.396331975418</v>
      </c>
      <c r="Z31" s="26">
        <f t="shared" si="32"/>
        <v>36589.396331975418</v>
      </c>
      <c r="AA31" s="26">
        <f t="shared" si="32"/>
        <v>36589.396331975418</v>
      </c>
      <c r="AB31" s="26">
        <f t="shared" si="32"/>
        <v>36589.396331975418</v>
      </c>
      <c r="AC31" s="26">
        <f t="shared" si="32"/>
        <v>36589.396331975418</v>
      </c>
      <c r="BI31" s="2">
        <v>44207.386126741934</v>
      </c>
    </row>
    <row r="32" spans="4:61" x14ac:dyDescent="0.2">
      <c r="D32" s="2" t="s">
        <v>274</v>
      </c>
      <c r="E32" s="26">
        <f>Income!$L$37</f>
        <v>35365.908901393545</v>
      </c>
      <c r="F32" s="26">
        <f>Income!$L$37</f>
        <v>35365.908901393545</v>
      </c>
      <c r="G32" s="26">
        <f>Income!$L$37</f>
        <v>35365.908901393545</v>
      </c>
      <c r="H32" s="26">
        <f>Income!$L$37</f>
        <v>35365.908901393545</v>
      </c>
      <c r="I32" s="26">
        <f>Income!$L$37</f>
        <v>35365.908901393545</v>
      </c>
      <c r="J32" s="26">
        <f>Income!$L$37</f>
        <v>35365.908901393545</v>
      </c>
      <c r="K32" s="26">
        <f>Income!$L$37</f>
        <v>35365.908901393545</v>
      </c>
      <c r="L32" s="26">
        <f>Income!$L$37</f>
        <v>35365.908901393545</v>
      </c>
      <c r="M32" s="26">
        <f>Income!$L$37</f>
        <v>35365.908901393545</v>
      </c>
      <c r="N32" s="26">
        <f>Income!$L$37</f>
        <v>35365.908901393545</v>
      </c>
      <c r="O32" s="26">
        <f>Income!$L$37</f>
        <v>35365.908901393545</v>
      </c>
      <c r="P32" s="26">
        <f>Income!$L$37</f>
        <v>35365.908901393545</v>
      </c>
      <c r="Q32" s="26">
        <f>Income!$L$37</f>
        <v>35365.908901393545</v>
      </c>
      <c r="R32" s="26">
        <f>Income!$L$37</f>
        <v>35365.908901393545</v>
      </c>
      <c r="S32" s="26">
        <f>Income!$L$37</f>
        <v>35365.908901393545</v>
      </c>
      <c r="T32" s="26">
        <f>Income!$L$37</f>
        <v>35365.908901393545</v>
      </c>
      <c r="U32" s="26">
        <f>Income!$L$37</f>
        <v>35365.908901393545</v>
      </c>
      <c r="V32" s="26">
        <f>Income!$L$37</f>
        <v>35365.908901393545</v>
      </c>
      <c r="W32" s="26">
        <f>Income!$L$37</f>
        <v>35365.908901393545</v>
      </c>
      <c r="X32" s="26">
        <f>Income!$L$37</f>
        <v>35365.908901393545</v>
      </c>
      <c r="Y32" s="26">
        <f>Income!$L$37</f>
        <v>35365.908901393545</v>
      </c>
      <c r="Z32" s="26">
        <f>Income!$L$37</f>
        <v>35365.908901393545</v>
      </c>
      <c r="AA32" s="26">
        <f>Income!$L$37</f>
        <v>35365.908901393545</v>
      </c>
      <c r="AB32" s="26">
        <f>Income!$L$37</f>
        <v>35365.908901393545</v>
      </c>
      <c r="AC32" s="26">
        <f>Income!$L$37</f>
        <v>35365.908901393545</v>
      </c>
      <c r="BI32" s="2">
        <v>44207.386126741934</v>
      </c>
    </row>
    <row r="33" spans="4:61" x14ac:dyDescent="0.2">
      <c r="D33" s="2" t="s">
        <v>204</v>
      </c>
      <c r="E33" s="26">
        <f>E32-E31</f>
        <v>-1223.4874305818739</v>
      </c>
      <c r="F33" s="26">
        <f t="shared" ref="F33:AC33" si="33">F32-F31</f>
        <v>-1223.4874305818739</v>
      </c>
      <c r="G33" s="26">
        <f t="shared" si="33"/>
        <v>-1223.4874305818739</v>
      </c>
      <c r="H33" s="26">
        <f t="shared" si="33"/>
        <v>-1223.4874305818739</v>
      </c>
      <c r="I33" s="26">
        <f t="shared" si="33"/>
        <v>-1223.4874305818739</v>
      </c>
      <c r="J33" s="26">
        <f t="shared" si="33"/>
        <v>-1223.4874305818739</v>
      </c>
      <c r="K33" s="26">
        <f t="shared" si="33"/>
        <v>-1223.4874305818739</v>
      </c>
      <c r="L33" s="26">
        <f t="shared" si="33"/>
        <v>-1223.4874305818739</v>
      </c>
      <c r="M33" s="26">
        <f t="shared" si="33"/>
        <v>-1223.4874305818739</v>
      </c>
      <c r="N33" s="26">
        <f t="shared" si="33"/>
        <v>-1223.4874305818739</v>
      </c>
      <c r="O33" s="26">
        <f t="shared" si="33"/>
        <v>-1223.4874305818739</v>
      </c>
      <c r="P33" s="26">
        <f t="shared" si="33"/>
        <v>-1223.4874305818739</v>
      </c>
      <c r="Q33" s="26">
        <f t="shared" si="33"/>
        <v>-1223.4874305818739</v>
      </c>
      <c r="R33" s="26">
        <f t="shared" si="33"/>
        <v>-1223.4874305818739</v>
      </c>
      <c r="S33" s="26">
        <f t="shared" si="33"/>
        <v>-1223.4874305818739</v>
      </c>
      <c r="T33" s="26">
        <f t="shared" si="33"/>
        <v>-1223.4874305818739</v>
      </c>
      <c r="U33" s="26">
        <f t="shared" si="33"/>
        <v>-1223.4874305818739</v>
      </c>
      <c r="V33" s="26">
        <f t="shared" si="33"/>
        <v>-1223.4874305818739</v>
      </c>
      <c r="W33" s="26">
        <f t="shared" si="33"/>
        <v>-1223.4874305818739</v>
      </c>
      <c r="X33" s="26">
        <f t="shared" si="33"/>
        <v>-1223.4874305818739</v>
      </c>
      <c r="Y33" s="26">
        <f t="shared" si="33"/>
        <v>-1223.4874305818739</v>
      </c>
      <c r="Z33" s="26">
        <f t="shared" si="33"/>
        <v>-1223.4874305818739</v>
      </c>
      <c r="AA33" s="26">
        <f t="shared" si="33"/>
        <v>-1223.4874305818739</v>
      </c>
      <c r="AB33" s="26">
        <f t="shared" si="33"/>
        <v>-1223.4874305818739</v>
      </c>
      <c r="AC33" s="26">
        <f t="shared" si="33"/>
        <v>-1223.4874305818739</v>
      </c>
      <c r="BI33" s="2">
        <v>44207.386126741934</v>
      </c>
    </row>
    <row r="34" spans="4:61" x14ac:dyDescent="0.2">
      <c r="D34" s="2" t="s">
        <v>264</v>
      </c>
      <c r="E34" s="26">
        <f>E33*(1+$B$10)</f>
        <v>-1553.8290368389798</v>
      </c>
      <c r="F34" s="26">
        <f t="shared" ref="F34:AC34" si="34">F33*(1+$B$10)</f>
        <v>-1553.8290368389798</v>
      </c>
      <c r="G34" s="26">
        <f t="shared" si="34"/>
        <v>-1553.8290368389798</v>
      </c>
      <c r="H34" s="26">
        <f t="shared" si="34"/>
        <v>-1553.8290368389798</v>
      </c>
      <c r="I34" s="26">
        <f t="shared" si="34"/>
        <v>-1553.8290368389798</v>
      </c>
      <c r="J34" s="26">
        <f t="shared" si="34"/>
        <v>-1553.8290368389798</v>
      </c>
      <c r="K34" s="26">
        <f t="shared" si="34"/>
        <v>-1553.8290368389798</v>
      </c>
      <c r="L34" s="26">
        <f t="shared" si="34"/>
        <v>-1553.8290368389798</v>
      </c>
      <c r="M34" s="26">
        <f t="shared" si="34"/>
        <v>-1553.8290368389798</v>
      </c>
      <c r="N34" s="26">
        <f t="shared" si="34"/>
        <v>-1553.8290368389798</v>
      </c>
      <c r="O34" s="26">
        <f t="shared" si="34"/>
        <v>-1553.8290368389798</v>
      </c>
      <c r="P34" s="26">
        <f t="shared" si="34"/>
        <v>-1553.8290368389798</v>
      </c>
      <c r="Q34" s="26">
        <f t="shared" si="34"/>
        <v>-1553.8290368389798</v>
      </c>
      <c r="R34" s="26">
        <f t="shared" si="34"/>
        <v>-1553.8290368389798</v>
      </c>
      <c r="S34" s="26">
        <f t="shared" si="34"/>
        <v>-1553.8290368389798</v>
      </c>
      <c r="T34" s="26">
        <f t="shared" si="34"/>
        <v>-1553.8290368389798</v>
      </c>
      <c r="U34" s="26">
        <f t="shared" si="34"/>
        <v>-1553.8290368389798</v>
      </c>
      <c r="V34" s="26">
        <f t="shared" si="34"/>
        <v>-1553.8290368389798</v>
      </c>
      <c r="W34" s="26">
        <f t="shared" si="34"/>
        <v>-1553.8290368389798</v>
      </c>
      <c r="X34" s="26">
        <f t="shared" si="34"/>
        <v>-1553.8290368389798</v>
      </c>
      <c r="Y34" s="26">
        <f t="shared" si="34"/>
        <v>-1553.8290368389798</v>
      </c>
      <c r="Z34" s="26">
        <f t="shared" si="34"/>
        <v>-1553.8290368389798</v>
      </c>
      <c r="AA34" s="26">
        <f t="shared" si="34"/>
        <v>-1553.8290368389798</v>
      </c>
      <c r="AB34" s="26">
        <f t="shared" si="34"/>
        <v>-1553.8290368389798</v>
      </c>
      <c r="AC34" s="26">
        <f t="shared" si="34"/>
        <v>-1553.8290368389798</v>
      </c>
      <c r="BI34" s="2">
        <v>44207.386126741934</v>
      </c>
    </row>
    <row r="35" spans="4:61" x14ac:dyDescent="0.2">
      <c r="D35" s="2" t="s">
        <v>265</v>
      </c>
      <c r="E35" s="26">
        <f>E34*12</f>
        <v>-18645.948442067758</v>
      </c>
      <c r="F35" s="26">
        <f t="shared" ref="F35:AC35" si="35">F34*12</f>
        <v>-18645.948442067758</v>
      </c>
      <c r="G35" s="26">
        <f t="shared" si="35"/>
        <v>-18645.948442067758</v>
      </c>
      <c r="H35" s="26">
        <f t="shared" si="35"/>
        <v>-18645.948442067758</v>
      </c>
      <c r="I35" s="26">
        <f t="shared" si="35"/>
        <v>-18645.948442067758</v>
      </c>
      <c r="J35" s="26">
        <f t="shared" si="35"/>
        <v>-18645.948442067758</v>
      </c>
      <c r="K35" s="26">
        <f t="shared" si="35"/>
        <v>-18645.948442067758</v>
      </c>
      <c r="L35" s="26">
        <f t="shared" si="35"/>
        <v>-18645.948442067758</v>
      </c>
      <c r="M35" s="26">
        <f t="shared" si="35"/>
        <v>-18645.948442067758</v>
      </c>
      <c r="N35" s="26">
        <f t="shared" si="35"/>
        <v>-18645.948442067758</v>
      </c>
      <c r="O35" s="26">
        <f t="shared" si="35"/>
        <v>-18645.948442067758</v>
      </c>
      <c r="P35" s="26">
        <f t="shared" si="35"/>
        <v>-18645.948442067758</v>
      </c>
      <c r="Q35" s="26">
        <f t="shared" si="35"/>
        <v>-18645.948442067758</v>
      </c>
      <c r="R35" s="26">
        <f t="shared" si="35"/>
        <v>-18645.948442067758</v>
      </c>
      <c r="S35" s="26">
        <f t="shared" si="35"/>
        <v>-18645.948442067758</v>
      </c>
      <c r="T35" s="26">
        <f t="shared" si="35"/>
        <v>-18645.948442067758</v>
      </c>
      <c r="U35" s="26">
        <f t="shared" si="35"/>
        <v>-18645.948442067758</v>
      </c>
      <c r="V35" s="26">
        <f t="shared" si="35"/>
        <v>-18645.948442067758</v>
      </c>
      <c r="W35" s="26">
        <f t="shared" si="35"/>
        <v>-18645.948442067758</v>
      </c>
      <c r="X35" s="26">
        <f t="shared" si="35"/>
        <v>-18645.948442067758</v>
      </c>
      <c r="Y35" s="26">
        <f t="shared" si="35"/>
        <v>-18645.948442067758</v>
      </c>
      <c r="Z35" s="26">
        <f t="shared" si="35"/>
        <v>-18645.948442067758</v>
      </c>
      <c r="AA35" s="26">
        <f t="shared" si="35"/>
        <v>-18645.948442067758</v>
      </c>
      <c r="AB35" s="26">
        <f t="shared" si="35"/>
        <v>-18645.948442067758</v>
      </c>
      <c r="AC35" s="26">
        <f t="shared" si="35"/>
        <v>-18645.948442067758</v>
      </c>
      <c r="BI35" s="2">
        <v>44207.386126741934</v>
      </c>
    </row>
    <row r="36" spans="4:61" x14ac:dyDescent="0.2">
      <c r="BI36" s="2">
        <v>44207.386126741934</v>
      </c>
    </row>
    <row r="37" spans="4:61" x14ac:dyDescent="0.2">
      <c r="D37" s="2" t="s">
        <v>205</v>
      </c>
      <c r="E37" s="27">
        <f>SUM(E35:AC35)</f>
        <v>-466148.71105169406</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0.03</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43000</v>
      </c>
      <c r="F2" s="29">
        <v>43000</v>
      </c>
      <c r="G2" s="29">
        <v>44290</v>
      </c>
      <c r="H2" s="29">
        <v>44290</v>
      </c>
      <c r="I2" s="29">
        <v>44290</v>
      </c>
      <c r="J2" s="29">
        <v>44290</v>
      </c>
      <c r="K2" s="29">
        <v>45618.7</v>
      </c>
      <c r="L2" s="29">
        <v>45618.7</v>
      </c>
      <c r="M2" s="29">
        <v>45618.7</v>
      </c>
      <c r="N2" s="29">
        <v>45618.7</v>
      </c>
      <c r="O2" s="29">
        <v>46987.260999999999</v>
      </c>
      <c r="P2" s="29">
        <v>46987.260999999999</v>
      </c>
      <c r="Q2" s="29">
        <v>46987.260999999999</v>
      </c>
      <c r="R2" s="29">
        <v>48396.878830000001</v>
      </c>
      <c r="S2" s="29">
        <v>48396.878830000001</v>
      </c>
      <c r="T2" s="29">
        <v>48396.878830000001</v>
      </c>
      <c r="U2" s="29">
        <v>48396.878830000001</v>
      </c>
      <c r="V2" s="29">
        <v>48396.878830000001</v>
      </c>
      <c r="W2" s="29">
        <v>49848.785194900003</v>
      </c>
      <c r="X2" s="29">
        <v>49848.785194900003</v>
      </c>
      <c r="Y2" s="29">
        <v>49848.785194900003</v>
      </c>
      <c r="Z2" s="29">
        <v>49848.785194900003</v>
      </c>
      <c r="AA2" s="29">
        <v>51344.248750747007</v>
      </c>
      <c r="AB2" s="29">
        <v>51344.248750747007</v>
      </c>
      <c r="AC2" s="29">
        <v>51344.248750747007</v>
      </c>
      <c r="AD2" s="29">
        <v>51344.248750747007</v>
      </c>
      <c r="AE2" s="29">
        <v>51344.248750747007</v>
      </c>
      <c r="AF2" s="29">
        <v>51344.248750747007</v>
      </c>
      <c r="AG2" s="29">
        <v>51344.248750747007</v>
      </c>
      <c r="AH2" s="29">
        <v>51344.248750747007</v>
      </c>
      <c r="AI2" s="29">
        <v>51344.248750747007</v>
      </c>
      <c r="AJ2" s="29">
        <v>51344.248750747007</v>
      </c>
      <c r="AK2" s="29">
        <v>51344.248750747007</v>
      </c>
      <c r="AL2" s="29">
        <v>51344.248750747007</v>
      </c>
      <c r="AM2" s="29">
        <v>51344.248750747007</v>
      </c>
      <c r="AN2" s="29">
        <v>52884.576213269414</v>
      </c>
      <c r="AO2" s="29">
        <v>52884.576213269414</v>
      </c>
      <c r="AP2" s="29">
        <v>52884.576213269414</v>
      </c>
      <c r="AQ2" s="29">
        <v>52884.576213269414</v>
      </c>
      <c r="AR2" s="29">
        <v>52884.576213269414</v>
      </c>
      <c r="AS2" s="29">
        <v>52884.576213269414</v>
      </c>
      <c r="AT2" s="29">
        <v>52884.576213269414</v>
      </c>
      <c r="AU2" s="29">
        <v>52884.576213269414</v>
      </c>
      <c r="AV2" s="29">
        <v>52884.576213269414</v>
      </c>
      <c r="AW2" s="29">
        <v>52884.576213269414</v>
      </c>
      <c r="AX2" s="2">
        <v>52884.576213269414</v>
      </c>
      <c r="AY2" s="2">
        <v>52884.576213269414</v>
      </c>
      <c r="AZ2" s="2">
        <v>52884.576213269414</v>
      </c>
      <c r="BA2" s="2">
        <v>52884.576213269414</v>
      </c>
      <c r="BB2" s="2">
        <v>52884.576213269414</v>
      </c>
      <c r="BH2" s="2" t="s">
        <v>206</v>
      </c>
      <c r="BI2" s="2" cm="1">
        <f t="array" ref="BI2:BI52">TRANSPOSE(E17:BC17)</f>
        <v>23348.627174666664</v>
      </c>
    </row>
    <row r="3" spans="1:61" x14ac:dyDescent="0.2">
      <c r="D3" s="2" t="s">
        <v>186</v>
      </c>
      <c r="E3" s="29">
        <f>E2*12</f>
        <v>516000</v>
      </c>
      <c r="F3" s="29">
        <f t="shared" ref="F3:AV3" si="0">F2*12</f>
        <v>516000</v>
      </c>
      <c r="G3" s="29">
        <f t="shared" si="0"/>
        <v>531480</v>
      </c>
      <c r="H3" s="29">
        <f t="shared" si="0"/>
        <v>531480</v>
      </c>
      <c r="I3" s="29">
        <f t="shared" si="0"/>
        <v>531480</v>
      </c>
      <c r="J3" s="29">
        <f t="shared" si="0"/>
        <v>531480</v>
      </c>
      <c r="K3" s="29">
        <f t="shared" si="0"/>
        <v>547424.39999999991</v>
      </c>
      <c r="L3" s="29">
        <f t="shared" si="0"/>
        <v>547424.39999999991</v>
      </c>
      <c r="M3" s="29">
        <f t="shared" si="0"/>
        <v>547424.39999999991</v>
      </c>
      <c r="N3" s="29">
        <f t="shared" si="0"/>
        <v>547424.39999999991</v>
      </c>
      <c r="O3" s="29">
        <f t="shared" si="0"/>
        <v>563847.13199999998</v>
      </c>
      <c r="P3" s="29">
        <f t="shared" si="0"/>
        <v>563847.13199999998</v>
      </c>
      <c r="Q3" s="29">
        <f t="shared" si="0"/>
        <v>563847.13199999998</v>
      </c>
      <c r="R3" s="29">
        <f t="shared" si="0"/>
        <v>580762.54596000002</v>
      </c>
      <c r="S3" s="29">
        <f t="shared" si="0"/>
        <v>580762.54596000002</v>
      </c>
      <c r="T3" s="29">
        <f t="shared" si="0"/>
        <v>580762.54596000002</v>
      </c>
      <c r="U3" s="29">
        <f t="shared" si="0"/>
        <v>580762.54596000002</v>
      </c>
      <c r="V3" s="29">
        <f t="shared" si="0"/>
        <v>580762.54596000002</v>
      </c>
      <c r="W3" s="29">
        <f t="shared" si="0"/>
        <v>598185.42233880004</v>
      </c>
      <c r="X3" s="29">
        <f t="shared" si="0"/>
        <v>598185.42233880004</v>
      </c>
      <c r="Y3" s="29">
        <f t="shared" si="0"/>
        <v>598185.42233880004</v>
      </c>
      <c r="Z3" s="29">
        <f t="shared" si="0"/>
        <v>598185.42233880004</v>
      </c>
      <c r="AA3" s="29">
        <f t="shared" si="0"/>
        <v>616130.98500896408</v>
      </c>
      <c r="AB3" s="29">
        <f t="shared" si="0"/>
        <v>616130.98500896408</v>
      </c>
      <c r="AC3" s="29">
        <f t="shared" si="0"/>
        <v>616130.98500896408</v>
      </c>
      <c r="AD3" s="29">
        <f t="shared" si="0"/>
        <v>616130.98500896408</v>
      </c>
      <c r="AE3" s="29">
        <f t="shared" si="0"/>
        <v>616130.98500896408</v>
      </c>
      <c r="AF3" s="29">
        <f t="shared" si="0"/>
        <v>616130.98500896408</v>
      </c>
      <c r="AG3" s="29">
        <f t="shared" si="0"/>
        <v>616130.98500896408</v>
      </c>
      <c r="AH3" s="29">
        <f t="shared" si="0"/>
        <v>616130.98500896408</v>
      </c>
      <c r="AI3" s="29">
        <f t="shared" si="0"/>
        <v>616130.98500896408</v>
      </c>
      <c r="AJ3" s="29">
        <f t="shared" si="0"/>
        <v>616130.98500896408</v>
      </c>
      <c r="AK3" s="29">
        <f t="shared" si="0"/>
        <v>616130.98500896408</v>
      </c>
      <c r="AL3" s="29">
        <f t="shared" si="0"/>
        <v>616130.98500896408</v>
      </c>
      <c r="AM3" s="29">
        <f t="shared" si="0"/>
        <v>616130.98500896408</v>
      </c>
      <c r="AN3" s="29">
        <f t="shared" si="0"/>
        <v>634614.914559233</v>
      </c>
      <c r="AO3" s="29">
        <f t="shared" si="0"/>
        <v>634614.914559233</v>
      </c>
      <c r="AP3" s="29">
        <f t="shared" si="0"/>
        <v>634614.914559233</v>
      </c>
      <c r="AQ3" s="29">
        <f t="shared" si="0"/>
        <v>634614.914559233</v>
      </c>
      <c r="AR3" s="29">
        <f t="shared" si="0"/>
        <v>634614.914559233</v>
      </c>
      <c r="AS3" s="29">
        <f t="shared" si="0"/>
        <v>634614.914559233</v>
      </c>
      <c r="AT3" s="29">
        <f t="shared" si="0"/>
        <v>634614.914559233</v>
      </c>
      <c r="AU3" s="29">
        <f t="shared" si="0"/>
        <v>634614.914559233</v>
      </c>
      <c r="AV3" s="29">
        <f t="shared" si="0"/>
        <v>634614.914559233</v>
      </c>
      <c r="AW3" s="29">
        <f t="shared" ref="AW3:BB3" si="1">AW2*12</f>
        <v>634614.914559233</v>
      </c>
      <c r="AX3" s="29">
        <f t="shared" si="1"/>
        <v>634614.914559233</v>
      </c>
      <c r="AY3" s="29">
        <f t="shared" si="1"/>
        <v>634614.914559233</v>
      </c>
      <c r="AZ3" s="29">
        <f t="shared" si="1"/>
        <v>634614.914559233</v>
      </c>
      <c r="BA3" s="29">
        <f t="shared" si="1"/>
        <v>634614.914559233</v>
      </c>
      <c r="BB3" s="29">
        <f t="shared" si="1"/>
        <v>634614.914559233</v>
      </c>
      <c r="BI3" s="2">
        <v>23348.627174666664</v>
      </c>
    </row>
    <row r="4" spans="1:61" x14ac:dyDescent="0.2">
      <c r="A4" s="2" t="str" cm="1">
        <f t="array" ref="A4:B12">'Salary Variables'!$B$16:$C$24</f>
        <v>AM (%)</v>
      </c>
      <c r="B4" s="25">
        <v>0.08</v>
      </c>
      <c r="D4" s="2" t="s">
        <v>277</v>
      </c>
      <c r="E4" s="29">
        <f>'Pensions P1'!B4*12</f>
        <v>25800</v>
      </c>
      <c r="F4" s="29">
        <f>'Pensions P1'!C4*12</f>
        <v>25800</v>
      </c>
      <c r="G4" s="29">
        <f>'Pensions P1'!D4*12</f>
        <v>26574</v>
      </c>
      <c r="H4" s="29">
        <f>'Pensions P1'!E4*12</f>
        <v>26574</v>
      </c>
      <c r="I4" s="29">
        <f>'Pensions P1'!F4*12</f>
        <v>26574</v>
      </c>
      <c r="J4" s="29">
        <f>'Pensions P1'!G4*12</f>
        <v>26574</v>
      </c>
      <c r="K4" s="29">
        <f>'Pensions P1'!H4*12</f>
        <v>27371.22</v>
      </c>
      <c r="L4" s="29">
        <f>'Pensions P1'!I4*12</f>
        <v>27371.22</v>
      </c>
      <c r="M4" s="29">
        <f>'Pensions P1'!J4*12</f>
        <v>27371.22</v>
      </c>
      <c r="N4" s="29">
        <f>'Pensions P1'!K4*12</f>
        <v>27371.22</v>
      </c>
      <c r="O4" s="29">
        <f>'Pensions P1'!L4*12</f>
        <v>28192.356599999999</v>
      </c>
      <c r="P4" s="29">
        <f>'Pensions P1'!M4*12</f>
        <v>28192.356599999999</v>
      </c>
      <c r="Q4" s="29">
        <f>'Pensions P1'!N4*12</f>
        <v>28192.356599999999</v>
      </c>
      <c r="R4" s="29">
        <f>'Pensions P1'!O4*12</f>
        <v>29038.127298000003</v>
      </c>
      <c r="S4" s="29">
        <f>'Pensions P1'!P4*12</f>
        <v>29038.127298000003</v>
      </c>
      <c r="T4" s="29">
        <f>'Pensions P1'!Q4*12</f>
        <v>29038.127298000003</v>
      </c>
      <c r="U4" s="29">
        <f>'Pensions P1'!R4*12</f>
        <v>29038.127298000003</v>
      </c>
      <c r="V4" s="29">
        <f>'Pensions P1'!S4*12</f>
        <v>29038.127298000003</v>
      </c>
      <c r="W4" s="29">
        <f>'Pensions P1'!T4*12</f>
        <v>29909.271116940006</v>
      </c>
      <c r="X4" s="29">
        <f>'Pensions P1'!U4*12</f>
        <v>29909.271116940006</v>
      </c>
      <c r="Y4" s="29">
        <f>'Pensions P1'!V4*12</f>
        <v>29909.271116940006</v>
      </c>
      <c r="Z4" s="29">
        <f>'Pensions P1'!W4*12</f>
        <v>29909.271116940006</v>
      </c>
      <c r="AA4" s="29">
        <f>'Pensions P1'!X4*12</f>
        <v>30806.549250448206</v>
      </c>
      <c r="AB4" s="29">
        <f>'Pensions P1'!Y4*12</f>
        <v>30806.549250448206</v>
      </c>
      <c r="AC4" s="29">
        <f>'Pensions P1'!Z4*12</f>
        <v>30806.549250448206</v>
      </c>
      <c r="AD4" s="29">
        <f>'Pensions P1'!AA4*12</f>
        <v>30806.549250448206</v>
      </c>
      <c r="AE4" s="29">
        <f>'Pensions P1'!AB4*12</f>
        <v>30806.549250448206</v>
      </c>
      <c r="AF4" s="29">
        <f>'Pensions P1'!AC4*12</f>
        <v>30806.549250448206</v>
      </c>
      <c r="AG4" s="29">
        <f>'Pensions P1'!AD4*12</f>
        <v>30806.549250448206</v>
      </c>
      <c r="AH4" s="29">
        <f>'Pensions P1'!AE4*12</f>
        <v>30806.549250448206</v>
      </c>
      <c r="AI4" s="29">
        <f>'Pensions P1'!AF4*12</f>
        <v>30806.549250448206</v>
      </c>
      <c r="AJ4" s="29">
        <f>'Pensions P1'!AG4*12</f>
        <v>30806.549250448206</v>
      </c>
      <c r="AK4" s="29">
        <f>'Pensions P1'!AH4*12</f>
        <v>30806.549250448206</v>
      </c>
      <c r="AL4" s="29">
        <f>'Pensions P1'!AI4*12</f>
        <v>30806.549250448206</v>
      </c>
      <c r="AM4" s="29">
        <f>'Pensions P1'!AJ4*12</f>
        <v>30806.549250448206</v>
      </c>
      <c r="AN4" s="29">
        <f>'Pensions P1'!AK4*12</f>
        <v>31730.74572796165</v>
      </c>
      <c r="AO4" s="29">
        <f>'Pensions P1'!AL4*12</f>
        <v>31730.74572796165</v>
      </c>
      <c r="AP4" s="29">
        <f>'Pensions P1'!AM4*12</f>
        <v>31730.74572796165</v>
      </c>
      <c r="AQ4" s="29">
        <f>'Pensions P1'!AN4*12</f>
        <v>31730.74572796165</v>
      </c>
      <c r="AR4" s="29">
        <f>'Pensions P1'!AO4*12</f>
        <v>31730.74572796165</v>
      </c>
      <c r="AS4" s="29">
        <f>'Pensions P1'!AP4*12</f>
        <v>31730.74572796165</v>
      </c>
      <c r="AT4" s="29">
        <f>'Pensions P1'!AQ4*12</f>
        <v>31730.74572796165</v>
      </c>
      <c r="AU4" s="29">
        <f>'Pensions P1'!AR4*12</f>
        <v>31730.74572796165</v>
      </c>
      <c r="AV4" s="29">
        <f>'Pensions P1'!AS4*12</f>
        <v>31730.74572796165</v>
      </c>
      <c r="AW4" s="29">
        <f>'Pensions P1'!AT4*12</f>
        <v>31730.74572796165</v>
      </c>
      <c r="AX4" s="29">
        <f>'Pensions P1'!AU4*12</f>
        <v>31730.74572796165</v>
      </c>
      <c r="AY4" s="29">
        <f>'Pensions P1'!AV4*12</f>
        <v>31730.74572796165</v>
      </c>
      <c r="AZ4" s="29">
        <f>'Pensions P1'!AW4*12</f>
        <v>31730.74572796165</v>
      </c>
      <c r="BA4" s="29">
        <f>'Pensions P1'!AX4*12</f>
        <v>31730.74572796165</v>
      </c>
      <c r="BB4" s="29">
        <f>'Pensions P1'!AY4*12</f>
        <v>31730.74572796165</v>
      </c>
      <c r="BI4" s="2">
        <v>24058.814228666666</v>
      </c>
    </row>
    <row r="5" spans="1:61" x14ac:dyDescent="0.2">
      <c r="A5" s="2" t="str">
        <v>Personal Allowance</v>
      </c>
      <c r="B5" s="28">
        <v>51600</v>
      </c>
      <c r="D5" s="2" t="s">
        <v>187</v>
      </c>
      <c r="E5" s="29">
        <f>E3-E4</f>
        <v>490200</v>
      </c>
      <c r="F5" s="29">
        <f t="shared" ref="F5:AW5" si="2">F3-F4</f>
        <v>490200</v>
      </c>
      <c r="G5" s="29">
        <f t="shared" si="2"/>
        <v>504906</v>
      </c>
      <c r="H5" s="29">
        <f t="shared" si="2"/>
        <v>504906</v>
      </c>
      <c r="I5" s="29">
        <f t="shared" si="2"/>
        <v>504906</v>
      </c>
      <c r="J5" s="29">
        <f t="shared" si="2"/>
        <v>504906</v>
      </c>
      <c r="K5" s="29">
        <f t="shared" si="2"/>
        <v>520053.17999999993</v>
      </c>
      <c r="L5" s="29">
        <f t="shared" si="2"/>
        <v>520053.17999999993</v>
      </c>
      <c r="M5" s="29">
        <f t="shared" si="2"/>
        <v>520053.17999999993</v>
      </c>
      <c r="N5" s="29">
        <f t="shared" si="2"/>
        <v>520053.17999999993</v>
      </c>
      <c r="O5" s="29">
        <f t="shared" si="2"/>
        <v>535654.77539999993</v>
      </c>
      <c r="P5" s="29">
        <f t="shared" si="2"/>
        <v>535654.77539999993</v>
      </c>
      <c r="Q5" s="29">
        <f t="shared" si="2"/>
        <v>535654.77539999993</v>
      </c>
      <c r="R5" s="29">
        <f t="shared" si="2"/>
        <v>551724.41866199998</v>
      </c>
      <c r="S5" s="29">
        <f t="shared" si="2"/>
        <v>551724.41866199998</v>
      </c>
      <c r="T5" s="29">
        <f t="shared" si="2"/>
        <v>551724.41866199998</v>
      </c>
      <c r="U5" s="29">
        <f t="shared" si="2"/>
        <v>551724.41866199998</v>
      </c>
      <c r="V5" s="29">
        <f t="shared" si="2"/>
        <v>551724.41866199998</v>
      </c>
      <c r="W5" s="29">
        <f t="shared" si="2"/>
        <v>568276.15122186008</v>
      </c>
      <c r="X5" s="29">
        <f t="shared" si="2"/>
        <v>568276.15122186008</v>
      </c>
      <c r="Y5" s="29">
        <f t="shared" si="2"/>
        <v>568276.15122186008</v>
      </c>
      <c r="Z5" s="29">
        <f t="shared" si="2"/>
        <v>568276.15122186008</v>
      </c>
      <c r="AA5" s="29">
        <f t="shared" si="2"/>
        <v>585324.43575851584</v>
      </c>
      <c r="AB5" s="29">
        <f t="shared" si="2"/>
        <v>585324.43575851584</v>
      </c>
      <c r="AC5" s="29">
        <f t="shared" si="2"/>
        <v>585324.43575851584</v>
      </c>
      <c r="AD5" s="29">
        <f t="shared" si="2"/>
        <v>585324.43575851584</v>
      </c>
      <c r="AE5" s="29">
        <f t="shared" si="2"/>
        <v>585324.43575851584</v>
      </c>
      <c r="AF5" s="29">
        <f t="shared" si="2"/>
        <v>585324.43575851584</v>
      </c>
      <c r="AG5" s="29">
        <f t="shared" si="2"/>
        <v>585324.43575851584</v>
      </c>
      <c r="AH5" s="29">
        <f t="shared" si="2"/>
        <v>585324.43575851584</v>
      </c>
      <c r="AI5" s="29">
        <f t="shared" si="2"/>
        <v>585324.43575851584</v>
      </c>
      <c r="AJ5" s="29">
        <f t="shared" si="2"/>
        <v>585324.43575851584</v>
      </c>
      <c r="AK5" s="29">
        <f t="shared" si="2"/>
        <v>585324.43575851584</v>
      </c>
      <c r="AL5" s="29">
        <f t="shared" si="2"/>
        <v>585324.43575851584</v>
      </c>
      <c r="AM5" s="29">
        <f t="shared" si="2"/>
        <v>585324.43575851584</v>
      </c>
      <c r="AN5" s="29">
        <f t="shared" si="2"/>
        <v>602884.16883127135</v>
      </c>
      <c r="AO5" s="29">
        <f t="shared" si="2"/>
        <v>602884.16883127135</v>
      </c>
      <c r="AP5" s="29">
        <f t="shared" si="2"/>
        <v>602884.16883127135</v>
      </c>
      <c r="AQ5" s="29">
        <f t="shared" si="2"/>
        <v>602884.16883127135</v>
      </c>
      <c r="AR5" s="29">
        <f t="shared" si="2"/>
        <v>602884.16883127135</v>
      </c>
      <c r="AS5" s="29">
        <f t="shared" si="2"/>
        <v>602884.16883127135</v>
      </c>
      <c r="AT5" s="29">
        <f t="shared" si="2"/>
        <v>602884.16883127135</v>
      </c>
      <c r="AU5" s="29">
        <f t="shared" si="2"/>
        <v>602884.16883127135</v>
      </c>
      <c r="AV5" s="29">
        <f t="shared" si="2"/>
        <v>602884.16883127135</v>
      </c>
      <c r="AW5" s="29">
        <f t="shared" si="2"/>
        <v>602884.16883127135</v>
      </c>
      <c r="AX5" s="29">
        <f t="shared" ref="AX5:BB5" si="3">AX3-AX4</f>
        <v>602884.16883127135</v>
      </c>
      <c r="AY5" s="29">
        <f t="shared" si="3"/>
        <v>602884.16883127135</v>
      </c>
      <c r="AZ5" s="29">
        <f t="shared" si="3"/>
        <v>602884.16883127135</v>
      </c>
      <c r="BA5" s="29">
        <f t="shared" si="3"/>
        <v>602884.16883127135</v>
      </c>
      <c r="BB5" s="29">
        <f t="shared" si="3"/>
        <v>602884.16883127135</v>
      </c>
      <c r="BI5" s="2">
        <v>24058.814228666666</v>
      </c>
    </row>
    <row r="6" spans="1:61" x14ac:dyDescent="0.2">
      <c r="A6" s="2" t="str">
        <v>Bottom-Bracket State Tax rate (%)</v>
      </c>
      <c r="B6" s="25">
        <v>0.1201</v>
      </c>
      <c r="D6" s="2" t="s">
        <v>256</v>
      </c>
      <c r="E6" s="28">
        <f>E5-$B$14</f>
        <v>489012</v>
      </c>
      <c r="F6" s="28">
        <f t="shared" ref="F6:AW6" si="4">F5-$B$14</f>
        <v>489012</v>
      </c>
      <c r="G6" s="28">
        <f t="shared" si="4"/>
        <v>503718</v>
      </c>
      <c r="H6" s="28">
        <f t="shared" si="4"/>
        <v>503718</v>
      </c>
      <c r="I6" s="28">
        <f t="shared" si="4"/>
        <v>503718</v>
      </c>
      <c r="J6" s="28">
        <f t="shared" si="4"/>
        <v>503718</v>
      </c>
      <c r="K6" s="28">
        <f t="shared" si="4"/>
        <v>518865.17999999993</v>
      </c>
      <c r="L6" s="28">
        <f t="shared" si="4"/>
        <v>518865.17999999993</v>
      </c>
      <c r="M6" s="28">
        <f t="shared" si="4"/>
        <v>518865.17999999993</v>
      </c>
      <c r="N6" s="28">
        <f t="shared" si="4"/>
        <v>518865.17999999993</v>
      </c>
      <c r="O6" s="28">
        <f t="shared" si="4"/>
        <v>534466.77539999993</v>
      </c>
      <c r="P6" s="28">
        <f t="shared" si="4"/>
        <v>534466.77539999993</v>
      </c>
      <c r="Q6" s="28">
        <f t="shared" si="4"/>
        <v>534466.77539999993</v>
      </c>
      <c r="R6" s="28">
        <f t="shared" si="4"/>
        <v>550536.41866199998</v>
      </c>
      <c r="S6" s="28">
        <f t="shared" si="4"/>
        <v>550536.41866199998</v>
      </c>
      <c r="T6" s="28">
        <f t="shared" si="4"/>
        <v>550536.41866199998</v>
      </c>
      <c r="U6" s="28">
        <f t="shared" si="4"/>
        <v>550536.41866199998</v>
      </c>
      <c r="V6" s="28">
        <f t="shared" si="4"/>
        <v>550536.41866199998</v>
      </c>
      <c r="W6" s="28">
        <f t="shared" si="4"/>
        <v>567088.15122186008</v>
      </c>
      <c r="X6" s="28">
        <f t="shared" si="4"/>
        <v>567088.15122186008</v>
      </c>
      <c r="Y6" s="28">
        <f t="shared" si="4"/>
        <v>567088.15122186008</v>
      </c>
      <c r="Z6" s="28">
        <f t="shared" si="4"/>
        <v>567088.15122186008</v>
      </c>
      <c r="AA6" s="28">
        <f t="shared" si="4"/>
        <v>584136.43575851584</v>
      </c>
      <c r="AB6" s="28">
        <f t="shared" si="4"/>
        <v>584136.43575851584</v>
      </c>
      <c r="AC6" s="28">
        <f t="shared" si="4"/>
        <v>584136.43575851584</v>
      </c>
      <c r="AD6" s="28">
        <f t="shared" si="4"/>
        <v>584136.43575851584</v>
      </c>
      <c r="AE6" s="28">
        <f t="shared" si="4"/>
        <v>584136.43575851584</v>
      </c>
      <c r="AF6" s="28">
        <f t="shared" si="4"/>
        <v>584136.43575851584</v>
      </c>
      <c r="AG6" s="28">
        <f t="shared" si="4"/>
        <v>584136.43575851584</v>
      </c>
      <c r="AH6" s="28">
        <f t="shared" si="4"/>
        <v>584136.43575851584</v>
      </c>
      <c r="AI6" s="28">
        <f t="shared" si="4"/>
        <v>584136.43575851584</v>
      </c>
      <c r="AJ6" s="28">
        <f t="shared" si="4"/>
        <v>584136.43575851584</v>
      </c>
      <c r="AK6" s="28">
        <f t="shared" si="4"/>
        <v>584136.43575851584</v>
      </c>
      <c r="AL6" s="28">
        <f t="shared" si="4"/>
        <v>584136.43575851584</v>
      </c>
      <c r="AM6" s="28">
        <f t="shared" si="4"/>
        <v>584136.43575851584</v>
      </c>
      <c r="AN6" s="28">
        <f t="shared" si="4"/>
        <v>601696.16883127135</v>
      </c>
      <c r="AO6" s="28">
        <f t="shared" si="4"/>
        <v>601696.16883127135</v>
      </c>
      <c r="AP6" s="28">
        <f t="shared" si="4"/>
        <v>601696.16883127135</v>
      </c>
      <c r="AQ6" s="28">
        <f t="shared" si="4"/>
        <v>601696.16883127135</v>
      </c>
      <c r="AR6" s="28">
        <f t="shared" si="4"/>
        <v>601696.16883127135</v>
      </c>
      <c r="AS6" s="28">
        <f t="shared" si="4"/>
        <v>601696.16883127135</v>
      </c>
      <c r="AT6" s="28">
        <f t="shared" si="4"/>
        <v>601696.16883127135</v>
      </c>
      <c r="AU6" s="28">
        <f t="shared" si="4"/>
        <v>601696.16883127135</v>
      </c>
      <c r="AV6" s="28">
        <f t="shared" si="4"/>
        <v>601696.16883127135</v>
      </c>
      <c r="AW6" s="28">
        <f t="shared" si="4"/>
        <v>601696.16883127135</v>
      </c>
      <c r="AX6" s="28">
        <f t="shared" ref="AX6:BB6" si="5">AX5-$B$14</f>
        <v>601696.16883127135</v>
      </c>
      <c r="AY6" s="28">
        <f t="shared" si="5"/>
        <v>601696.16883127135</v>
      </c>
      <c r="AZ6" s="28">
        <f t="shared" si="5"/>
        <v>601696.16883127135</v>
      </c>
      <c r="BA6" s="28">
        <f t="shared" si="5"/>
        <v>601696.16883127135</v>
      </c>
      <c r="BB6" s="28">
        <f t="shared" si="5"/>
        <v>601696.16883127135</v>
      </c>
      <c r="BI6" s="2">
        <v>24058.814228666666</v>
      </c>
    </row>
    <row r="7" spans="1:61" x14ac:dyDescent="0.2">
      <c r="A7" s="2" t="str">
        <v>Top-bracket State Tax rate (%)</v>
      </c>
      <c r="B7" s="25">
        <v>0.15</v>
      </c>
      <c r="D7" s="2" t="s">
        <v>234</v>
      </c>
      <c r="E7" s="28">
        <f>E6*(1-$B$4)</f>
        <v>449891.04000000004</v>
      </c>
      <c r="F7" s="28">
        <f t="shared" ref="F7:AW7" si="6">F6*(1-$B$4)</f>
        <v>449891.04000000004</v>
      </c>
      <c r="G7" s="28">
        <f t="shared" si="6"/>
        <v>463420.56</v>
      </c>
      <c r="H7" s="28">
        <f t="shared" si="6"/>
        <v>463420.56</v>
      </c>
      <c r="I7" s="28">
        <f t="shared" si="6"/>
        <v>463420.56</v>
      </c>
      <c r="J7" s="28">
        <f t="shared" si="6"/>
        <v>463420.56</v>
      </c>
      <c r="K7" s="28">
        <f t="shared" si="6"/>
        <v>477355.96559999994</v>
      </c>
      <c r="L7" s="28">
        <f t="shared" si="6"/>
        <v>477355.96559999994</v>
      </c>
      <c r="M7" s="28">
        <f t="shared" si="6"/>
        <v>477355.96559999994</v>
      </c>
      <c r="N7" s="28">
        <f t="shared" si="6"/>
        <v>477355.96559999994</v>
      </c>
      <c r="O7" s="28">
        <f t="shared" si="6"/>
        <v>491709.43336799997</v>
      </c>
      <c r="P7" s="28">
        <f t="shared" si="6"/>
        <v>491709.43336799997</v>
      </c>
      <c r="Q7" s="28">
        <f t="shared" si="6"/>
        <v>491709.43336799997</v>
      </c>
      <c r="R7" s="28">
        <f t="shared" si="6"/>
        <v>506493.50516904</v>
      </c>
      <c r="S7" s="28">
        <f t="shared" si="6"/>
        <v>506493.50516904</v>
      </c>
      <c r="T7" s="28">
        <f t="shared" si="6"/>
        <v>506493.50516904</v>
      </c>
      <c r="U7" s="28">
        <f t="shared" si="6"/>
        <v>506493.50516904</v>
      </c>
      <c r="V7" s="28">
        <f t="shared" si="6"/>
        <v>506493.50516904</v>
      </c>
      <c r="W7" s="28">
        <f t="shared" si="6"/>
        <v>521721.09912411129</v>
      </c>
      <c r="X7" s="28">
        <f t="shared" si="6"/>
        <v>521721.09912411129</v>
      </c>
      <c r="Y7" s="28">
        <f t="shared" si="6"/>
        <v>521721.09912411129</v>
      </c>
      <c r="Z7" s="28">
        <f t="shared" si="6"/>
        <v>521721.09912411129</v>
      </c>
      <c r="AA7" s="28">
        <f t="shared" si="6"/>
        <v>537405.52089783456</v>
      </c>
      <c r="AB7" s="28">
        <f t="shared" si="6"/>
        <v>537405.52089783456</v>
      </c>
      <c r="AC7" s="28">
        <f t="shared" si="6"/>
        <v>537405.52089783456</v>
      </c>
      <c r="AD7" s="28">
        <f t="shared" si="6"/>
        <v>537405.52089783456</v>
      </c>
      <c r="AE7" s="28">
        <f t="shared" si="6"/>
        <v>537405.52089783456</v>
      </c>
      <c r="AF7" s="28">
        <f t="shared" si="6"/>
        <v>537405.52089783456</v>
      </c>
      <c r="AG7" s="28">
        <f t="shared" si="6"/>
        <v>537405.52089783456</v>
      </c>
      <c r="AH7" s="28">
        <f t="shared" si="6"/>
        <v>537405.52089783456</v>
      </c>
      <c r="AI7" s="28">
        <f t="shared" si="6"/>
        <v>537405.52089783456</v>
      </c>
      <c r="AJ7" s="28">
        <f t="shared" si="6"/>
        <v>537405.52089783456</v>
      </c>
      <c r="AK7" s="28">
        <f t="shared" si="6"/>
        <v>537405.52089783456</v>
      </c>
      <c r="AL7" s="28">
        <f t="shared" si="6"/>
        <v>537405.52089783456</v>
      </c>
      <c r="AM7" s="28">
        <f t="shared" si="6"/>
        <v>537405.52089783456</v>
      </c>
      <c r="AN7" s="28">
        <f t="shared" si="6"/>
        <v>553560.47532476962</v>
      </c>
      <c r="AO7" s="28">
        <f t="shared" si="6"/>
        <v>553560.47532476962</v>
      </c>
      <c r="AP7" s="28">
        <f t="shared" si="6"/>
        <v>553560.47532476962</v>
      </c>
      <c r="AQ7" s="28">
        <f t="shared" si="6"/>
        <v>553560.47532476962</v>
      </c>
      <c r="AR7" s="28">
        <f t="shared" si="6"/>
        <v>553560.47532476962</v>
      </c>
      <c r="AS7" s="28">
        <f t="shared" si="6"/>
        <v>553560.47532476962</v>
      </c>
      <c r="AT7" s="28">
        <f t="shared" si="6"/>
        <v>553560.47532476962</v>
      </c>
      <c r="AU7" s="28">
        <f t="shared" si="6"/>
        <v>553560.47532476962</v>
      </c>
      <c r="AV7" s="28">
        <f t="shared" si="6"/>
        <v>553560.47532476962</v>
      </c>
      <c r="AW7" s="28">
        <f t="shared" si="6"/>
        <v>553560.47532476962</v>
      </c>
      <c r="AX7" s="28">
        <f t="shared" ref="AX7:BB7" si="7">AX6*(1-$B$4)</f>
        <v>553560.47532476962</v>
      </c>
      <c r="AY7" s="28">
        <f t="shared" si="7"/>
        <v>553560.47532476962</v>
      </c>
      <c r="AZ7" s="28">
        <f t="shared" si="7"/>
        <v>553560.47532476962</v>
      </c>
      <c r="BA7" s="28">
        <f t="shared" si="7"/>
        <v>553560.47532476962</v>
      </c>
      <c r="BB7" s="28">
        <f t="shared" si="7"/>
        <v>553560.47532476962</v>
      </c>
      <c r="BI7" s="2">
        <v>24058.814228666666</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24790.306894286663</v>
      </c>
    </row>
    <row r="9" spans="1:61" x14ac:dyDescent="0.2">
      <c r="A9" s="2" t="str">
        <v>Municipal Tax (%)</v>
      </c>
      <c r="B9" s="25">
        <v>0.25</v>
      </c>
      <c r="D9" s="2" t="s">
        <v>235</v>
      </c>
      <c r="E9" s="28">
        <f>E7-E8</f>
        <v>398291.04000000004</v>
      </c>
      <c r="F9" s="28">
        <f t="shared" ref="F9:AW9" si="9">F7-F8</f>
        <v>398291.04000000004</v>
      </c>
      <c r="G9" s="28">
        <f t="shared" si="9"/>
        <v>411820.56</v>
      </c>
      <c r="H9" s="28">
        <f t="shared" si="9"/>
        <v>411820.56</v>
      </c>
      <c r="I9" s="28">
        <f t="shared" si="9"/>
        <v>411820.56</v>
      </c>
      <c r="J9" s="28">
        <f t="shared" si="9"/>
        <v>411820.56</v>
      </c>
      <c r="K9" s="28">
        <f t="shared" si="9"/>
        <v>425755.96559999994</v>
      </c>
      <c r="L9" s="28">
        <f t="shared" si="9"/>
        <v>425755.96559999994</v>
      </c>
      <c r="M9" s="28">
        <f t="shared" si="9"/>
        <v>425755.96559999994</v>
      </c>
      <c r="N9" s="28">
        <f t="shared" si="9"/>
        <v>425755.96559999994</v>
      </c>
      <c r="O9" s="28">
        <f t="shared" si="9"/>
        <v>440109.43336799997</v>
      </c>
      <c r="P9" s="28">
        <f t="shared" si="9"/>
        <v>440109.43336799997</v>
      </c>
      <c r="Q9" s="28">
        <f t="shared" si="9"/>
        <v>440109.43336799997</v>
      </c>
      <c r="R9" s="28">
        <f t="shared" si="9"/>
        <v>454893.50516904</v>
      </c>
      <c r="S9" s="28">
        <f t="shared" si="9"/>
        <v>454893.50516904</v>
      </c>
      <c r="T9" s="28">
        <f t="shared" si="9"/>
        <v>454893.50516904</v>
      </c>
      <c r="U9" s="28">
        <f t="shared" si="9"/>
        <v>454893.50516904</v>
      </c>
      <c r="V9" s="28">
        <f t="shared" si="9"/>
        <v>454893.50516904</v>
      </c>
      <c r="W9" s="28">
        <f t="shared" si="9"/>
        <v>470121.09912411129</v>
      </c>
      <c r="X9" s="28">
        <f t="shared" si="9"/>
        <v>470121.09912411129</v>
      </c>
      <c r="Y9" s="28">
        <f t="shared" si="9"/>
        <v>470121.09912411129</v>
      </c>
      <c r="Z9" s="28">
        <f t="shared" si="9"/>
        <v>470121.09912411129</v>
      </c>
      <c r="AA9" s="28">
        <f t="shared" si="9"/>
        <v>485805.52089783456</v>
      </c>
      <c r="AB9" s="28">
        <f t="shared" si="9"/>
        <v>485805.52089783456</v>
      </c>
      <c r="AC9" s="28">
        <f t="shared" si="9"/>
        <v>485805.52089783456</v>
      </c>
      <c r="AD9" s="28">
        <f t="shared" si="9"/>
        <v>485805.52089783456</v>
      </c>
      <c r="AE9" s="28">
        <f t="shared" si="9"/>
        <v>485805.52089783456</v>
      </c>
      <c r="AF9" s="28">
        <f t="shared" si="9"/>
        <v>485805.52089783456</v>
      </c>
      <c r="AG9" s="28">
        <f t="shared" si="9"/>
        <v>485805.52089783456</v>
      </c>
      <c r="AH9" s="28">
        <f t="shared" si="9"/>
        <v>485805.52089783456</v>
      </c>
      <c r="AI9" s="28">
        <f t="shared" si="9"/>
        <v>485805.52089783456</v>
      </c>
      <c r="AJ9" s="28">
        <f t="shared" si="9"/>
        <v>485805.52089783456</v>
      </c>
      <c r="AK9" s="28">
        <f t="shared" si="9"/>
        <v>485805.52089783456</v>
      </c>
      <c r="AL9" s="28">
        <f t="shared" si="9"/>
        <v>485805.52089783456</v>
      </c>
      <c r="AM9" s="28">
        <f t="shared" si="9"/>
        <v>485805.52089783456</v>
      </c>
      <c r="AN9" s="28">
        <f t="shared" si="9"/>
        <v>501960.47532476962</v>
      </c>
      <c r="AO9" s="28">
        <f t="shared" si="9"/>
        <v>501960.47532476962</v>
      </c>
      <c r="AP9" s="28">
        <f t="shared" si="9"/>
        <v>501960.47532476962</v>
      </c>
      <c r="AQ9" s="28">
        <f t="shared" si="9"/>
        <v>501960.47532476962</v>
      </c>
      <c r="AR9" s="28">
        <f t="shared" si="9"/>
        <v>501960.47532476962</v>
      </c>
      <c r="AS9" s="28">
        <f t="shared" si="9"/>
        <v>501960.47532476962</v>
      </c>
      <c r="AT9" s="28">
        <f t="shared" si="9"/>
        <v>501960.47532476962</v>
      </c>
      <c r="AU9" s="28">
        <f t="shared" si="9"/>
        <v>501960.47532476962</v>
      </c>
      <c r="AV9" s="28">
        <f t="shared" si="9"/>
        <v>501960.47532476962</v>
      </c>
      <c r="AW9" s="28">
        <f t="shared" si="9"/>
        <v>501960.47532476962</v>
      </c>
      <c r="AX9" s="28">
        <f t="shared" ref="AX9:BB9" si="10">AX7-AX8</f>
        <v>501960.47532476962</v>
      </c>
      <c r="AY9" s="28">
        <f t="shared" si="10"/>
        <v>501960.47532476962</v>
      </c>
      <c r="AZ9" s="28">
        <f t="shared" si="10"/>
        <v>501960.47532476962</v>
      </c>
      <c r="BA9" s="28">
        <f t="shared" si="10"/>
        <v>501960.47532476962</v>
      </c>
      <c r="BB9" s="28">
        <f t="shared" si="10"/>
        <v>501960.47532476962</v>
      </c>
      <c r="BI9" s="2">
        <v>24790.306894286663</v>
      </c>
    </row>
    <row r="10" spans="1:61" x14ac:dyDescent="0.2">
      <c r="A10" s="2" t="str">
        <v>Capital Gains &lt; 67,500DKK</v>
      </c>
      <c r="B10" s="28">
        <v>0.27</v>
      </c>
      <c r="D10" s="2" t="s">
        <v>189</v>
      </c>
      <c r="E10" s="28">
        <f>E7*$B$9</f>
        <v>112472.76000000001</v>
      </c>
      <c r="F10" s="28">
        <f t="shared" ref="F10:AW10" si="11">F7*$B$9</f>
        <v>112472.76000000001</v>
      </c>
      <c r="G10" s="28">
        <f t="shared" si="11"/>
        <v>115855.14</v>
      </c>
      <c r="H10" s="28">
        <f t="shared" si="11"/>
        <v>115855.14</v>
      </c>
      <c r="I10" s="28">
        <f t="shared" si="11"/>
        <v>115855.14</v>
      </c>
      <c r="J10" s="28">
        <f t="shared" si="11"/>
        <v>115855.14</v>
      </c>
      <c r="K10" s="28">
        <f t="shared" si="11"/>
        <v>119338.99139999998</v>
      </c>
      <c r="L10" s="28">
        <f t="shared" si="11"/>
        <v>119338.99139999998</v>
      </c>
      <c r="M10" s="28">
        <f t="shared" si="11"/>
        <v>119338.99139999998</v>
      </c>
      <c r="N10" s="28">
        <f t="shared" si="11"/>
        <v>119338.99139999998</v>
      </c>
      <c r="O10" s="28">
        <f t="shared" si="11"/>
        <v>122927.35834199999</v>
      </c>
      <c r="P10" s="28">
        <f t="shared" si="11"/>
        <v>122927.35834199999</v>
      </c>
      <c r="Q10" s="28">
        <f t="shared" si="11"/>
        <v>122927.35834199999</v>
      </c>
      <c r="R10" s="28">
        <f t="shared" si="11"/>
        <v>126623.37629226</v>
      </c>
      <c r="S10" s="28">
        <f t="shared" si="11"/>
        <v>126623.37629226</v>
      </c>
      <c r="T10" s="28">
        <f t="shared" si="11"/>
        <v>126623.37629226</v>
      </c>
      <c r="U10" s="28">
        <f t="shared" si="11"/>
        <v>126623.37629226</v>
      </c>
      <c r="V10" s="28">
        <f t="shared" si="11"/>
        <v>126623.37629226</v>
      </c>
      <c r="W10" s="28">
        <f t="shared" si="11"/>
        <v>130430.27478102782</v>
      </c>
      <c r="X10" s="28">
        <f t="shared" si="11"/>
        <v>130430.27478102782</v>
      </c>
      <c r="Y10" s="28">
        <f t="shared" si="11"/>
        <v>130430.27478102782</v>
      </c>
      <c r="Z10" s="28">
        <f t="shared" si="11"/>
        <v>130430.27478102782</v>
      </c>
      <c r="AA10" s="28">
        <f t="shared" si="11"/>
        <v>134351.38022445864</v>
      </c>
      <c r="AB10" s="28">
        <f t="shared" si="11"/>
        <v>134351.38022445864</v>
      </c>
      <c r="AC10" s="28">
        <f t="shared" si="11"/>
        <v>134351.38022445864</v>
      </c>
      <c r="AD10" s="28">
        <f t="shared" si="11"/>
        <v>134351.38022445864</v>
      </c>
      <c r="AE10" s="28">
        <f t="shared" si="11"/>
        <v>134351.38022445864</v>
      </c>
      <c r="AF10" s="28">
        <f t="shared" si="11"/>
        <v>134351.38022445864</v>
      </c>
      <c r="AG10" s="28">
        <f t="shared" si="11"/>
        <v>134351.38022445864</v>
      </c>
      <c r="AH10" s="28">
        <f t="shared" si="11"/>
        <v>134351.38022445864</v>
      </c>
      <c r="AI10" s="28">
        <f t="shared" si="11"/>
        <v>134351.38022445864</v>
      </c>
      <c r="AJ10" s="28">
        <f t="shared" si="11"/>
        <v>134351.38022445864</v>
      </c>
      <c r="AK10" s="28">
        <f t="shared" si="11"/>
        <v>134351.38022445864</v>
      </c>
      <c r="AL10" s="28">
        <f t="shared" si="11"/>
        <v>134351.38022445864</v>
      </c>
      <c r="AM10" s="28">
        <f t="shared" si="11"/>
        <v>134351.38022445864</v>
      </c>
      <c r="AN10" s="28">
        <f t="shared" si="11"/>
        <v>138390.11883119241</v>
      </c>
      <c r="AO10" s="28">
        <f t="shared" si="11"/>
        <v>138390.11883119241</v>
      </c>
      <c r="AP10" s="28">
        <f t="shared" si="11"/>
        <v>138390.11883119241</v>
      </c>
      <c r="AQ10" s="28">
        <f t="shared" si="11"/>
        <v>138390.11883119241</v>
      </c>
      <c r="AR10" s="28">
        <f t="shared" si="11"/>
        <v>138390.11883119241</v>
      </c>
      <c r="AS10" s="28">
        <f t="shared" si="11"/>
        <v>138390.11883119241</v>
      </c>
      <c r="AT10" s="28">
        <f t="shared" si="11"/>
        <v>138390.11883119241</v>
      </c>
      <c r="AU10" s="28">
        <f t="shared" si="11"/>
        <v>138390.11883119241</v>
      </c>
      <c r="AV10" s="28">
        <f t="shared" si="11"/>
        <v>138390.11883119241</v>
      </c>
      <c r="AW10" s="28">
        <f t="shared" si="11"/>
        <v>138390.11883119241</v>
      </c>
      <c r="AX10" s="28">
        <f t="shared" ref="AX10:BB10" si="12">AX7*$B$9</f>
        <v>138390.11883119241</v>
      </c>
      <c r="AY10" s="28">
        <f t="shared" si="12"/>
        <v>138390.11883119241</v>
      </c>
      <c r="AZ10" s="28">
        <f t="shared" si="12"/>
        <v>138390.11883119241</v>
      </c>
      <c r="BA10" s="28">
        <f t="shared" si="12"/>
        <v>138390.11883119241</v>
      </c>
      <c r="BB10" s="28">
        <f t="shared" si="12"/>
        <v>138390.11883119241</v>
      </c>
      <c r="BI10" s="2">
        <v>24790.306894286663</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0</v>
      </c>
      <c r="Z11" s="28">
        <f t="shared" si="13"/>
        <v>0</v>
      </c>
      <c r="AA11" s="28">
        <f t="shared" si="13"/>
        <v>0</v>
      </c>
      <c r="AB11" s="28">
        <f t="shared" si="13"/>
        <v>0</v>
      </c>
      <c r="AC11" s="28">
        <f t="shared" si="13"/>
        <v>0</v>
      </c>
      <c r="AD11" s="28">
        <f t="shared" si="13"/>
        <v>0</v>
      </c>
      <c r="AE11" s="28">
        <f t="shared" si="13"/>
        <v>0</v>
      </c>
      <c r="AF11" s="28">
        <f t="shared" si="13"/>
        <v>0</v>
      </c>
      <c r="AG11" s="28">
        <f t="shared" si="13"/>
        <v>0</v>
      </c>
      <c r="AH11" s="28">
        <f t="shared" si="13"/>
        <v>0</v>
      </c>
      <c r="AI11" s="28">
        <f t="shared" si="13"/>
        <v>0</v>
      </c>
      <c r="AJ11" s="28">
        <f t="shared" si="13"/>
        <v>0</v>
      </c>
      <c r="AK11" s="28">
        <f t="shared" si="13"/>
        <v>0</v>
      </c>
      <c r="AL11" s="28">
        <f t="shared" si="13"/>
        <v>0</v>
      </c>
      <c r="AM11" s="28">
        <f t="shared" si="13"/>
        <v>0</v>
      </c>
      <c r="AN11" s="28">
        <f t="shared" si="13"/>
        <v>0</v>
      </c>
      <c r="AO11" s="28">
        <f t="shared" si="13"/>
        <v>0</v>
      </c>
      <c r="AP11" s="28">
        <f t="shared" si="13"/>
        <v>0</v>
      </c>
      <c r="AQ11" s="28">
        <f t="shared" si="13"/>
        <v>0</v>
      </c>
      <c r="AR11" s="28">
        <f t="shared" si="13"/>
        <v>0</v>
      </c>
      <c r="AS11" s="28">
        <f t="shared" si="13"/>
        <v>0</v>
      </c>
      <c r="AT11" s="28">
        <f t="shared" si="13"/>
        <v>0</v>
      </c>
      <c r="AU11" s="28">
        <f t="shared" si="13"/>
        <v>0</v>
      </c>
      <c r="AV11" s="28">
        <f t="shared" si="13"/>
        <v>0</v>
      </c>
      <c r="AW11" s="28">
        <f t="shared" si="13"/>
        <v>0</v>
      </c>
      <c r="AX11" s="28">
        <f t="shared" ref="AX11:BB11" si="14">MAX(AX9-$B$8,0)*$B$7</f>
        <v>0</v>
      </c>
      <c r="AY11" s="28">
        <f t="shared" si="14"/>
        <v>0</v>
      </c>
      <c r="AZ11" s="28">
        <f t="shared" si="14"/>
        <v>0</v>
      </c>
      <c r="BA11" s="28">
        <f t="shared" si="14"/>
        <v>0</v>
      </c>
      <c r="BB11" s="28">
        <f t="shared" si="14"/>
        <v>0</v>
      </c>
      <c r="BI11" s="2">
        <v>24790.306894286663</v>
      </c>
    </row>
    <row r="12" spans="1:61" x14ac:dyDescent="0.2">
      <c r="A12" s="2" t="str">
        <v>Capital Gains Threshold</v>
      </c>
      <c r="B12" s="53">
        <v>67500</v>
      </c>
      <c r="D12" s="2" t="s">
        <v>191</v>
      </c>
      <c r="E12" s="28">
        <f>E9*$B$6</f>
        <v>47834.753904000005</v>
      </c>
      <c r="F12" s="28">
        <f t="shared" ref="F12:AW12" si="15">F9*$B$6</f>
        <v>47834.753904000005</v>
      </c>
      <c r="G12" s="28">
        <f t="shared" si="15"/>
        <v>49459.649255999997</v>
      </c>
      <c r="H12" s="28">
        <f t="shared" si="15"/>
        <v>49459.649255999997</v>
      </c>
      <c r="I12" s="28">
        <f t="shared" si="15"/>
        <v>49459.649255999997</v>
      </c>
      <c r="J12" s="28">
        <f t="shared" si="15"/>
        <v>49459.649255999997</v>
      </c>
      <c r="K12" s="28">
        <f t="shared" si="15"/>
        <v>51133.29146855999</v>
      </c>
      <c r="L12" s="28">
        <f t="shared" si="15"/>
        <v>51133.29146855999</v>
      </c>
      <c r="M12" s="28">
        <f t="shared" si="15"/>
        <v>51133.29146855999</v>
      </c>
      <c r="N12" s="28">
        <f t="shared" si="15"/>
        <v>51133.29146855999</v>
      </c>
      <c r="O12" s="28">
        <f t="shared" si="15"/>
        <v>52857.142947496795</v>
      </c>
      <c r="P12" s="28">
        <f t="shared" si="15"/>
        <v>52857.142947496795</v>
      </c>
      <c r="Q12" s="28">
        <f t="shared" si="15"/>
        <v>52857.142947496795</v>
      </c>
      <c r="R12" s="28">
        <f t="shared" si="15"/>
        <v>54632.709970801705</v>
      </c>
      <c r="S12" s="28">
        <f t="shared" si="15"/>
        <v>54632.709970801705</v>
      </c>
      <c r="T12" s="28">
        <f t="shared" si="15"/>
        <v>54632.709970801705</v>
      </c>
      <c r="U12" s="28">
        <f t="shared" si="15"/>
        <v>54632.709970801705</v>
      </c>
      <c r="V12" s="28">
        <f t="shared" si="15"/>
        <v>54632.709970801705</v>
      </c>
      <c r="W12" s="28">
        <f t="shared" si="15"/>
        <v>56461.544004805764</v>
      </c>
      <c r="X12" s="28">
        <f t="shared" si="15"/>
        <v>56461.544004805764</v>
      </c>
      <c r="Y12" s="28">
        <f t="shared" si="15"/>
        <v>56461.544004805764</v>
      </c>
      <c r="Z12" s="28">
        <f t="shared" si="15"/>
        <v>56461.544004805764</v>
      </c>
      <c r="AA12" s="28">
        <f t="shared" si="15"/>
        <v>58345.243059829932</v>
      </c>
      <c r="AB12" s="28">
        <f t="shared" si="15"/>
        <v>58345.243059829932</v>
      </c>
      <c r="AC12" s="28">
        <f t="shared" si="15"/>
        <v>58345.243059829932</v>
      </c>
      <c r="AD12" s="28">
        <f t="shared" si="15"/>
        <v>58345.243059829932</v>
      </c>
      <c r="AE12" s="28">
        <f t="shared" si="15"/>
        <v>58345.243059829932</v>
      </c>
      <c r="AF12" s="28">
        <f t="shared" si="15"/>
        <v>58345.243059829932</v>
      </c>
      <c r="AG12" s="28">
        <f t="shared" si="15"/>
        <v>58345.243059829932</v>
      </c>
      <c r="AH12" s="28">
        <f t="shared" si="15"/>
        <v>58345.243059829932</v>
      </c>
      <c r="AI12" s="28">
        <f t="shared" si="15"/>
        <v>58345.243059829932</v>
      </c>
      <c r="AJ12" s="28">
        <f t="shared" si="15"/>
        <v>58345.243059829932</v>
      </c>
      <c r="AK12" s="28">
        <f t="shared" si="15"/>
        <v>58345.243059829932</v>
      </c>
      <c r="AL12" s="28">
        <f t="shared" si="15"/>
        <v>58345.243059829932</v>
      </c>
      <c r="AM12" s="28">
        <f t="shared" si="15"/>
        <v>58345.243059829932</v>
      </c>
      <c r="AN12" s="28">
        <f t="shared" si="15"/>
        <v>60285.453086504829</v>
      </c>
      <c r="AO12" s="28">
        <f t="shared" si="15"/>
        <v>60285.453086504829</v>
      </c>
      <c r="AP12" s="28">
        <f t="shared" si="15"/>
        <v>60285.453086504829</v>
      </c>
      <c r="AQ12" s="28">
        <f t="shared" si="15"/>
        <v>60285.453086504829</v>
      </c>
      <c r="AR12" s="28">
        <f t="shared" si="15"/>
        <v>60285.453086504829</v>
      </c>
      <c r="AS12" s="28">
        <f t="shared" si="15"/>
        <v>60285.453086504829</v>
      </c>
      <c r="AT12" s="28">
        <f t="shared" si="15"/>
        <v>60285.453086504829</v>
      </c>
      <c r="AU12" s="28">
        <f t="shared" si="15"/>
        <v>60285.453086504829</v>
      </c>
      <c r="AV12" s="28">
        <f t="shared" si="15"/>
        <v>60285.453086504829</v>
      </c>
      <c r="AW12" s="28">
        <f t="shared" si="15"/>
        <v>60285.453086504829</v>
      </c>
      <c r="AX12" s="28">
        <f t="shared" ref="AX12:BB12" si="16">AX9*$B$6</f>
        <v>60285.453086504829</v>
      </c>
      <c r="AY12" s="28">
        <f t="shared" si="16"/>
        <v>60285.453086504829</v>
      </c>
      <c r="AZ12" s="28">
        <f t="shared" si="16"/>
        <v>60285.453086504829</v>
      </c>
      <c r="BA12" s="28">
        <f t="shared" si="16"/>
        <v>60285.453086504829</v>
      </c>
      <c r="BB12" s="28">
        <f t="shared" si="16"/>
        <v>60285.453086504829</v>
      </c>
      <c r="BI12" s="2">
        <v>25543.744339875266</v>
      </c>
    </row>
    <row r="13" spans="1:61" x14ac:dyDescent="0.2">
      <c r="A13" s="2" t="s">
        <v>254</v>
      </c>
      <c r="B13" s="58">
        <v>99</v>
      </c>
      <c r="D13" s="2" t="s">
        <v>192</v>
      </c>
      <c r="E13" s="28">
        <f>SUM(E10:E12)</f>
        <v>160307.51390400002</v>
      </c>
      <c r="F13" s="28">
        <f t="shared" ref="F13:AW13" si="17">SUM(F10:F12)</f>
        <v>160307.51390400002</v>
      </c>
      <c r="G13" s="28">
        <f t="shared" si="17"/>
        <v>165314.78925599999</v>
      </c>
      <c r="H13" s="28">
        <f t="shared" si="17"/>
        <v>165314.78925599999</v>
      </c>
      <c r="I13" s="28">
        <f t="shared" si="17"/>
        <v>165314.78925599999</v>
      </c>
      <c r="J13" s="28">
        <f t="shared" si="17"/>
        <v>165314.78925599999</v>
      </c>
      <c r="K13" s="28">
        <f t="shared" si="17"/>
        <v>170472.28286855997</v>
      </c>
      <c r="L13" s="28">
        <f t="shared" si="17"/>
        <v>170472.28286855997</v>
      </c>
      <c r="M13" s="28">
        <f t="shared" si="17"/>
        <v>170472.28286855997</v>
      </c>
      <c r="N13" s="28">
        <f t="shared" si="17"/>
        <v>170472.28286855997</v>
      </c>
      <c r="O13" s="28">
        <f t="shared" si="17"/>
        <v>175784.50128949678</v>
      </c>
      <c r="P13" s="28">
        <f t="shared" si="17"/>
        <v>175784.50128949678</v>
      </c>
      <c r="Q13" s="28">
        <f t="shared" si="17"/>
        <v>175784.50128949678</v>
      </c>
      <c r="R13" s="28">
        <f t="shared" si="17"/>
        <v>181256.0862630617</v>
      </c>
      <c r="S13" s="28">
        <f t="shared" si="17"/>
        <v>181256.0862630617</v>
      </c>
      <c r="T13" s="28">
        <f t="shared" si="17"/>
        <v>181256.0862630617</v>
      </c>
      <c r="U13" s="28">
        <f t="shared" si="17"/>
        <v>181256.0862630617</v>
      </c>
      <c r="V13" s="28">
        <f t="shared" si="17"/>
        <v>181256.0862630617</v>
      </c>
      <c r="W13" s="28">
        <f t="shared" si="17"/>
        <v>186891.8187858336</v>
      </c>
      <c r="X13" s="28">
        <f t="shared" si="17"/>
        <v>186891.8187858336</v>
      </c>
      <c r="Y13" s="28">
        <f t="shared" si="17"/>
        <v>186891.8187858336</v>
      </c>
      <c r="Z13" s="28">
        <f t="shared" si="17"/>
        <v>186891.8187858336</v>
      </c>
      <c r="AA13" s="28">
        <f t="shared" si="17"/>
        <v>192696.62328428857</v>
      </c>
      <c r="AB13" s="28">
        <f t="shared" si="17"/>
        <v>192696.62328428857</v>
      </c>
      <c r="AC13" s="28">
        <f t="shared" si="17"/>
        <v>192696.62328428857</v>
      </c>
      <c r="AD13" s="28">
        <f t="shared" si="17"/>
        <v>192696.62328428857</v>
      </c>
      <c r="AE13" s="28">
        <f t="shared" si="17"/>
        <v>192696.62328428857</v>
      </c>
      <c r="AF13" s="28">
        <f t="shared" si="17"/>
        <v>192696.62328428857</v>
      </c>
      <c r="AG13" s="28">
        <f t="shared" si="17"/>
        <v>192696.62328428857</v>
      </c>
      <c r="AH13" s="28">
        <f t="shared" si="17"/>
        <v>192696.62328428857</v>
      </c>
      <c r="AI13" s="28">
        <f t="shared" si="17"/>
        <v>192696.62328428857</v>
      </c>
      <c r="AJ13" s="28">
        <f t="shared" si="17"/>
        <v>192696.62328428857</v>
      </c>
      <c r="AK13" s="28">
        <f t="shared" si="17"/>
        <v>192696.62328428857</v>
      </c>
      <c r="AL13" s="28">
        <f t="shared" si="17"/>
        <v>192696.62328428857</v>
      </c>
      <c r="AM13" s="28">
        <f t="shared" si="17"/>
        <v>192696.62328428857</v>
      </c>
      <c r="AN13" s="28">
        <f t="shared" si="17"/>
        <v>198675.57191769723</v>
      </c>
      <c r="AO13" s="28">
        <f t="shared" si="17"/>
        <v>198675.57191769723</v>
      </c>
      <c r="AP13" s="28">
        <f t="shared" si="17"/>
        <v>198675.57191769723</v>
      </c>
      <c r="AQ13" s="28">
        <f t="shared" si="17"/>
        <v>198675.57191769723</v>
      </c>
      <c r="AR13" s="28">
        <f t="shared" si="17"/>
        <v>198675.57191769723</v>
      </c>
      <c r="AS13" s="28">
        <f t="shared" si="17"/>
        <v>198675.57191769723</v>
      </c>
      <c r="AT13" s="28">
        <f t="shared" si="17"/>
        <v>198675.57191769723</v>
      </c>
      <c r="AU13" s="28">
        <f t="shared" si="17"/>
        <v>198675.57191769723</v>
      </c>
      <c r="AV13" s="28">
        <f t="shared" si="17"/>
        <v>198675.57191769723</v>
      </c>
      <c r="AW13" s="28">
        <f t="shared" si="17"/>
        <v>198675.57191769723</v>
      </c>
      <c r="AX13" s="28">
        <f t="shared" ref="AX13:BB13" si="18">SUM(AX10:AX12)</f>
        <v>198675.57191769723</v>
      </c>
      <c r="AY13" s="28">
        <f t="shared" si="18"/>
        <v>198675.57191769723</v>
      </c>
      <c r="AZ13" s="28">
        <f t="shared" si="18"/>
        <v>198675.57191769723</v>
      </c>
      <c r="BA13" s="28">
        <f t="shared" si="18"/>
        <v>198675.57191769723</v>
      </c>
      <c r="BB13" s="28">
        <f t="shared" si="18"/>
        <v>198675.57191769723</v>
      </c>
      <c r="BI13" s="2">
        <v>25543.744339875266</v>
      </c>
    </row>
    <row r="14" spans="1:61" x14ac:dyDescent="0.2">
      <c r="A14" s="2" t="s">
        <v>255</v>
      </c>
      <c r="B14" s="28">
        <f>B13*12</f>
        <v>1188</v>
      </c>
      <c r="D14" s="2" t="s">
        <v>193</v>
      </c>
      <c r="E14" s="28">
        <f>E7-E13</f>
        <v>289583.52609599999</v>
      </c>
      <c r="F14" s="28">
        <f t="shared" ref="F14:AW14" si="19">F7-F13</f>
        <v>289583.52609599999</v>
      </c>
      <c r="G14" s="28">
        <f t="shared" si="19"/>
        <v>298105.77074399998</v>
      </c>
      <c r="H14" s="28">
        <f t="shared" si="19"/>
        <v>298105.77074399998</v>
      </c>
      <c r="I14" s="28">
        <f t="shared" si="19"/>
        <v>298105.77074399998</v>
      </c>
      <c r="J14" s="28">
        <f t="shared" si="19"/>
        <v>298105.77074399998</v>
      </c>
      <c r="K14" s="28">
        <f t="shared" si="19"/>
        <v>306883.68273143994</v>
      </c>
      <c r="L14" s="28">
        <f t="shared" si="19"/>
        <v>306883.68273143994</v>
      </c>
      <c r="M14" s="28">
        <f t="shared" si="19"/>
        <v>306883.68273143994</v>
      </c>
      <c r="N14" s="28">
        <f t="shared" si="19"/>
        <v>306883.68273143994</v>
      </c>
      <c r="O14" s="28">
        <f t="shared" si="19"/>
        <v>315924.93207850319</v>
      </c>
      <c r="P14" s="28">
        <f t="shared" si="19"/>
        <v>315924.93207850319</v>
      </c>
      <c r="Q14" s="28">
        <f t="shared" si="19"/>
        <v>315924.93207850319</v>
      </c>
      <c r="R14" s="28">
        <f t="shared" si="19"/>
        <v>325237.41890597832</v>
      </c>
      <c r="S14" s="28">
        <f t="shared" si="19"/>
        <v>325237.41890597832</v>
      </c>
      <c r="T14" s="28">
        <f t="shared" si="19"/>
        <v>325237.41890597832</v>
      </c>
      <c r="U14" s="28">
        <f t="shared" si="19"/>
        <v>325237.41890597832</v>
      </c>
      <c r="V14" s="28">
        <f t="shared" si="19"/>
        <v>325237.41890597832</v>
      </c>
      <c r="W14" s="28">
        <f t="shared" si="19"/>
        <v>334829.28033827769</v>
      </c>
      <c r="X14" s="28">
        <f t="shared" si="19"/>
        <v>334829.28033827769</v>
      </c>
      <c r="Y14" s="28">
        <f t="shared" si="19"/>
        <v>334829.28033827769</v>
      </c>
      <c r="Z14" s="28">
        <f t="shared" si="19"/>
        <v>334829.28033827769</v>
      </c>
      <c r="AA14" s="28">
        <f t="shared" si="19"/>
        <v>344708.897613546</v>
      </c>
      <c r="AB14" s="28">
        <f t="shared" si="19"/>
        <v>344708.897613546</v>
      </c>
      <c r="AC14" s="28">
        <f t="shared" si="19"/>
        <v>344708.897613546</v>
      </c>
      <c r="AD14" s="28">
        <f t="shared" si="19"/>
        <v>344708.897613546</v>
      </c>
      <c r="AE14" s="28">
        <f t="shared" si="19"/>
        <v>344708.897613546</v>
      </c>
      <c r="AF14" s="28">
        <f t="shared" si="19"/>
        <v>344708.897613546</v>
      </c>
      <c r="AG14" s="28">
        <f t="shared" si="19"/>
        <v>344708.897613546</v>
      </c>
      <c r="AH14" s="28">
        <f t="shared" si="19"/>
        <v>344708.897613546</v>
      </c>
      <c r="AI14" s="28">
        <f t="shared" si="19"/>
        <v>344708.897613546</v>
      </c>
      <c r="AJ14" s="28">
        <f t="shared" si="19"/>
        <v>344708.897613546</v>
      </c>
      <c r="AK14" s="28">
        <f t="shared" si="19"/>
        <v>344708.897613546</v>
      </c>
      <c r="AL14" s="28">
        <f t="shared" si="19"/>
        <v>344708.897613546</v>
      </c>
      <c r="AM14" s="28">
        <f t="shared" si="19"/>
        <v>344708.897613546</v>
      </c>
      <c r="AN14" s="28">
        <f t="shared" si="19"/>
        <v>354884.90340707242</v>
      </c>
      <c r="AO14" s="28">
        <f t="shared" si="19"/>
        <v>354884.90340707242</v>
      </c>
      <c r="AP14" s="28">
        <f t="shared" si="19"/>
        <v>354884.90340707242</v>
      </c>
      <c r="AQ14" s="28">
        <f t="shared" si="19"/>
        <v>354884.90340707242</v>
      </c>
      <c r="AR14" s="28">
        <f t="shared" si="19"/>
        <v>354884.90340707242</v>
      </c>
      <c r="AS14" s="28">
        <f t="shared" si="19"/>
        <v>354884.90340707242</v>
      </c>
      <c r="AT14" s="28">
        <f t="shared" si="19"/>
        <v>354884.90340707242</v>
      </c>
      <c r="AU14" s="28">
        <f t="shared" si="19"/>
        <v>354884.90340707242</v>
      </c>
      <c r="AV14" s="28">
        <f t="shared" si="19"/>
        <v>354884.90340707242</v>
      </c>
      <c r="AW14" s="28">
        <f t="shared" si="19"/>
        <v>354884.90340707242</v>
      </c>
      <c r="AX14" s="28">
        <f t="shared" ref="AX14:BB14" si="20">AX7-AX13</f>
        <v>354884.90340707242</v>
      </c>
      <c r="AY14" s="28">
        <f t="shared" si="20"/>
        <v>354884.90340707242</v>
      </c>
      <c r="AZ14" s="28">
        <f t="shared" si="20"/>
        <v>354884.90340707242</v>
      </c>
      <c r="BA14" s="28">
        <f t="shared" si="20"/>
        <v>354884.90340707242</v>
      </c>
      <c r="BB14" s="28">
        <f t="shared" si="20"/>
        <v>354884.90340707242</v>
      </c>
      <c r="BI14" s="2">
        <v>25543.744339875266</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26319.784908831527</v>
      </c>
    </row>
    <row r="16" spans="1:61" x14ac:dyDescent="0.2">
      <c r="D16" s="2" t="s">
        <v>267</v>
      </c>
      <c r="E16" s="28">
        <f>E14-E15</f>
        <v>280183.52609599999</v>
      </c>
      <c r="F16" s="28">
        <f t="shared" ref="F16:AW16" si="22">F14-F15</f>
        <v>280183.52609599999</v>
      </c>
      <c r="G16" s="28">
        <f t="shared" si="22"/>
        <v>288705.77074399998</v>
      </c>
      <c r="H16" s="28">
        <f t="shared" si="22"/>
        <v>288705.77074399998</v>
      </c>
      <c r="I16" s="28">
        <f t="shared" si="22"/>
        <v>288705.77074399998</v>
      </c>
      <c r="J16" s="28">
        <f t="shared" si="22"/>
        <v>288705.77074399998</v>
      </c>
      <c r="K16" s="28">
        <f t="shared" si="22"/>
        <v>297483.68273143994</v>
      </c>
      <c r="L16" s="28">
        <f t="shared" si="22"/>
        <v>297483.68273143994</v>
      </c>
      <c r="M16" s="28">
        <f t="shared" si="22"/>
        <v>297483.68273143994</v>
      </c>
      <c r="N16" s="28">
        <f t="shared" si="22"/>
        <v>297483.68273143994</v>
      </c>
      <c r="O16" s="28">
        <f t="shared" si="22"/>
        <v>306524.93207850319</v>
      </c>
      <c r="P16" s="28">
        <f t="shared" si="22"/>
        <v>306524.93207850319</v>
      </c>
      <c r="Q16" s="28">
        <f t="shared" si="22"/>
        <v>306524.93207850319</v>
      </c>
      <c r="R16" s="28">
        <f t="shared" si="22"/>
        <v>315837.41890597832</v>
      </c>
      <c r="S16" s="28">
        <f t="shared" si="22"/>
        <v>315837.41890597832</v>
      </c>
      <c r="T16" s="28">
        <f t="shared" si="22"/>
        <v>315837.41890597832</v>
      </c>
      <c r="U16" s="28">
        <f t="shared" si="22"/>
        <v>315837.41890597832</v>
      </c>
      <c r="V16" s="28">
        <f t="shared" si="22"/>
        <v>315837.41890597832</v>
      </c>
      <c r="W16" s="28">
        <f t="shared" si="22"/>
        <v>325429.28033827769</v>
      </c>
      <c r="X16" s="28">
        <f t="shared" si="22"/>
        <v>325429.28033827769</v>
      </c>
      <c r="Y16" s="28">
        <f t="shared" si="22"/>
        <v>325429.28033827769</v>
      </c>
      <c r="Z16" s="28">
        <f t="shared" si="22"/>
        <v>325429.28033827769</v>
      </c>
      <c r="AA16" s="28">
        <f t="shared" si="22"/>
        <v>335308.897613546</v>
      </c>
      <c r="AB16" s="28">
        <f t="shared" si="22"/>
        <v>335308.897613546</v>
      </c>
      <c r="AC16" s="28">
        <f t="shared" si="22"/>
        <v>335308.897613546</v>
      </c>
      <c r="AD16" s="28">
        <f t="shared" si="22"/>
        <v>335308.897613546</v>
      </c>
      <c r="AE16" s="28">
        <f t="shared" si="22"/>
        <v>335308.897613546</v>
      </c>
      <c r="AF16" s="28">
        <f t="shared" si="22"/>
        <v>335308.897613546</v>
      </c>
      <c r="AG16" s="28">
        <f t="shared" si="22"/>
        <v>335308.897613546</v>
      </c>
      <c r="AH16" s="28">
        <f t="shared" si="22"/>
        <v>335308.897613546</v>
      </c>
      <c r="AI16" s="28">
        <f t="shared" si="22"/>
        <v>335308.897613546</v>
      </c>
      <c r="AJ16" s="28">
        <f t="shared" si="22"/>
        <v>335308.897613546</v>
      </c>
      <c r="AK16" s="28">
        <f t="shared" si="22"/>
        <v>335308.897613546</v>
      </c>
      <c r="AL16" s="28">
        <f t="shared" si="22"/>
        <v>335308.897613546</v>
      </c>
      <c r="AM16" s="28">
        <f t="shared" si="22"/>
        <v>335308.897613546</v>
      </c>
      <c r="AN16" s="28">
        <f t="shared" si="22"/>
        <v>345484.90340707242</v>
      </c>
      <c r="AO16" s="28">
        <f t="shared" si="22"/>
        <v>345484.90340707242</v>
      </c>
      <c r="AP16" s="28">
        <f t="shared" si="22"/>
        <v>345484.90340707242</v>
      </c>
      <c r="AQ16" s="28">
        <f t="shared" si="22"/>
        <v>345484.90340707242</v>
      </c>
      <c r="AR16" s="28">
        <f t="shared" si="22"/>
        <v>345484.90340707242</v>
      </c>
      <c r="AS16" s="28">
        <f t="shared" si="22"/>
        <v>345484.90340707242</v>
      </c>
      <c r="AT16" s="28">
        <f t="shared" si="22"/>
        <v>345484.90340707242</v>
      </c>
      <c r="AU16" s="28">
        <f t="shared" si="22"/>
        <v>345484.90340707242</v>
      </c>
      <c r="AV16" s="28">
        <f t="shared" si="22"/>
        <v>345484.90340707242</v>
      </c>
      <c r="AW16" s="28">
        <f t="shared" si="22"/>
        <v>345484.90340707242</v>
      </c>
      <c r="AX16" s="28">
        <f t="shared" ref="AX16:BB16" si="23">AX14-AX15</f>
        <v>345484.90340707242</v>
      </c>
      <c r="AY16" s="28">
        <f t="shared" si="23"/>
        <v>345484.90340707242</v>
      </c>
      <c r="AZ16" s="28">
        <f t="shared" si="23"/>
        <v>345484.90340707242</v>
      </c>
      <c r="BA16" s="28">
        <f t="shared" si="23"/>
        <v>345484.90340707242</v>
      </c>
      <c r="BB16" s="28">
        <f t="shared" si="23"/>
        <v>345484.90340707242</v>
      </c>
      <c r="BI16" s="2">
        <v>26319.784908831527</v>
      </c>
    </row>
    <row r="17" spans="4:61" x14ac:dyDescent="0.2">
      <c r="D17" s="2" t="s">
        <v>196</v>
      </c>
      <c r="E17" s="28">
        <f>E16/12</f>
        <v>23348.627174666664</v>
      </c>
      <c r="F17" s="28">
        <f t="shared" ref="F17:AW17" si="24">F16/12</f>
        <v>23348.627174666664</v>
      </c>
      <c r="G17" s="28">
        <f t="shared" si="24"/>
        <v>24058.814228666666</v>
      </c>
      <c r="H17" s="28">
        <f t="shared" si="24"/>
        <v>24058.814228666666</v>
      </c>
      <c r="I17" s="28">
        <f t="shared" si="24"/>
        <v>24058.814228666666</v>
      </c>
      <c r="J17" s="28">
        <f t="shared" si="24"/>
        <v>24058.814228666666</v>
      </c>
      <c r="K17" s="28">
        <f t="shared" si="24"/>
        <v>24790.306894286663</v>
      </c>
      <c r="L17" s="28">
        <f t="shared" si="24"/>
        <v>24790.306894286663</v>
      </c>
      <c r="M17" s="28">
        <f t="shared" si="24"/>
        <v>24790.306894286663</v>
      </c>
      <c r="N17" s="28">
        <f t="shared" si="24"/>
        <v>24790.306894286663</v>
      </c>
      <c r="O17" s="28">
        <f t="shared" si="24"/>
        <v>25543.744339875266</v>
      </c>
      <c r="P17" s="28">
        <f t="shared" si="24"/>
        <v>25543.744339875266</v>
      </c>
      <c r="Q17" s="28">
        <f t="shared" si="24"/>
        <v>25543.744339875266</v>
      </c>
      <c r="R17" s="28">
        <f t="shared" si="24"/>
        <v>26319.784908831527</v>
      </c>
      <c r="S17" s="28">
        <f t="shared" si="24"/>
        <v>26319.784908831527</v>
      </c>
      <c r="T17" s="28">
        <f t="shared" si="24"/>
        <v>26319.784908831527</v>
      </c>
      <c r="U17" s="28">
        <f t="shared" si="24"/>
        <v>26319.784908831527</v>
      </c>
      <c r="V17" s="28">
        <f t="shared" si="24"/>
        <v>26319.784908831527</v>
      </c>
      <c r="W17" s="28">
        <f t="shared" si="24"/>
        <v>27119.106694856473</v>
      </c>
      <c r="X17" s="28">
        <f t="shared" si="24"/>
        <v>27119.106694856473</v>
      </c>
      <c r="Y17" s="28">
        <f t="shared" si="24"/>
        <v>27119.106694856473</v>
      </c>
      <c r="Z17" s="28">
        <f t="shared" si="24"/>
        <v>27119.106694856473</v>
      </c>
      <c r="AA17" s="28">
        <f t="shared" si="24"/>
        <v>27942.408134462166</v>
      </c>
      <c r="AB17" s="28">
        <f t="shared" si="24"/>
        <v>27942.408134462166</v>
      </c>
      <c r="AC17" s="28">
        <f t="shared" si="24"/>
        <v>27942.408134462166</v>
      </c>
      <c r="AD17" s="28">
        <f t="shared" si="24"/>
        <v>27942.408134462166</v>
      </c>
      <c r="AE17" s="28">
        <f t="shared" si="24"/>
        <v>27942.408134462166</v>
      </c>
      <c r="AF17" s="28">
        <f t="shared" si="24"/>
        <v>27942.408134462166</v>
      </c>
      <c r="AG17" s="28">
        <f t="shared" si="24"/>
        <v>27942.408134462166</v>
      </c>
      <c r="AH17" s="28">
        <f t="shared" si="24"/>
        <v>27942.408134462166</v>
      </c>
      <c r="AI17" s="28">
        <f t="shared" si="24"/>
        <v>27942.408134462166</v>
      </c>
      <c r="AJ17" s="28">
        <f t="shared" si="24"/>
        <v>27942.408134462166</v>
      </c>
      <c r="AK17" s="28">
        <f t="shared" si="24"/>
        <v>27942.408134462166</v>
      </c>
      <c r="AL17" s="28">
        <f t="shared" si="24"/>
        <v>27942.408134462166</v>
      </c>
      <c r="AM17" s="28">
        <f t="shared" si="24"/>
        <v>27942.408134462166</v>
      </c>
      <c r="AN17" s="28">
        <f t="shared" si="24"/>
        <v>28790.408617256035</v>
      </c>
      <c r="AO17" s="28">
        <f t="shared" si="24"/>
        <v>28790.408617256035</v>
      </c>
      <c r="AP17" s="28">
        <f t="shared" si="24"/>
        <v>28790.408617256035</v>
      </c>
      <c r="AQ17" s="28">
        <f t="shared" si="24"/>
        <v>28790.408617256035</v>
      </c>
      <c r="AR17" s="28">
        <f t="shared" si="24"/>
        <v>28790.408617256035</v>
      </c>
      <c r="AS17" s="28">
        <f t="shared" si="24"/>
        <v>28790.408617256035</v>
      </c>
      <c r="AT17" s="28">
        <f t="shared" si="24"/>
        <v>28790.408617256035</v>
      </c>
      <c r="AU17" s="28">
        <f t="shared" si="24"/>
        <v>28790.408617256035</v>
      </c>
      <c r="AV17" s="28">
        <f t="shared" si="24"/>
        <v>28790.408617256035</v>
      </c>
      <c r="AW17" s="28">
        <f t="shared" si="24"/>
        <v>28790.408617256035</v>
      </c>
      <c r="AX17" s="28">
        <f t="shared" ref="AX17:BB17" si="25">AX16/12</f>
        <v>28790.408617256035</v>
      </c>
      <c r="AY17" s="28">
        <f t="shared" si="25"/>
        <v>28790.408617256035</v>
      </c>
      <c r="AZ17" s="28">
        <f t="shared" si="25"/>
        <v>28790.408617256035</v>
      </c>
      <c r="BA17" s="28">
        <f t="shared" si="25"/>
        <v>28790.408617256035</v>
      </c>
      <c r="BB17" s="28">
        <f t="shared" si="25"/>
        <v>28790.408617256035</v>
      </c>
      <c r="BI17" s="2">
        <v>26319.784908831527</v>
      </c>
    </row>
    <row r="18" spans="4:61" x14ac:dyDescent="0.2">
      <c r="BI18" s="2">
        <v>26319.784908831527</v>
      </c>
    </row>
    <row r="19" spans="4:61" x14ac:dyDescent="0.2">
      <c r="BI19" s="2">
        <v>26319.784908831527</v>
      </c>
    </row>
    <row r="20" spans="4:61" x14ac:dyDescent="0.2">
      <c r="D20" s="26"/>
      <c r="BI20" s="2">
        <v>27119.106694856473</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27119.106694856473</v>
      </c>
    </row>
    <row r="22" spans="4:61" x14ac:dyDescent="0.2">
      <c r="D22" s="2" t="s">
        <v>202</v>
      </c>
      <c r="E22" s="26">
        <f>'Pensions P1'!$B$18+'Pensions P1'!$B$22+'Pensions P1'!$B$31</f>
        <v>37942.010472916416</v>
      </c>
      <c r="F22" s="26">
        <f>'Pensions P1'!$B$18+'Pensions P1'!$B$22+'Pensions P1'!$B$31</f>
        <v>37942.010472916416</v>
      </c>
      <c r="G22" s="26">
        <f>'Pensions P1'!$B$18+'Pensions P1'!$B$22+'Pensions P1'!$B$31</f>
        <v>37942.010472916416</v>
      </c>
      <c r="H22" s="26">
        <f>'Pensions P1'!$B$18+'Pensions P1'!$B$22+'Pensions P1'!$B$31</f>
        <v>37942.010472916416</v>
      </c>
      <c r="I22" s="26">
        <f>'Pensions P1'!$B$18+'Pensions P1'!$B$22+'Pensions P1'!$B$31</f>
        <v>37942.010472916416</v>
      </c>
      <c r="J22" s="26">
        <f>'Pensions P1'!$B$18+'Pensions P1'!$B$22+'Pensions P1'!$B$31</f>
        <v>37942.010472916416</v>
      </c>
      <c r="K22" s="26">
        <f>'Pensions P1'!$B$18+'Pensions P1'!$B$22+'Pensions P1'!$B$31</f>
        <v>37942.010472916416</v>
      </c>
      <c r="L22" s="26">
        <f>'Pensions P1'!$B$18+'Pensions P1'!$B$22+'Pensions P1'!$B$31</f>
        <v>37942.010472916416</v>
      </c>
      <c r="M22" s="26">
        <f>'Pensions P1'!$B$18+'Pensions P1'!$B$22+'Pensions P1'!$B$31</f>
        <v>37942.010472916416</v>
      </c>
      <c r="N22" s="26">
        <f>'Pensions P1'!$B$18+'Pensions P1'!$B$22+'Pensions P1'!$B$31</f>
        <v>37942.010472916416</v>
      </c>
      <c r="O22" s="26">
        <f>'Pensions P1'!$B$18+'Pensions P1'!$B$22+'Pensions P1'!$B$31</f>
        <v>37942.010472916416</v>
      </c>
      <c r="P22" s="26">
        <f>'Pensions P1'!$B$18+'Pensions P1'!$B$22+'Pensions P1'!$B$31</f>
        <v>37942.010472916416</v>
      </c>
      <c r="Q22" s="26">
        <f>'Pensions P1'!$B$18+'Pensions P1'!$B$22+'Pensions P1'!$B$31</f>
        <v>37942.010472916416</v>
      </c>
      <c r="R22" s="26">
        <f>'Pensions P1'!$B$18+'Pensions P1'!$B$22+'Pensions P1'!$B$31</f>
        <v>37942.010472916416</v>
      </c>
      <c r="S22" s="26">
        <f>'Pensions P1'!$B$18+'Pensions P1'!$B$22+'Pensions P1'!$B$31</f>
        <v>37942.010472916416</v>
      </c>
      <c r="T22" s="26">
        <f>'Pensions P1'!$B$18+'Pensions P1'!$B$22+'Pensions P1'!$B$31</f>
        <v>37942.010472916416</v>
      </c>
      <c r="U22" s="26">
        <f>'Pensions P1'!$B$18+'Pensions P1'!$B$22+'Pensions P1'!$B$31</f>
        <v>37942.010472916416</v>
      </c>
      <c r="V22" s="26">
        <f>'Pensions P1'!$B$18+'Pensions P1'!$B$22+'Pensions P1'!$B$31</f>
        <v>37942.010472916416</v>
      </c>
      <c r="W22" s="26">
        <f>'Pensions P1'!$B$18+'Pensions P1'!$B$22+'Pensions P1'!$B$31</f>
        <v>37942.010472916416</v>
      </c>
      <c r="X22" s="26">
        <f>'Pensions P1'!$B$18+'Pensions P1'!$B$22+'Pensions P1'!$B$31</f>
        <v>37942.010472916416</v>
      </c>
      <c r="Y22" s="26">
        <f>'Pensions P1'!$B$18+'Pensions P1'!$B$22+'Pensions P1'!$B$31</f>
        <v>37942.010472916416</v>
      </c>
      <c r="Z22" s="26">
        <f>'Pensions P1'!$B$18+'Pensions P1'!$B$22+'Pensions P1'!$B$31</f>
        <v>37942.010472916416</v>
      </c>
      <c r="AA22" s="26">
        <f>'Pensions P1'!$B$18+'Pensions P1'!$B$22+'Pensions P1'!$B$31</f>
        <v>37942.010472916416</v>
      </c>
      <c r="AB22" s="26">
        <f>'Pensions P1'!$B$18+'Pensions P1'!$B$22+'Pensions P1'!$B$31</f>
        <v>37942.010472916416</v>
      </c>
      <c r="AC22" s="26">
        <f>'Pensions P1'!$B$18+'Pensions P1'!$B$22+'Pensions P1'!$B$31</f>
        <v>37942.010472916416</v>
      </c>
      <c r="BI22" s="2">
        <v>27119.106694856473</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27119.106694856473</v>
      </c>
    </row>
    <row r="24" spans="4:61" x14ac:dyDescent="0.2">
      <c r="D24" s="2" t="s">
        <v>203</v>
      </c>
      <c r="E24" s="26">
        <f>E22*12</f>
        <v>455304.12567499699</v>
      </c>
      <c r="F24" s="26">
        <f t="shared" ref="F24:AC24" si="26">F22*12</f>
        <v>455304.12567499699</v>
      </c>
      <c r="G24" s="26">
        <f t="shared" si="26"/>
        <v>455304.12567499699</v>
      </c>
      <c r="H24" s="26">
        <f t="shared" si="26"/>
        <v>455304.12567499699</v>
      </c>
      <c r="I24" s="26">
        <f t="shared" si="26"/>
        <v>455304.12567499699</v>
      </c>
      <c r="J24" s="26">
        <f t="shared" si="26"/>
        <v>455304.12567499699</v>
      </c>
      <c r="K24" s="26">
        <f t="shared" si="26"/>
        <v>455304.12567499699</v>
      </c>
      <c r="L24" s="26">
        <f t="shared" si="26"/>
        <v>455304.12567499699</v>
      </c>
      <c r="M24" s="26">
        <f t="shared" si="26"/>
        <v>455304.12567499699</v>
      </c>
      <c r="N24" s="26">
        <f t="shared" si="26"/>
        <v>455304.12567499699</v>
      </c>
      <c r="O24" s="26">
        <f t="shared" si="26"/>
        <v>455304.12567499699</v>
      </c>
      <c r="P24" s="26">
        <f t="shared" si="26"/>
        <v>455304.12567499699</v>
      </c>
      <c r="Q24" s="26">
        <f t="shared" si="26"/>
        <v>455304.12567499699</v>
      </c>
      <c r="R24" s="26">
        <f t="shared" si="26"/>
        <v>455304.12567499699</v>
      </c>
      <c r="S24" s="26">
        <f t="shared" si="26"/>
        <v>455304.12567499699</v>
      </c>
      <c r="T24" s="26">
        <f t="shared" si="26"/>
        <v>455304.12567499699</v>
      </c>
      <c r="U24" s="26">
        <f t="shared" si="26"/>
        <v>455304.12567499699</v>
      </c>
      <c r="V24" s="26">
        <f t="shared" si="26"/>
        <v>455304.12567499699</v>
      </c>
      <c r="W24" s="26">
        <f t="shared" si="26"/>
        <v>455304.12567499699</v>
      </c>
      <c r="X24" s="26">
        <f t="shared" si="26"/>
        <v>455304.12567499699</v>
      </c>
      <c r="Y24" s="26">
        <f t="shared" si="26"/>
        <v>455304.12567499699</v>
      </c>
      <c r="Z24" s="26">
        <f t="shared" si="26"/>
        <v>455304.12567499699</v>
      </c>
      <c r="AA24" s="26">
        <f t="shared" si="26"/>
        <v>455304.12567499699</v>
      </c>
      <c r="AB24" s="26">
        <f t="shared" si="26"/>
        <v>455304.12567499699</v>
      </c>
      <c r="AC24" s="26">
        <f t="shared" si="26"/>
        <v>455304.12567499699</v>
      </c>
      <c r="BI24" s="2">
        <v>27942.408134462166</v>
      </c>
    </row>
    <row r="25" spans="4:61" x14ac:dyDescent="0.2">
      <c r="D25" s="2" t="s">
        <v>189</v>
      </c>
      <c r="E25" s="26">
        <f>E24*$B$9</f>
        <v>113826.03141874925</v>
      </c>
      <c r="F25" s="26">
        <f t="shared" ref="F25:AC25" si="27">F24*$B$9</f>
        <v>113826.03141874925</v>
      </c>
      <c r="G25" s="26">
        <f t="shared" si="27"/>
        <v>113826.03141874925</v>
      </c>
      <c r="H25" s="26">
        <f t="shared" si="27"/>
        <v>113826.03141874925</v>
      </c>
      <c r="I25" s="26">
        <f t="shared" si="27"/>
        <v>113826.03141874925</v>
      </c>
      <c r="J25" s="26">
        <f t="shared" si="27"/>
        <v>113826.03141874925</v>
      </c>
      <c r="K25" s="26">
        <f t="shared" si="27"/>
        <v>113826.03141874925</v>
      </c>
      <c r="L25" s="26">
        <f t="shared" si="27"/>
        <v>113826.03141874925</v>
      </c>
      <c r="M25" s="26">
        <f t="shared" si="27"/>
        <v>113826.03141874925</v>
      </c>
      <c r="N25" s="26">
        <f t="shared" si="27"/>
        <v>113826.03141874925</v>
      </c>
      <c r="O25" s="26">
        <f t="shared" si="27"/>
        <v>113826.03141874925</v>
      </c>
      <c r="P25" s="26">
        <f t="shared" si="27"/>
        <v>113826.03141874925</v>
      </c>
      <c r="Q25" s="26">
        <f t="shared" si="27"/>
        <v>113826.03141874925</v>
      </c>
      <c r="R25" s="26">
        <f t="shared" si="27"/>
        <v>113826.03141874925</v>
      </c>
      <c r="S25" s="26">
        <f t="shared" si="27"/>
        <v>113826.03141874925</v>
      </c>
      <c r="T25" s="26">
        <f t="shared" si="27"/>
        <v>113826.03141874925</v>
      </c>
      <c r="U25" s="26">
        <f t="shared" si="27"/>
        <v>113826.03141874925</v>
      </c>
      <c r="V25" s="26">
        <f t="shared" si="27"/>
        <v>113826.03141874925</v>
      </c>
      <c r="W25" s="26">
        <f t="shared" si="27"/>
        <v>113826.03141874925</v>
      </c>
      <c r="X25" s="26">
        <f t="shared" si="27"/>
        <v>113826.03141874925</v>
      </c>
      <c r="Y25" s="26">
        <f t="shared" si="27"/>
        <v>113826.03141874925</v>
      </c>
      <c r="Z25" s="26">
        <f t="shared" si="27"/>
        <v>113826.03141874925</v>
      </c>
      <c r="AA25" s="26">
        <f t="shared" si="27"/>
        <v>113826.03141874925</v>
      </c>
      <c r="AB25" s="26">
        <f t="shared" si="27"/>
        <v>113826.03141874925</v>
      </c>
      <c r="AC25" s="26">
        <f t="shared" si="27"/>
        <v>113826.03141874925</v>
      </c>
      <c r="BI25" s="2">
        <v>27942.408134462166</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27942.408134462166</v>
      </c>
    </row>
    <row r="27" spans="4:61" x14ac:dyDescent="0.2">
      <c r="D27" s="2" t="s">
        <v>191</v>
      </c>
      <c r="E27" s="26">
        <f>E24*$B$6</f>
        <v>54682.02549356714</v>
      </c>
      <c r="F27" s="26">
        <f t="shared" ref="F27:AC27" si="29">F24*$B$6</f>
        <v>54682.02549356714</v>
      </c>
      <c r="G27" s="26">
        <f t="shared" si="29"/>
        <v>54682.02549356714</v>
      </c>
      <c r="H27" s="26">
        <f t="shared" si="29"/>
        <v>54682.02549356714</v>
      </c>
      <c r="I27" s="26">
        <f t="shared" si="29"/>
        <v>54682.02549356714</v>
      </c>
      <c r="J27" s="26">
        <f t="shared" si="29"/>
        <v>54682.02549356714</v>
      </c>
      <c r="K27" s="26">
        <f t="shared" si="29"/>
        <v>54682.02549356714</v>
      </c>
      <c r="L27" s="26">
        <f t="shared" si="29"/>
        <v>54682.02549356714</v>
      </c>
      <c r="M27" s="26">
        <f t="shared" si="29"/>
        <v>54682.02549356714</v>
      </c>
      <c r="N27" s="26">
        <f t="shared" si="29"/>
        <v>54682.02549356714</v>
      </c>
      <c r="O27" s="26">
        <f t="shared" si="29"/>
        <v>54682.02549356714</v>
      </c>
      <c r="P27" s="26">
        <f t="shared" si="29"/>
        <v>54682.02549356714</v>
      </c>
      <c r="Q27" s="26">
        <f t="shared" si="29"/>
        <v>54682.02549356714</v>
      </c>
      <c r="R27" s="26">
        <f t="shared" si="29"/>
        <v>54682.02549356714</v>
      </c>
      <c r="S27" s="26">
        <f t="shared" si="29"/>
        <v>54682.02549356714</v>
      </c>
      <c r="T27" s="26">
        <f t="shared" si="29"/>
        <v>54682.02549356714</v>
      </c>
      <c r="U27" s="26">
        <f t="shared" si="29"/>
        <v>54682.02549356714</v>
      </c>
      <c r="V27" s="26">
        <f t="shared" si="29"/>
        <v>54682.02549356714</v>
      </c>
      <c r="W27" s="26">
        <f t="shared" si="29"/>
        <v>54682.02549356714</v>
      </c>
      <c r="X27" s="26">
        <f t="shared" si="29"/>
        <v>54682.02549356714</v>
      </c>
      <c r="Y27" s="26">
        <f t="shared" si="29"/>
        <v>54682.02549356714</v>
      </c>
      <c r="Z27" s="26">
        <f t="shared" si="29"/>
        <v>54682.02549356714</v>
      </c>
      <c r="AA27" s="26">
        <f t="shared" si="29"/>
        <v>54682.02549356714</v>
      </c>
      <c r="AB27" s="26">
        <f t="shared" si="29"/>
        <v>54682.02549356714</v>
      </c>
      <c r="AC27" s="26">
        <f t="shared" si="29"/>
        <v>54682.02549356714</v>
      </c>
      <c r="BI27" s="2">
        <v>27942.408134462166</v>
      </c>
    </row>
    <row r="28" spans="4:61" x14ac:dyDescent="0.2">
      <c r="D28" s="2" t="s">
        <v>192</v>
      </c>
      <c r="E28" s="26">
        <f>SUM(E25:E27)</f>
        <v>168508.05691231639</v>
      </c>
      <c r="F28" s="26">
        <f>SUM(F25:F27)</f>
        <v>168508.05691231639</v>
      </c>
      <c r="G28" s="26">
        <f t="shared" ref="G28:AC28" si="30">SUM(G25:G27)</f>
        <v>168508.05691231639</v>
      </c>
      <c r="H28" s="26">
        <f t="shared" si="30"/>
        <v>168508.05691231639</v>
      </c>
      <c r="I28" s="26">
        <f t="shared" si="30"/>
        <v>168508.05691231639</v>
      </c>
      <c r="J28" s="26">
        <f t="shared" si="30"/>
        <v>168508.05691231639</v>
      </c>
      <c r="K28" s="26">
        <f t="shared" si="30"/>
        <v>168508.05691231639</v>
      </c>
      <c r="L28" s="26">
        <f t="shared" si="30"/>
        <v>168508.05691231639</v>
      </c>
      <c r="M28" s="26">
        <f t="shared" si="30"/>
        <v>168508.05691231639</v>
      </c>
      <c r="N28" s="26">
        <f t="shared" si="30"/>
        <v>168508.05691231639</v>
      </c>
      <c r="O28" s="26">
        <f t="shared" si="30"/>
        <v>168508.05691231639</v>
      </c>
      <c r="P28" s="26">
        <f t="shared" si="30"/>
        <v>168508.05691231639</v>
      </c>
      <c r="Q28" s="26">
        <f t="shared" si="30"/>
        <v>168508.05691231639</v>
      </c>
      <c r="R28" s="26">
        <f t="shared" si="30"/>
        <v>168508.05691231639</v>
      </c>
      <c r="S28" s="26">
        <f t="shared" si="30"/>
        <v>168508.05691231639</v>
      </c>
      <c r="T28" s="26">
        <f t="shared" si="30"/>
        <v>168508.05691231639</v>
      </c>
      <c r="U28" s="26">
        <f t="shared" si="30"/>
        <v>168508.05691231639</v>
      </c>
      <c r="V28" s="26">
        <f t="shared" si="30"/>
        <v>168508.05691231639</v>
      </c>
      <c r="W28" s="26">
        <f t="shared" si="30"/>
        <v>168508.05691231639</v>
      </c>
      <c r="X28" s="26">
        <f t="shared" si="30"/>
        <v>168508.05691231639</v>
      </c>
      <c r="Y28" s="26">
        <f t="shared" si="30"/>
        <v>168508.05691231639</v>
      </c>
      <c r="Z28" s="26">
        <f t="shared" si="30"/>
        <v>168508.05691231639</v>
      </c>
      <c r="AA28" s="26">
        <f t="shared" si="30"/>
        <v>168508.05691231639</v>
      </c>
      <c r="AB28" s="26">
        <f t="shared" si="30"/>
        <v>168508.05691231639</v>
      </c>
      <c r="AC28" s="26">
        <f t="shared" si="30"/>
        <v>168508.05691231639</v>
      </c>
      <c r="BI28" s="2">
        <v>27942.408134462166</v>
      </c>
    </row>
    <row r="29" spans="4:61" x14ac:dyDescent="0.2">
      <c r="D29" s="2" t="s">
        <v>193</v>
      </c>
      <c r="E29" s="26">
        <f>E24-E28</f>
        <v>286796.06876268063</v>
      </c>
      <c r="F29" s="26">
        <f t="shared" ref="F29:AC29" si="31">F24-F28</f>
        <v>286796.06876268063</v>
      </c>
      <c r="G29" s="26">
        <f t="shared" si="31"/>
        <v>286796.06876268063</v>
      </c>
      <c r="H29" s="26">
        <f t="shared" si="31"/>
        <v>286796.06876268063</v>
      </c>
      <c r="I29" s="26">
        <f t="shared" si="31"/>
        <v>286796.06876268063</v>
      </c>
      <c r="J29" s="26">
        <f t="shared" si="31"/>
        <v>286796.06876268063</v>
      </c>
      <c r="K29" s="26">
        <f t="shared" si="31"/>
        <v>286796.06876268063</v>
      </c>
      <c r="L29" s="26">
        <f t="shared" si="31"/>
        <v>286796.06876268063</v>
      </c>
      <c r="M29" s="26">
        <f t="shared" si="31"/>
        <v>286796.06876268063</v>
      </c>
      <c r="N29" s="26">
        <f t="shared" si="31"/>
        <v>286796.06876268063</v>
      </c>
      <c r="O29" s="26">
        <f t="shared" si="31"/>
        <v>286796.06876268063</v>
      </c>
      <c r="P29" s="26">
        <f t="shared" si="31"/>
        <v>286796.06876268063</v>
      </c>
      <c r="Q29" s="26">
        <f t="shared" si="31"/>
        <v>286796.06876268063</v>
      </c>
      <c r="R29" s="26">
        <f t="shared" si="31"/>
        <v>286796.06876268063</v>
      </c>
      <c r="S29" s="26">
        <f t="shared" si="31"/>
        <v>286796.06876268063</v>
      </c>
      <c r="T29" s="26">
        <f t="shared" si="31"/>
        <v>286796.06876268063</v>
      </c>
      <c r="U29" s="26">
        <f t="shared" si="31"/>
        <v>286796.06876268063</v>
      </c>
      <c r="V29" s="26">
        <f t="shared" si="31"/>
        <v>286796.06876268063</v>
      </c>
      <c r="W29" s="26">
        <f t="shared" si="31"/>
        <v>286796.06876268063</v>
      </c>
      <c r="X29" s="26">
        <f t="shared" si="31"/>
        <v>286796.06876268063</v>
      </c>
      <c r="Y29" s="26">
        <f t="shared" si="31"/>
        <v>286796.06876268063</v>
      </c>
      <c r="Z29" s="26">
        <f t="shared" si="31"/>
        <v>286796.06876268063</v>
      </c>
      <c r="AA29" s="26">
        <f t="shared" si="31"/>
        <v>286796.06876268063</v>
      </c>
      <c r="AB29" s="26">
        <f t="shared" si="31"/>
        <v>286796.06876268063</v>
      </c>
      <c r="AC29" s="26">
        <f t="shared" si="31"/>
        <v>286796.06876268063</v>
      </c>
      <c r="BI29" s="2">
        <v>27942.408134462166</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27942.408134462166</v>
      </c>
    </row>
    <row r="31" spans="4:61" x14ac:dyDescent="0.2">
      <c r="D31" s="2" t="s">
        <v>196</v>
      </c>
      <c r="E31" s="26">
        <f>(E29/12)+E30</f>
        <v>27069.036965524087</v>
      </c>
      <c r="F31" s="26">
        <f t="shared" ref="F31:AC31" si="32">(F29/12)+F30</f>
        <v>27069.036965524087</v>
      </c>
      <c r="G31" s="26">
        <f t="shared" si="32"/>
        <v>27069.036965524087</v>
      </c>
      <c r="H31" s="26">
        <f t="shared" si="32"/>
        <v>27069.036965524087</v>
      </c>
      <c r="I31" s="26">
        <f t="shared" si="32"/>
        <v>27069.036965524087</v>
      </c>
      <c r="J31" s="26">
        <f t="shared" si="32"/>
        <v>27069.036965524087</v>
      </c>
      <c r="K31" s="26">
        <f t="shared" si="32"/>
        <v>27069.036965524087</v>
      </c>
      <c r="L31" s="26">
        <f t="shared" si="32"/>
        <v>27069.036965524087</v>
      </c>
      <c r="M31" s="26">
        <f t="shared" si="32"/>
        <v>27069.036965524087</v>
      </c>
      <c r="N31" s="26">
        <f t="shared" si="32"/>
        <v>27069.036965524087</v>
      </c>
      <c r="O31" s="26">
        <f t="shared" si="32"/>
        <v>27069.036965524087</v>
      </c>
      <c r="P31" s="26">
        <f t="shared" si="32"/>
        <v>27069.036965524087</v>
      </c>
      <c r="Q31" s="26">
        <f t="shared" si="32"/>
        <v>27069.036965524087</v>
      </c>
      <c r="R31" s="26">
        <f t="shared" si="32"/>
        <v>27069.036965524087</v>
      </c>
      <c r="S31" s="26">
        <f t="shared" si="32"/>
        <v>27069.036965524087</v>
      </c>
      <c r="T31" s="26">
        <f t="shared" si="32"/>
        <v>27069.036965524087</v>
      </c>
      <c r="U31" s="26">
        <f t="shared" si="32"/>
        <v>27069.036965524087</v>
      </c>
      <c r="V31" s="26">
        <f t="shared" si="32"/>
        <v>27069.036965524087</v>
      </c>
      <c r="W31" s="26">
        <f t="shared" si="32"/>
        <v>27069.036965524087</v>
      </c>
      <c r="X31" s="26">
        <f t="shared" si="32"/>
        <v>27069.036965524087</v>
      </c>
      <c r="Y31" s="26">
        <f t="shared" si="32"/>
        <v>27069.036965524087</v>
      </c>
      <c r="Z31" s="26">
        <f t="shared" si="32"/>
        <v>27069.036965524087</v>
      </c>
      <c r="AA31" s="26">
        <f t="shared" si="32"/>
        <v>27069.036965524087</v>
      </c>
      <c r="AB31" s="26">
        <f t="shared" si="32"/>
        <v>27069.036965524087</v>
      </c>
      <c r="AC31" s="26">
        <f t="shared" si="32"/>
        <v>27069.036965524087</v>
      </c>
      <c r="BI31" s="2">
        <v>27942.408134462166</v>
      </c>
    </row>
    <row r="32" spans="4:61" x14ac:dyDescent="0.2">
      <c r="D32" s="2" t="s">
        <v>274</v>
      </c>
      <c r="E32" s="26">
        <f>Income!$K$52</f>
        <v>23032.326893804828</v>
      </c>
      <c r="F32" s="26">
        <f>Income!$K$52</f>
        <v>23032.326893804828</v>
      </c>
      <c r="G32" s="26">
        <f>Income!$K$52</f>
        <v>23032.326893804828</v>
      </c>
      <c r="H32" s="26">
        <f>Income!$K$52</f>
        <v>23032.326893804828</v>
      </c>
      <c r="I32" s="26">
        <f>Income!$K$52</f>
        <v>23032.326893804828</v>
      </c>
      <c r="J32" s="26">
        <f>Income!$K$52</f>
        <v>23032.326893804828</v>
      </c>
      <c r="K32" s="26">
        <f>Income!$K$52</f>
        <v>23032.326893804828</v>
      </c>
      <c r="L32" s="26">
        <f>Income!$K$52</f>
        <v>23032.326893804828</v>
      </c>
      <c r="M32" s="26">
        <f>Income!$K$52</f>
        <v>23032.326893804828</v>
      </c>
      <c r="N32" s="26">
        <f>Income!$K$52</f>
        <v>23032.326893804828</v>
      </c>
      <c r="O32" s="26">
        <f>Income!$K$52</f>
        <v>23032.326893804828</v>
      </c>
      <c r="P32" s="26">
        <f>Income!$K$52</f>
        <v>23032.326893804828</v>
      </c>
      <c r="Q32" s="26">
        <f>Income!$K$52</f>
        <v>23032.326893804828</v>
      </c>
      <c r="R32" s="26">
        <f>Income!$K$52</f>
        <v>23032.326893804828</v>
      </c>
      <c r="S32" s="26">
        <f>Income!$K$52</f>
        <v>23032.326893804828</v>
      </c>
      <c r="T32" s="26">
        <f>Income!$K$52</f>
        <v>23032.326893804828</v>
      </c>
      <c r="U32" s="26">
        <f>Income!$K$52</f>
        <v>23032.326893804828</v>
      </c>
      <c r="V32" s="26">
        <f>Income!$K$52</f>
        <v>23032.326893804828</v>
      </c>
      <c r="W32" s="26">
        <f>Income!$K$52</f>
        <v>23032.326893804828</v>
      </c>
      <c r="X32" s="26">
        <f>Income!$K$52</f>
        <v>23032.326893804828</v>
      </c>
      <c r="Y32" s="26">
        <f>Income!$K$52</f>
        <v>23032.326893804828</v>
      </c>
      <c r="Z32" s="26">
        <f>Income!$K$52</f>
        <v>23032.326893804828</v>
      </c>
      <c r="AA32" s="26">
        <f>Income!$K$52</f>
        <v>23032.326893804828</v>
      </c>
      <c r="AB32" s="26">
        <f>Income!$K$52</f>
        <v>23032.326893804828</v>
      </c>
      <c r="AC32" s="26">
        <f>Income!$K$52</f>
        <v>23032.326893804828</v>
      </c>
      <c r="BI32" s="2">
        <v>27942.408134462166</v>
      </c>
    </row>
    <row r="33" spans="4:61" x14ac:dyDescent="0.2">
      <c r="D33" s="2" t="s">
        <v>204</v>
      </c>
      <c r="E33" s="26">
        <f>E32-E31</f>
        <v>-4036.7100717192588</v>
      </c>
      <c r="F33" s="26">
        <f t="shared" ref="F33:AC33" si="33">F32-F31</f>
        <v>-4036.7100717192588</v>
      </c>
      <c r="G33" s="26">
        <f t="shared" si="33"/>
        <v>-4036.7100717192588</v>
      </c>
      <c r="H33" s="26">
        <f t="shared" si="33"/>
        <v>-4036.7100717192588</v>
      </c>
      <c r="I33" s="26">
        <f t="shared" si="33"/>
        <v>-4036.7100717192588</v>
      </c>
      <c r="J33" s="26">
        <f t="shared" si="33"/>
        <v>-4036.7100717192588</v>
      </c>
      <c r="K33" s="26">
        <f t="shared" si="33"/>
        <v>-4036.7100717192588</v>
      </c>
      <c r="L33" s="26">
        <f t="shared" si="33"/>
        <v>-4036.7100717192588</v>
      </c>
      <c r="M33" s="26">
        <f t="shared" si="33"/>
        <v>-4036.7100717192588</v>
      </c>
      <c r="N33" s="26">
        <f t="shared" si="33"/>
        <v>-4036.7100717192588</v>
      </c>
      <c r="O33" s="26">
        <f t="shared" si="33"/>
        <v>-4036.7100717192588</v>
      </c>
      <c r="P33" s="26">
        <f t="shared" si="33"/>
        <v>-4036.7100717192588</v>
      </c>
      <c r="Q33" s="26">
        <f t="shared" si="33"/>
        <v>-4036.7100717192588</v>
      </c>
      <c r="R33" s="26">
        <f t="shared" si="33"/>
        <v>-4036.7100717192588</v>
      </c>
      <c r="S33" s="26">
        <f t="shared" si="33"/>
        <v>-4036.7100717192588</v>
      </c>
      <c r="T33" s="26">
        <f t="shared" si="33"/>
        <v>-4036.7100717192588</v>
      </c>
      <c r="U33" s="26">
        <f t="shared" si="33"/>
        <v>-4036.7100717192588</v>
      </c>
      <c r="V33" s="26">
        <f t="shared" si="33"/>
        <v>-4036.7100717192588</v>
      </c>
      <c r="W33" s="26">
        <f t="shared" si="33"/>
        <v>-4036.7100717192588</v>
      </c>
      <c r="X33" s="26">
        <f t="shared" si="33"/>
        <v>-4036.7100717192588</v>
      </c>
      <c r="Y33" s="26">
        <f t="shared" si="33"/>
        <v>-4036.7100717192588</v>
      </c>
      <c r="Z33" s="26">
        <f t="shared" si="33"/>
        <v>-4036.7100717192588</v>
      </c>
      <c r="AA33" s="26">
        <f t="shared" si="33"/>
        <v>-4036.7100717192588</v>
      </c>
      <c r="AB33" s="26">
        <f t="shared" si="33"/>
        <v>-4036.7100717192588</v>
      </c>
      <c r="AC33" s="26">
        <f t="shared" si="33"/>
        <v>-4036.7100717192588</v>
      </c>
      <c r="BI33" s="2">
        <v>27942.408134462166</v>
      </c>
    </row>
    <row r="34" spans="4:61" x14ac:dyDescent="0.2">
      <c r="D34" s="2" t="s">
        <v>264</v>
      </c>
      <c r="E34" s="26">
        <f>E33*(1+$B$10)</f>
        <v>-5126.6217910834584</v>
      </c>
      <c r="F34" s="26">
        <f t="shared" ref="F34:AC34" si="34">F33*(1+$B$10)</f>
        <v>-5126.6217910834584</v>
      </c>
      <c r="G34" s="26">
        <f t="shared" si="34"/>
        <v>-5126.6217910834584</v>
      </c>
      <c r="H34" s="26">
        <f t="shared" si="34"/>
        <v>-5126.6217910834584</v>
      </c>
      <c r="I34" s="26">
        <f t="shared" si="34"/>
        <v>-5126.6217910834584</v>
      </c>
      <c r="J34" s="26">
        <f t="shared" si="34"/>
        <v>-5126.6217910834584</v>
      </c>
      <c r="K34" s="26">
        <f t="shared" si="34"/>
        <v>-5126.6217910834584</v>
      </c>
      <c r="L34" s="26">
        <f t="shared" si="34"/>
        <v>-5126.6217910834584</v>
      </c>
      <c r="M34" s="26">
        <f t="shared" si="34"/>
        <v>-5126.6217910834584</v>
      </c>
      <c r="N34" s="26">
        <f t="shared" si="34"/>
        <v>-5126.6217910834584</v>
      </c>
      <c r="O34" s="26">
        <f t="shared" si="34"/>
        <v>-5126.6217910834584</v>
      </c>
      <c r="P34" s="26">
        <f t="shared" si="34"/>
        <v>-5126.6217910834584</v>
      </c>
      <c r="Q34" s="26">
        <f t="shared" si="34"/>
        <v>-5126.6217910834584</v>
      </c>
      <c r="R34" s="26">
        <f t="shared" si="34"/>
        <v>-5126.6217910834584</v>
      </c>
      <c r="S34" s="26">
        <f t="shared" si="34"/>
        <v>-5126.6217910834584</v>
      </c>
      <c r="T34" s="26">
        <f t="shared" si="34"/>
        <v>-5126.6217910834584</v>
      </c>
      <c r="U34" s="26">
        <f t="shared" si="34"/>
        <v>-5126.6217910834584</v>
      </c>
      <c r="V34" s="26">
        <f t="shared" si="34"/>
        <v>-5126.6217910834584</v>
      </c>
      <c r="W34" s="26">
        <f t="shared" si="34"/>
        <v>-5126.6217910834584</v>
      </c>
      <c r="X34" s="26">
        <f t="shared" si="34"/>
        <v>-5126.6217910834584</v>
      </c>
      <c r="Y34" s="26">
        <f t="shared" si="34"/>
        <v>-5126.6217910834584</v>
      </c>
      <c r="Z34" s="26">
        <f t="shared" si="34"/>
        <v>-5126.6217910834584</v>
      </c>
      <c r="AA34" s="26">
        <f t="shared" si="34"/>
        <v>-5126.6217910834584</v>
      </c>
      <c r="AB34" s="26">
        <f t="shared" si="34"/>
        <v>-5126.6217910834584</v>
      </c>
      <c r="AC34" s="26">
        <f t="shared" si="34"/>
        <v>-5126.6217910834584</v>
      </c>
      <c r="BI34" s="2">
        <v>27942.408134462166</v>
      </c>
    </row>
    <row r="35" spans="4:61" x14ac:dyDescent="0.2">
      <c r="D35" s="2" t="s">
        <v>265</v>
      </c>
      <c r="E35" s="26">
        <f>E34*12</f>
        <v>-61519.461493001501</v>
      </c>
      <c r="F35" s="26">
        <f t="shared" ref="F35:AC35" si="35">F34*12</f>
        <v>-61519.461493001501</v>
      </c>
      <c r="G35" s="26">
        <f t="shared" si="35"/>
        <v>-61519.461493001501</v>
      </c>
      <c r="H35" s="26">
        <f t="shared" si="35"/>
        <v>-61519.461493001501</v>
      </c>
      <c r="I35" s="26">
        <f t="shared" si="35"/>
        <v>-61519.461493001501</v>
      </c>
      <c r="J35" s="26">
        <f t="shared" si="35"/>
        <v>-61519.461493001501</v>
      </c>
      <c r="K35" s="26">
        <f t="shared" si="35"/>
        <v>-61519.461493001501</v>
      </c>
      <c r="L35" s="26">
        <f t="shared" si="35"/>
        <v>-61519.461493001501</v>
      </c>
      <c r="M35" s="26">
        <f t="shared" si="35"/>
        <v>-61519.461493001501</v>
      </c>
      <c r="N35" s="26">
        <f t="shared" si="35"/>
        <v>-61519.461493001501</v>
      </c>
      <c r="O35" s="26">
        <f t="shared" si="35"/>
        <v>-61519.461493001501</v>
      </c>
      <c r="P35" s="26">
        <f t="shared" si="35"/>
        <v>-61519.461493001501</v>
      </c>
      <c r="Q35" s="26">
        <f t="shared" si="35"/>
        <v>-61519.461493001501</v>
      </c>
      <c r="R35" s="26">
        <f t="shared" si="35"/>
        <v>-61519.461493001501</v>
      </c>
      <c r="S35" s="26">
        <f t="shared" si="35"/>
        <v>-61519.461493001501</v>
      </c>
      <c r="T35" s="26">
        <f t="shared" si="35"/>
        <v>-61519.461493001501</v>
      </c>
      <c r="U35" s="26">
        <f t="shared" si="35"/>
        <v>-61519.461493001501</v>
      </c>
      <c r="V35" s="26">
        <f t="shared" si="35"/>
        <v>-61519.461493001501</v>
      </c>
      <c r="W35" s="26">
        <f t="shared" si="35"/>
        <v>-61519.461493001501</v>
      </c>
      <c r="X35" s="26">
        <f t="shared" si="35"/>
        <v>-61519.461493001501</v>
      </c>
      <c r="Y35" s="26">
        <f t="shared" si="35"/>
        <v>-61519.461493001501</v>
      </c>
      <c r="Z35" s="26">
        <f t="shared" si="35"/>
        <v>-61519.461493001501</v>
      </c>
      <c r="AA35" s="26">
        <f t="shared" si="35"/>
        <v>-61519.461493001501</v>
      </c>
      <c r="AB35" s="26">
        <f t="shared" si="35"/>
        <v>-61519.461493001501</v>
      </c>
      <c r="AC35" s="26">
        <f t="shared" si="35"/>
        <v>-61519.461493001501</v>
      </c>
      <c r="BI35" s="2">
        <v>27942.408134462166</v>
      </c>
    </row>
    <row r="36" spans="4:61" x14ac:dyDescent="0.2">
      <c r="BI36" s="2">
        <v>27942.408134462166</v>
      </c>
    </row>
    <row r="37" spans="4:61" x14ac:dyDescent="0.2">
      <c r="D37" s="2" t="s">
        <v>205</v>
      </c>
      <c r="E37" s="27">
        <f>SUM(E35:AC35)</f>
        <v>-1537986.5373250383</v>
      </c>
      <c r="BI37" s="2">
        <v>28790.408617256035</v>
      </c>
    </row>
    <row r="38" spans="4:61" x14ac:dyDescent="0.2">
      <c r="E38" s="26"/>
      <c r="BI38" s="2">
        <v>28790.408617256035</v>
      </c>
    </row>
    <row r="39" spans="4:61" x14ac:dyDescent="0.2">
      <c r="E39" s="57">
        <f>1500000</f>
        <v>1500000</v>
      </c>
      <c r="F39" s="57">
        <f>E39/25</f>
        <v>60000</v>
      </c>
      <c r="BI39" s="2">
        <v>28790.408617256035</v>
      </c>
    </row>
    <row r="40" spans="4:61" x14ac:dyDescent="0.2">
      <c r="BI40" s="2">
        <v>28790.408617256035</v>
      </c>
    </row>
    <row r="41" spans="4:61" x14ac:dyDescent="0.2">
      <c r="BI41" s="2">
        <v>28790.408617256035</v>
      </c>
    </row>
    <row r="42" spans="4:61" x14ac:dyDescent="0.2">
      <c r="BI42" s="2">
        <v>28790.408617256035</v>
      </c>
    </row>
    <row r="43" spans="4:61" x14ac:dyDescent="0.2">
      <c r="E43" s="28"/>
      <c r="BI43" s="2">
        <v>28790.408617256035</v>
      </c>
    </row>
    <row r="44" spans="4:61" x14ac:dyDescent="0.2">
      <c r="E44" s="28"/>
      <c r="BI44" s="2">
        <v>28790.408617256035</v>
      </c>
    </row>
    <row r="45" spans="4:61" x14ac:dyDescent="0.2">
      <c r="E45" s="26"/>
      <c r="BI45" s="2">
        <v>28790.408617256035</v>
      </c>
    </row>
    <row r="46" spans="4:61" x14ac:dyDescent="0.2">
      <c r="E46" s="26"/>
      <c r="BI46" s="2">
        <v>28790.408617256035</v>
      </c>
    </row>
    <row r="47" spans="4:61" x14ac:dyDescent="0.2">
      <c r="E47" s="26"/>
      <c r="BI47" s="2">
        <v>28790.408617256035</v>
      </c>
    </row>
    <row r="48" spans="4:61" x14ac:dyDescent="0.2">
      <c r="E48" s="26"/>
      <c r="BI48" s="2">
        <v>28790.408617256035</v>
      </c>
    </row>
    <row r="49" spans="5:61" x14ac:dyDescent="0.2">
      <c r="E49" s="26"/>
      <c r="BI49" s="2">
        <v>28790.408617256035</v>
      </c>
    </row>
    <row r="50" spans="5:61" x14ac:dyDescent="0.2">
      <c r="E50" s="26"/>
      <c r="BI50" s="2">
        <v>28790.408617256035</v>
      </c>
    </row>
    <row r="51" spans="5:61" x14ac:dyDescent="0.2">
      <c r="E51" s="26"/>
      <c r="BI51" s="2">
        <v>28790.408617256035</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Y</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Y</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Y</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-1537986.5373250383</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56036.705219199997</v>
      </c>
      <c r="D2" s="67">
        <v>56036.705219199997</v>
      </c>
      <c r="E2" s="67">
        <v>57741.1541488</v>
      </c>
      <c r="F2" s="67">
        <v>57741.1541488</v>
      </c>
      <c r="G2" s="67">
        <v>57741.1541488</v>
      </c>
      <c r="H2" s="67">
        <v>57741.1541488</v>
      </c>
      <c r="I2" s="67">
        <v>59496.73654628799</v>
      </c>
      <c r="J2" s="67">
        <v>59496.73654628799</v>
      </c>
      <c r="K2" s="67">
        <v>59496.73654628799</v>
      </c>
      <c r="L2" s="67">
        <v>59496.73654628799</v>
      </c>
      <c r="M2" s="67">
        <v>61304.986415700638</v>
      </c>
      <c r="N2" s="67">
        <v>61304.986415700638</v>
      </c>
      <c r="O2" s="67">
        <v>61304.986415700638</v>
      </c>
      <c r="P2" s="67">
        <v>63167.483781195668</v>
      </c>
      <c r="Q2" s="67">
        <v>63167.483781195668</v>
      </c>
      <c r="R2" s="67">
        <v>63167.483781195668</v>
      </c>
      <c r="S2" s="67">
        <v>63167.483781195668</v>
      </c>
      <c r="T2" s="67">
        <v>63167.483781195668</v>
      </c>
      <c r="U2" s="67">
        <v>65085.856067655543</v>
      </c>
      <c r="V2" s="67">
        <v>65085.856067655543</v>
      </c>
      <c r="W2" s="67">
        <v>65085.856067655543</v>
      </c>
      <c r="X2" s="67">
        <v>65085.856067655543</v>
      </c>
      <c r="Y2" s="67">
        <v>67061.779522709199</v>
      </c>
      <c r="Z2" s="67">
        <v>67061.779522709199</v>
      </c>
      <c r="AA2" s="67">
        <v>67061.779522709199</v>
      </c>
      <c r="AB2" s="67">
        <v>67061.779522709199</v>
      </c>
      <c r="AC2" s="67">
        <v>67061.779522709199</v>
      </c>
      <c r="AD2" s="67">
        <v>67061.779522709199</v>
      </c>
      <c r="AE2" s="67">
        <v>67061.779522709199</v>
      </c>
      <c r="AF2" s="67">
        <v>67061.779522709199</v>
      </c>
      <c r="AG2" s="67">
        <v>67061.779522709199</v>
      </c>
      <c r="AH2" s="67">
        <v>67061.779522709199</v>
      </c>
      <c r="AI2" s="67">
        <v>67061.779522709199</v>
      </c>
      <c r="AJ2" s="67">
        <v>67061.779522709199</v>
      </c>
      <c r="AK2" s="67">
        <v>67061.779522709199</v>
      </c>
      <c r="AL2" s="67">
        <v>69096.980681414483</v>
      </c>
      <c r="AM2" s="67">
        <v>69096.980681414483</v>
      </c>
      <c r="AN2" s="67">
        <v>69096.980681414483</v>
      </c>
      <c r="AO2" s="67">
        <v>69096.980681414483</v>
      </c>
      <c r="AP2" s="67">
        <v>69096.980681414483</v>
      </c>
      <c r="AQ2" s="67">
        <v>69096.980681414483</v>
      </c>
      <c r="AR2" s="67">
        <v>69096.980681414483</v>
      </c>
      <c r="AS2" s="67">
        <v>69096.980681414483</v>
      </c>
      <c r="AT2" s="67">
        <v>69096.980681414483</v>
      </c>
      <c r="AU2" s="67">
        <v>69096.980681414483</v>
      </c>
      <c r="AV2" s="67">
        <v>69096.980681414483</v>
      </c>
      <c r="AW2" s="67">
        <v>69096.980681414483</v>
      </c>
      <c r="AX2" s="67">
        <v>69096.980681414483</v>
      </c>
      <c r="AY2" s="67">
        <v>69096.980681414483</v>
      </c>
      <c r="AZ2" s="67">
        <v>69096.980681414483</v>
      </c>
      <c r="BA2">
        <v>0</v>
      </c>
    </row>
    <row r="3" spans="1:53" x14ac:dyDescent="0.2">
      <c r="A3" s="67" t="s">
        <v>74</v>
      </c>
      <c r="B3" s="69">
        <v>200000</v>
      </c>
      <c r="C3" s="67" cm="1">
        <f t="array" ref="C3:BA3">TRANSPOSE(TableIncome[InvestmentP2])</f>
        <v>92000.591565280018</v>
      </c>
      <c r="D3" s="67">
        <v>92000.591565280018</v>
      </c>
      <c r="E3" s="67">
        <v>94179.973421262403</v>
      </c>
      <c r="F3" s="67">
        <v>94179.973421262403</v>
      </c>
      <c r="G3" s="67">
        <v>94179.973421262403</v>
      </c>
      <c r="H3" s="67">
        <v>94179.973421262403</v>
      </c>
      <c r="I3" s="67">
        <v>96424.73673292427</v>
      </c>
      <c r="J3" s="67">
        <v>96424.73673292427</v>
      </c>
      <c r="K3" s="67">
        <v>96424.73673292427</v>
      </c>
      <c r="L3" s="67">
        <v>96424.73673292427</v>
      </c>
      <c r="M3" s="67">
        <v>98736.842943936004</v>
      </c>
      <c r="N3" s="67">
        <v>98736.842943936004</v>
      </c>
      <c r="O3" s="67">
        <v>98736.842943936004</v>
      </c>
      <c r="P3" s="67">
        <v>101118.31234127807</v>
      </c>
      <c r="Q3" s="67">
        <v>101118.31234127807</v>
      </c>
      <c r="R3" s="67">
        <v>101118.31234127807</v>
      </c>
      <c r="S3" s="67">
        <v>101118.31234127807</v>
      </c>
      <c r="T3" s="67">
        <v>101118.31234127807</v>
      </c>
      <c r="U3" s="67">
        <v>103571.22582054044</v>
      </c>
      <c r="V3" s="67">
        <v>103571.22582054044</v>
      </c>
      <c r="W3" s="67">
        <v>103571.22582054044</v>
      </c>
      <c r="X3" s="67">
        <v>103571.22582054044</v>
      </c>
      <c r="Y3" s="67">
        <v>106097.72670418065</v>
      </c>
      <c r="Z3" s="67">
        <v>106097.72670418065</v>
      </c>
      <c r="AA3" s="67">
        <v>106097.72670418065</v>
      </c>
      <c r="AB3" s="67">
        <v>106097.72670418065</v>
      </c>
      <c r="AC3" s="67">
        <v>106097.72670418065</v>
      </c>
      <c r="AD3" s="67">
        <v>106097.72670418065</v>
      </c>
      <c r="AE3" s="67">
        <v>106097.72670418065</v>
      </c>
      <c r="AF3" s="67">
        <v>106097.72670418065</v>
      </c>
      <c r="AG3" s="67">
        <v>106097.72670418065</v>
      </c>
      <c r="AH3" s="67">
        <v>106097.72670418065</v>
      </c>
      <c r="AI3" s="67">
        <v>106097.72670418065</v>
      </c>
      <c r="AJ3" s="67">
        <v>106097.72670418065</v>
      </c>
      <c r="AK3" s="67">
        <v>106097.72670418065</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56036.705219199997</v>
      </c>
      <c r="C2" s="71">
        <f>SUMIF(TableIncome[Year], "&lt;=" &amp; C1, TableIncome[InvestmentP1])</f>
        <v>112073.41043839999</v>
      </c>
      <c r="D2" s="71">
        <f>SUMIF(TableIncome[Year], "&lt;=" &amp; D1, TableIncome[InvestmentP1])</f>
        <v>169814.5645872</v>
      </c>
      <c r="E2" s="71">
        <f>SUMIF(TableIncome[Year], "&lt;=" &amp; E1, TableIncome[InvestmentP1])</f>
        <v>227555.71873600001</v>
      </c>
      <c r="F2" s="71">
        <f>SUMIF(TableIncome[Year], "&lt;=" &amp; F1, TableIncome[InvestmentP1])</f>
        <v>285296.87288480002</v>
      </c>
      <c r="G2" s="71">
        <f>SUMIF(TableIncome[Year], "&lt;=" &amp; G1, TableIncome[InvestmentP1])</f>
        <v>343038.02703360002</v>
      </c>
      <c r="H2" s="71">
        <f>SUMIF(TableIncome[Year], "&lt;=" &amp; H1, TableIncome[InvestmentP1])</f>
        <v>402534.76357988804</v>
      </c>
      <c r="I2" s="71">
        <f>SUMIF(TableIncome[Year], "&lt;=" &amp; I1, TableIncome[InvestmentP1])</f>
        <v>462031.50012617605</v>
      </c>
      <c r="J2" s="71">
        <f>SUMIF(TableIncome[Year], "&lt;=" &amp; J1, TableIncome[InvestmentP1])</f>
        <v>521528.23667246406</v>
      </c>
      <c r="K2" s="71">
        <f>SUMIF(TableIncome[Year], "&lt;=" &amp; K1, TableIncome[InvestmentP1])</f>
        <v>581024.97321875207</v>
      </c>
      <c r="L2" s="71">
        <f>SUMIF(TableIncome[Year], "&lt;=" &amp; L1, TableIncome[InvestmentP1])</f>
        <v>642329.95963445271</v>
      </c>
      <c r="M2" s="71">
        <f>SUMIF(TableIncome[Year], "&lt;=" &amp; M1, TableIncome[InvestmentP1])</f>
        <v>703634.94605015335</v>
      </c>
      <c r="N2" s="71">
        <f>SUMIF(TableIncome[Year], "&lt;=" &amp; N1, TableIncome[InvestmentP1])</f>
        <v>764939.93246585398</v>
      </c>
      <c r="O2" s="71">
        <f>SUMIF(TableIncome[Year], "&lt;=" &amp; O1, TableIncome[InvestmentP1])</f>
        <v>828107.4162470497</v>
      </c>
      <c r="P2" s="71">
        <f>SUMIF(TableIncome[Year], "&lt;=" &amp; P1, TableIncome[InvestmentP1])</f>
        <v>891274.90002824541</v>
      </c>
      <c r="Q2" s="71">
        <f>SUMIF(TableIncome[Year], "&lt;=" &amp; Q1, TableIncome[InvestmentP1])</f>
        <v>954442.38380944112</v>
      </c>
      <c r="R2" s="71">
        <f>SUMIF(TableIncome[Year], "&lt;=" &amp; R1, TableIncome[InvestmentP1])</f>
        <v>1017609.8675906368</v>
      </c>
      <c r="S2" s="71">
        <f>SUMIF(TableIncome[Year], "&lt;=" &amp; S1, TableIncome[InvestmentP1])</f>
        <v>1080777.3513718324</v>
      </c>
      <c r="T2" s="71">
        <f>SUMIF(TableIncome[Year], "&lt;=" &amp; T1, TableIncome[InvestmentP1])</f>
        <v>1145863.207439488</v>
      </c>
      <c r="U2" s="71">
        <f>SUMIF(TableIncome[Year], "&lt;=" &amp; U1, TableIncome[InvestmentP1])</f>
        <v>1210949.0635071436</v>
      </c>
      <c r="V2" s="71">
        <f>SUMIF(TableIncome[Year], "&lt;=" &amp; V1, TableIncome[InvestmentP1])</f>
        <v>1276034.9195747992</v>
      </c>
      <c r="W2" s="71">
        <f>SUMIF(TableIncome[Year], "&lt;=" &amp; W1, TableIncome[InvestmentP1])</f>
        <v>1341120.7756424549</v>
      </c>
      <c r="X2" s="71">
        <f>SUMIF(TableIncome[Year], "&lt;=" &amp; X1, TableIncome[InvestmentP1])</f>
        <v>1408182.5551651642</v>
      </c>
      <c r="Y2" s="71">
        <f>SUMIF(TableIncome[Year], "&lt;=" &amp; Y1, TableIncome[InvestmentP1])</f>
        <v>1475244.3346878733</v>
      </c>
      <c r="Z2" s="71">
        <f>SUMIF(TableIncome[Year], "&lt;=" &amp; Z1, TableIncome[InvestmentP1])</f>
        <v>1542306.1142105823</v>
      </c>
      <c r="AA2" s="71">
        <f>SUMIF(TableIncome[Year], "&lt;=" &amp; AA1, TableIncome[InvestmentP1])</f>
        <v>1609367.8937332914</v>
      </c>
      <c r="AB2" s="71">
        <f>SUMIF(TableIncome[Year], "&lt;=" &amp; AB1, TableIncome[InvestmentP1])</f>
        <v>1676429.6732560005</v>
      </c>
      <c r="AC2" s="71">
        <f>SUMIF(TableIncome[Year], "&lt;=" &amp; AC1, TableIncome[InvestmentP1])</f>
        <v>1743491.4527787096</v>
      </c>
      <c r="AD2" s="71">
        <f>SUMIF(TableIncome[Year], "&lt;=" &amp; AD1, TableIncome[InvestmentP1])</f>
        <v>1810553.2323014187</v>
      </c>
      <c r="AE2" s="71">
        <f>SUMIF(TableIncome[Year], "&lt;=" &amp; AE1, TableIncome[InvestmentP1])</f>
        <v>1877615.0118241278</v>
      </c>
      <c r="AF2" s="71">
        <f>SUMIF(TableIncome[Year], "&lt;=" &amp; AF1, TableIncome[InvestmentP1])</f>
        <v>1944676.7913468368</v>
      </c>
      <c r="AG2" s="71">
        <f>SUMIF(TableIncome[Year], "&lt;=" &amp; AG1, TableIncome[InvestmentP1])</f>
        <v>2011738.5708695459</v>
      </c>
      <c r="AH2" s="71">
        <f>SUMIF(TableIncome[Year], "&lt;=" &amp; AH1, TableIncome[InvestmentP1])</f>
        <v>2078800.350392255</v>
      </c>
      <c r="AI2" s="71">
        <f>SUMIF(TableIncome[Year], "&lt;=" &amp; AI1, TableIncome[InvestmentP1])</f>
        <v>2145862.1299149641</v>
      </c>
      <c r="AJ2" s="71">
        <f>SUMIF(TableIncome[Year], "&lt;=" &amp; AJ1, TableIncome[InvestmentP1])</f>
        <v>2212923.9094376732</v>
      </c>
      <c r="AK2" s="71">
        <f>SUMIF(TableIncome[Year], "&lt;=" &amp; AK1, TableIncome[InvestmentP1])</f>
        <v>2282020.8901190879</v>
      </c>
      <c r="AL2" s="71">
        <f>SUMIF(TableIncome[Year], "&lt;=" &amp; AL1, TableIncome[InvestmentP1])</f>
        <v>2351117.8708005026</v>
      </c>
      <c r="AM2" s="71">
        <f>SUMIF(TableIncome[Year], "&lt;=" &amp; AM1, TableIncome[InvestmentP1])</f>
        <v>2420214.8514819173</v>
      </c>
      <c r="AN2" s="71">
        <f>SUMIF(TableIncome[Year], "&lt;=" &amp; AN1, TableIncome[InvestmentP1])</f>
        <v>2489311.832163332</v>
      </c>
      <c r="AO2" s="71">
        <f>SUMIF(TableIncome[Year], "&lt;=" &amp; AO1, TableIncome[InvestmentP1])</f>
        <v>2558408.8128447467</v>
      </c>
      <c r="AP2" s="71">
        <f>SUMIF(TableIncome[Year], "&lt;=" &amp; AP1, TableIncome[InvestmentP1])</f>
        <v>2627505.7935261615</v>
      </c>
      <c r="AQ2" s="71">
        <f>SUMIF(TableIncome[Year], "&lt;=" &amp; AQ1, TableIncome[InvestmentP1])</f>
        <v>2696602.7742075762</v>
      </c>
      <c r="AR2" s="71">
        <f>SUMIF(TableIncome[Year], "&lt;=" &amp; AR1, TableIncome[InvestmentP1])</f>
        <v>2765699.7548889909</v>
      </c>
      <c r="AS2" s="71">
        <f>SUMIF(TableIncome[Year], "&lt;=" &amp; AS1, TableIncome[InvestmentP1])</f>
        <v>2834796.7355704056</v>
      </c>
      <c r="AT2" s="71">
        <f>SUMIF(TableIncome[Year], "&lt;=" &amp; AT1, TableIncome[InvestmentP1])</f>
        <v>2903893.7162518203</v>
      </c>
      <c r="AU2" s="71">
        <f>SUMIF(TableIncome[Year], "&lt;=" &amp; AU1, TableIncome[InvestmentP1])</f>
        <v>2972990.696933235</v>
      </c>
      <c r="AV2" s="71">
        <f>SUMIF(TableIncome[Year], "&lt;=" &amp; AV1, TableIncome[InvestmentP1])</f>
        <v>3042087.6776146498</v>
      </c>
      <c r="AW2" s="71">
        <f>SUMIF(TableIncome[Year], "&lt;=" &amp; AW1, TableIncome[InvestmentP1])</f>
        <v>3111184.6582960645</v>
      </c>
      <c r="AX2" s="71">
        <f>SUMIF(TableIncome[Year], "&lt;=" &amp; AX1, TableIncome[InvestmentP1])</f>
        <v>3180281.6389774792</v>
      </c>
      <c r="AY2" s="71">
        <f>SUMIF(TableIncome[Year], "&lt;=" &amp; AY1, TableIncome[InvestmentP1])</f>
        <v>3249378.6196588939</v>
      </c>
      <c r="AZ2" s="71">
        <f>SUMIF(TableIncome[Year], "&lt;=" &amp; AZ1, TableIncome[InvestmentP1])</f>
        <v>3249378.6196588939</v>
      </c>
    </row>
    <row r="3" spans="1:52" x14ac:dyDescent="0.2">
      <c r="A3" s="67" t="s">
        <v>74</v>
      </c>
      <c r="B3" s="71">
        <f>SUMIF(TableIncome[Year], "&lt;=" &amp; B1, TableIncome[InvestmentP2])</f>
        <v>92000.591565280018</v>
      </c>
      <c r="C3" s="71">
        <f>SUMIF(TableIncome[Year], "&lt;=" &amp; C1, TableIncome[InvestmentP2])</f>
        <v>184001.18313056004</v>
      </c>
      <c r="D3" s="71">
        <f>SUMIF(TableIncome[Year], "&lt;=" &amp; D1, TableIncome[InvestmentP2])</f>
        <v>278181.15655182244</v>
      </c>
      <c r="E3" s="71">
        <f>SUMIF(TableIncome[Year], "&lt;=" &amp; E1, TableIncome[InvestmentP2])</f>
        <v>372361.12997308484</v>
      </c>
      <c r="F3" s="71">
        <f>SUMIF(TableIncome[Year], "&lt;=" &amp; F1, TableIncome[InvestmentP2])</f>
        <v>466541.10339434724</v>
      </c>
      <c r="G3" s="71">
        <f>SUMIF(TableIncome[Year], "&lt;=" &amp; G1, TableIncome[InvestmentP2])</f>
        <v>560721.07681560959</v>
      </c>
      <c r="H3" s="71">
        <f>SUMIF(TableIncome[Year], "&lt;=" &amp; H1, TableIncome[InvestmentP2])</f>
        <v>657145.81354853383</v>
      </c>
      <c r="I3" s="71">
        <f>SUMIF(TableIncome[Year], "&lt;=" &amp; I1, TableIncome[InvestmentP2])</f>
        <v>753570.55028145807</v>
      </c>
      <c r="J3" s="71">
        <f>SUMIF(TableIncome[Year], "&lt;=" &amp; J1, TableIncome[InvestmentP2])</f>
        <v>849995.28701438231</v>
      </c>
      <c r="K3" s="71">
        <f>SUMIF(TableIncome[Year], "&lt;=" &amp; K1, TableIncome[InvestmentP2])</f>
        <v>946420.02374730655</v>
      </c>
      <c r="L3" s="71">
        <f>SUMIF(TableIncome[Year], "&lt;=" &amp; L1, TableIncome[InvestmentP2])</f>
        <v>1045156.8666912426</v>
      </c>
      <c r="M3" s="71">
        <f>SUMIF(TableIncome[Year], "&lt;=" &amp; M1, TableIncome[InvestmentP2])</f>
        <v>1143893.7096351786</v>
      </c>
      <c r="N3" s="71">
        <f>SUMIF(TableIncome[Year], "&lt;=" &amp; N1, TableIncome[InvestmentP2])</f>
        <v>1242630.5525791147</v>
      </c>
      <c r="O3" s="71">
        <f>SUMIF(TableIncome[Year], "&lt;=" &amp; O1, TableIncome[InvestmentP2])</f>
        <v>1343748.8649203926</v>
      </c>
      <c r="P3" s="71">
        <f>SUMIF(TableIncome[Year], "&lt;=" &amp; P1, TableIncome[InvestmentP2])</f>
        <v>1444867.1772616706</v>
      </c>
      <c r="Q3" s="71">
        <f>SUMIF(TableIncome[Year], "&lt;=" &amp; Q1, TableIncome[InvestmentP2])</f>
        <v>1545985.4896029485</v>
      </c>
      <c r="R3" s="71">
        <f>SUMIF(TableIncome[Year], "&lt;=" &amp; R1, TableIncome[InvestmentP2])</f>
        <v>1647103.8019442265</v>
      </c>
      <c r="S3" s="71">
        <f>SUMIF(TableIncome[Year], "&lt;=" &amp; S1, TableIncome[InvestmentP2])</f>
        <v>1748222.1142855044</v>
      </c>
      <c r="T3" s="71">
        <f>SUMIF(TableIncome[Year], "&lt;=" &amp; T1, TableIncome[InvestmentP2])</f>
        <v>1851793.3401060449</v>
      </c>
      <c r="U3" s="71">
        <f>SUMIF(TableIncome[Year], "&lt;=" &amp; U1, TableIncome[InvestmentP2])</f>
        <v>1955364.5659265853</v>
      </c>
      <c r="V3" s="71">
        <f>SUMIF(TableIncome[Year], "&lt;=" &amp; V1, TableIncome[InvestmentP2])</f>
        <v>2058935.7917471258</v>
      </c>
      <c r="W3" s="71">
        <f>SUMIF(TableIncome[Year], "&lt;=" &amp; W1, TableIncome[InvestmentP2])</f>
        <v>2162507.0175676662</v>
      </c>
      <c r="X3" s="71">
        <f>SUMIF(TableIncome[Year], "&lt;=" &amp; X1, TableIncome[InvestmentP2])</f>
        <v>2268604.744271847</v>
      </c>
      <c r="Y3" s="71">
        <f>SUMIF(TableIncome[Year], "&lt;=" &amp; Y1, TableIncome[InvestmentP2])</f>
        <v>2374702.4709760277</v>
      </c>
      <c r="Z3" s="71">
        <f>SUMIF(TableIncome[Year], "&lt;=" &amp; Z1, TableIncome[InvestmentP2])</f>
        <v>2480800.1976802084</v>
      </c>
      <c r="AA3" s="71">
        <f>SUMIF(TableIncome[Year], "&lt;=" &amp; AA1, TableIncome[InvestmentP2])</f>
        <v>2586897.9243843891</v>
      </c>
      <c r="AB3" s="71">
        <f>SUMIF(TableIncome[Year], "&lt;=" &amp; AB1, TableIncome[InvestmentP2])</f>
        <v>2692995.6510885698</v>
      </c>
      <c r="AC3" s="71">
        <f>SUMIF(TableIncome[Year], "&lt;=" &amp; AC1, TableIncome[InvestmentP2])</f>
        <v>2799093.3777927505</v>
      </c>
      <c r="AD3" s="71">
        <f>SUMIF(TableIncome[Year], "&lt;=" &amp; AD1, TableIncome[InvestmentP2])</f>
        <v>2905191.1044969312</v>
      </c>
      <c r="AE3" s="71">
        <f>SUMIF(TableIncome[Year], "&lt;=" &amp; AE1, TableIncome[InvestmentP2])</f>
        <v>3011288.8312011119</v>
      </c>
      <c r="AF3" s="71">
        <f>SUMIF(TableIncome[Year], "&lt;=" &amp; AF1, TableIncome[InvestmentP2])</f>
        <v>3117386.5579052926</v>
      </c>
      <c r="AG3" s="71">
        <f>SUMIF(TableIncome[Year], "&lt;=" &amp; AG1, TableIncome[InvestmentP2])</f>
        <v>3223484.2846094733</v>
      </c>
      <c r="AH3" s="71">
        <f>SUMIF(TableIncome[Year], "&lt;=" &amp; AH1, TableIncome[InvestmentP2])</f>
        <v>3329582.011313654</v>
      </c>
      <c r="AI3" s="71">
        <f>SUMIF(TableIncome[Year], "&lt;=" &amp; AI1, TableIncome[InvestmentP2])</f>
        <v>3435679.7380178347</v>
      </c>
      <c r="AJ3" s="71">
        <f>SUMIF(TableIncome[Year], "&lt;=" &amp; AJ1, TableIncome[InvestmentP2])</f>
        <v>3541777.4647220154</v>
      </c>
      <c r="AK3" s="71">
        <f>SUMIF(TableIncome[Year], "&lt;=" &amp; AK1, TableIncome[InvestmentP2])</f>
        <v>3541777.4647220154</v>
      </c>
      <c r="AL3" s="71">
        <f>SUMIF(TableIncome[Year], "&lt;=" &amp; AL1, TableIncome[InvestmentP2])</f>
        <v>3541777.4647220154</v>
      </c>
      <c r="AM3" s="71">
        <f>SUMIF(TableIncome[Year], "&lt;=" &amp; AM1, TableIncome[InvestmentP2])</f>
        <v>3541777.4647220154</v>
      </c>
      <c r="AN3" s="71">
        <f>SUMIF(TableIncome[Year], "&lt;=" &amp; AN1, TableIncome[InvestmentP2])</f>
        <v>3541777.4647220154</v>
      </c>
      <c r="AO3" s="71">
        <f>SUMIF(TableIncome[Year], "&lt;=" &amp; AO1, TableIncome[InvestmentP2])</f>
        <v>3541777.4647220154</v>
      </c>
      <c r="AP3" s="71">
        <f>SUMIF(TableIncome[Year], "&lt;=" &amp; AP1, TableIncome[InvestmentP2])</f>
        <v>3541777.4647220154</v>
      </c>
      <c r="AQ3" s="71">
        <f>SUMIF(TableIncome[Year], "&lt;=" &amp; AQ1, TableIncome[InvestmentP2])</f>
        <v>3541777.4647220154</v>
      </c>
      <c r="AR3" s="71">
        <f>SUMIF(TableIncome[Year], "&lt;=" &amp; AR1, TableIncome[InvestmentP2])</f>
        <v>3541777.4647220154</v>
      </c>
      <c r="AS3" s="71">
        <f>SUMIF(TableIncome[Year], "&lt;=" &amp; AS1, TableIncome[InvestmentP2])</f>
        <v>3541777.4647220154</v>
      </c>
      <c r="AT3" s="71">
        <f>SUMIF(TableIncome[Year], "&lt;=" &amp; AT1, TableIncome[InvestmentP2])</f>
        <v>3541777.4647220154</v>
      </c>
      <c r="AU3" s="71">
        <f>SUMIF(TableIncome[Year], "&lt;=" &amp; AU1, TableIncome[InvestmentP2])</f>
        <v>3541777.4647220154</v>
      </c>
      <c r="AV3" s="71">
        <f>SUMIF(TableIncome[Year], "&lt;=" &amp; AV1, TableIncome[InvestmentP2])</f>
        <v>3541777.4647220154</v>
      </c>
      <c r="AW3" s="71">
        <f>SUMIF(TableIncome[Year], "&lt;=" &amp; AW1, TableIncome[InvestmentP2])</f>
        <v>3541777.4647220154</v>
      </c>
      <c r="AX3" s="71">
        <f>SUMIF(TableIncome[Year], "&lt;=" &amp; AX1, TableIncome[InvestmentP2])</f>
        <v>3541777.4647220154</v>
      </c>
      <c r="AY3" s="71">
        <f>SUMIF(TableIncome[Year], "&lt;=" &amp; AY1, TableIncome[InvestmentP2])</f>
        <v>3541777.4647220154</v>
      </c>
      <c r="AZ3" s="71">
        <f>SUMIF(TableIncome[Year], "&lt;=" &amp; AZ1, TableIncome[InvestmentP2])</f>
        <v>3541777.4647220154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5E06E7C1-9404-4A4A-B964-A85FD9F3B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