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56D691EC-ABD5-4BED-8030-B7265B1F480B}" xr6:coauthVersionLast="47" xr6:coauthVersionMax="47" xr10:uidLastSave="{00000000-0000-0000-0000-000000000000}"/>
  <bookViews>
    <workbookView xWindow="-120" yWindow="-120" windowWidth="29040" windowHeight="15720" tabRatio="972" firstSheet="7" activeTab="22"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y Modifier" sheetId="57"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7" l="1"/>
  <c r="B7" i="20" s="1"/>
  <c r="C6" i="57"/>
  <c r="B6" i="20" s="1"/>
  <c r="C5" i="57"/>
  <c r="B5" i="20" s="1"/>
  <c r="C4" i="57"/>
  <c r="B4" i="20" s="1"/>
  <c r="C3" i="57"/>
  <c r="B3" i="20" s="1"/>
  <c r="C2" i="57"/>
  <c r="B2" i="20" s="1"/>
  <c r="C7" i="51"/>
  <c r="B22" i="55"/>
  <c r="B23" i="55" s="1"/>
  <c r="B5" i="55"/>
  <c r="B3" i="55"/>
  <c r="N39" i="2"/>
  <c r="N40" i="2"/>
  <c r="N41" i="2"/>
  <c r="N42" i="2"/>
  <c r="N43" i="2"/>
  <c r="N44" i="2"/>
  <c r="N45" i="2"/>
  <c r="N46" i="2"/>
  <c r="N47" i="2"/>
  <c r="N48" i="2"/>
  <c r="N49" i="2"/>
  <c r="D49" i="2" s="1"/>
  <c r="N50" i="2"/>
  <c r="D50" i="2" s="1"/>
  <c r="N51" i="2"/>
  <c r="D51" i="2" s="1"/>
  <c r="N52" i="2"/>
  <c r="N53" i="2"/>
  <c r="E39" i="56"/>
  <c r="F39" i="56" s="1"/>
  <c r="B14" i="56"/>
  <c r="B43" i="55" s="1"/>
  <c r="B45" i="55" s="1"/>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C15" i="56" l="1"/>
  <c r="BB15" i="56"/>
  <c r="A4" i="56"/>
  <c r="AU8" i="56"/>
  <c r="G8" i="56"/>
  <c r="AW8" i="56"/>
  <c r="I8" i="56"/>
  <c r="J8" i="56"/>
  <c r="O8" i="56"/>
  <c r="Q8" i="56"/>
  <c r="B50" i="55"/>
  <c r="B52" i="55" s="1"/>
  <c r="B53" i="55" s="1"/>
  <c r="R8" i="56"/>
  <c r="AX8" i="56"/>
  <c r="W8" i="56"/>
  <c r="AY8" i="56"/>
  <c r="Y8" i="56"/>
  <c r="AZ8" i="56"/>
  <c r="Z8" i="56"/>
  <c r="BA8" i="56"/>
  <c r="AE8" i="56"/>
  <c r="BB8" i="56"/>
  <c r="AG8" i="56"/>
  <c r="AX15" i="56"/>
  <c r="AH8" i="56"/>
  <c r="AY15"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B46" i="46"/>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P98" i="8"/>
  <c r="P3" i="8"/>
  <c r="P9" i="8"/>
  <c r="P15" i="8"/>
  <c r="P21" i="8"/>
  <c r="P27" i="8"/>
  <c r="P33" i="8"/>
  <c r="P39" i="8"/>
  <c r="P45" i="8"/>
  <c r="P51" i="8"/>
  <c r="P57" i="8"/>
  <c r="P63" i="8"/>
  <c r="P69" i="8"/>
  <c r="P75" i="8"/>
  <c r="P81" i="8"/>
  <c r="P87" i="8"/>
  <c r="Q87" i="8" s="1"/>
  <c r="P93" i="8"/>
  <c r="P99" i="8"/>
  <c r="P54" i="8"/>
  <c r="O10" i="8"/>
  <c r="O34" i="8"/>
  <c r="O52" i="8"/>
  <c r="O70" i="8"/>
  <c r="O94" i="8"/>
  <c r="P36" i="8"/>
  <c r="O4" i="8"/>
  <c r="O22" i="8"/>
  <c r="O40" i="8"/>
  <c r="O46" i="8"/>
  <c r="O64" i="8"/>
  <c r="O76" i="8"/>
  <c r="O82" i="8"/>
  <c r="O88" i="8"/>
  <c r="O100" i="8"/>
  <c r="P4" i="8"/>
  <c r="P10" i="8"/>
  <c r="Q10" i="8" s="1"/>
  <c r="P16" i="8"/>
  <c r="P22" i="8"/>
  <c r="P28" i="8"/>
  <c r="P34" i="8"/>
  <c r="P40" i="8"/>
  <c r="P46" i="8"/>
  <c r="P52" i="8"/>
  <c r="P58" i="8"/>
  <c r="P64" i="8"/>
  <c r="P70" i="8"/>
  <c r="P76" i="8"/>
  <c r="P82" i="8"/>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Q82" i="8" l="1"/>
  <c r="Q70" i="8"/>
  <c r="Q36" i="8"/>
  <c r="Q86"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F53" i="46" s="1"/>
  <c r="P9" i="2"/>
  <c r="H52" i="55"/>
  <c r="H53" i="55" s="1"/>
  <c r="G45" i="55"/>
  <c r="G46" i="55" s="1"/>
  <c r="R9" i="2"/>
  <c r="O9" i="2"/>
  <c r="Q9" i="2"/>
  <c r="H6" i="53"/>
  <c r="O16" i="53" a="1"/>
  <c r="O16" i="53" s="1"/>
  <c r="G5" i="53"/>
  <c r="N17" i="53" a="1"/>
  <c r="N17" i="53" s="1"/>
  <c r="Q17" i="53" s="1"/>
  <c r="G47" i="46"/>
  <c r="H43" i="46" s="1"/>
  <c r="E10" i="45"/>
  <c r="D10" i="45"/>
  <c r="E6" i="8"/>
  <c r="E7" i="8" s="1"/>
  <c r="F54" i="46" l="1"/>
  <c r="G50" i="46" s="1"/>
  <c r="G52" i="46"/>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H52" i="46"/>
  <c r="H53" i="46" s="1"/>
  <c r="H54" i="46" s="1"/>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s="1"/>
  <c r="J50" i="46" s="1"/>
  <c r="P12" i="2"/>
  <c r="H47" i="55"/>
  <c r="I43" i="55" s="1"/>
  <c r="I54" i="55"/>
  <c r="J50" i="55" s="1"/>
  <c r="Q12" i="2"/>
  <c r="O12" i="2"/>
  <c r="R12" i="2"/>
  <c r="H9" i="53"/>
  <c r="O13" i="53" a="1"/>
  <c r="O13" i="53" s="1"/>
  <c r="G8" i="53"/>
  <c r="N14" i="53" a="1"/>
  <c r="N14" i="53" s="1"/>
  <c r="Q14" i="53" s="1"/>
  <c r="I45" i="46"/>
  <c r="I46" i="46" s="1"/>
  <c r="D13" i="45"/>
  <c r="E13" i="45"/>
  <c r="E12" i="8"/>
  <c r="J52" i="46" l="1"/>
  <c r="J53" i="46" s="1"/>
  <c r="J54" i="46"/>
  <c r="K50" i="46" s="1"/>
  <c r="K52" i="46" s="1"/>
  <c r="K53" i="46" s="1"/>
  <c r="P13" i="2"/>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3" i="56" s="1"/>
  <c r="J14" i="56" s="1"/>
  <c r="J16" i="56" s="1"/>
  <c r="J17" i="56" s="1"/>
  <c r="J12" i="56"/>
  <c r="E12" i="56"/>
  <c r="E11" i="56"/>
  <c r="E13" i="56" s="1"/>
  <c r="E14" i="56" s="1"/>
  <c r="E16" i="56" s="1"/>
  <c r="E17" i="56" s="1"/>
  <c r="H11" i="56"/>
  <c r="H12" i="56"/>
  <c r="N11" i="56"/>
  <c r="N13" i="56" s="1"/>
  <c r="N14" i="56" s="1"/>
  <c r="N16" i="56" s="1"/>
  <c r="N17" i="56" s="1"/>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L13" i="56" l="1"/>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W13" i="56" s="1"/>
  <c r="W14" i="56" s="1"/>
  <c r="W16" i="56" s="1"/>
  <c r="W17" i="56" s="1"/>
  <c r="AY11" i="56"/>
  <c r="AY12" i="56"/>
  <c r="AC12" i="56"/>
  <c r="AC11" i="56"/>
  <c r="AC13" i="56" s="1"/>
  <c r="AC14" i="56" s="1"/>
  <c r="AC16" i="56" s="1"/>
  <c r="AC17" i="56" s="1"/>
  <c r="AR11" i="56"/>
  <c r="AR13" i="56" s="1"/>
  <c r="AR14" i="56" s="1"/>
  <c r="AR16" i="56" s="1"/>
  <c r="AR17" i="56" s="1"/>
  <c r="AR12" i="56"/>
  <c r="AF12" i="56"/>
  <c r="AF11" i="56"/>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F13" i="56" l="1"/>
  <c r="AF14" i="56" s="1"/>
  <c r="AF16" i="56" s="1"/>
  <c r="AF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23" i="2"/>
  <c r="N20" i="2"/>
  <c r="N6" i="2"/>
  <c r="N31" i="2"/>
  <c r="N10" i="2"/>
  <c r="N24" i="2"/>
  <c r="N8" i="2"/>
  <c r="N16" i="2"/>
  <c r="N18" i="2"/>
  <c r="N5" i="2"/>
  <c r="N19" i="2"/>
  <c r="N13" i="2"/>
  <c r="N32" i="2"/>
  <c r="N34" i="2"/>
  <c r="D34" i="2" s="1"/>
  <c r="F34" i="2" s="1"/>
  <c r="L34" i="2" s="1"/>
  <c r="N38" i="55"/>
  <c r="O34" i="55" s="1"/>
  <c r="Z52" i="55"/>
  <c r="Z53" i="55" s="1"/>
  <c r="Y47" i="55"/>
  <c r="Z43" i="55" s="1"/>
  <c r="Q43" i="2"/>
  <c r="P43" i="2"/>
  <c r="R43" i="2"/>
  <c r="AE54" i="46"/>
  <c r="AF50" i="46" s="1"/>
  <c r="AC47" i="46"/>
  <c r="AD43" i="46" s="1"/>
  <c r="E44" i="45"/>
  <c r="D44" i="45"/>
  <c r="N12" i="2" l="1"/>
  <c r="N26" i="2"/>
  <c r="N14" i="2"/>
  <c r="N33" i="2"/>
  <c r="D33" i="2" s="1"/>
  <c r="F33" i="2" s="1"/>
  <c r="L33" i="2" s="1"/>
  <c r="N25" i="2"/>
  <c r="N37" i="2"/>
  <c r="D37" i="2" s="1"/>
  <c r="F37" i="2" s="1"/>
  <c r="L37" i="2" s="1"/>
  <c r="G32" i="56" s="1"/>
  <c r="N15" i="2"/>
  <c r="N30" i="2"/>
  <c r="N11" i="2"/>
  <c r="N4" i="2"/>
  <c r="N29" i="2"/>
  <c r="N36" i="2"/>
  <c r="D36" i="2" s="1"/>
  <c r="F36" i="2" s="1"/>
  <c r="L36" i="2" s="1"/>
  <c r="N9" i="2"/>
  <c r="N35" i="2"/>
  <c r="D35" i="2" s="1"/>
  <c r="F35" i="2" s="1"/>
  <c r="L35" i="2" s="1"/>
  <c r="S32" i="56"/>
  <c r="E32" i="56"/>
  <c r="BI2" i="56"/>
  <c r="N3" i="2" s="1"/>
  <c r="N7" i="2"/>
  <c r="L32" i="56"/>
  <c r="N28" i="2"/>
  <c r="N21" i="2"/>
  <c r="U32" i="56"/>
  <c r="V32" i="56"/>
  <c r="N38" i="2"/>
  <c r="D38" i="2" s="1"/>
  <c r="F38" i="2" s="1"/>
  <c r="L38" i="2" s="1"/>
  <c r="N22" i="2"/>
  <c r="N17" i="2"/>
  <c r="T32" i="56"/>
  <c r="P32" i="56"/>
  <c r="O32" i="56"/>
  <c r="I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AB32" i="56" l="1"/>
  <c r="J32" i="56"/>
  <c r="AA32" i="56"/>
  <c r="N32" i="56"/>
  <c r="Q32" i="56"/>
  <c r="Y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V4" i="47"/>
  <c r="AV5" i="47" s="1"/>
  <c r="AV6" i="47" s="1"/>
  <c r="AV7" i="47" s="1"/>
  <c r="AS6" i="46"/>
  <c r="AM4" i="47"/>
  <c r="D6" i="46" l="1"/>
  <c r="AP4" i="47"/>
  <c r="S4" i="47"/>
  <c r="S38" i="55"/>
  <c r="T34" i="55" s="1"/>
  <c r="T36" i="55" s="1"/>
  <c r="T37" i="55" s="1"/>
  <c r="E10" i="47"/>
  <c r="E9" i="47"/>
  <c r="K6" i="46"/>
  <c r="I4" i="47"/>
  <c r="J6" i="46"/>
  <c r="J7" i="46" s="1"/>
  <c r="J8" i="46" s="1"/>
  <c r="T4" i="47"/>
  <c r="T5" i="47" s="1"/>
  <c r="T6" i="47" s="1"/>
  <c r="T7" i="47" s="1"/>
  <c r="T9" i="47" s="1"/>
  <c r="AU6" i="46"/>
  <c r="AU7" i="46" s="1"/>
  <c r="AU8" i="46" s="1"/>
  <c r="F5" i="47"/>
  <c r="F6" i="47" s="1"/>
  <c r="F7" i="47" s="1"/>
  <c r="F10" i="47" s="1"/>
  <c r="AK5" i="47"/>
  <c r="AK6" i="47" s="1"/>
  <c r="AK7" i="47" s="1"/>
  <c r="AK10" i="47" s="1"/>
  <c r="T6" i="46"/>
  <c r="T7" i="46" s="1"/>
  <c r="T8" i="46" s="1"/>
  <c r="AB6" i="46"/>
  <c r="AB7" i="46" s="1"/>
  <c r="AB8" i="46" s="1"/>
  <c r="AM5" i="47"/>
  <c r="AM6" i="47" s="1"/>
  <c r="AM7" i="47" s="1"/>
  <c r="AM10" i="47" s="1"/>
  <c r="G5" i="47"/>
  <c r="G6" i="47" s="1"/>
  <c r="G7" i="47" s="1"/>
  <c r="G10" i="47" s="1"/>
  <c r="L6" i="46"/>
  <c r="L7" i="46" s="1"/>
  <c r="L8" i="46" s="1"/>
  <c r="AI5" i="47"/>
  <c r="AI6" i="47" s="1"/>
  <c r="AI7" i="47" s="1"/>
  <c r="AI9" i="47" s="1"/>
  <c r="AH5" i="47"/>
  <c r="AH6" i="47" s="1"/>
  <c r="AH7" i="47" s="1"/>
  <c r="AH10" i="47" s="1"/>
  <c r="AQ6" i="46"/>
  <c r="Y6" i="46"/>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N10" i="47"/>
  <c r="AJ10" i="47"/>
  <c r="AJ9" i="47"/>
  <c r="T10" i="47"/>
  <c r="AB9" i="47"/>
  <c r="AB10" i="47"/>
  <c r="S10" i="47"/>
  <c r="AV10" i="47"/>
  <c r="AV9" i="47"/>
  <c r="F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G7" i="46"/>
  <c r="G8" i="46" s="1"/>
  <c r="Q7" i="46"/>
  <c r="Q8" i="46" s="1"/>
  <c r="E7" i="46"/>
  <c r="E8" i="46" s="1"/>
  <c r="AF7" i="46"/>
  <c r="AF8" i="46" s="1"/>
  <c r="K7" i="46"/>
  <c r="K8" i="46" s="1"/>
  <c r="AH7" i="46"/>
  <c r="AH8" i="46" s="1"/>
  <c r="AN7" i="46"/>
  <c r="AN8" i="46" s="1"/>
  <c r="AM7" i="46"/>
  <c r="AM8" i="46" s="1"/>
  <c r="X7" i="46"/>
  <c r="X8" i="46" s="1"/>
  <c r="P7" i="46"/>
  <c r="P8" i="46" s="1"/>
  <c r="N7" i="46"/>
  <c r="N8" i="46" s="1"/>
  <c r="AO7" i="46"/>
  <c r="AO8" i="46" s="1"/>
  <c r="R7" i="46"/>
  <c r="R8" i="46" s="1"/>
  <c r="AK9" i="47" l="1"/>
  <c r="V9" i="47"/>
  <c r="AO10" i="47"/>
  <c r="AI10" i="47"/>
  <c r="AM9" i="47"/>
  <c r="G9" i="47"/>
  <c r="E12" i="47"/>
  <c r="E11" i="47"/>
  <c r="E13" i="47"/>
  <c r="E14" i="47" s="1"/>
  <c r="E16" i="47" s="1"/>
  <c r="E17" i="47" s="1"/>
  <c r="AF10" i="47"/>
  <c r="Z10" i="47"/>
  <c r="X10" i="47"/>
  <c r="L9" i="47"/>
  <c r="L12" i="47" s="1"/>
  <c r="AH9" i="47"/>
  <c r="AH12"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F11" i="47"/>
  <c r="AF12" i="47"/>
  <c r="H12" i="47"/>
  <c r="H11" i="47"/>
  <c r="AO11" i="47"/>
  <c r="AO12" i="47"/>
  <c r="AK12" i="47"/>
  <c r="AK11" i="47"/>
  <c r="T12" i="47"/>
  <c r="T11" i="47"/>
  <c r="R11" i="47"/>
  <c r="R12" i="47"/>
  <c r="AA12" i="47"/>
  <c r="AA11" i="47"/>
  <c r="Z12" i="47"/>
  <c r="Z11" i="47"/>
  <c r="AX12" i="47" l="1"/>
  <c r="AH11" i="47"/>
  <c r="AE12" i="47"/>
  <c r="AY11" i="47"/>
  <c r="AU11" i="47"/>
  <c r="B37" i="46"/>
  <c r="B38" i="46" s="1"/>
  <c r="C34" i="46" s="1"/>
  <c r="C36" i="46" s="1"/>
  <c r="C37" i="46" s="1"/>
  <c r="C38" i="46" s="1"/>
  <c r="D34" i="46" s="1"/>
  <c r="D36" i="46" s="1"/>
  <c r="D37" i="46" s="1"/>
  <c r="D38" i="46" s="1"/>
  <c r="E34" i="46" s="1"/>
  <c r="AS12" i="47"/>
  <c r="AR11" i="47"/>
  <c r="AR13" i="47" s="1"/>
  <c r="AR14" i="47" s="1"/>
  <c r="AR16" i="47" s="1"/>
  <c r="AR17" i="47" s="1"/>
  <c r="Y11" i="47"/>
  <c r="Y13" i="47" s="1"/>
  <c r="Y14" i="47" s="1"/>
  <c r="Y16" i="47" s="1"/>
  <c r="Y17" i="47" s="1"/>
  <c r="L11" i="47"/>
  <c r="AL12" i="47"/>
  <c r="AL13" i="47" s="1"/>
  <c r="AL14" i="47" s="1"/>
  <c r="AL16" i="47" s="1"/>
  <c r="AL17" i="47" s="1"/>
  <c r="BB12" i="47"/>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s="1"/>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AA30" i="47"/>
  <c r="S30" i="47"/>
  <c r="K30" i="47"/>
  <c r="T30" i="47"/>
  <c r="Z30" i="47"/>
  <c r="G30" i="47"/>
  <c r="V30" i="47"/>
  <c r="F30" i="47"/>
  <c r="P30" i="47"/>
  <c r="L30" i="47"/>
  <c r="W30" i="47"/>
  <c r="R30" i="47"/>
  <c r="J30" i="47"/>
  <c r="Y30" i="47"/>
  <c r="Q30" i="47"/>
  <c r="N30" i="47"/>
  <c r="X30" i="47"/>
  <c r="U30" i="47"/>
  <c r="O30" i="47"/>
  <c r="AC30" i="47"/>
  <c r="H30" i="47"/>
  <c r="I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N36" i="55"/>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Z28" i="56" l="1"/>
  <c r="Z29" i="56" s="1"/>
  <c r="Z31" i="56" s="1"/>
  <c r="Z33" i="56" s="1"/>
  <c r="Z34" i="56" s="1"/>
  <c r="Z35" i="56" s="1"/>
  <c r="N28" i="56"/>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R27" i="47"/>
  <c r="M27" i="47"/>
  <c r="U26" i="47"/>
  <c r="U25" i="47"/>
  <c r="U27" i="47"/>
  <c r="AA26" i="47"/>
  <c r="I27" i="47"/>
  <c r="X26" i="47" l="1"/>
  <c r="J25" i="47"/>
  <c r="W27" i="47"/>
  <c r="X27" i="47"/>
  <c r="W26" i="47"/>
  <c r="W28" i="47" s="1"/>
  <c r="W29" i="47" s="1"/>
  <c r="W31" i="47" s="1"/>
  <c r="W33" i="47" s="1"/>
  <c r="W34" i="47" s="1"/>
  <c r="W35" i="47" s="1"/>
  <c r="I25" i="47"/>
  <c r="E27" i="47"/>
  <c r="E25" i="47"/>
  <c r="E26" i="47"/>
  <c r="H27" i="47"/>
  <c r="F25" i="47"/>
  <c r="H25" i="47"/>
  <c r="H28" i="47" s="1"/>
  <c r="H29" i="47" s="1"/>
  <c r="H31" i="47" s="1"/>
  <c r="H33" i="47" s="1"/>
  <c r="H34" i="47" s="1"/>
  <c r="H35" i="47" s="1"/>
  <c r="G27" i="47"/>
  <c r="AA25" i="47"/>
  <c r="L25" i="47"/>
  <c r="L28" i="47" s="1"/>
  <c r="L29" i="47" s="1"/>
  <c r="L31" i="47" s="1"/>
  <c r="L33" i="47" s="1"/>
  <c r="L34" i="47" s="1"/>
  <c r="L35" i="47" s="1"/>
  <c r="N25" i="47"/>
  <c r="N28" i="47" s="1"/>
  <c r="N29" i="47" s="1"/>
  <c r="N31" i="47" s="1"/>
  <c r="N33" i="47" s="1"/>
  <c r="N34" i="47" s="1"/>
  <c r="N35" i="47" s="1"/>
  <c r="N26" i="47"/>
  <c r="L27" i="47"/>
  <c r="AB25" i="47"/>
  <c r="F26" i="47"/>
  <c r="J27" i="47"/>
  <c r="J28" i="47" s="1"/>
  <c r="J29" i="47" s="1"/>
  <c r="J31" i="47" s="1"/>
  <c r="J33" i="47" s="1"/>
  <c r="J34" i="47" s="1"/>
  <c r="J35" i="47" s="1"/>
  <c r="AB26" i="47"/>
  <c r="P25" i="47"/>
  <c r="T26" i="47"/>
  <c r="Z26" i="47"/>
  <c r="Z25" i="47"/>
  <c r="AC25" i="47"/>
  <c r="K25" i="47"/>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8" i="47" s="1"/>
  <c r="Y29" i="47" s="1"/>
  <c r="Y31" i="47" s="1"/>
  <c r="Y33" i="47" s="1"/>
  <c r="Y34" i="47" s="1"/>
  <c r="Y35" i="47" s="1"/>
  <c r="Y27" i="47"/>
  <c r="V26" i="47"/>
  <c r="V25" i="47"/>
  <c r="V28" i="47" s="1"/>
  <c r="V29" i="47" s="1"/>
  <c r="V31" i="47" s="1"/>
  <c r="V33" i="47" s="1"/>
  <c r="V34" i="47" s="1"/>
  <c r="V35" i="47" s="1"/>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Z28" i="47" l="1"/>
  <c r="Z29" i="47" s="1"/>
  <c r="Z31" i="47" s="1"/>
  <c r="Z33" i="47" s="1"/>
  <c r="Z34" i="47" s="1"/>
  <c r="Z35" i="47" s="1"/>
  <c r="F28" i="47"/>
  <c r="F29" i="47" s="1"/>
  <c r="F31" i="47" s="1"/>
  <c r="F33" i="47" s="1"/>
  <c r="F34" i="47" s="1"/>
  <c r="F35" i="47" s="1"/>
  <c r="K28" i="47"/>
  <c r="K29" i="47" s="1"/>
  <c r="K31" i="47" s="1"/>
  <c r="K33" i="47" s="1"/>
  <c r="K34" i="47" s="1"/>
  <c r="K35" i="47" s="1"/>
  <c r="E28" i="47"/>
  <c r="E29" i="47" s="1"/>
  <c r="E31" i="47" s="1"/>
  <c r="E33" i="47" s="1"/>
  <c r="E34" i="47" s="1"/>
  <c r="E35" i="47" s="1"/>
  <c r="AB28" i="47"/>
  <c r="AB29" i="47" s="1"/>
  <c r="AB31" i="47" s="1"/>
  <c r="AB33" i="47" s="1"/>
  <c r="AB34" i="47" s="1"/>
  <c r="AB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<sst xmlns="http://schemas.openxmlformats.org/spreadsheetml/2006/main" count="1533" uniqueCount="280">
  <si>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</si>
  <si>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</si>
  <si>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</si>
  <si>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</si>
  <si>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</si>
  <si>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</si>
  <si>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</si>
  <si>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</si>
  <si>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</si>
  <si>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</si>
  <si>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</si>
  <si>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</si>
  <si>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</si>
  <si>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</si>
  <si>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</si>
  <si>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</si>
  <si>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</si>
  <si>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</si>
  <si>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</si>
  <si>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</si>
  <si>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</si>
  <si>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</si>
  <si>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</si>
  <si>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</si>
  <si>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</si>
  <si>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</si>
  <si>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</si>
  <si>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</si>
  <si>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</si>
  <si>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</si>
  <si>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</si>
  <si>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</si>
  <si>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</si>
  <si>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</si>
  <si>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</si>
  <si>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</si>
  <si>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</si>
  <si>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</si>
  <si>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</si>
  <si>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</si>
  <si>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</si>
  <si>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</si>
  <si>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</si>
  <si>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</si>
  <si>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</si>
  <si>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</si>
  <si>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</si>
  <si>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</si>
  <si>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</si>
  <si>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</si>
  <si>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</si>
  <si>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</si>
  <si>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</si>
  <si>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</si>
  <si>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</si>
  <si>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</si>
  <si>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</si>
  <si>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</si>
  <si>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</si>
  <si>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</si>
  <si>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</si>
  <si>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</si>
  <si>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</si>
  <si>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</si>
  <si>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</si>
  <si>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</si>
  <si>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</si>
  <si>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</si>
  <si>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</si>
  <si>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</si>
  <si>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</si>
  <si>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</si>
  <si>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</si>
  <si>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</si>
  <si>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</si>
  <si>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</si>
  <si>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</si>
  <si>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</si>
  <si>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</si>
  <si>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</si>
  <si>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</si>
  <si>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</si>
  <si>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</si>
  <si>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</si>
  <si>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</si>
  <si>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</si>
  <si>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</si>
  <si>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</si>
  <si>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</si>
  <si>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</si>
  <si>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</si>
  <si>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</si>
  <si>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</si>
  <si>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</si>
  <si>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</si>
  <si>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</si>
  <si>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</si>
  <si>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</si>
  <si>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</si>
  <si>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</si>
  <si>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</si>
  <si>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</si>
  <si>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</si>
  <si>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</si>
  <si>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</si>
  <si>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</si>
  <si>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</si>
  <si>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</si>
  <si>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</si>
  <si>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</si>
  <si>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</si>
  <si>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</si>
  <si>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</si>
  <si>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</si>
  <si>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</si>
  <si>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</si>
  <si>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</si>
  <si>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</si>
  <si>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</si>
  <si>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</si>
  <si>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</si>
  <si>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</si>
  <si>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</si>
  <si>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</si>
  <si>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</si>
  <si>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</si>
  <si>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</si>
  <si>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</si>
  <si>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</si>
  <si>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</si>
  <si>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</si>
  <si>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</si>
  <si>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</si>
  <si>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</si>
  <si>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</si>
  <si>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</si>
  <si>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</si>
  <si>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</si>
  <si>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</si>
  <si>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</si>
  <si>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</si>
  <si>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</si>
  <si>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</si>
  <si>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</si>
  <si>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</si>
  <si>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</si>
  <si>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</si>
  <si>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</si>
  <si>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</si>
  <si>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</si>
  <si>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</si>
  <si>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</si>
  <si>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</si>
  <si>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</si>
  <si>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</si>
  <si>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</si>
  <si>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</si>
  <si>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</si>
  <si>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</si>
  <si>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</si>
  <si>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</si>
  <si>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</si>
  <si>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</si>
  <si>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</si>
  <si>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</si>
  <si>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</si>
  <si>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</si>
  <si>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</si>
  <si>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</si>
  <si>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</si>
  <si>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</si>
  <si>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</si>
  <si>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</si>
  <si>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</si>
  <si>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</si>
  <si>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</si>
  <si>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</si>
  <si>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</si>
  <si>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</si>
  <si>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</si>
  <si>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</si>
  <si>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</si>
  <si>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</si>
  <si>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</si>
  <si>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</si>
  <si>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</si>
  <si>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</si>
  <si>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</si>
  <si>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</si>
  <si>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</si>
  <si>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</si>
  <si>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</si>
  <si>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</si>
  <si>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</si>
  <si>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</si>
  <si>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</si>
  <si>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</si>
  <si>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</si>
  <si>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</si>
  <si>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</si>
  <si>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</si>
  <si>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</si>
  <si>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</si>
  <si>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</si>
  <si>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</si>
  <si>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</si>
  <si>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</si>
  <si>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</si>
  <si>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</si>
  <si>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</si>
  <si>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</si>
  <si>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</si>
  <si>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</si>
  <si>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</si>
  <si>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</si>
  <si>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</si>
  <si>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</si>
  <si>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</si>
  <si>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</si>
  <si>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</si>
  <si>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</si>
  <si>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</si>
  <si>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</si>
  <si>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</si>
  <si>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</si>
  <si>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</si>
  <si>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</si>
  <si>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</si>
  <si>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</si>
  <si>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</si>
  <si>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</si>
  <si>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</si>
  <si>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</si>
  <si>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</si>
  <si>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</si>
  <si>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</si>
  <si>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</si>
  <si>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</si>
  <si>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</si>
  <si>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</si>
  <si>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</si>
  <si>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</si>
  <si>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</si>
  <si>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</si>
  <si>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</si>
  <si>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</si>
  <si>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</si>
  <si>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</si>
  <si>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</si>
  <si>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</si>
  <si>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</si>
  <si>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</si>
  <si>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</si>
  <si>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</si>
  <si>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</si>
  <si>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</si>
  <si>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</si>
  <si>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</si>
  <si>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</si>
  <si>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</si>
  <si>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</si>
  <si>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</si>
  <si>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</si>
  <si>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</si>
  <si>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</si>
  <si>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</si>
  <si>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</si>
  <si>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</si>
  <si>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</si>
  <si>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</si>
  <si>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</si>
  <si>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</si>
  <si>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</si>
  <si>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</si>
  <si>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</si>
  <si>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</si>
  <si>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</si>
  <si>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</si>
  <si>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volatility modified</t>
  </si>
  <si>
    <t>modifier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</si>
</sst>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Y</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Y</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Y</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M30" sqref="M30"/>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5">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5">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5">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5">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5">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F3" sqref="F3"/>
    </sheetView>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f>'Volatility Modifier'!C2</f>
        <v>4.2999999999999997E-2</v>
      </c>
    </row>
    <row r="3" spans="1:2" x14ac:dyDescent="0.25">
      <c r="A3" s="2" t="s">
        <v>101</v>
      </c>
      <c r="B3" s="2">
        <f>'Volatility Modifier'!C3</f>
        <v>3.5000000000000003E-2</v>
      </c>
    </row>
    <row r="4" spans="1:2" x14ac:dyDescent="0.25">
      <c r="A4" s="2" t="s">
        <v>155</v>
      </c>
      <c r="B4" s="2">
        <f>'Volatility Modifier'!C4</f>
        <v>2.4500000000000001E-2</v>
      </c>
    </row>
    <row r="5" spans="1:2" x14ac:dyDescent="0.25">
      <c r="A5" s="2" t="s">
        <v>154</v>
      </c>
      <c r="B5" s="2">
        <f>'Volatility Modifier'!C5</f>
        <v>2.5000000000000001E-2</v>
      </c>
    </row>
    <row r="6" spans="1:2" x14ac:dyDescent="0.25">
      <c r="A6" s="2" t="s">
        <v>153</v>
      </c>
      <c r="B6" s="2">
        <f>'Volatility Modifier'!C6</f>
        <v>1.8499999999999999E-2</v>
      </c>
    </row>
    <row r="7" spans="1:2" x14ac:dyDescent="0.25">
      <c r="A7" s="2" t="s">
        <v>152</v>
      </c>
      <c r="B7" s="2">
        <f>'Volatility Modifier'!C7</f>
        <v>1.4500000000000001E-2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8DBE8-CF75-4655-BEBA-522F79047F23}">
  <dimension ref="A1:C11"/>
  <sheetViews>
    <sheetView tabSelected="1" workbookViewId="0">
      <selection activeCell="B12" sqref="B12"/>
    </sheetView>
  </sheetViews>
  <sheetFormatPr defaultRowHeight="15" x14ac:dyDescent="0.25"/>
  <cols>
    <col min="1" max="1" width="30.5703125" customWidth="1"/>
    <col min="2" max="2" width="27" customWidth="1"/>
  </cols>
  <sheetData>
    <row r="1" spans="1:3" x14ac:dyDescent="0.25">
      <c r="A1" s="2"/>
      <c r="B1" s="2" t="s">
        <v>156</v>
      </c>
      <c r="C1" t="s">
        <v>278</v>
      </c>
    </row>
    <row r="2" spans="1:3" x14ac:dyDescent="0.25">
      <c r="A2" s="2" t="s">
        <v>100</v>
      </c>
      <c r="B2" s="2">
        <v>8.5999999999999993E-2</v>
      </c>
      <c r="C2">
        <f t="shared" ref="C2:C7" si="0">B2*(1+$B$11)</f>
        <v>4.2999999999999997E-2</v>
      </c>
    </row>
    <row r="3" spans="1:3" x14ac:dyDescent="0.25">
      <c r="A3" s="2" t="s">
        <v>101</v>
      </c>
      <c r="B3" s="2">
        <v>7.0000000000000007E-2</v>
      </c>
      <c r="C3">
        <f t="shared" si="0"/>
        <v>3.5000000000000003E-2</v>
      </c>
    </row>
    <row r="4" spans="1:3" x14ac:dyDescent="0.25">
      <c r="A4" s="2" t="s">
        <v>155</v>
      </c>
      <c r="B4" s="2">
        <v>4.9000000000000002E-2</v>
      </c>
      <c r="C4">
        <f t="shared" si="0"/>
        <v>2.4500000000000001E-2</v>
      </c>
    </row>
    <row r="5" spans="1:3" x14ac:dyDescent="0.25">
      <c r="A5" s="2" t="s">
        <v>154</v>
      </c>
      <c r="B5" s="2">
        <v>0.05</v>
      </c>
      <c r="C5">
        <f t="shared" si="0"/>
        <v>2.5000000000000001E-2</v>
      </c>
    </row>
    <row r="6" spans="1:3" x14ac:dyDescent="0.25">
      <c r="A6" s="2" t="s">
        <v>153</v>
      </c>
      <c r="B6" s="2">
        <v>3.6999999999999998E-2</v>
      </c>
      <c r="C6">
        <f t="shared" si="0"/>
        <v>1.8499999999999999E-2</v>
      </c>
    </row>
    <row r="7" spans="1:3" x14ac:dyDescent="0.25">
      <c r="A7" s="2" t="s">
        <v>152</v>
      </c>
      <c r="B7" s="2">
        <v>2.9000000000000001E-2</v>
      </c>
      <c r="C7">
        <f t="shared" si="0"/>
        <v>1.4500000000000001E-2</v>
      </c>
    </row>
    <row r="11" spans="1:3" x14ac:dyDescent="0.25">
      <c r="A11" t="s">
        <v>279</v>
      </c>
      <c r="B11" s="84">
        <v>-0.5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Volatility Modifier</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