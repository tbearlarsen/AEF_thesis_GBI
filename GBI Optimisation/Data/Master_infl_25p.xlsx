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6C5855CA-0FF1-584E-8B43-C29E0A804E15}" xr6:coauthVersionLast="47" xr6:coauthVersionMax="47" xr10:uidLastSave="{00000000-0000-0000-0000-000000000000}"/>
  <bookViews>
    <workbookView xWindow="0" yWindow="760" windowWidth="19420" windowHeight="10300" tabRatio="972" firstSheet="7"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1" l="1"/>
  <c r="C7" i="51"/>
  <c r="B22" i="55"/>
  <c r="B5" i="55"/>
  <c r="B3" i="55"/>
  <c r="N39" i="2"/>
  <c r="N40" i="2"/>
  <c r="N41" i="2"/>
  <c r="N42" i="2"/>
  <c r="N43" i="2"/>
  <c r="N44" i="2"/>
  <c r="N45" i="2"/>
  <c r="N46" i="2"/>
  <c r="N47" i="2"/>
  <c r="N48" i="2"/>
  <c r="N49" i="2"/>
  <c r="D49" i="2" s="1"/>
  <c r="N50" i="2"/>
  <c r="D50" i="2" s="1"/>
  <c r="N51" i="2"/>
  <c r="D51" i="2" s="1"/>
  <c r="N52" i="2"/>
  <c r="N53" i="2"/>
  <c r="E39" i="56"/>
  <c r="F39" i="56" s="1"/>
  <c r="B14" i="56"/>
  <c r="B43" i="55" s="1"/>
  <c r="B45" i="55" s="1"/>
  <c r="Q8" i="56"/>
  <c r="O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R8" i="56" l="1"/>
  <c r="AX8" i="56"/>
  <c r="Z8" i="56"/>
  <c r="BA8" i="56"/>
  <c r="AE8" i="56"/>
  <c r="AM8" i="56"/>
  <c r="G8" i="56"/>
  <c r="AO8" i="56"/>
  <c r="I8" i="56"/>
  <c r="AW8" i="56"/>
  <c r="B25" i="55"/>
  <c r="AH8" i="56"/>
  <c r="BB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Q97" i="8"/>
  <c r="Q91" i="8"/>
  <c r="Q85" i="8"/>
  <c r="Q17" i="8"/>
  <c r="Q76" i="8"/>
  <c r="Q51" i="8"/>
  <c r="Q24" i="8"/>
  <c r="Q101" i="8"/>
  <c r="T11" i="8" s="1"/>
  <c r="Q49" i="8"/>
  <c r="Q25" i="8"/>
  <c r="T3" i="8" l="1"/>
  <c r="D3" i="8" s="1"/>
  <c r="D54" i="46"/>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l="1"/>
  <c r="E4" i="8" s="1"/>
  <c r="E5" i="8" s="1"/>
  <c r="E52" i="46"/>
  <c r="E53" i="46" s="1"/>
  <c r="E54" i="46"/>
  <c r="F50" i="46" s="1"/>
  <c r="F47" i="55"/>
  <c r="G43" i="55" s="1"/>
  <c r="G54" i="55"/>
  <c r="H50" i="55" s="1"/>
  <c r="D40" i="8"/>
  <c r="D42" i="8"/>
  <c r="D41" i="8"/>
  <c r="D38" i="8"/>
  <c r="P8" i="2"/>
  <c r="Q8" i="2"/>
  <c r="O8" i="2"/>
  <c r="R8" i="2"/>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P18" i="2"/>
  <c r="Q18" i="2"/>
  <c r="K47" i="55"/>
  <c r="L43" i="55" s="1"/>
  <c r="L54" i="55"/>
  <c r="M50" i="55" s="1"/>
  <c r="R18" i="2"/>
  <c r="O18" i="2"/>
  <c r="H15" i="53"/>
  <c r="O7" i="53" a="1"/>
  <c r="O7" i="53" s="1"/>
  <c r="G14" i="53"/>
  <c r="N8" i="53" a="1"/>
  <c r="N8" i="53" s="1"/>
  <c r="Q8" i="53" s="1"/>
  <c r="M45" i="46"/>
  <c r="M46" i="46" s="1"/>
  <c r="E19" i="45"/>
  <c r="D19" i="45"/>
  <c r="E20" i="8"/>
  <c r="M54" i="46" l="1"/>
  <c r="N50" i="46" s="1"/>
  <c r="N52" i="46"/>
  <c r="N53" i="46" s="1"/>
  <c r="N54" i="46"/>
  <c r="O50" i="46" s="1"/>
  <c r="O52" i="46" s="1"/>
  <c r="O53" i="46" s="1"/>
  <c r="P19" i="2"/>
  <c r="Q19" i="2"/>
  <c r="M52" i="55"/>
  <c r="M53" i="55" s="1"/>
  <c r="L45" i="55"/>
  <c r="L46" i="55" s="1"/>
  <c r="O19" i="2"/>
  <c r="R19" i="2"/>
  <c r="G15" i="53"/>
  <c r="N7" i="53" a="1"/>
  <c r="N7" i="53" s="1"/>
  <c r="Q7" i="53" s="1"/>
  <c r="H16" i="53"/>
  <c r="O6" i="53" a="1"/>
  <c r="O6" i="53" s="1"/>
  <c r="M47" i="46"/>
  <c r="N43" i="46" s="1"/>
  <c r="D20" i="45"/>
  <c r="E20" i="45"/>
  <c r="E21" i="8"/>
  <c r="E22" i="8" s="1"/>
  <c r="O54" i="46" l="1"/>
  <c r="P50" i="46" s="1"/>
  <c r="P20" i="2"/>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E22" i="45"/>
  <c r="E25" i="8"/>
  <c r="E26" i="8" s="1"/>
  <c r="Q22" i="2" l="1"/>
  <c r="P22" i="2"/>
  <c r="N45" i="55"/>
  <c r="N46" i="55" s="1"/>
  <c r="N54" i="55"/>
  <c r="O50" i="55" s="1"/>
  <c r="R22" i="2"/>
  <c r="O22" i="2"/>
  <c r="Q54" i="46"/>
  <c r="R50" i="46" s="1"/>
  <c r="G18" i="53"/>
  <c r="N3" i="53" s="1" a="1"/>
  <c r="N3" i="53" s="1"/>
  <c r="N4" i="53" a="1"/>
  <c r="N4" i="53" s="1"/>
  <c r="Q4" i="53" s="1"/>
  <c r="O45" i="46"/>
  <c r="O46" i="46" s="1"/>
  <c r="E23" i="45"/>
  <c r="D23" i="45"/>
  <c r="Q23" i="2" l="1"/>
  <c r="P23" i="2"/>
  <c r="Q3" i="53"/>
  <c r="Q21" i="53" s="1"/>
  <c r="E2" i="56" a="1"/>
  <c r="B2" i="55" a="1"/>
  <c r="O52" i="55"/>
  <c r="O53" i="55" s="1"/>
  <c r="N47" i="55"/>
  <c r="O43" i="55" s="1"/>
  <c r="O23" i="2"/>
  <c r="R23" i="2"/>
  <c r="R52" i="46"/>
  <c r="R53" i="46" s="1"/>
  <c r="O47" i="46"/>
  <c r="P43" i="46" s="1"/>
  <c r="P45" i="46" s="1"/>
  <c r="P46" i="46" s="1"/>
  <c r="D24" i="45"/>
  <c r="E24" i="45"/>
  <c r="E27" i="8"/>
  <c r="E28" i="8" s="1"/>
  <c r="P24" i="2" l="1"/>
  <c r="Q24" i="2"/>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E29" i="8"/>
  <c r="E30" i="8" s="1"/>
  <c r="P25" i="2" l="1"/>
  <c r="M6" i="55"/>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R13" i="56" l="1"/>
  <c r="R14" i="56" s="1"/>
  <c r="R16" i="56" s="1"/>
  <c r="R17" i="56" s="1"/>
  <c r="G13" i="56"/>
  <c r="G14" i="56" s="1"/>
  <c r="G16" i="56" s="1"/>
  <c r="G17" i="56" s="1"/>
  <c r="F13" i="56"/>
  <c r="F14" i="56" s="1"/>
  <c r="F16" i="56" s="1"/>
  <c r="F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BA12" i="56"/>
  <c r="BA11" i="56"/>
  <c r="BA13" i="56" s="1"/>
  <c r="BA14" i="56" s="1"/>
  <c r="BA16" i="56" s="1"/>
  <c r="BA17" i="56" s="1"/>
  <c r="AL12" i="56"/>
  <c r="AL11" i="56"/>
  <c r="AO12" i="56"/>
  <c r="AO11" i="56"/>
  <c r="AV12" i="56"/>
  <c r="AV11" i="56"/>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V13" i="56" l="1"/>
  <c r="AV14" i="56" s="1"/>
  <c r="AV16" i="56" s="1"/>
  <c r="AV17" i="56" s="1"/>
  <c r="AS13" i="56"/>
  <c r="AS14" i="56" s="1"/>
  <c r="AS16" i="56" s="1"/>
  <c r="AS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18" i="2" l="1"/>
  <c r="N31" i="2"/>
  <c r="N34" i="2"/>
  <c r="D34" i="2" s="1"/>
  <c r="F34" i="2" s="1"/>
  <c r="L34" i="2" s="1"/>
  <c r="N15" i="2"/>
  <c r="N32" i="2"/>
  <c r="N36" i="2"/>
  <c r="D36" i="2" s="1"/>
  <c r="F36" i="2" s="1"/>
  <c r="L36" i="2" s="1"/>
  <c r="N20" i="2"/>
  <c r="N29" i="2"/>
  <c r="N13" i="2"/>
  <c r="BI2" i="56"/>
  <c r="N3" i="2" s="1"/>
  <c r="N23" i="2"/>
  <c r="N4" i="2"/>
  <c r="N19" i="2"/>
  <c r="N8" i="2"/>
  <c r="N37" i="2"/>
  <c r="D37" i="2" s="1"/>
  <c r="F37" i="2" s="1"/>
  <c r="L37" i="2" s="1"/>
  <c r="Y32" i="56" s="1"/>
  <c r="N35" i="2"/>
  <c r="D35" i="2" s="1"/>
  <c r="F35" i="2" s="1"/>
  <c r="L35" i="2" s="1"/>
  <c r="N30" i="2"/>
  <c r="N24" i="2"/>
  <c r="N12" i="2"/>
  <c r="N9" i="2"/>
  <c r="N26" i="2"/>
  <c r="N25" i="2"/>
  <c r="N16" i="2"/>
  <c r="N5" i="2"/>
  <c r="N10" i="2"/>
  <c r="N14" i="2"/>
  <c r="N7" i="2"/>
  <c r="N6" i="2"/>
  <c r="N11" i="2"/>
  <c r="N28" i="2"/>
  <c r="N33" i="2"/>
  <c r="D33" i="2" s="1"/>
  <c r="F33" i="2" s="1"/>
  <c r="L33" i="2" s="1"/>
  <c r="N21" i="2"/>
  <c r="U32" i="56"/>
  <c r="N38" i="2"/>
  <c r="D38" i="2" s="1"/>
  <c r="F38" i="2" s="1"/>
  <c r="L38" i="2" s="1"/>
  <c r="N22" i="2"/>
  <c r="N17" i="2"/>
  <c r="O36" i="55"/>
  <c r="O37" i="55" s="1"/>
  <c r="Z45" i="55"/>
  <c r="Z46" i="55" s="1"/>
  <c r="Z54" i="55"/>
  <c r="AA50" i="55" s="1"/>
  <c r="Q44" i="2"/>
  <c r="O44" i="2"/>
  <c r="P44" i="2"/>
  <c r="R44" i="2"/>
  <c r="AF52" i="46"/>
  <c r="AF53" i="46" s="1"/>
  <c r="AD45" i="46"/>
  <c r="AD46" i="46" s="1"/>
  <c r="D45" i="45"/>
  <c r="E45" i="45"/>
  <c r="F32" i="56" l="1"/>
  <c r="K32" i="56"/>
  <c r="AB32" i="56"/>
  <c r="J32" i="56"/>
  <c r="H32" i="56"/>
  <c r="N32" i="56"/>
  <c r="AC32" i="56"/>
  <c r="Q32" i="56"/>
  <c r="V32" i="56"/>
  <c r="O32" i="56"/>
  <c r="L32" i="56"/>
  <c r="AA32" i="56"/>
  <c r="G32" i="56"/>
  <c r="Z32" i="56"/>
  <c r="I32" i="56"/>
  <c r="R32" i="56"/>
  <c r="W32" i="56"/>
  <c r="P32" i="56"/>
  <c r="E32" i="56"/>
  <c r="X32" i="56"/>
  <c r="M32" i="56"/>
  <c r="T32" i="56"/>
  <c r="S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AG54" i="46"/>
  <c r="AH50" i="46" s="1"/>
  <c r="AH52" i="46" s="1"/>
  <c r="AH53" i="46" s="1"/>
  <c r="AE45" i="46"/>
  <c r="AE46" i="46" s="1"/>
  <c r="E47" i="45"/>
  <c r="D47" i="45"/>
  <c r="O47" i="2" l="1"/>
  <c r="Q47" i="2"/>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I4" i="47"/>
  <c r="AB5" i="47" l="1"/>
  <c r="AB6" i="47" s="1"/>
  <c r="AB7" i="47" s="1"/>
  <c r="J6" i="46"/>
  <c r="D6" i="46"/>
  <c r="AM4" i="47"/>
  <c r="AM5" i="47" s="1"/>
  <c r="AM6" i="47" s="1"/>
  <c r="AM7" i="47" s="1"/>
  <c r="AP4" i="47"/>
  <c r="AP5" i="47" s="1"/>
  <c r="AP6" i="47" s="1"/>
  <c r="AP7" i="47" s="1"/>
  <c r="AP10" i="47" s="1"/>
  <c r="S38" i="55"/>
  <c r="T34" i="55" s="1"/>
  <c r="T36" i="55" s="1"/>
  <c r="T37" i="55" s="1"/>
  <c r="E10" i="47"/>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G5" i="47"/>
  <c r="G6" i="47" s="1"/>
  <c r="G7" i="47" s="1"/>
  <c r="G10" i="47" s="1"/>
  <c r="L6" i="46"/>
  <c r="L7" i="46" s="1"/>
  <c r="L8" i="46" s="1"/>
  <c r="AI5" i="47"/>
  <c r="AI6" i="47" s="1"/>
  <c r="AI7" i="47" s="1"/>
  <c r="AI10" i="47" s="1"/>
  <c r="AH5" i="47"/>
  <c r="AH6" i="47" s="1"/>
  <c r="AH7" i="47" s="1"/>
  <c r="AH10" i="47" s="1"/>
  <c r="AQ6" i="46"/>
  <c r="AQ7" i="46" s="1"/>
  <c r="AQ8" i="46" s="1"/>
  <c r="Y6" i="46"/>
  <c r="Y7" i="46" s="1"/>
  <c r="Y8" i="46" s="1"/>
  <c r="G6" i="46"/>
  <c r="P5" i="47"/>
  <c r="P6" i="47" s="1"/>
  <c r="P7" i="47" s="1"/>
  <c r="P9" i="47" s="1"/>
  <c r="AD47" i="55"/>
  <c r="AE43" i="55" s="1"/>
  <c r="AE52" i="55"/>
  <c r="AE53" i="55" s="1"/>
  <c r="V5" i="47"/>
  <c r="V6" i="47" s="1"/>
  <c r="V7" i="47" s="1"/>
  <c r="V9"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O9" i="47"/>
  <c r="AJ10" i="47"/>
  <c r="AJ9" i="47"/>
  <c r="AB9" i="47"/>
  <c r="AB10" i="47"/>
  <c r="AV10" i="47"/>
  <c r="AV9" i="47"/>
  <c r="G9" i="47"/>
  <c r="D7" i="46"/>
  <c r="D8" i="46" s="1"/>
  <c r="AJ7" i="46"/>
  <c r="AJ8" i="46" s="1"/>
  <c r="Z7" i="46"/>
  <c r="Z8" i="46" s="1"/>
  <c r="U7" i="46"/>
  <c r="U8" i="46" s="1"/>
  <c r="AA7" i="46"/>
  <c r="AA8" i="46" s="1"/>
  <c r="AC7" i="46"/>
  <c r="AC8" i="46" s="1"/>
  <c r="O7" i="46"/>
  <c r="O8" i="46" s="1"/>
  <c r="AS7" i="46"/>
  <c r="AS8" i="46" s="1"/>
  <c r="AB7" i="46"/>
  <c r="AB8" i="46" s="1"/>
  <c r="F7" i="46"/>
  <c r="F8" i="46" s="1"/>
  <c r="AL7" i="46"/>
  <c r="AL8" i="46" s="1"/>
  <c r="J7" i="46"/>
  <c r="J8" i="46" s="1"/>
  <c r="G7" i="46"/>
  <c r="G8" i="46" s="1"/>
  <c r="Q7" i="46"/>
  <c r="Q8" i="46" s="1"/>
  <c r="E7" i="46"/>
  <c r="E8" i="46" s="1"/>
  <c r="K7" i="46"/>
  <c r="K8" i="46" s="1"/>
  <c r="AN7" i="46"/>
  <c r="AN8" i="46" s="1"/>
  <c r="AM7" i="46"/>
  <c r="AM8" i="46" s="1"/>
  <c r="X7" i="46"/>
  <c r="X8" i="46" s="1"/>
  <c r="P7" i="46"/>
  <c r="P8" i="46" s="1"/>
  <c r="N7" i="46"/>
  <c r="N8" i="46" s="1"/>
  <c r="AO7" i="46"/>
  <c r="AO8" i="46" s="1"/>
  <c r="R7" i="46"/>
  <c r="R8" i="46" s="1"/>
  <c r="AM10" i="47" l="1"/>
  <c r="AM9" i="47"/>
  <c r="AN9" i="47"/>
  <c r="AI9" i="47"/>
  <c r="F9" i="47"/>
  <c r="F11" i="47" s="1"/>
  <c r="V10" i="47"/>
  <c r="T9" i="47"/>
  <c r="T12" i="47" s="1"/>
  <c r="S9" i="47"/>
  <c r="S11" i="47" s="1"/>
  <c r="S10" i="47"/>
  <c r="AK9" i="47"/>
  <c r="AK12" i="47" s="1"/>
  <c r="E12" i="47"/>
  <c r="E11" i="47"/>
  <c r="E13" i="47"/>
  <c r="E14" i="47" s="1"/>
  <c r="E16" i="47" s="1"/>
  <c r="E17" i="47" s="1"/>
  <c r="AF10" i="47"/>
  <c r="Z10" i="47"/>
  <c r="X10" i="47"/>
  <c r="L9" i="47"/>
  <c r="L12" i="47" s="1"/>
  <c r="AH9" i="47"/>
  <c r="AH11"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V12" i="47"/>
  <c r="V11" i="47"/>
  <c r="G11" i="47"/>
  <c r="G12" i="47"/>
  <c r="M12" i="47"/>
  <c r="M11" i="47"/>
  <c r="AH12" i="47"/>
  <c r="AF11" i="47"/>
  <c r="AF12" i="47"/>
  <c r="H12" i="47"/>
  <c r="H11" i="47"/>
  <c r="AO11" i="47"/>
  <c r="AO12" i="47"/>
  <c r="R11" i="47"/>
  <c r="R12" i="47"/>
  <c r="AA12" i="47"/>
  <c r="AA11" i="47"/>
  <c r="Z12" i="47"/>
  <c r="Z11" i="47"/>
  <c r="AY11" i="47" l="1"/>
  <c r="S12" i="47"/>
  <c r="S13" i="47" s="1"/>
  <c r="S14" i="47" s="1"/>
  <c r="S16" i="47" s="1"/>
  <c r="S17" i="47" s="1"/>
  <c r="AS12" i="47"/>
  <c r="AS13" i="47" s="1"/>
  <c r="AS14" i="47" s="1"/>
  <c r="AS16" i="47" s="1"/>
  <c r="AS17" i="47" s="1"/>
  <c r="AK11" i="47"/>
  <c r="AU11" i="47"/>
  <c r="AE12" i="47"/>
  <c r="AE13" i="47" s="1"/>
  <c r="AE14" i="47" s="1"/>
  <c r="AE16" i="47" s="1"/>
  <c r="AE17" i="47" s="1"/>
  <c r="F12" i="47"/>
  <c r="F13" i="47" s="1"/>
  <c r="F14" i="47" s="1"/>
  <c r="F16" i="47" s="1"/>
  <c r="F17" i="47" s="1"/>
  <c r="T11" i="47"/>
  <c r="T13" i="47" s="1"/>
  <c r="T14" i="47" s="1"/>
  <c r="T16" i="47" s="1"/>
  <c r="T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V13" i="47"/>
  <c r="V14" i="47" s="1"/>
  <c r="V16" i="47" s="1"/>
  <c r="V17" i="47" s="1"/>
  <c r="N13" i="47"/>
  <c r="N14" i="47" s="1"/>
  <c r="N16" i="47" s="1"/>
  <c r="N17" i="47" s="1"/>
  <c r="AK13" i="47"/>
  <c r="AK14" i="47" s="1"/>
  <c r="AK16" i="47" s="1"/>
  <c r="AK17" i="47" s="1"/>
  <c r="P13" i="47"/>
  <c r="P14" i="47" s="1"/>
  <c r="P16" i="47" s="1"/>
  <c r="P17" i="47" s="1"/>
  <c r="AA13" i="47"/>
  <c r="AA14" i="47" s="1"/>
  <c r="AA16" i="47" s="1"/>
  <c r="AA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Q54" i="46"/>
  <c r="AR50" i="46" s="1"/>
  <c r="J38" i="46"/>
  <c r="K34" i="46" s="1"/>
  <c r="K36" i="46" s="1"/>
  <c r="K37" i="46" s="1"/>
  <c r="K38" i="46" s="1"/>
  <c r="L34" i="46" s="1"/>
  <c r="L36" i="46" s="1"/>
  <c r="L37" i="46" s="1"/>
  <c r="AN47" i="46"/>
  <c r="AO43" i="46" s="1"/>
  <c r="AJ54" i="55" l="1"/>
  <c r="AK50" i="55" s="1"/>
  <c r="AK52" i="55" s="1"/>
  <c r="AK53" i="55" s="1"/>
  <c r="AA36" i="55"/>
  <c r="AA37"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N36" i="55"/>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7" i="47"/>
  <c r="U25" i="47" l="1"/>
  <c r="J25" i="47"/>
  <c r="X26" i="47"/>
  <c r="AA26" i="47"/>
  <c r="X27" i="47"/>
  <c r="X28" i="47" s="1"/>
  <c r="X29" i="47" s="1"/>
  <c r="X31" i="47" s="1"/>
  <c r="X33" i="47" s="1"/>
  <c r="X34" i="47" s="1"/>
  <c r="X35" i="47" s="1"/>
  <c r="E27" i="47"/>
  <c r="E25" i="47"/>
  <c r="E26" i="47"/>
  <c r="W26" i="47"/>
  <c r="I27" i="47"/>
  <c r="W27" i="47"/>
  <c r="H27" i="47"/>
  <c r="AA25" i="47"/>
  <c r="AA28" i="47" s="1"/>
  <c r="AA29" i="47" s="1"/>
  <c r="AA31" i="47" s="1"/>
  <c r="AA33" i="47" s="1"/>
  <c r="AA34" i="47" s="1"/>
  <c r="AA35" i="47" s="1"/>
  <c r="I25" i="47"/>
  <c r="F25" i="47"/>
  <c r="G27" i="47"/>
  <c r="R27" i="47"/>
  <c r="H25" i="47"/>
  <c r="L25" i="47"/>
  <c r="N25" i="47"/>
  <c r="N26" i="47"/>
  <c r="L27" i="47"/>
  <c r="AB25" i="47"/>
  <c r="F26" i="47"/>
  <c r="F28" i="47" s="1"/>
  <c r="F29" i="47" s="1"/>
  <c r="F31" i="47" s="1"/>
  <c r="F33" i="47" s="1"/>
  <c r="F34" i="47" s="1"/>
  <c r="F35" i="47" s="1"/>
  <c r="J27" i="47"/>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U28" i="47"/>
  <c r="U29" i="47" s="1"/>
  <c r="U31" i="47" s="1"/>
  <c r="U33" i="47" s="1"/>
  <c r="U34" i="47" s="1"/>
  <c r="U35" i="47" s="1"/>
  <c r="G28" i="47" l="1"/>
  <c r="G29" i="47" s="1"/>
  <c r="G31" i="47" s="1"/>
  <c r="G33" i="47" s="1"/>
  <c r="G34" i="47" s="1"/>
  <c r="G35" i="47" s="1"/>
  <c r="AB28" i="47"/>
  <c r="AB29" i="47" s="1"/>
  <c r="AB31" i="47" s="1"/>
  <c r="AB33" i="47" s="1"/>
  <c r="AB34" i="47" s="1"/>
  <c r="AB35" i="47" s="1"/>
  <c r="I28" i="47"/>
  <c r="I29" i="47" s="1"/>
  <c r="I31" i="47" s="1"/>
  <c r="I33" i="47" s="1"/>
  <c r="I34" i="47" s="1"/>
  <c r="I35" i="47" s="1"/>
  <c r="N28" i="47"/>
  <c r="N29" i="47" s="1"/>
  <c r="N31" i="47" s="1"/>
  <c r="N33" i="47" s="1"/>
  <c r="N34" i="47" s="1"/>
  <c r="N35" i="47" s="1"/>
  <c r="J28" i="47"/>
  <c r="J29" i="47" s="1"/>
  <c r="J31" i="47" s="1"/>
  <c r="J33" i="47" s="1"/>
  <c r="J34" i="47" s="1"/>
  <c r="J35" i="47" s="1"/>
  <c r="L28" i="47"/>
  <c r="L29" i="47" s="1"/>
  <c r="L31" i="47" s="1"/>
  <c r="L33" i="47" s="1"/>
  <c r="L34" i="47" s="1"/>
  <c r="L35" i="47" s="1"/>
  <c r="H28" i="47"/>
  <c r="H29" i="47" s="1"/>
  <c r="H31" i="47" s="1"/>
  <c r="H33" i="47" s="1"/>
  <c r="H34" i="47" s="1"/>
  <c r="H35" i="47" s="1"/>
  <c r="W28" i="47"/>
  <c r="W29" i="47" s="1"/>
  <c r="W31" i="47" s="1"/>
  <c r="W33" i="47" s="1"/>
  <c r="W34" i="47" s="1"/>
  <c r="W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<sst xmlns="http://schemas.openxmlformats.org/spreadsheetml/2006/main" count="1524" uniqueCount="278">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</sst>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3" sqref="C3"/>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f>2%*(1+25%)</f>
        <v>2.5000000000000001E-2</v>
      </c>
    </row>
    <row r="3" spans="2:3" x14ac:dyDescent="0.2">
      <c r="B3" s="40" t="s">
        <v>217</v>
      </c>
      <c r="C3" s="43"/>
    </row>
    <row r="4" spans="2:3" x14ac:dyDescent="0.2">
      <c r="B4" s="45" t="s">
        <v>63</v>
      </c>
      <c r="C4" s="46">
        <v>0.03</v>
      </c>
    </row>
    <row r="5" spans="2:3" x14ac:dyDescent="0.2">
      <c r="B5" s="47" t="s">
        <v>65</v>
      </c>
      <c r="C5" s="48">
        <f>C4-C2</f>
        <v>4.9999999999999975E-3</v>
      </c>
    </row>
    <row r="6" spans="2:3" x14ac:dyDescent="0.2">
      <c r="B6" s="47" t="s">
        <v>64</v>
      </c>
      <c r="C6" s="48">
        <v>0.06</v>
      </c>
    </row>
    <row r="7" spans="2:3" x14ac:dyDescent="0.2">
      <c r="B7" s="47" t="s">
        <v>175</v>
      </c>
      <c r="C7" s="48">
        <f>C6-C2</f>
        <v>3.4999999999999996E-2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2.5000000000000001E-2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72519.034146341466</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58311.642878108156</v>
      </c>
      <c r="O3" s="60" cm="1">
        <f t="array" ref="O3">INDEX($H$3:$H$18,ROWS($H$3:$H$18)+ROW($H$3)-ROW())</f>
        <v>36965.72433477857</v>
      </c>
      <c r="Q3" s="63">
        <f>Table11[[#This Row],[GrossMonthlyInflationAdjustedP2]]*0.2</f>
        <v>11662.328575621632</v>
      </c>
    </row>
    <row r="4" spans="1:17" x14ac:dyDescent="0.2">
      <c r="A4" s="16"/>
      <c r="B4" s="14" t="s">
        <v>65</v>
      </c>
      <c r="C4" s="15">
        <f>Income!I4</f>
        <v>4.9999999999999975E-3</v>
      </c>
      <c r="G4" s="35">
        <f>(G3/(1+$C$4))-IF(TableIncomeCalculations11[[#This Row],[Inverse]]="Y",G3*$C$6,0)</f>
        <v>72158.242931683053</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58603.20109249869</v>
      </c>
      <c r="O4" s="60" cm="1">
        <f t="array" ref="O4">INDEX($H$3:$H$18,ROWS($H$3:$H$18)+ROW($H$3)-ROW())</f>
        <v>38074.696064821925</v>
      </c>
      <c r="Q4" s="63">
        <f>Table11[[#This Row],[GrossMonthlyInflationAdjustedP2]]*0.2</f>
        <v>11720.640218499739</v>
      </c>
    </row>
    <row r="5" spans="1:17" x14ac:dyDescent="0.2">
      <c r="A5" s="16"/>
      <c r="B5" s="14" t="s">
        <v>64</v>
      </c>
      <c r="C5" s="15">
        <f>Income!I5</f>
        <v>0.06</v>
      </c>
      <c r="G5" s="35">
        <f>(G4/(1+$C$4))-IF(TableIncomeCalculations11[[#This Row],[Inverse]]="Y",G4*$C$6,0)</f>
        <v>69273.708195583196</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58896.217097961176</v>
      </c>
      <c r="O5" s="60" cm="1">
        <f t="array" ref="O5">INDEX($H$3:$H$18,ROWS($H$3:$H$18)+ROW($H$3)-ROW())</f>
        <v>39216.936946766582</v>
      </c>
      <c r="Q5" s="63">
        <f>Table11[[#This Row],[GrossMonthlyInflationAdjustedP2]]*0.2</f>
        <v>11779.243419592236</v>
      </c>
    </row>
    <row r="6" spans="1:17" x14ac:dyDescent="0.2">
      <c r="A6" s="16"/>
      <c r="B6" s="14" t="s">
        <v>175</v>
      </c>
      <c r="C6" s="15">
        <f>Income!I6</f>
        <v>3.4999999999999996E-2</v>
      </c>
      <c r="G6" s="35">
        <f>(G5/(1+$C$4))-IF(TableIncomeCalculations11[[#This Row],[Inverse]]="Y",G5*$C$6,0)</f>
        <v>68929.06288117732</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61348.636471330014</v>
      </c>
      <c r="O6" s="60" cm="1">
        <f t="array" ref="O6">INDEX($H$3:$H$18,ROWS($H$3:$H$18)+ROW($H$3)-ROW())</f>
        <v>43054.194260466407</v>
      </c>
      <c r="Q6" s="63">
        <f>Table11[[#This Row],[GrossMonthlyInflationAdjustedP2]]*0.2</f>
        <v>12269.727294266004</v>
      </c>
    </row>
    <row r="7" spans="1:17" x14ac:dyDescent="0.2">
      <c r="A7" s="16"/>
      <c r="B7" s="14" t="s">
        <v>76</v>
      </c>
      <c r="C7" s="15">
        <f>Income!I7</f>
        <v>0.2</v>
      </c>
      <c r="G7" s="35">
        <f>(G6/(1+$C$4))-IF(TableIncomeCalculations11[[#This Row],[Inverse]]="Y",G6*$C$6,0)</f>
        <v>68586.13222007695</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61655.379653686658</v>
      </c>
      <c r="O7" s="60" cm="1">
        <f t="array" ref="O7">INDEX($H$3:$H$18,ROWS($H$3:$H$18)+ROW($H$3)-ROW())</f>
        <v>44345.820088280401</v>
      </c>
      <c r="Q7" s="63">
        <f>Table11[[#This Row],[GrossMonthlyInflationAdjustedP2]]*0.2</f>
        <v>12331.075930737332</v>
      </c>
    </row>
    <row r="8" spans="1:17" x14ac:dyDescent="0.2">
      <c r="A8" s="16"/>
      <c r="C8" s="17"/>
      <c r="G8" s="35">
        <f>(G7/(1+$C$4))-IF(TableIncomeCalculations11[[#This Row],[Inverse]]="Y",G7*$C$6,0)</f>
        <v>65844.39305396592</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61963.656551955086</v>
      </c>
      <c r="O8" s="60" cm="1">
        <f t="array" ref="O8">INDEX($H$3:$H$18,ROWS($H$3:$H$18)+ROW($H$3)-ROW())</f>
        <v>45676.194690928816</v>
      </c>
      <c r="Q8" s="63">
        <f>Table11[[#This Row],[GrossMonthlyInflationAdjustedP2]]*0.2</f>
        <v>12392.731310391018</v>
      </c>
    </row>
    <row r="9" spans="1:17" x14ac:dyDescent="0.2">
      <c r="A9" s="16"/>
      <c r="G9" s="35">
        <f>(G8/(1+$C$4))-IF(TableIncomeCalculations11[[#This Row],[Inverse]]="Y",G8*$C$6,0)</f>
        <v>65516.809008921322</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62273.474834714856</v>
      </c>
      <c r="O9" s="60" cm="1">
        <f t="array" ref="O9">INDEX($H$3:$H$18,ROWS($H$3:$H$18)+ROW($H$3)-ROW())</f>
        <v>47046.480531656685</v>
      </c>
      <c r="Q9" s="63">
        <f>Table11[[#This Row],[GrossMonthlyInflationAdjustedP2]]*0.2</f>
        <v>12454.694966942972</v>
      </c>
    </row>
    <row r="10" spans="1:17" x14ac:dyDescent="0.2">
      <c r="A10" s="16"/>
      <c r="G10" s="35">
        <f>(G9/(1+$C$4))-IF(TableIncomeCalculations11[[#This Row],[Inverse]]="Y",G9*$C$6,0)</f>
        <v>65190.854735245106</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64866.522124622003</v>
      </c>
      <c r="O10" s="60" cm="1">
        <f t="array" ref="O10">INDEX($H$3:$H$18,ROWS($H$3:$H$18)+ROW($H$3)-ROW())</f>
        <v>51649.834734178628</v>
      </c>
      <c r="Q10" s="63">
        <f>Table11[[#This Row],[GrossMonthlyInflationAdjustedP2]]*0.2</f>
        <v>12973.304424924401</v>
      </c>
    </row>
    <row r="11" spans="1:17" x14ac:dyDescent="0.2">
      <c r="A11" s="16"/>
      <c r="G11" s="35">
        <f>(G10/(1+$C$4))-IF(TableIncomeCalculations11[[#This Row],[Inverse]]="Y",G10*$C$6,0)</f>
        <v>64866.522124622003</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65190.854735245106</v>
      </c>
      <c r="O11" s="60" cm="1">
        <f t="array" ref="O11">INDEX($H$3:$H$18,ROWS($H$3:$H$18)+ROW($H$3)-ROW())</f>
        <v>53199.329776203987</v>
      </c>
      <c r="Q11" s="63">
        <f>Table11[[#This Row],[GrossMonthlyInflationAdjustedP2]]*0.2</f>
        <v>13038.170947049022</v>
      </c>
    </row>
    <row r="12" spans="1:17" x14ac:dyDescent="0.2">
      <c r="A12" s="16"/>
      <c r="G12" s="35">
        <f>(G11/(1+$C$4))-IF(TableIncomeCalculations11[[#This Row],[Inverse]]="Y",G11*$C$6,0)</f>
        <v>62273.474834714856</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65516.809008921322</v>
      </c>
      <c r="O12" s="60" cm="1">
        <f t="array" ref="O12">INDEX($H$3:$H$18,ROWS($H$3:$H$18)+ROW($H$3)-ROW())</f>
        <v>54795.309669490111</v>
      </c>
      <c r="Q12" s="63">
        <f>Table11[[#This Row],[GrossMonthlyInflationAdjustedP2]]*0.2</f>
        <v>13103.361801784265</v>
      </c>
    </row>
    <row r="13" spans="1:17" x14ac:dyDescent="0.2">
      <c r="A13" s="16"/>
      <c r="G13" s="35">
        <f>(G12/(1+$C$4))-IF(TableIncomeCalculations11[[#This Row],[Inverse]]="Y",G12*$C$6,0)</f>
        <v>61963.656551955086</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65844.39305396592</v>
      </c>
      <c r="O13" s="60" cm="1">
        <f t="array" ref="O13">INDEX($H$3:$H$18,ROWS($H$3:$H$18)+ROW($H$3)-ROW())</f>
        <v>56439.168959574818</v>
      </c>
      <c r="Q13" s="63">
        <f>Table11[[#This Row],[GrossMonthlyInflationAdjustedP2]]*0.2</f>
        <v>13168.878610793185</v>
      </c>
    </row>
    <row r="14" spans="1:17" x14ac:dyDescent="0.2">
      <c r="A14" s="16"/>
      <c r="G14" s="35">
        <f>(G13/(1+$C$4))-IF(TableIncomeCalculations11[[#This Row],[Inverse]]="Y",G13*$C$6,0)</f>
        <v>61655.379653686658</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68586.13222007695</v>
      </c>
      <c r="O14" s="60" cm="1">
        <f t="array" ref="O14">INDEX($H$3:$H$18,ROWS($H$3:$H$18)+ROW($H$3)-ROW())</f>
        <v>61961.56899207212</v>
      </c>
      <c r="Q14" s="63">
        <f>Table11[[#This Row],[GrossMonthlyInflationAdjustedP2]]*0.2</f>
        <v>13717.22644401539</v>
      </c>
    </row>
    <row r="15" spans="1:17" x14ac:dyDescent="0.2">
      <c r="A15" s="16"/>
      <c r="G15" s="35">
        <f>(G14/(1+$C$4))-IF(TableIncomeCalculations11[[#This Row],[Inverse]]="Y",G14*$C$6,0)</f>
        <v>61348.636471330014</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68929.06288117732</v>
      </c>
      <c r="O15" s="60" cm="1">
        <f t="array" ref="O15">INDEX($H$3:$H$18,ROWS($H$3:$H$18)+ROW($H$3)-ROW())</f>
        <v>63820.416061834287</v>
      </c>
      <c r="Q15" s="63">
        <f>Table11[[#This Row],[GrossMonthlyInflationAdjustedP2]]*0.2</f>
        <v>13785.812576235465</v>
      </c>
    </row>
    <row r="16" spans="1:17" x14ac:dyDescent="0.2">
      <c r="A16" s="16"/>
      <c r="G16" s="35">
        <f>(G15/(1+$C$4))-IF(TableIncomeCalculations11[[#This Row],[Inverse]]="Y",G15*$C$6,0)</f>
        <v>58896.217097961176</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69273.708195583196</v>
      </c>
      <c r="O16" s="60" cm="1">
        <f t="array" ref="O16">INDEX($H$3:$H$18,ROWS($H$3:$H$18)+ROW($H$3)-ROW())</f>
        <v>65735.028543689317</v>
      </c>
      <c r="Q16" s="63">
        <f>Table11[[#This Row],[GrossMonthlyInflationAdjustedP2]]*0.2</f>
        <v>13854.741639116641</v>
      </c>
    </row>
    <row r="17" spans="1:17" x14ac:dyDescent="0.2">
      <c r="A17" s="16"/>
      <c r="G17" s="35">
        <f>(G16/(1+$C$4))-IF(TableIncomeCalculations11[[#This Row],[Inverse]]="Y",G16*$C$6,0)</f>
        <v>58603.20109249869</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72158.242931683053</v>
      </c>
      <c r="O17" s="60" cm="1">
        <f t="array" ref="O17">INDEX($H$3:$H$18,ROWS($H$3:$H$18)+ROW($H$3)-ROW())</f>
        <v>72167</v>
      </c>
      <c r="Q17" s="63">
        <f>Table11[[#This Row],[GrossMonthlyInflationAdjustedP2]]*0.2</f>
        <v>14431.648586336611</v>
      </c>
    </row>
    <row r="18" spans="1:17" x14ac:dyDescent="0.2">
      <c r="A18" s="16"/>
      <c r="G18" s="35">
        <f>(G17/(1+$C$4))-IF(TableIncomeCalculations11[[#This Row],[Inverse]]="Y",G17*$C$6,0)</f>
        <v>58311.642878108156</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72519.034146341466</v>
      </c>
      <c r="O18" s="60" cm="1">
        <f t="array" ref="O18">INDEX($H$3:$H$18,ROWS($H$3:$H$18)+ROW($H$3)-ROW())</f>
        <v>74332.009999999995</v>
      </c>
      <c r="Q18" s="63">
        <f>Table11[[#This Row],[GrossMonthlyInflationAdjustedP2]]*0.2</f>
        <v>14503.806829268295</v>
      </c>
    </row>
    <row r="19" spans="1:17" x14ac:dyDescent="0.2">
      <c r="A19" s="16"/>
      <c r="M19" s="62"/>
    </row>
    <row r="20" spans="1:17" x14ac:dyDescent="0.2">
      <c r="A20" s="16"/>
    </row>
    <row r="21" spans="1:17" x14ac:dyDescent="0.2">
      <c r="A21" s="16"/>
      <c r="Q21" s="63">
        <f>SUM(Q3:Q18)</f>
        <v>207187.39357557421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2.5000000000000001E-2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281569.25693307322</v>
      </c>
      <c r="D3" s="37">
        <f>(TableIncomeCalculations[[#This Row],[NetMonthlySalaryP2]]*12)</f>
        <v>461774.8129938654</v>
      </c>
      <c r="E3" s="36">
        <f>TableIncome[[#This Row],[SalaryP1]]*$I$7</f>
        <v>56313.851386614646</v>
      </c>
      <c r="F3" s="36">
        <f>TableIncome[[#This Row],[SalaryP2]]*$I$7</f>
        <v>92354.962598773083</v>
      </c>
      <c r="G3" s="16"/>
      <c r="H3" s="14" t="s">
        <v>63</v>
      </c>
      <c r="I3" s="15" cm="1">
        <f t="array" ref="I3:I7">'Salary Variables'!$C$4:$C$8</f>
        <v>0.03</v>
      </c>
      <c r="K3" s="57">
        <f>(TableIncome[[#This Row],[SalaryP1]]-TableIncome[[#This Row],[InvestmentP1]])/12</f>
        <v>18771.283795538217</v>
      </c>
      <c r="L3" s="57">
        <f>(TableIncome[[#This Row],[SalaryP2]]-TableIncome[[#This Row],[InvestmentP2]])/12</f>
        <v>30784.987532924362</v>
      </c>
      <c r="M3" s="34">
        <f>'Net Salary P1'!BI2</f>
        <v>23464.10474442277</v>
      </c>
      <c r="N3" s="35">
        <f>'Net Salary P2'!BI2</f>
        <v>38481.23441615545</v>
      </c>
      <c r="O3" s="35">
        <f>TableIncomeCalculations[[#This Row],[GrossMonthlySalaryP1]]/(1+I2)</f>
        <v>43209.756097560981</v>
      </c>
      <c r="P3" s="31">
        <f>TableIncomeCalculations[[#This Row],[GrossMonthlySalaryP2]]/(1+I2)</f>
        <v>72519.034146341466</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282996.55969525862</v>
      </c>
      <c r="D4" s="37">
        <f>(TableIncomeCalculations[[#This Row],[NetMonthlySalaryP2]]*12)</f>
        <v>463599.82381635474</v>
      </c>
      <c r="E4" s="36">
        <f>TableIncome[[#This Row],[SalaryP1]]*$I$7</f>
        <v>56599.311939051724</v>
      </c>
      <c r="F4" s="36">
        <f>TableIncome[[#This Row],[SalaryP2]]*$I$7</f>
        <v>92719.964763270953</v>
      </c>
      <c r="G4" s="16"/>
      <c r="H4" s="14" t="s">
        <v>65</v>
      </c>
      <c r="I4" s="15">
        <v>4.9999999999999975E-3</v>
      </c>
      <c r="K4" s="57">
        <f>(TableIncome[[#This Row],[SalaryP1]]-TableIncome[[#This Row],[InvestmentP1]])/12</f>
        <v>18866.437313017243</v>
      </c>
      <c r="L4" s="57">
        <f>(TableIncome[[#This Row],[SalaryP2]]-TableIncome[[#This Row],[InvestmentP2]])/12</f>
        <v>30906.654921090318</v>
      </c>
      <c r="M4" s="34">
        <f>'Net Salary P1'!BI3</f>
        <v>23583.04664127155</v>
      </c>
      <c r="N4" s="35">
        <f>'Net Salary P2'!BI3</f>
        <v>38633.318651362897</v>
      </c>
      <c r="O4" s="35">
        <f>IF(_xlfn.XLOOKUP(TableIncome[[#This Row],[Year]],Loop!C:C,Loop!D:D)&lt;75,(O3*(1+$I$4))+IF(TableIncomeCalculations[[#This Row],[SwitchP1]]="Y",O3*$I$6,0),0)</f>
        <v>43425.804878048781</v>
      </c>
      <c r="P4" s="35">
        <f>IF(_xlfn.XLOOKUP(TableIncome[[#This Row],[Year]],Loop!C:C,Loop!E:E)&lt;75,(P3*(1+$I$4))+IF(TableIncomeCalculations[[#This Row],[SwitchP2]]="Y",P3*$I$6,0),0)</f>
        <v>72881.629317073166</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294472.07390322885</v>
      </c>
      <c r="D5" s="37">
        <f>(TableIncomeCalculations[[#This Row],[NetMonthlySalaryP2]]*12)</f>
        <v>478272.91082916874</v>
      </c>
      <c r="E5" s="36">
        <f>TableIncome[[#This Row],[SalaryP1]]*$I$7</f>
        <v>58894.414780645777</v>
      </c>
      <c r="F5" s="36">
        <f>TableIncome[[#This Row],[SalaryP2]]*$I$7</f>
        <v>95654.582165833752</v>
      </c>
      <c r="G5" s="16"/>
      <c r="H5" s="14" t="s">
        <v>64</v>
      </c>
      <c r="I5" s="15">
        <v>0.06</v>
      </c>
      <c r="K5" s="57">
        <f>(TableIncome[[#This Row],[SalaryP1]]-TableIncome[[#This Row],[InvestmentP1]])/12</f>
        <v>19631.471593548591</v>
      </c>
      <c r="L5" s="57">
        <f>(TableIncome[[#This Row],[SalaryP2]]-TableIncome[[#This Row],[InvestmentP2]])/12</f>
        <v>31884.860721944584</v>
      </c>
      <c r="M5" s="34">
        <f>'Net Salary P1'!BI4</f>
        <v>24539.339491935738</v>
      </c>
      <c r="N5" s="35">
        <f>'Net Salary P2'!BI4</f>
        <v>39856.075902430726</v>
      </c>
      <c r="O5" s="35">
        <f>IF(_xlfn.XLOOKUP(TableIncome[[#This Row],[Year]],Loop!C:C,Loop!D:D)&lt;75,(O4*(1+$I$4))+IF(TableIncomeCalculations[[#This Row],[SwitchP1]]="Y",O4*$I$6,0),0)</f>
        <v>45162.837073170725</v>
      </c>
      <c r="P5" s="35">
        <f>IF(_xlfn.XLOOKUP(TableIncome[[#This Row],[Year]],Loop!C:C,Loop!E:E)&lt;75,(P4*(1+$I$4))+IF(TableIncomeCalculations[[#This Row],[SwitchP2]]="Y",P4*$I$6,0),0)</f>
        <v>75796.894489756072</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295963.89075026498</v>
      </c>
      <c r="D6" s="37">
        <f>(TableIncomeCalculations[[#This Row],[NetMonthlySalaryP2]]*12)</f>
        <v>480180.41214083461</v>
      </c>
      <c r="E6" s="36">
        <f>TableIncome[[#This Row],[SalaryP1]]*$I$7</f>
        <v>59192.778150052996</v>
      </c>
      <c r="F6" s="36">
        <f>TableIncome[[#This Row],[SalaryP2]]*$I$7</f>
        <v>96036.082428166934</v>
      </c>
      <c r="G6" s="16"/>
      <c r="H6" s="14" t="s">
        <v>175</v>
      </c>
      <c r="I6" s="15">
        <v>3.4999999999999996E-2</v>
      </c>
      <c r="K6" s="57">
        <f>(TableIncome[[#This Row],[SalaryP1]]-TableIncome[[#This Row],[InvestmentP1]])/12</f>
        <v>19730.926050017664</v>
      </c>
      <c r="L6" s="57">
        <f>(TableIncome[[#This Row],[SalaryP2]]-TableIncome[[#This Row],[InvestmentP2]])/12</f>
        <v>32012.027476055639</v>
      </c>
      <c r="M6" s="34">
        <f>'Net Salary P1'!BI5</f>
        <v>24663.657562522083</v>
      </c>
      <c r="N6" s="35">
        <f>'Net Salary P2'!BI5</f>
        <v>40015.034345069551</v>
      </c>
      <c r="O6" s="35">
        <f>IF(_xlfn.XLOOKUP(TableIncome[[#This Row],[Year]],Loop!C:C,Loop!D:D)&lt;75,(O5*(1+$I$4))+IF(TableIncomeCalculations[[#This Row],[SwitchP1]]="Y",O5*$I$6,0),0)</f>
        <v>45388.651258536571</v>
      </c>
      <c r="P6" s="35">
        <f>IF(_xlfn.XLOOKUP(TableIncome[[#This Row],[Year]],Loop!C:C,Loop!E:E)&lt;75,(P5*(1+$I$4))+IF(TableIncomeCalculations[[#This Row],[SwitchP2]]="Y",P5*$I$6,0),0)</f>
        <v>76175.87896220485</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297463.16668153624</v>
      </c>
      <c r="D7" s="37">
        <f>(TableIncomeCalculations[[#This Row],[NetMonthlySalaryP2]]*12)</f>
        <v>482097.45095905871</v>
      </c>
      <c r="E7" s="36">
        <f>TableIncome[[#This Row],[SalaryP1]]*$I$7</f>
        <v>59492.633336307248</v>
      </c>
      <c r="F7" s="36">
        <f>TableIncome[[#This Row],[SalaryP2]]*$I$7</f>
        <v>96419.490191811754</v>
      </c>
      <c r="G7" s="16"/>
      <c r="H7" s="14" t="s">
        <v>76</v>
      </c>
      <c r="I7" s="15">
        <v>0.2</v>
      </c>
      <c r="K7" s="57">
        <f>(TableIncome[[#This Row],[SalaryP1]]-TableIncome[[#This Row],[InvestmentP1]])/12</f>
        <v>19830.877778769081</v>
      </c>
      <c r="L7" s="57">
        <f>(TableIncome[[#This Row],[SalaryP2]]-TableIncome[[#This Row],[InvestmentP2]])/12</f>
        <v>32139.830063937246</v>
      </c>
      <c r="M7" s="34">
        <f>'Net Salary P1'!BI6</f>
        <v>24788.597223461355</v>
      </c>
      <c r="N7" s="35">
        <f>'Net Salary P2'!BI6</f>
        <v>40174.787579921562</v>
      </c>
      <c r="O7" s="35">
        <f>IF(_xlfn.XLOOKUP(TableIncome[[#This Row],[Year]],Loop!C:C,Loop!D:D)&lt;75,(O6*(1+$I$4))+IF(TableIncomeCalculations[[#This Row],[SwitchP1]]="Y",O6*$I$6,0),0)</f>
        <v>45615.594514829252</v>
      </c>
      <c r="P7" s="35">
        <f>IF(_xlfn.XLOOKUP(TableIncome[[#This Row],[Year]],Loop!C:C,Loop!E:E)&lt;75,(P6*(1+$I$4))+IF(TableIncomeCalculations[[#This Row],[SwitchP2]]="Y",P6*$I$6,0),0)</f>
        <v>76556.75835701586</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298969.93899246398</v>
      </c>
      <c r="D8" s="37">
        <f>(TableIncomeCalculations[[#This Row],[NetMonthlySalaryP2]]*12)</f>
        <v>484024.07497137401</v>
      </c>
      <c r="E8" s="36">
        <f>TableIncome[[#This Row],[SalaryP1]]*$I$7</f>
        <v>59793.987798492803</v>
      </c>
      <c r="F8" s="36">
        <f>TableIncome[[#This Row],[SalaryP2]]*$I$7</f>
        <v>96804.814994274813</v>
      </c>
      <c r="G8" s="16"/>
      <c r="I8" s="17"/>
      <c r="K8" s="57">
        <f>(TableIncome[[#This Row],[SalaryP1]]-TableIncome[[#This Row],[InvestmentP1]])/12</f>
        <v>19931.329266164266</v>
      </c>
      <c r="L8" s="57">
        <f>(TableIncome[[#This Row],[SalaryP2]]-TableIncome[[#This Row],[InvestmentP2]])/12</f>
        <v>32268.271664758267</v>
      </c>
      <c r="M8" s="34">
        <f>'Net Salary P1'!BI7</f>
        <v>24914.161582705332</v>
      </c>
      <c r="N8" s="35">
        <f>'Net Salary P2'!BI7</f>
        <v>40335.339580947832</v>
      </c>
      <c r="O8" s="35">
        <f>IF(_xlfn.XLOOKUP(TableIncome[[#This Row],[Year]],Loop!C:C,Loop!D:D)&lt;75,(O7*(1+$I$4))+IF(TableIncomeCalculations[[#This Row],[SwitchP1]]="Y",O7*$I$6,0),0)</f>
        <v>45843.672487403397</v>
      </c>
      <c r="P8" s="35">
        <f>IF(_xlfn.XLOOKUP(TableIncome[[#This Row],[Year]],Loop!C:C,Loop!E:E)&lt;75,(P7*(1+$I$4))+IF(TableIncomeCalculations[[#This Row],[SwitchP2]]="Y",P7*$I$6,0),0)</f>
        <v>76939.542148800931</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311084.38837232243</v>
      </c>
      <c r="D9" s="37">
        <f>(TableIncomeCalculations[[#This Row],[NetMonthlySalaryP2]]*12)</f>
        <v>499514.13203038892</v>
      </c>
      <c r="E9" s="36">
        <f>TableIncome[[#This Row],[SalaryP1]]*$I$7</f>
        <v>62216.877674464486</v>
      </c>
      <c r="F9" s="36">
        <f>TableIncome[[#This Row],[SalaryP2]]*$I$7</f>
        <v>99902.826406077787</v>
      </c>
      <c r="G9" s="16"/>
      <c r="K9" s="57">
        <f>(TableIncome[[#This Row],[SalaryP1]]-TableIncome[[#This Row],[InvestmentP1]])/12</f>
        <v>20738.959224821494</v>
      </c>
      <c r="L9" s="57">
        <f>(TableIncome[[#This Row],[SalaryP2]]-TableIncome[[#This Row],[InvestmentP2]])/12</f>
        <v>33300.942135359262</v>
      </c>
      <c r="M9" s="34">
        <f>'Net Salary P1'!BI8</f>
        <v>25923.69903102687</v>
      </c>
      <c r="N9" s="35">
        <f>'Net Salary P2'!BI8</f>
        <v>41626.177669199074</v>
      </c>
      <c r="O9" s="35">
        <f>IF(_xlfn.XLOOKUP(TableIncome[[#This Row],[Year]],Loop!C:C,Loop!D:D)&lt;75,(O8*(1+$I$4))+IF(TableIncomeCalculations[[#This Row],[SwitchP1]]="Y",O8*$I$6,0),0)</f>
        <v>47677.419386899528</v>
      </c>
      <c r="P9" s="35">
        <f>IF(_xlfn.XLOOKUP(TableIncome[[#This Row],[Year]],Loop!C:C,Loop!E:E)&lt;75,(P8*(1+$I$4))+IF(TableIncomeCalculations[[#This Row],[SwitchP2]]="Y",P8*$I$6,0),0)</f>
        <v>80017.123834752972</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312659.26679170405</v>
      </c>
      <c r="D10" s="37">
        <f>(TableIncomeCalculations[[#This Row],[NetMonthlySalaryP2]]*12)</f>
        <v>501527.83944806084</v>
      </c>
      <c r="E10" s="36">
        <f>TableIncome[[#This Row],[SalaryP1]]*$I$7</f>
        <v>62531.853358340813</v>
      </c>
      <c r="F10" s="36">
        <f>TableIncome[[#This Row],[SalaryP2]]*$I$7</f>
        <v>100305.56788961217</v>
      </c>
      <c r="G10" s="16"/>
      <c r="H10" s="28"/>
      <c r="K10" s="57">
        <f>(TableIncome[[#This Row],[SalaryP1]]-TableIncome[[#This Row],[InvestmentP1]])/12</f>
        <v>20843.951119446938</v>
      </c>
      <c r="L10" s="57">
        <f>(TableIncome[[#This Row],[SalaryP2]]-TableIncome[[#This Row],[InvestmentP2]])/12</f>
        <v>33435.189296537392</v>
      </c>
      <c r="M10" s="34">
        <f>'Net Salary P1'!BI9</f>
        <v>26054.938899308672</v>
      </c>
      <c r="N10" s="35">
        <f>'Net Salary P2'!BI9</f>
        <v>41793.986620671734</v>
      </c>
      <c r="O10" s="35">
        <f>IF(_xlfn.XLOOKUP(TableIncome[[#This Row],[Year]],Loop!C:C,Loop!D:D)&lt;75,(O9*(1+$I$4))+IF(TableIncomeCalculations[[#This Row],[SwitchP1]]="Y",O9*$I$6,0),0)</f>
        <v>47915.806483834021</v>
      </c>
      <c r="P10" s="35">
        <f>IF(_xlfn.XLOOKUP(TableIncome[[#This Row],[Year]],Loop!C:C,Loop!E:E)&lt;75,(P9*(1+$I$4))+IF(TableIncomeCalculations[[#This Row],[SwitchP2]]="Y",P9*$I$6,0),0)</f>
        <v>80417.209453926727</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314242.01960318256</v>
      </c>
      <c r="D11" s="37">
        <f>(TableIncomeCalculations[[#This Row],[NetMonthlySalaryP2]]*12)</f>
        <v>503551.6154028211</v>
      </c>
      <c r="E11" s="36">
        <f>TableIncome[[#This Row],[SalaryP1]]*$I$7</f>
        <v>62848.403920636512</v>
      </c>
      <c r="F11" s="36">
        <f>TableIncome[[#This Row],[SalaryP2]]*$I$7</f>
        <v>100710.32308056422</v>
      </c>
      <c r="G11" s="16"/>
      <c r="K11" s="57">
        <f>(TableIncome[[#This Row],[SalaryP1]]-TableIncome[[#This Row],[InvestmentP1]])/12</f>
        <v>20949.467973545503</v>
      </c>
      <c r="L11" s="57">
        <f>(TableIncome[[#This Row],[SalaryP2]]-TableIncome[[#This Row],[InvestmentP2]])/12</f>
        <v>33570.107693521408</v>
      </c>
      <c r="M11" s="34">
        <f>'Net Salary P1'!BI10</f>
        <v>26186.834966931881</v>
      </c>
      <c r="N11" s="35">
        <f>'Net Salary P2'!BI10</f>
        <v>41962.634616901756</v>
      </c>
      <c r="O11" s="35">
        <f>IF(_xlfn.XLOOKUP(TableIncome[[#This Row],[Year]],Loop!C:C,Loop!D:D)&lt;75,(O10*(1+$I$4))+IF(TableIncomeCalculations[[#This Row],[SwitchP1]]="Y",O10*$I$6,0),0)</f>
        <v>48155.385516253184</v>
      </c>
      <c r="P11" s="35">
        <f>IF(_xlfn.XLOOKUP(TableIncome[[#This Row],[Year]],Loop!C:C,Loop!E:E)&lt;75,(P10*(1+$I$4))+IF(TableIncomeCalculations[[#This Row],[SwitchP2]]="Y",P10*$I$6,0),0)</f>
        <v>80819.29550119635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315832.68617871834</v>
      </c>
      <c r="D12" s="37">
        <f>(TableIncomeCalculations[[#This Row],[NetMonthlySalaryP2]]*12)</f>
        <v>505585.51023735513</v>
      </c>
      <c r="E12" s="36">
        <f>TableIncome[[#This Row],[SalaryP1]]*$I$7</f>
        <v>63166.537235743672</v>
      </c>
      <c r="F12" s="36">
        <f>TableIncome[[#This Row],[SalaryP2]]*$I$7</f>
        <v>101117.10204747104</v>
      </c>
      <c r="G12" s="16"/>
      <c r="K12" s="57">
        <f>(TableIncome[[#This Row],[SalaryP1]]-TableIncome[[#This Row],[InvestmentP1]])/12</f>
        <v>21055.512411914558</v>
      </c>
      <c r="L12" s="57">
        <f>(TableIncome[[#This Row],[SalaryP2]]-TableIncome[[#This Row],[InvestmentP2]])/12</f>
        <v>33705.700682490344</v>
      </c>
      <c r="M12" s="34">
        <f>'Net Salary P1'!BI11</f>
        <v>26319.390514893195</v>
      </c>
      <c r="N12" s="35">
        <f>'Net Salary P2'!BI11</f>
        <v>42132.125853112928</v>
      </c>
      <c r="O12" s="35">
        <f>IF(_xlfn.XLOOKUP(TableIncome[[#This Row],[Year]],Loop!C:C,Loop!D:D)&lt;75,(O11*(1+$I$4))+IF(TableIncomeCalculations[[#This Row],[SwitchP1]]="Y",O11*$I$6,0),0)</f>
        <v>48396.162443834444</v>
      </c>
      <c r="P12" s="35">
        <f>IF(_xlfn.XLOOKUP(TableIncome[[#This Row],[Year]],Loop!C:C,Loop!E:E)&lt;75,(P11*(1+$I$4))+IF(TableIncomeCalculations[[#This Row],[SwitchP2]]="Y",P11*$I$6,0),0)</f>
        <v>81223.391978702319</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328621.64544602711</v>
      </c>
      <c r="D13" s="37">
        <f>(TableIncomeCalculations[[#This Row],[NetMonthlySalaryP2]]*12)</f>
        <v>521938.02470700932</v>
      </c>
      <c r="E13" s="36">
        <f>TableIncome[[#This Row],[SalaryP1]]*$I$7</f>
        <v>65724.329089205421</v>
      </c>
      <c r="F13" s="36">
        <f>TableIncome[[#This Row],[SalaryP2]]*$I$7</f>
        <v>104387.60494140186</v>
      </c>
      <c r="G13" s="16"/>
      <c r="K13" s="57">
        <f>(TableIncome[[#This Row],[SalaryP1]]-TableIncome[[#This Row],[InvestmentP1]])/12</f>
        <v>21908.109696401807</v>
      </c>
      <c r="L13" s="57">
        <f>(TableIncome[[#This Row],[SalaryP2]]-TableIncome[[#This Row],[InvestmentP2]])/12</f>
        <v>34795.868313800624</v>
      </c>
      <c r="M13" s="34">
        <f>'Net Salary P1'!BI12</f>
        <v>27385.137120502259</v>
      </c>
      <c r="N13" s="35">
        <f>'Net Salary P2'!BI12</f>
        <v>43494.835392250774</v>
      </c>
      <c r="O13" s="35">
        <f>IF(_xlfn.XLOOKUP(TableIncome[[#This Row],[Year]],Loop!C:C,Loop!D:D)&lt;75,(O12*(1+$I$4))+IF(TableIncomeCalculations[[#This Row],[SwitchP1]]="Y",O12*$I$6,0),0)</f>
        <v>50332.008941587817</v>
      </c>
      <c r="P13" s="35">
        <f>IF(_xlfn.XLOOKUP(TableIncome[[#This Row],[Year]],Loop!C:C,Loop!E:E)&lt;75,(P12*(1+$I$4))+IF(TableIncomeCalculations[[#This Row],[SwitchP2]]="Y",P12*$I$6,0),0)</f>
        <v>84472.327657850401</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330284.21015077719</v>
      </c>
      <c r="D14" s="37">
        <f>(TableIncomeCalculations[[#This Row],[NetMonthlySalaryP2]]*12)</f>
        <v>524063.85158806422</v>
      </c>
      <c r="E14" s="36">
        <f>TableIncome[[#This Row],[SalaryP1]]*$I$7</f>
        <v>66056.842030155443</v>
      </c>
      <c r="F14" s="36">
        <f>TableIncome[[#This Row],[SalaryP2]]*$I$7</f>
        <v>104812.77031761286</v>
      </c>
      <c r="G14" s="16"/>
      <c r="K14" s="57">
        <f>(TableIncome[[#This Row],[SalaryP1]]-TableIncome[[#This Row],[InvestmentP1]])/12</f>
        <v>22018.947343385149</v>
      </c>
      <c r="L14" s="57">
        <f>(TableIncome[[#This Row],[SalaryP2]]-TableIncome[[#This Row],[InvestmentP2]])/12</f>
        <v>34937.59010587095</v>
      </c>
      <c r="M14" s="34">
        <f>'Net Salary P1'!BI13</f>
        <v>27523.684179231434</v>
      </c>
      <c r="N14" s="35">
        <f>'Net Salary P2'!BI13</f>
        <v>43671.987632338685</v>
      </c>
      <c r="O14" s="35">
        <f>IF(_xlfn.XLOOKUP(TableIncome[[#This Row],[Year]],Loop!C:C,Loop!D:D)&lt;75,(O13*(1+$I$4))+IF(TableIncomeCalculations[[#This Row],[SwitchP1]]="Y",O13*$I$6,0),0)</f>
        <v>50583.66898629575</v>
      </c>
      <c r="P14" s="35">
        <f>IF(_xlfn.XLOOKUP(TableIncome[[#This Row],[Year]],Loop!C:C,Loop!E:E)&lt;75,(P13*(1+$I$4))+IF(TableIncomeCalculations[[#This Row],[SwitchP2]]="Y",P13*$I$6,0),0)</f>
        <v>84894.689296139637</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331955.08767905098</v>
      </c>
      <c r="D15" s="37">
        <f>(TableIncomeCalculations[[#This Row],[NetMonthlySalaryP2]]*12)</f>
        <v>526200.30760352453</v>
      </c>
      <c r="E15" s="36">
        <f>TableIncome[[#This Row],[SalaryP1]]*$I$7</f>
        <v>66391.017535810199</v>
      </c>
      <c r="F15" s="36">
        <f>TableIncome[[#This Row],[SalaryP2]]*$I$7</f>
        <v>105240.06152070491</v>
      </c>
      <c r="G15" s="16"/>
      <c r="K15" s="57">
        <f>(TableIncome[[#This Row],[SalaryP1]]-TableIncome[[#This Row],[InvestmentP1]])/12</f>
        <v>22130.339178603401</v>
      </c>
      <c r="L15" s="57">
        <f>(TableIncome[[#This Row],[SalaryP2]]-TableIncome[[#This Row],[InvestmentP2]])/12</f>
        <v>35080.020506901637</v>
      </c>
      <c r="M15" s="34">
        <f>'Net Salary P1'!BI14</f>
        <v>27662.923973254248</v>
      </c>
      <c r="N15" s="35">
        <f>'Net Salary P2'!BI14</f>
        <v>43850.025633627047</v>
      </c>
      <c r="O15" s="35">
        <f>IF(_xlfn.XLOOKUP(TableIncome[[#This Row],[Year]],Loop!C:C,Loop!D:D)&lt;75,(O14*(1+$I$4))+IF(TableIncomeCalculations[[#This Row],[SwitchP1]]="Y",O14*$I$6,0),0)</f>
        <v>50836.587331227223</v>
      </c>
      <c r="P15" s="35">
        <f>IF(_xlfn.XLOOKUP(TableIncome[[#This Row],[Year]],Loop!C:C,Loop!E:E)&lt;75,(P14*(1+$I$4))+IF(TableIncomeCalculations[[#This Row],[SwitchP2]]="Y",P14*$I$6,0),0)</f>
        <v>85319.162742620319</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345388.94300637307</v>
      </c>
      <c r="D16" s="37">
        <f>(TableIncomeCalculations[[#This Row],[NetMonthlySalaryP2]]*12)</f>
        <v>543377.41396782547</v>
      </c>
      <c r="E16" s="36">
        <f>TableIncome[[#This Row],[SalaryP1]]*$I$7</f>
        <v>69077.788601274617</v>
      </c>
      <c r="F16" s="36">
        <f>TableIncome[[#This Row],[SalaryP2]]*$I$7</f>
        <v>108675.4827935651</v>
      </c>
      <c r="G16" s="16"/>
      <c r="K16" s="57">
        <f>(TableIncome[[#This Row],[SalaryP1]]-TableIncome[[#This Row],[InvestmentP1]])/12</f>
        <v>23025.929533758204</v>
      </c>
      <c r="L16" s="57">
        <f>(TableIncome[[#This Row],[SalaryP2]]-TableIncome[[#This Row],[InvestmentP2]])/12</f>
        <v>36225.160931188366</v>
      </c>
      <c r="M16" s="34">
        <f>'Net Salary P1'!BI15</f>
        <v>28782.411917197755</v>
      </c>
      <c r="N16" s="35">
        <f>'Net Salary P2'!BI15</f>
        <v>45281.451163985454</v>
      </c>
      <c r="O16" s="35">
        <f>IF(_xlfn.XLOOKUP(TableIncome[[#This Row],[Year]],Loop!C:C,Loop!D:D)&lt;75,(O15*(1+$I$4))+IF(TableIncomeCalculations[[#This Row],[SwitchP1]]="Y",O15*$I$6,0),0)</f>
        <v>52870.050824476304</v>
      </c>
      <c r="P16" s="35">
        <f>IF(_xlfn.XLOOKUP(TableIncome[[#This Row],[Year]],Loop!C:C,Loop!E:E)&lt;75,(P15*(1+$I$4))+IF(TableIncomeCalculations[[#This Row],[SwitchP2]]="Y",P15*$I$6,0),0)</f>
        <v>88731.929252325121</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347135.3441989249</v>
      </c>
      <c r="D17" s="37">
        <f>(TableIncomeCalculations[[#This Row],[NetMonthlySalaryP2]]*12)</f>
        <v>545610.43779518444</v>
      </c>
      <c r="E17" s="36">
        <f>TableIncome[[#This Row],[SalaryP1]]*$I$7</f>
        <v>69427.068839784988</v>
      </c>
      <c r="F17" s="36">
        <f>TableIncome[[#This Row],[SalaryP2]]*$I$7</f>
        <v>109122.0875590369</v>
      </c>
      <c r="G17" s="16"/>
      <c r="K17" s="57">
        <f>(TableIncome[[#This Row],[SalaryP1]]-TableIncome[[#This Row],[InvestmentP1]])/12</f>
        <v>23142.356279928325</v>
      </c>
      <c r="L17" s="57">
        <f>(TableIncome[[#This Row],[SalaryP2]]-TableIncome[[#This Row],[InvestmentP2]])/12</f>
        <v>36374.02918634563</v>
      </c>
      <c r="M17" s="34">
        <f>'Net Salary P1'!BI16</f>
        <v>28927.945349910409</v>
      </c>
      <c r="N17" s="35">
        <f>'Net Salary P2'!BI16</f>
        <v>45467.536482932039</v>
      </c>
      <c r="O17" s="35">
        <f>IF(_xlfn.XLOOKUP(TableIncome[[#This Row],[Year]],Loop!C:C,Loop!D:D)&lt;75,(O16*(1+$I$4))+IF(TableIncomeCalculations[[#This Row],[SwitchP1]]="Y",O16*$I$6,0),0)</f>
        <v>53134.401078598683</v>
      </c>
      <c r="P17" s="35">
        <f>IF(_xlfn.XLOOKUP(TableIncome[[#This Row],[Year]],Loop!C:C,Loop!E:E)&lt;75,(P16*(1+$I$4))+IF(TableIncomeCalculations[[#This Row],[SwitchP2]]="Y",P16*$I$6,0),0)</f>
        <v>89175.588898586735</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348890.47739743942</v>
      </c>
      <c r="D18" s="37">
        <f>(TableIncomeCalculations[[#This Row],[NetMonthlySalaryP2]]*12)</f>
        <v>547854.62674168032</v>
      </c>
      <c r="E18" s="36">
        <f>TableIncome[[#This Row],[SalaryP1]]*$I$7</f>
        <v>69778.095479487893</v>
      </c>
      <c r="F18" s="36">
        <f>TableIncome[[#This Row],[SalaryP2]]*$I$7</f>
        <v>109570.92534833607</v>
      </c>
      <c r="G18" s="16"/>
      <c r="K18" s="57">
        <f>(TableIncome[[#This Row],[SalaryP1]]-TableIncome[[#This Row],[InvestmentP1]])/12</f>
        <v>23259.365159829293</v>
      </c>
      <c r="L18" s="57">
        <f>(TableIncome[[#This Row],[SalaryP2]]-TableIncome[[#This Row],[InvestmentP2]])/12</f>
        <v>36523.641782778686</v>
      </c>
      <c r="M18" s="34">
        <f>'Net Salary P1'!BI17</f>
        <v>29074.206449786619</v>
      </c>
      <c r="N18" s="35">
        <f>'Net Salary P2'!BI17</f>
        <v>45654.55222847336</v>
      </c>
      <c r="O18" s="35">
        <f>IF(_xlfn.XLOOKUP(TableIncome[[#This Row],[Year]],Loop!C:C,Loop!D:D)&lt;75,(O17*(1+$I$4))+IF(TableIncomeCalculations[[#This Row],[SwitchP1]]="Y",O17*$I$6,0),0)</f>
        <v>53400.073083991672</v>
      </c>
      <c r="P18" s="35">
        <f>IF(_xlfn.XLOOKUP(TableIncome[[#This Row],[Year]],Loop!C:C,Loop!E:E)&lt;75,(P17*(1+$I$4))+IF(TableIncomeCalculations[[#This Row],[SwitchP2]]="Y",P17*$I$6,0),0)</f>
        <v>89621.466843079659</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350654.38626194664</v>
      </c>
      <c r="D19" s="37">
        <f>(TableIncomeCalculations[[#This Row],[NetMonthlySalaryP2]]*12)</f>
        <v>550110.03663290874</v>
      </c>
      <c r="E19" s="36">
        <f>TableIncome[[#This Row],[SalaryP1]]*$I$7</f>
        <v>70130.877252389328</v>
      </c>
      <c r="F19" s="36">
        <f>TableIncome[[#This Row],[SalaryP2]]*$I$7</f>
        <v>110022.00732658175</v>
      </c>
      <c r="G19" s="16"/>
      <c r="K19" s="57">
        <f>(TableIncome[[#This Row],[SalaryP1]]-TableIncome[[#This Row],[InvestmentP1]])/12</f>
        <v>23376.959084129776</v>
      </c>
      <c r="L19" s="57">
        <f>(TableIncome[[#This Row],[SalaryP2]]-TableIncome[[#This Row],[InvestmentP2]])/12</f>
        <v>36674.002442193916</v>
      </c>
      <c r="M19" s="34">
        <f>'Net Salary P1'!BI18</f>
        <v>29221.19885516222</v>
      </c>
      <c r="N19" s="35">
        <f>'Net Salary P2'!BI18</f>
        <v>45842.503052742395</v>
      </c>
      <c r="O19" s="35">
        <f>IF(_xlfn.XLOOKUP(TableIncome[[#This Row],[Year]],Loop!C:C,Loop!D:D)&lt;75,(O18*(1+$I$4))+IF(TableIncomeCalculations[[#This Row],[SwitchP1]]="Y",O18*$I$6,0),0)</f>
        <v>53667.073449411626</v>
      </c>
      <c r="P19" s="35">
        <f>IF(_xlfn.XLOOKUP(TableIncome[[#This Row],[Year]],Loop!C:C,Loop!E:E)&lt;75,(P18*(1+$I$4))+IF(TableIncomeCalculations[[#This Row],[SwitchP2]]="Y",P18*$I$6,0),0)</f>
        <v>90069.574177295042</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352427.1146707763</v>
      </c>
      <c r="D20" s="37">
        <f>(TableIncomeCalculations[[#This Row],[NetMonthlySalaryP2]]*12)</f>
        <v>552376.72357359319</v>
      </c>
      <c r="E20" s="36">
        <f>TableIncome[[#This Row],[SalaryP1]]*$I$7</f>
        <v>70485.422934155256</v>
      </c>
      <c r="F20" s="36">
        <f>TableIncome[[#This Row],[SalaryP2]]*$I$7</f>
        <v>110475.34471471864</v>
      </c>
      <c r="G20" s="16"/>
      <c r="K20" s="57">
        <f>(TableIncome[[#This Row],[SalaryP1]]-TableIncome[[#This Row],[InvestmentP1]])/12</f>
        <v>23495.140978051753</v>
      </c>
      <c r="L20" s="57">
        <f>(TableIncome[[#This Row],[SalaryP2]]-TableIncome[[#This Row],[InvestmentP2]])/12</f>
        <v>36825.114904906215</v>
      </c>
      <c r="M20" s="34">
        <f>'Net Salary P1'!BI19</f>
        <v>29368.926222564693</v>
      </c>
      <c r="N20" s="35">
        <f>'Net Salary P2'!BI19</f>
        <v>46031.393631132763</v>
      </c>
      <c r="O20" s="35">
        <f>IF(_xlfn.XLOOKUP(TableIncome[[#This Row],[Year]],Loop!C:C,Loop!D:D)&lt;75,(O19*(1+$I$4))+IF(TableIncomeCalculations[[#This Row],[SwitchP1]]="Y",O19*$I$6,0),0)</f>
        <v>53935.408816658681</v>
      </c>
      <c r="P20" s="35">
        <f>IF(_xlfn.XLOOKUP(TableIncome[[#This Row],[Year]],Loop!C:C,Loop!E:E)&lt;75,(P19*(1+$I$4))+IF(TableIncomeCalculations[[#This Row],[SwitchP2]]="Y",P19*$I$6,0),0)</f>
        <v>90519.922048181514</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366679.85107776732</v>
      </c>
      <c r="D21" s="37">
        <f>(TableIncomeCalculations[[#This Row],[NetMonthlySalaryP2]]*12)</f>
        <v>570600.88657669688</v>
      </c>
      <c r="E21" s="36">
        <f>TableIncome[[#This Row],[SalaryP1]]*$I$7</f>
        <v>73335.970215553461</v>
      </c>
      <c r="F21" s="36">
        <f>TableIncome[[#This Row],[SalaryP2]]*$I$7</f>
        <v>114120.17731533939</v>
      </c>
      <c r="G21" s="16"/>
      <c r="K21" s="57">
        <f>(TableIncome[[#This Row],[SalaryP1]]-TableIncome[[#This Row],[InvestmentP1]])/12</f>
        <v>24445.323405184488</v>
      </c>
      <c r="L21" s="57">
        <f>(TableIncome[[#This Row],[SalaryP2]]-TableIncome[[#This Row],[InvestmentP2]])/12</f>
        <v>38040.059105113127</v>
      </c>
      <c r="M21" s="34">
        <f>'Net Salary P1'!BI20</f>
        <v>30556.654256480611</v>
      </c>
      <c r="N21" s="35">
        <f>'Net Salary P2'!BI20</f>
        <v>47550.073881391407</v>
      </c>
      <c r="O21" s="35">
        <f>IF(_xlfn.XLOOKUP(TableIncome[[#This Row],[Year]],Loop!C:C,Loop!D:D)&lt;75,(O20*(1+$I$4))+IF(TableIncomeCalculations[[#This Row],[SwitchP1]]="Y",O20*$I$6,0),0)</f>
        <v>56092.82516932502</v>
      </c>
      <c r="P21" s="35">
        <f>IF(_xlfn.XLOOKUP(TableIncome[[#This Row],[Year]],Loop!C:C,Loop!E:E)&lt;75,(P20*(1+$I$4))+IF(TableIncomeCalculations[[#This Row],[SwitchP2]]="Y",P20*$I$6,0),0)</f>
        <v>94140.718930108764</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368532.70681067614</v>
      </c>
      <c r="D22" s="37">
        <f>(TableIncomeCalculations[[#This Row],[NetMonthlySalaryP2]]*12)</f>
        <v>572970.02776710037</v>
      </c>
      <c r="E22" s="36">
        <f>TableIncome[[#This Row],[SalaryP1]]*$I$7</f>
        <v>73706.541362135235</v>
      </c>
      <c r="F22" s="36">
        <f>TableIncome[[#This Row],[SalaryP2]]*$I$7</f>
        <v>114594.00555342008</v>
      </c>
      <c r="G22" s="16"/>
      <c r="K22" s="57">
        <f>(TableIncome[[#This Row],[SalaryP1]]-TableIncome[[#This Row],[InvestmentP1]])/12</f>
        <v>24568.847120711744</v>
      </c>
      <c r="L22" s="57">
        <f>(TableIncome[[#This Row],[SalaryP2]]-TableIncome[[#This Row],[InvestmentP2]])/12</f>
        <v>38198.001851140027</v>
      </c>
      <c r="M22" s="34">
        <f>'Net Salary P1'!BI21</f>
        <v>30711.058900889679</v>
      </c>
      <c r="N22" s="35">
        <f>'Net Salary P2'!BI21</f>
        <v>47747.502313925033</v>
      </c>
      <c r="O22" s="35">
        <f>IF(_xlfn.XLOOKUP(TableIncome[[#This Row],[Year]],Loop!C:C,Loop!D:D)&lt;75,(O21*(1+$I$4))+IF(TableIncomeCalculations[[#This Row],[SwitchP1]]="Y",O21*$I$6,0),0)</f>
        <v>56373.289295171642</v>
      </c>
      <c r="P22" s="35">
        <f>IF(_xlfn.XLOOKUP(TableIncome[[#This Row],[Year]],Loop!C:C,Loop!E:E)&lt;75,(P21*(1+$I$4))+IF(TableIncomeCalculations[[#This Row],[SwitchP2]]="Y",P21*$I$6,0),0)</f>
        <v>94611.422524759299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370394.82682224951</v>
      </c>
      <c r="D23" s="37">
        <f>(TableIncomeCalculations[[#This Row],[NetMonthlySalaryP2]]*12)</f>
        <v>575351.01466345578</v>
      </c>
      <c r="E23" s="36">
        <f>TableIncome[[#This Row],[SalaryP1]]*$I$7</f>
        <v>74078.965364449905</v>
      </c>
      <c r="F23" s="36">
        <f>TableIncome[[#This Row],[SalaryP2]]*$I$7</f>
        <v>115070.20293269116</v>
      </c>
      <c r="G23" s="16"/>
      <c r="K23" s="57">
        <f>(TableIncome[[#This Row],[SalaryP1]]-TableIncome[[#This Row],[InvestmentP1]])/12</f>
        <v>24692.988454816634</v>
      </c>
      <c r="L23" s="57">
        <f>(TableIncome[[#This Row],[SalaryP2]]-TableIncome[[#This Row],[InvestmentP2]])/12</f>
        <v>38356.734310897053</v>
      </c>
      <c r="M23" s="34">
        <f>'Net Salary P1'!BI22</f>
        <v>30866.235568520791</v>
      </c>
      <c r="N23" s="35">
        <f>'Net Salary P2'!BI22</f>
        <v>47945.917888621312</v>
      </c>
      <c r="O23" s="35">
        <f>IF(_xlfn.XLOOKUP(TableIncome[[#This Row],[Year]],Loop!C:C,Loop!D:D)&lt;75,(O22*(1+$I$4))+IF(TableIncomeCalculations[[#This Row],[SwitchP1]]="Y",O22*$I$6,0),0)</f>
        <v>56655.155741647497</v>
      </c>
      <c r="P23" s="35">
        <f>IF(_xlfn.XLOOKUP(TableIncome[[#This Row],[Year]],Loop!C:C,Loop!E:E)&lt;75,(P22*(1+$I$4))+IF(TableIncomeCalculations[[#This Row],[SwitchP2]]="Y",P22*$I$6,0),0)</f>
        <v>95084.47963738309</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372266.25743388076</v>
      </c>
      <c r="D24" s="37">
        <f>(TableIncomeCalculations[[#This Row],[NetMonthlySalaryP2]]*12)</f>
        <v>577743.9064942929</v>
      </c>
      <c r="E24" s="36">
        <f>TableIncome[[#This Row],[SalaryP1]]*$I$7</f>
        <v>74453.251486776149</v>
      </c>
      <c r="F24" s="36">
        <f>TableIncome[[#This Row],[SalaryP2]]*$I$7</f>
        <v>115548.78129885858</v>
      </c>
      <c r="G24" s="16"/>
      <c r="K24" s="57">
        <f>(TableIncome[[#This Row],[SalaryP1]]-TableIncome[[#This Row],[InvestmentP1]])/12</f>
        <v>24817.750495592049</v>
      </c>
      <c r="L24" s="57">
        <f>(TableIncome[[#This Row],[SalaryP2]]-TableIncome[[#This Row],[InvestmentP2]])/12</f>
        <v>38516.260432952862</v>
      </c>
      <c r="M24" s="34">
        <f>'Net Salary P1'!BI23</f>
        <v>31022.188119490063</v>
      </c>
      <c r="N24" s="35">
        <f>'Net Salary P2'!BI23</f>
        <v>48145.325541191072</v>
      </c>
      <c r="O24" s="35">
        <f>IF(_xlfn.XLOOKUP(TableIncome[[#This Row],[Year]],Loop!C:C,Loop!D:D)&lt;75,(O23*(1+$I$4))+IF(TableIncomeCalculations[[#This Row],[SwitchP1]]="Y",O23*$I$6,0),0)</f>
        <v>56938.431520355727</v>
      </c>
      <c r="P24" s="35">
        <f>IF(_xlfn.XLOOKUP(TableIncome[[#This Row],[Year]],Loop!C:C,Loop!E:E)&lt;75,(P23*(1+$I$4))+IF(TableIncomeCalculations[[#This Row],[SwitchP2]]="Y",P23*$I$6,0),0)</f>
        <v>95559.90203556999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387312.55955139588</v>
      </c>
      <c r="D25" s="37">
        <f>(TableIncomeCalculations[[#This Row],[NetMonthlySalaryP2]]*12)</f>
        <v>596982.75681422465</v>
      </c>
      <c r="E25" s="36">
        <f>TableIncome[[#This Row],[SalaryP1]]*$I$7</f>
        <v>77462.51191027918</v>
      </c>
      <c r="F25" s="36">
        <f>TableIncome[[#This Row],[SalaryP2]]*$I$7</f>
        <v>119396.55136284494</v>
      </c>
      <c r="G25" s="16"/>
      <c r="K25" s="57">
        <f>(TableIncome[[#This Row],[SalaryP1]]-TableIncome[[#This Row],[InvestmentP1]])/12</f>
        <v>25820.837303426393</v>
      </c>
      <c r="L25" s="57">
        <f>(TableIncome[[#This Row],[SalaryP2]]-TableIncome[[#This Row],[InvestmentP2]])/12</f>
        <v>39798.850454281644</v>
      </c>
      <c r="M25" s="34">
        <f>'Net Salary P1'!BI24</f>
        <v>32276.046629282991</v>
      </c>
      <c r="N25" s="35">
        <f>'Net Salary P2'!BI24</f>
        <v>49748.563067852054</v>
      </c>
      <c r="O25" s="35">
        <f>IF(_xlfn.XLOOKUP(TableIncome[[#This Row],[Year]],Loop!C:C,Loop!D:D)&lt;75,(O24*(1+$I$4))+IF(TableIncomeCalculations[[#This Row],[SwitchP1]]="Y",O24*$I$6,0),0)</f>
        <v>59215.968781169948</v>
      </c>
      <c r="P25" s="35">
        <f>IF(_xlfn.XLOOKUP(TableIncome[[#This Row],[Year]],Loop!C:C,Loop!E:E)&lt;75,(P24*(1+$I$4))+IF(TableIncomeCalculations[[#This Row],[SwitchP2]]="Y",P24*$I$6,0),0)</f>
        <v>99382.298116992781</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389268.57882667281</v>
      </c>
      <c r="D26" s="37">
        <f>(TableIncomeCalculations[[#This Row],[NetMonthlySalaryP2]]*12)</f>
        <v>599483.80735581578</v>
      </c>
      <c r="E26" s="36">
        <f>TableIncome[[#This Row],[SalaryP1]]*$I$7</f>
        <v>77853.715765334564</v>
      </c>
      <c r="F26" s="36">
        <f>TableIncome[[#This Row],[SalaryP2]]*$I$7</f>
        <v>119896.76147116316</v>
      </c>
      <c r="G26" s="16"/>
      <c r="K26" s="57">
        <f>(TableIncome[[#This Row],[SalaryP1]]-TableIncome[[#This Row],[InvestmentP1]])/12</f>
        <v>25951.238588444856</v>
      </c>
      <c r="L26" s="57">
        <f>(TableIncome[[#This Row],[SalaryP2]]-TableIncome[[#This Row],[InvestmentP2]])/12</f>
        <v>39965.58715705439</v>
      </c>
      <c r="M26" s="34">
        <f>'Net Salary P1'!BI25</f>
        <v>32439.048235556067</v>
      </c>
      <c r="N26" s="35">
        <f>'Net Salary P2'!BI25</f>
        <v>49956.983946317981</v>
      </c>
      <c r="O26" s="35">
        <f>IF(_xlfn.XLOOKUP(TableIncome[[#This Row],[Year]],Loop!C:C,Loop!D:D)&lt;75,(O25*(1+$I$4))+IF(TableIncomeCalculations[[#This Row],[SwitchP1]]="Y",O25*$I$6,0),0)</f>
        <v>59512.048625075789</v>
      </c>
      <c r="P26" s="35">
        <f>IF(_xlfn.XLOOKUP(TableIncome[[#This Row],[Year]],Loop!C:C,Loop!E:E)&lt;75,(P25*(1+$I$4))+IF(TableIncomeCalculations[[#This Row],[SwitchP2]]="Y",P25*$I$6,0),0)</f>
        <v>99879.209607577737</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391234.3781983261</v>
      </c>
      <c r="D27" s="37">
        <f>(TableIncomeCalculations[[#This Row],[NetMonthlySalaryP2]]*12)</f>
        <v>601997.36315011466</v>
      </c>
      <c r="E27" s="36">
        <f>TableIncome[[#This Row],[SalaryP1]]*$I$7</f>
        <v>78246.875639665217</v>
      </c>
      <c r="F27" s="36">
        <f>TableIncome[[#This Row],[SalaryP2]]*$I$7</f>
        <v>120399.47263002294</v>
      </c>
      <c r="G27" s="16"/>
      <c r="K27" s="57">
        <f>(TableIncome[[#This Row],[SalaryP1]]-TableIncome[[#This Row],[InvestmentP1]])/12</f>
        <v>26082.291879888406</v>
      </c>
      <c r="L27" s="57">
        <f>(TableIncome[[#This Row],[SalaryP2]]-TableIncome[[#This Row],[InvestmentP2]])/12</f>
        <v>40133.157543340982</v>
      </c>
      <c r="M27" s="34">
        <f>'Net Salary P1'!BI26</f>
        <v>32602.864849860507</v>
      </c>
      <c r="N27" s="35">
        <f>'Net Salary P2'!BI26</f>
        <v>50166.446929176222</v>
      </c>
      <c r="O27" s="35">
        <f>IF(_xlfn.XLOOKUP(TableIncome[[#This Row],[Year]],Loop!C:C,Loop!D:D)&lt;75,(O26*(1+$I$4))+IF(TableIncomeCalculations[[#This Row],[SwitchP1]]="Y",O26*$I$6,0),0)</f>
        <v>59809.608868201161</v>
      </c>
      <c r="P27" s="35">
        <f>IF(_xlfn.XLOOKUP(TableIncome[[#This Row],[Year]],Loop!C:C,Loop!E:E)&lt;75,(P26*(1+$I$4))+IF(TableIncomeCalculations[[#This Row],[SwitchP2]]="Y",P26*$I$6,0),0)</f>
        <v>100378.60565561561</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393210.00656683766</v>
      </c>
      <c r="D28" s="37">
        <f>(TableIncomeCalculations[[#This Row],[NetMonthlySalaryP2]]*12)</f>
        <v>604523.48672338505</v>
      </c>
      <c r="E28" s="36">
        <f>TableIncome[[#This Row],[SalaryP1]]*$I$7</f>
        <v>78642.001313367538</v>
      </c>
      <c r="F28" s="36">
        <f>TableIncome[[#This Row],[SalaryP2]]*$I$7</f>
        <v>120904.69734467701</v>
      </c>
      <c r="G28" s="16"/>
      <c r="K28" s="57">
        <f>(TableIncome[[#This Row],[SalaryP1]]-TableIncome[[#This Row],[InvestmentP1]])/12</f>
        <v>26214.000437789178</v>
      </c>
      <c r="L28" s="57">
        <f>(TableIncome[[#This Row],[SalaryP2]]-TableIncome[[#This Row],[InvestmentP2]])/12</f>
        <v>40301.565781559002</v>
      </c>
      <c r="M28" s="34">
        <f>'Net Salary P1'!BI27</f>
        <v>32767.500547236472</v>
      </c>
      <c r="N28" s="35">
        <f>'Net Salary P2'!BI27</f>
        <v>50376.957226948754</v>
      </c>
      <c r="O28" s="35">
        <f>IF(_xlfn.XLOOKUP(TableIncome[[#This Row],[Year]],Loop!C:C,Loop!D:D)&lt;75,(O27*(1+$I$4))+IF(TableIncomeCalculations[[#This Row],[SwitchP1]]="Y",O27*$I$6,0),0)</f>
        <v>60108.656912542159</v>
      </c>
      <c r="P28" s="35">
        <f>IF(_xlfn.XLOOKUP(TableIncome[[#This Row],[Year]],Loop!C:C,Loop!E:E)&lt;75,(P27*(1+$I$4))+IF(TableIncomeCalculations[[#This Row],[SwitchP2]]="Y",P27*$I$6,0),0)</f>
        <v>100880.49868389367</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395195.51307719189</v>
      </c>
      <c r="D29" s="37">
        <f>(TableIncomeCalculations[[#This Row],[NetMonthlySalaryP2]]*12)</f>
        <v>607062.24091452209</v>
      </c>
      <c r="E29" s="36">
        <f>TableIncome[[#This Row],[SalaryP1]]*$I$7</f>
        <v>79039.102615438387</v>
      </c>
      <c r="F29" s="36">
        <f>TableIncome[[#This Row],[SalaryP2]]*$I$7</f>
        <v>121412.44818290442</v>
      </c>
      <c r="G29" s="16"/>
      <c r="K29" s="57">
        <f>(TableIncome[[#This Row],[SalaryP1]]-TableIncome[[#This Row],[InvestmentP1]])/12</f>
        <v>26346.367538479459</v>
      </c>
      <c r="L29" s="57">
        <f>(TableIncome[[#This Row],[SalaryP2]]-TableIncome[[#This Row],[InvestmentP2]])/12</f>
        <v>40470.816060968144</v>
      </c>
      <c r="M29" s="34">
        <f>'Net Salary P1'!BI28</f>
        <v>32932.959423099324</v>
      </c>
      <c r="N29" s="35">
        <f>'Net Salary P2'!BI28</f>
        <v>50588.520076210174</v>
      </c>
      <c r="O29" s="35">
        <f>IF(_xlfn.XLOOKUP(TableIncome[[#This Row],[Year]],Loop!C:C,Loop!D:D)&lt;75,(O28*(1+$I$4))+IF(TableIncomeCalculations[[#This Row],[SwitchP1]]="Y",O28*$I$6,0),0)</f>
        <v>60409.200197104867</v>
      </c>
      <c r="P29" s="35">
        <f>IF(_xlfn.XLOOKUP(TableIncome[[#This Row],[Year]],Loop!C:C,Loop!E:E)&lt;75,(P28*(1+$I$4))+IF(TableIncomeCalculations[[#This Row],[SwitchP2]]="Y",P28*$I$6,0),0)</f>
        <v>101384.90117731314</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397190.94712009782</v>
      </c>
      <c r="D30" s="37">
        <f>(TableIncomeCalculations[[#This Row],[NetMonthlySalaryP2]]*12)</f>
        <v>609613.68887661467</v>
      </c>
      <c r="E30" s="36">
        <f>TableIncome[[#This Row],[SalaryP1]]*$I$7</f>
        <v>79438.189424019569</v>
      </c>
      <c r="F30" s="36">
        <f>TableIncome[[#This Row],[SalaryP2]]*$I$7</f>
        <v>121922.73777532294</v>
      </c>
      <c r="G30" s="16"/>
      <c r="K30" s="57">
        <f>(TableIncome[[#This Row],[SalaryP1]]-TableIncome[[#This Row],[InvestmentP1]])/12</f>
        <v>26479.396474673191</v>
      </c>
      <c r="L30" s="57">
        <f>(TableIncome[[#This Row],[SalaryP2]]-TableIncome[[#This Row],[InvestmentP2]])/12</f>
        <v>40640.912591774315</v>
      </c>
      <c r="M30" s="34">
        <f>'Net Salary P1'!BI29</f>
        <v>33099.245593341482</v>
      </c>
      <c r="N30" s="35">
        <f>'Net Salary P2'!BI29</f>
        <v>50801.140739717892</v>
      </c>
      <c r="O30" s="35">
        <f>IF(_xlfn.XLOOKUP(TableIncome[[#This Row],[Year]],Loop!C:C,Loop!D:D)&lt;75,(O29*(1+$I$4))+IF(TableIncomeCalculations[[#This Row],[SwitchP1]]="Y",O29*$I$6,0),0)</f>
        <v>60711.246198090383</v>
      </c>
      <c r="P30" s="35">
        <f>IF(_xlfn.XLOOKUP(TableIncome[[#This Row],[Year]],Loop!C:C,Loop!E:E)&lt;75,(P29*(1+$I$4))+IF(TableIncomeCalculations[[#This Row],[SwitchP2]]="Y",P29*$I$6,0),0)</f>
        <v>101891.82568319968</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399196.35833321826</v>
      </c>
      <c r="D31" s="37">
        <f>(TableIncomeCalculations[[#This Row],[NetMonthlySalaryP2]]*12)</f>
        <v>612177.8940785178</v>
      </c>
      <c r="E31" s="36">
        <f>TableIncome[[#This Row],[SalaryP1]]*$I$7</f>
        <v>79839.271666643661</v>
      </c>
      <c r="F31" s="36">
        <f>TableIncome[[#This Row],[SalaryP2]]*$I$7</f>
        <v>122435.57881570357</v>
      </c>
      <c r="G31" s="16"/>
      <c r="K31" s="57">
        <f>(TableIncome[[#This Row],[SalaryP1]]-TableIncome[[#This Row],[InvestmentP1]])/12</f>
        <v>26613.090555547882</v>
      </c>
      <c r="L31" s="57">
        <f>(TableIncome[[#This Row],[SalaryP2]]-TableIncome[[#This Row],[InvestmentP2]])/12</f>
        <v>40811.859605234516</v>
      </c>
      <c r="M31" s="34">
        <f>'Net Salary P1'!BI30</f>
        <v>33266.363194434853</v>
      </c>
      <c r="N31" s="35">
        <f>'Net Salary P2'!BI30</f>
        <v>51014.824506543147</v>
      </c>
      <c r="O31" s="35">
        <f>IF(_xlfn.XLOOKUP(TableIncome[[#This Row],[Year]],Loop!C:C,Loop!D:D)&lt;75,(O30*(1+$I$4))+IF(TableIncomeCalculations[[#This Row],[SwitchP1]]="Y",O30*$I$6,0),0)</f>
        <v>61014.802429080832</v>
      </c>
      <c r="P31" s="35">
        <f>IF(_xlfn.XLOOKUP(TableIncome[[#This Row],[Year]],Loop!C:C,Loop!E:E)&lt;75,(P30*(1+$I$4))+IF(TableIncomeCalculations[[#This Row],[SwitchP2]]="Y",P30*$I$6,0),0)</f>
        <v>102401.28481161567</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401211.79660240433</v>
      </c>
      <c r="D32" s="37">
        <f>(TableIncomeCalculations[[#This Row],[NetMonthlySalaryP2]]*12)</f>
        <v>614754.92030643031</v>
      </c>
      <c r="E32" s="36">
        <f>TableIncome[[#This Row],[SalaryP1]]*$I$7</f>
        <v>80242.359320480871</v>
      </c>
      <c r="F32" s="36">
        <f>TableIncome[[#This Row],[SalaryP2]]*$I$7</f>
        <v>122950.98406128607</v>
      </c>
      <c r="G32" s="16"/>
      <c r="K32" s="57">
        <f>(TableIncome[[#This Row],[SalaryP1]]-TableIncome[[#This Row],[InvestmentP1]])/12</f>
        <v>26747.453106826957</v>
      </c>
      <c r="L32" s="57">
        <f>(TableIncome[[#This Row],[SalaryP2]]-TableIncome[[#This Row],[InvestmentP2]])/12</f>
        <v>40983.661353762021</v>
      </c>
      <c r="M32" s="34">
        <f>'Net Salary P1'!BI31</f>
        <v>33434.316383533696</v>
      </c>
      <c r="N32" s="35">
        <f>'Net Salary P2'!BI31</f>
        <v>51229.576692202529</v>
      </c>
      <c r="O32" s="35">
        <f>IF(_xlfn.XLOOKUP(TableIncome[[#This Row],[Year]],Loop!C:C,Loop!D:D)&lt;75,(O31*(1+$I$4))+IF(TableIncomeCalculations[[#This Row],[SwitchP1]]="Y",O31*$I$6,0),0)</f>
        <v>61319.876441226232</v>
      </c>
      <c r="P32" s="35">
        <f>IF(_xlfn.XLOOKUP(TableIncome[[#This Row],[Year]],Loop!C:C,Loop!E:E)&lt;75,(P31*(1+$I$4))+IF(TableIncomeCalculations[[#This Row],[SwitchP2]]="Y",P31*$I$6,0),0)</f>
        <v>102913.29123567374</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403237.31206293637</v>
      </c>
      <c r="D33" s="37">
        <f>(TableIncomeCalculations[[#This Row],[NetMonthlySalaryP2]]*12)</f>
        <v>617344.83166548237</v>
      </c>
      <c r="E33" s="36">
        <f>TableIncome[[#This Row],[SalaryP1]]*$I$7</f>
        <v>80647.46241258728</v>
      </c>
      <c r="F33" s="36">
        <f>TableIncome[[#This Row],[SalaryP2]]*$I$7</f>
        <v>123468.96633309648</v>
      </c>
      <c r="G33" s="16"/>
      <c r="K33" s="57">
        <f>(TableIncome[[#This Row],[SalaryP1]]-TableIncome[[#This Row],[InvestmentP1]])/12</f>
        <v>26882.487470862427</v>
      </c>
      <c r="L33" s="57">
        <f>(TableIncome[[#This Row],[SalaryP2]]-TableIncome[[#This Row],[InvestmentP2]])/12</f>
        <v>41156.322111032154</v>
      </c>
      <c r="M33" s="34">
        <f>'Net Salary P1'!BI32</f>
        <v>33603.109338578033</v>
      </c>
      <c r="N33" s="35">
        <f>'Net Salary P2'!BI32</f>
        <v>51445.402638790198</v>
      </c>
      <c r="O33" s="35">
        <f>IF(_xlfn.XLOOKUP(TableIncome[[#This Row],[Year]],Loop!C:C,Loop!D:D)&lt;75,(O32*(1+$I$4))+IF(TableIncomeCalculations[[#This Row],[SwitchP1]]="Y",O32*$I$6,0),0)</f>
        <v>61626.47582343236</v>
      </c>
      <c r="P33" s="35">
        <f>IF(_xlfn.XLOOKUP(TableIncome[[#This Row],[Year]],Loop!C:C,Loop!E:E)&lt;75,(P32*(1+$I$4))+IF(TableIncomeCalculations[[#This Row],[SwitchP2]]="Y",P32*$I$6,0),0)</f>
        <v>103427.8576918521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405272.95510077092</v>
      </c>
      <c r="D34" s="37">
        <f>(TableIncomeCalculations[[#This Row],[NetMonthlySalaryP2]]*12)</f>
        <v>619947.69258132973</v>
      </c>
      <c r="E34" s="36">
        <f>TableIncome[[#This Row],[SalaryP1]]*$I$7</f>
        <v>81054.591020154185</v>
      </c>
      <c r="F34" s="36">
        <f>TableIncome[[#This Row],[SalaryP2]]*$I$7</f>
        <v>123989.53851626595</v>
      </c>
      <c r="G34" s="16"/>
      <c r="K34" s="57">
        <f>(TableIncome[[#This Row],[SalaryP1]]-TableIncome[[#This Row],[InvestmentP1]])/12</f>
        <v>27018.197006718063</v>
      </c>
      <c r="L34" s="57">
        <f>(TableIncome[[#This Row],[SalaryP2]]-TableIncome[[#This Row],[InvestmentP2]])/12</f>
        <v>41329.846172088648</v>
      </c>
      <c r="M34" s="34">
        <f>'Net Salary P1'!BI33</f>
        <v>33772.746258397579</v>
      </c>
      <c r="N34" s="35">
        <f>'Net Salary P2'!BI33</f>
        <v>51662.307715110808</v>
      </c>
      <c r="O34" s="35">
        <f>IF(_xlfn.XLOOKUP(TableIncome[[#This Row],[Year]],Loop!C:C,Loop!D:D)&lt;75,(O33*(1+$I$4))+IF(TableIncomeCalculations[[#This Row],[SwitchP1]]="Y",O33*$I$6,0),0)</f>
        <v>61934.608202549512</v>
      </c>
      <c r="P34" s="35">
        <f>IF(_xlfn.XLOOKUP(TableIncome[[#This Row],[Year]],Loop!C:C,Loop!E:E)&lt;75,(P33*(1+$I$4))+IF(TableIncomeCalculations[[#This Row],[SwitchP2]]="Y",P33*$I$6,0),0)</f>
        <v>103944.99698031135</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407318.77635379473</v>
      </c>
      <c r="D35" s="37">
        <f>(TableIncomeCalculations[[#This Row],[NetMonthlySalaryP2]]*12)</f>
        <v>622563.56780175632</v>
      </c>
      <c r="E35" s="36">
        <f>TableIncome[[#This Row],[SalaryP1]]*$I$7</f>
        <v>81463.755270758949</v>
      </c>
      <c r="F35" s="36">
        <f>TableIncome[[#This Row],[SalaryP2]]*$I$7</f>
        <v>124512.71356035127</v>
      </c>
      <c r="G35" s="16"/>
      <c r="K35" s="57">
        <f>(TableIncome[[#This Row],[SalaryP1]]-TableIncome[[#This Row],[InvestmentP1]])/12</f>
        <v>27154.585090252982</v>
      </c>
      <c r="L35" s="57">
        <f>(TableIncome[[#This Row],[SalaryP2]]-TableIncome[[#This Row],[InvestmentP2]])/12</f>
        <v>41504.237853450417</v>
      </c>
      <c r="M35" s="34">
        <f>'Net Salary P1'!BI34</f>
        <v>33943.23136281623</v>
      </c>
      <c r="N35" s="35">
        <f>'Net Salary P2'!BI34</f>
        <v>51880.297316813027</v>
      </c>
      <c r="O35" s="35">
        <f>IF(_xlfn.XLOOKUP(TableIncome[[#This Row],[Year]],Loop!C:C,Loop!D:D)&lt;75,(O34*(1+$I$4))+IF(TableIncomeCalculations[[#This Row],[SwitchP1]]="Y",O34*$I$6,0),0)</f>
        <v>62244.281243562255</v>
      </c>
      <c r="P35" s="35">
        <f>IF(_xlfn.XLOOKUP(TableIncome[[#This Row],[Year]],Loop!C:C,Loop!E:E)&lt;75,(P34*(1+$I$4))+IF(TableIncomeCalculations[[#This Row],[SwitchP2]]="Y",P34*$I$6,0),0)</f>
        <v>104464.7219652129</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409374.82671308354</v>
      </c>
      <c r="D36" s="37">
        <f>(TableIncomeCalculations[[#This Row],[NetMonthlySalaryP2]]*12)</f>
        <v>625192.5223982851</v>
      </c>
      <c r="E36" s="36">
        <f>TableIncome[[#This Row],[SalaryP1]]*$I$7</f>
        <v>81874.965342616721</v>
      </c>
      <c r="F36" s="36">
        <f>TableIncome[[#This Row],[SalaryP2]]*$I$7</f>
        <v>125038.50447965703</v>
      </c>
      <c r="G36" s="16"/>
      <c r="K36" s="57">
        <f>(TableIncome[[#This Row],[SalaryP1]]-TableIncome[[#This Row],[InvestmentP1]])/12</f>
        <v>27291.655114205569</v>
      </c>
      <c r="L36" s="57">
        <f>(TableIncome[[#This Row],[SalaryP2]]-TableIncome[[#This Row],[InvestmentP2]])/12</f>
        <v>41679.501493219002</v>
      </c>
      <c r="M36" s="34">
        <f>'Net Salary P1'!BI35</f>
        <v>34114.568892756964</v>
      </c>
      <c r="N36" s="35">
        <f>'Net Salary P2'!BI35</f>
        <v>52099.376866523759</v>
      </c>
      <c r="O36" s="35">
        <f>IF(_xlfn.XLOOKUP(TableIncome[[#This Row],[Year]],Loop!C:C,Loop!D:D)&lt;75,(O35*(1+$I$4))+IF(TableIncomeCalculations[[#This Row],[SwitchP1]]="Y",O35*$I$6,0),0)</f>
        <v>62555.502649780057</v>
      </c>
      <c r="P36" s="35">
        <f>IF(_xlfn.XLOOKUP(TableIncome[[#This Row],[Year]],Loop!C:C,Loop!E:E)&lt;75,(P35*(1+$I$4))+IF(TableIncomeCalculations[[#This Row],[SwitchP2]]="Y",P35*$I$6,0),0)</f>
        <v>104987.04557503895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411441.15732416906</v>
      </c>
      <c r="D37" s="37">
        <f>(TableIncomeCalculations[[#This Row],[NetMonthlySalaryP2]]*12)</f>
        <v>627834.62176779634</v>
      </c>
      <c r="E37" s="36">
        <f>TableIncome[[#This Row],[SalaryP1]]*$I$7</f>
        <v>82288.231464833822</v>
      </c>
      <c r="F37" s="36">
        <f>TableIncome[[#This Row],[SalaryP2]]*$I$7</f>
        <v>125566.92435355927</v>
      </c>
      <c r="G37" s="16"/>
      <c r="K37" s="57">
        <f>(TableIncome[[#This Row],[SalaryP1]]-TableIncome[[#This Row],[InvestmentP1]])/12</f>
        <v>27429.410488277936</v>
      </c>
      <c r="L37" s="57">
        <f>(TableIncome[[#This Row],[SalaryP2]]-TableIncome[[#This Row],[InvestmentP2]])/12</f>
        <v>41855.64145118642</v>
      </c>
      <c r="M37" s="34">
        <f>'Net Salary P1'!BI36</f>
        <v>34286.76311034742</v>
      </c>
      <c r="N37" s="35">
        <f>'Net Salary P2'!BI36</f>
        <v>52319.551813983031</v>
      </c>
      <c r="O37" s="35">
        <f>IF(_xlfn.XLOOKUP(TableIncome[[#This Row],[Year]],Loop!C:C,Loop!D:D)&lt;75,(O36*(1+$I$4))+IF(TableIncomeCalculations[[#This Row],[SwitchP1]]="Y",O36*$I$6,0),0)</f>
        <v>62868.280163028954</v>
      </c>
      <c r="P37" s="35">
        <f>IF(_xlfn.XLOOKUP(TableIncome[[#This Row],[Year]],Loop!C:C,Loop!E:E)&lt;75,(P36*(1+$I$4))+IF(TableIncomeCalculations[[#This Row],[SwitchP2]]="Y",P36*$I$6,0),0)</f>
        <v>105511.98080291414</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425857.84595071955</v>
      </c>
      <c r="D38" s="37">
        <f>(TableIncomeCalculations[[#This Row],[NetMonthlySalaryP2]]*12)</f>
        <v>0</v>
      </c>
      <c r="E38" s="36">
        <f>TableIncome[[#This Row],[SalaryP1]]*$I$7</f>
        <v>85171.569190143913</v>
      </c>
      <c r="F38" s="36">
        <f>TableIncome[[#This Row],[SalaryP2]]*$I$7</f>
        <v>0</v>
      </c>
      <c r="G38" s="16"/>
      <c r="K38" s="57">
        <f>(TableIncome[[#This Row],[SalaryP1]]-TableIncome[[#This Row],[InvestmentP1]])/12</f>
        <v>28390.523063381304</v>
      </c>
      <c r="L38" s="57">
        <f>(TableIncome[[#This Row],[SalaryP2]]-TableIncome[[#This Row],[InvestmentP2]])/12</f>
        <v>0</v>
      </c>
      <c r="M38" s="34">
        <f>'Net Salary P1'!BI37</f>
        <v>35488.153829226627</v>
      </c>
      <c r="N38" s="35">
        <f>'Net Salary P2'!BI37</f>
        <v>0</v>
      </c>
      <c r="O38" s="35">
        <f>IF(_xlfn.XLOOKUP(TableIncome[[#This Row],[Year]],Loop!C:C,Loop!D:D)&lt;75,(O37*(1+$I$4))+IF(TableIncomeCalculations[[#This Row],[SwitchP1]]="Y",O37*$I$6,0),0)</f>
        <v>65383.011369550106</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427503.27193799312</v>
      </c>
      <c r="D39" s="37">
        <f>(TableIncomeCalculations[[#This Row],[NetMonthlySalaryP2]]*12)</f>
        <v>0</v>
      </c>
      <c r="E39" s="36">
        <f>TableIncome[[#This Row],[SalaryP1]]*$I$7</f>
        <v>85500.654387598624</v>
      </c>
      <c r="F39" s="36">
        <f>TableIncome[[#This Row],[SalaryP2]]*$I$7</f>
        <v>0</v>
      </c>
      <c r="G39" s="16"/>
      <c r="K39" s="57">
        <f>(TableIncome[[#This Row],[SalaryP1]]-TableIncome[[#This Row],[InvestmentP1]])/12</f>
        <v>28500.21812919954</v>
      </c>
      <c r="L39" s="57">
        <f>(TableIncome[[#This Row],[SalaryP2]]-TableIncome[[#This Row],[InvestmentP2]])/12</f>
        <v>0</v>
      </c>
      <c r="M39" s="34">
        <f>'Net Salary P1'!BI38</f>
        <v>35625.272661499424</v>
      </c>
      <c r="N39" s="35">
        <f>'Net Salary P2'!BI38</f>
        <v>0</v>
      </c>
      <c r="O39" s="35">
        <f>IF(_xlfn.XLOOKUP(TableIncome[[#This Row],[Year]],Loop!C:C,Loop!D:D)&lt;75,(O38*(1+$I$4))+IF(TableIncomeCalculations[[#This Row],[SwitchP1]]="Y",O38*$I$6,0),0)</f>
        <v>65709.926426397855</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429156.92505520303</v>
      </c>
      <c r="D40" s="37">
        <f>(TableIncomeCalculations[[#This Row],[NetMonthlySalaryP2]]*12)</f>
        <v>0</v>
      </c>
      <c r="E40" s="36">
        <f>TableIncome[[#This Row],[SalaryP1]]*$I$7</f>
        <v>85831.385011040606</v>
      </c>
      <c r="F40" s="36">
        <f>TableIncome[[#This Row],[SalaryP2]]*$I$7</f>
        <v>0</v>
      </c>
      <c r="G40" s="16"/>
      <c r="K40" s="57">
        <f>(TableIncome[[#This Row],[SalaryP1]]-TableIncome[[#This Row],[InvestmentP1]])/12</f>
        <v>28610.461670346867</v>
      </c>
      <c r="L40" s="57">
        <f>(TableIncome[[#This Row],[SalaryP2]]-TableIncome[[#This Row],[InvestmentP2]])/12</f>
        <v>0</v>
      </c>
      <c r="M40" s="34">
        <f>'Net Salary P1'!BI39</f>
        <v>35763.077087933583</v>
      </c>
      <c r="N40" s="35">
        <f>'Net Salary P2'!BI39</f>
        <v>0</v>
      </c>
      <c r="O40" s="35">
        <f>IF(_xlfn.XLOOKUP(TableIncome[[#This Row],[Year]],Loop!C:C,Loop!D:D)&lt;75,(O39*(1+$I$4))+IF(TableIncomeCalculations[[#This Row],[SwitchP1]]="Y",O39*$I$6,0),0)</f>
        <v>66038.476058529835</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430818.84643799905</v>
      </c>
      <c r="D41" s="37">
        <f>(TableIncomeCalculations[[#This Row],[NetMonthlySalaryP2]]*12)</f>
        <v>0</v>
      </c>
      <c r="E41" s="36">
        <f>TableIncome[[#This Row],[SalaryP1]]*$I$7</f>
        <v>86163.769287599818</v>
      </c>
      <c r="F41" s="36">
        <f>TableIncome[[#This Row],[SalaryP2]]*$I$7</f>
        <v>0</v>
      </c>
      <c r="G41" s="16"/>
      <c r="K41" s="57">
        <f>(TableIncome[[#This Row],[SalaryP1]]-TableIncome[[#This Row],[InvestmentP1]])/12</f>
        <v>28721.256429199933</v>
      </c>
      <c r="L41" s="57">
        <f>(TableIncome[[#This Row],[SalaryP2]]-TableIncome[[#This Row],[InvestmentP2]])/12</f>
        <v>0</v>
      </c>
      <c r="M41" s="34">
        <f>'Net Salary P1'!BI40</f>
        <v>35901.570536499923</v>
      </c>
      <c r="N41" s="35">
        <f>'Net Salary P2'!BI40</f>
        <v>0</v>
      </c>
      <c r="O41" s="35">
        <f>IF(_xlfn.XLOOKUP(TableIncome[[#This Row],[Year]],Loop!C:C,Loop!D:D)&lt;75,(O40*(1+$I$4))+IF(TableIncomeCalculations[[#This Row],[SwitchP1]]="Y",O40*$I$6,0),0)</f>
        <v>66368.668438822482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432489.07742770901</v>
      </c>
      <c r="D42" s="37">
        <f>(TableIncomeCalculations[[#This Row],[NetMonthlySalaryP2]]*12)</f>
        <v>0</v>
      </c>
      <c r="E42" s="36">
        <f>TableIncome[[#This Row],[SalaryP1]]*$I$7</f>
        <v>86497.815485541811</v>
      </c>
      <c r="F42" s="36">
        <f>TableIncome[[#This Row],[SalaryP2]]*$I$7</f>
        <v>0</v>
      </c>
      <c r="G42" s="16"/>
      <c r="K42" s="57">
        <f>(TableIncome[[#This Row],[SalaryP1]]-TableIncome[[#This Row],[InvestmentP1]])/12</f>
        <v>28832.605161847267</v>
      </c>
      <c r="L42" s="57">
        <f>(TableIncome[[#This Row],[SalaryP2]]-TableIncome[[#This Row],[InvestmentP2]])/12</f>
        <v>0</v>
      </c>
      <c r="M42" s="34">
        <f>'Net Salary P1'!BI41</f>
        <v>36040.756452309084</v>
      </c>
      <c r="N42" s="35">
        <f>'Net Salary P2'!BI41</f>
        <v>0</v>
      </c>
      <c r="O42" s="35">
        <f>IF(_xlfn.XLOOKUP(TableIncome[[#This Row],[Year]],Loop!C:C,Loop!D:D)&lt;75,(O41*(1+$I$4))+IF(TableIncomeCalculations[[#This Row],[SwitchP1]]="Y",O41*$I$6,0),0)</f>
        <v>66700.511781016583</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434167.65957236756</v>
      </c>
      <c r="D43" s="37">
        <f>(TableIncomeCalculations[[#This Row],[NetMonthlySalaryP2]]*12)</f>
        <v>0</v>
      </c>
      <c r="E43" s="36">
        <f>TableIncome[[#This Row],[SalaryP1]]*$I$7</f>
        <v>86833.531914473511</v>
      </c>
      <c r="F43" s="36">
        <f>TableIncome[[#This Row],[SalaryP2]]*$I$7</f>
        <v>0</v>
      </c>
      <c r="G43" s="16"/>
      <c r="K43" s="57">
        <f>(TableIncome[[#This Row],[SalaryP1]]-TableIncome[[#This Row],[InvestmentP1]])/12</f>
        <v>28944.510638157837</v>
      </c>
      <c r="L43" s="57">
        <f>(TableIncome[[#This Row],[SalaryP2]]-TableIncome[[#This Row],[InvestmentP2]])/12</f>
        <v>0</v>
      </c>
      <c r="M43" s="34">
        <f>'Net Salary P1'!BI42</f>
        <v>36180.638297697296</v>
      </c>
      <c r="N43" s="35">
        <f>'Net Salary P2'!BI42</f>
        <v>0</v>
      </c>
      <c r="O43" s="35">
        <f>IF(_xlfn.XLOOKUP(TableIncome[[#This Row],[Year]],Loop!C:C,Loop!D:D)&lt;75,(O42*(1+$I$4))+IF(TableIncomeCalculations[[#This Row],[SwitchP1]]="Y",O42*$I$6,0),0)</f>
        <v>67034.014339921661</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435854.63462774933</v>
      </c>
      <c r="D44" s="37">
        <f>(TableIncomeCalculations[[#This Row],[NetMonthlySalaryP2]]*12)</f>
        <v>0</v>
      </c>
      <c r="E44" s="36">
        <f>TableIncome[[#This Row],[SalaryP1]]*$I$7</f>
        <v>87170.926925549866</v>
      </c>
      <c r="F44" s="36">
        <f>TableIncome[[#This Row],[SalaryP2]]*$I$7</f>
        <v>0</v>
      </c>
      <c r="G44" s="16"/>
      <c r="K44" s="57">
        <f>(TableIncome[[#This Row],[SalaryP1]]-TableIncome[[#This Row],[InvestmentP1]])/12</f>
        <v>29056.975641849956</v>
      </c>
      <c r="L44" s="57">
        <f>(TableIncome[[#This Row],[SalaryP2]]-TableIncome[[#This Row],[InvestmentP2]])/12</f>
        <v>0</v>
      </c>
      <c r="M44" s="34">
        <f>'Net Salary P1'!BI43</f>
        <v>36321.219552312446</v>
      </c>
      <c r="N44" s="35">
        <f>'Net Salary P2'!BI43</f>
        <v>0</v>
      </c>
      <c r="O44" s="35">
        <f>IF(_xlfn.XLOOKUP(TableIncome[[#This Row],[Year]],Loop!C:C,Loop!D:D)&lt;75,(O43*(1+$I$4))+IF(TableIncomeCalculations[[#This Row],[SwitchP1]]="Y",O43*$I$6,0),0)</f>
        <v>67369.18441162126</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437550.04455840803</v>
      </c>
      <c r="D45" s="37">
        <f>(TableIncomeCalculations[[#This Row],[NetMonthlySalaryP2]]*12)</f>
        <v>0</v>
      </c>
      <c r="E45" s="36">
        <f>TableIncome[[#This Row],[SalaryP1]]*$I$7</f>
        <v>87510.008911681609</v>
      </c>
      <c r="F45" s="36">
        <f>TableIncome[[#This Row],[SalaryP2]]*$I$7</f>
        <v>0</v>
      </c>
      <c r="G45" s="16"/>
      <c r="K45" s="57">
        <f>(TableIncome[[#This Row],[SalaryP1]]-TableIncome[[#This Row],[InvestmentP1]])/12</f>
        <v>29170.002970560538</v>
      </c>
      <c r="L45" s="57">
        <f>(TableIncome[[#This Row],[SalaryP2]]-TableIncome[[#This Row],[InvestmentP2]])/12</f>
        <v>0</v>
      </c>
      <c r="M45" s="34">
        <f>'Net Salary P1'!BI44</f>
        <v>36462.503713200669</v>
      </c>
      <c r="N45" s="35">
        <f>'Net Salary P2'!BI44</f>
        <v>0</v>
      </c>
      <c r="O45" s="35">
        <f>IF(_xlfn.XLOOKUP(TableIncome[[#This Row],[Year]],Loop!C:C,Loop!D:D)&lt;75,(O44*(1+$I$4))+IF(TableIncomeCalculations[[#This Row],[SwitchP1]]="Y",O44*$I$6,0),0)</f>
        <v>67706.030333679359</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439253.93153871997</v>
      </c>
      <c r="D46" s="37">
        <f>(TableIncomeCalculations[[#This Row],[NetMonthlySalaryP2]]*12)</f>
        <v>0</v>
      </c>
      <c r="E46" s="36">
        <f>TableIncome[[#This Row],[SalaryP1]]*$I$7</f>
        <v>87850.786307743998</v>
      </c>
      <c r="F46" s="36">
        <f>TableIncome[[#This Row],[SalaryP2]]*$I$7</f>
        <v>0</v>
      </c>
      <c r="G46" s="16"/>
      <c r="K46" s="57">
        <f>(TableIncome[[#This Row],[SalaryP1]]-TableIncome[[#This Row],[InvestmentP1]])/12</f>
        <v>29283.595435914667</v>
      </c>
      <c r="L46" s="57">
        <f>(TableIncome[[#This Row],[SalaryP2]]-TableIncome[[#This Row],[InvestmentP2]])/12</f>
        <v>0</v>
      </c>
      <c r="M46" s="34">
        <f>'Net Salary P1'!BI45</f>
        <v>36604.494294893331</v>
      </c>
      <c r="N46" s="35">
        <f>'Net Salary P2'!BI45</f>
        <v>0</v>
      </c>
      <c r="O46" s="35">
        <f>IF(_xlfn.XLOOKUP(TableIncome[[#This Row],[Year]],Loop!C:C,Loop!D:D)&lt;75,(O45*(1+$I$4))+IF(TableIncomeCalculations[[#This Row],[SwitchP1]]="Y",O45*$I$6,0),0)</f>
        <v>68044.560485347742</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440966.33795393351</v>
      </c>
      <c r="D47" s="37">
        <f>(TableIncomeCalculations[[#This Row],[NetMonthlySalaryP2]]*12)</f>
        <v>0</v>
      </c>
      <c r="E47" s="36">
        <f>TableIncome[[#This Row],[SalaryP1]]*$I$7</f>
        <v>88193.267590786709</v>
      </c>
      <c r="F47" s="36">
        <f>TableIncome[[#This Row],[SalaryP2]]*$I$7</f>
        <v>0</v>
      </c>
      <c r="G47" s="16"/>
      <c r="K47" s="57">
        <f>(TableIncome[[#This Row],[SalaryP1]]-TableIncome[[#This Row],[InvestmentP1]])/12</f>
        <v>29397.755863595568</v>
      </c>
      <c r="L47" s="57">
        <f>(TableIncome[[#This Row],[SalaryP2]]-TableIncome[[#This Row],[InvestmentP2]])/12</f>
        <v>0</v>
      </c>
      <c r="M47" s="34">
        <f>'Net Salary P1'!BI46</f>
        <v>36747.19482949446</v>
      </c>
      <c r="N47" s="35">
        <f>'Net Salary P2'!BI46</f>
        <v>0</v>
      </c>
      <c r="O47" s="35">
        <f>IF(_xlfn.XLOOKUP(TableIncome[[#This Row],[Year]],Loop!C:C,Loop!D:D)&lt;75,(O46*(1+$I$4))+IF(TableIncomeCalculations[[#This Row],[SwitchP1]]="Y",O46*$I$6,0),0)</f>
        <v>68384.783287774466</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442687.30640122318</v>
      </c>
      <c r="D48" s="37">
        <f>(TableIncomeCalculations[[#This Row],[NetMonthlySalaryP2]]*12)</f>
        <v>0</v>
      </c>
      <c r="E48" s="36">
        <f>TableIncome[[#This Row],[SalaryP1]]*$I$7</f>
        <v>88537.461280244635</v>
      </c>
      <c r="F48" s="36">
        <f>TableIncome[[#This Row],[SalaryP2]]*$I$7</f>
        <v>0</v>
      </c>
      <c r="G48" s="16"/>
      <c r="K48" s="57">
        <f>(TableIncome[[#This Row],[SalaryP1]]-TableIncome[[#This Row],[InvestmentP1]])/12</f>
        <v>29512.487093414878</v>
      </c>
      <c r="L48" s="57">
        <f>(TableIncome[[#This Row],[SalaryP2]]-TableIncome[[#This Row],[InvestmentP2]])/12</f>
        <v>0</v>
      </c>
      <c r="M48" s="34">
        <f>'Net Salary P1'!BI47</f>
        <v>36890.608866768598</v>
      </c>
      <c r="N48" s="35">
        <f>'Net Salary P2'!BI47</f>
        <v>0</v>
      </c>
      <c r="O48" s="35">
        <f>IF(_xlfn.XLOOKUP(TableIncome[[#This Row],[Year]],Loop!C:C,Loop!D:D)&lt;75,(O47*(1+$I$4))+IF(TableIncomeCalculations[[#This Row],[SwitchP1]]="Y",O47*$I$6,0),0)</f>
        <v>68726.707204213337</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444416.87969074922</v>
      </c>
      <c r="D49" s="37">
        <f>(TableIncomeCalculations[[#This Row],[NetMonthlySalaryP2]]*12)</f>
        <v>0</v>
      </c>
      <c r="E49" s="36">
        <f>TableIncome[[#This Row],[SalaryP1]]*$I$7</f>
        <v>88883.375938149853</v>
      </c>
      <c r="F49" s="36">
        <f>TableIncome[[#This Row],[SalaryP2]]*$I$7</f>
        <v>0</v>
      </c>
      <c r="K49" s="57">
        <f>(TableIncome[[#This Row],[SalaryP1]]-TableIncome[[#This Row],[InvestmentP1]])/12</f>
        <v>29627.791979383281</v>
      </c>
      <c r="L49" s="57">
        <f>(TableIncome[[#This Row],[SalaryP2]]-TableIncome[[#This Row],[InvestmentP2]])/12</f>
        <v>0</v>
      </c>
      <c r="M49" s="34">
        <f>'Net Salary P1'!BI48</f>
        <v>37034.739974229102</v>
      </c>
      <c r="N49" s="34">
        <f>'Net Salary P2'!BI48</f>
        <v>0</v>
      </c>
      <c r="O49" s="35">
        <f>IF(_xlfn.XLOOKUP(TableIncome[[#This Row],[Year]],Loop!C:C,Loop!D:D)&lt;75,(O48*(1+$I$4))+IF(TableIncomeCalculations[[#This Row],[SwitchP1]]="Y",O48*$I$6,0),0)</f>
        <v>69070.340740234402</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446155.10084672301</v>
      </c>
      <c r="D50" s="37">
        <f>(TableIncomeCalculations[[#This Row],[NetMonthlySalaryP2]]*12)</f>
        <v>0</v>
      </c>
      <c r="E50" s="36">
        <f>TableIncome[[#This Row],[SalaryP1]]*$I$7</f>
        <v>89231.020169344614</v>
      </c>
      <c r="F50" s="36">
        <f>TableIncome[[#This Row],[SalaryP2]]*$I$7</f>
        <v>0</v>
      </c>
      <c r="K50" s="57">
        <f>(TableIncome[[#This Row],[SalaryP1]]-TableIncome[[#This Row],[InvestmentP1]])/12</f>
        <v>29743.673389781532</v>
      </c>
      <c r="L50" s="57">
        <f>(TableIncome[[#This Row],[SalaryP2]]-TableIncome[[#This Row],[InvestmentP2]])/12</f>
        <v>0</v>
      </c>
      <c r="M50" s="34">
        <f>'Net Salary P1'!BI49</f>
        <v>37179.591737226918</v>
      </c>
      <c r="N50" s="34">
        <f>'Net Salary P2'!BI49</f>
        <v>0</v>
      </c>
      <c r="O50" s="35">
        <f>IF(_xlfn.XLOOKUP(TableIncome[[#This Row],[Year]],Loop!C:C,Loop!D:D)&lt;75,(O49*(1+$I$4))+IF(TableIncomeCalculations[[#This Row],[SwitchP1]]="Y",O49*$I$6,0),0)</f>
        <v>69415.692443935564</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447902.01310847659</v>
      </c>
      <c r="D51" s="37">
        <f>(TableIncomeCalculations[[#This Row],[NetMonthlySalaryP2]]*12)</f>
        <v>0</v>
      </c>
      <c r="E51" s="36">
        <f>TableIncome[[#This Row],[SalaryP1]]*$I$7</f>
        <v>89580.402621695321</v>
      </c>
      <c r="F51" s="36">
        <f>TableIncome[[#This Row],[SalaryP2]]*$I$7</f>
        <v>0</v>
      </c>
      <c r="K51" s="57">
        <f>(TableIncome[[#This Row],[SalaryP1]]-TableIncome[[#This Row],[InvestmentP1]])/12</f>
        <v>29860.134207231775</v>
      </c>
      <c r="L51" s="57">
        <f>(TableIncome[[#This Row],[SalaryP2]]-TableIncome[[#This Row],[InvestmentP2]])/12</f>
        <v>0</v>
      </c>
      <c r="M51" s="34">
        <f>'Net Salary P1'!BI50</f>
        <v>37325.167759039716</v>
      </c>
      <c r="N51" s="34">
        <f>'Net Salary P2'!BI50</f>
        <v>0</v>
      </c>
      <c r="O51" s="35">
        <f>IF(_xlfn.XLOOKUP(TableIncome[[#This Row],[Year]],Loop!C:C,Loop!D:D)&lt;75,(O50*(1+$I$4))+IF(TableIncomeCalculations[[#This Row],[SwitchP1]]="Y",O50*$I$6,0),0)</f>
        <v>69762.77090615523</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449657.65993153898</v>
      </c>
      <c r="D52" s="37">
        <f>(TableIncomeCalculations[[#This Row],[NetMonthlySalaryP2]]*12)</f>
        <v>0</v>
      </c>
      <c r="E52" s="36">
        <f>TableIncome[[#This Row],[SalaryP1]]*$I$7</f>
        <v>89931.531986307804</v>
      </c>
      <c r="F52" s="36">
        <f>TableIncome[[#This Row],[SalaryP2]]*$I$7</f>
        <v>0</v>
      </c>
      <c r="K52" s="57">
        <f>(TableIncome[[#This Row],[SalaryP1]]-TableIncome[[#This Row],[InvestmentP1]])/12</f>
        <v>29977.177328769263</v>
      </c>
      <c r="L52" s="57">
        <f>(TableIncome[[#This Row],[SalaryP2]]-TableIncome[[#This Row],[InvestmentP2]])/12</f>
        <v>0</v>
      </c>
      <c r="M52" s="34">
        <f>'Net Salary P1'!BI51</f>
        <v>37471.471660961579</v>
      </c>
      <c r="N52" s="34">
        <f>'Net Salary P2'!BI51</f>
        <v>0</v>
      </c>
      <c r="O52" s="35">
        <f>IF(_xlfn.XLOOKUP(TableIncome[[#This Row],[Year]],Loop!C:C,Loop!D:D)&lt;75,(O51*(1+$I$4))+IF(TableIncomeCalculations[[#This Row],[SwitchP1]]="Y",O51*$I$6,0),0)</f>
        <v>70111.584760686004</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43209.756097560981</v>
      </c>
      <c r="C2" s="28">
        <v>43425.804878048781</v>
      </c>
      <c r="D2" s="28">
        <v>45162.837073170725</v>
      </c>
      <c r="E2" s="28">
        <v>45388.651258536571</v>
      </c>
      <c r="F2" s="28">
        <v>45615.594514829252</v>
      </c>
      <c r="G2" s="28">
        <v>45843.672487403397</v>
      </c>
      <c r="H2" s="28">
        <v>47677.419386899528</v>
      </c>
      <c r="I2" s="28">
        <v>47915.806483834021</v>
      </c>
      <c r="J2" s="28">
        <v>48155.385516253184</v>
      </c>
      <c r="K2" s="28">
        <v>48396.162443834444</v>
      </c>
      <c r="L2" s="28">
        <v>50332.008941587817</v>
      </c>
      <c r="M2" s="28">
        <v>50583.66898629575</v>
      </c>
      <c r="N2" s="28">
        <v>50836.587331227223</v>
      </c>
      <c r="O2" s="28">
        <v>52870.050824476304</v>
      </c>
      <c r="P2" s="28">
        <v>53134.401078598683</v>
      </c>
      <c r="Q2" s="28">
        <v>53400.073083991672</v>
      </c>
      <c r="R2" s="28">
        <v>53667.073449411626</v>
      </c>
      <c r="S2" s="28">
        <v>53935.408816658681</v>
      </c>
      <c r="T2" s="28">
        <v>56092.82516932502</v>
      </c>
      <c r="U2" s="28">
        <v>56373.289295171642</v>
      </c>
      <c r="V2" s="28">
        <v>56655.155741647497</v>
      </c>
      <c r="W2" s="28">
        <v>56938.431520355727</v>
      </c>
      <c r="X2" s="28">
        <v>59215.968781169948</v>
      </c>
      <c r="Y2" s="28">
        <v>59512.048625075789</v>
      </c>
      <c r="Z2" s="28">
        <v>59809.608868201161</v>
      </c>
      <c r="AA2" s="28">
        <v>60108.656912542159</v>
      </c>
      <c r="AB2" s="28">
        <v>60409.200197104867</v>
      </c>
      <c r="AC2" s="28">
        <v>60711.246198090383</v>
      </c>
      <c r="AD2" s="28">
        <v>61014.802429080832</v>
      </c>
      <c r="AE2" s="28">
        <v>61319.876441226232</v>
      </c>
      <c r="AF2" s="28">
        <v>61626.47582343236</v>
      </c>
      <c r="AG2" s="28">
        <v>61934.608202549512</v>
      </c>
      <c r="AH2" s="28">
        <v>62244.281243562255</v>
      </c>
      <c r="AI2" s="28">
        <v>62555.502649780057</v>
      </c>
      <c r="AJ2" s="28">
        <v>62868.280163028954</v>
      </c>
      <c r="AK2" s="28">
        <v>65383.011369550106</v>
      </c>
      <c r="AL2" s="28">
        <v>65709.926426397855</v>
      </c>
      <c r="AM2" s="28">
        <v>66038.476058529835</v>
      </c>
      <c r="AN2" s="28">
        <v>66368.668438822482</v>
      </c>
      <c r="AO2" s="28">
        <v>66700.511781016583</v>
      </c>
      <c r="AP2" s="28">
        <v>67034.014339921661</v>
      </c>
      <c r="AQ2" s="28">
        <v>67369.18441162126</v>
      </c>
      <c r="AR2" s="28">
        <v>67706.030333679359</v>
      </c>
      <c r="AS2" s="28">
        <v>68044.560485347742</v>
      </c>
      <c r="AT2" s="28">
        <v>68384.783287774466</v>
      </c>
      <c r="AU2" s="2">
        <v>68726.707204213337</v>
      </c>
      <c r="AV2" s="2">
        <v>69070.340740234402</v>
      </c>
      <c r="AW2" s="2">
        <v>69415.692443935564</v>
      </c>
      <c r="AX2" s="2">
        <v>69762.77090615523</v>
      </c>
      <c r="AY2" s="2">
        <v>70111.584760686004</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2160.4878048780492</v>
      </c>
      <c r="C4" s="28">
        <f t="shared" ref="C4:AT4" si="0">C3*C2</f>
        <v>2171.2902439024392</v>
      </c>
      <c r="D4" s="28">
        <f t="shared" si="0"/>
        <v>2258.1418536585365</v>
      </c>
      <c r="E4" s="28">
        <f t="shared" si="0"/>
        <v>2269.4325629268287</v>
      </c>
      <c r="F4" s="28">
        <f t="shared" si="0"/>
        <v>2280.7797257414627</v>
      </c>
      <c r="G4" s="28">
        <f t="shared" si="0"/>
        <v>2292.18362437017</v>
      </c>
      <c r="H4" s="28">
        <f t="shared" si="0"/>
        <v>2383.8709693449764</v>
      </c>
      <c r="I4" s="28">
        <f t="shared" si="0"/>
        <v>2395.7903241917011</v>
      </c>
      <c r="J4" s="28">
        <f t="shared" si="0"/>
        <v>2407.7692758126591</v>
      </c>
      <c r="K4" s="28">
        <f t="shared" si="0"/>
        <v>2419.8081221917223</v>
      </c>
      <c r="L4" s="28">
        <f t="shared" si="0"/>
        <v>2516.600447079391</v>
      </c>
      <c r="M4" s="28">
        <f t="shared" si="0"/>
        <v>2529.1834493147876</v>
      </c>
      <c r="N4" s="28">
        <f t="shared" si="0"/>
        <v>2541.8293665613614</v>
      </c>
      <c r="O4" s="28">
        <f t="shared" si="0"/>
        <v>2643.5025412238156</v>
      </c>
      <c r="P4" s="28">
        <f t="shared" si="0"/>
        <v>2656.7200539299342</v>
      </c>
      <c r="Q4" s="28">
        <f t="shared" si="0"/>
        <v>2670.0036541995837</v>
      </c>
      <c r="R4" s="28">
        <f t="shared" si="0"/>
        <v>2683.3536724705814</v>
      </c>
      <c r="S4" s="28">
        <f t="shared" si="0"/>
        <v>2696.7704408329341</v>
      </c>
      <c r="T4" s="28">
        <f t="shared" si="0"/>
        <v>2804.6412584662512</v>
      </c>
      <c r="U4" s="28">
        <f t="shared" si="0"/>
        <v>2818.6644647585822</v>
      </c>
      <c r="V4" s="28">
        <f t="shared" si="0"/>
        <v>2832.7577870823752</v>
      </c>
      <c r="W4" s="28">
        <f t="shared" si="0"/>
        <v>2846.9215760177867</v>
      </c>
      <c r="X4" s="28">
        <f t="shared" si="0"/>
        <v>2960.7984390584975</v>
      </c>
      <c r="Y4" s="28">
        <f t="shared" si="0"/>
        <v>2975.6024312537897</v>
      </c>
      <c r="Z4" s="28">
        <f t="shared" si="0"/>
        <v>2990.4804434100583</v>
      </c>
      <c r="AA4" s="28">
        <f t="shared" si="0"/>
        <v>3005.4328456271082</v>
      </c>
      <c r="AB4" s="28">
        <f t="shared" si="0"/>
        <v>3020.4600098552437</v>
      </c>
      <c r="AC4" s="28">
        <f t="shared" si="0"/>
        <v>3035.5623099045192</v>
      </c>
      <c r="AD4" s="28">
        <f t="shared" si="0"/>
        <v>3050.7401214540419</v>
      </c>
      <c r="AE4" s="28">
        <f t="shared" si="0"/>
        <v>3065.9938220613117</v>
      </c>
      <c r="AF4" s="28">
        <f t="shared" si="0"/>
        <v>3081.3237911716183</v>
      </c>
      <c r="AG4" s="28">
        <f t="shared" si="0"/>
        <v>3096.7304101274758</v>
      </c>
      <c r="AH4" s="28">
        <f t="shared" si="0"/>
        <v>3112.2140621781127</v>
      </c>
      <c r="AI4" s="28">
        <f t="shared" si="0"/>
        <v>3127.7751324890032</v>
      </c>
      <c r="AJ4" s="28">
        <f t="shared" si="0"/>
        <v>3143.4140081514479</v>
      </c>
      <c r="AK4" s="28">
        <f t="shared" si="0"/>
        <v>3269.1505684775057</v>
      </c>
      <c r="AL4" s="28">
        <f t="shared" si="0"/>
        <v>3285.496321319893</v>
      </c>
      <c r="AM4" s="28">
        <f t="shared" si="0"/>
        <v>3301.923802926492</v>
      </c>
      <c r="AN4" s="28">
        <f t="shared" si="0"/>
        <v>3318.4334219411244</v>
      </c>
      <c r="AO4" s="28">
        <f t="shared" si="0"/>
        <v>3335.0255890508292</v>
      </c>
      <c r="AP4" s="28">
        <f t="shared" si="0"/>
        <v>3351.7007169960834</v>
      </c>
      <c r="AQ4" s="28">
        <f t="shared" si="0"/>
        <v>3368.4592205810632</v>
      </c>
      <c r="AR4" s="28">
        <f t="shared" si="0"/>
        <v>3385.3015166839682</v>
      </c>
      <c r="AS4" s="28">
        <f t="shared" si="0"/>
        <v>3402.2280242673874</v>
      </c>
      <c r="AT4" s="28">
        <f t="shared" si="0"/>
        <v>3419.2391643887236</v>
      </c>
      <c r="AU4" s="28">
        <f t="shared" ref="AU4:AY4" si="1">AU3*AU2</f>
        <v>3436.3353602106672</v>
      </c>
      <c r="AV4" s="28">
        <f t="shared" si="1"/>
        <v>3453.5170370117203</v>
      </c>
      <c r="AW4" s="28">
        <f t="shared" si="1"/>
        <v>3470.7846221967784</v>
      </c>
      <c r="AX4" s="28">
        <f t="shared" si="1"/>
        <v>3488.1385453077619</v>
      </c>
      <c r="AY4" s="28">
        <f t="shared" si="1"/>
        <v>3505.5792380343005</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4320.9756097560985</v>
      </c>
      <c r="C6" s="28">
        <f t="shared" ref="C6:AT6" si="2">C4*2</f>
        <v>4342.5804878048784</v>
      </c>
      <c r="D6" s="28">
        <f t="shared" si="2"/>
        <v>4516.2837073170731</v>
      </c>
      <c r="E6" s="28">
        <f t="shared" si="2"/>
        <v>4538.8651258536574</v>
      </c>
      <c r="F6" s="28">
        <f t="shared" si="2"/>
        <v>4561.5594514829254</v>
      </c>
      <c r="G6" s="28">
        <f t="shared" si="2"/>
        <v>4584.3672487403401</v>
      </c>
      <c r="H6" s="28">
        <f t="shared" si="2"/>
        <v>4767.7419386899528</v>
      </c>
      <c r="I6" s="28">
        <f t="shared" si="2"/>
        <v>4791.5806483834021</v>
      </c>
      <c r="J6" s="28">
        <f t="shared" si="2"/>
        <v>4815.5385516253182</v>
      </c>
      <c r="K6" s="28">
        <f t="shared" si="2"/>
        <v>4839.6162443834446</v>
      </c>
      <c r="L6" s="28">
        <f t="shared" si="2"/>
        <v>5033.2008941587819</v>
      </c>
      <c r="M6" s="28">
        <f t="shared" si="2"/>
        <v>5058.3668986295752</v>
      </c>
      <c r="N6" s="28">
        <f t="shared" si="2"/>
        <v>5083.6587331227229</v>
      </c>
      <c r="O6" s="28">
        <f t="shared" si="2"/>
        <v>5287.0050824476311</v>
      </c>
      <c r="P6" s="28">
        <f t="shared" si="2"/>
        <v>5313.4401078598685</v>
      </c>
      <c r="Q6" s="28">
        <f t="shared" si="2"/>
        <v>5340.0073083991674</v>
      </c>
      <c r="R6" s="28">
        <f t="shared" si="2"/>
        <v>5366.7073449411628</v>
      </c>
      <c r="S6" s="28">
        <f t="shared" si="2"/>
        <v>5393.5408816658683</v>
      </c>
      <c r="T6" s="28">
        <f t="shared" si="2"/>
        <v>5609.2825169325024</v>
      </c>
      <c r="U6" s="28">
        <f t="shared" si="2"/>
        <v>5637.3289295171644</v>
      </c>
      <c r="V6" s="28">
        <f t="shared" si="2"/>
        <v>5665.5155741647504</v>
      </c>
      <c r="W6" s="28">
        <f t="shared" si="2"/>
        <v>5693.8431520355734</v>
      </c>
      <c r="X6" s="28">
        <f t="shared" si="2"/>
        <v>5921.596878116995</v>
      </c>
      <c r="Y6" s="28">
        <f t="shared" si="2"/>
        <v>5951.2048625075795</v>
      </c>
      <c r="Z6" s="28">
        <f t="shared" si="2"/>
        <v>5980.9608868201167</v>
      </c>
      <c r="AA6" s="28">
        <f t="shared" si="2"/>
        <v>6010.8656912542165</v>
      </c>
      <c r="AB6" s="28">
        <f t="shared" si="2"/>
        <v>6040.9200197104874</v>
      </c>
      <c r="AC6" s="28">
        <f t="shared" si="2"/>
        <v>6071.1246198090384</v>
      </c>
      <c r="AD6" s="28">
        <f t="shared" si="2"/>
        <v>6101.4802429080837</v>
      </c>
      <c r="AE6" s="28">
        <f t="shared" si="2"/>
        <v>6131.9876441226234</v>
      </c>
      <c r="AF6" s="28">
        <f t="shared" si="2"/>
        <v>6162.6475823432365</v>
      </c>
      <c r="AG6" s="28">
        <f t="shared" si="2"/>
        <v>6193.4608202549516</v>
      </c>
      <c r="AH6" s="28">
        <f t="shared" si="2"/>
        <v>6224.4281243562255</v>
      </c>
      <c r="AI6" s="28">
        <f t="shared" si="2"/>
        <v>6255.5502649780065</v>
      </c>
      <c r="AJ6" s="28">
        <f t="shared" si="2"/>
        <v>6286.8280163028958</v>
      </c>
      <c r="AK6" s="28">
        <f t="shared" si="2"/>
        <v>6538.3011369550113</v>
      </c>
      <c r="AL6" s="28">
        <f t="shared" si="2"/>
        <v>6570.992642639786</v>
      </c>
      <c r="AM6" s="28">
        <f t="shared" si="2"/>
        <v>6603.8476058529841</v>
      </c>
      <c r="AN6" s="28">
        <f t="shared" si="2"/>
        <v>6636.8668438822488</v>
      </c>
      <c r="AO6" s="28">
        <f t="shared" si="2"/>
        <v>6670.0511781016585</v>
      </c>
      <c r="AP6" s="28">
        <f t="shared" si="2"/>
        <v>6703.4014339921669</v>
      </c>
      <c r="AQ6" s="28">
        <f t="shared" si="2"/>
        <v>6736.9184411621263</v>
      </c>
      <c r="AR6" s="28">
        <f t="shared" si="2"/>
        <v>6770.6030333679364</v>
      </c>
      <c r="AS6" s="28">
        <f t="shared" si="2"/>
        <v>6804.4560485347747</v>
      </c>
      <c r="AT6" s="28">
        <f t="shared" si="2"/>
        <v>6838.4783287774471</v>
      </c>
      <c r="AU6" s="28">
        <f t="shared" ref="AU6:AY6" si="3">AU4*2</f>
        <v>6872.6707204213344</v>
      </c>
      <c r="AV6" s="28">
        <f t="shared" si="3"/>
        <v>6907.0340740234406</v>
      </c>
      <c r="AW6" s="28">
        <f t="shared" si="3"/>
        <v>6941.5692443935568</v>
      </c>
      <c r="AX6" s="28">
        <f t="shared" si="3"/>
        <v>6976.2770906155238</v>
      </c>
      <c r="AY6" s="28">
        <f t="shared" si="3"/>
        <v>7011.158476068601</v>
      </c>
    </row>
    <row r="7" spans="1:51" x14ac:dyDescent="0.2">
      <c r="A7" s="2" t="s">
        <v>180</v>
      </c>
      <c r="B7" s="29">
        <f>SUM(B6,B4)</f>
        <v>6481.4634146341477</v>
      </c>
      <c r="C7" s="29">
        <f t="shared" ref="C7:AT7" si="4">SUM(C6,C4)</f>
        <v>6513.8707317073176</v>
      </c>
      <c r="D7" s="29">
        <f t="shared" si="4"/>
        <v>6774.4255609756092</v>
      </c>
      <c r="E7" s="29">
        <f t="shared" si="4"/>
        <v>6808.2976887804862</v>
      </c>
      <c r="F7" s="29">
        <f t="shared" si="4"/>
        <v>6842.3391772243885</v>
      </c>
      <c r="G7" s="29">
        <f t="shared" si="4"/>
        <v>6876.5508731105101</v>
      </c>
      <c r="H7" s="29">
        <f t="shared" si="4"/>
        <v>7151.6129080349292</v>
      </c>
      <c r="I7" s="29">
        <f t="shared" si="4"/>
        <v>7187.3709725751032</v>
      </c>
      <c r="J7" s="29">
        <f t="shared" si="4"/>
        <v>7223.3078274379768</v>
      </c>
      <c r="K7" s="29">
        <f t="shared" si="4"/>
        <v>7259.4243665751674</v>
      </c>
      <c r="L7" s="29">
        <f t="shared" si="4"/>
        <v>7549.8013412381733</v>
      </c>
      <c r="M7" s="29">
        <f t="shared" si="4"/>
        <v>7587.5503479443632</v>
      </c>
      <c r="N7" s="29">
        <f t="shared" si="4"/>
        <v>7625.4880996840839</v>
      </c>
      <c r="O7" s="29">
        <f t="shared" si="4"/>
        <v>7930.5076236714467</v>
      </c>
      <c r="P7" s="29">
        <f t="shared" si="4"/>
        <v>7970.1601617898032</v>
      </c>
      <c r="Q7" s="29">
        <f t="shared" si="4"/>
        <v>8010.0109625987516</v>
      </c>
      <c r="R7" s="29">
        <f t="shared" si="4"/>
        <v>8050.0610174117446</v>
      </c>
      <c r="S7" s="29">
        <f t="shared" si="4"/>
        <v>8090.3113224988028</v>
      </c>
      <c r="T7" s="29">
        <f t="shared" si="4"/>
        <v>8413.9237753987545</v>
      </c>
      <c r="U7" s="29">
        <f t="shared" si="4"/>
        <v>8455.9933942757471</v>
      </c>
      <c r="V7" s="29">
        <f t="shared" si="4"/>
        <v>8498.2733612471256</v>
      </c>
      <c r="W7" s="29">
        <f t="shared" si="4"/>
        <v>8540.7647280533602</v>
      </c>
      <c r="X7" s="29">
        <f t="shared" si="4"/>
        <v>8882.3953171754929</v>
      </c>
      <c r="Y7" s="29">
        <f t="shared" si="4"/>
        <v>8926.8072937613688</v>
      </c>
      <c r="Z7" s="29">
        <f t="shared" si="4"/>
        <v>8971.4413302301746</v>
      </c>
      <c r="AA7" s="29">
        <f t="shared" si="4"/>
        <v>9016.2985368813243</v>
      </c>
      <c r="AB7" s="29">
        <f t="shared" si="4"/>
        <v>9061.3800295657311</v>
      </c>
      <c r="AC7" s="29">
        <f t="shared" si="4"/>
        <v>9106.6869297135581</v>
      </c>
      <c r="AD7" s="29">
        <f t="shared" si="4"/>
        <v>9152.2203643621251</v>
      </c>
      <c r="AE7" s="29">
        <f t="shared" si="4"/>
        <v>9197.9814661839355</v>
      </c>
      <c r="AF7" s="29">
        <f t="shared" si="4"/>
        <v>9243.9713735148543</v>
      </c>
      <c r="AG7" s="29">
        <f t="shared" si="4"/>
        <v>9290.1912303824283</v>
      </c>
      <c r="AH7" s="29">
        <f t="shared" si="4"/>
        <v>9336.6421865343382</v>
      </c>
      <c r="AI7" s="29">
        <f t="shared" si="4"/>
        <v>9383.3253974670097</v>
      </c>
      <c r="AJ7" s="29">
        <f t="shared" si="4"/>
        <v>9430.2420244543428</v>
      </c>
      <c r="AK7" s="29">
        <f t="shared" si="4"/>
        <v>9807.451705432517</v>
      </c>
      <c r="AL7" s="29">
        <f t="shared" si="4"/>
        <v>9856.4889639596786</v>
      </c>
      <c r="AM7" s="29">
        <f t="shared" si="4"/>
        <v>9905.7714087794757</v>
      </c>
      <c r="AN7" s="29">
        <f t="shared" si="4"/>
        <v>9955.3002658233727</v>
      </c>
      <c r="AO7" s="29">
        <f t="shared" si="4"/>
        <v>10005.076767152488</v>
      </c>
      <c r="AP7" s="29">
        <f t="shared" si="4"/>
        <v>10055.10215098825</v>
      </c>
      <c r="AQ7" s="29">
        <f t="shared" si="4"/>
        <v>10105.37766174319</v>
      </c>
      <c r="AR7" s="29">
        <f t="shared" si="4"/>
        <v>10155.904550051904</v>
      </c>
      <c r="AS7" s="29">
        <f t="shared" si="4"/>
        <v>10206.684072802162</v>
      </c>
      <c r="AT7" s="29">
        <f t="shared" si="4"/>
        <v>10257.71749316617</v>
      </c>
      <c r="AU7" s="29">
        <f t="shared" ref="AU7:AY7" si="5">SUM(AU6,AU4)</f>
        <v>10309.006080632002</v>
      </c>
      <c r="AV7" s="29">
        <f t="shared" si="5"/>
        <v>10360.551111035162</v>
      </c>
      <c r="AW7" s="29">
        <f t="shared" si="5"/>
        <v>10412.353866590336</v>
      </c>
      <c r="AX7" s="29">
        <f t="shared" si="5"/>
        <v>10464.415635923286</v>
      </c>
      <c r="AY7" s="29">
        <f t="shared" si="5"/>
        <v>10516.737714102901</v>
      </c>
    </row>
    <row r="8" spans="1:51" x14ac:dyDescent="0.2">
      <c r="A8" s="2" t="s">
        <v>181</v>
      </c>
      <c r="B8" s="28">
        <f>B7*12</f>
        <v>77777.560975609769</v>
      </c>
      <c r="C8" s="28">
        <f t="shared" ref="C8:AT8" si="6">C7*12</f>
        <v>78166.448780487815</v>
      </c>
      <c r="D8" s="28">
        <f t="shared" si="6"/>
        <v>81293.106731707318</v>
      </c>
      <c r="E8" s="28">
        <f t="shared" si="6"/>
        <v>81699.57226536583</v>
      </c>
      <c r="F8" s="28">
        <f t="shared" si="6"/>
        <v>82108.070126692663</v>
      </c>
      <c r="G8" s="28">
        <f t="shared" si="6"/>
        <v>82518.610477326118</v>
      </c>
      <c r="H8" s="28">
        <f t="shared" si="6"/>
        <v>85819.354896419158</v>
      </c>
      <c r="I8" s="28">
        <f t="shared" si="6"/>
        <v>86248.451670901239</v>
      </c>
      <c r="J8" s="28">
        <f t="shared" si="6"/>
        <v>86679.693929255722</v>
      </c>
      <c r="K8" s="28">
        <f t="shared" si="6"/>
        <v>87113.092398902008</v>
      </c>
      <c r="L8" s="28">
        <f t="shared" si="6"/>
        <v>90597.61609485808</v>
      </c>
      <c r="M8" s="28">
        <f t="shared" si="6"/>
        <v>91050.604175332352</v>
      </c>
      <c r="N8" s="28">
        <f t="shared" si="6"/>
        <v>91505.857196209006</v>
      </c>
      <c r="O8" s="28">
        <f t="shared" si="6"/>
        <v>95166.091484057368</v>
      </c>
      <c r="P8" s="28">
        <f t="shared" si="6"/>
        <v>95641.921941477631</v>
      </c>
      <c r="Q8" s="28">
        <f t="shared" si="6"/>
        <v>96120.131551185012</v>
      </c>
      <c r="R8" s="28">
        <f t="shared" si="6"/>
        <v>96600.732208940928</v>
      </c>
      <c r="S8" s="28">
        <f t="shared" si="6"/>
        <v>97083.735869985627</v>
      </c>
      <c r="T8" s="28">
        <f t="shared" si="6"/>
        <v>100967.08530478505</v>
      </c>
      <c r="U8" s="28">
        <f t="shared" si="6"/>
        <v>101471.92073130896</v>
      </c>
      <c r="V8" s="28">
        <f t="shared" si="6"/>
        <v>101979.2803349655</v>
      </c>
      <c r="W8" s="28">
        <f t="shared" si="6"/>
        <v>102489.17673664032</v>
      </c>
      <c r="X8" s="28">
        <f t="shared" si="6"/>
        <v>106588.74380610592</v>
      </c>
      <c r="Y8" s="28">
        <f t="shared" si="6"/>
        <v>107121.68752513643</v>
      </c>
      <c r="Z8" s="28">
        <f t="shared" si="6"/>
        <v>107657.29596276209</v>
      </c>
      <c r="AA8" s="28">
        <f t="shared" si="6"/>
        <v>108195.58244257589</v>
      </c>
      <c r="AB8" s="28">
        <f t="shared" si="6"/>
        <v>108736.56035478877</v>
      </c>
      <c r="AC8" s="28">
        <f t="shared" si="6"/>
        <v>109280.2431565627</v>
      </c>
      <c r="AD8" s="28">
        <f t="shared" si="6"/>
        <v>109826.6443723455</v>
      </c>
      <c r="AE8" s="28">
        <f t="shared" si="6"/>
        <v>110375.77759420723</v>
      </c>
      <c r="AF8" s="28">
        <f t="shared" si="6"/>
        <v>110927.65648217825</v>
      </c>
      <c r="AG8" s="28">
        <f t="shared" si="6"/>
        <v>111482.29476458914</v>
      </c>
      <c r="AH8" s="28">
        <f t="shared" si="6"/>
        <v>112039.70623841207</v>
      </c>
      <c r="AI8" s="28">
        <f t="shared" si="6"/>
        <v>112599.90476960412</v>
      </c>
      <c r="AJ8" s="28">
        <f t="shared" si="6"/>
        <v>113162.90429345211</v>
      </c>
      <c r="AK8" s="28">
        <f t="shared" si="6"/>
        <v>117689.4204651902</v>
      </c>
      <c r="AL8" s="28">
        <f t="shared" si="6"/>
        <v>118277.86756751614</v>
      </c>
      <c r="AM8" s="28">
        <f t="shared" si="6"/>
        <v>118869.25690535372</v>
      </c>
      <c r="AN8" s="28">
        <f t="shared" si="6"/>
        <v>119463.60318988046</v>
      </c>
      <c r="AO8" s="28">
        <f t="shared" si="6"/>
        <v>120060.92120582986</v>
      </c>
      <c r="AP8" s="28">
        <f t="shared" si="6"/>
        <v>120661.22581185901</v>
      </c>
      <c r="AQ8" s="28">
        <f t="shared" si="6"/>
        <v>121264.53194091828</v>
      </c>
      <c r="AR8" s="28">
        <f t="shared" si="6"/>
        <v>121870.85460062284</v>
      </c>
      <c r="AS8" s="28">
        <f t="shared" si="6"/>
        <v>122480.20887362593</v>
      </c>
      <c r="AT8" s="28">
        <f t="shared" si="6"/>
        <v>123092.60991799404</v>
      </c>
      <c r="AU8" s="28">
        <f t="shared" ref="AU8:AY8" si="7">AU7*12</f>
        <v>123708.07296758401</v>
      </c>
      <c r="AV8" s="28">
        <f t="shared" si="7"/>
        <v>124326.61333242194</v>
      </c>
      <c r="AW8" s="28">
        <f t="shared" si="7"/>
        <v>124948.24639908403</v>
      </c>
      <c r="AX8" s="28">
        <f t="shared" si="7"/>
        <v>125572.98763107942</v>
      </c>
      <c r="AY8" s="28">
        <f t="shared" si="7"/>
        <v>126200.85256923482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10085990.707736472</v>
      </c>
    </row>
    <row r="17" spans="1:4" x14ac:dyDescent="0.2">
      <c r="A17" s="2" t="s">
        <v>184</v>
      </c>
      <c r="B17" s="28">
        <f>B16/25</f>
        <v>403439.62830945884</v>
      </c>
      <c r="C17" s="2" t="s">
        <v>182</v>
      </c>
    </row>
    <row r="18" spans="1:4" x14ac:dyDescent="0.2">
      <c r="A18" s="2" t="s">
        <v>183</v>
      </c>
      <c r="B18" s="30">
        <f>B17/12</f>
        <v>33619.969025788239</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2.5000000000000001E-2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77777.560975609769</v>
      </c>
      <c r="C34" s="26">
        <f t="shared" ref="C34:AT34" si="8">B38+C8</f>
        <v>157920.33758048783</v>
      </c>
      <c r="D34" s="26">
        <f t="shared" si="8"/>
        <v>243226.20009011534</v>
      </c>
      <c r="E34" s="26">
        <f t="shared" si="8"/>
        <v>331106.15009977098</v>
      </c>
      <c r="F34" s="26">
        <f t="shared" si="8"/>
        <v>421627.62750049878</v>
      </c>
      <c r="G34" s="26">
        <f t="shared" si="8"/>
        <v>514859.79599261261</v>
      </c>
      <c r="H34" s="26">
        <f t="shared" si="8"/>
        <v>613761.73830520408</v>
      </c>
      <c r="I34" s="26">
        <f t="shared" si="8"/>
        <v>715605.87574644061</v>
      </c>
      <c r="J34" s="26">
        <f t="shared" si="8"/>
        <v>820469.11497841333</v>
      </c>
      <c r="K34" s="26">
        <f t="shared" si="8"/>
        <v>928430.32758891687</v>
      </c>
      <c r="L34" s="26">
        <f t="shared" si="8"/>
        <v>1042619.3583078093</v>
      </c>
      <c r="M34" s="26">
        <f t="shared" si="8"/>
        <v>1160162.920377743</v>
      </c>
      <c r="N34" s="26">
        <f t="shared" si="8"/>
        <v>1281148.5173807505</v>
      </c>
      <c r="O34" s="26">
        <f t="shared" si="8"/>
        <v>1408868.5926914527</v>
      </c>
      <c r="P34" s="26">
        <f t="shared" si="8"/>
        <v>1540309.8655732202</v>
      </c>
      <c r="Q34" s="26">
        <f t="shared" si="8"/>
        <v>1675569.2708086206</v>
      </c>
      <c r="R34" s="26">
        <f t="shared" si="8"/>
        <v>1814746.2181888085</v>
      </c>
      <c r="S34" s="26">
        <f t="shared" si="8"/>
        <v>1957942.6554629717</v>
      </c>
      <c r="T34" s="26">
        <f t="shared" si="8"/>
        <v>2108661.0636430709</v>
      </c>
      <c r="U34" s="26">
        <f t="shared" si="8"/>
        <v>2263714.0620015501</v>
      </c>
      <c r="V34" s="26">
        <f t="shared" si="8"/>
        <v>2423214.3166519748</v>
      </c>
      <c r="W34" s="26">
        <f t="shared" si="8"/>
        <v>2587277.3691747417</v>
      </c>
      <c r="X34" s="26">
        <f t="shared" si="8"/>
        <v>2759608.8309315778</v>
      </c>
      <c r="Y34" s="26">
        <f t="shared" si="8"/>
        <v>2936852.1788506857</v>
      </c>
      <c r="Z34" s="26">
        <f t="shared" si="8"/>
        <v>3119134.8886780436</v>
      </c>
      <c r="AA34" s="26">
        <f t="shared" si="8"/>
        <v>3306587.6886419286</v>
      </c>
      <c r="AB34" s="26">
        <f t="shared" si="8"/>
        <v>3499344.6421651086</v>
      </c>
      <c r="AC34" s="26">
        <f t="shared" si="8"/>
        <v>3697543.2326790867</v>
      </c>
      <c r="AD34" s="26">
        <f t="shared" si="8"/>
        <v>3901324.4505938077</v>
      </c>
      <c r="AE34" s="26">
        <f t="shared" si="8"/>
        <v>4110832.8824776039</v>
      </c>
      <c r="AF34" s="26">
        <f t="shared" si="8"/>
        <v>4326216.8025035374</v>
      </c>
      <c r="AG34" s="26">
        <f t="shared" si="8"/>
        <v>4547628.2662197417</v>
      </c>
      <c r="AH34" s="26">
        <f t="shared" si="8"/>
        <v>4775223.2067027977</v>
      </c>
      <c r="AI34" s="26">
        <f t="shared" si="8"/>
        <v>5009161.5331547195</v>
      </c>
      <c r="AJ34" s="26">
        <f t="shared" si="8"/>
        <v>5249607.2320056334</v>
      </c>
      <c r="AK34" s="26">
        <f t="shared" si="8"/>
        <v>5500689.1722360868</v>
      </c>
      <c r="AL34" s="26">
        <f t="shared" si="8"/>
        <v>5758739.551670122</v>
      </c>
      <c r="AM34" s="26">
        <f t="shared" si="8"/>
        <v>6023938.3805834129</v>
      </c>
      <c r="AN34" s="26">
        <f t="shared" si="8"/>
        <v>6296470.2580239177</v>
      </c>
      <c r="AO34" s="26">
        <f t="shared" si="8"/>
        <v>6576524.4884861354</v>
      </c>
      <c r="AP34" s="26">
        <f t="shared" si="8"/>
        <v>6864295.2015504269</v>
      </c>
      <c r="AQ34" s="26">
        <f t="shared" si="8"/>
        <v>7159981.4745627418</v>
      </c>
      <c r="AR34" s="26">
        <f t="shared" si="8"/>
        <v>7463787.4584320039</v>
      </c>
      <c r="AS34" s="26">
        <f t="shared" si="8"/>
        <v>7775922.5066243866</v>
      </c>
      <c r="AT34" s="26">
        <f t="shared" si="8"/>
        <v>8096601.3074357063</v>
      </c>
      <c r="AU34" s="26">
        <f t="shared" ref="AU34" si="9">AT38+AU8</f>
        <v>8426044.0196252316</v>
      </c>
      <c r="AV34" s="26">
        <f t="shared" ref="AV34" si="10">AU38+AV8</f>
        <v>8764476.4114963319</v>
      </c>
      <c r="AW34" s="26">
        <f t="shared" ref="AW34" si="11">AV38+AW8</f>
        <v>9112130.0035115387</v>
      </c>
      <c r="AX34" s="26">
        <f t="shared" ref="AX34" si="12">AW38+AX8</f>
        <v>9469242.2145318463</v>
      </c>
      <c r="AY34" s="26">
        <f t="shared" ref="AY34" si="13">AX38+AY8</f>
        <v>9836056.5117723364</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2333.3268292682928</v>
      </c>
      <c r="C36" s="26">
        <f>C35*C34</f>
        <v>4737.6101274146349</v>
      </c>
      <c r="D36" s="26">
        <f>D35*D34</f>
        <v>7296.7860027034594</v>
      </c>
      <c r="E36" s="26">
        <f t="shared" ref="E36:AT36" si="15">E35*E34</f>
        <v>9933.1845029931283</v>
      </c>
      <c r="F36" s="26">
        <f t="shared" si="15"/>
        <v>12648.828825014964</v>
      </c>
      <c r="G36" s="26">
        <f t="shared" si="15"/>
        <v>15445.793879778377</v>
      </c>
      <c r="H36" s="26">
        <f t="shared" si="15"/>
        <v>18412.852149156122</v>
      </c>
      <c r="I36" s="26">
        <f t="shared" si="15"/>
        <v>21468.176272393219</v>
      </c>
      <c r="J36" s="26">
        <f t="shared" si="15"/>
        <v>24614.0734493524</v>
      </c>
      <c r="K36" s="26">
        <f t="shared" si="15"/>
        <v>27852.909827667507</v>
      </c>
      <c r="L36" s="26">
        <f t="shared" si="15"/>
        <v>31278.580749234279</v>
      </c>
      <c r="M36" s="26">
        <f t="shared" si="15"/>
        <v>34804.887611332291</v>
      </c>
      <c r="N36" s="26">
        <f t="shared" si="15"/>
        <v>38434.455521422511</v>
      </c>
      <c r="O36" s="26">
        <f t="shared" si="15"/>
        <v>42266.057780743577</v>
      </c>
      <c r="P36" s="26">
        <f t="shared" si="15"/>
        <v>46209.295967196602</v>
      </c>
      <c r="Q36" s="26">
        <f t="shared" si="15"/>
        <v>50267.078124258616</v>
      </c>
      <c r="R36" s="26">
        <f t="shared" si="15"/>
        <v>54442.386545664252</v>
      </c>
      <c r="S36" s="26">
        <f t="shared" si="15"/>
        <v>58738.279663889145</v>
      </c>
      <c r="T36" s="26">
        <f t="shared" si="15"/>
        <v>63259.831909292123</v>
      </c>
      <c r="U36" s="26">
        <f t="shared" si="15"/>
        <v>67911.421860046496</v>
      </c>
      <c r="V36" s="26">
        <f t="shared" si="15"/>
        <v>72696.429499559235</v>
      </c>
      <c r="W36" s="26">
        <f t="shared" si="15"/>
        <v>77618.321075242246</v>
      </c>
      <c r="X36" s="26">
        <f t="shared" si="15"/>
        <v>82788.264927947326</v>
      </c>
      <c r="Y36" s="26">
        <f t="shared" si="15"/>
        <v>88105.565365520568</v>
      </c>
      <c r="Z36" s="26">
        <f t="shared" si="15"/>
        <v>93574.046660341308</v>
      </c>
      <c r="AA36" s="26">
        <f t="shared" si="15"/>
        <v>99197.630659257848</v>
      </c>
      <c r="AB36" s="26">
        <f t="shared" si="15"/>
        <v>104980.33926495325</v>
      </c>
      <c r="AC36" s="26">
        <f t="shared" si="15"/>
        <v>110926.2969803726</v>
      </c>
      <c r="AD36" s="26">
        <f t="shared" si="15"/>
        <v>117039.73351781422</v>
      </c>
      <c r="AE36" s="26">
        <f t="shared" si="15"/>
        <v>123324.98647432811</v>
      </c>
      <c r="AF36" s="26">
        <f t="shared" si="15"/>
        <v>129786.50407510612</v>
      </c>
      <c r="AG36" s="26">
        <f t="shared" si="15"/>
        <v>136428.84798659224</v>
      </c>
      <c r="AH36" s="26">
        <f t="shared" si="15"/>
        <v>143256.69620108392</v>
      </c>
      <c r="AI36" s="26">
        <f t="shared" si="15"/>
        <v>150274.84599464157</v>
      </c>
      <c r="AJ36" s="26">
        <f t="shared" si="15"/>
        <v>157488.216960169</v>
      </c>
      <c r="AK36" s="26">
        <f t="shared" si="15"/>
        <v>165020.67516708261</v>
      </c>
      <c r="AL36" s="26">
        <f t="shared" si="15"/>
        <v>172762.18655010365</v>
      </c>
      <c r="AM36" s="26">
        <f t="shared" si="15"/>
        <v>180718.15141750238</v>
      </c>
      <c r="AN36" s="26">
        <f t="shared" si="15"/>
        <v>188894.10774071753</v>
      </c>
      <c r="AO36" s="26">
        <f t="shared" si="15"/>
        <v>197295.73465458406</v>
      </c>
      <c r="AP36" s="26">
        <f t="shared" si="15"/>
        <v>205928.85604651281</v>
      </c>
      <c r="AQ36" s="26">
        <f t="shared" si="15"/>
        <v>214799.44423688223</v>
      </c>
      <c r="AR36" s="26">
        <f t="shared" si="15"/>
        <v>223913.62375296012</v>
      </c>
      <c r="AS36" s="26">
        <f t="shared" si="15"/>
        <v>233277.67519873159</v>
      </c>
      <c r="AT36" s="26">
        <f t="shared" si="15"/>
        <v>242898.03922307119</v>
      </c>
      <c r="AU36" s="26">
        <f t="shared" ref="AU36:AY36" si="16">AU35*AU34</f>
        <v>252781.32058875693</v>
      </c>
      <c r="AV36" s="26">
        <f t="shared" si="16"/>
        <v>262934.29234488995</v>
      </c>
      <c r="AW36" s="26">
        <f t="shared" si="16"/>
        <v>273363.90010534617</v>
      </c>
      <c r="AX36" s="26">
        <f t="shared" si="16"/>
        <v>284077.26643595536</v>
      </c>
      <c r="AY36" s="26">
        <f t="shared" si="16"/>
        <v>295081.6953531701</v>
      </c>
    </row>
    <row r="37" spans="1:51" x14ac:dyDescent="0.2">
      <c r="A37" s="2" t="s">
        <v>215</v>
      </c>
      <c r="B37" s="26">
        <f>B36*$B$27</f>
        <v>356.99900487804882</v>
      </c>
      <c r="C37" s="26">
        <f>C36*$B$27</f>
        <v>724.85434949443913</v>
      </c>
      <c r="D37" s="26">
        <f t="shared" ref="D37:AT37" si="17">D36*$B$27</f>
        <v>1116.4082584136293</v>
      </c>
      <c r="E37" s="26">
        <f t="shared" si="17"/>
        <v>1519.7772289579486</v>
      </c>
      <c r="F37" s="26">
        <f t="shared" si="17"/>
        <v>1935.2708102272893</v>
      </c>
      <c r="G37" s="26">
        <f t="shared" si="17"/>
        <v>2363.2064636060918</v>
      </c>
      <c r="H37" s="26">
        <f t="shared" si="17"/>
        <v>2817.1663788208866</v>
      </c>
      <c r="I37" s="26">
        <f t="shared" si="17"/>
        <v>3284.6309696761623</v>
      </c>
      <c r="J37" s="26">
        <f t="shared" si="17"/>
        <v>3765.9532377509172</v>
      </c>
      <c r="K37" s="26">
        <f t="shared" si="17"/>
        <v>4261.4952036331288</v>
      </c>
      <c r="L37" s="26">
        <f t="shared" si="17"/>
        <v>4785.6228546328448</v>
      </c>
      <c r="M37" s="26">
        <f t="shared" si="17"/>
        <v>5325.1478045338408</v>
      </c>
      <c r="N37" s="26">
        <f t="shared" si="17"/>
        <v>5880.4716947776442</v>
      </c>
      <c r="O37" s="26">
        <f t="shared" si="17"/>
        <v>6466.7068404537667</v>
      </c>
      <c r="P37" s="26">
        <f t="shared" si="17"/>
        <v>7070.02228298108</v>
      </c>
      <c r="Q37" s="26">
        <f t="shared" si="17"/>
        <v>7690.8629530115677</v>
      </c>
      <c r="R37" s="26">
        <f t="shared" si="17"/>
        <v>8329.6851414866305</v>
      </c>
      <c r="S37" s="26">
        <f t="shared" si="17"/>
        <v>8986.9567885750384</v>
      </c>
      <c r="T37" s="26">
        <f t="shared" si="17"/>
        <v>9678.7542821216939</v>
      </c>
      <c r="U37" s="26">
        <f t="shared" si="17"/>
        <v>10390.447544587114</v>
      </c>
      <c r="V37" s="26">
        <f t="shared" si="17"/>
        <v>11122.553713432562</v>
      </c>
      <c r="W37" s="26">
        <f t="shared" si="17"/>
        <v>11875.603124512063</v>
      </c>
      <c r="X37" s="26">
        <f t="shared" si="17"/>
        <v>12666.60453397594</v>
      </c>
      <c r="Y37" s="26">
        <f t="shared" si="17"/>
        <v>13480.151500924647</v>
      </c>
      <c r="Z37" s="26">
        <f t="shared" si="17"/>
        <v>14316.829139032219</v>
      </c>
      <c r="AA37" s="26">
        <f t="shared" si="17"/>
        <v>15177.23749086645</v>
      </c>
      <c r="AB37" s="26">
        <f t="shared" si="17"/>
        <v>16061.991907537846</v>
      </c>
      <c r="AC37" s="26">
        <f t="shared" si="17"/>
        <v>16971.723437997007</v>
      </c>
      <c r="AD37" s="26">
        <f t="shared" si="17"/>
        <v>17907.079228225575</v>
      </c>
      <c r="AE37" s="26">
        <f t="shared" si="17"/>
        <v>18868.722930572199</v>
      </c>
      <c r="AF37" s="26">
        <f t="shared" si="17"/>
        <v>19857.335123491237</v>
      </c>
      <c r="AG37" s="26">
        <f t="shared" si="17"/>
        <v>20873.613741948611</v>
      </c>
      <c r="AH37" s="26">
        <f t="shared" si="17"/>
        <v>21918.27451876584</v>
      </c>
      <c r="AI37" s="26">
        <f t="shared" si="17"/>
        <v>22992.051437180158</v>
      </c>
      <c r="AJ37" s="26">
        <f t="shared" si="17"/>
        <v>24095.697194905857</v>
      </c>
      <c r="AK37" s="26">
        <f t="shared" si="17"/>
        <v>25248.163300563639</v>
      </c>
      <c r="AL37" s="26">
        <f t="shared" si="17"/>
        <v>26432.614542165858</v>
      </c>
      <c r="AM37" s="26">
        <f t="shared" si="17"/>
        <v>27649.877166877865</v>
      </c>
      <c r="AN37" s="26">
        <f t="shared" si="17"/>
        <v>28900.798484329782</v>
      </c>
      <c r="AO37" s="26">
        <f t="shared" si="17"/>
        <v>30186.247402151359</v>
      </c>
      <c r="AP37" s="26">
        <f t="shared" si="17"/>
        <v>31507.114975116459</v>
      </c>
      <c r="AQ37" s="26">
        <f t="shared" si="17"/>
        <v>32864.314968242979</v>
      </c>
      <c r="AR37" s="26">
        <f t="shared" si="17"/>
        <v>34258.784434202898</v>
      </c>
      <c r="AS37" s="26">
        <f t="shared" si="17"/>
        <v>35691.484305405931</v>
      </c>
      <c r="AT37" s="26">
        <f t="shared" si="17"/>
        <v>37163.400001129892</v>
      </c>
      <c r="AU37" s="26">
        <f t="shared" ref="AU37:AY37" si="18">AU36*$B$27</f>
        <v>38675.542050079814</v>
      </c>
      <c r="AV37" s="26">
        <f t="shared" si="18"/>
        <v>40228.946728768162</v>
      </c>
      <c r="AW37" s="26">
        <f t="shared" si="18"/>
        <v>41824.67671611796</v>
      </c>
      <c r="AX37" s="26">
        <f t="shared" si="18"/>
        <v>43463.82176470117</v>
      </c>
      <c r="AY37" s="26">
        <f t="shared" si="18"/>
        <v>45147.499389035023</v>
      </c>
    </row>
    <row r="38" spans="1:51" s="18" customFormat="1" x14ac:dyDescent="0.2">
      <c r="A38" s="18" t="s">
        <v>248</v>
      </c>
      <c r="B38" s="27">
        <f>B34+(B36-B37)</f>
        <v>79753.888800000015</v>
      </c>
      <c r="C38" s="27">
        <f>C34+(C36-C37)</f>
        <v>161933.09335840802</v>
      </c>
      <c r="D38" s="27">
        <f t="shared" ref="D38:AS38" si="19">D34+(D36-D37)</f>
        <v>249406.57783440518</v>
      </c>
      <c r="E38" s="27">
        <f t="shared" si="19"/>
        <v>339519.55737380614</v>
      </c>
      <c r="F38" s="27">
        <f t="shared" si="19"/>
        <v>432341.18551528646</v>
      </c>
      <c r="G38" s="27">
        <f t="shared" si="19"/>
        <v>527942.38340878487</v>
      </c>
      <c r="H38" s="27">
        <f t="shared" si="19"/>
        <v>629357.42407553934</v>
      </c>
      <c r="I38" s="27">
        <f t="shared" si="19"/>
        <v>733789.42104915762</v>
      </c>
      <c r="J38" s="27">
        <f t="shared" si="19"/>
        <v>841317.23519001482</v>
      </c>
      <c r="K38" s="27">
        <f t="shared" si="19"/>
        <v>952021.7422129513</v>
      </c>
      <c r="L38" s="27">
        <f t="shared" si="19"/>
        <v>1069112.3162024107</v>
      </c>
      <c r="M38" s="27">
        <f t="shared" si="19"/>
        <v>1189642.6601845415</v>
      </c>
      <c r="N38" s="27">
        <f t="shared" si="19"/>
        <v>1313702.5012073955</v>
      </c>
      <c r="O38" s="27">
        <f t="shared" si="19"/>
        <v>1444667.9436317426</v>
      </c>
      <c r="P38" s="27">
        <f t="shared" si="19"/>
        <v>1579449.1392574357</v>
      </c>
      <c r="Q38" s="27">
        <f t="shared" si="19"/>
        <v>1718145.4859798676</v>
      </c>
      <c r="R38" s="27">
        <f t="shared" si="19"/>
        <v>1860858.9195929861</v>
      </c>
      <c r="S38" s="27">
        <f t="shared" si="19"/>
        <v>2007693.9783382858</v>
      </c>
      <c r="T38" s="27">
        <f t="shared" si="19"/>
        <v>2162242.1412702412</v>
      </c>
      <c r="U38" s="27">
        <f t="shared" si="19"/>
        <v>2321235.0363170095</v>
      </c>
      <c r="V38" s="27">
        <f t="shared" si="19"/>
        <v>2484788.1924381014</v>
      </c>
      <c r="W38" s="27">
        <f t="shared" si="19"/>
        <v>2653020.0871254718</v>
      </c>
      <c r="X38" s="27">
        <f t="shared" si="19"/>
        <v>2829730.4913255493</v>
      </c>
      <c r="Y38" s="27">
        <f t="shared" si="19"/>
        <v>3011477.5927152815</v>
      </c>
      <c r="Z38" s="27">
        <f t="shared" si="19"/>
        <v>3198392.1061993525</v>
      </c>
      <c r="AA38" s="27">
        <f t="shared" si="19"/>
        <v>3390608.0818103198</v>
      </c>
      <c r="AB38" s="27">
        <f t="shared" si="19"/>
        <v>3588262.9895225242</v>
      </c>
      <c r="AC38" s="27">
        <f t="shared" si="19"/>
        <v>3791497.8062214623</v>
      </c>
      <c r="AD38" s="27">
        <f t="shared" si="19"/>
        <v>4000457.1048833965</v>
      </c>
      <c r="AE38" s="27">
        <f t="shared" si="19"/>
        <v>4215289.1460213596</v>
      </c>
      <c r="AF38" s="27">
        <f t="shared" si="19"/>
        <v>4436145.9714551521</v>
      </c>
      <c r="AG38" s="27">
        <f t="shared" si="19"/>
        <v>4663183.5004643854</v>
      </c>
      <c r="AH38" s="27">
        <f t="shared" si="19"/>
        <v>4896561.6283851154</v>
      </c>
      <c r="AI38" s="27">
        <f t="shared" si="19"/>
        <v>5136444.327712181</v>
      </c>
      <c r="AJ38" s="27">
        <f t="shared" si="19"/>
        <v>5382999.7517708968</v>
      </c>
      <c r="AK38" s="27">
        <f t="shared" si="19"/>
        <v>5640461.684102606</v>
      </c>
      <c r="AL38" s="27">
        <f t="shared" si="19"/>
        <v>5905069.1236780593</v>
      </c>
      <c r="AM38" s="27">
        <f t="shared" si="19"/>
        <v>6177006.6548340376</v>
      </c>
      <c r="AN38" s="27">
        <f t="shared" si="19"/>
        <v>6456463.5672803055</v>
      </c>
      <c r="AO38" s="27">
        <f t="shared" si="19"/>
        <v>6743633.9757385682</v>
      </c>
      <c r="AP38" s="27">
        <f t="shared" si="19"/>
        <v>7038716.9426218234</v>
      </c>
      <c r="AQ38" s="27">
        <f t="shared" si="19"/>
        <v>7341916.6038313806</v>
      </c>
      <c r="AR38" s="27">
        <f t="shared" si="19"/>
        <v>7653442.2977507608</v>
      </c>
      <c r="AS38" s="27">
        <f t="shared" si="19"/>
        <v>7973508.6975177126</v>
      </c>
      <c r="AT38" s="27">
        <f>AT34+(AT36-AT37)</f>
        <v>8302335.9466576474</v>
      </c>
      <c r="AU38" s="27">
        <f t="shared" ref="AU38:AY38" si="20">AU34+(AU36-AU37)</f>
        <v>8640149.7981639095</v>
      </c>
      <c r="AV38" s="27">
        <f t="shared" si="20"/>
        <v>8987181.7571124546</v>
      </c>
      <c r="AW38" s="27">
        <f t="shared" si="20"/>
        <v>9343669.2269007675</v>
      </c>
      <c r="AX38" s="27">
        <f t="shared" si="20"/>
        <v>9709855.6592031009</v>
      </c>
      <c r="AY38" s="27">
        <f t="shared" si="20"/>
        <v>10085990.707736472</v>
      </c>
    </row>
    <row r="40" spans="1:51" x14ac:dyDescent="0.2">
      <c r="A40" s="2" t="s">
        <v>250</v>
      </c>
      <c r="B40" s="26">
        <f>AT38</f>
        <v>8302335.9466576474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58311.642878108156</v>
      </c>
      <c r="C2" s="28">
        <v>58603.20109249869</v>
      </c>
      <c r="D2" s="28">
        <v>58896.217097961176</v>
      </c>
      <c r="E2" s="28">
        <v>61348.636471330014</v>
      </c>
      <c r="F2" s="28">
        <v>61655.379653686658</v>
      </c>
      <c r="G2" s="28">
        <v>61963.656551955086</v>
      </c>
      <c r="H2" s="28">
        <v>62273.474834714856</v>
      </c>
      <c r="I2" s="28">
        <v>64866.522124622003</v>
      </c>
      <c r="J2" s="28">
        <v>65190.854735245106</v>
      </c>
      <c r="K2" s="28">
        <v>65516.809008921322</v>
      </c>
      <c r="L2" s="28">
        <v>65844.39305396592</v>
      </c>
      <c r="M2" s="28">
        <v>68586.13222007695</v>
      </c>
      <c r="N2" s="28">
        <v>68929.06288117732</v>
      </c>
      <c r="O2" s="28">
        <v>69273.708195583196</v>
      </c>
      <c r="P2" s="28">
        <v>72158.242931683053</v>
      </c>
      <c r="Q2" s="28" cm="1">
        <f t="array" ref="Q2:AY2">TRANSPOSE(Income!P3:P37)</f>
        <v>72519.034146341466</v>
      </c>
      <c r="R2" s="28">
        <v>72881.629317073166</v>
      </c>
      <c r="S2" s="28">
        <v>75796.894489756072</v>
      </c>
      <c r="T2" s="28">
        <v>76175.87896220485</v>
      </c>
      <c r="U2" s="28">
        <v>76556.75835701586</v>
      </c>
      <c r="V2" s="28">
        <v>76939.542148800931</v>
      </c>
      <c r="W2" s="28">
        <v>80017.123834752972</v>
      </c>
      <c r="X2" s="28">
        <v>80417.209453926727</v>
      </c>
      <c r="Y2" s="28">
        <v>80819.29550119635</v>
      </c>
      <c r="Z2" s="28">
        <v>81223.391978702319</v>
      </c>
      <c r="AA2" s="28">
        <v>84472.327657850401</v>
      </c>
      <c r="AB2" s="28">
        <v>84894.689296139637</v>
      </c>
      <c r="AC2" s="28">
        <v>85319.162742620319</v>
      </c>
      <c r="AD2" s="28">
        <v>88731.929252325121</v>
      </c>
      <c r="AE2" s="28">
        <v>89175.588898586735</v>
      </c>
      <c r="AF2" s="28">
        <v>89621.466843079659</v>
      </c>
      <c r="AG2" s="28">
        <v>90069.574177295042</v>
      </c>
      <c r="AH2" s="28">
        <v>90519.922048181514</v>
      </c>
      <c r="AI2" s="28">
        <v>94140.718930108764</v>
      </c>
      <c r="AJ2" s="28">
        <v>94611.422524759299</v>
      </c>
      <c r="AK2" s="28">
        <v>95084.47963738309</v>
      </c>
      <c r="AL2" s="28">
        <v>95559.90203556999</v>
      </c>
      <c r="AM2" s="28">
        <v>99382.298116992781</v>
      </c>
      <c r="AN2" s="28">
        <v>99879.209607577737</v>
      </c>
      <c r="AO2" s="28">
        <v>100378.60565561561</v>
      </c>
      <c r="AP2" s="28">
        <v>100880.49868389367</v>
      </c>
      <c r="AQ2" s="28">
        <v>101384.90117731314</v>
      </c>
      <c r="AR2" s="28">
        <v>101891.82568319968</v>
      </c>
      <c r="AS2" s="28">
        <v>102401.28481161567</v>
      </c>
      <c r="AT2" s="28">
        <v>102913.29123567374</v>
      </c>
      <c r="AU2" s="2">
        <v>103427.8576918521</v>
      </c>
      <c r="AV2" s="2">
        <v>103944.99698031135</v>
      </c>
      <c r="AW2" s="2">
        <v>104464.7219652129</v>
      </c>
      <c r="AX2" s="2">
        <v>104987.04557503895</v>
      </c>
      <c r="AY2" s="2">
        <v>105511.98080291414</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2915.582143905408</v>
      </c>
      <c r="C4" s="28">
        <f t="shared" ref="C4:AY4" si="0">C3*C2</f>
        <v>2930.1600546249347</v>
      </c>
      <c r="D4" s="28">
        <f t="shared" si="0"/>
        <v>2944.810854898059</v>
      </c>
      <c r="E4" s="28">
        <f t="shared" si="0"/>
        <v>3067.431823566501</v>
      </c>
      <c r="F4" s="28">
        <f t="shared" si="0"/>
        <v>3082.768982684333</v>
      </c>
      <c r="G4" s="28">
        <f t="shared" si="0"/>
        <v>3098.1828275977546</v>
      </c>
      <c r="H4" s="28">
        <f t="shared" si="0"/>
        <v>3113.6737417357431</v>
      </c>
      <c r="I4" s="28">
        <f t="shared" si="0"/>
        <v>3243.3261062311003</v>
      </c>
      <c r="J4" s="28">
        <f t="shared" si="0"/>
        <v>3259.5427367622556</v>
      </c>
      <c r="K4" s="28">
        <f t="shared" si="0"/>
        <v>3275.8404504460664</v>
      </c>
      <c r="L4" s="28">
        <f t="shared" si="0"/>
        <v>3292.2196526982962</v>
      </c>
      <c r="M4" s="28">
        <f t="shared" si="0"/>
        <v>3429.3066110038476</v>
      </c>
      <c r="N4" s="28">
        <f t="shared" si="0"/>
        <v>3446.4531440588662</v>
      </c>
      <c r="O4" s="28">
        <f t="shared" si="0"/>
        <v>3463.6854097791602</v>
      </c>
      <c r="P4" s="28">
        <f t="shared" si="0"/>
        <v>3607.9121465841527</v>
      </c>
      <c r="Q4" s="28">
        <f t="shared" si="0"/>
        <v>3625.9517073170737</v>
      </c>
      <c r="R4" s="28">
        <f t="shared" si="0"/>
        <v>3644.0814658536583</v>
      </c>
      <c r="S4" s="28">
        <f t="shared" si="0"/>
        <v>3789.8447244878039</v>
      </c>
      <c r="T4" s="28">
        <f t="shared" si="0"/>
        <v>3808.7939481102426</v>
      </c>
      <c r="U4" s="28">
        <f t="shared" si="0"/>
        <v>3827.837917850793</v>
      </c>
      <c r="V4" s="28">
        <f t="shared" si="0"/>
        <v>3846.9771074400469</v>
      </c>
      <c r="W4" s="28">
        <f t="shared" si="0"/>
        <v>4000.8561917376487</v>
      </c>
      <c r="X4" s="28">
        <f t="shared" si="0"/>
        <v>4020.8604726963367</v>
      </c>
      <c r="Y4" s="28">
        <f t="shared" si="0"/>
        <v>4040.9647750598178</v>
      </c>
      <c r="Z4" s="28">
        <f t="shared" si="0"/>
        <v>4061.169598935116</v>
      </c>
      <c r="AA4" s="28">
        <f t="shared" si="0"/>
        <v>4223.6163828925201</v>
      </c>
      <c r="AB4" s="28">
        <f t="shared" si="0"/>
        <v>4244.734464806982</v>
      </c>
      <c r="AC4" s="28">
        <f t="shared" si="0"/>
        <v>4265.958137131016</v>
      </c>
      <c r="AD4" s="28">
        <f t="shared" si="0"/>
        <v>4436.5964626162558</v>
      </c>
      <c r="AE4" s="28">
        <f t="shared" si="0"/>
        <v>4458.7794449293369</v>
      </c>
      <c r="AF4" s="28">
        <f t="shared" si="0"/>
        <v>4481.0733421539835</v>
      </c>
      <c r="AG4" s="28">
        <f t="shared" si="0"/>
        <v>4503.4787088647527</v>
      </c>
      <c r="AH4" s="28">
        <f t="shared" si="0"/>
        <v>4525.9961024090762</v>
      </c>
      <c r="AI4" s="28">
        <f t="shared" si="0"/>
        <v>4707.035946505438</v>
      </c>
      <c r="AJ4" s="28">
        <f t="shared" si="0"/>
        <v>4730.5711262379655</v>
      </c>
      <c r="AK4" s="28">
        <f t="shared" si="0"/>
        <v>4754.2239818691551</v>
      </c>
      <c r="AL4" s="28">
        <f t="shared" si="0"/>
        <v>4777.9951017784997</v>
      </c>
      <c r="AM4" s="28">
        <f t="shared" si="0"/>
        <v>4969.1149058496394</v>
      </c>
      <c r="AN4" s="28">
        <f t="shared" si="0"/>
        <v>4993.960480378887</v>
      </c>
      <c r="AO4" s="28">
        <f t="shared" si="0"/>
        <v>5018.9302827807805</v>
      </c>
      <c r="AP4" s="28">
        <f t="shared" si="0"/>
        <v>5044.0249341946837</v>
      </c>
      <c r="AQ4" s="28">
        <f t="shared" si="0"/>
        <v>5069.2450588656575</v>
      </c>
      <c r="AR4" s="28">
        <f t="shared" si="0"/>
        <v>5094.5912841599848</v>
      </c>
      <c r="AS4" s="28">
        <f t="shared" si="0"/>
        <v>5120.0642405807839</v>
      </c>
      <c r="AT4" s="28">
        <f t="shared" si="0"/>
        <v>5145.6645617836875</v>
      </c>
      <c r="AU4" s="28">
        <f t="shared" si="0"/>
        <v>5171.3928845926057</v>
      </c>
      <c r="AV4" s="28">
        <f t="shared" si="0"/>
        <v>5197.2498490155676</v>
      </c>
      <c r="AW4" s="28">
        <f t="shared" si="0"/>
        <v>5223.2360982606451</v>
      </c>
      <c r="AX4" s="28">
        <f t="shared" si="0"/>
        <v>5249.3522787519478</v>
      </c>
      <c r="AY4" s="28">
        <f t="shared" si="0"/>
        <v>5275.5990401457075</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5831.1642878108159</v>
      </c>
      <c r="C6" s="28">
        <f t="shared" ref="C6:AY6" si="1">C4*2</f>
        <v>5860.3201092498693</v>
      </c>
      <c r="D6" s="28">
        <f t="shared" si="1"/>
        <v>5889.621709796118</v>
      </c>
      <c r="E6" s="28">
        <f t="shared" si="1"/>
        <v>6134.8636471330019</v>
      </c>
      <c r="F6" s="28">
        <f t="shared" si="1"/>
        <v>6165.5379653686659</v>
      </c>
      <c r="G6" s="28">
        <f t="shared" si="1"/>
        <v>6196.3656551955091</v>
      </c>
      <c r="H6" s="28">
        <f t="shared" si="1"/>
        <v>6227.3474834714862</v>
      </c>
      <c r="I6" s="28">
        <f t="shared" si="1"/>
        <v>6486.6522124622006</v>
      </c>
      <c r="J6" s="28">
        <f t="shared" si="1"/>
        <v>6519.0854735245111</v>
      </c>
      <c r="K6" s="28">
        <f t="shared" si="1"/>
        <v>6551.6809008921327</v>
      </c>
      <c r="L6" s="28">
        <f t="shared" si="1"/>
        <v>6584.4393053965923</v>
      </c>
      <c r="M6" s="28">
        <f t="shared" si="1"/>
        <v>6858.6132220076952</v>
      </c>
      <c r="N6" s="28">
        <f t="shared" si="1"/>
        <v>6892.9062881177324</v>
      </c>
      <c r="O6" s="28">
        <f t="shared" si="1"/>
        <v>6927.3708195583204</v>
      </c>
      <c r="P6" s="28">
        <f t="shared" si="1"/>
        <v>7215.8242931683053</v>
      </c>
      <c r="Q6" s="28">
        <f t="shared" si="1"/>
        <v>7251.9034146341473</v>
      </c>
      <c r="R6" s="28">
        <f t="shared" si="1"/>
        <v>7288.1629317073166</v>
      </c>
      <c r="S6" s="28">
        <f t="shared" si="1"/>
        <v>7579.6894489756078</v>
      </c>
      <c r="T6" s="28">
        <f t="shared" si="1"/>
        <v>7617.5878962204852</v>
      </c>
      <c r="U6" s="28">
        <f t="shared" si="1"/>
        <v>7655.675835701586</v>
      </c>
      <c r="V6" s="28">
        <f t="shared" si="1"/>
        <v>7693.9542148800938</v>
      </c>
      <c r="W6" s="28">
        <f t="shared" si="1"/>
        <v>8001.7123834752974</v>
      </c>
      <c r="X6" s="28">
        <f t="shared" si="1"/>
        <v>8041.7209453926735</v>
      </c>
      <c r="Y6" s="28">
        <f t="shared" si="1"/>
        <v>8081.9295501196357</v>
      </c>
      <c r="Z6" s="28">
        <f t="shared" si="1"/>
        <v>8122.3391978702321</v>
      </c>
      <c r="AA6" s="28">
        <f t="shared" si="1"/>
        <v>8447.2327657850401</v>
      </c>
      <c r="AB6" s="28">
        <f t="shared" si="1"/>
        <v>8489.4689296139641</v>
      </c>
      <c r="AC6" s="28">
        <f t="shared" si="1"/>
        <v>8531.9162742620319</v>
      </c>
      <c r="AD6" s="28">
        <f t="shared" si="1"/>
        <v>8873.1929252325117</v>
      </c>
      <c r="AE6" s="28">
        <f t="shared" si="1"/>
        <v>8917.5588898586739</v>
      </c>
      <c r="AF6" s="28">
        <f t="shared" si="1"/>
        <v>8962.146684307967</v>
      </c>
      <c r="AG6" s="28">
        <f t="shared" si="1"/>
        <v>9006.9574177295053</v>
      </c>
      <c r="AH6" s="28">
        <f t="shared" si="1"/>
        <v>9051.9922048181525</v>
      </c>
      <c r="AI6" s="28">
        <f t="shared" si="1"/>
        <v>9414.071893010876</v>
      </c>
      <c r="AJ6" s="28">
        <f t="shared" si="1"/>
        <v>9461.1422524759309</v>
      </c>
      <c r="AK6" s="28">
        <f t="shared" si="1"/>
        <v>9508.4479637383101</v>
      </c>
      <c r="AL6" s="28">
        <f t="shared" si="1"/>
        <v>9555.9902035569994</v>
      </c>
      <c r="AM6" s="28">
        <f t="shared" si="1"/>
        <v>9938.2298116992788</v>
      </c>
      <c r="AN6" s="28">
        <f t="shared" si="1"/>
        <v>9987.9209607577741</v>
      </c>
      <c r="AO6" s="28">
        <f t="shared" si="1"/>
        <v>10037.860565561561</v>
      </c>
      <c r="AP6" s="28">
        <f t="shared" si="1"/>
        <v>10088.049868389367</v>
      </c>
      <c r="AQ6" s="28">
        <f t="shared" si="1"/>
        <v>10138.490117731315</v>
      </c>
      <c r="AR6" s="28">
        <f t="shared" si="1"/>
        <v>10189.18256831997</v>
      </c>
      <c r="AS6" s="28">
        <f t="shared" si="1"/>
        <v>10240.128481161568</v>
      </c>
      <c r="AT6" s="28">
        <f t="shared" si="1"/>
        <v>10291.329123567375</v>
      </c>
      <c r="AU6" s="28">
        <f t="shared" si="1"/>
        <v>10342.785769185211</v>
      </c>
      <c r="AV6" s="28">
        <f t="shared" si="1"/>
        <v>10394.499698031135</v>
      </c>
      <c r="AW6" s="28">
        <f t="shared" si="1"/>
        <v>10446.47219652129</v>
      </c>
      <c r="AX6" s="28">
        <f t="shared" si="1"/>
        <v>10498.704557503896</v>
      </c>
      <c r="AY6" s="28">
        <f t="shared" si="1"/>
        <v>10551.198080291415</v>
      </c>
    </row>
    <row r="7" spans="1:51" x14ac:dyDescent="0.2">
      <c r="A7" s="2" t="s">
        <v>180</v>
      </c>
      <c r="B7" s="29">
        <f>SUM(B6,B4)</f>
        <v>8746.746431716223</v>
      </c>
      <c r="C7" s="29">
        <f t="shared" ref="C7:AY7" si="2">SUM(C6,C4)</f>
        <v>8790.4801638748031</v>
      </c>
      <c r="D7" s="29">
        <f t="shared" si="2"/>
        <v>8834.4325646941761</v>
      </c>
      <c r="E7" s="29">
        <f t="shared" si="2"/>
        <v>9202.2954706995024</v>
      </c>
      <c r="F7" s="29">
        <f t="shared" si="2"/>
        <v>9248.3069480529994</v>
      </c>
      <c r="G7" s="29">
        <f t="shared" si="2"/>
        <v>9294.5484827932632</v>
      </c>
      <c r="H7" s="29">
        <f t="shared" si="2"/>
        <v>9341.0212252072288</v>
      </c>
      <c r="I7" s="29">
        <f t="shared" si="2"/>
        <v>9729.9783186933018</v>
      </c>
      <c r="J7" s="29">
        <f t="shared" si="2"/>
        <v>9778.6282102867663</v>
      </c>
      <c r="K7" s="29">
        <f t="shared" si="2"/>
        <v>9827.5213513381987</v>
      </c>
      <c r="L7" s="29">
        <f t="shared" si="2"/>
        <v>9876.6589580948894</v>
      </c>
      <c r="M7" s="29">
        <f t="shared" si="2"/>
        <v>10287.919833011543</v>
      </c>
      <c r="N7" s="29">
        <f t="shared" si="2"/>
        <v>10339.3594321766</v>
      </c>
      <c r="O7" s="29">
        <f t="shared" si="2"/>
        <v>10391.056229337481</v>
      </c>
      <c r="P7" s="29">
        <f t="shared" si="2"/>
        <v>10823.736439752458</v>
      </c>
      <c r="Q7" s="29">
        <f t="shared" si="2"/>
        <v>10877.855121951221</v>
      </c>
      <c r="R7" s="29">
        <f t="shared" si="2"/>
        <v>10932.244397560975</v>
      </c>
      <c r="S7" s="29">
        <f t="shared" si="2"/>
        <v>11369.534173463411</v>
      </c>
      <c r="T7" s="29">
        <f t="shared" si="2"/>
        <v>11426.381844330728</v>
      </c>
      <c r="U7" s="29">
        <f t="shared" si="2"/>
        <v>11483.513753552379</v>
      </c>
      <c r="V7" s="29">
        <f t="shared" si="2"/>
        <v>11540.931322320141</v>
      </c>
      <c r="W7" s="29">
        <f t="shared" si="2"/>
        <v>12002.568575212947</v>
      </c>
      <c r="X7" s="29">
        <f t="shared" si="2"/>
        <v>12062.58141808901</v>
      </c>
      <c r="Y7" s="29">
        <f t="shared" si="2"/>
        <v>12122.894325179454</v>
      </c>
      <c r="Z7" s="29">
        <f t="shared" si="2"/>
        <v>12183.508796805349</v>
      </c>
      <c r="AA7" s="29">
        <f t="shared" si="2"/>
        <v>12670.84914867756</v>
      </c>
      <c r="AB7" s="29">
        <f t="shared" si="2"/>
        <v>12734.203394420947</v>
      </c>
      <c r="AC7" s="29">
        <f t="shared" si="2"/>
        <v>12797.874411393048</v>
      </c>
      <c r="AD7" s="29">
        <f t="shared" si="2"/>
        <v>13309.789387848767</v>
      </c>
      <c r="AE7" s="29">
        <f t="shared" si="2"/>
        <v>13376.338334788012</v>
      </c>
      <c r="AF7" s="29">
        <f t="shared" si="2"/>
        <v>13443.22002646195</v>
      </c>
      <c r="AG7" s="29">
        <f t="shared" si="2"/>
        <v>13510.436126594257</v>
      </c>
      <c r="AH7" s="29">
        <f t="shared" si="2"/>
        <v>13577.988307227228</v>
      </c>
      <c r="AI7" s="29">
        <f t="shared" si="2"/>
        <v>14121.107839516313</v>
      </c>
      <c r="AJ7" s="29">
        <f t="shared" si="2"/>
        <v>14191.713378713896</v>
      </c>
      <c r="AK7" s="29">
        <f t="shared" si="2"/>
        <v>14262.671945607464</v>
      </c>
      <c r="AL7" s="29">
        <f t="shared" si="2"/>
        <v>14333.9853053355</v>
      </c>
      <c r="AM7" s="29">
        <f t="shared" si="2"/>
        <v>14907.344717548918</v>
      </c>
      <c r="AN7" s="29">
        <f t="shared" si="2"/>
        <v>14981.881441136662</v>
      </c>
      <c r="AO7" s="29">
        <f t="shared" si="2"/>
        <v>15056.790848342342</v>
      </c>
      <c r="AP7" s="29">
        <f t="shared" si="2"/>
        <v>15132.074802584051</v>
      </c>
      <c r="AQ7" s="29">
        <f t="shared" si="2"/>
        <v>15207.735176596972</v>
      </c>
      <c r="AR7" s="29">
        <f t="shared" si="2"/>
        <v>15283.773852479953</v>
      </c>
      <c r="AS7" s="29">
        <f t="shared" si="2"/>
        <v>15360.192721742351</v>
      </c>
      <c r="AT7" s="29">
        <f t="shared" si="2"/>
        <v>15436.993685351063</v>
      </c>
      <c r="AU7" s="29">
        <f t="shared" si="2"/>
        <v>15514.178653777817</v>
      </c>
      <c r="AV7" s="29">
        <f t="shared" si="2"/>
        <v>15591.749547046704</v>
      </c>
      <c r="AW7" s="29">
        <f t="shared" si="2"/>
        <v>15669.708294781936</v>
      </c>
      <c r="AX7" s="29">
        <f t="shared" si="2"/>
        <v>15748.056836255844</v>
      </c>
      <c r="AY7" s="29">
        <f t="shared" si="2"/>
        <v>15826.797120437122</v>
      </c>
    </row>
    <row r="8" spans="1:51" x14ac:dyDescent="0.2">
      <c r="A8" s="2" t="s">
        <v>181</v>
      </c>
      <c r="B8" s="28">
        <f>B7*12</f>
        <v>104960.95718059468</v>
      </c>
      <c r="C8" s="28">
        <f t="shared" ref="C8:AY8" si="3">C7*12</f>
        <v>105485.76196649764</v>
      </c>
      <c r="D8" s="28">
        <f t="shared" si="3"/>
        <v>106013.19077633011</v>
      </c>
      <c r="E8" s="28">
        <f t="shared" si="3"/>
        <v>110427.54564839404</v>
      </c>
      <c r="F8" s="28">
        <f t="shared" si="3"/>
        <v>110979.68337663599</v>
      </c>
      <c r="G8" s="28">
        <f t="shared" si="3"/>
        <v>111534.58179351916</v>
      </c>
      <c r="H8" s="28">
        <f t="shared" si="3"/>
        <v>112092.25470248674</v>
      </c>
      <c r="I8" s="28">
        <f t="shared" si="3"/>
        <v>116759.73982431962</v>
      </c>
      <c r="J8" s="28">
        <f t="shared" si="3"/>
        <v>117343.5385234412</v>
      </c>
      <c r="K8" s="28">
        <f t="shared" si="3"/>
        <v>117930.25621605839</v>
      </c>
      <c r="L8" s="28">
        <f t="shared" si="3"/>
        <v>118519.90749713867</v>
      </c>
      <c r="M8" s="28">
        <f t="shared" si="3"/>
        <v>123455.03799613852</v>
      </c>
      <c r="N8" s="28">
        <f t="shared" si="3"/>
        <v>124072.31318611919</v>
      </c>
      <c r="O8" s="28">
        <f t="shared" si="3"/>
        <v>124692.67475204976</v>
      </c>
      <c r="P8" s="28">
        <f t="shared" si="3"/>
        <v>129884.8372770295</v>
      </c>
      <c r="Q8" s="28">
        <f t="shared" si="3"/>
        <v>130534.26146341464</v>
      </c>
      <c r="R8" s="28">
        <f t="shared" si="3"/>
        <v>131186.93277073168</v>
      </c>
      <c r="S8" s="28">
        <f t="shared" si="3"/>
        <v>136434.41008156093</v>
      </c>
      <c r="T8" s="28">
        <f t="shared" si="3"/>
        <v>137116.58213196875</v>
      </c>
      <c r="U8" s="28">
        <f t="shared" si="3"/>
        <v>137802.16504262853</v>
      </c>
      <c r="V8" s="28">
        <f t="shared" si="3"/>
        <v>138491.1758678417</v>
      </c>
      <c r="W8" s="28">
        <f t="shared" si="3"/>
        <v>144030.82290255534</v>
      </c>
      <c r="X8" s="28">
        <f t="shared" si="3"/>
        <v>144750.97701706813</v>
      </c>
      <c r="Y8" s="28">
        <f t="shared" si="3"/>
        <v>145474.73190215343</v>
      </c>
      <c r="Z8" s="28">
        <f t="shared" si="3"/>
        <v>146202.10556166418</v>
      </c>
      <c r="AA8" s="28">
        <f t="shared" si="3"/>
        <v>152050.18978413072</v>
      </c>
      <c r="AB8" s="28">
        <f t="shared" si="3"/>
        <v>152810.44073305136</v>
      </c>
      <c r="AC8" s="28">
        <f t="shared" si="3"/>
        <v>153574.49293671659</v>
      </c>
      <c r="AD8" s="28">
        <f t="shared" si="3"/>
        <v>159717.4726541852</v>
      </c>
      <c r="AE8" s="28">
        <f t="shared" si="3"/>
        <v>160516.06001745613</v>
      </c>
      <c r="AF8" s="28">
        <f t="shared" si="3"/>
        <v>161318.64031754341</v>
      </c>
      <c r="AG8" s="28">
        <f t="shared" si="3"/>
        <v>162125.23351913108</v>
      </c>
      <c r="AH8" s="28">
        <f t="shared" si="3"/>
        <v>162935.85968672673</v>
      </c>
      <c r="AI8" s="28">
        <f t="shared" si="3"/>
        <v>169453.29407419576</v>
      </c>
      <c r="AJ8" s="28">
        <f t="shared" si="3"/>
        <v>170300.56054456675</v>
      </c>
      <c r="AK8" s="28">
        <f t="shared" si="3"/>
        <v>171152.06334728957</v>
      </c>
      <c r="AL8" s="28">
        <f t="shared" si="3"/>
        <v>172007.82366402599</v>
      </c>
      <c r="AM8" s="28">
        <f t="shared" si="3"/>
        <v>178888.13661058701</v>
      </c>
      <c r="AN8" s="28">
        <f t="shared" si="3"/>
        <v>179782.57729363994</v>
      </c>
      <c r="AO8" s="28">
        <f t="shared" si="3"/>
        <v>180681.49018010811</v>
      </c>
      <c r="AP8" s="28">
        <f t="shared" si="3"/>
        <v>181584.89763100861</v>
      </c>
      <c r="AQ8" s="28">
        <f t="shared" si="3"/>
        <v>182492.82211916367</v>
      </c>
      <c r="AR8" s="28">
        <f t="shared" si="3"/>
        <v>183405.28622975945</v>
      </c>
      <c r="AS8" s="28">
        <f t="shared" si="3"/>
        <v>184322.31266090821</v>
      </c>
      <c r="AT8" s="28">
        <f t="shared" si="3"/>
        <v>185243.92422421277</v>
      </c>
      <c r="AU8" s="28">
        <f t="shared" si="3"/>
        <v>186170.14384533381</v>
      </c>
      <c r="AV8" s="28">
        <f t="shared" si="3"/>
        <v>187100.99456456045</v>
      </c>
      <c r="AW8" s="28">
        <f t="shared" si="3"/>
        <v>188036.49953738324</v>
      </c>
      <c r="AX8" s="28">
        <f t="shared" si="3"/>
        <v>188976.68203507015</v>
      </c>
      <c r="AY8" s="28">
        <f t="shared" si="3"/>
        <v>189921.56544524548</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14130741.797490697</v>
      </c>
    </row>
    <row r="17" spans="1:4" x14ac:dyDescent="0.2">
      <c r="A17" s="2" t="s">
        <v>184</v>
      </c>
      <c r="B17" s="28">
        <f>B16/25</f>
        <v>565229.67189962789</v>
      </c>
      <c r="C17" s="2" t="s">
        <v>182</v>
      </c>
    </row>
    <row r="18" spans="1:4" x14ac:dyDescent="0.2">
      <c r="A18" s="2" t="s">
        <v>183</v>
      </c>
      <c r="B18" s="30">
        <f>B17/12</f>
        <v>47102.472658302322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2.5000000000000001E-2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104960.95718059468</v>
      </c>
      <c r="C34" s="26">
        <f t="shared" ref="C34:AY34" si="4">B38+C8</f>
        <v>213113.77706905123</v>
      </c>
      <c r="D34" s="26">
        <f t="shared" si="4"/>
        <v>324542.18892070593</v>
      </c>
      <c r="E34" s="26">
        <f t="shared" si="4"/>
        <v>443216.35158957512</v>
      </c>
      <c r="F34" s="26">
        <f t="shared" si="4"/>
        <v>565458.16246010223</v>
      </c>
      <c r="G34" s="26">
        <f t="shared" si="4"/>
        <v>691361.03616173263</v>
      </c>
      <c r="H34" s="26">
        <f t="shared" si="4"/>
        <v>821020.7747930889</v>
      </c>
      <c r="I34" s="26">
        <f t="shared" si="4"/>
        <v>958642.65250490094</v>
      </c>
      <c r="J34" s="26">
        <f t="shared" si="4"/>
        <v>1100345.3008284918</v>
      </c>
      <c r="K34" s="26">
        <f t="shared" si="4"/>
        <v>1246235.331138602</v>
      </c>
      <c r="L34" s="26">
        <f t="shared" si="4"/>
        <v>1396422.0783999725</v>
      </c>
      <c r="M34" s="26">
        <f t="shared" si="4"/>
        <v>1555360.2014082542</v>
      </c>
      <c r="N34" s="26">
        <f t="shared" si="4"/>
        <v>1718954.2173121572</v>
      </c>
      <c r="O34" s="26">
        <f t="shared" si="4"/>
        <v>1887325.5187261088</v>
      </c>
      <c r="P34" s="26">
        <f t="shared" si="4"/>
        <v>2065167.2974339686</v>
      </c>
      <c r="Q34" s="26">
        <f t="shared" si="4"/>
        <v>2248177.4599251803</v>
      </c>
      <c r="R34" s="26">
        <f t="shared" si="4"/>
        <v>2436490.581952611</v>
      </c>
      <c r="S34" s="26">
        <f t="shared" si="4"/>
        <v>2634836.2177215875</v>
      </c>
      <c r="T34" s="26">
        <f t="shared" si="4"/>
        <v>2838903.9881458618</v>
      </c>
      <c r="U34" s="26">
        <f t="shared" si="4"/>
        <v>3048842.7035272769</v>
      </c>
      <c r="V34" s="26">
        <f t="shared" si="4"/>
        <v>3264804.9724917468</v>
      </c>
      <c r="W34" s="26">
        <f t="shared" si="4"/>
        <v>3491794.489745317</v>
      </c>
      <c r="X34" s="26">
        <f t="shared" si="4"/>
        <v>3725271.9647468138</v>
      </c>
      <c r="Y34" s="26">
        <f t="shared" si="4"/>
        <v>3965405.8572731833</v>
      </c>
      <c r="Z34" s="26">
        <f t="shared" si="4"/>
        <v>4212368.9256681586</v>
      </c>
      <c r="AA34" s="26">
        <f t="shared" si="4"/>
        <v>4471455.4098535171</v>
      </c>
      <c r="AB34" s="26">
        <f t="shared" si="4"/>
        <v>4737885.5325509459</v>
      </c>
      <c r="AC34" s="26">
        <f t="shared" si="4"/>
        <v>5011849.6968697822</v>
      </c>
      <c r="AD34" s="26">
        <f t="shared" si="4"/>
        <v>5298918.2703214288</v>
      </c>
      <c r="AE34" s="26">
        <f t="shared" si="4"/>
        <v>5594079.8435877524</v>
      </c>
      <c r="AF34" s="26">
        <f t="shared" si="4"/>
        <v>5897544.0527308602</v>
      </c>
      <c r="AG34" s="26">
        <f t="shared" si="4"/>
        <v>6209525.8806298822</v>
      </c>
      <c r="AH34" s="26">
        <f t="shared" si="4"/>
        <v>6530245.7929434143</v>
      </c>
      <c r="AI34" s="26">
        <f t="shared" si="4"/>
        <v>6865632.632616302</v>
      </c>
      <c r="AJ34" s="26">
        <f t="shared" si="4"/>
        <v>7210388.9183556493</v>
      </c>
      <c r="AK34" s="26">
        <f t="shared" si="4"/>
        <v>7564756.9641183559</v>
      </c>
      <c r="AL34" s="26">
        <f t="shared" si="4"/>
        <v>7928985.2622406296</v>
      </c>
      <c r="AM34" s="26">
        <f t="shared" si="4"/>
        <v>8309348.9143647514</v>
      </c>
      <c r="AN34" s="26">
        <f t="shared" si="4"/>
        <v>8700272.0475724004</v>
      </c>
      <c r="AO34" s="26">
        <f t="shared" si="4"/>
        <v>9102027.4504813235</v>
      </c>
      <c r="AP34" s="26">
        <f t="shared" si="4"/>
        <v>9514894.8656290621</v>
      </c>
      <c r="AQ34" s="26">
        <f t="shared" si="4"/>
        <v>9939161.1662838589</v>
      </c>
      <c r="AR34" s="26">
        <f t="shared" si="4"/>
        <v>10375120.537748892</v>
      </c>
      <c r="AS34" s="26">
        <f t="shared" si="4"/>
        <v>10823074.663273999</v>
      </c>
      <c r="AT34" s="26">
        <f t="shared" si="4"/>
        <v>11283332.914692005</v>
      </c>
      <c r="AU34" s="26">
        <f t="shared" si="4"/>
        <v>11756212.547899663</v>
      </c>
      <c r="AV34" s="26">
        <f t="shared" si="4"/>
        <v>12242038.903306356</v>
      </c>
      <c r="AW34" s="26">
        <f t="shared" si="4"/>
        <v>12741145.611376755</v>
      </c>
      <c r="AX34" s="26">
        <f t="shared" si="4"/>
        <v>13253874.803396909</v>
      </c>
      <c r="AY34" s="26">
        <f t="shared" si="4"/>
        <v>13780577.327596471</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3148.8287154178402</v>
      </c>
      <c r="C36" s="26">
        <f>C35*C34</f>
        <v>6393.4133120715369</v>
      </c>
      <c r="D36" s="26">
        <f>D35*D34</f>
        <v>9736.2656676211773</v>
      </c>
      <c r="E36" s="26">
        <f t="shared" ref="E36:AY36" si="6">E35*E34</f>
        <v>13296.490547687254</v>
      </c>
      <c r="F36" s="26">
        <f t="shared" si="6"/>
        <v>16963.744873803065</v>
      </c>
      <c r="G36" s="26">
        <f t="shared" si="6"/>
        <v>20740.83108485198</v>
      </c>
      <c r="H36" s="26">
        <f t="shared" si="6"/>
        <v>24630.623243792666</v>
      </c>
      <c r="I36" s="26">
        <f t="shared" si="6"/>
        <v>28759.279575147026</v>
      </c>
      <c r="J36" s="26">
        <f t="shared" si="6"/>
        <v>33010.359024854755</v>
      </c>
      <c r="K36" s="26">
        <f t="shared" si="6"/>
        <v>37387.05993415806</v>
      </c>
      <c r="L36" s="26">
        <f t="shared" si="6"/>
        <v>41892.662351999177</v>
      </c>
      <c r="M36" s="26">
        <f t="shared" si="6"/>
        <v>46660.806042247626</v>
      </c>
      <c r="N36" s="26">
        <f t="shared" si="6"/>
        <v>51568.626519364712</v>
      </c>
      <c r="O36" s="26">
        <f t="shared" si="6"/>
        <v>56619.765561783264</v>
      </c>
      <c r="P36" s="26">
        <f t="shared" si="6"/>
        <v>61955.018923019059</v>
      </c>
      <c r="Q36" s="26">
        <f t="shared" si="6"/>
        <v>67445.323797755409</v>
      </c>
      <c r="R36" s="26">
        <f t="shared" si="6"/>
        <v>73094.717458578321</v>
      </c>
      <c r="S36" s="26">
        <f t="shared" si="6"/>
        <v>79045.086531647627</v>
      </c>
      <c r="T36" s="26">
        <f t="shared" si="6"/>
        <v>85167.119644375853</v>
      </c>
      <c r="U36" s="26">
        <f t="shared" si="6"/>
        <v>91465.2811058183</v>
      </c>
      <c r="V36" s="26">
        <f t="shared" si="6"/>
        <v>97944.149174752398</v>
      </c>
      <c r="W36" s="26">
        <f t="shared" si="6"/>
        <v>104753.83469235951</v>
      </c>
      <c r="X36" s="26">
        <f t="shared" si="6"/>
        <v>111758.15894240441</v>
      </c>
      <c r="Y36" s="26">
        <f t="shared" si="6"/>
        <v>118962.17571819549</v>
      </c>
      <c r="Z36" s="26">
        <f t="shared" si="6"/>
        <v>126371.06777004476</v>
      </c>
      <c r="AA36" s="26">
        <f t="shared" si="6"/>
        <v>134143.66229560552</v>
      </c>
      <c r="AB36" s="26">
        <f t="shared" si="6"/>
        <v>142136.56597652836</v>
      </c>
      <c r="AC36" s="26">
        <f t="shared" si="6"/>
        <v>150355.49090609347</v>
      </c>
      <c r="AD36" s="26">
        <f t="shared" si="6"/>
        <v>158967.54810964287</v>
      </c>
      <c r="AE36" s="26">
        <f t="shared" si="6"/>
        <v>167822.39530763257</v>
      </c>
      <c r="AF36" s="26">
        <f t="shared" si="6"/>
        <v>176926.32158192579</v>
      </c>
      <c r="AG36" s="26">
        <f t="shared" si="6"/>
        <v>186285.77641889645</v>
      </c>
      <c r="AH36" s="26">
        <f t="shared" si="6"/>
        <v>195907.37378830242</v>
      </c>
      <c r="AI36" s="26">
        <f t="shared" si="6"/>
        <v>205968.97897848906</v>
      </c>
      <c r="AJ36" s="26">
        <f t="shared" si="6"/>
        <v>216311.66755066946</v>
      </c>
      <c r="AK36" s="26">
        <f t="shared" si="6"/>
        <v>226942.70892355067</v>
      </c>
      <c r="AL36" s="26">
        <f t="shared" si="6"/>
        <v>237869.55786721889</v>
      </c>
      <c r="AM36" s="26">
        <f t="shared" si="6"/>
        <v>249280.46743094255</v>
      </c>
      <c r="AN36" s="26">
        <f t="shared" si="6"/>
        <v>261008.16142717202</v>
      </c>
      <c r="AO36" s="26">
        <f t="shared" si="6"/>
        <v>273060.82351443969</v>
      </c>
      <c r="AP36" s="26">
        <f t="shared" si="6"/>
        <v>285446.84596887184</v>
      </c>
      <c r="AQ36" s="26">
        <f t="shared" si="6"/>
        <v>298174.83498851577</v>
      </c>
      <c r="AR36" s="26">
        <f t="shared" si="6"/>
        <v>311253.61613246676</v>
      </c>
      <c r="AS36" s="26">
        <f t="shared" si="6"/>
        <v>324692.23989822</v>
      </c>
      <c r="AT36" s="26">
        <f t="shared" si="6"/>
        <v>338499.98744076013</v>
      </c>
      <c r="AU36" s="26">
        <f t="shared" si="6"/>
        <v>352686.37643698987</v>
      </c>
      <c r="AV36" s="26">
        <f t="shared" si="6"/>
        <v>367261.16709919064</v>
      </c>
      <c r="AW36" s="26">
        <f t="shared" si="6"/>
        <v>382234.36834130262</v>
      </c>
      <c r="AX36" s="26">
        <f t="shared" si="6"/>
        <v>397616.24410190724</v>
      </c>
      <c r="AY36" s="26">
        <f t="shared" si="6"/>
        <v>413417.3198278941</v>
      </c>
    </row>
    <row r="37" spans="1:51" x14ac:dyDescent="0.2">
      <c r="A37" s="2" t="s">
        <v>215</v>
      </c>
      <c r="B37" s="26">
        <f>B36*$B$27</f>
        <v>481.77079345892952</v>
      </c>
      <c r="C37" s="26">
        <f>C36*$B$27</f>
        <v>978.19223674694513</v>
      </c>
      <c r="D37" s="26">
        <f t="shared" ref="D37:AY37" si="7">D36*$B$27</f>
        <v>1489.64864714604</v>
      </c>
      <c r="E37" s="26">
        <f t="shared" si="7"/>
        <v>2034.3630537961499</v>
      </c>
      <c r="F37" s="26">
        <f t="shared" si="7"/>
        <v>2595.4529656918689</v>
      </c>
      <c r="G37" s="26">
        <f t="shared" si="7"/>
        <v>3173.3471559823529</v>
      </c>
      <c r="H37" s="26">
        <f t="shared" si="7"/>
        <v>3768.485356300278</v>
      </c>
      <c r="I37" s="26">
        <f t="shared" si="7"/>
        <v>4400.1697749974946</v>
      </c>
      <c r="J37" s="26">
        <f t="shared" si="7"/>
        <v>5050.5849308027773</v>
      </c>
      <c r="K37" s="26">
        <f t="shared" si="7"/>
        <v>5720.2201699261832</v>
      </c>
      <c r="L37" s="26">
        <f t="shared" si="7"/>
        <v>6409.577339855874</v>
      </c>
      <c r="M37" s="26">
        <f t="shared" si="7"/>
        <v>7139.1033244638866</v>
      </c>
      <c r="N37" s="26">
        <f t="shared" si="7"/>
        <v>7889.9998574628007</v>
      </c>
      <c r="O37" s="26">
        <f t="shared" si="7"/>
        <v>8662.8241309528385</v>
      </c>
      <c r="P37" s="26">
        <f t="shared" si="7"/>
        <v>9479.1178952219161</v>
      </c>
      <c r="Q37" s="26">
        <f t="shared" si="7"/>
        <v>10319.134541056577</v>
      </c>
      <c r="R37" s="26">
        <f t="shared" si="7"/>
        <v>11183.491771162482</v>
      </c>
      <c r="S37" s="26">
        <f t="shared" si="7"/>
        <v>12093.898239342087</v>
      </c>
      <c r="T37" s="26">
        <f t="shared" si="7"/>
        <v>13030.569305589504</v>
      </c>
      <c r="U37" s="26">
        <f t="shared" si="7"/>
        <v>13994.1880091902</v>
      </c>
      <c r="V37" s="26">
        <f t="shared" si="7"/>
        <v>14985.454823737116</v>
      </c>
      <c r="W37" s="26">
        <f t="shared" si="7"/>
        <v>16027.336707931005</v>
      </c>
      <c r="X37" s="26">
        <f t="shared" si="7"/>
        <v>17098.998318187874</v>
      </c>
      <c r="Y37" s="26">
        <f t="shared" si="7"/>
        <v>18201.212884883909</v>
      </c>
      <c r="Z37" s="26">
        <f t="shared" si="7"/>
        <v>19334.773368816848</v>
      </c>
      <c r="AA37" s="26">
        <f t="shared" si="7"/>
        <v>20523.980331227645</v>
      </c>
      <c r="AB37" s="26">
        <f t="shared" si="7"/>
        <v>21746.894594408841</v>
      </c>
      <c r="AC37" s="26">
        <f t="shared" si="7"/>
        <v>23004.390108632302</v>
      </c>
      <c r="AD37" s="26">
        <f t="shared" si="7"/>
        <v>24322.034860775359</v>
      </c>
      <c r="AE37" s="26">
        <f t="shared" si="7"/>
        <v>25676.826482067783</v>
      </c>
      <c r="AF37" s="26">
        <f t="shared" si="7"/>
        <v>27069.727202034646</v>
      </c>
      <c r="AG37" s="26">
        <f t="shared" si="7"/>
        <v>28501.723792091158</v>
      </c>
      <c r="AH37" s="26">
        <f t="shared" si="7"/>
        <v>29973.828189610267</v>
      </c>
      <c r="AI37" s="26">
        <f t="shared" si="7"/>
        <v>31513.253783708824</v>
      </c>
      <c r="AJ37" s="26">
        <f t="shared" si="7"/>
        <v>33095.685135252425</v>
      </c>
      <c r="AK37" s="26">
        <f t="shared" si="7"/>
        <v>34722.234465303249</v>
      </c>
      <c r="AL37" s="26">
        <f t="shared" si="7"/>
        <v>36394.04235368449</v>
      </c>
      <c r="AM37" s="26">
        <f t="shared" si="7"/>
        <v>38139.911516934211</v>
      </c>
      <c r="AN37" s="26">
        <f t="shared" si="7"/>
        <v>39934.248698357318</v>
      </c>
      <c r="AO37" s="26">
        <f t="shared" si="7"/>
        <v>41778.305997709271</v>
      </c>
      <c r="AP37" s="26">
        <f t="shared" si="7"/>
        <v>43673.367433237392</v>
      </c>
      <c r="AQ37" s="26">
        <f t="shared" si="7"/>
        <v>45620.749753242912</v>
      </c>
      <c r="AR37" s="26">
        <f t="shared" si="7"/>
        <v>47621.803268267417</v>
      </c>
      <c r="AS37" s="26">
        <f t="shared" si="7"/>
        <v>49677.912704427661</v>
      </c>
      <c r="AT37" s="26">
        <f t="shared" si="7"/>
        <v>51790.4980784363</v>
      </c>
      <c r="AU37" s="26">
        <f t="shared" si="7"/>
        <v>53961.015594859447</v>
      </c>
      <c r="AV37" s="26">
        <f t="shared" si="7"/>
        <v>56190.958566176167</v>
      </c>
      <c r="AW37" s="26">
        <f t="shared" si="7"/>
        <v>58481.858356219302</v>
      </c>
      <c r="AX37" s="26">
        <f t="shared" si="7"/>
        <v>60835.285347591809</v>
      </c>
      <c r="AY37" s="26">
        <f t="shared" si="7"/>
        <v>63252.849933667792</v>
      </c>
    </row>
    <row r="38" spans="1:51" s="18" customFormat="1" x14ac:dyDescent="0.2">
      <c r="A38" s="18" t="s">
        <v>248</v>
      </c>
      <c r="B38" s="27">
        <f>B34+(B36-B37)</f>
        <v>107628.01510255359</v>
      </c>
      <c r="C38" s="27">
        <f>C34+(C36-C37)</f>
        <v>218528.99814437583</v>
      </c>
      <c r="D38" s="27">
        <f t="shared" ref="D38:AS38" si="8">D34+(D36-D37)</f>
        <v>332788.80594118108</v>
      </c>
      <c r="E38" s="27">
        <f t="shared" si="8"/>
        <v>454478.47908346623</v>
      </c>
      <c r="F38" s="27">
        <f t="shared" si="8"/>
        <v>579826.45436821342</v>
      </c>
      <c r="G38" s="27">
        <f t="shared" si="8"/>
        <v>708928.52009060222</v>
      </c>
      <c r="H38" s="27">
        <f t="shared" si="8"/>
        <v>841882.91268058133</v>
      </c>
      <c r="I38" s="27">
        <f t="shared" si="8"/>
        <v>983001.76230505051</v>
      </c>
      <c r="J38" s="27">
        <f t="shared" si="8"/>
        <v>1128305.0749225437</v>
      </c>
      <c r="K38" s="27">
        <f t="shared" si="8"/>
        <v>1277902.1709028338</v>
      </c>
      <c r="L38" s="27">
        <f t="shared" si="8"/>
        <v>1431905.1634121158</v>
      </c>
      <c r="M38" s="27">
        <f t="shared" si="8"/>
        <v>1594881.9041260378</v>
      </c>
      <c r="N38" s="27">
        <f t="shared" si="8"/>
        <v>1762632.843974059</v>
      </c>
      <c r="O38" s="27">
        <f t="shared" si="8"/>
        <v>1935282.4601569392</v>
      </c>
      <c r="P38" s="27">
        <f t="shared" si="8"/>
        <v>2117643.1984617659</v>
      </c>
      <c r="Q38" s="27">
        <f t="shared" si="8"/>
        <v>2305303.6491818791</v>
      </c>
      <c r="R38" s="27">
        <f t="shared" si="8"/>
        <v>2498401.8076400268</v>
      </c>
      <c r="S38" s="27">
        <f t="shared" si="8"/>
        <v>2701787.406013893</v>
      </c>
      <c r="T38" s="27">
        <f t="shared" si="8"/>
        <v>2911040.5384846483</v>
      </c>
      <c r="U38" s="27">
        <f t="shared" si="8"/>
        <v>3126313.7966239052</v>
      </c>
      <c r="V38" s="27">
        <f t="shared" si="8"/>
        <v>3347763.6668427619</v>
      </c>
      <c r="W38" s="27">
        <f t="shared" si="8"/>
        <v>3580520.9877297455</v>
      </c>
      <c r="X38" s="27">
        <f t="shared" si="8"/>
        <v>3819931.1253710301</v>
      </c>
      <c r="Y38" s="27">
        <f t="shared" si="8"/>
        <v>4066166.8201064947</v>
      </c>
      <c r="Z38" s="27">
        <f t="shared" si="8"/>
        <v>4319405.2200693861</v>
      </c>
      <c r="AA38" s="27">
        <f t="shared" si="8"/>
        <v>4585075.091817895</v>
      </c>
      <c r="AB38" s="27">
        <f t="shared" si="8"/>
        <v>4858275.2039330658</v>
      </c>
      <c r="AC38" s="27">
        <f t="shared" si="8"/>
        <v>5139200.7976672435</v>
      </c>
      <c r="AD38" s="27">
        <f t="shared" si="8"/>
        <v>5433563.7835702961</v>
      </c>
      <c r="AE38" s="27">
        <f t="shared" si="8"/>
        <v>5736225.4124133168</v>
      </c>
      <c r="AF38" s="27">
        <f t="shared" si="8"/>
        <v>6047400.6471107509</v>
      </c>
      <c r="AG38" s="27">
        <f t="shared" si="8"/>
        <v>6367309.9332566876</v>
      </c>
      <c r="AH38" s="27">
        <f t="shared" si="8"/>
        <v>6696179.3385421066</v>
      </c>
      <c r="AI38" s="27">
        <f t="shared" si="8"/>
        <v>7040088.3578110822</v>
      </c>
      <c r="AJ38" s="27">
        <f t="shared" si="8"/>
        <v>7393604.9007710665</v>
      </c>
      <c r="AK38" s="27">
        <f t="shared" si="8"/>
        <v>7756977.4385766033</v>
      </c>
      <c r="AL38" s="27">
        <f t="shared" si="8"/>
        <v>8130460.7777541643</v>
      </c>
      <c r="AM38" s="27">
        <f t="shared" si="8"/>
        <v>8520489.4702787604</v>
      </c>
      <c r="AN38" s="27">
        <f t="shared" si="8"/>
        <v>8921345.9603012148</v>
      </c>
      <c r="AO38" s="27">
        <f t="shared" si="8"/>
        <v>9333309.9679980539</v>
      </c>
      <c r="AP38" s="27">
        <f t="shared" si="8"/>
        <v>9756668.3441646956</v>
      </c>
      <c r="AQ38" s="27">
        <f t="shared" si="8"/>
        <v>10191715.251519132</v>
      </c>
      <c r="AR38" s="27">
        <f t="shared" si="8"/>
        <v>10638752.350613091</v>
      </c>
      <c r="AS38" s="27">
        <f t="shared" si="8"/>
        <v>11098088.990467792</v>
      </c>
      <c r="AT38" s="27">
        <f>AT34+(AT36-AT37)</f>
        <v>11570042.404054329</v>
      </c>
      <c r="AU38" s="27">
        <f t="shared" ref="AU38:AY38" si="9">AU34+(AU36-AU37)</f>
        <v>12054937.908741795</v>
      </c>
      <c r="AV38" s="27">
        <f t="shared" si="9"/>
        <v>12553109.111839371</v>
      </c>
      <c r="AW38" s="27">
        <f t="shared" si="9"/>
        <v>13064898.121361839</v>
      </c>
      <c r="AX38" s="27">
        <f t="shared" si="9"/>
        <v>13590655.762151225</v>
      </c>
      <c r="AY38" s="27">
        <f t="shared" si="9"/>
        <v>14130741.797490697</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2.5000000000000001E-2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58311.642878108156</v>
      </c>
      <c r="F2" s="29">
        <v>58603.20109249869</v>
      </c>
      <c r="G2" s="29">
        <v>58896.217097961176</v>
      </c>
      <c r="H2" s="29">
        <v>61348.636471330014</v>
      </c>
      <c r="I2" s="29">
        <v>61655.379653686658</v>
      </c>
      <c r="J2" s="29">
        <v>61963.656551955086</v>
      </c>
      <c r="K2" s="29">
        <v>62273.474834714856</v>
      </c>
      <c r="L2" s="29">
        <v>64866.522124622003</v>
      </c>
      <c r="M2" s="29">
        <v>65190.854735245106</v>
      </c>
      <c r="N2" s="29">
        <v>65516.809008921322</v>
      </c>
      <c r="O2" s="29">
        <v>65844.39305396592</v>
      </c>
      <c r="P2" s="29">
        <v>68586.13222007695</v>
      </c>
      <c r="Q2" s="29">
        <v>68929.06288117732</v>
      </c>
      <c r="R2" s="29">
        <v>69273.708195583196</v>
      </c>
      <c r="S2" s="29">
        <v>72158.242931683053</v>
      </c>
      <c r="T2" s="29" cm="1">
        <f t="array" ref="T2:BB2">TRANSPOSE(Income!P3:P37)</f>
        <v>72519.034146341466</v>
      </c>
      <c r="U2" s="29">
        <v>72881.629317073166</v>
      </c>
      <c r="V2" s="29">
        <v>75796.894489756072</v>
      </c>
      <c r="W2" s="29">
        <v>76175.87896220485</v>
      </c>
      <c r="X2" s="29">
        <v>76556.75835701586</v>
      </c>
      <c r="Y2" s="29">
        <v>76939.542148800931</v>
      </c>
      <c r="Z2" s="29">
        <v>80017.123834752972</v>
      </c>
      <c r="AA2" s="29">
        <v>80417.209453926727</v>
      </c>
      <c r="AB2" s="29">
        <v>80819.29550119635</v>
      </c>
      <c r="AC2" s="29">
        <v>81223.391978702319</v>
      </c>
      <c r="AD2" s="29">
        <v>84472.327657850401</v>
      </c>
      <c r="AE2" s="29">
        <v>84894.689296139637</v>
      </c>
      <c r="AF2" s="29">
        <v>85319.162742620319</v>
      </c>
      <c r="AG2" s="29">
        <v>88731.929252325121</v>
      </c>
      <c r="AH2" s="29">
        <v>89175.588898586735</v>
      </c>
      <c r="AI2" s="29">
        <v>89621.466843079659</v>
      </c>
      <c r="AJ2" s="29">
        <v>90069.574177295042</v>
      </c>
      <c r="AK2" s="29">
        <v>90519.922048181514</v>
      </c>
      <c r="AL2" s="29">
        <v>94140.718930108764</v>
      </c>
      <c r="AM2" s="29">
        <v>94611.422524759299</v>
      </c>
      <c r="AN2" s="29">
        <v>95084.47963738309</v>
      </c>
      <c r="AO2" s="29">
        <v>95559.90203556999</v>
      </c>
      <c r="AP2" s="29">
        <v>99382.298116992781</v>
      </c>
      <c r="AQ2" s="29">
        <v>99879.209607577737</v>
      </c>
      <c r="AR2" s="29">
        <v>100378.60565561561</v>
      </c>
      <c r="AS2" s="29">
        <v>100880.49868389367</v>
      </c>
      <c r="AT2" s="29">
        <v>101384.90117731314</v>
      </c>
      <c r="AU2" s="29">
        <v>101891.82568319968</v>
      </c>
      <c r="AV2" s="29">
        <v>102401.28481161567</v>
      </c>
      <c r="AW2" s="29">
        <v>102913.29123567374</v>
      </c>
      <c r="AX2" s="2">
        <v>103427.8576918521</v>
      </c>
      <c r="AY2" s="2">
        <v>103944.99698031135</v>
      </c>
      <c r="AZ2" s="2">
        <v>104464.7219652129</v>
      </c>
      <c r="BA2" s="2">
        <v>104987.04557503895</v>
      </c>
      <c r="BB2" s="2">
        <v>105511.98080291414</v>
      </c>
      <c r="BH2" s="2" t="s">
        <v>206</v>
      </c>
      <c r="BI2" s="2" cm="1">
        <f t="array" ref="BI2:BI37">TRANSPOSE(T17:BC17)</f>
        <v>38481.23441615545</v>
      </c>
    </row>
    <row r="3" spans="1:61" x14ac:dyDescent="0.2">
      <c r="D3" s="2" t="s">
        <v>186</v>
      </c>
      <c r="E3" s="29">
        <f>E2*12</f>
        <v>699739.71453729784</v>
      </c>
      <c r="F3" s="29">
        <f t="shared" ref="F3:AW3" si="0">F2*12</f>
        <v>703238.41310998425</v>
      </c>
      <c r="G3" s="29">
        <f t="shared" si="0"/>
        <v>706754.60517553415</v>
      </c>
      <c r="H3" s="29">
        <f t="shared" si="0"/>
        <v>736183.63765596016</v>
      </c>
      <c r="I3" s="29">
        <f t="shared" si="0"/>
        <v>739864.55584423989</v>
      </c>
      <c r="J3" s="29">
        <f t="shared" si="0"/>
        <v>743563.878623461</v>
      </c>
      <c r="K3" s="29">
        <f t="shared" si="0"/>
        <v>747281.69801657833</v>
      </c>
      <c r="L3" s="29">
        <f t="shared" si="0"/>
        <v>778398.26549546397</v>
      </c>
      <c r="M3" s="29">
        <f t="shared" si="0"/>
        <v>782290.25682294124</v>
      </c>
      <c r="N3" s="29">
        <f t="shared" si="0"/>
        <v>786201.70810705586</v>
      </c>
      <c r="O3" s="29">
        <f t="shared" si="0"/>
        <v>790132.71664759098</v>
      </c>
      <c r="P3" s="29">
        <f t="shared" si="0"/>
        <v>823033.5866409234</v>
      </c>
      <c r="Q3" s="29">
        <f t="shared" si="0"/>
        <v>827148.75457412784</v>
      </c>
      <c r="R3" s="29">
        <f t="shared" si="0"/>
        <v>831284.49834699836</v>
      </c>
      <c r="S3" s="29">
        <f t="shared" si="0"/>
        <v>865898.91518019664</v>
      </c>
      <c r="T3" s="29">
        <f t="shared" si="0"/>
        <v>870228.40975609759</v>
      </c>
      <c r="U3" s="29">
        <f t="shared" si="0"/>
        <v>874579.55180487805</v>
      </c>
      <c r="V3" s="29">
        <f t="shared" si="0"/>
        <v>909562.73387707281</v>
      </c>
      <c r="W3" s="29">
        <f t="shared" si="0"/>
        <v>914110.5475464582</v>
      </c>
      <c r="X3" s="29">
        <f t="shared" si="0"/>
        <v>918681.10028419038</v>
      </c>
      <c r="Y3" s="29">
        <f t="shared" si="0"/>
        <v>923274.50578561123</v>
      </c>
      <c r="Z3" s="29">
        <f t="shared" si="0"/>
        <v>960205.48601703567</v>
      </c>
      <c r="AA3" s="29">
        <f t="shared" si="0"/>
        <v>965006.51344712079</v>
      </c>
      <c r="AB3" s="29">
        <f t="shared" si="0"/>
        <v>969831.54601435619</v>
      </c>
      <c r="AC3" s="29">
        <f t="shared" si="0"/>
        <v>974680.70374442777</v>
      </c>
      <c r="AD3" s="29">
        <f t="shared" si="0"/>
        <v>1013667.9318942048</v>
      </c>
      <c r="AE3" s="29">
        <f t="shared" si="0"/>
        <v>1018736.2715536756</v>
      </c>
      <c r="AF3" s="29">
        <f t="shared" si="0"/>
        <v>1023829.9529114438</v>
      </c>
      <c r="AG3" s="29">
        <f t="shared" si="0"/>
        <v>1064783.1510279016</v>
      </c>
      <c r="AH3" s="29">
        <f t="shared" si="0"/>
        <v>1070107.0667830408</v>
      </c>
      <c r="AI3" s="29">
        <f t="shared" si="0"/>
        <v>1075457.6021169559</v>
      </c>
      <c r="AJ3" s="29">
        <f t="shared" si="0"/>
        <v>1080834.8901275406</v>
      </c>
      <c r="AK3" s="29">
        <f t="shared" si="0"/>
        <v>1086239.0645781781</v>
      </c>
      <c r="AL3" s="29">
        <f t="shared" si="0"/>
        <v>1129688.6271613052</v>
      </c>
      <c r="AM3" s="29">
        <f t="shared" si="0"/>
        <v>1135337.0702971115</v>
      </c>
      <c r="AN3" s="29">
        <f t="shared" si="0"/>
        <v>1141013.7556485971</v>
      </c>
      <c r="AO3" s="29">
        <f t="shared" si="0"/>
        <v>1146718.8244268398</v>
      </c>
      <c r="AP3" s="29">
        <f t="shared" si="0"/>
        <v>1192587.5774039133</v>
      </c>
      <c r="AQ3" s="29">
        <f t="shared" si="0"/>
        <v>1198550.5152909327</v>
      </c>
      <c r="AR3" s="29">
        <f t="shared" si="0"/>
        <v>1204543.2678673873</v>
      </c>
      <c r="AS3" s="29">
        <f t="shared" si="0"/>
        <v>1210565.984206724</v>
      </c>
      <c r="AT3" s="29">
        <f t="shared" si="0"/>
        <v>1216618.8141277577</v>
      </c>
      <c r="AU3" s="29">
        <f t="shared" si="0"/>
        <v>1222701.9081983962</v>
      </c>
      <c r="AV3" s="29">
        <f t="shared" si="0"/>
        <v>1228815.4177393881</v>
      </c>
      <c r="AW3" s="29">
        <f t="shared" si="0"/>
        <v>1234959.4948280849</v>
      </c>
      <c r="AX3" s="29">
        <f t="shared" ref="AX3:BB3" si="1">AX2*12</f>
        <v>1241134.2923022253</v>
      </c>
      <c r="AY3" s="29">
        <f t="shared" si="1"/>
        <v>1247339.9637637362</v>
      </c>
      <c r="AZ3" s="29">
        <f t="shared" si="1"/>
        <v>1253576.6635825548</v>
      </c>
      <c r="BA3" s="29">
        <f t="shared" si="1"/>
        <v>1259844.5469004675</v>
      </c>
      <c r="BB3" s="29">
        <f t="shared" si="1"/>
        <v>1266143.7696349698</v>
      </c>
      <c r="BI3" s="2">
        <v>38633.318651362897</v>
      </c>
    </row>
    <row r="4" spans="1:61" x14ac:dyDescent="0.2">
      <c r="A4" s="2" t="str" cm="1">
        <f t="array" ref="A4:B12">'Salary Variables'!$B$16:$C$24</f>
        <v>AM (%)</v>
      </c>
      <c r="B4" s="25">
        <v>0.08</v>
      </c>
      <c r="D4" s="2" t="s">
        <v>277</v>
      </c>
      <c r="E4" s="29">
        <f>'Pensions P2'!B4*12</f>
        <v>34986.985726864892</v>
      </c>
      <c r="F4" s="29">
        <f>'Pensions P2'!C4*12</f>
        <v>35161.920655499212</v>
      </c>
      <c r="G4" s="29">
        <f>'Pensions P2'!D4*12</f>
        <v>35337.730258776704</v>
      </c>
      <c r="H4" s="29">
        <f>'Pensions P2'!E4*12</f>
        <v>36809.18188279801</v>
      </c>
      <c r="I4" s="29">
        <f>'Pensions P2'!F4*12</f>
        <v>36993.227792211997</v>
      </c>
      <c r="J4" s="29">
        <f>'Pensions P2'!G4*12</f>
        <v>37178.193931173053</v>
      </c>
      <c r="K4" s="29">
        <f>'Pensions P2'!H4*12</f>
        <v>37364.084900828915</v>
      </c>
      <c r="L4" s="29">
        <f>'Pensions P2'!I4*12</f>
        <v>38919.913274773207</v>
      </c>
      <c r="M4" s="29">
        <f>'Pensions P2'!J4*12</f>
        <v>39114.512841147065</v>
      </c>
      <c r="N4" s="29">
        <f>'Pensions P2'!K4*12</f>
        <v>39310.085405352795</v>
      </c>
      <c r="O4" s="29">
        <f>'Pensions P2'!L4*12</f>
        <v>39506.635832379558</v>
      </c>
      <c r="P4" s="29">
        <f>'Pensions P2'!M4*12</f>
        <v>41151.679332046173</v>
      </c>
      <c r="Q4" s="29">
        <f>'Pensions P2'!N4*12</f>
        <v>41357.437728706398</v>
      </c>
      <c r="R4" s="29">
        <f>'Pensions P2'!O4*12</f>
        <v>41564.224917349922</v>
      </c>
      <c r="S4" s="29">
        <f>'Pensions P2'!P4*12</f>
        <v>43294.945759009832</v>
      </c>
      <c r="T4" s="29">
        <f>'Pensions P2'!Q4*12</f>
        <v>43511.420487804884</v>
      </c>
      <c r="U4" s="29">
        <f>'Pensions P2'!R4*12</f>
        <v>43728.9775902439</v>
      </c>
      <c r="V4" s="29">
        <f>'Pensions P2'!S4*12</f>
        <v>45478.136693853645</v>
      </c>
      <c r="W4" s="29">
        <f>'Pensions P2'!T4*12</f>
        <v>45705.527377322913</v>
      </c>
      <c r="X4" s="29">
        <f>'Pensions P2'!U4*12</f>
        <v>45934.055014209516</v>
      </c>
      <c r="Y4" s="29">
        <f>'Pensions P2'!V4*12</f>
        <v>46163.725289280563</v>
      </c>
      <c r="Z4" s="29">
        <f>'Pensions P2'!W4*12</f>
        <v>48010.274300851786</v>
      </c>
      <c r="AA4" s="29">
        <f>'Pensions P2'!X4*12</f>
        <v>48250.325672356041</v>
      </c>
      <c r="AB4" s="29">
        <f>'Pensions P2'!Y4*12</f>
        <v>48491.577300717814</v>
      </c>
      <c r="AC4" s="29">
        <f>'Pensions P2'!Z4*12</f>
        <v>48734.035187221394</v>
      </c>
      <c r="AD4" s="29">
        <f>'Pensions P2'!AA4*12</f>
        <v>50683.396594710241</v>
      </c>
      <c r="AE4" s="29">
        <f>'Pensions P2'!AB4*12</f>
        <v>50936.813577683788</v>
      </c>
      <c r="AF4" s="29">
        <f>'Pensions P2'!AC4*12</f>
        <v>51191.497645572192</v>
      </c>
      <c r="AG4" s="29">
        <f>'Pensions P2'!AD4*12</f>
        <v>53239.157551395067</v>
      </c>
      <c r="AH4" s="29">
        <f>'Pensions P2'!AE4*12</f>
        <v>53505.353339152047</v>
      </c>
      <c r="AI4" s="29">
        <f>'Pensions P2'!AF4*12</f>
        <v>53772.880105847798</v>
      </c>
      <c r="AJ4" s="29">
        <f>'Pensions P2'!AG4*12</f>
        <v>54041.744506377028</v>
      </c>
      <c r="AK4" s="29">
        <f>'Pensions P2'!AH4*12</f>
        <v>54311.953228908911</v>
      </c>
      <c r="AL4" s="29">
        <f>'Pensions P2'!AI4*12</f>
        <v>56484.431358065252</v>
      </c>
      <c r="AM4" s="29">
        <f>'Pensions P2'!AJ4*12</f>
        <v>56766.853514855582</v>
      </c>
      <c r="AN4" s="29">
        <f>'Pensions P2'!AK4*12</f>
        <v>57050.687782429857</v>
      </c>
      <c r="AO4" s="29">
        <f>'Pensions P2'!AL4*12</f>
        <v>57335.941221342</v>
      </c>
      <c r="AP4" s="29">
        <f>'Pensions P2'!AM4*12</f>
        <v>59629.378870195673</v>
      </c>
      <c r="AQ4" s="29">
        <f>'Pensions P2'!AN4*12</f>
        <v>59927.525764546648</v>
      </c>
      <c r="AR4" s="29">
        <f>'Pensions P2'!AO4*12</f>
        <v>60227.163393369367</v>
      </c>
      <c r="AS4" s="29">
        <f>'Pensions P2'!AP4*12</f>
        <v>60528.299210336205</v>
      </c>
      <c r="AT4" s="29">
        <f>'Pensions P2'!AQ4*12</f>
        <v>60830.94070638789</v>
      </c>
      <c r="AU4" s="29">
        <f>'Pensions P2'!AR4*12</f>
        <v>61135.095409919813</v>
      </c>
      <c r="AV4" s="29">
        <f>'Pensions P2'!AS4*12</f>
        <v>61440.770886969403</v>
      </c>
      <c r="AW4" s="29">
        <f>'Pensions P2'!AT4*12</f>
        <v>61747.97474140425</v>
      </c>
      <c r="AX4" s="29">
        <f>'Pensions P2'!AU4*12</f>
        <v>62056.714615111268</v>
      </c>
      <c r="AY4" s="29">
        <f>'Pensions P2'!AV4*12</f>
        <v>62366.998188186815</v>
      </c>
      <c r="AZ4" s="29">
        <f>'Pensions P2'!AW4*12</f>
        <v>62678.833179127745</v>
      </c>
      <c r="BA4" s="29">
        <f>'Pensions P2'!AX4*12</f>
        <v>62992.227345023377</v>
      </c>
      <c r="BB4" s="29">
        <f>'Pensions P2'!AY4*12</f>
        <v>63307.18848174849</v>
      </c>
      <c r="BI4" s="2">
        <v>39856.075902430726</v>
      </c>
    </row>
    <row r="5" spans="1:61" x14ac:dyDescent="0.2">
      <c r="A5" s="2" t="str">
        <v>Personal Allowance</v>
      </c>
      <c r="B5" s="28">
        <v>51600</v>
      </c>
      <c r="D5" s="2" t="s">
        <v>187</v>
      </c>
      <c r="E5" s="29">
        <f t="shared" ref="E5:AW5" si="2">E3-E4</f>
        <v>664752.72881043295</v>
      </c>
      <c r="F5" s="29">
        <f t="shared" si="2"/>
        <v>668076.49245448504</v>
      </c>
      <c r="G5" s="29">
        <f t="shared" si="2"/>
        <v>671416.87491675746</v>
      </c>
      <c r="H5" s="29">
        <f t="shared" si="2"/>
        <v>699374.45577316219</v>
      </c>
      <c r="I5" s="29">
        <f t="shared" si="2"/>
        <v>702871.32805202785</v>
      </c>
      <c r="J5" s="29">
        <f t="shared" si="2"/>
        <v>706385.68469228793</v>
      </c>
      <c r="K5" s="29">
        <f t="shared" si="2"/>
        <v>709917.61311574944</v>
      </c>
      <c r="L5" s="29">
        <f t="shared" si="2"/>
        <v>739478.35222069081</v>
      </c>
      <c r="M5" s="29">
        <f t="shared" si="2"/>
        <v>743175.74398179422</v>
      </c>
      <c r="N5" s="29">
        <f t="shared" si="2"/>
        <v>746891.62270170311</v>
      </c>
      <c r="O5" s="29">
        <f t="shared" si="2"/>
        <v>750626.0808152114</v>
      </c>
      <c r="P5" s="29">
        <f t="shared" si="2"/>
        <v>781881.90730887721</v>
      </c>
      <c r="Q5" s="29">
        <f t="shared" si="2"/>
        <v>785791.31684542145</v>
      </c>
      <c r="R5" s="29">
        <f t="shared" si="2"/>
        <v>789720.27342964849</v>
      </c>
      <c r="S5" s="29">
        <f t="shared" si="2"/>
        <v>822603.96942118683</v>
      </c>
      <c r="T5" s="29">
        <f t="shared" si="2"/>
        <v>826716.98926829267</v>
      </c>
      <c r="U5" s="29">
        <f t="shared" si="2"/>
        <v>830850.57421463414</v>
      </c>
      <c r="V5" s="29">
        <f t="shared" si="2"/>
        <v>864084.59718321916</v>
      </c>
      <c r="W5" s="29">
        <f t="shared" si="2"/>
        <v>868405.0201691353</v>
      </c>
      <c r="X5" s="29">
        <f t="shared" si="2"/>
        <v>872747.04526998091</v>
      </c>
      <c r="Y5" s="29">
        <f t="shared" si="2"/>
        <v>877110.7804963307</v>
      </c>
      <c r="Z5" s="29">
        <f t="shared" si="2"/>
        <v>912195.21171618393</v>
      </c>
      <c r="AA5" s="29">
        <f t="shared" si="2"/>
        <v>916756.18777476472</v>
      </c>
      <c r="AB5" s="29">
        <f t="shared" si="2"/>
        <v>921339.96871363837</v>
      </c>
      <c r="AC5" s="29">
        <f t="shared" si="2"/>
        <v>925946.6685572064</v>
      </c>
      <c r="AD5" s="29">
        <f t="shared" si="2"/>
        <v>962984.53529949463</v>
      </c>
      <c r="AE5" s="29">
        <f t="shared" si="2"/>
        <v>967799.45797599189</v>
      </c>
      <c r="AF5" s="29">
        <f t="shared" si="2"/>
        <v>972638.4552658716</v>
      </c>
      <c r="AG5" s="29">
        <f t="shared" si="2"/>
        <v>1011543.9934765066</v>
      </c>
      <c r="AH5" s="29">
        <f t="shared" si="2"/>
        <v>1016601.7134438887</v>
      </c>
      <c r="AI5" s="29">
        <f t="shared" si="2"/>
        <v>1021684.7220111081</v>
      </c>
      <c r="AJ5" s="29">
        <f t="shared" si="2"/>
        <v>1026793.1456211635</v>
      </c>
      <c r="AK5" s="29">
        <f t="shared" si="2"/>
        <v>1031927.1113492692</v>
      </c>
      <c r="AL5" s="29">
        <f t="shared" si="2"/>
        <v>1073204.1958032399</v>
      </c>
      <c r="AM5" s="29">
        <f t="shared" si="2"/>
        <v>1078570.216782256</v>
      </c>
      <c r="AN5" s="29">
        <f t="shared" si="2"/>
        <v>1083963.0678661673</v>
      </c>
      <c r="AO5" s="29">
        <f t="shared" si="2"/>
        <v>1089382.8832054979</v>
      </c>
      <c r="AP5" s="29">
        <f t="shared" si="2"/>
        <v>1132958.1985337175</v>
      </c>
      <c r="AQ5" s="29">
        <f t="shared" si="2"/>
        <v>1138622.9895263861</v>
      </c>
      <c r="AR5" s="29">
        <f t="shared" si="2"/>
        <v>1144316.1044740179</v>
      </c>
      <c r="AS5" s="29">
        <f t="shared" si="2"/>
        <v>1150037.6849963877</v>
      </c>
      <c r="AT5" s="29">
        <f t="shared" si="2"/>
        <v>1155787.8734213698</v>
      </c>
      <c r="AU5" s="29">
        <f t="shared" si="2"/>
        <v>1161566.8127884765</v>
      </c>
      <c r="AV5" s="29">
        <f t="shared" si="2"/>
        <v>1167374.6468524188</v>
      </c>
      <c r="AW5" s="29">
        <f t="shared" si="2"/>
        <v>1173211.5200866808</v>
      </c>
      <c r="AX5" s="29">
        <f t="shared" ref="AX5:BB5" si="3">AX3-AX4</f>
        <v>1179077.577687114</v>
      </c>
      <c r="AY5" s="29">
        <f t="shared" si="3"/>
        <v>1184972.9655755493</v>
      </c>
      <c r="AZ5" s="29">
        <f t="shared" si="3"/>
        <v>1190897.8304034271</v>
      </c>
      <c r="BA5" s="29">
        <f t="shared" si="3"/>
        <v>1196852.3195554442</v>
      </c>
      <c r="BB5" s="29">
        <f t="shared" si="3"/>
        <v>1202836.5811532212</v>
      </c>
      <c r="BI5" s="2">
        <v>40015.034345069551</v>
      </c>
    </row>
    <row r="6" spans="1:61" x14ac:dyDescent="0.2">
      <c r="A6" s="2" t="str">
        <v>Bottom-Bracket State Tax rate (%)</v>
      </c>
      <c r="B6" s="25">
        <v>0.1201</v>
      </c>
      <c r="D6" s="2" t="s">
        <v>256</v>
      </c>
      <c r="E6" s="28">
        <f>E5-$B$14</f>
        <v>663564.72881043295</v>
      </c>
      <c r="F6" s="28">
        <f t="shared" ref="F6:AW6" si="4">F5-$B$14</f>
        <v>666888.49245448504</v>
      </c>
      <c r="G6" s="28">
        <f t="shared" si="4"/>
        <v>670228.87491675746</v>
      </c>
      <c r="H6" s="28">
        <f t="shared" si="4"/>
        <v>698186.45577316219</v>
      </c>
      <c r="I6" s="28">
        <f t="shared" si="4"/>
        <v>701683.32805202785</v>
      </c>
      <c r="J6" s="28">
        <f t="shared" si="4"/>
        <v>705197.68469228793</v>
      </c>
      <c r="K6" s="28">
        <f t="shared" si="4"/>
        <v>708729.61311574944</v>
      </c>
      <c r="L6" s="28">
        <f t="shared" si="4"/>
        <v>738290.35222069081</v>
      </c>
      <c r="M6" s="28">
        <f t="shared" si="4"/>
        <v>741987.74398179422</v>
      </c>
      <c r="N6" s="28">
        <f t="shared" si="4"/>
        <v>745703.62270170311</v>
      </c>
      <c r="O6" s="28">
        <f t="shared" si="4"/>
        <v>749438.0808152114</v>
      </c>
      <c r="P6" s="28">
        <f t="shared" si="4"/>
        <v>780693.90730887721</v>
      </c>
      <c r="Q6" s="28">
        <f t="shared" si="4"/>
        <v>784603.31684542145</v>
      </c>
      <c r="R6" s="28">
        <f t="shared" si="4"/>
        <v>788532.27342964849</v>
      </c>
      <c r="S6" s="28">
        <f t="shared" si="4"/>
        <v>821415.96942118683</v>
      </c>
      <c r="T6" s="28">
        <f t="shared" si="4"/>
        <v>825528.98926829267</v>
      </c>
      <c r="U6" s="28">
        <f t="shared" si="4"/>
        <v>829662.57421463414</v>
      </c>
      <c r="V6" s="28">
        <f t="shared" si="4"/>
        <v>862896.59718321916</v>
      </c>
      <c r="W6" s="28">
        <f t="shared" si="4"/>
        <v>867217.0201691353</v>
      </c>
      <c r="X6" s="28">
        <f t="shared" si="4"/>
        <v>871559.04526998091</v>
      </c>
      <c r="Y6" s="28">
        <f t="shared" si="4"/>
        <v>875922.7804963307</v>
      </c>
      <c r="Z6" s="28">
        <f t="shared" si="4"/>
        <v>911007.21171618393</v>
      </c>
      <c r="AA6" s="28">
        <f t="shared" si="4"/>
        <v>915568.18777476472</v>
      </c>
      <c r="AB6" s="28">
        <f t="shared" si="4"/>
        <v>920151.96871363837</v>
      </c>
      <c r="AC6" s="28">
        <f t="shared" si="4"/>
        <v>924758.6685572064</v>
      </c>
      <c r="AD6" s="28">
        <f t="shared" si="4"/>
        <v>961796.53529949463</v>
      </c>
      <c r="AE6" s="28">
        <f t="shared" si="4"/>
        <v>966611.45797599189</v>
      </c>
      <c r="AF6" s="28">
        <f t="shared" si="4"/>
        <v>971450.4552658716</v>
      </c>
      <c r="AG6" s="28">
        <f t="shared" si="4"/>
        <v>1010355.9934765066</v>
      </c>
      <c r="AH6" s="28">
        <f t="shared" si="4"/>
        <v>1015413.7134438887</v>
      </c>
      <c r="AI6" s="28">
        <f t="shared" si="4"/>
        <v>1020496.7220111081</v>
      </c>
      <c r="AJ6" s="28">
        <f t="shared" si="4"/>
        <v>1025605.1456211635</v>
      </c>
      <c r="AK6" s="28">
        <f t="shared" si="4"/>
        <v>1030739.1113492692</v>
      </c>
      <c r="AL6" s="28">
        <f t="shared" si="4"/>
        <v>1072016.1958032399</v>
      </c>
      <c r="AM6" s="28">
        <f t="shared" si="4"/>
        <v>1077382.216782256</v>
      </c>
      <c r="AN6" s="28">
        <f t="shared" si="4"/>
        <v>1082775.0678661673</v>
      </c>
      <c r="AO6" s="28">
        <f t="shared" si="4"/>
        <v>1088194.8832054979</v>
      </c>
      <c r="AP6" s="28">
        <f t="shared" si="4"/>
        <v>1131770.1985337175</v>
      </c>
      <c r="AQ6" s="28">
        <f t="shared" si="4"/>
        <v>1137434.9895263861</v>
      </c>
      <c r="AR6" s="28">
        <f t="shared" si="4"/>
        <v>1143128.1044740179</v>
      </c>
      <c r="AS6" s="28">
        <f t="shared" si="4"/>
        <v>1148849.6849963877</v>
      </c>
      <c r="AT6" s="28">
        <f t="shared" si="4"/>
        <v>1154599.8734213698</v>
      </c>
      <c r="AU6" s="28">
        <f t="shared" si="4"/>
        <v>1160378.8127884765</v>
      </c>
      <c r="AV6" s="28">
        <f t="shared" si="4"/>
        <v>1166186.6468524188</v>
      </c>
      <c r="AW6" s="28">
        <f t="shared" si="4"/>
        <v>1172023.5200866808</v>
      </c>
      <c r="AX6" s="28">
        <f t="shared" ref="AX6:BB6" si="5">AX5-$B$14</f>
        <v>1177889.577687114</v>
      </c>
      <c r="AY6" s="28">
        <f t="shared" si="5"/>
        <v>1183784.9655755493</v>
      </c>
      <c r="AZ6" s="28">
        <f t="shared" si="5"/>
        <v>1189709.8304034271</v>
      </c>
      <c r="BA6" s="28">
        <f t="shared" si="5"/>
        <v>1195664.3195554442</v>
      </c>
      <c r="BB6" s="28">
        <f t="shared" si="5"/>
        <v>1201648.5811532212</v>
      </c>
      <c r="BI6" s="2">
        <v>40174.787579921562</v>
      </c>
    </row>
    <row r="7" spans="1:61" x14ac:dyDescent="0.2">
      <c r="A7" s="2" t="str">
        <v>Top-bracket State Tax rate (%)</v>
      </c>
      <c r="B7" s="25">
        <v>0.15</v>
      </c>
      <c r="D7" s="2" t="s">
        <v>234</v>
      </c>
      <c r="E7" s="28">
        <f>E6*(1-$B$4)</f>
        <v>610479.55050559831</v>
      </c>
      <c r="F7" s="28">
        <f t="shared" ref="F7:AW7" si="6">F6*(1-$B$4)</f>
        <v>613537.41305812623</v>
      </c>
      <c r="G7" s="28">
        <f t="shared" si="6"/>
        <v>616610.56492341694</v>
      </c>
      <c r="H7" s="28">
        <f t="shared" si="6"/>
        <v>642331.53931130923</v>
      </c>
      <c r="I7" s="28">
        <f t="shared" si="6"/>
        <v>645548.6618078656</v>
      </c>
      <c r="J7" s="28">
        <f t="shared" si="6"/>
        <v>648781.86991690495</v>
      </c>
      <c r="K7" s="28">
        <f t="shared" si="6"/>
        <v>652031.24406648951</v>
      </c>
      <c r="L7" s="28">
        <f t="shared" si="6"/>
        <v>679227.12404303555</v>
      </c>
      <c r="M7" s="28">
        <f t="shared" si="6"/>
        <v>682628.72446325072</v>
      </c>
      <c r="N7" s="28">
        <f t="shared" si="6"/>
        <v>686047.33288556687</v>
      </c>
      <c r="O7" s="28">
        <f t="shared" si="6"/>
        <v>689483.0343499945</v>
      </c>
      <c r="P7" s="28">
        <f t="shared" si="6"/>
        <v>718238.39472416707</v>
      </c>
      <c r="Q7" s="28">
        <f t="shared" si="6"/>
        <v>721835.05149778782</v>
      </c>
      <c r="R7" s="28">
        <f t="shared" si="6"/>
        <v>725449.69155527663</v>
      </c>
      <c r="S7" s="28">
        <f t="shared" si="6"/>
        <v>755702.69186749193</v>
      </c>
      <c r="T7" s="28">
        <f t="shared" si="6"/>
        <v>759486.6701268293</v>
      </c>
      <c r="U7" s="28">
        <f t="shared" si="6"/>
        <v>763289.56827746343</v>
      </c>
      <c r="V7" s="28">
        <f t="shared" si="6"/>
        <v>793864.86940856162</v>
      </c>
      <c r="W7" s="28">
        <f t="shared" si="6"/>
        <v>797839.65855560452</v>
      </c>
      <c r="X7" s="28">
        <f t="shared" si="6"/>
        <v>801834.32164838247</v>
      </c>
      <c r="Y7" s="28">
        <f t="shared" si="6"/>
        <v>805848.95805662428</v>
      </c>
      <c r="Z7" s="28">
        <f t="shared" si="6"/>
        <v>838126.63477888925</v>
      </c>
      <c r="AA7" s="28">
        <f t="shared" si="6"/>
        <v>842322.73275278357</v>
      </c>
      <c r="AB7" s="28">
        <f t="shared" si="6"/>
        <v>846539.81121654739</v>
      </c>
      <c r="AC7" s="28">
        <f t="shared" si="6"/>
        <v>850777.97507262998</v>
      </c>
      <c r="AD7" s="28">
        <f t="shared" si="6"/>
        <v>884852.81247553509</v>
      </c>
      <c r="AE7" s="28">
        <f t="shared" si="6"/>
        <v>889282.54133791255</v>
      </c>
      <c r="AF7" s="28">
        <f t="shared" si="6"/>
        <v>893734.41884460195</v>
      </c>
      <c r="AG7" s="28">
        <f t="shared" si="6"/>
        <v>929527.5139983861</v>
      </c>
      <c r="AH7" s="28">
        <f t="shared" si="6"/>
        <v>934180.6163683777</v>
      </c>
      <c r="AI7" s="28">
        <f t="shared" si="6"/>
        <v>938856.98425021942</v>
      </c>
      <c r="AJ7" s="28">
        <f t="shared" si="6"/>
        <v>943556.7339714705</v>
      </c>
      <c r="AK7" s="28">
        <f t="shared" si="6"/>
        <v>948279.98244132765</v>
      </c>
      <c r="AL7" s="28">
        <f t="shared" si="6"/>
        <v>986254.90013898083</v>
      </c>
      <c r="AM7" s="28">
        <f t="shared" si="6"/>
        <v>991191.63943967561</v>
      </c>
      <c r="AN7" s="28">
        <f t="shared" si="6"/>
        <v>996153.06243687391</v>
      </c>
      <c r="AO7" s="28">
        <f t="shared" si="6"/>
        <v>1001139.2925490581</v>
      </c>
      <c r="AP7" s="28">
        <f t="shared" si="6"/>
        <v>1041228.5826510201</v>
      </c>
      <c r="AQ7" s="28">
        <f t="shared" si="6"/>
        <v>1046440.1903642752</v>
      </c>
      <c r="AR7" s="28">
        <f t="shared" si="6"/>
        <v>1051677.8561160965</v>
      </c>
      <c r="AS7" s="28">
        <f t="shared" si="6"/>
        <v>1056941.7101966767</v>
      </c>
      <c r="AT7" s="28">
        <f t="shared" si="6"/>
        <v>1062231.8835476602</v>
      </c>
      <c r="AU7" s="28">
        <f t="shared" si="6"/>
        <v>1067548.5077653984</v>
      </c>
      <c r="AV7" s="28">
        <f t="shared" si="6"/>
        <v>1072891.7151042253</v>
      </c>
      <c r="AW7" s="28">
        <f t="shared" si="6"/>
        <v>1078261.6384797464</v>
      </c>
      <c r="AX7" s="28">
        <f t="shared" ref="AX7:BB7" si="7">AX6*(1-$B$4)</f>
        <v>1083658.411472145</v>
      </c>
      <c r="AY7" s="28">
        <f t="shared" si="7"/>
        <v>1089082.1683295055</v>
      </c>
      <c r="AZ7" s="28">
        <f t="shared" si="7"/>
        <v>1094533.043971153</v>
      </c>
      <c r="BA7" s="28">
        <f t="shared" si="7"/>
        <v>1100011.1739910087</v>
      </c>
      <c r="BB7" s="28">
        <f t="shared" si="7"/>
        <v>1105516.6946609635</v>
      </c>
      <c r="BI7" s="2">
        <v>40335.339580947832</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41626.177669199074</v>
      </c>
    </row>
    <row r="9" spans="1:61" x14ac:dyDescent="0.2">
      <c r="A9" s="2" t="str">
        <v>Municipal Tax (%)</v>
      </c>
      <c r="B9" s="25">
        <v>0.25</v>
      </c>
      <c r="D9" s="2" t="s">
        <v>235</v>
      </c>
      <c r="E9" s="28">
        <f t="shared" ref="E9:AW9" si="9">E7-E8</f>
        <v>558879.55050559831</v>
      </c>
      <c r="F9" s="28">
        <f t="shared" si="9"/>
        <v>561937.41305812623</v>
      </c>
      <c r="G9" s="28">
        <f t="shared" si="9"/>
        <v>565010.56492341694</v>
      </c>
      <c r="H9" s="28">
        <f t="shared" si="9"/>
        <v>590731.53931130923</v>
      </c>
      <c r="I9" s="28">
        <f t="shared" si="9"/>
        <v>593948.6618078656</v>
      </c>
      <c r="J9" s="28">
        <f t="shared" si="9"/>
        <v>597181.86991690495</v>
      </c>
      <c r="K9" s="28">
        <f t="shared" si="9"/>
        <v>600431.24406648951</v>
      </c>
      <c r="L9" s="28">
        <f t="shared" si="9"/>
        <v>627627.12404303555</v>
      </c>
      <c r="M9" s="28">
        <f t="shared" si="9"/>
        <v>631028.72446325072</v>
      </c>
      <c r="N9" s="28">
        <f t="shared" si="9"/>
        <v>634447.33288556687</v>
      </c>
      <c r="O9" s="28">
        <f t="shared" si="9"/>
        <v>637883.0343499945</v>
      </c>
      <c r="P9" s="28">
        <f t="shared" si="9"/>
        <v>666638.39472416707</v>
      </c>
      <c r="Q9" s="28">
        <f t="shared" si="9"/>
        <v>670235.05149778782</v>
      </c>
      <c r="R9" s="28">
        <f t="shared" si="9"/>
        <v>673849.69155527663</v>
      </c>
      <c r="S9" s="28">
        <f t="shared" si="9"/>
        <v>704102.69186749193</v>
      </c>
      <c r="T9" s="28">
        <f t="shared" si="9"/>
        <v>707886.6701268293</v>
      </c>
      <c r="U9" s="28">
        <f t="shared" si="9"/>
        <v>711689.56827746343</v>
      </c>
      <c r="V9" s="28">
        <f t="shared" si="9"/>
        <v>742264.86940856162</v>
      </c>
      <c r="W9" s="28">
        <f t="shared" si="9"/>
        <v>746239.65855560452</v>
      </c>
      <c r="X9" s="28">
        <f t="shared" si="9"/>
        <v>750234.32164838247</v>
      </c>
      <c r="Y9" s="28">
        <f t="shared" si="9"/>
        <v>754248.95805662428</v>
      </c>
      <c r="Z9" s="28">
        <f t="shared" si="9"/>
        <v>786526.63477888925</v>
      </c>
      <c r="AA9" s="28">
        <f t="shared" si="9"/>
        <v>790722.73275278357</v>
      </c>
      <c r="AB9" s="28">
        <f t="shared" si="9"/>
        <v>794939.81121654739</v>
      </c>
      <c r="AC9" s="28">
        <f t="shared" si="9"/>
        <v>799177.97507262998</v>
      </c>
      <c r="AD9" s="28">
        <f t="shared" si="9"/>
        <v>833252.81247553509</v>
      </c>
      <c r="AE9" s="28">
        <f t="shared" si="9"/>
        <v>837682.54133791255</v>
      </c>
      <c r="AF9" s="28">
        <f t="shared" si="9"/>
        <v>842134.41884460195</v>
      </c>
      <c r="AG9" s="28">
        <f t="shared" si="9"/>
        <v>877927.5139983861</v>
      </c>
      <c r="AH9" s="28">
        <f t="shared" si="9"/>
        <v>882580.6163683777</v>
      </c>
      <c r="AI9" s="28">
        <f t="shared" si="9"/>
        <v>887256.98425021942</v>
      </c>
      <c r="AJ9" s="28">
        <f t="shared" si="9"/>
        <v>891956.7339714705</v>
      </c>
      <c r="AK9" s="28">
        <f t="shared" si="9"/>
        <v>896679.98244132765</v>
      </c>
      <c r="AL9" s="28">
        <f t="shared" si="9"/>
        <v>934654.90013898083</v>
      </c>
      <c r="AM9" s="28">
        <f t="shared" si="9"/>
        <v>939591.63943967561</v>
      </c>
      <c r="AN9" s="28">
        <f t="shared" si="9"/>
        <v>944553.06243687391</v>
      </c>
      <c r="AO9" s="28">
        <f t="shared" si="9"/>
        <v>949539.2925490581</v>
      </c>
      <c r="AP9" s="28">
        <f t="shared" si="9"/>
        <v>989628.58265102014</v>
      </c>
      <c r="AQ9" s="28">
        <f t="shared" si="9"/>
        <v>994840.19036427524</v>
      </c>
      <c r="AR9" s="28">
        <f t="shared" si="9"/>
        <v>1000077.8561160965</v>
      </c>
      <c r="AS9" s="28">
        <f t="shared" si="9"/>
        <v>1005341.7101966767</v>
      </c>
      <c r="AT9" s="28">
        <f t="shared" si="9"/>
        <v>1010631.8835476602</v>
      </c>
      <c r="AU9" s="28">
        <f t="shared" si="9"/>
        <v>1015948.5077653984</v>
      </c>
      <c r="AV9" s="28">
        <f t="shared" si="9"/>
        <v>1021291.7151042253</v>
      </c>
      <c r="AW9" s="28">
        <f t="shared" si="9"/>
        <v>1026661.6384797464</v>
      </c>
      <c r="AX9" s="28">
        <f t="shared" ref="AX9:BB9" si="10">AX7-AX8</f>
        <v>1032058.411472145</v>
      </c>
      <c r="AY9" s="28">
        <f t="shared" si="10"/>
        <v>1037482.1683295055</v>
      </c>
      <c r="AZ9" s="28">
        <f t="shared" si="10"/>
        <v>1042933.043971153</v>
      </c>
      <c r="BA9" s="28">
        <f t="shared" si="10"/>
        <v>1048411.1739910087</v>
      </c>
      <c r="BB9" s="28">
        <f t="shared" si="10"/>
        <v>1053916.6946609635</v>
      </c>
      <c r="BI9" s="2">
        <v>41793.986620671734</v>
      </c>
    </row>
    <row r="10" spans="1:61" x14ac:dyDescent="0.2">
      <c r="A10" s="2" t="str">
        <v>Capital Gains &lt; 67,500DKK</v>
      </c>
      <c r="B10" s="28">
        <v>0.27</v>
      </c>
      <c r="D10" s="2" t="s">
        <v>189</v>
      </c>
      <c r="E10" s="28">
        <f t="shared" ref="E10:AW10" si="11">E7*$B$9</f>
        <v>152619.88762639958</v>
      </c>
      <c r="F10" s="28">
        <f t="shared" si="11"/>
        <v>153384.35326453156</v>
      </c>
      <c r="G10" s="28">
        <f t="shared" si="11"/>
        <v>154152.64123085423</v>
      </c>
      <c r="H10" s="28">
        <f t="shared" si="11"/>
        <v>160582.88482782731</v>
      </c>
      <c r="I10" s="28">
        <f t="shared" si="11"/>
        <v>161387.1654519664</v>
      </c>
      <c r="J10" s="28">
        <f t="shared" si="11"/>
        <v>162195.46747922624</v>
      </c>
      <c r="K10" s="28">
        <f t="shared" si="11"/>
        <v>163007.81101662238</v>
      </c>
      <c r="L10" s="28">
        <f t="shared" si="11"/>
        <v>169806.78101075889</v>
      </c>
      <c r="M10" s="28">
        <f t="shared" si="11"/>
        <v>170657.18111581268</v>
      </c>
      <c r="N10" s="28">
        <f t="shared" si="11"/>
        <v>171511.83322139172</v>
      </c>
      <c r="O10" s="28">
        <f t="shared" si="11"/>
        <v>172370.75858749863</v>
      </c>
      <c r="P10" s="28">
        <f t="shared" si="11"/>
        <v>179559.59868104177</v>
      </c>
      <c r="Q10" s="28">
        <f t="shared" si="11"/>
        <v>180458.76287444695</v>
      </c>
      <c r="R10" s="28">
        <f t="shared" si="11"/>
        <v>181362.42288881916</v>
      </c>
      <c r="S10" s="28">
        <f t="shared" si="11"/>
        <v>188925.67296687298</v>
      </c>
      <c r="T10" s="28">
        <f t="shared" si="11"/>
        <v>189871.66753170732</v>
      </c>
      <c r="U10" s="28">
        <f t="shared" si="11"/>
        <v>190822.39206936586</v>
      </c>
      <c r="V10" s="28">
        <f t="shared" si="11"/>
        <v>198466.2173521404</v>
      </c>
      <c r="W10" s="28">
        <f t="shared" si="11"/>
        <v>199459.91463890113</v>
      </c>
      <c r="X10" s="28">
        <f t="shared" si="11"/>
        <v>200458.58041209562</v>
      </c>
      <c r="Y10" s="28">
        <f t="shared" si="11"/>
        <v>201462.23951415607</v>
      </c>
      <c r="Z10" s="28">
        <f t="shared" si="11"/>
        <v>209531.65869472231</v>
      </c>
      <c r="AA10" s="28">
        <f t="shared" si="11"/>
        <v>210580.68318819589</v>
      </c>
      <c r="AB10" s="28">
        <f t="shared" si="11"/>
        <v>211634.95280413685</v>
      </c>
      <c r="AC10" s="28">
        <f t="shared" si="11"/>
        <v>212694.4937681575</v>
      </c>
      <c r="AD10" s="28">
        <f t="shared" si="11"/>
        <v>221213.20311888377</v>
      </c>
      <c r="AE10" s="28">
        <f t="shared" si="11"/>
        <v>222320.63533447814</v>
      </c>
      <c r="AF10" s="28">
        <f t="shared" si="11"/>
        <v>223433.60471115049</v>
      </c>
      <c r="AG10" s="28">
        <f t="shared" si="11"/>
        <v>232381.87849959653</v>
      </c>
      <c r="AH10" s="28">
        <f t="shared" si="11"/>
        <v>233545.15409209442</v>
      </c>
      <c r="AI10" s="28">
        <f t="shared" si="11"/>
        <v>234714.24606255486</v>
      </c>
      <c r="AJ10" s="28">
        <f t="shared" si="11"/>
        <v>235889.18349286763</v>
      </c>
      <c r="AK10" s="28">
        <f t="shared" si="11"/>
        <v>237069.99561033191</v>
      </c>
      <c r="AL10" s="28">
        <f t="shared" si="11"/>
        <v>246563.72503474521</v>
      </c>
      <c r="AM10" s="28">
        <f t="shared" si="11"/>
        <v>247797.9098599189</v>
      </c>
      <c r="AN10" s="28">
        <f t="shared" si="11"/>
        <v>249038.26560921848</v>
      </c>
      <c r="AO10" s="28">
        <f t="shared" si="11"/>
        <v>250284.82313726452</v>
      </c>
      <c r="AP10" s="28">
        <f t="shared" si="11"/>
        <v>260307.14566275504</v>
      </c>
      <c r="AQ10" s="28">
        <f t="shared" si="11"/>
        <v>261610.04759106881</v>
      </c>
      <c r="AR10" s="28">
        <f t="shared" si="11"/>
        <v>262919.46402902412</v>
      </c>
      <c r="AS10" s="28">
        <f t="shared" si="11"/>
        <v>264235.42754916917</v>
      </c>
      <c r="AT10" s="28">
        <f t="shared" si="11"/>
        <v>265557.97088691505</v>
      </c>
      <c r="AU10" s="28">
        <f t="shared" si="11"/>
        <v>266887.12694134959</v>
      </c>
      <c r="AV10" s="28">
        <f t="shared" si="11"/>
        <v>268222.92877605633</v>
      </c>
      <c r="AW10" s="28">
        <f t="shared" si="11"/>
        <v>269565.4096199366</v>
      </c>
      <c r="AX10" s="28">
        <f t="shared" ref="AX10:BB10" si="12">AX7*$B$9</f>
        <v>270914.60286803625</v>
      </c>
      <c r="AY10" s="28">
        <f t="shared" si="12"/>
        <v>272270.54208237637</v>
      </c>
      <c r="AZ10" s="28">
        <f t="shared" si="12"/>
        <v>273633.26099278824</v>
      </c>
      <c r="BA10" s="28">
        <f t="shared" si="12"/>
        <v>275002.79349775217</v>
      </c>
      <c r="BB10" s="28">
        <f t="shared" si="12"/>
        <v>276379.17366524087</v>
      </c>
      <c r="BI10" s="2">
        <v>41962.634616901756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1384.0686064553331</v>
      </c>
      <c r="M11" s="28">
        <f t="shared" si="13"/>
        <v>1894.3086694876081</v>
      </c>
      <c r="N11" s="28">
        <f t="shared" si="13"/>
        <v>2407.0999328350299</v>
      </c>
      <c r="O11" s="28">
        <f t="shared" si="13"/>
        <v>2922.4551524991753</v>
      </c>
      <c r="P11" s="28">
        <f t="shared" si="13"/>
        <v>7235.7592086250597</v>
      </c>
      <c r="Q11" s="28">
        <f t="shared" si="13"/>
        <v>7775.2577246681722</v>
      </c>
      <c r="R11" s="28">
        <f t="shared" si="13"/>
        <v>8317.4537332914933</v>
      </c>
      <c r="S11" s="28">
        <f t="shared" si="13"/>
        <v>12855.403780123788</v>
      </c>
      <c r="T11" s="28">
        <f t="shared" si="13"/>
        <v>13423.000519024394</v>
      </c>
      <c r="U11" s="28">
        <f t="shared" si="13"/>
        <v>13993.435241619514</v>
      </c>
      <c r="V11" s="28">
        <f t="shared" si="13"/>
        <v>18579.730411284243</v>
      </c>
      <c r="W11" s="28">
        <f t="shared" si="13"/>
        <v>19175.948783340678</v>
      </c>
      <c r="X11" s="28">
        <f t="shared" si="13"/>
        <v>19775.14824725737</v>
      </c>
      <c r="Y11" s="28">
        <f t="shared" si="13"/>
        <v>20377.343708493641</v>
      </c>
      <c r="Z11" s="28">
        <f t="shared" si="13"/>
        <v>25218.995216833388</v>
      </c>
      <c r="AA11" s="28">
        <f t="shared" si="13"/>
        <v>25848.409912917534</v>
      </c>
      <c r="AB11" s="28">
        <f t="shared" si="13"/>
        <v>26480.971682482108</v>
      </c>
      <c r="AC11" s="28">
        <f t="shared" si="13"/>
        <v>27116.696260894496</v>
      </c>
      <c r="AD11" s="28">
        <f t="shared" si="13"/>
        <v>32227.921871330262</v>
      </c>
      <c r="AE11" s="28">
        <f t="shared" si="13"/>
        <v>32892.381200686883</v>
      </c>
      <c r="AF11" s="28">
        <f t="shared" si="13"/>
        <v>33560.162826690292</v>
      </c>
      <c r="AG11" s="28">
        <f t="shared" si="13"/>
        <v>38929.127099757912</v>
      </c>
      <c r="AH11" s="28">
        <f t="shared" si="13"/>
        <v>39627.09245525665</v>
      </c>
      <c r="AI11" s="28">
        <f t="shared" si="13"/>
        <v>40328.547637532909</v>
      </c>
      <c r="AJ11" s="28">
        <f t="shared" si="13"/>
        <v>41033.510095720572</v>
      </c>
      <c r="AK11" s="28">
        <f t="shared" si="13"/>
        <v>41741.997366199146</v>
      </c>
      <c r="AL11" s="28">
        <f t="shared" si="13"/>
        <v>47438.235020847125</v>
      </c>
      <c r="AM11" s="28">
        <f t="shared" si="13"/>
        <v>48178.745915951338</v>
      </c>
      <c r="AN11" s="28">
        <f t="shared" si="13"/>
        <v>48922.959365531082</v>
      </c>
      <c r="AO11" s="28">
        <f t="shared" si="13"/>
        <v>49670.893882358716</v>
      </c>
      <c r="AP11" s="28">
        <f t="shared" si="13"/>
        <v>55684.287397653017</v>
      </c>
      <c r="AQ11" s="28">
        <f t="shared" si="13"/>
        <v>56466.028554641285</v>
      </c>
      <c r="AR11" s="28">
        <f t="shared" si="13"/>
        <v>57251.67841741447</v>
      </c>
      <c r="AS11" s="28">
        <f t="shared" si="13"/>
        <v>58041.256529501501</v>
      </c>
      <c r="AT11" s="28">
        <f t="shared" si="13"/>
        <v>58834.782532149031</v>
      </c>
      <c r="AU11" s="28">
        <f t="shared" si="13"/>
        <v>59632.276164809751</v>
      </c>
      <c r="AV11" s="28">
        <f t="shared" si="13"/>
        <v>60433.757265633794</v>
      </c>
      <c r="AW11" s="28">
        <f t="shared" si="13"/>
        <v>61239.245771961956</v>
      </c>
      <c r="AX11" s="28">
        <f t="shared" ref="AX11:BB11" si="14">MAX(AX9-$B$8,0)*$B$7</f>
        <v>62048.761720821749</v>
      </c>
      <c r="AY11" s="28">
        <f t="shared" si="14"/>
        <v>62862.325249425819</v>
      </c>
      <c r="AZ11" s="28">
        <f t="shared" si="14"/>
        <v>63679.956595672942</v>
      </c>
      <c r="BA11" s="28">
        <f t="shared" si="14"/>
        <v>64501.676098651296</v>
      </c>
      <c r="BB11" s="28">
        <f t="shared" si="14"/>
        <v>65327.504199144518</v>
      </c>
      <c r="BI11" s="2">
        <v>42132.125853112928</v>
      </c>
    </row>
    <row r="12" spans="1:61" x14ac:dyDescent="0.2">
      <c r="A12" s="2" t="str">
        <v>Capital Gains Threshold</v>
      </c>
      <c r="B12" s="53">
        <v>67500</v>
      </c>
      <c r="D12" s="2" t="s">
        <v>191</v>
      </c>
      <c r="E12" s="28">
        <f t="shared" ref="E12:AW12" si="15">E9*$B$6</f>
        <v>67121.434015722349</v>
      </c>
      <c r="F12" s="28">
        <f t="shared" si="15"/>
        <v>67488.683308280961</v>
      </c>
      <c r="G12" s="28">
        <f t="shared" si="15"/>
        <v>67857.768847302374</v>
      </c>
      <c r="H12" s="28">
        <f t="shared" si="15"/>
        <v>70946.857871288244</v>
      </c>
      <c r="I12" s="28">
        <f t="shared" si="15"/>
        <v>71333.234283124664</v>
      </c>
      <c r="J12" s="28">
        <f t="shared" si="15"/>
        <v>71721.542577020286</v>
      </c>
      <c r="K12" s="28">
        <f t="shared" si="15"/>
        <v>72111.792412385388</v>
      </c>
      <c r="L12" s="28">
        <f t="shared" si="15"/>
        <v>75378.017597568571</v>
      </c>
      <c r="M12" s="28">
        <f t="shared" si="15"/>
        <v>75786.549808036405</v>
      </c>
      <c r="N12" s="28">
        <f t="shared" si="15"/>
        <v>76197.124679556582</v>
      </c>
      <c r="O12" s="28">
        <f t="shared" si="15"/>
        <v>76609.752425434344</v>
      </c>
      <c r="P12" s="28">
        <f t="shared" si="15"/>
        <v>80063.271206372461</v>
      </c>
      <c r="Q12" s="28">
        <f t="shared" si="15"/>
        <v>80495.229684884311</v>
      </c>
      <c r="R12" s="28">
        <f t="shared" si="15"/>
        <v>80929.347955788719</v>
      </c>
      <c r="S12" s="28">
        <f t="shared" si="15"/>
        <v>84562.733293285783</v>
      </c>
      <c r="T12" s="28">
        <f t="shared" si="15"/>
        <v>85017.189082232202</v>
      </c>
      <c r="U12" s="28">
        <f t="shared" si="15"/>
        <v>85473.91715012335</v>
      </c>
      <c r="V12" s="28">
        <f t="shared" si="15"/>
        <v>89146.010815968242</v>
      </c>
      <c r="W12" s="28">
        <f t="shared" si="15"/>
        <v>89623.382992528102</v>
      </c>
      <c r="X12" s="28">
        <f t="shared" si="15"/>
        <v>90103.142029970739</v>
      </c>
      <c r="Y12" s="28">
        <f t="shared" si="15"/>
        <v>90585.299862600572</v>
      </c>
      <c r="Z12" s="28">
        <f t="shared" si="15"/>
        <v>94461.848836944599</v>
      </c>
      <c r="AA12" s="28">
        <f t="shared" si="15"/>
        <v>94965.800203609309</v>
      </c>
      <c r="AB12" s="28">
        <f t="shared" si="15"/>
        <v>95472.271327107344</v>
      </c>
      <c r="AC12" s="28">
        <f t="shared" si="15"/>
        <v>95981.274806222864</v>
      </c>
      <c r="AD12" s="28">
        <f t="shared" si="15"/>
        <v>100073.66277831176</v>
      </c>
      <c r="AE12" s="28">
        <f t="shared" si="15"/>
        <v>100605.67321468329</v>
      </c>
      <c r="AF12" s="28">
        <f t="shared" si="15"/>
        <v>101140.34370323669</v>
      </c>
      <c r="AG12" s="28">
        <f t="shared" si="15"/>
        <v>105439.09443120618</v>
      </c>
      <c r="AH12" s="28">
        <f t="shared" si="15"/>
        <v>105997.93202584216</v>
      </c>
      <c r="AI12" s="28">
        <f t="shared" si="15"/>
        <v>106559.56380845135</v>
      </c>
      <c r="AJ12" s="28">
        <f t="shared" si="15"/>
        <v>107124.00374997361</v>
      </c>
      <c r="AK12" s="28">
        <f t="shared" si="15"/>
        <v>107691.26589120345</v>
      </c>
      <c r="AL12" s="28">
        <f t="shared" si="15"/>
        <v>112252.05350669159</v>
      </c>
      <c r="AM12" s="28">
        <f t="shared" si="15"/>
        <v>112844.95589670504</v>
      </c>
      <c r="AN12" s="28">
        <f t="shared" si="15"/>
        <v>113440.82279866855</v>
      </c>
      <c r="AO12" s="28">
        <f t="shared" si="15"/>
        <v>114039.66903514188</v>
      </c>
      <c r="AP12" s="28">
        <f t="shared" si="15"/>
        <v>118854.39277638751</v>
      </c>
      <c r="AQ12" s="28">
        <f t="shared" si="15"/>
        <v>119480.30686274945</v>
      </c>
      <c r="AR12" s="28">
        <f t="shared" si="15"/>
        <v>120109.35051954319</v>
      </c>
      <c r="AS12" s="28">
        <f t="shared" si="15"/>
        <v>120741.53939462086</v>
      </c>
      <c r="AT12" s="28">
        <f t="shared" si="15"/>
        <v>121376.88921407399</v>
      </c>
      <c r="AU12" s="28">
        <f t="shared" si="15"/>
        <v>122015.41578262435</v>
      </c>
      <c r="AV12" s="28">
        <f t="shared" si="15"/>
        <v>122657.13498401747</v>
      </c>
      <c r="AW12" s="28">
        <f t="shared" si="15"/>
        <v>123302.06278141754</v>
      </c>
      <c r="AX12" s="28">
        <f t="shared" ref="AX12:BB12" si="16">AX9*$B$6</f>
        <v>123950.21521780461</v>
      </c>
      <c r="AY12" s="28">
        <f t="shared" si="16"/>
        <v>124601.60841637361</v>
      </c>
      <c r="AZ12" s="28">
        <f t="shared" si="16"/>
        <v>125256.25858093546</v>
      </c>
      <c r="BA12" s="28">
        <f t="shared" si="16"/>
        <v>125914.18199632014</v>
      </c>
      <c r="BB12" s="28">
        <f t="shared" si="16"/>
        <v>126575.39502878171</v>
      </c>
      <c r="BI12" s="2">
        <v>43494.835392250774</v>
      </c>
    </row>
    <row r="13" spans="1:61" x14ac:dyDescent="0.2">
      <c r="A13" s="2" t="s">
        <v>254</v>
      </c>
      <c r="B13" s="58">
        <v>99</v>
      </c>
      <c r="D13" s="2" t="s">
        <v>192</v>
      </c>
      <c r="E13" s="28">
        <f t="shared" ref="E13:AW13" si="17">SUM(E10:E12)</f>
        <v>219741.32164212194</v>
      </c>
      <c r="F13" s="28">
        <f t="shared" si="17"/>
        <v>220873.03657281253</v>
      </c>
      <c r="G13" s="28">
        <f t="shared" si="17"/>
        <v>222010.41007815662</v>
      </c>
      <c r="H13" s="28">
        <f t="shared" si="17"/>
        <v>231529.74269911554</v>
      </c>
      <c r="I13" s="28">
        <f t="shared" si="17"/>
        <v>232720.39973509108</v>
      </c>
      <c r="J13" s="28">
        <f t="shared" si="17"/>
        <v>233917.01005624654</v>
      </c>
      <c r="K13" s="28">
        <f t="shared" si="17"/>
        <v>235119.60342900775</v>
      </c>
      <c r="L13" s="28">
        <f t="shared" si="17"/>
        <v>246568.8672147828</v>
      </c>
      <c r="M13" s="28">
        <f t="shared" si="17"/>
        <v>248338.0395933367</v>
      </c>
      <c r="N13" s="28">
        <f t="shared" si="17"/>
        <v>250116.05783378333</v>
      </c>
      <c r="O13" s="28">
        <f t="shared" si="17"/>
        <v>251902.96616543212</v>
      </c>
      <c r="P13" s="28">
        <f t="shared" si="17"/>
        <v>266858.62909603928</v>
      </c>
      <c r="Q13" s="28">
        <f t="shared" si="17"/>
        <v>268729.25028399943</v>
      </c>
      <c r="R13" s="28">
        <f t="shared" si="17"/>
        <v>270609.22457789938</v>
      </c>
      <c r="S13" s="28">
        <f t="shared" si="17"/>
        <v>286343.81004028255</v>
      </c>
      <c r="T13" s="28">
        <f t="shared" si="17"/>
        <v>288311.85713296389</v>
      </c>
      <c r="U13" s="28">
        <f t="shared" si="17"/>
        <v>290289.7444611087</v>
      </c>
      <c r="V13" s="28">
        <f t="shared" si="17"/>
        <v>306191.95857939287</v>
      </c>
      <c r="W13" s="28">
        <f t="shared" si="17"/>
        <v>308259.24641476991</v>
      </c>
      <c r="X13" s="28">
        <f t="shared" si="17"/>
        <v>310336.87068932375</v>
      </c>
      <c r="Y13" s="28">
        <f t="shared" si="17"/>
        <v>312424.88308525027</v>
      </c>
      <c r="Z13" s="28">
        <f t="shared" si="17"/>
        <v>329212.50274850032</v>
      </c>
      <c r="AA13" s="28">
        <f t="shared" si="17"/>
        <v>331394.89330472273</v>
      </c>
      <c r="AB13" s="28">
        <f t="shared" si="17"/>
        <v>333588.19581372628</v>
      </c>
      <c r="AC13" s="28">
        <f t="shared" si="17"/>
        <v>335792.46483527485</v>
      </c>
      <c r="AD13" s="28">
        <f t="shared" si="17"/>
        <v>353514.78776852577</v>
      </c>
      <c r="AE13" s="28">
        <f t="shared" si="17"/>
        <v>355818.68974984833</v>
      </c>
      <c r="AF13" s="28">
        <f t="shared" si="17"/>
        <v>358134.11124107748</v>
      </c>
      <c r="AG13" s="28">
        <f t="shared" si="17"/>
        <v>376750.10003056063</v>
      </c>
      <c r="AH13" s="28">
        <f t="shared" si="17"/>
        <v>379170.17857319326</v>
      </c>
      <c r="AI13" s="28">
        <f t="shared" si="17"/>
        <v>381602.35750853911</v>
      </c>
      <c r="AJ13" s="28">
        <f t="shared" si="17"/>
        <v>384046.69733856182</v>
      </c>
      <c r="AK13" s="28">
        <f t="shared" si="17"/>
        <v>386503.25886773446</v>
      </c>
      <c r="AL13" s="28">
        <f t="shared" si="17"/>
        <v>406254.01356228394</v>
      </c>
      <c r="AM13" s="28">
        <f t="shared" si="17"/>
        <v>408821.61167257529</v>
      </c>
      <c r="AN13" s="28">
        <f t="shared" si="17"/>
        <v>411402.04777341813</v>
      </c>
      <c r="AO13" s="28">
        <f t="shared" si="17"/>
        <v>413995.38605476514</v>
      </c>
      <c r="AP13" s="28">
        <f t="shared" si="17"/>
        <v>434845.82583679556</v>
      </c>
      <c r="AQ13" s="28">
        <f t="shared" si="17"/>
        <v>437556.38300845952</v>
      </c>
      <c r="AR13" s="28">
        <f t="shared" si="17"/>
        <v>440280.49296598183</v>
      </c>
      <c r="AS13" s="28">
        <f t="shared" si="17"/>
        <v>443018.22347329155</v>
      </c>
      <c r="AT13" s="28">
        <f t="shared" si="17"/>
        <v>445769.64263313811</v>
      </c>
      <c r="AU13" s="28">
        <f t="shared" si="17"/>
        <v>448534.81888878369</v>
      </c>
      <c r="AV13" s="28">
        <f t="shared" si="17"/>
        <v>451313.82102570758</v>
      </c>
      <c r="AW13" s="28">
        <f t="shared" si="17"/>
        <v>454106.7181733161</v>
      </c>
      <c r="AX13" s="28">
        <f t="shared" ref="AX13:BB13" si="18">SUM(AX10:AX12)</f>
        <v>456913.57980666257</v>
      </c>
      <c r="AY13" s="28">
        <f t="shared" si="18"/>
        <v>459734.47574817581</v>
      </c>
      <c r="AZ13" s="28">
        <f t="shared" si="18"/>
        <v>462569.47616939666</v>
      </c>
      <c r="BA13" s="28">
        <f t="shared" si="18"/>
        <v>465418.65159272362</v>
      </c>
      <c r="BB13" s="28">
        <f t="shared" si="18"/>
        <v>468282.07289316715</v>
      </c>
      <c r="BI13" s="2">
        <v>43671.987632338685</v>
      </c>
    </row>
    <row r="14" spans="1:61" x14ac:dyDescent="0.2">
      <c r="A14" s="2" t="s">
        <v>255</v>
      </c>
      <c r="B14" s="28">
        <f>B13*12</f>
        <v>1188</v>
      </c>
      <c r="D14" s="2" t="s">
        <v>193</v>
      </c>
      <c r="E14" s="28">
        <f>E7-E13</f>
        <v>390738.22886347637</v>
      </c>
      <c r="F14" s="28">
        <f t="shared" ref="F14:AW14" si="19">F7-F13</f>
        <v>392664.3764853137</v>
      </c>
      <c r="G14" s="28">
        <f t="shared" si="19"/>
        <v>394600.15484526032</v>
      </c>
      <c r="H14" s="28">
        <f t="shared" si="19"/>
        <v>410801.79661219369</v>
      </c>
      <c r="I14" s="28">
        <f t="shared" si="19"/>
        <v>412828.26207277452</v>
      </c>
      <c r="J14" s="28">
        <f t="shared" si="19"/>
        <v>414864.85986065841</v>
      </c>
      <c r="K14" s="28">
        <f t="shared" si="19"/>
        <v>416911.64063748176</v>
      </c>
      <c r="L14" s="28">
        <f t="shared" si="19"/>
        <v>432658.25682825275</v>
      </c>
      <c r="M14" s="28">
        <f t="shared" si="19"/>
        <v>434290.68486991402</v>
      </c>
      <c r="N14" s="28">
        <f t="shared" si="19"/>
        <v>435931.27505178354</v>
      </c>
      <c r="O14" s="28">
        <f t="shared" si="19"/>
        <v>437580.06818456238</v>
      </c>
      <c r="P14" s="28">
        <f t="shared" si="19"/>
        <v>451379.76562812779</v>
      </c>
      <c r="Q14" s="28">
        <f t="shared" si="19"/>
        <v>453105.80121378839</v>
      </c>
      <c r="R14" s="28">
        <f t="shared" si="19"/>
        <v>454840.46697737725</v>
      </c>
      <c r="S14" s="28">
        <f t="shared" si="19"/>
        <v>469358.88182720938</v>
      </c>
      <c r="T14" s="28">
        <f t="shared" si="19"/>
        <v>471174.8129938654</v>
      </c>
      <c r="U14" s="28">
        <f t="shared" si="19"/>
        <v>472999.82381635474</v>
      </c>
      <c r="V14" s="28">
        <f t="shared" si="19"/>
        <v>487672.91082916874</v>
      </c>
      <c r="W14" s="28">
        <f t="shared" si="19"/>
        <v>489580.41214083461</v>
      </c>
      <c r="X14" s="28">
        <f t="shared" si="19"/>
        <v>491497.45095905871</v>
      </c>
      <c r="Y14" s="28">
        <f t="shared" si="19"/>
        <v>493424.07497137401</v>
      </c>
      <c r="Z14" s="28">
        <f t="shared" si="19"/>
        <v>508914.13203038892</v>
      </c>
      <c r="AA14" s="28">
        <f t="shared" si="19"/>
        <v>510927.83944806084</v>
      </c>
      <c r="AB14" s="28">
        <f t="shared" si="19"/>
        <v>512951.6154028211</v>
      </c>
      <c r="AC14" s="28">
        <f t="shared" si="19"/>
        <v>514985.51023735513</v>
      </c>
      <c r="AD14" s="28">
        <f t="shared" si="19"/>
        <v>531338.02470700932</v>
      </c>
      <c r="AE14" s="28">
        <f t="shared" si="19"/>
        <v>533463.85158806422</v>
      </c>
      <c r="AF14" s="28">
        <f t="shared" si="19"/>
        <v>535600.30760352453</v>
      </c>
      <c r="AG14" s="28">
        <f t="shared" si="19"/>
        <v>552777.41396782547</v>
      </c>
      <c r="AH14" s="28">
        <f t="shared" si="19"/>
        <v>555010.43779518444</v>
      </c>
      <c r="AI14" s="28">
        <f t="shared" si="19"/>
        <v>557254.62674168032</v>
      </c>
      <c r="AJ14" s="28">
        <f t="shared" si="19"/>
        <v>559510.03663290874</v>
      </c>
      <c r="AK14" s="28">
        <f t="shared" si="19"/>
        <v>561776.72357359319</v>
      </c>
      <c r="AL14" s="28">
        <f t="shared" si="19"/>
        <v>580000.88657669688</v>
      </c>
      <c r="AM14" s="28">
        <f t="shared" si="19"/>
        <v>582370.02776710037</v>
      </c>
      <c r="AN14" s="28">
        <f t="shared" si="19"/>
        <v>584751.01466345578</v>
      </c>
      <c r="AO14" s="28">
        <f t="shared" si="19"/>
        <v>587143.9064942929</v>
      </c>
      <c r="AP14" s="28">
        <f t="shared" si="19"/>
        <v>606382.75681422465</v>
      </c>
      <c r="AQ14" s="28">
        <f t="shared" si="19"/>
        <v>608883.80735581578</v>
      </c>
      <c r="AR14" s="28">
        <f t="shared" si="19"/>
        <v>611397.36315011466</v>
      </c>
      <c r="AS14" s="28">
        <f t="shared" si="19"/>
        <v>613923.48672338505</v>
      </c>
      <c r="AT14" s="28">
        <f t="shared" si="19"/>
        <v>616462.24091452209</v>
      </c>
      <c r="AU14" s="28">
        <f t="shared" si="19"/>
        <v>619013.68887661467</v>
      </c>
      <c r="AV14" s="28">
        <f t="shared" si="19"/>
        <v>621577.8940785178</v>
      </c>
      <c r="AW14" s="28">
        <f t="shared" si="19"/>
        <v>624154.92030643031</v>
      </c>
      <c r="AX14" s="28">
        <f t="shared" ref="AX14:BB14" si="20">AX7-AX13</f>
        <v>626744.83166548237</v>
      </c>
      <c r="AY14" s="28">
        <f t="shared" si="20"/>
        <v>629347.69258132973</v>
      </c>
      <c r="AZ14" s="28">
        <f t="shared" si="20"/>
        <v>631963.56780175632</v>
      </c>
      <c r="BA14" s="28">
        <f t="shared" si="20"/>
        <v>634592.5223982851</v>
      </c>
      <c r="BB14" s="28">
        <f t="shared" si="20"/>
        <v>637234.62176779634</v>
      </c>
      <c r="BI14" s="2">
        <v>43850.025633627047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45281.451163985454</v>
      </c>
    </row>
    <row r="16" spans="1:61" x14ac:dyDescent="0.2">
      <c r="D16" s="2" t="s">
        <v>267</v>
      </c>
      <c r="E16" s="28">
        <f>E14-E15</f>
        <v>381338.22886347637</v>
      </c>
      <c r="F16" s="28">
        <f t="shared" ref="F16:AW16" si="22">F14-F15</f>
        <v>383264.3764853137</v>
      </c>
      <c r="G16" s="28">
        <f t="shared" si="22"/>
        <v>385200.15484526032</v>
      </c>
      <c r="H16" s="28">
        <f t="shared" si="22"/>
        <v>401401.79661219369</v>
      </c>
      <c r="I16" s="28">
        <f t="shared" si="22"/>
        <v>403428.26207277452</v>
      </c>
      <c r="J16" s="28">
        <f t="shared" si="22"/>
        <v>405464.85986065841</v>
      </c>
      <c r="K16" s="28">
        <f t="shared" si="22"/>
        <v>407511.64063748176</v>
      </c>
      <c r="L16" s="28">
        <f t="shared" si="22"/>
        <v>423258.25682825275</v>
      </c>
      <c r="M16" s="28">
        <f t="shared" si="22"/>
        <v>424890.68486991402</v>
      </c>
      <c r="N16" s="28">
        <f t="shared" si="22"/>
        <v>426531.27505178354</v>
      </c>
      <c r="O16" s="28">
        <f t="shared" si="22"/>
        <v>428180.06818456238</v>
      </c>
      <c r="P16" s="28">
        <f t="shared" si="22"/>
        <v>441979.76562812779</v>
      </c>
      <c r="Q16" s="28">
        <f t="shared" si="22"/>
        <v>443705.80121378839</v>
      </c>
      <c r="R16" s="28">
        <f t="shared" si="22"/>
        <v>445440.46697737725</v>
      </c>
      <c r="S16" s="28">
        <f t="shared" si="22"/>
        <v>459958.88182720938</v>
      </c>
      <c r="T16" s="28">
        <f t="shared" si="22"/>
        <v>461774.8129938654</v>
      </c>
      <c r="U16" s="28">
        <f t="shared" si="22"/>
        <v>463599.82381635474</v>
      </c>
      <c r="V16" s="28">
        <f t="shared" si="22"/>
        <v>478272.91082916874</v>
      </c>
      <c r="W16" s="28">
        <f t="shared" si="22"/>
        <v>480180.41214083461</v>
      </c>
      <c r="X16" s="28">
        <f t="shared" si="22"/>
        <v>482097.45095905871</v>
      </c>
      <c r="Y16" s="28">
        <f t="shared" si="22"/>
        <v>484024.07497137401</v>
      </c>
      <c r="Z16" s="28">
        <f t="shared" si="22"/>
        <v>499514.13203038892</v>
      </c>
      <c r="AA16" s="28">
        <f t="shared" si="22"/>
        <v>501527.83944806084</v>
      </c>
      <c r="AB16" s="28">
        <f t="shared" si="22"/>
        <v>503551.6154028211</v>
      </c>
      <c r="AC16" s="28">
        <f t="shared" si="22"/>
        <v>505585.51023735513</v>
      </c>
      <c r="AD16" s="28">
        <f t="shared" si="22"/>
        <v>521938.02470700932</v>
      </c>
      <c r="AE16" s="28">
        <f t="shared" si="22"/>
        <v>524063.85158806422</v>
      </c>
      <c r="AF16" s="28">
        <f t="shared" si="22"/>
        <v>526200.30760352453</v>
      </c>
      <c r="AG16" s="28">
        <f t="shared" si="22"/>
        <v>543377.41396782547</v>
      </c>
      <c r="AH16" s="28">
        <f t="shared" si="22"/>
        <v>545610.43779518444</v>
      </c>
      <c r="AI16" s="28">
        <f t="shared" si="22"/>
        <v>547854.62674168032</v>
      </c>
      <c r="AJ16" s="28">
        <f t="shared" si="22"/>
        <v>550110.03663290874</v>
      </c>
      <c r="AK16" s="28">
        <f t="shared" si="22"/>
        <v>552376.72357359319</v>
      </c>
      <c r="AL16" s="28">
        <f t="shared" si="22"/>
        <v>570600.88657669688</v>
      </c>
      <c r="AM16" s="28">
        <f t="shared" si="22"/>
        <v>572970.02776710037</v>
      </c>
      <c r="AN16" s="28">
        <f t="shared" si="22"/>
        <v>575351.01466345578</v>
      </c>
      <c r="AO16" s="28">
        <f t="shared" si="22"/>
        <v>577743.9064942929</v>
      </c>
      <c r="AP16" s="28">
        <f t="shared" si="22"/>
        <v>596982.75681422465</v>
      </c>
      <c r="AQ16" s="28">
        <f t="shared" si="22"/>
        <v>599483.80735581578</v>
      </c>
      <c r="AR16" s="28">
        <f t="shared" si="22"/>
        <v>601997.36315011466</v>
      </c>
      <c r="AS16" s="28">
        <f t="shared" si="22"/>
        <v>604523.48672338505</v>
      </c>
      <c r="AT16" s="28">
        <f t="shared" si="22"/>
        <v>607062.24091452209</v>
      </c>
      <c r="AU16" s="28">
        <f t="shared" si="22"/>
        <v>609613.68887661467</v>
      </c>
      <c r="AV16" s="28">
        <f t="shared" si="22"/>
        <v>612177.8940785178</v>
      </c>
      <c r="AW16" s="28">
        <f t="shared" si="22"/>
        <v>614754.92030643031</v>
      </c>
      <c r="AX16" s="28">
        <f t="shared" ref="AX16:BB16" si="23">AX14-AX15</f>
        <v>617344.83166548237</v>
      </c>
      <c r="AY16" s="28">
        <f t="shared" si="23"/>
        <v>619947.69258132973</v>
      </c>
      <c r="AZ16" s="28">
        <f t="shared" si="23"/>
        <v>622563.56780175632</v>
      </c>
      <c r="BA16" s="28">
        <f t="shared" si="23"/>
        <v>625192.5223982851</v>
      </c>
      <c r="BB16" s="28">
        <f t="shared" si="23"/>
        <v>627834.62176779634</v>
      </c>
      <c r="BI16" s="2">
        <v>45467.536482932039</v>
      </c>
    </row>
    <row r="17" spans="4:61" x14ac:dyDescent="0.2">
      <c r="D17" s="2" t="s">
        <v>196</v>
      </c>
      <c r="E17" s="28">
        <f>E16/12</f>
        <v>31778.185738623029</v>
      </c>
      <c r="F17" s="28">
        <f t="shared" ref="F17:AW17" si="24">F16/12</f>
        <v>31938.698040442807</v>
      </c>
      <c r="G17" s="28">
        <f t="shared" si="24"/>
        <v>32100.012903771694</v>
      </c>
      <c r="H17" s="28">
        <f t="shared" si="24"/>
        <v>33450.149717682805</v>
      </c>
      <c r="I17" s="28">
        <f t="shared" si="24"/>
        <v>33619.021839397879</v>
      </c>
      <c r="J17" s="28">
        <f t="shared" si="24"/>
        <v>33788.738321721532</v>
      </c>
      <c r="K17" s="28">
        <f t="shared" si="24"/>
        <v>33959.303386456813</v>
      </c>
      <c r="L17" s="28">
        <f t="shared" si="24"/>
        <v>35271.521402354396</v>
      </c>
      <c r="M17" s="28">
        <f t="shared" si="24"/>
        <v>35407.557072492833</v>
      </c>
      <c r="N17" s="28">
        <f t="shared" si="24"/>
        <v>35544.272920981959</v>
      </c>
      <c r="O17" s="28">
        <f t="shared" si="24"/>
        <v>35681.672348713531</v>
      </c>
      <c r="P17" s="28">
        <f t="shared" si="24"/>
        <v>36831.647135677318</v>
      </c>
      <c r="Q17" s="28">
        <f t="shared" si="24"/>
        <v>36975.483434482368</v>
      </c>
      <c r="R17" s="28">
        <f t="shared" si="24"/>
        <v>37120.038914781435</v>
      </c>
      <c r="S17" s="28">
        <f t="shared" si="24"/>
        <v>38329.906818934112</v>
      </c>
      <c r="T17" s="28">
        <f t="shared" si="24"/>
        <v>38481.23441615545</v>
      </c>
      <c r="U17" s="28">
        <f t="shared" si="24"/>
        <v>38633.318651362897</v>
      </c>
      <c r="V17" s="28">
        <f t="shared" si="24"/>
        <v>39856.075902430726</v>
      </c>
      <c r="W17" s="28">
        <f t="shared" si="24"/>
        <v>40015.034345069551</v>
      </c>
      <c r="X17" s="28">
        <f t="shared" si="24"/>
        <v>40174.787579921562</v>
      </c>
      <c r="Y17" s="28">
        <f t="shared" si="24"/>
        <v>40335.339580947832</v>
      </c>
      <c r="Z17" s="28">
        <f t="shared" si="24"/>
        <v>41626.177669199074</v>
      </c>
      <c r="AA17" s="28">
        <f t="shared" si="24"/>
        <v>41793.986620671734</v>
      </c>
      <c r="AB17" s="28">
        <f t="shared" si="24"/>
        <v>41962.634616901756</v>
      </c>
      <c r="AC17" s="28">
        <f t="shared" si="24"/>
        <v>42132.125853112928</v>
      </c>
      <c r="AD17" s="28">
        <f t="shared" si="24"/>
        <v>43494.835392250774</v>
      </c>
      <c r="AE17" s="28">
        <f t="shared" si="24"/>
        <v>43671.987632338685</v>
      </c>
      <c r="AF17" s="28">
        <f t="shared" si="24"/>
        <v>43850.025633627047</v>
      </c>
      <c r="AG17" s="28">
        <f t="shared" si="24"/>
        <v>45281.451163985454</v>
      </c>
      <c r="AH17" s="28">
        <f t="shared" si="24"/>
        <v>45467.536482932039</v>
      </c>
      <c r="AI17" s="28">
        <f t="shared" si="24"/>
        <v>45654.55222847336</v>
      </c>
      <c r="AJ17" s="28">
        <f t="shared" si="24"/>
        <v>45842.503052742395</v>
      </c>
      <c r="AK17" s="28">
        <f t="shared" si="24"/>
        <v>46031.393631132763</v>
      </c>
      <c r="AL17" s="28">
        <f t="shared" si="24"/>
        <v>47550.073881391407</v>
      </c>
      <c r="AM17" s="28">
        <f t="shared" si="24"/>
        <v>47747.502313925033</v>
      </c>
      <c r="AN17" s="28">
        <f t="shared" si="24"/>
        <v>47945.917888621312</v>
      </c>
      <c r="AO17" s="28">
        <f t="shared" si="24"/>
        <v>48145.325541191072</v>
      </c>
      <c r="AP17" s="28">
        <f t="shared" si="24"/>
        <v>49748.563067852054</v>
      </c>
      <c r="AQ17" s="28">
        <f t="shared" si="24"/>
        <v>49956.983946317981</v>
      </c>
      <c r="AR17" s="28">
        <f t="shared" si="24"/>
        <v>50166.446929176222</v>
      </c>
      <c r="AS17" s="28">
        <f t="shared" si="24"/>
        <v>50376.957226948754</v>
      </c>
      <c r="AT17" s="28">
        <f t="shared" si="24"/>
        <v>50588.520076210174</v>
      </c>
      <c r="AU17" s="28">
        <f t="shared" si="24"/>
        <v>50801.140739717892</v>
      </c>
      <c r="AV17" s="28">
        <f t="shared" si="24"/>
        <v>51014.824506543147</v>
      </c>
      <c r="AW17" s="28">
        <f t="shared" si="24"/>
        <v>51229.576692202529</v>
      </c>
      <c r="AX17" s="28">
        <f t="shared" ref="AX17:BB17" si="25">AX16/12</f>
        <v>51445.402638790198</v>
      </c>
      <c r="AY17" s="28">
        <f t="shared" si="25"/>
        <v>51662.307715110808</v>
      </c>
      <c r="AZ17" s="28">
        <f t="shared" si="25"/>
        <v>51880.297316813027</v>
      </c>
      <c r="BA17" s="28">
        <f t="shared" si="25"/>
        <v>52099.376866523759</v>
      </c>
      <c r="BB17" s="28">
        <f t="shared" si="25"/>
        <v>52319.551813983031</v>
      </c>
      <c r="BI17" s="2">
        <v>45654.55222847336</v>
      </c>
    </row>
    <row r="18" spans="4:61" x14ac:dyDescent="0.2">
      <c r="BI18" s="2">
        <v>45842.503052742395</v>
      </c>
    </row>
    <row r="19" spans="4:61" x14ac:dyDescent="0.2">
      <c r="BI19" s="2">
        <v>46031.393631132763</v>
      </c>
    </row>
    <row r="20" spans="4:61" x14ac:dyDescent="0.2">
      <c r="D20" s="26"/>
      <c r="BI20" s="2">
        <v>47550.073881391407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47747.502313925033</v>
      </c>
    </row>
    <row r="22" spans="4:61" x14ac:dyDescent="0.2">
      <c r="D22" s="2" t="s">
        <v>202</v>
      </c>
      <c r="E22" s="26">
        <f>'Pensions P2'!$B$18+'Pensions P2'!$B$22+'Pensions P2'!$B$31</f>
        <v>55502.133862835479</v>
      </c>
      <c r="F22" s="26">
        <f>'Pensions P2'!$B$18+'Pensions P2'!$B$22+'Pensions P2'!$B$31</f>
        <v>55502.133862835479</v>
      </c>
      <c r="G22" s="26">
        <f>'Pensions P2'!$B$18+'Pensions P2'!$B$22+'Pensions P2'!$B$31</f>
        <v>55502.133862835479</v>
      </c>
      <c r="H22" s="26">
        <f>'Pensions P2'!$B$18+'Pensions P2'!$B$22+'Pensions P2'!$B$31</f>
        <v>55502.133862835479</v>
      </c>
      <c r="I22" s="26">
        <f>'Pensions P2'!$B$18+'Pensions P2'!$B$22+'Pensions P2'!$B$31</f>
        <v>55502.133862835479</v>
      </c>
      <c r="J22" s="26">
        <f>'Pensions P2'!$B$18+'Pensions P2'!$B$22+'Pensions P2'!$B$31</f>
        <v>55502.133862835479</v>
      </c>
      <c r="K22" s="26">
        <f>'Pensions P2'!$B$18+'Pensions P2'!$B$22+'Pensions P2'!$B$31</f>
        <v>55502.133862835479</v>
      </c>
      <c r="L22" s="26">
        <f>'Pensions P2'!$B$18+'Pensions P2'!$B$22+'Pensions P2'!$B$31</f>
        <v>55502.133862835479</v>
      </c>
      <c r="M22" s="26">
        <f>'Pensions P2'!$B$18+'Pensions P2'!$B$22+'Pensions P2'!$B$31</f>
        <v>55502.133862835479</v>
      </c>
      <c r="N22" s="26">
        <f>'Pensions P2'!$B$18+'Pensions P2'!$B$22+'Pensions P2'!$B$31</f>
        <v>55502.133862835479</v>
      </c>
      <c r="O22" s="26">
        <f>'Pensions P2'!$B$18+'Pensions P2'!$B$22+'Pensions P2'!$B$31</f>
        <v>55502.133862835479</v>
      </c>
      <c r="P22" s="26">
        <f>'Pensions P2'!$B$18+'Pensions P2'!$B$22+'Pensions P2'!$B$31</f>
        <v>55502.133862835479</v>
      </c>
      <c r="Q22" s="26">
        <f>'Pensions P2'!$B$18+'Pensions P2'!$B$22+'Pensions P2'!$B$31</f>
        <v>55502.133862835479</v>
      </c>
      <c r="R22" s="26">
        <f>'Pensions P2'!$B$18+'Pensions P2'!$B$22+'Pensions P2'!$B$31</f>
        <v>55502.133862835479</v>
      </c>
      <c r="S22" s="26">
        <f>'Pensions P2'!$B$18+'Pensions P2'!$B$22+'Pensions P2'!$B$31</f>
        <v>55502.133862835479</v>
      </c>
      <c r="T22" s="26">
        <f>'Pensions P2'!$B$18+'Pensions P2'!$B$22+'Pensions P2'!$B$31</f>
        <v>55502.133862835479</v>
      </c>
      <c r="U22" s="26">
        <f>'Pensions P2'!$B$18+'Pensions P2'!$B$22+'Pensions P2'!$B$31</f>
        <v>55502.133862835479</v>
      </c>
      <c r="V22" s="26">
        <f>'Pensions P2'!$B$18+'Pensions P2'!$B$22+'Pensions P2'!$B$31</f>
        <v>55502.133862835479</v>
      </c>
      <c r="W22" s="26">
        <f>'Pensions P2'!$B$18+'Pensions P2'!$B$22+'Pensions P2'!$B$31</f>
        <v>55502.133862835479</v>
      </c>
      <c r="X22" s="26">
        <f>'Pensions P2'!$B$18+'Pensions P2'!$B$22+'Pensions P2'!$B$31</f>
        <v>55502.133862835479</v>
      </c>
      <c r="Y22" s="26">
        <f>'Pensions P2'!$B$18+'Pensions P2'!$B$22+'Pensions P2'!$B$31</f>
        <v>55502.133862835479</v>
      </c>
      <c r="Z22" s="26">
        <f>'Pensions P2'!$B$18+'Pensions P2'!$B$22+'Pensions P2'!$B$31</f>
        <v>55502.133862835479</v>
      </c>
      <c r="AA22" s="26">
        <f>'Pensions P2'!$B$18+'Pensions P2'!$B$22+'Pensions P2'!$B$31</f>
        <v>55502.133862835479</v>
      </c>
      <c r="AB22" s="26">
        <f>'Pensions P2'!$B$18+'Pensions P2'!$B$22+'Pensions P2'!$B$31</f>
        <v>55502.133862835479</v>
      </c>
      <c r="AC22" s="26">
        <f>'Pensions P2'!$B$18+'Pensions P2'!$B$22+'Pensions P2'!$B$31</f>
        <v>55502.133862835479</v>
      </c>
      <c r="BI22" s="2">
        <v>47945.917888621312</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48145.325541191072</v>
      </c>
    </row>
    <row r="24" spans="4:61" x14ac:dyDescent="0.2">
      <c r="D24" s="2" t="s">
        <v>203</v>
      </c>
      <c r="E24" s="26">
        <f>E22*12</f>
        <v>666025.60635402577</v>
      </c>
      <c r="F24" s="26">
        <f t="shared" ref="F24:AC24" si="26">F22*12</f>
        <v>666025.60635402577</v>
      </c>
      <c r="G24" s="26">
        <f t="shared" si="26"/>
        <v>666025.60635402577</v>
      </c>
      <c r="H24" s="26">
        <f t="shared" si="26"/>
        <v>666025.60635402577</v>
      </c>
      <c r="I24" s="26">
        <f t="shared" si="26"/>
        <v>666025.60635402577</v>
      </c>
      <c r="J24" s="26">
        <f t="shared" si="26"/>
        <v>666025.60635402577</v>
      </c>
      <c r="K24" s="26">
        <f t="shared" si="26"/>
        <v>666025.60635402577</v>
      </c>
      <c r="L24" s="26">
        <f t="shared" si="26"/>
        <v>666025.60635402577</v>
      </c>
      <c r="M24" s="26">
        <f t="shared" si="26"/>
        <v>666025.60635402577</v>
      </c>
      <c r="N24" s="26">
        <f t="shared" si="26"/>
        <v>666025.60635402577</v>
      </c>
      <c r="O24" s="26">
        <f t="shared" si="26"/>
        <v>666025.60635402577</v>
      </c>
      <c r="P24" s="26">
        <f t="shared" si="26"/>
        <v>666025.60635402577</v>
      </c>
      <c r="Q24" s="26">
        <f t="shared" si="26"/>
        <v>666025.60635402577</v>
      </c>
      <c r="R24" s="26">
        <f t="shared" si="26"/>
        <v>666025.60635402577</v>
      </c>
      <c r="S24" s="26">
        <f t="shared" si="26"/>
        <v>666025.60635402577</v>
      </c>
      <c r="T24" s="26">
        <f t="shared" si="26"/>
        <v>666025.60635402577</v>
      </c>
      <c r="U24" s="26">
        <f t="shared" si="26"/>
        <v>666025.60635402577</v>
      </c>
      <c r="V24" s="26">
        <f t="shared" si="26"/>
        <v>666025.60635402577</v>
      </c>
      <c r="W24" s="26">
        <f t="shared" si="26"/>
        <v>666025.60635402577</v>
      </c>
      <c r="X24" s="26">
        <f t="shared" si="26"/>
        <v>666025.60635402577</v>
      </c>
      <c r="Y24" s="26">
        <f t="shared" si="26"/>
        <v>666025.60635402577</v>
      </c>
      <c r="Z24" s="26">
        <f t="shared" si="26"/>
        <v>666025.60635402577</v>
      </c>
      <c r="AA24" s="26">
        <f t="shared" si="26"/>
        <v>666025.60635402577</v>
      </c>
      <c r="AB24" s="26">
        <f t="shared" si="26"/>
        <v>666025.60635402577</v>
      </c>
      <c r="AC24" s="26">
        <f t="shared" si="26"/>
        <v>666025.60635402577</v>
      </c>
      <c r="BI24" s="2">
        <v>49748.563067852054</v>
      </c>
    </row>
    <row r="25" spans="4:61" x14ac:dyDescent="0.2">
      <c r="D25" s="2" t="s">
        <v>189</v>
      </c>
      <c r="E25" s="26">
        <f>E24*$B$9</f>
        <v>166506.40158850644</v>
      </c>
      <c r="F25" s="26">
        <f t="shared" ref="F25:AC25" si="27">F24*$B$9</f>
        <v>166506.40158850644</v>
      </c>
      <c r="G25" s="26">
        <f t="shared" si="27"/>
        <v>166506.40158850644</v>
      </c>
      <c r="H25" s="26">
        <f t="shared" si="27"/>
        <v>166506.40158850644</v>
      </c>
      <c r="I25" s="26">
        <f t="shared" si="27"/>
        <v>166506.40158850644</v>
      </c>
      <c r="J25" s="26">
        <f t="shared" si="27"/>
        <v>166506.40158850644</v>
      </c>
      <c r="K25" s="26">
        <f t="shared" si="27"/>
        <v>166506.40158850644</v>
      </c>
      <c r="L25" s="26">
        <f t="shared" si="27"/>
        <v>166506.40158850644</v>
      </c>
      <c r="M25" s="26">
        <f t="shared" si="27"/>
        <v>166506.40158850644</v>
      </c>
      <c r="N25" s="26">
        <f t="shared" si="27"/>
        <v>166506.40158850644</v>
      </c>
      <c r="O25" s="26">
        <f t="shared" si="27"/>
        <v>166506.40158850644</v>
      </c>
      <c r="P25" s="26">
        <f t="shared" si="27"/>
        <v>166506.40158850644</v>
      </c>
      <c r="Q25" s="26">
        <f t="shared" si="27"/>
        <v>166506.40158850644</v>
      </c>
      <c r="R25" s="26">
        <f t="shared" si="27"/>
        <v>166506.40158850644</v>
      </c>
      <c r="S25" s="26">
        <f t="shared" si="27"/>
        <v>166506.40158850644</v>
      </c>
      <c r="T25" s="26">
        <f t="shared" si="27"/>
        <v>166506.40158850644</v>
      </c>
      <c r="U25" s="26">
        <f t="shared" si="27"/>
        <v>166506.40158850644</v>
      </c>
      <c r="V25" s="26">
        <f t="shared" si="27"/>
        <v>166506.40158850644</v>
      </c>
      <c r="W25" s="26">
        <f t="shared" si="27"/>
        <v>166506.40158850644</v>
      </c>
      <c r="X25" s="26">
        <f t="shared" si="27"/>
        <v>166506.40158850644</v>
      </c>
      <c r="Y25" s="26">
        <f t="shared" si="27"/>
        <v>166506.40158850644</v>
      </c>
      <c r="Z25" s="26">
        <f t="shared" si="27"/>
        <v>166506.40158850644</v>
      </c>
      <c r="AA25" s="26">
        <f t="shared" si="27"/>
        <v>166506.40158850644</v>
      </c>
      <c r="AB25" s="26">
        <f t="shared" si="27"/>
        <v>166506.40158850644</v>
      </c>
      <c r="AC25" s="26">
        <f t="shared" si="27"/>
        <v>166506.40158850644</v>
      </c>
      <c r="BI25" s="2">
        <v>49956.983946317981</v>
      </c>
    </row>
    <row r="26" spans="4:61" x14ac:dyDescent="0.2">
      <c r="D26" s="2" t="s">
        <v>190</v>
      </c>
      <c r="E26" s="26">
        <f>MAX(E24-$B$8,0)*$B$7</f>
        <v>7143.840953103866</v>
      </c>
      <c r="F26" s="26">
        <f t="shared" ref="F26:AC26" si="28">MAX(F24-$B$8,0)*$B$7</f>
        <v>7143.840953103866</v>
      </c>
      <c r="G26" s="26">
        <f t="shared" si="28"/>
        <v>7143.840953103866</v>
      </c>
      <c r="H26" s="26">
        <f t="shared" si="28"/>
        <v>7143.840953103866</v>
      </c>
      <c r="I26" s="26">
        <f t="shared" si="28"/>
        <v>7143.840953103866</v>
      </c>
      <c r="J26" s="26">
        <f t="shared" si="28"/>
        <v>7143.840953103866</v>
      </c>
      <c r="K26" s="26">
        <f t="shared" si="28"/>
        <v>7143.840953103866</v>
      </c>
      <c r="L26" s="26">
        <f t="shared" si="28"/>
        <v>7143.840953103866</v>
      </c>
      <c r="M26" s="26">
        <f t="shared" si="28"/>
        <v>7143.840953103866</v>
      </c>
      <c r="N26" s="26">
        <f t="shared" si="28"/>
        <v>7143.840953103866</v>
      </c>
      <c r="O26" s="26">
        <f t="shared" si="28"/>
        <v>7143.840953103866</v>
      </c>
      <c r="P26" s="26">
        <f t="shared" si="28"/>
        <v>7143.840953103866</v>
      </c>
      <c r="Q26" s="26">
        <f t="shared" si="28"/>
        <v>7143.840953103866</v>
      </c>
      <c r="R26" s="26">
        <f t="shared" si="28"/>
        <v>7143.840953103866</v>
      </c>
      <c r="S26" s="26">
        <f t="shared" si="28"/>
        <v>7143.840953103866</v>
      </c>
      <c r="T26" s="26">
        <f t="shared" si="28"/>
        <v>7143.840953103866</v>
      </c>
      <c r="U26" s="26">
        <f t="shared" si="28"/>
        <v>7143.840953103866</v>
      </c>
      <c r="V26" s="26">
        <f t="shared" si="28"/>
        <v>7143.840953103866</v>
      </c>
      <c r="W26" s="26">
        <f t="shared" si="28"/>
        <v>7143.840953103866</v>
      </c>
      <c r="X26" s="26">
        <f t="shared" si="28"/>
        <v>7143.840953103866</v>
      </c>
      <c r="Y26" s="26">
        <f t="shared" si="28"/>
        <v>7143.840953103866</v>
      </c>
      <c r="Z26" s="26">
        <f t="shared" si="28"/>
        <v>7143.840953103866</v>
      </c>
      <c r="AA26" s="26">
        <f t="shared" si="28"/>
        <v>7143.840953103866</v>
      </c>
      <c r="AB26" s="26">
        <f t="shared" si="28"/>
        <v>7143.840953103866</v>
      </c>
      <c r="AC26" s="26">
        <f t="shared" si="28"/>
        <v>7143.840953103866</v>
      </c>
      <c r="BI26" s="2">
        <v>50166.446929176222</v>
      </c>
    </row>
    <row r="27" spans="4:61" x14ac:dyDescent="0.2">
      <c r="D27" s="2" t="s">
        <v>191</v>
      </c>
      <c r="E27" s="26">
        <f>E24*$B$6</f>
        <v>79989.675323118499</v>
      </c>
      <c r="F27" s="26">
        <f t="shared" ref="F27:AC27" si="29">F24*$B$6</f>
        <v>79989.675323118499</v>
      </c>
      <c r="G27" s="26">
        <f t="shared" si="29"/>
        <v>79989.675323118499</v>
      </c>
      <c r="H27" s="26">
        <f t="shared" si="29"/>
        <v>79989.675323118499</v>
      </c>
      <c r="I27" s="26">
        <f t="shared" si="29"/>
        <v>79989.675323118499</v>
      </c>
      <c r="J27" s="26">
        <f t="shared" si="29"/>
        <v>79989.675323118499</v>
      </c>
      <c r="K27" s="26">
        <f t="shared" si="29"/>
        <v>79989.675323118499</v>
      </c>
      <c r="L27" s="26">
        <f t="shared" si="29"/>
        <v>79989.675323118499</v>
      </c>
      <c r="M27" s="26">
        <f t="shared" si="29"/>
        <v>79989.675323118499</v>
      </c>
      <c r="N27" s="26">
        <f t="shared" si="29"/>
        <v>79989.675323118499</v>
      </c>
      <c r="O27" s="26">
        <f t="shared" si="29"/>
        <v>79989.675323118499</v>
      </c>
      <c r="P27" s="26">
        <f t="shared" si="29"/>
        <v>79989.675323118499</v>
      </c>
      <c r="Q27" s="26">
        <f t="shared" si="29"/>
        <v>79989.675323118499</v>
      </c>
      <c r="R27" s="26">
        <f t="shared" si="29"/>
        <v>79989.675323118499</v>
      </c>
      <c r="S27" s="26">
        <f t="shared" si="29"/>
        <v>79989.675323118499</v>
      </c>
      <c r="T27" s="26">
        <f t="shared" si="29"/>
        <v>79989.675323118499</v>
      </c>
      <c r="U27" s="26">
        <f t="shared" si="29"/>
        <v>79989.675323118499</v>
      </c>
      <c r="V27" s="26">
        <f t="shared" si="29"/>
        <v>79989.675323118499</v>
      </c>
      <c r="W27" s="26">
        <f t="shared" si="29"/>
        <v>79989.675323118499</v>
      </c>
      <c r="X27" s="26">
        <f t="shared" si="29"/>
        <v>79989.675323118499</v>
      </c>
      <c r="Y27" s="26">
        <f t="shared" si="29"/>
        <v>79989.675323118499</v>
      </c>
      <c r="Z27" s="26">
        <f t="shared" si="29"/>
        <v>79989.675323118499</v>
      </c>
      <c r="AA27" s="26">
        <f t="shared" si="29"/>
        <v>79989.675323118499</v>
      </c>
      <c r="AB27" s="26">
        <f t="shared" si="29"/>
        <v>79989.675323118499</v>
      </c>
      <c r="AC27" s="26">
        <f t="shared" si="29"/>
        <v>79989.675323118499</v>
      </c>
      <c r="BI27" s="2">
        <v>50376.957226948754</v>
      </c>
    </row>
    <row r="28" spans="4:61" x14ac:dyDescent="0.2">
      <c r="D28" s="2" t="s">
        <v>192</v>
      </c>
      <c r="E28" s="26">
        <f>SUM(E25:E27)</f>
        <v>253639.91786472884</v>
      </c>
      <c r="F28" s="26">
        <f>SUM(F25:F27)</f>
        <v>253639.91786472884</v>
      </c>
      <c r="G28" s="26">
        <f t="shared" ref="G28:AC28" si="30">SUM(G25:G27)</f>
        <v>253639.91786472884</v>
      </c>
      <c r="H28" s="26">
        <f t="shared" si="30"/>
        <v>253639.91786472884</v>
      </c>
      <c r="I28" s="26">
        <f t="shared" si="30"/>
        <v>253639.91786472884</v>
      </c>
      <c r="J28" s="26">
        <f t="shared" si="30"/>
        <v>253639.91786472884</v>
      </c>
      <c r="K28" s="26">
        <f t="shared" si="30"/>
        <v>253639.91786472884</v>
      </c>
      <c r="L28" s="26">
        <f t="shared" si="30"/>
        <v>253639.91786472884</v>
      </c>
      <c r="M28" s="26">
        <f t="shared" si="30"/>
        <v>253639.91786472884</v>
      </c>
      <c r="N28" s="26">
        <f t="shared" si="30"/>
        <v>253639.91786472884</v>
      </c>
      <c r="O28" s="26">
        <f t="shared" si="30"/>
        <v>253639.91786472884</v>
      </c>
      <c r="P28" s="26">
        <f t="shared" si="30"/>
        <v>253639.91786472884</v>
      </c>
      <c r="Q28" s="26">
        <f t="shared" si="30"/>
        <v>253639.91786472884</v>
      </c>
      <c r="R28" s="26">
        <f t="shared" si="30"/>
        <v>253639.91786472884</v>
      </c>
      <c r="S28" s="26">
        <f t="shared" si="30"/>
        <v>253639.91786472884</v>
      </c>
      <c r="T28" s="26">
        <f t="shared" si="30"/>
        <v>253639.91786472884</v>
      </c>
      <c r="U28" s="26">
        <f t="shared" si="30"/>
        <v>253639.91786472884</v>
      </c>
      <c r="V28" s="26">
        <f t="shared" si="30"/>
        <v>253639.91786472884</v>
      </c>
      <c r="W28" s="26">
        <f t="shared" si="30"/>
        <v>253639.91786472884</v>
      </c>
      <c r="X28" s="26">
        <f t="shared" si="30"/>
        <v>253639.91786472884</v>
      </c>
      <c r="Y28" s="26">
        <f t="shared" si="30"/>
        <v>253639.91786472884</v>
      </c>
      <c r="Z28" s="26">
        <f t="shared" si="30"/>
        <v>253639.91786472884</v>
      </c>
      <c r="AA28" s="26">
        <f t="shared" si="30"/>
        <v>253639.91786472884</v>
      </c>
      <c r="AB28" s="26">
        <f t="shared" si="30"/>
        <v>253639.91786472884</v>
      </c>
      <c r="AC28" s="26">
        <f t="shared" si="30"/>
        <v>253639.91786472884</v>
      </c>
      <c r="BI28" s="2">
        <v>50588.520076210174</v>
      </c>
    </row>
    <row r="29" spans="4:61" x14ac:dyDescent="0.2">
      <c r="D29" s="2" t="s">
        <v>193</v>
      </c>
      <c r="E29" s="26">
        <f>E24-E28</f>
        <v>412385.68848929694</v>
      </c>
      <c r="F29" s="26">
        <f t="shared" ref="F29:AC29" si="31">F24-F28</f>
        <v>412385.68848929694</v>
      </c>
      <c r="G29" s="26">
        <f t="shared" si="31"/>
        <v>412385.68848929694</v>
      </c>
      <c r="H29" s="26">
        <f t="shared" si="31"/>
        <v>412385.68848929694</v>
      </c>
      <c r="I29" s="26">
        <f t="shared" si="31"/>
        <v>412385.68848929694</v>
      </c>
      <c r="J29" s="26">
        <f t="shared" si="31"/>
        <v>412385.68848929694</v>
      </c>
      <c r="K29" s="26">
        <f t="shared" si="31"/>
        <v>412385.68848929694</v>
      </c>
      <c r="L29" s="26">
        <f t="shared" si="31"/>
        <v>412385.68848929694</v>
      </c>
      <c r="M29" s="26">
        <f t="shared" si="31"/>
        <v>412385.68848929694</v>
      </c>
      <c r="N29" s="26">
        <f t="shared" si="31"/>
        <v>412385.68848929694</v>
      </c>
      <c r="O29" s="26">
        <f t="shared" si="31"/>
        <v>412385.68848929694</v>
      </c>
      <c r="P29" s="26">
        <f t="shared" si="31"/>
        <v>412385.68848929694</v>
      </c>
      <c r="Q29" s="26">
        <f t="shared" si="31"/>
        <v>412385.68848929694</v>
      </c>
      <c r="R29" s="26">
        <f t="shared" si="31"/>
        <v>412385.68848929694</v>
      </c>
      <c r="S29" s="26">
        <f t="shared" si="31"/>
        <v>412385.68848929694</v>
      </c>
      <c r="T29" s="26">
        <f t="shared" si="31"/>
        <v>412385.68848929694</v>
      </c>
      <c r="U29" s="26">
        <f t="shared" si="31"/>
        <v>412385.68848929694</v>
      </c>
      <c r="V29" s="26">
        <f t="shared" si="31"/>
        <v>412385.68848929694</v>
      </c>
      <c r="W29" s="26">
        <f t="shared" si="31"/>
        <v>412385.68848929694</v>
      </c>
      <c r="X29" s="26">
        <f t="shared" si="31"/>
        <v>412385.68848929694</v>
      </c>
      <c r="Y29" s="26">
        <f t="shared" si="31"/>
        <v>412385.68848929694</v>
      </c>
      <c r="Z29" s="26">
        <f t="shared" si="31"/>
        <v>412385.68848929694</v>
      </c>
      <c r="AA29" s="26">
        <f t="shared" si="31"/>
        <v>412385.68848929694</v>
      </c>
      <c r="AB29" s="26">
        <f t="shared" si="31"/>
        <v>412385.68848929694</v>
      </c>
      <c r="AC29" s="26">
        <f t="shared" si="31"/>
        <v>412385.68848929694</v>
      </c>
      <c r="BI29" s="2">
        <v>50801.140739717892</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51014.824506543147</v>
      </c>
    </row>
    <row r="31" spans="4:61" x14ac:dyDescent="0.2">
      <c r="D31" s="2" t="s">
        <v>196</v>
      </c>
      <c r="E31" s="26">
        <f>(E29/12)+E30</f>
        <v>37534.838609408784</v>
      </c>
      <c r="F31" s="26">
        <f t="shared" ref="F31:AC31" si="32">(F29/12)+F30</f>
        <v>37534.838609408784</v>
      </c>
      <c r="G31" s="26">
        <f t="shared" si="32"/>
        <v>37534.838609408784</v>
      </c>
      <c r="H31" s="26">
        <f t="shared" si="32"/>
        <v>37534.838609408784</v>
      </c>
      <c r="I31" s="26">
        <f t="shared" si="32"/>
        <v>37534.838609408784</v>
      </c>
      <c r="J31" s="26">
        <f t="shared" si="32"/>
        <v>37534.838609408784</v>
      </c>
      <c r="K31" s="26">
        <f t="shared" si="32"/>
        <v>37534.838609408784</v>
      </c>
      <c r="L31" s="26">
        <f t="shared" si="32"/>
        <v>37534.838609408784</v>
      </c>
      <c r="M31" s="26">
        <f t="shared" si="32"/>
        <v>37534.838609408784</v>
      </c>
      <c r="N31" s="26">
        <f t="shared" si="32"/>
        <v>37534.838609408784</v>
      </c>
      <c r="O31" s="26">
        <f t="shared" si="32"/>
        <v>37534.838609408784</v>
      </c>
      <c r="P31" s="26">
        <f t="shared" si="32"/>
        <v>37534.838609408784</v>
      </c>
      <c r="Q31" s="26">
        <f t="shared" si="32"/>
        <v>37534.838609408784</v>
      </c>
      <c r="R31" s="26">
        <f t="shared" si="32"/>
        <v>37534.838609408784</v>
      </c>
      <c r="S31" s="26">
        <f t="shared" si="32"/>
        <v>37534.838609408784</v>
      </c>
      <c r="T31" s="26">
        <f t="shared" si="32"/>
        <v>37534.838609408784</v>
      </c>
      <c r="U31" s="26">
        <f t="shared" si="32"/>
        <v>37534.838609408784</v>
      </c>
      <c r="V31" s="26">
        <f t="shared" si="32"/>
        <v>37534.838609408784</v>
      </c>
      <c r="W31" s="26">
        <f t="shared" si="32"/>
        <v>37534.838609408784</v>
      </c>
      <c r="X31" s="26">
        <f t="shared" si="32"/>
        <v>37534.838609408784</v>
      </c>
      <c r="Y31" s="26">
        <f t="shared" si="32"/>
        <v>37534.838609408784</v>
      </c>
      <c r="Z31" s="26">
        <f t="shared" si="32"/>
        <v>37534.838609408784</v>
      </c>
      <c r="AA31" s="26">
        <f t="shared" si="32"/>
        <v>37534.838609408784</v>
      </c>
      <c r="AB31" s="26">
        <f t="shared" si="32"/>
        <v>37534.838609408784</v>
      </c>
      <c r="AC31" s="26">
        <f t="shared" si="32"/>
        <v>37534.838609408784</v>
      </c>
      <c r="BI31" s="2">
        <v>51229.576692202529</v>
      </c>
    </row>
    <row r="32" spans="4:61" x14ac:dyDescent="0.2">
      <c r="D32" s="2" t="s">
        <v>274</v>
      </c>
      <c r="E32" s="26">
        <f>Income!$L$37</f>
        <v>41855.64145118642</v>
      </c>
      <c r="F32" s="26">
        <f>Income!$L$37</f>
        <v>41855.64145118642</v>
      </c>
      <c r="G32" s="26">
        <f>Income!$L$37</f>
        <v>41855.64145118642</v>
      </c>
      <c r="H32" s="26">
        <f>Income!$L$37</f>
        <v>41855.64145118642</v>
      </c>
      <c r="I32" s="26">
        <f>Income!$L$37</f>
        <v>41855.64145118642</v>
      </c>
      <c r="J32" s="26">
        <f>Income!$L$37</f>
        <v>41855.64145118642</v>
      </c>
      <c r="K32" s="26">
        <f>Income!$L$37</f>
        <v>41855.64145118642</v>
      </c>
      <c r="L32" s="26">
        <f>Income!$L$37</f>
        <v>41855.64145118642</v>
      </c>
      <c r="M32" s="26">
        <f>Income!$L$37</f>
        <v>41855.64145118642</v>
      </c>
      <c r="N32" s="26">
        <f>Income!$L$37</f>
        <v>41855.64145118642</v>
      </c>
      <c r="O32" s="26">
        <f>Income!$L$37</f>
        <v>41855.64145118642</v>
      </c>
      <c r="P32" s="26">
        <f>Income!$L$37</f>
        <v>41855.64145118642</v>
      </c>
      <c r="Q32" s="26">
        <f>Income!$L$37</f>
        <v>41855.64145118642</v>
      </c>
      <c r="R32" s="26">
        <f>Income!$L$37</f>
        <v>41855.64145118642</v>
      </c>
      <c r="S32" s="26">
        <f>Income!$L$37</f>
        <v>41855.64145118642</v>
      </c>
      <c r="T32" s="26">
        <f>Income!$L$37</f>
        <v>41855.64145118642</v>
      </c>
      <c r="U32" s="26">
        <f>Income!$L$37</f>
        <v>41855.64145118642</v>
      </c>
      <c r="V32" s="26">
        <f>Income!$L$37</f>
        <v>41855.64145118642</v>
      </c>
      <c r="W32" s="26">
        <f>Income!$L$37</f>
        <v>41855.64145118642</v>
      </c>
      <c r="X32" s="26">
        <f>Income!$L$37</f>
        <v>41855.64145118642</v>
      </c>
      <c r="Y32" s="26">
        <f>Income!$L$37</f>
        <v>41855.64145118642</v>
      </c>
      <c r="Z32" s="26">
        <f>Income!$L$37</f>
        <v>41855.64145118642</v>
      </c>
      <c r="AA32" s="26">
        <f>Income!$L$37</f>
        <v>41855.64145118642</v>
      </c>
      <c r="AB32" s="26">
        <f>Income!$L$37</f>
        <v>41855.64145118642</v>
      </c>
      <c r="AC32" s="26">
        <f>Income!$L$37</f>
        <v>41855.64145118642</v>
      </c>
      <c r="BI32" s="2">
        <v>51445.402638790198</v>
      </c>
    </row>
    <row r="33" spans="4:61" x14ac:dyDescent="0.2">
      <c r="D33" s="2" t="s">
        <v>204</v>
      </c>
      <c r="E33" s="26">
        <f>E32-E31</f>
        <v>4320.8028417776368</v>
      </c>
      <c r="F33" s="26">
        <f t="shared" ref="F33:AC33" si="33">F32-F31</f>
        <v>4320.8028417776368</v>
      </c>
      <c r="G33" s="26">
        <f t="shared" si="33"/>
        <v>4320.8028417776368</v>
      </c>
      <c r="H33" s="26">
        <f t="shared" si="33"/>
        <v>4320.8028417776368</v>
      </c>
      <c r="I33" s="26">
        <f t="shared" si="33"/>
        <v>4320.8028417776368</v>
      </c>
      <c r="J33" s="26">
        <f t="shared" si="33"/>
        <v>4320.8028417776368</v>
      </c>
      <c r="K33" s="26">
        <f t="shared" si="33"/>
        <v>4320.8028417776368</v>
      </c>
      <c r="L33" s="26">
        <f t="shared" si="33"/>
        <v>4320.8028417776368</v>
      </c>
      <c r="M33" s="26">
        <f t="shared" si="33"/>
        <v>4320.8028417776368</v>
      </c>
      <c r="N33" s="26">
        <f t="shared" si="33"/>
        <v>4320.8028417776368</v>
      </c>
      <c r="O33" s="26">
        <f t="shared" si="33"/>
        <v>4320.8028417776368</v>
      </c>
      <c r="P33" s="26">
        <f t="shared" si="33"/>
        <v>4320.8028417776368</v>
      </c>
      <c r="Q33" s="26">
        <f t="shared" si="33"/>
        <v>4320.8028417776368</v>
      </c>
      <c r="R33" s="26">
        <f t="shared" si="33"/>
        <v>4320.8028417776368</v>
      </c>
      <c r="S33" s="26">
        <f t="shared" si="33"/>
        <v>4320.8028417776368</v>
      </c>
      <c r="T33" s="26">
        <f t="shared" si="33"/>
        <v>4320.8028417776368</v>
      </c>
      <c r="U33" s="26">
        <f t="shared" si="33"/>
        <v>4320.8028417776368</v>
      </c>
      <c r="V33" s="26">
        <f t="shared" si="33"/>
        <v>4320.8028417776368</v>
      </c>
      <c r="W33" s="26">
        <f t="shared" si="33"/>
        <v>4320.8028417776368</v>
      </c>
      <c r="X33" s="26">
        <f t="shared" si="33"/>
        <v>4320.8028417776368</v>
      </c>
      <c r="Y33" s="26">
        <f t="shared" si="33"/>
        <v>4320.8028417776368</v>
      </c>
      <c r="Z33" s="26">
        <f t="shared" si="33"/>
        <v>4320.8028417776368</v>
      </c>
      <c r="AA33" s="26">
        <f t="shared" si="33"/>
        <v>4320.8028417776368</v>
      </c>
      <c r="AB33" s="26">
        <f t="shared" si="33"/>
        <v>4320.8028417776368</v>
      </c>
      <c r="AC33" s="26">
        <f t="shared" si="33"/>
        <v>4320.8028417776368</v>
      </c>
      <c r="BI33" s="2">
        <v>51662.307715110808</v>
      </c>
    </row>
    <row r="34" spans="4:61" x14ac:dyDescent="0.2">
      <c r="D34" s="2" t="s">
        <v>264</v>
      </c>
      <c r="E34" s="26">
        <f>E33*(1+$B$10)</f>
        <v>5487.4196090575988</v>
      </c>
      <c r="F34" s="26">
        <f t="shared" ref="F34:AC34" si="34">F33*(1+$B$10)</f>
        <v>5487.4196090575988</v>
      </c>
      <c r="G34" s="26">
        <f t="shared" si="34"/>
        <v>5487.4196090575988</v>
      </c>
      <c r="H34" s="26">
        <f t="shared" si="34"/>
        <v>5487.4196090575988</v>
      </c>
      <c r="I34" s="26">
        <f t="shared" si="34"/>
        <v>5487.4196090575988</v>
      </c>
      <c r="J34" s="26">
        <f t="shared" si="34"/>
        <v>5487.4196090575988</v>
      </c>
      <c r="K34" s="26">
        <f t="shared" si="34"/>
        <v>5487.4196090575988</v>
      </c>
      <c r="L34" s="26">
        <f t="shared" si="34"/>
        <v>5487.4196090575988</v>
      </c>
      <c r="M34" s="26">
        <f t="shared" si="34"/>
        <v>5487.4196090575988</v>
      </c>
      <c r="N34" s="26">
        <f t="shared" si="34"/>
        <v>5487.4196090575988</v>
      </c>
      <c r="O34" s="26">
        <f t="shared" si="34"/>
        <v>5487.4196090575988</v>
      </c>
      <c r="P34" s="26">
        <f t="shared" si="34"/>
        <v>5487.4196090575988</v>
      </c>
      <c r="Q34" s="26">
        <f t="shared" si="34"/>
        <v>5487.4196090575988</v>
      </c>
      <c r="R34" s="26">
        <f t="shared" si="34"/>
        <v>5487.4196090575988</v>
      </c>
      <c r="S34" s="26">
        <f t="shared" si="34"/>
        <v>5487.4196090575988</v>
      </c>
      <c r="T34" s="26">
        <f t="shared" si="34"/>
        <v>5487.4196090575988</v>
      </c>
      <c r="U34" s="26">
        <f t="shared" si="34"/>
        <v>5487.4196090575988</v>
      </c>
      <c r="V34" s="26">
        <f t="shared" si="34"/>
        <v>5487.4196090575988</v>
      </c>
      <c r="W34" s="26">
        <f t="shared" si="34"/>
        <v>5487.4196090575988</v>
      </c>
      <c r="X34" s="26">
        <f t="shared" si="34"/>
        <v>5487.4196090575988</v>
      </c>
      <c r="Y34" s="26">
        <f t="shared" si="34"/>
        <v>5487.4196090575988</v>
      </c>
      <c r="Z34" s="26">
        <f t="shared" si="34"/>
        <v>5487.4196090575988</v>
      </c>
      <c r="AA34" s="26">
        <f t="shared" si="34"/>
        <v>5487.4196090575988</v>
      </c>
      <c r="AB34" s="26">
        <f t="shared" si="34"/>
        <v>5487.4196090575988</v>
      </c>
      <c r="AC34" s="26">
        <f t="shared" si="34"/>
        <v>5487.4196090575988</v>
      </c>
      <c r="BI34" s="2">
        <v>51880.297316813027</v>
      </c>
    </row>
    <row r="35" spans="4:61" x14ac:dyDescent="0.2">
      <c r="D35" s="2" t="s">
        <v>265</v>
      </c>
      <c r="E35" s="26">
        <f>E34*12</f>
        <v>65849.035308691178</v>
      </c>
      <c r="F35" s="26">
        <f t="shared" ref="F35:AC35" si="35">F34*12</f>
        <v>65849.035308691178</v>
      </c>
      <c r="G35" s="26">
        <f t="shared" si="35"/>
        <v>65849.035308691178</v>
      </c>
      <c r="H35" s="26">
        <f t="shared" si="35"/>
        <v>65849.035308691178</v>
      </c>
      <c r="I35" s="26">
        <f t="shared" si="35"/>
        <v>65849.035308691178</v>
      </c>
      <c r="J35" s="26">
        <f t="shared" si="35"/>
        <v>65849.035308691178</v>
      </c>
      <c r="K35" s="26">
        <f t="shared" si="35"/>
        <v>65849.035308691178</v>
      </c>
      <c r="L35" s="26">
        <f t="shared" si="35"/>
        <v>65849.035308691178</v>
      </c>
      <c r="M35" s="26">
        <f t="shared" si="35"/>
        <v>65849.035308691178</v>
      </c>
      <c r="N35" s="26">
        <f t="shared" si="35"/>
        <v>65849.035308691178</v>
      </c>
      <c r="O35" s="26">
        <f t="shared" si="35"/>
        <v>65849.035308691178</v>
      </c>
      <c r="P35" s="26">
        <f t="shared" si="35"/>
        <v>65849.035308691178</v>
      </c>
      <c r="Q35" s="26">
        <f t="shared" si="35"/>
        <v>65849.035308691178</v>
      </c>
      <c r="R35" s="26">
        <f t="shared" si="35"/>
        <v>65849.035308691178</v>
      </c>
      <c r="S35" s="26">
        <f t="shared" si="35"/>
        <v>65849.035308691178</v>
      </c>
      <c r="T35" s="26">
        <f t="shared" si="35"/>
        <v>65849.035308691178</v>
      </c>
      <c r="U35" s="26">
        <f t="shared" si="35"/>
        <v>65849.035308691178</v>
      </c>
      <c r="V35" s="26">
        <f t="shared" si="35"/>
        <v>65849.035308691178</v>
      </c>
      <c r="W35" s="26">
        <f t="shared" si="35"/>
        <v>65849.035308691178</v>
      </c>
      <c r="X35" s="26">
        <f t="shared" si="35"/>
        <v>65849.035308691178</v>
      </c>
      <c r="Y35" s="26">
        <f t="shared" si="35"/>
        <v>65849.035308691178</v>
      </c>
      <c r="Z35" s="26">
        <f t="shared" si="35"/>
        <v>65849.035308691178</v>
      </c>
      <c r="AA35" s="26">
        <f t="shared" si="35"/>
        <v>65849.035308691178</v>
      </c>
      <c r="AB35" s="26">
        <f t="shared" si="35"/>
        <v>65849.035308691178</v>
      </c>
      <c r="AC35" s="26">
        <f t="shared" si="35"/>
        <v>65849.035308691178</v>
      </c>
      <c r="BI35" s="2">
        <v>52099.376866523759</v>
      </c>
    </row>
    <row r="36" spans="4:61" x14ac:dyDescent="0.2">
      <c r="BI36" s="2">
        <v>52319.551813983031</v>
      </c>
    </row>
    <row r="37" spans="4:61" x14ac:dyDescent="0.2">
      <c r="D37" s="2" t="s">
        <v>205</v>
      </c>
      <c r="E37" s="27">
        <f>SUM(E35:AC35)</f>
        <v>1646225.88271728</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2.5000000000000001E-2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43209.756097560981</v>
      </c>
      <c r="F2" s="29">
        <v>43425.804878048781</v>
      </c>
      <c r="G2" s="29">
        <v>45162.837073170725</v>
      </c>
      <c r="H2" s="29">
        <v>45388.651258536571</v>
      </c>
      <c r="I2" s="29">
        <v>45615.594514829252</v>
      </c>
      <c r="J2" s="29">
        <v>45843.672487403397</v>
      </c>
      <c r="K2" s="29">
        <v>47677.419386899528</v>
      </c>
      <c r="L2" s="29">
        <v>47915.806483834021</v>
      </c>
      <c r="M2" s="29">
        <v>48155.385516253184</v>
      </c>
      <c r="N2" s="29">
        <v>48396.162443834444</v>
      </c>
      <c r="O2" s="29">
        <v>50332.008941587817</v>
      </c>
      <c r="P2" s="29">
        <v>50583.66898629575</v>
      </c>
      <c r="Q2" s="29">
        <v>50836.587331227223</v>
      </c>
      <c r="R2" s="29">
        <v>52870.050824476304</v>
      </c>
      <c r="S2" s="29">
        <v>53134.401078598683</v>
      </c>
      <c r="T2" s="29">
        <v>53400.073083991672</v>
      </c>
      <c r="U2" s="29">
        <v>53667.073449411626</v>
      </c>
      <c r="V2" s="29">
        <v>53935.408816658681</v>
      </c>
      <c r="W2" s="29">
        <v>56092.82516932502</v>
      </c>
      <c r="X2" s="29">
        <v>56373.289295171642</v>
      </c>
      <c r="Y2" s="29">
        <v>56655.155741647497</v>
      </c>
      <c r="Z2" s="29">
        <v>56938.431520355727</v>
      </c>
      <c r="AA2" s="29">
        <v>59215.968781169948</v>
      </c>
      <c r="AB2" s="29">
        <v>59512.048625075789</v>
      </c>
      <c r="AC2" s="29">
        <v>59809.608868201161</v>
      </c>
      <c r="AD2" s="29">
        <v>60108.656912542159</v>
      </c>
      <c r="AE2" s="29">
        <v>60409.200197104867</v>
      </c>
      <c r="AF2" s="29">
        <v>60711.246198090383</v>
      </c>
      <c r="AG2" s="29">
        <v>61014.802429080832</v>
      </c>
      <c r="AH2" s="29">
        <v>61319.876441226232</v>
      </c>
      <c r="AI2" s="29">
        <v>61626.47582343236</v>
      </c>
      <c r="AJ2" s="29">
        <v>61934.608202549512</v>
      </c>
      <c r="AK2" s="29">
        <v>62244.281243562255</v>
      </c>
      <c r="AL2" s="29">
        <v>62555.502649780057</v>
      </c>
      <c r="AM2" s="29">
        <v>62868.280163028954</v>
      </c>
      <c r="AN2" s="29">
        <v>65383.011369550106</v>
      </c>
      <c r="AO2" s="29">
        <v>65709.926426397855</v>
      </c>
      <c r="AP2" s="29">
        <v>66038.476058529835</v>
      </c>
      <c r="AQ2" s="29">
        <v>66368.668438822482</v>
      </c>
      <c r="AR2" s="29">
        <v>66700.511781016583</v>
      </c>
      <c r="AS2" s="29">
        <v>67034.014339921661</v>
      </c>
      <c r="AT2" s="29">
        <v>67369.18441162126</v>
      </c>
      <c r="AU2" s="29">
        <v>67706.030333679359</v>
      </c>
      <c r="AV2" s="29">
        <v>68044.560485347742</v>
      </c>
      <c r="AW2" s="29">
        <v>68384.783287774466</v>
      </c>
      <c r="AX2" s="2">
        <v>68726.707204213337</v>
      </c>
      <c r="AY2" s="2">
        <v>69070.340740234402</v>
      </c>
      <c r="AZ2" s="2">
        <v>69415.692443935564</v>
      </c>
      <c r="BA2" s="2">
        <v>69762.77090615523</v>
      </c>
      <c r="BB2" s="2">
        <v>70111.584760686004</v>
      </c>
      <c r="BH2" s="2" t="s">
        <v>206</v>
      </c>
      <c r="BI2" s="2" cm="1">
        <f t="array" ref="BI2:BI52">TRANSPOSE(E17:BC17)</f>
        <v>23464.10474442277</v>
      </c>
    </row>
    <row r="3" spans="1:61" x14ac:dyDescent="0.2">
      <c r="D3" s="2" t="s">
        <v>186</v>
      </c>
      <c r="E3" s="29">
        <f>E2*12</f>
        <v>518517.07317073178</v>
      </c>
      <c r="F3" s="29">
        <f t="shared" ref="F3:AV3" si="0">F2*12</f>
        <v>521109.6585365854</v>
      </c>
      <c r="G3" s="29">
        <f t="shared" si="0"/>
        <v>541954.04487804871</v>
      </c>
      <c r="H3" s="29">
        <f t="shared" si="0"/>
        <v>544663.81510243891</v>
      </c>
      <c r="I3" s="29">
        <f t="shared" si="0"/>
        <v>547387.13417795103</v>
      </c>
      <c r="J3" s="29">
        <f t="shared" si="0"/>
        <v>550124.06984884082</v>
      </c>
      <c r="K3" s="29">
        <f t="shared" si="0"/>
        <v>572129.03264279431</v>
      </c>
      <c r="L3" s="29">
        <f t="shared" si="0"/>
        <v>574989.67780600826</v>
      </c>
      <c r="M3" s="29">
        <f t="shared" si="0"/>
        <v>577864.6261950382</v>
      </c>
      <c r="N3" s="29">
        <f t="shared" si="0"/>
        <v>580753.94932601333</v>
      </c>
      <c r="O3" s="29">
        <f t="shared" si="0"/>
        <v>603984.10729905381</v>
      </c>
      <c r="P3" s="29">
        <f t="shared" si="0"/>
        <v>607004.02783554897</v>
      </c>
      <c r="Q3" s="29">
        <f t="shared" si="0"/>
        <v>610039.04797472665</v>
      </c>
      <c r="R3" s="29">
        <f t="shared" si="0"/>
        <v>634440.60989371571</v>
      </c>
      <c r="S3" s="29">
        <f t="shared" si="0"/>
        <v>637612.81294318417</v>
      </c>
      <c r="T3" s="29">
        <f t="shared" si="0"/>
        <v>640800.87700790004</v>
      </c>
      <c r="U3" s="29">
        <f t="shared" si="0"/>
        <v>644004.88139293948</v>
      </c>
      <c r="V3" s="29">
        <f t="shared" si="0"/>
        <v>647224.90579990414</v>
      </c>
      <c r="W3" s="29">
        <f t="shared" si="0"/>
        <v>673113.90203190024</v>
      </c>
      <c r="X3" s="29">
        <f t="shared" si="0"/>
        <v>676479.47154205968</v>
      </c>
      <c r="Y3" s="29">
        <f t="shared" si="0"/>
        <v>679861.86889976996</v>
      </c>
      <c r="Z3" s="29">
        <f t="shared" si="0"/>
        <v>683261.17824426875</v>
      </c>
      <c r="AA3" s="29">
        <f t="shared" si="0"/>
        <v>710591.6253740394</v>
      </c>
      <c r="AB3" s="29">
        <f t="shared" si="0"/>
        <v>714144.5835009095</v>
      </c>
      <c r="AC3" s="29">
        <f t="shared" si="0"/>
        <v>717715.30641841399</v>
      </c>
      <c r="AD3" s="29">
        <f t="shared" si="0"/>
        <v>721303.88295050594</v>
      </c>
      <c r="AE3" s="29">
        <f t="shared" si="0"/>
        <v>724910.40236525843</v>
      </c>
      <c r="AF3" s="29">
        <f t="shared" si="0"/>
        <v>728534.95437708462</v>
      </c>
      <c r="AG3" s="29">
        <f t="shared" si="0"/>
        <v>732177.62914897001</v>
      </c>
      <c r="AH3" s="29">
        <f t="shared" si="0"/>
        <v>735838.51729471481</v>
      </c>
      <c r="AI3" s="29">
        <f t="shared" si="0"/>
        <v>739517.70988118835</v>
      </c>
      <c r="AJ3" s="29">
        <f t="shared" si="0"/>
        <v>743215.29843059415</v>
      </c>
      <c r="AK3" s="29">
        <f t="shared" si="0"/>
        <v>746931.37492274703</v>
      </c>
      <c r="AL3" s="29">
        <f t="shared" si="0"/>
        <v>750666.03179736063</v>
      </c>
      <c r="AM3" s="29">
        <f t="shared" si="0"/>
        <v>754419.36195634748</v>
      </c>
      <c r="AN3" s="29">
        <f t="shared" si="0"/>
        <v>784596.13643460127</v>
      </c>
      <c r="AO3" s="29">
        <f t="shared" si="0"/>
        <v>788519.1171167742</v>
      </c>
      <c r="AP3" s="29">
        <f t="shared" si="0"/>
        <v>792461.71270235803</v>
      </c>
      <c r="AQ3" s="29">
        <f t="shared" si="0"/>
        <v>796424.02126586973</v>
      </c>
      <c r="AR3" s="29">
        <f t="shared" si="0"/>
        <v>800406.14137219894</v>
      </c>
      <c r="AS3" s="29">
        <f t="shared" si="0"/>
        <v>804408.17207905999</v>
      </c>
      <c r="AT3" s="29">
        <f t="shared" si="0"/>
        <v>808430.21293945517</v>
      </c>
      <c r="AU3" s="29">
        <f t="shared" si="0"/>
        <v>812472.36400415236</v>
      </c>
      <c r="AV3" s="29">
        <f t="shared" si="0"/>
        <v>816534.72582417284</v>
      </c>
      <c r="AW3" s="29">
        <f t="shared" ref="AW3:BB3" si="1">AW2*12</f>
        <v>820617.39945329353</v>
      </c>
      <c r="AX3" s="29">
        <f t="shared" si="1"/>
        <v>824720.48645056004</v>
      </c>
      <c r="AY3" s="29">
        <f t="shared" si="1"/>
        <v>828844.08888281276</v>
      </c>
      <c r="AZ3" s="29">
        <f t="shared" si="1"/>
        <v>832988.30932722683</v>
      </c>
      <c r="BA3" s="29">
        <f t="shared" si="1"/>
        <v>837153.25087386277</v>
      </c>
      <c r="BB3" s="29">
        <f t="shared" si="1"/>
        <v>841339.01712823205</v>
      </c>
      <c r="BI3" s="2">
        <v>23583.04664127155</v>
      </c>
    </row>
    <row r="4" spans="1:61" x14ac:dyDescent="0.2">
      <c r="A4" s="2" t="str" cm="1">
        <f t="array" ref="A4:B12">'Salary Variables'!$B$16:$C$24</f>
        <v>AM (%)</v>
      </c>
      <c r="B4" s="25">
        <v>0.08</v>
      </c>
      <c r="D4" s="2" t="s">
        <v>277</v>
      </c>
      <c r="E4" s="29">
        <f>'Pensions P1'!B4*12</f>
        <v>25925.853658536591</v>
      </c>
      <c r="F4" s="29">
        <f>'Pensions P1'!C4*12</f>
        <v>26055.482926829271</v>
      </c>
      <c r="G4" s="29">
        <f>'Pensions P1'!D4*12</f>
        <v>27097.702243902437</v>
      </c>
      <c r="H4" s="29">
        <f>'Pensions P1'!E4*12</f>
        <v>27233.190755121945</v>
      </c>
      <c r="I4" s="29">
        <f>'Pensions P1'!F4*12</f>
        <v>27369.356708897554</v>
      </c>
      <c r="J4" s="29">
        <f>'Pensions P1'!G4*12</f>
        <v>27506.20349244204</v>
      </c>
      <c r="K4" s="29">
        <f>'Pensions P1'!H4*12</f>
        <v>28606.451632139717</v>
      </c>
      <c r="L4" s="29">
        <f>'Pensions P1'!I4*12</f>
        <v>28749.483890300413</v>
      </c>
      <c r="M4" s="29">
        <f>'Pensions P1'!J4*12</f>
        <v>28893.231309751907</v>
      </c>
      <c r="N4" s="29">
        <f>'Pensions P1'!K4*12</f>
        <v>29037.697466300669</v>
      </c>
      <c r="O4" s="29">
        <f>'Pensions P1'!L4*12</f>
        <v>30199.205364952693</v>
      </c>
      <c r="P4" s="29">
        <f>'Pensions P1'!M4*12</f>
        <v>30350.201391777453</v>
      </c>
      <c r="Q4" s="29">
        <f>'Pensions P1'!N4*12</f>
        <v>30501.952398736335</v>
      </c>
      <c r="R4" s="29">
        <f>'Pensions P1'!O4*12</f>
        <v>31722.030494685787</v>
      </c>
      <c r="S4" s="29">
        <f>'Pensions P1'!P4*12</f>
        <v>31880.640647159213</v>
      </c>
      <c r="T4" s="29">
        <f>'Pensions P1'!Q4*12</f>
        <v>32040.043850395006</v>
      </c>
      <c r="U4" s="29">
        <f>'Pensions P1'!R4*12</f>
        <v>32200.244069646978</v>
      </c>
      <c r="V4" s="29">
        <f>'Pensions P1'!S4*12</f>
        <v>32361.245289995211</v>
      </c>
      <c r="W4" s="29">
        <f>'Pensions P1'!T4*12</f>
        <v>33655.695101595018</v>
      </c>
      <c r="X4" s="29">
        <f>'Pensions P1'!U4*12</f>
        <v>33823.973577102988</v>
      </c>
      <c r="Y4" s="29">
        <f>'Pensions P1'!V4*12</f>
        <v>33993.093444988503</v>
      </c>
      <c r="Z4" s="29">
        <f>'Pensions P1'!W4*12</f>
        <v>34163.058912213441</v>
      </c>
      <c r="AA4" s="29">
        <f>'Pensions P1'!X4*12</f>
        <v>35529.581268701972</v>
      </c>
      <c r="AB4" s="29">
        <f>'Pensions P1'!Y4*12</f>
        <v>35707.229175045475</v>
      </c>
      <c r="AC4" s="29">
        <f>'Pensions P1'!Z4*12</f>
        <v>35885.765320920698</v>
      </c>
      <c r="AD4" s="29">
        <f>'Pensions P1'!AA4*12</f>
        <v>36065.194147525297</v>
      </c>
      <c r="AE4" s="29">
        <f>'Pensions P1'!AB4*12</f>
        <v>36245.520118262924</v>
      </c>
      <c r="AF4" s="29">
        <f>'Pensions P1'!AC4*12</f>
        <v>36426.747718854233</v>
      </c>
      <c r="AG4" s="29">
        <f>'Pensions P1'!AD4*12</f>
        <v>36608.8814574485</v>
      </c>
      <c r="AH4" s="29">
        <f>'Pensions P1'!AE4*12</f>
        <v>36791.925864735742</v>
      </c>
      <c r="AI4" s="29">
        <f>'Pensions P1'!AF4*12</f>
        <v>36975.885494059417</v>
      </c>
      <c r="AJ4" s="29">
        <f>'Pensions P1'!AG4*12</f>
        <v>37160.764921529713</v>
      </c>
      <c r="AK4" s="29">
        <f>'Pensions P1'!AH4*12</f>
        <v>37346.568746137353</v>
      </c>
      <c r="AL4" s="29">
        <f>'Pensions P1'!AI4*12</f>
        <v>37533.301589868039</v>
      </c>
      <c r="AM4" s="29">
        <f>'Pensions P1'!AJ4*12</f>
        <v>37720.968097817371</v>
      </c>
      <c r="AN4" s="29">
        <f>'Pensions P1'!AK4*12</f>
        <v>39229.806821730068</v>
      </c>
      <c r="AO4" s="29">
        <f>'Pensions P1'!AL4*12</f>
        <v>39425.955855838714</v>
      </c>
      <c r="AP4" s="29">
        <f>'Pensions P1'!AM4*12</f>
        <v>39623.085635117903</v>
      </c>
      <c r="AQ4" s="29">
        <f>'Pensions P1'!AN4*12</f>
        <v>39821.201063293491</v>
      </c>
      <c r="AR4" s="29">
        <f>'Pensions P1'!AO4*12</f>
        <v>40020.307068609953</v>
      </c>
      <c r="AS4" s="29">
        <f>'Pensions P1'!AP4*12</f>
        <v>40220.408603953001</v>
      </c>
      <c r="AT4" s="29">
        <f>'Pensions P1'!AQ4*12</f>
        <v>40421.510646972762</v>
      </c>
      <c r="AU4" s="29">
        <f>'Pensions P1'!AR4*12</f>
        <v>40623.618200207617</v>
      </c>
      <c r="AV4" s="29">
        <f>'Pensions P1'!AS4*12</f>
        <v>40826.736291208646</v>
      </c>
      <c r="AW4" s="29">
        <f>'Pensions P1'!AT4*12</f>
        <v>41030.869972664681</v>
      </c>
      <c r="AX4" s="29">
        <f>'Pensions P1'!AU4*12</f>
        <v>41236.024322528006</v>
      </c>
      <c r="AY4" s="29">
        <f>'Pensions P1'!AV4*12</f>
        <v>41442.204444140647</v>
      </c>
      <c r="AZ4" s="29">
        <f>'Pensions P1'!AW4*12</f>
        <v>41649.415466361344</v>
      </c>
      <c r="BA4" s="29">
        <f>'Pensions P1'!AX4*12</f>
        <v>41857.662543693143</v>
      </c>
      <c r="BB4" s="29">
        <f>'Pensions P1'!AY4*12</f>
        <v>42066.950856411604</v>
      </c>
      <c r="BI4" s="2">
        <v>24539.339491935738</v>
      </c>
    </row>
    <row r="5" spans="1:61" x14ac:dyDescent="0.2">
      <c r="A5" s="2" t="str">
        <v>Personal Allowance</v>
      </c>
      <c r="B5" s="28">
        <v>51600</v>
      </c>
      <c r="D5" s="2" t="s">
        <v>187</v>
      </c>
      <c r="E5" s="29">
        <f>E3-E4</f>
        <v>492591.21951219521</v>
      </c>
      <c r="F5" s="29">
        <f t="shared" ref="F5:AW5" si="2">F3-F4</f>
        <v>495054.17560975614</v>
      </c>
      <c r="G5" s="29">
        <f t="shared" si="2"/>
        <v>514856.34263414628</v>
      </c>
      <c r="H5" s="29">
        <f t="shared" si="2"/>
        <v>517430.62434731697</v>
      </c>
      <c r="I5" s="29">
        <f t="shared" si="2"/>
        <v>520017.77746905346</v>
      </c>
      <c r="J5" s="29">
        <f t="shared" si="2"/>
        <v>522617.86635639879</v>
      </c>
      <c r="K5" s="29">
        <f t="shared" si="2"/>
        <v>543522.58101065457</v>
      </c>
      <c r="L5" s="29">
        <f t="shared" si="2"/>
        <v>546240.19391570787</v>
      </c>
      <c r="M5" s="29">
        <f t="shared" si="2"/>
        <v>548971.39488528634</v>
      </c>
      <c r="N5" s="29">
        <f t="shared" si="2"/>
        <v>551716.25185971265</v>
      </c>
      <c r="O5" s="29">
        <f t="shared" si="2"/>
        <v>573784.90193410113</v>
      </c>
      <c r="P5" s="29">
        <f t="shared" si="2"/>
        <v>576653.82644377148</v>
      </c>
      <c r="Q5" s="29">
        <f t="shared" si="2"/>
        <v>579537.09557599027</v>
      </c>
      <c r="R5" s="29">
        <f t="shared" si="2"/>
        <v>602718.57939902996</v>
      </c>
      <c r="S5" s="29">
        <f t="shared" si="2"/>
        <v>605732.17229602498</v>
      </c>
      <c r="T5" s="29">
        <f t="shared" si="2"/>
        <v>608760.83315750503</v>
      </c>
      <c r="U5" s="29">
        <f t="shared" si="2"/>
        <v>611804.63732329255</v>
      </c>
      <c r="V5" s="29">
        <f t="shared" si="2"/>
        <v>614863.66050990892</v>
      </c>
      <c r="W5" s="29">
        <f t="shared" si="2"/>
        <v>639458.20693030523</v>
      </c>
      <c r="X5" s="29">
        <f t="shared" si="2"/>
        <v>642655.49796495668</v>
      </c>
      <c r="Y5" s="29">
        <f t="shared" si="2"/>
        <v>645868.77545478148</v>
      </c>
      <c r="Z5" s="29">
        <f t="shared" si="2"/>
        <v>649098.11933205533</v>
      </c>
      <c r="AA5" s="29">
        <f t="shared" si="2"/>
        <v>675062.04410533747</v>
      </c>
      <c r="AB5" s="29">
        <f t="shared" si="2"/>
        <v>678437.354325864</v>
      </c>
      <c r="AC5" s="29">
        <f t="shared" si="2"/>
        <v>681829.54109749326</v>
      </c>
      <c r="AD5" s="29">
        <f t="shared" si="2"/>
        <v>685238.68880298059</v>
      </c>
      <c r="AE5" s="29">
        <f t="shared" si="2"/>
        <v>688664.88224699546</v>
      </c>
      <c r="AF5" s="29">
        <f t="shared" si="2"/>
        <v>692108.2066582304</v>
      </c>
      <c r="AG5" s="29">
        <f t="shared" si="2"/>
        <v>695568.74769152154</v>
      </c>
      <c r="AH5" s="29">
        <f t="shared" si="2"/>
        <v>699046.59142997907</v>
      </c>
      <c r="AI5" s="29">
        <f t="shared" si="2"/>
        <v>702541.82438712893</v>
      </c>
      <c r="AJ5" s="29">
        <f t="shared" si="2"/>
        <v>706054.53350906447</v>
      </c>
      <c r="AK5" s="29">
        <f t="shared" si="2"/>
        <v>709584.80617660971</v>
      </c>
      <c r="AL5" s="29">
        <f t="shared" si="2"/>
        <v>713132.7302074926</v>
      </c>
      <c r="AM5" s="29">
        <f t="shared" si="2"/>
        <v>716698.39385853009</v>
      </c>
      <c r="AN5" s="29">
        <f t="shared" si="2"/>
        <v>745366.32961287117</v>
      </c>
      <c r="AO5" s="29">
        <f t="shared" si="2"/>
        <v>749093.16126093548</v>
      </c>
      <c r="AP5" s="29">
        <f t="shared" si="2"/>
        <v>752838.62706724007</v>
      </c>
      <c r="AQ5" s="29">
        <f t="shared" si="2"/>
        <v>756602.82020257623</v>
      </c>
      <c r="AR5" s="29">
        <f t="shared" si="2"/>
        <v>760385.83430358896</v>
      </c>
      <c r="AS5" s="29">
        <f t="shared" si="2"/>
        <v>764187.76347510703</v>
      </c>
      <c r="AT5" s="29">
        <f t="shared" si="2"/>
        <v>768008.70229248237</v>
      </c>
      <c r="AU5" s="29">
        <f t="shared" si="2"/>
        <v>771848.74580394477</v>
      </c>
      <c r="AV5" s="29">
        <f t="shared" si="2"/>
        <v>775707.98953296419</v>
      </c>
      <c r="AW5" s="29">
        <f t="shared" si="2"/>
        <v>779586.5294806289</v>
      </c>
      <c r="AX5" s="29">
        <f t="shared" ref="AX5:BB5" si="3">AX3-AX4</f>
        <v>783484.462128032</v>
      </c>
      <c r="AY5" s="29">
        <f t="shared" si="3"/>
        <v>787401.8844386721</v>
      </c>
      <c r="AZ5" s="29">
        <f t="shared" si="3"/>
        <v>791338.8938608655</v>
      </c>
      <c r="BA5" s="29">
        <f t="shared" si="3"/>
        <v>795295.58833016967</v>
      </c>
      <c r="BB5" s="29">
        <f t="shared" si="3"/>
        <v>799272.06627182045</v>
      </c>
      <c r="BI5" s="2">
        <v>24663.657562522083</v>
      </c>
    </row>
    <row r="6" spans="1:61" x14ac:dyDescent="0.2">
      <c r="A6" s="2" t="str">
        <v>Bottom-Bracket State Tax rate (%)</v>
      </c>
      <c r="B6" s="25">
        <v>0.1201</v>
      </c>
      <c r="D6" s="2" t="s">
        <v>256</v>
      </c>
      <c r="E6" s="28">
        <f>E5-$B$14</f>
        <v>491403.21951219521</v>
      </c>
      <c r="F6" s="28">
        <f t="shared" ref="F6:AW6" si="4">F5-$B$14</f>
        <v>493866.17560975614</v>
      </c>
      <c r="G6" s="28">
        <f t="shared" si="4"/>
        <v>513668.34263414628</v>
      </c>
      <c r="H6" s="28">
        <f t="shared" si="4"/>
        <v>516242.62434731697</v>
      </c>
      <c r="I6" s="28">
        <f t="shared" si="4"/>
        <v>518829.77746905346</v>
      </c>
      <c r="J6" s="28">
        <f t="shared" si="4"/>
        <v>521429.86635639879</v>
      </c>
      <c r="K6" s="28">
        <f t="shared" si="4"/>
        <v>542334.58101065457</v>
      </c>
      <c r="L6" s="28">
        <f t="shared" si="4"/>
        <v>545052.19391570787</v>
      </c>
      <c r="M6" s="28">
        <f t="shared" si="4"/>
        <v>547783.39488528634</v>
      </c>
      <c r="N6" s="28">
        <f t="shared" si="4"/>
        <v>550528.25185971265</v>
      </c>
      <c r="O6" s="28">
        <f t="shared" si="4"/>
        <v>572596.90193410113</v>
      </c>
      <c r="P6" s="28">
        <f t="shared" si="4"/>
        <v>575465.82644377148</v>
      </c>
      <c r="Q6" s="28">
        <f t="shared" si="4"/>
        <v>578349.09557599027</v>
      </c>
      <c r="R6" s="28">
        <f t="shared" si="4"/>
        <v>601530.57939902996</v>
      </c>
      <c r="S6" s="28">
        <f t="shared" si="4"/>
        <v>604544.17229602498</v>
      </c>
      <c r="T6" s="28">
        <f t="shared" si="4"/>
        <v>607572.83315750503</v>
      </c>
      <c r="U6" s="28">
        <f t="shared" si="4"/>
        <v>610616.63732329255</v>
      </c>
      <c r="V6" s="28">
        <f t="shared" si="4"/>
        <v>613675.66050990892</v>
      </c>
      <c r="W6" s="28">
        <f t="shared" si="4"/>
        <v>638270.20693030523</v>
      </c>
      <c r="X6" s="28">
        <f t="shared" si="4"/>
        <v>641467.49796495668</v>
      </c>
      <c r="Y6" s="28">
        <f t="shared" si="4"/>
        <v>644680.77545478148</v>
      </c>
      <c r="Z6" s="28">
        <f t="shared" si="4"/>
        <v>647910.11933205533</v>
      </c>
      <c r="AA6" s="28">
        <f t="shared" si="4"/>
        <v>673874.04410533747</v>
      </c>
      <c r="AB6" s="28">
        <f t="shared" si="4"/>
        <v>677249.354325864</v>
      </c>
      <c r="AC6" s="28">
        <f t="shared" si="4"/>
        <v>680641.54109749326</v>
      </c>
      <c r="AD6" s="28">
        <f t="shared" si="4"/>
        <v>684050.68880298059</v>
      </c>
      <c r="AE6" s="28">
        <f t="shared" si="4"/>
        <v>687476.88224699546</v>
      </c>
      <c r="AF6" s="28">
        <f t="shared" si="4"/>
        <v>690920.2066582304</v>
      </c>
      <c r="AG6" s="28">
        <f t="shared" si="4"/>
        <v>694380.74769152154</v>
      </c>
      <c r="AH6" s="28">
        <f t="shared" si="4"/>
        <v>697858.59142997907</v>
      </c>
      <c r="AI6" s="28">
        <f t="shared" si="4"/>
        <v>701353.82438712893</v>
      </c>
      <c r="AJ6" s="28">
        <f t="shared" si="4"/>
        <v>704866.53350906447</v>
      </c>
      <c r="AK6" s="28">
        <f t="shared" si="4"/>
        <v>708396.80617660971</v>
      </c>
      <c r="AL6" s="28">
        <f t="shared" si="4"/>
        <v>711944.7302074926</v>
      </c>
      <c r="AM6" s="28">
        <f t="shared" si="4"/>
        <v>715510.39385853009</v>
      </c>
      <c r="AN6" s="28">
        <f t="shared" si="4"/>
        <v>744178.32961287117</v>
      </c>
      <c r="AO6" s="28">
        <f t="shared" si="4"/>
        <v>747905.16126093548</v>
      </c>
      <c r="AP6" s="28">
        <f t="shared" si="4"/>
        <v>751650.62706724007</v>
      </c>
      <c r="AQ6" s="28">
        <f t="shared" si="4"/>
        <v>755414.82020257623</v>
      </c>
      <c r="AR6" s="28">
        <f t="shared" si="4"/>
        <v>759197.83430358896</v>
      </c>
      <c r="AS6" s="28">
        <f t="shared" si="4"/>
        <v>762999.76347510703</v>
      </c>
      <c r="AT6" s="28">
        <f t="shared" si="4"/>
        <v>766820.70229248237</v>
      </c>
      <c r="AU6" s="28">
        <f t="shared" si="4"/>
        <v>770660.74580394477</v>
      </c>
      <c r="AV6" s="28">
        <f t="shared" si="4"/>
        <v>774519.98953296419</v>
      </c>
      <c r="AW6" s="28">
        <f t="shared" si="4"/>
        <v>778398.5294806289</v>
      </c>
      <c r="AX6" s="28">
        <f t="shared" ref="AX6:BB6" si="5">AX5-$B$14</f>
        <v>782296.462128032</v>
      </c>
      <c r="AY6" s="28">
        <f t="shared" si="5"/>
        <v>786213.8844386721</v>
      </c>
      <c r="AZ6" s="28">
        <f t="shared" si="5"/>
        <v>790150.8938608655</v>
      </c>
      <c r="BA6" s="28">
        <f t="shared" si="5"/>
        <v>794107.58833016967</v>
      </c>
      <c r="BB6" s="28">
        <f t="shared" si="5"/>
        <v>798084.06627182045</v>
      </c>
      <c r="BI6" s="2">
        <v>24788.597223461355</v>
      </c>
    </row>
    <row r="7" spans="1:61" x14ac:dyDescent="0.2">
      <c r="A7" s="2" t="str">
        <v>Top-bracket State Tax rate (%)</v>
      </c>
      <c r="B7" s="25">
        <v>0.15</v>
      </c>
      <c r="D7" s="2" t="s">
        <v>234</v>
      </c>
      <c r="E7" s="28">
        <f>E6*(1-$B$4)</f>
        <v>452090.96195121959</v>
      </c>
      <c r="F7" s="28">
        <f t="shared" ref="F7:AW7" si="6">F6*(1-$B$4)</f>
        <v>454356.88156097569</v>
      </c>
      <c r="G7" s="28">
        <f t="shared" si="6"/>
        <v>472574.87522341462</v>
      </c>
      <c r="H7" s="28">
        <f t="shared" si="6"/>
        <v>474943.21439953166</v>
      </c>
      <c r="I7" s="28">
        <f t="shared" si="6"/>
        <v>477323.39527152921</v>
      </c>
      <c r="J7" s="28">
        <f t="shared" si="6"/>
        <v>479715.47704788693</v>
      </c>
      <c r="K7" s="28">
        <f t="shared" si="6"/>
        <v>498947.81452980224</v>
      </c>
      <c r="L7" s="28">
        <f t="shared" si="6"/>
        <v>501448.01840245124</v>
      </c>
      <c r="M7" s="28">
        <f t="shared" si="6"/>
        <v>503960.72329446347</v>
      </c>
      <c r="N7" s="28">
        <f t="shared" si="6"/>
        <v>506485.99171093566</v>
      </c>
      <c r="O7" s="28">
        <f t="shared" si="6"/>
        <v>526789.14977937308</v>
      </c>
      <c r="P7" s="28">
        <f t="shared" si="6"/>
        <v>529428.56032826984</v>
      </c>
      <c r="Q7" s="28">
        <f t="shared" si="6"/>
        <v>532081.16792991105</v>
      </c>
      <c r="R7" s="28">
        <f t="shared" si="6"/>
        <v>553408.13304710761</v>
      </c>
      <c r="S7" s="28">
        <f t="shared" si="6"/>
        <v>556180.63851234305</v>
      </c>
      <c r="T7" s="28">
        <f t="shared" si="6"/>
        <v>558967.0065049046</v>
      </c>
      <c r="U7" s="28">
        <f t="shared" si="6"/>
        <v>561767.30633742921</v>
      </c>
      <c r="V7" s="28">
        <f t="shared" si="6"/>
        <v>564581.60766911623</v>
      </c>
      <c r="W7" s="28">
        <f t="shared" si="6"/>
        <v>587208.59037588083</v>
      </c>
      <c r="X7" s="28">
        <f t="shared" si="6"/>
        <v>590150.09812776023</v>
      </c>
      <c r="Y7" s="28">
        <f t="shared" si="6"/>
        <v>593106.31341839896</v>
      </c>
      <c r="Z7" s="28">
        <f t="shared" si="6"/>
        <v>596077.30978549097</v>
      </c>
      <c r="AA7" s="28">
        <f t="shared" si="6"/>
        <v>619964.12057691044</v>
      </c>
      <c r="AB7" s="28">
        <f t="shared" si="6"/>
        <v>623069.40597979492</v>
      </c>
      <c r="AC7" s="28">
        <f t="shared" si="6"/>
        <v>626190.21780969377</v>
      </c>
      <c r="AD7" s="28">
        <f t="shared" si="6"/>
        <v>629326.63369874214</v>
      </c>
      <c r="AE7" s="28">
        <f t="shared" si="6"/>
        <v>632478.73166723584</v>
      </c>
      <c r="AF7" s="28">
        <f t="shared" si="6"/>
        <v>635646.59012557194</v>
      </c>
      <c r="AG7" s="28">
        <f t="shared" si="6"/>
        <v>638830.28787619981</v>
      </c>
      <c r="AH7" s="28">
        <f t="shared" si="6"/>
        <v>642029.90411558072</v>
      </c>
      <c r="AI7" s="28">
        <f t="shared" si="6"/>
        <v>645245.51843615866</v>
      </c>
      <c r="AJ7" s="28">
        <f t="shared" si="6"/>
        <v>648477.21082833933</v>
      </c>
      <c r="AK7" s="28">
        <f t="shared" si="6"/>
        <v>651725.06168248097</v>
      </c>
      <c r="AL7" s="28">
        <f t="shared" si="6"/>
        <v>654989.15179089317</v>
      </c>
      <c r="AM7" s="28">
        <f t="shared" si="6"/>
        <v>658269.56234984775</v>
      </c>
      <c r="AN7" s="28">
        <f t="shared" si="6"/>
        <v>684644.06324384152</v>
      </c>
      <c r="AO7" s="28">
        <f t="shared" si="6"/>
        <v>688072.74836006062</v>
      </c>
      <c r="AP7" s="28">
        <f t="shared" si="6"/>
        <v>691518.57690186088</v>
      </c>
      <c r="AQ7" s="28">
        <f t="shared" si="6"/>
        <v>694981.6345863702</v>
      </c>
      <c r="AR7" s="28">
        <f t="shared" si="6"/>
        <v>698462.00755930191</v>
      </c>
      <c r="AS7" s="28">
        <f t="shared" si="6"/>
        <v>701959.78239709849</v>
      </c>
      <c r="AT7" s="28">
        <f t="shared" si="6"/>
        <v>705475.04610908381</v>
      </c>
      <c r="AU7" s="28">
        <f t="shared" si="6"/>
        <v>709007.88613962918</v>
      </c>
      <c r="AV7" s="28">
        <f t="shared" si="6"/>
        <v>712558.39037032705</v>
      </c>
      <c r="AW7" s="28">
        <f t="shared" si="6"/>
        <v>716126.64712217858</v>
      </c>
      <c r="AX7" s="28">
        <f t="shared" ref="AX7:BB7" si="7">AX6*(1-$B$4)</f>
        <v>719712.74515778944</v>
      </c>
      <c r="AY7" s="28">
        <f t="shared" si="7"/>
        <v>723316.77368357836</v>
      </c>
      <c r="AZ7" s="28">
        <f t="shared" si="7"/>
        <v>726938.82235199632</v>
      </c>
      <c r="BA7" s="28">
        <f t="shared" si="7"/>
        <v>730578.98126375617</v>
      </c>
      <c r="BB7" s="28">
        <f t="shared" si="7"/>
        <v>734237.34097007487</v>
      </c>
      <c r="BI7" s="2">
        <v>24914.161582705332</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25923.69903102687</v>
      </c>
    </row>
    <row r="9" spans="1:61" x14ac:dyDescent="0.2">
      <c r="A9" s="2" t="str">
        <v>Municipal Tax (%)</v>
      </c>
      <c r="B9" s="25">
        <v>0.25</v>
      </c>
      <c r="D9" s="2" t="s">
        <v>235</v>
      </c>
      <c r="E9" s="28">
        <f>E7-E8</f>
        <v>400490.96195121959</v>
      </c>
      <c r="F9" s="28">
        <f t="shared" ref="F9:AW9" si="9">F7-F8</f>
        <v>402756.88156097569</v>
      </c>
      <c r="G9" s="28">
        <f t="shared" si="9"/>
        <v>420974.87522341462</v>
      </c>
      <c r="H9" s="28">
        <f t="shared" si="9"/>
        <v>423343.21439953166</v>
      </c>
      <c r="I9" s="28">
        <f t="shared" si="9"/>
        <v>425723.39527152921</v>
      </c>
      <c r="J9" s="28">
        <f t="shared" si="9"/>
        <v>428115.47704788693</v>
      </c>
      <c r="K9" s="28">
        <f t="shared" si="9"/>
        <v>447347.81452980224</v>
      </c>
      <c r="L9" s="28">
        <f t="shared" si="9"/>
        <v>449848.01840245124</v>
      </c>
      <c r="M9" s="28">
        <f t="shared" si="9"/>
        <v>452360.72329446347</v>
      </c>
      <c r="N9" s="28">
        <f t="shared" si="9"/>
        <v>454885.99171093566</v>
      </c>
      <c r="O9" s="28">
        <f t="shared" si="9"/>
        <v>475189.14977937308</v>
      </c>
      <c r="P9" s="28">
        <f t="shared" si="9"/>
        <v>477828.56032826984</v>
      </c>
      <c r="Q9" s="28">
        <f t="shared" si="9"/>
        <v>480481.16792991105</v>
      </c>
      <c r="R9" s="28">
        <f t="shared" si="9"/>
        <v>501808.13304710761</v>
      </c>
      <c r="S9" s="28">
        <f t="shared" si="9"/>
        <v>504580.63851234305</v>
      </c>
      <c r="T9" s="28">
        <f t="shared" si="9"/>
        <v>507367.0065049046</v>
      </c>
      <c r="U9" s="28">
        <f t="shared" si="9"/>
        <v>510167.30633742921</v>
      </c>
      <c r="V9" s="28">
        <f t="shared" si="9"/>
        <v>512981.60766911623</v>
      </c>
      <c r="W9" s="28">
        <f t="shared" si="9"/>
        <v>535608.59037588083</v>
      </c>
      <c r="X9" s="28">
        <f t="shared" si="9"/>
        <v>538550.09812776023</v>
      </c>
      <c r="Y9" s="28">
        <f t="shared" si="9"/>
        <v>541506.31341839896</v>
      </c>
      <c r="Z9" s="28">
        <f t="shared" si="9"/>
        <v>544477.30978549097</v>
      </c>
      <c r="AA9" s="28">
        <f t="shared" si="9"/>
        <v>568364.12057691044</v>
      </c>
      <c r="AB9" s="28">
        <f t="shared" si="9"/>
        <v>571469.40597979492</v>
      </c>
      <c r="AC9" s="28">
        <f t="shared" si="9"/>
        <v>574590.21780969377</v>
      </c>
      <c r="AD9" s="28">
        <f t="shared" si="9"/>
        <v>577726.63369874214</v>
      </c>
      <c r="AE9" s="28">
        <f t="shared" si="9"/>
        <v>580878.73166723584</v>
      </c>
      <c r="AF9" s="28">
        <f t="shared" si="9"/>
        <v>584046.59012557194</v>
      </c>
      <c r="AG9" s="28">
        <f t="shared" si="9"/>
        <v>587230.28787619981</v>
      </c>
      <c r="AH9" s="28">
        <f t="shared" si="9"/>
        <v>590429.90411558072</v>
      </c>
      <c r="AI9" s="28">
        <f t="shared" si="9"/>
        <v>593645.51843615866</v>
      </c>
      <c r="AJ9" s="28">
        <f t="shared" si="9"/>
        <v>596877.21082833933</v>
      </c>
      <c r="AK9" s="28">
        <f t="shared" si="9"/>
        <v>600125.06168248097</v>
      </c>
      <c r="AL9" s="28">
        <f t="shared" si="9"/>
        <v>603389.15179089317</v>
      </c>
      <c r="AM9" s="28">
        <f t="shared" si="9"/>
        <v>606669.56234984775</v>
      </c>
      <c r="AN9" s="28">
        <f t="shared" si="9"/>
        <v>633044.06324384152</v>
      </c>
      <c r="AO9" s="28">
        <f t="shared" si="9"/>
        <v>636472.74836006062</v>
      </c>
      <c r="AP9" s="28">
        <f t="shared" si="9"/>
        <v>639918.57690186088</v>
      </c>
      <c r="AQ9" s="28">
        <f t="shared" si="9"/>
        <v>643381.6345863702</v>
      </c>
      <c r="AR9" s="28">
        <f t="shared" si="9"/>
        <v>646862.00755930191</v>
      </c>
      <c r="AS9" s="28">
        <f t="shared" si="9"/>
        <v>650359.78239709849</v>
      </c>
      <c r="AT9" s="28">
        <f t="shared" si="9"/>
        <v>653875.04610908381</v>
      </c>
      <c r="AU9" s="28">
        <f t="shared" si="9"/>
        <v>657407.88613962918</v>
      </c>
      <c r="AV9" s="28">
        <f t="shared" si="9"/>
        <v>660958.39037032705</v>
      </c>
      <c r="AW9" s="28">
        <f t="shared" si="9"/>
        <v>664526.64712217858</v>
      </c>
      <c r="AX9" s="28">
        <f t="shared" ref="AX9:BB9" si="10">AX7-AX8</f>
        <v>668112.74515778944</v>
      </c>
      <c r="AY9" s="28">
        <f t="shared" si="10"/>
        <v>671716.77368357836</v>
      </c>
      <c r="AZ9" s="28">
        <f t="shared" si="10"/>
        <v>675338.82235199632</v>
      </c>
      <c r="BA9" s="28">
        <f t="shared" si="10"/>
        <v>678978.98126375617</v>
      </c>
      <c r="BB9" s="28">
        <f t="shared" si="10"/>
        <v>682637.34097007487</v>
      </c>
      <c r="BI9" s="2">
        <v>26054.938899308672</v>
      </c>
    </row>
    <row r="10" spans="1:61" x14ac:dyDescent="0.2">
      <c r="A10" s="2" t="str">
        <v>Capital Gains &lt; 67,500DKK</v>
      </c>
      <c r="B10" s="28">
        <v>0.27</v>
      </c>
      <c r="D10" s="2" t="s">
        <v>189</v>
      </c>
      <c r="E10" s="28">
        <f>E7*$B$9</f>
        <v>113022.7404878049</v>
      </c>
      <c r="F10" s="28">
        <f t="shared" ref="F10:AW10" si="11">F7*$B$9</f>
        <v>113589.22039024392</v>
      </c>
      <c r="G10" s="28">
        <f t="shared" si="11"/>
        <v>118143.71880585366</v>
      </c>
      <c r="H10" s="28">
        <f t="shared" si="11"/>
        <v>118735.80359988291</v>
      </c>
      <c r="I10" s="28">
        <f t="shared" si="11"/>
        <v>119330.8488178823</v>
      </c>
      <c r="J10" s="28">
        <f t="shared" si="11"/>
        <v>119928.86926197173</v>
      </c>
      <c r="K10" s="28">
        <f t="shared" si="11"/>
        <v>124736.95363245056</v>
      </c>
      <c r="L10" s="28">
        <f t="shared" si="11"/>
        <v>125362.00460061281</v>
      </c>
      <c r="M10" s="28">
        <f t="shared" si="11"/>
        <v>125990.18082361587</v>
      </c>
      <c r="N10" s="28">
        <f t="shared" si="11"/>
        <v>126621.49792773392</v>
      </c>
      <c r="O10" s="28">
        <f t="shared" si="11"/>
        <v>131697.28744484327</v>
      </c>
      <c r="P10" s="28">
        <f t="shared" si="11"/>
        <v>132357.14008206746</v>
      </c>
      <c r="Q10" s="28">
        <f t="shared" si="11"/>
        <v>133020.29198247776</v>
      </c>
      <c r="R10" s="28">
        <f t="shared" si="11"/>
        <v>138352.0332617769</v>
      </c>
      <c r="S10" s="28">
        <f t="shared" si="11"/>
        <v>139045.15962808576</v>
      </c>
      <c r="T10" s="28">
        <f t="shared" si="11"/>
        <v>139741.75162622615</v>
      </c>
      <c r="U10" s="28">
        <f t="shared" si="11"/>
        <v>140441.8265843573</v>
      </c>
      <c r="V10" s="28">
        <f t="shared" si="11"/>
        <v>141145.40191727906</v>
      </c>
      <c r="W10" s="28">
        <f t="shared" si="11"/>
        <v>146802.14759397021</v>
      </c>
      <c r="X10" s="28">
        <f t="shared" si="11"/>
        <v>147537.52453194006</v>
      </c>
      <c r="Y10" s="28">
        <f t="shared" si="11"/>
        <v>148276.57835459974</v>
      </c>
      <c r="Z10" s="28">
        <f t="shared" si="11"/>
        <v>149019.32744637274</v>
      </c>
      <c r="AA10" s="28">
        <f t="shared" si="11"/>
        <v>154991.03014422761</v>
      </c>
      <c r="AB10" s="28">
        <f t="shared" si="11"/>
        <v>155767.35149494873</v>
      </c>
      <c r="AC10" s="28">
        <f t="shared" si="11"/>
        <v>156547.55445242344</v>
      </c>
      <c r="AD10" s="28">
        <f t="shared" si="11"/>
        <v>157331.65842468553</v>
      </c>
      <c r="AE10" s="28">
        <f t="shared" si="11"/>
        <v>158119.68291680896</v>
      </c>
      <c r="AF10" s="28">
        <f t="shared" si="11"/>
        <v>158911.64753139298</v>
      </c>
      <c r="AG10" s="28">
        <f t="shared" si="11"/>
        <v>159707.57196904995</v>
      </c>
      <c r="AH10" s="28">
        <f t="shared" si="11"/>
        <v>160507.47602889518</v>
      </c>
      <c r="AI10" s="28">
        <f t="shared" si="11"/>
        <v>161311.37960903966</v>
      </c>
      <c r="AJ10" s="28">
        <f t="shared" si="11"/>
        <v>162119.30270708483</v>
      </c>
      <c r="AK10" s="28">
        <f t="shared" si="11"/>
        <v>162931.26542062024</v>
      </c>
      <c r="AL10" s="28">
        <f t="shared" si="11"/>
        <v>163747.28794772329</v>
      </c>
      <c r="AM10" s="28">
        <f t="shared" si="11"/>
        <v>164567.39058746194</v>
      </c>
      <c r="AN10" s="28">
        <f t="shared" si="11"/>
        <v>171161.01581096038</v>
      </c>
      <c r="AO10" s="28">
        <f t="shared" si="11"/>
        <v>172018.18709001516</v>
      </c>
      <c r="AP10" s="28">
        <f t="shared" si="11"/>
        <v>172879.64422546522</v>
      </c>
      <c r="AQ10" s="28">
        <f t="shared" si="11"/>
        <v>173745.40864659255</v>
      </c>
      <c r="AR10" s="28">
        <f t="shared" si="11"/>
        <v>174615.50188982548</v>
      </c>
      <c r="AS10" s="28">
        <f t="shared" si="11"/>
        <v>175489.94559927462</v>
      </c>
      <c r="AT10" s="28">
        <f t="shared" si="11"/>
        <v>176368.76152727095</v>
      </c>
      <c r="AU10" s="28">
        <f t="shared" si="11"/>
        <v>177251.97153490729</v>
      </c>
      <c r="AV10" s="28">
        <f t="shared" si="11"/>
        <v>178139.59759258176</v>
      </c>
      <c r="AW10" s="28">
        <f t="shared" si="11"/>
        <v>179031.66178054464</v>
      </c>
      <c r="AX10" s="28">
        <f t="shared" ref="AX10:BB10" si="12">AX7*$B$9</f>
        <v>179928.18628944736</v>
      </c>
      <c r="AY10" s="28">
        <f t="shared" si="12"/>
        <v>180829.19342089459</v>
      </c>
      <c r="AZ10" s="28">
        <f t="shared" si="12"/>
        <v>181734.70558799908</v>
      </c>
      <c r="BA10" s="28">
        <f t="shared" si="12"/>
        <v>182644.74531593904</v>
      </c>
      <c r="BB10" s="28">
        <f t="shared" si="12"/>
        <v>183559.33524251872</v>
      </c>
      <c r="BI10" s="2">
        <v>26186.834966931881</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0</v>
      </c>
      <c r="Z11" s="28">
        <f t="shared" si="13"/>
        <v>0</v>
      </c>
      <c r="AA11" s="28">
        <f t="shared" si="13"/>
        <v>0</v>
      </c>
      <c r="AB11" s="28">
        <f t="shared" si="13"/>
        <v>0</v>
      </c>
      <c r="AC11" s="28">
        <f t="shared" si="13"/>
        <v>0</v>
      </c>
      <c r="AD11" s="28">
        <f t="shared" si="13"/>
        <v>0</v>
      </c>
      <c r="AE11" s="28">
        <f t="shared" si="13"/>
        <v>0</v>
      </c>
      <c r="AF11" s="28">
        <f t="shared" si="13"/>
        <v>0</v>
      </c>
      <c r="AG11" s="28">
        <f t="shared" si="13"/>
        <v>0</v>
      </c>
      <c r="AH11" s="28">
        <f t="shared" si="13"/>
        <v>0</v>
      </c>
      <c r="AI11" s="28">
        <f t="shared" si="13"/>
        <v>0</v>
      </c>
      <c r="AJ11" s="28">
        <f t="shared" si="13"/>
        <v>0</v>
      </c>
      <c r="AK11" s="28">
        <f t="shared" si="13"/>
        <v>0</v>
      </c>
      <c r="AL11" s="28">
        <f t="shared" si="13"/>
        <v>0</v>
      </c>
      <c r="AM11" s="28">
        <f t="shared" si="13"/>
        <v>0</v>
      </c>
      <c r="AN11" s="28">
        <f t="shared" si="13"/>
        <v>2196.6094865762279</v>
      </c>
      <c r="AO11" s="28">
        <f t="shared" si="13"/>
        <v>2710.912254009093</v>
      </c>
      <c r="AP11" s="28">
        <f t="shared" si="13"/>
        <v>3227.7865352791327</v>
      </c>
      <c r="AQ11" s="28">
        <f t="shared" si="13"/>
        <v>3747.2451879555301</v>
      </c>
      <c r="AR11" s="28">
        <f t="shared" si="13"/>
        <v>4269.3011338952865</v>
      </c>
      <c r="AS11" s="28">
        <f t="shared" si="13"/>
        <v>4793.9673595647737</v>
      </c>
      <c r="AT11" s="28">
        <f t="shared" si="13"/>
        <v>5321.2569163625712</v>
      </c>
      <c r="AU11" s="28">
        <f t="shared" si="13"/>
        <v>5851.1829209443758</v>
      </c>
      <c r="AV11" s="28">
        <f t="shared" si="13"/>
        <v>6383.7585555490568</v>
      </c>
      <c r="AW11" s="28">
        <f t="shared" si="13"/>
        <v>6918.9970683267866</v>
      </c>
      <c r="AX11" s="28">
        <f t="shared" ref="AX11:BB11" si="14">MAX(AX9-$B$8,0)*$B$7</f>
        <v>7456.9117736684157</v>
      </c>
      <c r="AY11" s="28">
        <f t="shared" si="14"/>
        <v>7997.5160525367537</v>
      </c>
      <c r="AZ11" s="28">
        <f t="shared" si="14"/>
        <v>8540.8233527994471</v>
      </c>
      <c r="BA11" s="28">
        <f t="shared" si="14"/>
        <v>9086.8471895634248</v>
      </c>
      <c r="BB11" s="28">
        <f t="shared" si="14"/>
        <v>9635.6011455112312</v>
      </c>
      <c r="BI11" s="2">
        <v>26319.390514893195</v>
      </c>
    </row>
    <row r="12" spans="1:61" x14ac:dyDescent="0.2">
      <c r="A12" s="2" t="str">
        <v>Capital Gains Threshold</v>
      </c>
      <c r="B12" s="53">
        <v>67500</v>
      </c>
      <c r="D12" s="2" t="s">
        <v>191</v>
      </c>
      <c r="E12" s="28">
        <f>E9*$B$6</f>
        <v>48098.964530341473</v>
      </c>
      <c r="F12" s="28">
        <f t="shared" ref="F12:AW12" si="15">F9*$B$6</f>
        <v>48371.10147547318</v>
      </c>
      <c r="G12" s="28">
        <f t="shared" si="15"/>
        <v>50559.082514332098</v>
      </c>
      <c r="H12" s="28">
        <f t="shared" si="15"/>
        <v>50843.520049383755</v>
      </c>
      <c r="I12" s="28">
        <f t="shared" si="15"/>
        <v>51129.37977211066</v>
      </c>
      <c r="J12" s="28">
        <f t="shared" si="15"/>
        <v>51416.668793451223</v>
      </c>
      <c r="K12" s="28">
        <f t="shared" si="15"/>
        <v>53726.472525029247</v>
      </c>
      <c r="L12" s="28">
        <f t="shared" si="15"/>
        <v>54026.747010134393</v>
      </c>
      <c r="M12" s="28">
        <f t="shared" si="15"/>
        <v>54328.522867665066</v>
      </c>
      <c r="N12" s="28">
        <f t="shared" si="15"/>
        <v>54631.807604483372</v>
      </c>
      <c r="O12" s="28">
        <f t="shared" si="15"/>
        <v>57070.216888502706</v>
      </c>
      <c r="P12" s="28">
        <f t="shared" si="15"/>
        <v>57387.210095425209</v>
      </c>
      <c r="Q12" s="28">
        <f t="shared" si="15"/>
        <v>57705.788268382319</v>
      </c>
      <c r="R12" s="28">
        <f t="shared" si="15"/>
        <v>60267.156778957622</v>
      </c>
      <c r="S12" s="28">
        <f t="shared" si="15"/>
        <v>60600.134685332399</v>
      </c>
      <c r="T12" s="28">
        <f t="shared" si="15"/>
        <v>60934.777481239042</v>
      </c>
      <c r="U12" s="28">
        <f t="shared" si="15"/>
        <v>61271.093491125248</v>
      </c>
      <c r="V12" s="28">
        <f t="shared" si="15"/>
        <v>61609.091081060862</v>
      </c>
      <c r="W12" s="28">
        <f t="shared" si="15"/>
        <v>64326.591704143284</v>
      </c>
      <c r="X12" s="28">
        <f t="shared" si="15"/>
        <v>64679.866785144004</v>
      </c>
      <c r="Y12" s="28">
        <f t="shared" si="15"/>
        <v>65034.908241549718</v>
      </c>
      <c r="Z12" s="28">
        <f t="shared" si="15"/>
        <v>65391.724905237468</v>
      </c>
      <c r="AA12" s="28">
        <f t="shared" si="15"/>
        <v>68260.530881286948</v>
      </c>
      <c r="AB12" s="28">
        <f t="shared" si="15"/>
        <v>68633.475658173367</v>
      </c>
      <c r="AC12" s="28">
        <f t="shared" si="15"/>
        <v>69008.285158944214</v>
      </c>
      <c r="AD12" s="28">
        <f t="shared" si="15"/>
        <v>69384.968707218926</v>
      </c>
      <c r="AE12" s="28">
        <f t="shared" si="15"/>
        <v>69763.535673235019</v>
      </c>
      <c r="AF12" s="28">
        <f t="shared" si="15"/>
        <v>70143.995474081195</v>
      </c>
      <c r="AG12" s="28">
        <f t="shared" si="15"/>
        <v>70526.3575739316</v>
      </c>
      <c r="AH12" s="28">
        <f t="shared" si="15"/>
        <v>70910.631484281243</v>
      </c>
      <c r="AI12" s="28">
        <f t="shared" si="15"/>
        <v>71296.826764182653</v>
      </c>
      <c r="AJ12" s="28">
        <f t="shared" si="15"/>
        <v>71684.953020483546</v>
      </c>
      <c r="AK12" s="28">
        <f t="shared" si="15"/>
        <v>72075.019908065966</v>
      </c>
      <c r="AL12" s="28">
        <f t="shared" si="15"/>
        <v>72467.037130086275</v>
      </c>
      <c r="AM12" s="28">
        <f t="shared" si="15"/>
        <v>72861.01443821672</v>
      </c>
      <c r="AN12" s="28">
        <f t="shared" si="15"/>
        <v>76028.591995585361</v>
      </c>
      <c r="AO12" s="28">
        <f t="shared" si="15"/>
        <v>76440.377078043282</v>
      </c>
      <c r="AP12" s="28">
        <f t="shared" si="15"/>
        <v>76854.221085913494</v>
      </c>
      <c r="AQ12" s="28">
        <f t="shared" si="15"/>
        <v>77270.134313823059</v>
      </c>
      <c r="AR12" s="28">
        <f t="shared" si="15"/>
        <v>77688.127107872162</v>
      </c>
      <c r="AS12" s="28">
        <f t="shared" si="15"/>
        <v>78108.209865891535</v>
      </c>
      <c r="AT12" s="28">
        <f t="shared" si="15"/>
        <v>78530.393037700967</v>
      </c>
      <c r="AU12" s="28">
        <f t="shared" si="15"/>
        <v>78954.68712536947</v>
      </c>
      <c r="AV12" s="28">
        <f t="shared" si="15"/>
        <v>79381.102683476274</v>
      </c>
      <c r="AW12" s="28">
        <f t="shared" si="15"/>
        <v>79809.650319373643</v>
      </c>
      <c r="AX12" s="28">
        <f t="shared" ref="AX12:BB12" si="16">AX9*$B$6</f>
        <v>80240.340693450504</v>
      </c>
      <c r="AY12" s="28">
        <f t="shared" si="16"/>
        <v>80673.184519397764</v>
      </c>
      <c r="AZ12" s="28">
        <f t="shared" si="16"/>
        <v>81108.192564474753</v>
      </c>
      <c r="BA12" s="28">
        <f t="shared" si="16"/>
        <v>81545.37564977711</v>
      </c>
      <c r="BB12" s="28">
        <f t="shared" si="16"/>
        <v>81984.744650505992</v>
      </c>
      <c r="BI12" s="2">
        <v>27385.137120502259</v>
      </c>
    </row>
    <row r="13" spans="1:61" x14ac:dyDescent="0.2">
      <c r="A13" s="2" t="s">
        <v>254</v>
      </c>
      <c r="B13" s="58">
        <v>99</v>
      </c>
      <c r="D13" s="2" t="s">
        <v>192</v>
      </c>
      <c r="E13" s="28">
        <f>SUM(E10:E12)</f>
        <v>161121.70501814637</v>
      </c>
      <c r="F13" s="28">
        <f t="shared" ref="F13:AW13" si="17">SUM(F10:F12)</f>
        <v>161960.32186571709</v>
      </c>
      <c r="G13" s="28">
        <f t="shared" si="17"/>
        <v>168702.80132018577</v>
      </c>
      <c r="H13" s="28">
        <f t="shared" si="17"/>
        <v>169579.32364926668</v>
      </c>
      <c r="I13" s="28">
        <f t="shared" si="17"/>
        <v>170460.22858999297</v>
      </c>
      <c r="J13" s="28">
        <f t="shared" si="17"/>
        <v>171345.53805542295</v>
      </c>
      <c r="K13" s="28">
        <f t="shared" si="17"/>
        <v>178463.42615747981</v>
      </c>
      <c r="L13" s="28">
        <f t="shared" si="17"/>
        <v>179388.75161074719</v>
      </c>
      <c r="M13" s="28">
        <f t="shared" si="17"/>
        <v>180318.70369128094</v>
      </c>
      <c r="N13" s="28">
        <f t="shared" si="17"/>
        <v>181253.30553221729</v>
      </c>
      <c r="O13" s="28">
        <f t="shared" si="17"/>
        <v>188767.50433334598</v>
      </c>
      <c r="P13" s="28">
        <f t="shared" si="17"/>
        <v>189744.35017749266</v>
      </c>
      <c r="Q13" s="28">
        <f t="shared" si="17"/>
        <v>190726.08025086008</v>
      </c>
      <c r="R13" s="28">
        <f t="shared" si="17"/>
        <v>198619.19004073454</v>
      </c>
      <c r="S13" s="28">
        <f t="shared" si="17"/>
        <v>199645.29431341816</v>
      </c>
      <c r="T13" s="28">
        <f t="shared" si="17"/>
        <v>200676.52910746518</v>
      </c>
      <c r="U13" s="28">
        <f t="shared" si="17"/>
        <v>201712.92007548254</v>
      </c>
      <c r="V13" s="28">
        <f t="shared" si="17"/>
        <v>202754.49299833993</v>
      </c>
      <c r="W13" s="28">
        <f t="shared" si="17"/>
        <v>211128.73929811351</v>
      </c>
      <c r="X13" s="28">
        <f t="shared" si="17"/>
        <v>212217.39131708405</v>
      </c>
      <c r="Y13" s="28">
        <f t="shared" si="17"/>
        <v>213311.48659614945</v>
      </c>
      <c r="Z13" s="28">
        <f t="shared" si="17"/>
        <v>214411.05235161021</v>
      </c>
      <c r="AA13" s="28">
        <f t="shared" si="17"/>
        <v>223251.56102551456</v>
      </c>
      <c r="AB13" s="28">
        <f t="shared" si="17"/>
        <v>224400.82715312211</v>
      </c>
      <c r="AC13" s="28">
        <f t="shared" si="17"/>
        <v>225555.83961136767</v>
      </c>
      <c r="AD13" s="28">
        <f t="shared" si="17"/>
        <v>226716.62713190448</v>
      </c>
      <c r="AE13" s="28">
        <f t="shared" si="17"/>
        <v>227883.21859004398</v>
      </c>
      <c r="AF13" s="28">
        <f t="shared" si="17"/>
        <v>229055.64300547418</v>
      </c>
      <c r="AG13" s="28">
        <f t="shared" si="17"/>
        <v>230233.92954298155</v>
      </c>
      <c r="AH13" s="28">
        <f t="shared" si="17"/>
        <v>231418.10751317642</v>
      </c>
      <c r="AI13" s="28">
        <f t="shared" si="17"/>
        <v>232608.20637322232</v>
      </c>
      <c r="AJ13" s="28">
        <f t="shared" si="17"/>
        <v>233804.25572756838</v>
      </c>
      <c r="AK13" s="28">
        <f t="shared" si="17"/>
        <v>235006.28532868621</v>
      </c>
      <c r="AL13" s="28">
        <f t="shared" si="17"/>
        <v>236214.32507780957</v>
      </c>
      <c r="AM13" s="28">
        <f t="shared" si="17"/>
        <v>237428.40502567866</v>
      </c>
      <c r="AN13" s="28">
        <f t="shared" si="17"/>
        <v>249386.21729312197</v>
      </c>
      <c r="AO13" s="28">
        <f t="shared" si="17"/>
        <v>251169.47642206756</v>
      </c>
      <c r="AP13" s="28">
        <f t="shared" si="17"/>
        <v>252961.65184665786</v>
      </c>
      <c r="AQ13" s="28">
        <f t="shared" si="17"/>
        <v>254762.78814837115</v>
      </c>
      <c r="AR13" s="28">
        <f t="shared" si="17"/>
        <v>256572.93013159293</v>
      </c>
      <c r="AS13" s="28">
        <f t="shared" si="17"/>
        <v>258392.12282473093</v>
      </c>
      <c r="AT13" s="28">
        <f t="shared" si="17"/>
        <v>260220.41148133448</v>
      </c>
      <c r="AU13" s="28">
        <f t="shared" si="17"/>
        <v>262057.84158122115</v>
      </c>
      <c r="AV13" s="28">
        <f t="shared" si="17"/>
        <v>263904.45883160707</v>
      </c>
      <c r="AW13" s="28">
        <f t="shared" si="17"/>
        <v>265760.30916824506</v>
      </c>
      <c r="AX13" s="28">
        <f t="shared" ref="AX13:BB13" si="18">SUM(AX10:AX12)</f>
        <v>267625.43875656626</v>
      </c>
      <c r="AY13" s="28">
        <f t="shared" si="18"/>
        <v>269499.89399282914</v>
      </c>
      <c r="AZ13" s="28">
        <f t="shared" si="18"/>
        <v>271383.72150527331</v>
      </c>
      <c r="BA13" s="28">
        <f t="shared" si="18"/>
        <v>273276.96815527958</v>
      </c>
      <c r="BB13" s="28">
        <f t="shared" si="18"/>
        <v>275179.68103853596</v>
      </c>
      <c r="BI13" s="2">
        <v>27523.684179231434</v>
      </c>
    </row>
    <row r="14" spans="1:61" x14ac:dyDescent="0.2">
      <c r="A14" s="2" t="s">
        <v>255</v>
      </c>
      <c r="B14" s="28">
        <f>B13*12</f>
        <v>1188</v>
      </c>
      <c r="D14" s="2" t="s">
        <v>193</v>
      </c>
      <c r="E14" s="28">
        <f>E7-E13</f>
        <v>290969.25693307322</v>
      </c>
      <c r="F14" s="28">
        <f t="shared" ref="F14:AW14" si="19">F7-F13</f>
        <v>292396.55969525862</v>
      </c>
      <c r="G14" s="28">
        <f t="shared" si="19"/>
        <v>303872.07390322885</v>
      </c>
      <c r="H14" s="28">
        <f t="shared" si="19"/>
        <v>305363.89075026498</v>
      </c>
      <c r="I14" s="28">
        <f t="shared" si="19"/>
        <v>306863.16668153624</v>
      </c>
      <c r="J14" s="28">
        <f t="shared" si="19"/>
        <v>308369.93899246398</v>
      </c>
      <c r="K14" s="28">
        <f t="shared" si="19"/>
        <v>320484.38837232243</v>
      </c>
      <c r="L14" s="28">
        <f t="shared" si="19"/>
        <v>322059.26679170405</v>
      </c>
      <c r="M14" s="28">
        <f t="shared" si="19"/>
        <v>323642.01960318256</v>
      </c>
      <c r="N14" s="28">
        <f t="shared" si="19"/>
        <v>325232.68617871834</v>
      </c>
      <c r="O14" s="28">
        <f t="shared" si="19"/>
        <v>338021.64544602711</v>
      </c>
      <c r="P14" s="28">
        <f t="shared" si="19"/>
        <v>339684.21015077719</v>
      </c>
      <c r="Q14" s="28">
        <f t="shared" si="19"/>
        <v>341355.08767905098</v>
      </c>
      <c r="R14" s="28">
        <f t="shared" si="19"/>
        <v>354788.94300637307</v>
      </c>
      <c r="S14" s="28">
        <f t="shared" si="19"/>
        <v>356535.3441989249</v>
      </c>
      <c r="T14" s="28">
        <f t="shared" si="19"/>
        <v>358290.47739743942</v>
      </c>
      <c r="U14" s="28">
        <f t="shared" si="19"/>
        <v>360054.38626194664</v>
      </c>
      <c r="V14" s="28">
        <f t="shared" si="19"/>
        <v>361827.1146707763</v>
      </c>
      <c r="W14" s="28">
        <f t="shared" si="19"/>
        <v>376079.85107776732</v>
      </c>
      <c r="X14" s="28">
        <f t="shared" si="19"/>
        <v>377932.70681067614</v>
      </c>
      <c r="Y14" s="28">
        <f t="shared" si="19"/>
        <v>379794.82682224951</v>
      </c>
      <c r="Z14" s="28">
        <f t="shared" si="19"/>
        <v>381666.25743388076</v>
      </c>
      <c r="AA14" s="28">
        <f t="shared" si="19"/>
        <v>396712.55955139588</v>
      </c>
      <c r="AB14" s="28">
        <f t="shared" si="19"/>
        <v>398668.57882667281</v>
      </c>
      <c r="AC14" s="28">
        <f t="shared" si="19"/>
        <v>400634.3781983261</v>
      </c>
      <c r="AD14" s="28">
        <f t="shared" si="19"/>
        <v>402610.00656683766</v>
      </c>
      <c r="AE14" s="28">
        <f t="shared" si="19"/>
        <v>404595.51307719189</v>
      </c>
      <c r="AF14" s="28">
        <f t="shared" si="19"/>
        <v>406590.94712009776</v>
      </c>
      <c r="AG14" s="28">
        <f t="shared" si="19"/>
        <v>408596.35833321826</v>
      </c>
      <c r="AH14" s="28">
        <f t="shared" si="19"/>
        <v>410611.79660240433</v>
      </c>
      <c r="AI14" s="28">
        <f t="shared" si="19"/>
        <v>412637.31206293637</v>
      </c>
      <c r="AJ14" s="28">
        <f t="shared" si="19"/>
        <v>414672.95510077092</v>
      </c>
      <c r="AK14" s="28">
        <f t="shared" si="19"/>
        <v>416718.77635379473</v>
      </c>
      <c r="AL14" s="28">
        <f t="shared" si="19"/>
        <v>418774.8267130836</v>
      </c>
      <c r="AM14" s="28">
        <f t="shared" si="19"/>
        <v>420841.15732416906</v>
      </c>
      <c r="AN14" s="28">
        <f t="shared" si="19"/>
        <v>435257.84595071955</v>
      </c>
      <c r="AO14" s="28">
        <f t="shared" si="19"/>
        <v>436903.27193799306</v>
      </c>
      <c r="AP14" s="28">
        <f t="shared" si="19"/>
        <v>438556.92505520303</v>
      </c>
      <c r="AQ14" s="28">
        <f t="shared" si="19"/>
        <v>440218.84643799905</v>
      </c>
      <c r="AR14" s="28">
        <f t="shared" si="19"/>
        <v>441889.07742770901</v>
      </c>
      <c r="AS14" s="28">
        <f t="shared" si="19"/>
        <v>443567.65957236756</v>
      </c>
      <c r="AT14" s="28">
        <f t="shared" si="19"/>
        <v>445254.63462774933</v>
      </c>
      <c r="AU14" s="28">
        <f t="shared" si="19"/>
        <v>446950.04455840803</v>
      </c>
      <c r="AV14" s="28">
        <f t="shared" si="19"/>
        <v>448653.93153871997</v>
      </c>
      <c r="AW14" s="28">
        <f t="shared" si="19"/>
        <v>450366.33795393351</v>
      </c>
      <c r="AX14" s="28">
        <f t="shared" ref="AX14:BB14" si="20">AX7-AX13</f>
        <v>452087.30640122318</v>
      </c>
      <c r="AY14" s="28">
        <f t="shared" si="20"/>
        <v>453816.87969074922</v>
      </c>
      <c r="AZ14" s="28">
        <f t="shared" si="20"/>
        <v>455555.10084672301</v>
      </c>
      <c r="BA14" s="28">
        <f t="shared" si="20"/>
        <v>457302.01310847659</v>
      </c>
      <c r="BB14" s="28">
        <f t="shared" si="20"/>
        <v>459057.65993153892</v>
      </c>
      <c r="BI14" s="2">
        <v>27662.923973254248</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28782.411917197755</v>
      </c>
    </row>
    <row r="16" spans="1:61" x14ac:dyDescent="0.2">
      <c r="D16" s="2" t="s">
        <v>267</v>
      </c>
      <c r="E16" s="28">
        <f>E14-E15</f>
        <v>281569.25693307322</v>
      </c>
      <c r="F16" s="28">
        <f t="shared" ref="F16:AW16" si="22">F14-F15</f>
        <v>282996.55969525862</v>
      </c>
      <c r="G16" s="28">
        <f t="shared" si="22"/>
        <v>294472.07390322885</v>
      </c>
      <c r="H16" s="28">
        <f t="shared" si="22"/>
        <v>295963.89075026498</v>
      </c>
      <c r="I16" s="28">
        <f t="shared" si="22"/>
        <v>297463.16668153624</v>
      </c>
      <c r="J16" s="28">
        <f t="shared" si="22"/>
        <v>298969.93899246398</v>
      </c>
      <c r="K16" s="28">
        <f t="shared" si="22"/>
        <v>311084.38837232243</v>
      </c>
      <c r="L16" s="28">
        <f t="shared" si="22"/>
        <v>312659.26679170405</v>
      </c>
      <c r="M16" s="28">
        <f t="shared" si="22"/>
        <v>314242.01960318256</v>
      </c>
      <c r="N16" s="28">
        <f t="shared" si="22"/>
        <v>315832.68617871834</v>
      </c>
      <c r="O16" s="28">
        <f t="shared" si="22"/>
        <v>328621.64544602711</v>
      </c>
      <c r="P16" s="28">
        <f t="shared" si="22"/>
        <v>330284.21015077719</v>
      </c>
      <c r="Q16" s="28">
        <f t="shared" si="22"/>
        <v>331955.08767905098</v>
      </c>
      <c r="R16" s="28">
        <f t="shared" si="22"/>
        <v>345388.94300637307</v>
      </c>
      <c r="S16" s="28">
        <f t="shared" si="22"/>
        <v>347135.3441989249</v>
      </c>
      <c r="T16" s="28">
        <f t="shared" si="22"/>
        <v>348890.47739743942</v>
      </c>
      <c r="U16" s="28">
        <f t="shared" si="22"/>
        <v>350654.38626194664</v>
      </c>
      <c r="V16" s="28">
        <f t="shared" si="22"/>
        <v>352427.1146707763</v>
      </c>
      <c r="W16" s="28">
        <f t="shared" si="22"/>
        <v>366679.85107776732</v>
      </c>
      <c r="X16" s="28">
        <f t="shared" si="22"/>
        <v>368532.70681067614</v>
      </c>
      <c r="Y16" s="28">
        <f t="shared" si="22"/>
        <v>370394.82682224951</v>
      </c>
      <c r="Z16" s="28">
        <f t="shared" si="22"/>
        <v>372266.25743388076</v>
      </c>
      <c r="AA16" s="28">
        <f t="shared" si="22"/>
        <v>387312.55955139588</v>
      </c>
      <c r="AB16" s="28">
        <f t="shared" si="22"/>
        <v>389268.57882667281</v>
      </c>
      <c r="AC16" s="28">
        <f t="shared" si="22"/>
        <v>391234.3781983261</v>
      </c>
      <c r="AD16" s="28">
        <f t="shared" si="22"/>
        <v>393210.00656683766</v>
      </c>
      <c r="AE16" s="28">
        <f t="shared" si="22"/>
        <v>395195.51307719189</v>
      </c>
      <c r="AF16" s="28">
        <f t="shared" si="22"/>
        <v>397190.94712009776</v>
      </c>
      <c r="AG16" s="28">
        <f t="shared" si="22"/>
        <v>399196.35833321826</v>
      </c>
      <c r="AH16" s="28">
        <f t="shared" si="22"/>
        <v>401211.79660240433</v>
      </c>
      <c r="AI16" s="28">
        <f t="shared" si="22"/>
        <v>403237.31206293637</v>
      </c>
      <c r="AJ16" s="28">
        <f t="shared" si="22"/>
        <v>405272.95510077092</v>
      </c>
      <c r="AK16" s="28">
        <f t="shared" si="22"/>
        <v>407318.77635379473</v>
      </c>
      <c r="AL16" s="28">
        <f t="shared" si="22"/>
        <v>409374.8267130836</v>
      </c>
      <c r="AM16" s="28">
        <f t="shared" si="22"/>
        <v>411441.15732416906</v>
      </c>
      <c r="AN16" s="28">
        <f t="shared" si="22"/>
        <v>425857.84595071955</v>
      </c>
      <c r="AO16" s="28">
        <f t="shared" si="22"/>
        <v>427503.27193799306</v>
      </c>
      <c r="AP16" s="28">
        <f t="shared" si="22"/>
        <v>429156.92505520303</v>
      </c>
      <c r="AQ16" s="28">
        <f t="shared" si="22"/>
        <v>430818.84643799905</v>
      </c>
      <c r="AR16" s="28">
        <f t="shared" si="22"/>
        <v>432489.07742770901</v>
      </c>
      <c r="AS16" s="28">
        <f t="shared" si="22"/>
        <v>434167.65957236756</v>
      </c>
      <c r="AT16" s="28">
        <f t="shared" si="22"/>
        <v>435854.63462774933</v>
      </c>
      <c r="AU16" s="28">
        <f t="shared" si="22"/>
        <v>437550.04455840803</v>
      </c>
      <c r="AV16" s="28">
        <f t="shared" si="22"/>
        <v>439253.93153871997</v>
      </c>
      <c r="AW16" s="28">
        <f t="shared" si="22"/>
        <v>440966.33795393351</v>
      </c>
      <c r="AX16" s="28">
        <f t="shared" ref="AX16:BB16" si="23">AX14-AX15</f>
        <v>442687.30640122318</v>
      </c>
      <c r="AY16" s="28">
        <f t="shared" si="23"/>
        <v>444416.87969074922</v>
      </c>
      <c r="AZ16" s="28">
        <f t="shared" si="23"/>
        <v>446155.10084672301</v>
      </c>
      <c r="BA16" s="28">
        <f t="shared" si="23"/>
        <v>447902.01310847659</v>
      </c>
      <c r="BB16" s="28">
        <f t="shared" si="23"/>
        <v>449657.65993153892</v>
      </c>
      <c r="BI16" s="2">
        <v>28927.945349910409</v>
      </c>
    </row>
    <row r="17" spans="4:61" x14ac:dyDescent="0.2">
      <c r="D17" s="2" t="s">
        <v>196</v>
      </c>
      <c r="E17" s="28">
        <f>E16/12</f>
        <v>23464.10474442277</v>
      </c>
      <c r="F17" s="28">
        <f t="shared" ref="F17:AW17" si="24">F16/12</f>
        <v>23583.04664127155</v>
      </c>
      <c r="G17" s="28">
        <f t="shared" si="24"/>
        <v>24539.339491935738</v>
      </c>
      <c r="H17" s="28">
        <f t="shared" si="24"/>
        <v>24663.657562522083</v>
      </c>
      <c r="I17" s="28">
        <f t="shared" si="24"/>
        <v>24788.597223461355</v>
      </c>
      <c r="J17" s="28">
        <f t="shared" si="24"/>
        <v>24914.161582705332</v>
      </c>
      <c r="K17" s="28">
        <f t="shared" si="24"/>
        <v>25923.69903102687</v>
      </c>
      <c r="L17" s="28">
        <f t="shared" si="24"/>
        <v>26054.938899308672</v>
      </c>
      <c r="M17" s="28">
        <f t="shared" si="24"/>
        <v>26186.834966931881</v>
      </c>
      <c r="N17" s="28">
        <f t="shared" si="24"/>
        <v>26319.390514893195</v>
      </c>
      <c r="O17" s="28">
        <f t="shared" si="24"/>
        <v>27385.137120502259</v>
      </c>
      <c r="P17" s="28">
        <f t="shared" si="24"/>
        <v>27523.684179231434</v>
      </c>
      <c r="Q17" s="28">
        <f t="shared" si="24"/>
        <v>27662.923973254248</v>
      </c>
      <c r="R17" s="28">
        <f t="shared" si="24"/>
        <v>28782.411917197755</v>
      </c>
      <c r="S17" s="28">
        <f t="shared" si="24"/>
        <v>28927.945349910409</v>
      </c>
      <c r="T17" s="28">
        <f t="shared" si="24"/>
        <v>29074.206449786619</v>
      </c>
      <c r="U17" s="28">
        <f t="shared" si="24"/>
        <v>29221.19885516222</v>
      </c>
      <c r="V17" s="28">
        <f t="shared" si="24"/>
        <v>29368.926222564693</v>
      </c>
      <c r="W17" s="28">
        <f t="shared" si="24"/>
        <v>30556.654256480611</v>
      </c>
      <c r="X17" s="28">
        <f t="shared" si="24"/>
        <v>30711.058900889679</v>
      </c>
      <c r="Y17" s="28">
        <f t="shared" si="24"/>
        <v>30866.235568520791</v>
      </c>
      <c r="Z17" s="28">
        <f t="shared" si="24"/>
        <v>31022.188119490063</v>
      </c>
      <c r="AA17" s="28">
        <f t="shared" si="24"/>
        <v>32276.046629282991</v>
      </c>
      <c r="AB17" s="28">
        <f t="shared" si="24"/>
        <v>32439.048235556067</v>
      </c>
      <c r="AC17" s="28">
        <f t="shared" si="24"/>
        <v>32602.864849860507</v>
      </c>
      <c r="AD17" s="28">
        <f t="shared" si="24"/>
        <v>32767.500547236472</v>
      </c>
      <c r="AE17" s="28">
        <f t="shared" si="24"/>
        <v>32932.959423099324</v>
      </c>
      <c r="AF17" s="28">
        <f t="shared" si="24"/>
        <v>33099.245593341482</v>
      </c>
      <c r="AG17" s="28">
        <f t="shared" si="24"/>
        <v>33266.363194434853</v>
      </c>
      <c r="AH17" s="28">
        <f t="shared" si="24"/>
        <v>33434.316383533696</v>
      </c>
      <c r="AI17" s="28">
        <f t="shared" si="24"/>
        <v>33603.109338578033</v>
      </c>
      <c r="AJ17" s="28">
        <f t="shared" si="24"/>
        <v>33772.746258397579</v>
      </c>
      <c r="AK17" s="28">
        <f t="shared" si="24"/>
        <v>33943.23136281623</v>
      </c>
      <c r="AL17" s="28">
        <f t="shared" si="24"/>
        <v>34114.568892756964</v>
      </c>
      <c r="AM17" s="28">
        <f t="shared" si="24"/>
        <v>34286.76311034742</v>
      </c>
      <c r="AN17" s="28">
        <f t="shared" si="24"/>
        <v>35488.153829226627</v>
      </c>
      <c r="AO17" s="28">
        <f t="shared" si="24"/>
        <v>35625.272661499424</v>
      </c>
      <c r="AP17" s="28">
        <f t="shared" si="24"/>
        <v>35763.077087933583</v>
      </c>
      <c r="AQ17" s="28">
        <f t="shared" si="24"/>
        <v>35901.570536499923</v>
      </c>
      <c r="AR17" s="28">
        <f t="shared" si="24"/>
        <v>36040.756452309084</v>
      </c>
      <c r="AS17" s="28">
        <f t="shared" si="24"/>
        <v>36180.638297697296</v>
      </c>
      <c r="AT17" s="28">
        <f t="shared" si="24"/>
        <v>36321.219552312446</v>
      </c>
      <c r="AU17" s="28">
        <f t="shared" si="24"/>
        <v>36462.503713200669</v>
      </c>
      <c r="AV17" s="28">
        <f t="shared" si="24"/>
        <v>36604.494294893331</v>
      </c>
      <c r="AW17" s="28">
        <f t="shared" si="24"/>
        <v>36747.19482949446</v>
      </c>
      <c r="AX17" s="28">
        <f t="shared" ref="AX17:BB17" si="25">AX16/12</f>
        <v>36890.608866768598</v>
      </c>
      <c r="AY17" s="28">
        <f t="shared" si="25"/>
        <v>37034.739974229102</v>
      </c>
      <c r="AZ17" s="28">
        <f t="shared" si="25"/>
        <v>37179.591737226918</v>
      </c>
      <c r="BA17" s="28">
        <f t="shared" si="25"/>
        <v>37325.167759039716</v>
      </c>
      <c r="BB17" s="28">
        <f t="shared" si="25"/>
        <v>37471.471660961579</v>
      </c>
      <c r="BI17" s="2">
        <v>29074.206449786619</v>
      </c>
    </row>
    <row r="18" spans="4:61" x14ac:dyDescent="0.2">
      <c r="BI18" s="2">
        <v>29221.19885516222</v>
      </c>
    </row>
    <row r="19" spans="4:61" x14ac:dyDescent="0.2">
      <c r="BI19" s="2">
        <v>29368.926222564693</v>
      </c>
    </row>
    <row r="20" spans="4:61" x14ac:dyDescent="0.2">
      <c r="D20" s="26"/>
      <c r="BI20" s="2">
        <v>30556.654256480611</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30711.058900889679</v>
      </c>
    </row>
    <row r="22" spans="4:61" x14ac:dyDescent="0.2">
      <c r="D22" s="2" t="s">
        <v>202</v>
      </c>
      <c r="E22" s="26">
        <f>'Pensions P1'!$B$18+'Pensions P1'!$B$22+'Pensions P1'!$B$31</f>
        <v>42019.630230321396</v>
      </c>
      <c r="F22" s="26">
        <f>'Pensions P1'!$B$18+'Pensions P1'!$B$22+'Pensions P1'!$B$31</f>
        <v>42019.630230321396</v>
      </c>
      <c r="G22" s="26">
        <f>'Pensions P1'!$B$18+'Pensions P1'!$B$22+'Pensions P1'!$B$31</f>
        <v>42019.630230321396</v>
      </c>
      <c r="H22" s="26">
        <f>'Pensions P1'!$B$18+'Pensions P1'!$B$22+'Pensions P1'!$B$31</f>
        <v>42019.630230321396</v>
      </c>
      <c r="I22" s="26">
        <f>'Pensions P1'!$B$18+'Pensions P1'!$B$22+'Pensions P1'!$B$31</f>
        <v>42019.630230321396</v>
      </c>
      <c r="J22" s="26">
        <f>'Pensions P1'!$B$18+'Pensions P1'!$B$22+'Pensions P1'!$B$31</f>
        <v>42019.630230321396</v>
      </c>
      <c r="K22" s="26">
        <f>'Pensions P1'!$B$18+'Pensions P1'!$B$22+'Pensions P1'!$B$31</f>
        <v>42019.630230321396</v>
      </c>
      <c r="L22" s="26">
        <f>'Pensions P1'!$B$18+'Pensions P1'!$B$22+'Pensions P1'!$B$31</f>
        <v>42019.630230321396</v>
      </c>
      <c r="M22" s="26">
        <f>'Pensions P1'!$B$18+'Pensions P1'!$B$22+'Pensions P1'!$B$31</f>
        <v>42019.630230321396</v>
      </c>
      <c r="N22" s="26">
        <f>'Pensions P1'!$B$18+'Pensions P1'!$B$22+'Pensions P1'!$B$31</f>
        <v>42019.630230321396</v>
      </c>
      <c r="O22" s="26">
        <f>'Pensions P1'!$B$18+'Pensions P1'!$B$22+'Pensions P1'!$B$31</f>
        <v>42019.630230321396</v>
      </c>
      <c r="P22" s="26">
        <f>'Pensions P1'!$B$18+'Pensions P1'!$B$22+'Pensions P1'!$B$31</f>
        <v>42019.630230321396</v>
      </c>
      <c r="Q22" s="26">
        <f>'Pensions P1'!$B$18+'Pensions P1'!$B$22+'Pensions P1'!$B$31</f>
        <v>42019.630230321396</v>
      </c>
      <c r="R22" s="26">
        <f>'Pensions P1'!$B$18+'Pensions P1'!$B$22+'Pensions P1'!$B$31</f>
        <v>42019.630230321396</v>
      </c>
      <c r="S22" s="26">
        <f>'Pensions P1'!$B$18+'Pensions P1'!$B$22+'Pensions P1'!$B$31</f>
        <v>42019.630230321396</v>
      </c>
      <c r="T22" s="26">
        <f>'Pensions P1'!$B$18+'Pensions P1'!$B$22+'Pensions P1'!$B$31</f>
        <v>42019.630230321396</v>
      </c>
      <c r="U22" s="26">
        <f>'Pensions P1'!$B$18+'Pensions P1'!$B$22+'Pensions P1'!$B$31</f>
        <v>42019.630230321396</v>
      </c>
      <c r="V22" s="26">
        <f>'Pensions P1'!$B$18+'Pensions P1'!$B$22+'Pensions P1'!$B$31</f>
        <v>42019.630230321396</v>
      </c>
      <c r="W22" s="26">
        <f>'Pensions P1'!$B$18+'Pensions P1'!$B$22+'Pensions P1'!$B$31</f>
        <v>42019.630230321396</v>
      </c>
      <c r="X22" s="26">
        <f>'Pensions P1'!$B$18+'Pensions P1'!$B$22+'Pensions P1'!$B$31</f>
        <v>42019.630230321396</v>
      </c>
      <c r="Y22" s="26">
        <f>'Pensions P1'!$B$18+'Pensions P1'!$B$22+'Pensions P1'!$B$31</f>
        <v>42019.630230321396</v>
      </c>
      <c r="Z22" s="26">
        <f>'Pensions P1'!$B$18+'Pensions P1'!$B$22+'Pensions P1'!$B$31</f>
        <v>42019.630230321396</v>
      </c>
      <c r="AA22" s="26">
        <f>'Pensions P1'!$B$18+'Pensions P1'!$B$22+'Pensions P1'!$B$31</f>
        <v>42019.630230321396</v>
      </c>
      <c r="AB22" s="26">
        <f>'Pensions P1'!$B$18+'Pensions P1'!$B$22+'Pensions P1'!$B$31</f>
        <v>42019.630230321396</v>
      </c>
      <c r="AC22" s="26">
        <f>'Pensions P1'!$B$18+'Pensions P1'!$B$22+'Pensions P1'!$B$31</f>
        <v>42019.630230321396</v>
      </c>
      <c r="BI22" s="2">
        <v>30866.235568520791</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31022.188119490063</v>
      </c>
    </row>
    <row r="24" spans="4:61" x14ac:dyDescent="0.2">
      <c r="D24" s="2" t="s">
        <v>203</v>
      </c>
      <c r="E24" s="26">
        <f>E22*12</f>
        <v>504235.56276385672</v>
      </c>
      <c r="F24" s="26">
        <f t="shared" ref="F24:AC24" si="26">F22*12</f>
        <v>504235.56276385672</v>
      </c>
      <c r="G24" s="26">
        <f t="shared" si="26"/>
        <v>504235.56276385672</v>
      </c>
      <c r="H24" s="26">
        <f t="shared" si="26"/>
        <v>504235.56276385672</v>
      </c>
      <c r="I24" s="26">
        <f t="shared" si="26"/>
        <v>504235.56276385672</v>
      </c>
      <c r="J24" s="26">
        <f t="shared" si="26"/>
        <v>504235.56276385672</v>
      </c>
      <c r="K24" s="26">
        <f t="shared" si="26"/>
        <v>504235.56276385672</v>
      </c>
      <c r="L24" s="26">
        <f t="shared" si="26"/>
        <v>504235.56276385672</v>
      </c>
      <c r="M24" s="26">
        <f t="shared" si="26"/>
        <v>504235.56276385672</v>
      </c>
      <c r="N24" s="26">
        <f t="shared" si="26"/>
        <v>504235.56276385672</v>
      </c>
      <c r="O24" s="26">
        <f t="shared" si="26"/>
        <v>504235.56276385672</v>
      </c>
      <c r="P24" s="26">
        <f t="shared" si="26"/>
        <v>504235.56276385672</v>
      </c>
      <c r="Q24" s="26">
        <f t="shared" si="26"/>
        <v>504235.56276385672</v>
      </c>
      <c r="R24" s="26">
        <f t="shared" si="26"/>
        <v>504235.56276385672</v>
      </c>
      <c r="S24" s="26">
        <f t="shared" si="26"/>
        <v>504235.56276385672</v>
      </c>
      <c r="T24" s="26">
        <f t="shared" si="26"/>
        <v>504235.56276385672</v>
      </c>
      <c r="U24" s="26">
        <f t="shared" si="26"/>
        <v>504235.56276385672</v>
      </c>
      <c r="V24" s="26">
        <f t="shared" si="26"/>
        <v>504235.56276385672</v>
      </c>
      <c r="W24" s="26">
        <f t="shared" si="26"/>
        <v>504235.56276385672</v>
      </c>
      <c r="X24" s="26">
        <f t="shared" si="26"/>
        <v>504235.56276385672</v>
      </c>
      <c r="Y24" s="26">
        <f t="shared" si="26"/>
        <v>504235.56276385672</v>
      </c>
      <c r="Z24" s="26">
        <f t="shared" si="26"/>
        <v>504235.56276385672</v>
      </c>
      <c r="AA24" s="26">
        <f t="shared" si="26"/>
        <v>504235.56276385672</v>
      </c>
      <c r="AB24" s="26">
        <f t="shared" si="26"/>
        <v>504235.56276385672</v>
      </c>
      <c r="AC24" s="26">
        <f t="shared" si="26"/>
        <v>504235.56276385672</v>
      </c>
      <c r="BI24" s="2">
        <v>32276.046629282991</v>
      </c>
    </row>
    <row r="25" spans="4:61" x14ac:dyDescent="0.2">
      <c r="D25" s="2" t="s">
        <v>189</v>
      </c>
      <c r="E25" s="26">
        <f>E24*$B$9</f>
        <v>126058.89069096418</v>
      </c>
      <c r="F25" s="26">
        <f t="shared" ref="F25:AC25" si="27">F24*$B$9</f>
        <v>126058.89069096418</v>
      </c>
      <c r="G25" s="26">
        <f t="shared" si="27"/>
        <v>126058.89069096418</v>
      </c>
      <c r="H25" s="26">
        <f t="shared" si="27"/>
        <v>126058.89069096418</v>
      </c>
      <c r="I25" s="26">
        <f t="shared" si="27"/>
        <v>126058.89069096418</v>
      </c>
      <c r="J25" s="26">
        <f t="shared" si="27"/>
        <v>126058.89069096418</v>
      </c>
      <c r="K25" s="26">
        <f t="shared" si="27"/>
        <v>126058.89069096418</v>
      </c>
      <c r="L25" s="26">
        <f t="shared" si="27"/>
        <v>126058.89069096418</v>
      </c>
      <c r="M25" s="26">
        <f t="shared" si="27"/>
        <v>126058.89069096418</v>
      </c>
      <c r="N25" s="26">
        <f t="shared" si="27"/>
        <v>126058.89069096418</v>
      </c>
      <c r="O25" s="26">
        <f t="shared" si="27"/>
        <v>126058.89069096418</v>
      </c>
      <c r="P25" s="26">
        <f t="shared" si="27"/>
        <v>126058.89069096418</v>
      </c>
      <c r="Q25" s="26">
        <f t="shared" si="27"/>
        <v>126058.89069096418</v>
      </c>
      <c r="R25" s="26">
        <f t="shared" si="27"/>
        <v>126058.89069096418</v>
      </c>
      <c r="S25" s="26">
        <f t="shared" si="27"/>
        <v>126058.89069096418</v>
      </c>
      <c r="T25" s="26">
        <f t="shared" si="27"/>
        <v>126058.89069096418</v>
      </c>
      <c r="U25" s="26">
        <f t="shared" si="27"/>
        <v>126058.89069096418</v>
      </c>
      <c r="V25" s="26">
        <f t="shared" si="27"/>
        <v>126058.89069096418</v>
      </c>
      <c r="W25" s="26">
        <f t="shared" si="27"/>
        <v>126058.89069096418</v>
      </c>
      <c r="X25" s="26">
        <f t="shared" si="27"/>
        <v>126058.89069096418</v>
      </c>
      <c r="Y25" s="26">
        <f t="shared" si="27"/>
        <v>126058.89069096418</v>
      </c>
      <c r="Z25" s="26">
        <f t="shared" si="27"/>
        <v>126058.89069096418</v>
      </c>
      <c r="AA25" s="26">
        <f t="shared" si="27"/>
        <v>126058.89069096418</v>
      </c>
      <c r="AB25" s="26">
        <f t="shared" si="27"/>
        <v>126058.89069096418</v>
      </c>
      <c r="AC25" s="26">
        <f t="shared" si="27"/>
        <v>126058.89069096418</v>
      </c>
      <c r="BI25" s="2">
        <v>32439.048235556067</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32602.864849860507</v>
      </c>
    </row>
    <row r="27" spans="4:61" x14ac:dyDescent="0.2">
      <c r="D27" s="2" t="s">
        <v>191</v>
      </c>
      <c r="E27" s="26">
        <f>E24*$B$6</f>
        <v>60558.691087939194</v>
      </c>
      <c r="F27" s="26">
        <f t="shared" ref="F27:AC27" si="29">F24*$B$6</f>
        <v>60558.691087939194</v>
      </c>
      <c r="G27" s="26">
        <f t="shared" si="29"/>
        <v>60558.691087939194</v>
      </c>
      <c r="H27" s="26">
        <f t="shared" si="29"/>
        <v>60558.691087939194</v>
      </c>
      <c r="I27" s="26">
        <f t="shared" si="29"/>
        <v>60558.691087939194</v>
      </c>
      <c r="J27" s="26">
        <f t="shared" si="29"/>
        <v>60558.691087939194</v>
      </c>
      <c r="K27" s="26">
        <f t="shared" si="29"/>
        <v>60558.691087939194</v>
      </c>
      <c r="L27" s="26">
        <f t="shared" si="29"/>
        <v>60558.691087939194</v>
      </c>
      <c r="M27" s="26">
        <f t="shared" si="29"/>
        <v>60558.691087939194</v>
      </c>
      <c r="N27" s="26">
        <f t="shared" si="29"/>
        <v>60558.691087939194</v>
      </c>
      <c r="O27" s="26">
        <f t="shared" si="29"/>
        <v>60558.691087939194</v>
      </c>
      <c r="P27" s="26">
        <f t="shared" si="29"/>
        <v>60558.691087939194</v>
      </c>
      <c r="Q27" s="26">
        <f t="shared" si="29"/>
        <v>60558.691087939194</v>
      </c>
      <c r="R27" s="26">
        <f t="shared" si="29"/>
        <v>60558.691087939194</v>
      </c>
      <c r="S27" s="26">
        <f t="shared" si="29"/>
        <v>60558.691087939194</v>
      </c>
      <c r="T27" s="26">
        <f t="shared" si="29"/>
        <v>60558.691087939194</v>
      </c>
      <c r="U27" s="26">
        <f t="shared" si="29"/>
        <v>60558.691087939194</v>
      </c>
      <c r="V27" s="26">
        <f t="shared" si="29"/>
        <v>60558.691087939194</v>
      </c>
      <c r="W27" s="26">
        <f t="shared" si="29"/>
        <v>60558.691087939194</v>
      </c>
      <c r="X27" s="26">
        <f t="shared" si="29"/>
        <v>60558.691087939194</v>
      </c>
      <c r="Y27" s="26">
        <f t="shared" si="29"/>
        <v>60558.691087939194</v>
      </c>
      <c r="Z27" s="26">
        <f t="shared" si="29"/>
        <v>60558.691087939194</v>
      </c>
      <c r="AA27" s="26">
        <f t="shared" si="29"/>
        <v>60558.691087939194</v>
      </c>
      <c r="AB27" s="26">
        <f t="shared" si="29"/>
        <v>60558.691087939194</v>
      </c>
      <c r="AC27" s="26">
        <f t="shared" si="29"/>
        <v>60558.691087939194</v>
      </c>
      <c r="BI27" s="2">
        <v>32767.500547236472</v>
      </c>
    </row>
    <row r="28" spans="4:61" x14ac:dyDescent="0.2">
      <c r="D28" s="2" t="s">
        <v>192</v>
      </c>
      <c r="E28" s="26">
        <f>SUM(E25:E27)</f>
        <v>186617.58177890338</v>
      </c>
      <c r="F28" s="26">
        <f>SUM(F25:F27)</f>
        <v>186617.58177890338</v>
      </c>
      <c r="G28" s="26">
        <f t="shared" ref="G28:AC28" si="30">SUM(G25:G27)</f>
        <v>186617.58177890338</v>
      </c>
      <c r="H28" s="26">
        <f t="shared" si="30"/>
        <v>186617.58177890338</v>
      </c>
      <c r="I28" s="26">
        <f t="shared" si="30"/>
        <v>186617.58177890338</v>
      </c>
      <c r="J28" s="26">
        <f t="shared" si="30"/>
        <v>186617.58177890338</v>
      </c>
      <c r="K28" s="26">
        <f t="shared" si="30"/>
        <v>186617.58177890338</v>
      </c>
      <c r="L28" s="26">
        <f t="shared" si="30"/>
        <v>186617.58177890338</v>
      </c>
      <c r="M28" s="26">
        <f t="shared" si="30"/>
        <v>186617.58177890338</v>
      </c>
      <c r="N28" s="26">
        <f t="shared" si="30"/>
        <v>186617.58177890338</v>
      </c>
      <c r="O28" s="26">
        <f t="shared" si="30"/>
        <v>186617.58177890338</v>
      </c>
      <c r="P28" s="26">
        <f t="shared" si="30"/>
        <v>186617.58177890338</v>
      </c>
      <c r="Q28" s="26">
        <f t="shared" si="30"/>
        <v>186617.58177890338</v>
      </c>
      <c r="R28" s="26">
        <f t="shared" si="30"/>
        <v>186617.58177890338</v>
      </c>
      <c r="S28" s="26">
        <f t="shared" si="30"/>
        <v>186617.58177890338</v>
      </c>
      <c r="T28" s="26">
        <f t="shared" si="30"/>
        <v>186617.58177890338</v>
      </c>
      <c r="U28" s="26">
        <f t="shared" si="30"/>
        <v>186617.58177890338</v>
      </c>
      <c r="V28" s="26">
        <f t="shared" si="30"/>
        <v>186617.58177890338</v>
      </c>
      <c r="W28" s="26">
        <f t="shared" si="30"/>
        <v>186617.58177890338</v>
      </c>
      <c r="X28" s="26">
        <f t="shared" si="30"/>
        <v>186617.58177890338</v>
      </c>
      <c r="Y28" s="26">
        <f t="shared" si="30"/>
        <v>186617.58177890338</v>
      </c>
      <c r="Z28" s="26">
        <f t="shared" si="30"/>
        <v>186617.58177890338</v>
      </c>
      <c r="AA28" s="26">
        <f t="shared" si="30"/>
        <v>186617.58177890338</v>
      </c>
      <c r="AB28" s="26">
        <f t="shared" si="30"/>
        <v>186617.58177890338</v>
      </c>
      <c r="AC28" s="26">
        <f t="shared" si="30"/>
        <v>186617.58177890338</v>
      </c>
      <c r="BI28" s="2">
        <v>32932.959423099324</v>
      </c>
    </row>
    <row r="29" spans="4:61" x14ac:dyDescent="0.2">
      <c r="D29" s="2" t="s">
        <v>193</v>
      </c>
      <c r="E29" s="26">
        <f>E24-E28</f>
        <v>317617.98098495335</v>
      </c>
      <c r="F29" s="26">
        <f t="shared" ref="F29:AC29" si="31">F24-F28</f>
        <v>317617.98098495335</v>
      </c>
      <c r="G29" s="26">
        <f t="shared" si="31"/>
        <v>317617.98098495335</v>
      </c>
      <c r="H29" s="26">
        <f t="shared" si="31"/>
        <v>317617.98098495335</v>
      </c>
      <c r="I29" s="26">
        <f t="shared" si="31"/>
        <v>317617.98098495335</v>
      </c>
      <c r="J29" s="26">
        <f t="shared" si="31"/>
        <v>317617.98098495335</v>
      </c>
      <c r="K29" s="26">
        <f t="shared" si="31"/>
        <v>317617.98098495335</v>
      </c>
      <c r="L29" s="26">
        <f t="shared" si="31"/>
        <v>317617.98098495335</v>
      </c>
      <c r="M29" s="26">
        <f t="shared" si="31"/>
        <v>317617.98098495335</v>
      </c>
      <c r="N29" s="26">
        <f t="shared" si="31"/>
        <v>317617.98098495335</v>
      </c>
      <c r="O29" s="26">
        <f t="shared" si="31"/>
        <v>317617.98098495335</v>
      </c>
      <c r="P29" s="26">
        <f t="shared" si="31"/>
        <v>317617.98098495335</v>
      </c>
      <c r="Q29" s="26">
        <f t="shared" si="31"/>
        <v>317617.98098495335</v>
      </c>
      <c r="R29" s="26">
        <f t="shared" si="31"/>
        <v>317617.98098495335</v>
      </c>
      <c r="S29" s="26">
        <f t="shared" si="31"/>
        <v>317617.98098495335</v>
      </c>
      <c r="T29" s="26">
        <f t="shared" si="31"/>
        <v>317617.98098495335</v>
      </c>
      <c r="U29" s="26">
        <f t="shared" si="31"/>
        <v>317617.98098495335</v>
      </c>
      <c r="V29" s="26">
        <f t="shared" si="31"/>
        <v>317617.98098495335</v>
      </c>
      <c r="W29" s="26">
        <f t="shared" si="31"/>
        <v>317617.98098495335</v>
      </c>
      <c r="X29" s="26">
        <f t="shared" si="31"/>
        <v>317617.98098495335</v>
      </c>
      <c r="Y29" s="26">
        <f t="shared" si="31"/>
        <v>317617.98098495335</v>
      </c>
      <c r="Z29" s="26">
        <f t="shared" si="31"/>
        <v>317617.98098495335</v>
      </c>
      <c r="AA29" s="26">
        <f t="shared" si="31"/>
        <v>317617.98098495335</v>
      </c>
      <c r="AB29" s="26">
        <f t="shared" si="31"/>
        <v>317617.98098495335</v>
      </c>
      <c r="AC29" s="26">
        <f t="shared" si="31"/>
        <v>317617.98098495335</v>
      </c>
      <c r="BI29" s="2">
        <v>33099.245593341482</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33266.363194434853</v>
      </c>
    </row>
    <row r="31" spans="4:61" x14ac:dyDescent="0.2">
      <c r="D31" s="2" t="s">
        <v>196</v>
      </c>
      <c r="E31" s="26">
        <f>(E29/12)+E30</f>
        <v>29637.529650713481</v>
      </c>
      <c r="F31" s="26">
        <f t="shared" ref="F31:AC31" si="32">(F29/12)+F30</f>
        <v>29637.529650713481</v>
      </c>
      <c r="G31" s="26">
        <f t="shared" si="32"/>
        <v>29637.529650713481</v>
      </c>
      <c r="H31" s="26">
        <f t="shared" si="32"/>
        <v>29637.529650713481</v>
      </c>
      <c r="I31" s="26">
        <f t="shared" si="32"/>
        <v>29637.529650713481</v>
      </c>
      <c r="J31" s="26">
        <f t="shared" si="32"/>
        <v>29637.529650713481</v>
      </c>
      <c r="K31" s="26">
        <f t="shared" si="32"/>
        <v>29637.529650713481</v>
      </c>
      <c r="L31" s="26">
        <f t="shared" si="32"/>
        <v>29637.529650713481</v>
      </c>
      <c r="M31" s="26">
        <f t="shared" si="32"/>
        <v>29637.529650713481</v>
      </c>
      <c r="N31" s="26">
        <f t="shared" si="32"/>
        <v>29637.529650713481</v>
      </c>
      <c r="O31" s="26">
        <f t="shared" si="32"/>
        <v>29637.529650713481</v>
      </c>
      <c r="P31" s="26">
        <f t="shared" si="32"/>
        <v>29637.529650713481</v>
      </c>
      <c r="Q31" s="26">
        <f t="shared" si="32"/>
        <v>29637.529650713481</v>
      </c>
      <c r="R31" s="26">
        <f t="shared" si="32"/>
        <v>29637.529650713481</v>
      </c>
      <c r="S31" s="26">
        <f t="shared" si="32"/>
        <v>29637.529650713481</v>
      </c>
      <c r="T31" s="26">
        <f t="shared" si="32"/>
        <v>29637.529650713481</v>
      </c>
      <c r="U31" s="26">
        <f t="shared" si="32"/>
        <v>29637.529650713481</v>
      </c>
      <c r="V31" s="26">
        <f t="shared" si="32"/>
        <v>29637.529650713481</v>
      </c>
      <c r="W31" s="26">
        <f t="shared" si="32"/>
        <v>29637.529650713481</v>
      </c>
      <c r="X31" s="26">
        <f t="shared" si="32"/>
        <v>29637.529650713481</v>
      </c>
      <c r="Y31" s="26">
        <f t="shared" si="32"/>
        <v>29637.529650713481</v>
      </c>
      <c r="Z31" s="26">
        <f t="shared" si="32"/>
        <v>29637.529650713481</v>
      </c>
      <c r="AA31" s="26">
        <f t="shared" si="32"/>
        <v>29637.529650713481</v>
      </c>
      <c r="AB31" s="26">
        <f t="shared" si="32"/>
        <v>29637.529650713481</v>
      </c>
      <c r="AC31" s="26">
        <f t="shared" si="32"/>
        <v>29637.529650713481</v>
      </c>
      <c r="BI31" s="2">
        <v>33434.316383533696</v>
      </c>
    </row>
    <row r="32" spans="4:61" x14ac:dyDescent="0.2">
      <c r="D32" s="2" t="s">
        <v>274</v>
      </c>
      <c r="E32" s="26">
        <f>Income!$K$52</f>
        <v>29977.177328769263</v>
      </c>
      <c r="F32" s="26">
        <f>Income!$K$52</f>
        <v>29977.177328769263</v>
      </c>
      <c r="G32" s="26">
        <f>Income!$K$52</f>
        <v>29977.177328769263</v>
      </c>
      <c r="H32" s="26">
        <f>Income!$K$52</f>
        <v>29977.177328769263</v>
      </c>
      <c r="I32" s="26">
        <f>Income!$K$52</f>
        <v>29977.177328769263</v>
      </c>
      <c r="J32" s="26">
        <f>Income!$K$52</f>
        <v>29977.177328769263</v>
      </c>
      <c r="K32" s="26">
        <f>Income!$K$52</f>
        <v>29977.177328769263</v>
      </c>
      <c r="L32" s="26">
        <f>Income!$K$52</f>
        <v>29977.177328769263</v>
      </c>
      <c r="M32" s="26">
        <f>Income!$K$52</f>
        <v>29977.177328769263</v>
      </c>
      <c r="N32" s="26">
        <f>Income!$K$52</f>
        <v>29977.177328769263</v>
      </c>
      <c r="O32" s="26">
        <f>Income!$K$52</f>
        <v>29977.177328769263</v>
      </c>
      <c r="P32" s="26">
        <f>Income!$K$52</f>
        <v>29977.177328769263</v>
      </c>
      <c r="Q32" s="26">
        <f>Income!$K$52</f>
        <v>29977.177328769263</v>
      </c>
      <c r="R32" s="26">
        <f>Income!$K$52</f>
        <v>29977.177328769263</v>
      </c>
      <c r="S32" s="26">
        <f>Income!$K$52</f>
        <v>29977.177328769263</v>
      </c>
      <c r="T32" s="26">
        <f>Income!$K$52</f>
        <v>29977.177328769263</v>
      </c>
      <c r="U32" s="26">
        <f>Income!$K$52</f>
        <v>29977.177328769263</v>
      </c>
      <c r="V32" s="26">
        <f>Income!$K$52</f>
        <v>29977.177328769263</v>
      </c>
      <c r="W32" s="26">
        <f>Income!$K$52</f>
        <v>29977.177328769263</v>
      </c>
      <c r="X32" s="26">
        <f>Income!$K$52</f>
        <v>29977.177328769263</v>
      </c>
      <c r="Y32" s="26">
        <f>Income!$K$52</f>
        <v>29977.177328769263</v>
      </c>
      <c r="Z32" s="26">
        <f>Income!$K$52</f>
        <v>29977.177328769263</v>
      </c>
      <c r="AA32" s="26">
        <f>Income!$K$52</f>
        <v>29977.177328769263</v>
      </c>
      <c r="AB32" s="26">
        <f>Income!$K$52</f>
        <v>29977.177328769263</v>
      </c>
      <c r="AC32" s="26">
        <f>Income!$K$52</f>
        <v>29977.177328769263</v>
      </c>
      <c r="BI32" s="2">
        <v>33603.109338578033</v>
      </c>
    </row>
    <row r="33" spans="4:61" x14ac:dyDescent="0.2">
      <c r="D33" s="2" t="s">
        <v>204</v>
      </c>
      <c r="E33" s="26">
        <f>E32-E31</f>
        <v>339.64767805578231</v>
      </c>
      <c r="F33" s="26">
        <f t="shared" ref="F33:AC33" si="33">F32-F31</f>
        <v>339.64767805578231</v>
      </c>
      <c r="G33" s="26">
        <f t="shared" si="33"/>
        <v>339.64767805578231</v>
      </c>
      <c r="H33" s="26">
        <f t="shared" si="33"/>
        <v>339.64767805578231</v>
      </c>
      <c r="I33" s="26">
        <f t="shared" si="33"/>
        <v>339.64767805578231</v>
      </c>
      <c r="J33" s="26">
        <f t="shared" si="33"/>
        <v>339.64767805578231</v>
      </c>
      <c r="K33" s="26">
        <f t="shared" si="33"/>
        <v>339.64767805578231</v>
      </c>
      <c r="L33" s="26">
        <f t="shared" si="33"/>
        <v>339.64767805578231</v>
      </c>
      <c r="M33" s="26">
        <f t="shared" si="33"/>
        <v>339.64767805578231</v>
      </c>
      <c r="N33" s="26">
        <f t="shared" si="33"/>
        <v>339.64767805578231</v>
      </c>
      <c r="O33" s="26">
        <f t="shared" si="33"/>
        <v>339.64767805578231</v>
      </c>
      <c r="P33" s="26">
        <f t="shared" si="33"/>
        <v>339.64767805578231</v>
      </c>
      <c r="Q33" s="26">
        <f t="shared" si="33"/>
        <v>339.64767805578231</v>
      </c>
      <c r="R33" s="26">
        <f t="shared" si="33"/>
        <v>339.64767805578231</v>
      </c>
      <c r="S33" s="26">
        <f t="shared" si="33"/>
        <v>339.64767805578231</v>
      </c>
      <c r="T33" s="26">
        <f t="shared" si="33"/>
        <v>339.64767805578231</v>
      </c>
      <c r="U33" s="26">
        <f t="shared" si="33"/>
        <v>339.64767805578231</v>
      </c>
      <c r="V33" s="26">
        <f t="shared" si="33"/>
        <v>339.64767805578231</v>
      </c>
      <c r="W33" s="26">
        <f t="shared" si="33"/>
        <v>339.64767805578231</v>
      </c>
      <c r="X33" s="26">
        <f t="shared" si="33"/>
        <v>339.64767805578231</v>
      </c>
      <c r="Y33" s="26">
        <f t="shared" si="33"/>
        <v>339.64767805578231</v>
      </c>
      <c r="Z33" s="26">
        <f t="shared" si="33"/>
        <v>339.64767805578231</v>
      </c>
      <c r="AA33" s="26">
        <f t="shared" si="33"/>
        <v>339.64767805578231</v>
      </c>
      <c r="AB33" s="26">
        <f t="shared" si="33"/>
        <v>339.64767805578231</v>
      </c>
      <c r="AC33" s="26">
        <f t="shared" si="33"/>
        <v>339.64767805578231</v>
      </c>
      <c r="BI33" s="2">
        <v>33772.746258397579</v>
      </c>
    </row>
    <row r="34" spans="4:61" x14ac:dyDescent="0.2">
      <c r="D34" s="2" t="s">
        <v>264</v>
      </c>
      <c r="E34" s="26">
        <f>E33*(1+$B$10)</f>
        <v>431.35255113084355</v>
      </c>
      <c r="F34" s="26">
        <f t="shared" ref="F34:AC34" si="34">F33*(1+$B$10)</f>
        <v>431.35255113084355</v>
      </c>
      <c r="G34" s="26">
        <f t="shared" si="34"/>
        <v>431.35255113084355</v>
      </c>
      <c r="H34" s="26">
        <f t="shared" si="34"/>
        <v>431.35255113084355</v>
      </c>
      <c r="I34" s="26">
        <f t="shared" si="34"/>
        <v>431.35255113084355</v>
      </c>
      <c r="J34" s="26">
        <f t="shared" si="34"/>
        <v>431.35255113084355</v>
      </c>
      <c r="K34" s="26">
        <f t="shared" si="34"/>
        <v>431.35255113084355</v>
      </c>
      <c r="L34" s="26">
        <f t="shared" si="34"/>
        <v>431.35255113084355</v>
      </c>
      <c r="M34" s="26">
        <f t="shared" si="34"/>
        <v>431.35255113084355</v>
      </c>
      <c r="N34" s="26">
        <f t="shared" si="34"/>
        <v>431.35255113084355</v>
      </c>
      <c r="O34" s="26">
        <f t="shared" si="34"/>
        <v>431.35255113084355</v>
      </c>
      <c r="P34" s="26">
        <f t="shared" si="34"/>
        <v>431.35255113084355</v>
      </c>
      <c r="Q34" s="26">
        <f t="shared" si="34"/>
        <v>431.35255113084355</v>
      </c>
      <c r="R34" s="26">
        <f t="shared" si="34"/>
        <v>431.35255113084355</v>
      </c>
      <c r="S34" s="26">
        <f t="shared" si="34"/>
        <v>431.35255113084355</v>
      </c>
      <c r="T34" s="26">
        <f t="shared" si="34"/>
        <v>431.35255113084355</v>
      </c>
      <c r="U34" s="26">
        <f t="shared" si="34"/>
        <v>431.35255113084355</v>
      </c>
      <c r="V34" s="26">
        <f t="shared" si="34"/>
        <v>431.35255113084355</v>
      </c>
      <c r="W34" s="26">
        <f t="shared" si="34"/>
        <v>431.35255113084355</v>
      </c>
      <c r="X34" s="26">
        <f t="shared" si="34"/>
        <v>431.35255113084355</v>
      </c>
      <c r="Y34" s="26">
        <f t="shared" si="34"/>
        <v>431.35255113084355</v>
      </c>
      <c r="Z34" s="26">
        <f t="shared" si="34"/>
        <v>431.35255113084355</v>
      </c>
      <c r="AA34" s="26">
        <f t="shared" si="34"/>
        <v>431.35255113084355</v>
      </c>
      <c r="AB34" s="26">
        <f t="shared" si="34"/>
        <v>431.35255113084355</v>
      </c>
      <c r="AC34" s="26">
        <f t="shared" si="34"/>
        <v>431.35255113084355</v>
      </c>
      <c r="BI34" s="2">
        <v>33943.23136281623</v>
      </c>
    </row>
    <row r="35" spans="4:61" x14ac:dyDescent="0.2">
      <c r="D35" s="2" t="s">
        <v>265</v>
      </c>
      <c r="E35" s="26">
        <f>E34*12</f>
        <v>5176.2306135701228</v>
      </c>
      <c r="F35" s="26">
        <f t="shared" ref="F35:AC35" si="35">F34*12</f>
        <v>5176.2306135701228</v>
      </c>
      <c r="G35" s="26">
        <f t="shared" si="35"/>
        <v>5176.2306135701228</v>
      </c>
      <c r="H35" s="26">
        <f t="shared" si="35"/>
        <v>5176.2306135701228</v>
      </c>
      <c r="I35" s="26">
        <f t="shared" si="35"/>
        <v>5176.2306135701228</v>
      </c>
      <c r="J35" s="26">
        <f t="shared" si="35"/>
        <v>5176.2306135701228</v>
      </c>
      <c r="K35" s="26">
        <f t="shared" si="35"/>
        <v>5176.2306135701228</v>
      </c>
      <c r="L35" s="26">
        <f t="shared" si="35"/>
        <v>5176.2306135701228</v>
      </c>
      <c r="M35" s="26">
        <f t="shared" si="35"/>
        <v>5176.2306135701228</v>
      </c>
      <c r="N35" s="26">
        <f t="shared" si="35"/>
        <v>5176.2306135701228</v>
      </c>
      <c r="O35" s="26">
        <f t="shared" si="35"/>
        <v>5176.2306135701228</v>
      </c>
      <c r="P35" s="26">
        <f t="shared" si="35"/>
        <v>5176.2306135701228</v>
      </c>
      <c r="Q35" s="26">
        <f t="shared" si="35"/>
        <v>5176.2306135701228</v>
      </c>
      <c r="R35" s="26">
        <f t="shared" si="35"/>
        <v>5176.2306135701228</v>
      </c>
      <c r="S35" s="26">
        <f t="shared" si="35"/>
        <v>5176.2306135701228</v>
      </c>
      <c r="T35" s="26">
        <f t="shared" si="35"/>
        <v>5176.2306135701228</v>
      </c>
      <c r="U35" s="26">
        <f t="shared" si="35"/>
        <v>5176.2306135701228</v>
      </c>
      <c r="V35" s="26">
        <f t="shared" si="35"/>
        <v>5176.2306135701228</v>
      </c>
      <c r="W35" s="26">
        <f t="shared" si="35"/>
        <v>5176.2306135701228</v>
      </c>
      <c r="X35" s="26">
        <f t="shared" si="35"/>
        <v>5176.2306135701228</v>
      </c>
      <c r="Y35" s="26">
        <f t="shared" si="35"/>
        <v>5176.2306135701228</v>
      </c>
      <c r="Z35" s="26">
        <f t="shared" si="35"/>
        <v>5176.2306135701228</v>
      </c>
      <c r="AA35" s="26">
        <f t="shared" si="35"/>
        <v>5176.2306135701228</v>
      </c>
      <c r="AB35" s="26">
        <f t="shared" si="35"/>
        <v>5176.2306135701228</v>
      </c>
      <c r="AC35" s="26">
        <f t="shared" si="35"/>
        <v>5176.2306135701228</v>
      </c>
      <c r="BI35" s="2">
        <v>34114.568892756964</v>
      </c>
    </row>
    <row r="36" spans="4:61" x14ac:dyDescent="0.2">
      <c r="BI36" s="2">
        <v>34286.76311034742</v>
      </c>
    </row>
    <row r="37" spans="4:61" x14ac:dyDescent="0.2">
      <c r="D37" s="2" t="s">
        <v>205</v>
      </c>
      <c r="E37" s="27">
        <f>SUM(E35:AC35)</f>
        <v>129405.76533925306</v>
      </c>
      <c r="BI37" s="2">
        <v>35488.153829226627</v>
      </c>
    </row>
    <row r="38" spans="4:61" x14ac:dyDescent="0.2">
      <c r="E38" s="26"/>
      <c r="BI38" s="2">
        <v>35625.272661499424</v>
      </c>
    </row>
    <row r="39" spans="4:61" x14ac:dyDescent="0.2">
      <c r="E39" s="57">
        <f>1500000</f>
        <v>1500000</v>
      </c>
      <c r="F39" s="57">
        <f>E39/25</f>
        <v>60000</v>
      </c>
      <c r="BI39" s="2">
        <v>35763.077087933583</v>
      </c>
    </row>
    <row r="40" spans="4:61" x14ac:dyDescent="0.2">
      <c r="BI40" s="2">
        <v>35901.570536499923</v>
      </c>
    </row>
    <row r="41" spans="4:61" x14ac:dyDescent="0.2">
      <c r="BI41" s="2">
        <v>36040.756452309084</v>
      </c>
    </row>
    <row r="42" spans="4:61" x14ac:dyDescent="0.2">
      <c r="BI42" s="2">
        <v>36180.638297697296</v>
      </c>
    </row>
    <row r="43" spans="4:61" x14ac:dyDescent="0.2">
      <c r="E43" s="28"/>
      <c r="BI43" s="2">
        <v>36321.219552312446</v>
      </c>
    </row>
    <row r="44" spans="4:61" x14ac:dyDescent="0.2">
      <c r="E44" s="28"/>
      <c r="BI44" s="2">
        <v>36462.503713200669</v>
      </c>
    </row>
    <row r="45" spans="4:61" x14ac:dyDescent="0.2">
      <c r="E45" s="26"/>
      <c r="BI45" s="2">
        <v>36604.494294893331</v>
      </c>
    </row>
    <row r="46" spans="4:61" x14ac:dyDescent="0.2">
      <c r="E46" s="26"/>
      <c r="BI46" s="2">
        <v>36747.19482949446</v>
      </c>
    </row>
    <row r="47" spans="4:61" x14ac:dyDescent="0.2">
      <c r="E47" s="26"/>
      <c r="BI47" s="2">
        <v>36890.608866768598</v>
      </c>
    </row>
    <row r="48" spans="4:61" x14ac:dyDescent="0.2">
      <c r="E48" s="26"/>
      <c r="BI48" s="2">
        <v>37034.739974229102</v>
      </c>
    </row>
    <row r="49" spans="5:61" x14ac:dyDescent="0.2">
      <c r="E49" s="26"/>
      <c r="BI49" s="2">
        <v>37179.591737226918</v>
      </c>
    </row>
    <row r="50" spans="5:61" x14ac:dyDescent="0.2">
      <c r="E50" s="26"/>
      <c r="BI50" s="2">
        <v>37325.167759039716</v>
      </c>
    </row>
    <row r="51" spans="5:61" x14ac:dyDescent="0.2">
      <c r="E51" s="26"/>
      <c r="BI51" s="2">
        <v>37471.471660961579</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Y</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Y</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Y</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Y</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9" sqref="C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129405.76533925306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v>4212659.32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56313.851386614646</v>
      </c>
      <c r="D2" s="67">
        <v>56599.311939051724</v>
      </c>
      <c r="E2" s="67">
        <v>58894.414780645777</v>
      </c>
      <c r="F2" s="67">
        <v>59192.778150052996</v>
      </c>
      <c r="G2" s="67">
        <v>59492.633336307248</v>
      </c>
      <c r="H2" s="67">
        <v>59793.987798492803</v>
      </c>
      <c r="I2" s="67">
        <v>62216.877674464486</v>
      </c>
      <c r="J2" s="67">
        <v>62531.853358340813</v>
      </c>
      <c r="K2" s="67">
        <v>62848.403920636512</v>
      </c>
      <c r="L2" s="67">
        <v>63166.537235743672</v>
      </c>
      <c r="M2" s="67">
        <v>65724.329089205421</v>
      </c>
      <c r="N2" s="67">
        <v>66056.842030155443</v>
      </c>
      <c r="O2" s="67">
        <v>66391.017535810199</v>
      </c>
      <c r="P2" s="67">
        <v>69077.788601274617</v>
      </c>
      <c r="Q2" s="67">
        <v>69427.068839784988</v>
      </c>
      <c r="R2" s="67">
        <v>69778.095479487893</v>
      </c>
      <c r="S2" s="67">
        <v>70130.877252389328</v>
      </c>
      <c r="T2" s="67">
        <v>70485.422934155256</v>
      </c>
      <c r="U2" s="67">
        <v>73335.970215553461</v>
      </c>
      <c r="V2" s="67">
        <v>73706.541362135235</v>
      </c>
      <c r="W2" s="67">
        <v>74078.965364449905</v>
      </c>
      <c r="X2" s="67">
        <v>74453.251486776149</v>
      </c>
      <c r="Y2" s="67">
        <v>77462.51191027918</v>
      </c>
      <c r="Z2" s="67">
        <v>77853.715765334564</v>
      </c>
      <c r="AA2" s="67">
        <v>78246.875639665217</v>
      </c>
      <c r="AB2" s="67">
        <v>78642.001313367538</v>
      </c>
      <c r="AC2" s="67">
        <v>79039.102615438387</v>
      </c>
      <c r="AD2" s="67">
        <v>79438.189424019569</v>
      </c>
      <c r="AE2" s="67">
        <v>79839.271666643661</v>
      </c>
      <c r="AF2" s="67">
        <v>80242.359320480871</v>
      </c>
      <c r="AG2" s="67">
        <v>80647.46241258728</v>
      </c>
      <c r="AH2" s="67">
        <v>81054.591020154185</v>
      </c>
      <c r="AI2" s="67">
        <v>81463.755270758949</v>
      </c>
      <c r="AJ2" s="67">
        <v>81874.965342616721</v>
      </c>
      <c r="AK2" s="67">
        <v>82288.231464833822</v>
      </c>
      <c r="AL2" s="67">
        <v>85171.569190143913</v>
      </c>
      <c r="AM2" s="67">
        <v>85500.654387598624</v>
      </c>
      <c r="AN2" s="67">
        <v>85831.385011040606</v>
      </c>
      <c r="AO2" s="67">
        <v>86163.769287599818</v>
      </c>
      <c r="AP2" s="67">
        <v>86497.815485541811</v>
      </c>
      <c r="AQ2" s="67">
        <v>86833.531914473511</v>
      </c>
      <c r="AR2" s="67">
        <v>87170.926925549866</v>
      </c>
      <c r="AS2" s="67">
        <v>87510.008911681609</v>
      </c>
      <c r="AT2" s="67">
        <v>87850.786307743998</v>
      </c>
      <c r="AU2" s="67">
        <v>88193.267590786709</v>
      </c>
      <c r="AV2" s="67">
        <v>88537.461280244635</v>
      </c>
      <c r="AW2" s="67">
        <v>88883.375938149853</v>
      </c>
      <c r="AX2" s="67">
        <v>89231.020169344614</v>
      </c>
      <c r="AY2" s="67">
        <v>89580.402621695321</v>
      </c>
      <c r="AZ2" s="67">
        <v>89931.531986307804</v>
      </c>
      <c r="BA2">
        <v>0</v>
      </c>
    </row>
    <row r="3" spans="1:53" x14ac:dyDescent="0.2">
      <c r="A3" s="67" t="s">
        <v>74</v>
      </c>
      <c r="B3" s="69">
        <v>200000</v>
      </c>
      <c r="C3" s="67" cm="1">
        <f t="array" ref="C3:BA3">TRANSPOSE(TableIncome[InvestmentP2])</f>
        <v>92354.962598773083</v>
      </c>
      <c r="D3" s="67">
        <v>92719.964763270953</v>
      </c>
      <c r="E3" s="67">
        <v>95654.582165833752</v>
      </c>
      <c r="F3" s="67">
        <v>96036.082428166934</v>
      </c>
      <c r="G3" s="67">
        <v>96419.490191811754</v>
      </c>
      <c r="H3" s="67">
        <v>96804.814994274813</v>
      </c>
      <c r="I3" s="67">
        <v>99902.826406077787</v>
      </c>
      <c r="J3" s="67">
        <v>100305.56788961217</v>
      </c>
      <c r="K3" s="67">
        <v>100710.32308056422</v>
      </c>
      <c r="L3" s="67">
        <v>101117.10204747104</v>
      </c>
      <c r="M3" s="67">
        <v>104387.60494140186</v>
      </c>
      <c r="N3" s="67">
        <v>104812.77031761286</v>
      </c>
      <c r="O3" s="67">
        <v>105240.06152070491</v>
      </c>
      <c r="P3" s="67">
        <v>108675.4827935651</v>
      </c>
      <c r="Q3" s="67">
        <v>109122.0875590369</v>
      </c>
      <c r="R3" s="67">
        <v>109570.92534833607</v>
      </c>
      <c r="S3" s="67">
        <v>110022.00732658175</v>
      </c>
      <c r="T3" s="67">
        <v>110475.34471471864</v>
      </c>
      <c r="U3" s="67">
        <v>114120.17731533939</v>
      </c>
      <c r="V3" s="67">
        <v>114594.00555342008</v>
      </c>
      <c r="W3" s="67">
        <v>115070.20293269116</v>
      </c>
      <c r="X3" s="67">
        <v>115548.78129885858</v>
      </c>
      <c r="Y3" s="67">
        <v>119396.55136284494</v>
      </c>
      <c r="Z3" s="67">
        <v>119896.76147116316</v>
      </c>
      <c r="AA3" s="67">
        <v>120399.47263002294</v>
      </c>
      <c r="AB3" s="67">
        <v>120904.69734467701</v>
      </c>
      <c r="AC3" s="67">
        <v>121412.44818290442</v>
      </c>
      <c r="AD3" s="67">
        <v>121922.73777532294</v>
      </c>
      <c r="AE3" s="67">
        <v>122435.57881570357</v>
      </c>
      <c r="AF3" s="67">
        <v>122950.98406128607</v>
      </c>
      <c r="AG3" s="67">
        <v>123468.96633309648</v>
      </c>
      <c r="AH3" s="67">
        <v>123989.53851626595</v>
      </c>
      <c r="AI3" s="67">
        <v>124512.71356035127</v>
      </c>
      <c r="AJ3" s="67">
        <v>125038.50447965703</v>
      </c>
      <c r="AK3" s="67">
        <v>125566.92435355927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56313.851386614646</v>
      </c>
      <c r="C2" s="71">
        <f>SUMIF(TableIncome[Year], "&lt;=" &amp; C1, TableIncome[InvestmentP1])</f>
        <v>112913.16332566636</v>
      </c>
      <c r="D2" s="71">
        <f>SUMIF(TableIncome[Year], "&lt;=" &amp; D1, TableIncome[InvestmentP1])</f>
        <v>171807.57810631214</v>
      </c>
      <c r="E2" s="71">
        <f>SUMIF(TableIncome[Year], "&lt;=" &amp; E1, TableIncome[InvestmentP1])</f>
        <v>231000.35625636514</v>
      </c>
      <c r="F2" s="71">
        <f>SUMIF(TableIncome[Year], "&lt;=" &amp; F1, TableIncome[InvestmentP1])</f>
        <v>290492.98959267238</v>
      </c>
      <c r="G2" s="71">
        <f>SUMIF(TableIncome[Year], "&lt;=" &amp; G1, TableIncome[InvestmentP1])</f>
        <v>350286.97739116522</v>
      </c>
      <c r="H2" s="71">
        <f>SUMIF(TableIncome[Year], "&lt;=" &amp; H1, TableIncome[InvestmentP1])</f>
        <v>412503.8550656297</v>
      </c>
      <c r="I2" s="71">
        <f>SUMIF(TableIncome[Year], "&lt;=" &amp; I1, TableIncome[InvestmentP1])</f>
        <v>475035.7084239705</v>
      </c>
      <c r="J2" s="71">
        <f>SUMIF(TableIncome[Year], "&lt;=" &amp; J1, TableIncome[InvestmentP1])</f>
        <v>537884.11234460701</v>
      </c>
      <c r="K2" s="71">
        <f>SUMIF(TableIncome[Year], "&lt;=" &amp; K1, TableIncome[InvestmentP1])</f>
        <v>601050.64958035073</v>
      </c>
      <c r="L2" s="71">
        <f>SUMIF(TableIncome[Year], "&lt;=" &amp; L1, TableIncome[InvestmentP1])</f>
        <v>666774.97866955609</v>
      </c>
      <c r="M2" s="71">
        <f>SUMIF(TableIncome[Year], "&lt;=" &amp; M1, TableIncome[InvestmentP1])</f>
        <v>732831.82069971156</v>
      </c>
      <c r="N2" s="71">
        <f>SUMIF(TableIncome[Year], "&lt;=" &amp; N1, TableIncome[InvestmentP1])</f>
        <v>799222.83823552181</v>
      </c>
      <c r="O2" s="71">
        <f>SUMIF(TableIncome[Year], "&lt;=" &amp; O1, TableIncome[InvestmentP1])</f>
        <v>868300.62683679641</v>
      </c>
      <c r="P2" s="71">
        <f>SUMIF(TableIncome[Year], "&lt;=" &amp; P1, TableIncome[InvestmentP1])</f>
        <v>937727.69567658135</v>
      </c>
      <c r="Q2" s="71">
        <f>SUMIF(TableIncome[Year], "&lt;=" &amp; Q1, TableIncome[InvestmentP1])</f>
        <v>1007505.7911560693</v>
      </c>
      <c r="R2" s="71">
        <f>SUMIF(TableIncome[Year], "&lt;=" &amp; R1, TableIncome[InvestmentP1])</f>
        <v>1077636.6684084586</v>
      </c>
      <c r="S2" s="71">
        <f>SUMIF(TableIncome[Year], "&lt;=" &amp; S1, TableIncome[InvestmentP1])</f>
        <v>1148122.0913426138</v>
      </c>
      <c r="T2" s="71">
        <f>SUMIF(TableIncome[Year], "&lt;=" &amp; T1, TableIncome[InvestmentP1])</f>
        <v>1221458.0615581672</v>
      </c>
      <c r="U2" s="71">
        <f>SUMIF(TableIncome[Year], "&lt;=" &amp; U1, TableIncome[InvestmentP1])</f>
        <v>1295164.6029203024</v>
      </c>
      <c r="V2" s="71">
        <f>SUMIF(TableIncome[Year], "&lt;=" &amp; V1, TableIncome[InvestmentP1])</f>
        <v>1369243.5682847523</v>
      </c>
      <c r="W2" s="71">
        <f>SUMIF(TableIncome[Year], "&lt;=" &amp; W1, TableIncome[InvestmentP1])</f>
        <v>1443696.8197715285</v>
      </c>
      <c r="X2" s="71">
        <f>SUMIF(TableIncome[Year], "&lt;=" &amp; X1, TableIncome[InvestmentP1])</f>
        <v>1521159.3316818078</v>
      </c>
      <c r="Y2" s="71">
        <f>SUMIF(TableIncome[Year], "&lt;=" &amp; Y1, TableIncome[InvestmentP1])</f>
        <v>1599013.0474471424</v>
      </c>
      <c r="Z2" s="71">
        <f>SUMIF(TableIncome[Year], "&lt;=" &amp; Z1, TableIncome[InvestmentP1])</f>
        <v>1677259.9230868076</v>
      </c>
      <c r="AA2" s="71">
        <f>SUMIF(TableIncome[Year], "&lt;=" &amp; AA1, TableIncome[InvestmentP1])</f>
        <v>1755901.9244001752</v>
      </c>
      <c r="AB2" s="71">
        <f>SUMIF(TableIncome[Year], "&lt;=" &amp; AB1, TableIncome[InvestmentP1])</f>
        <v>1834941.0270156136</v>
      </c>
      <c r="AC2" s="71">
        <f>SUMIF(TableIncome[Year], "&lt;=" &amp; AC1, TableIncome[InvestmentP1])</f>
        <v>1914379.2164396332</v>
      </c>
      <c r="AD2" s="71">
        <f>SUMIF(TableIncome[Year], "&lt;=" &amp; AD1, TableIncome[InvestmentP1])</f>
        <v>1994218.4881062768</v>
      </c>
      <c r="AE2" s="71">
        <f>SUMIF(TableIncome[Year], "&lt;=" &amp; AE1, TableIncome[InvestmentP1])</f>
        <v>2074460.8474267577</v>
      </c>
      <c r="AF2" s="71">
        <f>SUMIF(TableIncome[Year], "&lt;=" &amp; AF1, TableIncome[InvestmentP1])</f>
        <v>2155108.309839345</v>
      </c>
      <c r="AG2" s="71">
        <f>SUMIF(TableIncome[Year], "&lt;=" &amp; AG1, TableIncome[InvestmentP1])</f>
        <v>2236162.9008594994</v>
      </c>
      <c r="AH2" s="71">
        <f>SUMIF(TableIncome[Year], "&lt;=" &amp; AH1, TableIncome[InvestmentP1])</f>
        <v>2317626.6561302585</v>
      </c>
      <c r="AI2" s="71">
        <f>SUMIF(TableIncome[Year], "&lt;=" &amp; AI1, TableIncome[InvestmentP1])</f>
        <v>2399501.6214728751</v>
      </c>
      <c r="AJ2" s="71">
        <f>SUMIF(TableIncome[Year], "&lt;=" &amp; AJ1, TableIncome[InvestmentP1])</f>
        <v>2481789.8529377091</v>
      </c>
      <c r="AK2" s="71">
        <f>SUMIF(TableIncome[Year], "&lt;=" &amp; AK1, TableIncome[InvestmentP1])</f>
        <v>2566961.4221278531</v>
      </c>
      <c r="AL2" s="71">
        <f>SUMIF(TableIncome[Year], "&lt;=" &amp; AL1, TableIncome[InvestmentP1])</f>
        <v>2652462.076515452</v>
      </c>
      <c r="AM2" s="71">
        <f>SUMIF(TableIncome[Year], "&lt;=" &amp; AM1, TableIncome[InvestmentP1])</f>
        <v>2738293.4615264926</v>
      </c>
      <c r="AN2" s="71">
        <f>SUMIF(TableIncome[Year], "&lt;=" &amp; AN1, TableIncome[InvestmentP1])</f>
        <v>2824457.2308140923</v>
      </c>
      <c r="AO2" s="71">
        <f>SUMIF(TableIncome[Year], "&lt;=" &amp; AO1, TableIncome[InvestmentP1])</f>
        <v>2910955.046299634</v>
      </c>
      <c r="AP2" s="71">
        <f>SUMIF(TableIncome[Year], "&lt;=" &amp; AP1, TableIncome[InvestmentP1])</f>
        <v>2997788.5782141075</v>
      </c>
      <c r="AQ2" s="71">
        <f>SUMIF(TableIncome[Year], "&lt;=" &amp; AQ1, TableIncome[InvestmentP1])</f>
        <v>3084959.5051396573</v>
      </c>
      <c r="AR2" s="71">
        <f>SUMIF(TableIncome[Year], "&lt;=" &amp; AR1, TableIncome[InvestmentP1])</f>
        <v>3172469.5140513391</v>
      </c>
      <c r="AS2" s="71">
        <f>SUMIF(TableIncome[Year], "&lt;=" &amp; AS1, TableIncome[InvestmentP1])</f>
        <v>3260320.3003590833</v>
      </c>
      <c r="AT2" s="71">
        <f>SUMIF(TableIncome[Year], "&lt;=" &amp; AT1, TableIncome[InvestmentP1])</f>
        <v>3348513.5679498701</v>
      </c>
      <c r="AU2" s="71">
        <f>SUMIF(TableIncome[Year], "&lt;=" &amp; AU1, TableIncome[InvestmentP1])</f>
        <v>3437051.029230115</v>
      </c>
      <c r="AV2" s="71">
        <f>SUMIF(TableIncome[Year], "&lt;=" &amp; AV1, TableIncome[InvestmentP1])</f>
        <v>3525934.4051682646</v>
      </c>
      <c r="AW2" s="71">
        <f>SUMIF(TableIncome[Year], "&lt;=" &amp; AW1, TableIncome[InvestmentP1])</f>
        <v>3615165.4253376094</v>
      </c>
      <c r="AX2" s="71">
        <f>SUMIF(TableIncome[Year], "&lt;=" &amp; AX1, TableIncome[InvestmentP1])</f>
        <v>3704745.8279593047</v>
      </c>
      <c r="AY2" s="71">
        <f>SUMIF(TableIncome[Year], "&lt;=" &amp; AY1, TableIncome[InvestmentP1])</f>
        <v>3794677.3599456125</v>
      </c>
      <c r="AZ2" s="71">
        <f>SUMIF(TableIncome[Year], "&lt;=" &amp; AZ1, TableIncome[InvestmentP1])</f>
        <v>3794677.3599456125</v>
      </c>
    </row>
    <row r="3" spans="1:52" x14ac:dyDescent="0.2">
      <c r="A3" s="67" t="s">
        <v>74</v>
      </c>
      <c r="B3" s="71">
        <f>SUMIF(TableIncome[Year], "&lt;=" &amp; B1, TableIncome[InvestmentP2])</f>
        <v>92354.962598773083</v>
      </c>
      <c r="C3" s="71">
        <f>SUMIF(TableIncome[Year], "&lt;=" &amp; C1, TableIncome[InvestmentP2])</f>
        <v>185074.92736204405</v>
      </c>
      <c r="D3" s="71">
        <f>SUMIF(TableIncome[Year], "&lt;=" &amp; D1, TableIncome[InvestmentP2])</f>
        <v>280729.50952787779</v>
      </c>
      <c r="E3" s="71">
        <f>SUMIF(TableIncome[Year], "&lt;=" &amp; E1, TableIncome[InvestmentP2])</f>
        <v>376765.59195604472</v>
      </c>
      <c r="F3" s="71">
        <f>SUMIF(TableIncome[Year], "&lt;=" &amp; F1, TableIncome[InvestmentP2])</f>
        <v>473185.08214785648</v>
      </c>
      <c r="G3" s="71">
        <f>SUMIF(TableIncome[Year], "&lt;=" &amp; G1, TableIncome[InvestmentP2])</f>
        <v>569989.89714213135</v>
      </c>
      <c r="H3" s="71">
        <f>SUMIF(TableIncome[Year], "&lt;=" &amp; H1, TableIncome[InvestmentP2])</f>
        <v>669892.72354820918</v>
      </c>
      <c r="I3" s="71">
        <f>SUMIF(TableIncome[Year], "&lt;=" &amp; I1, TableIncome[InvestmentP2])</f>
        <v>770198.29143782135</v>
      </c>
      <c r="J3" s="71">
        <f>SUMIF(TableIncome[Year], "&lt;=" &amp; J1, TableIncome[InvestmentP2])</f>
        <v>870908.61451838561</v>
      </c>
      <c r="K3" s="71">
        <f>SUMIF(TableIncome[Year], "&lt;=" &amp; K1, TableIncome[InvestmentP2])</f>
        <v>972025.71656585671</v>
      </c>
      <c r="L3" s="71">
        <f>SUMIF(TableIncome[Year], "&lt;=" &amp; L1, TableIncome[InvestmentP2])</f>
        <v>1076413.3215072586</v>
      </c>
      <c r="M3" s="71">
        <f>SUMIF(TableIncome[Year], "&lt;=" &amp; M1, TableIncome[InvestmentP2])</f>
        <v>1181226.0918248715</v>
      </c>
      <c r="N3" s="71">
        <f>SUMIF(TableIncome[Year], "&lt;=" &amp; N1, TableIncome[InvestmentP2])</f>
        <v>1286466.1533455765</v>
      </c>
      <c r="O3" s="71">
        <f>SUMIF(TableIncome[Year], "&lt;=" &amp; O1, TableIncome[InvestmentP2])</f>
        <v>1395141.6361391416</v>
      </c>
      <c r="P3" s="71">
        <f>SUMIF(TableIncome[Year], "&lt;=" &amp; P1, TableIncome[InvestmentP2])</f>
        <v>1504263.7236981785</v>
      </c>
      <c r="Q3" s="71">
        <f>SUMIF(TableIncome[Year], "&lt;=" &amp; Q1, TableIncome[InvestmentP2])</f>
        <v>1613834.6490465146</v>
      </c>
      <c r="R3" s="71">
        <f>SUMIF(TableIncome[Year], "&lt;=" &amp; R1, TableIncome[InvestmentP2])</f>
        <v>1723856.6563730964</v>
      </c>
      <c r="S3" s="71">
        <f>SUMIF(TableIncome[Year], "&lt;=" &amp; S1, TableIncome[InvestmentP2])</f>
        <v>1834332.001087815</v>
      </c>
      <c r="T3" s="71">
        <f>SUMIF(TableIncome[Year], "&lt;=" &amp; T1, TableIncome[InvestmentP2])</f>
        <v>1948452.1784031545</v>
      </c>
      <c r="U3" s="71">
        <f>SUMIF(TableIncome[Year], "&lt;=" &amp; U1, TableIncome[InvestmentP2])</f>
        <v>2063046.1839565746</v>
      </c>
      <c r="V3" s="71">
        <f>SUMIF(TableIncome[Year], "&lt;=" &amp; V1, TableIncome[InvestmentP2])</f>
        <v>2178116.3868892659</v>
      </c>
      <c r="W3" s="71">
        <f>SUMIF(TableIncome[Year], "&lt;=" &amp; W1, TableIncome[InvestmentP2])</f>
        <v>2293665.1681881244</v>
      </c>
      <c r="X3" s="71">
        <f>SUMIF(TableIncome[Year], "&lt;=" &amp; X1, TableIncome[InvestmentP2])</f>
        <v>2413061.7195509695</v>
      </c>
      <c r="Y3" s="71">
        <f>SUMIF(TableIncome[Year], "&lt;=" &amp; Y1, TableIncome[InvestmentP2])</f>
        <v>2532958.4810221326</v>
      </c>
      <c r="Z3" s="71">
        <f>SUMIF(TableIncome[Year], "&lt;=" &amp; Z1, TableIncome[InvestmentP2])</f>
        <v>2653357.9536521556</v>
      </c>
      <c r="AA3" s="71">
        <f>SUMIF(TableIncome[Year], "&lt;=" &amp; AA1, TableIncome[InvestmentP2])</f>
        <v>2774262.6509968326</v>
      </c>
      <c r="AB3" s="71">
        <f>SUMIF(TableIncome[Year], "&lt;=" &amp; AB1, TableIncome[InvestmentP2])</f>
        <v>2895675.0991797373</v>
      </c>
      <c r="AC3" s="71">
        <f>SUMIF(TableIncome[Year], "&lt;=" &amp; AC1, TableIncome[InvestmentP2])</f>
        <v>3017597.8369550603</v>
      </c>
      <c r="AD3" s="71">
        <f>SUMIF(TableIncome[Year], "&lt;=" &amp; AD1, TableIncome[InvestmentP2])</f>
        <v>3140033.415770764</v>
      </c>
      <c r="AE3" s="71">
        <f>SUMIF(TableIncome[Year], "&lt;=" &amp; AE1, TableIncome[InvestmentP2])</f>
        <v>3262984.3998320499</v>
      </c>
      <c r="AF3" s="71">
        <f>SUMIF(TableIncome[Year], "&lt;=" &amp; AF1, TableIncome[InvestmentP2])</f>
        <v>3386453.3661651462</v>
      </c>
      <c r="AG3" s="71">
        <f>SUMIF(TableIncome[Year], "&lt;=" &amp; AG1, TableIncome[InvestmentP2])</f>
        <v>3510442.904681412</v>
      </c>
      <c r="AH3" s="71">
        <f>SUMIF(TableIncome[Year], "&lt;=" &amp; AH1, TableIncome[InvestmentP2])</f>
        <v>3634955.6182417632</v>
      </c>
      <c r="AI3" s="71">
        <f>SUMIF(TableIncome[Year], "&lt;=" &amp; AI1, TableIncome[InvestmentP2])</f>
        <v>3759994.1227214201</v>
      </c>
      <c r="AJ3" s="71">
        <f>SUMIF(TableIncome[Year], "&lt;=" &amp; AJ1, TableIncome[InvestmentP2])</f>
        <v>3885561.0470749792</v>
      </c>
      <c r="AK3" s="71">
        <f>SUMIF(TableIncome[Year], "&lt;=" &amp; AK1, TableIncome[InvestmentP2])</f>
        <v>3885561.0470749792</v>
      </c>
      <c r="AL3" s="71">
        <f>SUMIF(TableIncome[Year], "&lt;=" &amp; AL1, TableIncome[InvestmentP2])</f>
        <v>3885561.0470749792</v>
      </c>
      <c r="AM3" s="71">
        <f>SUMIF(TableIncome[Year], "&lt;=" &amp; AM1, TableIncome[InvestmentP2])</f>
        <v>3885561.0470749792</v>
      </c>
      <c r="AN3" s="71">
        <f>SUMIF(TableIncome[Year], "&lt;=" &amp; AN1, TableIncome[InvestmentP2])</f>
        <v>3885561.0470749792</v>
      </c>
      <c r="AO3" s="71">
        <f>SUMIF(TableIncome[Year], "&lt;=" &amp; AO1, TableIncome[InvestmentP2])</f>
        <v>3885561.0470749792</v>
      </c>
      <c r="AP3" s="71">
        <f>SUMIF(TableIncome[Year], "&lt;=" &amp; AP1, TableIncome[InvestmentP2])</f>
        <v>3885561.0470749792</v>
      </c>
      <c r="AQ3" s="71">
        <f>SUMIF(TableIncome[Year], "&lt;=" &amp; AQ1, TableIncome[InvestmentP2])</f>
        <v>3885561.0470749792</v>
      </c>
      <c r="AR3" s="71">
        <f>SUMIF(TableIncome[Year], "&lt;=" &amp; AR1, TableIncome[InvestmentP2])</f>
        <v>3885561.0470749792</v>
      </c>
      <c r="AS3" s="71">
        <f>SUMIF(TableIncome[Year], "&lt;=" &amp; AS1, TableIncome[InvestmentP2])</f>
        <v>3885561.0470749792</v>
      </c>
      <c r="AT3" s="71">
        <f>SUMIF(TableIncome[Year], "&lt;=" &amp; AT1, TableIncome[InvestmentP2])</f>
        <v>3885561.0470749792</v>
      </c>
      <c r="AU3" s="71">
        <f>SUMIF(TableIncome[Year], "&lt;=" &amp; AU1, TableIncome[InvestmentP2])</f>
        <v>3885561.0470749792</v>
      </c>
      <c r="AV3" s="71">
        <f>SUMIF(TableIncome[Year], "&lt;=" &amp; AV1, TableIncome[InvestmentP2])</f>
        <v>3885561.0470749792</v>
      </c>
      <c r="AW3" s="71">
        <f>SUMIF(TableIncome[Year], "&lt;=" &amp; AW1, TableIncome[InvestmentP2])</f>
        <v>3885561.0470749792</v>
      </c>
      <c r="AX3" s="71">
        <f>SUMIF(TableIncome[Year], "&lt;=" &amp; AX1, TableIncome[InvestmentP2])</f>
        <v>3885561.0470749792</v>
      </c>
      <c r="AY3" s="71">
        <f>SUMIF(TableIncome[Year], "&lt;=" &amp; AY1, TableIncome[InvestmentP2])</f>
        <v>3885561.0470749792</v>
      </c>
      <c r="AZ3" s="71">
        <f>SUMIF(TableIncome[Year], "&lt;=" &amp; AZ1, TableIncome[InvestmentP2])</f>
        <v>3885561.0470749792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2025-05-08T12:20:40Z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